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D6900DAF-19D4-384C-8118-7C0A98E33138}" xr6:coauthVersionLast="47" xr6:coauthVersionMax="47" xr10:uidLastSave="{00000000-0000-0000-0000-000000000000}"/>
  <bookViews>
    <workbookView xWindow="-1720" yWindow="-21600" windowWidth="38400" windowHeight="21600" activeTab="2" xr2:uid="{B021B529-7D79-6D49-8055-5FE1DF3A55F9}"/>
  </bookViews>
  <sheets>
    <sheet name="ダッシュボード" sheetId="7" r:id="rId1"/>
    <sheet name="サマリー" sheetId="2" r:id="rId2"/>
    <sheet name="進捗一覧" sheetId="1" r:id="rId3"/>
    <sheet name="設計決定一覧" sheetId="3" r:id="rId4"/>
    <sheet name="要件→設計" sheetId="4" r:id="rId5"/>
    <sheet name="設計→要件" sheetId="5" r:id="rId6"/>
    <sheet name="ADR一覧" sheetId="6" r:id="rId7"/>
    <sheet name="WBS(基本設計)" sheetId="9" r:id="rId8"/>
    <sheet name="WBS(詳細設計_製造)" sheetId="8" r:id="rId9"/>
    <sheet name="WBS(テスト)" sheetId="10" r:id="rId10"/>
  </sheets>
  <definedNames>
    <definedName name="_xlnm._FilterDatabase" localSheetId="6" hidden="1">ADR一覧!$A$5:$E$72</definedName>
    <definedName name="_xlnm._FilterDatabase" localSheetId="9" hidden="1">'WBS(テスト)'!$A$5:$G$48</definedName>
    <definedName name="_xlnm._FilterDatabase" localSheetId="7" hidden="1">'WBS(基本設計)'!$A$5:$I$91</definedName>
    <definedName name="_xlnm._FilterDatabase" localSheetId="8" hidden="1">'WBS(詳細設計_製造)'!$A$5:$P$108</definedName>
    <definedName name="_xlnm._FilterDatabase" localSheetId="2" hidden="1">進捗一覧!$A$6:$M$292</definedName>
    <definedName name="_xlnm._FilterDatabase" localSheetId="5" hidden="1">設計→要件!$A$5:$F$55</definedName>
    <definedName name="_xlnm._FilterDatabase" localSheetId="3" hidden="1">設計決定一覧!$A$4:$E$189</definedName>
    <definedName name="_xlnm._FilterDatabase" localSheetId="4" hidden="1">要件→設計!$A$4:$H$183</definedName>
  </definedName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24" i="8" l="1"/>
  <c r="X17" i="8"/>
  <c r="X16" i="8"/>
  <c r="X15" i="8"/>
  <c r="X14" i="8"/>
  <c r="X13" i="8"/>
  <c r="X12" i="8"/>
  <c r="X11" i="8"/>
  <c r="X10" i="8"/>
  <c r="X9" i="8"/>
  <c r="X8" i="8"/>
  <c r="X7" i="8"/>
  <c r="X6" i="8"/>
  <c r="W17" i="8"/>
  <c r="F43" i="7"/>
  <c r="D41" i="7"/>
  <c r="B41" i="7"/>
  <c r="B42" i="7" s="1"/>
  <c r="F60" i="10"/>
  <c r="B60" i="10"/>
  <c r="C60" i="10"/>
  <c r="E60" i="10"/>
  <c r="B52" i="10"/>
  <c r="C52" i="10"/>
  <c r="B53" i="10"/>
  <c r="C53" i="10"/>
  <c r="B54" i="10"/>
  <c r="C54" i="10"/>
  <c r="B55" i="10"/>
  <c r="C55" i="10"/>
  <c r="B56" i="10"/>
  <c r="C56" i="10"/>
  <c r="B57" i="10"/>
  <c r="C57" i="10"/>
  <c r="B58" i="10"/>
  <c r="C58" i="10"/>
  <c r="B59" i="10"/>
  <c r="C59" i="10"/>
  <c r="D40" i="7"/>
  <c r="D39" i="7"/>
  <c r="D38" i="7"/>
  <c r="B40" i="7"/>
  <c r="B39" i="7"/>
  <c r="P16" i="9"/>
  <c r="L16" i="9"/>
  <c r="M16" i="9"/>
  <c r="N16" i="9"/>
  <c r="O16" i="9"/>
  <c r="L15" i="9"/>
  <c r="L14" i="9"/>
  <c r="L13" i="9"/>
  <c r="M13" i="9"/>
  <c r="N13" i="9"/>
  <c r="O13" i="9"/>
  <c r="O12" i="9"/>
  <c r="O11" i="9"/>
  <c r="O10" i="9"/>
  <c r="O9" i="9"/>
  <c r="O8" i="9"/>
  <c r="O7" i="9"/>
  <c r="O6" i="9"/>
  <c r="L6" i="9"/>
  <c r="M6" i="9"/>
  <c r="L7" i="9"/>
  <c r="M7" i="9"/>
  <c r="L8" i="9"/>
  <c r="M8" i="9"/>
  <c r="L9" i="9"/>
  <c r="M9" i="9"/>
  <c r="L10" i="9"/>
  <c r="M10" i="9"/>
  <c r="L11" i="9"/>
  <c r="M11" i="9"/>
  <c r="L12" i="9"/>
  <c r="M12" i="9"/>
  <c r="L17" i="7"/>
  <c r="L16" i="7"/>
  <c r="K17" i="7"/>
  <c r="K16" i="7"/>
  <c r="D16" i="7"/>
  <c r="E16" i="7"/>
  <c r="F16" i="7"/>
  <c r="G16" i="7"/>
  <c r="D17" i="7"/>
  <c r="E17" i="7"/>
  <c r="F17" i="7"/>
  <c r="G17" i="7"/>
  <c r="D18" i="7"/>
  <c r="E18" i="7"/>
  <c r="F18" i="7"/>
  <c r="G18" i="7"/>
  <c r="D19" i="7"/>
  <c r="E19" i="7"/>
  <c r="F19" i="7"/>
  <c r="G19" i="7"/>
  <c r="D20" i="7"/>
  <c r="E20" i="7"/>
  <c r="F20" i="7"/>
  <c r="G20" i="7"/>
  <c r="D21" i="7"/>
  <c r="E21" i="7"/>
  <c r="F21" i="7"/>
  <c r="G21" i="7"/>
  <c r="D22" i="7"/>
  <c r="E22" i="7"/>
  <c r="F22" i="7"/>
  <c r="G22" i="7"/>
  <c r="D23" i="7"/>
  <c r="E23" i="7"/>
  <c r="F23" i="7"/>
  <c r="G23" i="7"/>
  <c r="D24" i="7"/>
  <c r="E24" i="7"/>
  <c r="F24" i="7"/>
  <c r="G24" i="7"/>
  <c r="D25" i="7"/>
  <c r="E25" i="7"/>
  <c r="F25" i="7"/>
  <c r="G25" i="7"/>
  <c r="D26" i="7"/>
  <c r="E26" i="7"/>
  <c r="F26" i="7"/>
  <c r="G26" i="7"/>
  <c r="D27" i="7"/>
  <c r="E27" i="7"/>
  <c r="F27" i="7"/>
  <c r="G27" i="7"/>
  <c r="D28" i="7"/>
  <c r="E28" i="7"/>
  <c r="F28" i="7"/>
  <c r="G28" i="7"/>
  <c r="D29" i="7"/>
  <c r="E29" i="7"/>
  <c r="F29" i="7"/>
  <c r="G29" i="7"/>
  <c r="D30" i="7"/>
  <c r="E30" i="7"/>
  <c r="F30" i="7"/>
  <c r="G30" i="7"/>
  <c r="D31" i="7"/>
  <c r="E31" i="7"/>
  <c r="F31" i="7"/>
  <c r="G31" i="7"/>
  <c r="D32" i="7"/>
  <c r="E32" i="7"/>
  <c r="F32" i="7"/>
  <c r="G32" i="7"/>
  <c r="B16" i="7"/>
  <c r="C16" i="7"/>
  <c r="B17" i="7"/>
  <c r="C17" i="7"/>
  <c r="B18" i="7"/>
  <c r="C18" i="7"/>
  <c r="B19" i="7"/>
  <c r="C19" i="7"/>
  <c r="B20" i="7"/>
  <c r="C20" i="7"/>
  <c r="B21" i="7"/>
  <c r="C21" i="7"/>
  <c r="B22" i="7"/>
  <c r="C22" i="7"/>
  <c r="B23" i="7"/>
  <c r="C23" i="7"/>
  <c r="B24" i="7"/>
  <c r="C24" i="7"/>
  <c r="B25" i="7"/>
  <c r="C25" i="7"/>
  <c r="B26" i="7"/>
  <c r="C26" i="7"/>
  <c r="B27" i="7"/>
  <c r="C27" i="7"/>
  <c r="B28" i="7"/>
  <c r="C28" i="7"/>
  <c r="B29" i="7"/>
  <c r="C29" i="7"/>
  <c r="B30" i="7"/>
  <c r="C30" i="7"/>
  <c r="B31" i="7"/>
  <c r="C31" i="7"/>
  <c r="B32" i="7"/>
  <c r="C32" i="7"/>
  <c r="F12" i="7"/>
  <c r="G12" i="7" s="1"/>
  <c r="F11" i="7"/>
  <c r="G11" i="7" s="1"/>
  <c r="F10" i="7"/>
  <c r="G10" i="7" s="1"/>
  <c r="B9" i="7"/>
  <c r="A9" i="7"/>
  <c r="A6" i="7"/>
  <c r="I5" i="7"/>
  <c r="E5" i="7"/>
  <c r="A5" i="7"/>
  <c r="D17" i="2"/>
  <c r="E17" i="2"/>
  <c r="F17" i="2"/>
  <c r="G17" i="2"/>
  <c r="H17" i="2"/>
  <c r="D18" i="2"/>
  <c r="E18" i="2"/>
  <c r="F18" i="2"/>
  <c r="G18" i="2"/>
  <c r="H18" i="2"/>
  <c r="D19" i="2"/>
  <c r="E19" i="2"/>
  <c r="F19" i="2"/>
  <c r="G19" i="2"/>
  <c r="H19" i="2"/>
  <c r="D20" i="2"/>
  <c r="E20" i="2"/>
  <c r="F20" i="2"/>
  <c r="G20" i="2"/>
  <c r="H20" i="2"/>
  <c r="D21" i="2"/>
  <c r="E21" i="2"/>
  <c r="F21" i="2"/>
  <c r="G21" i="2"/>
  <c r="H21" i="2"/>
  <c r="D22" i="2"/>
  <c r="E22" i="2"/>
  <c r="F22" i="2"/>
  <c r="G22" i="2"/>
  <c r="H22" i="2"/>
  <c r="D23" i="2"/>
  <c r="E23" i="2"/>
  <c r="F23" i="2"/>
  <c r="G23" i="2"/>
  <c r="H23" i="2"/>
  <c r="D24" i="2"/>
  <c r="E24" i="2"/>
  <c r="F24" i="2"/>
  <c r="G24" i="2"/>
  <c r="H24" i="2"/>
  <c r="D25" i="2"/>
  <c r="E25" i="2"/>
  <c r="F25" i="2"/>
  <c r="G25" i="2"/>
  <c r="H25" i="2"/>
  <c r="D26" i="2"/>
  <c r="E26" i="2"/>
  <c r="F26" i="2"/>
  <c r="G26" i="2"/>
  <c r="H26" i="2"/>
  <c r="D27" i="2"/>
  <c r="E27" i="2"/>
  <c r="F27" i="2"/>
  <c r="G27" i="2"/>
  <c r="H27" i="2"/>
  <c r="D28" i="2"/>
  <c r="E28" i="2"/>
  <c r="F28" i="2"/>
  <c r="G28" i="2"/>
  <c r="H28" i="2"/>
  <c r="D29" i="2"/>
  <c r="E29" i="2"/>
  <c r="F29" i="2"/>
  <c r="G29" i="2"/>
  <c r="H29" i="2"/>
  <c r="D30" i="2"/>
  <c r="E30" i="2"/>
  <c r="F30" i="2"/>
  <c r="G30" i="2"/>
  <c r="H30" i="2"/>
  <c r="D31" i="2"/>
  <c r="E31" i="2"/>
  <c r="F31" i="2"/>
  <c r="G31" i="2"/>
  <c r="H31" i="2"/>
  <c r="D32" i="2"/>
  <c r="E32" i="2"/>
  <c r="F32" i="2"/>
  <c r="G32" i="2"/>
  <c r="H32" i="2"/>
  <c r="D33" i="2"/>
  <c r="E33" i="2"/>
  <c r="F33" i="2"/>
  <c r="G33" i="2"/>
  <c r="H33" i="2"/>
  <c r="D34" i="2"/>
  <c r="E34" i="2"/>
  <c r="F34" i="2"/>
  <c r="G34" i="2"/>
  <c r="H34" i="2"/>
  <c r="D35" i="2"/>
  <c r="E35" i="2"/>
  <c r="F35" i="2"/>
  <c r="G35" i="2"/>
  <c r="H35" i="2"/>
  <c r="D36" i="2"/>
  <c r="E36" i="2"/>
  <c r="F36" i="2"/>
  <c r="G36" i="2"/>
  <c r="H36" i="2"/>
  <c r="D37" i="2"/>
  <c r="E37" i="2"/>
  <c r="F37" i="2"/>
  <c r="G37" i="2"/>
  <c r="H37" i="2"/>
  <c r="D38" i="2"/>
  <c r="E38" i="2"/>
  <c r="F38" i="2"/>
  <c r="G38" i="2"/>
  <c r="H38" i="2"/>
  <c r="D39" i="2"/>
  <c r="E39" i="2"/>
  <c r="F39" i="2"/>
  <c r="G39" i="2"/>
  <c r="H39" i="2"/>
  <c r="D40" i="2"/>
  <c r="E40" i="2"/>
  <c r="F40" i="2"/>
  <c r="G40" i="2"/>
  <c r="H40" i="2"/>
  <c r="B7" i="2"/>
  <c r="C7" i="2"/>
  <c r="D7" i="2"/>
  <c r="E7" i="2"/>
  <c r="F7" i="2"/>
  <c r="G7" i="2"/>
  <c r="B8" i="2"/>
  <c r="C8" i="2"/>
  <c r="D8" i="2"/>
  <c r="E8" i="2"/>
  <c r="F8" i="2"/>
  <c r="G8" i="2"/>
  <c r="B9" i="2"/>
  <c r="C9" i="2"/>
  <c r="D9" i="2"/>
  <c r="E9" i="2"/>
  <c r="F9" i="2"/>
  <c r="G9" i="2"/>
  <c r="B10" i="2"/>
  <c r="C10" i="2"/>
  <c r="D10" i="2"/>
  <c r="E10" i="2"/>
  <c r="F10" i="2"/>
  <c r="G10" i="2"/>
  <c r="B11" i="2"/>
  <c r="C11" i="2"/>
  <c r="D11" i="2"/>
  <c r="E11" i="2"/>
  <c r="F11" i="2"/>
  <c r="G11" i="2"/>
  <c r="B12" i="2"/>
  <c r="C12" i="2"/>
  <c r="D12" i="2"/>
  <c r="E12" i="2"/>
  <c r="F12" i="2"/>
  <c r="G12" i="2"/>
  <c r="I13" i="6"/>
  <c r="H13" i="6"/>
  <c r="H7" i="6"/>
  <c r="H8" i="6"/>
  <c r="H9" i="6"/>
  <c r="H10" i="6"/>
  <c r="H11" i="6"/>
  <c r="H12" i="6"/>
  <c r="S23" i="8"/>
  <c r="S22" i="8"/>
  <c r="S17" i="8"/>
  <c r="T17" i="8"/>
  <c r="U17" i="8"/>
  <c r="V17" i="8"/>
  <c r="S6" i="8"/>
  <c r="T6" i="8"/>
  <c r="U6" i="8"/>
  <c r="V6" i="8"/>
  <c r="S7" i="8"/>
  <c r="T7" i="8"/>
  <c r="U7" i="8"/>
  <c r="V7" i="8"/>
  <c r="S8" i="8"/>
  <c r="T8" i="8"/>
  <c r="U8" i="8"/>
  <c r="V8" i="8"/>
  <c r="S9" i="8"/>
  <c r="T9" i="8"/>
  <c r="U9" i="8"/>
  <c r="V9" i="8"/>
  <c r="S10" i="8"/>
  <c r="T10" i="8"/>
  <c r="U10" i="8"/>
  <c r="V10" i="8"/>
  <c r="S11" i="8"/>
  <c r="T11" i="8"/>
  <c r="U11" i="8"/>
  <c r="V11" i="8"/>
  <c r="S12" i="8"/>
  <c r="T12" i="8"/>
  <c r="U12" i="8"/>
  <c r="V12" i="8"/>
  <c r="S13" i="8"/>
  <c r="T13" i="8"/>
  <c r="U13" i="8"/>
  <c r="V13" i="8"/>
  <c r="S14" i="8"/>
  <c r="T14" i="8"/>
  <c r="U14" i="8"/>
  <c r="V14" i="8"/>
  <c r="S15" i="8"/>
  <c r="T15" i="8"/>
  <c r="U15" i="8"/>
  <c r="V15" i="8"/>
  <c r="A5" i="4"/>
  <c r="B5" i="4"/>
  <c r="C5" i="4"/>
  <c r="D5" i="4"/>
  <c r="A6" i="4"/>
  <c r="B6" i="4"/>
  <c r="C6" i="4"/>
  <c r="D6" i="4"/>
  <c r="A7" i="4"/>
  <c r="B7" i="4"/>
  <c r="C7" i="4"/>
  <c r="D7" i="4"/>
  <c r="A8" i="4"/>
  <c r="B8" i="4"/>
  <c r="C8" i="4"/>
  <c r="D8" i="4"/>
  <c r="A9" i="4"/>
  <c r="B9" i="4"/>
  <c r="C9" i="4"/>
  <c r="D9" i="4"/>
  <c r="A10" i="4"/>
  <c r="B10" i="4"/>
  <c r="C10" i="4"/>
  <c r="D10" i="4"/>
  <c r="A11" i="4"/>
  <c r="B11" i="4"/>
  <c r="C11" i="4"/>
  <c r="D11" i="4"/>
  <c r="A12" i="4"/>
  <c r="B12" i="4"/>
  <c r="C12" i="4"/>
  <c r="D12" i="4"/>
  <c r="A13" i="4"/>
  <c r="B13" i="4"/>
  <c r="C13" i="4"/>
  <c r="D13" i="4"/>
  <c r="A14" i="4"/>
  <c r="B14" i="4"/>
  <c r="C14" i="4"/>
  <c r="D14" i="4"/>
  <c r="A15" i="4"/>
  <c r="B15" i="4"/>
  <c r="C15" i="4"/>
  <c r="D15" i="4"/>
  <c r="A16" i="4"/>
  <c r="B16" i="4"/>
  <c r="C16" i="4"/>
  <c r="D16" i="4"/>
  <c r="A17" i="4"/>
  <c r="B17" i="4"/>
  <c r="C17" i="4"/>
  <c r="D17" i="4"/>
  <c r="A18" i="4"/>
  <c r="B18" i="4"/>
  <c r="C18" i="4"/>
  <c r="D18" i="4"/>
  <c r="A19" i="4"/>
  <c r="B19" i="4"/>
  <c r="C19" i="4"/>
  <c r="D19" i="4"/>
  <c r="A20" i="4"/>
  <c r="B20" i="4"/>
  <c r="C20" i="4"/>
  <c r="D20" i="4"/>
  <c r="A21" i="4"/>
  <c r="B21" i="4"/>
  <c r="C21" i="4"/>
  <c r="D21" i="4"/>
  <c r="A22" i="4"/>
  <c r="B22" i="4"/>
  <c r="C22" i="4"/>
  <c r="D22" i="4"/>
  <c r="A23" i="4"/>
  <c r="B23" i="4"/>
  <c r="C23" i="4"/>
  <c r="D23" i="4"/>
  <c r="A24" i="4"/>
  <c r="B24" i="4"/>
  <c r="C24" i="4"/>
  <c r="D24" i="4"/>
  <c r="A25" i="4"/>
  <c r="B25" i="4"/>
  <c r="C25" i="4"/>
  <c r="D25" i="4"/>
  <c r="A26" i="4"/>
  <c r="B26" i="4"/>
  <c r="C26" i="4"/>
  <c r="D26" i="4"/>
  <c r="A27" i="4"/>
  <c r="B27" i="4"/>
  <c r="C27" i="4"/>
  <c r="D27" i="4"/>
  <c r="A28" i="4"/>
  <c r="B28" i="4"/>
  <c r="C28" i="4"/>
  <c r="D28" i="4"/>
  <c r="A29" i="4"/>
  <c r="B29" i="4"/>
  <c r="C29" i="4"/>
  <c r="D29" i="4"/>
  <c r="A30" i="4"/>
  <c r="B30" i="4"/>
  <c r="C30" i="4"/>
  <c r="D30" i="4"/>
  <c r="A31" i="4"/>
  <c r="B31" i="4"/>
  <c r="C31" i="4"/>
  <c r="D31" i="4"/>
  <c r="A32" i="4"/>
  <c r="B32" i="4"/>
  <c r="C32" i="4"/>
  <c r="D32" i="4"/>
  <c r="A33" i="4"/>
  <c r="B33" i="4"/>
  <c r="C33" i="4"/>
  <c r="D33" i="4"/>
  <c r="A34" i="4"/>
  <c r="B34" i="4"/>
  <c r="C34" i="4"/>
  <c r="D34" i="4"/>
  <c r="A35" i="4"/>
  <c r="B35" i="4"/>
  <c r="C35" i="4"/>
  <c r="D35" i="4"/>
  <c r="A36" i="4"/>
  <c r="B36" i="4"/>
  <c r="C36" i="4"/>
  <c r="D36" i="4"/>
  <c r="A37" i="4"/>
  <c r="B37" i="4"/>
  <c r="C37" i="4"/>
  <c r="D37" i="4"/>
  <c r="A38" i="4"/>
  <c r="B38" i="4"/>
  <c r="C38" i="4"/>
  <c r="D38" i="4"/>
  <c r="A39" i="4"/>
  <c r="B39" i="4"/>
  <c r="C39" i="4"/>
  <c r="D39" i="4"/>
  <c r="A40" i="4"/>
  <c r="B40" i="4"/>
  <c r="C40" i="4"/>
  <c r="D40" i="4"/>
  <c r="A41" i="4"/>
  <c r="B41" i="4"/>
  <c r="C41" i="4"/>
  <c r="D41" i="4"/>
  <c r="A42" i="4"/>
  <c r="B42" i="4"/>
  <c r="C42" i="4"/>
  <c r="D42" i="4"/>
  <c r="A43" i="4"/>
  <c r="B43" i="4"/>
  <c r="C43" i="4"/>
  <c r="D43" i="4"/>
  <c r="A44" i="4"/>
  <c r="B44" i="4"/>
  <c r="C44" i="4"/>
  <c r="D44" i="4"/>
  <c r="A45" i="4"/>
  <c r="B45" i="4"/>
  <c r="C45" i="4"/>
  <c r="D45" i="4"/>
  <c r="A46" i="4"/>
  <c r="B46" i="4"/>
  <c r="C46" i="4"/>
  <c r="D46" i="4"/>
  <c r="A47" i="4"/>
  <c r="B47" i="4"/>
  <c r="C47" i="4"/>
  <c r="D47" i="4"/>
  <c r="A48" i="4"/>
  <c r="B48" i="4"/>
  <c r="C48" i="4"/>
  <c r="D48" i="4"/>
  <c r="A49" i="4"/>
  <c r="B49" i="4"/>
  <c r="C49" i="4"/>
  <c r="D49" i="4"/>
  <c r="A50" i="4"/>
  <c r="B50" i="4"/>
  <c r="C50" i="4"/>
  <c r="D50" i="4"/>
  <c r="A51" i="4"/>
  <c r="B51" i="4"/>
  <c r="C51" i="4"/>
  <c r="D51" i="4"/>
  <c r="A52" i="4"/>
  <c r="B52" i="4"/>
  <c r="C52" i="4"/>
  <c r="D52" i="4"/>
  <c r="A53" i="4"/>
  <c r="B53" i="4"/>
  <c r="C53" i="4"/>
  <c r="D53" i="4"/>
  <c r="A54" i="4"/>
  <c r="B54" i="4"/>
  <c r="C54" i="4"/>
  <c r="D54" i="4"/>
  <c r="A55" i="4"/>
  <c r="B55" i="4"/>
  <c r="C55" i="4"/>
  <c r="D55" i="4"/>
  <c r="A56" i="4"/>
  <c r="B56" i="4"/>
  <c r="C56" i="4"/>
  <c r="D56" i="4"/>
  <c r="A57" i="4"/>
  <c r="B57" i="4"/>
  <c r="C57" i="4"/>
  <c r="D57" i="4"/>
  <c r="A58" i="4"/>
  <c r="B58" i="4"/>
  <c r="C58" i="4"/>
  <c r="D58" i="4"/>
  <c r="A59" i="4"/>
  <c r="B59" i="4"/>
  <c r="C59" i="4"/>
  <c r="D59" i="4"/>
  <c r="A60" i="4"/>
  <c r="B60" i="4"/>
  <c r="C60" i="4"/>
  <c r="D60" i="4"/>
  <c r="A61" i="4"/>
  <c r="B61" i="4"/>
  <c r="C61" i="4"/>
  <c r="D61" i="4"/>
  <c r="A62" i="4"/>
  <c r="B62" i="4"/>
  <c r="C62" i="4"/>
  <c r="D62" i="4"/>
  <c r="A63" i="4"/>
  <c r="B63" i="4"/>
  <c r="C63" i="4"/>
  <c r="D63" i="4"/>
  <c r="A64" i="4"/>
  <c r="B64" i="4"/>
  <c r="C64" i="4"/>
  <c r="D64" i="4"/>
  <c r="A65" i="4"/>
  <c r="B65" i="4"/>
  <c r="C65" i="4"/>
  <c r="D65" i="4"/>
  <c r="A66" i="4"/>
  <c r="B66" i="4"/>
  <c r="C66" i="4"/>
  <c r="D66" i="4"/>
  <c r="A67" i="4"/>
  <c r="B67" i="4"/>
  <c r="C67" i="4"/>
  <c r="D67" i="4"/>
  <c r="A68" i="4"/>
  <c r="B68" i="4"/>
  <c r="C68" i="4"/>
  <c r="D68" i="4"/>
  <c r="A69" i="4"/>
  <c r="B69" i="4"/>
  <c r="C69" i="4"/>
  <c r="D69" i="4"/>
  <c r="A70" i="4"/>
  <c r="B70" i="4"/>
  <c r="C70" i="4"/>
  <c r="D70" i="4"/>
  <c r="A71" i="4"/>
  <c r="B71" i="4"/>
  <c r="C71" i="4"/>
  <c r="D71" i="4"/>
  <c r="A72" i="4"/>
  <c r="B72" i="4"/>
  <c r="C72" i="4"/>
  <c r="D72" i="4"/>
  <c r="A73" i="4"/>
  <c r="B73" i="4"/>
  <c r="C73" i="4"/>
  <c r="D73" i="4"/>
  <c r="A74" i="4"/>
  <c r="B74" i="4"/>
  <c r="C74" i="4"/>
  <c r="D74" i="4"/>
  <c r="A75" i="4"/>
  <c r="B75" i="4"/>
  <c r="C75" i="4"/>
  <c r="D75" i="4"/>
  <c r="A76" i="4"/>
  <c r="B76" i="4"/>
  <c r="C76" i="4"/>
  <c r="D76" i="4"/>
  <c r="A77" i="4"/>
  <c r="B77" i="4"/>
  <c r="C77" i="4"/>
  <c r="D77" i="4"/>
  <c r="A78" i="4"/>
  <c r="B78" i="4"/>
  <c r="C78" i="4"/>
  <c r="D78" i="4"/>
  <c r="A79" i="4"/>
  <c r="B79" i="4"/>
  <c r="C79" i="4"/>
  <c r="D79" i="4"/>
  <c r="A80" i="4"/>
  <c r="B80" i="4"/>
  <c r="C80" i="4"/>
  <c r="D80" i="4"/>
  <c r="A81" i="4"/>
  <c r="B81" i="4"/>
  <c r="C81" i="4"/>
  <c r="D81" i="4"/>
  <c r="A82" i="4"/>
  <c r="B82" i="4"/>
  <c r="C82" i="4"/>
  <c r="D82" i="4"/>
  <c r="A83" i="4"/>
  <c r="B83" i="4"/>
  <c r="C83" i="4"/>
  <c r="D83" i="4"/>
  <c r="A84" i="4"/>
  <c r="B84" i="4"/>
  <c r="C84" i="4"/>
  <c r="D84" i="4"/>
  <c r="A85" i="4"/>
  <c r="B85" i="4"/>
  <c r="C85" i="4"/>
  <c r="D85" i="4"/>
  <c r="A86" i="4"/>
  <c r="B86" i="4"/>
  <c r="C86" i="4"/>
  <c r="D86" i="4"/>
  <c r="A87" i="4"/>
  <c r="B87" i="4"/>
  <c r="C87" i="4"/>
  <c r="D87" i="4"/>
  <c r="A88" i="4"/>
  <c r="B88" i="4"/>
  <c r="C88" i="4"/>
  <c r="D88" i="4"/>
  <c r="A89" i="4"/>
  <c r="B89" i="4"/>
  <c r="C89" i="4"/>
  <c r="D89" i="4"/>
  <c r="A90" i="4"/>
  <c r="B90" i="4"/>
  <c r="C90" i="4"/>
  <c r="D90" i="4"/>
  <c r="A91" i="4"/>
  <c r="B91" i="4"/>
  <c r="C91" i="4"/>
  <c r="D91" i="4"/>
  <c r="A92" i="4"/>
  <c r="B92" i="4"/>
  <c r="C92" i="4"/>
  <c r="D92" i="4"/>
  <c r="A93" i="4"/>
  <c r="B93" i="4"/>
  <c r="C93" i="4"/>
  <c r="D93" i="4"/>
  <c r="A94" i="4"/>
  <c r="B94" i="4"/>
  <c r="C94" i="4"/>
  <c r="D94" i="4"/>
  <c r="A95" i="4"/>
  <c r="B95" i="4"/>
  <c r="C95" i="4"/>
  <c r="D95" i="4"/>
  <c r="A96" i="4"/>
  <c r="B96" i="4"/>
  <c r="C96" i="4"/>
  <c r="D96" i="4"/>
  <c r="A97" i="4"/>
  <c r="B97" i="4"/>
  <c r="C97" i="4"/>
  <c r="D97" i="4"/>
  <c r="A98" i="4"/>
  <c r="B98" i="4"/>
  <c r="C98" i="4"/>
  <c r="D98" i="4"/>
  <c r="A99" i="4"/>
  <c r="B99" i="4"/>
  <c r="C99" i="4"/>
  <c r="D99" i="4"/>
  <c r="A100" i="4"/>
  <c r="B100" i="4"/>
  <c r="C100" i="4"/>
  <c r="D100" i="4"/>
  <c r="A101" i="4"/>
  <c r="B101" i="4"/>
  <c r="C101" i="4"/>
  <c r="D101" i="4"/>
  <c r="A102" i="4"/>
  <c r="B102" i="4"/>
  <c r="C102" i="4"/>
  <c r="D102" i="4"/>
  <c r="A103" i="4"/>
  <c r="B103" i="4"/>
  <c r="C103" i="4"/>
  <c r="D103" i="4"/>
  <c r="A104" i="4"/>
  <c r="B104" i="4"/>
  <c r="C104" i="4"/>
  <c r="D104" i="4"/>
  <c r="A105" i="4"/>
  <c r="B105" i="4"/>
  <c r="C105" i="4"/>
  <c r="D105" i="4"/>
  <c r="A106" i="4"/>
  <c r="B106" i="4"/>
  <c r="C106" i="4"/>
  <c r="D106" i="4"/>
  <c r="A107" i="4"/>
  <c r="B107" i="4"/>
  <c r="C107" i="4"/>
  <c r="D107" i="4"/>
  <c r="A108" i="4"/>
  <c r="B108" i="4"/>
  <c r="C108" i="4"/>
  <c r="D108" i="4"/>
  <c r="A109" i="4"/>
  <c r="B109" i="4"/>
  <c r="C109" i="4"/>
  <c r="D109" i="4"/>
  <c r="A110" i="4"/>
  <c r="B110" i="4"/>
  <c r="C110" i="4"/>
  <c r="D110" i="4"/>
  <c r="A111" i="4"/>
  <c r="B111" i="4"/>
  <c r="C111" i="4"/>
  <c r="D111" i="4"/>
  <c r="A112" i="4"/>
  <c r="B112" i="4"/>
  <c r="C112" i="4"/>
  <c r="D112" i="4"/>
  <c r="A113" i="4"/>
  <c r="B113" i="4"/>
  <c r="C113" i="4"/>
  <c r="D113" i="4"/>
  <c r="A114" i="4"/>
  <c r="B114" i="4"/>
  <c r="C114" i="4"/>
  <c r="D114" i="4"/>
  <c r="A115" i="4"/>
  <c r="B115" i="4"/>
  <c r="C115" i="4"/>
  <c r="D115" i="4"/>
  <c r="A116" i="4"/>
  <c r="B116" i="4"/>
  <c r="C116" i="4"/>
  <c r="D116" i="4"/>
  <c r="A117" i="4"/>
  <c r="B117" i="4"/>
  <c r="C117" i="4"/>
  <c r="D117" i="4"/>
  <c r="A118" i="4"/>
  <c r="B118" i="4"/>
  <c r="C118" i="4"/>
  <c r="D118" i="4"/>
  <c r="A119" i="4"/>
  <c r="B119" i="4"/>
  <c r="C119" i="4"/>
  <c r="D119" i="4"/>
  <c r="A120" i="4"/>
  <c r="B120" i="4"/>
  <c r="C120" i="4"/>
  <c r="D120" i="4"/>
  <c r="A121" i="4"/>
  <c r="B121" i="4"/>
  <c r="C121" i="4"/>
  <c r="D121" i="4"/>
  <c r="A122" i="4"/>
  <c r="B122" i="4"/>
  <c r="C122" i="4"/>
  <c r="D122" i="4"/>
  <c r="A123" i="4"/>
  <c r="B123" i="4"/>
  <c r="C123" i="4"/>
  <c r="D123" i="4"/>
  <c r="A124" i="4"/>
  <c r="B124" i="4"/>
  <c r="C124" i="4"/>
  <c r="D124" i="4"/>
  <c r="A125" i="4"/>
  <c r="B125" i="4"/>
  <c r="C125" i="4"/>
  <c r="D125" i="4"/>
  <c r="A126" i="4"/>
  <c r="B126" i="4"/>
  <c r="C126" i="4"/>
  <c r="D126" i="4"/>
  <c r="A127" i="4"/>
  <c r="B127" i="4"/>
  <c r="C127" i="4"/>
  <c r="D127" i="4"/>
  <c r="A128" i="4"/>
  <c r="B128" i="4"/>
  <c r="C128" i="4"/>
  <c r="D128" i="4"/>
  <c r="A129" i="4"/>
  <c r="B129" i="4"/>
  <c r="C129" i="4"/>
  <c r="D129" i="4"/>
  <c r="A130" i="4"/>
  <c r="B130" i="4"/>
  <c r="C130" i="4"/>
  <c r="D130" i="4"/>
  <c r="A131" i="4"/>
  <c r="B131" i="4"/>
  <c r="C131" i="4"/>
  <c r="D131" i="4"/>
  <c r="A132" i="4"/>
  <c r="B132" i="4"/>
  <c r="C132" i="4"/>
  <c r="D132" i="4"/>
  <c r="A133" i="4"/>
  <c r="B133" i="4"/>
  <c r="C133" i="4"/>
  <c r="D133" i="4"/>
  <c r="A134" i="4"/>
  <c r="B134" i="4"/>
  <c r="C134" i="4"/>
  <c r="D134" i="4"/>
  <c r="A135" i="4"/>
  <c r="B135" i="4"/>
  <c r="C135" i="4"/>
  <c r="D135" i="4"/>
  <c r="A136" i="4"/>
  <c r="B136" i="4"/>
  <c r="C136" i="4"/>
  <c r="D136" i="4"/>
  <c r="A137" i="4"/>
  <c r="B137" i="4"/>
  <c r="C137" i="4"/>
  <c r="D137" i="4"/>
  <c r="A138" i="4"/>
  <c r="B138" i="4"/>
  <c r="C138" i="4"/>
  <c r="D138" i="4"/>
  <c r="A139" i="4"/>
  <c r="B139" i="4"/>
  <c r="C139" i="4"/>
  <c r="D139" i="4"/>
  <c r="A140" i="4"/>
  <c r="B140" i="4"/>
  <c r="C140" i="4"/>
  <c r="D140" i="4"/>
  <c r="A141" i="4"/>
  <c r="B141" i="4"/>
  <c r="C141" i="4"/>
  <c r="D141" i="4"/>
  <c r="A142" i="4"/>
  <c r="B142" i="4"/>
  <c r="C142" i="4"/>
  <c r="D142" i="4"/>
  <c r="A143" i="4"/>
  <c r="B143" i="4"/>
  <c r="C143" i="4"/>
  <c r="D143" i="4"/>
  <c r="A144" i="4"/>
  <c r="B144" i="4"/>
  <c r="C144" i="4"/>
  <c r="D144" i="4"/>
  <c r="A145" i="4"/>
  <c r="B145" i="4"/>
  <c r="C145" i="4"/>
  <c r="D145" i="4"/>
  <c r="A146" i="4"/>
  <c r="B146" i="4"/>
  <c r="C146" i="4"/>
  <c r="D146" i="4"/>
  <c r="A147" i="4"/>
  <c r="B147" i="4"/>
  <c r="C147" i="4"/>
  <c r="D147" i="4"/>
  <c r="A148" i="4"/>
  <c r="B148" i="4"/>
  <c r="C148" i="4"/>
  <c r="D148" i="4"/>
  <c r="A149" i="4"/>
  <c r="B149" i="4"/>
  <c r="C149" i="4"/>
  <c r="D149" i="4"/>
  <c r="A150" i="4"/>
  <c r="B150" i="4"/>
  <c r="C150" i="4"/>
  <c r="D150" i="4"/>
  <c r="A151" i="4"/>
  <c r="B151" i="4"/>
  <c r="C151" i="4"/>
  <c r="D151" i="4"/>
  <c r="A152" i="4"/>
  <c r="B152" i="4"/>
  <c r="C152" i="4"/>
  <c r="D152" i="4"/>
  <c r="A153" i="4"/>
  <c r="B153" i="4"/>
  <c r="C153" i="4"/>
  <c r="D153" i="4"/>
  <c r="A154" i="4"/>
  <c r="B154" i="4"/>
  <c r="C154" i="4"/>
  <c r="D154" i="4"/>
  <c r="A155" i="4"/>
  <c r="B155" i="4"/>
  <c r="C155" i="4"/>
  <c r="D155" i="4"/>
  <c r="A156" i="4"/>
  <c r="B156" i="4"/>
  <c r="C156" i="4"/>
  <c r="D156" i="4"/>
  <c r="A157" i="4"/>
  <c r="B157" i="4"/>
  <c r="C157" i="4"/>
  <c r="D157" i="4"/>
  <c r="A158" i="4"/>
  <c r="B158" i="4"/>
  <c r="C158" i="4"/>
  <c r="D158" i="4"/>
  <c r="A159" i="4"/>
  <c r="B159" i="4"/>
  <c r="C159" i="4"/>
  <c r="D159" i="4"/>
  <c r="A160" i="4"/>
  <c r="B160" i="4"/>
  <c r="C160" i="4"/>
  <c r="D160" i="4"/>
  <c r="A161" i="4"/>
  <c r="B161" i="4"/>
  <c r="C161" i="4"/>
  <c r="D161" i="4"/>
  <c r="A162" i="4"/>
  <c r="B162" i="4"/>
  <c r="C162" i="4"/>
  <c r="D162" i="4"/>
  <c r="A163" i="4"/>
  <c r="B163" i="4"/>
  <c r="C163" i="4"/>
  <c r="D163" i="4"/>
  <c r="A164" i="4"/>
  <c r="B164" i="4"/>
  <c r="C164" i="4"/>
  <c r="D164" i="4"/>
  <c r="A165" i="4"/>
  <c r="B165" i="4"/>
  <c r="C165" i="4"/>
  <c r="D165" i="4"/>
  <c r="A166" i="4"/>
  <c r="B166" i="4"/>
  <c r="C166" i="4"/>
  <c r="D166" i="4"/>
  <c r="A167" i="4"/>
  <c r="B167" i="4"/>
  <c r="C167" i="4"/>
  <c r="D167" i="4"/>
  <c r="A168" i="4"/>
  <c r="B168" i="4"/>
  <c r="C168" i="4"/>
  <c r="D168" i="4"/>
  <c r="A169" i="4"/>
  <c r="B169" i="4"/>
  <c r="C169" i="4"/>
  <c r="D169" i="4"/>
  <c r="A170" i="4"/>
  <c r="B170" i="4"/>
  <c r="C170" i="4"/>
  <c r="D170" i="4"/>
  <c r="A171" i="4"/>
  <c r="B171" i="4"/>
  <c r="C171" i="4"/>
  <c r="D171" i="4"/>
  <c r="A172" i="4"/>
  <c r="B172" i="4"/>
  <c r="C172" i="4"/>
  <c r="D172" i="4"/>
  <c r="A173" i="4"/>
  <c r="B173" i="4"/>
  <c r="C173" i="4"/>
  <c r="D173" i="4"/>
  <c r="A174" i="4"/>
  <c r="B174" i="4"/>
  <c r="C174" i="4"/>
  <c r="D174" i="4"/>
  <c r="A175" i="4"/>
  <c r="B175" i="4"/>
  <c r="C175" i="4"/>
  <c r="D175" i="4"/>
  <c r="A176" i="4"/>
  <c r="B176" i="4"/>
  <c r="C176" i="4"/>
  <c r="D176" i="4"/>
  <c r="A177" i="4"/>
  <c r="B177" i="4"/>
  <c r="C177" i="4"/>
  <c r="D177" i="4"/>
  <c r="A178" i="4"/>
  <c r="B178" i="4"/>
  <c r="C178" i="4"/>
  <c r="D178" i="4"/>
  <c r="A179" i="4"/>
  <c r="B179" i="4"/>
  <c r="C179" i="4"/>
  <c r="D179" i="4"/>
  <c r="A180" i="4"/>
  <c r="B180" i="4"/>
  <c r="C180" i="4"/>
  <c r="D180" i="4"/>
  <c r="A181" i="4"/>
  <c r="B181" i="4"/>
  <c r="C181" i="4"/>
  <c r="D181" i="4"/>
  <c r="A182" i="4"/>
  <c r="B182" i="4"/>
  <c r="C182" i="4"/>
  <c r="D182" i="4"/>
  <c r="A183" i="4"/>
  <c r="B183" i="4"/>
  <c r="C183" i="4"/>
  <c r="D183" i="4"/>
  <c r="B68" i="2"/>
  <c r="B69" i="2"/>
  <c r="B70" i="2"/>
  <c r="B71" i="2"/>
  <c r="B72" i="2"/>
  <c r="B67" i="2"/>
  <c r="B73" i="2" s="1"/>
  <c r="C62" i="2"/>
  <c r="B62" i="2"/>
  <c r="B57" i="2"/>
  <c r="C57" i="2" s="1"/>
  <c r="B58" i="2"/>
  <c r="C58" i="2" s="1"/>
  <c r="B59" i="2"/>
  <c r="C59" i="2" s="1"/>
  <c r="B60" i="2"/>
  <c r="C60" i="2" s="1"/>
  <c r="B61" i="2"/>
  <c r="C61" i="2" s="1"/>
  <c r="K18" i="7" l="1"/>
  <c r="N18" i="7" s="1"/>
  <c r="L18" i="7"/>
  <c r="B13" i="2"/>
  <c r="H13" i="2" s="1"/>
  <c r="B43" i="7"/>
  <c r="S25" i="8"/>
  <c r="S26" i="8" s="1"/>
  <c r="U26" i="8" s="1"/>
  <c r="F13" i="2"/>
  <c r="G13" i="2"/>
  <c r="E13" i="2"/>
  <c r="D13" i="2"/>
  <c r="C13" i="2"/>
  <c r="E62" i="2"/>
  <c r="G33" i="7"/>
  <c r="F33" i="7"/>
  <c r="E33" i="7"/>
  <c r="D33" i="7"/>
  <c r="C33" i="7"/>
  <c r="B33" i="7"/>
  <c r="E73" i="2"/>
  <c r="C70" i="2"/>
  <c r="C71" i="2"/>
  <c r="C68" i="2"/>
  <c r="C69" i="2"/>
  <c r="C72" i="2"/>
  <c r="C73" i="2"/>
  <c r="C67" i="2"/>
  <c r="D60" i="10"/>
</calcChain>
</file>

<file path=xl/sharedStrings.xml><?xml version="1.0" encoding="utf-8"?>
<sst xmlns="http://schemas.openxmlformats.org/spreadsheetml/2006/main" count="8591" uniqueCount="3813">
  <si>
    <t>認証基盤 要件定義・基本設計 進捗一覧</t>
  </si>
  <si>
    <t>出典リポジトリ</t>
  </si>
  <si>
    <t>github.com/suepie/aws-atuh-poc  doc/requirements + doc/basic-design</t>
  </si>
  <si>
    <t>コミットSHA</t>
  </si>
  <si>
    <t>位置づけ</t>
  </si>
  <si>
    <t>本表はGitドキュメントからの派生ビュー（読み取り専用スナップショット）。SSOTはGit側。判断・更新はGitで行い、本表は俯瞰用。</t>
  </si>
  <si>
    <t>区分</t>
  </si>
  <si>
    <t>総数</t>
  </si>
  <si>
    <t>確定</t>
  </si>
  <si>
    <t>検討中</t>
  </si>
  <si>
    <t>未着手</t>
  </si>
  <si>
    <t>機能要件</t>
  </si>
  <si>
    <t>非機能要件</t>
  </si>
  <si>
    <t>合計</t>
  </si>
  <si>
    <t>大項目</t>
  </si>
  <si>
    <t>小項目</t>
  </si>
  <si>
    <t>ID</t>
  </si>
  <si>
    <t>概要</t>
  </si>
  <si>
    <t>決定内容・残論点</t>
  </si>
  <si>
    <t>出典</t>
  </si>
  <si>
    <t>FR-AUTH 認証フロー/Grant Type</t>
  </si>
  <si>
    <t>FR-AUTH-001</t>
  </si>
  <si>
    <t>Must｜Cognito=Hosted UI / Keycloak=Realm Login Page。PoC検証済</t>
  </si>
  <si>
    <t>requirements/functional-requirements.md §1.1</t>
  </si>
  <si>
    <t>FR-AUTH-002</t>
  </si>
  <si>
    <t>Must｜両者Public Client対応。PoC Phase 1,4,5,6,7で検証済</t>
  </si>
  <si>
    <t>FR-AUTH-003</t>
  </si>
  <si>
    <t>Must｜両者Confidential Client対応。PoC未検証のため承認要</t>
  </si>
  <si>
    <t>FR-AUTH-004</t>
  </si>
  <si>
    <t>Must｜Cognito=Resource Server+custom scope必要 / Keycloak=Service Account。PoC未検証</t>
  </si>
  <si>
    <t>FR-AUTH-005</t>
  </si>
  <si>
    <t>TBD｜Cognito非対応 / Keycloakネイティブ。★Keycloak必須要因。ヒアリング優先度2</t>
  </si>
  <si>
    <t>FR-AUTH-006</t>
  </si>
  <si>
    <t>Device Code Flow</t>
  </si>
  <si>
    <t>FR-AUTH-007</t>
  </si>
  <si>
    <t>mTLS Client Authentication（RFC 8705）</t>
  </si>
  <si>
    <t>Could｜Cognito非対応 / Keycloak FAPI Profile。★Keycloak必須要因</t>
  </si>
  <si>
    <t>FR-AUTH-008</t>
  </si>
  <si>
    <t>ROPC（Password Grant）</t>
  </si>
  <si>
    <t>Won't｜不採用で決定。両者対応だが非推奨</t>
  </si>
  <si>
    <t>FR-AUTH パスワード・ローカルユーザー管理</t>
  </si>
  <si>
    <t>FR-AUTH-009</t>
  </si>
  <si>
    <t>パスワードポリシー（最小長・複雑性）</t>
  </si>
  <si>
    <t>Must｜Cognito明示設定済（min 8+大小数字必須）/ Keycloak Realm Policy</t>
  </si>
  <si>
    <t>requirements/functional-requirements.md §1.2</t>
  </si>
  <si>
    <t>FR-AUTH-010</t>
  </si>
  <si>
    <t>パスワード履歴（N個と一致禁止）</t>
  </si>
  <si>
    <t>Should｜Cognito=Essentials+ティア必要（PasswordHistorySize 0〜24、Terraform未対応 #39016）/ Keycloak対応。Cognitoティア選定に影響</t>
  </si>
  <si>
    <t>FR-AUTH-011</t>
  </si>
  <si>
    <t>アカウントロック（連続失敗）</t>
  </si>
  <si>
    <t>Must｜Cognito=全ティア標準保護（パラメータ調整不可）、詳細設定はPlusティア(+$0.02/MAU) / Keycloak=failureFactor等細制御可。PoC Phase 7検証済</t>
  </si>
  <si>
    <t>FR-AUTH-012</t>
  </si>
  <si>
    <t>パスワード有効期限</t>
  </si>
  <si>
    <t>Should｜両者設定可。PoC未検証</t>
  </si>
  <si>
    <t>FR-AUTH-013</t>
  </si>
  <si>
    <t>セルフサービスパスワードリセット</t>
  </si>
  <si>
    <t>Must｜両者Forgot Password対応。PoC未検証</t>
  </si>
  <si>
    <t>FR-AUTH-014</t>
  </si>
  <si>
    <t>初期パスワード強制変更</t>
  </si>
  <si>
    <t>Should｜両者Required Action対応。PoC未検証</t>
  </si>
  <si>
    <t>FR-FED IdP接続種別</t>
  </si>
  <si>
    <t>FR-FED-001</t>
  </si>
  <si>
    <t>Auth0 OIDC IdP連携</t>
  </si>
  <si>
    <t>優先度—｜両者対応。PoC Phase 2,7検証済</t>
  </si>
  <si>
    <t>requirements/functional-requirements.md §2.1</t>
  </si>
  <si>
    <t>FR-FED-002</t>
  </si>
  <si>
    <t>Entra ID（Azure AD）OIDC連携</t>
  </si>
  <si>
    <t>Must｜両者対応だがPoCはAuth0で代替。★ヒアリング最優先(優先度1)：実接続検証が未了</t>
  </si>
  <si>
    <t>FR-FED-003</t>
  </si>
  <si>
    <t>Okta OIDC連携</t>
  </si>
  <si>
    <t>Should｜両者対応。未検証・要ヒアリング</t>
  </si>
  <si>
    <t>FR-FED-004</t>
  </si>
  <si>
    <t>Google Workspace OIDC連携</t>
  </si>
  <si>
    <t>Could｜両者対応。未検証・要ヒアリング</t>
  </si>
  <si>
    <t>FR-FED-005</t>
  </si>
  <si>
    <t>SAML 2.0 IdPとして受け入れ（SPモード）</t>
  </si>
  <si>
    <t>FR-FED-006</t>
  </si>
  <si>
    <t>SAML 2.0 IdPとして発行（IdPモード）</t>
  </si>
  <si>
    <t>TBD｜Cognito非対応 / Keycloak対応。★Keycloak必須要因。ヒアリング優先度2</t>
  </si>
  <si>
    <t>FR-FED-007</t>
  </si>
  <si>
    <t>LDAP / AD 直接連携</t>
  </si>
  <si>
    <t>TBD｜Cognito非対応 / Keycloak User Federation。★Keycloak必須要因。ヒアリング優先度2</t>
  </si>
  <si>
    <t>FR-FED-014</t>
  </si>
  <si>
    <t>Custom Domainでのfederation</t>
  </si>
  <si>
    <t>Should｜Cognito=Hosted UI Custom Domain / Keycloak=Hostname設定。PoC未検証</t>
  </si>
  <si>
    <t>FR-FED フェデレーションユーザー処理</t>
  </si>
  <si>
    <t>FR-FED-008</t>
  </si>
  <si>
    <t>JITプロビジョニング</t>
  </si>
  <si>
    <t>Must｜Cognito=自動 / Keycloak=First Login Flow。PoC Phase 2検証済</t>
  </si>
  <si>
    <t>requirements/functional-requirements.md §2.2</t>
  </si>
  <si>
    <t>FR-FED-009</t>
  </si>
  <si>
    <t>属性マッピング / クレーム変換</t>
  </si>
  <si>
    <t>Must｜Cognito=attribute_mapping / Keycloak=IdP Mapper。PoC Phase 8検証済</t>
  </si>
  <si>
    <t>FR-FED-012</t>
  </si>
  <si>
    <t>フェデレーション時のMFA重複回避</t>
  </si>
  <si>
    <t>FR-FED マルチテナント運用</t>
  </si>
  <si>
    <t>FR-FED-010</t>
  </si>
  <si>
    <t>複数IdP並行運用（マルチテナント）</t>
  </si>
  <si>
    <t>Must｜Cognito=User Poolに複数登録 / Keycloak=Realmに複数登録。PoC Phase 4,5検証済</t>
  </si>
  <si>
    <t>requirements/functional-requirements.md §2.3</t>
  </si>
  <si>
    <t>FR-FED-011</t>
  </si>
  <si>
    <t>顧客追加時のオンボーディングフロー</t>
  </si>
  <si>
    <t>Must｜両者設計可（手動/IaC）。PoCは概念設計のみ</t>
  </si>
  <si>
    <t>FR-FED-013</t>
  </si>
  <si>
    <t>ログイン画面でIdP選択UX</t>
  </si>
  <si>
    <t>Should｜Cognito=identity_providerパラメータ必須 / Keycloak=ボタン自動表示。PoC Phase 7検証済</t>
  </si>
  <si>
    <t>FR-MFA MFA要素</t>
  </si>
  <si>
    <t>FR-MFA-001</t>
  </si>
  <si>
    <t>TOTP（Google Authenticator等）</t>
  </si>
  <si>
    <t>Must｜両者対応。PoC Phase 1,7検証済</t>
  </si>
  <si>
    <t>requirements/functional-requirements.md §3.1</t>
  </si>
  <si>
    <t>FR-MFA-002</t>
  </si>
  <si>
    <t>WebAuthn / FIDO2（Passkeys）</t>
  </si>
  <si>
    <t>Should｜両者対応（Cognitoは2024-11〜Essentials+、フェデ利用なら追加コストなし）。PoC未検証。ヒアリング優先度5</t>
  </si>
  <si>
    <t>FR-MFA-003</t>
  </si>
  <si>
    <t>SMS OTP</t>
  </si>
  <si>
    <t>Could｜Cognito=対応（追加課金）/ Keycloak=プラグイン。未検証</t>
  </si>
  <si>
    <t>FR-MFA-004</t>
  </si>
  <si>
    <t>メールOTP</t>
  </si>
  <si>
    <t>Could｜両者対応。未検証</t>
  </si>
  <si>
    <t>FR-MFA-005</t>
  </si>
  <si>
    <t>バックアップコード</t>
  </si>
  <si>
    <t>Should｜Cognito非対応 / Keycloak対応。未検証</t>
  </si>
  <si>
    <t>FR-MFA MFA適用ポリシー</t>
  </si>
  <si>
    <t>FR-MFA-006</t>
  </si>
  <si>
    <t>条件付きMFA（IP / リスクベース）</t>
  </si>
  <si>
    <t>Should｜Cognito=Plusティア(+$0.02/MAU)必要 / Keycloak=Conditional Flow。PoC Phase 7（Keycloak）</t>
  </si>
  <si>
    <t>requirements/functional-requirements.md §3.2</t>
  </si>
  <si>
    <t>FR-MFA-007</t>
  </si>
  <si>
    <t>MFA強制 / 任意の切替（ロール単位）</t>
  </si>
  <si>
    <t>Must｜Cognito=User単位のみ / Keycloak=Flow単位制御可。PoC Phase 7検証済</t>
  </si>
  <si>
    <t>FR-MFA-008</t>
  </si>
  <si>
    <t>端末記憶（Trusted Device）</t>
  </si>
  <si>
    <t>Could｜Cognito=Remember Device / Keycloak=設定要。未検証</t>
  </si>
  <si>
    <t>FR-MFA-009</t>
  </si>
  <si>
    <t>管理者のMFA強制</t>
  </si>
  <si>
    <t>Must｜両者対応。PoC未検証</t>
  </si>
  <si>
    <t>FR-SSO SSO</t>
  </si>
  <si>
    <t>FR-SSO-001</t>
  </si>
  <si>
    <t>同一IdP内の複数Client間SSO</t>
  </si>
  <si>
    <t>Must｜Cognito=User Pool内 / Keycloak=Realm内。PoC Phase 1,7検証済</t>
  </si>
  <si>
    <t>requirements/functional-requirements.md §4.1</t>
  </si>
  <si>
    <t>FR-SSO-002</t>
  </si>
  <si>
    <t>Auth0/Entra経由のクロスIdP SSO</t>
  </si>
  <si>
    <t>Must｜両者対応。PoC Phase 2,7検証済</t>
  </si>
  <si>
    <t>FR-SSO ログアウト</t>
  </si>
  <si>
    <t>FR-SSO-003</t>
  </si>
  <si>
    <t>ローカルログアウト（アプリCookie削除のみ）</t>
  </si>
  <si>
    <t>Must｜両者対応。PoC検証済</t>
  </si>
  <si>
    <t>requirements/functional-requirements.md §4.2</t>
  </si>
  <si>
    <t>FR-SSO-004</t>
  </si>
  <si>
    <t>IdPセッション破棄（OIDC RP-Initiated Logout）</t>
  </si>
  <si>
    <t>FR-SSO-005</t>
  </si>
  <si>
    <t>フェデレーションIdPセッション破棄（連動ログアウト）</t>
  </si>
  <si>
    <t>Should｜Cognito=URLエンコード制約あり / Keycloak=対応。PoC Phase 2,5検証済</t>
  </si>
  <si>
    <t>FR-SSO-006</t>
  </si>
  <si>
    <t>Front-Channel Logout</t>
  </si>
  <si>
    <t>Should｜両者対応。PoC未検証</t>
  </si>
  <si>
    <t>FR-SSO-007</t>
  </si>
  <si>
    <t>Back-Channel Logout（RFC 8606）</t>
  </si>
  <si>
    <t>Should｜Cognito非対応 / Keycloakネイティブ。★Keycloak必須要因。PoC Phase 7（Keycloak）</t>
  </si>
  <si>
    <t>FR-SSO セッション管理</t>
  </si>
  <si>
    <t>FR-SSO-008</t>
  </si>
  <si>
    <t>セッションタイムアウト設定</t>
  </si>
  <si>
    <t>Must｜両者対応。PoCはデフォルトのみ</t>
  </si>
  <si>
    <t>requirements/functional-requirements.md §4.3</t>
  </si>
  <si>
    <t>FR-SSO-009</t>
  </si>
  <si>
    <t>アクセストークン強制無効化（Revocation）</t>
  </si>
  <si>
    <t>Should｜Cognito=Refresh Tokenのみrevoke可 / Keycloak=Token Revocation。未検証</t>
  </si>
  <si>
    <t>FR-SSO-010</t>
  </si>
  <si>
    <t>強制全セッション破棄（管理者操作）</t>
  </si>
  <si>
    <t>Must｜Cognito=AdminUserGlobalSignOut / Keycloak=Admin Console。PoC未検証</t>
  </si>
  <si>
    <t>FR-AUTHZ クレームベース基本認可</t>
  </si>
  <si>
    <t>FR-AUTHZ-001</t>
  </si>
  <si>
    <t>JWTクレームベース認可</t>
  </si>
  <si>
    <t>Must｜両者対応。PoC Phase 3,8,9検証済</t>
  </si>
  <si>
    <t>requirements/functional-requirements.md §5.1</t>
  </si>
  <si>
    <t>FR-AUTHZ-002</t>
  </si>
  <si>
    <t>tenant_idによるテナント分離</t>
  </si>
  <si>
    <t>Must｜Cognito=Pre Token Lambda / Keycloak=Protocol Mapper。PoC Phase 8/9検証済（DR CognitoはPre Token Lambda未設定）</t>
  </si>
  <si>
    <t>FR-AUTHZ-003</t>
  </si>
  <si>
    <t>rolesクレームによるロール認可</t>
  </si>
  <si>
    <t>Must｜Cognito=Pre Token Lambda / Keycloak=Protocol Mapper（Realm Role）。PoC Phase 8/9検証済</t>
  </si>
  <si>
    <t>FR-AUTHZ-004</t>
  </si>
  <si>
    <t>ロール階層（継承）</t>
  </si>
  <si>
    <t>Should｜Cognito=アプリ側実装 / Keycloak=Composite Role。PoC Phase 8（アプリ側）</t>
  </si>
  <si>
    <t>FR-AUTHZ-005</t>
  </si>
  <si>
    <t>scopeベース認可（M2M）</t>
  </si>
  <si>
    <t>Must｜Cognito=Resource Server scope / Keycloak=Client Scope。PoC未検証</t>
  </si>
  <si>
    <t>FR-AUTHZ-006</t>
  </si>
  <si>
    <t>カスタムクレーム注入（任意属性）</t>
  </si>
  <si>
    <t>Must｜Cognito=Pre Token Generation Lambda V2 / Keycloak=Protocol Mapper（宣言的）。PoC Phase 8/9検証済</t>
  </si>
  <si>
    <t>FR-AUTHZ-007</t>
  </si>
  <si>
    <t>API Gateway認可統合（Lambda Authorizer）</t>
  </si>
  <si>
    <t>Must｜両者対応。PoC Phase 3 / VPC版Phase 9検証済</t>
  </si>
  <si>
    <t>FR-AUTHZ-008</t>
  </si>
  <si>
    <t>マルチイシュア対応（複数User Pool / Realm）</t>
  </si>
  <si>
    <t>Must｜両者対応。PoC Phase 4,5,9で4イシュア（central/local/dr/keycloak）検証済</t>
  </si>
  <si>
    <t>FR-AUTHZ 細粒度認可</t>
  </si>
  <si>
    <t>FR-AUTHZ-009</t>
  </si>
  <si>
    <t>リソースレベル認可（UMA 2.0 / Fine-grained）</t>
  </si>
  <si>
    <t>Could｜Cognito非対応 / Keycloak=Authorization Services。★Keycloak必須要因。ヒアリング優先度4</t>
  </si>
  <si>
    <t>requirements/functional-requirements.md §5.2</t>
  </si>
  <si>
    <t>FR-AUTHZ-010</t>
  </si>
  <si>
    <t>動的属性ベース認可（ABAC）</t>
  </si>
  <si>
    <t>Could｜Cognito=Lambda側実装 / Keycloak=Policy Enforcer。ヒアリング優先度4</t>
  </si>
  <si>
    <t>FR-USER ユーザーCRUD</t>
  </si>
  <si>
    <t>FR-USER-001</t>
  </si>
  <si>
    <t>ユーザー作成 / 更新 / 削除（CRUD）</t>
  </si>
  <si>
    <t>Must｜Cognito=Admin API / Keycloak=Admin REST API。PoC検証済</t>
  </si>
  <si>
    <t>requirements/functional-requirements.md §6.1</t>
  </si>
  <si>
    <t>FR-USER-005</t>
  </si>
  <si>
    <t>ユーザー検索・一覧</t>
  </si>
  <si>
    <t>Must｜Cognito=ListUsers API / Keycloak=Search API。PoC検証済</t>
  </si>
  <si>
    <t>FR-USER-006</t>
  </si>
  <si>
    <t>ユーザー有効化 / 無効化（suspend）</t>
  </si>
  <si>
    <t>Must｜Cognito=AdminDisableUser / Keycloak=Enable/Disable。PoC検証済</t>
  </si>
  <si>
    <t>FR-USER-011</t>
  </si>
  <si>
    <t>ユーザー削除時の関連データ削除（GDPR等）</t>
  </si>
  <si>
    <t>FR-USER 属性・ロール</t>
  </si>
  <si>
    <t>FR-USER-002</t>
  </si>
  <si>
    <t>カスタム属性（任意フィールド）</t>
  </si>
  <si>
    <t>Must｜Cognito=Custom Attributes / Keycloak=User Attributes（無制限）。PoC Phase 8検証済</t>
  </si>
  <si>
    <t>requirements/functional-requirements.md §6.2</t>
  </si>
  <si>
    <t>FR-USER-007</t>
  </si>
  <si>
    <t>ユーザーグループ管理</t>
  </si>
  <si>
    <t>Should｜Cognito Groups / Keycloak Realm Groups。PoCは概念のみ</t>
  </si>
  <si>
    <t>FR-USER-008</t>
  </si>
  <si>
    <t>ロール割り当て</t>
  </si>
  <si>
    <t>Must｜Cognito=Custom Attribute or Group / Keycloak=Realm Role Assignment。PoC Phase 8検証済</t>
  </si>
  <si>
    <t>FR-USER セルフサービス</t>
  </si>
  <si>
    <t>FR-USER-004</t>
  </si>
  <si>
    <t>セルフサービスプロフィール編集</t>
  </si>
  <si>
    <t>Must｜Cognito=アプリ側実装 / Keycloak=アカウント設定画面。PoC未検証</t>
  </si>
  <si>
    <t>requirements/functional-requirements.md §6.3</t>
  </si>
  <si>
    <t>FR-USER-012</t>
  </si>
  <si>
    <t>ユーザー作成時の招待メール</t>
  </si>
  <si>
    <t>Should｜Cognito=AdminCreateUser invitation / Keycloak=Email Verification。PoCはデフォルト</t>
  </si>
  <si>
    <t>FR-USER プロビジョニング</t>
  </si>
  <si>
    <t>FR-USER-003</t>
  </si>
  <si>
    <t>SCIM 2.0 プロビジョニング</t>
  </si>
  <si>
    <t>TBD｜Cognito=非ネイティブ（自前実装要）/ Keycloak=プラグイン対応。ヒアリング優先度3。基本設計側はSCIM自作Facade(D3-11)で対応方針</t>
  </si>
  <si>
    <t>requirements/functional-requirements.md §6.4</t>
  </si>
  <si>
    <t>FR-USER-009</t>
  </si>
  <si>
    <t>バルクインポート（CSV / JSON）</t>
  </si>
  <si>
    <t>Should｜Cognito=ImportUsers / Keycloak=Realm Import。PoC未検証</t>
  </si>
  <si>
    <t>FR-USER-010</t>
  </si>
  <si>
    <t>ユーザーパスワード強制リセット</t>
  </si>
  <si>
    <t>Must｜Cognito=AdminSetUserPassword / Keycloak=Admin Console。PoC検証済</t>
  </si>
  <si>
    <t>FR-ADMIN 基盤設定管理</t>
  </si>
  <si>
    <t>FR-ADMIN-001</t>
  </si>
  <si>
    <t>管理コンソールUI</t>
  </si>
  <si>
    <t>requirements/functional-requirements.md §7.1</t>
  </si>
  <si>
    <t>FR-ADMIN-002</t>
  </si>
  <si>
    <t>テナント追加・削除</t>
  </si>
  <si>
    <t>Must｜Cognito=User Pool単位/Group / Keycloak=Realm単位/IdP単位。PoCは設計のみ</t>
  </si>
  <si>
    <t>FR-ADMIN-003</t>
  </si>
  <si>
    <t>IdP追加・削除・更新</t>
  </si>
  <si>
    <t>FR-ADMIN-004</t>
  </si>
  <si>
    <t>クライアント（App）管理</t>
  </si>
  <si>
    <t>FR-ADMIN-005</t>
  </si>
  <si>
    <t>ロール定義管理</t>
  </si>
  <si>
    <t>Must｜Cognito=Custom Attr/Group / Keycloak=Realm Role/Client Role。PoC Phase 8検証済</t>
  </si>
  <si>
    <t>FR-ADMIN-009</t>
  </si>
  <si>
    <t>テナント別設定の分離</t>
  </si>
  <si>
    <t>Must｜Cognito=User Pool分離 / Keycloak=Realm分離。PoC Phase 4,5検証済</t>
  </si>
  <si>
    <t>FR-ADMIN 監査・可視性</t>
  </si>
  <si>
    <t>FR-ADMIN-007</t>
  </si>
  <si>
    <t>監査ログ閲覧</t>
  </si>
  <si>
    <t>Must｜Cognito=CloudTrail / Keycloak=Event Listener。PoCは設定要</t>
  </si>
  <si>
    <t>requirements/functional-requirements.md §7.2</t>
  </si>
  <si>
    <t>FR-ADMIN-008</t>
  </si>
  <si>
    <t>設定変更履歴</t>
  </si>
  <si>
    <t>Should｜Cognito=CloudTrail / Keycloak=Admin Events。PoC未検証</t>
  </si>
  <si>
    <t>FR-ADMIN 権限委譲・カスタマイズ</t>
  </si>
  <si>
    <t>FR-ADMIN-006</t>
  </si>
  <si>
    <t>パーミッション管理（細粒度）</t>
  </si>
  <si>
    <t>Could｜Cognito=アプリ側 / Keycloak=Authorization Services。未検証</t>
  </si>
  <si>
    <t>requirements/functional-requirements.md §7.3</t>
  </si>
  <si>
    <t>FR-ADMIN-010</t>
  </si>
  <si>
    <t>管理者ロール（RBAC for Admin）</t>
  </si>
  <si>
    <t>FR-ADMIN-011</t>
  </si>
  <si>
    <t>テナント管理者の委譲（顧客の自社運用）</t>
  </si>
  <si>
    <t>FR-ADMIN-012</t>
  </si>
  <si>
    <t>カスタマイズ可能なログインUI</t>
  </si>
  <si>
    <t>Should｜Cognito=CSS/ロゴのみ / Keycloak=Theme（フルカスタム）。基本設計はブランディングA方針</t>
  </si>
  <si>
    <t>FR-INT プロトコル準拠</t>
  </si>
  <si>
    <t>FR-INT-001</t>
  </si>
  <si>
    <t>OIDC 1.0 / OAuth 2.0 標準準拠</t>
  </si>
  <si>
    <t>requirements/functional-requirements.md §8.1</t>
  </si>
  <si>
    <t>FR-INT-002</t>
  </si>
  <si>
    <t>OIDC Discovery（.well-known）</t>
  </si>
  <si>
    <t>FR-INT-003</t>
  </si>
  <si>
    <t>JWKS公開エンドポイント</t>
  </si>
  <si>
    <t>Must｜Cognito=AWS公開 / Keycloak=ALB経由。PoC Phase 3検証済</t>
  </si>
  <si>
    <t>FR-INT-004</t>
  </si>
  <si>
    <t>SAML 2.0 メタデータ</t>
  </si>
  <si>
    <t>FR-INT-007</t>
  </si>
  <si>
    <t>API Gateway / Lambda Authorizer統合</t>
  </si>
  <si>
    <t>Must｜両者対応。PoC Phase 3検証済</t>
  </si>
  <si>
    <t>FR-INT ログ・監視</t>
  </si>
  <si>
    <t>FR-INT-008</t>
  </si>
  <si>
    <t>監査ログ外部出力（CloudWatch / S3 / Kinesis）</t>
  </si>
  <si>
    <t>requirements/functional-requirements.md §8.2</t>
  </si>
  <si>
    <t>FR-INT-009</t>
  </si>
  <si>
    <t>監査ログSIEM連携（Splunk / Datadog）</t>
  </si>
  <si>
    <t>Could｜Cognito=対応 / Keycloak=ログ転送設計要。未検証</t>
  </si>
  <si>
    <t>FR-INT API・IaC・Webhook</t>
  </si>
  <si>
    <t>FR-INT-005</t>
  </si>
  <si>
    <t>Should｜Cognito=Pre Token/Post Conf Lambda / Keycloak=Event Listener。ヒアリング優先度6。基本設計はWebhook(HMAC+DLQ)方針</t>
  </si>
  <si>
    <t>requirements/functional-requirements.md §8.3</t>
  </si>
  <si>
    <t>FR-INT-006</t>
  </si>
  <si>
    <t>管理REST API</t>
  </si>
  <si>
    <t>Must｜Cognito=AWS SDK / Keycloak=Admin REST API</t>
  </si>
  <si>
    <t>FR-INT-010</t>
  </si>
  <si>
    <t>Terraform / IaC管理</t>
  </si>
  <si>
    <t>NFR-AVL 可用性</t>
  </si>
  <si>
    <t>NFR-AVL-001</t>
  </si>
  <si>
    <t>サービス稼働率 SLA</t>
  </si>
  <si>
    <t>(TBD) 99.9%/99.95%/99.99%｜Cognito=AWS 99.9%保証 / Keycloak=自前HA設計。★最重要：99.9%ならCognito、99.99%なら自前設計</t>
  </si>
  <si>
    <t>requirements/non-functional-requirements.md §1</t>
  </si>
  <si>
    <t>NFR-AVL-002</t>
  </si>
  <si>
    <t>計画メンテナンス窓</t>
  </si>
  <si>
    <t>(TBD) 月N時間｜Cognito=AWS透過 / Keycloak=Realm設定変更時の制約あり</t>
  </si>
  <si>
    <t>NFR-AVL-003</t>
  </si>
  <si>
    <t>マルチAZ配置</t>
  </si>
  <si>
    <t>(D)必須｜Cognito=AWS自動 / Keycloak=ECS Multi-AZ+Aurora Multi-AZ設計要</t>
  </si>
  <si>
    <t>NFR-AVL-004</t>
  </si>
  <si>
    <t>自動復旧（コンテナ障害）</t>
  </si>
  <si>
    <t>(D)必須｜Cognito=AWS自動 / Keycloak=ECS Service Auto Heal。PoC検証済</t>
  </si>
  <si>
    <t>NFR-AVL-005</t>
  </si>
  <si>
    <t>単一障害点の排除</t>
  </si>
  <si>
    <t>(D)必須｜Cognito=対応 / Keycloak=RDS/ALB冗長化要</t>
  </si>
  <si>
    <t>NFR-AVL-006</t>
  </si>
  <si>
    <t>デプロイ時のダウンタイム</t>
  </si>
  <si>
    <t>(D)ゼロダウン（Blue/Green）｜Cognito=透過 / Keycloak=Rolling Update設計</t>
  </si>
  <si>
    <t>NFR-PERF 応答時間/レイテンシ</t>
  </si>
  <si>
    <t>NFR-PERF-001</t>
  </si>
  <si>
    <t>認証応答時間（P50/P95/P99）</t>
  </si>
  <si>
    <t>(D)P95&lt;1s, P99&lt;2s｜Cognito=AWS内 / Keycloak=ECSスペック次第（PoC:数百ms観測）</t>
  </si>
  <si>
    <t>requirements/non-functional-requirements.md §2.1</t>
  </si>
  <si>
    <t>NFR-PERF-003</t>
  </si>
  <si>
    <t>Lambda Authorizer応答時間</t>
  </si>
  <si>
    <t>(D)キャッシュHIT&lt;10ms / MISS&lt;100ms｜PoC Phase 3計測 15-60ms。両者同Lambdaで同性能</t>
  </si>
  <si>
    <t>NFR-PERF-004</t>
  </si>
  <si>
    <t>JWT検証スループット</t>
  </si>
  <si>
    <t>(D)&gt;1,000 req/s｜両者Lambda並列で達成</t>
  </si>
  <si>
    <t>NFR-PERF-005</t>
  </si>
  <si>
    <t>JWKSキャッシュTTL</t>
  </si>
  <si>
    <t>(D)1時間（Lambda内）｜両者対応</t>
  </si>
  <si>
    <t>NFR-PERF-008</t>
  </si>
  <si>
    <t>DB応答時間（Keycloakのみ）</t>
  </si>
  <si>
    <t>(D)P95&lt;50ms｜Keycloak=RDSチューニング要。Cognitoは対象外</t>
  </si>
  <si>
    <t>NFR-PERF スループット/スケール耐性</t>
  </si>
  <si>
    <t>NFR-PERF-002</t>
  </si>
  <si>
    <t>同時認証リクエスト処理能力</t>
  </si>
  <si>
    <t>(TBD) N req/s｜Cognito=一部APIにAccount-level rate limit（InitiateAuth等、Service Quotas要事前確認）/ Keycloak=ECS Auto Scaling設計。★MAUから逆算</t>
  </si>
  <si>
    <t>requirements/non-functional-requirements.md §2.2</t>
  </si>
  <si>
    <t>NFR-PERF-006</t>
  </si>
  <si>
    <t>API Gatewayスロットリング</t>
  </si>
  <si>
    <t>NFR-PERF-007</t>
  </si>
  <si>
    <t>認証ピーク時間帯への耐性</t>
  </si>
  <si>
    <t>(D)始業時N倍想定｜Cognito=AWS自動スケール / Keycloak=ECS事前スケールアウト設計</t>
  </si>
  <si>
    <t>NFR-SCL 拡張性</t>
  </si>
  <si>
    <t>NFR-SCL-001</t>
  </si>
  <si>
    <t>MAUスケール上限</t>
  </si>
  <si>
    <t>requirements/non-functional-requirements.md §3</t>
  </si>
  <si>
    <t>NFR-SCL-002</t>
  </si>
  <si>
    <t>ピーク時同時セッション数</t>
  </si>
  <si>
    <t>NFR-SCL-003</t>
  </si>
  <si>
    <t>顧客テナント数（IdP数）スケール</t>
  </si>
  <si>
    <t>(TBD) N顧客/年｜両者複数IdP対応。基本設計側は1000+ IdPを条件付き成立（必須対策7点）と評価</t>
  </si>
  <si>
    <t>NFR-SCL-004</t>
  </si>
  <si>
    <t>IdP追加リードタイム</t>
  </si>
  <si>
    <t>(D)&lt;1営業日｜両者Console/IaC対応。基本設計にIdPオンボーディング6ステップあり</t>
  </si>
  <si>
    <t>NFR-SCL-005</t>
  </si>
  <si>
    <t>自動スケーリング</t>
  </si>
  <si>
    <t>(D)必須（負荷に応じて）｜Cognito=AWS透過 / Keycloak=ECS Auto Scaling設計要</t>
  </si>
  <si>
    <t>NFR-SCL-006</t>
  </si>
  <si>
    <t>マルチリージョン対応</t>
  </si>
  <si>
    <t>(TBD) 必要/不要｜Cognito=User Pool別リージョン / Keycloak=Aurora Global DB設計要</t>
  </si>
  <si>
    <t>NFR-SCL-007</t>
  </si>
  <si>
    <t>データベーススケール（Keycloak）</t>
  </si>
  <si>
    <t>Keycloak=Aurora Auto Scaling。Cognitoは対象外</t>
  </si>
  <si>
    <t>NFR-SEC 暗号化・鍵管理</t>
  </si>
  <si>
    <t>NFR-SEC-001</t>
  </si>
  <si>
    <t>通信暗号化</t>
  </si>
  <si>
    <t>requirements/non-functional-requirements.md §4.1</t>
  </si>
  <si>
    <t>NFR-SEC-002</t>
  </si>
  <si>
    <t>データ暗号化（at-rest）</t>
  </si>
  <si>
    <t>(D)AES-256（KMS）｜Cognito=自動 / Keycloak=RDS storage_encrypted=true。基本設計はKMS 3階層6Acct写像</t>
  </si>
  <si>
    <t>NFR-SEC-003</t>
  </si>
  <si>
    <t>トークン署名アルゴリズム</t>
  </si>
  <si>
    <t>NFR-SEC-009</t>
  </si>
  <si>
    <t>パスワード保管アルゴリズム</t>
  </si>
  <si>
    <t>NFR-SEC-015</t>
  </si>
  <si>
    <t>シークレット管理</t>
  </si>
  <si>
    <t>(D)AWS Secrets Manager｜両者対応</t>
  </si>
  <si>
    <t>NFR-SEC トークン・セッション</t>
  </si>
  <si>
    <t>NFR-SEC-004</t>
  </si>
  <si>
    <t>Access Token TTL</t>
  </si>
  <si>
    <t>(D)15〜60分｜両者設定可。基本設計でAT 30分に最終決定（U5）</t>
  </si>
  <si>
    <t>requirements/non-functional-requirements.md §4.2</t>
  </si>
  <si>
    <t>NFR-SEC-005</t>
  </si>
  <si>
    <t>Refresh Token TTL</t>
  </si>
  <si>
    <t>(D)30日｜両者設定可。基本設計U5でTTL最終決定済</t>
  </si>
  <si>
    <t>NFR-SEC-006</t>
  </si>
  <si>
    <t>ID Token TTL</t>
  </si>
  <si>
    <t>(D)15分｜両者設定可。基本設計U5でTTL最終決定済</t>
  </si>
  <si>
    <t>NFR-SEC-007</t>
  </si>
  <si>
    <t>Refresh Token Rotation</t>
  </si>
  <si>
    <t>(D)有効化｜Cognito=デフォルトOFF（要設定）/ Keycloak=デフォルトON</t>
  </si>
  <si>
    <t>NFR-SEC-008</t>
  </si>
  <si>
    <t>トークン失効（Revocation）</t>
  </si>
  <si>
    <t>(D)対応必須｜Cognito=Refresh Tokenのみ / Keycloak=Token Revocation。基本設計でRevocation/ITDR L4連携方針</t>
  </si>
  <si>
    <t>NFR-SEC-020</t>
  </si>
  <si>
    <t>セッション固定攻撃対策</t>
  </si>
  <si>
    <t>(D)必須｜両者対応</t>
  </si>
  <si>
    <t>NFR-SEC 攻撃対策</t>
  </si>
  <si>
    <t>NFR-SEC-010</t>
  </si>
  <si>
    <t>ブルートフォース対策</t>
  </si>
  <si>
    <t>requirements/non-functional-requirements.md §4.3</t>
  </si>
  <si>
    <t>NFR-SEC-010-2</t>
  </si>
  <si>
    <t>侵害クレデンシャル検出（HIBP相当）</t>
  </si>
  <si>
    <t>NFR-SEC-012</t>
  </si>
  <si>
    <t>DDoS対策</t>
  </si>
  <si>
    <t>(D)Shield Standard｜両者AWS標準で対応</t>
  </si>
  <si>
    <t>NFR-SEC-013</t>
  </si>
  <si>
    <t>ペネトレーションテスト</t>
  </si>
  <si>
    <t>(TBD) 年N回｜製品非依存。実施体制・頻度を要ヒアリング</t>
  </si>
  <si>
    <t>NFR-SEC-014</t>
  </si>
  <si>
    <t>脆弱性スキャン</t>
  </si>
  <si>
    <t>NFR-SEC ネットワーク・境界制御</t>
  </si>
  <si>
    <t>NFR-SEC-011</t>
  </si>
  <si>
    <t>WAF適用</t>
  </si>
  <si>
    <t>(D)AWS WAF（CloudFront）｜Cognito=対応 / Keycloak=ADR-013で計画</t>
  </si>
  <si>
    <t>requirements/non-functional-requirements.md §4.4</t>
  </si>
  <si>
    <t>NFR-SEC-016</t>
  </si>
  <si>
    <t>ネットワーク分離（Private Subnet）</t>
  </si>
  <si>
    <t>(D)必須｜Cognito=AWS透過 / Keycloak=Option B移行済</t>
  </si>
  <si>
    <t>NFR-SEC-017</t>
  </si>
  <si>
    <t>管理画面アクセス制御</t>
  </si>
  <si>
    <t>(D)IP制限+VPN/Bastion｜Cognito=IAM / Keycloak=ADR-011で計画(N2)。基本設計は/admin 3層+hostname-admin</t>
  </si>
  <si>
    <t>NFR-SEC-018</t>
  </si>
  <si>
    <t>JWKSエンドポイント保護</t>
  </si>
  <si>
    <t>(D)公開+WAFレート制限｜Cognito=公開 / Keycloak=ADR-012で対応</t>
  </si>
  <si>
    <t>NFR-SEC-019</t>
  </si>
  <si>
    <t>内部通信の認証（Lambda→Keycloak）</t>
  </si>
  <si>
    <t>(D)VPC内完結｜Cognito=VPCE / Keycloak=Internal ALB（ADR-012）</t>
  </si>
  <si>
    <t>NFR-DR 災害復旧</t>
  </si>
  <si>
    <t>NFR-DR-001</t>
  </si>
  <si>
    <t>RTO（目標復旧時間）</t>
  </si>
  <si>
    <t>(TBD) N分/N時間｜★最重要：DRコスト差($0.50/月 vs $890/月)の判断材料。基本設計はRTO 1h条件付き成立（5条件）</t>
  </si>
  <si>
    <t>requirements/non-functional-requirements.md §5</t>
  </si>
  <si>
    <t>NFR-DR-002</t>
  </si>
  <si>
    <t>RPO（目標復旧地点）</t>
  </si>
  <si>
    <t>(TBD) N分/0｜★最重要。Cognito=ユーザーデータ複製可 / Keycloak=Aurora Global DB（〜1秒）</t>
  </si>
  <si>
    <t>NFR-DR-003</t>
  </si>
  <si>
    <t>フェイルオーバー方式</t>
  </si>
  <si>
    <t>(TBD) 自動/手動｜Cognito=Route 53 Health Check / Keycloak=設計要。基本設計はパイロットライト（KC Scale 0）</t>
  </si>
  <si>
    <t>NFR-DR-004</t>
  </si>
  <si>
    <t>バックアップ保存期間</t>
  </si>
  <si>
    <t>(D)30日｜Cognito=AWS自動 / Keycloak=RDS Automated Backup</t>
  </si>
  <si>
    <t>NFR-DR-005</t>
  </si>
  <si>
    <t>PITR（Point-in-Time Recovery）</t>
  </si>
  <si>
    <t>(D)5分粒度/35日｜両者対応（Keycloak=Aurora PITR）</t>
  </si>
  <si>
    <t>NFR-DR-006</t>
  </si>
  <si>
    <t>クロスリージョンバックアップ</t>
  </si>
  <si>
    <t>NFR-DR-007</t>
  </si>
  <si>
    <t>DR訓練</t>
  </si>
  <si>
    <t>(TBD) 年N回｜製品非依存。基本設計にRB-DR-00〜05のRunbookあり</t>
  </si>
  <si>
    <t>NFR-DR-008</t>
  </si>
  <si>
    <t>DR切替時のセッション維持</t>
  </si>
  <si>
    <t>(D)可能ならベスト｜Cognito=PoC Phase 5でAuth0 SSO維持確認 / Keycloak=別検証</t>
  </si>
  <si>
    <t>NFR-OPS 監視・ロギング</t>
  </si>
  <si>
    <t>NFR-OPS-001</t>
  </si>
  <si>
    <t>監視・メトリクス</t>
  </si>
  <si>
    <t>(D)CloudWatch Metrics+Dashboard｜両者対応。基本設計はOTel+IdP数関数監視・SLO/Burn Rate</t>
  </si>
  <si>
    <t>requirements/non-functional-requirements.md §6.1</t>
  </si>
  <si>
    <t>NFR-OPS-002</t>
  </si>
  <si>
    <t>アラート通知</t>
  </si>
  <si>
    <t>(D)CloudWatch Alarm+SNS｜両者対応</t>
  </si>
  <si>
    <t>NFR-OPS-003</t>
  </si>
  <si>
    <t>ログ保存期間</t>
  </si>
  <si>
    <t>(TBD) Nヶ月/N年｜★重要：NFR-COMP-007と連動。基本設計はログ3層+SIEM</t>
  </si>
  <si>
    <t>NFR-OPS-004</t>
  </si>
  <si>
    <t>ログ検索性</t>
  </si>
  <si>
    <t>(D)CloudWatch Insights / S3+Athena｜Cognito=対応 / Keycloak=Event Listener自前</t>
  </si>
  <si>
    <t>NFR-OPS デプロイ・パッチ</t>
  </si>
  <si>
    <t>NFR-OPS-005</t>
  </si>
  <si>
    <t>バージョンアップ方針</t>
  </si>
  <si>
    <t>(TBD) Nヶ月毎/LTSのみ｜★重要：Keycloak運用負荷に直結。Cognito=AWS透過 / Keycloak=手動（Docker image更新）</t>
  </si>
  <si>
    <t>requirements/non-functional-requirements.md §6.2</t>
  </si>
  <si>
    <t>NFR-OPS-006</t>
  </si>
  <si>
    <t>パッチ適用（CVE対応）</t>
  </si>
  <si>
    <t>(D)緊急N日以内、定例N週間以内｜Cognito=AWS自動 / Keycloak=手動（CVE監視+Image更新）</t>
  </si>
  <si>
    <t>NFR-OPS-007</t>
  </si>
  <si>
    <t>設定変更プロセス</t>
  </si>
  <si>
    <t>(D)IaC（Terraform）+レビュー｜Keycloak=Realmは別管理。基本設計でIaC 2層・keycloak-config-cli不採用が決定</t>
  </si>
  <si>
    <t>NFR-OPS-010</t>
  </si>
  <si>
    <t>デプロイ自動化（CI/CD）</t>
  </si>
  <si>
    <t>(D)必須｜基本設計でGitHub Actions/GitOps/ECR構成が決定</t>
  </si>
  <si>
    <t>NFR-OPS 体制・運用SLA</t>
  </si>
  <si>
    <t>NFR-OPS-008</t>
  </si>
  <si>
    <t>インシデント対応体制</t>
  </si>
  <si>
    <t>(TBD) 24/7 or 営業時間のみ｜★RHBK採用判断(ADR-015)の決め手。Cognito=AWS Premium Support / Keycloak=自前 or RHBK Premium</t>
  </si>
  <si>
    <t>requirements/non-functional-requirements.md §6.3</t>
  </si>
  <si>
    <t>NFR-OPS-009</t>
  </si>
  <si>
    <t>運用工数（人月）</t>
  </si>
  <si>
    <t>(D)Cognito:1人月 / Keycloak:21時間/月（ADR-006）</t>
  </si>
  <si>
    <t>NFR-OPS-011</t>
  </si>
  <si>
    <t>テナント追加の運用SLA</t>
  </si>
  <si>
    <t>(TBD) N営業日以内｜両者対応可。SLA値の確定が必要</t>
  </si>
  <si>
    <t>NFR-COMP 規制・法令対応</t>
  </si>
  <si>
    <t>NFR-COMP-001</t>
  </si>
  <si>
    <t>個人情報保護法対応</t>
  </si>
  <si>
    <t>requirements/non-functional-requirements.md §7.1</t>
  </si>
  <si>
    <t>NFR-COMP-002</t>
  </si>
  <si>
    <t>(TBD)｜両者対応。基本設計はDSAR Phase 1手動対応</t>
  </si>
  <si>
    <t>NFR-COMP-008</t>
  </si>
  <si>
    <t>データ所在地（リージョン制限）</t>
  </si>
  <si>
    <t>(TBD) 国内/特定リージョン｜★最重要：リージョン設計の決め手。両者リージョン選択可</t>
  </si>
  <si>
    <t>NFR-COMP 業界認定・監査</t>
  </si>
  <si>
    <t>NFR-COMP-003</t>
  </si>
  <si>
    <t>SOC 2 Type II</t>
  </si>
  <si>
    <t>(TBD)｜Cognito=AWS認定 / Keycloak=自前運用責任</t>
  </si>
  <si>
    <t>requirements/non-functional-requirements.md §7.2</t>
  </si>
  <si>
    <t>NFR-COMP-004</t>
  </si>
  <si>
    <t>ISO 27001</t>
  </si>
  <si>
    <t>NFR-COMP-005</t>
  </si>
  <si>
    <t>PCI DSS（金融）</t>
  </si>
  <si>
    <t>(TBD)｜Cognito=AWS認定 / Keycloak=自前。基本設計でPCIギャップ3点を特定済</t>
  </si>
  <si>
    <t>NFR-COMP-006</t>
  </si>
  <si>
    <t>NFR-COMP-007</t>
  </si>
  <si>
    <t>監査ログ保存期間（法令要件）</t>
  </si>
  <si>
    <t>(TBD) 業種次第（〜10年）｜両者S3ライフサイクルで対応。NFR-OPS-003と連動</t>
  </si>
  <si>
    <t>NFR-COMP-010</t>
  </si>
  <si>
    <t>アクセス監査の追跡可能性</t>
  </si>
  <si>
    <t>NFR-COMP データガバナンス</t>
  </si>
  <si>
    <t>NFR-COMP-009</t>
  </si>
  <si>
    <t>個人データ削除権（GDPR Right to Erasure）</t>
  </si>
  <si>
    <t>requirements/non-functional-requirements.md §7.3</t>
  </si>
  <si>
    <t>NFR-COMP-011</t>
  </si>
  <si>
    <t>暗号鍵のローテーション</t>
  </si>
  <si>
    <t>(D)年1回以上｜Cognito=KMS自動 / Keycloak=Realm Key Rotation設定。基本設計でRealm Key 90日に確定</t>
  </si>
  <si>
    <t>NFR-COST コスト</t>
  </si>
  <si>
    <t>NFR-COST-001</t>
  </si>
  <si>
    <t>初期構築費</t>
  </si>
  <si>
    <t>Cognito $5,000 / Keycloak OSS $30,000 / RHBK $30,000+ライセンス</t>
  </si>
  <si>
    <t>requirements/non-functional-requirements.md §8</t>
  </si>
  <si>
    <t>NFR-COST-002</t>
  </si>
  <si>
    <t>月額固定インフラ費</t>
  </si>
  <si>
    <t>Cognito $0 / Keycloak ~$987（Option B+ADR-012）/ RHBK ~$987</t>
  </si>
  <si>
    <t>NFR-COST-003</t>
  </si>
  <si>
    <t>MAUあたりコスト（連携）</t>
  </si>
  <si>
    <t>Cognito $0.015/MAU / Keycloak $0 / RHBK $0</t>
  </si>
  <si>
    <t>NFR-COST-003-PLUS</t>
  </si>
  <si>
    <t>Cognito Plusティア追加課金</t>
  </si>
  <si>
    <t>+$0.02/MAU（無料枠なし、2024-12〜）。FR-AUTH-011 / FR-MFA-002 / FR-MFA-006のいずれかMustの場合に発生</t>
  </si>
  <si>
    <t>NFR-COST-004</t>
  </si>
  <si>
    <t>DR追加月額</t>
  </si>
  <si>
    <t>Cognito $0.50+MAU / Keycloak $890 / RHBK $890+サブスク</t>
  </si>
  <si>
    <t>NFR-COST-005</t>
  </si>
  <si>
    <t>運用人件費</t>
  </si>
  <si>
    <t>(D) Cognito ~$0 / Keycloak ~$1,680/月 / RHBK ~$840/月（半減想定）</t>
  </si>
  <si>
    <t>NFR-COST-006</t>
  </si>
  <si>
    <t>RHBKサブスクリプション</t>
  </si>
  <si>
    <t>(TBD) $5,000〜30,000/年/ノード｜★重要：NFR-COMP-006（FIPS要否）とセットで判断。要ベンダー見積（rhbk-vendor-inquiry.md Q1〜Q10）</t>
  </si>
  <si>
    <t>NFR-COST-007</t>
  </si>
  <si>
    <t>損益分岐MAU（連携のみ）</t>
  </si>
  <si>
    <t>Keycloak OSS 175,000 MAU / RHBK採用時 〜600,000 MAU（ADR-006）</t>
  </si>
  <si>
    <t>NFR-COST-007-PLUS</t>
  </si>
  <si>
    <t>損益分岐MAU（Plusティア利用時 $0.035/MAU）</t>
  </si>
  <si>
    <t>〜75,000 MAU（ADR-006）。Plusティア採用で175,000→75,000に変動</t>
  </si>
  <si>
    <t>NFR-COST-008</t>
  </si>
  <si>
    <t>3年TCO（10万MAU想定）</t>
  </si>
  <si>
    <t>Cognito $54K / Keycloak $124K / RHBK $200K+</t>
  </si>
  <si>
    <t>NFR-COST-009</t>
  </si>
  <si>
    <t>3年TCO（50万MAU想定）</t>
  </si>
  <si>
    <t>Cognito $270K / Keycloak $124K / RHBK $200K+</t>
  </si>
  <si>
    <t>NFR-MIG 移行性</t>
  </si>
  <si>
    <t>NFR-MIG-001</t>
  </si>
  <si>
    <t>既存認証システムからのユーザー移行</t>
  </si>
  <si>
    <t>(TBD)｜Cognito=ImportUsers+Lambda Trigger / Keycloak=Realm Import/SPI。基本設計は移行4集団を定義</t>
  </si>
  <si>
    <t>requirements/non-functional-requirements.md §9</t>
  </si>
  <si>
    <t>NFR-MIG-002</t>
  </si>
  <si>
    <t>パスワード移行（ハッシュ持ち越し）</t>
  </si>
  <si>
    <t>(TBD)｜Cognito=ハッシュ形式制約 / Keycloak=Custom Hash Provider。基本設計でPWハッシュ判定を検討中</t>
  </si>
  <si>
    <t>NFR-MIG-003</t>
  </si>
  <si>
    <t>ベンダーロックイン回避</t>
  </si>
  <si>
    <t>(D)OIDC標準準拠｜Cognito=AWS依存 / Keycloak=OSS・移行可能</t>
  </si>
  <si>
    <t>NFR-MIG-004</t>
  </si>
  <si>
    <t>データエクスポート</t>
  </si>
  <si>
    <t>(D)必要時に可能｜Cognito=ListUsers+S3 Export / Keycloak=Realm Export（※基本設計でRealm Export全廃の決定あり・要整合確認）</t>
  </si>
  <si>
    <t>NFR-MIG-005</t>
  </si>
  <si>
    <t>段階的移行（並行稼働）</t>
  </si>
  <si>
    <t>(D)可能｜両者対応。基本設計はServiceNow並走4Phase</t>
  </si>
  <si>
    <t>プラットフォーム</t>
  </si>
  <si>
    <t>P-01</t>
  </si>
  <si>
    <t>Keycloak / ROSA HCP + RHBK Operator（RHBKサブスクはROSA内包・追加費用なし）</t>
  </si>
  <si>
    <t>2026-07-23ユーザー指示+ADR-056改訂。変更時の影響=全単元</t>
  </si>
  <si>
    <t>basic-design/01-architecture-baseline.md §1.1</t>
  </si>
  <si>
    <t>MAU規模</t>
  </si>
  <si>
    <t>P-02</t>
  </si>
  <si>
    <t>10M MAU上限で設計</t>
  </si>
  <si>
    <t>2026-07-23ユーザー凍結。ADR-032/033整合。影響=U2/U6/U8（サイジング・コスト）。残: NFR-3 §3.0.Aのレンジ記述(1万〜100万)を10M上限に改訂</t>
  </si>
  <si>
    <t>FIPS 140-2</t>
  </si>
  <si>
    <t>P-03</t>
  </si>
  <si>
    <t>不要</t>
  </si>
  <si>
    <t>2026-07-30確定。hearing C-201回答=必須ではない。影響=U7（見直し不要）</t>
  </si>
  <si>
    <t>basic-design/01-architecture-baseline.md §1.1/§1.4a</t>
  </si>
  <si>
    <t>SLA</t>
  </si>
  <si>
    <t>P-04</t>
  </si>
  <si>
    <t>99.9%（暫定）</t>
  </si>
  <si>
    <t>NFR-AVL-001推奨デフォルト。ROSA HCP自体は99.95%。顧客合意待ち。影響=U6/U8/U9</t>
  </si>
  <si>
    <t>DR方式</t>
  </si>
  <si>
    <t>P-05</t>
  </si>
  <si>
    <t>Tier 3+: 手動DR / RTO≈14日（大阪でオンデマンド再構築）/ RPOはAurora自動バックアップ+PITR依存</t>
  </si>
  <si>
    <t>2026-07-30転換。2シナリオ=①リージョン災害:大阪再構築+リストア ②論理破壊(IdPデータ破壊・ランサム):PITR・イミュータブルスナップショット(Backup Vault Lock)からリストア。従前のパイロットライトRTO 1h・大阪ウォーム待機は廃止。残: U8/U6/ADR-051 要改訂（D-18）</t>
  </si>
  <si>
    <t>テナント分離</t>
  </si>
  <si>
    <t>P-06</t>
  </si>
  <si>
    <t>L2 単一Realm + Organizations + tenant_idクレーム</t>
  </si>
  <si>
    <t>ADR-017（2026-07-23更新）。影響=U2/U3</t>
  </si>
  <si>
    <t>ユーザーカテゴリ</t>
  </si>
  <si>
    <t>P-07</t>
  </si>
  <si>
    <t>P-1〜P-4全カテゴリ受入。テナント管理者含め全顧客ユーザーはフェデレーション。Brokerローカルは基盤運用者/Break-Glassのみ</t>
  </si>
  <si>
    <t>識別子</t>
  </si>
  <si>
    <t>P-08</t>
  </si>
  <si>
    <t>3階層（sub UUID / &lt;tenant&gt;-&lt;userid&gt; / IdP sub）、email補助</t>
  </si>
  <si>
    <t>ADR-018/054/055。影響=U2/U3/U5</t>
  </si>
  <si>
    <t>トークン</t>
  </si>
  <si>
    <t>P-09</t>
  </si>
  <si>
    <t>AT 30分 / RT 30日+Rotation / 絶対24h / アイドル1h / ES256</t>
  </si>
  <si>
    <t>§NFR-4.2、ADR-045。影響=U5</t>
  </si>
  <si>
    <t>JWTクレーム</t>
  </si>
  <si>
    <t>P-10</t>
  </si>
  <si>
    <t>Stage 1最小、PII非搭載</t>
  </si>
  <si>
    <t>ADR-030。影響=U5</t>
  </si>
  <si>
    <t>SSO信頼レベル</t>
  </si>
  <si>
    <t>P-11</t>
  </si>
  <si>
    <t>L1完全信頼デフォルト、L3は規制業種オプション</t>
  </si>
  <si>
    <t>§FR-4.2。影響=U4/U5</t>
  </si>
  <si>
    <t>プロビジョニング</t>
  </si>
  <si>
    <t>P-12</t>
  </si>
  <si>
    <t>JIT + SCIM受信併用、Custom Authenticator SPI案B、3系統Flow配置</t>
  </si>
  <si>
    <t>PoC V1〜V3''検証済。LDAP User Federation経路は対象外（2026-07-30、LDAP顧客なし）。影響=U2/U3</t>
  </si>
  <si>
    <t>ServiceNow</t>
  </si>
  <si>
    <t>P-13</t>
  </si>
  <si>
    <t>パターン②（L1 SCIM + L2 SAML JIT）</t>
  </si>
  <si>
    <t>ADR-023 §L。影響=U10</t>
  </si>
  <si>
    <t>アプリ標準プロトコル</t>
  </si>
  <si>
    <t>P-14</t>
  </si>
  <si>
    <t>新規=OIDC / 既存SP=SAML</t>
  </si>
  <si>
    <t>saml-vs-oidc §16。影響=U5/U10</t>
  </si>
  <si>
    <t>リージョン</t>
  </si>
  <si>
    <t>P-15</t>
  </si>
  <si>
    <t>東京 ap-northeast-1（常用）+ 大阪 ap-northeast-3（DR時オンデマンド再構築、平時はROSA事前プロビジョニングなし）</t>
  </si>
  <si>
    <t>2026-07-30 DR転換。Auroraバックアップ/スナップショットは平時から保全。P-05連動。影響=U6/U8</t>
  </si>
  <si>
    <t>接続IdP数</t>
  </si>
  <si>
    <t>P-16</t>
  </si>
  <si>
    <t>1000超想定 — 条件付き成立。必須対策7点をU2設計制約とする</t>
  </si>
  <si>
    <t>G-IdP-Scaleは実測困難のため仮定値（1000/2000 IdP・フェデ:IdP-KC=50:50〔B-BROK-1暫定〕）で設計継続、PoCは後追い検証に格下げ（2026-07-30）。影響=U2/U6/U9</t>
  </si>
  <si>
    <t>アカウント/クラスタ</t>
  </si>
  <si>
    <t>P-17</t>
  </si>
  <si>
    <t>IdP-KCはBrokerと別AWSアカウント、ROSA HCP×2クラスタ</t>
  </si>
  <si>
    <t>2026-07-23ユーザー凍結。同AcctアプリからのユーザCRUD想定だが変更可能性あり。2026-08-06 E判断で「業務アプリは同居させずApp Acct推奨」へ緩める提案（ADR-063）。影響=U3/U6/U7</t>
  </si>
  <si>
    <t>basic-design/01-architecture-baseline.md §1.1/§1.2</t>
  </si>
  <si>
    <t>インターネット境界</t>
  </si>
  <si>
    <t>P-18</t>
  </si>
  <si>
    <t>他組織管理の監査Acct（In: CF+WAF+ALB or NLB+NWFW / Out: NWFWドメインフィルタ）</t>
  </si>
  <si>
    <t>ADR-039 v3。当該設定は要求仕様として起こす。影響=U6/U7/U9</t>
  </si>
  <si>
    <t>U2 Keycloak論理</t>
  </si>
  <si>
    <t>G-IdP-Scale</t>
  </si>
  <si>
    <t>1000/2000 IdP実測PoC P-1〜P-7</t>
  </si>
  <si>
    <t>2026-07-30: 実測困難のため仮定値で設計継続 → ブロッカーでなく「後追い検証」に格下げ。P-16に反映</t>
  </si>
  <si>
    <t>basic-design/01-architecture-baseline.md §1.5</t>
  </si>
  <si>
    <t>G-SPI-Compat</t>
  </si>
  <si>
    <t>RHBK 26.4 × upstream 26.x Custom SPI互換（HRD / Re-Activation）</t>
  </si>
  <si>
    <t>2026-07-30: 「検証する」と判断（実施確定）。A-2継続。未実施</t>
  </si>
  <si>
    <t>basic-design/01-architecture-baseline.md §1.5/§1.4a</t>
  </si>
  <si>
    <t>G-UProfile-Email</t>
  </si>
  <si>
    <t>User Profileでemailを任意化した際のKeycloak既知不具合を回避し、email非保有ユーザーが登録/ログイン/更新を完走できるか実機検証</t>
  </si>
  <si>
    <t>U3 ID・プロビジョニング</t>
  </si>
  <si>
    <t>G-SCIM</t>
  </si>
  <si>
    <t>SCIM FacadeのSCIM 2.0準拠検証（Entra/Okta SCIM Validator + D1/D2 E2E + Soft Delete写像 + deprovisioned_atセット確認）</t>
  </si>
  <si>
    <t>U3 §3.7.2で再定義。2026-07-24拡張（U3 §3.8）: ①スケール次元（500/1000テナントexternalId検索p99 / バルク5万件中の他テナント遅延 / Writer流量制御下Aurora負荷、G-IdP-Scaleと同一データセット併走）②非IdP E2E（D1 SCIM→EventBridge→統合射影→初回ログインsubバックフィル+読取p99）</t>
  </si>
  <si>
    <t>U6 インフラ・NW</t>
  </si>
  <si>
    <t>G-OSAKA</t>
  </si>
  <si>
    <t>大阪インスタンス在庫・vCPUクォータ実確認</t>
  </si>
  <si>
    <t>P-05/P-15の手動DR（大阪オンデマンド再構築）の成立条件。未実施</t>
  </si>
  <si>
    <t>U6/U9</t>
  </si>
  <si>
    <t>G-EGRESS</t>
  </si>
  <si>
    <t>Egress許可ドメインの追加運用方式</t>
  </si>
  <si>
    <t>2026-07-30合意方向: 初期は一括、追加分は都度依頼（先方は依頼次第 当日〜翌日対応）→ 方式①+§NFR-3リードタイム（次営業日以内）は成立。U6 §6.7.3 D-U6-13、U9 §9.7.1</t>
  </si>
  <si>
    <t>U7 セキュリティ</t>
  </si>
  <si>
    <t>G-DPA</t>
  </si>
  <si>
    <t>データ処理契約・越境（APPI 28条）</t>
  </si>
  <si>
    <t>2026-07-30軟化: クラウド利用のAPPI同意は取得方針。残はRed Hat SRE越境閲覧の確認中1点（U7 §7.7.4）。ROSA再検討リスクは大幅低下</t>
  </si>
  <si>
    <t>U8 可用性・DR</t>
  </si>
  <si>
    <t>G-EDGE-DR</t>
  </si>
  <si>
    <t>エッジ層のDR切替合意</t>
  </si>
  <si>
    <t>2026-07-30転換: 手動DR / RTO≈14日で大阪オンデマンド再構築 → RTO 1h・エッジ自動切替合意は不要。論点は「大阪再構築Runbook」へ（U8要改訂）</t>
  </si>
  <si>
    <t>（対象外化）</t>
  </si>
  <si>
    <t>G-LDAP</t>
  </si>
  <si>
    <t>LDAP/AD直接連携の検証</t>
  </si>
  <si>
    <t>2026-07-30廃止（LDAP顧客なし）。B-SCIM-13も不要。D3-04 ldap経路 / ADR-025 §Hを対象外化。U2/U3のLDAP記述は「Phase 1対象外」注記</t>
  </si>
  <si>
    <t>G-PCI-WAF</t>
  </si>
  <si>
    <t>PCI DSS向けWAF要件</t>
  </si>
  <si>
    <t>2026-07-30廃止（PCI DSS対応不要）。B-MFA-PCI-1も不要。U7のPCIスコープを「Phase 1対象外」化（削除でなく降格、将来再開可）</t>
  </si>
  <si>
    <t>A. PoC・技術ゲート実測</t>
  </si>
  <si>
    <t>A-1</t>
  </si>
  <si>
    <t>G-IdP-Scale実測PoC（1000/2000 IdP+Org投入・認証p99・Admin応答・キャッシュメモリ/ウォームアップ・Terraform plan分割閾値・パッチ回帰）</t>
  </si>
  <si>
    <t>調査25人日。公式実測が存在せず本PoCが一次検証（keycloak-benchmark#382）。2026-07-30: IdP数決定困難→仮定値（1000/2000・フェデ:IdP-KC=50:50）で設計継続、後追い検証に格下げ・着手優先度↓。依存=E-2の試験計画を先行。包含=G-IdP-Scale P-1〜P-7, O-11, O-U9-2, O-U8-4</t>
  </si>
  <si>
    <t>basic-design/00a-remaining-tasks-and-effort.md §2 A</t>
  </si>
  <si>
    <t>A-2</t>
  </si>
  <si>
    <t>G-SPI-Compat（RHBK 26.4 × Custom SPI 4機能 + HRD Flow配置 + storeToken=false×id_token_hint + 属性ポリシー + Micrometer計装）</t>
  </si>
  <si>
    <t>調査10人日。★実質残ブロッカー①。依存=RHBK環境。包含=U2 §2.8.4 #1/2, §2.2.5 #1, §2.6制約3, CVE-2025-14559, O-U9-5</t>
  </si>
  <si>
    <t>basic-design/00a-remaining-tasks-and-effort.md §2 A/§3.1</t>
  </si>
  <si>
    <t>A-3</t>
  </si>
  <si>
    <t>G-SCIM（自作SCIM Facadeプロトタイプ実装 + Entra/Okta Validator + D1/D2 E2E + Soft Delete写像 + 500/1000テナントp99 + バルク5万件）</t>
  </si>
  <si>
    <t>調査20人日。包含=G-SCIM再定義版（U3 §3.7.2）, Facadeスケール手当て（D3-16）。D-4の入力</t>
  </si>
  <si>
    <t>A-4</t>
  </si>
  <si>
    <t>G-LDAP（B-SCIM-13）</t>
  </si>
  <si>
    <t>廃止（2026-07-30、LDAP顧客なし）。工数0人日。当初はW1最優先だったが対象外化</t>
  </si>
  <si>
    <t>A-5</t>
  </si>
  <si>
    <t>B-SCIM-12: SAML経由JITのSPI検証（NameID handling差）</t>
  </si>
  <si>
    <t>調査4人日。D-11 SAML IdPテンプレートの入力。包含=U3 §3.7.2, U2 §2.8.2</t>
  </si>
  <si>
    <t>A-6</t>
  </si>
  <si>
    <t>B-SCIM-14: 実IdP統合検証（Entra ID / Okta trialでClaims・iss・SPI発火・login_hint・amr差）</t>
  </si>
  <si>
    <t>調査8人日。Phase 1 β前必須。依存=A-5後推奨。包含=U3 §3.7.2, login_hint挙動差, mfa_indicator Mapper（U2 §2.4.2/2.4.4）</t>
  </si>
  <si>
    <t>A-7</t>
  </si>
  <si>
    <t>G-OSAKA: 大阪c7g/c7i在庫・vCPUクォータ・arm64 Machine Pool / RHBK Operator arm64対応</t>
  </si>
  <si>
    <t>調査3人日。包含=O-1, O-U8-2（U6 §6.8.1）</t>
  </si>
  <si>
    <t>A-8</t>
  </si>
  <si>
    <t>Argon2idスループット実測（KCデフォルト m=7MiB/t=5 でのreq/s実測 → サイジング補正）</t>
  </si>
  <si>
    <t>調査2人日。A-1環境相乗り可。包含=U6 §6.5.1, U7 §7.8.2</t>
  </si>
  <si>
    <t>A-9</t>
  </si>
  <si>
    <t>SAMLメタデータ自動更新の実機確認（metadata descriptor URL + Refresh periodが実機に存在・動作するか）</t>
  </si>
  <si>
    <t>調査2人日。外部突合で判明（Discussion #27828未解決＝文書と実装の乖離疑い）。1000+ IdPの証明書ローテ運用の前提。無ければ運用代替（D-12と連動）</t>
  </si>
  <si>
    <t>A-10</t>
  </si>
  <si>
    <t>SPI debounce負荷試験（100 RPS × 24h × 10万ユーザのAurora IOPS / Infinispan invalidate / Podリソース）</t>
  </si>
  <si>
    <t>調査5人日。A-1環境相乗り可。包含=B-SCIM-9（hearing L226）</t>
  </si>
  <si>
    <t>A-11</t>
  </si>
  <si>
    <t>小粒実機確認バンドル（multi-cluster v2版数 / ROSA SA issuer JWKS / Red Hat docs 403分のEUS・Operatorチャネル・監査ログ制約の本文確認）</t>
  </si>
  <si>
    <t>調査2人日。3点セットで1バッチ化。包含=O-U8-6, O-U7-8, E-11</t>
  </si>
  <si>
    <t>A-12</t>
  </si>
  <si>
    <t>ServiceNow SP連携の実機検証（SAML Client CL-SN-01実機 + L1 SCIM→L2 SAML JIT統合フロー + Matching Field突合 + Webhook配信）</t>
  </si>
  <si>
    <t>調査6人日。NameID=username / RSA-SHA256 / IdP-initiated無効。パターン選択B-SN-3未回答のため暫定②で検証。包含=U10 D-U10-01〜06</t>
  </si>
  <si>
    <t>basic-design/00a-remaining-tasks-and-effort.md §2 A/横串</t>
  </si>
  <si>
    <t>B. 他組織・エッジ連携確定</t>
  </si>
  <si>
    <t>B-1</t>
  </si>
  <si>
    <t>要求仕様書v1の発行〜回答反映（既存B部記述を要求仕様書として体裁化・発行、先方QA対応、回答の各単元反映）</t>
  </si>
  <si>
    <t>検討12人日。発行は即可。REQ-IN-01〜11/13・REQ-OUT-01〜06・REQ-DR-01〜05は全件未回答。包含=O-4（In-A/In-B）, O-7（NW Acct管理主体）, O-10（zero-egressのTGW接続可否）。★W0最優先</t>
  </si>
  <si>
    <t>basic-design/00a-remaining-tasks-and-effort.md §2 B</t>
  </si>
  <si>
    <t>B-2</t>
  </si>
  <si>
    <t>CloudFront→エッジLB到達方式 + NFWルート設計の技術詰め</t>
  </si>
  <si>
    <t>検討5人日。custom origin vs VPC origins × NFW ingressルート × In-B（TCPパススルーNLB）の相性整理、先方協議資料。B-1と同時発行。包含=REQ-IN-13, O-APP-1</t>
  </si>
  <si>
    <t>B-3</t>
  </si>
  <si>
    <t>CIDR台帳の凍結（社内NW・他組織・顧客CIDRの入手と衝突確認）</t>
  </si>
  <si>
    <t>検討2人日。install後変更不可のため構築前必須。依存=社内NWチーム。包含=A6a-5（06a §A.5）</t>
  </si>
  <si>
    <t>B-4</t>
  </si>
  <si>
    <t>3ゲート合意の交渉サポート資料（SLA選択肢・未合意時の要件改訂影響を先方向けに整理）</t>
  </si>
  <si>
    <t>検討4人日。依存=B-1。包含=G-EGRESS（O-2/O-U9-1）, G-EDGE-DR（O-U8-1）, G-PCI-WAF（REQ-IN-01明細+ATPフィールド添付）</t>
  </si>
  <si>
    <t>B-5</t>
  </si>
  <si>
    <t>Canary Bot除外合意（Canary送信元のWAF誤検知除外をREQ追補へ）</t>
  </si>
  <si>
    <t>検討1人日。依存=B-1。包含=A6a-3</t>
  </si>
  <si>
    <t>C. 設計是正・文書整合</t>
  </si>
  <si>
    <t>C-1</t>
  </si>
  <si>
    <t>U6サイジング是正（Podモデル+接続予算）</t>
  </si>
  <si>
    <t>検討4人日。「27 Pod」不整合是正、少数大型Podモデルへ寄せる設計判断、D-U6-08に接続予算規約追加。2026-07-30: フェデ:IdP-KC=50:50（B-BROK-1暫定）を入力に再計算（従前70/30→IdP-KC負荷が上がる方向）。公式算定式突合=15 req/s/vCPU・+150%ヘッドルーム・100 req/sあたりAurora 1,400 Write IOPS</t>
  </si>
  <si>
    <t>basic-design/00a-remaining-tasks-and-effort.md §2 C</t>
  </si>
  <si>
    <t>C-2</t>
  </si>
  <si>
    <t>Baseline整合3点（NFR-3 10M改訂 / §C-7改訂ステータスの01・00-index矛盾突合 / P-09「RT 30日」精密化）</t>
  </si>
  <si>
    <t>検討2人日。01 §1.4残タスクの消化</t>
  </si>
  <si>
    <t>C-3</t>
  </si>
  <si>
    <t>ADR反映残の一括処理（ADR-051の12項目 / 053 / 059 / 019 / 048 / 038 / 023 §L.8 + research波及文書修正）</t>
  </si>
  <si>
    <t>検討4人日。各設計書で確定済みの内容をADR側へ反映するのみ</t>
  </si>
  <si>
    <t>C-4</t>
  </si>
  <si>
    <t>小粒登録4点（legacy_spiのD3-04行追加 / REQ-IN-12のU6登録 / REQ-OUT-06起票 / Pod・Service CIDRずらし承認）</t>
  </si>
  <si>
    <t>検討1人日。単純追記。包含=A6a-2</t>
  </si>
  <si>
    <t>C-5</t>
  </si>
  <si>
    <t>宙に浮いた参照8件の解消（idp_priority→D-1 / AAL操作一覧→D-2 / canaryスコープ→D-10 / L4特権JIT API→D-15 / drawio→G-4 / 00計画書のSorry旧記述 / §C-7 / ADR-040・036トリガー追跡→F-4）</t>
  </si>
  <si>
    <t>検討2人日。行き先を確定しトラッカーに載せ直す</t>
  </si>
  <si>
    <t>C-6</t>
  </si>
  <si>
    <t>research波及文書修正（rosa-detailed-analysis §4/§7、rhbk-support-and-pricing §4.5）</t>
  </si>
  <si>
    <t>検討1人日。記述更新のみ</t>
  </si>
  <si>
    <t>C-7</t>
  </si>
  <si>
    <t>PCI DSSスコープのPhase 1除外化</t>
  </si>
  <si>
    <t>検討2人日。2026-07-30 B-PCI-1受け。U7 §7.7/§7.8のPCI対応記述を「Phase 1対象外（将来再開可）」へ降格（削除でなく無効化注記）。G-PCI-WAF/B-MFA-PCI-1の参照除去。注意: pci-dss-* / hearing-checklistは別スレッド編集中のため触らない</t>
  </si>
  <si>
    <t>C-8</t>
  </si>
  <si>
    <t>LDAP経路の対象外化（U2/U3のLDAP記述、ADR-025 §H、D3-04 ldap経路に「Phase 1対象外」注記）</t>
  </si>
  <si>
    <t>検討1人日。2026-07-30 B-LDAP-1受け。削除でなく降格。provisioned_by=ldapは将来用に予約</t>
  </si>
  <si>
    <t>D. 未確定設計の合同確定</t>
  </si>
  <si>
    <t>D-1</t>
  </si>
  <si>
    <t>idp_priority属性 + Orgセレクター表示順（U2×U4合同）</t>
  </si>
  <si>
    <t>検討2人日。包含=U2 §2.1.4, U4 #10</t>
  </si>
  <si>
    <t>basic-design/00a-remaining-tasks-and-effort.md §2 D</t>
  </si>
  <si>
    <t>D-2</t>
  </si>
  <si>
    <t>AAL2/AAL3要求操作一覧（RP契約の前倒し確定）</t>
  </si>
  <si>
    <t>検討3人日。B-APP-STEPUP-1は暫定でよい。包含=U5 §5.9.1 #2, U2 §2.8.4 #9</t>
  </si>
  <si>
    <t>D-3</t>
  </si>
  <si>
    <t>idmap補助DB物理配置</t>
  </si>
  <si>
    <t>検討2人日。包含=O-8, U3-OP-2</t>
  </si>
  <si>
    <t>D-4</t>
  </si>
  <si>
    <t>SCIM Facade実行形態（U3×U6×U9三者）</t>
  </si>
  <si>
    <t>検討3人日。依存=A-3実測が入力。包含=O-9, U3-OP-3, O-U9-4</t>
  </si>
  <si>
    <t>D-5</t>
  </si>
  <si>
    <t>idm-api内部ルート + サービス間認可</t>
  </si>
  <si>
    <t>D-6</t>
  </si>
  <si>
    <t>SES/メール送信設計（サンドボックス解除・SPF/DKIM・realm単位SMTP as-code）</t>
  </si>
  <si>
    <t>検討3人日。包含=A6a-1 + 外部突合（SMTP realm単位）</t>
  </si>
  <si>
    <t>D-7</t>
  </si>
  <si>
    <t>ITDR DynamoDB大阪方式 + Break-Glass大阪実体（U7×U8）</t>
  </si>
  <si>
    <t>検討3人日。包含=O-U7-7, O-U8-9</t>
  </si>
  <si>
    <t>D-8</t>
  </si>
  <si>
    <t>D3-17 portal値 + ext_拡張属性受入枠 + app 90日バッチオプトイン</t>
  </si>
  <si>
    <t>検討2人日。包含=U3 §3.8, U2 §2.6, U3-OP-1</t>
  </si>
  <si>
    <t>D-9</t>
  </si>
  <si>
    <t>idm-api周辺5点（エンタイトルメント×App Registryスキーマ統合 / 監査二重書き / 承認UI共用 / canaryスコープ / SLO境界）</t>
  </si>
  <si>
    <t>検討5人日。包含=U10-OP-3/4/6/7/8 + U9</t>
  </si>
  <si>
    <t>D-10</t>
  </si>
  <si>
    <t>LDAP経路の追加Flow設計</t>
  </si>
  <si>
    <t>廃止（2026-07-30、LDAPなし）。工数0人日</t>
  </si>
  <si>
    <t>D-11</t>
  </si>
  <si>
    <t>SAML IdPテンプレート（Mapper定義）</t>
  </si>
  <si>
    <t>検討2人日。依存=A-5。包含=U2 §2.8.2</t>
  </si>
  <si>
    <t>D-12</t>
  </si>
  <si>
    <t>IdP証明書ローテーション運用設計（SP側SAML鍵ローテ含む）</t>
  </si>
  <si>
    <t>検討3人日。依存=A-9（自動更新機能の実在結果を反映）。包含=U10-OP-1 + 外部突合（Realm鍵3-6ヶ月ローテ・passive保持）</t>
  </si>
  <si>
    <t>D-13</t>
  </si>
  <si>
    <t>ロックアウト×Brokerリスクスコア整合</t>
  </si>
  <si>
    <t>検討2人日。包含=U7 §7.2.1</t>
  </si>
  <si>
    <t>D-14</t>
  </si>
  <si>
    <t>ATPフォームフィールド添付 + HRD文言最終稿</t>
  </si>
  <si>
    <t>検討1人日。包含=U7 §7.8.1, U4 §4.1.3</t>
  </si>
  <si>
    <t>D-15</t>
  </si>
  <si>
    <t>L3昇格API配置</t>
  </si>
  <si>
    <t>検討2人日。依存=F-4（ADR-040完了後）。包含=U7 §7.6.1</t>
  </si>
  <si>
    <t>D-16</t>
  </si>
  <si>
    <t>ServiceNow移行・並走・削除連鎖の設計詰め（並走4Phase M0〜M3詳細手順 + 削除連鎖 + SN Break Glass実体 + SN-onlyユーザ移行/PW移行判定）</t>
  </si>
  <si>
    <t>basic-design/00a-remaining-tasks-and-effort.md §2 D/横串</t>
  </si>
  <si>
    <t>D-17</t>
  </si>
  <si>
    <t>アイデンティティモデル改訂（全顧客ユーザーをフェデ化。ローカル管理者=Broker/IdP-KC両KCの基盤運用者P-1のみ・踏み台/SSMクローズド接続）</t>
  </si>
  <si>
    <t>検討5人日。2026-07-30 A-5-2受け（P-07転換）。「管理者=ローカルPW+WebAuthn」をP-1運用者に限定し、P-2テナント管理者はMFA=フェデ側責任へ書換。別レイヤ注意: IdP-KCが収容するIdPなしテナントのエンドユーザはローカルPWだが通常Webログイン経由（踏み台ではない）。provisioned_by=local-adminはP-1運用者作成分に限定。改訂先=U2 §2.3.1, U3 D3-04, U4 D-U4-04, U7 D-U7-14</t>
  </si>
  <si>
    <t>D-18</t>
  </si>
  <si>
    <t>DRコールド化 + データ保全改訂（パイロットライト→手動コールドDR、RTO≈14日。2障害シナリオを区別）</t>
  </si>
  <si>
    <t>検討8人日。2026-07-30 G-EDGE-DR受け（P-05/P-15転換）。①リージョン災害→大阪でROSA再構築+データリストア ②論理破壊（IdPデータ破壊・誤削除・ランサム）→PITR/イミュータブルスナップショットからその場リストア。データ保全=Aurora自動バックアップ+PITR+定期スナップショット（大阪クロスリージョンコピー）+イミュータブルスナップショット（AWS Backup Vault Lock Compliance mode or 別Acctコピーで削除権限分離）。大阪再構築Runbook+リストアRunbook（RB-DR改訂）+U6大阪常時コスト削除。エッジ自動切替（REQ-DR-01/02）撤回。改訂先=U8全体, U6 §6.2, ADR-051, D-U8-06</t>
  </si>
  <si>
    <t>E. 新規検討領域</t>
  </si>
  <si>
    <t>E-1</t>
  </si>
  <si>
    <t>dev/stg環境設計（Acct構成・ROSAクラスタ数/共用方針・テストデータ・コスト）</t>
  </si>
  <si>
    <t>調査2+検討6=8人日。6 Acct体系はprod前提で現状どの単元にも無い。外部突合の薄領域判定①。現状はU9 §9.6.1の断片のみ</t>
  </si>
  <si>
    <t>basic-design/00a-remaining-tasks-and-effort.md §2 E</t>
  </si>
  <si>
    <t>E-2</t>
  </si>
  <si>
    <t>負荷試験一元計画書（keycloak-benchmark/Gatling・dataset投入・合格基準・「Pod増で1Pod性能低下」公式警告の織込み）</t>
  </si>
  <si>
    <t>検討4人日。実施自体はA-1等。★内部クリティカルパスの起点（E-2→A-1→C-1/D系）。根拠=薄領域判定②、keycloak.orgサイジングガイド「必ず自前の負荷試験を」</t>
  </si>
  <si>
    <t>basic-design/00a-remaining-tasks-and-effort.md §2 E/§4</t>
  </si>
  <si>
    <t>E-3</t>
  </si>
  <si>
    <t>FinOps/継続コスト管理（タグ戦略・予算アラート・テナント別原価・3y見積回収）</t>
  </si>
  <si>
    <t>検討4人日。Tag Policyは必須タグを強制できない→SCP/Config補完。包含=O-6。根拠=薄領域判定③、AWS Organizations/Cost公式</t>
  </si>
  <si>
    <t>E-4</t>
  </si>
  <si>
    <t>KC本番設定の詰め漏れ反映（http-max-queued-requests / 公開パス遮断表 / JGroups mTLS 30日自動ローテ / jdbc-ping / persistent-user-sessions前提確認）</t>
  </si>
  <si>
    <t>調査2+検討3=5人日。http-max-queued-requestsはデフォルト無制限→ロードシェディング必須。/admin・/metrics・/health・/realms/masterのプロキシ遮断はhostname分離と別作業。根拠=keycloak.org configuration-production / reverseproxy / caching</t>
  </si>
  <si>
    <t>E-5</t>
  </si>
  <si>
    <t>アップグレード運用の精密化（update-compatibility checkのCI組込み / DB・cache系変更=recreate全停止のメンテ窓設計 / RHBK EUS・チャネル確認）</t>
  </si>
  <si>
    <t>調査2+検討3=5人日。A-11と連動。根拠=keycloak.org update-compatibility、RHBKライフサイクル</t>
  </si>
  <si>
    <t>E-6</t>
  </si>
  <si>
    <t>Aurora接続の公式部品採否（AWS Advanced JDBC Wrapper failoverプラグイン採否 / migration-strategy選定 / WAL・バックアップ暗号化範囲確認）</t>
  </si>
  <si>
    <t>調査2+検討1=3人日。根拠=keycloak.org server/db</t>
  </si>
  <si>
    <t>E-7</t>
  </si>
  <si>
    <t>ROSA監査ログの中央集約制約（CloudWatch別Acct直接転送非サポートの本文確認 + 4.17.2+ OAuthログ肥大）</t>
  </si>
  <si>
    <t>調査2+検討1=3人日。D-U9-01/05の監査Acct集約方針と整合が必要。根拠=access.redhat.com/solutions/7002219（要確認）</t>
  </si>
  <si>
    <t>E-8</t>
  </si>
  <si>
    <t>brute force戦略選定 + アカウント列挙対策の明文化</t>
  </si>
  <si>
    <t>検討1人日。公式4戦略、ロックアウト起点の列挙リスク。根拠=keycloak.org server_admin</t>
  </si>
  <si>
    <t>F. ヒアリング・契約・法務</t>
  </si>
  <si>
    <t>F-1</t>
  </si>
  <si>
    <t>ヒアリング質問状のパッケージ化（127項目を優先度圧縮）</t>
  </si>
  <si>
    <t>検討2人日。2026-07-30で高ブロック6件は解消済み→残りはB-SN/B-MIG/B-TAP/B-DR/UX系が中心。hearing-checklist全127項目中未回答123（回答済はPoC自己解決4件のみ、顧客回答ゼロ）。★W0最優先（外部リードタイムが律速）</t>
  </si>
  <si>
    <t>basic-design/00a-remaining-tasks-and-effort.md §2 F/§0</t>
  </si>
  <si>
    <t>F-2</t>
  </si>
  <si>
    <t>ヒアリング回答反映（P表更新→影響単元改訂）</t>
  </si>
  <si>
    <t>検討8人日。C-201=Yes等の悪い回答時は別途増分。包含=P-03/04/07/17, B-*全群。依存=F-1の回答受領</t>
  </si>
  <si>
    <t>basic-design/00a-remaining-tasks-and-effort.md §2 F</t>
  </si>
  <si>
    <t>F-3</t>
  </si>
  <si>
    <t>法務系の起票と追撃（Red Hat DPA / Key Custodian Agreement / PPC報告雛形 / 契約テンプレ）</t>
  </si>
  <si>
    <t>検討2人日。★実質残ブロッカー②: Red Hat DPA=クラウド利用のAPPI同意は取得方針、残はSRE越境閲覧確認中の1点。契約テンプレ=Responsibility Matrix / MFA責任分界（12.9.2はPCI除外で不要）。包含=O-U7-5, U7 §7.1.2/7.7.3, U10 §10.6.3。★W0最優先</t>
  </si>
  <si>
    <t>basic-design/00a-remaining-tasks-and-effort.md §2 F/§3.1</t>
  </si>
  <si>
    <t>F-4</t>
  </si>
  <si>
    <t>ADR-040/036別スレッド完了後の統合（OOS残存参照整理）</t>
  </si>
  <si>
    <t>検討2人日。D-15の前提。包含=O-U9-9</t>
  </si>
  <si>
    <t>G. 運用実体化</t>
  </si>
  <si>
    <t>G-1</t>
  </si>
  <si>
    <t>Runbook Phase 1必須13冊の執筆（TEN-01/03、SEC-01〜06、DR-00〜05）</t>
  </si>
  <si>
    <t>検討16人日。仕様は各単元確定済み。W1でA系と並行可。包含=D-U9-07。参考: 残り23冊（G-2、20人日）はリリース後3ヶ月以内で可・総計外</t>
  </si>
  <si>
    <t>basic-design/00a-remaining-tasks-and-effort.md §2 G</t>
  </si>
  <si>
    <t>G-2</t>
  </si>
  <si>
    <t>（参考・総計外）Runbook残り23冊 — リリース後3ヶ月以内</t>
  </si>
  <si>
    <t>検討20人日（総計外）。包含=D-U9-07</t>
  </si>
  <si>
    <t>G-3</t>
  </si>
  <si>
    <t>オンコール/アラートRouting実体（PagerDuty契約・ローテーション）</t>
  </si>
  <si>
    <t>検討2人日。包含=O-U9-6</t>
  </si>
  <si>
    <t>G-4</t>
  </si>
  <si>
    <t>drawio清書（mermaid → AWSアイコン版、旧EKS図置換）</t>
  </si>
  <si>
    <t>検討4人日。包含=A6a-4。C-5の宙に浮いた参照の行き先</t>
  </si>
  <si>
    <t>認証基盤 要件定義・基本設計 進捗サマリー</t>
  </si>
  <si>
    <t>本表はGitからの派生ビュー（読み取り専用）。SSOTはGit側。</t>
  </si>
  <si>
    <t>② 系統別 内訳</t>
  </si>
  <si>
    <t>系統</t>
  </si>
  <si>
    <t>IDパターン</t>
  </si>
  <si>
    <t>FR-AUTH 認証フロー/Grant Type・PW管理</t>
  </si>
  <si>
    <t>FR-FED フェデレーション</t>
  </si>
  <si>
    <t>FR-MFA 多要素認証</t>
  </si>
  <si>
    <t>FR-SSO SSO・ログアウト・セッション</t>
  </si>
  <si>
    <t>FR-AUTHZ 認可</t>
  </si>
  <si>
    <t>FR-USER ユーザー管理</t>
  </si>
  <si>
    <t>FR-ADMIN 管理機能</t>
  </si>
  <si>
    <t>FR-INT 連携・標準準拠</t>
  </si>
  <si>
    <t>NFR-PERF 性能</t>
  </si>
  <si>
    <t>NFR-SCL スケーラビリティ</t>
  </si>
  <si>
    <t>NFR-SEC セキュリティ</t>
  </si>
  <si>
    <t>NFR-OPS 運用・監視</t>
  </si>
  <si>
    <t>NFR-COMP コンプライアンス</t>
  </si>
  <si>
    <t>NFR-MIG 移行</t>
  </si>
  <si>
    <t>A. PoC・技術ゲート実測（調査87人日）</t>
  </si>
  <si>
    <t>B. 他組織・エッジ連携確定（検討22人日）</t>
  </si>
  <si>
    <t>C. 設計是正・文書整合（検討17人日）</t>
  </si>
  <si>
    <t>D. 未確定設計の合同確定（検討50人日）</t>
  </si>
  <si>
    <t>E. 新規検討領域（調査10+検討23人日）</t>
  </si>
  <si>
    <t>F. ヒアリング・契約・法務（検討13人日）</t>
  </si>
  <si>
    <t>G. 運用実体化（検討22人日）</t>
  </si>
  <si>
    <t>③ 重点論点（2026-07-30 意思決定後）</t>
  </si>
  <si>
    <t>論点</t>
  </si>
  <si>
    <t>状態</t>
  </si>
  <si>
    <t>実質残ブロッカー①</t>
  </si>
  <si>
    <t>A-2 / G-SPI-Compat</t>
  </si>
  <si>
    <t>RHBK 26.4 × upstream Custom SPI 互換検証（HRD / Re-Activation）</t>
  </si>
  <si>
    <t>未着手（検証実施は確定）</t>
  </si>
  <si>
    <t>実質残ブロッカー②</t>
  </si>
  <si>
    <t>F-3 / G-DPA</t>
  </si>
  <si>
    <t>Red Hat SRE の越境閲覧確認（APPI 28条）。クラウド利用の同意は取得方針</t>
  </si>
  <si>
    <t>確認中</t>
  </si>
  <si>
    <t>W0 最優先（外部依頼）</t>
  </si>
  <si>
    <t>ヒアリング質問状のパッケージ化。全127項目中 未回答123（顧客回答ゼロ）</t>
  </si>
  <si>
    <t>要求仕様書v1の発行。REQ-IN/OUT/DR 全件未回答</t>
  </si>
  <si>
    <t>法務起票（Red Hat DPA 最優先）</t>
  </si>
  <si>
    <t>内部クリティカルパス</t>
  </si>
  <si>
    <t>E-2 → A-1 → C-1/D系</t>
  </si>
  <si>
    <t>負荷試験計画 → G-IdP-Scale実測(25人日) → キャッシュ・Pod・接続予算の最終値</t>
  </si>
  <si>
    <t>決定を受けた改訂タスク</t>
  </si>
  <si>
    <t>アイデンティティモデル改訂（全顧客ユーザーのフェデ化、P-07転換）</t>
  </si>
  <si>
    <t>DRコールド化＋データ保全改訂（RTO≈14日、P-05/P-15転換）</t>
  </si>
  <si>
    <t>スコープ除外</t>
  </si>
  <si>
    <t>A-4 / D-10 / G-LDAP</t>
  </si>
  <si>
    <t>LDAP 経路（LDAP顧客なし）</t>
  </si>
  <si>
    <t>対象外化で決着</t>
  </si>
  <si>
    <t>C-7 / G-PCI-WAF</t>
  </si>
  <si>
    <t>PCI DSS（対応不要）。削除でなく降格・将来再開可</t>
  </si>
  <si>
    <t>決めること（平易な説明）</t>
  </si>
  <si>
    <t>サーバー側で画面を組み立てるWebアプリのログイン方式をどうするか</t>
  </si>
  <si>
    <t>あるシステム向けの通行証を別システム向けに引き換える仕組みが必要か</t>
  </si>
  <si>
    <t>テレビやプリンタのように文字入力が難しい機器からログインする必要があるか</t>
  </si>
  <si>
    <t>電子証明書を使ってアプリ自身の身元を証明させる必要があるか</t>
  </si>
  <si>
    <t>IDとパスワードを直接アプリに預ける古い方式は使わない、という方針を確認する</t>
  </si>
  <si>
    <t>パスワードの最低文字数や、記号・数字を混ぜる条件をどう決めるか</t>
  </si>
  <si>
    <t>過去に使ったパスワードの再利用を禁止するか。禁止するなら何世代さかのぼるか</t>
  </si>
  <si>
    <t>ログイン失敗が続いたときアカウントを一時的に止めるか。何回で止め、いつ解除するか</t>
  </si>
  <si>
    <t>パスワードに有効期限を設けて定期変更を求めるか。何日で切るか</t>
  </si>
  <si>
    <t>利用者が自分でパスワードを再設定できるようにするか。その際の本人確認をどう行うか</t>
  </si>
  <si>
    <t>初回ログイン時にパスワードの変更を強制するか</t>
  </si>
  <si>
    <t>既存の認証サービス（Auth0）と連携してログインさせるか</t>
  </si>
  <si>
    <t>顧客が使っているMicrosoftのID基盤と連携するか。最優先で確認したい項目</t>
  </si>
  <si>
    <t>顧客が使っているOktaと連携するか</t>
  </si>
  <si>
    <t>Google Workspaceのアカウントでログインできるようにするか</t>
  </si>
  <si>
    <t>顧客側の旧来方式（SAML）のID基盤を受け入れる必要があるか</t>
  </si>
  <si>
    <t>自分たちが旧来方式（SAML）のID提供元として振る舞う必要があるか</t>
  </si>
  <si>
    <t>社内のディレクトリサーバー（LDAP/AD）と直接つなぐ必要があるか</t>
  </si>
  <si>
    <t>顧客ごとの独自ドメイン名でログイン画面を出す必要があるか</t>
  </si>
  <si>
    <t>初回ログイン時に利用者情報を自動で作るか。作る項目と、既存と重複したときの扱いをどうするか</t>
  </si>
  <si>
    <t>顧客側のID基盤から受け取る項目を、自分たちの項目にどう対応づけるか</t>
  </si>
  <si>
    <t>顧客側で追加認証を済ませた利用者に、こちらで二重に求めないための条件をどうするか</t>
  </si>
  <si>
    <t>複数の顧客のID基盤を同時に並行運用する前提でよいか</t>
  </si>
  <si>
    <t>新しい顧客を追加するときの申請から開通までの手順と、所要日数をどうするか</t>
  </si>
  <si>
    <t>ログイン画面で所属を利用者に選ばせるか、メールアドレスから自動判定するか</t>
  </si>
  <si>
    <t>スマホの認証アプリによる追加確認を用意するか</t>
  </si>
  <si>
    <t>指紋・顔認証やセキュリティキーを使ったパスワード不要のログインを用意するか</t>
  </si>
  <si>
    <t>SMS（携帯メッセージ）による追加確認を用意するか。費用と安全性をどう見るか</t>
  </si>
  <si>
    <t>メールによる追加確認を用意するか</t>
  </si>
  <si>
    <t>端末を失くしたとき用の予備コードを発行するか</t>
  </si>
  <si>
    <t>普段と違う場所や不審な状況のときだけ追加確認を求めるか。その判定基準をどうするか</t>
  </si>
  <si>
    <t>追加確認を全員必須にするか、役割ごとに任意とするか</t>
  </si>
  <si>
    <t>一度確認した端末を記憶して次回以降の追加確認を省くか。記憶する期間をどうするか</t>
  </si>
  <si>
    <t>管理者権限を持つ人には追加確認を必須にするか</t>
  </si>
  <si>
    <t>一度ログインすれば複数のアプリを使い回せる状態にするか</t>
  </si>
  <si>
    <t>顧客側のID基盤を経由した場合も同じく使い回せるようにするか</t>
  </si>
  <si>
    <t>ログアウト操作でアプリ内の状態だけを消す動作を用意するか</t>
  </si>
  <si>
    <t>ログアウト時に認証基盤側のログイン状態も併せて消すか</t>
  </si>
  <si>
    <t>ログアウト時に顧客側のID基盤のログイン状態まで消すか。どこまで連動させるか</t>
  </si>
  <si>
    <t>利用者のブラウザ経由で各アプリに一斉ログアウトを伝える方式を使うか</t>
  </si>
  <si>
    <t>サーバー同士の通信で各アプリに確実にログアウトを伝える方式を使うか</t>
  </si>
  <si>
    <t>無操作が続いたときに自動ログアウトするまでの時間をどうするか</t>
  </si>
  <si>
    <t>発行済みの通行証を有効期限前に強制的に無効化できる必要があるか</t>
  </si>
  <si>
    <t>管理者が特定の利用者のログイン状態を一括で切断できる機能を用意するか</t>
  </si>
  <si>
    <t>通行証に含まれる情報をもとに各アプリが権限を判定する方式でよいか</t>
  </si>
  <si>
    <t>顧客ごとのデータが混ざらないよう、所属情報を通行証に必ず載せるか</t>
  </si>
  <si>
    <t>役割（ロール）の情報を通行証に載せて権限判定に使うか</t>
  </si>
  <si>
    <t>役割に上下関係（上位が下位を兼ねる）を持たせるか</t>
  </si>
  <si>
    <t>システム同士の通信でも、呼び出せる機能の範囲を絞り込む仕組みを使うか</t>
  </si>
  <si>
    <t>顧客固有の項目を通行証に追加できるようにするか。追加を認める範囲をどこまでにするか</t>
  </si>
  <si>
    <t>AWSのAPI入口で通行証を検証する共通部品を用意するか</t>
  </si>
  <si>
    <t>通行証の発行元が複数ある状態を、各アプリが受け入れられるようにするか</t>
  </si>
  <si>
    <t>「この書類はこの人だけ」といった個別データ単位の細かい権限管理が必要か</t>
  </si>
  <si>
    <t>部署や職位などの属性を組み合わせて、その場で権限を決める仕組みが必要か</t>
  </si>
  <si>
    <t>利用者情報の登録・変更・削除を、誰がどの画面やAPIから行えるようにするか</t>
  </si>
  <si>
    <t>利用者の検索・一覧表示に必要な検索条件と表示項目をどうするか</t>
  </si>
  <si>
    <t>利用者を削除せず一時停止できる状態を用意するか</t>
  </si>
  <si>
    <t>退職・解約時に利用者情報と関連データをどこまで消すか。保存期間をどうするか</t>
  </si>
  <si>
    <t>標準で用意される項目以外に、独自に持たせたい項目を何にするか</t>
  </si>
  <si>
    <t>利用者をグループにまとめて管理する必要があるか</t>
  </si>
  <si>
    <t>誰がどの役割を割り当てられるようにするか</t>
  </si>
  <si>
    <t>利用者が自分のプロフィールを自分で編集できる範囲をどこまでにするか</t>
  </si>
  <si>
    <t>新規登録時に招待メールを送る運用にするか。文面と有効期限をどうするか</t>
  </si>
  <si>
    <t>顧客のID基盤から利用者情報を自動同期する標準方式に対応するか</t>
  </si>
  <si>
    <t>表形式ファイルによる一括登録を用意するか。1回あたりの上限件数をどうするか</t>
  </si>
  <si>
    <t>管理者が利用者のパスワードを強制的に再設定できるようにするか</t>
  </si>
  <si>
    <t>運用担当者が使う管理画面を、どこまで自前で作るか</t>
  </si>
  <si>
    <t>顧客テナントの追加・削除を誰がどの手順で行うか</t>
  </si>
  <si>
    <t>顧客のID基盤の登録・変更・削除を誰がどの手順で行うか</t>
  </si>
  <si>
    <t>アプリの登録と設定変更を誰がどの手順で行うか</t>
  </si>
  <si>
    <t>どんな役割を用意するかの定義を、誰が管理するか</t>
  </si>
  <si>
    <t>顧客ごとの設定が互いに見えない・触れない状態を、どう担保するか</t>
  </si>
  <si>
    <t>誰がいつ何をしたかの記録を、誰がどの画面で見られるようにするか</t>
  </si>
  <si>
    <t>設定変更の履歴をどこまで残し、いつまで保存するか</t>
  </si>
  <si>
    <t>運用担当者側の役割分担（見るだけ／変更できる等）をどう分けるか</t>
  </si>
  <si>
    <t>顧客自身に自社の利用者管理を任せるか。任せる範囲をどこまでにするか</t>
  </si>
  <si>
    <t>ログイン画面を顧客ごとのロゴや配色に変えられるようにするか。どこまで変えられるか</t>
  </si>
  <si>
    <t>業界標準の認証仕様に準拠する方針でよいか</t>
  </si>
  <si>
    <t>アプリが接続設定を自動取得できる標準の窓口を公開するか</t>
  </si>
  <si>
    <t>通行証の正しさを検証するための鍵情報を公開する窓口を用意するか</t>
  </si>
  <si>
    <t>旧来方式（SAML）向けの接続情報を公開する必要があるか</t>
  </si>
  <si>
    <t>AWSのAPI入口との接続方法を標準化するか</t>
  </si>
  <si>
    <t>操作記録を外部にどの形式・どの頻度で出すか</t>
  </si>
  <si>
    <t>操作記録をセキュリティ監視製品に送る必要があるか。送り先をどこにするか</t>
  </si>
  <si>
    <t>利用者が作られた等の出来事を他システムに自動通知する必要があるか。通知先と項目をどうするか</t>
  </si>
  <si>
    <t>外部から設定や利用者を操作するためのAPIを、どこまで公開するか</t>
  </si>
  <si>
    <t>設定を手作業ではなくコードで管理する方針でよいか。対象範囲をどこまでにするか</t>
  </si>
  <si>
    <t>何％の稼働率を顧客に約束するか。約束を下回ったときの扱いをどうするか。最重要の確認事項</t>
  </si>
  <si>
    <t>計画的な停止作業をいつ・どのくらいの頻度で行うか。事前通知をいつ出すか</t>
  </si>
  <si>
    <t>障害に備えて設備を複数の場所に分けて置くか</t>
  </si>
  <si>
    <t>部品が落ちたときに自動で立ち上げ直す仕組みを入れるか</t>
  </si>
  <si>
    <t>1か所壊れると全部止まる箇所をなくす方針でよいか</t>
  </si>
  <si>
    <t>更新作業中もサービスを止めない方式にするか</t>
  </si>
  <si>
    <t>ログインが何秒以内に返れば合格とするか</t>
  </si>
  <si>
    <t>権限チェック部分の応答時間の目標をどこに置くか</t>
  </si>
  <si>
    <t>通行証の検証を1秒あたり何件さばく必要があるか</t>
  </si>
  <si>
    <t>検証用の鍵情報を各アプリが何分間覚えておくか</t>
  </si>
  <si>
    <t>データベースの応答時間の目標をどこに置くか</t>
  </si>
  <si>
    <t>ログインが集中したとき、同時に何件まで耐える必要があるか</t>
  </si>
  <si>
    <t>入口で1秒あたりの受付上限をいくつにするか</t>
  </si>
  <si>
    <t>始業時など混み合う時間帯の想定と、その山をどう吸収するか</t>
  </si>
  <si>
    <t>利用者数の上限をいくらと想定して設計するか。最重要の確認事項</t>
  </si>
  <si>
    <t>同時にログイン状態になる人数を、最大いくらと見込むか</t>
  </si>
  <si>
    <t>顧客の数（接続するID基盤の数）を最大いくらと見込むか</t>
  </si>
  <si>
    <t>新しい顧客の接続を、依頼から何日で開通させるか</t>
  </si>
  <si>
    <t>混雑に応じて設備を自動で増減させるか。増やす・減らす判定基準をどうするか</t>
  </si>
  <si>
    <t>複数の地域で同時に稼働させる必要があるか</t>
  </si>
  <si>
    <t>データベースの拡張余地をどこまで確保するか</t>
  </si>
  <si>
    <t>通信の暗号化をどの水準で必須にするか</t>
  </si>
  <si>
    <t>保存データの暗号化をどこまで必須にするか。暗号鍵を誰が持つか</t>
  </si>
  <si>
    <t>通行証の署名方式に何を使うか</t>
  </si>
  <si>
    <t>パスワードをどの方式で保管するか。強度の設定値をどうするか</t>
  </si>
  <si>
    <t>接続用の秘密情報をどこに保管し、誰が取り出せるようにするか</t>
  </si>
  <si>
    <t>通行証の有効時間を何分にするか</t>
  </si>
  <si>
    <t>再ログインなしで使い続けられる期間を何日にするか</t>
  </si>
  <si>
    <t>本人確認情報の有効時間を何分にするか</t>
  </si>
  <si>
    <t>使い回しを防ぐため、更新のたびに引換券を作り替える方式にするか</t>
  </si>
  <si>
    <t>発行済みの通行証を有効期限前に取り消せる仕組みを用意するか</t>
  </si>
  <si>
    <t>なりすましを防ぐため、ログイン時に識別子を作り替えるか</t>
  </si>
  <si>
    <t>パスワードの総当たり攻撃への対処方式をどれにするか</t>
  </si>
  <si>
    <t>世の中に漏れていると分かっているパスワードの使用を拒否するか</t>
  </si>
  <si>
    <t>大量アクセス攻撃への備えをどこまで行うか。誰が担うか</t>
  </si>
  <si>
    <t>疑似攻撃による検査を行うか。頻度と実施者をどうするか</t>
  </si>
  <si>
    <t>弱点の自動検査をどの頻度で行うか。何を合格とするか</t>
  </si>
  <si>
    <t>不正アクセスを入口で遮る仕組みを適用するか。その設定を誰が管理するか</t>
  </si>
  <si>
    <t>サーバーを外部から直接触れない場所に置くか</t>
  </si>
  <si>
    <t>管理画面に誰がどこからアクセスできるようにするか</t>
  </si>
  <si>
    <t>鍵情報の公開窓口をどこまで守るか</t>
  </si>
  <si>
    <t>内部の部品同士の通信でも身元確認を必須にするか</t>
  </si>
  <si>
    <t>大きな障害からどれだけの時間で復旧させるか。最重要の確認事項</t>
  </si>
  <si>
    <t>障害時にどこまでのデータ喪失を許容するか。最重要の確認事項</t>
  </si>
  <si>
    <t>予備側への切替を自動で行うか、人の判断で行うか</t>
  </si>
  <si>
    <t>バックアップを何日分保持するか</t>
  </si>
  <si>
    <t>任意の時点まで巻き戻せる仕組みを用意するか。遡れる範囲を何日にするか</t>
  </si>
  <si>
    <t>バックアップを別の地域にも複製するか</t>
  </si>
  <si>
    <t>復旧手順の訓練をどの頻度で行うか。誰が参加するか</t>
  </si>
  <si>
    <t>切替時にログイン状態を維持するか、利用者に再ログインを求めるか</t>
  </si>
  <si>
    <t>何を監視項目とし、どの値を異常とみなすか</t>
  </si>
  <si>
    <t>誰にどの経路で通知するか。夜間・休日の対応をどうするか</t>
  </si>
  <si>
    <t>各種ログを何日保存するか</t>
  </si>
  <si>
    <t>障害時にログをどれだけ速く探せる状態にしておくか</t>
  </si>
  <si>
    <t>製品の更新をどの頻度・どの手順で当てるか</t>
  </si>
  <si>
    <t>脆弱性が公表されたとき、何日以内に対処するか</t>
  </si>
  <si>
    <t>設定変更の申請・承認・適用の流れを誰がどう回すか</t>
  </si>
  <si>
    <t>更新作業の自動化をどこまで行うか</t>
  </si>
  <si>
    <t>障害時の連絡体制と役割分担をどう組むか</t>
  </si>
  <si>
    <t>運用に何人月かかる前提とするか。誰が担当するか</t>
  </si>
  <si>
    <t>日本の個人情報保護法への対応範囲をどこまでにするか</t>
  </si>
  <si>
    <t>海外展開に伴う規制対応が必要か。対象となる地域はどこか</t>
  </si>
  <si>
    <t>データを日本国内に限定する必要があるか。最重要の確認事項</t>
  </si>
  <si>
    <t>第三者による内部統制の証明が必要か</t>
  </si>
  <si>
    <t>情報セキュリティの認証取得が必要か</t>
  </si>
  <si>
    <t>クレジットカード関連の規格対応が必要か</t>
  </si>
  <si>
    <t>米国政府が認定した暗号方式が必要か。最重要の確認事項</t>
  </si>
  <si>
    <t>法令上、操作記録を何年保存する必要があるか</t>
  </si>
  <si>
    <t>誰がいつ何を見たかを後から追える状態を、どこまで作るか</t>
  </si>
  <si>
    <t>利用者からの削除要求に、どの手順・何日以内で応じるか</t>
  </si>
  <si>
    <t>暗号鍵をどの頻度で入れ替えるか</t>
  </si>
  <si>
    <t>初期構築にいくらかけるか。予算枠をどこに置くか</t>
  </si>
  <si>
    <t>毎月の設備費をいくらまでとするか</t>
  </si>
  <si>
    <t>利用者1人あたりの単価をいくらと見るか</t>
  </si>
  <si>
    <t>上位プランを使う場合の追加費用をどう見るか</t>
  </si>
  <si>
    <t>災害対策のために毎月いくら追加でかけるか</t>
  </si>
  <si>
    <t>運用担当の人件費をいくらと見込むか</t>
  </si>
  <si>
    <t>製品サポート契約の費用をどう扱うか</t>
  </si>
  <si>
    <t>何人以上の規模なら自前で構築するほうが有利になるか</t>
  </si>
  <si>
    <t>上位プランと比べた場合、有利になる規模の境目をどこに置くか</t>
  </si>
  <si>
    <t>10万人規模で3年間の総額をいくらと見るか</t>
  </si>
  <si>
    <t>50万人規模で3年間の総額をいくらと見るか</t>
  </si>
  <si>
    <t>今の認証システムから利用者情報をどう移すか。件数と期間をどう見るか</t>
  </si>
  <si>
    <t>パスワードを再設定させずに引き継げるか。無理な場合、利用者にどう案内するか</t>
  </si>
  <si>
    <t>将来ほかの製品に乗り換えられる状態を、どこまで保つか</t>
  </si>
  <si>
    <t>自分たちのデータをいつでも取り出せる手段を用意するか</t>
  </si>
  <si>
    <t>新旧を並行稼働させて少しずつ移すか。並行期間をどれだけ取るか</t>
  </si>
  <si>
    <t>どの製品を使い、どの基盤の上に認証システムを作るか</t>
  </si>
  <si>
    <t>何人規模の利用を想定して設備の大きさを決めるか</t>
  </si>
  <si>
    <t>米国政府が認定した暗号方式が必要か</t>
  </si>
  <si>
    <t>顧客に約束する稼働率を何％にするか</t>
  </si>
  <si>
    <t>大きな障害からの復旧をどのやり方で行い、何日で元に戻すか</t>
  </si>
  <si>
    <t>顧客ごとのデータをどう分けて、互いに混ざらないようにするか</t>
  </si>
  <si>
    <t>どの種類の利用者を受け入れるか。誰を顧客側の仕組みでログインさせ、誰を自社で直接持つか</t>
  </si>
  <si>
    <t>利用者を一意に見分けるための番号の付け方をどうするか</t>
  </si>
  <si>
    <t>通行証の有効時間と、再ログインが必要になるまでの期間をどうするか</t>
  </si>
  <si>
    <t>通行証に何の情報を載せるか。個人情報は載せない方針でよいか</t>
  </si>
  <si>
    <t>顧客側のID基盤が行った本人確認の結果を、どこまで信用するか</t>
  </si>
  <si>
    <t>利用者情報を作る経路をどう用意するか（初回ログイン時の自動作成、顧客からの自動同期など）</t>
  </si>
  <si>
    <t>既存の業務システム（ServiceNow）との接続方式をどうするか</t>
  </si>
  <si>
    <t>新しいアプリと既存アプリで、それぞれどの接続方式を標準とするか</t>
  </si>
  <si>
    <t>どの地域に設備を置くか。予備の地域を平時から動かしておくか</t>
  </si>
  <si>
    <t>顧客のID基盤を何件まで繋ぐ想定にするか。その規模で本当に動くか</t>
  </si>
  <si>
    <t>設備をいくつのAWSアカウントに分けるか。業務アプリを同じ場所に置くか</t>
  </si>
  <si>
    <t>インターネットとの出入口を誰が管理するか。相手組織に何を要求として出すか</t>
  </si>
  <si>
    <t>顧客のID基盤を1000件つないでも実際に耐えられるか、動かして測る</t>
  </si>
  <si>
    <t>独自に作り込む部分が、採用する製品の正式版でも動くか実機で確かめる</t>
  </si>
  <si>
    <t>メールアドレスを持たない利用者でも、登録からログインまで完走できるか実機で確かめる</t>
  </si>
  <si>
    <t>顧客のID基盤からの利用者自動同期が、各社の仕様どおり動き、大量件数でも耐えるか確かめる</t>
  </si>
  <si>
    <t>予備の地域で必要な機材が実際に確保できるか確かめる</t>
  </si>
  <si>
    <t>外部への通信許可を追加するとき、誰にどう依頼し、何日で通るかを合意する</t>
  </si>
  <si>
    <t>海外の保守要員がデータを閲覧する可能性について、法令上の扱いを整理し合意する</t>
  </si>
  <si>
    <t>大きな障害が起きたときの切替方式と復旧目標を、顧客・関係組織と合意する</t>
  </si>
  <si>
    <t>社内ディレクトリとの直接連携を検証するか（不要と決着済み）</t>
  </si>
  <si>
    <t>クレジットカード規格向けの防御要件を確認するか（不要と決着済み）</t>
  </si>
  <si>
    <t>顧客のID基盤を1000〜2000件つないだ状態で、ログイン速度・管理画面の反応・メモリ消費が実用に耐えるかを実際に測る</t>
  </si>
  <si>
    <t>独自に作り込む4つの機能が、採用する製品の正式版でも問題なく動くか実機で確かめる</t>
  </si>
  <si>
    <t>利用者情報の自動同期の受け口を試作し、各社の検証ツールで仕様どおりか、大量件数でも遅くならないかを確かめる</t>
  </si>
  <si>
    <t>社内ディレクトリとの直接連携を検証するか（不要と決着し中止）</t>
  </si>
  <si>
    <t>旧来方式のID基盤を経由した場合も、初回ログイン時の利用者自動作成が正しく動くか確かめる</t>
  </si>
  <si>
    <t>Microsoft・Oktaの実環境につないで、受け取る情報や動きの違いを洗い出す</t>
  </si>
  <si>
    <t>予備の地域で必要な機材が実際に確保できるか、上限に引っかからないかを確認する</t>
  </si>
  <si>
    <t>パスワード検証の処理がどれだけの速さで回るかを測り、設備の大きさを補正する</t>
  </si>
  <si>
    <t>接続情報の自動更新機能が実機に本当にあるか確かめる。無ければ手作業での代替手順を決める</t>
  </si>
  <si>
    <t>独自機能に高い負荷をかけ続けたとき、データベースや各部品が耐えられるか測る</t>
  </si>
  <si>
    <t>製品の版数・鍵情報の窓口・ログの制約など、細かい確認事項をまとめて一度に確かめる</t>
  </si>
  <si>
    <t>既存の業務システムとの接続を実機で通し、利用者の突合や通知が正しく動くか確かめる</t>
  </si>
  <si>
    <t>インターネットの出入口を管理する相手組織に、こちらの要求を文書で出して回答をもらう</t>
  </si>
  <si>
    <t>外部からの通信を、相手組織の防御装置を通してどう届けるかを技術的に詰める</t>
  </si>
  <si>
    <t>使用するネットワークの番号を関係先から集め、重複がないか確認して確定させる（構築後は変更できない）</t>
  </si>
  <si>
    <t>稼働率・復旧目標・通信許可の3点について、選択肢と決まらない場合の影響を相手向けに整理する</t>
  </si>
  <si>
    <t>常時監視用の自動アクセスが誤って遮断されないよう、相手組織に除外を依頼する</t>
  </si>
  <si>
    <t>設備の台数と接続数の見積りに食い違いがあるので、方式を決め直して計算をやり直す</t>
  </si>
  <si>
    <t>想定人数などの記載が文書間で食い違っているので揃える</t>
  </si>
  <si>
    <t>各設計書で決まった内容を、決定記録の文書側にも反映する</t>
  </si>
  <si>
    <t>登録漏れになっている項目を各文書に追記する</t>
  </si>
  <si>
    <t>「別の場所で決める」と書いたまま行き先が決まっていない8件について、担当を確定させる</t>
  </si>
  <si>
    <t>調査メモの記述を最新の決定内容に合わせて直す</t>
  </si>
  <si>
    <t>クレジットカード規格の記載を「今回は対象外」に格下げする（将来再開できる形で残す）</t>
  </si>
  <si>
    <t>社内ディレクトリ連携の記載を「今回は対象外」に格下げする</t>
  </si>
  <si>
    <t>ログイン画面で所属の選択肢をどの順番で並べるかを決める</t>
  </si>
  <si>
    <t>どの操作のときに追加の本人確認を求めるか、その一覧を決める</t>
  </si>
  <si>
    <t>利用者の番号を対応づける台帳を、どこに置くかを決める</t>
  </si>
  <si>
    <t>利用者情報の自動同期の受け口を、どういう形で動かすかを決める</t>
  </si>
  <si>
    <t>管理用APIの内部の通り道と、部品同士の権限の与え方を決める</t>
  </si>
  <si>
    <t>通知メールをどこから送るか、なりすまし対策をどう設定するかを決める</t>
  </si>
  <si>
    <t>不正検知の記録と緊急時アクセスを、予備の地域でどう用意するかを決める</t>
  </si>
  <si>
    <t>追加で受け入れる利用者項目の枠と、その扱い方を決める</t>
  </si>
  <si>
    <t>権限一覧・記録の二重化・承認画面の共用など、管理API周辺の5点を決める</t>
  </si>
  <si>
    <t>社内ディレクトリ向けの追加設計（不要と決着し中止）</t>
  </si>
  <si>
    <t>旧来方式のID基盤をつなぐときの標準設定の雛形を作る</t>
  </si>
  <si>
    <t>接続に使う証明書を、どの手順で入れ替え運用するかを決める</t>
  </si>
  <si>
    <t>アカウント停止の判定と不審な動きの検知の判定が、互いに矛盾しないよう整合させる</t>
  </si>
  <si>
    <t>入力画面の項目と、所属を判定する画面の文言を確定させる</t>
  </si>
  <si>
    <t>特別に強い権限へ一時的に上げる仕組みを、どこに置くかを決める</t>
  </si>
  <si>
    <t>既存業務システムからの移行手順と、退職時に双方から消える連動の作り方を決める</t>
  </si>
  <si>
    <t>顧客の管理者も含め全員を顧客側の仕組みでログインさせる方針に合わせ、関連する設計文書を書き換える</t>
  </si>
  <si>
    <t>復旧を手動・約14日に変えた方針と、誤削除やランサム被害にも備えるバックアップ方式に合わせて設計文書を書き換える</t>
  </si>
  <si>
    <t>開発用・検証用の環境をどう用意するかを決める（現状は本番前提の設計しかない）</t>
  </si>
  <si>
    <t>性能試験のやり方と合格基準を1冊にまとめる。以降の実測作業すべての前提になる</t>
  </si>
  <si>
    <t>費用の見える化と予算超過の検知、顧客ごとの原価計算をどう行うかを決める</t>
  </si>
  <si>
    <t>高負荷時の受付制限や、管理用の入口を外部から遮断する設定など、本番運用向けの細部を決める</t>
  </si>
  <si>
    <t>製品更新のとき無停止でできるかを機械的に判定する方法と、止める場合の作業時間帯を決める</t>
  </si>
  <si>
    <t>データベース接続に公式の部品を使うか、切替時の動きをどうするかを決める</t>
  </si>
  <si>
    <t>基盤側のログを監査用の場所に集められるか制約を確認し、集約方針と整合させる</t>
  </si>
  <si>
    <t>総当たり攻撃への対策方式を選び、アカウントの有無を推測されない工夫を文書化する</t>
  </si>
  <si>
    <t>顧客に聞くべき127項目を優先度で絞り、質問状として送れる形にまとめる（未回答123件）</t>
  </si>
  <si>
    <t>顧客の回答を受けて前提表を更新し、影響する設計文書を直す</t>
  </si>
  <si>
    <t>契約・法令面の文書を起こして相手を追いかける（海外の保守要員による閲覧の扱いが最後の1点）</t>
  </si>
  <si>
    <t>別で進めている特権管理・監査の検討結果を、本体の文書に統合する</t>
  </si>
  <si>
    <t>運用担当者が障害時や作業時に見る手順書を、まず必須の13冊書く</t>
  </si>
  <si>
    <t>残りの手順書23冊を書く（稼働開始後3ヶ月以内でよい）</t>
  </si>
  <si>
    <t>夜間・休日の呼び出し当番と、通知の飛ばし方を実際に組む</t>
  </si>
  <si>
    <t>手書き相当の構成図を、正式な図に描き直す</t>
  </si>
  <si>
    <t>設計決定一覧（基本設計 02〜10 の正式決定）</t>
  </si>
  <si>
    <t>決定ID</t>
  </si>
  <si>
    <t>設計単元</t>
  </si>
  <si>
    <t>決定テーマ</t>
  </si>
  <si>
    <t>要件 → 設計決定 マッピング（漏れ探し用）</t>
  </si>
  <si>
    <t>要件側を主軸に並べ、対応する設計決定がない行を洗い出すための表。要件の文言は Sheet1 と数式で連動。</t>
  </si>
  <si>
    <t>要件ID</t>
  </si>
  <si>
    <t>要件の分類</t>
  </si>
  <si>
    <t>対応する設計決定ID</t>
  </si>
  <si>
    <t>対応状況</t>
  </si>
  <si>
    <t>備考・残論点</t>
  </si>
  <si>
    <t>U2 §2.1.3</t>
  </si>
  <si>
    <t>U2 §2.2.2</t>
  </si>
  <si>
    <t>U2 §2.2.3</t>
  </si>
  <si>
    <t>U2 §2.2.4</t>
  </si>
  <si>
    <t>U2 §2.2.5 #3</t>
  </si>
  <si>
    <t>U2 §2.2.5 #4</t>
  </si>
  <si>
    <t>U2 §2.2.5 #5</t>
  </si>
  <si>
    <t>U2 §2.3 共通制約</t>
  </si>
  <si>
    <t>U2 §2.3.1</t>
  </si>
  <si>
    <t>U2 §2.3.2</t>
  </si>
  <si>
    <t>U2 §2.4.1</t>
  </si>
  <si>
    <t>U2 §2.4.2</t>
  </si>
  <si>
    <t>U2 §2.4.3</t>
  </si>
  <si>
    <t>U2 §2.4.4</t>
  </si>
  <si>
    <t>U2 §2.5.1</t>
  </si>
  <si>
    <t>U2 §2.5.2</t>
  </si>
  <si>
    <t>U2 §2.7.5</t>
  </si>
  <si>
    <t>D3-02</t>
  </si>
  <si>
    <t>D3-03</t>
  </si>
  <si>
    <t>D3-04</t>
  </si>
  <si>
    <t>D3-06</t>
  </si>
  <si>
    <t>D3-11</t>
  </si>
  <si>
    <t>D3-12</t>
  </si>
  <si>
    <t>D3-13</t>
  </si>
  <si>
    <t>D3-14</t>
  </si>
  <si>
    <t>D3-15</t>
  </si>
  <si>
    <t>D3-16</t>
  </si>
  <si>
    <t>D3-17</t>
  </si>
  <si>
    <t>U5 トークン・認可</t>
  </si>
  <si>
    <t>U5 §5.1.3</t>
  </si>
  <si>
    <t>U5 §5.1.4</t>
  </si>
  <si>
    <t>U5 §5.2.1</t>
  </si>
  <si>
    <t>U5 §5.2.2</t>
  </si>
  <si>
    <t>U5 §5.2.3</t>
  </si>
  <si>
    <t>U5 §5.2.4</t>
  </si>
  <si>
    <t>U5 §5.3.2</t>
  </si>
  <si>
    <t>U5 §5.3.3</t>
  </si>
  <si>
    <t>U5 §5.4.3</t>
  </si>
  <si>
    <t>U5 §5.5.1</t>
  </si>
  <si>
    <t>U5 §5.5.2</t>
  </si>
  <si>
    <t>U5 §5.5.3</t>
  </si>
  <si>
    <t>U5 §5.6.1</t>
  </si>
  <si>
    <t>U5 §5.6.2</t>
  </si>
  <si>
    <t>U5 §5.6.3</t>
  </si>
  <si>
    <t>U5 §5.6.4</t>
  </si>
  <si>
    <t>U5 §5.6.5</t>
  </si>
  <si>
    <t>U5 §5.6.6</t>
  </si>
  <si>
    <t>U5 §5.8.2</t>
  </si>
  <si>
    <t>U2</t>
  </si>
  <si>
    <t>設計済</t>
  </si>
  <si>
    <t>ローカル認証は基盤運用者P-1のみに限定。踏み台/SSM経由でWebAuthn必須</t>
  </si>
  <si>
    <t>U5 §5.6.1 / §5.6.2</t>
  </si>
  <si>
    <t>U5</t>
  </si>
  <si>
    <t>response_type=code固定、PKCE S256必須。SPA直はL4ログアウト受信不可の制約付き</t>
  </si>
  <si>
    <t>BFF構成を既定推奨</t>
  </si>
  <si>
    <t>利用アプリごとに1 Confidential Client、Service Account有効</t>
  </si>
  <si>
    <t>U5 §5.3.1 / §5.3.2 / §5.3.3</t>
  </si>
  <si>
    <t>Pattern 2（audience縮小）/3（scope縮小）限定。V2のみ、なりすまし型は不採用</t>
  </si>
  <si>
    <t>－</t>
  </si>
  <si>
    <t>未対応</t>
  </si>
  <si>
    <t>部分</t>
  </si>
  <si>
    <t>Implicit/Hybrid禁止は明記。この方式の明示的な禁止条項は確認できず</t>
  </si>
  <si>
    <t>単元未取込</t>
  </si>
  <si>
    <t>U2 §2.1.4 / §2.3.2</t>
  </si>
  <si>
    <t>OIDC接続元として所属ごとに紐付けて登録。命名規約も確定</t>
  </si>
  <si>
    <t>U2 §2.3.2 / §2.4.4</t>
  </si>
  <si>
    <t>共通の接続規約と独自方式の追加確認情報の正規化は決定済。実機での差分は実測待ち</t>
  </si>
  <si>
    <t>同上。実機での差分は実測待ち</t>
  </si>
  <si>
    <t>共通規約でカバー。個別の検証は予定なし</t>
  </si>
  <si>
    <t>旧来方式の追加確認情報の正規化は決定済。接続設定の雛形づくりは未着手</t>
  </si>
  <si>
    <t>U3</t>
  </si>
  <si>
    <t>対象外</t>
  </si>
  <si>
    <t>今回は対象外に降格（将来用に区分値のみ予約）</t>
  </si>
  <si>
    <t>U2 §2.3.2 / §2.4.1 ・ D3-04 / D3-07</t>
  </si>
  <si>
    <t>U2+U3</t>
  </si>
  <si>
    <t>突合キーは所属＋変わらない利用者IDの組。再有効化の分岐と作成経路の区分まで確定</t>
  </si>
  <si>
    <t>U2 §2.5.3 ・ D3-15</t>
  </si>
  <si>
    <t>顧客側の項目を素通しせず、基盤の正しい形に写して配る原則を確立</t>
  </si>
  <si>
    <t>U2 §2.3.4 / §2.4.4</t>
  </si>
  <si>
    <t>顧客側で済んだ追加確認を属性で判定。情報がなければ未済扱い（安全側）</t>
  </si>
  <si>
    <t>U2 §2.1.2 / §2.7.3</t>
  </si>
  <si>
    <t>1顧客＝1所属単位。所属に紐付かない接続は禁止</t>
  </si>
  <si>
    <t>顧客追加は専用APIで差分適用と決定。実際の手順書と所要日数は運用側</t>
  </si>
  <si>
    <t>運用者は必須。顧客側の管理者は顧客の責任に変更（改訂作業が進行中）</t>
  </si>
  <si>
    <t>無操作1時間・最長24時間</t>
  </si>
  <si>
    <t>U2 §2.2.1 / §2.2.2</t>
  </si>
  <si>
    <t>自社の受け皿を接続先の1つとして登録する構成</t>
  </si>
  <si>
    <t>必須。アプリ内の状態を消し、手元の引換券も無効化する</t>
  </si>
  <si>
    <t>必須。戻り先URLは完全一致で登録（ワイルドカード禁止）</t>
  </si>
  <si>
    <t>U5 §5.5.1 ・ U2 §2.2.5 #1</t>
  </si>
  <si>
    <t>U5+U2</t>
  </si>
  <si>
    <t>顧客側まで消すのは既定オフ・顧客ごとの選択。自社の受け皿だけは既定オン</t>
  </si>
  <si>
    <t>この方式は不採用と決定</t>
  </si>
  <si>
    <t>U5 §5.5.4 / §5.5.3</t>
  </si>
  <si>
    <t>実装確定。画面だけのアプリは受信できない制約を明示</t>
  </si>
  <si>
    <t>U5 §5.1.1 / §5.6.3</t>
  </si>
  <si>
    <t>載せる情報を最小限に固定。受け取り側の検証6点も規定</t>
  </si>
  <si>
    <t>U5 §5.6.3 ・ U2 §2.5.3</t>
  </si>
  <si>
    <t>他人のデータを覗く攻撃を防ぐため、通行証の所属情報を常に優先する</t>
  </si>
  <si>
    <t>U2 §2.5.4 ・ U5 §5.1.2</t>
  </si>
  <si>
    <t>U2+U5</t>
  </si>
  <si>
    <t>管理系のみ役割情報を発行。業務アプリへの発行は禁止</t>
  </si>
  <si>
    <t>運用者向けの組み合わせ役割の言及のみ。一般的な階層設計は確認できず</t>
  </si>
  <si>
    <t>U5 §5.8.1 / §5.8.2</t>
  </si>
  <si>
    <t>操作範囲を10種に定義し、所属境界と二段構えで判定</t>
  </si>
  <si>
    <t>追加項目の命名規約と個人情報審査、通行証1KB上限を規定</t>
  </si>
  <si>
    <t>検証内容は確定。実装部品づくりはインフラ側</t>
  </si>
  <si>
    <t>U2 §2.1.1 ・ U5 §5.6.3</t>
  </si>
  <si>
    <t>発行元の完全一致検証を必須化</t>
  </si>
  <si>
    <t>本基盤は粗い粒度まで。細かい判定はアプリ責務と明確化</t>
  </si>
  <si>
    <t>D3-14 / D3-15</t>
  </si>
  <si>
    <t>同上。属性は正しい形に整えて配る</t>
  </si>
  <si>
    <t>D3-04 / D3-05 ・ U5 §5.8.1</t>
  </si>
  <si>
    <t>U3+U5</t>
  </si>
  <si>
    <t>アプリからの操作は専用API経由に限定（直接操作は不採用）</t>
  </si>
  <si>
    <t>D3-09 ・ U5 §5.8.1</t>
  </si>
  <si>
    <t>消さずに止める状態を用意し、停止日時を必ず記録</t>
  </si>
  <si>
    <t>D3-09 / D3-17</t>
  </si>
  <si>
    <t>3段階の削除。完全削除は次段階、削除の伝播は取りこぼさない仕組みで担保</t>
  </si>
  <si>
    <t>U2 §2.6 ・ D3-01 / D3-15</t>
  </si>
  <si>
    <t>持つ項目を事前に宣言し、宣言外の項目は保存できない</t>
  </si>
  <si>
    <t>D3-14 ・ U5 §5.8.1</t>
  </si>
  <si>
    <t>割当の器だけ基盤が持ち、意味づけはアプリ側</t>
  </si>
  <si>
    <t>D3-11 / D3-08</t>
  </si>
  <si>
    <t>自前の受け口を用意。削除要求は「止める」に置き換える</t>
  </si>
  <si>
    <t>流量制限の言及のみ。ファイル取込の設計は見当たらない</t>
  </si>
  <si>
    <t>管理者リセットを復旧手段として言及。運用手順は運用側</t>
  </si>
  <si>
    <t>D3-05 / D3-14</t>
  </si>
  <si>
    <t>自前の管理画面＋3層の権限で構成</t>
  </si>
  <si>
    <t>U2 §2.7.3 / §2.7.5</t>
  </si>
  <si>
    <t>専用APIで差分適用</t>
  </si>
  <si>
    <t>コードによる管理（基盤層）</t>
  </si>
  <si>
    <t>U2 §2.1.2 / §2.1.3 ・ U5 §5.8.2</t>
  </si>
  <si>
    <t>所属の境界と許可リストの二層で分離</t>
  </si>
  <si>
    <t>U2 §2.3.1 ・ D3-05</t>
  </si>
  <si>
    <t>運用者の2状態の役割は決定済。管理画面側の3層権限は別文書</t>
  </si>
  <si>
    <t>U5 §5.4.2 ・ D3-17</t>
  </si>
  <si>
    <t>U5+U3</t>
  </si>
  <si>
    <t>自分の顧客範囲に限定。顧客側で管理する形も用意</t>
  </si>
  <si>
    <t>U5 §5.6.1 / §5.6.3</t>
  </si>
  <si>
    <t>標準準拠の具体項目まで規定</t>
  </si>
  <si>
    <t>鍵情報の取得とキャッシュ更新を受け取り側の必須項目に</t>
  </si>
  <si>
    <t>U5 §5.8.1 / §5.8.2 ・ D3-05</t>
  </si>
  <si>
    <t>管理用APIと操作範囲10種を定義</t>
  </si>
  <si>
    <t>2層に分けてコード管理。既存の設定投入ツールは不採用と決定</t>
  </si>
  <si>
    <t>U2 §2.7.1〜§2.7.8</t>
  </si>
  <si>
    <t>1000件超を条件付き成立とし、必須対策7点と超過時の拡張方針まで確定</t>
  </si>
  <si>
    <t>U5 §5.2.1 / §5.2.3</t>
  </si>
  <si>
    <t>30分に確定。顧客別の短縮も専用の登録枠で可能</t>
  </si>
  <si>
    <t>U5 §5.2.1 / §5.2.2</t>
  </si>
  <si>
    <t>「30日」は設定可能上限の意味と解釈を確定。実効は無操作1時間ごとの更新で最長24時間</t>
  </si>
  <si>
    <t>U5 §5.2.1 / §5.1.1</t>
  </si>
  <si>
    <t>本人確認情報も30分（通行証と同一）</t>
  </si>
  <si>
    <t>毎回作り替える方式を有効化し、再利用検知で一族すべてを停止</t>
  </si>
  <si>
    <t>U5 §5.4.1 / §5.4.2 / §5.4.3</t>
  </si>
  <si>
    <t>3粒度＋緊急時の一括手順まで確定</t>
  </si>
  <si>
    <t>U5 §5.2.1 ・ U2 §2.7.1</t>
  </si>
  <si>
    <t>U5+U7</t>
  </si>
  <si>
    <t>署名方式は確定。鍵の入れ替え頻度はセキュリティ設計側</t>
  </si>
  <si>
    <t>④ 要件→設計 対応状況（漏れ探し）</t>
  </si>
  <si>
    <t>件数</t>
  </si>
  <si>
    <t>割合</t>
  </si>
  <si>
    <t>意味</t>
  </si>
  <si>
    <t>対応する設計決定が特定できた</t>
  </si>
  <si>
    <t>一部は決まっているが残りは未確定・他単元待ち</t>
  </si>
  <si>
    <t>取込済の設計書に対応する決定が見当たらない（★要確認）</t>
  </si>
  <si>
    <t>意図的にスコープ外と決着済</t>
  </si>
  <si>
    <t>該当設計書（U4/U6〜U10）未読込のため判定不能</t>
  </si>
  <si>
    <t>U4 認証体験・UX</t>
  </si>
  <si>
    <t>D-U4-05</t>
  </si>
  <si>
    <t>D-U4-06</t>
  </si>
  <si>
    <t>Landing = Pattern 1（許可サービスのみ表示）</t>
  </si>
  <si>
    <t>D-U4-07</t>
  </si>
  <si>
    <t>Sorry = 基盤側SPA主実装</t>
  </si>
  <si>
    <t>D-U4-08</t>
  </si>
  <si>
    <t>アクセシビリティ = WCAG 2.2 AA + JIS AA</t>
  </si>
  <si>
    <t>U4 §4.3.3</t>
    <phoneticPr fontId="2"/>
  </si>
  <si>
    <t>U4</t>
    <phoneticPr fontId="2"/>
  </si>
  <si>
    <t>部分</t>
    <phoneticPr fontId="2"/>
  </si>
  <si>
    <t>追加確認手段のリセット経路（テナント管理者／運用ランブック）は決定済。パスワード自体の自己リセット画面はカスタマイズ対象10ファイルに含まれず未確認</t>
    <phoneticPr fontId="2"/>
  </si>
  <si>
    <t>（なし）</t>
    <phoneticPr fontId="2"/>
  </si>
  <si>
    <t>未対応</t>
    <phoneticPr fontId="2"/>
  </si>
  <si>
    <t>D-U4-03</t>
    <phoneticPr fontId="2"/>
  </si>
  <si>
    <t>顧客別の画面出しはPhase 1不採用。顧客別URL方式はPhase 2オプションとして保留</t>
    <phoneticPr fontId="2"/>
  </si>
  <si>
    <t>U2 §2.3.3 / §2.7.2 ・ D-U4-01 / D-U4-02</t>
    <phoneticPr fontId="2"/>
  </si>
  <si>
    <t>U2+U4</t>
    <phoneticPr fontId="2"/>
  </si>
  <si>
    <t>設計済</t>
    <phoneticPr fontId="2"/>
  </si>
  <si>
    <t>接続先一覧は恒久非表示。識別子先行の2段階＋所属限定セレクター、失敗時の応答同一化まで確定</t>
    <phoneticPr fontId="2"/>
  </si>
  <si>
    <t>D-U4-04 ・ U4 §4.3.2</t>
    <phoneticPr fontId="2"/>
  </si>
  <si>
    <t>自社受け皿収容の利用者にWebAuthn不可時の代替として提供。6桁の自動送信はしない</t>
    <phoneticPr fontId="2"/>
  </si>
  <si>
    <t>D-U4-04 ・ U4 §4.3.2 ・ U2 §2.3.1</t>
    <phoneticPr fontId="2"/>
  </si>
  <si>
    <t>第一候補として提示。運用者は必須、最上位強度はこの方式のみ</t>
    <phoneticPr fontId="2"/>
  </si>
  <si>
    <t>D-U4-04</t>
    <phoneticPr fontId="2"/>
  </si>
  <si>
    <t>対象外</t>
    <phoneticPr fontId="2"/>
  </si>
  <si>
    <t>不採用を確定（推奨されない方式かつ個人情報を持つため）</t>
    <phoneticPr fontId="2"/>
  </si>
  <si>
    <t>基盤側の認証手段を持つ全員に発行。残3以下で再発行誘導、全消費時は強制再発行</t>
    <phoneticPr fontId="2"/>
  </si>
  <si>
    <t>U2 §2.3.5 ・ D-U4-04</t>
    <phoneticPr fontId="2"/>
  </si>
  <si>
    <t>状況に応じた判定はPhase 1対象外。画面の挿入位置も次段階で設計</t>
    <phoneticPr fontId="2"/>
  </si>
  <si>
    <t>対象者の区分で強制範囲を定義（外部フェデは顧客責任、自社受け皿収容と運用者は必須・猶予なし）</t>
    <phoneticPr fontId="2"/>
  </si>
  <si>
    <t>30日スキップの採否は未確定（未実装で設計済み、追加は設定変更のみで可）</t>
    <phoneticPr fontId="2"/>
  </si>
  <si>
    <t>U4 §4.2.3</t>
    <phoneticPr fontId="2"/>
  </si>
  <si>
    <t>アカウント設定画面は標準ベース＋文言/ロゴのみを暫定。編集可能項目の範囲は未確定</t>
    <phoneticPr fontId="2"/>
  </si>
  <si>
    <t>U4 §4.1.4</t>
    <phoneticPr fontId="2"/>
  </si>
  <si>
    <t>D-U4-03 ・ U4 §4.2.3</t>
    <phoneticPr fontId="2"/>
  </si>
  <si>
    <t>統一テーマ1本を採用し顧客別の差し替えはPhase 1不採用。カスタマイズ対象は10ファイルに限定</t>
    <phoneticPr fontId="2"/>
  </si>
  <si>
    <t>D-U7-04</t>
  </si>
  <si>
    <t>不正検知のパイプライン構成と配置</t>
  </si>
  <si>
    <t>D-U7-10b</t>
  </si>
  <si>
    <t>D-U7-19</t>
  </si>
  <si>
    <t>D-U7-17</t>
    <phoneticPr fontId="2"/>
  </si>
  <si>
    <t>U7</t>
    <phoneticPr fontId="2"/>
  </si>
  <si>
    <t>12文字以上＋英数混在＋漏洩パスワード照合を必須と確定</t>
    <phoneticPr fontId="2"/>
  </si>
  <si>
    <t>D-U7-05 / D-U7-17 ・ U2 §2.3.5</t>
    <phoneticPr fontId="2"/>
  </si>
  <si>
    <t>U2+U7</t>
    <phoneticPr fontId="2"/>
  </si>
  <si>
    <t>連続5回で30分ロック。恒久ロックはサービス妨害化を防ぐため不使用と明記</t>
    <phoneticPr fontId="2"/>
  </si>
  <si>
    <t>D-U7-14</t>
    <phoneticPr fontId="2"/>
  </si>
  <si>
    <t>全アクセスで追加確認を必須化することにより、定期変更の要件を適用外化する方針</t>
    <phoneticPr fontId="2"/>
  </si>
  <si>
    <t>D-U7-01 / D-U7-02</t>
    <phoneticPr fontId="2"/>
  </si>
  <si>
    <t>3階層の暗号鍵体系と命名規約、職務分離の鍵ポリシーまで確定</t>
    <phoneticPr fontId="2"/>
  </si>
  <si>
    <t>D-U7-03 ・ U5 §5.2.1</t>
    <phoneticPr fontId="2"/>
  </si>
  <si>
    <t>U5+U7</t>
    <phoneticPr fontId="2"/>
  </si>
  <si>
    <t>署名方式を確定し、標準機能で管理して90日周期で更新（旧鍵は30日並走）</t>
    <phoneticPr fontId="2"/>
  </si>
  <si>
    <t>12文字以上＋英数混在＋漏洩照合を確定。アルゴリズムの詳細値は末尾欠落部にあり未取得</t>
    <phoneticPr fontId="2"/>
  </si>
  <si>
    <t>D-U7-02 / D-U7-09 / D-U7-10a / D-U7-10b</t>
    <phoneticPr fontId="2"/>
  </si>
  <si>
    <t>保管庫管理＋90日自動更新＋設定への直書き禁止（機械検査）。内部は無秘密方式へ移行</t>
    <phoneticPr fontId="2"/>
  </si>
  <si>
    <t>D-U7-05 / D-U7-08 / D-U7-06</t>
    <phoneticPr fontId="2"/>
  </si>
  <si>
    <t>総当たり・横断的な試行・署名鍵悪用の4シグナルまで検知範囲を確定</t>
    <phoneticPr fontId="2"/>
  </si>
  <si>
    <t>D-U7-13</t>
    <phoneticPr fontId="2"/>
  </si>
  <si>
    <t>D-U7-16</t>
    <phoneticPr fontId="2"/>
  </si>
  <si>
    <t>D-U7-13 / D-U7-07</t>
    <phoneticPr fontId="2"/>
  </si>
  <si>
    <t>U7+U9</t>
    <phoneticPr fontId="2"/>
  </si>
  <si>
    <t>即時分析90日＋改ざん不能7年の2層。全ログはマスキング通過後に保存</t>
    <phoneticPr fontId="2"/>
  </si>
  <si>
    <t>検索基盤とデータレイク検索の2段構え。運用ダッシュボード化は運用設計側</t>
    <phoneticPr fontId="2"/>
  </si>
  <si>
    <t>D-U7-15b</t>
    <phoneticPr fontId="2"/>
  </si>
  <si>
    <t>D-U7-12 / D-U7-13</t>
    <phoneticPr fontId="2"/>
  </si>
  <si>
    <t>対象ログ源11種を必須セットとして列挙し、監査アカウントを唯一の集約先に確定</t>
    <phoneticPr fontId="2"/>
  </si>
  <si>
    <t>アカウントの存在有無を返さない汎用エラーと応答時間の均一化は確定。ログイン時の識別子作り替えの明示的な記述は確認できず</t>
    <phoneticPr fontId="2"/>
  </si>
  <si>
    <t>D-U7-05</t>
    <phoneticPr fontId="2"/>
  </si>
  <si>
    <t>漏洩パスワード照合を採用。ログイン成功時と設定変更時に照会し、ヒット時は変更強制／設定拒否</t>
    <phoneticPr fontId="2"/>
  </si>
  <si>
    <t>エッジ側の大規模攻撃防御は他組織へ要求。体積型は保証しないと責任分担表に明記。自管理側は自動増減で吸収余地のみ</t>
    <phoneticPr fontId="2"/>
  </si>
  <si>
    <t>ミラー同期パイプラインに脆弱性スキャンと署名検証を組み込む方針は確定。頻度と合格基準は未確定</t>
    <phoneticPr fontId="2"/>
  </si>
  <si>
    <t>不正自動化対策・認証情報リスト攻撃検知・流量制限（5分2000件/送信元）を要求仕様として明細化。設定管理は他組織</t>
    <phoneticPr fontId="2"/>
  </si>
  <si>
    <t>D-U7-12</t>
    <phoneticPr fontId="2"/>
  </si>
  <si>
    <t>D-U7-03 ・ U5 §5.6.3</t>
    <phoneticPr fontId="2"/>
  </si>
  <si>
    <t>鍵は90日周期で更新し旧鍵30日並走。窓口自体の保護レベルはインフラ側</t>
    <phoneticPr fontId="2"/>
  </si>
  <si>
    <t>前提側で不要と確定済み。本文の該当節も対象外化の改訂待ちと明記されている</t>
    <phoneticPr fontId="2"/>
  </si>
  <si>
    <t>D-U7-09 / D-U7-10a / D-U7-19</t>
    <phoneticPr fontId="2"/>
  </si>
  <si>
    <t>実行主体ごとに1ロール・完全一致の信頼設定。内部は無秘密方式へ移行し、両系統に届く単一権限を作らない</t>
    <phoneticPr fontId="2"/>
  </si>
  <si>
    <t>D-U8-02</t>
  </si>
  <si>
    <t>D-U8-03</t>
  </si>
  <si>
    <t>D-U8-04</t>
  </si>
  <si>
    <t>D-U8-07</t>
  </si>
  <si>
    <t>（廃止）予備地域を温めて待機する方式</t>
  </si>
  <si>
    <t>D-U8-10</t>
  </si>
  <si>
    <t>D-U8-12</t>
  </si>
  <si>
    <t>切り戻しは計画切替（データ喪失ゼロ）</t>
  </si>
  <si>
    <t>D-U8-01</t>
    <phoneticPr fontId="2"/>
  </si>
  <si>
    <t>U8</t>
    <phoneticPr fontId="2"/>
  </si>
  <si>
    <t>月間停止許容枠43.8分。計測は認証成功率で、計画停止と顧客側ID基盤起因は除外。律速は他組織管理のエッジで99.95%以上を要求仕様化</t>
    <phoneticPr fontId="2"/>
  </si>
  <si>
    <t>D-U8-01 / D-U8-04</t>
    <phoneticPr fontId="2"/>
  </si>
  <si>
    <t>月1回・深夜2〜4時・7日前通知で確定。機能追加を伴う版数更新はこの窓で実施</t>
    <phoneticPr fontId="2"/>
  </si>
  <si>
    <t>D-U8-02</t>
    <phoneticPr fontId="2"/>
  </si>
  <si>
    <t>最小3台を拠点ごとに分散配置し偏りを1に制限</t>
    <phoneticPr fontId="2"/>
  </si>
  <si>
    <t>同時停止許容数1、ノード障害は基盤側で自動置換、クラスタ再編も自動</t>
    <phoneticPr fontId="2"/>
  </si>
  <si>
    <t>D-U8-02 / D-U8-03</t>
    <phoneticPr fontId="2"/>
  </si>
  <si>
    <t>負荷分散・接続窓口・データベースをすべて3拠点化。出口装置を持たない構成</t>
    <phoneticPr fontId="2"/>
  </si>
  <si>
    <t>D-U8-04</t>
    <phoneticPr fontId="2"/>
  </si>
  <si>
    <t>設定変更と修正版は無停止（順次再起動）。機能追加を伴う更新のみ計画停止窓</t>
    <phoneticPr fontId="2"/>
  </si>
  <si>
    <t>D-U8-05 / D-U8-14 / D-U8-09</t>
    <phoneticPr fontId="2"/>
  </si>
  <si>
    <t>手動復旧・およそ14日で確定（2026-07-30に「1時間」から全面転換）。工程ごとの内訳と成立条件5点も定義</t>
    <phoneticPr fontId="2"/>
  </si>
  <si>
    <t>D-U8-14 / D-U8-10</t>
    <phoneticPr fontId="2"/>
  </si>
  <si>
    <t>3層で定義（継続複製=約1秒／時点復元=1秒精度／変更不能な控え=取得間隔）。ただし地域災害時にどこまで詰めるかは未決（継続複製の維持か定期取得のみか）</t>
    <phoneticPr fontId="2"/>
  </si>
  <si>
    <t>D-U8-08 / D-U8-05</t>
    <phoneticPr fontId="2"/>
  </si>
  <si>
    <t>判定チェックリストで2系統以上該当なら宣言。昇格・全体切替・切り戻しは手動承認、承認は検知から15分以内</t>
    <phoneticPr fontId="2"/>
  </si>
  <si>
    <t>D-U8-14</t>
    <phoneticPr fontId="2"/>
  </si>
  <si>
    <t>時点復元は1〜35日。定期取得の控えの保持期間は「無期限は永久課金のため避ける」方針のみで具体値は未確定</t>
    <phoneticPr fontId="2"/>
  </si>
  <si>
    <t>D-U8-14 / D-U8-06</t>
    <phoneticPr fontId="2"/>
  </si>
  <si>
    <t>1〜35日・1秒精度。論理破壊時の主たる復元手段と位置づけ</t>
    <phoneticPr fontId="2"/>
  </si>
  <si>
    <t>定期取得の控えを別地域かつ別アカウントへ複製。継続バックアップは別地域複製できない制約を明記</t>
    <phoneticPr fontId="2"/>
  </si>
  <si>
    <t>D-U8-13</t>
    <phoneticPr fontId="2"/>
  </si>
  <si>
    <t>年2回（上期=地域災害の作り直し／下期=論理破壊の復元）。他組織にも年1回以上の参加を要求</t>
    <phoneticPr fontId="2"/>
  </si>
  <si>
    <t>D-U8-10</t>
    <phoneticPr fontId="2"/>
  </si>
  <si>
    <t>維持しない方針を確定。全利用者が再認証となることを製品仕様として明文化し顧客との取り決めに記載</t>
    <phoneticPr fontId="2"/>
  </si>
  <si>
    <t>U8+U9</t>
    <phoneticPr fontId="2"/>
  </si>
  <si>
    <t>D-U8-14 / D-U8-11</t>
    <phoneticPr fontId="2"/>
  </si>
  <si>
    <t>U8+U6</t>
    <phoneticPr fontId="2"/>
  </si>
  <si>
    <t>予備地域の計算資源を平時ゼロにしたことで常時費用は削減。データ保全分の費用は未算定</t>
    <phoneticPr fontId="2"/>
  </si>
  <si>
    <t>D-U6-01</t>
  </si>
  <si>
    <t>6アカウント体系の確定</t>
  </si>
  <si>
    <t>D-U6-02</t>
  </si>
  <si>
    <t>アカウント間の権限原則と許可経路8本</t>
  </si>
  <si>
    <t>D-U6-11</t>
  </si>
  <si>
    <t>管理画面保護は3層防御＋管理用ホスト名の分離</t>
  </si>
  <si>
    <t>D-U6-12</t>
  </si>
  <si>
    <t>運用者の内部アクセス経路</t>
  </si>
  <si>
    <t>D-U6-04 / D-U6-10</t>
    <phoneticPr fontId="2"/>
  </si>
  <si>
    <t>U6</t>
    <phoneticPr fontId="2"/>
  </si>
  <si>
    <t>ピーク時1,000〜3,000件/秒を試算前提として設定。応答時間の合格値自体は負荷試験計画で確定予定</t>
    <phoneticPr fontId="2"/>
  </si>
  <si>
    <t>U5+U6</t>
    <phoneticPr fontId="2"/>
  </si>
  <si>
    <t>U5 §5.6.3 ・ D-U6-10</t>
    <phoneticPr fontId="2"/>
  </si>
  <si>
    <t>受け取り側にキャッシュと更新追従を義務付け、基盤側のキャッシュ初期値も明示。保持時間の具体値は未確定</t>
    <phoneticPr fontId="2"/>
  </si>
  <si>
    <t>D-U6-07 / D-U6-08</t>
    <phoneticPr fontId="2"/>
  </si>
  <si>
    <t>構成と接続プールは確定（総接続810に対し上限3,300で余裕）。応答時間の目標値は未確定</t>
    <phoneticPr fontId="2"/>
  </si>
  <si>
    <t>D-U6-04 ・ D-U6-05</t>
    <phoneticPr fontId="2"/>
  </si>
  <si>
    <t>ピーク1,000〜3,000件/秒で必要資源を算定し、上限台数（Broker 9／自社受け皿18）まで確定</t>
    <phoneticPr fontId="2"/>
  </si>
  <si>
    <t>D-U6-13</t>
    <phoneticPr fontId="2"/>
  </si>
  <si>
    <t>入口側の流量制限は他組織への要求仕様として明細化。自管理側の受付上限は未確定</t>
    <phoneticPr fontId="2"/>
  </si>
  <si>
    <t>D-U6-04</t>
    <phoneticPr fontId="2"/>
  </si>
  <si>
    <t>自動増減を採用。自社受け皿側は起動が遅いため、CPUではなく予兆（1台あたり毎秒8件超が3分継続）を優先トリガに</t>
    <phoneticPr fontId="2"/>
  </si>
  <si>
    <t>D-U6-05 ・ D-U6-04</t>
    <phoneticPr fontId="2"/>
  </si>
  <si>
    <t>10M上限で資源を算定。立ち上げ期から上限までの構成変更なしでの吸収可能性まで確認済み</t>
    <phoneticPr fontId="2"/>
  </si>
  <si>
    <t>D-U6-10</t>
    <phoneticPr fontId="2"/>
  </si>
  <si>
    <t>キャッシュ初期値は確定。同時セッション数そのものの見込み値は顧客確認待ち</t>
    <phoneticPr fontId="2"/>
  </si>
  <si>
    <t>委任方式が合意できれば翌営業日以内は成立。合意不成立時は要件自体の改訂へ差し戻す条件を明記</t>
    <phoneticPr fontId="2"/>
  </si>
  <si>
    <t>2系統に分離し、認証製品側のみ動的に増減。管理系は規模と監視量で準静的に調整</t>
    <phoneticPr fontId="2"/>
  </si>
  <si>
    <t>D-U6-03 ・ D-U8-05</t>
    <phoneticPr fontId="2"/>
  </si>
  <si>
    <t>U6+U8</t>
    <phoneticPr fontId="2"/>
  </si>
  <si>
    <t>平時は東京のみ稼働。予備地域は平時に計算資源を持たず被災時に作り直す方式で確定</t>
    <phoneticPr fontId="2"/>
  </si>
  <si>
    <t>D-U6-07 / D-U6-08 / D-U6-09</t>
    <phoneticPr fontId="2"/>
  </si>
  <si>
    <t>3拠点構成＋接続プール等値化。中継サービスは恩恵が薄く当面不採用と判断</t>
    <phoneticPr fontId="2"/>
  </si>
  <si>
    <t>D-U6-06 ・ D-U6-03</t>
    <phoneticPr fontId="2"/>
  </si>
  <si>
    <t>入口方式は通過型を推奨し、平文の出現位置を自管理側に閉じ込める。裏側通信は単方向の私設経路</t>
    <phoneticPr fontId="2"/>
  </si>
  <si>
    <t>U6+U7</t>
    <phoneticPr fontId="2"/>
  </si>
  <si>
    <t>D-U6-05</t>
    <phoneticPr fontId="2"/>
  </si>
  <si>
    <t>基盤部分は月額およそ2,032ドルと算定。データベース等を含む全体額は概算±30%</t>
    <phoneticPr fontId="2"/>
  </si>
  <si>
    <t>D-U6-03 ・ D-U6-05</t>
    <phoneticPr fontId="2"/>
  </si>
  <si>
    <t>製品サポートは基盤に内包され追加費用なしと確定</t>
    <phoneticPr fontId="2"/>
  </si>
  <si>
    <t>月額の内訳は算定済。3年総額としての集計は未実施</t>
    <phoneticPr fontId="2"/>
  </si>
  <si>
    <t>同上。規模別の線形加算の考え方のみ提示</t>
    <phoneticPr fontId="2"/>
  </si>
  <si>
    <t>U9 運用・監視・IaC</t>
  </si>
  <si>
    <t>D-U9-17</t>
  </si>
  <si>
    <t>D-U9-18</t>
  </si>
  <si>
    <t>D-U9-16</t>
  </si>
  <si>
    <t>常時監視用の自動アクセスの配置変更と検知範囲</t>
  </si>
  <si>
    <t>D-U9-05 / D-U9-06 ・ U5 §5.4.2</t>
    <phoneticPr fontId="2"/>
  </si>
  <si>
    <t>U5+U9</t>
    <phoneticPr fontId="2"/>
  </si>
  <si>
    <t>即時参照90日＋検索用1年＋長期7年。管理操作は全量を取込セットに含める</t>
    <phoneticPr fontId="2"/>
  </si>
  <si>
    <t>D-U9-06 / D-U9-11</t>
    <phoneticPr fontId="2"/>
  </si>
  <si>
    <t>U9</t>
    <phoneticPr fontId="2"/>
  </si>
  <si>
    <t>管理操作の全量を記録し、構成のずれ検知の照合元も兼ねる。ずれ検出時は正当／不正の分岐フローまで定義</t>
    <phoneticPr fontId="2"/>
  </si>
  <si>
    <t>D-U9-05</t>
    <phoneticPr fontId="2"/>
  </si>
  <si>
    <t>3層への出力経路を確定（即時参照・検索用・長期の変更不能保管）。全ソースがマスキング通過後に保存</t>
    <phoneticPr fontId="2"/>
  </si>
  <si>
    <t>D-U9-06</t>
    <phoneticPr fontId="2"/>
  </si>
  <si>
    <t>D-U9-01 / D-U9-02 / D-U9-03 ・ D-U8-01</t>
    <phoneticPr fontId="2"/>
  </si>
  <si>
    <t>計装14点と系列数の規約まで確定。接続先件数を注記した時系列で継続計測し基準値比+10%で警戒</t>
    <phoneticPr fontId="2"/>
  </si>
  <si>
    <t>D-U9-04 / D-U9-01</t>
    <phoneticPr fontId="2"/>
  </si>
  <si>
    <t>停止許容枠の消費速度で3段階（急速消費は即時呼出15分応答／緩慢はチャット／予兆は通知）</t>
    <phoneticPr fontId="2"/>
  </si>
  <si>
    <t>D-U9-14 ・ U2 §2.7.1</t>
    <phoneticPr fontId="2"/>
  </si>
  <si>
    <t>U2+U9</t>
    <phoneticPr fontId="2"/>
  </si>
  <si>
    <t>版数固定・イメージは識別子指定・管理ソフトは手動承認。修正版含む全昇格が1000件規模の回帰通過を必須</t>
    <phoneticPr fontId="2"/>
  </si>
  <si>
    <t>D-U9-13 / D-U9-14</t>
    <phoneticPr fontId="2"/>
  </si>
  <si>
    <t>脆弱性は重大24時間・高7日で対処。昇格経路は定例と同じパイプライン</t>
    <phoneticPr fontId="2"/>
  </si>
  <si>
    <t>D-U9-09 / D-U9-10 / D-U9-08</t>
    <phoneticPr fontId="2"/>
  </si>
  <si>
    <t>基盤層はコード管理でPR2名レビュー、顧客層は宣言ファイル＋自作エンジン。管理画面からの直接変更は禁則で機械強制</t>
    <phoneticPr fontId="2"/>
  </si>
  <si>
    <t>D-U9-12 / D-U9-13</t>
    <phoneticPr fontId="2"/>
  </si>
  <si>
    <t>組み立てから配信まで自動化し、本番昇格のみ手動承認。段階投入は15分の様子見＋自動巻き戻し</t>
    <phoneticPr fontId="2"/>
  </si>
  <si>
    <t>D-U9-04 / D-U9-07</t>
    <phoneticPr fontId="2"/>
  </si>
  <si>
    <t>警報の振り分けと手順書体系は確定。当初は業務時間内対応で、24時間体制は次段階</t>
    <phoneticPr fontId="2"/>
  </si>
  <si>
    <t>D-U9-15</t>
    <phoneticPr fontId="2"/>
  </si>
  <si>
    <t>6ステップの内訳と所要時間まで確定。基盤側の純作業2〜3時間で翌営業日以内は成立</t>
    <phoneticPr fontId="2"/>
  </si>
  <si>
    <t>D-U10-01</t>
  </si>
  <si>
    <t>U10 連携・移行</t>
  </si>
  <si>
    <t>既存業務システム連携の全体構成</t>
  </si>
  <si>
    <t>D-U10-03</t>
  </si>
  <si>
    <t>既存利用者の引き当てと内部IDの保全</t>
  </si>
  <si>
    <t>D-U10-04</t>
  </si>
  <si>
    <t>D-U10-05</t>
  </si>
  <si>
    <t>業務システム側の緊急用アカウント</t>
  </si>
  <si>
    <t>D-U10-06</t>
  </si>
  <si>
    <t>退職時の遮断連鎖と一括ログアウト</t>
  </si>
  <si>
    <t>D-U10-07</t>
  </si>
  <si>
    <t>管理API の構成</t>
  </si>
  <si>
    <t>D-U10-10</t>
  </si>
  <si>
    <t>利用可能アプリ一覧APIの仕様</t>
  </si>
  <si>
    <t>D-U10-08 ・ U5 §5.8.1</t>
    <phoneticPr fontId="2"/>
  </si>
  <si>
    <t>U5+U10</t>
    <phoneticPr fontId="2"/>
  </si>
  <si>
    <t>検索条件（文字列・社員番号・有効状態）とカーソル方式のページング（1回200件上限）まで確定</t>
    <phoneticPr fontId="2"/>
  </si>
  <si>
    <t>U3+U10</t>
    <phoneticPr fontId="2"/>
  </si>
  <si>
    <t>D-U10-08 ・ U4 §4.1.4</t>
    <phoneticPr fontId="2"/>
  </si>
  <si>
    <t>U4+U10</t>
    <phoneticPr fontId="2"/>
  </si>
  <si>
    <t>招待リンク発行のAPIは提供操作に含まれる。文面・有効期限とメール送信そのものの設計は未着手</t>
    <phoneticPr fontId="2"/>
  </si>
  <si>
    <t>D-U10-08 ・ U2 §2.1.2 / §2.7.5</t>
    <phoneticPr fontId="2"/>
  </si>
  <si>
    <t>U2+U10</t>
    <phoneticPr fontId="2"/>
  </si>
  <si>
    <t>所属の参照・更新と接続先の追加削除のAPIは確定。顧客の離脱・退出時の扱いは顧客確認が未了</t>
    <phoneticPr fontId="2"/>
  </si>
  <si>
    <t>D-U10-08 / D-U10-09</t>
    <phoneticPr fontId="2"/>
  </si>
  <si>
    <t>U10</t>
    <phoneticPr fontId="2"/>
  </si>
  <si>
    <t>役割一覧の取得と割当のAPIを提供。ただし基盤側の管理系役割のみで、業務権限は各アプリの責務と明確化</t>
    <phoneticPr fontId="2"/>
  </si>
  <si>
    <t>D-U10-09 ・ U5 §5.8.1</t>
    <phoneticPr fontId="2"/>
  </si>
  <si>
    <t>「アプリを使えるか」は管理画面側で持ちAPI照会で配り、アプリ内の詳細権限は各アプリが持つと役割分担を確定</t>
    <phoneticPr fontId="2"/>
  </si>
  <si>
    <t>D-U10-02</t>
    <phoneticPr fontId="2"/>
  </si>
  <si>
    <t>接続定義のテンプレートを新規作成し、識別名・突合属性・署名方式・戻り先URLまで確定</t>
    <phoneticPr fontId="2"/>
  </si>
  <si>
    <t>D-U10-11 ・ D-U9-06</t>
    <phoneticPr fontId="2"/>
  </si>
  <si>
    <t>U9+U10</t>
    <phoneticPr fontId="2"/>
  </si>
  <si>
    <t>正規化イベントを正とする配信機構は確定。顧客側の監視製品への標準形式提供は次段階</t>
    <phoneticPr fontId="2"/>
  </si>
  <si>
    <t>D-U10-11 ・ D3-10</t>
    <phoneticPr fontId="2"/>
  </si>
  <si>
    <t>配信7種・署名方式・重複排除・再送8回約24時間・待避キュー14日まで確定。個人情報は載せず受信側がAPI取得</t>
    <phoneticPr fontId="2"/>
  </si>
  <si>
    <t>D-U10-12</t>
    <phoneticPr fontId="2"/>
  </si>
  <si>
    <t>利用者集団を4分類し方式を割当。切替単位はアプリ単位、並走3〜6ヶ月</t>
    <phoneticPr fontId="2"/>
  </si>
  <si>
    <t>判定フローを確定。既定は並走方式で初回ログイン時に新方式へ再保存＝強制リセットなし。抽出不能や脆弱な方式のみリセット</t>
    <phoneticPr fontId="2"/>
  </si>
  <si>
    <t>D-U10-12 ・ U2 §2.7.4 / §2.7.5 ・ D-U8-06</t>
    <phoneticPr fontId="2"/>
  </si>
  <si>
    <t>U2+U8+U10</t>
    <phoneticPr fontId="2"/>
  </si>
  <si>
    <t>一括書き出し禁止とコード管理を正とする方針、旧IDの対応表記録までは確定。乗り換え評価そのものは未実施</t>
    <phoneticPr fontId="2"/>
  </si>
  <si>
    <t>D-U10-13 ・ D-U8-06</t>
    <phoneticPr fontId="2"/>
  </si>
  <si>
    <t>U8+U10</t>
    <phoneticPr fontId="2"/>
  </si>
  <si>
    <t>標準形式での書き出し手順を確定（秘匿値は含めない）。移転用は業界標準形式でも出力</t>
    <phoneticPr fontId="2"/>
  </si>
  <si>
    <t>D-U10-12 / D-U10-04</t>
    <phoneticPr fontId="2"/>
  </si>
  <si>
    <t>並走4段階と各段階の巻き戻し手段まで確定。並走期間は3〜6ヶ月</t>
    <phoneticPr fontId="2"/>
  </si>
  <si>
    <t>設計 → 要件 逆マッピング（根拠確認・過剰設計の洗い出し）</t>
  </si>
  <si>
    <t>分類の意味 ─ 内部技術判断: 要件から降りてこない実装判断で確認不要／スコープ増: 要件にないのに機能・工数・運用負荷が発生（要確認）／要件側の書き漏れ: 契約や実装ガイドに落とすべき制約の抜け（要確認）／参照漏れ: 前方マッピング側の紐付け漏れ（本表作成時に発見）／廃止済み: 方針転換で無効</t>
  </si>
  <si>
    <t>分類</t>
  </si>
  <si>
    <t>判断理由・確認すべきこと</t>
  </si>
  <si>
    <t>関連しそうな要件</t>
  </si>
  <si>
    <t>スコープ増</t>
  </si>
  <si>
    <t>★最重要。要件75+88件のどこにもアクセシビリティ要件がなく、前提P-01〜18にも該当なし。それにも関わらず全10画面の準拠、PRごとの自動検査でマージ禁止、月1回の手動検査、年1回の当事者テストという恒久運用が確定している。要件化するかレベルを下げるかの判断が必要</t>
  </si>
  <si>
    <t>（該当なし）</t>
  </si>
  <si>
    <t>★許可されたサービスをタイル表示する着地画面を独立アプリとして新規構築する決定。対応する機能要件がない。構築フェーズで30〜40人日の見積り枠に含まれる</t>
  </si>
  <si>
    <t>★上の着地画面の裏側API。表示判定の正をこのAPIに置く決定だが、要件側に着地画面がないため連鎖して根拠がない</t>
  </si>
  <si>
    <t>権限不足時の専用画面を基盤側で実装する決定。表示必須6項目・表示禁止5項目まで規定されているが対応する要件がない</t>
  </si>
  <si>
    <t>受け取り側実装ガイド: 403→Sorry誘導</t>
  </si>
  <si>
    <t>上のSorry画面へアプリ側からリダイレクトさせる規約。アプリ開発者に実装義務が発生するが要件・契約に落ちていない</t>
  </si>
  <si>
    <t>自作の管理画面＋専用API層＋関数実行という構成。要件は「管理コンソールUI」の1行のみで、3層権限・ブランド主役トポロジ・別障害ドメイン分離は要件を大きく超える</t>
  </si>
  <si>
    <t>判定エンジン＋履歴DB＋イベント送出専任の仕組みを新設する決定。要件側は総当たり対策と漏洩照合の2項目のみで、パイプライン構築の根拠が薄い</t>
  </si>
  <si>
    <t>NFR-SEC-010 / NFR-SEC-010-2</t>
  </si>
  <si>
    <t>統合コンテキスト射影</t>
  </si>
  <si>
    <t>読取専用の射影ストアを新設する決定。読取性能の実測が別途必要（検証ゲートの拡張項目）。対応する要件がない</t>
  </si>
  <si>
    <t>監査アカウントへの配置と運用主体の変更、認証実装漏れの検知という役割。要件側に外形監視の項目がない</t>
  </si>
  <si>
    <t>2〜3名分の緊急経路、ハードウェアキー必須、IP制限、四半期テストという恒久運用。要件側に該当項目がない</t>
  </si>
  <si>
    <t>顧客別の有効時間短縮オプション</t>
  </si>
  <si>
    <t>顧客ごとに短縮するために専用の登録枠を、規制対応にはさらに分離した領域を発行する運用が発生。要件側に顧客別設定の項目がない</t>
  </si>
  <si>
    <t>要件側の書き漏れ</t>
  </si>
  <si>
    <t>前提P-13に凍結値があるため根拠なしではないが、機能要件一覧に特定業務システム連携の項目が存在しない。設計書1冊の約半分＋実機検証6人日＋移行設計4人日が積まれており、要件一覧が前提を拾えていない</t>
  </si>
  <si>
    <t>（要件一覧に不在。前提P-13）</t>
  </si>
  <si>
    <t>同上。突合項目の選定と内部ID保全は移行の成否を分ける論点だが要件一覧に該当なし</t>
  </si>
  <si>
    <t>既存セッションが業務システム側のタイムアウトまで残る残余時間を顧客契約に明記する決定。契約条項として要件化されていない</t>
  </si>
  <si>
    <t>FR-SSO-005 / NFR-DR-008</t>
  </si>
  <si>
    <t>取り消し漏れ時間の侵害シナリオ</t>
  </si>
  <si>
    <t>通行証の取り消し後も最大30分の残余リスクが残ることを契約明示事項とする決定。5つのシナリオ別に整理されているが要件・契約に落ちていない</t>
  </si>
  <si>
    <t>NFR-SEC-008 / FR-SSO-009</t>
  </si>
  <si>
    <t>「30日」の解釈確定</t>
  </si>
  <si>
    <t>要件側の「30日」は設定可能上限の意味であり実効は最長24時間という解釈確定。要件文の記述と実効値が乖離しているため要件文自体の改訂が必要</t>
  </si>
  <si>
    <t>特定業務システムへの一括ログアウト</t>
  </si>
  <si>
    <t>成功率6〜8割かつ1つの無応答が連鎖を壊すため不実装とする例外決定。要件側の一括ログアウト項目にこの例外が反映されていない</t>
  </si>
  <si>
    <t>FR-SSO-005 / FR-SSO-006</t>
  </si>
  <si>
    <t>画面だけのアプリの限界の明示</t>
  </si>
  <si>
    <t>画面だけの構成では一括ログアウトを受信できないため、最大30分遅れを許容するか構成変更するかをアプリ側に選択させる決定。アプリ側の義務が要件化されていない</t>
  </si>
  <si>
    <t>緊急時の全通行証取り消し</t>
  </si>
  <si>
    <t>取り消しが受け取り側に伝播しないため発動後30分の追加監視を運用手順に含める決定。運用義務が要件化されていない</t>
  </si>
  <si>
    <t>個人情報非搭載の検証チェックリスト</t>
  </si>
  <si>
    <t>7項目の検証を「マッパー追加時レビュー・自動検査・四半期監査」の3箇所で回す恒久運用。要件側にこの運用の記載がない</t>
  </si>
  <si>
    <t>NFR-COMP-001 / FR-AUTHZ-006</t>
  </si>
  <si>
    <t>操作単位の再認証UX</t>
  </si>
  <si>
    <t>重要操作の直前に追加確認を求める仕組みと専用文言。要件側は「強制/任意の切替」までで、操作単位の再認証という概念が存在しない</t>
  </si>
  <si>
    <t>最上位強度の追加確認の転送</t>
  </si>
  <si>
    <t>2層構成をまたいで最上位強度の確認を要求する仕組み。上と同じく操作単位の再認証が要件にない</t>
  </si>
  <si>
    <t>予備地域から本番へ戻す手順と禁止3操作。要件側は切替方式までで、切り戻しの要件がない</t>
  </si>
  <si>
    <t>運用経路の二重化を必須とする決定（一方が他組織依存のため）。要件側に運用経路の可用性項目がない</t>
  </si>
  <si>
    <t>NFR-OPS-008 / NFR-SEC-017</t>
  </si>
  <si>
    <t>アプリ発利用者のライフサイクル扱い</t>
  </si>
  <si>
    <t>アプリ側に休眠検出時のAPI呼び出し義務を課し、未達アプリ向けに顧客単位のオプトイン設定を用意する決定。アプリ側の義務が開発標準・契約に落ちていない</t>
  </si>
  <si>
    <t>FR-USER-006 / NFR-COMP-010</t>
  </si>
  <si>
    <t>参照漏れ</t>
  </si>
  <si>
    <t>前方マッピングで管理画面アクセス制御の行にセキュリティ側の決定だけを紐付け、インフラ側のこの決定を拾い漏れていた。マッピング側を修正済み</t>
  </si>
  <si>
    <t>NFR-SEC-017 / NFR-SEC-016</t>
  </si>
  <si>
    <t>廃止済み</t>
  </si>
  <si>
    <t>2026-07-30の方針転換で廃止。確認不要</t>
  </si>
  <si>
    <t>所属単位の命名規則</t>
  </si>
  <si>
    <t>内部技術判断</t>
  </si>
  <si>
    <t>英数字2〜20文字・作成後変更不可・予約語禁止といった命名規約。要件から降りてくる性質のものではない</t>
  </si>
  <si>
    <t>仲介側の接続先登録</t>
  </si>
  <si>
    <t>2層構成を成立させるための接続設定。実装詳細</t>
  </si>
  <si>
    <t>受け皿側の接続枠登録</t>
  </si>
  <si>
    <t>同上。戻り先URLの完全一致や認証方式の段階昇格などの実装詳細</t>
  </si>
  <si>
    <t>2層間の属性受け渡し</t>
  </si>
  <si>
    <t>専用の属性グループに4種の変換を集約する実装詳細</t>
  </si>
  <si>
    <t>再認証要求の転送方針</t>
  </si>
  <si>
    <t>自社側へは転送し外部の顧客側へは転送しないという方針。挙動が相手依存で保証できないための実装判断</t>
  </si>
  <si>
    <t>入力補助値の書式契約</t>
  </si>
  <si>
    <t>2層間で渡す値の書式と寛容受理のルール。実装詳細</t>
  </si>
  <si>
    <t>認証フロー配置の共通制約</t>
  </si>
  <si>
    <t>製品の仕様上、特定の独自機能を最上位の必須位置に置けないという制約。実装レビューのチェック項目</t>
  </si>
  <si>
    <t>独自機能① 初回作成の制御</t>
  </si>
  <si>
    <t>再有効化の分岐や書込の冪等性など実装仕様</t>
  </si>
  <si>
    <t>独自機能② 所属判定</t>
  </si>
  <si>
    <t>失敗時は必ず後続へ降格させるなどの実装仕様</t>
  </si>
  <si>
    <t>再有効化の実装制約</t>
  </si>
  <si>
    <t>独自機能を分離せず統合し同一トランザクションで判定する実装判断</t>
  </si>
  <si>
    <t>既定で載せる情報の範囲</t>
  </si>
  <si>
    <t>通行証に載せる項目を最小限に固定する実装規約。個人情報を載せない方針自体は法対応の要件に紐づく</t>
  </si>
  <si>
    <t>宛先指定の変換定義</t>
  </si>
  <si>
    <t>API単位に専用の属性グループを作る実装規約</t>
  </si>
  <si>
    <t>宛先の命名規約</t>
  </si>
  <si>
    <t>短名を採用しURI形式は不採用という命名判断</t>
  </si>
  <si>
    <t>引き換えの登録枠設定方針</t>
  </si>
  <si>
    <t>機密扱い必須・個別有効化・縮小のみ許可などの実装規約</t>
  </si>
  <si>
    <t>受け取り側実装ガイド: 通信元制限とCookie属性</t>
  </si>
  <si>
    <t>ワイルドカード禁止やCookie属性の既定値。実装ガイドの細目</t>
  </si>
  <si>
    <t>受け取り側実装ガイド: ログアウト手順</t>
  </si>
  <si>
    <t>取り消し→破棄→リダイレクトの順序。実装ガイドの細目</t>
  </si>
  <si>
    <t>ID対応表のスキーマ</t>
  </si>
  <si>
    <t>履歴行方式の採用や外部キーの張り方。データ設計の実装詳細</t>
  </si>
  <si>
    <t>再有効化の条件仕様</t>
  </si>
  <si>
    <t>作成経路ごとの許可・拒否の分岐。実装仕様（ただし自動復帰の可否は顧客ポリシー確認の対象）</t>
  </si>
  <si>
    <t>確認事項の追跡表の一元管理</t>
  </si>
  <si>
    <t>8項目のゲートを1か所で管理するというプロジェクト管理手法</t>
  </si>
  <si>
    <t>アカウント分割の設計判断。要件からは降りないが、影響範囲の隔離という設計思想の根幹</t>
  </si>
  <si>
    <t>相互信頼を作らない原則と経路の限定。実装詳細だが横展開防止の根幹</t>
  </si>
  <si>
    <t>退職者遮断バッチの実行基盤</t>
  </si>
  <si>
    <t>実行時間の上限と管理APIの到達性から実行方式を選定した実装判断</t>
  </si>
  <si>
    <t>管理API群は別系統の配信経路</t>
  </si>
  <si>
    <t>認証を最優先・管理ツールを次位とする障害範囲分離の実装形態</t>
  </si>
  <si>
    <t>D-U7-12 / D-U7-11 / D-U6-11</t>
    <phoneticPr fontId="2"/>
  </si>
  <si>
    <t>3層防御（他組織側の遮断は保証せず自管理の拒否ルールが生命線）＋管理用ホスト名を公開DNSに載せない分離＋一時昇格経由に限定</t>
    <phoneticPr fontId="2"/>
  </si>
  <si>
    <t>D-U6-03 / D-U6-06 / D-U6-11 ・ D-U7-12</t>
    <phoneticPr fontId="2"/>
  </si>
  <si>
    <t>各アカウント専用の仮想ネットワークで内部限定配置。管理APIは内部限定の接続点経由でインターネットに露出しない</t>
    <phoneticPr fontId="2"/>
  </si>
  <si>
    <t>⑤ 設計→要件 逆マッピング（根拠確認）</t>
  </si>
  <si>
    <t>意味・対応</t>
  </si>
  <si>
    <t>要件から参照あり</t>
  </si>
  <si>
    <t>★要件にないのに機能・工数・運用負荷が発生。要件化か削除かの判断が必要</t>
  </si>
  <si>
    <t>★契約・実装ガイドに落とすべき制約の抜け。要件文の追記が必要</t>
  </si>
  <si>
    <t>前方マッピングの紐付け漏れ。本表作成時に発見し修正済み</t>
  </si>
  <si>
    <t>要件から降りてこない実装判断。確認不要</t>
  </si>
  <si>
    <t>方針転換で無効。確認不要</t>
  </si>
  <si>
    <t>直近5世代の再利用を禁止（2026 コミット 389e87c で反映、07 §7.8.1）。当初は判定不能としていたが真の漏れに再分類のうえ反映済み</t>
    <phoneticPr fontId="2"/>
  </si>
  <si>
    <t>初回ログイン時にパスワード変更を強制。対象は自社受け皿収容のローカルパスワード利用者で、顧客側ID基盤経由の利用者は対象外（2026 コミット 389e87c で反映、07 §7.8.1）</t>
    <phoneticPr fontId="2"/>
  </si>
  <si>
    <t>メールによる追加確認を不採用と明示（メール非保有利用者を受け入れる前提と衝突するため、パスキーと認証アプリの2方式に固定。2026 コミット 389e87c で反映、07 §7.7.2）</t>
    <phoneticPr fontId="2"/>
  </si>
  <si>
    <t>D-U9-04</t>
    <phoneticPr fontId="2"/>
  </si>
  <si>
    <t>権限コンテキスト取得の応答目標を暫定でp99 300ミリ秒未満と設定（2026 コミット 389e87c で反映、09 §9.2.1）。確定値は自動同期の検証ゲートとインフラ側サイジングの実測待ち</t>
    <phoneticPr fontId="2"/>
  </si>
  <si>
    <t>処理能力の律速要因に関する考察を追記（同上）。数値目標の確定はインフラ側サイジング実測待ち</t>
    <phoneticPr fontId="2"/>
  </si>
  <si>
    <t>－</t>
    <phoneticPr fontId="2"/>
  </si>
  <si>
    <t>要件・設計の双方で未確定。据え置き妥当と再監査で合意（キオスク端末でのパスキー利用は顧客確認に連動、機器向けの認証方式は未採用）</t>
    <phoneticPr fontId="2"/>
  </si>
  <si>
    <t>D-U10-01 / D-U10-02 ・ U2 §2.8.2</t>
    <phoneticPr fontId="2"/>
  </si>
  <si>
    <t>本基盤が業務システムに対して旧来方式のID提供元として振る舞う構成を決定（接続定義テンプレート・識別名・突合属性・署名方式まで確定）。当初「未対応」としたが誤判定</t>
    <phoneticPr fontId="2"/>
  </si>
  <si>
    <t>U2 §2.5.4 ・ D3-11 / D3-14</t>
    <phoneticPr fontId="2"/>
  </si>
  <si>
    <t>U2+U3</t>
    <phoneticPr fontId="2"/>
  </si>
  <si>
    <t>製品のグループ機能を業務認可に使わない方針を決定（02）。顧客側からのグループ同期は次段階（03）。認可は管理画面側のデータベースで持つ利用可否に一元化。当初「未対応」としたが意図的な方式選択のため対象外に再分類</t>
    <phoneticPr fontId="2"/>
  </si>
  <si>
    <t>D-U10-02 ・ U5 §5.6.3</t>
    <phoneticPr fontId="2"/>
  </si>
  <si>
    <t>接続設定の自動取得窓口は製品標準機能で成立。旧来方式側の接続情報の自動更新機能は実機確認予定（調査タスク A-9）。当初「未対応」としたが標準機能のため誤判定</t>
    <phoneticPr fontId="2"/>
  </si>
  <si>
    <t>D-U7-17 / D-U7-16</t>
    <phoneticPr fontId="2"/>
  </si>
  <si>
    <t>責任分担は決定済（入口側は他組織へ要求、自管理側は実装時に実施）。頻度の数値のみ未確定。当初「未対応」としたが責任の所在は決まっているため部分に再分類</t>
    <phoneticPr fontId="2"/>
  </si>
  <si>
    <t>00a 残タスク棚卸し ・ ADR-040</t>
    <phoneticPr fontId="2"/>
  </si>
  <si>
    <t>（設計書外）</t>
    <phoneticPr fontId="2"/>
  </si>
  <si>
    <t>構築フェーズの概算を16〜22人月と算定、運用体制は10名で別文書に確定済み。技術設計9冊には載せない方針のため、設計書側の欠落ではない</t>
    <phoneticPr fontId="2"/>
  </si>
  <si>
    <t>Trust Center ・ ADR-036</t>
    <phoneticPr fontId="2"/>
  </si>
  <si>
    <t>海外規制対応は第三者監査・情報開示の枠組み側で扱う方針。技術設計9冊の対象外</t>
    <phoneticPr fontId="2"/>
  </si>
  <si>
    <t>第三者による内部統制証明は同枠組み側で扱う方針</t>
    <phoneticPr fontId="2"/>
  </si>
  <si>
    <t>情報セキュリティ認証は同枠組み側で扱う方針</t>
    <phoneticPr fontId="2"/>
  </si>
  <si>
    <t>00a 残タスク棚卸し（B-PCI-1）</t>
    <phoneticPr fontId="2"/>
  </si>
  <si>
    <t>カード決済規格対応は今回スコープから除外を明示決定（削除ではなく降格で将来再開可）。当初「単元未取込」としたが決定済みのため再分類</t>
    <phoneticPr fontId="2"/>
  </si>
  <si>
    <t>proposal 側 ・ ADR-032 / ADR-058</t>
    <phoneticPr fontId="2"/>
  </si>
  <si>
    <t>費用系は提案書側の文書で扱う方針。技術設計9冊の対象外</t>
    <phoneticPr fontId="2"/>
  </si>
  <si>
    <t>同上</t>
    <phoneticPr fontId="2"/>
  </si>
  <si>
    <t>同上。人件費は別文書で決定済みで技術設計の対象外</t>
    <phoneticPr fontId="2"/>
  </si>
  <si>
    <t>⑥ 再監査の取込記録（設計側フル監査の結果）</t>
  </si>
  <si>
    <t>前提</t>
  </si>
  <si>
    <t>設計書9冊を全文（打ち切りなし）で突合し直した結果を反映。当初本表は1ファイル40,000文字の制限で末尾が欠けていたが、打ち切り部が隔していた項目はなかったことを確認済み</t>
  </si>
  <si>
    <t>真の漏れ</t>
  </si>
  <si>
    <t>4件のみ（初回パスワード強制変更・パスワード履歴・メールによる追加確認・応答目標値）。いずれもコミット 389e87c で設計側に反映済み</t>
  </si>
  <si>
    <t>判定見直し</t>
  </si>
  <si>
    <t>8件を再分類（設計側に既に決定あり、または意図的先送り）。以前の「未対応」判定は設計書の読み取り範囲不足による誤判定が主因</t>
  </si>
  <si>
    <t>設計書外</t>
  </si>
  <si>
    <t>費用5件は提案書側、第三者監査・情報開示系3件は別枠組み側、運用工数2件は残タスク棚卸し側で決定済み。技術設計9冊には載せない方針</t>
  </si>
  <si>
    <t>文書同期待ち</t>
  </si>
  <si>
    <t>セキュリティ設計書冒頭の「改訂待ち」注記（カード決済規格の除外・管理者のローカル認証前提）は、残タスク側の改訂2件が未実施のため残存しているもので、網羅性の穴ではない</t>
  </si>
  <si>
    <r>
      <t>根拠が</t>
    </r>
    <r>
      <rPr>
        <sz val="9"/>
        <color theme="1"/>
        <rFont val="游ゴシック"/>
        <family val="2"/>
        <charset val="128"/>
      </rPr>
      <t>辩</t>
    </r>
    <r>
      <rPr>
        <sz val="9"/>
        <color theme="1"/>
        <rFont val="Meiryo UI"/>
        <family val="2"/>
        <charset val="128"/>
      </rPr>
      <t>できる。確認不要</t>
    </r>
  </si>
  <si>
    <t>D-U5-14</t>
  </si>
  <si>
    <t>受け取り側実装ガイド: 通行証の検証（必須7点）</t>
    <phoneticPr fontId="2"/>
  </si>
  <si>
    <t>①署名方式の検証と鍵情報のキャッシュ（鍵の入れ替えに追従）②発行元の完全一致 ③有効期限と発行時刻（時刻ずれ許容60秒以内）④宛先が自分のAPI識別子を含むこと、不一致は拒否 ⑤接続元アプリを許可リストで検証 ⑥所属情報を、要求が触れる全リソースの所属範囲と一致強制（他人のデータを覗く攻撃の防御。経路やリクエスト本文の指定より通行証の値を常に優先）⑦【2026-08-12追加】ヘッダの種別が通行証用であることを検証し、別種のトークンの流用を拒否（署名が通っても種別不一致は拒否）。リソース単位の権限判定はアプリ責務</t>
    <phoneticPr fontId="2"/>
  </si>
  <si>
    <t>セルフサービスのセッション・端末管理</t>
  </si>
  <si>
    <t>安全な登録手続き（登録の乗っ取り対策）</t>
  </si>
  <si>
    <t>D-U4-11</t>
  </si>
  <si>
    <t>ADR番号</t>
  </si>
  <si>
    <t>表題</t>
  </si>
  <si>
    <t>ステータス</t>
  </si>
  <si>
    <t>ADR-065</t>
  </si>
  <si>
    <t>ADR-066</t>
  </si>
  <si>
    <t>非人間IDのガバナンス</t>
  </si>
  <si>
    <t>ADR-067</t>
  </si>
  <si>
    <t>認可判定ログ＋アクセス再認証</t>
  </si>
  <si>
    <t>同意管理・同意レシート</t>
  </si>
  <si>
    <t>G-SSF</t>
  </si>
  <si>
    <t>継続アクセス評価の実機検証（製品の実験的機能である配信側の動作確認と、自作の送出部品との機能差・性能比較）</t>
  </si>
  <si>
    <t>通行証の取り消しが受け取り側に届かない残余時間（最大30分）を数秒まで縮める仕組みが実際に使えるか、製品標準に乗るか自作を続けるかを判定する</t>
  </si>
  <si>
    <t>2026-08-12 追加。第2段階（製品標準の配信側へ移行）へ進めるかの判定材料。1000万規模でのイベント配信性能も測定対象。あわせて顧客確認 B-CAEP-1（顧客側ID基盤の送信可否／受け取り側への配布範囲）が必要</t>
  </si>
  <si>
    <t>U7 §7.5.3 ・ U2 §2.2.3 ・ D-U5-13</t>
    <phoneticPr fontId="2"/>
  </si>
  <si>
    <t>U2+U5+U7</t>
    <phoneticPr fontId="2"/>
  </si>
  <si>
    <t>アプリ認証方式の段階昇格を決定（第1段階=送信型の秘密情報／第2段階=鍵ペア方式へ一括昇格／第3段階=相互証明書方式）。要件の意図は「アプリの身元証明」で確定（用語集と要件の配置で裏取り済み、利用者本人の証明書ログイン要件は不在）。2026-08-12追加=金融グレード仕様への姿勢を整理し、相互証明書方式は金融グレードの顧客が出た時点で必須化する条件付き採用と明確化。第3段階の実施条件のみ未確定のため部分</t>
    <phoneticPr fontId="2"/>
  </si>
  <si>
    <t>U5 §5.2.1 / §5.2.3 ・ U2 §2.2.5 #2 ・ D-U5-11 / D-U4-09</t>
    <phoneticPr fontId="2"/>
  </si>
  <si>
    <t>U2+U4+U5</t>
    <phoneticPr fontId="2"/>
  </si>
  <si>
    <t>無操作1時間・最長24時間。顧客別の短縮は専用の登録枠で、規制対応は分離した領域で実現。2026-08-12追加=管理系に同時セッション数の上限、利用者が自分でセッションと端末を確認・失効できる画面</t>
    <phoneticPr fontId="2"/>
  </si>
  <si>
    <t>U5 §5.4.1 / §5.4.3 / §5.2.4 ・ D-U5-09 / D-U4-09</t>
    <phoneticPr fontId="2"/>
  </si>
  <si>
    <t>U4+U5</t>
    <phoneticPr fontId="2"/>
  </si>
  <si>
    <t>取消の仕組みは用意。最大30分の取り消し漏れ時間が残ることを明示。2026-08-12追加=継続アクセス評価を目標構成に据え、高価値経路は数秒まで短縮する3段階計画。利用者による自己失効も追加</t>
    <phoneticPr fontId="2"/>
  </si>
  <si>
    <t>U5 §5.4.2 ・ D-U5-11 / D-U5-09</t>
    <phoneticPr fontId="2"/>
  </si>
  <si>
    <t>U5</t>
    <phoneticPr fontId="2"/>
  </si>
  <si>
    <t>個別・顧客単位・全体の3粒度。2026-08-12追加=同時セッション数の上限で失効時の影響範囲を縮小、失効イベントの標準配信で受け取り側への伝播を高速化</t>
    <phoneticPr fontId="2"/>
  </si>
  <si>
    <t>D-U7-15 / D-U7-15b / D-U7-21 ・ U2 §2.6</t>
    <phoneticPr fontId="2"/>
  </si>
  <si>
    <t>漏えい報告の7ステップと期限、委託先監督の方針まで確定。2026-08-12追加=同意の記録・撤回・監査証跡（同意レシート）の枠組み。越境や第三者提供が絡む顧客は必須</t>
    <phoneticPr fontId="2"/>
  </si>
  <si>
    <t>D-U7-15b / D-U7-21</t>
    <phoneticPr fontId="2"/>
  </si>
  <si>
    <t>国内2拠点に限定し越境は最小化。保守要員の越境閲覧の扱いが確認中の唯一の論点。2026-08-12追加=越境が絡む顧客には同意レシートを必須化</t>
    <phoneticPr fontId="2"/>
  </si>
  <si>
    <t>D-U9-06 / D-U9-05 / D-U9-20 ・ D-U7-12</t>
    <phoneticPr fontId="2"/>
  </si>
  <si>
    <t>取込イベントセットを確定し監査アカウントを唯一の集約先に。2026-08-12追加=認可判定の決定ログ（誰が・何に・なぜ・ポリシー版）を出力し、最小権限の証明と定期棚卸しの証跡を担保</t>
    <phoneticPr fontId="2"/>
  </si>
  <si>
    <t>D-U10-13 / D-U10-13b ・ D3-09 / D3-17</t>
    <phoneticPr fontId="2"/>
  </si>
  <si>
    <t>停止処理＋監査ログの仮名化で応答し物理削除は行わない方針を確定。全対応を7年保管。2026-08-12追加=消去要求と7年間の改ざん不能監査の境界を明文化（個人データ本体は消去、監査ログ内の主体識別子は仮名化して保持）。応答期限日数は顧客確認待ち</t>
    <phoneticPr fontId="2"/>
  </si>
  <si>
    <t>継続アクセス評価</t>
  </si>
  <si>
    <t>B-CAEP-1</t>
  </si>
  <si>
    <t>顧客側ID基盤が失効イベントを送信できるか。受け取り側アプリへ受信部品をどこまで配布するか</t>
  </si>
  <si>
    <t>通行証の取り消しが受け取り側に届かない残余時間（最大30分）を数秒に縮める仕組みを、どこまで適用できるかを決める</t>
  </si>
  <si>
    <t>最優先。回答により第3段階（顧客側からの失効受信）の要否と、第1段階の適用対象アプリの範囲が決まる。関連=D-U5-09 / ADR-065 / ゲート G-SSF</t>
  </si>
  <si>
    <t>requirements/hearing-checklist.md §5.6</t>
  </si>
  <si>
    <t>テナント隔離</t>
  </si>
  <si>
    <t>B-TENANT-ISO-1</t>
  </si>
  <si>
    <t>顧客ごとのレート制限・上限の既定値と、大口顧客や規制対象顧客を別領域へ分離する基準</t>
  </si>
  <si>
    <t>一部の顧客の急増が他の顧客に波及しないための上限値と、論理分離から物理分離へ移す判断基準を決める</t>
  </si>
  <si>
    <t>最優先。単一領域構成は資源・障害の隔離を自動的には伴わないため、隔離を契約として明文化する前提となる。関連=D-U6-14</t>
  </si>
  <si>
    <t>非人間ID</t>
  </si>
  <si>
    <t>B-NHI-1</t>
  </si>
  <si>
    <t>顧客側の機械通信アカウントの責任者を顧客と自社のどちらが持つか。棚卸し責任の分界</t>
  </si>
  <si>
    <t>機械同士の通信に使うアカウントが誰の管理下にあるかを決める。責任者が空欄だと孤立検知が機能しない</t>
  </si>
  <si>
    <t>関連=D-U7-20 / ADR-066。台帳では責任者を必須項目とし空欄は自動検査で拒否する設計のため、分界の合意が前提</t>
  </si>
  <si>
    <t>セッション管理</t>
  </si>
  <si>
    <t>B-SESS-1</t>
  </si>
  <si>
    <t>管理系利用者の同時セッション数の上限をいくつにするか</t>
  </si>
  <si>
    <t>無制限のセッションは失効時の影響範囲と乗っ取りリスクを拡大するため、上限値を決める</t>
  </si>
  <si>
    <t>関連=D-U5-11。一般利用者は無制限のままとし、上限は管理系のみに適用する方針</t>
  </si>
  <si>
    <t>B-SESS-2</t>
  </si>
  <si>
    <t>利用者が自分のセッションと端末を確認・失効できる画面を今回提供するか</t>
  </si>
  <si>
    <t>不審な端末の即時失効を利用者自身で行えるようにするかを決める</t>
  </si>
  <si>
    <t>関連=D-U4-09。顧客側ID基盤を使う利用者については本基盤のセッションのみが対象</t>
  </si>
  <si>
    <t>テストデータ</t>
  </si>
  <si>
    <t>B-TESTDATA-1</t>
  </si>
  <si>
    <t>検証環境の個人情報について、マスキング方式と適用範囲をどうするか</t>
  </si>
  <si>
    <t>本番相当の個人情報を検証環境に置かないための方式（不可逆マスキングか合成データか）を決める</t>
  </si>
  <si>
    <t>関連=D-U9-19。1000万規模の実データの非本番露出は法令上の重大な責任</t>
  </si>
  <si>
    <t>アクセス再認証</t>
  </si>
  <si>
    <t>B-IGA-REC-1</t>
  </si>
  <si>
    <t>権限の定期棚卸しの頻度と実施主体を、自社・顧客・監査のどこに置くか</t>
  </si>
  <si>
    <t>過剰な権限や孤立した権限を定期的に是正する枠組みの分担を決める</t>
  </si>
  <si>
    <t>関連=D-U9-20 / ADR-067。既定案=基盤運用者は四半期、顧客テナント管理者は半期、アプリ権限は年次、非人間IDは四半期</t>
  </si>
  <si>
    <t>認可ログ</t>
  </si>
  <si>
    <t>B-AUTHZLOG-1</t>
  </si>
  <si>
    <t>監査人が求める認可証跡の粒度と保持期間</t>
  </si>
  <si>
    <t>「なぜ許可したか」をどこまで記録するかを決める。全件記録は量が律速になる</t>
  </si>
  <si>
    <t>関連=D-U9-20 / ADR-067。既定案=拒否は全件、高権限操作の許可も全件、一般の読み取りは集約</t>
  </si>
  <si>
    <t>登録手続き</t>
  </si>
  <si>
    <t>B-ENROLL-1</t>
  </si>
  <si>
    <t>2台目以降の認証手段の登録に、どこまでの再確認を求めるか</t>
  </si>
  <si>
    <t>盗んだパスワードで攻撃者が自分の認証器を登録し正規利用者を締め出す手口への対策レベルを決める</t>
  </si>
  <si>
    <t>関連=D-U4-10。既定案=既存の認証手段または予備コードによる再認証を必須とし、第1要素だけでの追加登録を禁止</t>
  </si>
  <si>
    <t>復旧手段</t>
  </si>
  <si>
    <t>B-RECOV-1</t>
  </si>
  <si>
    <t>認証器のみ・メール非保有の利用者が締め出された場合の復旧方針</t>
  </si>
  <si>
    <t>メールによる追加確認を不採用としたため、メール経由のリセット経路が存在しない状況での復旧手段を決める</t>
  </si>
  <si>
    <t>関連=D-U4-11。既定案=2台目の事前登録を強く推奨、復旧時に確認の強度を下げない、永久的な締め出しを避ける管理者経路を用意</t>
  </si>
  <si>
    <t>同意管理</t>
  </si>
  <si>
    <t>B-CONSENT-1</t>
  </si>
  <si>
    <t>同意の記録・撤回・監査証跡（同意レシート）が必要か。対象となる顧客の範囲</t>
  </si>
  <si>
    <t>属性の受け渡し・越境・利用目的に対する同意をどこまで形式的に管理するかを決める</t>
  </si>
  <si>
    <t>関連=D-U7-21。既定案=自社が主体のサービスのため同意画面はオフ運用可としつつ、越境や第三者提供が絡む顧客には必須</t>
  </si>
  <si>
    <t>消去と保持</t>
  </si>
  <si>
    <t>B-RTBF-1</t>
  </si>
  <si>
    <t>消去要求の対象と、監査のため仮名化して残す対象の境界</t>
  </si>
  <si>
    <t>忘れられる権利と7年間の改ざん不能な監査証跡の衝突をどう線引きするかを決める</t>
  </si>
  <si>
    <t>関連=D-U10-13b。既定案=個人データ本体は消去し、監査ログ内の主体識別子は仮名化して保持</t>
  </si>
  <si>
    <t>新興ID</t>
  </si>
  <si>
    <t>B-AGENT-1</t>
  </si>
  <si>
    <t>自動エージェントによる代理実行のIDをどう扱うか</t>
  </si>
  <si>
    <t>人ではないが人の代理で動く主体を、どのIDとして発行し統制するかを決める</t>
  </si>
  <si>
    <t>姿勢のみで今回は実装なし。関連=D-U5-12（委譲制御）/ ADR-066（非人間ID台帳の種別拡張で受ける）</t>
  </si>
  <si>
    <t>B-FAPI-1</t>
  </si>
  <si>
    <t>金融グレードの仕様準拠を求める顧客が存在するか</t>
  </si>
  <si>
    <t>要求内容の事前登録・要求の署名・送信者拘束を必須化するかの判断材料</t>
  </si>
  <si>
    <t>姿勢のみで今回は実装なし。関連=D-U5-13。該当顧客が出た時点で必須化する条件付き採用</t>
  </si>
  <si>
    <t>B-IPSIE-1</t>
  </si>
  <si>
    <t>企業向け相互運用プロファイルへの準拠を求められるか</t>
  </si>
  <si>
    <t>業界標準の相互運用プロファイルにどこまで合わせるかの姿勢を決める</t>
  </si>
  <si>
    <t>姿勢のみで今回は実装なし。設計単元の作業分解でも「姿勢のみ・実装なし・回答待ち」と整理されている</t>
  </si>
  <si>
    <t>出典: github.com/suepie/aws-atuh-poc（doc/requirements + doc/basic-design + doc/adr）/ commit 9511a58 / 明細は「進捗一覧」「設計決定一覧」参照</t>
  </si>
  <si>
    <t>9511a588380a5518ae08d25795cc1a23e074c8ad（2026-08-12 網羅性再監査 反映後）</t>
  </si>
  <si>
    <t>出典: github.com/suepie/aws-atuh-poc  doc/basic-design/  commit 9511a58 ／ Gitからの派生ビュー（読み取り専用）。2026-08-12 網羅性再監査で16件追加</t>
  </si>
  <si>
    <t>「要件→設計」シートのどの要件からも参照されていない設計決定 50件（全185件中）を分類。参照あり135件は根拠が辿れているため本表には含めない。※分類は2026-08-12再監査前の170件時点のもので、新規16件は未分類</t>
  </si>
  <si>
    <t>認証方式</t>
  </si>
  <si>
    <t>方向性確定（条件付き）</t>
  </si>
  <si>
    <t>推奨値を設定済み。顧客の承認待ち</t>
  </si>
  <si>
    <t>外部待ち</t>
  </si>
  <si>
    <t>顧客ヒアリングの回答待ち（推奨値も未設定）</t>
  </si>
  <si>
    <t>外部ID連携</t>
  </si>
  <si>
    <t>追加確認（多要素）</t>
  </si>
  <si>
    <t>SSO・セッション</t>
  </si>
  <si>
    <t>認可・権限</t>
  </si>
  <si>
    <t>利用者管理・同期</t>
  </si>
  <si>
    <t>管理機能・画面</t>
  </si>
  <si>
    <t>外部連携・API</t>
  </si>
  <si>
    <t>可用性・災害復旧</t>
  </si>
  <si>
    <t>性能・拡張性</t>
  </si>
  <si>
    <t>セキュリティ</t>
  </si>
  <si>
    <t>運用・監視</t>
  </si>
  <si>
    <t>コンプライアンス・法令</t>
  </si>
  <si>
    <t>コスト</t>
  </si>
  <si>
    <t>移行</t>
  </si>
  <si>
    <t>基盤・ネットワーク</t>
  </si>
  <si>
    <t>暫定値で凍結し設計を継続中。確定は実測または顧客回答待ち</t>
  </si>
  <si>
    <t>検証ゲート</t>
  </si>
  <si>
    <t>自社で実施する検証。着手可能</t>
  </si>
  <si>
    <t>他組織・法務の回答待ち</t>
  </si>
  <si>
    <t>スコープ外として決着済み</t>
  </si>
  <si>
    <t>設計タスク</t>
  </si>
  <si>
    <t>自社で完結する設計・検証タスク。着手可能</t>
  </si>
  <si>
    <t>他組織・顧客・法務の回答待ち（自社の準備は着手可能）</t>
  </si>
  <si>
    <t>全般・プロジェクト進行</t>
  </si>
  <si>
    <t>顧客確認</t>
  </si>
  <si>
    <t>顧客ヒアリングの回答待ち</t>
  </si>
  <si>
    <t>技術領域</t>
  </si>
  <si>
    <t>種別</t>
  </si>
  <si>
    <t>状況（5区分）</t>
  </si>
  <si>
    <t>認証基盤 要件定義・基本設計 ダッシュボード</t>
  </si>
  <si>
    <t>Git（github.com/suepie/aws-atuh-poc, commit 9511a58）からの派生ビュー。判断・更新はGit側で行い、本ファイルは俯瞰専用の読み取りスナップショットです。</t>
  </si>
  <si>
    <t>①決まったこと</t>
  </si>
  <si>
    <t>②これから社内で決めること</t>
  </si>
  <si>
    <t>③外部に依存すること</t>
  </si>
  <si>
    <t>件</t>
  </si>
  <si>
    <t>自社だけで判断・検証できる。今すぐ着手可能</t>
  </si>
  <si>
    <t>顧客・他組織・法務の回答が要る。待ち＝遅れではない</t>
  </si>
  <si>
    <t>詰め切りに必要な残数（②＋③）</t>
  </si>
  <si>
    <t>詳細設計に着手する前提の3ゲート</t>
  </si>
  <si>
    <t>ゲート</t>
  </si>
  <si>
    <t>残</t>
  </si>
  <si>
    <t>信号</t>
  </si>
  <si>
    <t>内容</t>
  </si>
  <si>
    <t>① 技術検証（自社実測）</t>
  </si>
  <si>
    <t>② 他組織の要求仕様回答</t>
  </si>
  <si>
    <t>③ 顧客ヒアリング回答</t>
  </si>
  <si>
    <t>自社で実施する実機検証。他者を待たずに着手できる</t>
  </si>
  <si>
    <t>インターネット出入口を管理する他組織への要求と回答</t>
  </si>
  <si>
    <t>顧客への質問状。全127項目中の未回答が主因</t>
  </si>
  <si>
    <t>技術領域別の内訳</t>
  </si>
  <si>
    <t>方向性確定</t>
  </si>
  <si>
    <t>規模と目標値が顧客回答待ちのため。設計は上限10Mで凍結し先行している</t>
  </si>
  <si>
    <t>稼働率と復旧目標が顧客合意待ち。設計側は手動復旧14日で確定済み</t>
  </si>
  <si>
    <t>対象法令と認証取得の要否が顧客回答待ち。多くは提案書側・別枠組み側で扱う</t>
  </si>
  <si>
    <t>体制・工数の合意と手順書の執筆が残るため。方式は決定済み</t>
  </si>
  <si>
    <t>費用は提案書側の文書で扱う方針のため、技術設計側には決定を置いていない</t>
  </si>
  <si>
    <t>現行システムの実態（利用者数・パスワード方式）が顧客回答待ち</t>
  </si>
  <si>
    <t>質問状の発行と回答反映が主。外部リードタイムが律速</t>
  </si>
  <si>
    <t>決定名（何を決めたか）</t>
    <phoneticPr fontId="2"/>
  </si>
  <si>
    <t>設計単元</t>
    <phoneticPr fontId="2"/>
  </si>
  <si>
    <t>決定内容</t>
    <phoneticPr fontId="2"/>
  </si>
  <si>
    <t>内部ID（Git内の採番）</t>
    <phoneticPr fontId="2"/>
  </si>
  <si>
    <t>出典</t>
    <phoneticPr fontId="2"/>
  </si>
  <si>
    <t>Realm構成</t>
    <phoneticPr fontId="2"/>
  </si>
  <si>
    <t>U2 Keycloak論理</t>
    <phoneticPr fontId="2"/>
  </si>
  <si>
    <t>Broker KC=単一Realm『broker』+Organizations、IdP-KC=単一Realm『idp』+Organizations。masterはKeycloak自体の管理専用で業務ユーザ・Clientを置かない。Realm名はissuer URLに埋まり変更不可のため普遍的短名</t>
    <phoneticPr fontId="2"/>
  </si>
  <si>
    <t>U2 §2.1.1</t>
    <phoneticPr fontId="2"/>
  </si>
  <si>
    <t>basic-design/02-keycloak-logical-design.md</t>
    <phoneticPr fontId="2"/>
  </si>
  <si>
    <t>Organizationsの使い方</t>
    <phoneticPr fontId="2"/>
  </si>
  <si>
    <t>Brokerは全顧客（IdPあり・なし問わず）を1顧客=1Orgで登録。顧客IdPは必ず当該顧客Orgに紐付け（グローバルIdP禁止）。IdP-KCはIdPなし顧客のみ登録。Org attributeは表示名とhrd_modeのみ、課金・契約メタは持たない</t>
    <phoneticPr fontId="2"/>
  </si>
  <si>
    <t>U2 §2.1.2</t>
    <phoneticPr fontId="2"/>
  </si>
  <si>
    <t>Org命名規則・alias規則</t>
    <phoneticPr fontId="2"/>
  </si>
  <si>
    <t>Org alias=小文字英数字2〜20文字・先頭英字・ハイフン禁止・作成後変更不可。tenant_idクレーム値とログインIDのtenantプレフィックスと完全一致。master/admin/broker/idp/api/scim/test等は予約語で使用禁止</t>
    <phoneticPr fontId="2"/>
  </si>
  <si>
    <t>U2 §2.1.3</t>
    <phoneticPr fontId="2"/>
  </si>
  <si>
    <t>IdP alias規則</t>
    <phoneticPr fontId="2"/>
  </si>
  <si>
    <t>顧客IdP alias=&lt;orgAlias&gt;-&lt;proto&gt;&lt;NN&gt;（例 acme-oidc01）。IdP製品名はdisplayNameのみに記載しaliasには含めない（製品乗換時にalias変更＝顧客側再設定を避ける）</t>
    <phoneticPr fontId="2"/>
  </si>
  <si>
    <t>U2 §2.1.4</t>
    <phoneticPr fontId="2"/>
  </si>
  <si>
    <t>2-tier間フェデの位置付け</t>
    <phoneticPr fontId="2"/>
  </si>
  <si>
    <t>Brokerから見たIdP-KCは「OIDC IdPの1つ」として登録。IdP-KC側ではBrokerをOIDC confidential clientとして登録</t>
    <phoneticPr fontId="2"/>
  </si>
  <si>
    <t>U2 §2.2.1</t>
    <phoneticPr fontId="2"/>
  </si>
  <si>
    <t>Broker側IdP登録（IdP-KC向け）</t>
    <phoneticPr fontId="2"/>
  </si>
  <si>
    <t>IdPなし顧客共通の単一OIDC IdPエントリ『idpkc-oidc01』を作り、IdPなし顧客の全Orgに紐付け。loginHint=true / hideOnLoginPage=true / trustEmail=false / syncMode=IMPORT / storeToken=false</t>
    <phoneticPr fontId="2"/>
  </si>
  <si>
    <t>U2 §2.2.2</t>
    <phoneticPr fontId="2"/>
  </si>
  <si>
    <t>IdP-KC側Client登録（Broker向け）</t>
    <phoneticPr fontId="2"/>
  </si>
  <si>
    <t>client_id=broker-rp。Confidential・Standard Flowのみ（Implicit/Direct Access/Service Account無効）。redirect URIは完全一致1本のみ（ワイルドカード禁止）。Phase 1=client_secret_post、Phase 2でprivate_key_jwtへ昇格。Web Origins/CORSなし</t>
    <phoneticPr fontId="2"/>
  </si>
  <si>
    <t>U2 §2.2.3</t>
    <phoneticPr fontId="2"/>
  </si>
  <si>
    <t>2-tier間のクレーム受け渡し</t>
    <phoneticPr fontId="2"/>
  </si>
  <si>
    <t>IdP-KC側に専用Client Scope『broker-federation』を作りMapperを集約（tenant_id / preferred_username / amr / email の4種）。JIT突合キーはtenant_id+persistent sub、emailは補助。Phase 1ではIdP-KCのrolesをBrokerへ伝播しない</t>
    <phoneticPr fontId="2"/>
  </si>
  <si>
    <t>U2 §2.2.4</t>
    <phoneticPr fontId="2"/>
  </si>
  <si>
    <t>ログアウト連鎖</t>
    <phoneticPr fontId="2"/>
  </si>
  <si>
    <t>idpkc-oidc01にbackchannelSupported=trueを設定し、Brokerのログアウト時にIdP-KCセッションも常時破棄（自社基盤のため越境問題なし）。storeToken=false下でのid_token_hint取り回しは実機確認が必要</t>
    <phoneticPr fontId="2"/>
  </si>
  <si>
    <t>U2 §2.2.5 #1</t>
    <phoneticPr fontId="2"/>
  </si>
  <si>
    <t>IdP-KC側Realmセッション TTL</t>
    <phoneticPr fontId="2"/>
  </si>
  <si>
    <t>Realm『idp』のSSO Session Idle/MaxをBroker Realmと同値（Idle 1h / Max 24h）に固定。IaCで両Realm共通変数化し独立変更を構造的に防ぐ</t>
    <phoneticPr fontId="2"/>
  </si>
  <si>
    <t>U2 §2.2.5 #2</t>
    <phoneticPr fontId="2"/>
  </si>
  <si>
    <t>ステップアップ（AAL3）の転送</t>
    <phoneticPr fontId="2"/>
  </si>
  <si>
    <t>認証元がidpkc-oidc01の場合、IdP-KCへacr_values="3"+prompt=loginを付けて再リダイレクト。IdP-KC側にもACR-to-LoAマッピング（1/2/3）を定義し、amrで返してmfa_indicator Mapper（FORCE）がBroker側acr判定に反映</t>
    <phoneticPr fontId="2"/>
  </si>
  <si>
    <t>U2 §2.2.5 #3</t>
    <phoneticPr fontId="2"/>
  </si>
  <si>
    <t>prompt=login / max_ageの転送方針</t>
    <phoneticPr fontId="2"/>
  </si>
  <si>
    <t>idpkc-oidc01経由のユーザにはprompt=login / max_age / acr_valuesをIdP-KCへ転送する。外部顧客IdPへは転送しない（挙動がIdP依存で保証できないため、Broker側max_age評価で代替）</t>
    <phoneticPr fontId="2"/>
  </si>
  <si>
    <t>U2 §2.2.5 #4</t>
    <phoneticPr fontId="2"/>
  </si>
  <si>
    <t>login_hintの書式契約</t>
    <phoneticPr fontId="2"/>
  </si>
  <si>
    <t>Broker→IdP-KCへ渡す値は&lt;userid&gt;（tenantプレフィックス除去後）のみ。IdP-KC側は完全形&lt;tenant&gt;-&lt;userid&gt;も受理して除去する寛容受理とし、誤設定でもループしない</t>
    <phoneticPr fontId="2"/>
  </si>
  <si>
    <t>U2 §2.2.5 #5</t>
    <phoneticPr fontId="2"/>
  </si>
  <si>
    <t>Flow配置の全系統共通制約</t>
    <phoneticPr fontId="2"/>
  </si>
  <si>
    <t>Keycloakは同一レベルにREQUIREDがあると同レベルのALTERNATIVEを無視するため、requiresUser()=trueのCustom SPIをtop-levelのREQUIREDに置いてはならない。必ずformsサブフロー内またはBroker Flow末尾に配置。IaCレビューのチェック項目に含める</t>
    <phoneticPr fontId="2"/>
  </si>
  <si>
    <t>U2 §2.3 共通制約</t>
    <phoneticPr fontId="2"/>
  </si>
  <si>
    <t>系統① ローカル認証（Browser Flow）</t>
    <phoneticPr fontId="2"/>
  </si>
  <si>
    <t>カスタムFlow『browser-std』。到達するのは基盤運用者P-1のみで、アクセスは踏み台/SSMのクローズド接続に限定。顧客テナント管理者P-2は対象外（フェデ化）。P-1はWebAuthn/Passkey必須。PAM L3向けにeligible/activeの2状態Composite Roleを両Realmに用意</t>
    <phoneticPr fontId="2"/>
  </si>
  <si>
    <t>U2 §2.3.1</t>
    <phoneticPr fontId="2"/>
  </si>
  <si>
    <t>系統② フェデレーション（First/Post Broker Login）</t>
    <phoneticPr fontId="2"/>
  </si>
  <si>
    <t>全IdP共通でfirst-broker-std / post-broker-stdを紐付け。Review ProfileはDISABLED（JITでユーザ入力を挟まない）。自動リンクは行わず衝突時はエラー画面+監査+管理者通知。突合キーはtenant_id+IdP persistent subでemailは使わない。初回はFirst→Postが連続発火するためSPIは冪等に実装</t>
    <phoneticPr fontId="2"/>
  </si>
  <si>
    <t>U2 §2.3.2</t>
    <phoneticPr fontId="2"/>
  </si>
  <si>
    <t>系統③ HRD（Home Realm Discovery）</t>
    <phoneticPr fontId="2"/>
  </si>
  <si>
    <t>識別子先行（&lt;tenant&gt;-&lt;userid&gt;）を主経路、メールドメインを補助経路とするハイブリッド。実装はCustom Authenticator SPI。最初のハイフンでparseしOrg→IdPを解決。顧客ごとの受入経路はOrg attribute『hrd_mode』（identifier/email/both、既定both）で宣言。IdP一覧非表示は性能成立の必須条件</t>
    <phoneticPr fontId="2"/>
  </si>
  <si>
    <t>U2 §2.3.3</t>
    <phoneticPr fontId="2"/>
  </si>
  <si>
    <t>系統④ ステップアップ認証（acr/LoA）</t>
    <phoneticPr fontId="2"/>
  </si>
  <si>
    <t>Keycloak標準のACR to LoA Mapping + Conditional Level of Authenticationを使用。acr 1/2/3をAAL1/2/3に対応。LoA3はWebAuthnのみ（Phishing-resistant）。フェデユーザの充足判定はmfa_indicator属性で行い、値がなければ未済扱い（fail-safe）。外部フェデユーザは補完せず記録・監視のみ</t>
    <phoneticPr fontId="2"/>
  </si>
  <si>
    <t>U2 §2.3.4</t>
    <phoneticPr fontId="2"/>
  </si>
  <si>
    <t>系統⑤ Adaptive認証</t>
    <phoneticPr fontId="2"/>
  </si>
  <si>
    <t>Phase 1はBrute Force Detection（Keycloak標準）と侵害クレデンシャル検出（ローカルPW=管理者のみ対象、PW変更時とログイン成功時にHIBP照合）のみ。IPレピュテーション・Impossible Travel・デバイス指紋等のフルRisk ScoringはPhase 2</t>
    <phoneticPr fontId="2"/>
  </si>
  <si>
    <t>U2 §2.3.5</t>
    <phoneticPr fontId="2"/>
  </si>
  <si>
    <t>Custom SPIの総量</t>
    <phoneticPr fontId="2"/>
  </si>
  <si>
    <t>Phase 1のCustom SPIは3JAR・4機能に限定（JIT制御Authenticator / HRD Authenticator / Event Listener / mfa_indicator正規化）。RHBKバージョン追従コストを面積で抑えるため。CI/CDは全SPIでU9の仕組みを共用</t>
    <phoneticPr fontId="2"/>
  </si>
  <si>
    <t>U2 §2.4</t>
    <phoneticPr fontId="2"/>
  </si>
  <si>
    <t>SPI① JIT制御Authenticator</t>
    <phoneticPr fontId="2"/>
  </si>
  <si>
    <t>Re-Activation分岐（scim/local-admin/app/ldapは拒否、jitのみ再有効化）+ last_login書込（debounce 1日、冪等）+ provisioned_by未設定時のみjit系属性を書込（既設定値は経路を問わず上書き禁止）。Re-Activation拒否はfail-closed、属性書込失敗はログインを失敗させない</t>
    <phoneticPr fontId="2"/>
  </si>
  <si>
    <t>U2 §2.4.1</t>
    <phoneticPr fontId="2"/>
  </si>
  <si>
    <t>SPI② HRD Authenticator</t>
    <phoneticPr fontId="2"/>
  </si>
  <si>
    <t>常にfail-openで後続Authenticatorに降格（HRDは経路解決であって認証判定ではない）。requiresUser()=false、実装50〜100行。複数IdPリンク時は先頭1件を選ばずattempted()降格してOrgセレクターに委ねる</t>
    <phoneticPr fontId="2"/>
  </si>
  <si>
    <t>U2 §2.4.2</t>
    <phoneticPr fontId="2"/>
  </si>
  <si>
    <t>Re-Activationの実装制約</t>
    <phoneticPr fontId="2"/>
  </si>
  <si>
    <t>Re-ActivationロジックはSPI①に統合し単独SPIとして分離しない（同一トランザクションで判定）。SCIM除外条件と想定外値の安全側拒否は削除不可の必須分岐とし単体テストで固定</t>
    <phoneticPr fontId="2"/>
  </si>
  <si>
    <t>U2 §2.4.3</t>
    <phoneticPr fontId="2"/>
  </si>
  <si>
    <t>mfa_indicator正規化Mapper</t>
    <phoneticPr fontId="2"/>
  </si>
  <si>
    <t>OIDC amr / SAML AuthnContextClassRef / Microsoft拡張の3方言を単一user attribute『mfa_indicator』に正規化。第一選択はKeycloak標準IdP Mapper、ホワイトリスト化が表現できない場合のみCustom。syncMode=FORCE（認証ごとに最新値で上書き）。属性不在・空・非MFA値はすべて未済扱い（fail-safe）</t>
    <phoneticPr fontId="2"/>
  </si>
  <si>
    <t>U2 §2.4.4</t>
    <phoneticPr fontId="2"/>
  </si>
  <si>
    <t>Stage 1クレーム（既定発行）</t>
    <phoneticPr fontId="2"/>
  </si>
  <si>
    <t>全アプリClientの既定発行をStage 1最小に固定（iss/exp/iat/sub/sid/azp/aud/tenant_id）。email・name等のPII系Mapperはアプリ Clientの Default Scopeから外しuserinfoまたはアプリDB参照とする。preferred_usernameも既定発行しない。provisioned_by/scim_active/last_loginはJWTに載せない</t>
    <phoneticPr fontId="2"/>
  </si>
  <si>
    <t>U2 §2.5.1</t>
    <phoneticPr fontId="2"/>
  </si>
  <si>
    <t>audience Mapper</t>
    <phoneticPr fontId="2"/>
  </si>
  <si>
    <t>アプリAPIごとに専用Client Scope『aud-&lt;api名&gt;』を作りoidc-audience-mapperを1つ載せる。フロントClientにはアクセス先APIのaud-*のみDefault付与。多重audはscopeの複数付与で表現</t>
    <phoneticPr fontId="2"/>
  </si>
  <si>
    <t>U2 §2.5.2</t>
    <phoneticPr fontId="2"/>
  </si>
  <si>
    <t>tenant_id / usernameの供給経路</t>
    <phoneticPr fontId="2"/>
  </si>
  <si>
    <t>tenant_idは3経路（フェデJIT時にBroker側で焼き込む / IdP-KC経由のAttribute Importer / 管理画面BackendのAdmin API）のいずれかで必ず設定。顧客IdPのクレームは信用しない。Broker内部username=&lt;orgAlias&gt;-&lt;userid&gt;でRealm内一意性を担保</t>
    <phoneticPr fontId="2"/>
  </si>
  <si>
    <t>U2 §2.5.3</t>
    <phoneticPr fontId="2"/>
  </si>
  <si>
    <t>roles方式とsyncMode既定</t>
    <phoneticPr fontId="2"/>
  </si>
  <si>
    <t>rolesはハイブリッドC（管理系Clientに限りrealm-role-mapperで発行、業務アプリの細粒度認可はアプリ側DB/管理画面Backend）。粗粒度認可のSSOTは管理画面Backend DBで配信は/api/me/context。syncMode既定はIMPORT、Mapper単位overrideはmfa_indicator（FORCE）のみ許可。scim_active/provisioned_by/last_loginをIdP Mapper対象にすることを禁止</t>
    <phoneticPr fontId="2"/>
  </si>
  <si>
    <t>U2 §2.5.4</t>
    <phoneticPr fontId="2"/>
  </si>
  <si>
    <t>User Profileスキーマ</t>
    <phoneticPr fontId="2"/>
  </si>
  <si>
    <t>両RealmでUser Profileを明示宣言しunmanagedAttributePolicy=DISABLED（未宣言属性は保存不可＝顧客IdPの生クレームを保存段階で物理破棄）。設定はUser Profile API経由でIaC化。宣言属性のSSOTはU3側。emailは必須にしない（email非保有顧客を収容）。realm属性でのポリシー設定は無効、JSONにコメントキーを入れると拒否される</t>
    <phoneticPr fontId="2"/>
  </si>
  <si>
    <t>U2 §2.6</t>
    <phoneticPr fontId="2"/>
  </si>
  <si>
    <t>1000+IdP制約1: バージョン固定</t>
    <phoneticPr fontId="2"/>
  </si>
  <si>
    <t>RHBK 26.x系に固定しupstream混在禁止。RHBK OperatorのOLMは手動承認とし自動更新を禁止。パッチ含む全昇格はStagingで1000 IdP合成データセットに対する回帰測定（ログインp99/Admin API p99）を通過してから本番適用</t>
    <phoneticPr fontId="2"/>
  </si>
  <si>
    <t>U2 §2.7.1</t>
    <phoneticPr fontId="2"/>
  </si>
  <si>
    <t>1000+IdP制約2: IdP一覧を出さない</t>
    <phoneticPr fontId="2"/>
  </si>
  <si>
    <t>全IdP・全期間でhideOnLoginPage=trueを必須とし（IaC既定+CI lint）、ログインテーマはIdPリストを描画しない。Account ConsoleのIdPリンク一覧は無効化または対象限定。HRD SPIはこの制約の実現手段であり性能成立の必須条件</t>
    <phoneticPr fontId="2"/>
  </si>
  <si>
    <t>U2 §2.7.2</t>
    <phoneticPr fontId="2"/>
  </si>
  <si>
    <t>1000+IdP制約3: Org紐付け必須</t>
    <phoneticPr fontId="2"/>
  </si>
  <si>
    <t>Org非紐付けのグローバルIdPの新規作成を禁止。例外はidpkc-oidc01のみ（これも各Orgに紐付けて登録）。オンボーディングパイプラインはOrg紐付けのないIdP作成要求をrejectする</t>
    <phoneticPr fontId="2"/>
  </si>
  <si>
    <t>U2 §2.7.3</t>
    <phoneticPr fontId="2"/>
  </si>
  <si>
    <t>1000+IdP制約4: realm全体export禁止</t>
    <phoneticPr fontId="2"/>
  </si>
  <si>
    <t>日常運用・バックアップ・監査のいずれでもrealm全体export（partial-export含む）を使用しない。構成の読取・変更はIdP単位/Org単位/Client単位のAdmin APIのみ。構成バックアップはIaCリポジトリとAuroraスナップショット/PITRを正とする</t>
    <phoneticPr fontId="2"/>
  </si>
  <si>
    <t>U2 §2.7.4</t>
    <phoneticPr fontId="2"/>
  </si>
  <si>
    <t>1000+IdP制約5: IaC 2層分離</t>
    <phoneticPr fontId="2"/>
  </si>
  <si>
    <t>基盤層（Realm設定/Flow/SPI配備/共通Client Scope/アプリClient/User Profile）はTerraform、テナント層（Organization/顧客IdP/IdP Mapper/リンク）は自作オンボーディングAPIによるAdmin API差分適用。keycloak-config-cliはrealm representationベースのため制約4と原理衝突し不採用に確定。単一stateに1000 IdPを置く構成は設計として不成立</t>
    <phoneticPr fontId="2"/>
  </si>
  <si>
    <t>U2 §2.7.5</t>
    <phoneticPr fontId="2"/>
  </si>
  <si>
    <t>1000+IdP制約6: キャッシュサイジング明示</t>
    <phoneticPr fontId="2"/>
  </si>
  <si>
    <t>キャッシュサイズを既定値のまま運用することを禁止し初期値を明示宣言。realmsキャッシュはmax-count 200,000 entriesを初期値（IdP 2,000×Mapper 5-6+Orgリンクで数万エントリ想定+ヘッドルーム）。usersキャッシュは10M MAU前提でU6が算定。再起動時のウォームアップ時間も測定対象</t>
    <phoneticPr fontId="2"/>
  </si>
  <si>
    <t>U2 §2.7.6</t>
    <phoneticPr fontId="2"/>
  </si>
  <si>
    <t>1000+IdP制約7: IdP数の関数としての継続監視</t>
    <phoneticPr fontId="2"/>
  </si>
  <si>
    <t>ログインフローp99・HRD解決時間・IdP系Admin API p99・IdPキャッシュhit率とエントリ数・Aurora CPUを、IdP数とOrg数を注記した時系列として継続計測。IdP追加バッチ前後で比較できるダッシュボードをU9が実装。アラート初期閾値は10 IdP時点ベースライン比+10%</t>
    <phoneticPr fontId="2"/>
  </si>
  <si>
    <t>U2 §2.7.7</t>
    <phoneticPr fontId="2"/>
  </si>
  <si>
    <t>1000社超過時の拡張パス</t>
    <phoneticPr fontId="2"/>
  </si>
  <si>
    <t>第一拡張パスはIdP-KC側のシャーディング（例 500 IdP/クラスタ）でBroker KCのIdP数を圧縮（Broker多段）。Realm分割は運用コストが復活するため次善。Custom IdP Storage SPIはPhase 2の研究テーマ</t>
    <phoneticPr fontId="2"/>
  </si>
  <si>
    <t>U2 §2.7.8</t>
    <phoneticPr fontId="2"/>
  </si>
  <si>
    <t>3階層識別子の格納先</t>
    <phoneticPr fontId="2"/>
  </si>
  <si>
    <t>U3 ID・プロビジョニング</t>
    <phoneticPr fontId="2"/>
  </si>
  <si>
    <t>Layer A=sub（user_entity.id、Keycloak採番、絶対不変、全DB FK・監査・アプリ主ID）/ Layer B=external_id（username=&lt;tenant&gt;-&lt;userid&gt; + user_attribute.external_id生値 + external_id_history改番履歴）/ Layer C=IdP側sub（federated_identity）。カスタム属性はUser Profile APIによるschema宣言+unmanagedAttributePolicy設定が必須（realm属性では効かないことを実機確認済）</t>
    <phoneticPr fontId="2"/>
  </si>
  <si>
    <t>D3-01</t>
    <phoneticPr fontId="2"/>
  </si>
  <si>
    <t>basic-design/03-identity-provisioning-design.md §3.1</t>
    <phoneticPr fontId="2"/>
  </si>
  <si>
    <t>emailは補助属性</t>
    <phoneticPr fontId="2"/>
  </si>
  <si>
    <t>JIT突合キーの第一推奨はtenant_id+persistentなIdP不変ID（OIDC sub / SAML persistent NameID / Entra oid）。emailは補助属性で突合キー・主識別子に使用禁止。email非保有ユーザーが存在しても全フローが成立する設計。復旧手段はRecovery Codes / Admin Reset / Passkey多重登録。email突合を使う顧客はデフォルトConfirm Link（Auto-LinkはTrusted IdPのみ）</t>
    <phoneticPr fontId="2"/>
  </si>
  <si>
    <t>D3-02</t>
    <phoneticPr fontId="2"/>
  </si>
  <si>
    <t>マッピングDBのスキーマ</t>
    <phoneticPr fontId="2"/>
  </si>
  <si>
    <t>per-userの少数マッピング（external_id/tenant_id等）はKeycloak user_attribute。多システムIDマッピング（経理ID/ServiceNow user_name/旧システムID等）はAurora補助スキーマ idmap（id_mapping + external_id_history、履歴行方式valid_from/valid_to）。Brokerのuser_attributeには置かずJWTにも載せない。アプリはJWT subを鍵にユーザ管理API経由で参照。FKはLayer A（sub）のみ。idmapは写像でありSoTではない</t>
    <phoneticPr fontId="2"/>
  </si>
  <si>
    <t>D3-03</t>
    <phoneticPr fontId="2"/>
  </si>
  <si>
    <t>プロビジョニング経路とprovisioned_by値体系</t>
    <phoneticPr fontId="2"/>
  </si>
  <si>
    <t>①JIT（フェデ初回ログイン、Broker、provisioned_by=jit、90日バッチ・Re-Activation対象）②SCIM受信（D2顧客IdP→Broker / D1顧客HRIS→IdP-KC、scim + scim_active=true、Re-Activation禁止）③LDAP（Phase 1対象外、ldapは将来用に予約）④管理者作成（local-admin、P-1運用者は踏み台経由）⑤アプリ発CRUD（IdP-KC、app + provisioned_app=client_id）+ Realm Import（realm_import）。未知の値・nullは常に安全側（90日バッチ=人間レビュー / Re-Activation=拒否）</t>
    <phoneticPr fontId="2"/>
  </si>
  <si>
    <t>D3-04</t>
    <phoneticPr fontId="2"/>
  </si>
  <si>
    <t>basic-design/03-identity-provisioning-design.md §3.2</t>
    <phoneticPr fontId="2"/>
  </si>
  <si>
    <t>アプリ発CRUDは専用API層経由</t>
    <phoneticPr fontId="2"/>
  </si>
  <si>
    <t>案C（専用API層）を採用。実体はADR-038の管理画面Backend（自作SPA+3層スコープ）と同一のユーザ管理APIをIdP-KC Acctに配置し、アプリにはOAuth2 Client Credentials（クライアントごとにテナント/操作スコープ限定）で開放。案B（SCIMエンドポイント経由）はSCIMのセマンティクスを壊すため明確に却下。案A（Admin API直叩き）は暫定運用としても不採用（物理削除ガードレールLayer 1が崩壊）</t>
    <phoneticPr fontId="2"/>
  </si>
  <si>
    <t>D3-05</t>
    <phoneticPr fontId="2"/>
  </si>
  <si>
    <t>appユーザのライフサイクル扱い</t>
    <phoneticPr fontId="2"/>
  </si>
  <si>
    <t>appユーザは90日バッチ対象外（アプリがSoT、削除・休眠判定はアプリ責務）+ Re-Activation禁止。ただしPCI DSS 8.2.6のシステムごと独立監査原則により、アプリは休眠検出時にAPI層のdeactivate（Soft Delete）を必ず呼ぶ義務を開発標準・契約に明記。未達アプリ向けに「90日バッチへのテナント単位オプトイン」をPhase 1設定項目として用意</t>
    <phoneticPr fontId="2"/>
  </si>
  <si>
    <t>D3-06</t>
    <phoneticPr fontId="2"/>
  </si>
  <si>
    <t>JIT/SCIM判別ロジックとCase 1-6</t>
    <phoneticPr fontId="2"/>
  </si>
  <si>
    <t>判定順序を固定: 判定1=scim_active=="true"なら削除・復活対象外（最強フラグ）→ 判定2=除外（serviceAccountClientLink / provisioned_by∈{local-admin,app,ldap} / admin role）→ 判定3=経路判定（jitのみ90日バッチ・Re-Activation対象、manual・realm_import・nullは人間レビュー）。不変条件3点: First Broker Login SPIはprovisioned_by未設定時のみjitをセット / per-Mapper syncMode=IMPORTでscim_active・provisioned_byを上書きから保護 / SPIは3系統Flow配置でdebounceは両Flow対応</t>
    <phoneticPr fontId="2"/>
  </si>
  <si>
    <t>D3-07</t>
    <phoneticPr fontId="2"/>
  </si>
  <si>
    <t>basic-design/03-identity-provisioning-design.md §3.3</t>
    <phoneticPr fontId="2"/>
  </si>
  <si>
    <t>SoTルールと混在時ポリシー</t>
    <phoneticPr fontId="2"/>
  </si>
  <si>
    <t>経路別SoT: ①JIT=顧客IdP（受動キャッシュ、削除トリガーは本基盤90日バッチ）②SCIM=顧客IdP/HRIS（SCIM Consumer、PATCH active=false / DELETE）③LDAP=顧客AD/LDAP ④local-admin=本基盤運用 ⑤app=同居アプリ。混在時ポリシーは「SCIM優先」= scim_active=trueが他のすべての判定に優先する削除禁止・復活禁止フラグ。SCIMユーザーのInactive Detectionは顧客IdP責任として契約に明記</t>
    <phoneticPr fontId="2"/>
  </si>
  <si>
    <t>D3-08</t>
    <phoneticPr fontId="2"/>
  </si>
  <si>
    <t>S1-S10状態遷移と3段階削除モデル</t>
    <phoneticPr fontId="2"/>
  </si>
  <si>
    <t>4状態機械（Active / Disabled / Deleted）。3段階削除: 第1段階=認証遮断（短命AT+RT Rotation、退職後数分〜4hで実質遮断）/ 第2段階=Soft Delete（enabled=false + not_before + Session Revoke + deprovisioned_at必須セット、Phase 1）/ 第3段階=物理削除（deprovisioned_at + retention_years経過後、S3 Glacier Deep Archive → DELETE CASCADE + idmap掃除、Phase 2）。起算はlast_loginではなくdeprovisioned_at。90日バッチはROSA infra PoolのKubernetes CronJobで実行（Lambda不採用）。jit_idp_aliasがidpkc%のもの（Broker shadow）は90日バッチ対象外</t>
    <phoneticPr fontId="2"/>
  </si>
  <si>
    <t>D3-09</t>
    <phoneticPr fontId="2"/>
  </si>
  <si>
    <t>basic-design/03-identity-provisioning-design.md §3.4</t>
    <phoneticPr fontId="2"/>
  </si>
  <si>
    <t>責任分界 L1-L3</t>
    <phoneticPr fontId="2"/>
  </si>
  <si>
    <t>L1本基盤Hygiene=90日バッチ+Soft Delete+Re-Activation+SCIM受信+Health Check（契約明記「JIT顧客のDeprovisioningは最大90日Lag。即時性が必要ならSCIM実装」）/ L2認証（本当の遮断）=顧客IdP責任（本基盤は顧客IdPのユーザ状態を操作しない）/ L3認可=アプリ（USER_DISABLED / USER_REACTIVATED / USER_DEPROVISIONEDをEventBridge→Webhookで通知、アプリはsub主ID+通知受信でRole剥奪）</t>
    <phoneticPr fontId="2"/>
  </si>
  <si>
    <t>D3-10</t>
    <phoneticPr fontId="2"/>
  </si>
  <si>
    <t>SCIM受信は自作Facade</t>
    <phoneticPr fontId="2"/>
  </si>
  <si>
    <t>Keycloak native inbound SCIMは不採用（feature有効でも404、実測）。Metatavu keycloak-scim-serverはPhase 1選定不要。Phase 1はSCIM 2.0を受けてKeycloak Admin APIに写像する自前の外部コンポーネント（SCIM Facade）を採用。エンドポイントはD2（scim-broker.&lt;domain&gt;/t/{tenant_id}/scim/v2）とD1（scim-idp.&lt;domain&gt;/t/{tenant_id}/scim/v2）の2方向。パスにテナントを含めURL+トークンの二重照合。DELETEはSoft Deleteに写像し物理削除しない。GroupsはPhase 2。認証=テナント専用の不透明Bearer（Secrets Manager保管、90日ローテ、URL不一致は403、Rate Limit初期値10 req/s）。externalId突合順序=scim_external_id → username → email（verified+matchByEmail=trueのみ）→ 新規作成</t>
    <phoneticPr fontId="2"/>
  </si>
  <si>
    <t>D3-11</t>
    <phoneticPr fontId="2"/>
  </si>
  <si>
    <t>basic-design/03-identity-provisioning-design.md §3.5</t>
    <phoneticPr fontId="2"/>
  </si>
  <si>
    <t>Re-Activationの条件仕様</t>
    <phoneticPr fontId="2"/>
  </si>
  <si>
    <t>発火点はPost Broker Login Flowが主戦場。enabled=falseで復帰ログイン時、jit→自動enabled=true + reactivated_at + deprovisioned_atクリア / scim or scim_active=true→拒否（SCIM deprovisioningの意味喪失防止、セキュリティ上重大）/ local-admin・app・未知→拒否。USER_REACTIVATEDイベント必須発行+大量発生の異常検知（ITDR）。Phase 1推奨=自動+監査+異常検知、厳格ポリシー顧客はテナント単位で手動切替可</t>
    <phoneticPr fontId="2"/>
  </si>
  <si>
    <t>D3-12</t>
    <phoneticPr fontId="2"/>
  </si>
  <si>
    <t>ゲート追跡表の一元管理</t>
    <phoneticPr fontId="2"/>
  </si>
  <si>
    <t>Phase 1契約前ゲート8項目（B-JIT-LC-1 / B-JIT-RA-1 / B-SCIM-JIT-1 / B-SCIM-JIT-3 / B-JIT-DEL-1 / B-JIT-DEL-2 / B-SCIM-HC-1 / B-TENANT-SWITCH-1・B-TENANT-EXIT-1）を本書§3.7で一元管理し、Waveごとに更新。全項目が未通過で暫定値（デフォルト）で設計継続中</t>
    <phoneticPr fontId="2"/>
  </si>
  <si>
    <t>D3-13</t>
    <phoneticPr fontId="2"/>
  </si>
  <si>
    <t>basic-design/03-identity-provisioning-design.md §3.7</t>
    <phoneticPr fontId="2"/>
  </si>
  <si>
    <t>認可境界は「粗粒度」まで</t>
    <phoneticPr fontId="2"/>
  </si>
  <si>
    <t>本基盤が持つのはL-認可2（組織コンテキスト+エンタイトルメント+機能ロール割当の器）まで。SSOT=ADR-038 Backend DB。JWTには載せずAPI pull（/api/me/context）で配信（ハイブリッドC）。アプリエンタイトルメントはフェデ系テナントにも必要。組織属性は認可に要る部分集合のみ（Minimum Storage）。機能ロール割当は器（opaque per-app文字列）のみ本基盤が持ち、意味の定義・閾値・ルーティング・リソース判定はアプリ</t>
    <phoneticPr fontId="2"/>
  </si>
  <si>
    <t>D3-14</t>
    <phoneticPr fontId="2"/>
  </si>
  <si>
    <t>basic-design/03-identity-provisioning-design.md §3.8</t>
    <phoneticPr fontId="2"/>
  </si>
  <si>
    <t>組織属性の格納と属性正準化の原則</t>
    <phoneticPr fontId="2"/>
  </si>
  <si>
    <t>単純per-user組織属性はKeycloak user attribute（User Profile宣言）: department / manager_ref / job_title / cost_center / organization / division / employment_type / hire_year。関係データ（機能ロール割当・エンタイトルメント・idmap・射影）はBackend DB。SCIM Enterprise拡張のmanagerは参照型のため直写像不可 → manager_ref=同一テナント内external_id値へ正規化する規約。属性正準化の原則: 名前・ID以外の属性は顧客IdPから素通しせず基盤の正準スキーマへ写像or基盤付与し、アプリは正準スキーマのみ受領。source解決3ケース（顧客写像 / 基盤付与 / 不要）はテナント×属性ごとに決める</t>
    <phoneticPr fontId="2"/>
  </si>
  <si>
    <t>D3-15</t>
    <phoneticPr fontId="2"/>
  </si>
  <si>
    <t>統合コンテキスト射影（/api/me/context）</t>
    <phoneticPr fontId="2"/>
  </si>
  <si>
    <t>読取元=ブランドユニット内の統合射影（read model = Option A）を1 read（Keycloak非経由・越境ゼロ）。都度join（Option B）は非IdPユーザーの読取でIdP-KC越境が必要=P-17抵触のため却下。ハイブリッド案2（部分射影: 変化の遅い組織属性・idmapは射影、変化の速いエンタイトルメントはBroker内で都度read）を選択肢として保持。即時剥奪など鮮度が命の操作は射影に頼らずBroker shadow無効化で担保。書込フィード3系統（D2 SCIM直upsert / D1 SCIM・アプリCRUD→EventBridge→upsert / 管理画面authoring直）。EventBridge at-least-once前提の冪等upsert+version最新勝ち。読取p99とストア選定はG-SCIMで実測して確定</t>
    <phoneticPr fontId="2"/>
  </si>
  <si>
    <t>D3-16</t>
    <phoneticPr fontId="2"/>
  </si>
  <si>
    <t>非IdPテナントのユーザCRUD/削除モデル</t>
    <phoneticPr fontId="2"/>
  </si>
  <si>
    <t>mode A（管理画面=SoT）単独を採用。テナント管理者がユーザ一覧/編集画面から作成・編集・削除。mode B（HRIS/D1 SCIM）・mode C（アプリ発CRUD）・非IdPの90日休眠バッチはPhase 1対象外。削除はoutboxパターンで確実伝播（①IdP-KC Soft Delete → ②projection deprovisioned + user.deprovisioned outbox行をauthz DBの1 Txで書く → ③outboxリレーがEventBridgeへ必達送信 → ④中央shadow制御LambdaがBroker shadowをenabled=false + not_before + session revoke、冪等）。遮断窓=通常数秒 / worst=リコンサイル間隔（数分）、発行済みATは最大30分有効。安全網として「IdP-KC deprovisioned_at有り ↔ Broker shadow enabled=true」を数分間隔で突合</t>
    <phoneticPr fontId="2"/>
  </si>
  <si>
    <t>D3-17</t>
    <phoneticPr fontId="2"/>
  </si>
  <si>
    <t>既定発行クレームの確定（Stage 1 + sid）</t>
    <phoneticPr fontId="2"/>
  </si>
  <si>
    <t>U5 トークン・認可</t>
    <phoneticPr fontId="2"/>
  </si>
  <si>
    <t>全アプリClientの既定発行= Stage 1の7クレーム（iss/sub/aud/azp/tenant_id/exp/iat）+ sid（Stage 1.5）に確定。sid既定発行を正式決定しADR-030の宙吊りを解消。sidはBack-Channel Logoutの突合キーで認可判定には使用禁止。Keycloakが付すjti/typ/scope/session_stateは契約外。Lightweight Access Token化はPhase 1では行わない</t>
    <phoneticPr fontId="2"/>
  </si>
  <si>
    <t>U5 §5.1.1</t>
    <phoneticPr fontId="2"/>
  </si>
  <si>
    <t>basic-design/05-token-session-authz-design.md</t>
    <phoneticPr fontId="2"/>
  </si>
  <si>
    <t>Stage 2 / Stage 3への昇格規約</t>
    <phoneticPr fontId="2"/>
  </si>
  <si>
    <t>昇格はRealm一括ではなくClient（アプリ）単位。Stage 2（scope/client_id/auth_time/jti）はToken Exchange参加・jti監査要件・ステップアップMFA利用のいずれか。Stage 3（roles）は管理系Clientのみで業務アプリへのroles発行は不可。acr/amrは常時発行せずOptional Client Scope『acr-step-up』でのみ発行</t>
    <phoneticPr fontId="2"/>
  </si>
  <si>
    <t>U5 §5.1.2</t>
    <phoneticPr fontId="2"/>
  </si>
  <si>
    <t>顧客拡張クレームの規約（ext_）</t>
    <phoneticPr fontId="2"/>
  </si>
  <si>
    <t>命名=ext_&lt;tenant&gt;_&lt;name&gt; または ext_&lt;name&gt;。該当テナント専用のOptional Client Scopeに集約しDefault Scopeへの追加禁止。PII審査必須（氏名・メール・電話・住所等の直接PIIは拒否）。供給元はUser Profile宣言済み属性のみ。拡張込みでAccess Token ≤ 1KB（base64後）を上限、groups等の可変長配列は原則拒否</t>
    <phoneticPr fontId="2"/>
  </si>
  <si>
    <t>U5 §5.1.3</t>
    <phoneticPr fontId="2"/>
  </si>
  <si>
    <t>PII非搭載原則の検証チェックリスト（C-1〜C-7）</t>
    <phoneticPr fontId="2"/>
  </si>
  <si>
    <t>C-1 AT/ID TokenにPII系クレームが含まれない / C-2 アプリClientのDefault Scopeにprofile・emailが付いていない / C-3 ライフサイクル属性がJWTに載っていない / C-4 新規クレームが直接・準識別子でない（external_id生値はJWT非搭載）/ C-5 トークンサイズ≤1KB / C-6 ログ・APMにトークン平文が出ない / C-7 userinfoがPII提供の唯一の窓口。①Mapper追加時レビュー ②CI（realm設定lint）③四半期監査の3箇所で運用</t>
    <phoneticPr fontId="2"/>
  </si>
  <si>
    <t>U5 §5.1.4</t>
    <phoneticPr fontId="2"/>
  </si>
  <si>
    <t>TTL体系の最終値とKeycloak設定マッピング</t>
    <phoneticPr fontId="2"/>
  </si>
  <si>
    <t>Access Token 30分 / ID Token 30分（ATと同一、Keycloakは共用）/ SSO Session Idle 1h / SSO Session Max 24h / Revoke Refresh Token=ON（Rotation有効）/ Refresh Token Max Reuse=0（Reuse Detection、再利用でトークンファミリー全停止）/ Client Session Idle・Maxは未設定（SSOセッション従属）/ offline_access はPhase 1無効 / 署名=ES256 / RP側の許容clock skew ≤60秒</t>
    <phoneticPr fontId="2"/>
  </si>
  <si>
    <t>U5 §5.2.1</t>
    <phoneticPr fontId="2"/>
  </si>
  <si>
    <t>「RT 30日」の解釈確定</t>
    <phoneticPr fontId="2"/>
  </si>
  <si>
    <t>P-09の「RT 30日」は設定可能上限（レンジ）を指すと解釈を確定。KeycloakではRTの寿命はSSO Session Idle/Maxに従属するためRT単独30日は成立しない。Phase 1のRT実効寿命=アイドル1hごとのRotation前提で最大24h（絶対）。NIST AAL2と完全整合し「絶対24h」と「RT 30日」の見かけの矛盾を解消。30日級の長期ログインはOffline Tokenのみで実現可能だがPhase 1無効、必要時はアプリ単位の個別審査でPhase 2以降に解禁</t>
    <phoneticPr fontId="2"/>
  </si>
  <si>
    <t>U5 §5.2.2</t>
    <phoneticPr fontId="2"/>
  </si>
  <si>
    <t>テナント別TTL短縮オプション（5-15分）</t>
    <phoneticPr fontId="2"/>
  </si>
  <si>
    <t>Keycloak標準のClient単位Access Token Lifespan overrideで実現。Client単位overrideはテナント単位ではないため短縮対象テナントには専用Clientを発行する。SSO Session Idle短縮（15-30分）も同一テナント判定で適用可。規制/PCIテナントの絶対セッション短縮（24h→8h）はSSO Session MaxがRealm単位のため専用Realm（ADR-017規制例外）で実現。カスタムTokenProvider SPI方式は不採用</t>
    <phoneticPr fontId="2"/>
  </si>
  <si>
    <t>U5 §5.2.3</t>
    <phoneticPr fontId="2"/>
  </si>
  <si>
    <t>ゾンビウィンドウの侵害シナリオ（Z-1〜Z-5）</t>
    <phoneticPr fontId="2"/>
  </si>
  <si>
    <t>ATはStateless JWTのため失効操作後も最大30分のゾンビ窓が残る。Z-1退職者SCIM削除=≤30分 / Z-2 RT盗難=Reuse Detectionでファミリー全停止（即時）/ Z-3管理者強制ログアウト=≤30分 / Z-4 ITDR L4大規模侵害=not-beforeはRPローカル検証に伝播せず≤30分 / Z-5 AT単体盗難=構造的残余リスク（Phase 2 DPoPで完全防御）。契約明示事項として顧客説明に用いる</t>
    <phoneticPr fontId="2"/>
  </si>
  <si>
    <t>U5 §5.2.4</t>
    <phoneticPr fontId="2"/>
  </si>
  <si>
    <t>Token Exchange 適用パターンの限定</t>
    <phoneticPr fontId="2"/>
  </si>
  <si>
    <t>Phase 1で有効化するのはPattern 2（Audience縮小/Downstream Token）とPattern 3（Scope縮小）の2つに限定。Pattern 5（Delegation/act連鎖）とPattern 6/7（クロスドメイン・エッジ橋渡し）はPhase 2。Pattern 4（Impersonation）は監査追跡性を損なうため不採用（テスト環境限定・本番禁止）。aud跨ぎの素通し転送は禁止。同一信頼境界内の複数API呼び出しはTEではなくaud-* scopeの複数Default付与で解決するのが第一選択</t>
    <phoneticPr fontId="2"/>
  </si>
  <si>
    <t>U5 §5.3.1</t>
    <phoneticPr fontId="2"/>
  </si>
  <si>
    <t>audience設計と命名規約</t>
    <phoneticPr fontId="2"/>
  </si>
  <si>
    <t>Token Exchangeのaudienceパラメータ値=aud-&lt;api&gt; scopeが埋めるAPI識別子と同一の名前空間（TE用に別体系を作らない）。aud値の命名は短名（Client IDと同一の&lt;api名&gt;、例 expense-api）を採用しURI形式は不採用。交換後トークンのクレームはStage 1 + sidを維持（sub=元ユーザ、azp=交換実行サービス）</t>
    <phoneticPr fontId="2"/>
  </si>
  <si>
    <t>U5 §5.3.2</t>
    <phoneticPr fontId="2"/>
  </si>
  <si>
    <t>Token Exchange の Client設定方針</t>
    <phoneticPr fontId="2"/>
  </si>
  <si>
    <t>Keycloak Standard Token Exchange（V2）のみ使用しLegacy(V1)は禁止。交換実行ClientはConfidential必須（Public ClientのTE禁止）。有効化はClientごとに個別（Realm一括禁止）でaud-* scope付与のホワイトリストとして表現。scopeは縮小のみ許可（要求scope ⊆ 元AT scope）。交換後AT TTL=15分、Refresh Tokenは発行しない。TOKEN_EXCHANGEイベントを監査ログ必須収集。IdP-KC側でのTEは提供しない</t>
    <phoneticPr fontId="2"/>
  </si>
  <si>
    <t>U5 §5.3.3</t>
    <phoneticPr fontId="2"/>
  </si>
  <si>
    <t>RT Revocation（アプリ・ユーザ起点）</t>
    <phoneticPr fontId="2"/>
  </si>
  <si>
    <t>RFC 7009準拠のRevocationエンドポイントを全RPに開放。RPはログアウト時に保持中のRTをrevokeしてから破棄することをRP実装ガイドの必須項目とする。ATのrevokeは受理されるがローカル検証RPには伝播しないため、RPには「AT revokeに依存せず短TTLを前提に設計せよ」と案内</t>
    <phoneticPr fontId="2"/>
  </si>
  <si>
    <t>U5 §5.4.1</t>
    <phoneticPr fontId="2"/>
  </si>
  <si>
    <t>管理者強制ログアウトの3粒度</t>
    <phoneticPr fontId="2"/>
  </si>
  <si>
    <t>①個別ユーザ=Admin API users/{id}/logout（全セッション削除→RT即死+L4 Back-Channel Logout発火）、入口は管理画面Backend経由のみでテナント管理者は自テナントに限定 ②テナント単位=対象Orgメンバーへの一括logout（冪等・再開可能なジョブ）③全体（緊急）=ITDR L4手順、基盤on-callのみ。全操作を監査ログ必須（操作者/対象/理由コード/粒度）。パスワード変更時の全セッション無効化は自動切断をデフォルト</t>
    <phoneticPr fontId="2"/>
  </si>
  <si>
    <t>U5 §5.4.2</t>
    <phoneticPr fontId="2"/>
  </si>
  <si>
    <t>ITDR L4連動（全Token Revoke）</t>
    <phoneticPr fontId="2"/>
  </si>
  <si>
    <t>①not-before push（Realmまたは対象Client単位）で発火時刻以前発行の全トークンを無効化 ②対象範囲の全セッション削除（RT即死+L4一斉送信）③限界の明示=ローカル署名検証のみのRPにはnot-beforeが伝播せずAT残寿命≤30分のゾンビ窓が残るため、L4発火Runbookに「30分間の追加監視」を含める ④発火判定・自動化閾値はU7のRisk Engine設計に従う。本書は実行API面の確定のみ</t>
    <phoneticPr fontId="2"/>
  </si>
  <si>
    <t>U5 §5.4.3</t>
    <phoneticPr fontId="2"/>
  </si>
  <si>
    <t>ログアウト4レイヤーの採用範囲</t>
    <phoneticPr fontId="2"/>
  </si>
  <si>
    <t>L1ローカル=Must（Cookie/トークンストア破棄+保持RTのrevoke）/ L2 RP-Initiated Logout=Must（id_token_hint必須、post_logout_redirect_uriは完全一致登録・ワイルドカード禁止）/ L3フェデ連動=既定OFF・テナントオプション、ただしidpkc-oidc01（自社IdP-KC）は既定ON / L4 Back-Channel Logout=Must（コア層OIDCアプリ標準）/ L4 Front-Channel Logout=不採用。既定の到達範囲=L1+L2+L4+IdP-KC連鎖（顧客IdPセッションは維持=顧客責任）</t>
    <phoneticPr fontId="2"/>
  </si>
  <si>
    <t>U5 §5.5.1</t>
    <phoneticPr fontId="2"/>
  </si>
  <si>
    <t>SAML SP（ServiceNow）へのSLO</t>
    <phoneticPr fontId="2"/>
  </si>
  <si>
    <t>ServiceNowへのSAML SLOはPhase 1では実装しない（オプション扱い）。根拠=SAML SLOは成功率60-80%・SOAP実装複雑で1 SPの無応答がチェーンを壊す。SNセッションはSN側アイドルタイムアウト+次回アクセス時のSAML再認証で収束し、L1 SCIM enabled=false→SAML認証拒否の遮断経路が既にある。テナントが要求した場合はSP-initiated SLOのみ検討し詳細設計はU10へ</t>
    <phoneticPr fontId="2"/>
  </si>
  <si>
    <t>U5 §5.5.2</t>
    <phoneticPr fontId="2"/>
  </si>
  <si>
    <t>SPA直構成の限界の明示</t>
    <phoneticPr fontId="2"/>
  </si>
  <si>
    <t>Back-Channel Logoutはサーバ間POSTのためバックエンドを持たないSPA直構成はL4通知を受信できない。該当アプリは①AT 30分の自然失効+次回Refresh失敗で最大30分遅れの切断を許容するか、②BFF構成へ移行してL4受信を実装するかのいずれかを選択。OIDC Session Management（iframe polling）は3rd party cookie制約により推奨しない。シェア端末を扱うアプリはBFF+L4を必須</t>
    <phoneticPr fontId="2"/>
  </si>
  <si>
    <t>U5 §5.5.3</t>
    <phoneticPr fontId="2"/>
  </si>
  <si>
    <t>Back-Channel Logoutの実装確定</t>
    <phoneticPr fontId="2"/>
  </si>
  <si>
    <t>各アプリClientにbackchannel_logout_urlを登録しBackchannel Logout Session Required=ON（Logout Tokenにsidを含める）。発火点=L2 RP-Initiated / 管理者強制ログアウト / ITDR L4のすべて。RP受信実装の必須項目=①POST /backchannel-logout ②Logout Token検証（署名/iss/aud/iat/events/nonceが無いこと）③sidでローカルセッション索引を破棄（sid不在時はsub全セッション破棄にフォールバック）④2xx応答・冪等実装。送信失敗時はベストエフォート（再送保証なし）で最終防衛線はTTL</t>
    <phoneticPr fontId="2"/>
  </si>
  <si>
    <t>U5 §5.5.4</t>
    <phoneticPr fontId="2"/>
  </si>
  <si>
    <t>RP実装ガイド: 認可リクエスト（全アプリ必須）</t>
    <phoneticPr fontId="2"/>
  </si>
  <si>
    <t>response_type=codeのみ（Implicit/Hybrid禁止）。state（128bit以上乱数）+ nonce + PKCE S256を必須。Public Client（SPA/モバイル）はPKCE必須、ConfidentialでもPKCE推奨。state/nonce/code_verifierはHttpOnly Cookie or sessionStorage（BFFはサーバセッション）でTTL 10分・1回検証で即破棄。Callbackでstate不一致は400拒否。issレスポンスパラメータ検証（mix-up対策）を推奨項目に含める</t>
    <phoneticPr fontId="2"/>
  </si>
  <si>
    <t>U5 §5.6.1</t>
    <phoneticPr fontId="2"/>
  </si>
  <si>
    <t>RP実装ガイド: BFF vs SPA直の使い分け</t>
    <phoneticPr fontId="2"/>
  </si>
  <si>
    <t>既定推奨はBFF（トークンはサーバ側保管、ブラウザにはHttpOnly+Secure+SameSite=Laxのセッションcookieのみ、L4受信可、CSRFはDouble Submit Cookie必須）。SPA直は制約の明示同意（アプリオーナー）を条件に許容（AT/RTはMemory保管のみ、localStorage/Cookie禁止、L4受信不可、CSP+escape+DOMPurify必須）。適用目安=機微データ・シェア端末・長時間業務はBFF、社内向け読み取り中心の軽量SPAはSPA直</t>
    <phoneticPr fontId="2"/>
  </si>
  <si>
    <t>U5 §5.6.2</t>
    <phoneticPr fontId="2"/>
  </si>
  <si>
    <t>U5 §5.6.3</t>
    <phoneticPr fontId="2"/>
  </si>
  <si>
    <t>RP実装ガイド: CORS / SameSite</t>
    <phoneticPr fontId="2"/>
  </si>
  <si>
    <t>APIのAccess-Control-Allow-Originは具体的RP originの許可リスト（*禁止）。Bearer方式ではAccess-Control-Allow-Credentials=false。BFFセッションCookieはHttpOnly; Secure; SameSite=Laxを既定（Strictはフェデリダイレクト帰還で切れるためLax、CSRFトークン併用で完全防御）。GETで状態変更するAPIの実装禁止</t>
    <phoneticPr fontId="2"/>
  </si>
  <si>
    <t>U5 §5.6.4</t>
    <phoneticPr fontId="2"/>
  </si>
  <si>
    <t>RP実装ガイド: ログアウト・トークンライフサイクル</t>
    <phoneticPr fontId="2"/>
  </si>
  <si>
    <t>ログアウト時はRT revoke → ローカル破棄 → L2 RP-Initiated（id_token_hint付き）の順。L4受信エンドポイント実装はBFF/SSR必須。Refresh失敗（invalid_grant）はセッション終了として再ログイン誘導（Reuse Detection発火時も同じ経路に収束）</t>
    <phoneticPr fontId="2"/>
  </si>
  <si>
    <t>U5 §5.6.5</t>
    <phoneticPr fontId="2"/>
  </si>
  <si>
    <t>RP実装ガイド: 認可失敗（403）→ Sorry誘導</t>
    <phoneticPr fontId="2"/>
  </si>
  <si>
    <t>アプリは403を検知したらlaunchpad.&lt;domain&gt;/sorry?app=&lt;カタログID&gt;&amp;reason=&lt;code&gt;へredirectする。reasonコードは固定辞書のみ（not_entitled / tenant_not_allowed / stepup_required 等、SSOTはU4）。自由文パラメータの付与は禁止（インジェクション・情報漏えい対策）。エッジ403→302集約が他組織に受諾された後も本規約は廃止しない（二重化）</t>
    <phoneticPr fontId="2"/>
  </si>
  <si>
    <t>U5 §5.6.6</t>
    <phoneticPr fontId="2"/>
  </si>
  <si>
    <t>専用API層のスコープ命名規約とPhase 1セット</t>
    <phoneticPr fontId="2"/>
  </si>
  <si>
    <t>命名=idm:&lt;resource&gt;:&lt;action&gt;（小文字・コロン区切り・複数形リソース）。Phase 1セット= idm:users:read / write / deactivate / reactivate、idm:idmap:read / write、idm:context:read、idm:assignments:write、idm:sessions:revoke、idm:orgs:read。粒度は「リソース×操作」の2軸のみとし行レベル制約はスコープで表現しない（スコープ爆発の防止）。物理削除スコープ（idm:users:delete）はPhase 1では定義しない</t>
    <phoneticPr fontId="2"/>
  </si>
  <si>
    <t>U5 §5.8.1</t>
    <phoneticPr fontId="2"/>
  </si>
  <si>
    <t>専用API層のClient発行・テナント制約・トークン設定</t>
    <phoneticPr fontId="2"/>
  </si>
  <si>
    <t>Client発行単位=利用アプリごとに1 Confidential Client（Service Account有効・Standard Flow無効、共有Client禁止）。スコープはOptional Client Scopeとして定義しアプリごとに必要最小セットのみ付与。テナント制約=Client属性allowed_tenants（カンマ区切りOrg alias）をHardcoded Claim MapperでATに焼き込み、API層は全リクエストで対象リソースのtenant ∈ allowed_tenants を強制（スコープ=リソース×操作、テナント境界=クレームの2層認可）。aud=idm-api、AT TTL=15分、azp単位のレート制限</t>
    <phoneticPr fontId="2"/>
  </si>
  <si>
    <t>U5 §5.8.2</t>
    <phoneticPr fontId="2"/>
  </si>
  <si>
    <t>ログインUX = Identifier-First 2段階</t>
    <phoneticPr fontId="2"/>
  </si>
  <si>
    <t>U4 認証体験・UX</t>
    <phoneticPr fontId="2"/>
  </si>
  <si>
    <t>画面1は識別子入力のみ（パスワード欄なし・接続先ボタンなし）。IDとメールを同一フィールドで受けHRDが判別。接続先一覧は恒久的に非表示（1000+件では性能上成立しないため必須条件）。画面1に「ここではパスワードを入力しません」の1行説明を常設し、リダイレクト直前の中間画面は設けない。統合1画面案は98%の利用者に無関係なPW欄を見せフィッシング教育上有害なため不採用</t>
    <phoneticPr fontId="2"/>
  </si>
  <si>
    <t>D-U4-01</t>
    <phoneticPr fontId="2"/>
  </si>
  <si>
    <t>basic-design/04-auth-ux-design.md §4.1</t>
    <phoneticPr fontId="2"/>
  </si>
  <si>
    <t>HRD失敗時のフォールバックUX</t>
    <phoneticPr fontId="2"/>
  </si>
  <si>
    <t>利用者の存在有無を漏らさない応答同一化を全ケースで守る。①所属不在/接続なし=無言でPW画面へ+汎用エラー+書式ヒント ②メールのドメイン未登録=同上 ③ハイフンなしの素のID=PW画面（運用者の正規経路）+恒常ヒント ④同一所属に複数接続=所属限定セレクター（displayName昇順）。ダミー遅延は入れずフォーム描画コストに吸収。「組織が見つかりません」等の表示は禁止</t>
    <phoneticPr fontId="2"/>
  </si>
  <si>
    <t>D-U4-02</t>
    <phoneticPr fontId="2"/>
  </si>
  <si>
    <t>basic-design/04-auth-ux-design.md §4.1.3</t>
    <phoneticPr fontId="2"/>
  </si>
  <si>
    <t>ブランディング = パターンA（統一テーマ1本）</t>
    <phoneticPr fontId="2"/>
  </si>
  <si>
    <t>基盤統一のニュートラルテーマ1本のみ保守。テナント別ロゴ・配色はPhase 1不採用（画面1はテナント未確定で原理的に不可能、HRD解決後も出さない）。テナント識別はテキスト表示のみ。全カスタム文言はmessagesプロパティに集約しFTL直書き禁止。標準のCSRF hiddenフィールドとsession_codeを削除・改変しないことをテーマPRレビュー必須項目に。アプリ別テーマはA'移行時に解禁、顧客別はPhase 2の顧客別URL方式で受ける</t>
    <phoneticPr fontId="2"/>
  </si>
  <si>
    <t>basic-design/04-auth-ux-design.md §4.2</t>
    <phoneticPr fontId="2"/>
  </si>
  <si>
    <t>MFA UX 4ケース（2026-07-30 D-17反映）</t>
    <phoneticPr fontId="2"/>
  </si>
  <si>
    <t>ケースA'=外部フェデ利用者（顧客IdP保有テナントの全員＋そのテナント管理者）は基盤側追加画面ゼロ、mfa_indicatorの検証・記録・監視のみでブロックも補完もしない（MFA実施は顧客IdP責任＋契約担保）/ ケースB=自社受け皿収容の利用者（非IdPテナントの一般利用者＋テナント管理者）にWebAuthn優先、実施場所は受け皿側のログイン画面 / ケースC=同対象でWebAuthn不可時にTOTP（6桁自動送信はしない）/ ケースD=基盤運用者のみPW+WebAuthn必須（TOTPへの緩和不可）。SMS OTPは不採用確定。二重MFA回避が本設計の中核価値</t>
    <phoneticPr fontId="2"/>
  </si>
  <si>
    <t>basic-design/04-auth-ux-design.md §4.3.1</t>
    <phoneticPr fontId="2"/>
  </si>
  <si>
    <t>MFAエンロールフロー（初回登録UX）</t>
    <phoneticPr fontId="2"/>
  </si>
  <si>
    <t>ケースB/C対象者は初回ログイン時にエンロール強制（猶予期間なし）。遷移=登録案内（所要1分目安）→WebAuthn登録（認証器名は自動命名、利用者入力を必須にしない）→使えない場合のフォールバックリンクでTOTP登録（QR+手動キー併記・コピーボタン付き）→Recovery Codes発行→着地。猶予期間案は「MFA漏れ利用者が常在しコンプラ主張が崩れる」ため不採用</t>
    <phoneticPr fontId="2"/>
  </si>
  <si>
    <t>U4 §4.3.2</t>
    <phoneticPr fontId="2"/>
  </si>
  <si>
    <t>basic-design/04-auth-ux-design.md §4.3.2</t>
    <phoneticPr fontId="2"/>
  </si>
  <si>
    <t>Recovery Codes（予備コード）</t>
    <phoneticPr fontId="2"/>
  </si>
  <si>
    <t>基盤側クレデンシャルを持つ全利用者（ケースB/C/D）に標準機能で発行。エンロール完了直後に自動発火し一括表示＋ダウンロード/印刷/コピー。ハッシュ化保存。残3以下でバナー再発行誘導、全消費時は再発行を強制。紛失時の自己救済不能ケースはケースB/C=顧客テナント管理者が管理画面からリセット、ケースD=自社運用ランブック（本人確認手順込み）。リセットは通常操作ではなく管理者の一時昇格承認経路のみ</t>
    <phoneticPr fontId="2"/>
  </si>
  <si>
    <t>basic-design/04-auth-ux-design.md §4.3.3</t>
    <phoneticPr fontId="2"/>
  </si>
  <si>
    <t>ステップアップ再認証UX</t>
    <phoneticPr fontId="2"/>
  </si>
  <si>
    <t>通常ログインと明確に区別された専用文言画面。AAL2=「操作の確認のため、追加の本人確認を行います」でWebAuthn/TOTP・max_age 900秒 / AAL3=同文言でフィッシング耐性のある方式のみ（TOTPは選択肢に出さない）・max_age 300秒。再認証後は元の操作画面へ復帰（操作コンテキスト保持はアプリ責務）。「再ログイン」「ログインし直してください」という表現を全画面で禁止。max_age超過時は「最後の確認から時間が経過しました」（「セッション切れ」と言わない）。外部フェデ利用者はステップアップ対象外</t>
    <phoneticPr fontId="2"/>
  </si>
  <si>
    <t>D-U4-05</t>
    <phoneticPr fontId="2"/>
  </si>
  <si>
    <t>basic-design/04-auth-ux-design.md §4.3.4</t>
    <phoneticPr fontId="2"/>
  </si>
  <si>
    <t>Landing = Pattern 1（許可サービスのみ表示）</t>
    <phoneticPr fontId="2"/>
  </si>
  <si>
    <t>Post-loginサービス選択画面を独立SPA（launchpad）として構築。許可されたサービスのみタイル表示＋申請可能セクション。表示判定は通行証のロール直読ではなく管理画面Backendのエンタイトルメント照会API（/api/me/context、フェデ系・非IdP系を問わず全テナント共通契約）。業務アプリにロール情報を発行しない決定と整合。アプリ側の認可判定はPattern 1でも必須（省略は誤った安心感）。お気に入り・最近使ったはPhase 2</t>
    <phoneticPr fontId="2"/>
  </si>
  <si>
    <t>D-U4-06</t>
    <phoneticPr fontId="2"/>
  </si>
  <si>
    <t>basic-design/04-auth-ux-design.md §4.4</t>
    <phoneticPr fontId="2"/>
  </si>
  <si>
    <t>Sorry = 基盤側SPA主実装</t>
    <phoneticPr fontId="2"/>
  </si>
  <si>
    <t>主実装=launchpad SPA内ルート/sorry（同一codebase・同一配信）。主経路=アプリが403検知時に/sorryへredirectする規約を受け取り側実装ガイドの標準要件に。追加層=エッジでの403→302集約は境界が他組織管理のため実装を保証できず、要求仕様（別紙）に降格。受諾されてもアプリ側redirect規約は廃止しない（二重化）。表示必須=認証エラーと誤認させない見出し・利用者名とテナント名・対象サービス名・理由コードの固定文言・次のアクション・リクエストIDと時刻。表示禁止=他テナント情報・スタックトレース・内部システム名・生トークン・内部ロール名</t>
    <phoneticPr fontId="2"/>
  </si>
  <si>
    <t>D-U4-07</t>
    <phoneticPr fontId="2"/>
  </si>
  <si>
    <t>basic-design/04-auth-ux-design.md §4.5</t>
    <phoneticPr fontId="2"/>
  </si>
  <si>
    <t>アクセシビリティ = WCAG 2.2 AA + JIS AA</t>
    <phoneticPr fontId="2"/>
  </si>
  <si>
    <t>全UI接点10画面を対象にWCAG 2.2 AA + JIS X 8341-3:2016 AA準拠。axe-coreをPRごとに実行しAA違反でmergeブロック（テーマは実画面をテストコンテナで起動して検査、FTL静的検査では不足）。3層検証=L1自動CI / L2手動（NVDA・VoiceOver、月1+Major改修時）/ L3当事者テスト（年1回）。拘束項目=識別子欄にautocomplete=username・TOTPにone-time-code、ステップアップで識別子を再入力させない、ヒント/エラーはrole=alert+aria-live、タイムアウトは無言の白画面禁止、ボタン44×44px以上、コントラスト・フォーカスリングはデザイントークン1セットを共通化</t>
    <phoneticPr fontId="2"/>
  </si>
  <si>
    <t>D-U4-08</t>
    <phoneticPr fontId="2"/>
  </si>
  <si>
    <t>basic-design/04-auth-ux-design.md §4.6</t>
    <phoneticPr fontId="2"/>
  </si>
  <si>
    <t>ディープリンク・着地の原則</t>
    <phoneticPr fontId="2"/>
  </si>
  <si>
    <t>redirect_uri優先（ディープリンク尊重）。認可要求に戻り先がない基盤起点ログインのみLandingに着地。接続先指定付きディープリンク（ポータル・QR・招待メール用途）は画面1をスキップする正規経路として許容し、指定が不正な場合は標準動作で画面1に降格</t>
    <phoneticPr fontId="2"/>
  </si>
  <si>
    <t>basic-design/04-auth-ux-design.md §4.1.4</t>
    <phoneticPr fontId="2"/>
  </si>
  <si>
    <t>テーマの構成と保守範囲</t>
    <phoneticPr fontId="2"/>
  </si>
  <si>
    <t>カスタマイズ対象は10ファイルに限定（識別子/PW画面・TOTP認証・TOTPエンロール・WebAuthn認証・WebAuthn登録・Recovery Codes発行/入力・所属セレクター・エラー・情報）。それ以外は標準テーマ継承のままとし製品バージョンアップ時の差分確認対象を最小化。アクセシビリティ要件をテーマの受け入れ基準に組み込む。アカウント設定画面は標準ベース＋文言/ロゴのみを暫定</t>
    <phoneticPr fontId="2"/>
  </si>
  <si>
    <t>basic-design/04-auth-ux-design.md §4.2.3</t>
    <phoneticPr fontId="2"/>
  </si>
  <si>
    <t>暗号鍵の命名規則と配置（6アカウント体系への写像）</t>
    <phoneticPr fontId="2"/>
  </si>
  <si>
    <t>U7 セキュリティ</t>
    <phoneticPr fontId="2"/>
  </si>
  <si>
    <t>3階層モデル（L1基盤共通/L2アカウント別/L3テナント別）を維持し alias/&lt;scope&gt;-&lt;purpose&gt;[-mrk] で確定。Phase 1初期セット10種を定義（監査ログ・組織証跡・Break-Glass・Broker Aurora・IdP-KC Aurora〔PWハッシュ保有〕・idmap・ITDR・Secrets・S3・テナント別）。IdP-KC侵害時にBroker側の鍵へ到達できないことをアカウント分割で構造保証。他組織アカウントへの鍵共有はゼロ。全鍵MRK化は漏洩影響を東京に限定する観点で不採用</t>
    <phoneticPr fontId="2"/>
  </si>
  <si>
    <t>D-U7-01</t>
    <phoneticPr fontId="2"/>
  </si>
  <si>
    <t>basic-design/07-security-compliance-design.md §7.1.1</t>
    <phoneticPr fontId="2"/>
  </si>
  <si>
    <t>鍵ポリシー — 管理者/利用者/監査者の職務分離</t>
    <phoneticPr fontId="2"/>
  </si>
  <si>
    <t>全鍵の Key Policy を3ロール構造で統一しTerraformテンプレート化。管理者=Security Lead+Infra Leadの2名（多要素認証必須、暗号化操作権限は付与しない、JIT昇格経由のみ）/ 利用者=サービスRole（IRSA）のみで人間への付与禁止・対象鍵限定 / 監査者=読取専用。Key Custodian Agreement は書面で法務レビュー、離職時は即日削除。鍵削除・ポリシー変更・無効化は高重要度で即時通知</t>
    <phoneticPr fontId="2"/>
  </si>
  <si>
    <t>D-U7-02</t>
    <phoneticPr fontId="2"/>
  </si>
  <si>
    <t>basic-design/07-security-compliance-design.md §7.1.2</t>
    <phoneticPr fontId="2"/>
  </si>
  <si>
    <t>JWT署名鍵はKeycloak標準管理 + 90日更新周期</t>
    <phoneticPr fontId="2"/>
  </si>
  <si>
    <t>署名鍵はKeycloak標準のRealm Keysで管理し暗号管理サービスには持ち込まない。90日で新鍵に切替、旧鍵は検証専用で30日並走（受け取り側キャッシュTTLを上回ることを保証）。緊急時は並走なしで即時無効化＋全体無効化操作＋受け取り側へ再取得の注意喚起。暗号管理サービスでの署名は該当機能がなく開発と遅延が過大なためPhase 1では見送り（金融要件発生時にPhase 2再評価）</t>
    <phoneticPr fontId="2"/>
  </si>
  <si>
    <t>D-U7-03</t>
    <phoneticPr fontId="2"/>
  </si>
  <si>
    <t>basic-design/07-security-compliance-design.md §7.1.3</t>
    <phoneticPr fontId="2"/>
  </si>
  <si>
    <t>不正検知のパイプライン構成と配置</t>
    <phoneticPr fontId="2"/>
  </si>
  <si>
    <t>イベント送出専任の仕組みでイベントバスへ送り、Broker側に判定エンジンと履歴DBを一元配置。IdP-KC側のイベント（ローカルパスワードログインが主戦場）はクロスアカウントで送出のみ。対応操作はBroker内で完結させ、IdP-KCへの逆流経路は作らない（片方向原則の維持）。判定エンジンの二重配置は履歴が分裂し将来の相関分析が不能になるため不採用。監視製品連携は後続フェーズ</t>
    <phoneticPr fontId="2"/>
  </si>
  <si>
    <t>D-U7-04</t>
    <phoneticPr fontId="2"/>
  </si>
  <si>
    <t>basic-design/07-security-compliance-design.md §7.2.1</t>
    <phoneticPr fontId="2"/>
  </si>
  <si>
    <t>Phase 1の検知範囲と閾値初期値</t>
    <phoneticPr fontId="2"/>
  </si>
  <si>
    <t>漏洩パスワード照合と総当たり検知の2領域に限定。①アカウント単位=連続5失敗で30分ロック（恒久ロックはサービス妨害化を防ぐため不使用）②横断パターン=同一送信元から10分で10利用者以上の失敗で警戒、30ユーザ以上で上位通知（Phase 1aは通知のみ）③漏洩パスワード=ログイン成功時とパスワード設定変更時に外部照合し、ヒット時は強制再認証＋変更強制/設定拒否。照合は先頭5桁のみ送信する方式で平文は送らない。外部API障害時は照合をスキップしログイン可用性を優先。リスク帯を4段階で定義</t>
    <phoneticPr fontId="2"/>
  </si>
  <si>
    <t>basic-design/07-security-compliance-design.md §7.2.2</t>
    <phoneticPr fontId="2"/>
  </si>
  <si>
    <t>誤検知の段階活性化運用</t>
    <phoneticPr fontId="2"/>
  </si>
  <si>
    <t>Phase 1a（〜3ヶ月）は検知・通知のみ（例外は漏洩パスワードヒット時の変更強制）。Phase 1bで誤検知率5%未満を実測条件として自動対応をシグナル単位で有効化。検証済み送信元の除外リストはコード管理＋四半期棚卸し。災害復旧訓練の実施ウィンドウ中は一部検知を通知のみに自動降格し、総当たり検知の感度は一段引き上げ。誤ロック解除はテナント管理者または基盤運用者が行い操作を監査記録。リリース時から全自動遮断は誤検知多発が確実なため不採用</t>
    <phoneticPr fontId="2"/>
  </si>
  <si>
    <t>D-U7-06</t>
    <phoneticPr fontId="2"/>
  </si>
  <si>
    <t>basic-design/07-security-compliance-design.md §7.2.3</t>
    <phoneticPr fontId="2"/>
  </si>
  <si>
    <t>ログの秘匿情報マスキング（収集段＋保存後スキャンの2段構え）</t>
    <phoneticPr fontId="2"/>
  </si>
  <si>
    <t>収集段マスクを主とし保存後スキャンで漏れを検知。収集は全ノード配置の軽量収集役→集約役（マスク処理を集中、Keycloak用ノードとは分離配置しCPUを食わせない）。マスキング辞書14項目を定義（旧来方式の応答/要求/中継状態、認可コード、検証子、各種トークン、セッションCookie、認証ヘッダ、ログアウトトークン等）。週1で保存後スキャンを実行し、検出時は該当トークンの強制無効化＋辞書追加。マスク処理件数もメトリクス化し突然のゼロ件はパイプライン故障として警報。配信元ログは他組織管理のため要求仕様に登録</t>
    <phoneticPr fontId="2"/>
  </si>
  <si>
    <t>D-U7-07</t>
    <phoneticPr fontId="2"/>
  </si>
  <si>
    <t>basic-design/07-security-compliance-design.md §7.3.1</t>
    <phoneticPr fontId="2"/>
  </si>
  <si>
    <t>署名鍵悪用検知はPhase 1でルールベース4シグナル</t>
    <phoneticPr fontId="2"/>
  </si>
  <si>
    <t>ベースライン学習の要否で分割。Phase 1採用=①短時間大量発行（1分100件で警戒/1000件で重大）②通常時間帯外の署名操作（深夜帯の急増）③鍵識別子の異常使用（廃止済み・未知・未指定。90日更新運用と表裏一体のため必須）④認証イベントを伴わないトークン発行（最も直接的なシグナル）。発行分布の統計逸脱と異常地理IPは3ヶ月以上の履歴が前提のためPhase 2。重大発火時は緊急鍵更新手順＋全体無効化手順に連動（Phase 1aは通知のみ）</t>
    <phoneticPr fontId="2"/>
  </si>
  <si>
    <t>D-U7-08</t>
    <phoneticPr fontId="2"/>
  </si>
  <si>
    <t>basic-design/07-security-compliance-design.md §7.4.1</t>
    <phoneticPr fontId="2"/>
  </si>
  <si>
    <t>実行主体の権限設計（IRSA）</t>
    <phoneticPr fontId="2"/>
  </si>
  <si>
    <t>Pod→AWSリソースは標準のIRSA方式で統一。命名規約 &lt;acct&gt;-irsa-&lt;namespace&gt;-&lt;serviceaccount&gt;、信頼ポリシーは完全一致（ワイルドカード禁止）、1実行主体=1ロール（共有禁止）、Broker/IdP-KCは信頼関係も完全別で相互のロールを信頼する構成を禁止。Phase 1初期セット6種を定義（Keycloak各Realm用・ログ収集・SCIM受け口・鍵更新ジョブ・判定エンジンなど）。長期の固定認証情報を排除し1時間で自動更新</t>
    <phoneticPr fontId="2"/>
  </si>
  <si>
    <t>D-U7-09</t>
    <phoneticPr fontId="2"/>
  </si>
  <si>
    <t>basic-design/07-security-compliance-design.md §7.5.1</t>
    <phoneticPr fontId="2"/>
  </si>
  <si>
    <t>Keycloakへの機械アクセスは内部から順に無秘密方式へ</t>
    <phoneticPr fontId="2"/>
  </si>
  <si>
    <t>基盤内部コンポーネントは実行環境の身分証明を使った交換方式へ移行し秘密情報を廃止（管理画面Backend・専用API層・鍵更新ジョブ・一括ログアウトジョブ）。実行環境を持たない判定エンジンと顧客側のアプリは秘密情報方式のまま（保管庫管理＋90日更新）。全クライアント一括移行は対象外が存在するため不成立。方式を2系統に限定し「野良管理される秘密情報」だけを排除する</t>
    <phoneticPr fontId="2"/>
  </si>
  <si>
    <t>D-U7-10a</t>
    <phoneticPr fontId="2"/>
  </si>
  <si>
    <t>basic-design/07-security-compliance-design.md §7.5.2</t>
    <phoneticPr fontId="2"/>
  </si>
  <si>
    <t>クライアント認証の昇格時期を確定</t>
    <phoneticPr fontId="2"/>
  </si>
  <si>
    <t>Phase 1は閉域が成立しているため送信型の秘密情報を許容。ただし①保管庫での管理＋90日自動更新 ②2世代並走で無停止更新 ③設定ファイルへの直書き禁止（CI機械検査）を必須。Phase 2開始時に鍵ペア方式へ一括昇格し、更新の自動化基盤はそのまま流用（Phase 1の投資を無駄にしない）。相互証明書方式は金融要件発生時のみでPhase 3・標準昇格パスには含めない。昇格の前提条件は方式そのものではなく更新自動化であるという判断</t>
    <phoneticPr fontId="2"/>
  </si>
  <si>
    <t>D-U7-10b</t>
    <phoneticPr fontId="2"/>
  </si>
  <si>
    <t>basic-design/07-security-compliance-design.md §7.5.3</t>
    <phoneticPr fontId="2"/>
  </si>
  <si>
    <t>ブランド単位アカウント内での認証系と権限系の強分離</t>
    <phoneticPr fontId="2"/>
  </si>
  <si>
    <t>Phase 1は単一アカウントだが、認証基盤（Keycloak）と権限系（権限DB・ID対応表・射影）をデータベース・暗号鍵・実行権限・通信許可の4軸で内部分離。両方に届く単一の実行権限や通信許可を作らない。両者をつなぐ唯一の橋渡しコンポーネントは権限を必要最小に絞り、その堅牢化を最優先（主脅威である橋渡しの乗っ取りはアカウント分割でも防げないため）。規制対象ブランドでアカウントレベル分離が要件化した場合に2アカウント分割へ移行可能な不変条件を維持</t>
    <phoneticPr fontId="2"/>
  </si>
  <si>
    <t>D-U7-19</t>
    <phoneticPr fontId="2"/>
  </si>
  <si>
    <t>basic-design/07-security-compliance-design.md §7.5.4</t>
    <phoneticPr fontId="2"/>
  </si>
  <si>
    <t>特権管理4層モデルの構成への写像</t>
    <phoneticPr fontId="2"/>
  </si>
  <si>
    <t>L1緊急用アカウント=自管理3アカウントに各1つ、専用暗号鍵＋物理金庫＋ハードウェアキー（他組織アカウント分は先方責務）。L2インフラ=6アカウント×3チームで権限セット定義、BrokerとIdP-KCへの同一人物の同時昇格を承認フローで排他。L3アプリ=昇格可能/昇格中の2状態の組み合わせ役割を両Realmに定義し最大4時間で自動剥奪、管理画面へは内部ホスト名・内部経路のみ。L4テナント特権=破壊的操作の都度承認。追加製品ゼロで実現</t>
    <phoneticPr fontId="2"/>
  </si>
  <si>
    <t>D-U7-11</t>
    <phoneticPr fontId="2"/>
  </si>
  <si>
    <t>basic-design/07-security-compliance-design.md §7.6.1</t>
    <phoneticPr fontId="2"/>
  </si>
  <si>
    <t>管理経路と監査ログ集約の整合</t>
    <phoneticPr fontId="2"/>
  </si>
  <si>
    <t>管理画面の実効防御は3層（WAF要求／自管理側での拒否＝生命線／内部ホスト名分離）で成立していることを特権管理側の前提として確定。特権セッションはセッション管理サービスのポート転送を標準としVPN併用、全操作を録画して監査アカウントへ。インターネットから管理画面へ到達する経路が存在しない構造を維持。監査アカウントを唯一の集約先とし、昇格記録7年・操作録画1年＋長期保管6年・管理イベント1年＋6年、すべて改ざん不能保管。運用者は監査アカウントに対し読取専用</t>
    <phoneticPr fontId="2"/>
  </si>
  <si>
    <t>basic-design/07-security-compliance-design.md §7.6.2</t>
    <phoneticPr fontId="2"/>
  </si>
  <si>
    <t>監査ログ保持 — 即時分析90日 + 改ざん不能7年</t>
    <phoneticPr fontId="2"/>
  </si>
  <si>
    <t>Hot層=CloudWatch Logs＋検索基盤で90日（直近3ヶ月の即時アクセス要件を充足、保持設定はコードで固定）。Cold層=監査アカウントのS3に改ざん不能モードで7年（運用者・最上位権限でも削除不可）＋長期アーカイブ移行。12ヶ月超の調査はデータレイク検索で対応。対象ログ源11種を必須セットとして列挙し、すべてマスキング通過後に保存（長期保管層に平文トークンを7年残さない）。誤設定の巻き戻し不能リスクはバケット分割と保持期間の段階設定で緩和</t>
    <phoneticPr fontId="2"/>
  </si>
  <si>
    <t>basic-design/07-security-compliance-design.md §7.7.1</t>
    <phoneticPr fontId="2"/>
  </si>
  <si>
    <t>フィッシング耐性のある追加確認を管理系に必須化</t>
    <phoneticPr fontId="2"/>
  </si>
  <si>
    <t>①基盤運用者=パスキー必須（認証アプリ不可）②テナント管理者=顧客側ID基盤保有なら顧客側の追加確認を信頼し基盤は補完しない／非保有なら自社受け皿収容でパスキー必須・初回強制登録 ③ローカル利用者=パスキー推奨・認証アプリ許容 ④外部連携利用者=顧客側の追加確認を信頼し記録・監視のみ ⑤緊急用アカウント=ハードウェアキー必須。2026-07-26改訂で外部連携利用者への基盤側補完を撤去。リスク明示: 顧客側が追加確認を実施しない場合そのテナントでは技術的に充足されないため、契約で必須条項化し実施率の監視を遵守検知手段とする</t>
    <phoneticPr fontId="2"/>
  </si>
  <si>
    <t>basic-design/07-security-compliance-design.md §7.7.2</t>
    <phoneticPr fontId="2"/>
  </si>
  <si>
    <t>漏えい等報告の標準手順（個人情報保護法）</t>
    <phoneticPr fontId="2"/>
  </si>
  <si>
    <t>7ステップで確定。①検知（不正検知・署名鍵悪用検知・ログ監査スキャン・外部通報）→②トリアージ（4類型該当判定、不正アクセス起因は1件でも報告対象、検知から24時間以内）→③封じ込め（②と並行、個別/テナント/全体の粒度＋必要時の緊急鍵更新）→④速報（知った時点から3〜5日）→⑤顧客通知（契約SLA）→⑥確報（30日以内、不正アクセス起因は60日以内）→⑦事後（是正＋監査記録7年）。Phase 1αは業務時間内対応だが重大インシデントの初動のみ緊急経路で時間外可、Phase 1βで24/7体制へ</t>
    <phoneticPr fontId="2"/>
  </si>
  <si>
    <t>D-U7-15</t>
    <phoneticPr fontId="2"/>
  </si>
  <si>
    <t>basic-design/07-security-compliance-design.md §7.7.3</t>
    <phoneticPr fontId="2"/>
  </si>
  <si>
    <t>委託先監督（個人情報保護法25条・28条）</t>
    <phoneticPr fontId="2"/>
  </si>
  <si>
    <t>Red Hat=保守要員の越境アクセスが外国第三者提供に当たる可能性があるため、データ処理契約に標準契約条項相当＋越境アクセスログ取得＋監査権を求める。技術側前提として個人データ本体をクラスタ構成情報に流入させない設計（鍵類のみ保持、個人データはデータベースに閉じ込め）。法務確認で不可なら実行基盤を再検討。AWS=リージョンを国内2拠点に限定し関連文書を整理。導入SaaSは第三者監査証跡の確認を必須プロセス化。顧客に対しては責任分担表と書面での確認を契約書内で明文提供（ポータル掲載単独では不可）</t>
    <phoneticPr fontId="2"/>
  </si>
  <si>
    <t>basic-design/07-security-compliance-design.md §7.7.4</t>
    <phoneticPr fontId="2"/>
  </si>
  <si>
    <t>外部通信を持たない構成のセキュリティ評価 — 採用推奨</t>
    <phoneticPr fontId="2"/>
  </si>
  <si>
    <t>供給網統制の観点で推奨。イメージ配布のミラーが単一の検証点になり、脆弱性スキャンと署名検証を同期パイプラインに組み込めば未検証イメージがクラスタに到達する経路が構造的に消える（取得時検証より強い事前検証モデル）。外部通信統制の観点でも自アカウントに出口が存在しなくなり未知宛先への通信経路が縮小、統制説明が容易。トレードオフはミラー同期の鮮度遅延で、重大脆弱性時の緊急同期手順を運用手順書に必須追加。最終採否はインフラ側の先方回答と運用負荷実測で決定</t>
    <phoneticPr fontId="2"/>
  </si>
  <si>
    <t>basic-design/07-security-compliance-design.md §7.7.5</t>
    <phoneticPr fontId="2"/>
  </si>
  <si>
    <t>自動化された攻撃・大量アクセスの自管理/他組織分離</t>
    <phoneticPr fontId="2"/>
  </si>
  <si>
    <t>L1ネットワーク=他組織へ要求（不正自動化対策の一般＋標的型、認証情報リスト攻撃検知、認証系への流量制限〔5分あたり2000件/送信元が初期値〕、大規模攻撃防御）＋検知ログの自社監査アカウントへの配信を新規要求。L2アプリ=人間判定はPhase 2オプションだが、L1が他組織に受け入れられない場合の埋め合わせとして前倒し検討するトリガーを追加。L3アカウント=Phase 1必須（総当たり検知5回30分、アカウント存在の有無を返さない汎用エラーと応答時間の均一化、パスワード12文字＋英数混在＋漏洩照合）。体積型の大量アクセス防御は保証せず責任分担表に明記</t>
    <phoneticPr fontId="2"/>
  </si>
  <si>
    <t>basic-design/07-security-compliance-design.md §7.8.1</t>
    <phoneticPr fontId="2"/>
  </si>
  <si>
    <t>稼働率の目標値と、直列で積み上げた成立性</t>
    <phoneticPr fontId="2"/>
  </si>
  <si>
    <t>U8 可用性・DR</t>
    <phoneticPr fontId="2"/>
  </si>
  <si>
    <t>月間の停止許容枠は43.8分（年8.76時間）。計測対象は認証処理の成功率で、計画停止（月1回・深夜2〜4時・7日前通知）と顧客側のID基盤起因の失敗は除外。自管理部分だけを積み上げると余裕をもって成立するが、律速はインターネット出入口を管理する他組織側。よってエッジ経路の可用性99.95%以上を要求仕様として明文化</t>
    <phoneticPr fontId="2"/>
  </si>
  <si>
    <t>basic-design/08-availability-dr-design.md §8.1.1</t>
    <phoneticPr fontId="2"/>
  </si>
  <si>
    <t>3拠点分散・停止許容数・自動増減の方針</t>
    <phoneticPr fontId="2"/>
  </si>
  <si>
    <t>最小3台（拠点ごとに1台以上、偏りを1に制限）。同時停止許容数を1に設定し、更新中も2拠点分の容量を維持。自動増減はCPU60%を目標。自社受け皿側はパスワード検証と実行環境の起動が遅いため、CPUではなく予兆（1台あたり毎秒8件超が3分継続）を優先トリガに。ノード障害は基盤側で自動置換され、クラスタ再編も外部の仕組みなしで自動</t>
    <phoneticPr fontId="2"/>
  </si>
  <si>
    <t>basic-design/08-availability-dr-design.md §8.1.2</t>
    <phoneticPr fontId="2"/>
  </si>
  <si>
    <t>データベースの拠点内切替</t>
    <phoneticPr fontId="2"/>
  </si>
  <si>
    <t>書込1台＋読取2台の3拠点構成。拠点内の書込障害は1分未満で自動切替。接続は書込用の窓口のみを使い、交代時は接続タイムアウトで早期切断して再接続。ただし交代中は探索用の書込が一時失敗するため、全台同時再起動を伴う操作は書込側が安定してから実施する（運用手順書の禁止事項に登録）</t>
    <phoneticPr fontId="2"/>
  </si>
  <si>
    <t>D-U8-03</t>
    <phoneticPr fontId="2"/>
  </si>
  <si>
    <t>basic-design/08-availability-dr-design.md §8.1.3</t>
    <phoneticPr fontId="2"/>
  </si>
  <si>
    <t>無停止での更新方式</t>
    <phoneticPr fontId="2"/>
  </si>
  <si>
    <t>設定変更と修正版の適用は互換判定に基づく順次再起動で無停止（セッションはデータベース保存のため入れ替えても切れない）。機能追加を伴う版数更新はデータベース移行を伴い得るため計画停止窓で実施し、事前に規模データでの回帰測定通過を必須。管理ソフト自体の更新は手動承認とし自動更新を禁止。独自機能の差し替えも修正版と同じ順次再起動</t>
    <phoneticPr fontId="2"/>
  </si>
  <si>
    <t>basic-design/08-availability-dr-design.md §8.1.4</t>
    <phoneticPr fontId="2"/>
  </si>
  <si>
    <t>復旧目標と待機形態（2026-07-30 全面転換）</t>
    <phoneticPr fontId="2"/>
  </si>
  <si>
    <t>手動での復旧・目標復旧時間およそ14日。予備地域は平時に設備を持たず、被災時に構成コードから作り直す。データ喪失許容はバックアップ方式に依存。従前の「1時間で復旧・予備地域を温めて待機」は廃止。常時稼働の二重化は東西間の遅延が公式要件の上限を超え保証できないため引き続き不採用。より短い復旧時間は常時待機が前提となるため今回は提供しない</t>
    <phoneticPr fontId="2"/>
  </si>
  <si>
    <t>D-U8-05</t>
    <phoneticPr fontId="2"/>
  </si>
  <si>
    <t>basic-design/08-availability-dr-design.md §8.2.1</t>
    <phoneticPr fontId="2"/>
  </si>
  <si>
    <t>一括書き出しを全廃し、復元経路を2系統に再定義</t>
    <phoneticPr fontId="2"/>
  </si>
  <si>
    <t>構成の一括書き出しはバックアップ・災害復旧を含む一切の用途で使用しない（接続先1000件超では出力が巨大化し運用が成立しないため）。経路1=地域障害では予備地域を作り直しデータを復元（構成もデータベースに一体で入っているため構成の再投入は不要）。経路2=論理破壊では時点復元で直前に巻き戻し、それ以降の正当な変更だけを構成コードから差分再生。全1000件超を一括再生することはしない。ランサム等で時点復元自体が消される事態に備え、変更不能な控えからの復元経路を必ず併設</t>
    <phoneticPr fontId="2"/>
  </si>
  <si>
    <t>D-U8-06</t>
    <phoneticPr fontId="2"/>
  </si>
  <si>
    <t>basic-design/08-availability-dr-design.md §8.3.1</t>
    <phoneticPr fontId="2"/>
  </si>
  <si>
    <t>データ保全の3層構造と予備地域のオンデマンド再構築</t>
    <phoneticPr fontId="2"/>
  </si>
  <si>
    <t>「計算資源は平時ゼロ、データは保全」を原則とし2つの障害シナリオを分離。L1=地域災害向けの継続複製（喪失およそ1秒）／L2=論理復元向けの時点復元（1〜35日・1秒精度、ただしサービス内に留まるため攻撃者に消される）／L3=ランサム・内部不正の最終防衛線として定期取得の控えを変更不能モードで施錠し別地域・別アカウントへ複製。重要な制約として継続バックアップは変更不能化も別地域複製もできないため、不変・隔離が要る対策は定期取得の控えに置く。施錠は一度かけると解除不可（猶予は最短3日）で、保持期間「無期限」は永久課金のため避ける。アカウント閉鎖90日で施錠も無効化される点を事業継続計画に織り込む</t>
    <phoneticPr fontId="2"/>
  </si>
  <si>
    <t>basic-design/08-availability-dr-design.md §8.3.1a</t>
    <phoneticPr fontId="2"/>
  </si>
  <si>
    <t>（廃止）予備地域を温めて待機する方式</t>
    <phoneticPr fontId="2"/>
  </si>
  <si>
    <t>2026-07-30の方針転換で廃止。予備側のデータベースは読取専用で認証製品が起動できないため「設備は温め、製品は0台で待機」としていたが、コールド化に伴いD-U8-14へ統合</t>
    <phoneticPr fontId="2"/>
  </si>
  <si>
    <t>D-U8-07</t>
    <phoneticPr fontId="2"/>
  </si>
  <si>
    <t>切替の判断基準と承認フロー</t>
    <phoneticPr fontId="2"/>
  </si>
  <si>
    <t>地域障害かどうかを判定するチェックリストを新設。判定材料はクラウド事業者の障害情報、外形監視（成功率50%未満が3分継続、予備地域からの到達性）、データベースの接続不能と拠点内切替の不成立。2系統以上該当した時点で地域障害を宣言し承認プロセスへ（単一拠点・単一部品の障害は自動復旧に委ねる）。データベースの昇格・全体切替・切り戻しは起案者から責任者への手動承認。承認は検知から15分以内を運用目標とし訓練で計測</t>
    <phoneticPr fontId="2"/>
  </si>
  <si>
    <t>D-U8-08</t>
    <phoneticPr fontId="2"/>
  </si>
  <si>
    <t>basic-design/08-availability-dr-design.md §8.4.1</t>
    <phoneticPr fontId="2"/>
  </si>
  <si>
    <t>（廃止）1時間復旧の積み上げ検証</t>
    <phoneticPr fontId="2"/>
  </si>
  <si>
    <t>2026-07-30の方針転換で廃止。旧方式（予備地域を温めて待機）を前提とした50分の積み上げと成立5条件は、コールド化に伴い無効。将来より短い復旧時間を再検討する際の出発点として本文に旧参考として保存</t>
    <phoneticPr fontId="2"/>
  </si>
  <si>
    <t>D-U8-09</t>
    <phoneticPr fontId="2"/>
  </si>
  <si>
    <t>basic-design/08-availability-dr-design.md §8.4.3</t>
    <phoneticPr fontId="2"/>
  </si>
  <si>
    <t>切替時は全利用者が再認証（セッション連続性は対象外）</t>
    <phoneticPr fontId="2"/>
  </si>
  <si>
    <t>地域間で共有されるのはデータベースのみで、ログイン途中の状態・一時的な失敗回数などのキャッシュは予備地域では空から再構築される。よって切替時は全利用者が再ログインとなることを製品仕様として明文化し、顧客との取り決めにも記載する。「再ログインだけで業務再開できる」（追加認証手段はデータベース経由で予備地域でも有効）を説明線とする。発行済みの通行証は自己完結かつ署名鍵も複製され識別子が変わらないため、切替中もアプリ側の検証は継続できる。ログイン途中の状態とパスワード再設定リンクは消失（再試行・再送で回復）。失敗回数カウンタの消失による一時的な低下は、切替後60分間の検知感度引き上げで緩和</t>
    <phoneticPr fontId="2"/>
  </si>
  <si>
    <t>basic-design/08-availability-dr-design.md §8.5.1</t>
    <phoneticPr fontId="2"/>
  </si>
  <si>
    <t>切り戻しは計画切替（データ喪失ゼロ）</t>
    <phoneticPr fontId="2"/>
  </si>
  <si>
    <t>予備地域で稼働していた期間のデータを守ることが目的。禁止3操作を冒頭に置く（旧本番のデータベースを単独で再起動しない／広域構成を削除しない／同期完了前に元へ戻さない）。手順は①復旧確認②禁止操作の周知③旧本番を予備として再参加させ全量複製の完了を確認④計画停止窓で計画切替（喪失ゼロ）⑤検証後に切り戻し⑥東西双方で構成の突合と事後レビュー。全段が手動承認で、急がない（予備地域のまま数日運用しても構成上の問題はない）</t>
    <phoneticPr fontId="2"/>
  </si>
  <si>
    <t>D-U8-12</t>
    <phoneticPr fontId="2"/>
  </si>
  <si>
    <t>basic-design/08-availability-dr-design.md §8.7.1</t>
    <phoneticPr fontId="2"/>
  </si>
  <si>
    <t>復旧訓練は年2回</t>
    <phoneticPr fontId="2"/>
  </si>
  <si>
    <t>上期＝地域災害シナリオ（構成コードによる予備地域の作り直し＋データ復元＋構成突合＋手動での経路切替、他組織にも参加を要求）。合格基準は各工程の所要時間の実測と、復元後の構成が構成コードと一致すること。下期＝論理破壊シナリオ（時点復元による細粒度の巻き戻しと、変更不能な控えからの復元の両方を検証）。通年で承認15分以内の机上検証。アプリ運用へ2週間前、顧客へ3営業日前に通知。達成率の指標も定義</t>
    <phoneticPr fontId="2"/>
  </si>
  <si>
    <t>basic-design/08-availability-dr-design.md §8.7.2</t>
    <phoneticPr fontId="2"/>
  </si>
  <si>
    <t>（廃止）予備地域の最小構成と平時同期対象</t>
    <phoneticPr fontId="2"/>
  </si>
  <si>
    <t>2026-07-30の方針転換で廃止。予備地域は平時に設備を持たない方式へ変更されD-U8-14に統合。ただし「腐らない備え」のためデータ層・イメージ・構成コード・IPレンジ予約は平時から維持する</t>
    <phoneticPr fontId="2"/>
  </si>
  <si>
    <t>D-U8-11</t>
    <phoneticPr fontId="2"/>
  </si>
  <si>
    <t>basic-design/08-availability-dr-design.md §8.6.1</t>
    <phoneticPr fontId="2"/>
  </si>
  <si>
    <t>6アカウント体系の確定</t>
    <phoneticPr fontId="2"/>
  </si>
  <si>
    <t>U6 インフラ・NW</t>
    <phoneticPr fontId="2"/>
  </si>
  <si>
    <t>ネットワーク監査（他組織管理）／ネットワーク（他組織想定・要確認）／監査（自社、証跡集約7年）／Broker（受け皿#1＋データベース＋不正検知＋管理画面裏側）／自社受け皿=ブランド単位（受け皿#2＋2系統のデータベース＋管理API。業務アプリは非同居＝パスワードハッシュの影響範囲を隔離）／アプリ用×N。本設計書は「自管理内の設計（A部）」と「他組織への要求（B部）」を明確に分離し混在させない。セキュリティの生命線は『他組織側の要求が満たされなくても自管理側単独で破られないこと』</t>
    <phoneticPr fontId="2"/>
  </si>
  <si>
    <t>D-U6-01</t>
    <phoneticPr fontId="2"/>
  </si>
  <si>
    <t>basic-design/06-infra-network-design.md §6.1.1</t>
    <phoneticPr fontId="2"/>
  </si>
  <si>
    <t>アカウント間の権限原則と許可経路8本</t>
    <phoneticPr fontId="2"/>
  </si>
  <si>
    <t>Broker と自社受け皿の間に権限の相互信頼を作らない（片方の侵害が他方の管理面に波及しない構造）。Podからクラウド資源へは実行環境の身分証明を使い一時資格は最長1時間で失効。アカウント跨ぎは8経路に限定（証跡集約×2、自動デプロイ、ID対応表更新、不正検知イベント集約、削除伝播、初回識別子通知、アプリ→Brokerは権限経路なし）。ワイルドカード指定を禁止し条件付きを必須。他組織アカウントとは権限関係を一切持たない</t>
    <phoneticPr fontId="2"/>
  </si>
  <si>
    <t>D-U6-02</t>
    <phoneticPr fontId="2"/>
  </si>
  <si>
    <t>basic-design/06-infra-network-design.md §6.1.2</t>
    <phoneticPr fontId="2"/>
  </si>
  <si>
    <t>クラスタ構成（2クラスタ）</t>
    <phoneticPr fontId="2"/>
  </si>
  <si>
    <t>管理負荷の軽い方式を採用（旧方式は新規作成期限が公式化）。基盤自体の稼働率は99.95%で目標を上回る。3拠点分散し拠点ごとに1つずつ配置。制御部分はベンダー側で自動管理され顧客の関与不要。入口は内部限定で作成し前段に自管理の負荷分散装置を置いて細かい制御を行う。各アカウントに専用の仮想ネットワークを持ち、用途別4層でアドレスを採番（構築後は変更不可のため事前確定が必須）。外部通信の形態は要決定で、外部通信を持たない構成が他組織経由の方針と噛み合うため積極検討</t>
    <phoneticPr fontId="2"/>
  </si>
  <si>
    <t>D-U6-03</t>
    <phoneticPr fontId="2"/>
  </si>
  <si>
    <t>basic-design/06-infra-network-design.md §6.2.1</t>
    <phoneticPr fontId="2"/>
  </si>
  <si>
    <t>ノード群を役割で2系統に分離</t>
    <phoneticPr fontId="2"/>
  </si>
  <si>
    <t>この基盤には専用の管理用ノードが存在せず管理系が業務ノードに同居するため、「認証製品専用」と「既定（管理系）」の2系統に分ける。既定側は入口・監視・イメージ配布・受け口などを載せ、負荷ではなく規模と監視量で準静的に調整。認証製品側は専用の隔離設定を付けて動的に増減（自動増減→保留→ノード追加の連鎖）。分離しない場合、認証側の急増が監視や入口と資源を食い合い『監視が飛ぶ・入口が詰まる』事態が確実に顕在化する。自社受け皿側はパスワード検証が支配的なため上限台数を大きく取る</t>
    <phoneticPr fontId="2"/>
  </si>
  <si>
    <t>basic-design/06-infra-network-design.md §6.2.2</t>
    <phoneticPr fontId="2"/>
  </si>
  <si>
    <t>基盤コストの概算（予備地域は平時ゼロ）</t>
    <phoneticPr fontId="2"/>
  </si>
  <si>
    <t>東京2クラスタで月額およそ2,032ドル（管理系ノードを別建て加算したことで旧試算1,678ドルから増加）。2026-07-30の方針転換で予備地域の常時クラスタ（月602ドル）を廃止し平時ゼロに。ただし切替時に認証製品が配置不能にならないよう、予備地域にも同じ隔離設定を持つ専用ノード群を台数0で事前定義しておく。10M規模のピーク帯まで伸ばした場合の増分は別途線形加算。概算±30%</t>
    <phoneticPr fontId="2"/>
  </si>
  <si>
    <t>basic-design/06-infra-network-design.md §6.2.3</t>
    <phoneticPr fontId="2"/>
  </si>
  <si>
    <t>2つの受け皿の間の裏側通信は単方向の私設経路</t>
    <phoneticPr fontId="2"/>
  </si>
  <si>
    <t>3方式を比較し、公開したサービスのみに届く単方向の私設接続を採用。自社受け皿側から Broker 側へ構造的に到達できないため、パスワードハッシュを持つ側が侵害されても横展開を経路レベルで遮断できる。中継方式は他組織依存となり内部経路まで他組織の変更管理に載るため回避。アドレス重複の制約も受けない。閉じた経路が成立するため、当面はクライアント認証に送信型の秘密情報を許容。利用者の画面遷移（表側）は他組織の入口経由となる点で裏側と分離</t>
    <phoneticPr fontId="2"/>
  </si>
  <si>
    <t>D-U6-06</t>
    <phoneticPr fontId="2"/>
  </si>
  <si>
    <t>basic-design/06-infra-network-design.md §6.3.2</t>
    <phoneticPr fontId="2"/>
  </si>
  <si>
    <t>データベースの基本構成</t>
    <phoneticPr fontId="2"/>
  </si>
  <si>
    <t>2系統に分け共有しない。東京は書込1台＋読取2台の3拠点構成。予備地域へは継続複製を維持（計算資源は平時ゼロだがデータ層は維持）＋変更不能な控えを併用。暗号鍵はアカウントごとに分離し、パスワードハッシュを持つ側はバックアップの暗号化を必須。権限系・ID対応表・射影は2026-08-07の方針変更でブランド側アカウントに配置し、認証用とは別のデータベース・別の鍵・別の権限・別の通信許可に分離</t>
    <phoneticPr fontId="2"/>
  </si>
  <si>
    <t>D-U6-07</t>
    <phoneticPr fontId="2"/>
  </si>
  <si>
    <t>basic-design/06-infra-network-design.md §6.4.1</t>
    <phoneticPr fontId="2"/>
  </si>
  <si>
    <t>接続プールの設計</t>
    <phoneticPr fontId="2"/>
  </si>
  <si>
    <t>製品の既定がデータベース経由のノード探索に変わったことを前提に設計。接続先は書込用の窓口のみとし読取分散は行わない。1台あたりの接続プールは初期値・最小・最大をすべて30に揃えて明示設定（製品既定の100を放置しない）。等値化により接続の作り直しを避け、事前準備済みの問い合わせが効いて応答のばらつきに有利。総接続数は最大810で、上限約3,300に対して大幅な余裕。交代中は探索用の書込が一時失敗するため全台同時再起動を伴う操作は書込側が安定してから実施</t>
    <phoneticPr fontId="2"/>
  </si>
  <si>
    <t>D-U6-08</t>
    <phoneticPr fontId="2"/>
  </si>
  <si>
    <t>basic-design/06-infra-network-design.md §6.4.2</t>
    <phoneticPr fontId="2"/>
  </si>
  <si>
    <t>接続の中継サービスは当面不採用</t>
    <phoneticPr fontId="2"/>
  </si>
  <si>
    <t>中継サービスの主用途は大量かつ短命な接続の束ね直しだが、本構成は長命プールで接続数が設計上固定のため恩恵がほぼない。逆に状態保持による束ね直しの無効化と遅延加算、ノード探索の経路に中間層が挟まることによるサポート切り分けの不利、費用増が生じる。よって直接続とする。復旧検証で書込側交代時の再接続時間が復旧時間を圧迫する場合のみ再評価。将来数百台規模まで分割する段階で初めて別方式を検討</t>
    <phoneticPr fontId="2"/>
  </si>
  <si>
    <t>D-U6-09</t>
    <phoneticPr fontId="2"/>
  </si>
  <si>
    <t>basic-design/06-infra-network-design.md §6.4.3</t>
    <phoneticPr fontId="2"/>
  </si>
  <si>
    <t>接続先1000件超に備えたキャッシュ初期値</t>
    <phoneticPr fontId="2"/>
  </si>
  <si>
    <t>接続先関連のキャッシュを20万件に設定（公式ベンチで1万→20万件にするとデータベースCPUが77.8%→63.8%に低下。想定1.6万件に対し10倍超の余裕）。利用者キャッシュは10万件を初期値としヒット率90%未満で増量。セッション系はデータベース永続の既定を維持。上記でノードあたり1.5〜2GBのメモリ増を見込み、割当を3GB→4GBへ引き上げられる余裕をノード群に確保。実測で補正する前提</t>
    <phoneticPr fontId="2"/>
  </si>
  <si>
    <t>basic-design/06-infra-network-design.md §6.5.5</t>
    <phoneticPr fontId="2"/>
  </si>
  <si>
    <t>管理画面保護は3層防御＋管理用ホスト名の分離</t>
    <phoneticPr fontId="2"/>
  </si>
  <si>
    <t>他組織側の入口での遮断は「あれば良い追加層」で保証しない。生命線は自管理の負荷分散装置での固定拒否ルール（最優先評価）。加えて管理画面専用の内部ホスト名を分離し、社内DNSにのみ登録して公開DNSには存在させない（公開名からは管理画面が構造的に開けない）。ただしホスト名分離単体は遮断機構ではないため必ず拒否ルールと併用。管理APIへの到達は内部限定の接続点＋送信元を絞った通信許可＋通信暗号化＋アプリ層の認証で行い、インターネットには露出しない</t>
    <phoneticPr fontId="2"/>
  </si>
  <si>
    <t>D-U6-11</t>
    <phoneticPr fontId="2"/>
  </si>
  <si>
    <t>basic-design/06-infra-network-design.md §6.6.1</t>
    <phoneticPr fontId="2"/>
  </si>
  <si>
    <t>運用者の内部アクセス経路</t>
    <phoneticPr fontId="2"/>
  </si>
  <si>
    <t>標準はクラウド標準のセッション管理サービスによる転送（踏み台不要、権限と操作ログで監査し監査アカウントへ集約）。併用として社内ネットワーク経由も認めるが、中継が他組織依存のため可用性は保証しない（断時はセッション管理サービス経路へ退避）。インターネットから管理画面へ到達する経路の新設は禁止。運用経路の二重化を必須とする</t>
    <phoneticPr fontId="2"/>
  </si>
  <si>
    <t>D-U6-12</t>
    <phoneticPr fontId="2"/>
  </si>
  <si>
    <t>basic-design/06-infra-network-design.md §6.6.2</t>
    <phoneticPr fontId="2"/>
  </si>
  <si>
    <t>外部通信の許可運用は「枠は他組織・中身は自社」の委任方式（要求案）</t>
    <phoneticPr fontId="2"/>
  </si>
  <si>
    <t>接続先1000件超では許可ドメインも1000件超となり、他組織管理のドメイン絞り込みと正面衝突する。3案を比較し、認証基盤専用の許可枠を事前合意で設置したうえで、許可リストの更新権限を自社のオンボーディング処理に委任する方式（可能なら更新APIで自動化）を第一要求とする。全更新は双方の証跡に記録し四半期で棚卸し。受け入れられない場合は都度申請の応答時間4営業時間以内の合意が必要で、それも不可なら「接続追加は翌営業日以内」という非機能要件自体の改訂へ差し戻す</t>
    <phoneticPr fontId="2"/>
  </si>
  <si>
    <t>basic-design/06-infra-network-design.md §6.7.3</t>
    <phoneticPr fontId="2"/>
  </si>
  <si>
    <t>監視の仕組みと収集役の配置</t>
    <phoneticPr fontId="2"/>
  </si>
  <si>
    <t>U9 運用・監視・IaC</t>
    <phoneticPr fontId="2"/>
  </si>
  <si>
    <t>標準的な計測フレームワークとクラウド標準の managed サービスを採用し商用の高機能監視製品は不採用（年3.2万ドル、商用比5〜8倍の削減）。収集役は両クラスタの管理系ノードに常駐させ、認証製品専用ノードの資源を食わせない（専用ノードへの配置許可設定を忘れるとログ収集と同じ落とし穴になる点を明記）。指標の集約先は監査アカウントに1か所へ寄せ、東西比較と接続先件数との相関分析を1か所で行えるようにする。予備地域にも平時から縮退構成で配備（「切替えたら監視が死んでいた」の防止）</t>
    <phoneticPr fontId="2"/>
  </si>
  <si>
    <t>D-U9-01</t>
    <phoneticPr fontId="2"/>
  </si>
  <si>
    <t>basic-design/09-operations-observability-design.md §9.1.1</t>
    <phoneticPr fontId="2"/>
  </si>
  <si>
    <t>計装ポイント14点と「接続先件数の関数」としての監視</t>
    <phoneticPr fontId="2"/>
  </si>
  <si>
    <t>認証製品の組込み指標＋独自機能内の手動計測＋イベント由来指標の3系統で計装。主要な系列は接続先件数と顧客数を注記した時系列として継続計測し、「10件時点の基準値に対して+10%」で警戒とする。キャッシュのヒット率は90%以上維持、自社受け皿は1台あたり毎秒8件超が3分継続で増設予兆、地域間の複製遅延は10秒で注意・30秒で重大。マスキング処理件数が突然ゼロになったらパイプライン故障として警報。接続先追加バッチの前後スナップショット比較を、顧客追加手順の完了条件に組み込む</t>
    <phoneticPr fontId="2"/>
  </si>
  <si>
    <t>D-U9-02</t>
    <phoneticPr fontId="2"/>
  </si>
  <si>
    <t>basic-design/09-operations-observability-design.md §9.1.2</t>
    <phoneticPr fontId="2"/>
  </si>
  <si>
    <t>指標の系列数の規約と追跡の抽出率</t>
    <phoneticPr fontId="2"/>
  </si>
  <si>
    <t>ラベルに使うのは顧客識別子・エンドポイント・メソッド・状態コード・アプリ識別子まで。利用者ID・セッションID・要求ID・IPアドレスは指標には使わない（追跡はログ側で行う）。顧客単位の系列は「ログイン系と利用者同期系のみ」に限定し、1000件超×エンドポイントで課金が爆発するのを防ぐ。詳細追跡の抽出率は正常1%・エラーと遅延100%・障害調査時は特定顧客を一時的に100%。入口が他組織管理で透過を期待できないため、追跡の起点は自管理側の負荷分散装置から</t>
    <phoneticPr fontId="2"/>
  </si>
  <si>
    <t>D-U9-03</t>
    <phoneticPr fontId="2"/>
  </si>
  <si>
    <t>basic-design/09-operations-observability-design.md §9.1.3</t>
    <phoneticPr fontId="2"/>
  </si>
  <si>
    <t>サービス別の内部目標値と、消費速度による警報</t>
    <phoneticPr fontId="2"/>
  </si>
  <si>
    <t>顧客への約束は99.9%だが、それを支える内部目標を4サービスで個別設定（認証99.9%・500ms／トークン発行99.95%・200ms／管理API 99.5%・1秒／鍵情報公開99.99%・100ms）。停止許容枠の消費速度で3段階の警報（急速消費14.4倍は即時呼出、緩慢6倍はチャット、予兆3倍は通知）。枠の50%消費で変更凍結の要否を週次レビューし、枯渇時は機能変更を凍結して信頼性作業のみ許可。消費の内訳を毎月「自管理／他組織の入口／顧客側ID基盤」に分類し、他組織起因分は定例で提示する</t>
    <phoneticPr fontId="2"/>
  </si>
  <si>
    <t>basic-design/09-operations-observability-design.md §9.2.1</t>
    <phoneticPr fontId="2"/>
  </si>
  <si>
    <t>ログ3層保管の最終形</t>
    <phoneticPr fontId="2"/>
  </si>
  <si>
    <t>収集は全ノード常駐→集約役でマスキング集中適用→3層へ。即時参照は90日（設定はコード固定でPRのみ変更可）、検索用は1年、長期は監査アカウントで変更不能モード7年（削除不可）。順序保証として「全ソースがマスキングを通過した後に保存」を厳守し、平文がどの層にも入らないようにする。予備地域にも集約役とマスキング経路を平時配備。週1の監査スキャンをダッシュボード化し、検出時の手順書に接続。入口側のログは他組織管理で回答待ちだが、未対応でも自管理2層で主要な秘匿情報は遮蔽される</t>
    <phoneticPr fontId="2"/>
  </si>
  <si>
    <t>basic-design/09-operations-observability-design.md §9.3.1</t>
    <phoneticPr fontId="2"/>
  </si>
  <si>
    <t>監視・相関に取り込むイベントセット</t>
    <phoneticPr fontId="2"/>
  </si>
  <si>
    <t>認証系（成功・失敗・アプリ認証・コード引換・更新）、トークン引換（主体・要求元・宛先・範囲付き）、取消とログアウト系、ライフサイクル系（再有効化・無効化・削除）、管理操作の全量（構成のドリフト検知の照合元も兼ねる）、基盤の証跡（6アカウント分＋クラスタ操作記録＋緊急用アカウント使用）を必須取込セットとして確定。顧客側の監視製品への提供は標準形式で次段階</t>
    <phoneticPr fontId="2"/>
  </si>
  <si>
    <t>basic-design/09-operations-observability-design.md §9.3.2</t>
    <phoneticPr fontId="2"/>
  </si>
  <si>
    <t>運用手順書 全36冊の体系と、先行必須13冊の指定</t>
    <phoneticPr fontId="2"/>
  </si>
  <si>
    <t>顧客追加/変更/離脱/同期方式切替/トークン更新/外部システム連携/通知先登録の7冊、アプリ追加系3冊、利用者操作系6冊、セキュリティ系7冊、基盤系5冊、災害復旧系6冊、移行1冊、開示請求1冊。太字の13冊（顧客追加・顧客離脱、セキュリティ系6冊、災害復旧系6冊）はリリース前に文書化と訓練を必須、残りはリリース後3ヶ月以内。全手順書に対応する監視ダッシュボードURLと警報名の記載を必須化し、年次見直しと訓練での完走率100%をKPIとする</t>
    <phoneticPr fontId="2"/>
  </si>
  <si>
    <t>D-U9-07</t>
    <phoneticPr fontId="2"/>
  </si>
  <si>
    <t>basic-design/09-operations-observability-design.md §9.4.1</t>
    <phoneticPr fontId="2"/>
  </si>
  <si>
    <t>運用禁則集 11項目と機械強制</t>
    <phoneticPr fontId="2"/>
  </si>
  <si>
    <t>K-1 構成の一括書き出し・取り込みを全用途で禁止／K-2 全ノード同時再起動はデータベース書込側の安定後／K-3 検知の一時降格は災害復旧判定手順の中でのみ操作（恒常的な降格を禁止）／K-4 切り戻し時の禁止3操作／K-5 管理画面からの直接変更禁止（緊急時のみ・事後にコードへ反映必須）／K-6 利用者を要求する独自機能を最上位の必須位置に置かない／K-7 秘密情報のコード直書き禁止／K-8 接続先一覧の非表示と所属紐付けを必須／K-9 単一の構成管理単位に1000件級を置かない／K-10 管理APIの呼び出しは内部ホスト名経由に統一／K-11 管理ソフトの自動更新禁止。可能なものは自動検査とパイプラインでの却下により機械強制する（運用者の記憶に依存させない）</t>
    <phoneticPr fontId="2"/>
  </si>
  <si>
    <t>D-U9-08</t>
    <phoneticPr fontId="2"/>
  </si>
  <si>
    <t>basic-design/09-operations-observability-design.md §9.4.2</t>
    <phoneticPr fontId="2"/>
  </si>
  <si>
    <t>構成管理の単位分割</t>
    <phoneticPr fontId="2"/>
  </si>
  <si>
    <t>「クラウドアカウント×層」で分割（Broker基盤／自社受け皿基盤／監査基盤／各受け皿の認証製品設定／予備地域の重ね合わせ）。顧客数に比例して増えるリソースは基盤層の管理単位に置かない。環境（開発・検証・本番）は別アカウント＋別管理単位。適用は自動化パイプラインのみで手元からの実行を禁止し、本番は手動承認ゲートを置く</t>
    <phoneticPr fontId="2"/>
  </si>
  <si>
    <t>D-U9-09</t>
    <phoneticPr fontId="2"/>
  </si>
  <si>
    <t>basic-design/09-operations-observability-design.md §9.5.1</t>
    <phoneticPr fontId="2"/>
  </si>
  <si>
    <t>顧客層の適用エンジンは自作（既存の設定投入ツールは不採用）</t>
    <phoneticPr fontId="2"/>
  </si>
  <si>
    <t>顧客ごとの宣言ファイルをコード管理し、自作の顧客追加APIが管理APIを個別単位で呼んで差分適用する。既存の設定投入ツールは構成一式の取り込みを中核とするため禁則K-1と原理的に衝突し、1000件超では巨大な構成ファイルの再取り込みになるため不採用と確定。冪等性は「現状取得→差分→反映」で担保し、結果・差分・実行者を監査アカウントへ記録。このエンジン自体を性能検証用の一括投入資産として実装し、検証と本番投入で同一コードを使う</t>
    <phoneticPr fontId="2"/>
  </si>
  <si>
    <t>D-U9-10</t>
    <phoneticPr fontId="2"/>
  </si>
  <si>
    <t>basic-design/09-operations-observability-design.md §9.5.2</t>
    <phoneticPr fontId="2"/>
  </si>
  <si>
    <t>構成のずれの検知（日次）</t>
    <phoneticPr fontId="2"/>
  </si>
  <si>
    <t>基盤層は日次で全管理単位の差分ゼロを確認。顧客層は管理APIの個別読取と宣言ファイルの突合スクリプトで検査し、構成の一括書き出しは使わない（禁則K-1）。検査項目に接続先一覧の非表示と所属紐付けを含める。ずれ検出時は管理操作記録と証跡を照合し、正当なら構成コードへ逆反映のPR、不正なら時点復元＋差分再生の発動判断と不正検知連携へ。予備地域も日次で検証し、訓練で「切替後の構成＝コード」を突合</t>
    <phoneticPr fontId="2"/>
  </si>
  <si>
    <t>D-U9-11</t>
    <phoneticPr fontId="2"/>
  </si>
  <si>
    <t>basic-design/09-operations-observability-design.md §9.5.3</t>
    <phoneticPr fontId="2"/>
  </si>
  <si>
    <t>退職者遮断バッチの実行基盤はクラスタ内の定期ジョブ（関数実行は不採用）</t>
    <phoneticPr fontId="2"/>
  </si>
  <si>
    <t>顧客側ID基盤の退職を本基盤は検知できないため、最終ログインを入力とした90日休眠での停止処理で代替する。管理APIが内部限定であることと実行時間の15分上限の2点から、関数実行ではなくクラスタ内の定期ジョブを採用。管理系ノードに置くのでログイン負荷の急増による自動増減の影響を受けない。多重実行対策の3点セット（重なり禁止設定・完全終了後の置換設定・データベースの排他ロック）を必須とし、停止直前に最終ログインを再取得して現役利用者の誤停止を防ぐ。停止時はセッション取消も必須（無効化だけでは既存セッションと発行済み通行証が残るため）。試走モードと1回あたりの上限件数で暴走を防止し、未知の作成経路は停止せず人間レビューへ</t>
    <phoneticPr fontId="2"/>
  </si>
  <si>
    <t>D-U9-17</t>
    <phoneticPr fontId="2"/>
  </si>
  <si>
    <t>basic-design/09-operations-observability-design.md §9.5.4</t>
    <phoneticPr fontId="2"/>
  </si>
  <si>
    <t>継続的な組み立てと配信の構成</t>
    <phoneticPr fontId="2"/>
  </si>
  <si>
    <t>組み立ては外部の自動化サービス＋一時資格による認証（長期の固定鍵なし）。コンテナ置き場は1か所へ一元化し、製品の基となるイメージも自社側へ複製して取得経路を一本化（供給網の検証点を単一化）。クラスタへの反映は基盤同梱の構成同期ツールでコードから同期し、イメージ更新はコード上の識別子書き換えで行う。秘密情報はクラウドの保管庫を正とし専用の連携部品経由でのみ供給。画面テーマの自動検査（改ざん防止項目の保持・接続先一覧を描画しない・文言集約）とアクセシビリティ自動検査、通行証への個人情報混入検査も同じ段で機械強制</t>
    <phoneticPr fontId="2"/>
  </si>
  <si>
    <t>D-U9-12</t>
    <phoneticPr fontId="2"/>
  </si>
  <si>
    <t>basic-design/09-operations-observability-design.md §9.6.1</t>
    <phoneticPr fontId="2"/>
  </si>
  <si>
    <t>独自機能の組み立て・検証・段階的投入</t>
    <phoneticPr fontId="2"/>
  </si>
  <si>
    <t>独自機能は個別配布せず、製品イメージに焼き込んだ単一イメージとして出荷（識別子＝検証単位）。脆弱性スキャン（重大24時間・高7日で対処）→署名と生成来歴の付与→クラスタ側は署名検証を必須にして未署名イメージの起動を拒否。検証段では3系統の配置回帰と1000件規模の合成データでの回帰（基準値比+10%以内）を通す。本番投入は1台目更新後に15分の様子見を置き、その間は毎分の外形ログインチェックを実施して失敗なら自動巻き戻し。セッションがデータベース保存のため利用者影響はゼロ</t>
    <phoneticPr fontId="2"/>
  </si>
  <si>
    <t>D-U9-13</t>
    <phoneticPr fontId="2"/>
  </si>
  <si>
    <t>basic-design/09-operations-observability-design.md §9.6.2</t>
    <phoneticPr fontId="2"/>
  </si>
  <si>
    <t>製品版数の固定と昇格前検証</t>
    <phoneticPr fontId="2"/>
  </si>
  <si>
    <t>版数系列を固定し、イメージはタグではなく識別子で指定（東西の一致を日次検証）。管理ソフトの更新は手動承認でコード固定。修正版を含む全昇格が、検証環境での1000件規模の合成データ回帰を通過してから本番へ（過去に修正版で性能劣化の前例があるため例外を作らない）。年1〜2回の製品リリースへの追従をカレンダー化し、独自機能の互換確認→必要修正→出荷の順で流す</t>
    <phoneticPr fontId="2"/>
  </si>
  <si>
    <t>D-U9-14</t>
    <phoneticPr fontId="2"/>
  </si>
  <si>
    <t>basic-design/09-operations-observability-design.md §9.6.3</t>
    <phoneticPr fontId="2"/>
  </si>
  <si>
    <t>管理API群と非同期処理は認証製品とは別系統のパイプライン</t>
    <phoneticPr fontId="2"/>
  </si>
  <si>
    <t>ブランド側の管理APIと非同期の連結処理（射影反映・通知配信・影ユーザ制御）は関数実行方式とし、認証製品（クラスタ＋構成同期）とは別のパイプラインで配信する。これが「認証は最優先・管理ツールは次位」という障害範囲の分離の実体。コンテナイメージ形式で同じ置き場へ送り、専用の配信ツールで2アカウントへ展開。秘密情報は保管庫＋自動更新の関数で管理（クラスタ用の連携部品は使わない）。定常バッチは日時起動サービスと組み合わせるが、退職者遮断バッチだけは管理APIが内部限定のためクラスタ内定期ジョブで別扱い</t>
    <phoneticPr fontId="2"/>
  </si>
  <si>
    <t>D-U9-18</t>
    <phoneticPr fontId="2"/>
  </si>
  <si>
    <t>basic-design/09-operations-observability-design.md §9.6.4</t>
    <phoneticPr fontId="2"/>
  </si>
  <si>
    <t>顧客追加パイプライン6ステップとリードタイム内訳</t>
    <phoneticPr fontId="2"/>
  </si>
  <si>
    <t>①申請（宣言ファイルのPR、接続情報とドメインとヒントキー）②検証（機械検査＋運用者1名レビュー、約2時間）③外部通信の許可先更新（他組織側の絞り込みリストへの反映。委任方式が合意できれば自動で約10分、都度申請なら先方の4営業時間以内）④所属と接続先の作成（全自動・約10分）⑤疎通確認（自動の情報取得約5分＋顧客と合同のテストログイン）⑥監視登録（自動・約5分）。基盤側の純作業は合計2〜3時間で「翌営業日以内」は成立するが、都度申請で先方の応答が1営業日以上になる場合は成立せず、その際は要件自体の緩和へエスカレーションする</t>
    <phoneticPr fontId="2"/>
  </si>
  <si>
    <t>basic-design/09-operations-observability-design.md §9.7.1</t>
    <phoneticPr fontId="2"/>
  </si>
  <si>
    <t>常時監視用の自動アクセスの配置変更と検知範囲</t>
    <phoneticPr fontId="2"/>
  </si>
  <si>
    <t>当初計画では入口を管理するアカウントに置く想定だったが、そのアカウントが他組織管理となったため成立せず、自社の監査アカウントへ配置変更（運用主体も自社の基盤運用へ変更）。検知範囲は「認証実装漏れの検知」を主目的とし、正当な通行証で200が返ることに加えて、通行証なし・改ざん通行証で401/403が返ることを確認する（認証チェックの欠落を直接検知）。外形での目標値計測（入口経由と内部直の2系統で切り分け）、段階投入時の様子見判定、予備地域の外形監視にも兼用する</t>
    <phoneticPr fontId="2"/>
  </si>
  <si>
    <t>D-U9-16</t>
    <phoneticPr fontId="2"/>
  </si>
  <si>
    <t>basic-design/09-operations-observability-design.md §9.8.1</t>
    <phoneticPr fontId="2"/>
  </si>
  <si>
    <t>既存業務システム連携の全体構成</t>
    <phoneticPr fontId="2"/>
  </si>
  <si>
    <t>U10 連携・移行</t>
    <phoneticPr fontId="2"/>
  </si>
  <si>
    <t>顧客側ID基盤→本基盤は利用者情報の自動同期（未対応なら初回ログイン時の自動作成）、本基盤→業務システムは旧来方式の認証＋業務システム側での初回自動作成という2層構成を標準とする。業務システムへの利用者情報の押し出しは今回対象外（超大企業かつ承認フロー事前設定必須かつ特定製品以外という3条件が揃う顧客のみ次段階で個別検討）。下層の経路の違いは仲介役が吸収するため上層の設計に一切現れない（これが2層＋仲介構成の設計上の利得）。画面遷移はブラウザ経由で運ばれるためサーバ間の外部通信が発生しない</t>
    <phoneticPr fontId="2"/>
  </si>
  <si>
    <t>D-U10-01</t>
    <phoneticPr fontId="2"/>
  </si>
  <si>
    <t>basic-design/10-integration-migration-design.md §10.1.1</t>
    <phoneticPr fontId="2"/>
  </si>
  <si>
    <t>業務システム向けの接続定義（テンプレート化）</t>
    <phoneticPr fontId="2"/>
  </si>
  <si>
    <t>顧客ごとに1本ずつ接続枠を発行。利用者の識別名は基盤内で一意な「所属＋利用者ID」の全体を渡し、突合用には顧客生値の社員番号を属性として別送する。署名は業務システム側の互換標準に合わせ、通行証側の方式とは別体系とする。業務システム側から始まる遷移のみ許可し、基盤側から始まる遷移は無効化（悪用面の排除）。戻り先URLは完全一致で登録しワイルドカード禁止。一括ログアウトの窓口は今回登録しない。送出属性は社員番号・メール・氏名の最小セットに限定し、部署・上司・役割は今回送らない</t>
    <phoneticPr fontId="2"/>
  </si>
  <si>
    <t>basic-design/10-integration-migration-design.md §10.1.2</t>
    <phoneticPr fontId="2"/>
  </si>
  <si>
    <t>既存利用者の引き当てと内部IDの保全</t>
    <phoneticPr fontId="2"/>
  </si>
  <si>
    <t>業務システム側の突合項目は社員番号を第一推奨とし、埋込率に応じた判断フローで顧客別に確定（移行前に決めて以後変更しない）。一致すれば既存の利用者レコードに紐付け内部IDが変わらないため、過去の申請・承認・監査履歴がすべて保全される。禁止事項3つ=①既存利用者を削除して作り直す（履歴破壊）②突合項目の後変更③パスワード無効化と連携有効化の間に隙間を作る。重複レコードは連携開始前に検出・統合しておく</t>
    <phoneticPr fontId="2"/>
  </si>
  <si>
    <t>D-U10-03</t>
    <phoneticPr fontId="2"/>
  </si>
  <si>
    <t>basic-design/10-integration-migration-design.md §10.1.3</t>
    <phoneticPr fontId="2"/>
  </si>
  <si>
    <t>移行の並走4段階</t>
    <phoneticPr fontId="2"/>
  </si>
  <si>
    <t>①準備（1〜2週間、接続枠の発行と情報提供、顧客側の設定投入、強制せず並走モードで起動、重複レコード統合をここで完了）②試行（2〜4週間、10〜20名のみ有効化し内部ID不変・履歴表示・権限を受入テスト、設定クリアで即時巻き戻し）③全社有効化（1〜2ヶ月、全員に設定しつつパスワード認証も継続、未移行者を履歴から追跡）④パスワード無効化（1ヶ月、全員の成功確認後に一般利用者のパスワードを無効化し強制モードへ。緊急用アカウントのみ残置。無効化と強制化は同一の変更枠で実施）。各段階に巻き戻し手段を明記</t>
    <phoneticPr fontId="2"/>
  </si>
  <si>
    <t>D-U10-04</t>
    <phoneticPr fontId="2"/>
  </si>
  <si>
    <t>basic-design/10-integration-migration-design.md §10.1.4</t>
    <phoneticPr fontId="2"/>
  </si>
  <si>
    <t>業務システム側の緊急用アカウント</t>
    <phoneticPr fontId="2"/>
  </si>
  <si>
    <t>2〜3名を専用命名で用意。連携設定を空にして専用の裏口URLから入る（本基盤の障害時に業務システムが道連れにならない最終防衛線）。認証はローカルパスワード20文字以上＋ハードウェアキー必須。統制はアクセス元IP制限＋使用時の即時通知＋変更申請の起票＋使用後24時間以内のパスワード入れ替え＋四半期ごとのログインテスト。これは業務システム側で完結する経路で、本基盤の緊急用アカウントとは独立</t>
    <phoneticPr fontId="2"/>
  </si>
  <si>
    <t>D-U10-05</t>
    <phoneticPr fontId="2"/>
  </si>
  <si>
    <t>basic-design/10-integration-migration-design.md §10.1.5</t>
    <phoneticPr fontId="2"/>
  </si>
  <si>
    <t>退職時の遮断連鎖と一括ログアウト</t>
    <phoneticPr fontId="2"/>
  </si>
  <si>
    <t>本基盤側で停止すれば次回アクセス時の認証が拒否され、結果として業務システムにも入れなくなる（遮断成立）。業務システム側の利用者レコードは残置し業務履歴を保全する（削除の非対称性）。既存セッションは業務システム側の無操作タイムアウトまで残るため、その残余時間を顧客契約に明記し、即時性が必要な顧客にはタイムアウト短縮を案内。一括ログアウトは成功率が6〜8割で1つの無応答が連鎖を壊すため今回不実装。復帰は本基盤側で戻せば次回アクセスで自動復帰し業務システム側の操作は不要。試行段階の受入テスト5点（内部ID不変・自動作成・遮断連鎖・緊急用アカウント・履歴非破壊）を必須</t>
    <phoneticPr fontId="2"/>
  </si>
  <si>
    <t>D-U10-06</t>
    <phoneticPr fontId="2"/>
  </si>
  <si>
    <t>basic-design/10-integration-migration-design.md §10.1.6</t>
    <phoneticPr fontId="2"/>
  </si>
  <si>
    <t>管理API の構成</t>
    <phoneticPr fontId="2"/>
  </si>
  <si>
    <t>仕様定義は1本にまとめ、ブランド側の管理APIを主役として配置（利用者の作成・変更・権限・射影・ID対応表の実体）。入口はブランド側で、振り分けは配信網の入口側で行い、重い中央窓口は置かない。中央に残るのは影ユーザの有効・無効を切り替える薄い処理のみ（削除イベントで発火）。実行形態は関数実行で確定し、認証製品（最優先）と管理ツール（次位）を別の障害範囲に分離する。認証製品の管理APIへは内部限定の接続点経由で到達。管理画面のアクセシビリティ準拠も実装要件</t>
    <phoneticPr fontId="2"/>
  </si>
  <si>
    <t>D-U10-07</t>
    <phoneticPr fontId="2"/>
  </si>
  <si>
    <t>basic-design/10-integration-migration-design.md §10.2.1</t>
    <phoneticPr fontId="2"/>
  </si>
  <si>
    <t>提供する操作の一覧と共通規約</t>
    <phoneticPr fontId="2"/>
  </si>
  <si>
    <t>利用者の検索・参照・作成・属性更新・無効化・再有効化、招待、資格情報リセット（パスワード・追加確認・ロック解除）、役割、所属管理、利用可否の付与剥奪、監査ログ照会、ID対応表、強制ログアウト、本人向けの文脈取得。削除の動詞は提供せず405を返す（今回の物理削除禁止をAPI層で物理的に強制）。共通規約=標準形式のエラー体系（内部例外の露出禁止）、カーソル方式のページング（1回200件上限、飛び番方式は大規模で不採用）、作成系は重複防止キーを受理、流量制限は管理画面10件/秒・アプリ50件/秒が初期値、全書込で実行者・対象・操作・理由コードを記録</t>
    <phoneticPr fontId="2"/>
  </si>
  <si>
    <t>D-U10-08</t>
    <phoneticPr fontId="2"/>
  </si>
  <si>
    <t>basic-design/10-integration-migration-design.md §10.2.2</t>
    <phoneticPr fontId="2"/>
  </si>
  <si>
    <t>権限モデルの実装</t>
    <phoneticPr fontId="2"/>
  </si>
  <si>
    <t>「アプリを使えるかどうか」は管理画面側のデータベースで持ちAPI照会で配る（通行証には載せない＝先の決定を上書き）。「承認上限いくらまで」といったアプリ内の詳細権限は各アプリのデータベースで持ち本基盤は関与しない。所属境界の検証は3層（通行証の検証6点→所属情報と管理者役割の確認→管理API呼び出し時に所属フィルタを常時付与、フィルタ不能なAPIは結果を再フィルタ）。越境要求は403＋監査記録。管理者自身の停止・自己の役割剥奪は拒否（締め出し防止）。自社運用者は全顧客範囲で使えるが入口は一時昇格経由に限定</t>
    <phoneticPr fontId="2"/>
  </si>
  <si>
    <t>D-U10-09</t>
    <phoneticPr fontId="2"/>
  </si>
  <si>
    <t>basic-design/10-integration-migration-design.md §10.2.3</t>
    <phoneticPr fontId="2"/>
  </si>
  <si>
    <t>利用可能アプリ一覧APIの仕様</t>
    <phoneticPr fontId="2"/>
  </si>
  <si>
    <t>着地画面と権限不足画面の表示判定の正とする。所属の表示名と、アプリごとの識別子・名称・説明・起動URL・アイコン・状態（利用可／申請可）を返す。識別子はアプリ台帳のカタログIDと統一し、権限不足画面の引数や理由コード辞書と同一の名前空間にする。キャッシュは本人限定60秒で、剥奪の伝播は最大60秒＋アプリ側の認可判定で防御。管理者役割を持つ場合のみ管理画面のタイルを含める。申請フローは今回は申請URLへの誘導のみ</t>
    <phoneticPr fontId="2"/>
  </si>
  <si>
    <t>D-U10-10</t>
    <phoneticPr fontId="2"/>
  </si>
  <si>
    <t>basic-design/10-integration-migration-design.md §10.2.4</t>
    <phoneticPr fontId="2"/>
  </si>
  <si>
    <t>出来事通知の配信機構</t>
    <phoneticPr fontId="2"/>
  </si>
  <si>
    <t>基盤は対応必須・顧客アプリ側は任意という立場。イベントバス上の正規化イベントを正とし、認証製品の生イベントを直接顧客に流さない（内部名称の契約化を防ぐ）。今回配信する7種=利用者の作成・更新・停止・復活、追加確認の登録と解除、セッション取消。予約4種=物理削除、リスク検知、接続先の有効無効、計画メンテ通知。署名は時刻付きの改ざん検知方式で許容幅±5分、秘密情報は顧客×宛先単位で保管庫管理・入れ替え時は2世代並走。重複排除用の不変IDを付与。再送は指数的な間隔で計8回・約24時間、最終失敗は待避キューに14日保管＋運用警報＋顧客通知。順序は保証せず、受信側は発生時刻とリソース再取得で収束させる規約。配信内容に個人情報は含めず、必要な属性は受信側がAPIで取得する</t>
    <phoneticPr fontId="2"/>
  </si>
  <si>
    <t>D-U10-11</t>
    <phoneticPr fontId="2"/>
  </si>
  <si>
    <t>basic-design/10-integration-migration-design.md §10.3</t>
    <phoneticPr fontId="2"/>
  </si>
  <si>
    <t>既存システムからの移行方式</t>
    <phoneticPr fontId="2"/>
  </si>
  <si>
    <t>利用者集団の性質で4分類。A=顧客側ID基盤ありの利用者は接続先を本基盤へ向け替えて初回ログインで作成（パスワード移行不要）／B=旧システムのローカルパスワード利用者は並走方式（初回ログイン時に旧システムへ照会し成功したら新方式で再保存＝強制リセットなし）を第一選択／C=属性とID対応のみ必要な集団は一括投入／D=人事システム起点の顧客は自動同期で初期投入。パスワードの持ち越しは判定フローで確定（抽出不可なら並走方式、標準的な方式ならそのまま取り込み、旧方式を恒久維持するなら独自部品を追加して互換検証の対象に載せる、方式不明や脆弱な方式なら強制リセット）。切替単位はアプリ単位で並走3〜6ヶ月、旧IDは対応表に記録し通行証には載せない（先の決定を上書き）。巻き戻しは1時間以内が目標</t>
    <phoneticPr fontId="2"/>
  </si>
  <si>
    <t>basic-design/10-integration-migration-design.md §10.4</t>
    <phoneticPr fontId="2"/>
  </si>
  <si>
    <t>データ主体の権利対応の今回範囲</t>
    <phoneticPr fontId="2"/>
  </si>
  <si>
    <t>今回は手動運用（手順書）＋既存APIの組み合わせに限定。受付は顧客管理者経由の1経路に収束させ、本人向けポータル・自動化された処理基盤・暗号鍵削除による消去は次段階。6権利の実現手段=開示と可搬性は標準形式での書き出し手順（秘匿値は含めない）／訂正は属性更新API／削除は停止処理＋監査ログの仮名化で応答し物理削除は行わない（先の決定が優先。監査・法的義務による保持は法令上の除外事由に該当）／処理制限は停止処理／処理拒否は手動対応。全対応を7年保管。件数が月10件を超えた時点を次段階への前倒しトリガーとする</t>
    <phoneticPr fontId="2"/>
  </si>
  <si>
    <t>D-U10-13</t>
    <phoneticPr fontId="2"/>
  </si>
  <si>
    <t>basic-design/10-integration-migration-design.md §10.5</t>
    <phoneticPr fontId="2"/>
  </si>
  <si>
    <t>継続アクセス（CAEP／共有シグナル）= 取り消し漏れ時間の恒久解</t>
    <phoneticPr fontId="2"/>
  </si>
  <si>
    <t>通行証の取り消しが受け取り側に届かない残余時間（最大30分）の恒久的な解決策として、継続的アクセス評価を目標構成に据える。今回は暫定のつなぎ（短命な通行証＋一括無効化＋高価値リソースの都度照会＋送信者拘束）に加え、削除伝播の仕組みを起点とした自前のイベント送出を実装し、希望する受け取り側にセッション取消・アカウント無効化を配信する。次段階で製品標準の対応、その次で顧客側ID基盤からの失効を受信する側へ拡張。受け取り側実装ガイドに受信章を追加。最終確定は新設ゲートと顧客確認に依存</t>
    <phoneticPr fontId="2"/>
  </si>
  <si>
    <t>D-U5-09</t>
    <phoneticPr fontId="2"/>
  </si>
  <si>
    <t>basic-design/05-token-session-authz-design.md §5.10.1 / ADR-065</t>
    <phoneticPr fontId="2"/>
  </si>
  <si>
    <t>API層のステップアップ = 標準仕様に準拠</t>
    <phoneticPr fontId="2"/>
  </si>
  <si>
    <t>管理系・決済・個人情報更新などの重要APIについて、API側から「本人確認が不足している」と通知して再認証へ誘導する標準方式に準拠する。ログイン時のステップアップと同じ強度体系を使う。今回は構造の準備（認可要求の集約）に留め、重要APIが発生した時点でAPI側のチャレンジを有効化する</t>
    <phoneticPr fontId="2"/>
  </si>
  <si>
    <t>D-U5-10</t>
    <phoneticPr fontId="2"/>
  </si>
  <si>
    <t>basic-design/05-token-session-authz-design.md §5.10.2</t>
    <phoneticPr fontId="2"/>
  </si>
  <si>
    <t>同時セッション数の制限</t>
    <phoneticPr fontId="2"/>
  </si>
  <si>
    <t>基盤運用者と顧客テナント管理者に同時に有効なセッションの上限を設ける（製品標準の機能を使用）。無制限のセッションは失効時の影響範囲と乗っ取りリスクを拡大するため。一般利用者は無制限のままとし、上限は管理系のみ。具体的な上限値は運用設計側のサイジングと合わせて確定。顧客確認事項として登録</t>
    <phoneticPr fontId="2"/>
  </si>
  <si>
    <t>D-U5-11</t>
    <phoneticPr fontId="2"/>
  </si>
  <si>
    <t>basic-design/05-token-session-authz-design.md §5.10.3</t>
    <phoneticPr fontId="2"/>
  </si>
  <si>
    <t>通行証引き換えの委譲制御</t>
    <phoneticPr fontId="2"/>
  </si>
  <si>
    <t>引き換えの際に「実際に操作している主体」と「代理を許された主体」を明示するクレームで委譲を表現し、引き換えごとに宛先と権限範囲の縮小を必須とする（黙って権限が広がることを禁止）。なりすましと正規の委譲を区別する。将来の自動エージェントによる代理実行の基盤にもなる</t>
    <phoneticPr fontId="2"/>
  </si>
  <si>
    <t>D-U5-12</t>
    <phoneticPr fontId="2"/>
  </si>
  <si>
    <t>basic-design/05-token-session-authz-design.md §5.10.4</t>
    <phoneticPr fontId="2"/>
  </si>
  <si>
    <t>金融グレード仕様への姿勢</t>
    <phoneticPr fontId="2"/>
  </si>
  <si>
    <t>今回の認可要求の基線は、検証子付きの標準フロー＋発行元の応答検証＋使い捨て値の必須化で成立させる。要求内容の事前登録・要求そのものの署名・送信者拘束の3つは「金融グレードの顧客が出た時点で必須化する」条件付き採用とし、現時点では導入しない。相互証明書方式は第3段階という既存の段階昇格と整合。判定は顧客確認に依存</t>
    <phoneticPr fontId="2"/>
  </si>
  <si>
    <t>D-U5-13</t>
    <phoneticPr fontId="2"/>
  </si>
  <si>
    <t>basic-design/05-token-session-authz-design.md §5.10.5</t>
    <phoneticPr fontId="2"/>
  </si>
  <si>
    <t>送信者拘束方式の運用サイジング</t>
    <phoneticPr fontId="2"/>
  </si>
  <si>
    <t>導入時はサーバ側から使い捨て値を提供する仕組み（時刻ずれと事前生成攻撃の対策）と、証明の再生防止キャッシュが必要。1000万規模では再生防止キャッシュが容量と応答時間の設計項目になるため、インフラ側のサイジングに含める。送信者拘束は通行証だけでなく更新用の引換券にも適用する（盗まれた引換券を別端末で使わせない）</t>
    <phoneticPr fontId="2"/>
  </si>
  <si>
    <t>D-U5-14</t>
    <phoneticPr fontId="2"/>
  </si>
  <si>
    <t>basic-design/05-token-session-authz-design.md §5.10.6</t>
    <phoneticPr fontId="2"/>
  </si>
  <si>
    <t>セルフサービスのセッション・端末管理</t>
    <phoneticPr fontId="2"/>
  </si>
  <si>
    <t>利用者が自分の有効なセッションと端末の一覧を見て、自分で失効させられる画面を提供する（製品標準のアカウント設定画面相当をブランド適用、または管理画面に組込）。不審な端末の即時失効と、自分のアクセス状況の可視化を利用者自身で担保し、問い合わせ負荷と取り消し漏れ時間の露出を縮小する。管理者側の強制失効とは別レイヤ。顧客側ID基盤を使う利用者については本基盤のセッションのみが対象（顧客側のセッションは顧客責任）。今回実装するか次段階かは顧客確認で確定</t>
    <phoneticPr fontId="2"/>
  </si>
  <si>
    <t>D-U4-09</t>
    <phoneticPr fontId="2"/>
  </si>
  <si>
    <t>basic-design/04-auth-ux-design.md §4.3.5</t>
    <phoneticPr fontId="2"/>
  </si>
  <si>
    <t>安全な登録手続き（登録の乗っ取り対策）</t>
    <phoneticPr fontId="2"/>
  </si>
  <si>
    <t>追加確認手段の新規登録は「検証済みの文脈」でのみ許可する。①初回は初回ログイン直後の強制登録 ②2台目以降と再登録は、既存の認証手段または予備コードによる再認証を必須とし、第1要素だけでの追加登録を禁止。盗んだ第1要素で攻撃者が自分の認証器を登録し、正規の利用者を締め出す乗っ取り手口を防ぐため。顧客確認事項として登録</t>
    <phoneticPr fontId="2"/>
  </si>
  <si>
    <t>D-U4-10</t>
    <phoneticPr fontId="2"/>
  </si>
  <si>
    <t>認証器のみ・メール非保有の利用者の復旧</t>
    <phoneticPr fontId="2"/>
  </si>
  <si>
    <t>メールによる追加確認を不採用としたためメール経由のリセット経路が存在しない。そのため ①2台目の認証手段の事前登録を強く推奨（登録直後に案内）②復旧時に確認の強度を下げない（予備コードまたは管理者の一時昇格承認経路のみとし、SMSやメールへの後退を禁止）③永久的な締め出しを避ける設計（自社受け皿収容の利用者は顧客テナント管理者、基盤運用者は運用手順書による復旧経路を用意）。顧客確認事項として登録</t>
    <phoneticPr fontId="2"/>
  </si>
  <si>
    <t>D-U4-11</t>
    <phoneticPr fontId="2"/>
  </si>
  <si>
    <t>非人間IDのガバナンス</t>
    <phoneticPr fontId="2"/>
  </si>
  <si>
    <t>機械同士の通信用アカウント・サービスアカウント・実行環境の権限・連携部品・糊付けの関数など、本基盤が生成し保持する非人間IDを、軽量な台帳＋命名規約＋孤立検知＋失効伝播で統制する（軽量な権限管理の枠組みの傘下）。1000超の顧客×機械通信で非人間IDは人間の数十倍規模になり、台帳・責任者・棚卸しがないとスケール時に統制不能になり資格情報が散乱するため。要点=①台帳（種別／責任者は必須で空欄は自動検査で拒否／用途／権限範囲／更新周期／最終使用、権限系データベースに同居）②孤立検知の定期ジョブ（最終使用から90日超・責任者不在・更新期限超過を検出し通知のうえ猶予後に停止）③失効は既存の削除伝播の仕組みで伝播。顧客と自社どちらが責任者を持つかの分界は顧客確認 B-NHI-1。自動エージェントのIDは非人間IDの特殊系として台帳の種別拡張で受ける</t>
    <phoneticPr fontId="2"/>
  </si>
  <si>
    <t>D-U7-20</t>
    <phoneticPr fontId="2"/>
  </si>
  <si>
    <t>basic-design/07-security-compliance-design.md §7.5.5 / ADR-066</t>
    <phoneticPr fontId="2"/>
  </si>
  <si>
    <t>同意管理・同意レシート</t>
    <phoneticPr fontId="2"/>
  </si>
  <si>
    <t>顧客側ID基盤からの属性の受け渡し・越境・利用目的に対する同意を、記録・撤回・監査証跡（同意レシート）として保持する枠組みを用意する。連携では利用者の属性を受け取り側アプリに渡すため、国内外の個人情報保護法制は記録可能かつ撤回可能な同意を期待する。製品には同意画面があるが、記録・目的の拘束・撤回の伝播は別途設計が必要。今回の既定は自社が主体のサービスであるため同意画面はオフ運用可としつつ、越境や第三者提供が絡む顧客については同意レシートを必須とする。要否と適用範囲は顧客確認 B-CONSENT-1。忘れられる権利との整合は連携・移行側の決定と顧客確認 B-RTBF-1 で扱う</t>
    <phoneticPr fontId="2"/>
  </si>
  <si>
    <t>D-U7-21</t>
    <phoneticPr fontId="2"/>
  </si>
  <si>
    <t>basic-design/07-security-compliance-design.md §7.7.6</t>
    <phoneticPr fontId="2"/>
  </si>
  <si>
    <t>非本番環境の個人情報マスキング／合成データ</t>
    <phoneticPr fontId="2"/>
  </si>
  <si>
    <t>検証環境に本番相当の個人情報を投入しない。①本番からの複製時に不可逆のマスキングを施す ②または合成データを生成する のいずれかをコード管理と自動検査で標準化し、非本番に平文の個人情報が着地しないことを機械的に検査する。1000万規模の実データを非本番に露出させることは法令上の重大な責任であり、テスト環境からの流出は制裁事例でも相当の割合を占めるため。負荷試験用の大量データセットも本規約に従い合成生成する。適用範囲とマスキング方式は顧客確認 B-TESTDATA-1</t>
    <phoneticPr fontId="2"/>
  </si>
  <si>
    <t>D-U9-19</t>
    <phoneticPr fontId="2"/>
  </si>
  <si>
    <t>basic-design/09-operations-observability-design.md §9.5.5</t>
    <phoneticPr fontId="2"/>
  </si>
  <si>
    <t>認可判定ログ</t>
    <phoneticPr fontId="2"/>
  </si>
  <si>
    <t>管理APIの認可判定ごとに決定ログ（判定対象・操作主体・対象リソース×操作・許可/拒否・理由・適用したポリシー版）を出力し、既存のログ3層に相乗りさせる（秘匿情報のマスキングを通過後に保存、判定対象は個人情報非搭載の内部IDのみ）。既存の監査ログは認証イベント中心で、第三者認証や情報セキュリティ規格が求める「認可の説明可能性（最小権限の証明）」が担保されないため。サンプリングは拒否を全件、高権限操作（書込・削除・権限変更）の許可も全件、一般の読み取りは集約とし、量の律速を避けつつ高リスク面で「なぜ許可したか」を担保。将来、認可判定を外部エンジンに移しても決定ログの形は変わらない。粒度と保持期間は顧客確認 B-AUTHZLOG-1</t>
    <phoneticPr fontId="2"/>
  </si>
  <si>
    <t>D-U9-20</t>
    <phoneticPr fontId="2"/>
  </si>
  <si>
    <t>basic-design/09-operations-observability-design.md §9.3.3 / ADR-067</t>
    <phoneticPr fontId="2"/>
  </si>
  <si>
    <t>テナント隔離の契約化と認証フローの公平性</t>
    <phoneticPr fontId="2"/>
  </si>
  <si>
    <t>単一の領域＋所属単位の構成は論理的な分離であり、資源や障害の隔離が自動的に伴うわけではないため、隔離を「契約」として明文化する。①テナント別の公平性（一部の顧客の急増が他に波及する問題への対策）= ログインと通行証発行のフローに顧客別のレート制限・上限を設ける。利用者同期と管理APIには既に毎秒10件の制限があるが、認証フローは1顧客の急増で共有のデータベース接続プールとキャッシュを枯渇させ得るため、配信網や負荷分散装置の層と認証製品側の両方で顧客別の絞り込みを実装する ②隔離の強制点 = 所属情報をデータベースの行・ログ・キュー・射影・下流APIで一貫して強制する（所属のクレームは識別であって隔離ではない）③領域分割への脱出条件 = 領域全体の変更・障害・キャッシュは全顧客に波及するため、大口顧客や規制対象の顧客を別領域へ分離できる基準を持つ。既定値と分離基準は顧客確認 B-TENANT-ISO-1 とインフラ側サイジングで確定</t>
    <phoneticPr fontId="2"/>
  </si>
  <si>
    <t>D-U6-14</t>
    <phoneticPr fontId="2"/>
  </si>
  <si>
    <t>basic-design/06-infra-network-design.md §6.6.3</t>
    <phoneticPr fontId="2"/>
  </si>
  <si>
    <t>忘れられる権利と7年間の改ざん不能監査の境界を明文化</t>
    <phoneticPr fontId="2"/>
  </si>
  <si>
    <t>利用者からの消去要求と、改ざん不能で7年保管する監査証跡は正面から衝突するため、「消去する対象」と「不変の監査側で墓標化・仮名化して残す対象」の境界を文書で定める（都度判断は不可）。既定は、個人データ本体は停止処理のうえ次段階の物理削除へ／監査ログ内の主体識別子は仮名化して保持（法令上の保持根拠がある）。認可判定ログ内の識別子の仮名化も同じ扱いで整合させる。境界の最終確定は顧客確認 B-RTBF-1</t>
    <phoneticPr fontId="2"/>
  </si>
  <si>
    <t>D-U10-13b</t>
    <phoneticPr fontId="2"/>
  </si>
  <si>
    <t>旧・決定状況</t>
  </si>
  <si>
    <t>① 種別別の進捗（状況は5区分）</t>
  </si>
  <si>
    <t>機能要件</t>
    <phoneticPr fontId="2"/>
  </si>
  <si>
    <t>非機能要件</t>
    <phoneticPr fontId="2"/>
  </si>
  <si>
    <t>設計タスク</t>
    <phoneticPr fontId="2"/>
  </si>
  <si>
    <t>総数</t>
    <phoneticPr fontId="2"/>
  </si>
  <si>
    <t>確定</t>
    <phoneticPr fontId="2"/>
  </si>
  <si>
    <t>方向性確定</t>
    <phoneticPr fontId="2"/>
  </si>
  <si>
    <t>検討中</t>
    <phoneticPr fontId="2"/>
  </si>
  <si>
    <t>外部待ち</t>
    <phoneticPr fontId="2"/>
  </si>
  <si>
    <t>要件の状況（5区分）</t>
  </si>
  <si>
    <t>種別</t>
    <phoneticPr fontId="2"/>
  </si>
  <si>
    <t>IDパターン</t>
    <phoneticPr fontId="2"/>
  </si>
  <si>
    <t>FR-AUTH-*</t>
    <phoneticPr fontId="2"/>
  </si>
  <si>
    <t>FR-FED-*</t>
    <phoneticPr fontId="2"/>
  </si>
  <si>
    <t>FR-MFA-*</t>
    <phoneticPr fontId="2"/>
  </si>
  <si>
    <t>FR-SSO-*</t>
    <phoneticPr fontId="2"/>
  </si>
  <si>
    <t>FR-AUTHZ-*</t>
    <phoneticPr fontId="2"/>
  </si>
  <si>
    <t>FR-USER-*</t>
    <phoneticPr fontId="2"/>
  </si>
  <si>
    <t>FR-ADMIN-*</t>
    <phoneticPr fontId="2"/>
  </si>
  <si>
    <t>FR-INT-*</t>
    <phoneticPr fontId="2"/>
  </si>
  <si>
    <t>NFR-AVL-*</t>
    <phoneticPr fontId="2"/>
  </si>
  <si>
    <t>NFR-PERF-*</t>
    <phoneticPr fontId="2"/>
  </si>
  <si>
    <t>NFR-SCL-*</t>
    <phoneticPr fontId="2"/>
  </si>
  <si>
    <t>NFR-SEC-*</t>
    <phoneticPr fontId="2"/>
  </si>
  <si>
    <t>NFR-DR-*</t>
    <phoneticPr fontId="2"/>
  </si>
  <si>
    <t>NFR-OPS-*</t>
    <phoneticPr fontId="2"/>
  </si>
  <si>
    <t>NFR-COMP-*</t>
    <phoneticPr fontId="2"/>
  </si>
  <si>
    <t>NFR-COST-*</t>
    <phoneticPr fontId="2"/>
  </si>
  <si>
    <t>NFR-MIG-*</t>
    <phoneticPr fontId="2"/>
  </si>
  <si>
    <t>A-*</t>
    <phoneticPr fontId="2"/>
  </si>
  <si>
    <t>B-*</t>
    <phoneticPr fontId="2"/>
  </si>
  <si>
    <t>C-*</t>
    <phoneticPr fontId="2"/>
  </si>
  <si>
    <t>D-*</t>
    <phoneticPr fontId="2"/>
  </si>
  <si>
    <t>E-*</t>
    <phoneticPr fontId="2"/>
  </si>
  <si>
    <t>F-*</t>
    <phoneticPr fontId="2"/>
  </si>
  <si>
    <t>G-*</t>
    <phoneticPr fontId="2"/>
  </si>
  <si>
    <t>DU-U2-01</t>
  </si>
  <si>
    <t>Realm/Organizations 構成</t>
  </si>
  <si>
    <t>Config</t>
  </si>
  <si>
    <t>broker/idp の2領域＋所属単位の定義（1顧客=1所属）</t>
  </si>
  <si>
    <t>両領域がコード管理で再現でき、所属の属性は表示名と判定方式のみ</t>
  </si>
  <si>
    <t>DU-U6-01</t>
  </si>
  <si>
    <t>—</t>
  </si>
  <si>
    <t>S</t>
  </si>
  <si>
    <t>🔒 確定</t>
  </si>
  <si>
    <t>v1.0（2026-08-10）</t>
  </si>
  <si>
    <t>DU-U2-02</t>
  </si>
  <si>
    <t>2層間フェデレーション</t>
  </si>
  <si>
    <t>接続枠・属性グループ・変換定義</t>
  </si>
  <si>
    <t>DU-U2-01, DU-U6-05</t>
  </si>
  <si>
    <t>M</t>
  </si>
  <si>
    <t>🟡 ゲート待ち</t>
  </si>
  <si>
    <t>DU-U2-03</t>
  </si>
  <si>
    <t>認証フロー5系統</t>
  </si>
  <si>
    <t>ログイン／所属判定／初回連携／連携後／フォームの各フロー</t>
  </si>
  <si>
    <t>3系統に独自機能を配置し、全経路で初回自動作成が発火する</t>
  </si>
  <si>
    <t>DU-U2-04</t>
  </si>
  <si>
    <t>独自機能（3JAR／4機能）</t>
  </si>
  <si>
    <t>SPI</t>
  </si>
  <si>
    <t>所属判定／再有効化／作成経路の記録／計測の各拡張</t>
  </si>
  <si>
    <t>製品の対象版で4機能が動作し、フロー配置で発火。単体テストで固定</t>
  </si>
  <si>
    <t>L</t>
  </si>
  <si>
    <t>DU-U2-05</t>
  </si>
  <si>
    <t>通行証の項目定義</t>
  </si>
  <si>
    <t>載せる項目の辞書（最小構成、個人情報非搭載）</t>
  </si>
  <si>
    <t>辞書どおりに搭載され、保護対象の属性が上書きされない</t>
  </si>
  <si>
    <t>DU-U2-01, DU-U5-01</t>
  </si>
  <si>
    <t>DU-U2-06</t>
  </si>
  <si>
    <t>利用者項目スキーマの宣言</t>
  </si>
  <si>
    <t>持つ項目の明示宣言（メールは任意）</t>
  </si>
  <si>
    <t>新規・初回自動作成・管理者作成の3経路で、メール非保有の利用者が完走</t>
  </si>
  <si>
    <t>DU-U2-07</t>
  </si>
  <si>
    <t>旧来方式のID提供元テンプレート</t>
  </si>
  <si>
    <t>接続定義の雛形（識別名・署名方式）</t>
  </si>
  <si>
    <t>業務システム等に対してID提供元として振る舞える。変換定義も確定</t>
  </si>
  <si>
    <t>DU-U2-08</t>
  </si>
  <si>
    <t>1000件超のスケール設定</t>
  </si>
  <si>
    <t>Config / IaC</t>
  </si>
  <si>
    <t>必須対策7点（キャッシュ・所属判定・接続予算ほか）</t>
  </si>
  <si>
    <t>実測ゲートの合格基準（基準値比+10%以内）を満たす</t>
  </si>
  <si>
    <t>DU-U6-02</t>
  </si>
  <si>
    <t>DU-U3-01</t>
  </si>
  <si>
    <t>3階層識別子＋ID対応表</t>
  </si>
  <si>
    <t>IaC</t>
  </si>
  <si>
    <t>権限系データベースのスキーマ</t>
  </si>
  <si>
    <t>ブランド識別子を一級キーとし、ブランド跨ぎの結合が構造的に不能。不変条件4点を制約で担保</t>
  </si>
  <si>
    <t>DU-U6-03</t>
  </si>
  <si>
    <t>DU-U3-02</t>
  </si>
  <si>
    <t>作成経路6値＋判別ロジック</t>
  </si>
  <si>
    <t>SPI / Config</t>
  </si>
  <si>
    <t>初回自動作成と自動同期の判別（判定1〜3、6ケース）</t>
  </si>
  <si>
    <t>自動同期フラグが最優先、除外条件と安全側拒否が単体テストで固定</t>
  </si>
  <si>
    <t>DU-U3-03</t>
  </si>
  <si>
    <t>利用者自動同期の受け口（自作）</t>
  </si>
  <si>
    <t>App</t>
  </si>
  <si>
    <t>受信用の関数（2方向）＋属性の正準化</t>
  </si>
  <si>
    <t>各社の検証ツールに合格、削除要求を停止処理へ写像、顧客の二重照合</t>
  </si>
  <si>
    <t>DU-U3-04</t>
  </si>
  <si>
    <t>統合コンテキストの射影</t>
  </si>
  <si>
    <t>App / IaC</t>
  </si>
  <si>
    <t>読み取り専用ストア＋3つの書込経路</t>
  </si>
  <si>
    <t>本人向けの文脈取得が1回の読み取りで完結し越境ゼロ、読取性能がゲート合格</t>
  </si>
  <si>
    <t>DU-U3-01, DU-U3-03</t>
  </si>
  <si>
    <t>DU-U3-05</t>
  </si>
  <si>
    <t>削除・停止の確実な伝播</t>
  </si>
  <si>
    <t>取りこぼし防止の中継関数＋中央の影ユーザ制御関数</t>
  </si>
  <si>
    <t>停止処理と送信記録を1トランザクションで書き、必達送信・冪等・数分で突合</t>
  </si>
  <si>
    <t>DU-U3-01, DU-U6-01, DU-U6-05</t>
  </si>
  <si>
    <t>DU-U3-06</t>
  </si>
  <si>
    <t>状態機械＋3段階削除</t>
  </si>
  <si>
    <t>Config / App</t>
  </si>
  <si>
    <t>4状態の遷移＋遮断・停止・物理削除</t>
  </si>
  <si>
    <t>停止日時を必ず記録し、それを起算とする。影ユーザは対象外</t>
  </si>
  <si>
    <t>DU-U3-07</t>
  </si>
  <si>
    <t>再有効化の統合</t>
  </si>
  <si>
    <t>同一トランザクションでの判定</t>
  </si>
  <si>
    <t>誤発火シナリオを単体テストで固定し、再有効化を監査記録</t>
  </si>
  <si>
    <t>DU-U2-04, DU-U3-02</t>
  </si>
  <si>
    <t>DU-U3-08</t>
  </si>
  <si>
    <t>90日休眠バッチ</t>
  </si>
  <si>
    <t>クラスタ内の定期ジョブ（関数実行は不採用）</t>
  </si>
  <si>
    <t>初回自動作成分のみ対象、影ユーザ除外、1000万規模で完走</t>
  </si>
  <si>
    <t>DU-U6-02, DU-U3-06</t>
  </si>
  <si>
    <t>DU-U4-01</t>
  </si>
  <si>
    <t>識別子先行＋所属判定のUX</t>
  </si>
  <si>
    <t>Config / Theme</t>
  </si>
  <si>
    <t>ログイン画面（接続先一覧非表示）＋判定失敗時の降格</t>
  </si>
  <si>
    <t>応答の同一化・書式ヒント・パスワード画面への降格が全応答で貫徹</t>
  </si>
  <si>
    <t>DU-U4-02</t>
  </si>
  <si>
    <t>ブランディング（統一テーマ1本）</t>
  </si>
  <si>
    <t>Theme</t>
  </si>
  <si>
    <t>中立テーマ（文言集約、直書き禁止）</t>
  </si>
  <si>
    <t>DU-U4-03</t>
  </si>
  <si>
    <t>追加確認のUX 4ケース</t>
  </si>
  <si>
    <t>Theme / Config</t>
  </si>
  <si>
    <t>パスキー／認証アプリの登録画面</t>
  </si>
  <si>
    <t>DU-U4-01, DU-U7-08</t>
  </si>
  <si>
    <t>DU-U4-04</t>
  </si>
  <si>
    <t>着地画面（許可サービス一覧）</t>
  </si>
  <si>
    <t>タイル表示の独立アプリ</t>
  </si>
  <si>
    <t>直接URLからのみ着地し、利用可能アプリ一覧APIで表示判定</t>
  </si>
  <si>
    <t>DU-U10-02</t>
  </si>
  <si>
    <t>DU-U4-05</t>
  </si>
  <si>
    <t>権限不足画面</t>
  </si>
  <si>
    <t>表示必須6項目・表示禁止5項目</t>
  </si>
  <si>
    <t>アプリ側からの誘導規約と実装義務が契約に反映される</t>
  </si>
  <si>
    <t>DU-U5-05</t>
  </si>
  <si>
    <t>DU-U4-06</t>
  </si>
  <si>
    <t>アクセシビリティ準拠</t>
  </si>
  <si>
    <t>Doc / Test</t>
  </si>
  <si>
    <t>準拠＋自動検査＋手動・当事者テスト</t>
  </si>
  <si>
    <t>★要件化またはレベル決定を着手前に行う（監査で要件不在と判明）。全10画面準拠</t>
  </si>
  <si>
    <t>DU-U4-01〜05</t>
  </si>
  <si>
    <t>🆕 新規（要件化が先行）</t>
  </si>
  <si>
    <t>DU-U4-07</t>
  </si>
  <si>
    <t>多言語・日本語ロケールの明示</t>
  </si>
  <si>
    <t>Config / Doc</t>
  </si>
  <si>
    <t>文言集約＋「今回は日本語のみ」の決定</t>
  </si>
  <si>
    <t>将来の多言語化の余地を確認し、決定を明文化</t>
  </si>
  <si>
    <t>🆕 新規（決定化が先行）</t>
  </si>
  <si>
    <t>DU-U4-08</t>
  </si>
  <si>
    <t>セルフサービスのパスワード再設定画面</t>
  </si>
  <si>
    <t>再設定画面</t>
  </si>
  <si>
    <t>自社受け皿収容の利用者が自己再設定を完走（本人確認方式の決定が前提）</t>
  </si>
  <si>
    <t>DU-U4-09</t>
  </si>
  <si>
    <t>App / Theme</t>
  </si>
  <si>
    <t>自分のセッション一覧＋自己失効</t>
  </si>
  <si>
    <t>利用者が自分の端末を失効でき、本基盤のセッションのみが対象</t>
  </si>
  <si>
    <t>v1.1（2026-08-12 再監査）</t>
  </si>
  <si>
    <t>DU-U4-10</t>
  </si>
  <si>
    <t>2台目・再登録時の再確認を必須化</t>
  </si>
  <si>
    <t>第1要素だけでの追加登録を拒否する</t>
  </si>
  <si>
    <t>DU-U5-01</t>
  </si>
  <si>
    <t>項目辞書＋有効時間の確定</t>
  </si>
  <si>
    <t>最小構成の項目＋通行証30分・引換券の更新方式</t>
  </si>
  <si>
    <t>個人情報非搭載の検証7項目が3箇所（レビュー・自動検査・四半期監査）で回る</t>
  </si>
  <si>
    <t>DU-U5-02</t>
  </si>
  <si>
    <t>通行証の引き換え（2方式）</t>
  </si>
  <si>
    <t>引き換え用の登録枠設定</t>
  </si>
  <si>
    <t>委譲となりすましの境界が権限範囲で表現され、監査記録が必須</t>
  </si>
  <si>
    <t>DU-U5-03</t>
  </si>
  <si>
    <t>失効・緊急停止・一括ログアウト</t>
  </si>
  <si>
    <t>一括無効化＋強制失効＋サーバ間ログアウト通知</t>
  </si>
  <si>
    <t>3粒度の強制ログアウトが成立し、取り消し漏れ時間30分以内、緊急手順と連動</t>
  </si>
  <si>
    <t>DU-U5-01, DU-U7-03</t>
  </si>
  <si>
    <t>DU-U5-04</t>
  </si>
  <si>
    <t>管理API の操作範囲＋機械認証</t>
  </si>
  <si>
    <t>操作範囲セット（対象×操作の2軸）</t>
  </si>
  <si>
    <t>読取・書込・停止などが機械認証で開放され、物理削除の範囲は定義しない</t>
  </si>
  <si>
    <t>DU-U5-01, DU-U10-02</t>
  </si>
  <si>
    <t>受け取り側実装ガイド</t>
  </si>
  <si>
    <t>Doc</t>
  </si>
  <si>
    <t>構成規約＋権限不足時の規約＋残余リスクの契約明示</t>
  </si>
  <si>
    <t>アプリ開発者の実装義務（画面誘導、画面だけの構成の限界）が契約とガイドに落ちる</t>
  </si>
  <si>
    <t>DU-U5-06</t>
  </si>
  <si>
    <t>自前のイベント送出＋配信ストリーム管理＋受信部品</t>
  </si>
  <si>
    <t>今回は暫定のつなぎ＋希望する受け取り側へ失効を配信し、高価値経路で数秒化</t>
  </si>
  <si>
    <t>DU-U3-05, DU-U5-03</t>
  </si>
  <si>
    <t>DU-U5-07</t>
  </si>
  <si>
    <t>プロトコル堅牢化</t>
  </si>
  <si>
    <t>検証7点／API層の再認証要求／同時セッション上限／引き換えの委譲制御</t>
  </si>
  <si>
    <t>DU-U5-01, DU-U2-03</t>
  </si>
  <si>
    <t>6アカウント＋越境8経路</t>
  </si>
  <si>
    <t>組織・アカウント構成＋アカウント跨ぎのイベント連携</t>
  </si>
  <si>
    <t>越境はイベント8経路と私設接続のみ。権限の相互信頼を作らない</t>
  </si>
  <si>
    <t>DU-U9I-01</t>
  </si>
  <si>
    <t>2クラスタ＋ノード群</t>
  </si>
  <si>
    <t>仲介側と自社受け皿側のクラスタ（2系統のノード群・サイジング）</t>
  </si>
  <si>
    <t>少数大型構成、接続予算の規約、規模検証用データセットと併走可能</t>
  </si>
  <si>
    <t>データベース2系統（認証系と権限系の分離）</t>
  </si>
  <si>
    <t>認証用と権限用を別鍵・別権限・別通信許可で分離</t>
  </si>
  <si>
    <t>DU-U6-01, DU-U7-01</t>
  </si>
  <si>
    <t>DU-U6-04</t>
  </si>
  <si>
    <t>入口3系統</t>
  </si>
  <si>
    <t>認証用／API用／画面配信用の各経路</t>
  </si>
  <si>
    <t>要求仕様に準拠し、API用は防御装置の経路外で成立。他組織へ要求仕様を発行</t>
  </si>
  <si>
    <t>DU-U6-05</t>
  </si>
  <si>
    <t>内部接続点＋私設経路</t>
  </si>
  <si>
    <t>管理用の内部限定の接続点＋2層間の裏側通信</t>
  </si>
  <si>
    <t>DU-U6-06</t>
  </si>
  <si>
    <t>管理APIの実行基盤</t>
  </si>
  <si>
    <t>関数実行＋API入口（通行証の一次検証）＋専用サブネット</t>
  </si>
  <si>
    <t>別の障害ドメインに分離し、起動遅延を許容する設計</t>
  </si>
  <si>
    <t>DU-U6-01, DU-U6-04</t>
  </si>
  <si>
    <t>DU-U6-07</t>
  </si>
  <si>
    <t>外部通信を持たない構成／許可ルールの要求</t>
  </si>
  <si>
    <t>IaC / Doc</t>
  </si>
  <si>
    <t>接続点群＋外部通信の許可ルール要求（他組織向け）</t>
  </si>
  <si>
    <t>顧客のID基盤1000件超の許可申請フローが成立。旧方式の撤去も反映</t>
  </si>
  <si>
    <t>DU-U6-08</t>
  </si>
  <si>
    <t>管理画面3層防御＋管理用ホスト名分離</t>
  </si>
  <si>
    <t>IaC / Config</t>
  </si>
  <si>
    <t>負荷分散装置での拒否＋通信許可の限定＋ホスト名分離</t>
  </si>
  <si>
    <t>一般利用者の経路では管理画面が拒否され、専用経路のみ到達可能</t>
  </si>
  <si>
    <t>DU-U6-09</t>
  </si>
  <si>
    <t>ネットワーク番号の割当計画の凍結</t>
  </si>
  <si>
    <t>Doc / IaC</t>
  </si>
  <si>
    <t>番号台帳（自社4系統＋他組織＋顧客）</t>
  </si>
  <si>
    <t>★構築後は変更不可のため構築前に凍結。重複がないことを確認済み</t>
  </si>
  <si>
    <t>DU-U6-10</t>
  </si>
  <si>
    <t>テナント隔離の契約化・公平性</t>
  </si>
  <si>
    <t>認証フローの顧客別レート制限＋所属情報の一貫強制＋領域分離の基準</t>
  </si>
  <si>
    <t>1顧客の急増が他を枯渇させない。分離への脱出条件を明文化</t>
  </si>
  <si>
    <t>DU-U6-02, DU-U6-04</t>
  </si>
  <si>
    <t>DU-U7-01</t>
  </si>
  <si>
    <t>暗号鍵の3階層と6アカウントへの写像</t>
  </si>
  <si>
    <t>鍵の命名と鍵ポリシー3ロール（管理・利用・監査）</t>
  </si>
  <si>
    <t>職務分離が成立し、利用は実行環境の権限のみ。削除・変更は即時通知</t>
  </si>
  <si>
    <t>DU-U7-02</t>
  </si>
  <si>
    <t>署名鍵の90日入れ替え</t>
  </si>
  <si>
    <t>90日周期＋旧鍵30日並走の定期ジョブ</t>
  </si>
  <si>
    <t>入れ替えを監視し、失敗時の手動手順と受け取り側の追随を確認</t>
  </si>
  <si>
    <t>DU-U2-01, DU-U7-01</t>
  </si>
  <si>
    <t>DU-U7-03</t>
  </si>
  <si>
    <t>不正検知エンジン</t>
  </si>
  <si>
    <t>イベント送出→判定エンジン（4シグナル）</t>
  </si>
  <si>
    <t>漏洩パスワード照合と総当たり検知が動作。当初は通知のみ</t>
  </si>
  <si>
    <t>DU-U6-01, DU-U2-04</t>
  </si>
  <si>
    <t>DU-U7-04</t>
  </si>
  <si>
    <t>ログの秘匿情報マスキング辞書</t>
  </si>
  <si>
    <t>App / Config</t>
  </si>
  <si>
    <t>集約役でのマスキング集中適用（14項目）</t>
  </si>
  <si>
    <t>全ソースがマスキング通過後に保存され、平文が残らない</t>
  </si>
  <si>
    <t>DU-U9O-02</t>
  </si>
  <si>
    <t>DU-U7-05</t>
  </si>
  <si>
    <t>実行環境の権限</t>
  </si>
  <si>
    <t>実行主体ごとの権限と信頼設定</t>
  </si>
  <si>
    <t>人間への鍵付与を禁止し、実行主体単位で最小権限</t>
  </si>
  <si>
    <t>DU-U6-02, DU-U7-01</t>
  </si>
  <si>
    <t>DU-U7-06</t>
  </si>
  <si>
    <t>特権管理＋緊急用アカウント</t>
  </si>
  <si>
    <t>権限管理サービス＋セッション管理＋緊急経路</t>
  </si>
  <si>
    <t>初期フェーズの実装10項目、役員承認、監査記録、訓練手順</t>
  </si>
  <si>
    <t>DU-U6-08, DU-U7-01</t>
  </si>
  <si>
    <t>DU-U7-07</t>
  </si>
  <si>
    <t>認証系と権限系の4軸分離</t>
  </si>
  <si>
    <t>データベース・鍵・権限・通信許可の4軸で分離</t>
  </si>
  <si>
    <t>橋渡しコンポーネントを最小権限とし、将来の2アカウント分割の条件を維持</t>
  </si>
  <si>
    <t>DU-U7-08</t>
  </si>
  <si>
    <t>パスワードポリシー／追加確認の要素</t>
  </si>
  <si>
    <t>12文字・履歴5世代・初回強制・パスキー・認証アプリ（メールは除外）</t>
  </si>
  <si>
    <t>決定を反映。顧客側ID基盤の利用者は対象外。両領域にポリシー適用</t>
  </si>
  <si>
    <t>DU-U7-09</t>
  </si>
  <si>
    <t>自動化攻撃・大量アクセス対策</t>
  </si>
  <si>
    <t>Doc / Config</t>
  </si>
  <si>
    <t>他組織への要求明細＋自社側の最低防御線</t>
  </si>
  <si>
    <t>他組織側が不成立でも最低限の防御が成立。次段階への移行条件も定義</t>
  </si>
  <si>
    <t>DU-U7-10</t>
  </si>
  <si>
    <t>非人間IDの台帳</t>
  </si>
  <si>
    <t>台帳＋命名規約＋孤立検知の定期ジョブ＋失効伝播</t>
  </si>
  <si>
    <t>責任者を必須とし、90日で孤立を検知。失効は既存の伝播機構を再利用</t>
  </si>
  <si>
    <t>DU-U3-01, DU-U7-05</t>
  </si>
  <si>
    <t>DU-U7-11</t>
  </si>
  <si>
    <t>App / Doc</t>
  </si>
  <si>
    <t>同意の記録＋撤回＋レシート</t>
  </si>
  <si>
    <t>越境・第三者提供が絡む顧客で記録と撤回ができる</t>
  </si>
  <si>
    <t>DU-U8-01</t>
  </si>
  <si>
    <t>内部目標値＋消費速度の警報</t>
  </si>
  <si>
    <t>4サービスの内部目標＋消費速度による多段警報</t>
  </si>
  <si>
    <t>記録ルールと警報を実装。性能目標（応答時間・処理能力）も反映</t>
  </si>
  <si>
    <t>DU-U9O-01</t>
  </si>
  <si>
    <t>DU-U8-02</t>
  </si>
  <si>
    <t>手動コールド復旧（およそ14日）</t>
  </si>
  <si>
    <t>予備地域のオンデマンド再構築</t>
  </si>
  <si>
    <t>2つの障害シナリオを区別。エッジの自動切替は撤回</t>
  </si>
  <si>
    <t>DU-U8-03</t>
  </si>
  <si>
    <t>データ保全3層</t>
  </si>
  <si>
    <t>継続複製＋時点復元＋変更不能な控え</t>
  </si>
  <si>
    <t>3層が並立し、控えは別地域へ複製される</t>
  </si>
  <si>
    <t>DU-U8-04</t>
  </si>
  <si>
    <t>復旧手順書＋訓練</t>
  </si>
  <si>
    <t>再構築・復元の手順書＋復旧訓練</t>
  </si>
  <si>
    <t>DU-U8-02, DU-U8-03</t>
  </si>
  <si>
    <t>DU-U8-05</t>
  </si>
  <si>
    <t>復元2経路</t>
  </si>
  <si>
    <t>コード再適用＋継続複製（一括書き出しは全廃）</t>
  </si>
  <si>
    <t>両経路が独立に成立し、設定投入ツール不採用と整合</t>
  </si>
  <si>
    <t>DU-U9I-01, DU-U8-03</t>
  </si>
  <si>
    <t>U9 運用・IaC</t>
  </si>
  <si>
    <t>コード管理2層＋管理単位の分離</t>
  </si>
  <si>
    <t>モジュール分割＋管理単位のマトリクス</t>
  </si>
  <si>
    <t>基盤層とテナント層が分離され、日次でずれを検知</t>
  </si>
  <si>
    <t>DU-U9I-02</t>
  </si>
  <si>
    <t>継続的な組み立てと配信</t>
  </si>
  <si>
    <t>自動化サービス＋コードからの同期＋イメージ置き場</t>
  </si>
  <si>
    <t>版数固定、供給網対応、秘密情報の直書きを自動検査で拒否</t>
  </si>
  <si>
    <t>U9 運用・監視</t>
  </si>
  <si>
    <t>計測基盤＋接続先件数の関数監視</t>
  </si>
  <si>
    <t>IaC / App</t>
  </si>
  <si>
    <t>収集役＋計装</t>
  </si>
  <si>
    <t>接続先追加の前後を比較でき、系列数の規約と抽出率も定義</t>
  </si>
  <si>
    <t>ログ3層＋監視製品連携</t>
  </si>
  <si>
    <t>即時参照90日／長期7年（変更不能）／相関</t>
  </si>
  <si>
    <t>全ソースがマスキング後に保存され、予備地域にも配備。週1で監査スキャン</t>
  </si>
  <si>
    <t>DU-U6-01, DU-U7-04</t>
  </si>
  <si>
    <t>DU-U9O-03</t>
  </si>
  <si>
    <t>手順書体系＋禁則集</t>
  </si>
  <si>
    <t>手順書35冊（必須13冊）＋禁則11項目</t>
  </si>
  <si>
    <t>各DU</t>
  </si>
  <si>
    <t>DU-U9O-04</t>
  </si>
  <si>
    <t>顧客追加パイプライン</t>
  </si>
  <si>
    <t>6ステップの自動化（自作API）</t>
  </si>
  <si>
    <t>接続情報の自動更新を実機確認し、証明書の入れ替え運用も確立</t>
  </si>
  <si>
    <t>DU-U2-01, DU-U9I-01</t>
  </si>
  <si>
    <t>DU-U9O-05</t>
  </si>
  <si>
    <t>常時監視用の自動アクセス</t>
  </si>
  <si>
    <t>外形監視＋認証実装漏れの検知</t>
  </si>
  <si>
    <t>自社の監査アカウントに集約し、アプリ台帳と連携</t>
  </si>
  <si>
    <t>DU-U9O-06</t>
  </si>
  <si>
    <t>決定ログ（サンプリング）＋3層の定期棚卸し</t>
  </si>
  <si>
    <t>拒否と高権限は全件記録。棚卸しの完了記録を残す</t>
  </si>
  <si>
    <t>DU-U10-02, DU-U9O-02</t>
  </si>
  <si>
    <t>DU-U9O-07</t>
  </si>
  <si>
    <t>非本番の個人情報マスキング</t>
  </si>
  <si>
    <t>IaC / CI</t>
  </si>
  <si>
    <t>マスキングまたは合成データ＋平文非着地の機械検査</t>
  </si>
  <si>
    <t>非本番に本番の個人情報が入らない。負荷試験データも合成</t>
  </si>
  <si>
    <t>DU-U10-01</t>
  </si>
  <si>
    <t>業務システム連携</t>
  </si>
  <si>
    <t>Config / Test</t>
  </si>
  <si>
    <t>接続定義＋自動同期から旧来方式への連携</t>
  </si>
  <si>
    <t>突合項目の一致、基盤起点の遷移を無効化、実機検証を実施</t>
  </si>
  <si>
    <t>DU-U2-07, DU-U3-03</t>
  </si>
  <si>
    <t>管理API v1</t>
  </si>
  <si>
    <t>管理API の関数実行＋仕様定義2本＋本人向けAPI</t>
  </si>
  <si>
    <t>DU-U6-06, DU-U3-01, DU-U5-04</t>
  </si>
  <si>
    <t>DU-U10-03</t>
  </si>
  <si>
    <t>出来事通知の配信</t>
  </si>
  <si>
    <t>署名＋待避キュー＋再送8回24時間＋保管14日</t>
  </si>
  <si>
    <t>配信7種、個人情報非搭載、冪等、リプレイ防止</t>
  </si>
  <si>
    <t>DU-U10-04</t>
  </si>
  <si>
    <t>移行4集団</t>
  </si>
  <si>
    <t>Doc / App</t>
  </si>
  <si>
    <t>パスワード方式の判定＋旧ID対応＋引き当て</t>
  </si>
  <si>
    <t>突合項目の選定、内部IDの保全、集団別の移行手順</t>
  </si>
  <si>
    <t>DU-U10-05</t>
  </si>
  <si>
    <t>データ主体の権利対応（手動）</t>
  </si>
  <si>
    <t>消去要求対応の手順書（仮名化＋7年保管、応答期限の決定）</t>
  </si>
  <si>
    <t>物理削除しない方針。応答日数を契約で確定</t>
  </si>
  <si>
    <t>DU-U10-06</t>
  </si>
  <si>
    <t>退職時の遮断連鎖</t>
  </si>
  <si>
    <t>遮断連鎖＋一括ログアウト＋残余時間の契約明示</t>
  </si>
  <si>
    <t>業務システム側の利用者を残置しつつ認証チェーンで遮断。残余30分を契約化</t>
  </si>
  <si>
    <t>DU-U10-07</t>
  </si>
  <si>
    <t>消去と監査保持の境界</t>
  </si>
  <si>
    <t>消去対象と仮名化保持の境界＋決定ログの仮名化</t>
  </si>
  <si>
    <t>都度判断ではなく境界を契約に明記</t>
  </si>
  <si>
    <t>DU数</t>
  </si>
  <si>
    <t>フェーズ</t>
  </si>
  <si>
    <t>要件定義</t>
  </si>
  <si>
    <t>基本設計</t>
  </si>
  <si>
    <t>フェーズ別の残り</t>
  </si>
  <si>
    <t>残り（検討中＋外部待ち）</t>
  </si>
  <si>
    <t>DU-ID</t>
    <phoneticPr fontId="2"/>
  </si>
  <si>
    <t>単元グループ</t>
    <phoneticPr fontId="2"/>
  </si>
  <si>
    <t>単元名</t>
    <phoneticPr fontId="2"/>
  </si>
  <si>
    <t>成果物種別</t>
    <phoneticPr fontId="2"/>
  </si>
  <si>
    <t>主要成果物</t>
    <phoneticPr fontId="2"/>
  </si>
  <si>
    <t>完了定義（DoD）</t>
    <phoneticPr fontId="2"/>
  </si>
  <si>
    <t>依存DU</t>
    <phoneticPr fontId="2"/>
  </si>
  <si>
    <t>PoCゲート</t>
    <phoneticPr fontId="2"/>
  </si>
  <si>
    <t>工数(S/M/L)</t>
    <phoneticPr fontId="2"/>
  </si>
  <si>
    <t>人日（詳細設計＋構築）</t>
    <phoneticPr fontId="2"/>
  </si>
  <si>
    <t>②詳細設計</t>
  </si>
  <si>
    <t>②詳細設計</t>
    <phoneticPr fontId="2"/>
  </si>
  <si>
    <t>③構築</t>
  </si>
  <si>
    <t>③構築</t>
    <phoneticPr fontId="2"/>
  </si>
  <si>
    <t>区分</t>
    <phoneticPr fontId="2"/>
  </si>
  <si>
    <t>状態</t>
    <phoneticPr fontId="2"/>
  </si>
  <si>
    <t>追加時期</t>
    <phoneticPr fontId="2"/>
  </si>
  <si>
    <t>出典（決定）</t>
    <phoneticPr fontId="2"/>
  </si>
  <si>
    <t>🔴 Phase 1 必須</t>
  </si>
  <si>
    <t>00b（v1.0/1.1）</t>
  </si>
  <si>
    <t>仲介側から自社受け皿への認可コード／鍵情報／利用者情報の取得が私設経路で成立。【2026-08-12 監査で追記】ログアウト連鎖時の本人確認情報の受け渡しを明示（§2.2.5）</t>
  </si>
  <si>
    <t>DU-U2-09</t>
  </si>
  <si>
    <t>ブランド＝領域のマルチ領域モデリング</t>
  </si>
  <si>
    <t>ブランドごとに領域を分ける方式の設計</t>
  </si>
  <si>
    <t>★着手前の先行判断が必要。現行の単一領域・単一発行元の前提と正面衝突する</t>
  </si>
  <si>
    <t>🟡 将来・条件付</t>
  </si>
  <si>
    <t>🟡 将来（先行判断要）</t>
  </si>
  <si>
    <t>v1.2（2026-08-12 GAP監査）</t>
  </si>
  <si>
    <t>§3.8.0 / ADR-063</t>
  </si>
  <si>
    <t>DU-U2-10</t>
  </si>
  <si>
    <t>2層間のセッション整合</t>
  </si>
  <si>
    <t>ログアウト連鎖・有効時間・強度・入力補助値の整合（5つの課題）</t>
  </si>
  <si>
    <t>2層をまたいでセッションの状態と強度が矛盾なく伝わる</t>
  </si>
  <si>
    <t>§2.2.5 GAP-1〜5</t>
  </si>
  <si>
    <t>DU-U3-09</t>
  </si>
  <si>
    <t>再有効化の対称伝播</t>
  </si>
  <si>
    <t>自社受け皿側で復活したとき仲介側の影ユーザも有効化する</t>
  </si>
  <si>
    <t>停止と復活の双方向が同じ確実さで伝播する</t>
  </si>
  <si>
    <t>DU-U3-10</t>
  </si>
  <si>
    <t>初回の識別子通知の整合設計</t>
  </si>
  <si>
    <t>顧客側ID基盤経由の利用者の初回識別子をブランド側へ通知</t>
  </si>
  <si>
    <t>越境は書込時のみ・冪等・取りこぼしなし</t>
  </si>
  <si>
    <t>DU-U3-11</t>
  </si>
  <si>
    <t>属性の正準化ソース台帳</t>
  </si>
  <si>
    <t>顧客×属性ごとに正となる供給元を定義</t>
  </si>
  <si>
    <t>顧客写像・基盤付与・不要の3ケースが全属性で決まっている</t>
  </si>
  <si>
    <t>改ざん防止の隠しフィールドを変更しないことをレビュー必須項目に。【2026-08-12 監査で追記】外部連携利用者向けのテーマ上書きを明示</t>
  </si>
  <si>
    <t>4区分の利用者すべてでUXが完走し、代替手段への導線が成立。【2026-08-12 監査で追記】操作単位の再認証の専用文言を含める</t>
  </si>
  <si>
    <t>DU-U4-11</t>
  </si>
  <si>
    <t>認証器のみ・メール非保有の復旧</t>
  </si>
  <si>
    <t>2台目の事前登録推奨＋強度を下げない復旧経路</t>
  </si>
  <si>
    <t>永久的な締め出しが起きない</t>
  </si>
  <si>
    <t>DU-U5-08</t>
  </si>
  <si>
    <t>送信者拘束方式の運用サイジング準備</t>
  </si>
  <si>
    <t>使い捨て値の提供と再生防止キャッシュの容量設計</t>
  </si>
  <si>
    <t>1000万規模での容量と応答時間の見積りが出ている</t>
  </si>
  <si>
    <t>🟡 将来（次段階）</t>
  </si>
  <si>
    <t>両方に届く単一の権限や通信許可が存在しない。読み取り複製の余地も確保。【2026-08-12 監査で追記】接続プールの等値化を含める</t>
  </si>
  <si>
    <t>管理APIはインターネット非露出。通信許可を関数のみに限定し通信も暗号化。【2026-08-12 監査で追記】仲介側の影ユーザ制御も内部接続点経由であることを明示</t>
  </si>
  <si>
    <t>DU-U6-11</t>
  </si>
  <si>
    <t>内部接続点の通信暗号化基盤</t>
  </si>
  <si>
    <t>自社認証局・私設DNS・信頼設定＋通信制御</t>
  </si>
  <si>
    <t>管理APIへの経路が証明書で保護され、通信元も限定される</t>
  </si>
  <si>
    <t>ADR-062 / D-U6-11</t>
  </si>
  <si>
    <t>DU-U6-12</t>
  </si>
  <si>
    <t>メール送信基盤</t>
  </si>
  <si>
    <t>送信ドメイン認証3種＋接続点</t>
  </si>
  <si>
    <t>なりすまし対策が有効化され、通知メールが届く</t>
  </si>
  <si>
    <t>§A.4 A6a-1</t>
  </si>
  <si>
    <t>DU-U6-13</t>
  </si>
  <si>
    <t>名前解決の設計</t>
  </si>
  <si>
    <t>内外で解決結果を分ける構成＋共有・転送</t>
  </si>
  <si>
    <t>内部名は外部から引けず、必要な経路だけ解決できる</t>
  </si>
  <si>
    <t>DNS 3役割 / REQ-OUT-04</t>
  </si>
  <si>
    <t>DU-U7-12</t>
  </si>
  <si>
    <t>秘密情報の90日自動入れ替え</t>
  </si>
  <si>
    <t>2世代並走での無停止入れ替え</t>
  </si>
  <si>
    <t>期限超過がなくなり、入れ替え中もサービスが止まらない</t>
  </si>
  <si>
    <t>DU-U7-13</t>
  </si>
  <si>
    <t>供給網の検証点</t>
  </si>
  <si>
    <t>イメージ置き場と製品配布に脆弱性検査と署名検証を組み込む</t>
  </si>
  <si>
    <t>未検証のイメージがクラスタに到達する経路が構造的に消える</t>
  </si>
  <si>
    <t>D-U7-16 / ADR-046</t>
  </si>
  <si>
    <t>DU-U7-14</t>
  </si>
  <si>
    <t>漏えい報告の手順＋委託先監督</t>
  </si>
  <si>
    <t>報告7ステップ＋海外委託先の監督</t>
  </si>
  <si>
    <t>期限内の報告が回り、越境の扱いが契約で担保される</t>
  </si>
  <si>
    <t>D-U7-15 / 15b</t>
  </si>
  <si>
    <t>DU-U7-15</t>
  </si>
  <si>
    <t>管理API用クライアントの最小権限化</t>
  </si>
  <si>
    <t>権限を絞ったクライアント＋ブランド側の堅牢化</t>
  </si>
  <si>
    <t>橋渡しコンポーネントが乗っ取られても影響が限定される</t>
  </si>
  <si>
    <t>復旧目標を演習で実証。切り戻しは計画切替（喪失ゼロ）。【2026-08-12 監査で追記】論理破壊シナリオの訓練を下期に実施</t>
  </si>
  <si>
    <t>DU-U8-06</t>
  </si>
  <si>
    <t>地域内の可用性</t>
  </si>
  <si>
    <t>最小3台・同時停止許容・分散配置・自動増減・死活確認</t>
  </si>
  <si>
    <t>1拠点障害でサービスが継続する</t>
  </si>
  <si>
    <t>DU-U8-07</t>
  </si>
  <si>
    <t>データベースの地域内切替の調整</t>
  </si>
  <si>
    <t>切替時間の短縮と接続の早期再確立</t>
  </si>
  <si>
    <t>1分未満で自動切替が完了する</t>
  </si>
  <si>
    <t>DU-U8-08</t>
  </si>
  <si>
    <t>無停止デプロイ戦略</t>
  </si>
  <si>
    <t>製品更新・管理ソフト・独自機能の差し替え手順</t>
  </si>
  <si>
    <t>設定変更と修正版が無停止で当たる</t>
  </si>
  <si>
    <t>DU-U8-09</t>
  </si>
  <si>
    <t>セッション連続性と顧客への明示</t>
  </si>
  <si>
    <t>切替時は再認証となることの契約明記</t>
  </si>
  <si>
    <t>顧客との取り決めに残余の影響が書かれている</t>
  </si>
  <si>
    <t>DU-U8-10</t>
  </si>
  <si>
    <t>ブランド側の災害復旧対象化</t>
  </si>
  <si>
    <t>権限系データベースの時点復元と予備地域への保全</t>
  </si>
  <si>
    <t>ブランド側のデータも復旧対象に含まれる</t>
  </si>
  <si>
    <t>§8.2.2</t>
  </si>
  <si>
    <t>DU-U8-11</t>
  </si>
  <si>
    <t>削除伝播の災害復旧整合</t>
  </si>
  <si>
    <t>切替時に重複も欠落もなく1回だけ処理される</t>
  </si>
  <si>
    <t>切替をまたいでも停止処理が確実に1回伝播する</t>
  </si>
  <si>
    <t>DU-U3-05, DU-U8-02</t>
  </si>
  <si>
    <t>ADR-064</t>
  </si>
  <si>
    <t>DU-U8-12</t>
  </si>
  <si>
    <t>復旧方針の決定記録の改訂</t>
  </si>
  <si>
    <t>手動復旧への転換を決定記録に反映</t>
  </si>
  <si>
    <t>記録と設計書の記述が一致する</t>
  </si>
  <si>
    <t>§8.8</t>
  </si>
  <si>
    <t>DU-U9I-03</t>
  </si>
  <si>
    <t>管理API・糊付け関数の配信経路</t>
  </si>
  <si>
    <t>2アカウント向けの検証・本番パイプライン</t>
  </si>
  <si>
    <t>認証製品とは別系統で配信でき、障害範囲が分離される</t>
  </si>
  <si>
    <t>禁則が自動検査とレビューで機械強制される。【2026-08-12 監査で追記】社内ネットワーク経路との切替手順を含める</t>
  </si>
  <si>
    <t>DU-U9O-08</t>
  </si>
  <si>
    <t>管理API・影ユーザ制御・伝播関数の監視</t>
  </si>
  <si>
    <t>関数群の計測と警報</t>
  </si>
  <si>
    <t>糊付け部分の異常が検知できる</t>
  </si>
  <si>
    <t>§9.6.4</t>
  </si>
  <si>
    <t>DU-U9O-09</t>
  </si>
  <si>
    <t>管理操作ログの配置・保持の決定</t>
  </si>
  <si>
    <t>ブランド別か中央かの決定</t>
  </si>
  <si>
    <t>★決定が先行。配置と保持年数が確定している</t>
  </si>
  <si>
    <t>🔒 確定（決定先行）</t>
  </si>
  <si>
    <t>§9.3.2 / §9.3.3</t>
  </si>
  <si>
    <t>作成・変更・権限・射影の実体。利用者経路と機械経路で認可を差し替え。【2026-08-12 監査で追記】顧客開示用の監査ログ射影を含める</t>
  </si>
  <si>
    <t>DU-U10-08</t>
  </si>
  <si>
    <t>業務システム移行の並走4段階</t>
  </si>
  <si>
    <t>準備・試行・全社・パスワード無効化の手順書</t>
  </si>
  <si>
    <t>各段階の巻き戻し手段まで手順化されている</t>
  </si>
  <si>
    <t>DU-U10-09</t>
  </si>
  <si>
    <t>業務システム側の緊急用アカウント構成</t>
  </si>
  <si>
    <t>2〜3名分の緊急経路と統制</t>
  </si>
  <si>
    <t>本基盤の障害時も業務システムに入れる</t>
  </si>
  <si>
    <t>DU-U10-10</t>
  </si>
  <si>
    <t>業務システムから他アプリへの貫通</t>
  </si>
  <si>
    <t>機械認証での通行証取得と画面遷移の2フロー</t>
  </si>
  <si>
    <t>業務システムの先のAPIと画面に再ログインなしで到達できる</t>
  </si>
  <si>
    <t>§10.1.7</t>
  </si>
  <si>
    <t>DU-U10-11</t>
  </si>
  <si>
    <t>独自のパスワード方式変換部品</t>
  </si>
  <si>
    <t>旧方式を維持する場合のみ追加</t>
  </si>
  <si>
    <t>旧方式の利用者が再設定なしで移行できる</t>
  </si>
  <si>
    <t>🟡 将来（条件付）</t>
  </si>
  <si>
    <t>§10.4.2</t>
  </si>
  <si>
    <t>出典: doc/basic-design/00b-design-unit-breakdown.md ＋ research/wbs-gap-audit-2026-08-12.md（GAP監査 2026-08-12）。Gitからの派生ビュー（読み取り専用）</t>
  </si>
  <si>
    <t>単元別 4工程内訳（④テストは単元別＋横断で別掲）</t>
  </si>
  <si>
    <t>単元</t>
  </si>
  <si>
    <t>人日（②+③）</t>
  </si>
  <si>
    <t>④テスト</t>
  </si>
  <si>
    <t>横断（負荷試験・災害復旧訓練・疑似攻撃検査）</t>
  </si>
  <si>
    <t>工程4分割の全体像</t>
  </si>
  <si>
    <t>工程</t>
  </si>
  <si>
    <t>人日</t>
  </si>
  <si>
    <t>出典・スコープ</t>
  </si>
  <si>
    <t>① 基本設計クローズ</t>
  </si>
  <si>
    <t>② 詳細設計</t>
  </si>
  <si>
    <t>③ 構築（実装＋単体）</t>
  </si>
  <si>
    <t>④ テスト</t>
  </si>
  <si>
    <t>②＋③＋④（これから作る工数）</t>
  </si>
  <si>
    <t>総計（①含む）</t>
  </si>
  <si>
    <t>重要な注記</t>
  </si>
  <si>
    <t>① GAP 28件の性質</t>
  </si>
  <si>
    <t>新規要件ではなく「既存決定の作業単位化漏れ」。すべて設計書またはADRに決定根拠がある。要件が増えたわけではない</t>
  </si>
  <si>
    <t>② 工数枠の比較不可</t>
  </si>
  <si>
    <t>本表の1,044人日は「詳細設計＋構築」。00a §6の325〜455人日は「構築＋テスト」で詳細設計を含まない。スコープが違うため単純比較・合算はできない</t>
  </si>
  <si>
    <t>③ 見積りの精度</t>
  </si>
  <si>
    <t>S/M/Lから人日への変換バンドは粗く上振れ傾向。ボトムアップ値をそのまま採るか、目標枠に合わせてバンドを縮小するか（例: 600人日台）は未決定でユーザー判断待ち</t>
  </si>
  <si>
    <t>④ 先行判断が必要 1</t>
  </si>
  <si>
    <t>「単一の領域」か「ブランドごとに領域を分ける」か。DU-U2-09 とエッジ側の発行元検証は、現行の単一領域・単一発行元の前提と正面衝突する。今回は1ブランドのため急がないが、方式だけ先に固定しないと将来の移行が発生する</t>
  </si>
  <si>
    <t>⑤ 先行判断が必要 2</t>
  </si>
  <si>
    <t>DU-U9O-09（管理操作ログをブランド別に置くか中央に置くか）も決定が先行する</t>
  </si>
  <si>
    <t>⑥ テストの扱い</t>
  </si>
  <si>
    <t>④テストは各DUに割らず、単元行と横断行で持つ。PoCゲート（①の244人日に含まれる87人日）と重複しないよう調整済み</t>
  </si>
  <si>
    <t>⑦ ①は別枠</t>
  </si>
  <si>
    <t>①基本設計244人日はDUに配分しない横断作業で、大半が進行中または完了。②〜④が新規に発生する工数</t>
  </si>
  <si>
    <t>GAP監査レポート §8 の per-DU 人日 合計1,044 × 40%。IaC・設定・文書系のDUは②と③がほぼ同一作業</t>
  </si>
  <si>
    <t>同 ×60%。独自機能・アプリ系のDUは③が厚め</t>
  </si>
  <si>
    <t>ADR（アーキテクチャ決定記録）一覧 — 全67本</t>
  </si>
  <si>
    <t>出典: doc/adr/00-index.md ＋ 各ADRファイル（commit 9511a58 時点）。Gitからの派生ビュー（読み取り専用）</t>
  </si>
  <si>
    <t>★ADR-061は索引（00-index.md）に未登録。ファイルは存在し内容も確定済みのため、本表では実ファイルから補って収録している（Git側の索引更新を推奨）</t>
  </si>
  <si>
    <t>日付</t>
  </si>
  <si>
    <t>備考・更新履歴</t>
  </si>
  <si>
    <t>ADR-001</t>
  </si>
  <si>
    <t>PoC第1パターンとしてCognitoハイブリッド構成を採用</t>
  </si>
  <si>
    <t>Accepted</t>
  </si>
  <si>
    <t>ADR-002</t>
  </si>
  <si>
    <t>認可方式としてLambda Authorizerを採用</t>
  </si>
  <si>
    <t>ADR-003</t>
  </si>
  <si>
    <t>認証ライブラリとしてoidc-client-tsを採用</t>
  </si>
  <si>
    <t>ADR-004</t>
  </si>
  <si>
    <t>1アカウント2 User Poolでマルチアカウント構成を擬似再現</t>
  </si>
  <si>
    <t>ADR-005</t>
  </si>
  <si>
    <t>共通認証基盤にUser Poolを使用（Identity Poolではない）</t>
  </si>
  <si>
    <t>ADR-006</t>
  </si>
  <si>
    <t>Cognito vs Keycloak コスト損益分岐点の分析</t>
  </si>
  <si>
    <t>Proposed</t>
  </si>
  <si>
    <t>ADR-007</t>
  </si>
  <si>
    <t>大阪リージョンでAuth0 OIDC IdP接続不可の記録</t>
  </si>
  <si>
    <t>ADR-008</t>
  </si>
  <si>
    <t>PoCでKeycloak start-devモードを使用</t>
  </si>
  <si>
    <t>ADR-009</t>
  </si>
  <si>
    <t>MFA責任はパスワード管理側に帰属させる</t>
  </si>
  <si>
    <t>ADR-010</t>
  </si>
  <si>
    <t>Keycloak環境をPrivate Subnet + VPC Endpoint構成へ移行</t>
  </si>
  <si>
    <t>ADR-011</t>
  </si>
  <si>
    <t>認証基盤前段ネットワーク設計の統合判断</t>
  </si>
  <si>
    <t>HTTPS／カスタムドメイン／WAF／CloudFront</t>
  </si>
  <si>
    <t>ADR-012</t>
  </si>
  <si>
    <t>VPC Lambda Authorizer + Internal ALBによる鍵情報のプライベート化</t>
  </si>
  <si>
    <t>ADR-013</t>
  </si>
  <si>
    <t>CloudFront + WAFによるIP制限の置き換え戦略</t>
  </si>
  <si>
    <t>ADR-014</t>
  </si>
  <si>
    <t>共有認証基盤が対応する認証パターンの範囲</t>
  </si>
  <si>
    <t>ADR-015</t>
  </si>
  <si>
    <t>PoCではRHBK検証を実施せず本番設計フェーズへ先送り</t>
  </si>
  <si>
    <t>ADR-016</t>
  </si>
  <si>
    <t>Cognito機能ティアの機能マトリクスと選定基準</t>
  </si>
  <si>
    <t>Lite / Essentials / Plus</t>
  </si>
  <si>
    <t>ADR-017</t>
  </si>
  <si>
    <t>マルチテナントL2（単一領域＋複数IdP）の採用根拠</t>
  </si>
  <si>
    <t>2026-06-11 / 2026-07-23</t>
  </si>
  <si>
    <t>2026-07-23更新: 1000+ IdP条件付き成立・必須対策7点・PoC P-1〜P-7を追記</t>
  </si>
  <si>
    <t>ADR-018</t>
  </si>
  <si>
    <t>利用者識別子3階層戦略（メール非保有＋顧客独自ID対応）</t>
  </si>
  <si>
    <t>ADR-019</t>
  </si>
  <si>
    <t>既存システムからの移行戦略（並走＋キャッシュ移行）</t>
  </si>
  <si>
    <t>ADR-020</t>
  </si>
  <si>
    <t>所属判定のヒントキー戦略＋フェデ/ローカル混在の識別子先行</t>
  </si>
  <si>
    <t>ADR-021</t>
  </si>
  <si>
    <t>ログイン後の着地UX（サービス選択画面＋権限不足画面）</t>
  </si>
  <si>
    <t>ADR-022</t>
  </si>
  <si>
    <t>エッジでの権限不足画面の制御パターン</t>
  </si>
  <si>
    <t>ADR-023</t>
  </si>
  <si>
    <t>業務システム（ServiceNow）連携設計</t>
  </si>
  <si>
    <t>SSO＋プロビジョニング方向の選択</t>
  </si>
  <si>
    <t>ADR-024</t>
  </si>
  <si>
    <t>ログイン画面アーキテクチャとブランディング4パターン</t>
  </si>
  <si>
    <t>ADR-025</t>
  </si>
  <si>
    <t>利用者自動同期の位置づけと受信スタンス</t>
  </si>
  <si>
    <t>2026-07-08 §H追記: 顧客IdPがLDAPの場合の扱い、論点6件、ヒアリングB-LDAP-1〜7を起票</t>
  </si>
  <si>
    <t>ADR-026</t>
  </si>
  <si>
    <t>強度の不整合の具体例とステップアップ設計</t>
  </si>
  <si>
    <t>ADR-027</t>
  </si>
  <si>
    <t>同一顧客内の利用者重複の扱い（7シナリオ＋連携戦略）</t>
  </si>
  <si>
    <t>ADR-028</t>
  </si>
  <si>
    <t>IdPなし顧客のローカル利用者管理 — 4選択肢の比較</t>
  </si>
  <si>
    <t>ADR-029</t>
  </si>
  <si>
    <t>ローカル利用者の定義 — 利用者カテゴリと範囲シナリオ</t>
  </si>
  <si>
    <t>ADR-030</t>
  </si>
  <si>
    <t>最小の通行証項目設計と接続元アプリの表現</t>
  </si>
  <si>
    <t>ADR-031</t>
  </si>
  <si>
    <t>追加確認の実施情報の統合方針</t>
  </si>
  <si>
    <t>ADR-032</t>
  </si>
  <si>
    <t>1000万規模におけるプラットフォーム選定とコスト比較</t>
  </si>
  <si>
    <t>ADR-033</t>
  </si>
  <si>
    <t>2層アーキテクチャ（仲介＋自社受け皿）</t>
  </si>
  <si>
    <t>2026-06-15 / 2026-07-23</t>
  </si>
  <si>
    <t>2026-07-23更新: 別アカウント配置＋2クラスタ凍結＋シャーディング拡張パス</t>
  </si>
  <si>
    <t>ADR-034</t>
  </si>
  <si>
    <t>状況に応じた認証（リスクベース）の設計</t>
  </si>
  <si>
    <t>ADR-035</t>
  </si>
  <si>
    <t>不正検知と対応（ITDR）の設計</t>
  </si>
  <si>
    <t>ADR-036</t>
  </si>
  <si>
    <t>顧客監査対応</t>
  </si>
  <si>
    <t>Scope Reduced</t>
  </si>
  <si>
    <t>2026-06-24縮小: 監査ログ保管＋都度メール対応のみ。情報開示ポータルはスコープ外</t>
  </si>
  <si>
    <t>ADR-037</t>
  </si>
  <si>
    <t>責任分界モデルと軽量な権限管理の設計</t>
  </si>
  <si>
    <t>ADR-038</t>
  </si>
  <si>
    <t>利用者管理画面（顧客テナント管理者向け）</t>
  </si>
  <si>
    <t>ADR-039</t>
  </si>
  <si>
    <t>ネットワーク監査アカウント設計</t>
  </si>
  <si>
    <t>2026-06-23 / 2026-07-23</t>
  </si>
  <si>
    <t>v3 2026-07-23: 当該アカウントが他組織管理と判明し要求仕様化。外部通信の許可申請リスクを追記</t>
  </si>
  <si>
    <t>ADR-040</t>
  </si>
  <si>
    <t>特権管理（一時昇格）</t>
  </si>
  <si>
    <t>Out of Scope</t>
  </si>
  <si>
    <t>2026-06-24: 本基盤対象外、運用体制側で別途検討。管理画面パス保護方針はADR-039/013へ</t>
  </si>
  <si>
    <t>ADR-041</t>
  </si>
  <si>
    <t>実行環境の権限設計</t>
  </si>
  <si>
    <t>2026-07-23更新: 基盤転換に伴い方式を変更</t>
  </si>
  <si>
    <t>ADR-042</t>
  </si>
  <si>
    <t>自動化された攻撃の検知と対策の設計</t>
  </si>
  <si>
    <t>ADR-043</t>
  </si>
  <si>
    <t>アクセシビリティ設計（WCAG 2.2 AA＋JIS準拠）</t>
  </si>
  <si>
    <t>要件側に対応項目が存在しない点は本ブックの「設計→要件」で指摘済み</t>
  </si>
  <si>
    <t>ADR-044</t>
  </si>
  <si>
    <t>机上演習・インシデント訓練の設計</t>
  </si>
  <si>
    <t>ADR-045</t>
  </si>
  <si>
    <t>鍵管理戦略の集約</t>
  </si>
  <si>
    <t>ADR-046</t>
  </si>
  <si>
    <t>供給網セキュリティ</t>
  </si>
  <si>
    <t>ADR-047</t>
  </si>
  <si>
    <t>耐量子暗号への移行計画</t>
  </si>
  <si>
    <t>ADR-048</t>
  </si>
  <si>
    <t>データ可搬性＋データ主体の権利対応</t>
  </si>
  <si>
    <t>ADR-049</t>
  </si>
  <si>
    <t>委託先リスク管理</t>
  </si>
  <si>
    <t>ADR-050</t>
  </si>
  <si>
    <t>モバイルアプリ認証設計</t>
  </si>
  <si>
    <t>ADR-051</t>
  </si>
  <si>
    <t>複数地域での災害復旧・切替の詳細設計</t>
  </si>
  <si>
    <t>2026-07-23更新: 予備地域の対応確認。ただし2026-07-30の手動復旧転換により再改訂が必要（DU-U8-12）</t>
  </si>
  <si>
    <t>ADR-052</t>
  </si>
  <si>
    <t>認証APIへの流量制限</t>
  </si>
  <si>
    <t>2026-06-24縮小: 認証APIのみ。その他はAPIプラットフォーム側</t>
  </si>
  <si>
    <t>ADR-053</t>
  </si>
  <si>
    <t>可観測性戦略</t>
  </si>
  <si>
    <t>ADR-054</t>
  </si>
  <si>
    <t>ID統合戦略</t>
  </si>
  <si>
    <t>現状調査＋人事DBを正＋対応表＋3段階移行</t>
  </si>
  <si>
    <t>ADR-055</t>
  </si>
  <si>
    <t>所属判定の実装方式選定</t>
  </si>
  <si>
    <t>Accepted (Phase 1)</t>
  </si>
  <si>
    <t>今回採用＝独自機能方式。次段階候補＝URL＋エッジ関数の併用</t>
  </si>
  <si>
    <t>ADR-056</t>
  </si>
  <si>
    <t>基盤の採用判断</t>
  </si>
  <si>
    <t>Accepted（条件付き）</t>
  </si>
  <si>
    <t>2026-06-25 / 2026-07-23</t>
  </si>
  <si>
    <t>2026-07-23で決定が逆転。採用条件3点の充足まで条件付き。旧判断は履歴として保存</t>
  </si>
  <si>
    <t>ADR-057</t>
  </si>
  <si>
    <t>偽装リクエスト対策の責任分界と実装パターン</t>
  </si>
  <si>
    <t>3層に分けて整理（基盤UI／認可フロー／アプリAPI）</t>
  </si>
  <si>
    <t>ADR-058</t>
  </si>
  <si>
    <t>認証プラットフォームの代替6パターン比較</t>
  </si>
  <si>
    <t>2系統の独立調査で現行方式の維持を再確認</t>
  </si>
  <si>
    <t>ADR-059</t>
  </si>
  <si>
    <t>認証実装漏れ検知の中央監視アーキテクチャ</t>
  </si>
  <si>
    <t>アプリ台帳＋仕様台帳で全アプリを自動追随</t>
  </si>
  <si>
    <t>ADR-060</t>
  </si>
  <si>
    <t>認証プロトコルの攻撃経路 残課題対応</t>
  </si>
  <si>
    <t>33経路の残課題3領域を統合（ログのマスキング／送信者拘束／状況判定の強化）</t>
  </si>
  <si>
    <t>ADR-061</t>
  </si>
  <si>
    <t>デプロイ検知の巡回型への統一</t>
  </si>
  <si>
    <t>2026-08-06 / 2026-08-07</t>
  </si>
  <si>
    <t>★索引に未登録。改訂で検知対象をコード差分に変更。受容した穴2点（コンソール直変更・未デプロイ時の偽安心）を明記</t>
  </si>
  <si>
    <t>ADR-062</t>
  </si>
  <si>
    <t>管理APIの実行形態＝関数実行</t>
  </si>
  <si>
    <t>2026-08-06 / 2026-08-08</t>
  </si>
  <si>
    <t>認証製品と管理ツールを別障害ドメインに分離。トポロジはADR-063、削除伝播はADR-064</t>
  </si>
  <si>
    <t>ADR-063</t>
  </si>
  <si>
    <t>ブランドユニット・アーキテクチャ</t>
  </si>
  <si>
    <t>仲介は共有1つ、権限系はブランド側へ。不変条件4点を明示。今回は1ブランド</t>
  </si>
  <si>
    <t>削除・停止伝播＝取りこぼし防止方式</t>
  </si>
  <si>
    <t>1トランザクションで記録し必達送信、冪等に影ユーザを無効化。数分で突合</t>
  </si>
  <si>
    <t>取り消し漏れ時間の恒久解。3段階導入。確定はゲートG-SSFと顧客確認B-CAEP-1</t>
  </si>
  <si>
    <t>軽量台帳＋命名規約＋孤立検知＋失効伝播。確定は顧客確認B-NHI-1</t>
  </si>
  <si>
    <t>決定ログと定期棚卸し。確定は顧客確認B-AUTHZLOG-1／B-IGA-REC-1</t>
  </si>
  <si>
    <t>ステータス別</t>
  </si>
  <si>
    <t>2026-03-17</t>
  </si>
  <si>
    <t>2026-03-18</t>
  </si>
  <si>
    <t>2026-03-25</t>
  </si>
  <si>
    <t>2026-03-28</t>
  </si>
  <si>
    <t>2026-04-21</t>
  </si>
  <si>
    <t>2026-04-23</t>
  </si>
  <si>
    <t>2026-04-24</t>
  </si>
  <si>
    <t>2026-05-13</t>
  </si>
  <si>
    <t>2026-06-12</t>
  </si>
  <si>
    <t>2026-06-15</t>
  </si>
  <si>
    <t>2026-06-18</t>
  </si>
  <si>
    <t>2026-06-23</t>
  </si>
  <si>
    <t>2026-06-24</t>
  </si>
  <si>
    <t>2026-06-25</t>
  </si>
  <si>
    <t>2026-07-06</t>
  </si>
  <si>
    <t>2026-07-02</t>
  </si>
  <si>
    <t>2026-07-08</t>
  </si>
  <si>
    <t>2026-08-06</t>
  </si>
  <si>
    <t>2026-08-08</t>
  </si>
  <si>
    <t>2026-08-12</t>
  </si>
  <si>
    <t>将来のブランド拡張に備えてブランドをどの単位で隔離するか（現行の単一領域＋顧客所属のままか、ブランドごとに領域を分けるか）。権限系とID対応表をブランド側に置くか。物理分離をいつ判断するか</t>
  </si>
  <si>
    <t>ブランドユニット・アーキテクチャ（共有の仲介＋ブランド別のバックエンド）</t>
  </si>
  <si>
    <t>ADR-063。仲介は共有1つとし、権限系・ID対応表・射影はブランド側に配置。仲介は権限系を持たない。今回は1ブランドで、物理的なブランド別分割は将来。不変条件4点（識別子はグローバルに安定／ブランド識別子を一級キー／ブランド跨ぎの結合を作らない／仲介は共有関心のみ）。★先行判断=単一領域かブランド別領域かをU2・U6の着手前に確定する必要がある。影響=U2/U3/U6/U9</t>
  </si>
  <si>
    <t>方針は確定済み。ただし着手前の先行判断が残る</t>
  </si>
  <si>
    <t>ブランド隔離の単位</t>
  </si>
  <si>
    <t>P-BRAND-1</t>
  </si>
  <si>
    <t>adr/063-brand-unit-architecture.md</t>
  </si>
  <si>
    <t>管理コントロールプレーン（利用者管理API）をクラスタ常駐にするか関数実行にするか。認証製品の管理APIへの到達方式をどうするか</t>
  </si>
  <si>
    <t>管理APIの実行形態と到達方式</t>
  </si>
  <si>
    <t>ADR-062。管理APIは関数実行で確定。決め手は認証製品（最優先）と管理ツール（次位）を別の障害ドメインに分離すること。入口はAPI入口サービスのネイティブ統合、認証製品の管理APIへは内部限定の接続点（インターネット非露出＋通信元をSG限定＋通信暗号化＋アプリ層認証）。ブランド側を主役とし、中央には影ユーザ制御のみを置く（ADR-063）。残論点=内部接続点の証明書基盤、最小権限クライアント、起動遅延の緩和。影響=U6/U7/U9/U10</t>
  </si>
  <si>
    <t>方針は確定済み。実装面の残論点3点あり</t>
  </si>
  <si>
    <t>管理コントロールプレーン</t>
  </si>
  <si>
    <t>D-IDMAPI-1</t>
  </si>
  <si>
    <t>adr/062-idm-api-execution-form-lambda.md</t>
  </si>
  <si>
    <t>利用者の無効化（削除）を仲介側の影ユーザへどう確実に伝播させるか。再有効化も同じ確実さで対称に扱うか</t>
  </si>
  <si>
    <t>無効化の影ユーザへの確実な伝播</t>
  </si>
  <si>
    <t>ADR-064。自社受け皿側の停止処理をトリガーに、同一トランザクションで送信記録を書き、必達の中継を経て中央の影ユーザ制御が仲介側を無効化する（無効化＋発行時刻以前の無効化＋セッション取消）。数分間隔で突合。再有効化も対称に扱う（復活すれば影ユーザも有効化）。顧客側ID基盤の利用者は自動同期の削除要求または90日休眠バッチで処理。今回は停止処理までで、物理削除は次段階。影響=U3/U8/U9</t>
  </si>
  <si>
    <t>削除・停止の伝播</t>
  </si>
  <si>
    <t>D-DEPROV-1</t>
  </si>
  <si>
    <t>adr/064-deprovisioning-propagation-outbox.md</t>
  </si>
  <si>
    <t>ブランド分離のもとで、管理操作（書込・削除・権限変更）の監査ログをブランドごとに持つか中央の監査アカウントに集約するか。保持年数をどうするか</t>
  </si>
  <si>
    <t>ブランド分離下の管理操作監査ログの配置と保持</t>
  </si>
  <si>
    <t>作業単位はDU-U9O-09。中央の監査アカウントへの集約と改ざん不能な7年保管は既に決定済み。ブランド分離下での管理APIの操作ログをブランド別に持つか中央に集約するか、およびその保持年数が決定先行。ブランド別にする場合は越境ゼロを担保する必要がある。関連=認可判定ログの決定、ADR-063</t>
  </si>
  <si>
    <t>顧客・監査人の要求水準の確認待ち</t>
  </si>
  <si>
    <t>管理操作ログ</t>
  </si>
  <si>
    <t>B-AUDITLOG-BRAND-1</t>
  </si>
  <si>
    <t>09-operations-observability-design.md / adr/063</t>
  </si>
  <si>
    <t>検討3人日。包含=O-12（U6 §6.3.2）, U5 §5.8。【2026-08 決定を反映】実行形態＝関数実行（ADR-062）、ブランド側を主役とする入口構成（ADR-063）が確定。残論点＝アカウント跨ぎのイベント（削除伝播・初回識別子通知）のサービス間認可の再定義</t>
  </si>
  <si>
    <t>Should｜Cognito=AdminDeleteUser / Keycloak=Cascade Delete。PoC未検証。【2026-08 決定を反映】削除の伝播は取りこぼし防止方式で必達（ADR-064、D-DEPROV-1）。再有効化も対称に扱う</t>
  </si>
  <si>
    <t>(TBD)｜Cognito=AdminDeleteUser / Keycloak=Cascade Delete。基本設計は3段階削除。【2026-08 決定を反映】削除の伝播は取りこぼし防止方式で必達（ADR-064、D-DEPROV-1）。再有効化も対称に扱う</t>
  </si>
  <si>
    <t>検討4人日。削除連鎖=L1 Soft Delete→SAML拒否でL2遮断・sys_user残置。依存=B-SN群（暫定で骨子可）。包含=U10 §10.4, D-U10-06, B-SN-9/10/18/19。【2026-08 決定を反映】削除の伝播は取りこぼし防止方式で必達（ADR-064、D-DEPROV-1）。再有効化も対称に扱う</t>
  </si>
  <si>
    <t>方針は確定済み。サービス間認可の再定義が残る</t>
  </si>
  <si>
    <t>機能要件91＋非機能要件88＋顧客確認16。残りは主に顧客ヒアリング回答待ち</t>
  </si>
  <si>
    <t>前提21＋検証ゲート11＋設計タスク59。基本設計を閉じるまでの残作業</t>
  </si>
  <si>
    <t>WBS ① 基本設計クローズ — 244人日</t>
  </si>
  <si>
    <t>出典: doc/basic-design/00a-remaining-tasks-and-effort.md §1〜§4（クラスタA〜Gのタスクと人日）＋ 進捗一覧の設計タスク59・検証ゲート11・顧客確認16行。Gitからの派生ビュー（読み取り専用）</t>
  </si>
  <si>
    <t>★律速は工数ではなく外部リードタイム（他組織の回答・顧客ヒアリング・製品ベンダーとのデータ処理契約）。人日を並列投入しても待ち時間は縮まらない。検証ゲート11件と顧客確認16件はクラスタA・Fの入力であり二重計上しないため人日は計上しない</t>
  </si>
  <si>
    <t>クラスタ</t>
  </si>
  <si>
    <t>タスク名</t>
  </si>
  <si>
    <t>主要成果物・内容</t>
  </si>
  <si>
    <t>依存・包含ID・補足</t>
  </si>
  <si>
    <t>状況</t>
  </si>
  <si>
    <t>調査</t>
  </si>
  <si>
    <t>検討</t>
  </si>
  <si>
    <t>検討8人日。2026-07-30 G-EDGE-DR受け（P-05/P-15転換）。①リージョン災害→大阪でROSA再構築+データリストア ②論理破壊（IdPデータ破壊・誤削除・ランサム）→PITR/イミュータブルスナップショットからその場リストア。データ保全=Aurora自動バックアップ+PITR+定期スナップショット（大阪クロスリージョンコピー）+イミュータブルスナップショット（AWS Backup Vault Lock Compliance mode or 別Acctコピーで削除権限分離）。大阪再構築Runbook+リストアRunbook（RB-DR改訂）+U6大阪常時コスト削除。エッジ自動切替（REQ-DR-01/02）撤回</t>
  </si>
  <si>
    <t>調査＋検討</t>
  </si>
  <si>
    <t>（検証ゲート）</t>
  </si>
  <si>
    <t>実測ゲート</t>
  </si>
  <si>
    <t>クラスタAのPoC実測に含む（人日は二重計上しない）</t>
  </si>
  <si>
    <t>（顧客確認）</t>
  </si>
  <si>
    <t>クラスタFの質問状パッケージに含む（人日は二重計上しない）</t>
  </si>
  <si>
    <t>クラスタ別 小計</t>
  </si>
  <si>
    <t>タスク数</t>
  </si>
  <si>
    <t>個票の積み上げ</t>
  </si>
  <si>
    <t>00a §1の小計</t>
  </si>
  <si>
    <t>差分</t>
  </si>
  <si>
    <t>小計</t>
  </si>
  <si>
    <t>人日の差分について</t>
  </si>
  <si>
    <t>Gの差分20</t>
  </si>
  <si>
    <t>✓ 説明可。G-2（手順書の残り23冊、20人日）は00aで「総計外・稼働開始後3ヶ月以内で可」と明記されているため、244人日には含まれない</t>
  </si>
  <si>
    <t>B・D・F の差分計6</t>
  </si>
  <si>
    <t>⚠ 出典側の不整合。B：個票の積上で24（§2の見出しも「検計24人日」）なのに§1の小計は22。D：積上で53に対し小計50。F：積上で14に対し小計13。いずれもExcel側の転記ミスではなく00aの§1と§2の間の齟齬。どちらを正とするかGit側での確認を推奨</t>
  </si>
  <si>
    <t>本シートの扱い</t>
  </si>
  <si>
    <t>工程別総額は00a §1の公式値である244人日を採用する（ダッシュボードも244）。個票の積上げは参考値として併記し、差分を隠さない</t>
  </si>
  <si>
    <t>テスト項目</t>
  </si>
  <si>
    <t>DU-U5-02/03/06 の完了、ゲート G-SSF</t>
  </si>
  <si>
    <t>DU-U3-04、DU-U10-02 の完了</t>
  </si>
  <si>
    <t>項目数</t>
  </si>
  <si>
    <t>WBS ②詳細設計 ＋ ③構築 — 1,044人日（DU 103件）</t>
  </si>
  <si>
    <t>00a §1-4（調査97＋検討147）。別シート「WBS(基本設計)」に明細86行。DUに配分しない横断作業</t>
  </si>
  <si>
    <t>工程別の工数（3つのWBSシートの合計）</t>
  </si>
  <si>
    <t>明細シート</t>
  </si>
  <si>
    <t>スコープ</t>
  </si>
  <si>
    <t>WBS(基本設計)</t>
  </si>
  <si>
    <t>設計を閉じるための調査・検討。DUに配分しない横断作業で大半が進行中</t>
  </si>
  <si>
    <t>WBS(詳細設計_製造)</t>
  </si>
  <si>
    <t>DU単位。1,044×40%。コード管理・設定・文書系は③とほぼ同一作業</t>
  </si>
  <si>
    <t>DU単位。1,044×60%。独自機能・アプリ系は③が厚め</t>
  </si>
  <si>
    <t>WBS(テスト)</t>
  </si>
  <si>
    <t>WBS ④ テスト — 363人日（43項目・精緻化版）</t>
  </si>
  <si>
    <t>出典: doc/basic-design/research/wbs-gap-audit-2026-08-12.md §10「テスト WBS 精緻化」（2026-08-12 確定）。Gitからの派生ビュー（読み取り専用）</t>
  </si>
  <si>
    <t>スコープ＝フルスコープ（結合・E2E・実機統合・負荷・災害復旧・セキュリティ・運用・受入。単体テストは③構築に含む）。PoCゲートと重複する分もフル再計上（本番前に満額実施）。各人日はテスト設計＋データ・環境準備＋実行＋欠陥対応と再テスト＋報告を含む（±40%込み）。旧版200人日から上方修正</t>
  </si>
  <si>
    <t>対象単元／DU</t>
  </si>
  <si>
    <t>前提（PoCゲート・環境・実機・外部依存）</t>
  </si>
  <si>
    <t>A 結合</t>
  </si>
  <si>
    <t>IT-01</t>
  </si>
  <si>
    <t>管理API ↔ 認証製品の管理API（内部接続点・通信暗号化・最小権限クライアント×2アカウント）</t>
  </si>
  <si>
    <t>U10 / U6 / DU-U10-02, DU-U6-11, DU-U7-15</t>
  </si>
  <si>
    <t>DU-U6-11（証明書基盤）とDU-U7-15の完了</t>
  </si>
  <si>
    <t>未着手（詳細設計後）</t>
  </si>
  <si>
    <t>IT-02</t>
  </si>
  <si>
    <t>利用者自動同期の受け口 ↔ 認証製品（属性写像・正準化・停止処理への写像）</t>
  </si>
  <si>
    <t>U3 / DU-U3-03, DU-U3-11</t>
  </si>
  <si>
    <t>DU-U3-03/11 の完了</t>
  </si>
  <si>
    <t>IT-03</t>
  </si>
  <si>
    <t>削除の取りこぼし防止 ↔ 影ユーザ制御（同一トランザクション・必達・冪等・突合）</t>
  </si>
  <si>
    <t>U3 / DU-U3-05, DU-U3-09</t>
  </si>
  <si>
    <t>DU-U3-05/09 の完了</t>
  </si>
  <si>
    <t>IT-04</t>
  </si>
  <si>
    <t>アカウント跨ぎのイベント（初回識別子通知・削除、2アカウント・少なくとも1回配信）</t>
  </si>
  <si>
    <t>U6 / U3 / DU-U6-01, DU-U3-10</t>
  </si>
  <si>
    <t>DU-U6-01（越境8経路）とDU-U3-10 の完了</t>
  </si>
  <si>
    <t>IT-05</t>
  </si>
  <si>
    <t>射影フィード ↔ 本人向け文脈取得（3書込経路・冪等・版管理）</t>
  </si>
  <si>
    <t>U3 / DU-U3-04</t>
  </si>
  <si>
    <t>DU-U3-04 の完了</t>
  </si>
  <si>
    <t>IT-06</t>
  </si>
  <si>
    <t>仲介 ↔ 自社受け皿のフェデレーション（私設経路・鍵情報・利用者情報・サーバ間ログアウト）</t>
  </si>
  <si>
    <t>U2 / DU-U2-02, DU-U2-10</t>
  </si>
  <si>
    <t>DU-U2-02/10 とDU-U6-05 の完了</t>
  </si>
  <si>
    <t>IT-07</t>
  </si>
  <si>
    <t>権限DB・ID対応表 ↔ 管理API（ブランド識別子・ブランド跨ぎ結合の不能性）</t>
  </si>
  <si>
    <t>U3 / U6 / DU-U3-01, DU-U6-03</t>
  </si>
  <si>
    <t>DU-U3-01（不変条件4点）の完了</t>
  </si>
  <si>
    <t>B E2E</t>
  </si>
  <si>
    <t>ST-01</t>
  </si>
  <si>
    <t>認証コア（ローカル認証・識別子先行の所属判定・初回連携・連携後・操作単位の再認証）</t>
  </si>
  <si>
    <t>U2 / U4 / DU-U2-03, DU-U4-01</t>
  </si>
  <si>
    <t>DU-U2-03/04、DU-U4-01 の完了</t>
  </si>
  <si>
    <t>ST-02</t>
  </si>
  <si>
    <t>追加確認と復旧（認証アプリ・パスキー・認証器のみ・予備コード・メール非保有・登録の乗っ取り対策）</t>
  </si>
  <si>
    <t>U4 / DU-U4-03, DU-U4-10, DU-U4-11</t>
  </si>
  <si>
    <t>DU-U4-03/10/11 の完了</t>
  </si>
  <si>
    <t>ST-03</t>
  </si>
  <si>
    <t>プロビジョニング（初回自動作成3系統・自動同期2方向・属性正準化・混在6ケース）</t>
  </si>
  <si>
    <t>U3 / DU-U3-02, DU-U3-03</t>
  </si>
  <si>
    <t>DU-U3-02/03/11 の完了</t>
  </si>
  <si>
    <t>ST-04</t>
  </si>
  <si>
    <t>ライフサイクル（停止処理・再有効化の対称性・90日バッチ・3段階削除）</t>
  </si>
  <si>
    <t>U3 / DU-U3-06, DU-U3-08, DU-U3-09</t>
  </si>
  <si>
    <t>DU-U3-06/08/09 の完了</t>
  </si>
  <si>
    <t>ST-05</t>
  </si>
  <si>
    <t>通行証・セッション・ログアウト（有効期限・更新方式・サーバ間通知・失効・引き換え・継続アクセス評価）</t>
  </si>
  <si>
    <t>U5 / DU-U5-01〜03, DU-U5-06</t>
  </si>
  <si>
    <t>ST-06</t>
  </si>
  <si>
    <t>認可（本人向け文脈取得・利用可否・機能ロール・所属分離）</t>
  </si>
  <si>
    <t>U5 / U10 / DU-U5-04, DU-U10-02</t>
  </si>
  <si>
    <t>ST-07</t>
  </si>
  <si>
    <t>管理コントロールプレーン（作成変更削除・権限編集・招待・パスワードリセット・監査・3層権限）</t>
  </si>
  <si>
    <t>U10 / DU-U10-02</t>
  </si>
  <si>
    <t>DU-U10-02 の完了</t>
  </si>
  <si>
    <t>ST-08</t>
  </si>
  <si>
    <t>所属判定とUX（識別子先行・失敗時の降格・ブランド別テーマ・多言語）</t>
  </si>
  <si>
    <t>U4 / DU-U4-01, DU-U4-02, DU-U4-07</t>
  </si>
  <si>
    <t>DU-U4-01/02/07 の完了</t>
  </si>
  <si>
    <t>ST-09</t>
  </si>
  <si>
    <t>着地画面・権限不足画面（許可サービス一覧・403からの誘導）</t>
  </si>
  <si>
    <t>U4 / DU-U4-04, DU-U4-05</t>
  </si>
  <si>
    <t>DU-U4-04/05、DU-U10-10 の完了</t>
  </si>
  <si>
    <t>C 実機</t>
  </si>
  <si>
    <t>RI-01</t>
  </si>
  <si>
    <t>商用ID基盤の実機検証 Microsoft（旧来方式・OIDC・受け取る情報・証明書・発行元と使い捨て値）</t>
  </si>
  <si>
    <t>U2 / DU-U2-02, DU-U2-07</t>
  </si>
  <si>
    <t>★商用ID基盤の試用環境の確保が前提（顧客確認 B-SCIM-14 連動）。費用・調達別</t>
  </si>
  <si>
    <t>RI-02</t>
  </si>
  <si>
    <t>商用ID基盤の実機検証 Okta（差分の洗い出し）</t>
  </si>
  <si>
    <t>U2 / DU-U2-02</t>
  </si>
  <si>
    <t>★同上。試用環境の確保待ち</t>
  </si>
  <si>
    <t>RI-03</t>
  </si>
  <si>
    <t>業務システムの実機検証（旧来方式の初回自動作成・内部ID保全・削除連鎖・他アプリへの貫通・緊急用アカウント）</t>
  </si>
  <si>
    <t>U10 / DU-U10-01, DU-U10-08〜10</t>
  </si>
  <si>
    <t>★業務システム実機の確保が前提。顧客側の変更管理の枠取りも必要</t>
  </si>
  <si>
    <t>RI-04</t>
  </si>
  <si>
    <t>顧客側からの自動同期の実機検証（各社から受け口への押し出し・検証ツール）</t>
  </si>
  <si>
    <t>U3 / DU-U3-03</t>
  </si>
  <si>
    <t>★商用ID基盤の試用環境の確保が前提。ゲート G-SCIM と連動</t>
  </si>
  <si>
    <t>D 負荷</t>
  </si>
  <si>
    <t>PT-01</t>
  </si>
  <si>
    <t>認証負荷（1000万規模：ログインと通行証検証の応答時間、毎秒1000件超、比率70/30）</t>
  </si>
  <si>
    <t>横断 / DU-U6-02</t>
  </si>
  <si>
    <t>ゲート G-IdP-Scale、1000万件の合成データ、テスト環境の確保（環境費別）</t>
  </si>
  <si>
    <t>PT-02</t>
  </si>
  <si>
    <t>接続先スケール（1000／2000件：所属判定からフェデまでの応答時間が基準値比+10%以内、キャッシュ、再起動）</t>
  </si>
  <si>
    <t>横断 / U2 / DU-U2-08</t>
  </si>
  <si>
    <t>ゲート G-IdP-Scale、合成データセット、テスト環境</t>
  </si>
  <si>
    <t>PT-03</t>
  </si>
  <si>
    <t>自動同期・射影のスケール（500／1000顧客の識別子検索、一括5万件、読取の応答時間）</t>
  </si>
  <si>
    <t>U3 / DU-U3-03, DU-U3-04</t>
  </si>
  <si>
    <t>ゲート G-SCIM、同一データセットでの併走</t>
  </si>
  <si>
    <t>PT-04</t>
  </si>
  <si>
    <t>データベース負荷（接続プールの予算、書込側の負荷、接続の飽和）</t>
  </si>
  <si>
    <t>U6 / DU-U6-03, DU-U6-08</t>
  </si>
  <si>
    <t>テスト環境。PT-01と相乗り可</t>
  </si>
  <si>
    <t>PT-05</t>
  </si>
  <si>
    <t>独自機能の高負荷耐久（4機能・所属判定の高頻度）</t>
  </si>
  <si>
    <t>U2 / DU-U2-04</t>
  </si>
  <si>
    <t>ゲート G-SPI-Compat の通過後。PT-01環境に相乗り可</t>
  </si>
  <si>
    <t>PT-06</t>
  </si>
  <si>
    <t>バッチ性能（90日休眠バッチ1000万件・移行の一括投入）</t>
  </si>
  <si>
    <t>U3 / U10 / DU-U3-08, DU-U10-04</t>
  </si>
  <si>
    <t>テスト環境、合成データ</t>
  </si>
  <si>
    <t>E 災害復旧</t>
  </si>
  <si>
    <t>DR-01</t>
  </si>
  <si>
    <t>復旧訓練 上期（予備地域でのコールド再構築、目標約14日、成立条件5点）</t>
  </si>
  <si>
    <t>U8 / DU-U8-02, DU-U8-04</t>
  </si>
  <si>
    <t>予備地域の一時的な構築、他組織の参加、環境費別</t>
  </si>
  <si>
    <t>DR-02</t>
  </si>
  <si>
    <t>復旧訓練 下期（時点復元・論理破壊・変更不能な控え）</t>
  </si>
  <si>
    <t>U8 / DU-U8-03, DU-U8-04</t>
  </si>
  <si>
    <t>時点復元と変更不能な控えの環境</t>
  </si>
  <si>
    <t>DR-03</t>
  </si>
  <si>
    <t>地域内の可用性（データベース切替1分未満・ノード退避・同時停止許容・順次再起動）</t>
  </si>
  <si>
    <t>U8 / DU-U8-06, DU-U8-07, DU-U8-08</t>
  </si>
  <si>
    <t>テスト環境</t>
  </si>
  <si>
    <t>DR-04</t>
  </si>
  <si>
    <t>取りこぼし防止と射影の切替整合（切替時に重複も欠落もなく1回・未送信分の昇格）</t>
  </si>
  <si>
    <t>U8 / U3 / DU-U8-11</t>
  </si>
  <si>
    <t>DU-U8-11 の完了、切替可能な環境</t>
  </si>
  <si>
    <t>DR-05</t>
  </si>
  <si>
    <t>ブランド側の災害復旧（権限DB・ID対応表・射影の時点復元と予備地域）</t>
  </si>
  <si>
    <t>U8 / DU-U8-10</t>
  </si>
  <si>
    <t>DU-U8-10 の完了</t>
  </si>
  <si>
    <t>F セキュリティ</t>
  </si>
  <si>
    <t>SEC-01</t>
  </si>
  <si>
    <t>疑似攻撃検査（攻撃経路33・旧来方式とOIDC・認可のすり抜け・所属越境）</t>
  </si>
  <si>
    <t>U7 / DU-U7-03, DU-U7-09</t>
  </si>
  <si>
    <t>★外部ベンダーへの委託（費用・スケジュール別）。頻度と実施者が未確定（顧客確認）</t>
  </si>
  <si>
    <t>SEC-02</t>
  </si>
  <si>
    <t>署名鍵悪用の検知と不正検知（4シグナル・漏洩パスワード照合・総当たり検知の発火検証）</t>
  </si>
  <si>
    <t>U7 / DU-U7-03</t>
  </si>
  <si>
    <t>DU-U7-03 の完了</t>
  </si>
  <si>
    <t>SEC-03</t>
  </si>
  <si>
    <t>鍵と秘密情報（職務分離・署名鍵の入れ替え・秘密情報の入れ替え・緊急用アカウント）</t>
  </si>
  <si>
    <t>U7 / DU-U7-01, DU-U7-02, DU-U7-12</t>
  </si>
  <si>
    <t>DU-U7-01/02/12 の完了</t>
  </si>
  <si>
    <t>SEC-04</t>
  </si>
  <si>
    <t>供給網（脆弱性検査・署名検証・部品表・未検証イメージの遮断）</t>
  </si>
  <si>
    <t>U7 / U9 / DU-U7-13</t>
  </si>
  <si>
    <t>DU-U7-13、DU-U9I-02 の完了</t>
  </si>
  <si>
    <t>SEC-05</t>
  </si>
  <si>
    <t>偽装リクエスト対策・通行証の境界・送信者拘束の準備検証</t>
  </si>
  <si>
    <t>U5 / U7 / DU-U5-07, DU-U5-08</t>
  </si>
  <si>
    <t>DU-U5-07 の完了</t>
  </si>
  <si>
    <t>G 運用</t>
  </si>
  <si>
    <t>OP-01</t>
  </si>
  <si>
    <t>監視とアラート（内部目標・消費速度・関数群の監視・ダッシュボード・系列数）</t>
  </si>
  <si>
    <t>U9 / DU-U9O-01, DU-U9O-08, DU-U8-01</t>
  </si>
  <si>
    <t>DU-U9O-01/08、DU-U8-01 の完了</t>
  </si>
  <si>
    <t>OP-02</t>
  </si>
  <si>
    <t>手順書リハーサル（必須13冊の手順実証・禁則の機械強制）</t>
  </si>
  <si>
    <t>U9 / DU-U9O-03</t>
  </si>
  <si>
    <t>DU-U9O-03 の完了</t>
  </si>
  <si>
    <t>OP-03</t>
  </si>
  <si>
    <t>顧客追加パイプライン（6ステップ・証明書の入れ替え・外部通信の許可申請）</t>
  </si>
  <si>
    <t>U9 / DU-U9O-04</t>
  </si>
  <si>
    <t>DU-U9O-04 の完了、ゲート G-EGRESS の合意</t>
  </si>
  <si>
    <t>OP-04</t>
  </si>
  <si>
    <t>ログと監査（3層・マスキング・監視製品連携・監査スキャン・認可判定ログ）</t>
  </si>
  <si>
    <t>U9 / DU-U9O-02, DU-U9O-06</t>
  </si>
  <si>
    <t>DU-U9O-02/06 の完了</t>
  </si>
  <si>
    <t>H 受入</t>
  </si>
  <si>
    <t>UAT-01</t>
  </si>
  <si>
    <t>顧客テナント管理者の受入（管理画面の代表シナリオ・権限・監査）</t>
  </si>
  <si>
    <t>U10 / U4 / DU-U10-02</t>
  </si>
  <si>
    <t>顧客側の受入担当者の確保。代表テナントの選定</t>
  </si>
  <si>
    <t>UAT-02</t>
  </si>
  <si>
    <t>エンド利用者の受入（ログイン・追加確認・復旧・複数アプリの使い回し）</t>
  </si>
  <si>
    <t>U2 / U4 / U5</t>
  </si>
  <si>
    <t>顧客側の受入担当者の確保</t>
  </si>
  <si>
    <t>UAT-03</t>
  </si>
  <si>
    <t>顧客連携の受入（ID基盤接続・自動同期・業務システム、代表テナント）</t>
  </si>
  <si>
    <t>U3 / U10</t>
  </si>
  <si>
    <t>代表テナントの実機環境。RI-01〜04の完了後</t>
  </si>
  <si>
    <t>G-SPI-Compat（RHBK 26.4 × Custom SPI 4機能 + HRD Flow配置 + storeToken=false×id_token_hint + 属性ポリシー + Micrometer計装）</t>
    <phoneticPr fontId="2"/>
  </si>
  <si>
    <t>区分小計</t>
  </si>
  <si>
    <t>人日（積み上げ）</t>
  </si>
  <si>
    <t>§10の小計</t>
  </si>
  <si>
    <t>結合・E2E・実機統合・負荷・災害復旧・セキュリティ・運用・受入のフルスコープ。PoCゲートと重複する分もフル再計上（旧200から上方修正）</t>
  </si>
  <si>
    <t>★注意: 00a §6 の「構築＋テスト 325〜455人日」は詳細設計を含まない別スコープの見積り。上記の1,651人日とは別系統のため、二重に足さないこと（比較する場合はどちらか一方に寄せる）</t>
  </si>
  <si>
    <t>→</t>
  </si>
  <si>
    <t>小計（②＋③）</t>
  </si>
  <si>
    <t>★④テストは単元別に按分せず、別シート「WBS(テスト)」で43項目・363人日として管理する。§9の単元別④（合計200）は精緻化前の値のため本表では持たない</t>
  </si>
  <si>
    <t>別シート「WBS(テスト)」に明細43項目。フルスコープでPoCゲートともフル再計上（§10で200→363に上方修正）</t>
  </si>
  <si>
    <t>1 DU = 1チームが1〜数スプリントで着手・完了を判定できる作業単位。人日は詳細設計＋構築の合算（バンド S≒3-5／M≒8-12／L≒15-25、±40%バッファ込み）。②詳細設計＝人日×0.40／③構築＝人日×0.60。★④テスト363人日は別シート「WBS(テスト)」、①基本設計244人日は別シート「WBS(基本設計)」</t>
  </si>
  <si>
    <t>G-IdP-Scale実測PoC（1000/2000 IdP+Org投入・認証p99・Admin応答・キャッシュメモリ/ウォームアップ・Terraform plan分割閾値・パッチ回帰）</t>
    <phoneticPr fontId="2"/>
  </si>
  <si>
    <t>7点検証＋重要APIのチャレンジ＋管理系のセッション上限が成立</t>
    <phoneticPr fontId="2"/>
  </si>
  <si>
    <t>ID/PW認証（ローカルユーザー）</t>
    <phoneticPr fontId="2"/>
  </si>
  <si>
    <t>スマホアプリや画面だけで動くWebアプリから安全にログインさせる標準方式を採用するか</t>
    <phoneticPr fontId="2"/>
  </si>
  <si>
    <t>Authorization Code + PKCE（SPA/モバイル）</t>
    <phoneticPr fontId="2"/>
  </si>
  <si>
    <t>Authorization Code + client_secret（SSR）</t>
    <phoneticPr fontId="2"/>
  </si>
  <si>
    <t>人を介さないシステム同士の通信で、機械が自分の身元を証明する仕組みを用意するか</t>
    <phoneticPr fontId="2"/>
  </si>
  <si>
    <t>Client Credentials（M2M）</t>
    <phoneticPr fontId="2"/>
  </si>
  <si>
    <t>Token Exchange（RFC 8693）</t>
    <phoneticPr fontId="2"/>
  </si>
  <si>
    <t>更新メモ</t>
    <rPh sb="0" eb="2">
      <t>コウシn</t>
    </rPh>
    <phoneticPr fontId="2"/>
  </si>
  <si>
    <t>ローカルユーザーにIDとパスワードでのログインを認めるか。</t>
    <phoneticPr fontId="2"/>
  </si>
  <si>
    <t>OK</t>
    <phoneticPr fontId="2"/>
  </si>
  <si>
    <t>できるので確定とする</t>
    <rPh sb="5" eb="7">
      <t>カクテイ</t>
    </rPh>
    <phoneticPr fontId="2"/>
  </si>
  <si>
    <t>スコープ外とする（本認証基盤ではなくアプリで実施）</t>
    <rPh sb="4" eb="5">
      <t xml:space="preserve">ガイ </t>
    </rPh>
    <rPh sb="12" eb="14">
      <t>ホンニンショウ</t>
    </rPh>
    <phoneticPr fontId="2"/>
  </si>
  <si>
    <t>ヒアリングが必要（アプリチームに対して）</t>
    <phoneticPr fontId="2"/>
  </si>
  <si>
    <t>不要</t>
    <rPh sb="0" eb="2">
      <t>フヨウ</t>
    </rPh>
    <phoneticPr fontId="2"/>
  </si>
  <si>
    <t>決まってるのでOK</t>
    <rPh sb="0" eb="1">
      <t>キマッテ</t>
    </rPh>
    <phoneticPr fontId="2"/>
  </si>
  <si>
    <t>ヒアリングが必要（顧客に対して）</t>
  </si>
  <si>
    <t>ヒアリングが必要（顧客に対して）</t>
    <rPh sb="9" eb="11">
      <t>コキャク</t>
    </rPh>
    <phoneticPr fontId="2"/>
  </si>
  <si>
    <t>ヒアリングが必要（顧客に対して）</t>
    <phoneticPr fontId="2"/>
  </si>
  <si>
    <t>別途資料で説明してヒアリング</t>
  </si>
  <si>
    <t>不要で確定</t>
    <rPh sb="0" eb="2">
      <t>フヨウ</t>
    </rPh>
    <phoneticPr fontId="2"/>
  </si>
  <si>
    <t>ヒアリングが必要（顧客に対して）</t>
    <rPh sb="5" eb="7">
      <t>トウゴウ</t>
    </rPh>
    <phoneticPr fontId="2"/>
  </si>
  <si>
    <t>JITとSCIM併用（意図が違ったら指摘して）</t>
    <rPh sb="8" eb="10">
      <t>ヘイヨウ</t>
    </rPh>
    <rPh sb="11" eb="13">
      <t>イトガチガテ</t>
    </rPh>
    <phoneticPr fontId="2"/>
  </si>
  <si>
    <t>統一JWTの形式の話であればようヒアリング</t>
    <rPh sb="0" eb="2">
      <t>トウイテゥ</t>
    </rPh>
    <rPh sb="6" eb="8">
      <t>ノケイシキ</t>
    </rPh>
    <phoneticPr fontId="2"/>
  </si>
  <si>
    <t>Must｜Cognito=個別実装 / Keycloak=Conditional OTP。PoC Phase 7（Keycloakのみ）。MFA責務は外部IdP側に寄せる方針(ADR-009)</t>
    <phoneticPr fontId="2"/>
  </si>
  <si>
    <t>OKで確定</t>
    <phoneticPr fontId="2"/>
  </si>
  <si>
    <t>不要で確定</t>
    <rPh sb="0" eb="2">
      <t>フヨウ</t>
    </rPh>
    <rPh sb="3" eb="4">
      <t>カクテイ</t>
    </rPh>
    <phoneticPr fontId="2"/>
  </si>
  <si>
    <t>必要</t>
    <rPh sb="0" eb="2">
      <t>ヒツヨウ</t>
    </rPh>
    <phoneticPr fontId="2"/>
  </si>
  <si>
    <t>確定</t>
    <rPh sb="0" eb="2">
      <t>カクテイ</t>
    </rPh>
    <phoneticPr fontId="2"/>
  </si>
  <si>
    <t>何言ってるか解説して</t>
    <rPh sb="0" eb="2">
      <t>ナニイテ</t>
    </rPh>
    <phoneticPr fontId="2"/>
  </si>
  <si>
    <t>あったとしてもアプリが判断するので対応しない</t>
    <rPh sb="11" eb="13">
      <t>ハンダn</t>
    </rPh>
    <rPh sb="17" eb="19">
      <t>タイオウ</t>
    </rPh>
    <phoneticPr fontId="2"/>
  </si>
  <si>
    <t>役割分担で決定するが未定</t>
    <rPh sb="2" eb="4">
      <t>ヤクワリ</t>
    </rPh>
    <phoneticPr fontId="2"/>
  </si>
  <si>
    <t>無効化するはずなのでその復旧をすればいい認識</t>
    <rPh sb="12" eb="14">
      <t>ムコウ</t>
    </rPh>
    <phoneticPr fontId="2"/>
  </si>
  <si>
    <t>あるで確定</t>
    <phoneticPr fontId="2"/>
  </si>
  <si>
    <t>SCIMとJIT併用で決定</t>
    <rPh sb="8" eb="10">
      <t>ヘイヨウ</t>
    </rPh>
    <phoneticPr fontId="2"/>
  </si>
  <si>
    <t>これで良い</t>
    <phoneticPr fontId="2"/>
  </si>
  <si>
    <t>Must｜Cognito=AWS Console / Keycloak=Admin Console。PoC Phase 6検証済</t>
    <phoneticPr fontId="2"/>
  </si>
  <si>
    <t>Must｜両者Console/Terraform対応。PoC Phase 2,5,7検証済</t>
    <phoneticPr fontId="2"/>
  </si>
  <si>
    <t>Must｜Cognito=App Client / Keycloak=Client。PoC検証済</t>
    <phoneticPr fontId="2"/>
  </si>
  <si>
    <t>Realm分離はしない。Organizationsで分離</t>
    <rPh sb="5" eb="7">
      <t>ブンリ</t>
    </rPh>
    <phoneticPr fontId="2"/>
  </si>
  <si>
    <t>管理画面の操作権限をどこまで分ける必要があるか</t>
    <phoneticPr fontId="2"/>
  </si>
  <si>
    <t>Should｜Cognito=AWS IAM必要 / Keycloak=Realm-level Admin。未検証</t>
    <phoneticPr fontId="2"/>
  </si>
  <si>
    <t>Must｜Cognito=IAM / Keycloak=Realm Admin Roles。PoCはデフォルト</t>
    <phoneticPr fontId="2"/>
  </si>
  <si>
    <t>OIDCで良い</t>
    <phoneticPr fontId="2"/>
  </si>
  <si>
    <t>.well-knownの話であれば必要</t>
    <phoneticPr fontId="2"/>
  </si>
  <si>
    <t>IdPへの通信でSAMLは想定しているがアプリがわとブローカーの通信はOIDC</t>
    <rPh sb="13" eb="15">
      <t>ソウテイ</t>
    </rPh>
    <phoneticPr fontId="2"/>
  </si>
  <si>
    <t>記載通り確定</t>
    <rPh sb="0" eb="3">
      <t>キサイ</t>
    </rPh>
    <phoneticPr fontId="2"/>
  </si>
  <si>
    <t>なしで確定</t>
    <phoneticPr fontId="2"/>
  </si>
  <si>
    <t>必須で確定</t>
    <rPh sb="0" eb="2">
      <t>ヒッス</t>
    </rPh>
    <phoneticPr fontId="2"/>
  </si>
  <si>
    <t>Webhookイベント通知（user.created等）</t>
    <phoneticPr fontId="2"/>
  </si>
  <si>
    <t>記載通りの方法で確定だが、IdP側の専用アプリ（誰が作るか未定）でラップして公開</t>
    <rPh sb="0" eb="3">
      <t>キサイ</t>
    </rPh>
    <rPh sb="3" eb="4">
      <t>リn</t>
    </rPh>
    <rPh sb="5" eb="7">
      <t>ホウ</t>
    </rPh>
    <rPh sb="8" eb="10">
      <t>カクテイ</t>
    </rPh>
    <rPh sb="18" eb="20">
      <t>センヨウ</t>
    </rPh>
    <rPh sb="24" eb="25">
      <t>ダレ</t>
    </rPh>
    <phoneticPr fontId="2"/>
  </si>
  <si>
    <t>別途資料で説明してヒアリング</t>
    <phoneticPr fontId="2"/>
  </si>
  <si>
    <t>なるべくやりたいがどのようにするかは検討</t>
    <phoneticPr fontId="2"/>
  </si>
  <si>
    <t>結局レスポンスの性能なので意味ないと思う</t>
    <rPh sb="0" eb="2">
      <t>ケッキョク</t>
    </rPh>
    <rPh sb="8" eb="10">
      <t>レスポンスノセイノウ</t>
    </rPh>
    <phoneticPr fontId="2"/>
  </si>
  <si>
    <t>(D)TLS 1.2+｜Cognito=AWS強制 / Keycloak=ACM+ALB設定要</t>
    <phoneticPr fontId="2"/>
  </si>
  <si>
    <t>必須で確定</t>
    <rPh sb="0" eb="1">
      <t>ヒッスデク</t>
    </rPh>
    <phoneticPr fontId="2"/>
  </si>
  <si>
    <t>ネットワーク監査アカウントで必須で確定</t>
    <rPh sb="6" eb="8">
      <t>ネットワークカンサ</t>
    </rPh>
    <phoneticPr fontId="2"/>
  </si>
  <si>
    <t>確定でOK</t>
    <rPh sb="0" eb="2">
      <t>カクテイ</t>
    </rPh>
    <phoneticPr fontId="2"/>
  </si>
  <si>
    <t>(D)必須｜Cognito=User Pool別リージョン / Keycloak=Aurora Cross-Region Replica。基本設計でRealm Export全廃→復元2経路に変更</t>
    <phoneticPr fontId="2"/>
  </si>
  <si>
    <t>方向性確定（条件付き）</t>
    <phoneticPr fontId="2"/>
  </si>
  <si>
    <t>顧客追加の作業を何営業日で完了させるか</t>
    <phoneticPr fontId="2"/>
  </si>
  <si>
    <t>別途資料で説明してヒアリング(HCPが問題である。海外の越境</t>
    <rPh sb="25" eb="27">
      <t>カイガイ</t>
    </rPh>
    <phoneticPr fontId="2"/>
  </si>
  <si>
    <t>GDPR / CCPA（海外展開時）</t>
    <phoneticPr fontId="2"/>
  </si>
  <si>
    <t>不要の認識だが改めてヒアリング</t>
    <rPh sb="0" eb="2">
      <t>フヨウノン</t>
    </rPh>
    <phoneticPr fontId="2"/>
  </si>
  <si>
    <t>国内限定だが、HCPは別になるかも？</t>
    <rPh sb="0" eb="4">
      <t>コクナイ</t>
    </rPh>
    <phoneticPr fontId="2"/>
  </si>
  <si>
    <t>不要と確認済み</t>
    <rPh sb="0" eb="2">
      <t>フヨウ</t>
    </rPh>
    <phoneticPr fontId="2"/>
  </si>
  <si>
    <t>(TBD)｜★最重要：RHBK必須要因。Cognito=FIPS Endpoint利用 / Keycloak=RHBK必須。NFR-COST-006とセット</t>
    <phoneticPr fontId="2"/>
  </si>
  <si>
    <t>FIPS 140-2 認定</t>
    <phoneticPr fontId="2"/>
  </si>
  <si>
    <t>(D)全認証イベント記録｜Cognito=CloudTrail / Keycloak=Event Listener</t>
    <phoneticPr fontId="2"/>
  </si>
  <si>
    <t>別途資料で説明してヒアリング（EventListenerはSPI作り込み、KeycloakからAWSにログを持っていかねばならないが、EventBridgeのコストがすごいことになるかもしれない。ここをこう絞ってこんな感じになりますという説明はいると思う）</t>
    <phoneticPr fontId="2"/>
  </si>
  <si>
    <t>レアケースだがヒアリングは必要</t>
    <phoneticPr fontId="2"/>
  </si>
  <si>
    <t>JWKSのエンドポイントの話であれば公開は必要。（APIGWのネイティブが外出しなので）</t>
    <rPh sb="18" eb="20">
      <t>コウカ</t>
    </rPh>
    <phoneticPr fontId="2"/>
  </si>
  <si>
    <t>Must｜Cognito=CloudTrail/CloudWatch / Keycloak=Event Listener自前実装。PoCはデフォルト</t>
    <phoneticPr fontId="2"/>
  </si>
  <si>
    <t>別途資料で説明してヒアリング。認証基盤からアプリに何か通知が必要か。必要な場合は作り込みが必要
非同期でとりにきてくれればいいけどというのがある</t>
    <rPh sb="15" eb="19">
      <t>ニンショウ</t>
    </rPh>
    <rPh sb="25" eb="26">
      <t>アプリニナニ</t>
    </rPh>
    <rPh sb="34" eb="36">
      <t>ヒツヨウ</t>
    </rPh>
    <rPh sb="40" eb="41">
      <t>ツクリ</t>
    </rPh>
    <phoneticPr fontId="2"/>
  </si>
  <si>
    <t>Must｜Cognito=対応 / Keycloak=Realm部分は別管理。PoC検証済（基本設計でkeycloak-config-cli不採用）</t>
    <phoneticPr fontId="2"/>
  </si>
  <si>
    <t>別途資料で説明してヒアリング（テストでやってみてどのくらいになるかになると思う）</t>
    <phoneticPr fontId="2"/>
  </si>
  <si>
    <t>(TBD) 顧客別/全体｜Cognito API Rate Limit別途 | keycloakはwaf制限</t>
    <rPh sb="52" eb="54">
      <t>セイゲn</t>
    </rPh>
    <phoneticPr fontId="2"/>
  </si>
  <si>
    <t>(TBD) 1年後/3年後｜★最重要：コスト損益分岐175,000 MAU(ADR-006)の判断材料。Cognito=数千万MAU実績 / Keycloak=HA設計次第</t>
    <phoneticPr fontId="2"/>
  </si>
  <si>
    <t>(TBD)｜Cognito=AWS透過 / Keycloak=Sticky Session不要だがECS Task数に依存</t>
    <phoneticPr fontId="2"/>
  </si>
  <si>
    <t>見積もるしかない</t>
    <rPh sb="0" eb="2">
      <t>ミツモル</t>
    </rPh>
    <phoneticPr fontId="2"/>
  </si>
  <si>
    <t>(D)RS256｜両者対応（KeycloakはES256も可）。基本設計でJWT署名=Realm Key 90日に確定</t>
    <phoneticPr fontId="2"/>
  </si>
  <si>
    <t>(D)PBKDF2/bcrypt/Argon2｜Cognito=AWS内部 / Keycloak=PBKDF2-SHA512（デフォルト）</t>
    <phoneticPr fontId="2"/>
  </si>
  <si>
    <t>(D)連続失敗で一時ロック｜Cognito=全ティア標準BF保護（調整不可）、詳細設定はPlusティア(+$0.02/MAU) / Keycloak=Realm Settings</t>
    <phoneticPr fontId="2"/>
  </si>
  <si>
    <t>(TBD)｜Cognito=Plusティア(+$0.02/MAU)必要 / Keycloak=プラグイン・カスタム要件。Cognitoティア選定に影響</t>
    <phoneticPr fontId="2"/>
  </si>
  <si>
    <t>(D)ECR Image Scan + Inspector｜Keycloak=ECR Scan対応</t>
    <phoneticPr fontId="2"/>
  </si>
  <si>
    <t>別途資料で説明してヒアリング(ROSAなのでEC2が立ってるが、これはどう扱うのかを相談する）</t>
    <phoneticPr fontId="2"/>
  </si>
  <si>
    <t>admin封鎖して踏み台から</t>
    <rPh sb="5" eb="7">
      <t>フウサ</t>
    </rPh>
    <phoneticPr fontId="2"/>
  </si>
  <si>
    <t>5分</t>
    <rPh sb="1" eb="2">
      <t xml:space="preserve">フン </t>
    </rPh>
    <phoneticPr fontId="2"/>
  </si>
  <si>
    <t>1日/DR障害時は3日</t>
    <rPh sb="1" eb="2">
      <t>ニティ</t>
    </rPh>
    <rPh sb="5" eb="7">
      <t>ショウガイ</t>
    </rPh>
    <rPh sb="7" eb="8">
      <t>ジカn</t>
    </rPh>
    <rPh sb="10" eb="11">
      <t>ニティ</t>
    </rPh>
    <phoneticPr fontId="2"/>
  </si>
  <si>
    <t>手動</t>
    <rPh sb="0" eb="2">
      <t>シュドウ</t>
    </rPh>
    <phoneticPr fontId="2"/>
  </si>
  <si>
    <t>ここまで</t>
    <phoneticPr fontId="2"/>
  </si>
  <si>
    <t>アプリにヒアリング</t>
    <phoneticPr fontId="2"/>
  </si>
  <si>
    <t>選択肢を提示する。新規列で選択肢を入れてほしい</t>
    <rPh sb="0" eb="3">
      <t>センタクシヲテ</t>
    </rPh>
    <rPh sb="9" eb="12">
      <t>シンキ</t>
    </rPh>
    <rPh sb="17" eb="18">
      <t>イレテヘ</t>
    </rPh>
    <phoneticPr fontId="2"/>
  </si>
  <si>
    <t>どこの暗号鍵なのかわかるようにする</t>
    <phoneticPr fontId="2"/>
  </si>
  <si>
    <t>AWSのリソースごとにROSAで詳細見積もり作成</t>
    <phoneticPr fontId="2"/>
  </si>
  <si>
    <t>WBSの積み上げ工数がそれに当たる</t>
    <rPh sb="4" eb="5">
      <t>ノツミアゲ</t>
    </rPh>
    <phoneticPr fontId="2"/>
  </si>
  <si>
    <t>Keycloakであれば不要？</t>
    <phoneticPr fontId="2"/>
  </si>
  <si>
    <t>2026-08-03追加（FC-5）。既知不具合=依存属性firstName/lastNameの検証失敗[kc#21265]、UPDATE_EMAIL/Verify Profileのoptional無視[kc#33497]。email非保有顧客（工場系）収容の前提条件（U2 §2.6設計制約4 / §2.8.1）</t>
    <phoneticPr fontId="2"/>
  </si>
  <si>
    <t>AWSリソースごとにROSAで詳細見積もりを作るときに一緒に作る</t>
    <rPh sb="15" eb="19">
      <t>ショウサイ</t>
    </rPh>
    <rPh sb="22" eb="23">
      <t>ツクル</t>
    </rPh>
    <phoneticPr fontId="2"/>
  </si>
  <si>
    <t>別途計算？</t>
    <rPh sb="0" eb="4">
      <t>ベット</t>
    </rPh>
    <phoneticPr fontId="2"/>
  </si>
  <si>
    <t>上記の固定インフラ費と合わせて計上。単価は未定</t>
    <rPh sb="0" eb="2">
      <t>ジョウ</t>
    </rPh>
    <rPh sb="3" eb="5">
      <t>コテイ</t>
    </rPh>
    <rPh sb="9" eb="10">
      <t>ヒヨウ</t>
    </rPh>
    <rPh sb="15" eb="17">
      <t>ケイジョウ</t>
    </rPh>
    <rPh sb="18" eb="20">
      <t>タンカ</t>
    </rPh>
    <phoneticPr fontId="2"/>
  </si>
  <si>
    <t>計算するだけなのでこれで良いが細かく計算するのは別途シートで</t>
    <rPh sb="0" eb="2">
      <t>ケイサn</t>
    </rPh>
    <rPh sb="18" eb="20">
      <t>コマカ</t>
    </rPh>
    <phoneticPr fontId="2"/>
  </si>
  <si>
    <t>移行は対象外</t>
    <rPh sb="0" eb="2">
      <t>イコウ</t>
    </rPh>
    <phoneticPr fontId="2"/>
  </si>
  <si>
    <t>再設定の有無については別途検討（アプリチームなのかこちらなのかそうだん）</t>
    <rPh sb="0" eb="3">
      <t>サイセッテイ</t>
    </rPh>
    <rPh sb="13" eb="15">
      <t>ケントウ</t>
    </rPh>
    <phoneticPr fontId="2"/>
  </si>
  <si>
    <t>確定でOK</t>
    <phoneticPr fontId="2"/>
  </si>
  <si>
    <t>確認して設計におとしたい</t>
    <rPh sb="0" eb="2">
      <t>カクニンス</t>
    </rPh>
    <phoneticPr fontId="2"/>
  </si>
  <si>
    <t>新旧のシステムは並行稼働。テナント（顧客）ごとに順次移行・</t>
    <rPh sb="0" eb="2">
      <t>シンキュウ</t>
    </rPh>
    <rPh sb="18" eb="20">
      <t>コキャク</t>
    </rPh>
    <phoneticPr fontId="2"/>
  </si>
  <si>
    <t>ROSA想定</t>
    <rPh sb="4" eb="6">
      <t>ソウテイ</t>
    </rPh>
    <phoneticPr fontId="2"/>
  </si>
  <si>
    <t>100〜500万ユーザー</t>
    <rPh sb="7" eb="8">
      <t xml:space="preserve">マン </t>
    </rPh>
    <phoneticPr fontId="2"/>
  </si>
  <si>
    <t>必須ではないと思っている</t>
    <rPh sb="0" eb="2">
      <t>ヒッス</t>
    </rPh>
    <phoneticPr fontId="2"/>
  </si>
  <si>
    <t>RTOとかが変わってるので見直しが必要</t>
    <rPh sb="6" eb="7">
      <t>カワッテ</t>
    </rPh>
    <phoneticPr fontId="2"/>
  </si>
  <si>
    <t>進捗が低い理由</t>
    <phoneticPr fontId="2"/>
  </si>
  <si>
    <t>確定で良い</t>
    <rPh sb="0" eb="1">
      <t>カクテイ</t>
    </rPh>
    <phoneticPr fontId="2"/>
  </si>
  <si>
    <t>確定で良い</t>
    <rPh sb="0" eb="2">
      <t>カクテイ</t>
    </rPh>
    <phoneticPr fontId="2"/>
  </si>
  <si>
    <t>2026-07-30確定（A-5-2回答）。顧客IdP保有テナント=顧客IdP / 非保有テナント=IdP-KC収容。従前γ「管理者層のみローカル」から転換。残: U2 Browser Flow / U3プロビ経路 / U4・U7 MFA（管理者=ローカル前提）要改訂（D-17）</t>
    <phoneticPr fontId="2"/>
  </si>
  <si>
    <t>顧客確認中</t>
    <rPh sb="0" eb="5">
      <t>コキャク</t>
    </rPh>
    <phoneticPr fontId="2"/>
  </si>
  <si>
    <t>確定で良い</t>
    <rPh sb="0" eb="2">
      <t>カクテイデイ</t>
    </rPh>
    <rPh sb="3" eb="4">
      <t>ヨイ</t>
    </rPh>
    <phoneticPr fontId="2"/>
  </si>
  <si>
    <t>検証必要</t>
    <rPh sb="0" eb="4">
      <t>ケンショウヘ</t>
    </rPh>
    <phoneticPr fontId="2"/>
  </si>
  <si>
    <t>そもそもIdPKeycloakの方どうするか</t>
    <phoneticPr fontId="2"/>
  </si>
  <si>
    <t>検証必要被っているか</t>
    <rPh sb="0" eb="4">
      <t>ケンショウヘ</t>
    </rPh>
    <rPh sb="4" eb="5">
      <t>カブッテ</t>
    </rPh>
    <phoneticPr fontId="2"/>
  </si>
  <si>
    <t>もう少しわかりやすく。具体的に何をする？そもそもAWSの保証範囲なら不要？</t>
    <rPh sb="11" eb="14">
      <t>グタイテキニナン</t>
    </rPh>
    <phoneticPr fontId="2"/>
  </si>
  <si>
    <t>ROSA利用で進んでるがこれがひっくり返るとまた検討が必要。合わせてヒアリング</t>
    <rPh sb="0" eb="2">
      <t>ROSA</t>
    </rPh>
    <rPh sb="4" eb="6">
      <t>リヨウデ</t>
    </rPh>
    <rPh sb="30" eb="31">
      <t>アワセ</t>
    </rPh>
    <phoneticPr fontId="2"/>
  </si>
  <si>
    <t>手動で良い</t>
    <rPh sb="0" eb="2">
      <t>シュドウ</t>
    </rPh>
    <phoneticPr fontId="2"/>
  </si>
  <si>
    <t>対象外</t>
    <rPh sb="0" eb="3">
      <t>タイショウ</t>
    </rPh>
    <phoneticPr fontId="2"/>
  </si>
  <si>
    <t>対象外</t>
    <rPh sb="0" eb="1">
      <t>タイショウ</t>
    </rPh>
    <phoneticPr fontId="2"/>
  </si>
  <si>
    <t>JITの話？であれば資料を作ってヒアリング</t>
    <rPh sb="10" eb="12">
      <t>シリョウ</t>
    </rPh>
    <phoneticPr fontId="2"/>
  </si>
  <si>
    <t>原則論理分離で論理分離できないものはその時に検討。物理分離もできると言うことがわかればいい</t>
    <rPh sb="0" eb="6">
      <t>ゲンソクロンリ</t>
    </rPh>
    <rPh sb="7" eb="11">
      <t>ロンリ</t>
    </rPh>
    <rPh sb="34" eb="35">
      <t>ブツリ</t>
    </rPh>
    <phoneticPr fontId="2"/>
  </si>
  <si>
    <t>機械通信というのはAPIからAPIの呼び出しなどか。それであればアプリで管理の認識</t>
    <rPh sb="0" eb="4">
      <t>キカイ</t>
    </rPh>
    <rPh sb="36" eb="38">
      <t>カンリ</t>
    </rPh>
    <phoneticPr fontId="2"/>
  </si>
  <si>
    <t>Keycloakのユーザの話であれば必要。アプリの話であればアプリで検討</t>
    <phoneticPr fontId="2"/>
  </si>
  <si>
    <t>もう少し詳しく、わかりやすく書いてほしい。どこに記録する何なのかわからない</t>
    <rPh sb="0" eb="1">
      <t>モウスコセィ</t>
    </rPh>
    <rPh sb="24" eb="26">
      <t>ドコニキロク</t>
    </rPh>
    <phoneticPr fontId="2"/>
  </si>
  <si>
    <t>別途資料で説明してヒアリング（MFAについては実装するということしか検討していないがこのように検討することが他にもあるかもしれない）</t>
    <phoneticPr fontId="2"/>
  </si>
  <si>
    <t>別途資料で説明してヒアリング（そもそもメールによる追加認証で良いのかは一応ヒアリングしないといけない）</t>
    <rPh sb="35" eb="37">
      <t>イチオウ</t>
    </rPh>
    <phoneticPr fontId="2"/>
  </si>
  <si>
    <t>これはアプリで考えることなのか、認証基盤なのかわからない</t>
    <rPh sb="16" eb="20">
      <t>ニンショウ</t>
    </rPh>
    <phoneticPr fontId="2"/>
  </si>
  <si>
    <t>別途資料で説明してヒアリング（そもそもそのようなものを想定するのかしないのか。選択肢が欲しい）</t>
    <rPh sb="39" eb="42">
      <t>センタクス</t>
    </rPh>
    <phoneticPr fontId="2"/>
  </si>
  <si>
    <t>もう少し具体的にしてほしい</t>
    <phoneticPr fontId="2"/>
  </si>
  <si>
    <t>一旦1ブランドごとで良い</t>
    <rPh sb="0" eb="2">
      <t>イッタ</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</si>
</sst>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80" formatCode="0.0"/>
    <numFmt numFmtId="181" formatCode="#,##0.0"/>
  </numFmts>
  <fonts count="58">
    <font>
      <sz val="12"/>
      <color theme="1"/>
      <name val="游ゴシック"/>
      <family val="2"/>
      <charset val="128"/>
      <scheme val="minor"/>
    </font>
    <font>
      <b/>
      <sz val="12"/>
      <color theme="1"/>
      <name val="游ゴシック"/>
      <family val="2"/>
      <charset val="128"/>
      <scheme val="minor"/>
    </font>
    <font>
      <sz val="6"/>
      <name val="游ゴシック"/>
      <family val="2"/>
      <charset val="128"/>
      <scheme val="minor"/>
    </font>
    <font>
      <sz val="9"/>
      <color theme="1"/>
      <name val="游ゴシック"/>
      <family val="2"/>
      <charset val="128"/>
      <scheme val="minor"/>
    </font>
    <font>
      <b/>
      <sz val="9"/>
      <color theme="1"/>
      <name val="游ゴシック"/>
      <family val="2"/>
      <charset val="128"/>
      <scheme val="minor"/>
    </font>
    <font>
      <sz val="9"/>
      <color rgb="FF008000"/>
      <name val="游ゴシック"/>
      <family val="2"/>
      <charset val="128"/>
      <scheme val="minor"/>
    </font>
    <font>
      <b/>
      <sz val="9"/>
      <color rgb="FFFFFFFF"/>
      <name val="游ゴシック"/>
      <family val="2"/>
      <charset val="128"/>
      <scheme val="minor"/>
    </font>
    <font>
      <b/>
      <sz val="12"/>
      <color rgb="FFFFFFFF"/>
      <name val="游ゴシック"/>
      <family val="2"/>
      <charset val="128"/>
      <scheme val="minor"/>
    </font>
    <font>
      <sz val="8"/>
      <color rgb="FF008000"/>
      <name val="游ゴシック"/>
      <family val="2"/>
      <charset val="128"/>
      <scheme val="minor"/>
    </font>
    <font>
      <sz val="9"/>
      <color rgb="FF0B6B2F"/>
      <name val="游ゴシック"/>
      <family val="2"/>
      <charset val="128"/>
      <scheme val="minor"/>
    </font>
    <font>
      <sz val="9"/>
      <color rgb="FF7F6000"/>
      <name val="游ゴシック"/>
      <family val="2"/>
      <charset val="128"/>
      <scheme val="minor"/>
    </font>
    <font>
      <sz val="9"/>
      <color rgb="FF808080"/>
      <name val="游ゴシック"/>
      <family val="2"/>
      <charset val="128"/>
      <scheme val="minor"/>
    </font>
    <font>
      <sz val="8"/>
      <color rgb="FF808080"/>
      <name val="游ゴシック"/>
      <family val="2"/>
      <charset val="128"/>
      <scheme val="minor"/>
    </font>
    <font>
      <b/>
      <sz val="9"/>
      <color rgb="FF808080"/>
      <name val="游ゴシック"/>
      <family val="2"/>
      <charset val="128"/>
      <scheme val="minor"/>
    </font>
    <font>
      <b/>
      <sz val="16"/>
      <color theme="1"/>
      <name val="Meiryo UI"/>
      <family val="2"/>
      <charset val="128"/>
    </font>
    <font>
      <sz val="12"/>
      <color theme="1"/>
      <name val="Meiryo UI"/>
      <family val="2"/>
      <charset val="128"/>
    </font>
    <font>
      <b/>
      <sz val="9"/>
      <color theme="1"/>
      <name val="Meiryo UI"/>
      <family val="2"/>
      <charset val="128"/>
    </font>
    <font>
      <sz val="9"/>
      <color rgb="FF008000"/>
      <name val="Meiryo UI"/>
      <family val="2"/>
      <charset val="128"/>
    </font>
    <font>
      <i/>
      <sz val="9"/>
      <color rgb="FFFF0000"/>
      <name val="Meiryo UI"/>
      <family val="2"/>
      <charset val="128"/>
    </font>
    <font>
      <b/>
      <sz val="10"/>
      <color rgb="FFFFFFFF"/>
      <name val="Meiryo UI"/>
      <family val="2"/>
      <charset val="128"/>
    </font>
    <font>
      <sz val="9"/>
      <color theme="1"/>
      <name val="Meiryo UI"/>
      <family val="2"/>
      <charset val="128"/>
    </font>
    <font>
      <sz val="8"/>
      <color rgb="FF008000"/>
      <name val="Meiryo UI"/>
      <family val="2"/>
      <charset val="128"/>
    </font>
    <font>
      <sz val="9"/>
      <color rgb="FF0B6B2F"/>
      <name val="Meiryo UI"/>
      <family val="2"/>
      <charset val="128"/>
    </font>
    <font>
      <sz val="9"/>
      <color rgb="FF7F6000"/>
      <name val="Meiryo UI"/>
      <family val="2"/>
      <charset val="128"/>
    </font>
    <font>
      <sz val="9"/>
      <color rgb="FF808080"/>
      <name val="Meiryo UI"/>
      <family val="2"/>
      <charset val="128"/>
    </font>
    <font>
      <sz val="8"/>
      <color rgb="FF808080"/>
      <name val="Meiryo UI"/>
      <family val="2"/>
      <charset val="128"/>
    </font>
    <font>
      <b/>
      <sz val="15"/>
      <color theme="1"/>
      <name val="游ゴシック"/>
      <family val="2"/>
      <charset val="128"/>
      <scheme val="minor"/>
    </font>
    <font>
      <sz val="9"/>
      <color rgb="FF9C0006"/>
      <name val="游ゴシック"/>
      <family val="2"/>
      <charset val="128"/>
      <scheme val="minor"/>
    </font>
    <font>
      <b/>
      <sz val="9"/>
      <color rgb="FFFFFFFF"/>
      <name val="Meiryo UI"/>
      <family val="2"/>
      <charset val="128"/>
    </font>
    <font>
      <b/>
      <sz val="12"/>
      <color theme="1"/>
      <name val="Meiryo UI"/>
      <family val="2"/>
      <charset val="128"/>
    </font>
    <font>
      <sz val="9"/>
      <color rgb="FF9C0006"/>
      <name val="Meiryo UI"/>
      <family val="2"/>
      <charset val="128"/>
    </font>
    <font>
      <b/>
      <sz val="10"/>
      <color theme="1"/>
      <name val="Meiryo UI"/>
      <family val="2"/>
      <charset val="128"/>
    </font>
    <font>
      <sz val="10"/>
      <color theme="1"/>
      <name val="Meiryo UI"/>
      <family val="2"/>
      <charset val="128"/>
    </font>
    <font>
      <sz val="10"/>
      <color rgb="FF008000"/>
      <name val="Meiryo UI"/>
      <family val="2"/>
      <charset val="128"/>
    </font>
    <font>
      <i/>
      <sz val="10"/>
      <color rgb="FFFF0000"/>
      <name val="Meiryo UI"/>
      <family val="2"/>
      <charset val="128"/>
    </font>
    <font>
      <sz val="10"/>
      <color rgb="FF7F6000"/>
      <name val="Meiryo UI"/>
      <family val="2"/>
      <charset val="128"/>
    </font>
    <font>
      <sz val="10"/>
      <color rgb="FF808080"/>
      <name val="Meiryo UI"/>
      <family val="2"/>
      <charset val="128"/>
    </font>
    <font>
      <sz val="9"/>
      <color rgb="FF1F4E79"/>
      <name val="Meiryo UI"/>
      <family val="2"/>
      <charset val="128"/>
    </font>
    <font>
      <sz val="9"/>
      <color rgb="FFBFBFBF"/>
      <name val="Meiryo UI"/>
      <family val="2"/>
      <charset val="128"/>
    </font>
    <font>
      <b/>
      <sz val="9"/>
      <color rgb="FF808080"/>
      <name val="Meiryo UI"/>
      <family val="2"/>
      <charset val="128"/>
    </font>
    <font>
      <sz val="9"/>
      <color theme="1"/>
      <name val="游ゴシック"/>
      <family val="2"/>
      <charset val="128"/>
    </font>
    <font>
      <b/>
      <sz val="20"/>
      <color theme="1"/>
      <name val="游ゴシック"/>
      <family val="2"/>
      <charset val="128"/>
      <scheme val="minor"/>
    </font>
    <font>
      <b/>
      <sz val="13"/>
      <color rgb="FF0B6B2F"/>
      <name val="游ゴシック"/>
      <family val="2"/>
      <charset val="128"/>
      <scheme val="minor"/>
    </font>
    <font>
      <b/>
      <sz val="13"/>
      <color rgb="FF7F6000"/>
      <name val="游ゴシック"/>
      <family val="2"/>
      <charset val="128"/>
      <scheme val="minor"/>
    </font>
    <font>
      <b/>
      <sz val="13"/>
      <color rgb="FF843C0C"/>
      <name val="游ゴシック"/>
      <family val="2"/>
      <charset val="128"/>
      <scheme val="minor"/>
    </font>
    <font>
      <b/>
      <sz val="36"/>
      <color rgb="FF0B6B2F"/>
      <name val="游ゴシック"/>
      <family val="2"/>
      <charset val="128"/>
      <scheme val="minor"/>
    </font>
    <font>
      <b/>
      <sz val="36"/>
      <color rgb="FF7F6000"/>
      <name val="游ゴシック"/>
      <family val="2"/>
      <charset val="128"/>
      <scheme val="minor"/>
    </font>
    <font>
      <b/>
      <sz val="36"/>
      <color rgb="FF843C0C"/>
      <name val="游ゴシック"/>
      <family val="2"/>
      <charset val="128"/>
      <scheme val="minor"/>
    </font>
    <font>
      <sz val="9"/>
      <color rgb="FF595959"/>
      <name val="游ゴシック"/>
      <family val="2"/>
      <charset val="128"/>
      <scheme val="minor"/>
    </font>
    <font>
      <b/>
      <sz val="28"/>
      <color rgb="FFC00000"/>
      <name val="游ゴシック"/>
      <family val="2"/>
      <charset val="128"/>
      <scheme val="minor"/>
    </font>
    <font>
      <sz val="8"/>
      <color rgb="FF843C0C"/>
      <name val="游ゴシック"/>
      <family val="2"/>
      <charset val="128"/>
      <scheme val="minor"/>
    </font>
    <font>
      <b/>
      <sz val="10"/>
      <color rgb="FF000000"/>
      <name val="Meiryo UI"/>
      <family val="2"/>
      <charset val="128"/>
    </font>
    <font>
      <sz val="9"/>
      <color rgb="FF843C0C"/>
      <name val="Meiryo UI"/>
      <family val="2"/>
      <charset val="128"/>
    </font>
    <font>
      <b/>
      <sz val="11"/>
      <color rgb="FFFFFFFF"/>
      <name val="游ゴシック"/>
      <family val="2"/>
      <charset val="128"/>
      <scheme val="minor"/>
    </font>
    <font>
      <b/>
      <sz val="11"/>
      <color theme="1"/>
      <name val="游ゴシック"/>
      <family val="2"/>
      <charset val="128"/>
      <scheme val="minor"/>
    </font>
    <font>
      <sz val="8"/>
      <color theme="1"/>
      <name val="游ゴシック"/>
      <family val="2"/>
      <charset val="128"/>
      <scheme val="minor"/>
    </font>
    <font>
      <sz val="8"/>
      <color rgb="FF595959"/>
      <name val="游ゴシック"/>
      <family val="2"/>
      <charset val="128"/>
      <scheme val="minor"/>
    </font>
    <font>
      <b/>
      <i/>
      <sz val="9"/>
      <color rgb="FF7030A0"/>
      <name val="游ゴシック"/>
      <family val="2"/>
      <charset val="128"/>
      <scheme val="minor"/>
    </font>
  </fonts>
  <fills count="5">
    <fill>
      <patternFill patternType="none"/>
    </fill>
    <fill>
      <patternFill patternType="gray125"/>
    </fill>
    <fill>
      <patternFill patternType="solid">
        <fgColor rgb="FF1F3864"/>
        <bgColor indexed="64"/>
      </patternFill>
    </fill>
    <fill>
      <patternFill patternType="solid">
        <fgColor rgb="FF375623"/>
        <bgColor indexed="64"/>
      </patternFill>
    </fill>
    <fill>
      <patternFill patternType="solid">
        <fgColor rgb="FF7030A0"/>
        <bgColor indexed="64"/>
      </patternFill>
    </fill>
  </fills>
  <borders count="20">
    <border>
      <left/>
      <right/>
      <top/>
      <bottom/>
      <diagonal/>
    </border>
    <border>
      <left/>
      <right style="thin">
        <color auto="1"/>
      </right>
      <top style="thin">
        <color rgb="FFD9D9D9"/>
      </top>
      <bottom style="thin">
        <color rgb="FFD9D9D9"/>
      </bottom>
      <diagonal/>
    </border>
    <border>
      <left style="thin">
        <color auto="1"/>
      </left>
      <right style="thin">
        <color auto="1"/>
      </right>
      <top style="thin">
        <color rgb="FFD9D9D9"/>
      </top>
      <bottom style="thin">
        <color rgb="FFD9D9D9"/>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top style="thin">
        <color rgb="FFD9D9D9"/>
      </top>
      <bottom style="thin">
        <color auto="1"/>
      </bottom>
      <diagonal/>
    </border>
    <border>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top style="thin">
        <color auto="1"/>
      </top>
      <bottom style="thin">
        <color rgb="FFD9D9D9"/>
      </bottom>
      <diagonal/>
    </border>
    <border>
      <left/>
      <right style="thin">
        <color auto="1"/>
      </right>
      <top style="thin">
        <color auto="1"/>
      </top>
      <bottom style="thin">
        <color rgb="FFD9D9D9"/>
      </bottom>
      <diagonal/>
    </border>
    <border>
      <left/>
      <right style="thin">
        <color auto="1"/>
      </right>
      <top style="thin">
        <color rgb="FFD9D9D9"/>
      </top>
      <bottom style="thin">
        <color auto="1"/>
      </bottom>
      <diagonal/>
    </border>
    <border>
      <left style="thin">
        <color auto="1"/>
      </left>
      <right style="thin">
        <color auto="1"/>
      </right>
      <top style="thin">
        <color auto="1"/>
      </top>
      <bottom style="thin">
        <color rgb="FFD9D9D9"/>
      </bottom>
      <diagonal/>
    </border>
    <border>
      <left style="thin">
        <color auto="1"/>
      </left>
      <right style="thin">
        <color auto="1"/>
      </right>
      <top style="thin">
        <color rgb="FFD9D9D9"/>
      </top>
      <bottom style="thin">
        <color auto="1"/>
      </bottom>
      <diagonal/>
    </border>
    <border>
      <left style="thin">
        <color rgb="FFD9D9D9"/>
      </left>
      <right/>
      <top/>
      <bottom/>
      <diagonal/>
    </border>
  </borders>
  <cellStyleXfs count="1">
    <xf numFmtId="0" fontId="0" fillId="0" borderId="0">
      <alignment vertical="center"/>
    </xf>
  </cellStyleXfs>
  <cellXfs count="220">
    <xf numFmtId="0" fontId="0" fillId="0" borderId="0" xfId="0">
      <alignment vertical="center"/>
    </xf>
    <xf numFmtId="0" fontId="3" fillId="0" borderId="0" xfId="0" applyFont="1">
      <alignment vertical="center"/>
    </xf>
    <xf numFmtId="0" fontId="4" fillId="0" borderId="0" xfId="0" applyFont="1">
      <alignment vertical="center"/>
    </xf>
    <xf numFmtId="0" fontId="5" fillId="0" borderId="0" xfId="0" applyFont="1">
      <alignment vertical="center"/>
    </xf>
    <xf numFmtId="0" fontId="1" fillId="0" borderId="0" xfId="0" applyFont="1">
      <alignment vertical="center"/>
    </xf>
    <xf numFmtId="0" fontId="3" fillId="0" borderId="5" xfId="0" applyFont="1" applyBorder="1" applyAlignment="1">
      <alignment vertical="top"/>
    </xf>
    <xf numFmtId="0" fontId="3" fillId="0" borderId="6" xfId="0" applyFont="1" applyBorder="1" applyAlignment="1">
      <alignment vertical="top"/>
    </xf>
    <xf numFmtId="0" fontId="3" fillId="0" borderId="9" xfId="0" applyFont="1" applyBorder="1" applyAlignment="1">
      <alignment vertical="top"/>
    </xf>
    <xf numFmtId="0" fontId="3" fillId="0" borderId="10" xfId="0" applyFont="1" applyBorder="1" applyAlignment="1">
      <alignment vertical="top"/>
    </xf>
    <xf numFmtId="0" fontId="6" fillId="2" borderId="12" xfId="0" applyFont="1" applyFill="1" applyBorder="1" applyAlignment="1">
      <alignment horizontal="center" vertical="top"/>
    </xf>
    <xf numFmtId="0" fontId="6" fillId="2" borderId="13" xfId="0" applyFont="1" applyFill="1" applyBorder="1" applyAlignment="1">
      <alignment horizontal="center" vertical="top"/>
    </xf>
    <xf numFmtId="0" fontId="6" fillId="2" borderId="14" xfId="0" applyFont="1" applyFill="1" applyBorder="1" applyAlignment="1">
      <alignment horizontal="center" vertical="top"/>
    </xf>
    <xf numFmtId="0" fontId="3" fillId="0" borderId="6" xfId="0" applyFont="1" applyBorder="1" applyAlignment="1">
      <alignment horizontal="center" vertical="top"/>
    </xf>
    <xf numFmtId="0" fontId="3" fillId="0" borderId="10" xfId="0" applyFont="1" applyBorder="1" applyAlignment="1">
      <alignment horizontal="center" vertical="top"/>
    </xf>
    <xf numFmtId="0" fontId="8" fillId="0" borderId="7" xfId="0" applyFont="1" applyBorder="1" applyAlignment="1">
      <alignment vertical="top"/>
    </xf>
    <xf numFmtId="0" fontId="8" fillId="0" borderId="11" xfId="0" applyFont="1" applyBorder="1" applyAlignment="1">
      <alignment vertical="top"/>
    </xf>
    <xf numFmtId="0" fontId="13" fillId="0" borderId="0" xfId="0" applyFont="1">
      <alignment vertical="center"/>
    </xf>
    <xf numFmtId="0" fontId="7" fillId="2" borderId="12" xfId="0" applyFont="1" applyFill="1" applyBorder="1" applyAlignment="1">
      <alignment horizontal="center" vertical="center"/>
    </xf>
    <xf numFmtId="0" fontId="7" fillId="2" borderId="13" xfId="0" applyFont="1" applyFill="1" applyBorder="1" applyAlignment="1">
      <alignment horizontal="center" vertical="center"/>
    </xf>
    <xf numFmtId="0" fontId="7" fillId="2" borderId="14" xfId="0" applyFont="1" applyFill="1" applyBorder="1" applyAlignment="1">
      <alignment horizontal="center" vertical="center"/>
    </xf>
    <xf numFmtId="0" fontId="6" fillId="2" borderId="12" xfId="0" applyFont="1" applyFill="1" applyBorder="1" applyAlignment="1">
      <alignment horizontal="center" vertical="center"/>
    </xf>
    <xf numFmtId="0" fontId="6" fillId="2" borderId="13" xfId="0" applyFont="1" applyFill="1" applyBorder="1" applyAlignment="1">
      <alignment horizontal="center" vertical="center"/>
    </xf>
    <xf numFmtId="0" fontId="6" fillId="2" borderId="14" xfId="0" applyFont="1" applyFill="1" applyBorder="1" applyAlignment="1">
      <alignment horizontal="center" vertical="center"/>
    </xf>
    <xf numFmtId="0" fontId="3" fillId="0" borderId="5" xfId="0" applyFont="1" applyBorder="1">
      <alignment vertical="center"/>
    </xf>
    <xf numFmtId="0" fontId="3" fillId="0" borderId="6" xfId="0" applyFont="1" applyBorder="1">
      <alignment vertical="center"/>
    </xf>
    <xf numFmtId="0" fontId="4" fillId="0" borderId="9" xfId="0" applyFont="1" applyBorder="1">
      <alignment vertical="center"/>
    </xf>
    <xf numFmtId="0" fontId="4" fillId="0" borderId="10" xfId="0" applyFont="1" applyBorder="1">
      <alignment vertical="center"/>
    </xf>
    <xf numFmtId="0" fontId="3" fillId="0" borderId="9" xfId="0" applyFont="1" applyBorder="1">
      <alignment vertical="center"/>
    </xf>
    <xf numFmtId="0" fontId="3" fillId="0" borderId="7" xfId="0" applyFont="1" applyBorder="1">
      <alignment vertical="center"/>
    </xf>
    <xf numFmtId="0" fontId="3" fillId="0" borderId="11" xfId="0" applyFont="1" applyBorder="1">
      <alignment vertical="center"/>
    </xf>
    <xf numFmtId="0" fontId="3" fillId="0" borderId="6" xfId="0" applyFont="1" applyBorder="1" applyAlignment="1">
      <alignment horizontal="center" vertical="center"/>
    </xf>
    <xf numFmtId="0" fontId="4" fillId="0" borderId="10" xfId="0" applyFont="1" applyBorder="1" applyAlignment="1">
      <alignment horizontal="center" vertical="center"/>
    </xf>
    <xf numFmtId="0" fontId="14" fillId="0" borderId="0" xfId="0" applyFont="1">
      <alignment vertical="center"/>
    </xf>
    <xf numFmtId="0" fontId="15" fillId="0" borderId="0" xfId="0" applyFont="1">
      <alignment vertical="center"/>
    </xf>
    <xf numFmtId="0" fontId="17" fillId="0" borderId="0" xfId="0" applyFont="1">
      <alignment vertical="center"/>
    </xf>
    <xf numFmtId="0" fontId="18" fillId="0" borderId="0" xfId="0" applyFont="1">
      <alignment vertical="center"/>
    </xf>
    <xf numFmtId="0" fontId="19" fillId="2" borderId="12" xfId="0" applyFont="1" applyFill="1" applyBorder="1" applyAlignment="1">
      <alignment horizontal="center" vertical="center"/>
    </xf>
    <xf numFmtId="0" fontId="19" fillId="2" borderId="13" xfId="0" applyFont="1" applyFill="1" applyBorder="1" applyAlignment="1">
      <alignment horizontal="center" vertical="center"/>
    </xf>
    <xf numFmtId="0" fontId="19" fillId="2" borderId="14" xfId="0" applyFont="1" applyFill="1" applyBorder="1" applyAlignment="1">
      <alignment horizontal="center" vertical="center"/>
    </xf>
    <xf numFmtId="0" fontId="20" fillId="0" borderId="6" xfId="0" applyFont="1" applyBorder="1" applyAlignment="1">
      <alignment vertical="top"/>
    </xf>
    <xf numFmtId="0" fontId="20" fillId="0" borderId="6" xfId="0" applyFont="1" applyBorder="1" applyAlignment="1">
      <alignment horizontal="left" vertical="top"/>
    </xf>
    <xf numFmtId="0" fontId="20" fillId="0" borderId="6" xfId="0" applyFont="1" applyBorder="1" applyAlignment="1">
      <alignment horizontal="center" vertical="top"/>
    </xf>
    <xf numFmtId="0" fontId="21" fillId="0" borderId="7" xfId="0" applyFont="1" applyBorder="1" applyAlignment="1">
      <alignment vertical="top"/>
    </xf>
    <xf numFmtId="0" fontId="20" fillId="0" borderId="10" xfId="0" applyFont="1" applyBorder="1" applyAlignment="1">
      <alignment vertical="top"/>
    </xf>
    <xf numFmtId="0" fontId="20" fillId="0" borderId="10" xfId="0" applyFont="1" applyBorder="1" applyAlignment="1">
      <alignment horizontal="left" vertical="top"/>
    </xf>
    <xf numFmtId="0" fontId="20" fillId="0" borderId="10" xfId="0" applyFont="1" applyBorder="1" applyAlignment="1">
      <alignment horizontal="center" vertical="top"/>
    </xf>
    <xf numFmtId="0" fontId="21" fillId="0" borderId="11" xfId="0" applyFont="1" applyBorder="1" applyAlignment="1">
      <alignment vertical="top"/>
    </xf>
    <xf numFmtId="0" fontId="20" fillId="0" borderId="6" xfId="0" applyFont="1" applyBorder="1" applyAlignment="1">
      <alignment vertical="top" wrapText="1"/>
    </xf>
    <xf numFmtId="0" fontId="20" fillId="0" borderId="10" xfId="0" applyFont="1" applyBorder="1" applyAlignment="1">
      <alignment vertical="top" wrapText="1"/>
    </xf>
    <xf numFmtId="0" fontId="26" fillId="0" borderId="0" xfId="0" applyFont="1">
      <alignment vertical="center"/>
    </xf>
    <xf numFmtId="0" fontId="11" fillId="0" borderId="0" xfId="0" applyFont="1">
      <alignment vertical="center"/>
    </xf>
    <xf numFmtId="0" fontId="4" fillId="0" borderId="5" xfId="0" applyFont="1" applyBorder="1" applyAlignment="1">
      <alignment vertical="top"/>
    </xf>
    <xf numFmtId="0" fontId="4" fillId="0" borderId="9" xfId="0" applyFont="1" applyBorder="1" applyAlignment="1">
      <alignment vertical="top"/>
    </xf>
    <xf numFmtId="0" fontId="27" fillId="0" borderId="0" xfId="0" applyFont="1">
      <alignment vertical="center"/>
    </xf>
    <xf numFmtId="0" fontId="10" fillId="0" borderId="0" xfId="0" applyFont="1">
      <alignment vertical="center"/>
    </xf>
    <xf numFmtId="0" fontId="9" fillId="0" borderId="0" xfId="0" applyFont="1">
      <alignment vertical="center"/>
    </xf>
    <xf numFmtId="0" fontId="4" fillId="0" borderId="0" xfId="0" applyFont="1" applyFill="1" applyBorder="1">
      <alignment vertical="center"/>
    </xf>
    <xf numFmtId="0" fontId="4" fillId="0" borderId="0" xfId="0" applyFont="1" applyAlignment="1">
      <alignment vertical="top"/>
    </xf>
    <xf numFmtId="0" fontId="3" fillId="0" borderId="0" xfId="0" applyFont="1" applyAlignment="1">
      <alignment vertical="top" wrapText="1"/>
    </xf>
    <xf numFmtId="0" fontId="28" fillId="2" borderId="12" xfId="0" applyFont="1" applyFill="1" applyBorder="1" applyAlignment="1">
      <alignment horizontal="center" vertical="center"/>
    </xf>
    <xf numFmtId="0" fontId="28" fillId="2" borderId="13" xfId="0" applyFont="1" applyFill="1" applyBorder="1" applyAlignment="1">
      <alignment horizontal="center" vertical="center"/>
    </xf>
    <xf numFmtId="0" fontId="28" fillId="2" borderId="14" xfId="0" applyFont="1" applyFill="1" applyBorder="1" applyAlignment="1">
      <alignment horizontal="center" vertical="center"/>
    </xf>
    <xf numFmtId="0" fontId="16" fillId="0" borderId="5" xfId="0" applyFont="1" applyBorder="1" applyAlignment="1">
      <alignment vertical="top"/>
    </xf>
    <xf numFmtId="0" fontId="16" fillId="0" borderId="9" xfId="0" applyFont="1" applyBorder="1" applyAlignment="1">
      <alignment vertical="top"/>
    </xf>
    <xf numFmtId="0" fontId="24" fillId="0" borderId="0" xfId="0" applyFont="1">
      <alignment vertical="center"/>
    </xf>
    <xf numFmtId="0" fontId="31" fillId="0" borderId="0" xfId="0" applyFont="1">
      <alignment vertical="center"/>
    </xf>
    <xf numFmtId="0" fontId="32" fillId="0" borderId="0" xfId="0" applyFont="1">
      <alignment vertical="center"/>
    </xf>
    <xf numFmtId="0" fontId="33" fillId="0" borderId="0" xfId="0" applyFont="1">
      <alignment vertical="center"/>
    </xf>
    <xf numFmtId="0" fontId="34" fillId="0" borderId="0" xfId="0" applyFont="1">
      <alignment vertical="center"/>
    </xf>
    <xf numFmtId="0" fontId="32" fillId="0" borderId="5" xfId="0" applyFont="1" applyBorder="1" applyAlignment="1">
      <alignment vertical="top"/>
    </xf>
    <xf numFmtId="0" fontId="32" fillId="0" borderId="6" xfId="0" applyFont="1" applyBorder="1" applyAlignment="1">
      <alignment vertical="top"/>
    </xf>
    <xf numFmtId="0" fontId="32" fillId="0" borderId="6" xfId="0" applyFont="1" applyBorder="1" applyAlignment="1">
      <alignment vertical="top" wrapText="1"/>
    </xf>
    <xf numFmtId="0" fontId="32" fillId="0" borderId="6" xfId="0" applyFont="1" applyBorder="1" applyAlignment="1">
      <alignment horizontal="center" vertical="top"/>
    </xf>
    <xf numFmtId="0" fontId="32" fillId="0" borderId="9" xfId="0" applyFont="1" applyBorder="1" applyAlignment="1">
      <alignment vertical="top"/>
    </xf>
    <xf numFmtId="0" fontId="32" fillId="0" borderId="10" xfId="0" applyFont="1" applyBorder="1" applyAlignment="1">
      <alignment vertical="top"/>
    </xf>
    <xf numFmtId="0" fontId="32" fillId="0" borderId="10" xfId="0" applyFont="1" applyBorder="1" applyAlignment="1">
      <alignment vertical="top" wrapText="1"/>
    </xf>
    <xf numFmtId="0" fontId="32" fillId="0" borderId="10" xfId="0" applyFont="1" applyBorder="1" applyAlignment="1">
      <alignment horizontal="center" vertical="top"/>
    </xf>
    <xf numFmtId="0" fontId="31" fillId="0" borderId="5" xfId="0" applyFont="1" applyBorder="1" applyAlignment="1">
      <alignment vertical="top"/>
    </xf>
    <xf numFmtId="0" fontId="31" fillId="0" borderId="9" xfId="0" applyFont="1" applyBorder="1" applyAlignment="1">
      <alignment vertical="top"/>
    </xf>
    <xf numFmtId="0" fontId="36" fillId="0" borderId="0" xfId="0" applyFont="1">
      <alignment vertical="center"/>
    </xf>
    <xf numFmtId="0" fontId="32" fillId="0" borderId="7" xfId="0" applyFont="1" applyBorder="1" applyAlignment="1">
      <alignment vertical="top"/>
    </xf>
    <xf numFmtId="0" fontId="32" fillId="0" borderId="11" xfId="0" applyFont="1" applyBorder="1" applyAlignment="1">
      <alignment vertical="top"/>
    </xf>
    <xf numFmtId="0" fontId="28" fillId="2" borderId="12" xfId="0" applyFont="1" applyFill="1" applyBorder="1" applyAlignment="1">
      <alignment horizontal="center" vertical="top"/>
    </xf>
    <xf numFmtId="0" fontId="28" fillId="2" borderId="13" xfId="0" applyFont="1" applyFill="1" applyBorder="1" applyAlignment="1">
      <alignment horizontal="center" vertical="top"/>
    </xf>
    <xf numFmtId="0" fontId="35" fillId="0" borderId="0" xfId="0" applyFont="1">
      <alignment vertical="center"/>
    </xf>
    <xf numFmtId="0" fontId="19" fillId="2" borderId="12" xfId="0" applyFont="1" applyFill="1" applyBorder="1" applyAlignment="1">
      <alignment horizontal="center" vertical="top"/>
    </xf>
    <xf numFmtId="0" fontId="19" fillId="2" borderId="13" xfId="0" applyFont="1" applyFill="1" applyBorder="1" applyAlignment="1">
      <alignment horizontal="center" vertical="top"/>
    </xf>
    <xf numFmtId="0" fontId="19" fillId="2" borderId="14" xfId="0" applyFont="1" applyFill="1" applyBorder="1" applyAlignment="1">
      <alignment horizontal="center" vertical="top"/>
    </xf>
    <xf numFmtId="0" fontId="29" fillId="0" borderId="0" xfId="0" applyFont="1">
      <alignment vertical="center"/>
    </xf>
    <xf numFmtId="0" fontId="20" fillId="0" borderId="5" xfId="0" applyFont="1" applyBorder="1">
      <alignment vertical="center"/>
    </xf>
    <xf numFmtId="0" fontId="20" fillId="0" borderId="6" xfId="0" applyFont="1" applyBorder="1" applyAlignment="1">
      <alignment horizontal="center" vertical="center"/>
    </xf>
    <xf numFmtId="0" fontId="16" fillId="0" borderId="9" xfId="0" applyFont="1" applyBorder="1">
      <alignment vertical="center"/>
    </xf>
    <xf numFmtId="0" fontId="16" fillId="0" borderId="10" xfId="0" applyFont="1" applyBorder="1" applyAlignment="1">
      <alignment horizontal="center" vertical="center"/>
    </xf>
    <xf numFmtId="0" fontId="20" fillId="0" borderId="6" xfId="0" applyFont="1" applyBorder="1">
      <alignment vertical="center"/>
    </xf>
    <xf numFmtId="1" fontId="20" fillId="0" borderId="6" xfId="0" applyNumberFormat="1" applyFont="1" applyBorder="1" applyAlignment="1">
      <alignment horizontal="center" vertical="center"/>
    </xf>
    <xf numFmtId="0" fontId="20" fillId="0" borderId="9" xfId="0" applyFont="1" applyBorder="1">
      <alignment vertical="center"/>
    </xf>
    <xf numFmtId="0" fontId="20" fillId="0" borderId="10" xfId="0" applyFont="1" applyBorder="1">
      <alignment vertical="center"/>
    </xf>
    <xf numFmtId="1" fontId="20" fillId="0" borderId="10" xfId="0" applyNumberFormat="1" applyFont="1" applyBorder="1" applyAlignment="1">
      <alignment horizontal="center" vertical="center"/>
    </xf>
    <xf numFmtId="0" fontId="20" fillId="0" borderId="7" xfId="0" applyFont="1" applyBorder="1">
      <alignment vertical="center"/>
    </xf>
    <xf numFmtId="0" fontId="20" fillId="0" borderId="11" xfId="0" applyFont="1" applyBorder="1">
      <alignment vertical="center"/>
    </xf>
    <xf numFmtId="0" fontId="29" fillId="0" borderId="0" xfId="0" applyFont="1" applyFill="1" applyBorder="1">
      <alignment vertical="center"/>
    </xf>
    <xf numFmtId="176" fontId="20" fillId="0" borderId="6" xfId="0" applyNumberFormat="1" applyFont="1" applyBorder="1" applyAlignment="1">
      <alignment horizontal="center" vertical="center"/>
    </xf>
    <xf numFmtId="0" fontId="30" fillId="0" borderId="7" xfId="0" applyFont="1" applyBorder="1">
      <alignment vertical="center"/>
    </xf>
    <xf numFmtId="0" fontId="23" fillId="0" borderId="7" xfId="0" applyFont="1" applyBorder="1">
      <alignment vertical="center"/>
    </xf>
    <xf numFmtId="176" fontId="16" fillId="0" borderId="10" xfId="0" applyNumberFormat="1" applyFont="1" applyBorder="1" applyAlignment="1">
      <alignment horizontal="center" vertical="center"/>
    </xf>
    <xf numFmtId="0" fontId="37" fillId="0" borderId="7" xfId="0" applyFont="1" applyBorder="1">
      <alignment vertical="center"/>
    </xf>
    <xf numFmtId="0" fontId="29" fillId="0" borderId="0" xfId="0" applyFont="1" applyFill="1" applyBorder="1" applyAlignment="1">
      <alignment vertical="top"/>
    </xf>
    <xf numFmtId="0" fontId="15" fillId="0" borderId="0" xfId="0" applyFont="1" applyAlignment="1">
      <alignment vertical="top"/>
    </xf>
    <xf numFmtId="0" fontId="16" fillId="0" borderId="0" xfId="0" applyFont="1" applyAlignment="1">
      <alignment vertical="top"/>
    </xf>
    <xf numFmtId="0" fontId="20" fillId="0" borderId="0" xfId="0" applyFont="1" applyAlignment="1">
      <alignment vertical="top" wrapText="1"/>
    </xf>
    <xf numFmtId="0" fontId="22" fillId="0" borderId="0" xfId="0" applyFont="1" applyAlignment="1">
      <alignment vertical="top" wrapText="1"/>
    </xf>
    <xf numFmtId="0" fontId="16" fillId="0" borderId="0" xfId="0" applyFont="1" applyFill="1" applyBorder="1" applyAlignment="1">
      <alignment vertical="top"/>
    </xf>
    <xf numFmtId="0" fontId="23" fillId="0" borderId="0" xfId="0" applyFont="1" applyAlignment="1">
      <alignment vertical="top" wrapText="1"/>
    </xf>
    <xf numFmtId="0" fontId="20" fillId="0" borderId="8" xfId="0" applyFont="1" applyBorder="1">
      <alignment vertical="center"/>
    </xf>
    <xf numFmtId="176" fontId="15" fillId="0" borderId="0" xfId="0" applyNumberFormat="1" applyFont="1">
      <alignment vertical="center"/>
    </xf>
    <xf numFmtId="0" fontId="20" fillId="0" borderId="0" xfId="0" applyFont="1">
      <alignment vertical="center"/>
    </xf>
    <xf numFmtId="0" fontId="41" fillId="0" borderId="0" xfId="0" applyFont="1">
      <alignment vertical="center"/>
    </xf>
    <xf numFmtId="0" fontId="42" fillId="0" borderId="0" xfId="0" applyFont="1">
      <alignment vertical="center"/>
    </xf>
    <xf numFmtId="0" fontId="43" fillId="0" borderId="0" xfId="0" applyFont="1">
      <alignment vertical="center"/>
    </xf>
    <xf numFmtId="0" fontId="44" fillId="0" borderId="0" xfId="0" applyFont="1">
      <alignment vertical="center"/>
    </xf>
    <xf numFmtId="0" fontId="45" fillId="0" borderId="0" xfId="0" applyFont="1">
      <alignment vertical="center"/>
    </xf>
    <xf numFmtId="0" fontId="46" fillId="0" borderId="0" xfId="0" applyFont="1">
      <alignment vertical="center"/>
    </xf>
    <xf numFmtId="0" fontId="47" fillId="0" borderId="0" xfId="0" applyFont="1">
      <alignment vertical="center"/>
    </xf>
    <xf numFmtId="0" fontId="48" fillId="0" borderId="0" xfId="0" applyFont="1">
      <alignment vertical="center"/>
    </xf>
    <xf numFmtId="0" fontId="49" fillId="0" borderId="0" xfId="0" applyFont="1">
      <alignment vertical="center"/>
    </xf>
    <xf numFmtId="0" fontId="3" fillId="0" borderId="10" xfId="0" applyFont="1" applyBorder="1" applyAlignment="1">
      <alignment horizontal="center" vertical="center"/>
    </xf>
    <xf numFmtId="0" fontId="50" fillId="0" borderId="7" xfId="0" applyFont="1" applyBorder="1">
      <alignment vertical="center"/>
    </xf>
    <xf numFmtId="0" fontId="51" fillId="0" borderId="5" xfId="0" applyFont="1" applyBorder="1" applyAlignment="1">
      <alignment vertical="top"/>
    </xf>
    <xf numFmtId="0" fontId="51" fillId="0" borderId="9" xfId="0" applyFont="1" applyBorder="1" applyAlignment="1">
      <alignment vertical="top"/>
    </xf>
    <xf numFmtId="0" fontId="51" fillId="0" borderId="0" xfId="0" applyFont="1">
      <alignment vertical="center"/>
    </xf>
    <xf numFmtId="0" fontId="25" fillId="0" borderId="6" xfId="0" applyFont="1" applyBorder="1" applyAlignment="1">
      <alignment horizontal="left" vertical="top"/>
    </xf>
    <xf numFmtId="0" fontId="25" fillId="0" borderId="10" xfId="0" applyFont="1" applyBorder="1" applyAlignment="1">
      <alignment horizontal="left" vertical="top"/>
    </xf>
    <xf numFmtId="0" fontId="25" fillId="0" borderId="0" xfId="0" applyFont="1" applyAlignment="1">
      <alignment horizontal="left" vertical="center"/>
    </xf>
    <xf numFmtId="0" fontId="21" fillId="0" borderId="0" xfId="0" applyFont="1">
      <alignment vertical="center"/>
    </xf>
    <xf numFmtId="0" fontId="28" fillId="3" borderId="15" xfId="0" applyFont="1" applyFill="1" applyBorder="1" applyAlignment="1">
      <alignment horizontal="center" vertical="top"/>
    </xf>
    <xf numFmtId="0" fontId="17" fillId="0" borderId="6" xfId="0" applyFont="1" applyBorder="1" applyAlignment="1">
      <alignment vertical="top"/>
    </xf>
    <xf numFmtId="0" fontId="17" fillId="0" borderId="10" xfId="0" applyFont="1" applyBorder="1" applyAlignment="1">
      <alignment vertical="top"/>
    </xf>
    <xf numFmtId="0" fontId="38" fillId="0" borderId="6" xfId="0" applyFont="1" applyBorder="1" applyAlignment="1">
      <alignment horizontal="center" vertical="top"/>
    </xf>
    <xf numFmtId="0" fontId="38" fillId="0" borderId="10" xfId="0" applyFont="1" applyBorder="1" applyAlignment="1">
      <alignment horizontal="center" vertical="top"/>
    </xf>
    <xf numFmtId="0" fontId="52" fillId="0" borderId="6" xfId="0" applyFont="1" applyBorder="1" applyAlignment="1">
      <alignment vertical="top"/>
    </xf>
    <xf numFmtId="0" fontId="52" fillId="0" borderId="10" xfId="0" applyFont="1" applyBorder="1" applyAlignment="1">
      <alignment vertical="top"/>
    </xf>
    <xf numFmtId="176" fontId="20" fillId="0" borderId="7" xfId="0" applyNumberFormat="1" applyFont="1" applyBorder="1" applyAlignment="1">
      <alignment horizontal="center" vertical="center"/>
    </xf>
    <xf numFmtId="176" fontId="16" fillId="0" borderId="11" xfId="0" applyNumberFormat="1" applyFont="1" applyBorder="1" applyAlignment="1">
      <alignment horizontal="center" vertical="center"/>
    </xf>
    <xf numFmtId="0" fontId="39" fillId="0" borderId="0" xfId="0" applyFont="1" applyAlignment="1">
      <alignment horizontal="center" vertical="center"/>
    </xf>
    <xf numFmtId="0" fontId="28" fillId="2" borderId="0" xfId="0" applyFont="1" applyFill="1" applyAlignment="1">
      <alignment horizontal="center" vertical="center"/>
    </xf>
    <xf numFmtId="0" fontId="20" fillId="0" borderId="0" xfId="0" applyFont="1" applyAlignment="1">
      <alignment horizontal="center" vertical="center"/>
    </xf>
    <xf numFmtId="0" fontId="16" fillId="0" borderId="0" xfId="0" applyFont="1" applyAlignment="1">
      <alignment horizontal="center" vertical="center"/>
    </xf>
    <xf numFmtId="176" fontId="16" fillId="0" borderId="0" xfId="0" applyNumberFormat="1" applyFont="1" applyAlignment="1">
      <alignment horizontal="center" vertical="center"/>
    </xf>
    <xf numFmtId="1" fontId="28" fillId="2" borderId="6" xfId="0" applyNumberFormat="1" applyFont="1" applyFill="1" applyBorder="1" applyAlignment="1">
      <alignment horizontal="center" vertical="center"/>
    </xf>
    <xf numFmtId="0" fontId="28" fillId="2" borderId="6" xfId="0" applyFont="1" applyFill="1" applyBorder="1" applyAlignment="1">
      <alignment horizontal="center" vertical="center"/>
    </xf>
    <xf numFmtId="1" fontId="28" fillId="2" borderId="7" xfId="0" applyNumberFormat="1" applyFont="1" applyFill="1" applyBorder="1" applyAlignment="1">
      <alignment horizontal="center" vertical="center"/>
    </xf>
    <xf numFmtId="1" fontId="20" fillId="0" borderId="7" xfId="0" applyNumberFormat="1" applyFont="1" applyBorder="1" applyAlignment="1">
      <alignment horizontal="center" vertical="center"/>
    </xf>
    <xf numFmtId="1" fontId="20" fillId="0" borderId="11" xfId="0" applyNumberFormat="1" applyFont="1" applyBorder="1" applyAlignment="1">
      <alignment horizontal="center" vertical="center"/>
    </xf>
    <xf numFmtId="1" fontId="20" fillId="0" borderId="0" xfId="0" applyNumberFormat="1" applyFont="1" applyAlignment="1">
      <alignment horizontal="center" vertical="center"/>
    </xf>
    <xf numFmtId="0" fontId="12" fillId="0" borderId="6" xfId="0" applyFont="1" applyBorder="1" applyAlignment="1">
      <alignment vertical="top"/>
    </xf>
    <xf numFmtId="0" fontId="12" fillId="0" borderId="10" xfId="0" applyFont="1" applyBorder="1" applyAlignment="1">
      <alignment vertical="top"/>
    </xf>
    <xf numFmtId="0" fontId="12" fillId="0" borderId="7" xfId="0" applyFont="1" applyBorder="1" applyAlignment="1">
      <alignment vertical="top"/>
    </xf>
    <xf numFmtId="0" fontId="12" fillId="0" borderId="11" xfId="0" applyFont="1" applyBorder="1" applyAlignment="1">
      <alignment vertical="top"/>
    </xf>
    <xf numFmtId="0" fontId="53" fillId="2" borderId="0" xfId="0" applyFont="1" applyFill="1" applyBorder="1" applyAlignment="1">
      <alignment horizontal="center" vertical="top"/>
    </xf>
    <xf numFmtId="0" fontId="3" fillId="0" borderId="7" xfId="0" applyFont="1" applyBorder="1" applyAlignment="1">
      <alignment horizontal="center" vertical="center"/>
    </xf>
    <xf numFmtId="0" fontId="4" fillId="0" borderId="11" xfId="0" applyFont="1" applyBorder="1" applyAlignment="1">
      <alignment horizontal="center" vertical="center"/>
    </xf>
    <xf numFmtId="0" fontId="16" fillId="0" borderId="2" xfId="0" applyFont="1" applyBorder="1" applyAlignment="1">
      <alignment horizontal="center" vertical="top"/>
    </xf>
    <xf numFmtId="0" fontId="16" fillId="0" borderId="18" xfId="0" applyFont="1" applyBorder="1" applyAlignment="1">
      <alignment horizontal="center" vertical="top"/>
    </xf>
    <xf numFmtId="0" fontId="4" fillId="0" borderId="6" xfId="0" applyFont="1" applyBorder="1" applyAlignment="1">
      <alignment horizontal="center" vertical="center"/>
    </xf>
    <xf numFmtId="0" fontId="3" fillId="0" borderId="3" xfId="0" applyFont="1" applyBorder="1" applyAlignment="1">
      <alignment horizontal="center" vertical="center"/>
    </xf>
    <xf numFmtId="0" fontId="50" fillId="0" borderId="4" xfId="0" applyFont="1" applyBorder="1">
      <alignment vertical="center"/>
    </xf>
    <xf numFmtId="0" fontId="4" fillId="0" borderId="6" xfId="0" applyFont="1" applyFill="1" applyBorder="1" applyAlignment="1">
      <alignment horizontal="center" vertical="top"/>
    </xf>
    <xf numFmtId="0" fontId="27" fillId="0" borderId="6" xfId="0" applyFont="1" applyBorder="1" applyAlignment="1">
      <alignment horizontal="center" vertical="top"/>
    </xf>
    <xf numFmtId="0" fontId="9" fillId="0" borderId="6" xfId="0" applyFont="1" applyBorder="1" applyAlignment="1">
      <alignment horizontal="center" vertical="top"/>
    </xf>
    <xf numFmtId="0" fontId="4" fillId="0" borderId="6" xfId="0" applyFont="1" applyBorder="1" applyAlignment="1">
      <alignment horizontal="center" vertical="top"/>
    </xf>
    <xf numFmtId="0" fontId="4" fillId="0" borderId="10" xfId="0" applyFont="1" applyBorder="1" applyAlignment="1">
      <alignment horizontal="center" vertical="top"/>
    </xf>
    <xf numFmtId="180" fontId="3" fillId="0" borderId="6" xfId="0" applyNumberFormat="1" applyFont="1" applyBorder="1" applyAlignment="1">
      <alignment horizontal="center" vertical="top"/>
    </xf>
    <xf numFmtId="180" fontId="3" fillId="0" borderId="10" xfId="0" applyNumberFormat="1" applyFont="1" applyBorder="1" applyAlignment="1">
      <alignment horizontal="center" vertical="top"/>
    </xf>
    <xf numFmtId="1" fontId="4" fillId="0" borderId="6" xfId="0" applyNumberFormat="1" applyFont="1" applyBorder="1" applyAlignment="1">
      <alignment horizontal="center" vertical="top"/>
    </xf>
    <xf numFmtId="1" fontId="4" fillId="0" borderId="10" xfId="0" applyNumberFormat="1" applyFont="1" applyBorder="1" applyAlignment="1">
      <alignment horizontal="center" vertical="top"/>
    </xf>
    <xf numFmtId="0" fontId="54" fillId="0" borderId="0" xfId="0" applyFont="1">
      <alignment vertical="center"/>
    </xf>
    <xf numFmtId="0" fontId="4" fillId="0" borderId="5" xfId="0" applyFont="1" applyBorder="1">
      <alignment vertical="center"/>
    </xf>
    <xf numFmtId="0" fontId="4" fillId="0" borderId="7" xfId="0" applyFont="1" applyBorder="1">
      <alignment vertical="center"/>
    </xf>
    <xf numFmtId="0" fontId="3" fillId="0" borderId="12" xfId="0" applyFont="1" applyBorder="1">
      <alignment vertical="center"/>
    </xf>
    <xf numFmtId="0" fontId="3" fillId="0" borderId="13" xfId="0" applyFont="1" applyBorder="1">
      <alignment vertical="center"/>
    </xf>
    <xf numFmtId="0" fontId="3" fillId="0" borderId="14" xfId="0" applyFont="1" applyBorder="1">
      <alignment vertical="center"/>
    </xf>
    <xf numFmtId="0" fontId="4" fillId="0" borderId="11" xfId="0" applyFont="1" applyBorder="1">
      <alignment vertical="center"/>
    </xf>
    <xf numFmtId="0" fontId="56" fillId="0" borderId="7" xfId="0" applyFont="1" applyBorder="1" applyAlignment="1">
      <alignment vertical="top"/>
    </xf>
    <xf numFmtId="0" fontId="56" fillId="0" borderId="11" xfId="0" applyFont="1" applyBorder="1" applyAlignment="1">
      <alignment vertical="top"/>
    </xf>
    <xf numFmtId="49" fontId="55" fillId="0" borderId="6" xfId="0" applyNumberFormat="1" applyFont="1" applyBorder="1" applyAlignment="1">
      <alignment horizontal="center" vertical="top"/>
    </xf>
    <xf numFmtId="49" fontId="55" fillId="0" borderId="10" xfId="0" applyNumberFormat="1" applyFont="1" applyBorder="1" applyAlignment="1">
      <alignment horizontal="center" vertical="top"/>
    </xf>
    <xf numFmtId="0" fontId="6" fillId="3" borderId="12" xfId="0" applyFont="1" applyFill="1" applyBorder="1" applyAlignment="1">
      <alignment horizontal="center" vertical="top"/>
    </xf>
    <xf numFmtId="0" fontId="6" fillId="3" borderId="13" xfId="0" applyFont="1" applyFill="1" applyBorder="1" applyAlignment="1">
      <alignment horizontal="center" vertical="top"/>
    </xf>
    <xf numFmtId="0" fontId="6" fillId="3" borderId="14" xfId="0" applyFont="1" applyFill="1" applyBorder="1" applyAlignment="1">
      <alignment horizontal="center" vertical="top"/>
    </xf>
    <xf numFmtId="0" fontId="4" fillId="0" borderId="6" xfId="0" applyFont="1" applyBorder="1" applyAlignment="1">
      <alignment vertical="top"/>
    </xf>
    <xf numFmtId="0" fontId="4" fillId="0" borderId="10" xfId="0" applyFont="1" applyBorder="1" applyAlignment="1">
      <alignment vertical="top"/>
    </xf>
    <xf numFmtId="0" fontId="56" fillId="0" borderId="6" xfId="0" applyFont="1" applyBorder="1" applyAlignment="1">
      <alignment vertical="top"/>
    </xf>
    <xf numFmtId="0" fontId="56" fillId="0" borderId="10" xfId="0" applyFont="1" applyBorder="1" applyAlignment="1">
      <alignment vertical="top"/>
    </xf>
    <xf numFmtId="0" fontId="4" fillId="0" borderId="7" xfId="0" applyFont="1" applyBorder="1" applyAlignment="1">
      <alignment horizontal="center" vertical="center"/>
    </xf>
    <xf numFmtId="0" fontId="6" fillId="3" borderId="12" xfId="0" applyFont="1" applyFill="1" applyBorder="1" applyAlignment="1">
      <alignment horizontal="center" vertical="center"/>
    </xf>
    <xf numFmtId="0" fontId="6" fillId="3" borderId="13" xfId="0" applyFont="1" applyFill="1" applyBorder="1" applyAlignment="1">
      <alignment horizontal="center" vertical="center"/>
    </xf>
    <xf numFmtId="0" fontId="6" fillId="3" borderId="14" xfId="0" applyFont="1" applyFill="1" applyBorder="1" applyAlignment="1">
      <alignment horizontal="center" vertical="center"/>
    </xf>
    <xf numFmtId="0" fontId="54" fillId="0" borderId="0" xfId="0" applyFont="1" applyFill="1" applyBorder="1">
      <alignment vertical="center"/>
    </xf>
    <xf numFmtId="0" fontId="6" fillId="4" borderId="12" xfId="0" applyFont="1" applyFill="1" applyBorder="1" applyAlignment="1">
      <alignment horizontal="center" vertical="top"/>
    </xf>
    <xf numFmtId="0" fontId="6" fillId="4" borderId="13" xfId="0" applyFont="1" applyFill="1" applyBorder="1" applyAlignment="1">
      <alignment horizontal="center" vertical="top"/>
    </xf>
    <xf numFmtId="0" fontId="6" fillId="4" borderId="14" xfId="0" applyFont="1" applyFill="1" applyBorder="1" applyAlignment="1">
      <alignment horizontal="center" vertical="top"/>
    </xf>
    <xf numFmtId="0" fontId="3" fillId="0" borderId="7" xfId="0" applyFont="1" applyBorder="1" applyAlignment="1">
      <alignment horizontal="center" vertical="top"/>
    </xf>
    <xf numFmtId="0" fontId="3" fillId="0" borderId="11" xfId="0" applyFont="1" applyBorder="1" applyAlignment="1">
      <alignment horizontal="center" vertical="top"/>
    </xf>
    <xf numFmtId="0" fontId="6" fillId="4" borderId="12" xfId="0" applyFont="1" applyFill="1" applyBorder="1" applyAlignment="1">
      <alignment horizontal="center" vertical="center"/>
    </xf>
    <xf numFmtId="0" fontId="6" fillId="4" borderId="13" xfId="0" applyFont="1" applyFill="1" applyBorder="1" applyAlignment="1">
      <alignment horizontal="center" vertical="center"/>
    </xf>
    <xf numFmtId="0" fontId="6" fillId="4" borderId="14" xfId="0" applyFont="1" applyFill="1" applyBorder="1" applyAlignment="1">
      <alignment horizontal="center" vertical="center"/>
    </xf>
    <xf numFmtId="0" fontId="57" fillId="2" borderId="19" xfId="0" applyFont="1" applyFill="1" applyBorder="1" applyAlignment="1">
      <alignment horizontal="center" vertical="center"/>
    </xf>
    <xf numFmtId="181" fontId="3" fillId="0" borderId="6" xfId="0" applyNumberFormat="1" applyFont="1" applyBorder="1" applyAlignment="1">
      <alignment horizontal="center" vertical="center"/>
    </xf>
    <xf numFmtId="181" fontId="4" fillId="0" borderId="6" xfId="0" applyNumberFormat="1" applyFont="1" applyBorder="1" applyAlignment="1">
      <alignment horizontal="center" vertical="center"/>
    </xf>
    <xf numFmtId="0" fontId="4" fillId="0" borderId="6" xfId="0" applyFont="1" applyBorder="1">
      <alignment vertical="center"/>
    </xf>
    <xf numFmtId="181" fontId="4" fillId="0" borderId="10" xfId="0" applyNumberFormat="1" applyFont="1" applyBorder="1" applyAlignment="1">
      <alignment horizontal="center" vertical="center"/>
    </xf>
    <xf numFmtId="0" fontId="56" fillId="0" borderId="6" xfId="0" applyFont="1" applyBorder="1" applyAlignment="1">
      <alignment horizontal="center" vertical="top"/>
    </xf>
    <xf numFmtId="0" fontId="56" fillId="0" borderId="10" xfId="0" applyFont="1" applyBorder="1" applyAlignment="1">
      <alignment horizontal="center" vertical="top"/>
    </xf>
    <xf numFmtId="0" fontId="32" fillId="0" borderId="0" xfId="0" applyFont="1" applyAlignment="1">
      <alignment horizontal="left" vertical="center"/>
    </xf>
    <xf numFmtId="0" fontId="28" fillId="2" borderId="13" xfId="0" applyFont="1" applyFill="1" applyBorder="1" applyAlignment="1">
      <alignment horizontal="left" vertical="top"/>
    </xf>
    <xf numFmtId="0" fontId="32" fillId="0" borderId="0" xfId="0" applyFont="1" applyAlignment="1">
      <alignment vertical="center"/>
    </xf>
    <xf numFmtId="0" fontId="28" fillId="2" borderId="13" xfId="0" applyFont="1" applyFill="1" applyBorder="1" applyAlignment="1">
      <alignment vertical="top"/>
    </xf>
    <xf numFmtId="0" fontId="28" fillId="2" borderId="17" xfId="0" applyFont="1" applyFill="1" applyBorder="1" applyAlignment="1">
      <alignment horizontal="center" vertical="center"/>
    </xf>
    <xf numFmtId="0" fontId="24" fillId="0" borderId="1" xfId="0" applyFont="1" applyBorder="1" applyAlignment="1">
      <alignment vertical="top"/>
    </xf>
    <xf numFmtId="0" fontId="24" fillId="0" borderId="16" xfId="0" applyFont="1" applyBorder="1" applyAlignment="1">
      <alignment vertical="top"/>
    </xf>
  </cellXfs>
  <cellStyles count="1">
    <cellStyle name="標準" xfId="0" builtinId="0"/>
  </cellStyles>
  <dxfs count="75">
    <dxf>
      <font>
        <color rgb="FF808080"/>
      </font>
      <fill>
        <patternFill patternType="solid">
          <fgColor indexed="64"/>
          <bgColor rgb="FFF2F2F2"/>
        </patternFill>
      </fill>
    </dxf>
    <dxf>
      <font>
        <color rgb="FF843C0C"/>
      </font>
      <fill>
        <patternFill patternType="solid">
          <fgColor indexed="64"/>
          <bgColor rgb="FFFCE4D6"/>
        </patternFill>
      </fill>
    </dxf>
    <dxf>
      <font>
        <color rgb="FF7F6000"/>
      </font>
      <fill>
        <patternFill patternType="solid">
          <fgColor indexed="64"/>
          <bgColor rgb="FFFFEB9C"/>
        </patternFill>
      </fill>
    </dxf>
    <dxf>
      <font>
        <color rgb="FF1F4E79"/>
      </font>
      <fill>
        <patternFill patternType="solid">
          <fgColor indexed="64"/>
          <bgColor rgb="FFDDEBF7"/>
        </patternFill>
      </fill>
    </dxf>
    <dxf>
      <font>
        <color rgb="FF0B6B2F"/>
      </font>
      <fill>
        <patternFill patternType="solid">
          <fgColor indexed="64"/>
          <bgColor rgb="FFC6EFCE"/>
        </patternFill>
      </fill>
    </dxf>
    <dxf>
      <font>
        <color rgb="FF808080"/>
      </font>
      <fill>
        <patternFill patternType="solid">
          <fgColor indexed="64"/>
          <bgColor rgb="FFF2F2F2"/>
        </patternFill>
      </fill>
    </dxf>
    <dxf>
      <font>
        <color rgb="FF843C0C"/>
      </font>
      <fill>
        <patternFill patternType="solid">
          <fgColor indexed="64"/>
          <bgColor rgb="FFFCE4D6"/>
        </patternFill>
      </fill>
    </dxf>
    <dxf>
      <font>
        <color rgb="FF7F6000"/>
      </font>
      <fill>
        <patternFill patternType="solid">
          <fgColor indexed="64"/>
          <bgColor rgb="FFFFEB9C"/>
        </patternFill>
      </fill>
    </dxf>
    <dxf>
      <font>
        <color rgb="FF1F4E79"/>
      </font>
      <fill>
        <patternFill patternType="solid">
          <fgColor indexed="64"/>
          <bgColor rgb="FFDDEBF7"/>
        </patternFill>
      </fill>
    </dxf>
    <dxf>
      <font>
        <color rgb="FF0B6B2F"/>
      </font>
      <fill>
        <patternFill patternType="solid">
          <fgColor indexed="64"/>
          <bgColor rgb="FFC6EFCE"/>
        </patternFill>
      </fill>
    </dxf>
    <dxf>
      <font>
        <color rgb="FF843C0C"/>
      </font>
      <fill>
        <patternFill patternType="solid">
          <fgColor indexed="64"/>
          <bgColor rgb="FFFCE4D6"/>
        </patternFill>
      </fill>
    </dxf>
    <dxf>
      <fill>
        <patternFill patternType="solid">
          <fgColor indexed="64"/>
          <bgColor rgb="FFFDECEA"/>
        </patternFill>
      </fill>
    </dxf>
    <dxf>
      <fill>
        <patternFill patternType="solid">
          <fgColor indexed="64"/>
          <bgColor rgb="FFEEF6F8"/>
        </patternFill>
      </fill>
    </dxf>
    <dxf>
      <fill>
        <patternFill patternType="solid">
          <fgColor indexed="64"/>
          <bgColor rgb="FFFDF3E7"/>
        </patternFill>
      </fill>
    </dxf>
    <dxf>
      <fill>
        <patternFill patternType="solid">
          <fgColor indexed="64"/>
          <bgColor rgb="FFEAF1FB"/>
        </patternFill>
      </fill>
    </dxf>
    <dxf>
      <font>
        <color rgb="FF843C0C"/>
      </font>
      <fill>
        <patternFill patternType="solid">
          <fgColor indexed="64"/>
          <bgColor rgb="FFFCE4D6"/>
        </patternFill>
      </fill>
    </dxf>
    <dxf>
      <font>
        <color rgb="FF7F6000"/>
      </font>
      <fill>
        <patternFill patternType="solid">
          <fgColor indexed="64"/>
          <bgColor rgb="FFFFF2CC"/>
        </patternFill>
      </fill>
    </dxf>
    <dxf>
      <font>
        <color rgb="FF843C0C"/>
      </font>
      <fill>
        <patternFill patternType="solid">
          <fgColor indexed="64"/>
          <bgColor rgb="FFFCE4D6"/>
        </patternFill>
      </fill>
    </dxf>
    <dxf>
      <font>
        <color rgb="FF7F6000"/>
      </font>
      <fill>
        <patternFill patternType="solid">
          <fgColor indexed="64"/>
          <bgColor rgb="FFFFF2CC"/>
        </patternFill>
      </fill>
    </dxf>
    <dxf>
      <font>
        <color rgb="FF0B6B2F"/>
      </font>
      <fill>
        <patternFill patternType="solid">
          <fgColor indexed="64"/>
          <bgColor rgb="FFE2EFDA"/>
        </patternFill>
      </fill>
    </dxf>
    <dxf>
      <font>
        <color rgb="FF808080"/>
      </font>
      <fill>
        <patternFill patternType="solid">
          <fgColor indexed="64"/>
          <bgColor rgb="FFF2F2F2"/>
        </patternFill>
      </fill>
    </dxf>
    <dxf>
      <font>
        <color rgb="FF843C0C"/>
      </font>
      <fill>
        <patternFill patternType="solid">
          <fgColor indexed="64"/>
          <bgColor rgb="FFFCE4D6"/>
        </patternFill>
      </fill>
    </dxf>
    <dxf>
      <font>
        <color rgb="FF7F6000"/>
      </font>
      <fill>
        <patternFill patternType="solid">
          <fgColor indexed="64"/>
          <bgColor rgb="FFFFEB9C"/>
        </patternFill>
      </fill>
    </dxf>
    <dxf>
      <font>
        <color rgb="FF1F4E79"/>
      </font>
      <fill>
        <patternFill patternType="solid">
          <fgColor indexed="64"/>
          <bgColor rgb="FFDDEBF7"/>
        </patternFill>
      </fill>
    </dxf>
    <dxf>
      <font>
        <color rgb="FF0B6B2F"/>
      </font>
      <fill>
        <patternFill patternType="solid">
          <fgColor indexed="64"/>
          <bgColor rgb="FFC6EFCE"/>
        </patternFill>
      </fill>
    </dxf>
    <dxf>
      <font>
        <color rgb="FF843C0C"/>
      </font>
      <fill>
        <patternFill patternType="solid">
          <fgColor indexed="64"/>
          <bgColor rgb="FFFCE4D6"/>
        </patternFill>
      </fill>
    </dxf>
    <dxf>
      <font>
        <color rgb="FF808080"/>
      </font>
      <fill>
        <patternFill patternType="solid">
          <fgColor indexed="64"/>
          <bgColor rgb="FFF2F2F2"/>
        </patternFill>
      </fill>
    </dxf>
    <dxf>
      <font>
        <color rgb="FF7F6000"/>
      </font>
      <fill>
        <patternFill patternType="solid">
          <fgColor indexed="64"/>
          <bgColor rgb="FFFFF2CC"/>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BFBFBF"/>
      </font>
      <fill>
        <patternFill patternType="solid">
          <fgColor indexed="64"/>
          <bgColor rgb="FFF2F2F2"/>
        </patternFill>
      </fill>
    </dxf>
    <dxf>
      <font>
        <color rgb="FF808080"/>
      </font>
      <fill>
        <patternFill patternType="solid">
          <fgColor indexed="64"/>
          <bgColor rgb="FFF2F2F2"/>
        </patternFill>
      </fill>
    </dxf>
    <dxf>
      <font>
        <color rgb="FF1F4E79"/>
      </font>
      <fill>
        <patternFill patternType="solid">
          <fgColor indexed="64"/>
          <bgColor rgb="FFDDEBF7"/>
        </patternFill>
      </fill>
    </dxf>
    <dxf>
      <font>
        <color rgb="FF7F6000"/>
      </font>
      <fill>
        <patternFill patternType="solid">
          <fgColor indexed="64"/>
          <bgColor rgb="FFFFF2CC"/>
        </patternFill>
      </fill>
    </dxf>
    <dxf>
      <font>
        <color rgb="FF9C0006"/>
      </font>
      <fill>
        <patternFill patternType="solid">
          <fgColor indexed="64"/>
          <bgColor rgb="FFFFC7CE"/>
        </patternFill>
      </fill>
    </dxf>
    <dxf>
      <font>
        <color rgb="FF808080"/>
      </font>
      <fill>
        <patternFill patternType="solid">
          <fgColor indexed="64"/>
          <bgColor rgb="FFF2F2F2"/>
        </patternFill>
      </fill>
    </dxf>
    <dxf>
      <font>
        <color rgb="FF0B6B2F"/>
      </font>
      <fill>
        <patternFill patternType="solid">
          <fgColor indexed="64"/>
          <bgColor rgb="FFE8F4EA"/>
        </patternFill>
      </fill>
    </dxf>
    <dxf>
      <font>
        <color rgb="FF000000"/>
      </font>
      <fill>
        <patternFill patternType="solid">
          <fgColor indexed="64"/>
          <bgColor rgb="FFFFFFFF"/>
        </patternFill>
      </fill>
    </dxf>
    <dxf>
      <font>
        <color rgb="FF7F6000"/>
      </font>
      <fill>
        <patternFill patternType="solid">
          <fgColor indexed="64"/>
          <bgColor rgb="FFFFF2CC"/>
        </patternFill>
      </fill>
    </dxf>
    <dxf>
      <font>
        <color rgb="FF9C0006"/>
      </font>
      <fill>
        <patternFill patternType="solid">
          <fgColor indexed="64"/>
          <bgColor rgb="FFFFC7CE"/>
        </patternFill>
      </fill>
    </dxf>
    <dxf>
      <fill>
        <patternFill patternType="solid">
          <fgColor indexed="64"/>
          <bgColor rgb="FFEAF6F1"/>
        </patternFill>
      </fill>
    </dxf>
    <dxf>
      <fill>
        <patternFill patternType="solid">
          <fgColor indexed="64"/>
          <bgColor rgb="FFF7F7E8"/>
        </patternFill>
      </fill>
    </dxf>
    <dxf>
      <fill>
        <patternFill patternType="solid">
          <fgColor indexed="64"/>
          <bgColor rgb="FFF5F0FA"/>
        </patternFill>
      </fill>
    </dxf>
    <dxf>
      <fill>
        <patternFill patternType="solid">
          <fgColor indexed="64"/>
          <bgColor rgb="FFEEF6F8"/>
        </patternFill>
      </fill>
    </dxf>
    <dxf>
      <fill>
        <patternFill patternType="solid">
          <fgColor indexed="64"/>
          <bgColor rgb="FFFDECEA"/>
        </patternFill>
      </fill>
    </dxf>
    <dxf>
      <fill>
        <patternFill patternType="solid">
          <fgColor indexed="64"/>
          <bgColor rgb="FFFBEFF6"/>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ont>
        <color rgb="FF808080"/>
      </font>
      <fill>
        <patternFill patternType="solid">
          <fgColor indexed="64"/>
          <bgColor rgb="FFF2F2F2"/>
        </patternFill>
      </fill>
    </dxf>
    <dxf>
      <font>
        <color rgb="FF843C0C"/>
      </font>
      <fill>
        <patternFill patternType="solid">
          <fgColor indexed="64"/>
          <bgColor rgb="FFFCE4D6"/>
        </patternFill>
      </fill>
    </dxf>
    <dxf>
      <font>
        <color rgb="FF7F6000"/>
      </font>
      <fill>
        <patternFill patternType="solid">
          <fgColor indexed="64"/>
          <bgColor rgb="FFFFEB9C"/>
        </patternFill>
      </fill>
    </dxf>
    <dxf>
      <font>
        <color rgb="FF1F4E79"/>
      </font>
      <fill>
        <patternFill patternType="solid">
          <fgColor indexed="64"/>
          <bgColor rgb="FFDDEBF7"/>
        </patternFill>
      </fill>
    </dxf>
    <dxf>
      <font>
        <color rgb="FF0B6B2F"/>
      </font>
      <fill>
        <patternFill patternType="solid">
          <fgColor indexed="64"/>
          <bgColor rgb="FFC6EFCE"/>
        </patternFill>
      </fill>
    </dxf>
    <dxf>
      <font>
        <color rgb="FF808080"/>
      </font>
      <fill>
        <patternFill patternType="solid">
          <fgColor indexed="64"/>
          <bgColor rgb="FFF2F2F2"/>
        </patternFill>
      </fill>
    </dxf>
    <dxf>
      <font>
        <color rgb="FF843C0C"/>
      </font>
      <fill>
        <patternFill patternType="solid">
          <fgColor indexed="64"/>
          <bgColor rgb="FFFCE4D6"/>
        </patternFill>
      </fill>
    </dxf>
    <dxf>
      <font>
        <color rgb="FF7F6000"/>
      </font>
      <fill>
        <patternFill patternType="solid">
          <fgColor indexed="64"/>
          <bgColor rgb="FFFFEB9C"/>
        </patternFill>
      </fill>
    </dxf>
    <dxf>
      <font>
        <color rgb="FF1F4E79"/>
      </font>
      <fill>
        <patternFill patternType="solid">
          <fgColor indexed="64"/>
          <bgColor rgb="FFDDEBF7"/>
        </patternFill>
      </fill>
    </dxf>
    <dxf>
      <font>
        <color rgb="FF0B6B2F"/>
      </font>
      <fill>
        <patternFill patternType="solid">
          <fgColor indexed="64"/>
          <bgColor rgb="FFC6EFCE"/>
        </patternFill>
      </fill>
    </dxf>
    <dxf>
      <font>
        <color rgb="FF808080"/>
      </font>
      <fill>
        <patternFill patternType="solid">
          <fgColor indexed="64"/>
          <bgColor rgb="FFF2F2F2"/>
        </patternFill>
      </fill>
    </dxf>
    <dxf>
      <font>
        <color rgb="FF7F6000"/>
      </font>
      <fill>
        <patternFill patternType="solid">
          <fgColor indexed="64"/>
          <bgColor rgb="FFFFEB9C"/>
        </patternFill>
      </fill>
    </dxf>
    <dxf>
      <font>
        <color rgb="FF0B6B2F"/>
      </font>
      <fill>
        <patternFill patternType="solid">
          <fgColor indexed="64"/>
          <bgColor rgb="FFC6EFCE"/>
        </patternFill>
      </fill>
    </dxf>
    <dxf>
      <font>
        <color rgb="FF808080"/>
      </font>
      <fill>
        <patternFill patternType="solid">
          <fgColor indexed="64"/>
          <bgColor rgb="FFF2F2F2"/>
        </patternFill>
      </fill>
    </dxf>
    <dxf>
      <font>
        <color rgb="FF7F6000"/>
      </font>
      <fill>
        <patternFill patternType="solid">
          <fgColor indexed="64"/>
          <bgColor rgb="FFFFEB9C"/>
        </patternFill>
      </fill>
    </dxf>
    <dxf>
      <font>
        <color rgb="FF0B6B2F"/>
      </font>
      <fill>
        <patternFill patternType="solid">
          <fgColor indexed="64"/>
          <bgColor rgb="FFC6EFCE"/>
        </patternFill>
      </fill>
    </dxf>
    <dxf>
      <font>
        <color rgb="FF808080"/>
      </font>
      <fill>
        <patternFill patternType="solid">
          <fgColor indexed="64"/>
          <bgColor rgb="FFF2F2F2"/>
        </patternFill>
      </fill>
    </dxf>
    <dxf>
      <font>
        <color rgb="FF7F6000"/>
      </font>
      <fill>
        <patternFill patternType="solid">
          <fgColor indexed="64"/>
          <bgColor rgb="FFFFEB9C"/>
        </patternFill>
      </fill>
    </dxf>
    <dxf>
      <font>
        <color rgb="FF0B6B2F"/>
      </font>
      <fill>
        <patternFill patternType="solid">
          <fgColor indexed="64"/>
          <bgColor rgb="FFC6EFCE"/>
        </patternFill>
      </fill>
    </dxf>
    <dxf>
      <font>
        <color rgb="FF808080"/>
      </font>
      <fill>
        <patternFill patternType="solid">
          <fgColor indexed="64"/>
          <bgColor rgb="FFF2F2F2"/>
        </patternFill>
      </fill>
    </dxf>
    <dxf>
      <font>
        <color rgb="FF7F6000"/>
      </font>
      <fill>
        <patternFill patternType="solid">
          <fgColor indexed="64"/>
          <bgColor rgb="FFFFEB9C"/>
        </patternFill>
      </fill>
    </dxf>
    <dxf>
      <font>
        <color rgb="FF0B6B2F"/>
      </font>
      <fill>
        <patternFill patternType="solid">
          <fgColor indexed="64"/>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AE95B8-3E7C-2B4B-92E3-737870B89A92}">
  <we:reference id="wa200010725" version="1.0.0.1" store="en-US" storeType="OMEX"/>
  <we:alternateReferences>
    <we:reference id="wa200010725" version="1.0.0.1" store="" storeType="OMEX"/>
  </we:alternateReferences>
  <we:properties>
    <we:property name="claude.fileId" value="&quot;1408ed5e-f795-401a-80ba-45af577212e2&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CE067C-A024-AB42-817F-B05E028019B1}">
  <dimension ref="A1:N45"/>
  <sheetViews>
    <sheetView workbookViewId="0"/>
  </sheetViews>
  <sheetFormatPr baseColWidth="10" defaultRowHeight="20"/>
  <cols>
    <col min="1" max="1" width="31.42578125" customWidth="1"/>
    <col min="2" max="2" width="57.140625" customWidth="1"/>
    <col min="3" max="3" width="8.5703125" customWidth="1"/>
    <col min="4" max="4" width="4.28515625" customWidth="1"/>
    <col min="5" max="5" width="32.85546875" customWidth="1"/>
    <col min="6" max="6" width="8.5703125" customWidth="1"/>
    <col min="7" max="7" width="14.28515625" customWidth="1"/>
    <col min="8" max="8" width="60" customWidth="1"/>
    <col min="9" max="9" width="32.85546875" customWidth="1"/>
    <col min="10" max="10" width="21.42578125" customWidth="1"/>
    <col min="11" max="11" width="10" customWidth="1"/>
    <col min="12" max="12" width="24.28515625" customWidth="1"/>
    <col min="13" max="13" width="68.5703125" customWidth="1"/>
    <col min="14" max="14" width="24.28515625" customWidth="1"/>
  </cols>
  <sheetData>
    <row r="1" spans="1:13" ht="33">
      <c r="A1" s="116" t="s">
        <v>1944</v>
      </c>
    </row>
    <row r="2" spans="1:13">
      <c r="A2" s="50" t="s">
        <v>1945</v>
      </c>
    </row>
    <row r="4" spans="1:13" ht="23">
      <c r="A4" s="117" t="s">
        <v>1946</v>
      </c>
      <c r="E4" s="118" t="s">
        <v>1947</v>
      </c>
      <c r="I4" s="119" t="s">
        <v>1948</v>
      </c>
    </row>
    <row r="5" spans="1:13" ht="61">
      <c r="A5" s="120">
        <f>COUNTIF(進捗一覧!$D$7:$D$292,"確定")+COUNTIF(進捗一覧!$D$7:$D$292,"方向性確定（条件付き）")</f>
        <v>155</v>
      </c>
      <c r="B5" t="s">
        <v>1949</v>
      </c>
      <c r="E5" s="121">
        <f>COUNTIF(進捗一覧!$D$7:$D$292,"検討中")</f>
        <v>54</v>
      </c>
      <c r="F5" t="s">
        <v>1949</v>
      </c>
      <c r="I5" s="122">
        <f>COUNTIF(進捗一覧!$D$7:$D$292,"外部待ち")</f>
        <v>73</v>
      </c>
      <c r="J5" t="s">
        <v>1949</v>
      </c>
    </row>
    <row r="6" spans="1:13">
      <c r="A6" s="123" t="str">
        <f>"うち完全に確定 "&amp;COUNTIF(進捗一覧!$D$7:$D$292,"確定")&amp;"件／推奨値ありで承認待ち "&amp;COUNTIF(進捗一覧!$D$7:$D$292,"方向性確定（条件付き）")&amp;"件"</f>
        <v>うち完全に確定 73件／推奨値ありで承認待ち 82件</v>
      </c>
      <c r="E6" s="123" t="s">
        <v>1950</v>
      </c>
      <c r="I6" s="123" t="s">
        <v>1951</v>
      </c>
    </row>
    <row r="8" spans="1:13">
      <c r="A8" s="4" t="s">
        <v>1952</v>
      </c>
      <c r="E8" s="4" t="s">
        <v>1953</v>
      </c>
    </row>
    <row r="9" spans="1:13" ht="47">
      <c r="A9" s="124">
        <f>COUNTIF(進捗一覧!$D$7:$D$292,"検討中")+COUNTIF(進捗一覧!$D$7:$D$292,"外部待ち")</f>
        <v>127</v>
      </c>
      <c r="B9" s="123" t="str">
        <f>"件（要件定義 "&amp;COUNTIFS(進捗一覧!$A$7:$A$292,"要件定義",進捗一覧!$D$7:$D$292,"検討中")+COUNTIFS(進捗一覧!$A$7:$A$292,"要件定義",進捗一覧!$D$7:$D$292,"外部待ち")&amp;" ＋ 基本設計 "&amp;COUNTIFS(進捗一覧!$A$7:$A$292,"基本設計",進捗一覧!$D$7:$D$292,"検討中")+COUNTIFS(進捗一覧!$A$7:$A$292,"基本設計",進捗一覧!$D$7:$D$292,"外部待ち")&amp;"）／ 全"&amp;COUNTA(進捗一覧!$K$7:$K$292)&amp;"件中"</f>
        <v>件（要件定義 64 ＋ 基本設計 63）／ 全286件中</v>
      </c>
      <c r="E9" s="17" t="s">
        <v>1954</v>
      </c>
      <c r="F9" s="18" t="s">
        <v>1955</v>
      </c>
      <c r="G9" s="18" t="s">
        <v>1956</v>
      </c>
      <c r="H9" s="19" t="s">
        <v>1957</v>
      </c>
    </row>
    <row r="10" spans="1:13">
      <c r="E10" s="23" t="s">
        <v>1958</v>
      </c>
      <c r="F10" s="30">
        <f>COUNTIFS(進捗一覧!$C$7:$C$292,"検証ゲート",進捗一覧!$D$7:$D$292,"検討中")</f>
        <v>6</v>
      </c>
      <c r="G10" s="30" t="str">
        <f>IF(F10=0,"● 充足",IF(F10&lt;=5,"▲ あと少し","× 未充足"))</f>
        <v>× 未充足</v>
      </c>
      <c r="H10" s="28" t="s">
        <v>1961</v>
      </c>
    </row>
    <row r="11" spans="1:13">
      <c r="E11" s="23" t="s">
        <v>1959</v>
      </c>
      <c r="F11" s="30">
        <f>COUNTIFS(進捗一覧!$C$7:$C$292,"設計タスク",進捗一覧!$D$7:$D$292,"外部待ち")</f>
        <v>8</v>
      </c>
      <c r="G11" s="30" t="str">
        <f>IF(F11=0,"● 充足",IF(F11&lt;=5,"▲ あと少し","× 未充足"))</f>
        <v>× 未充足</v>
      </c>
      <c r="H11" s="28" t="s">
        <v>1962</v>
      </c>
    </row>
    <row r="12" spans="1:13">
      <c r="E12" s="27" t="s">
        <v>1960</v>
      </c>
      <c r="F12" s="125">
        <f>COUNTIFS(進捗一覧!$C$7:$C$292,"顧客確認",進捗一覧!$D$7:$D$292,"外部待ち")+COUNTIFS(進捗一覧!$C$7:$C$292,"機能要件",進捗一覧!$D$7:$D$292,"外部待ち")+COUNTIFS(進捗一覧!$C$7:$C$292,"非機能要件",進捗一覧!$D$7:$D$292,"外部待ち")</f>
        <v>64</v>
      </c>
      <c r="G12" s="125" t="str">
        <f>IF(F12=0,"● 充足",IF(F12&lt;=5,"▲ あと少し","× 未充足"))</f>
        <v>× 未充足</v>
      </c>
      <c r="H12" s="29" t="s">
        <v>1963</v>
      </c>
    </row>
    <row r="14" spans="1:13">
      <c r="A14" s="4" t="s">
        <v>1964</v>
      </c>
      <c r="J14" s="4" t="s">
        <v>3014</v>
      </c>
    </row>
    <row r="15" spans="1:13">
      <c r="A15" s="20" t="s">
        <v>1941</v>
      </c>
      <c r="B15" s="21" t="s">
        <v>7</v>
      </c>
      <c r="C15" s="21" t="s">
        <v>8</v>
      </c>
      <c r="D15" s="22" t="s">
        <v>1965</v>
      </c>
      <c r="J15" s="20" t="s">
        <v>3011</v>
      </c>
      <c r="K15" s="21" t="s">
        <v>7</v>
      </c>
      <c r="L15" s="21" t="s">
        <v>3015</v>
      </c>
      <c r="M15" s="22" t="s">
        <v>1957</v>
      </c>
    </row>
    <row r="16" spans="1:13">
      <c r="A16" s="23" t="s">
        <v>1910</v>
      </c>
      <c r="B16" s="30">
        <f>COUNTIF(進捗一覧!$B$7:$B$292,$A16)</f>
        <v>17</v>
      </c>
      <c r="C16" s="30">
        <f>COUNTIFS(進捗一覧!$B$7:$B$292,$A16,進捗一覧!$D$7:$D$292,"確定")</f>
        <v>4</v>
      </c>
      <c r="D16" s="159">
        <f>COUNTIFS(進捗一覧!$B$7:$B$292,$A16,進捗一覧!$D$7:$D$292,"方向性確定（条件付き）")</f>
        <v>6</v>
      </c>
      <c r="E16">
        <f>COUNTIFS(進捗一覧!$B$7:$B$292,$A16,進捗一覧!$D$7:$D$292,"検討中")</f>
        <v>2</v>
      </c>
      <c r="F16">
        <f>COUNTIFS(進捗一覧!$B$7:$B$292,$A16,進捗一覧!$D$7:$D$292,"外部待ち")</f>
        <v>5</v>
      </c>
      <c r="G16">
        <f>COUNTIFS(進捗一覧!$B$7:$B$292,$A16,進捗一覧!$D$7:$D$292,"対象外")</f>
        <v>0</v>
      </c>
      <c r="J16" s="23" t="s">
        <v>3012</v>
      </c>
      <c r="K16" s="30">
        <f>COUNTIF(進捗一覧!$A$7:$A$292,$J16)</f>
        <v>195</v>
      </c>
      <c r="L16" s="30">
        <f>COUNTIFS(進捗一覧!$A$7:$A$292,$J16,進捗一覧!$D$7:$D$292,"検討中")+COUNTIFS(進捗一覧!$A$7:$A$292,$J16,進捗一覧!$D$7:$D$292,"外部待ち")</f>
        <v>64</v>
      </c>
      <c r="M16" s="28" t="s">
        <v>3434</v>
      </c>
    </row>
    <row r="17" spans="1:14">
      <c r="A17" s="23" t="s">
        <v>1915</v>
      </c>
      <c r="B17" s="30">
        <f>COUNTIF(進捗一覧!$B$7:$B$292,$A17)</f>
        <v>22</v>
      </c>
      <c r="C17" s="30">
        <f>COUNTIFS(進捗一覧!$B$7:$B$292,$A17,進捗一覧!$D$7:$D$292,"確定")</f>
        <v>4</v>
      </c>
      <c r="D17" s="159">
        <f>COUNTIFS(進捗一覧!$B$7:$B$292,$A17,進捗一覧!$D$7:$D$292,"方向性確定（条件付き）")</f>
        <v>4</v>
      </c>
      <c r="E17">
        <f>COUNTIFS(進捗一覧!$B$7:$B$292,$A17,進捗一覧!$D$7:$D$292,"検討中")</f>
        <v>5</v>
      </c>
      <c r="F17">
        <f>COUNTIFS(進捗一覧!$B$7:$B$292,$A17,進捗一覧!$D$7:$D$292,"外部待ち")</f>
        <v>6</v>
      </c>
      <c r="G17">
        <f>COUNTIFS(進捗一覧!$B$7:$B$292,$A17,進捗一覧!$D$7:$D$292,"対象外")</f>
        <v>3</v>
      </c>
      <c r="J17" s="23" t="s">
        <v>3013</v>
      </c>
      <c r="K17" s="30">
        <f>COUNTIF(進捗一覧!$A$7:$A$292,$J17)</f>
        <v>91</v>
      </c>
      <c r="L17" s="30">
        <f>COUNTIFS(進捗一覧!$A$7:$A$292,$J17,進捗一覧!$D$7:$D$292,"検討中")+COUNTIFS(進捗一覧!$A$7:$A$292,$J17,進捗一覧!$D$7:$D$292,"外部待ち")</f>
        <v>63</v>
      </c>
      <c r="M17" s="28" t="s">
        <v>3435</v>
      </c>
    </row>
    <row r="18" spans="1:14">
      <c r="A18" s="23" t="s">
        <v>1916</v>
      </c>
      <c r="B18" s="30">
        <f>COUNTIF(進捗一覧!$B$7:$B$292,$A18)</f>
        <v>12</v>
      </c>
      <c r="C18" s="30">
        <f>COUNTIFS(進捗一覧!$B$7:$B$292,$A18,進捗一覧!$D$7:$D$292,"確定")</f>
        <v>1</v>
      </c>
      <c r="D18" s="159">
        <f>COUNTIFS(進捗一覧!$B$7:$B$292,$A18,進捗一覧!$D$7:$D$292,"方向性確定（条件付き）")</f>
        <v>5</v>
      </c>
      <c r="E18">
        <f>COUNTIFS(進捗一覧!$B$7:$B$292,$A18,進捗一覧!$D$7:$D$292,"検討中")</f>
        <v>1</v>
      </c>
      <c r="F18">
        <f>COUNTIFS(進捗一覧!$B$7:$B$292,$A18,進捗一覧!$D$7:$D$292,"外部待ち")</f>
        <v>5</v>
      </c>
      <c r="G18">
        <f>COUNTIFS(進捗一覧!$B$7:$B$292,$A18,進捗一覧!$D$7:$D$292,"対象外")</f>
        <v>0</v>
      </c>
      <c r="J18" s="25" t="s">
        <v>13</v>
      </c>
      <c r="K18" s="31">
        <f>SUM(K16:K17)</f>
        <v>286</v>
      </c>
      <c r="L18" s="31">
        <f>SUM(L16:L17)</f>
        <v>127</v>
      </c>
      <c r="M18" s="181"/>
      <c r="N18" s="50" t="str">
        <f>IF(K18=COUNTA(進捗一覧!$K$7:$K$292),"✓ 明細行数と一致","⚠ 不一致")</f>
        <v>✓ 明細行数と一致</v>
      </c>
    </row>
    <row r="19" spans="1:14">
      <c r="A19" s="23" t="s">
        <v>1917</v>
      </c>
      <c r="B19" s="30">
        <f>COUNTIF(進捗一覧!$B$7:$B$292,$A19)</f>
        <v>16</v>
      </c>
      <c r="C19" s="30">
        <f>COUNTIFS(進捗一覧!$B$7:$B$292,$A19,進捗一覧!$D$7:$D$292,"確定")</f>
        <v>6</v>
      </c>
      <c r="D19" s="30">
        <f>COUNTIFS(進捗一覧!$B$7:$B$292,$A19,進捗一覧!$D$7:$D$292,"方向性確定（条件付き）")</f>
        <v>5</v>
      </c>
      <c r="E19" s="164">
        <f>COUNTIFS(進捗一覧!$B$7:$B$292,$A19,進捗一覧!$D$7:$D$292,"検討中")</f>
        <v>1</v>
      </c>
      <c r="F19" s="164">
        <f>COUNTIFS(進捗一覧!$B$7:$B$292,$A19,進捗一覧!$D$7:$D$292,"外部待ち")</f>
        <v>4</v>
      </c>
      <c r="G19" s="164">
        <f>COUNTIFS(進捗一覧!$B$7:$B$292,$A19,進捗一覧!$D$7:$D$292,"対象外")</f>
        <v>0</v>
      </c>
      <c r="H19" s="165"/>
    </row>
    <row r="20" spans="1:14">
      <c r="A20" s="23" t="s">
        <v>1918</v>
      </c>
      <c r="B20" s="30">
        <f>COUNTIF(進捗一覧!$B$7:$B$292,$A20)</f>
        <v>15</v>
      </c>
      <c r="C20" s="30">
        <f>COUNTIFS(進捗一覧!$B$7:$B$292,$A20,進捗一覧!$D$7:$D$292,"確定")</f>
        <v>8</v>
      </c>
      <c r="D20" s="30">
        <f>COUNTIFS(進捗一覧!$B$7:$B$292,$A20,進捗一覧!$D$7:$D$292,"方向性確定（条件付き）")</f>
        <v>2</v>
      </c>
      <c r="E20" s="30">
        <f>COUNTIFS(進捗一覧!$B$7:$B$292,$A20,進捗一覧!$D$7:$D$292,"検討中")</f>
        <v>1</v>
      </c>
      <c r="F20" s="30">
        <f>COUNTIFS(進捗一覧!$B$7:$B$292,$A20,進捗一覧!$D$7:$D$292,"外部待ち")</f>
        <v>4</v>
      </c>
      <c r="G20" s="30">
        <f>COUNTIFS(進捗一覧!$B$7:$B$292,$A20,進捗一覧!$D$7:$D$292,"対象外")</f>
        <v>0</v>
      </c>
      <c r="H20" s="126"/>
    </row>
    <row r="21" spans="1:14">
      <c r="A21" s="23" t="s">
        <v>1919</v>
      </c>
      <c r="B21" s="30">
        <f>COUNTIF(進捗一覧!$B$7:$B$292,$A21)</f>
        <v>23</v>
      </c>
      <c r="C21" s="30">
        <f>COUNTIFS(進捗一覧!$B$7:$B$292,$A21,進捗一覧!$D$7:$D$292,"確定")</f>
        <v>9</v>
      </c>
      <c r="D21" s="30">
        <f>COUNTIFS(進捗一覧!$B$7:$B$292,$A21,進捗一覧!$D$7:$D$292,"方向性確定（条件付き）")</f>
        <v>6</v>
      </c>
      <c r="E21" s="30">
        <f>COUNTIFS(進捗一覧!$B$7:$B$292,$A21,進捗一覧!$D$7:$D$292,"検討中")</f>
        <v>7</v>
      </c>
      <c r="F21" s="30">
        <f>COUNTIFS(進捗一覧!$B$7:$B$292,$A21,進捗一覧!$D$7:$D$292,"外部待ち")</f>
        <v>1</v>
      </c>
      <c r="G21" s="30">
        <f>COUNTIFS(進捗一覧!$B$7:$B$292,$A21,進捗一覧!$D$7:$D$292,"対象外")</f>
        <v>0</v>
      </c>
      <c r="H21" s="126"/>
    </row>
    <row r="22" spans="1:14">
      <c r="A22" s="23" t="s">
        <v>1920</v>
      </c>
      <c r="B22" s="30">
        <f>COUNTIF(進捗一覧!$B$7:$B$292,$A22)</f>
        <v>14</v>
      </c>
      <c r="C22" s="30">
        <f>COUNTIFS(進捗一覧!$B$7:$B$292,$A22,進捗一覧!$D$7:$D$292,"確定")</f>
        <v>4</v>
      </c>
      <c r="D22" s="30">
        <f>COUNTIFS(進捗一覧!$B$7:$B$292,$A22,進捗一覧!$D$7:$D$292,"方向性確定（条件付き）")</f>
        <v>7</v>
      </c>
      <c r="E22" s="30">
        <f>COUNTIFS(進捗一覧!$B$7:$B$292,$A22,進捗一覧!$D$7:$D$292,"検討中")</f>
        <v>0</v>
      </c>
      <c r="F22" s="30">
        <f>COUNTIFS(進捗一覧!$B$7:$B$292,$A22,進捗一覧!$D$7:$D$292,"外部待ち")</f>
        <v>3</v>
      </c>
      <c r="G22" s="30">
        <f>COUNTIFS(進捗一覧!$B$7:$B$292,$A22,進捗一覧!$D$7:$D$292,"対象外")</f>
        <v>0</v>
      </c>
      <c r="H22" s="126"/>
    </row>
    <row r="23" spans="1:14">
      <c r="A23" s="23" t="s">
        <v>1921</v>
      </c>
      <c r="B23" s="30">
        <f>COUNTIF(進捗一覧!$B$7:$B$292,$A23)</f>
        <v>18</v>
      </c>
      <c r="C23" s="30">
        <f>COUNTIFS(進捗一覧!$B$7:$B$292,$A23,進捗一覧!$D$7:$D$292,"確定")</f>
        <v>7</v>
      </c>
      <c r="D23" s="30">
        <f>COUNTIFS(進捗一覧!$B$7:$B$292,$A23,進捗一覧!$D$7:$D$292,"方向性確定（条件付き）")</f>
        <v>4</v>
      </c>
      <c r="E23" s="30">
        <f>COUNTIFS(進捗一覧!$B$7:$B$292,$A23,進捗一覧!$D$7:$D$292,"検討中")</f>
        <v>4</v>
      </c>
      <c r="F23" s="30">
        <f>COUNTIFS(進捗一覧!$B$7:$B$292,$A23,進捗一覧!$D$7:$D$292,"外部待ち")</f>
        <v>3</v>
      </c>
      <c r="G23" s="30">
        <f>COUNTIFS(進捗一覧!$B$7:$B$292,$A23,進捗一覧!$D$7:$D$292,"対象外")</f>
        <v>0</v>
      </c>
      <c r="H23" s="126"/>
    </row>
    <row r="24" spans="1:14">
      <c r="A24" s="23" t="s">
        <v>1929</v>
      </c>
      <c r="B24" s="30">
        <f>COUNTIF(進捗一覧!$B$7:$B$292,$A24)</f>
        <v>11</v>
      </c>
      <c r="C24" s="30">
        <f>COUNTIFS(進捗一覧!$B$7:$B$292,$A24,進捗一覧!$D$7:$D$292,"確定")</f>
        <v>3</v>
      </c>
      <c r="D24" s="30">
        <f>COUNTIFS(進捗一覧!$B$7:$B$292,$A24,進捗一覧!$D$7:$D$292,"方向性確定（条件付き）")</f>
        <v>2</v>
      </c>
      <c r="E24" s="30">
        <f>COUNTIFS(進捗一覧!$B$7:$B$292,$A24,進捗一覧!$D$7:$D$292,"検討中")</f>
        <v>1</v>
      </c>
      <c r="F24" s="30">
        <f>COUNTIFS(進捗一覧!$B$7:$B$292,$A24,進捗一覧!$D$7:$D$292,"外部待ち")</f>
        <v>5</v>
      </c>
      <c r="G24" s="30">
        <f>COUNTIFS(進捗一覧!$B$7:$B$292,$A24,進捗一覧!$D$7:$D$292,"対象外")</f>
        <v>0</v>
      </c>
      <c r="H24" s="126"/>
    </row>
    <row r="25" spans="1:14">
      <c r="A25" s="23" t="s">
        <v>1923</v>
      </c>
      <c r="B25" s="30">
        <f>COUNTIF(進捗一覧!$B$7:$B$292,$A25)</f>
        <v>24</v>
      </c>
      <c r="C25" s="30">
        <f>COUNTIFS(進捗一覧!$B$7:$B$292,$A25,進捗一覧!$D$7:$D$292,"確定")</f>
        <v>4</v>
      </c>
      <c r="D25" s="30">
        <f>COUNTIFS(進捗一覧!$B$7:$B$292,$A25,進捗一覧!$D$7:$D$292,"方向性確定（条件付き）")</f>
        <v>8</v>
      </c>
      <c r="E25" s="30">
        <f>COUNTIFS(進捗一覧!$B$7:$B$292,$A25,進捗一覧!$D$7:$D$292,"検討中")</f>
        <v>7</v>
      </c>
      <c r="F25" s="30">
        <f>COUNTIFS(進捗一覧!$B$7:$B$292,$A25,進捗一覧!$D$7:$D$292,"外部待ち")</f>
        <v>5</v>
      </c>
      <c r="G25" s="30">
        <f>COUNTIFS(進捗一覧!$B$7:$B$292,$A25,進捗一覧!$D$7:$D$292,"対象外")</f>
        <v>0</v>
      </c>
      <c r="H25" s="126" t="s">
        <v>1966</v>
      </c>
    </row>
    <row r="26" spans="1:14">
      <c r="A26" s="23" t="s">
        <v>1922</v>
      </c>
      <c r="B26" s="30">
        <f>COUNTIF(進捗一覧!$B$7:$B$292,$A26)</f>
        <v>21</v>
      </c>
      <c r="C26" s="30">
        <f>COUNTIFS(進捗一覧!$B$7:$B$292,$A26,進捗一覧!$D$7:$D$292,"確定")</f>
        <v>4</v>
      </c>
      <c r="D26" s="30">
        <f>COUNTIFS(進捗一覧!$B$7:$B$292,$A26,進捗一覧!$D$7:$D$292,"方向性確定（条件付き）")</f>
        <v>8</v>
      </c>
      <c r="E26" s="30">
        <f>COUNTIFS(進捗一覧!$B$7:$B$292,$A26,進捗一覧!$D$7:$D$292,"検討中")</f>
        <v>3</v>
      </c>
      <c r="F26" s="30">
        <f>COUNTIFS(進捗一覧!$B$7:$B$292,$A26,進捗一覧!$D$7:$D$292,"外部待ち")</f>
        <v>6</v>
      </c>
      <c r="G26" s="30">
        <f>COUNTIFS(進捗一覧!$B$7:$B$292,$A26,進捗一覧!$D$7:$D$292,"対象外")</f>
        <v>0</v>
      </c>
      <c r="H26" s="126" t="s">
        <v>1967</v>
      </c>
    </row>
    <row r="27" spans="1:14">
      <c r="A27" s="23" t="s">
        <v>1924</v>
      </c>
      <c r="B27" s="30">
        <f>COUNTIF(進捗一覧!$B$7:$B$292,$A27)</f>
        <v>29</v>
      </c>
      <c r="C27" s="30">
        <f>COUNTIFS(進捗一覧!$B$7:$B$292,$A27,進捗一覧!$D$7:$D$292,"確定")</f>
        <v>9</v>
      </c>
      <c r="D27" s="30">
        <f>COUNTIFS(進捗一覧!$B$7:$B$292,$A27,進捗一覧!$D$7:$D$292,"方向性確定（条件付き）")</f>
        <v>10</v>
      </c>
      <c r="E27" s="30">
        <f>COUNTIFS(進捗一覧!$B$7:$B$292,$A27,進捗一覧!$D$7:$D$292,"検討中")</f>
        <v>6</v>
      </c>
      <c r="F27" s="30">
        <f>COUNTIFS(進捗一覧!$B$7:$B$292,$A27,進捗一覧!$D$7:$D$292,"外部待ち")</f>
        <v>4</v>
      </c>
      <c r="G27" s="30">
        <f>COUNTIFS(進捗一覧!$B$7:$B$292,$A27,進捗一覧!$D$7:$D$292,"対象外")</f>
        <v>0</v>
      </c>
      <c r="H27" s="126"/>
    </row>
    <row r="28" spans="1:14">
      <c r="A28" s="23" t="s">
        <v>1926</v>
      </c>
      <c r="B28" s="30">
        <f>COUNTIF(進捗一覧!$B$7:$B$292,$A28)</f>
        <v>18</v>
      </c>
      <c r="C28" s="30">
        <f>COUNTIFS(進捗一覧!$B$7:$B$292,$A28,進捗一覧!$D$7:$D$292,"確定")</f>
        <v>1</v>
      </c>
      <c r="D28" s="30">
        <f>COUNTIFS(進捗一覧!$B$7:$B$292,$A28,進捗一覧!$D$7:$D$292,"方向性確定（条件付き）")</f>
        <v>4</v>
      </c>
      <c r="E28" s="30">
        <f>COUNTIFS(進捗一覧!$B$7:$B$292,$A28,進捗一覧!$D$7:$D$292,"検討中")</f>
        <v>1</v>
      </c>
      <c r="F28" s="30">
        <f>COUNTIFS(進捗一覧!$B$7:$B$292,$A28,進捗一覧!$D$7:$D$292,"外部待ち")</f>
        <v>11</v>
      </c>
      <c r="G28" s="30">
        <f>COUNTIFS(進捗一覧!$B$7:$B$292,$A28,進捗一覧!$D$7:$D$292,"対象外")</f>
        <v>1</v>
      </c>
      <c r="H28" s="126" t="s">
        <v>1968</v>
      </c>
    </row>
    <row r="29" spans="1:14">
      <c r="A29" s="23" t="s">
        <v>1925</v>
      </c>
      <c r="B29" s="30">
        <f>COUNTIF(進捗一覧!$B$7:$B$292,$A29)</f>
        <v>21</v>
      </c>
      <c r="C29" s="30">
        <f>COUNTIFS(進捗一覧!$B$7:$B$292,$A29,進捗一覧!$D$7:$D$292,"確定")</f>
        <v>0</v>
      </c>
      <c r="D29" s="30">
        <f>COUNTIFS(進捗一覧!$B$7:$B$292,$A29,進捗一覧!$D$7:$D$292,"方向性確定（条件付き）")</f>
        <v>7</v>
      </c>
      <c r="E29" s="30">
        <f>COUNTIFS(進捗一覧!$B$7:$B$292,$A29,進捗一覧!$D$7:$D$292,"検討中")</f>
        <v>8</v>
      </c>
      <c r="F29" s="30">
        <f>COUNTIFS(進捗一覧!$B$7:$B$292,$A29,進捗一覧!$D$7:$D$292,"外部待ち")</f>
        <v>6</v>
      </c>
      <c r="G29" s="30">
        <f>COUNTIFS(進捗一覧!$B$7:$B$292,$A29,進捗一覧!$D$7:$D$292,"対象外")</f>
        <v>0</v>
      </c>
      <c r="H29" s="126" t="s">
        <v>1969</v>
      </c>
    </row>
    <row r="30" spans="1:14">
      <c r="A30" s="23" t="s">
        <v>1927</v>
      </c>
      <c r="B30" s="30">
        <f>COUNTIF(進捗一覧!$B$7:$B$292,$A30)</f>
        <v>12</v>
      </c>
      <c r="C30" s="30">
        <f>COUNTIFS(進捗一覧!$B$7:$B$292,$A30,進捗一覧!$D$7:$D$292,"確定")</f>
        <v>8</v>
      </c>
      <c r="D30" s="30">
        <f>COUNTIFS(進捗一覧!$B$7:$B$292,$A30,進捗一覧!$D$7:$D$292,"方向性確定（条件付き）")</f>
        <v>2</v>
      </c>
      <c r="E30" s="30">
        <f>COUNTIFS(進捗一覧!$B$7:$B$292,$A30,進捗一覧!$D$7:$D$292,"検討中")</f>
        <v>1</v>
      </c>
      <c r="F30" s="30">
        <f>COUNTIFS(進捗一覧!$B$7:$B$292,$A30,進捗一覧!$D$7:$D$292,"外部待ち")</f>
        <v>1</v>
      </c>
      <c r="G30" s="30">
        <f>COUNTIFS(進捗一覧!$B$7:$B$292,$A30,進捗一覧!$D$7:$D$292,"対象外")</f>
        <v>0</v>
      </c>
      <c r="H30" s="126" t="s">
        <v>1970</v>
      </c>
    </row>
    <row r="31" spans="1:14">
      <c r="A31" s="23" t="s">
        <v>1928</v>
      </c>
      <c r="B31" s="30">
        <f>COUNTIF(進捗一覧!$B$7:$B$292,$A31)</f>
        <v>5</v>
      </c>
      <c r="C31" s="30">
        <f>COUNTIFS(進捗一覧!$B$7:$B$292,$A31,進捗一覧!$D$7:$D$292,"確定")</f>
        <v>1</v>
      </c>
      <c r="D31" s="30">
        <f>COUNTIFS(進捗一覧!$B$7:$B$292,$A31,進捗一覧!$D$7:$D$292,"方向性確定（条件付き）")</f>
        <v>2</v>
      </c>
      <c r="E31" s="30">
        <f>COUNTIFS(進捗一覧!$B$7:$B$292,$A31,進捗一覧!$D$7:$D$292,"検討中")</f>
        <v>0</v>
      </c>
      <c r="F31" s="30">
        <f>COUNTIFS(進捗一覧!$B$7:$B$292,$A31,進捗一覧!$D$7:$D$292,"外部待ち")</f>
        <v>2</v>
      </c>
      <c r="G31" s="30">
        <f>COUNTIFS(進捗一覧!$B$7:$B$292,$A31,進捗一覧!$D$7:$D$292,"対象外")</f>
        <v>0</v>
      </c>
      <c r="H31" s="126" t="s">
        <v>1971</v>
      </c>
    </row>
    <row r="32" spans="1:14">
      <c r="A32" s="23" t="s">
        <v>1938</v>
      </c>
      <c r="B32" s="30">
        <f>COUNTIF(進捗一覧!$B$7:$B$292,$A32)</f>
        <v>8</v>
      </c>
      <c r="C32" s="30">
        <f>COUNTIFS(進捗一覧!$B$7:$B$292,$A32,進捗一覧!$D$7:$D$292,"確定")</f>
        <v>0</v>
      </c>
      <c r="D32" s="30">
        <f>COUNTIFS(進捗一覧!$B$7:$B$292,$A32,進捗一覧!$D$7:$D$292,"方向性確定（条件付き）")</f>
        <v>0</v>
      </c>
      <c r="E32" s="30">
        <f>COUNTIFS(進捗一覧!$B$7:$B$292,$A32,進捗一覧!$D$7:$D$292,"検討中")</f>
        <v>6</v>
      </c>
      <c r="F32" s="30">
        <f>COUNTIFS(進捗一覧!$B$7:$B$292,$A32,進捗一覧!$D$7:$D$292,"外部待ち")</f>
        <v>2</v>
      </c>
      <c r="G32" s="30">
        <f>COUNTIFS(進捗一覧!$B$7:$B$292,$A32,進捗一覧!$D$7:$D$292,"対象外")</f>
        <v>0</v>
      </c>
      <c r="H32" s="126" t="s">
        <v>1972</v>
      </c>
    </row>
    <row r="33" spans="1:8">
      <c r="A33" s="25" t="s">
        <v>13</v>
      </c>
      <c r="B33" s="31">
        <f>SUM(B16:B32)</f>
        <v>286</v>
      </c>
      <c r="C33" s="31">
        <f>SUM(C16:C32)</f>
        <v>73</v>
      </c>
      <c r="D33" s="31">
        <f>SUM(D16:D32)</f>
        <v>82</v>
      </c>
      <c r="E33" s="31">
        <f>SUM(E16:E32)</f>
        <v>54</v>
      </c>
      <c r="F33" s="31">
        <f>SUM(F16:F32)</f>
        <v>73</v>
      </c>
      <c r="G33" s="31">
        <f>SUM(G16:G32)</f>
        <v>4</v>
      </c>
      <c r="H33" s="29"/>
    </row>
    <row r="36" spans="1:8">
      <c r="A36" s="4" t="s">
        <v>3472</v>
      </c>
    </row>
    <row r="37" spans="1:8">
      <c r="A37" s="20" t="s">
        <v>3184</v>
      </c>
      <c r="B37" s="21" t="s">
        <v>3185</v>
      </c>
      <c r="C37" s="21" t="s">
        <v>3473</v>
      </c>
      <c r="D37" s="21" t="s">
        <v>1390</v>
      </c>
      <c r="E37" s="22" t="s">
        <v>3474</v>
      </c>
    </row>
    <row r="38" spans="1:8">
      <c r="A38" s="23" t="s">
        <v>3187</v>
      </c>
      <c r="B38" s="207">
        <v>244</v>
      </c>
      <c r="C38" s="24" t="s">
        <v>3475</v>
      </c>
      <c r="D38" s="30">
        <f>COUNTA('WBS(基本設計)'!$B$6:$B$91)</f>
        <v>86</v>
      </c>
      <c r="E38" s="28" t="s">
        <v>3476</v>
      </c>
    </row>
    <row r="39" spans="1:8">
      <c r="A39" s="23" t="s">
        <v>3188</v>
      </c>
      <c r="B39" s="207">
        <f>'WBS(詳細設計_製造)'!$U$17</f>
        <v>417.60000000000008</v>
      </c>
      <c r="C39" s="24" t="s">
        <v>3477</v>
      </c>
      <c r="D39" s="30">
        <f>COUNTA('WBS(詳細設計_製造)'!$A$6:$A$108)</f>
        <v>103</v>
      </c>
      <c r="E39" s="28" t="s">
        <v>3478</v>
      </c>
    </row>
    <row r="40" spans="1:8">
      <c r="A40" s="23" t="s">
        <v>3189</v>
      </c>
      <c r="B40" s="207">
        <f>'WBS(詳細設計_製造)'!$V$17</f>
        <v>626.4</v>
      </c>
      <c r="C40" s="24" t="s">
        <v>3477</v>
      </c>
      <c r="D40" s="30">
        <f>D39</f>
        <v>103</v>
      </c>
      <c r="E40" s="28" t="s">
        <v>3479</v>
      </c>
    </row>
    <row r="41" spans="1:8">
      <c r="A41" s="23" t="s">
        <v>3190</v>
      </c>
      <c r="B41" s="207">
        <f>'WBS(テスト)'!$C$60</f>
        <v>363</v>
      </c>
      <c r="C41" s="24" t="s">
        <v>3480</v>
      </c>
      <c r="D41" s="30">
        <f>COUNTA('WBS(テスト)'!$B$6:$B$48)</f>
        <v>43</v>
      </c>
      <c r="E41" s="28" t="s">
        <v>3669</v>
      </c>
    </row>
    <row r="42" spans="1:8">
      <c r="A42" s="176" t="s">
        <v>3191</v>
      </c>
      <c r="B42" s="208">
        <f>B39+B40+B41</f>
        <v>1407</v>
      </c>
      <c r="C42" s="209" t="s">
        <v>2665</v>
      </c>
      <c r="D42" s="163">
        <v>0</v>
      </c>
      <c r="E42" s="177"/>
    </row>
    <row r="43" spans="1:8">
      <c r="A43" s="25" t="s">
        <v>3192</v>
      </c>
      <c r="B43" s="210">
        <f>B38+B42</f>
        <v>1651</v>
      </c>
      <c r="C43" s="26" t="s">
        <v>2665</v>
      </c>
      <c r="D43" s="31">
        <v>0</v>
      </c>
      <c r="E43" s="181"/>
      <c r="F43" s="50" t="str">
        <f>IF(AND(ROUND(B42,0)=1407,ROUND(B43,0)=1651),"✓ 工程4分割と一致","⚠ 不一致")</f>
        <v>✓ 工程4分割と一致</v>
      </c>
    </row>
    <row r="45" spans="1:8">
      <c r="A45" s="53" t="s">
        <v>3670</v>
      </c>
    </row>
  </sheetData>
  <phoneticPr fontId="2"/>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FC191-A146-6648-A191-216A723F89D0}">
  <dimension ref="A1:H80"/>
  <sheetViews>
    <sheetView topLeftCell="A61" zoomScale="132" workbookViewId="0">
      <selection activeCell="B31" sqref="B31"/>
    </sheetView>
  </sheetViews>
  <sheetFormatPr baseColWidth="10" defaultRowHeight="18"/>
  <cols>
    <col min="1" max="1" width="38.5703125" style="33" customWidth="1"/>
    <col min="2" max="2" width="24.28515625" style="33" customWidth="1"/>
    <col min="3" max="3" width="74.28515625" style="33" customWidth="1"/>
    <col min="4" max="4" width="24.28515625" style="33" customWidth="1"/>
    <col min="5" max="5" width="10.7109375" style="33"/>
    <col min="6" max="7" width="11.42578125" style="33" customWidth="1"/>
    <col min="8" max="16384" width="10.7109375" style="33"/>
  </cols>
  <sheetData>
    <row r="1" spans="1:8" ht="22">
      <c r="A1" s="32" t="s">
        <v>904</v>
      </c>
    </row>
    <row r="2" spans="1:8">
      <c r="A2" s="34" t="s">
        <v>1906</v>
      </c>
    </row>
    <row r="3" spans="1:8">
      <c r="A3" s="35" t="s">
        <v>905</v>
      </c>
    </row>
    <row r="5" spans="1:8">
      <c r="A5" s="88" t="s">
        <v>2623</v>
      </c>
    </row>
    <row r="6" spans="1:8">
      <c r="A6" s="59" t="s">
        <v>1942</v>
      </c>
      <c r="B6" s="60" t="s">
        <v>7</v>
      </c>
      <c r="C6" s="60" t="s">
        <v>8</v>
      </c>
      <c r="D6" s="60" t="s">
        <v>1965</v>
      </c>
      <c r="E6" s="60" t="s">
        <v>9</v>
      </c>
      <c r="F6" s="61" t="s">
        <v>1913</v>
      </c>
      <c r="G6" s="144" t="s">
        <v>1301</v>
      </c>
    </row>
    <row r="7" spans="1:8">
      <c r="A7" s="89" t="s">
        <v>11</v>
      </c>
      <c r="B7" s="90">
        <f>COUNTIF(進捗一覧!$C$7:$C$292,$A7)</f>
        <v>91</v>
      </c>
      <c r="C7" s="90">
        <f>COUNTIFS(進捗一覧!$C$7:$C$292,$A7,進捗一覧!$D$7:$D$292,"確定")</f>
        <v>33</v>
      </c>
      <c r="D7" s="90">
        <f>COUNTIFS(進捗一覧!$C$7:$C$292,$A7,進捗一覧!$D$7:$D$292,"方向性確定（条件付き）")</f>
        <v>37</v>
      </c>
      <c r="E7" s="90">
        <f>COUNTIFS(進捗一覧!$C$7:$C$292,$A7,進捗一覧!$D$7:$D$292,"検討中")</f>
        <v>0</v>
      </c>
      <c r="F7" s="141">
        <f>COUNTIFS(進捗一覧!$C$7:$C$292,$A7,進捗一覧!$D$7:$D$292,"外部待ち")</f>
        <v>21</v>
      </c>
      <c r="G7" s="145">
        <f>COUNTIFS(進捗一覧!$C$7:$C$292,$A7,進捗一覧!$D$7:$D$292,"対象外")</f>
        <v>0</v>
      </c>
    </row>
    <row r="8" spans="1:8">
      <c r="A8" s="89" t="s">
        <v>12</v>
      </c>
      <c r="B8" s="90">
        <f>COUNTIF(進捗一覧!$C$7:$C$292,$A8)</f>
        <v>88</v>
      </c>
      <c r="C8" s="90">
        <f>COUNTIFS(進捗一覧!$C$7:$C$292,$A8,進捗一覧!$D$7:$D$292,"確定")</f>
        <v>22</v>
      </c>
      <c r="D8" s="90">
        <f>COUNTIFS(進捗一覧!$C$7:$C$292,$A8,進捗一覧!$D$7:$D$292,"方向性確定（条件付き）")</f>
        <v>39</v>
      </c>
      <c r="E8" s="90">
        <f>COUNTIFS(進捗一覧!$C$7:$C$292,$A8,進捗一覧!$D$7:$D$292,"検討中")</f>
        <v>0</v>
      </c>
      <c r="F8" s="141">
        <f>COUNTIFS(進捗一覧!$C$7:$C$292,$A8,進捗一覧!$D$7:$D$292,"外部待ち")</f>
        <v>27</v>
      </c>
      <c r="G8" s="145">
        <f>COUNTIFS(進捗一覧!$C$7:$C$292,$A8,進捗一覧!$D$7:$D$292,"対象外")</f>
        <v>0</v>
      </c>
    </row>
    <row r="9" spans="1:8">
      <c r="A9" s="89" t="s">
        <v>1783</v>
      </c>
      <c r="B9" s="90">
        <f>COUNTIF(進捗一覧!$C$7:$C$292,$A9)</f>
        <v>21</v>
      </c>
      <c r="C9" s="90">
        <f>COUNTIFS(進捗一覧!$C$7:$C$292,$A9,進捗一覧!$D$7:$D$292,"確定")</f>
        <v>16</v>
      </c>
      <c r="D9" s="90">
        <f>COUNTIFS(進捗一覧!$C$7:$C$292,$A9,進捗一覧!$D$7:$D$292,"方向性確定（条件付き）")</f>
        <v>5</v>
      </c>
      <c r="E9" s="90">
        <f>COUNTIFS(進捗一覧!$C$7:$C$292,$A9,進捗一覧!$D$7:$D$292,"検討中")</f>
        <v>0</v>
      </c>
      <c r="F9" s="141">
        <f>COUNTIFS(進捗一覧!$C$7:$C$292,$A9,進捗一覧!$D$7:$D$292,"外部待ち")</f>
        <v>0</v>
      </c>
      <c r="G9" s="145">
        <f>COUNTIFS(進捗一覧!$C$7:$C$292,$A9,進捗一覧!$D$7:$D$292,"対象外")</f>
        <v>0</v>
      </c>
    </row>
    <row r="10" spans="1:8">
      <c r="A10" s="89" t="s">
        <v>1931</v>
      </c>
      <c r="B10" s="90">
        <f>COUNTIF(進捗一覧!$C$7:$C$292,$A10)</f>
        <v>11</v>
      </c>
      <c r="C10" s="90">
        <f>COUNTIFS(進捗一覧!$C$7:$C$292,$A10,進捗一覧!$D$7:$D$292,"確定")</f>
        <v>2</v>
      </c>
      <c r="D10" s="90">
        <f>COUNTIFS(進捗一覧!$C$7:$C$292,$A10,進捗一覧!$D$7:$D$292,"方向性確定（条件付き）")</f>
        <v>0</v>
      </c>
      <c r="E10" s="90">
        <f>COUNTIFS(進捗一覧!$C$7:$C$292,$A10,進捗一覧!$D$7:$D$292,"検討中")</f>
        <v>6</v>
      </c>
      <c r="F10" s="141">
        <f>COUNTIFS(進捗一覧!$C$7:$C$292,$A10,進捗一覧!$D$7:$D$292,"外部待ち")</f>
        <v>1</v>
      </c>
      <c r="G10" s="145">
        <f>COUNTIFS(進捗一覧!$C$7:$C$292,$A10,進捗一覧!$D$7:$D$292,"対象外")</f>
        <v>2</v>
      </c>
    </row>
    <row r="11" spans="1:8">
      <c r="A11" s="89" t="s">
        <v>1935</v>
      </c>
      <c r="B11" s="90">
        <f>COUNTIF(進捗一覧!$C$7:$C$292,$A11)</f>
        <v>59</v>
      </c>
      <c r="C11" s="90">
        <f>COUNTIFS(進捗一覧!$C$7:$C$292,$A11,進捗一覧!$D$7:$D$292,"確定")</f>
        <v>0</v>
      </c>
      <c r="D11" s="90">
        <f>COUNTIFS(進捗一覧!$C$7:$C$292,$A11,進捗一覧!$D$7:$D$292,"方向性確定（条件付き）")</f>
        <v>1</v>
      </c>
      <c r="E11" s="90">
        <f>COUNTIFS(進捗一覧!$C$7:$C$292,$A11,進捗一覧!$D$7:$D$292,"検討中")</f>
        <v>48</v>
      </c>
      <c r="F11" s="141">
        <f>COUNTIFS(進捗一覧!$C$7:$C$292,$A11,進捗一覧!$D$7:$D$292,"外部待ち")</f>
        <v>8</v>
      </c>
      <c r="G11" s="145">
        <f>COUNTIFS(進捗一覧!$C$7:$C$292,$A11,進捗一覧!$D$7:$D$292,"対象外")</f>
        <v>2</v>
      </c>
    </row>
    <row r="12" spans="1:8">
      <c r="A12" s="113" t="s">
        <v>1939</v>
      </c>
      <c r="B12" s="92">
        <f>COUNTIF(進捗一覧!$C$7:$C$292,$A12)</f>
        <v>16</v>
      </c>
      <c r="C12" s="92">
        <f>COUNTIFS(進捗一覧!$C$7:$C$292,$A12,進捗一覧!$D$7:$D$292,"確定")</f>
        <v>0</v>
      </c>
      <c r="D12" s="92">
        <f>COUNTIFS(進捗一覧!$C$7:$C$292,$A12,進捗一覧!$D$7:$D$292,"方向性確定（条件付き）")</f>
        <v>0</v>
      </c>
      <c r="E12" s="92">
        <f>COUNTIFS(進捗一覧!$C$7:$C$292,$A12,進捗一覧!$D$7:$D$292,"検討中")</f>
        <v>0</v>
      </c>
      <c r="F12" s="142">
        <f>COUNTIFS(進捗一覧!$C$7:$C$292,$A12,進捗一覧!$D$7:$D$292,"外部待ち")</f>
        <v>16</v>
      </c>
      <c r="G12" s="143">
        <f>COUNTIFS(進捗一覧!$C$7:$C$292,$A12,進捗一覧!$D$7:$D$292,"対象外")</f>
        <v>0</v>
      </c>
    </row>
    <row r="13" spans="1:8">
      <c r="A13" s="91" t="s">
        <v>13</v>
      </c>
      <c r="B13" s="146">
        <f>SUM(B7:B12)</f>
        <v>286</v>
      </c>
      <c r="C13" s="146">
        <f>SUM(C7:C12)</f>
        <v>73</v>
      </c>
      <c r="D13" s="146">
        <f>SUM(D7:D12)</f>
        <v>82</v>
      </c>
      <c r="E13" s="146">
        <f>SUM(E7:E12)</f>
        <v>54</v>
      </c>
      <c r="F13" s="147">
        <f>SUM(F7:F12)</f>
        <v>73</v>
      </c>
      <c r="G13" s="146">
        <f>SUM(G7:G12)</f>
        <v>4</v>
      </c>
      <c r="H13" s="64" t="str">
        <f>IF(B13=COUNTA(進捗一覧!$K$7:$K$292),"✓ 明細行数と一致","⚠ 不一致")</f>
        <v>✓ 明細行数と一致</v>
      </c>
    </row>
    <row r="15" spans="1:8">
      <c r="A15" s="88" t="s">
        <v>906</v>
      </c>
      <c r="B15" s="60" t="s">
        <v>14</v>
      </c>
      <c r="C15" s="60" t="s">
        <v>908</v>
      </c>
      <c r="D15" s="60" t="s">
        <v>2627</v>
      </c>
      <c r="E15" s="60" t="s">
        <v>2628</v>
      </c>
      <c r="F15" s="60" t="s">
        <v>2629</v>
      </c>
      <c r="G15" s="60" t="s">
        <v>2630</v>
      </c>
      <c r="H15" s="61" t="s">
        <v>2631</v>
      </c>
    </row>
    <row r="16" spans="1:8">
      <c r="A16" s="59" t="s">
        <v>907</v>
      </c>
      <c r="B16" s="149" t="s">
        <v>2633</v>
      </c>
      <c r="C16" s="149" t="s">
        <v>2634</v>
      </c>
      <c r="D16" s="148" t="s">
        <v>7</v>
      </c>
      <c r="E16" s="148" t="s">
        <v>8</v>
      </c>
      <c r="F16" s="148" t="s">
        <v>1965</v>
      </c>
      <c r="G16" s="148" t="s">
        <v>9</v>
      </c>
      <c r="H16" s="150" t="s">
        <v>1913</v>
      </c>
    </row>
    <row r="17" spans="1:8">
      <c r="A17" s="89" t="s">
        <v>909</v>
      </c>
      <c r="B17" s="93" t="s">
        <v>2624</v>
      </c>
      <c r="C17" s="93" t="s">
        <v>2635</v>
      </c>
      <c r="D17" s="94">
        <f>COUNTIFS(進捗一覧!$C$7:$C$292,$B17,進捗一覧!$K$7:$K$292,$C17)</f>
        <v>14</v>
      </c>
      <c r="E17" s="94">
        <f>COUNTIFS(進捗一覧!$C$7:$C$292,$B17,進捗一覧!$K$7:$K$292,$C17,進捗一覧!$D$7:$D$292,"確定")</f>
        <v>4</v>
      </c>
      <c r="F17" s="94">
        <f>COUNTIFS(進捗一覧!$C$7:$C$292,$B17,進捗一覧!$K$7:$K$292,$C17,進捗一覧!$D$7:$D$292,"方向性確定（条件付き）")</f>
        <v>6</v>
      </c>
      <c r="G17" s="94">
        <f>COUNTIFS(進捗一覧!$C$7:$C$292,$B17,進捗一覧!$K$7:$K$292,$C17,進捗一覧!$D$7:$D$292,"検討中")</f>
        <v>0</v>
      </c>
      <c r="H17" s="151">
        <f>COUNTIFS(進捗一覧!$C$7:$C$292,$B17,進捗一覧!$K$7:$K$292,$C17,進捗一覧!$D$7:$D$292,"外部待ち")</f>
        <v>4</v>
      </c>
    </row>
    <row r="18" spans="1:8">
      <c r="A18" s="89" t="s">
        <v>910</v>
      </c>
      <c r="B18" s="93" t="s">
        <v>2624</v>
      </c>
      <c r="C18" s="93" t="s">
        <v>2636</v>
      </c>
      <c r="D18" s="94">
        <f>COUNTIFS(進捗一覧!$C$7:$C$292,$B18,進捗一覧!$K$7:$K$292,$C18)</f>
        <v>14</v>
      </c>
      <c r="E18" s="94">
        <f>COUNTIFS(進捗一覧!$C$7:$C$292,$B18,進捗一覧!$K$7:$K$292,$C18,進捗一覧!$D$7:$D$292,"確定")</f>
        <v>4</v>
      </c>
      <c r="F18" s="94">
        <f>COUNTIFS(進捗一覧!$C$7:$C$292,$B18,進捗一覧!$K$7:$K$292,$C18,進捗一覧!$D$7:$D$292,"方向性確定（条件付き）")</f>
        <v>4</v>
      </c>
      <c r="G18" s="94">
        <f>COUNTIFS(進捗一覧!$C$7:$C$292,$B18,進捗一覧!$K$7:$K$292,$C18,進捗一覧!$D$7:$D$292,"検討中")</f>
        <v>0</v>
      </c>
      <c r="H18" s="151">
        <f>COUNTIFS(進捗一覧!$C$7:$C$292,$B18,進捗一覧!$K$7:$K$292,$C18,進捗一覧!$D$7:$D$292,"外部待ち")</f>
        <v>6</v>
      </c>
    </row>
    <row r="19" spans="1:8">
      <c r="A19" s="89" t="s">
        <v>911</v>
      </c>
      <c r="B19" s="93" t="s">
        <v>2624</v>
      </c>
      <c r="C19" s="93" t="s">
        <v>2637</v>
      </c>
      <c r="D19" s="94">
        <f>COUNTIFS(進捗一覧!$C$7:$C$292,$B19,進捗一覧!$K$7:$K$292,$C19)</f>
        <v>9</v>
      </c>
      <c r="E19" s="94">
        <f>COUNTIFS(進捗一覧!$C$7:$C$292,$B19,進捗一覧!$K$7:$K$292,$C19,進捗一覧!$D$7:$D$292,"確定")</f>
        <v>1</v>
      </c>
      <c r="F19" s="94">
        <f>COUNTIFS(進捗一覧!$C$7:$C$292,$B19,進捗一覧!$K$7:$K$292,$C19,進捗一覧!$D$7:$D$292,"方向性確定（条件付き）")</f>
        <v>5</v>
      </c>
      <c r="G19" s="94">
        <f>COUNTIFS(進捗一覧!$C$7:$C$292,$B19,進捗一覧!$K$7:$K$292,$C19,進捗一覧!$D$7:$D$292,"検討中")</f>
        <v>0</v>
      </c>
      <c r="H19" s="151">
        <f>COUNTIFS(進捗一覧!$C$7:$C$292,$B19,進捗一覧!$K$7:$K$292,$C19,進捗一覧!$D$7:$D$292,"外部待ち")</f>
        <v>3</v>
      </c>
    </row>
    <row r="20" spans="1:8">
      <c r="A20" s="89" t="s">
        <v>912</v>
      </c>
      <c r="B20" s="93" t="s">
        <v>2624</v>
      </c>
      <c r="C20" s="93" t="s">
        <v>2638</v>
      </c>
      <c r="D20" s="94">
        <f>COUNTIFS(進捗一覧!$C$7:$C$292,$B20,進捗一覧!$K$7:$K$292,$C20)</f>
        <v>10</v>
      </c>
      <c r="E20" s="94">
        <f>COUNTIFS(進捗一覧!$C$7:$C$292,$B20,進捗一覧!$K$7:$K$292,$C20,進捗一覧!$D$7:$D$292,"確定")</f>
        <v>4</v>
      </c>
      <c r="F20" s="94">
        <f>COUNTIFS(進捗一覧!$C$7:$C$292,$B20,進捗一覧!$K$7:$K$292,$C20,進捗一覧!$D$7:$D$292,"方向性確定（条件付き）")</f>
        <v>5</v>
      </c>
      <c r="G20" s="94">
        <f>COUNTIFS(進捗一覧!$C$7:$C$292,$B20,進捗一覧!$K$7:$K$292,$C20,進捗一覧!$D$7:$D$292,"検討中")</f>
        <v>0</v>
      </c>
      <c r="H20" s="151">
        <f>COUNTIFS(進捗一覧!$C$7:$C$292,$B20,進捗一覧!$K$7:$K$292,$C20,進捗一覧!$D$7:$D$292,"外部待ち")</f>
        <v>1</v>
      </c>
    </row>
    <row r="21" spans="1:8">
      <c r="A21" s="89" t="s">
        <v>913</v>
      </c>
      <c r="B21" s="93" t="s">
        <v>2624</v>
      </c>
      <c r="C21" s="93" t="s">
        <v>2639</v>
      </c>
      <c r="D21" s="94">
        <f>COUNTIFS(進捗一覧!$C$7:$C$292,$B21,進捗一覧!$K$7:$K$292,$C21)</f>
        <v>10</v>
      </c>
      <c r="E21" s="94">
        <f>COUNTIFS(進捗一覧!$C$7:$C$292,$B21,進捗一覧!$K$7:$K$292,$C21,進捗一覧!$D$7:$D$292,"確定")</f>
        <v>6</v>
      </c>
      <c r="F21" s="94">
        <f>COUNTIFS(進捗一覧!$C$7:$C$292,$B21,進捗一覧!$K$7:$K$292,$C21,進捗一覧!$D$7:$D$292,"方向性確定（条件付き）")</f>
        <v>2</v>
      </c>
      <c r="G21" s="94">
        <f>COUNTIFS(進捗一覧!$C$7:$C$292,$B21,進捗一覧!$K$7:$K$292,$C21,進捗一覧!$D$7:$D$292,"検討中")</f>
        <v>0</v>
      </c>
      <c r="H21" s="151">
        <f>COUNTIFS(進捗一覧!$C$7:$C$292,$B21,進捗一覧!$K$7:$K$292,$C21,進捗一覧!$D$7:$D$292,"外部待ち")</f>
        <v>2</v>
      </c>
    </row>
    <row r="22" spans="1:8">
      <c r="A22" s="89" t="s">
        <v>914</v>
      </c>
      <c r="B22" s="93" t="s">
        <v>2624</v>
      </c>
      <c r="C22" s="93" t="s">
        <v>2640</v>
      </c>
      <c r="D22" s="94">
        <f>COUNTIFS(進捗一覧!$C$7:$C$292,$B22,進捗一覧!$K$7:$K$292,$C22)</f>
        <v>12</v>
      </c>
      <c r="E22" s="94">
        <f>COUNTIFS(進捗一覧!$C$7:$C$292,$B22,進捗一覧!$K$7:$K$292,$C22,進捗一覧!$D$7:$D$292,"確定")</f>
        <v>5</v>
      </c>
      <c r="F22" s="94">
        <f>COUNTIFS(進捗一覧!$C$7:$C$292,$B22,進捗一覧!$K$7:$K$292,$C22,進捗一覧!$D$7:$D$292,"方向性確定（条件付き）")</f>
        <v>6</v>
      </c>
      <c r="G22" s="94">
        <f>COUNTIFS(進捗一覧!$C$7:$C$292,$B22,進捗一覧!$K$7:$K$292,$C22,進捗一覧!$D$7:$D$292,"検討中")</f>
        <v>0</v>
      </c>
      <c r="H22" s="151">
        <f>COUNTIFS(進捗一覧!$C$7:$C$292,$B22,進捗一覧!$K$7:$K$292,$C22,進捗一覧!$D$7:$D$292,"外部待ち")</f>
        <v>1</v>
      </c>
    </row>
    <row r="23" spans="1:8">
      <c r="A23" s="89" t="s">
        <v>915</v>
      </c>
      <c r="B23" s="93" t="s">
        <v>2624</v>
      </c>
      <c r="C23" s="93" t="s">
        <v>2641</v>
      </c>
      <c r="D23" s="94">
        <f>COUNTIFS(進捗一覧!$C$7:$C$292,$B23,進捗一覧!$K$7:$K$292,$C23)</f>
        <v>12</v>
      </c>
      <c r="E23" s="94">
        <f>COUNTIFS(進捗一覧!$C$7:$C$292,$B23,進捗一覧!$K$7:$K$292,$C23,進捗一覧!$D$7:$D$292,"確定")</f>
        <v>4</v>
      </c>
      <c r="F23" s="94">
        <f>COUNTIFS(進捗一覧!$C$7:$C$292,$B23,進捗一覧!$K$7:$K$292,$C23,進捗一覧!$D$7:$D$292,"方向性確定（条件付き）")</f>
        <v>6</v>
      </c>
      <c r="G23" s="94">
        <f>COUNTIFS(進捗一覧!$C$7:$C$292,$B23,進捗一覧!$K$7:$K$292,$C23,進捗一覧!$D$7:$D$292,"検討中")</f>
        <v>0</v>
      </c>
      <c r="H23" s="151">
        <f>COUNTIFS(進捗一覧!$C$7:$C$292,$B23,進捗一覧!$K$7:$K$292,$C23,進捗一覧!$D$7:$D$292,"外部待ち")</f>
        <v>2</v>
      </c>
    </row>
    <row r="24" spans="1:8">
      <c r="A24" s="89" t="s">
        <v>916</v>
      </c>
      <c r="B24" s="93" t="s">
        <v>2624</v>
      </c>
      <c r="C24" s="93" t="s">
        <v>2642</v>
      </c>
      <c r="D24" s="94">
        <f>COUNTIFS(進捗一覧!$C$7:$C$292,$B24,進捗一覧!$K$7:$K$292,$C24)</f>
        <v>10</v>
      </c>
      <c r="E24" s="94">
        <f>COUNTIFS(進捗一覧!$C$7:$C$292,$B24,進捗一覧!$K$7:$K$292,$C24,進捗一覧!$D$7:$D$292,"確定")</f>
        <v>5</v>
      </c>
      <c r="F24" s="94">
        <f>COUNTIFS(進捗一覧!$C$7:$C$292,$B24,進捗一覧!$K$7:$K$292,$C24,進捗一覧!$D$7:$D$292,"方向性確定（条件付き）")</f>
        <v>3</v>
      </c>
      <c r="G24" s="94">
        <f>COUNTIFS(進捗一覧!$C$7:$C$292,$B24,進捗一覧!$K$7:$K$292,$C24,進捗一覧!$D$7:$D$292,"検討中")</f>
        <v>0</v>
      </c>
      <c r="H24" s="151">
        <f>COUNTIFS(進捗一覧!$C$7:$C$292,$B24,進捗一覧!$K$7:$K$292,$C24,進捗一覧!$D$7:$D$292,"外部待ち")</f>
        <v>2</v>
      </c>
    </row>
    <row r="25" spans="1:8">
      <c r="A25" s="89" t="s">
        <v>316</v>
      </c>
      <c r="B25" s="93" t="s">
        <v>2625</v>
      </c>
      <c r="C25" s="93" t="s">
        <v>2643</v>
      </c>
      <c r="D25" s="94">
        <f>COUNTIFS(進捗一覧!$C$7:$C$292,$B25,進捗一覧!$K$7:$K$292,$C25)</f>
        <v>6</v>
      </c>
      <c r="E25" s="94">
        <f>COUNTIFS(進捗一覧!$C$7:$C$292,$B25,進捗一覧!$K$7:$K$292,$C25,進捗一覧!$D$7:$D$292,"確定")</f>
        <v>1</v>
      </c>
      <c r="F25" s="94">
        <f>COUNTIFS(進捗一覧!$C$7:$C$292,$B25,進捗一覧!$K$7:$K$292,$C25,進捗一覧!$D$7:$D$292,"方向性確定（条件付き）")</f>
        <v>3</v>
      </c>
      <c r="G25" s="94">
        <f>COUNTIFS(進捗一覧!$C$7:$C$292,$B25,進捗一覧!$K$7:$K$292,$C25,進捗一覧!$D$7:$D$292,"検討中")</f>
        <v>0</v>
      </c>
      <c r="H25" s="151">
        <f>COUNTIFS(進捗一覧!$C$7:$C$292,$B25,進捗一覧!$K$7:$K$292,$C25,進捗一覧!$D$7:$D$292,"外部待ち")</f>
        <v>2</v>
      </c>
    </row>
    <row r="26" spans="1:8">
      <c r="A26" s="89" t="s">
        <v>917</v>
      </c>
      <c r="B26" s="93" t="s">
        <v>2625</v>
      </c>
      <c r="C26" s="93" t="s">
        <v>2644</v>
      </c>
      <c r="D26" s="94">
        <f>COUNTIFS(進捗一覧!$C$7:$C$292,$B26,進捗一覧!$K$7:$K$292,$C26)</f>
        <v>8</v>
      </c>
      <c r="E26" s="94">
        <f>COUNTIFS(進捗一覧!$C$7:$C$292,$B26,進捗一覧!$K$7:$K$292,$C26,進捗一覧!$D$7:$D$292,"確定")</f>
        <v>3</v>
      </c>
      <c r="F26" s="94">
        <f>COUNTIFS(進捗一覧!$C$7:$C$292,$B26,進捗一覧!$K$7:$K$292,$C26,進捗一覧!$D$7:$D$292,"方向性確定（条件付き）")</f>
        <v>3</v>
      </c>
      <c r="G26" s="94">
        <f>COUNTIFS(進捗一覧!$C$7:$C$292,$B26,進捗一覧!$K$7:$K$292,$C26,進捗一覧!$D$7:$D$292,"検討中")</f>
        <v>0</v>
      </c>
      <c r="H26" s="151">
        <f>COUNTIFS(進捗一覧!$C$7:$C$292,$B26,進捗一覧!$K$7:$K$292,$C26,進捗一覧!$D$7:$D$292,"外部待ち")</f>
        <v>2</v>
      </c>
    </row>
    <row r="27" spans="1:8">
      <c r="A27" s="89" t="s">
        <v>918</v>
      </c>
      <c r="B27" s="93" t="s">
        <v>2625</v>
      </c>
      <c r="C27" s="93" t="s">
        <v>2645</v>
      </c>
      <c r="D27" s="94">
        <f>COUNTIFS(進捗一覧!$C$7:$C$292,$B27,進捗一覧!$K$7:$K$292,$C27)</f>
        <v>7</v>
      </c>
      <c r="E27" s="94">
        <f>COUNTIFS(進捗一覧!$C$7:$C$292,$B27,進捗一覧!$K$7:$K$292,$C27,進捗一覧!$D$7:$D$292,"確定")</f>
        <v>0</v>
      </c>
      <c r="F27" s="94">
        <f>COUNTIFS(進捗一覧!$C$7:$C$292,$B27,進捗一覧!$K$7:$K$292,$C27,進捗一覧!$D$7:$D$292,"方向性確定（条件付き）")</f>
        <v>4</v>
      </c>
      <c r="G27" s="94">
        <f>COUNTIFS(進捗一覧!$C$7:$C$292,$B27,進捗一覧!$K$7:$K$292,$C27,進捗一覧!$D$7:$D$292,"検討中")</f>
        <v>0</v>
      </c>
      <c r="H27" s="151">
        <f>COUNTIFS(進捗一覧!$C$7:$C$292,$B27,進捗一覧!$K$7:$K$292,$C27,進捗一覧!$D$7:$D$292,"外部待ち")</f>
        <v>3</v>
      </c>
    </row>
    <row r="28" spans="1:8">
      <c r="A28" s="89" t="s">
        <v>919</v>
      </c>
      <c r="B28" s="93" t="s">
        <v>2625</v>
      </c>
      <c r="C28" s="93" t="s">
        <v>2646</v>
      </c>
      <c r="D28" s="94">
        <f>COUNTIFS(進捗一覧!$C$7:$C$292,$B28,進捗一覧!$K$7:$K$292,$C28)</f>
        <v>21</v>
      </c>
      <c r="E28" s="94">
        <f>COUNTIFS(進捗一覧!$C$7:$C$292,$B28,進捗一覧!$K$7:$K$292,$C28,進捗一覧!$D$7:$D$292,"確定")</f>
        <v>9</v>
      </c>
      <c r="F28" s="94">
        <f>COUNTIFS(進捗一覧!$C$7:$C$292,$B28,進捗一覧!$K$7:$K$292,$C28,進捗一覧!$D$7:$D$292,"方向性確定（条件付き）")</f>
        <v>10</v>
      </c>
      <c r="G28" s="94">
        <f>COUNTIFS(進捗一覧!$C$7:$C$292,$B28,進捗一覧!$K$7:$K$292,$C28,進捗一覧!$D$7:$D$292,"検討中")</f>
        <v>0</v>
      </c>
      <c r="H28" s="151">
        <f>COUNTIFS(進捗一覧!$C$7:$C$292,$B28,進捗一覧!$K$7:$K$292,$C28,進捗一覧!$D$7:$D$292,"外部待ち")</f>
        <v>2</v>
      </c>
    </row>
    <row r="29" spans="1:8">
      <c r="A29" s="89" t="s">
        <v>449</v>
      </c>
      <c r="B29" s="93" t="s">
        <v>2625</v>
      </c>
      <c r="C29" s="93" t="s">
        <v>2647</v>
      </c>
      <c r="D29" s="94">
        <f>COUNTIFS(進捗一覧!$C$7:$C$292,$B29,進捗一覧!$K$7:$K$292,$C29)</f>
        <v>8</v>
      </c>
      <c r="E29" s="94">
        <f>COUNTIFS(進捗一覧!$C$7:$C$292,$B29,進捗一覧!$K$7:$K$292,$C29,進捗一覧!$D$7:$D$292,"確定")</f>
        <v>0</v>
      </c>
      <c r="F29" s="94">
        <f>COUNTIFS(進捗一覧!$C$7:$C$292,$B29,進捗一覧!$K$7:$K$292,$C29,進捗一覧!$D$7:$D$292,"方向性確定（条件付き）")</f>
        <v>4</v>
      </c>
      <c r="G29" s="94">
        <f>COUNTIFS(進捗一覧!$C$7:$C$292,$B29,進捗一覧!$K$7:$K$292,$C29,進捗一覧!$D$7:$D$292,"検討中")</f>
        <v>0</v>
      </c>
      <c r="H29" s="151">
        <f>COUNTIFS(進捗一覧!$C$7:$C$292,$B29,進捗一覧!$K$7:$K$292,$C29,進捗一覧!$D$7:$D$292,"外部待ち")</f>
        <v>4</v>
      </c>
    </row>
    <row r="30" spans="1:8">
      <c r="A30" s="89" t="s">
        <v>920</v>
      </c>
      <c r="B30" s="93" t="s">
        <v>2625</v>
      </c>
      <c r="C30" s="93" t="s">
        <v>2648</v>
      </c>
      <c r="D30" s="94">
        <f>COUNTIFS(進捗一覧!$C$7:$C$292,$B30,進捗一覧!$K$7:$K$292,$C30)</f>
        <v>11</v>
      </c>
      <c r="E30" s="94">
        <f>COUNTIFS(進捗一覧!$C$7:$C$292,$B30,進捗一覧!$K$7:$K$292,$C30,進捗一覧!$D$7:$D$292,"確定")</f>
        <v>0</v>
      </c>
      <c r="F30" s="94">
        <f>COUNTIFS(進捗一覧!$C$7:$C$292,$B30,進捗一覧!$K$7:$K$292,$C30,進捗一覧!$D$7:$D$292,"方向性確定（条件付き）")</f>
        <v>7</v>
      </c>
      <c r="G30" s="94">
        <f>COUNTIFS(進捗一覧!$C$7:$C$292,$B30,進捗一覧!$K$7:$K$292,$C30,進捗一覧!$D$7:$D$292,"検討中")</f>
        <v>0</v>
      </c>
      <c r="H30" s="151">
        <f>COUNTIFS(進捗一覧!$C$7:$C$292,$B30,進捗一覧!$K$7:$K$292,$C30,進捗一覧!$D$7:$D$292,"外部待ち")</f>
        <v>4</v>
      </c>
    </row>
    <row r="31" spans="1:8">
      <c r="A31" s="89" t="s">
        <v>921</v>
      </c>
      <c r="B31" s="93" t="s">
        <v>2625</v>
      </c>
      <c r="C31" s="93" t="s">
        <v>2649</v>
      </c>
      <c r="D31" s="94">
        <f>COUNTIFS(進捗一覧!$C$7:$C$292,$B31,進捗一覧!$K$7:$K$292,$C31)</f>
        <v>11</v>
      </c>
      <c r="E31" s="94">
        <f>COUNTIFS(進捗一覧!$C$7:$C$292,$B31,進捗一覧!$K$7:$K$292,$C31,進捗一覧!$D$7:$D$292,"確定")</f>
        <v>0</v>
      </c>
      <c r="F31" s="94">
        <f>COUNTIFS(進捗一覧!$C$7:$C$292,$B31,進捗一覧!$K$7:$K$292,$C31,進捗一覧!$D$7:$D$292,"方向性確定（条件付き）")</f>
        <v>4</v>
      </c>
      <c r="G31" s="94">
        <f>COUNTIFS(進捗一覧!$C$7:$C$292,$B31,進捗一覧!$K$7:$K$292,$C31,進捗一覧!$D$7:$D$292,"検討中")</f>
        <v>0</v>
      </c>
      <c r="H31" s="151">
        <f>COUNTIFS(進捗一覧!$C$7:$C$292,$B31,進捗一覧!$K$7:$K$292,$C31,進捗一覧!$D$7:$D$292,"外部待ち")</f>
        <v>7</v>
      </c>
    </row>
    <row r="32" spans="1:8">
      <c r="A32" s="89" t="s">
        <v>545</v>
      </c>
      <c r="B32" s="93" t="s">
        <v>2625</v>
      </c>
      <c r="C32" s="93" t="s">
        <v>2650</v>
      </c>
      <c r="D32" s="94">
        <f>COUNTIFS(進捗一覧!$C$7:$C$292,$B32,進捗一覧!$K$7:$K$292,$C32)</f>
        <v>11</v>
      </c>
      <c r="E32" s="94">
        <f>COUNTIFS(進捗一覧!$C$7:$C$292,$B32,進捗一覧!$K$7:$K$292,$C32,進捗一覧!$D$7:$D$292,"確定")</f>
        <v>8</v>
      </c>
      <c r="F32" s="94">
        <f>COUNTIFS(進捗一覧!$C$7:$C$292,$B32,進捗一覧!$K$7:$K$292,$C32,進捗一覧!$D$7:$D$292,"方向性確定（条件付き）")</f>
        <v>2</v>
      </c>
      <c r="G32" s="94">
        <f>COUNTIFS(進捗一覧!$C$7:$C$292,$B32,進捗一覧!$K$7:$K$292,$C32,進捗一覧!$D$7:$D$292,"検討中")</f>
        <v>0</v>
      </c>
      <c r="H32" s="151">
        <f>COUNTIFS(進捗一覧!$C$7:$C$292,$B32,進捗一覧!$K$7:$K$292,$C32,進捗一覧!$D$7:$D$292,"外部待ち")</f>
        <v>1</v>
      </c>
    </row>
    <row r="33" spans="1:8">
      <c r="A33" s="89" t="s">
        <v>922</v>
      </c>
      <c r="B33" s="93" t="s">
        <v>2625</v>
      </c>
      <c r="C33" s="93" t="s">
        <v>2651</v>
      </c>
      <c r="D33" s="94">
        <f>COUNTIFS(進捗一覧!$C$7:$C$292,$B33,進捗一覧!$K$7:$K$292,$C33)</f>
        <v>5</v>
      </c>
      <c r="E33" s="94">
        <f>COUNTIFS(進捗一覧!$C$7:$C$292,$B33,進捗一覧!$K$7:$K$292,$C33,進捗一覧!$D$7:$D$292,"確定")</f>
        <v>1</v>
      </c>
      <c r="F33" s="94">
        <f>COUNTIFS(進捗一覧!$C$7:$C$292,$B33,進捗一覧!$K$7:$K$292,$C33,進捗一覧!$D$7:$D$292,"方向性確定（条件付き）")</f>
        <v>2</v>
      </c>
      <c r="G33" s="94">
        <f>COUNTIFS(進捗一覧!$C$7:$C$292,$B33,進捗一覧!$K$7:$K$292,$C33,進捗一覧!$D$7:$D$292,"検討中")</f>
        <v>0</v>
      </c>
      <c r="H33" s="151">
        <f>COUNTIFS(進捗一覧!$C$7:$C$292,$B33,進捗一覧!$K$7:$K$292,$C33,進捗一覧!$D$7:$D$292,"外部待ち")</f>
        <v>2</v>
      </c>
    </row>
    <row r="34" spans="1:8">
      <c r="A34" s="89" t="s">
        <v>923</v>
      </c>
      <c r="B34" s="93" t="s">
        <v>2626</v>
      </c>
      <c r="C34" s="93" t="s">
        <v>2652</v>
      </c>
      <c r="D34" s="94">
        <f>COUNTIFS(進捗一覧!$C$7:$C$292,$B34,進捗一覧!$K$7:$K$292,$C34)</f>
        <v>12</v>
      </c>
      <c r="E34" s="94">
        <f>COUNTIFS(進捗一覧!$C$7:$C$292,$B34,進捗一覧!$K$7:$K$292,$C34,進捗一覧!$D$7:$D$292,"確定")</f>
        <v>0</v>
      </c>
      <c r="F34" s="94">
        <f>COUNTIFS(進捗一覧!$C$7:$C$292,$B34,進捗一覧!$K$7:$K$292,$C34,進捗一覧!$D$7:$D$292,"方向性確定（条件付き）")</f>
        <v>0</v>
      </c>
      <c r="G34" s="94">
        <f>COUNTIFS(進捗一覧!$C$7:$C$292,$B34,進捗一覧!$K$7:$K$292,$C34,進捗一覧!$D$7:$D$292,"検討中")</f>
        <v>11</v>
      </c>
      <c r="H34" s="151">
        <f>COUNTIFS(進捗一覧!$C$7:$C$292,$B34,進捗一覧!$K$7:$K$292,$C34,進捗一覧!$D$7:$D$292,"外部待ち")</f>
        <v>0</v>
      </c>
    </row>
    <row r="35" spans="1:8">
      <c r="A35" s="89" t="s">
        <v>924</v>
      </c>
      <c r="B35" s="93" t="s">
        <v>2626</v>
      </c>
      <c r="C35" s="93" t="s">
        <v>2653</v>
      </c>
      <c r="D35" s="94">
        <f>COUNTIFS(進捗一覧!$C$7:$C$292,$B35,進捗一覧!$K$7:$K$292,$C35)</f>
        <v>5</v>
      </c>
      <c r="E35" s="94">
        <f>COUNTIFS(進捗一覧!$C$7:$C$292,$B35,進捗一覧!$K$7:$K$292,$C35,進捗一覧!$D$7:$D$292,"確定")</f>
        <v>0</v>
      </c>
      <c r="F35" s="94">
        <f>COUNTIFS(進捗一覧!$C$7:$C$292,$B35,進捗一覧!$K$7:$K$292,$C35,進捗一覧!$D$7:$D$292,"方向性確定（条件付き）")</f>
        <v>0</v>
      </c>
      <c r="G35" s="94">
        <f>COUNTIFS(進捗一覧!$C$7:$C$292,$B35,進捗一覧!$K$7:$K$292,$C35,進捗一覧!$D$7:$D$292,"検討中")</f>
        <v>0</v>
      </c>
      <c r="H35" s="151">
        <f>COUNTIFS(進捗一覧!$C$7:$C$292,$B35,進捗一覧!$K$7:$K$292,$C35,進捗一覧!$D$7:$D$292,"外部待ち")</f>
        <v>5</v>
      </c>
    </row>
    <row r="36" spans="1:8">
      <c r="A36" s="89" t="s">
        <v>925</v>
      </c>
      <c r="B36" s="93" t="s">
        <v>2626</v>
      </c>
      <c r="C36" s="93" t="s">
        <v>2654</v>
      </c>
      <c r="D36" s="94">
        <f>COUNTIFS(進捗一覧!$C$7:$C$292,$B36,進捗一覧!$K$7:$K$292,$C36)</f>
        <v>8</v>
      </c>
      <c r="E36" s="94">
        <f>COUNTIFS(進捗一覧!$C$7:$C$292,$B36,進捗一覧!$K$7:$K$292,$C36,進捗一覧!$D$7:$D$292,"確定")</f>
        <v>0</v>
      </c>
      <c r="F36" s="94">
        <f>COUNTIFS(進捗一覧!$C$7:$C$292,$B36,進捗一覧!$K$7:$K$292,$C36,進捗一覧!$D$7:$D$292,"方向性確定（条件付き）")</f>
        <v>0</v>
      </c>
      <c r="G36" s="94">
        <f>COUNTIFS(進捗一覧!$C$7:$C$292,$B36,進捗一覧!$K$7:$K$292,$C36,進捗一覧!$D$7:$D$292,"検討中")</f>
        <v>8</v>
      </c>
      <c r="H36" s="151">
        <f>COUNTIFS(進捗一覧!$C$7:$C$292,$B36,進捗一覧!$K$7:$K$292,$C36,進捗一覧!$D$7:$D$292,"外部待ち")</f>
        <v>0</v>
      </c>
    </row>
    <row r="37" spans="1:8">
      <c r="A37" s="89" t="s">
        <v>926</v>
      </c>
      <c r="B37" s="93" t="s">
        <v>2626</v>
      </c>
      <c r="C37" s="93" t="s">
        <v>2655</v>
      </c>
      <c r="D37" s="94">
        <f>COUNTIFS(進捗一覧!$C$7:$C$292,$B37,進捗一覧!$K$7:$K$292,$C37)</f>
        <v>18</v>
      </c>
      <c r="E37" s="94">
        <f>COUNTIFS(進捗一覧!$C$7:$C$292,$B37,進捗一覧!$K$7:$K$292,$C37,進捗一覧!$D$7:$D$292,"確定")</f>
        <v>0</v>
      </c>
      <c r="F37" s="94">
        <f>COUNTIFS(進捗一覧!$C$7:$C$292,$B37,進捗一覧!$K$7:$K$292,$C37,進捗一覧!$D$7:$D$292,"方向性確定（条件付き）")</f>
        <v>1</v>
      </c>
      <c r="G37" s="94">
        <f>COUNTIFS(進捗一覧!$C$7:$C$292,$B37,進捗一覧!$K$7:$K$292,$C37,進捗一覧!$D$7:$D$292,"検討中")</f>
        <v>16</v>
      </c>
      <c r="H37" s="151">
        <f>COUNTIFS(進捗一覧!$C$7:$C$292,$B37,進捗一覧!$K$7:$K$292,$C37,進捗一覧!$D$7:$D$292,"外部待ち")</f>
        <v>0</v>
      </c>
    </row>
    <row r="38" spans="1:8">
      <c r="A38" s="89" t="s">
        <v>927</v>
      </c>
      <c r="B38" s="93" t="s">
        <v>2626</v>
      </c>
      <c r="C38" s="93" t="s">
        <v>2656</v>
      </c>
      <c r="D38" s="94">
        <f>COUNTIFS(進捗一覧!$C$7:$C$292,$B38,進捗一覧!$K$7:$K$292,$C38)</f>
        <v>8</v>
      </c>
      <c r="E38" s="94">
        <f>COUNTIFS(進捗一覧!$C$7:$C$292,$B38,進捗一覧!$K$7:$K$292,$C38,進捗一覧!$D$7:$D$292,"確定")</f>
        <v>0</v>
      </c>
      <c r="F38" s="94">
        <f>COUNTIFS(進捗一覧!$C$7:$C$292,$B38,進捗一覧!$K$7:$K$292,$C38,進捗一覧!$D$7:$D$292,"方向性確定（条件付き）")</f>
        <v>0</v>
      </c>
      <c r="G38" s="94">
        <f>COUNTIFS(進捗一覧!$C$7:$C$292,$B38,進捗一覧!$K$7:$K$292,$C38,進捗一覧!$D$7:$D$292,"検討中")</f>
        <v>8</v>
      </c>
      <c r="H38" s="151">
        <f>COUNTIFS(進捗一覧!$C$7:$C$292,$B38,進捗一覧!$K$7:$K$292,$C38,進捗一覧!$D$7:$D$292,"外部待ち")</f>
        <v>0</v>
      </c>
    </row>
    <row r="39" spans="1:8">
      <c r="A39" s="89" t="s">
        <v>928</v>
      </c>
      <c r="B39" s="96" t="s">
        <v>2626</v>
      </c>
      <c r="C39" s="96" t="s">
        <v>2657</v>
      </c>
      <c r="D39" s="97">
        <f>COUNTIFS(進捗一覧!$C$7:$C$292,$B39,進捗一覧!$K$7:$K$292,$C39)</f>
        <v>4</v>
      </c>
      <c r="E39" s="97">
        <f>COUNTIFS(進捗一覧!$C$7:$C$292,$B39,進捗一覧!$K$7:$K$292,$C39,進捗一覧!$D$7:$D$292,"確定")</f>
        <v>0</v>
      </c>
      <c r="F39" s="97">
        <f>COUNTIFS(進捗一覧!$C$7:$C$292,$B39,進捗一覧!$K$7:$K$292,$C39,進捗一覧!$D$7:$D$292,"方向性確定（条件付き）")</f>
        <v>0</v>
      </c>
      <c r="G39" s="97">
        <f>COUNTIFS(進捗一覧!$C$7:$C$292,$B39,進捗一覧!$K$7:$K$292,$C39,進捗一覧!$D$7:$D$292,"検討中")</f>
        <v>1</v>
      </c>
      <c r="H39" s="152">
        <f>COUNTIFS(進捗一覧!$C$7:$C$292,$B39,進捗一覧!$K$7:$K$292,$C39,進捗一覧!$D$7:$D$292,"外部待ち")</f>
        <v>3</v>
      </c>
    </row>
    <row r="40" spans="1:8">
      <c r="A40" s="95" t="s">
        <v>929</v>
      </c>
      <c r="B40" s="115" t="s">
        <v>2626</v>
      </c>
      <c r="C40" s="115" t="s">
        <v>2658</v>
      </c>
      <c r="D40" s="153">
        <f>COUNTIFS(進捗一覧!$C$7:$C$292,$B40,進捗一覧!$K$7:$K$292,$C40)</f>
        <v>4</v>
      </c>
      <c r="E40" s="153">
        <f>COUNTIFS(進捗一覧!$C$7:$C$292,$B40,進捗一覧!$K$7:$K$292,$C40,進捗一覧!$D$7:$D$292,"確定")</f>
        <v>0</v>
      </c>
      <c r="F40" s="153">
        <f>COUNTIFS(進捗一覧!$C$7:$C$292,$B40,進捗一覧!$K$7:$K$292,$C40,進捗一覧!$D$7:$D$292,"方向性確定（条件付き）")</f>
        <v>0</v>
      </c>
      <c r="G40" s="153">
        <f>COUNTIFS(進捗一覧!$C$7:$C$292,$B40,進捗一覧!$K$7:$K$292,$C40,進捗一覧!$D$7:$D$292,"検討中")</f>
        <v>4</v>
      </c>
      <c r="H40" s="153">
        <f>COUNTIFS(進捗一覧!$C$7:$C$292,$B40,進捗一覧!$K$7:$K$292,$C40,進捗一覧!$D$7:$D$292,"外部待ち")</f>
        <v>0</v>
      </c>
    </row>
    <row r="42" spans="1:8">
      <c r="A42" s="88" t="s">
        <v>930</v>
      </c>
      <c r="B42" s="60" t="s">
        <v>16</v>
      </c>
      <c r="C42" s="60" t="s">
        <v>931</v>
      </c>
      <c r="D42" s="61" t="s">
        <v>932</v>
      </c>
    </row>
    <row r="43" spans="1:8">
      <c r="A43" s="59" t="s">
        <v>6</v>
      </c>
      <c r="B43" s="93" t="s">
        <v>934</v>
      </c>
      <c r="C43" s="93" t="s">
        <v>935</v>
      </c>
      <c r="D43" s="98" t="s">
        <v>936</v>
      </c>
    </row>
    <row r="44" spans="1:8">
      <c r="A44" s="89" t="s">
        <v>933</v>
      </c>
      <c r="B44" s="93" t="s">
        <v>938</v>
      </c>
      <c r="C44" s="93" t="s">
        <v>939</v>
      </c>
      <c r="D44" s="98" t="s">
        <v>940</v>
      </c>
    </row>
    <row r="45" spans="1:8">
      <c r="A45" s="89" t="s">
        <v>937</v>
      </c>
      <c r="B45" s="93" t="s">
        <v>875</v>
      </c>
      <c r="C45" s="93" t="s">
        <v>942</v>
      </c>
      <c r="D45" s="98" t="s">
        <v>10</v>
      </c>
    </row>
    <row r="46" spans="1:8">
      <c r="A46" s="89" t="s">
        <v>941</v>
      </c>
      <c r="B46" s="93" t="s">
        <v>750</v>
      </c>
      <c r="C46" s="93" t="s">
        <v>943</v>
      </c>
      <c r="D46" s="98" t="s">
        <v>10</v>
      </c>
    </row>
    <row r="47" spans="1:8">
      <c r="A47" s="89" t="s">
        <v>941</v>
      </c>
      <c r="B47" s="93" t="s">
        <v>883</v>
      </c>
      <c r="C47" s="93" t="s">
        <v>944</v>
      </c>
      <c r="D47" s="98" t="s">
        <v>940</v>
      </c>
    </row>
    <row r="48" spans="1:8">
      <c r="A48" s="89" t="s">
        <v>941</v>
      </c>
      <c r="B48" s="93" t="s">
        <v>946</v>
      </c>
      <c r="C48" s="93" t="s">
        <v>947</v>
      </c>
      <c r="D48" s="98" t="s">
        <v>10</v>
      </c>
    </row>
    <row r="49" spans="1:5">
      <c r="A49" s="89" t="s">
        <v>945</v>
      </c>
      <c r="B49" s="93" t="s">
        <v>841</v>
      </c>
      <c r="C49" s="93" t="s">
        <v>949</v>
      </c>
      <c r="D49" s="98" t="s">
        <v>10</v>
      </c>
    </row>
    <row r="50" spans="1:5">
      <c r="A50" s="89" t="s">
        <v>948</v>
      </c>
      <c r="B50" s="93" t="s">
        <v>844</v>
      </c>
      <c r="C50" s="93" t="s">
        <v>950</v>
      </c>
      <c r="D50" s="98" t="s">
        <v>10</v>
      </c>
    </row>
    <row r="51" spans="1:5">
      <c r="A51" s="89" t="s">
        <v>948</v>
      </c>
      <c r="B51" s="93" t="s">
        <v>952</v>
      </c>
      <c r="C51" s="93" t="s">
        <v>953</v>
      </c>
      <c r="D51" s="98" t="s">
        <v>954</v>
      </c>
    </row>
    <row r="52" spans="1:5">
      <c r="A52" s="89" t="s">
        <v>951</v>
      </c>
      <c r="B52" s="96" t="s">
        <v>955</v>
      </c>
      <c r="C52" s="96" t="s">
        <v>956</v>
      </c>
      <c r="D52" s="99" t="s">
        <v>954</v>
      </c>
    </row>
    <row r="53" spans="1:5">
      <c r="A53" s="95" t="s">
        <v>951</v>
      </c>
    </row>
    <row r="55" spans="1:5">
      <c r="A55" s="100" t="s">
        <v>1389</v>
      </c>
      <c r="B55" s="60" t="s">
        <v>1390</v>
      </c>
      <c r="C55" s="60" t="s">
        <v>1391</v>
      </c>
      <c r="D55" s="61" t="s">
        <v>1392</v>
      </c>
    </row>
    <row r="56" spans="1:5">
      <c r="A56" s="59" t="s">
        <v>1228</v>
      </c>
      <c r="B56" s="90"/>
      <c r="C56" s="101"/>
      <c r="D56" s="98" t="s">
        <v>1393</v>
      </c>
    </row>
    <row r="57" spans="1:5">
      <c r="A57" s="89" t="s">
        <v>1279</v>
      </c>
      <c r="B57" s="90">
        <f>COUNTIF(要件→設計!$G$5:$G$183,$A57)</f>
        <v>114</v>
      </c>
      <c r="C57" s="101">
        <f>IFERROR(B57/$B$62,"-")</f>
        <v>0.63687150837988826</v>
      </c>
      <c r="D57" s="98" t="s">
        <v>1394</v>
      </c>
    </row>
    <row r="58" spans="1:5">
      <c r="A58" s="89" t="s">
        <v>1290</v>
      </c>
      <c r="B58" s="90">
        <f>COUNTIF(要件→設計!$G$5:$G$183,$A58)</f>
        <v>47</v>
      </c>
      <c r="C58" s="101">
        <f>IFERROR(B58/$B$62,"-")</f>
        <v>0.26256983240223464</v>
      </c>
      <c r="D58" s="102" t="s">
        <v>1395</v>
      </c>
    </row>
    <row r="59" spans="1:5">
      <c r="A59" s="89" t="s">
        <v>1289</v>
      </c>
      <c r="B59" s="90">
        <f>COUNTIF(要件→設計!$G$5:$G$183,$A59)</f>
        <v>1</v>
      </c>
      <c r="C59" s="101">
        <f>IFERROR(B59/$B$62,"-")</f>
        <v>5.5865921787709499E-3</v>
      </c>
      <c r="D59" s="98" t="s">
        <v>1396</v>
      </c>
    </row>
    <row r="60" spans="1:5">
      <c r="A60" s="89" t="s">
        <v>1301</v>
      </c>
      <c r="B60" s="90">
        <f>COUNTIF(要件→設計!$G$5:$G$183,$A60)</f>
        <v>17</v>
      </c>
      <c r="C60" s="101">
        <f>IFERROR(B60/$B$62,"-")</f>
        <v>9.4972067039106142E-2</v>
      </c>
      <c r="D60" s="103" t="s">
        <v>1397</v>
      </c>
    </row>
    <row r="61" spans="1:5">
      <c r="A61" s="89" t="s">
        <v>1292</v>
      </c>
      <c r="B61" s="92">
        <f>COUNTIF(要件→設計!$G$5:$G$183,$A61)</f>
        <v>0</v>
      </c>
      <c r="C61" s="104">
        <f>IFERROR(B61/$B$62,"-")</f>
        <v>0</v>
      </c>
      <c r="D61" s="99"/>
      <c r="E61" s="64"/>
    </row>
    <row r="62" spans="1:5">
      <c r="A62" s="91" t="s">
        <v>13</v>
      </c>
      <c r="B62" s="33">
        <f>SUM(B57:B61)</f>
        <v>179</v>
      </c>
      <c r="C62" s="114">
        <f>IFERROR(B62/B62,"-")</f>
        <v>1</v>
      </c>
      <c r="E62" s="33" t="str">
        <f>IF(B62=COUNTA(要件→設計!$A$5:$A$183),"✓ マッピング行数と一致","⚠ 不一致")</f>
        <v>✓ マッピング行数と一致</v>
      </c>
    </row>
    <row r="65" spans="1:5">
      <c r="A65" s="88" t="s">
        <v>1744</v>
      </c>
      <c r="B65" s="60" t="s">
        <v>1390</v>
      </c>
      <c r="C65" s="60" t="s">
        <v>1391</v>
      </c>
      <c r="D65" s="61" t="s">
        <v>1745</v>
      </c>
    </row>
    <row r="66" spans="1:5">
      <c r="A66" s="59" t="s">
        <v>6</v>
      </c>
      <c r="B66" s="90"/>
      <c r="C66" s="101"/>
      <c r="D66" s="98" t="s">
        <v>1793</v>
      </c>
    </row>
    <row r="67" spans="1:5">
      <c r="A67" s="89" t="s">
        <v>1746</v>
      </c>
      <c r="B67" s="90">
        <f>COUNTA(設計決定一覧!$A$5:$A$189)-COUNTA(設計→要件!$A$6:$A$55)</f>
        <v>135</v>
      </c>
      <c r="C67" s="101">
        <f>IFERROR(B67/$B$73,"-")</f>
        <v>0.72972972972972971</v>
      </c>
      <c r="D67" s="102" t="s">
        <v>1747</v>
      </c>
    </row>
    <row r="68" spans="1:5">
      <c r="A68" s="89" t="s">
        <v>1642</v>
      </c>
      <c r="B68" s="90">
        <f>COUNTIF(設計→要件!$D$6:$D$55,$A68)</f>
        <v>11</v>
      </c>
      <c r="C68" s="101">
        <f>IFERROR(B68/$B$73,"-")</f>
        <v>5.9459459459459463E-2</v>
      </c>
      <c r="D68" s="103" t="s">
        <v>1748</v>
      </c>
    </row>
    <row r="69" spans="1:5">
      <c r="A69" s="89" t="s">
        <v>1659</v>
      </c>
      <c r="B69" s="90">
        <f>COUNTIF(設計→要件!$D$6:$D$55,$A69)</f>
        <v>14</v>
      </c>
      <c r="C69" s="101">
        <f>IFERROR(B69/$B$73,"-")</f>
        <v>7.567567567567568E-2</v>
      </c>
      <c r="D69" s="105" t="s">
        <v>1749</v>
      </c>
    </row>
    <row r="70" spans="1:5">
      <c r="A70" s="89" t="s">
        <v>1690</v>
      </c>
      <c r="B70" s="90">
        <f>COUNTIF(設計→要件!$D$6:$D$55,$A70)</f>
        <v>1</v>
      </c>
      <c r="C70" s="101">
        <f>IFERROR(B70/$B$73,"-")</f>
        <v>5.4054054054054057E-3</v>
      </c>
      <c r="D70" s="98" t="s">
        <v>1750</v>
      </c>
    </row>
    <row r="71" spans="1:5">
      <c r="A71" s="89" t="s">
        <v>1696</v>
      </c>
      <c r="B71" s="90">
        <f>COUNTIF(設計→要件!$D$6:$D$55,$A71)</f>
        <v>23</v>
      </c>
      <c r="C71" s="101">
        <f>IFERROR(B71/$B$73,"-")</f>
        <v>0.12432432432432433</v>
      </c>
      <c r="D71" s="98" t="s">
        <v>1751</v>
      </c>
    </row>
    <row r="72" spans="1:5">
      <c r="A72" s="89" t="s">
        <v>1693</v>
      </c>
      <c r="B72" s="92">
        <f>COUNTIF(設計→要件!$D$6:$D$55,$A72)</f>
        <v>1</v>
      </c>
      <c r="C72" s="104">
        <f>IFERROR(B72/$B$73,"-")</f>
        <v>5.4054054054054057E-3</v>
      </c>
      <c r="D72" s="99"/>
      <c r="E72" s="64"/>
    </row>
    <row r="73" spans="1:5">
      <c r="A73" s="91" t="s">
        <v>13</v>
      </c>
      <c r="B73" s="33">
        <f>SUM(B67:B72)</f>
        <v>185</v>
      </c>
      <c r="C73" s="114">
        <f>IFERROR(B73/$B$73,"-")</f>
        <v>1</v>
      </c>
      <c r="E73" s="33" t="str">
        <f>IF(B73=COUNTA(設計決定一覧!$A$5:$A$189),"✓ 設計決定の総数と一致","⚠ 不一致")</f>
        <v>✓ 設計決定の総数と一致</v>
      </c>
    </row>
    <row r="74" spans="1:5">
      <c r="B74" s="107"/>
    </row>
    <row r="75" spans="1:5" ht="75">
      <c r="A75" s="106" t="s">
        <v>1782</v>
      </c>
      <c r="B75" s="109" t="s">
        <v>1784</v>
      </c>
    </row>
    <row r="76" spans="1:5" ht="60">
      <c r="A76" s="108" t="s">
        <v>1783</v>
      </c>
      <c r="B76" s="110" t="s">
        <v>1786</v>
      </c>
    </row>
    <row r="77" spans="1:5" ht="60">
      <c r="A77" s="108" t="s">
        <v>1785</v>
      </c>
      <c r="B77" s="109" t="s">
        <v>1788</v>
      </c>
    </row>
    <row r="78" spans="1:5" ht="60">
      <c r="A78" s="111" t="s">
        <v>1787</v>
      </c>
      <c r="B78" s="109" t="s">
        <v>1790</v>
      </c>
    </row>
    <row r="79" spans="1:5" ht="75">
      <c r="A79" s="111" t="s">
        <v>1789</v>
      </c>
      <c r="B79" s="112" t="s">
        <v>1792</v>
      </c>
    </row>
    <row r="80" spans="1:5">
      <c r="A80" s="111" t="s">
        <v>1791</v>
      </c>
    </row>
  </sheetData>
  <phoneticPr fontId="2"/>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F187A-C144-EF41-838F-8FD30632C19C}">
  <sheetPr filterMode="1"/>
  <dimension ref="A1:N292"/>
  <sheetViews>
    <sheetView tabSelected="1" topLeftCell="B1" zoomScale="140" workbookViewId="0">
      <pane ySplit="6" topLeftCell="A161" activePane="bottomLeft" state="frozen"/>
      <selection pane="bottomLeft" activeCell="G181" sqref="G181"/>
    </sheetView>
  </sheetViews>
  <sheetFormatPr baseColWidth="10" defaultRowHeight="15"/>
  <cols>
    <col min="1" max="1" width="8" style="66" customWidth="1"/>
    <col min="2" max="2" width="13.5703125" style="66" customWidth="1"/>
    <col min="3" max="3" width="10.28515625" style="66" customWidth="1"/>
    <col min="4" max="4" width="4.85546875" style="66" customWidth="1"/>
    <col min="5" max="5" width="38.5703125" style="66" customWidth="1"/>
    <col min="6" max="6" width="25.42578125" style="66" customWidth="1"/>
    <col min="7" max="7" width="40.140625" style="213" customWidth="1"/>
    <col min="8" max="8" width="21.140625" style="215" customWidth="1"/>
    <col min="9" max="9" width="17.28515625" style="66" customWidth="1"/>
    <col min="10" max="10" width="27.140625" style="66" customWidth="1"/>
    <col min="11" max="11" width="15" style="66" customWidth="1"/>
    <col min="12" max="12" width="35.7109375" style="66" customWidth="1"/>
    <col min="13" max="13" width="12.140625" style="66" customWidth="1"/>
    <col min="14" max="14" width="24.42578125" style="66" customWidth="1"/>
    <col min="15" max="16384" width="10.7109375" style="66"/>
  </cols>
  <sheetData>
    <row r="1" spans="1:14">
      <c r="B1" s="65" t="s">
        <v>0</v>
      </c>
    </row>
    <row r="2" spans="1:14">
      <c r="B2" s="65" t="s">
        <v>1</v>
      </c>
      <c r="C2" s="67" t="s">
        <v>2</v>
      </c>
    </row>
    <row r="3" spans="1:14">
      <c r="B3" s="65" t="s">
        <v>3</v>
      </c>
      <c r="C3" s="67" t="s">
        <v>1907</v>
      </c>
    </row>
    <row r="4" spans="1:14">
      <c r="B4" s="65" t="s">
        <v>4</v>
      </c>
      <c r="C4" s="68" t="s">
        <v>5</v>
      </c>
    </row>
    <row r="6" spans="1:14" ht="24" customHeight="1">
      <c r="A6" s="217" t="s">
        <v>3011</v>
      </c>
      <c r="B6" s="82" t="s">
        <v>1941</v>
      </c>
      <c r="C6" s="83" t="s">
        <v>1942</v>
      </c>
      <c r="D6" s="83" t="s">
        <v>1943</v>
      </c>
      <c r="E6" s="83" t="s">
        <v>957</v>
      </c>
      <c r="F6" s="83" t="s">
        <v>17</v>
      </c>
      <c r="G6" s="214" t="s">
        <v>18</v>
      </c>
      <c r="H6" s="216" t="s">
        <v>3685</v>
      </c>
      <c r="I6" s="83" t="s">
        <v>3788</v>
      </c>
      <c r="J6" s="83" t="s">
        <v>15</v>
      </c>
      <c r="K6" s="83" t="s">
        <v>16</v>
      </c>
      <c r="L6" s="83" t="s">
        <v>19</v>
      </c>
      <c r="M6" s="83" t="s">
        <v>2622</v>
      </c>
      <c r="N6" s="134"/>
    </row>
    <row r="7" spans="1:14">
      <c r="A7" s="161" t="s">
        <v>3012</v>
      </c>
      <c r="B7" s="62" t="s">
        <v>1910</v>
      </c>
      <c r="C7" s="39" t="s">
        <v>11</v>
      </c>
      <c r="D7" s="41" t="s">
        <v>8</v>
      </c>
      <c r="E7" s="47" t="s">
        <v>3686</v>
      </c>
      <c r="F7" s="39" t="s">
        <v>3678</v>
      </c>
      <c r="G7" s="40" t="s">
        <v>22</v>
      </c>
      <c r="H7" s="39" t="s">
        <v>3687</v>
      </c>
      <c r="I7" s="139"/>
      <c r="J7" s="135" t="s">
        <v>20</v>
      </c>
      <c r="K7" s="39" t="s">
        <v>21</v>
      </c>
      <c r="L7" s="135" t="s">
        <v>23</v>
      </c>
      <c r="M7" s="137" t="s">
        <v>8</v>
      </c>
      <c r="N7" s="218"/>
    </row>
    <row r="8" spans="1:14" ht="30">
      <c r="A8" s="161" t="s">
        <v>3012</v>
      </c>
      <c r="B8" s="62" t="s">
        <v>1910</v>
      </c>
      <c r="C8" s="39" t="s">
        <v>11</v>
      </c>
      <c r="D8" s="41" t="s">
        <v>8</v>
      </c>
      <c r="E8" s="47" t="s">
        <v>3679</v>
      </c>
      <c r="F8" s="39" t="s">
        <v>3680</v>
      </c>
      <c r="G8" s="40" t="s">
        <v>25</v>
      </c>
      <c r="H8" s="39" t="s">
        <v>3687</v>
      </c>
      <c r="I8" s="139"/>
      <c r="J8" s="135" t="s">
        <v>20</v>
      </c>
      <c r="K8" s="39" t="s">
        <v>24</v>
      </c>
      <c r="L8" s="135" t="s">
        <v>23</v>
      </c>
      <c r="M8" s="137" t="s">
        <v>8</v>
      </c>
      <c r="N8" s="218"/>
    </row>
    <row r="9" spans="1:14">
      <c r="A9" s="161" t="s">
        <v>3012</v>
      </c>
      <c r="B9" s="62" t="s">
        <v>1910</v>
      </c>
      <c r="C9" s="39" t="s">
        <v>11</v>
      </c>
      <c r="D9" s="41" t="s">
        <v>1911</v>
      </c>
      <c r="E9" s="47" t="s">
        <v>958</v>
      </c>
      <c r="F9" s="39" t="s">
        <v>3681</v>
      </c>
      <c r="G9" s="40" t="s">
        <v>27</v>
      </c>
      <c r="H9" s="39" t="s">
        <v>3688</v>
      </c>
      <c r="I9" s="139" t="s">
        <v>1912</v>
      </c>
      <c r="J9" s="135" t="s">
        <v>20</v>
      </c>
      <c r="K9" s="39" t="s">
        <v>26</v>
      </c>
      <c r="L9" s="135" t="s">
        <v>23</v>
      </c>
      <c r="M9" s="137" t="s">
        <v>9</v>
      </c>
      <c r="N9" s="218"/>
    </row>
    <row r="10" spans="1:14" ht="30">
      <c r="A10" s="161" t="s">
        <v>3012</v>
      </c>
      <c r="B10" s="62" t="s">
        <v>1910</v>
      </c>
      <c r="C10" s="39" t="s">
        <v>11</v>
      </c>
      <c r="D10" s="41" t="s">
        <v>3736</v>
      </c>
      <c r="E10" s="47" t="s">
        <v>3682</v>
      </c>
      <c r="F10" s="39" t="s">
        <v>3683</v>
      </c>
      <c r="G10" s="40" t="s">
        <v>29</v>
      </c>
      <c r="H10" s="39" t="s">
        <v>3689</v>
      </c>
      <c r="I10" s="139" t="s">
        <v>1912</v>
      </c>
      <c r="J10" s="135" t="s">
        <v>20</v>
      </c>
      <c r="K10" s="39" t="s">
        <v>28</v>
      </c>
      <c r="L10" s="135" t="s">
        <v>23</v>
      </c>
      <c r="M10" s="137" t="s">
        <v>9</v>
      </c>
      <c r="N10" s="218"/>
    </row>
    <row r="11" spans="1:14">
      <c r="A11" s="161" t="s">
        <v>3012</v>
      </c>
      <c r="B11" s="62" t="s">
        <v>1910</v>
      </c>
      <c r="C11" s="39" t="s">
        <v>11</v>
      </c>
      <c r="D11" s="41" t="s">
        <v>1913</v>
      </c>
      <c r="E11" s="47" t="s">
        <v>959</v>
      </c>
      <c r="F11" s="39" t="s">
        <v>3684</v>
      </c>
      <c r="G11" s="40" t="s">
        <v>31</v>
      </c>
      <c r="H11" s="39" t="s">
        <v>3690</v>
      </c>
      <c r="I11" s="139" t="s">
        <v>1914</v>
      </c>
      <c r="J11" s="135" t="s">
        <v>20</v>
      </c>
      <c r="K11" s="39" t="s">
        <v>30</v>
      </c>
      <c r="L11" s="135" t="s">
        <v>23</v>
      </c>
      <c r="M11" s="137" t="s">
        <v>10</v>
      </c>
      <c r="N11" s="218"/>
    </row>
    <row r="12" spans="1:14" ht="30">
      <c r="A12" s="161" t="s">
        <v>3012</v>
      </c>
      <c r="B12" s="62" t="s">
        <v>1910</v>
      </c>
      <c r="C12" s="39" t="s">
        <v>11</v>
      </c>
      <c r="D12" s="41" t="s">
        <v>1913</v>
      </c>
      <c r="E12" s="47" t="s">
        <v>960</v>
      </c>
      <c r="F12" s="39" t="s">
        <v>33</v>
      </c>
      <c r="G12" s="40" t="s">
        <v>31</v>
      </c>
      <c r="H12" s="39" t="s">
        <v>3691</v>
      </c>
      <c r="I12" s="139" t="s">
        <v>1914</v>
      </c>
      <c r="J12" s="135" t="s">
        <v>20</v>
      </c>
      <c r="K12" s="39" t="s">
        <v>32</v>
      </c>
      <c r="L12" s="135" t="s">
        <v>23</v>
      </c>
      <c r="M12" s="137" t="s">
        <v>10</v>
      </c>
      <c r="N12" s="218"/>
    </row>
    <row r="13" spans="1:14">
      <c r="A13" s="161" t="s">
        <v>3012</v>
      </c>
      <c r="B13" s="62" t="s">
        <v>1910</v>
      </c>
      <c r="C13" s="39" t="s">
        <v>11</v>
      </c>
      <c r="D13" s="41" t="s">
        <v>1913</v>
      </c>
      <c r="E13" s="47" t="s">
        <v>961</v>
      </c>
      <c r="F13" s="39" t="s">
        <v>35</v>
      </c>
      <c r="G13" s="40" t="s">
        <v>36</v>
      </c>
      <c r="H13" s="39" t="s">
        <v>3691</v>
      </c>
      <c r="I13" s="139" t="s">
        <v>1914</v>
      </c>
      <c r="J13" s="135" t="s">
        <v>20</v>
      </c>
      <c r="K13" s="39" t="s">
        <v>34</v>
      </c>
      <c r="L13" s="135" t="s">
        <v>23</v>
      </c>
      <c r="M13" s="137" t="s">
        <v>10</v>
      </c>
      <c r="N13" s="218"/>
    </row>
    <row r="14" spans="1:14" ht="30">
      <c r="A14" s="161" t="s">
        <v>3012</v>
      </c>
      <c r="B14" s="62" t="s">
        <v>1910</v>
      </c>
      <c r="C14" s="39" t="s">
        <v>11</v>
      </c>
      <c r="D14" s="41" t="s">
        <v>8</v>
      </c>
      <c r="E14" s="47" t="s">
        <v>962</v>
      </c>
      <c r="F14" s="39" t="s">
        <v>38</v>
      </c>
      <c r="G14" s="40" t="s">
        <v>39</v>
      </c>
      <c r="H14" s="39" t="s">
        <v>3687</v>
      </c>
      <c r="I14" s="139"/>
      <c r="J14" s="135" t="s">
        <v>20</v>
      </c>
      <c r="K14" s="39" t="s">
        <v>37</v>
      </c>
      <c r="L14" s="135" t="s">
        <v>23</v>
      </c>
      <c r="M14" s="137" t="s">
        <v>8</v>
      </c>
      <c r="N14" s="218"/>
    </row>
    <row r="15" spans="1:14">
      <c r="A15" s="161" t="s">
        <v>3012</v>
      </c>
      <c r="B15" s="62" t="s">
        <v>1910</v>
      </c>
      <c r="C15" s="39" t="s">
        <v>11</v>
      </c>
      <c r="D15" s="41" t="s">
        <v>8</v>
      </c>
      <c r="E15" s="47" t="s">
        <v>963</v>
      </c>
      <c r="F15" s="39" t="s">
        <v>42</v>
      </c>
      <c r="G15" s="40" t="s">
        <v>43</v>
      </c>
      <c r="H15" s="39" t="s">
        <v>3692</v>
      </c>
      <c r="I15" s="139"/>
      <c r="J15" s="135" t="s">
        <v>40</v>
      </c>
      <c r="K15" s="39" t="s">
        <v>41</v>
      </c>
      <c r="L15" s="135" t="s">
        <v>44</v>
      </c>
      <c r="M15" s="137" t="s">
        <v>8</v>
      </c>
      <c r="N15" s="218"/>
    </row>
    <row r="16" spans="1:14" ht="30">
      <c r="A16" s="161" t="s">
        <v>3012</v>
      </c>
      <c r="B16" s="62" t="s">
        <v>1910</v>
      </c>
      <c r="C16" s="39" t="s">
        <v>11</v>
      </c>
      <c r="D16" s="41" t="s">
        <v>1913</v>
      </c>
      <c r="E16" s="47" t="s">
        <v>964</v>
      </c>
      <c r="F16" s="39" t="s">
        <v>46</v>
      </c>
      <c r="G16" s="40" t="s">
        <v>47</v>
      </c>
      <c r="H16" s="39" t="s">
        <v>3694</v>
      </c>
      <c r="I16" s="139" t="s">
        <v>1914</v>
      </c>
      <c r="J16" s="135" t="s">
        <v>40</v>
      </c>
      <c r="K16" s="39" t="s">
        <v>45</v>
      </c>
      <c r="L16" s="135" t="s">
        <v>44</v>
      </c>
      <c r="M16" s="137" t="s">
        <v>10</v>
      </c>
      <c r="N16" s="218"/>
    </row>
    <row r="17" spans="1:14" ht="30">
      <c r="A17" s="161" t="s">
        <v>3012</v>
      </c>
      <c r="B17" s="62" t="s">
        <v>1910</v>
      </c>
      <c r="C17" s="39" t="s">
        <v>11</v>
      </c>
      <c r="D17" s="41" t="s">
        <v>1911</v>
      </c>
      <c r="E17" s="47" t="s">
        <v>965</v>
      </c>
      <c r="F17" s="39" t="s">
        <v>49</v>
      </c>
      <c r="G17" s="40" t="s">
        <v>50</v>
      </c>
      <c r="H17" s="39" t="s">
        <v>3695</v>
      </c>
      <c r="I17" s="139" t="s">
        <v>1912</v>
      </c>
      <c r="J17" s="135" t="s">
        <v>40</v>
      </c>
      <c r="K17" s="39" t="s">
        <v>48</v>
      </c>
      <c r="L17" s="135" t="s">
        <v>44</v>
      </c>
      <c r="M17" s="137" t="s">
        <v>9</v>
      </c>
      <c r="N17" s="218"/>
    </row>
    <row r="18" spans="1:14">
      <c r="A18" s="161" t="s">
        <v>3012</v>
      </c>
      <c r="B18" s="62" t="s">
        <v>1910</v>
      </c>
      <c r="C18" s="39" t="s">
        <v>11</v>
      </c>
      <c r="D18" s="41" t="s">
        <v>1911</v>
      </c>
      <c r="E18" s="47" t="s">
        <v>966</v>
      </c>
      <c r="F18" s="39" t="s">
        <v>52</v>
      </c>
      <c r="G18" s="40" t="s">
        <v>53</v>
      </c>
      <c r="H18" s="39" t="s">
        <v>3695</v>
      </c>
      <c r="I18" s="139" t="s">
        <v>1912</v>
      </c>
      <c r="J18" s="135" t="s">
        <v>40</v>
      </c>
      <c r="K18" s="39" t="s">
        <v>51</v>
      </c>
      <c r="L18" s="135" t="s">
        <v>44</v>
      </c>
      <c r="M18" s="137" t="s">
        <v>9</v>
      </c>
      <c r="N18" s="218"/>
    </row>
    <row r="19" spans="1:14" ht="30">
      <c r="A19" s="161" t="s">
        <v>3012</v>
      </c>
      <c r="B19" s="62" t="s">
        <v>1910</v>
      </c>
      <c r="C19" s="39" t="s">
        <v>11</v>
      </c>
      <c r="D19" s="41" t="s">
        <v>1911</v>
      </c>
      <c r="E19" s="47" t="s">
        <v>967</v>
      </c>
      <c r="F19" s="39" t="s">
        <v>55</v>
      </c>
      <c r="G19" s="40" t="s">
        <v>56</v>
      </c>
      <c r="H19" s="39" t="s">
        <v>3695</v>
      </c>
      <c r="I19" s="139" t="s">
        <v>1912</v>
      </c>
      <c r="J19" s="135" t="s">
        <v>40</v>
      </c>
      <c r="K19" s="39" t="s">
        <v>54</v>
      </c>
      <c r="L19" s="135" t="s">
        <v>44</v>
      </c>
      <c r="M19" s="137" t="s">
        <v>9</v>
      </c>
      <c r="N19" s="218"/>
    </row>
    <row r="20" spans="1:14">
      <c r="A20" s="161" t="s">
        <v>3012</v>
      </c>
      <c r="B20" s="62" t="s">
        <v>1910</v>
      </c>
      <c r="C20" s="39" t="s">
        <v>11</v>
      </c>
      <c r="D20" s="41" t="s">
        <v>1911</v>
      </c>
      <c r="E20" s="47" t="s">
        <v>968</v>
      </c>
      <c r="F20" s="39" t="s">
        <v>58</v>
      </c>
      <c r="G20" s="40" t="s">
        <v>59</v>
      </c>
      <c r="H20" s="39" t="s">
        <v>3695</v>
      </c>
      <c r="I20" s="139" t="s">
        <v>1912</v>
      </c>
      <c r="J20" s="135" t="s">
        <v>40</v>
      </c>
      <c r="K20" s="39" t="s">
        <v>57</v>
      </c>
      <c r="L20" s="135" t="s">
        <v>44</v>
      </c>
      <c r="M20" s="137" t="s">
        <v>9</v>
      </c>
      <c r="N20" s="218"/>
    </row>
    <row r="21" spans="1:14">
      <c r="A21" s="161" t="s">
        <v>3012</v>
      </c>
      <c r="B21" s="62" t="s">
        <v>1915</v>
      </c>
      <c r="C21" s="39" t="s">
        <v>11</v>
      </c>
      <c r="D21" s="41" t="s">
        <v>8</v>
      </c>
      <c r="E21" s="47" t="s">
        <v>969</v>
      </c>
      <c r="F21" s="39" t="s">
        <v>62</v>
      </c>
      <c r="G21" s="40" t="s">
        <v>63</v>
      </c>
      <c r="H21" s="39" t="s">
        <v>3695</v>
      </c>
      <c r="I21" s="139"/>
      <c r="J21" s="135" t="s">
        <v>60</v>
      </c>
      <c r="K21" s="39" t="s">
        <v>61</v>
      </c>
      <c r="L21" s="135" t="s">
        <v>64</v>
      </c>
      <c r="M21" s="137" t="s">
        <v>8</v>
      </c>
      <c r="N21" s="218"/>
    </row>
    <row r="22" spans="1:14" ht="30">
      <c r="A22" s="161" t="s">
        <v>3012</v>
      </c>
      <c r="B22" s="62" t="s">
        <v>1915</v>
      </c>
      <c r="C22" s="39" t="s">
        <v>11</v>
      </c>
      <c r="D22" s="41" t="s">
        <v>1913</v>
      </c>
      <c r="E22" s="47" t="s">
        <v>970</v>
      </c>
      <c r="F22" s="39" t="s">
        <v>66</v>
      </c>
      <c r="G22" s="40" t="s">
        <v>67</v>
      </c>
      <c r="H22" s="39" t="s">
        <v>3693</v>
      </c>
      <c r="I22" s="139" t="s">
        <v>1914</v>
      </c>
      <c r="J22" s="135" t="s">
        <v>60</v>
      </c>
      <c r="K22" s="39" t="s">
        <v>65</v>
      </c>
      <c r="L22" s="135" t="s">
        <v>64</v>
      </c>
      <c r="M22" s="137" t="s">
        <v>10</v>
      </c>
      <c r="N22" s="218"/>
    </row>
    <row r="23" spans="1:14">
      <c r="A23" s="161" t="s">
        <v>3012</v>
      </c>
      <c r="B23" s="62" t="s">
        <v>1915</v>
      </c>
      <c r="C23" s="39" t="s">
        <v>11</v>
      </c>
      <c r="D23" s="41" t="s">
        <v>1913</v>
      </c>
      <c r="E23" s="47" t="s">
        <v>971</v>
      </c>
      <c r="F23" s="39" t="s">
        <v>69</v>
      </c>
      <c r="G23" s="40" t="s">
        <v>70</v>
      </c>
      <c r="H23" s="39" t="s">
        <v>3693</v>
      </c>
      <c r="I23" s="139" t="s">
        <v>1914</v>
      </c>
      <c r="J23" s="135" t="s">
        <v>60</v>
      </c>
      <c r="K23" s="39" t="s">
        <v>68</v>
      </c>
      <c r="L23" s="135" t="s">
        <v>64</v>
      </c>
      <c r="M23" s="137" t="s">
        <v>10</v>
      </c>
      <c r="N23" s="218"/>
    </row>
    <row r="24" spans="1:14">
      <c r="A24" s="161" t="s">
        <v>3012</v>
      </c>
      <c r="B24" s="62" t="s">
        <v>1915</v>
      </c>
      <c r="C24" s="39" t="s">
        <v>11</v>
      </c>
      <c r="D24" s="41" t="s">
        <v>1913</v>
      </c>
      <c r="E24" s="47" t="s">
        <v>972</v>
      </c>
      <c r="F24" s="39" t="s">
        <v>72</v>
      </c>
      <c r="G24" s="40" t="s">
        <v>73</v>
      </c>
      <c r="H24" s="39" t="s">
        <v>3695</v>
      </c>
      <c r="I24" s="139" t="s">
        <v>1914</v>
      </c>
      <c r="J24" s="135" t="s">
        <v>60</v>
      </c>
      <c r="K24" s="39" t="s">
        <v>71</v>
      </c>
      <c r="L24" s="135" t="s">
        <v>64</v>
      </c>
      <c r="M24" s="137" t="s">
        <v>10</v>
      </c>
      <c r="N24" s="218"/>
    </row>
    <row r="25" spans="1:14">
      <c r="A25" s="161" t="s">
        <v>3012</v>
      </c>
      <c r="B25" s="62" t="s">
        <v>1915</v>
      </c>
      <c r="C25" s="39" t="s">
        <v>11</v>
      </c>
      <c r="D25" s="41" t="s">
        <v>1913</v>
      </c>
      <c r="E25" s="47" t="s">
        <v>973</v>
      </c>
      <c r="F25" s="39" t="s">
        <v>75</v>
      </c>
      <c r="G25" s="40" t="s">
        <v>70</v>
      </c>
      <c r="H25" s="39" t="s">
        <v>3768</v>
      </c>
      <c r="I25" s="139" t="s">
        <v>1914</v>
      </c>
      <c r="J25" s="135" t="s">
        <v>60</v>
      </c>
      <c r="K25" s="39" t="s">
        <v>74</v>
      </c>
      <c r="L25" s="135" t="s">
        <v>64</v>
      </c>
      <c r="M25" s="137" t="s">
        <v>10</v>
      </c>
      <c r="N25" s="218"/>
    </row>
    <row r="26" spans="1:14">
      <c r="A26" s="161" t="s">
        <v>3012</v>
      </c>
      <c r="B26" s="62" t="s">
        <v>1915</v>
      </c>
      <c r="C26" s="39" t="s">
        <v>11</v>
      </c>
      <c r="D26" s="41" t="s">
        <v>1913</v>
      </c>
      <c r="E26" s="47" t="s">
        <v>974</v>
      </c>
      <c r="F26" s="39" t="s">
        <v>77</v>
      </c>
      <c r="G26" s="40" t="s">
        <v>78</v>
      </c>
      <c r="H26" s="39" t="s">
        <v>3768</v>
      </c>
      <c r="I26" s="139" t="s">
        <v>1914</v>
      </c>
      <c r="J26" s="135" t="s">
        <v>60</v>
      </c>
      <c r="K26" s="39" t="s">
        <v>76</v>
      </c>
      <c r="L26" s="135" t="s">
        <v>64</v>
      </c>
      <c r="M26" s="137" t="s">
        <v>10</v>
      </c>
      <c r="N26" s="218"/>
    </row>
    <row r="27" spans="1:14">
      <c r="A27" s="161" t="s">
        <v>3012</v>
      </c>
      <c r="B27" s="62" t="s">
        <v>1915</v>
      </c>
      <c r="C27" s="39" t="s">
        <v>11</v>
      </c>
      <c r="D27" s="41" t="s">
        <v>1913</v>
      </c>
      <c r="E27" s="47" t="s">
        <v>975</v>
      </c>
      <c r="F27" s="39" t="s">
        <v>80</v>
      </c>
      <c r="G27" s="40" t="s">
        <v>81</v>
      </c>
      <c r="H27" s="39" t="s">
        <v>3697</v>
      </c>
      <c r="I27" s="139" t="s">
        <v>1914</v>
      </c>
      <c r="J27" s="135" t="s">
        <v>60</v>
      </c>
      <c r="K27" s="39" t="s">
        <v>79</v>
      </c>
      <c r="L27" s="135" t="s">
        <v>64</v>
      </c>
      <c r="M27" s="137" t="s">
        <v>10</v>
      </c>
      <c r="N27" s="218"/>
    </row>
    <row r="28" spans="1:14">
      <c r="A28" s="161" t="s">
        <v>3012</v>
      </c>
      <c r="B28" s="62" t="s">
        <v>1915</v>
      </c>
      <c r="C28" s="39" t="s">
        <v>11</v>
      </c>
      <c r="D28" s="41" t="s">
        <v>1911</v>
      </c>
      <c r="E28" s="47" t="s">
        <v>976</v>
      </c>
      <c r="F28" s="39" t="s">
        <v>83</v>
      </c>
      <c r="G28" s="40" t="s">
        <v>84</v>
      </c>
      <c r="H28" s="39" t="s">
        <v>3698</v>
      </c>
      <c r="I28" s="139" t="s">
        <v>1912</v>
      </c>
      <c r="J28" s="135" t="s">
        <v>60</v>
      </c>
      <c r="K28" s="39" t="s">
        <v>82</v>
      </c>
      <c r="L28" s="135" t="s">
        <v>64</v>
      </c>
      <c r="M28" s="137" t="s">
        <v>9</v>
      </c>
      <c r="N28" s="218"/>
    </row>
    <row r="29" spans="1:14" ht="30">
      <c r="A29" s="161" t="s">
        <v>3012</v>
      </c>
      <c r="B29" s="62" t="s">
        <v>1915</v>
      </c>
      <c r="C29" s="39" t="s">
        <v>11</v>
      </c>
      <c r="D29" s="41" t="s">
        <v>8</v>
      </c>
      <c r="E29" s="47" t="s">
        <v>977</v>
      </c>
      <c r="F29" s="39" t="s">
        <v>87</v>
      </c>
      <c r="G29" s="40" t="s">
        <v>88</v>
      </c>
      <c r="H29" s="39" t="s">
        <v>3699</v>
      </c>
      <c r="I29" s="139"/>
      <c r="J29" s="135" t="s">
        <v>85</v>
      </c>
      <c r="K29" s="39" t="s">
        <v>86</v>
      </c>
      <c r="L29" s="135" t="s">
        <v>89</v>
      </c>
      <c r="M29" s="137" t="s">
        <v>8</v>
      </c>
      <c r="N29" s="218"/>
    </row>
    <row r="30" spans="1:14">
      <c r="A30" s="161" t="s">
        <v>3012</v>
      </c>
      <c r="B30" s="62" t="s">
        <v>1915</v>
      </c>
      <c r="C30" s="39" t="s">
        <v>11</v>
      </c>
      <c r="D30" s="41" t="s">
        <v>8</v>
      </c>
      <c r="E30" s="47" t="s">
        <v>978</v>
      </c>
      <c r="F30" s="39" t="s">
        <v>91</v>
      </c>
      <c r="G30" s="40" t="s">
        <v>92</v>
      </c>
      <c r="H30" s="39" t="s">
        <v>3700</v>
      </c>
      <c r="I30" s="139"/>
      <c r="J30" s="135" t="s">
        <v>85</v>
      </c>
      <c r="K30" s="39" t="s">
        <v>90</v>
      </c>
      <c r="L30" s="135" t="s">
        <v>89</v>
      </c>
      <c r="M30" s="137" t="s">
        <v>8</v>
      </c>
      <c r="N30" s="218"/>
    </row>
    <row r="31" spans="1:14" ht="30">
      <c r="A31" s="161" t="s">
        <v>3012</v>
      </c>
      <c r="B31" s="62" t="s">
        <v>1915</v>
      </c>
      <c r="C31" s="39" t="s">
        <v>11</v>
      </c>
      <c r="D31" s="41" t="s">
        <v>1911</v>
      </c>
      <c r="E31" s="47" t="s">
        <v>979</v>
      </c>
      <c r="F31" s="39" t="s">
        <v>94</v>
      </c>
      <c r="G31" s="40" t="s">
        <v>3701</v>
      </c>
      <c r="H31" s="39" t="s">
        <v>3702</v>
      </c>
      <c r="I31" s="139" t="s">
        <v>1912</v>
      </c>
      <c r="J31" s="135" t="s">
        <v>85</v>
      </c>
      <c r="K31" s="39" t="s">
        <v>93</v>
      </c>
      <c r="L31" s="135" t="s">
        <v>89</v>
      </c>
      <c r="M31" s="137" t="s">
        <v>9</v>
      </c>
      <c r="N31" s="218"/>
    </row>
    <row r="32" spans="1:14">
      <c r="A32" s="161" t="s">
        <v>3012</v>
      </c>
      <c r="B32" s="62" t="s">
        <v>1915</v>
      </c>
      <c r="C32" s="39" t="s">
        <v>11</v>
      </c>
      <c r="D32" s="41" t="s">
        <v>8</v>
      </c>
      <c r="E32" s="47" t="s">
        <v>980</v>
      </c>
      <c r="F32" s="39" t="s">
        <v>97</v>
      </c>
      <c r="G32" s="40" t="s">
        <v>98</v>
      </c>
      <c r="H32" s="39" t="s">
        <v>3702</v>
      </c>
      <c r="I32" s="139"/>
      <c r="J32" s="135" t="s">
        <v>95</v>
      </c>
      <c r="K32" s="39" t="s">
        <v>96</v>
      </c>
      <c r="L32" s="135" t="s">
        <v>99</v>
      </c>
      <c r="M32" s="137" t="s">
        <v>8</v>
      </c>
      <c r="N32" s="218"/>
    </row>
    <row r="33" spans="1:14" ht="30">
      <c r="A33" s="161" t="s">
        <v>3012</v>
      </c>
      <c r="B33" s="62" t="s">
        <v>1915</v>
      </c>
      <c r="C33" s="39" t="s">
        <v>11</v>
      </c>
      <c r="D33" s="41" t="s">
        <v>1911</v>
      </c>
      <c r="E33" s="47" t="s">
        <v>981</v>
      </c>
      <c r="F33" s="39" t="s">
        <v>101</v>
      </c>
      <c r="G33" s="40" t="s">
        <v>102</v>
      </c>
      <c r="H33" s="39" t="s">
        <v>3695</v>
      </c>
      <c r="I33" s="139" t="s">
        <v>1912</v>
      </c>
      <c r="J33" s="135" t="s">
        <v>95</v>
      </c>
      <c r="K33" s="39" t="s">
        <v>100</v>
      </c>
      <c r="L33" s="135" t="s">
        <v>99</v>
      </c>
      <c r="M33" s="137" t="s">
        <v>9</v>
      </c>
      <c r="N33" s="218"/>
    </row>
    <row r="34" spans="1:14" ht="30">
      <c r="A34" s="161" t="s">
        <v>3012</v>
      </c>
      <c r="B34" s="62" t="s">
        <v>1915</v>
      </c>
      <c r="C34" s="39" t="s">
        <v>11</v>
      </c>
      <c r="D34" s="41" t="s">
        <v>1911</v>
      </c>
      <c r="E34" s="47" t="s">
        <v>982</v>
      </c>
      <c r="F34" s="39" t="s">
        <v>104</v>
      </c>
      <c r="G34" s="40" t="s">
        <v>105</v>
      </c>
      <c r="H34" s="39" t="s">
        <v>3695</v>
      </c>
      <c r="I34" s="139" t="s">
        <v>1912</v>
      </c>
      <c r="J34" s="135" t="s">
        <v>95</v>
      </c>
      <c r="K34" s="39" t="s">
        <v>103</v>
      </c>
      <c r="L34" s="135" t="s">
        <v>99</v>
      </c>
      <c r="M34" s="137" t="s">
        <v>9</v>
      </c>
      <c r="N34" s="218"/>
    </row>
    <row r="35" spans="1:14">
      <c r="A35" s="161" t="s">
        <v>3012</v>
      </c>
      <c r="B35" s="62" t="s">
        <v>1916</v>
      </c>
      <c r="C35" s="39" t="s">
        <v>11</v>
      </c>
      <c r="D35" s="41" t="s">
        <v>8</v>
      </c>
      <c r="E35" s="47" t="s">
        <v>983</v>
      </c>
      <c r="F35" s="39" t="s">
        <v>108</v>
      </c>
      <c r="G35" s="40" t="s">
        <v>109</v>
      </c>
      <c r="H35" s="39" t="s">
        <v>3693</v>
      </c>
      <c r="I35" s="139"/>
      <c r="J35" s="135" t="s">
        <v>106</v>
      </c>
      <c r="K35" s="39" t="s">
        <v>107</v>
      </c>
      <c r="L35" s="135" t="s">
        <v>110</v>
      </c>
      <c r="M35" s="137" t="s">
        <v>8</v>
      </c>
      <c r="N35" s="218"/>
    </row>
    <row r="36" spans="1:14" ht="30">
      <c r="A36" s="161" t="s">
        <v>3012</v>
      </c>
      <c r="B36" s="62" t="s">
        <v>1916</v>
      </c>
      <c r="C36" s="39" t="s">
        <v>11</v>
      </c>
      <c r="D36" s="41" t="s">
        <v>1911</v>
      </c>
      <c r="E36" s="47" t="s">
        <v>984</v>
      </c>
      <c r="F36" s="39" t="s">
        <v>112</v>
      </c>
      <c r="G36" s="40" t="s">
        <v>113</v>
      </c>
      <c r="H36" s="39" t="s">
        <v>3693</v>
      </c>
      <c r="I36" s="139" t="s">
        <v>1912</v>
      </c>
      <c r="J36" s="135" t="s">
        <v>106</v>
      </c>
      <c r="K36" s="39" t="s">
        <v>111</v>
      </c>
      <c r="L36" s="135" t="s">
        <v>110</v>
      </c>
      <c r="M36" s="137" t="s">
        <v>9</v>
      </c>
      <c r="N36" s="218"/>
    </row>
    <row r="37" spans="1:14" ht="30">
      <c r="A37" s="161" t="s">
        <v>3012</v>
      </c>
      <c r="B37" s="62" t="s">
        <v>1916</v>
      </c>
      <c r="C37" s="39" t="s">
        <v>11</v>
      </c>
      <c r="D37" s="41" t="s">
        <v>1913</v>
      </c>
      <c r="E37" s="47" t="s">
        <v>985</v>
      </c>
      <c r="F37" s="39" t="s">
        <v>115</v>
      </c>
      <c r="G37" s="40" t="s">
        <v>116</v>
      </c>
      <c r="H37" s="39" t="s">
        <v>3693</v>
      </c>
      <c r="I37" s="139" t="s">
        <v>1914</v>
      </c>
      <c r="J37" s="135" t="s">
        <v>106</v>
      </c>
      <c r="K37" s="39" t="s">
        <v>114</v>
      </c>
      <c r="L37" s="135" t="s">
        <v>110</v>
      </c>
      <c r="M37" s="137" t="s">
        <v>10</v>
      </c>
      <c r="N37" s="218"/>
    </row>
    <row r="38" spans="1:14">
      <c r="A38" s="161" t="s">
        <v>3012</v>
      </c>
      <c r="B38" s="62" t="s">
        <v>1916</v>
      </c>
      <c r="C38" s="39" t="s">
        <v>11</v>
      </c>
      <c r="D38" s="41" t="s">
        <v>1913</v>
      </c>
      <c r="E38" s="47" t="s">
        <v>986</v>
      </c>
      <c r="F38" s="39" t="s">
        <v>118</v>
      </c>
      <c r="G38" s="40" t="s">
        <v>119</v>
      </c>
      <c r="H38" s="39" t="s">
        <v>3693</v>
      </c>
      <c r="I38" s="139" t="s">
        <v>1914</v>
      </c>
      <c r="J38" s="135" t="s">
        <v>106</v>
      </c>
      <c r="K38" s="39" t="s">
        <v>117</v>
      </c>
      <c r="L38" s="135" t="s">
        <v>110</v>
      </c>
      <c r="M38" s="137" t="s">
        <v>10</v>
      </c>
      <c r="N38" s="218"/>
    </row>
    <row r="39" spans="1:14">
      <c r="A39" s="161" t="s">
        <v>3012</v>
      </c>
      <c r="B39" s="62" t="s">
        <v>1916</v>
      </c>
      <c r="C39" s="39" t="s">
        <v>11</v>
      </c>
      <c r="D39" s="41" t="s">
        <v>1911</v>
      </c>
      <c r="E39" s="47" t="s">
        <v>987</v>
      </c>
      <c r="F39" s="39" t="s">
        <v>121</v>
      </c>
      <c r="G39" s="40" t="s">
        <v>122</v>
      </c>
      <c r="H39" s="39" t="s">
        <v>3693</v>
      </c>
      <c r="I39" s="139" t="s">
        <v>1912</v>
      </c>
      <c r="J39" s="135" t="s">
        <v>106</v>
      </c>
      <c r="K39" s="39" t="s">
        <v>120</v>
      </c>
      <c r="L39" s="135" t="s">
        <v>110</v>
      </c>
      <c r="M39" s="137" t="s">
        <v>9</v>
      </c>
      <c r="N39" s="218"/>
    </row>
    <row r="40" spans="1:14" ht="30">
      <c r="A40" s="161" t="s">
        <v>3012</v>
      </c>
      <c r="B40" s="62" t="s">
        <v>1916</v>
      </c>
      <c r="C40" s="39" t="s">
        <v>11</v>
      </c>
      <c r="D40" s="41" t="s">
        <v>1911</v>
      </c>
      <c r="E40" s="47" t="s">
        <v>988</v>
      </c>
      <c r="F40" s="39" t="s">
        <v>125</v>
      </c>
      <c r="G40" s="40" t="s">
        <v>126</v>
      </c>
      <c r="H40" s="39" t="s">
        <v>3703</v>
      </c>
      <c r="I40" s="139" t="s">
        <v>1912</v>
      </c>
      <c r="J40" s="135" t="s">
        <v>123</v>
      </c>
      <c r="K40" s="39" t="s">
        <v>124</v>
      </c>
      <c r="L40" s="135" t="s">
        <v>127</v>
      </c>
      <c r="M40" s="137" t="s">
        <v>9</v>
      </c>
      <c r="N40" s="218"/>
    </row>
    <row r="41" spans="1:14">
      <c r="A41" s="161" t="s">
        <v>3012</v>
      </c>
      <c r="B41" s="62" t="s">
        <v>1916</v>
      </c>
      <c r="C41" s="39" t="s">
        <v>11</v>
      </c>
      <c r="D41" s="41" t="s">
        <v>1911</v>
      </c>
      <c r="E41" s="47" t="s">
        <v>989</v>
      </c>
      <c r="F41" s="39" t="s">
        <v>129</v>
      </c>
      <c r="G41" s="40" t="s">
        <v>130</v>
      </c>
      <c r="H41" s="39" t="s">
        <v>3703</v>
      </c>
      <c r="I41" s="139" t="s">
        <v>1912</v>
      </c>
      <c r="J41" s="135" t="s">
        <v>123</v>
      </c>
      <c r="K41" s="39" t="s">
        <v>128</v>
      </c>
      <c r="L41" s="135" t="s">
        <v>127</v>
      </c>
      <c r="M41" s="137" t="s">
        <v>9</v>
      </c>
      <c r="N41" s="218"/>
    </row>
    <row r="42" spans="1:14" ht="30">
      <c r="A42" s="161" t="s">
        <v>3012</v>
      </c>
      <c r="B42" s="62" t="s">
        <v>1916</v>
      </c>
      <c r="C42" s="39" t="s">
        <v>11</v>
      </c>
      <c r="D42" s="41" t="s">
        <v>1913</v>
      </c>
      <c r="E42" s="47" t="s">
        <v>990</v>
      </c>
      <c r="F42" s="39" t="s">
        <v>132</v>
      </c>
      <c r="G42" s="40" t="s">
        <v>133</v>
      </c>
      <c r="H42" s="39" t="s">
        <v>3695</v>
      </c>
      <c r="I42" s="139" t="s">
        <v>1914</v>
      </c>
      <c r="J42" s="135" t="s">
        <v>123</v>
      </c>
      <c r="K42" s="39" t="s">
        <v>131</v>
      </c>
      <c r="L42" s="135" t="s">
        <v>127</v>
      </c>
      <c r="M42" s="137" t="s">
        <v>10</v>
      </c>
      <c r="N42" s="218"/>
    </row>
    <row r="43" spans="1:14">
      <c r="A43" s="161" t="s">
        <v>3012</v>
      </c>
      <c r="B43" s="62" t="s">
        <v>1916</v>
      </c>
      <c r="C43" s="39" t="s">
        <v>11</v>
      </c>
      <c r="D43" s="41" t="s">
        <v>1911</v>
      </c>
      <c r="E43" s="47" t="s">
        <v>991</v>
      </c>
      <c r="F43" s="39" t="s">
        <v>135</v>
      </c>
      <c r="G43" s="40" t="s">
        <v>136</v>
      </c>
      <c r="H43" s="39" t="s">
        <v>3703</v>
      </c>
      <c r="I43" s="139" t="s">
        <v>1912</v>
      </c>
      <c r="J43" s="135" t="s">
        <v>123</v>
      </c>
      <c r="K43" s="39" t="s">
        <v>134</v>
      </c>
      <c r="L43" s="135" t="s">
        <v>127</v>
      </c>
      <c r="M43" s="137" t="s">
        <v>9</v>
      </c>
      <c r="N43" s="218"/>
    </row>
    <row r="44" spans="1:14">
      <c r="A44" s="161" t="s">
        <v>3012</v>
      </c>
      <c r="B44" s="62" t="s">
        <v>1917</v>
      </c>
      <c r="C44" s="39" t="s">
        <v>11</v>
      </c>
      <c r="D44" s="41" t="s">
        <v>8</v>
      </c>
      <c r="E44" s="47" t="s">
        <v>992</v>
      </c>
      <c r="F44" s="39" t="s">
        <v>139</v>
      </c>
      <c r="G44" s="40" t="s">
        <v>140</v>
      </c>
      <c r="H44" s="39" t="s">
        <v>3704</v>
      </c>
      <c r="I44" s="139"/>
      <c r="J44" s="135" t="s">
        <v>137</v>
      </c>
      <c r="K44" s="39" t="s">
        <v>138</v>
      </c>
      <c r="L44" s="135" t="s">
        <v>141</v>
      </c>
      <c r="M44" s="137" t="s">
        <v>8</v>
      </c>
      <c r="N44" s="218"/>
    </row>
    <row r="45" spans="1:14">
      <c r="A45" s="161" t="s">
        <v>3012</v>
      </c>
      <c r="B45" s="62" t="s">
        <v>1917</v>
      </c>
      <c r="C45" s="39" t="s">
        <v>11</v>
      </c>
      <c r="D45" s="41" t="s">
        <v>8</v>
      </c>
      <c r="E45" s="47" t="s">
        <v>993</v>
      </c>
      <c r="F45" s="39" t="s">
        <v>143</v>
      </c>
      <c r="G45" s="40" t="s">
        <v>144</v>
      </c>
      <c r="H45" s="39" t="s">
        <v>3693</v>
      </c>
      <c r="I45" s="139"/>
      <c r="J45" s="135" t="s">
        <v>137</v>
      </c>
      <c r="K45" s="39" t="s">
        <v>142</v>
      </c>
      <c r="L45" s="135" t="s">
        <v>141</v>
      </c>
      <c r="M45" s="137" t="s">
        <v>8</v>
      </c>
      <c r="N45" s="218"/>
    </row>
    <row r="46" spans="1:14">
      <c r="A46" s="161" t="s">
        <v>3012</v>
      </c>
      <c r="B46" s="62" t="s">
        <v>1917</v>
      </c>
      <c r="C46" s="39" t="s">
        <v>11</v>
      </c>
      <c r="D46" s="41" t="s">
        <v>8</v>
      </c>
      <c r="E46" s="47" t="s">
        <v>994</v>
      </c>
      <c r="F46" s="39" t="s">
        <v>147</v>
      </c>
      <c r="G46" s="40" t="s">
        <v>148</v>
      </c>
      <c r="H46" s="39" t="s">
        <v>3693</v>
      </c>
      <c r="I46" s="139"/>
      <c r="J46" s="135" t="s">
        <v>145</v>
      </c>
      <c r="K46" s="39" t="s">
        <v>146</v>
      </c>
      <c r="L46" s="135" t="s">
        <v>149</v>
      </c>
      <c r="M46" s="137" t="s">
        <v>8</v>
      </c>
      <c r="N46" s="218"/>
    </row>
    <row r="47" spans="1:14">
      <c r="A47" s="161" t="s">
        <v>3012</v>
      </c>
      <c r="B47" s="62" t="s">
        <v>1917</v>
      </c>
      <c r="C47" s="39" t="s">
        <v>11</v>
      </c>
      <c r="D47" s="41" t="s">
        <v>8</v>
      </c>
      <c r="E47" s="47" t="s">
        <v>995</v>
      </c>
      <c r="F47" s="39" t="s">
        <v>151</v>
      </c>
      <c r="G47" s="40" t="s">
        <v>148</v>
      </c>
      <c r="H47" s="39" t="s">
        <v>3693</v>
      </c>
      <c r="I47" s="139"/>
      <c r="J47" s="135" t="s">
        <v>145</v>
      </c>
      <c r="K47" s="39" t="s">
        <v>150</v>
      </c>
      <c r="L47" s="135" t="s">
        <v>149</v>
      </c>
      <c r="M47" s="137" t="s">
        <v>8</v>
      </c>
      <c r="N47" s="218"/>
    </row>
    <row r="48" spans="1:14" ht="30">
      <c r="A48" s="161" t="s">
        <v>3012</v>
      </c>
      <c r="B48" s="62" t="s">
        <v>1917</v>
      </c>
      <c r="C48" s="39" t="s">
        <v>11</v>
      </c>
      <c r="D48" s="41" t="s">
        <v>1911</v>
      </c>
      <c r="E48" s="47" t="s">
        <v>996</v>
      </c>
      <c r="F48" s="39" t="s">
        <v>153</v>
      </c>
      <c r="G48" s="40" t="s">
        <v>154</v>
      </c>
      <c r="H48" s="39" t="s">
        <v>3693</v>
      </c>
      <c r="I48" s="139" t="s">
        <v>1912</v>
      </c>
      <c r="J48" s="135" t="s">
        <v>145</v>
      </c>
      <c r="K48" s="39" t="s">
        <v>152</v>
      </c>
      <c r="L48" s="135" t="s">
        <v>149</v>
      </c>
      <c r="M48" s="137" t="s">
        <v>9</v>
      </c>
      <c r="N48" s="218"/>
    </row>
    <row r="49" spans="1:14">
      <c r="A49" s="161" t="s">
        <v>3012</v>
      </c>
      <c r="B49" s="62" t="s">
        <v>1917</v>
      </c>
      <c r="C49" s="39" t="s">
        <v>11</v>
      </c>
      <c r="D49" s="41" t="s">
        <v>1911</v>
      </c>
      <c r="E49" s="47" t="s">
        <v>997</v>
      </c>
      <c r="F49" s="39" t="s">
        <v>156</v>
      </c>
      <c r="G49" s="40" t="s">
        <v>157</v>
      </c>
      <c r="H49" s="39" t="s">
        <v>3696</v>
      </c>
      <c r="I49" s="139" t="s">
        <v>1912</v>
      </c>
      <c r="J49" s="135" t="s">
        <v>145</v>
      </c>
      <c r="K49" s="39" t="s">
        <v>155</v>
      </c>
      <c r="L49" s="135" t="s">
        <v>149</v>
      </c>
      <c r="M49" s="137" t="s">
        <v>9</v>
      </c>
      <c r="N49" s="218"/>
    </row>
    <row r="50" spans="1:14">
      <c r="A50" s="161" t="s">
        <v>3012</v>
      </c>
      <c r="B50" s="62" t="s">
        <v>1917</v>
      </c>
      <c r="C50" s="39" t="s">
        <v>11</v>
      </c>
      <c r="D50" s="41" t="s">
        <v>1911</v>
      </c>
      <c r="E50" s="47" t="s">
        <v>998</v>
      </c>
      <c r="F50" s="39" t="s">
        <v>159</v>
      </c>
      <c r="G50" s="40" t="s">
        <v>160</v>
      </c>
      <c r="H50" s="39" t="s">
        <v>3696</v>
      </c>
      <c r="I50" s="139" t="s">
        <v>1912</v>
      </c>
      <c r="J50" s="135" t="s">
        <v>145</v>
      </c>
      <c r="K50" s="39" t="s">
        <v>158</v>
      </c>
      <c r="L50" s="135" t="s">
        <v>149</v>
      </c>
      <c r="M50" s="137" t="s">
        <v>9</v>
      </c>
      <c r="N50" s="218"/>
    </row>
    <row r="51" spans="1:14">
      <c r="A51" s="161" t="s">
        <v>3012</v>
      </c>
      <c r="B51" s="62" t="s">
        <v>1917</v>
      </c>
      <c r="C51" s="39" t="s">
        <v>11</v>
      </c>
      <c r="D51" s="41" t="s">
        <v>1911</v>
      </c>
      <c r="E51" s="47" t="s">
        <v>999</v>
      </c>
      <c r="F51" s="39" t="s">
        <v>163</v>
      </c>
      <c r="G51" s="40" t="s">
        <v>164</v>
      </c>
      <c r="H51" s="39" t="s">
        <v>3696</v>
      </c>
      <c r="I51" s="139" t="s">
        <v>1912</v>
      </c>
      <c r="J51" s="135" t="s">
        <v>161</v>
      </c>
      <c r="K51" s="39" t="s">
        <v>162</v>
      </c>
      <c r="L51" s="135" t="s">
        <v>165</v>
      </c>
      <c r="M51" s="137" t="s">
        <v>9</v>
      </c>
      <c r="N51" s="218"/>
    </row>
    <row r="52" spans="1:14">
      <c r="A52" s="161" t="s">
        <v>3012</v>
      </c>
      <c r="B52" s="62" t="s">
        <v>1917</v>
      </c>
      <c r="C52" s="39" t="s">
        <v>11</v>
      </c>
      <c r="D52" s="41" t="s">
        <v>1913</v>
      </c>
      <c r="E52" s="47" t="s">
        <v>1000</v>
      </c>
      <c r="F52" s="39" t="s">
        <v>167</v>
      </c>
      <c r="G52" s="40" t="s">
        <v>168</v>
      </c>
      <c r="H52" s="39" t="s">
        <v>3696</v>
      </c>
      <c r="I52" s="139" t="s">
        <v>1914</v>
      </c>
      <c r="J52" s="135" t="s">
        <v>161</v>
      </c>
      <c r="K52" s="39" t="s">
        <v>166</v>
      </c>
      <c r="L52" s="135" t="s">
        <v>165</v>
      </c>
      <c r="M52" s="137" t="s">
        <v>10</v>
      </c>
      <c r="N52" s="218"/>
    </row>
    <row r="53" spans="1:14" ht="30">
      <c r="A53" s="161" t="s">
        <v>3012</v>
      </c>
      <c r="B53" s="62" t="s">
        <v>1917</v>
      </c>
      <c r="C53" s="39" t="s">
        <v>11</v>
      </c>
      <c r="D53" s="41" t="s">
        <v>1911</v>
      </c>
      <c r="E53" s="47" t="s">
        <v>1001</v>
      </c>
      <c r="F53" s="39" t="s">
        <v>170</v>
      </c>
      <c r="G53" s="40" t="s">
        <v>171</v>
      </c>
      <c r="H53" s="39" t="s">
        <v>3696</v>
      </c>
      <c r="I53" s="139" t="s">
        <v>1912</v>
      </c>
      <c r="J53" s="135" t="s">
        <v>161</v>
      </c>
      <c r="K53" s="39" t="s">
        <v>169</v>
      </c>
      <c r="L53" s="135" t="s">
        <v>165</v>
      </c>
      <c r="M53" s="137" t="s">
        <v>9</v>
      </c>
      <c r="N53" s="218"/>
    </row>
    <row r="54" spans="1:14">
      <c r="A54" s="161" t="s">
        <v>3012</v>
      </c>
      <c r="B54" s="62" t="s">
        <v>1918</v>
      </c>
      <c r="C54" s="39" t="s">
        <v>11</v>
      </c>
      <c r="D54" s="41" t="s">
        <v>8</v>
      </c>
      <c r="E54" s="47" t="s">
        <v>1002</v>
      </c>
      <c r="F54" s="39" t="s">
        <v>174</v>
      </c>
      <c r="G54" s="40" t="s">
        <v>175</v>
      </c>
      <c r="H54" s="39" t="s">
        <v>3705</v>
      </c>
      <c r="I54" s="139"/>
      <c r="J54" s="135" t="s">
        <v>172</v>
      </c>
      <c r="K54" s="39" t="s">
        <v>173</v>
      </c>
      <c r="L54" s="135" t="s">
        <v>176</v>
      </c>
      <c r="M54" s="137" t="s">
        <v>8</v>
      </c>
      <c r="N54" s="218"/>
    </row>
    <row r="55" spans="1:14">
      <c r="A55" s="161" t="s">
        <v>3012</v>
      </c>
      <c r="B55" s="62" t="s">
        <v>1918</v>
      </c>
      <c r="C55" s="39" t="s">
        <v>11</v>
      </c>
      <c r="D55" s="41" t="s">
        <v>8</v>
      </c>
      <c r="E55" s="47" t="s">
        <v>1003</v>
      </c>
      <c r="F55" s="39" t="s">
        <v>178</v>
      </c>
      <c r="G55" s="40" t="s">
        <v>179</v>
      </c>
      <c r="H55" s="39" t="s">
        <v>3705</v>
      </c>
      <c r="I55" s="139"/>
      <c r="J55" s="135" t="s">
        <v>172</v>
      </c>
      <c r="K55" s="39" t="s">
        <v>177</v>
      </c>
      <c r="L55" s="135" t="s">
        <v>176</v>
      </c>
      <c r="M55" s="137" t="s">
        <v>8</v>
      </c>
      <c r="N55" s="218"/>
    </row>
    <row r="56" spans="1:14">
      <c r="A56" s="161" t="s">
        <v>3012</v>
      </c>
      <c r="B56" s="62" t="s">
        <v>1918</v>
      </c>
      <c r="C56" s="39" t="s">
        <v>11</v>
      </c>
      <c r="D56" s="41" t="s">
        <v>8</v>
      </c>
      <c r="E56" s="47" t="s">
        <v>1004</v>
      </c>
      <c r="F56" s="39" t="s">
        <v>181</v>
      </c>
      <c r="G56" s="40" t="s">
        <v>182</v>
      </c>
      <c r="H56" s="39" t="s">
        <v>3696</v>
      </c>
      <c r="I56" s="139"/>
      <c r="J56" s="135" t="s">
        <v>172</v>
      </c>
      <c r="K56" s="39" t="s">
        <v>180</v>
      </c>
      <c r="L56" s="135" t="s">
        <v>176</v>
      </c>
      <c r="M56" s="137" t="s">
        <v>8</v>
      </c>
      <c r="N56" s="218"/>
    </row>
    <row r="57" spans="1:14">
      <c r="A57" s="161" t="s">
        <v>3012</v>
      </c>
      <c r="B57" s="62" t="s">
        <v>1918</v>
      </c>
      <c r="C57" s="39" t="s">
        <v>11</v>
      </c>
      <c r="D57" s="41" t="s">
        <v>1911</v>
      </c>
      <c r="E57" s="47" t="s">
        <v>1005</v>
      </c>
      <c r="F57" s="39" t="s">
        <v>184</v>
      </c>
      <c r="G57" s="40" t="s">
        <v>185</v>
      </c>
      <c r="H57" s="39" t="s">
        <v>3696</v>
      </c>
      <c r="I57" s="139" t="s">
        <v>1912</v>
      </c>
      <c r="J57" s="135" t="s">
        <v>172</v>
      </c>
      <c r="K57" s="39" t="s">
        <v>183</v>
      </c>
      <c r="L57" s="135" t="s">
        <v>176</v>
      </c>
      <c r="M57" s="137" t="s">
        <v>9</v>
      </c>
      <c r="N57" s="218"/>
    </row>
    <row r="58" spans="1:14" ht="30">
      <c r="A58" s="161" t="s">
        <v>3012</v>
      </c>
      <c r="B58" s="62" t="s">
        <v>1918</v>
      </c>
      <c r="C58" s="39" t="s">
        <v>11</v>
      </c>
      <c r="D58" s="41" t="s">
        <v>1911</v>
      </c>
      <c r="E58" s="47" t="s">
        <v>1006</v>
      </c>
      <c r="F58" s="39" t="s">
        <v>187</v>
      </c>
      <c r="G58" s="40" t="s">
        <v>188</v>
      </c>
      <c r="H58" s="39" t="s">
        <v>3689</v>
      </c>
      <c r="I58" s="139" t="s">
        <v>1912</v>
      </c>
      <c r="J58" s="135" t="s">
        <v>172</v>
      </c>
      <c r="K58" s="39" t="s">
        <v>186</v>
      </c>
      <c r="L58" s="135" t="s">
        <v>176</v>
      </c>
      <c r="M58" s="137" t="s">
        <v>9</v>
      </c>
      <c r="N58" s="218"/>
    </row>
    <row r="59" spans="1:14" ht="30">
      <c r="A59" s="161" t="s">
        <v>3012</v>
      </c>
      <c r="B59" s="62" t="s">
        <v>1918</v>
      </c>
      <c r="C59" s="39" t="s">
        <v>11</v>
      </c>
      <c r="D59" s="41" t="s">
        <v>8</v>
      </c>
      <c r="E59" s="47" t="s">
        <v>1007</v>
      </c>
      <c r="F59" s="39" t="s">
        <v>190</v>
      </c>
      <c r="G59" s="40" t="s">
        <v>191</v>
      </c>
      <c r="H59" s="39" t="s">
        <v>3696</v>
      </c>
      <c r="I59" s="139"/>
      <c r="J59" s="135" t="s">
        <v>172</v>
      </c>
      <c r="K59" s="39" t="s">
        <v>189</v>
      </c>
      <c r="L59" s="135" t="s">
        <v>176</v>
      </c>
      <c r="M59" s="137" t="s">
        <v>8</v>
      </c>
      <c r="N59" s="218"/>
    </row>
    <row r="60" spans="1:14">
      <c r="A60" s="161" t="s">
        <v>3012</v>
      </c>
      <c r="B60" s="62" t="s">
        <v>1918</v>
      </c>
      <c r="C60" s="39" t="s">
        <v>11</v>
      </c>
      <c r="D60" s="41" t="s">
        <v>8</v>
      </c>
      <c r="E60" s="47" t="s">
        <v>1008</v>
      </c>
      <c r="F60" s="39" t="s">
        <v>193</v>
      </c>
      <c r="G60" s="40" t="s">
        <v>194</v>
      </c>
      <c r="H60" s="39" t="s">
        <v>3689</v>
      </c>
      <c r="I60" s="139"/>
      <c r="J60" s="135" t="s">
        <v>172</v>
      </c>
      <c r="K60" s="39" t="s">
        <v>192</v>
      </c>
      <c r="L60" s="135" t="s">
        <v>176</v>
      </c>
      <c r="M60" s="137" t="s">
        <v>8</v>
      </c>
      <c r="N60" s="218"/>
    </row>
    <row r="61" spans="1:14">
      <c r="A61" s="161" t="s">
        <v>3012</v>
      </c>
      <c r="B61" s="62" t="s">
        <v>1918</v>
      </c>
      <c r="C61" s="39" t="s">
        <v>11</v>
      </c>
      <c r="D61" s="41" t="s">
        <v>8</v>
      </c>
      <c r="E61" s="47" t="s">
        <v>1009</v>
      </c>
      <c r="F61" s="39" t="s">
        <v>196</v>
      </c>
      <c r="G61" s="40" t="s">
        <v>197</v>
      </c>
      <c r="H61" s="39" t="s">
        <v>3706</v>
      </c>
      <c r="I61" s="139"/>
      <c r="J61" s="135" t="s">
        <v>172</v>
      </c>
      <c r="K61" s="39" t="s">
        <v>195</v>
      </c>
      <c r="L61" s="135" t="s">
        <v>176</v>
      </c>
      <c r="M61" s="137" t="s">
        <v>8</v>
      </c>
      <c r="N61" s="218"/>
    </row>
    <row r="62" spans="1:14">
      <c r="A62" s="161" t="s">
        <v>3012</v>
      </c>
      <c r="B62" s="62" t="s">
        <v>1918</v>
      </c>
      <c r="C62" s="39" t="s">
        <v>11</v>
      </c>
      <c r="D62" s="41" t="s">
        <v>1913</v>
      </c>
      <c r="E62" s="47" t="s">
        <v>1010</v>
      </c>
      <c r="F62" s="39" t="s">
        <v>200</v>
      </c>
      <c r="G62" s="40" t="s">
        <v>201</v>
      </c>
      <c r="H62" s="39" t="s">
        <v>3707</v>
      </c>
      <c r="I62" s="139" t="s">
        <v>1914</v>
      </c>
      <c r="J62" s="135" t="s">
        <v>198</v>
      </c>
      <c r="K62" s="39" t="s">
        <v>199</v>
      </c>
      <c r="L62" s="135" t="s">
        <v>202</v>
      </c>
      <c r="M62" s="137" t="s">
        <v>10</v>
      </c>
      <c r="N62" s="218"/>
    </row>
    <row r="63" spans="1:14" ht="30">
      <c r="A63" s="161" t="s">
        <v>3012</v>
      </c>
      <c r="B63" s="62" t="s">
        <v>1918</v>
      </c>
      <c r="C63" s="39" t="s">
        <v>11</v>
      </c>
      <c r="D63" s="41" t="s">
        <v>1913</v>
      </c>
      <c r="E63" s="47" t="s">
        <v>1011</v>
      </c>
      <c r="F63" s="39" t="s">
        <v>204</v>
      </c>
      <c r="G63" s="40" t="s">
        <v>205</v>
      </c>
      <c r="H63" s="39" t="s">
        <v>3707</v>
      </c>
      <c r="I63" s="139" t="s">
        <v>1914</v>
      </c>
      <c r="J63" s="135" t="s">
        <v>198</v>
      </c>
      <c r="K63" s="39" t="s">
        <v>203</v>
      </c>
      <c r="L63" s="135" t="s">
        <v>202</v>
      </c>
      <c r="M63" s="137" t="s">
        <v>10</v>
      </c>
      <c r="N63" s="218"/>
    </row>
    <row r="64" spans="1:14" ht="30">
      <c r="A64" s="161" t="s">
        <v>3012</v>
      </c>
      <c r="B64" s="62" t="s">
        <v>1919</v>
      </c>
      <c r="C64" s="39" t="s">
        <v>11</v>
      </c>
      <c r="D64" s="41" t="s">
        <v>8</v>
      </c>
      <c r="E64" s="47" t="s">
        <v>1012</v>
      </c>
      <c r="F64" s="39" t="s">
        <v>208</v>
      </c>
      <c r="G64" s="40" t="s">
        <v>209</v>
      </c>
      <c r="H64" s="39" t="s">
        <v>3708</v>
      </c>
      <c r="I64" s="139"/>
      <c r="J64" s="135" t="s">
        <v>206</v>
      </c>
      <c r="K64" s="39" t="s">
        <v>207</v>
      </c>
      <c r="L64" s="135" t="s">
        <v>210</v>
      </c>
      <c r="M64" s="137" t="s">
        <v>8</v>
      </c>
      <c r="N64" s="218"/>
    </row>
    <row r="65" spans="1:14">
      <c r="A65" s="161" t="s">
        <v>3012</v>
      </c>
      <c r="B65" s="62" t="s">
        <v>1919</v>
      </c>
      <c r="C65" s="39" t="s">
        <v>11</v>
      </c>
      <c r="D65" s="41" t="s">
        <v>8</v>
      </c>
      <c r="E65" s="47" t="s">
        <v>1013</v>
      </c>
      <c r="F65" s="39" t="s">
        <v>212</v>
      </c>
      <c r="G65" s="40" t="s">
        <v>213</v>
      </c>
      <c r="H65" s="39" t="s">
        <v>3708</v>
      </c>
      <c r="I65" s="139"/>
      <c r="J65" s="135" t="s">
        <v>206</v>
      </c>
      <c r="K65" s="39" t="s">
        <v>211</v>
      </c>
      <c r="L65" s="135" t="s">
        <v>210</v>
      </c>
      <c r="M65" s="137" t="s">
        <v>8</v>
      </c>
      <c r="N65" s="218"/>
    </row>
    <row r="66" spans="1:14">
      <c r="A66" s="161" t="s">
        <v>3012</v>
      </c>
      <c r="B66" s="62" t="s">
        <v>1919</v>
      </c>
      <c r="C66" s="39" t="s">
        <v>11</v>
      </c>
      <c r="D66" s="41" t="s">
        <v>8</v>
      </c>
      <c r="E66" s="47" t="s">
        <v>1014</v>
      </c>
      <c r="F66" s="39" t="s">
        <v>215</v>
      </c>
      <c r="G66" s="40" t="s">
        <v>216</v>
      </c>
      <c r="H66" s="39" t="s">
        <v>3709</v>
      </c>
      <c r="I66" s="139"/>
      <c r="J66" s="135" t="s">
        <v>206</v>
      </c>
      <c r="K66" s="39" t="s">
        <v>214</v>
      </c>
      <c r="L66" s="135" t="s">
        <v>210</v>
      </c>
      <c r="M66" s="137" t="s">
        <v>8</v>
      </c>
      <c r="N66" s="218"/>
    </row>
    <row r="67" spans="1:14" ht="30">
      <c r="A67" s="161" t="s">
        <v>3012</v>
      </c>
      <c r="B67" s="62" t="s">
        <v>1919</v>
      </c>
      <c r="C67" s="39" t="s">
        <v>11</v>
      </c>
      <c r="D67" s="41" t="s">
        <v>1911</v>
      </c>
      <c r="E67" s="47" t="s">
        <v>1015</v>
      </c>
      <c r="F67" s="39" t="s">
        <v>218</v>
      </c>
      <c r="G67" s="40" t="s">
        <v>3430</v>
      </c>
      <c r="H67" s="39" t="s">
        <v>3696</v>
      </c>
      <c r="I67" s="139" t="s">
        <v>1912</v>
      </c>
      <c r="J67" s="135" t="s">
        <v>206</v>
      </c>
      <c r="K67" s="39" t="s">
        <v>217</v>
      </c>
      <c r="L67" s="135" t="s">
        <v>210</v>
      </c>
      <c r="M67" s="137" t="s">
        <v>9</v>
      </c>
      <c r="N67" s="218"/>
    </row>
    <row r="68" spans="1:14">
      <c r="A68" s="161" t="s">
        <v>3012</v>
      </c>
      <c r="B68" s="62" t="s">
        <v>1919</v>
      </c>
      <c r="C68" s="39" t="s">
        <v>11</v>
      </c>
      <c r="D68" s="41" t="s">
        <v>8</v>
      </c>
      <c r="E68" s="47" t="s">
        <v>1016</v>
      </c>
      <c r="F68" s="39" t="s">
        <v>221</v>
      </c>
      <c r="G68" s="40" t="s">
        <v>222</v>
      </c>
      <c r="H68" s="39" t="s">
        <v>3696</v>
      </c>
      <c r="I68" s="139"/>
      <c r="J68" s="135" t="s">
        <v>219</v>
      </c>
      <c r="K68" s="39" t="s">
        <v>220</v>
      </c>
      <c r="L68" s="135" t="s">
        <v>223</v>
      </c>
      <c r="M68" s="137" t="s">
        <v>8</v>
      </c>
      <c r="N68" s="218"/>
    </row>
    <row r="69" spans="1:14">
      <c r="A69" s="161" t="s">
        <v>3012</v>
      </c>
      <c r="B69" s="62" t="s">
        <v>1919</v>
      </c>
      <c r="C69" s="39" t="s">
        <v>11</v>
      </c>
      <c r="D69" s="41" t="s">
        <v>1911</v>
      </c>
      <c r="E69" s="47" t="s">
        <v>1017</v>
      </c>
      <c r="F69" s="39" t="s">
        <v>225</v>
      </c>
      <c r="G69" s="40" t="s">
        <v>226</v>
      </c>
      <c r="H69" s="39" t="s">
        <v>3710</v>
      </c>
      <c r="I69" s="139" t="s">
        <v>1912</v>
      </c>
      <c r="J69" s="135" t="s">
        <v>219</v>
      </c>
      <c r="K69" s="39" t="s">
        <v>224</v>
      </c>
      <c r="L69" s="135" t="s">
        <v>223</v>
      </c>
      <c r="M69" s="137" t="s">
        <v>9</v>
      </c>
      <c r="N69" s="218"/>
    </row>
    <row r="70" spans="1:14">
      <c r="A70" s="161" t="s">
        <v>3012</v>
      </c>
      <c r="B70" s="62" t="s">
        <v>1919</v>
      </c>
      <c r="C70" s="39" t="s">
        <v>11</v>
      </c>
      <c r="D70" s="41" t="s">
        <v>1911</v>
      </c>
      <c r="E70" s="47" t="s">
        <v>1018</v>
      </c>
      <c r="F70" s="39" t="s">
        <v>228</v>
      </c>
      <c r="G70" s="40" t="s">
        <v>229</v>
      </c>
      <c r="H70" s="39" t="s">
        <v>3710</v>
      </c>
      <c r="I70" s="139" t="s">
        <v>1912</v>
      </c>
      <c r="J70" s="135" t="s">
        <v>219</v>
      </c>
      <c r="K70" s="39" t="s">
        <v>227</v>
      </c>
      <c r="L70" s="135" t="s">
        <v>223</v>
      </c>
      <c r="M70" s="137" t="s">
        <v>9</v>
      </c>
      <c r="N70" s="218"/>
    </row>
    <row r="71" spans="1:14">
      <c r="A71" s="161" t="s">
        <v>3012</v>
      </c>
      <c r="B71" s="62" t="s">
        <v>1919</v>
      </c>
      <c r="C71" s="39" t="s">
        <v>11</v>
      </c>
      <c r="D71" s="41" t="s">
        <v>1911</v>
      </c>
      <c r="E71" s="47" t="s">
        <v>1019</v>
      </c>
      <c r="F71" s="39" t="s">
        <v>232</v>
      </c>
      <c r="G71" s="40" t="s">
        <v>233</v>
      </c>
      <c r="H71" s="39" t="s">
        <v>3708</v>
      </c>
      <c r="I71" s="139" t="s">
        <v>1912</v>
      </c>
      <c r="J71" s="135" t="s">
        <v>230</v>
      </c>
      <c r="K71" s="39" t="s">
        <v>231</v>
      </c>
      <c r="L71" s="135" t="s">
        <v>234</v>
      </c>
      <c r="M71" s="137" t="s">
        <v>9</v>
      </c>
      <c r="N71" s="218"/>
    </row>
    <row r="72" spans="1:14" ht="30">
      <c r="A72" s="161" t="s">
        <v>3012</v>
      </c>
      <c r="B72" s="62" t="s">
        <v>1919</v>
      </c>
      <c r="C72" s="39" t="s">
        <v>11</v>
      </c>
      <c r="D72" s="41" t="s">
        <v>1911</v>
      </c>
      <c r="E72" s="47" t="s">
        <v>1020</v>
      </c>
      <c r="F72" s="39" t="s">
        <v>236</v>
      </c>
      <c r="G72" s="40" t="s">
        <v>237</v>
      </c>
      <c r="H72" s="39" t="s">
        <v>3708</v>
      </c>
      <c r="I72" s="139" t="s">
        <v>1912</v>
      </c>
      <c r="J72" s="135" t="s">
        <v>230</v>
      </c>
      <c r="K72" s="39" t="s">
        <v>235</v>
      </c>
      <c r="L72" s="135" t="s">
        <v>234</v>
      </c>
      <c r="M72" s="137" t="s">
        <v>9</v>
      </c>
      <c r="N72" s="218"/>
    </row>
    <row r="73" spans="1:14">
      <c r="A73" s="161" t="s">
        <v>3012</v>
      </c>
      <c r="B73" s="62" t="s">
        <v>1919</v>
      </c>
      <c r="C73" s="39" t="s">
        <v>11</v>
      </c>
      <c r="D73" s="41" t="s">
        <v>1913</v>
      </c>
      <c r="E73" s="47" t="s">
        <v>1021</v>
      </c>
      <c r="F73" s="39" t="s">
        <v>240</v>
      </c>
      <c r="G73" s="40" t="s">
        <v>241</v>
      </c>
      <c r="H73" s="39" t="s">
        <v>3711</v>
      </c>
      <c r="I73" s="139" t="s">
        <v>1914</v>
      </c>
      <c r="J73" s="135" t="s">
        <v>238</v>
      </c>
      <c r="K73" s="39" t="s">
        <v>239</v>
      </c>
      <c r="L73" s="135" t="s">
        <v>242</v>
      </c>
      <c r="M73" s="137" t="s">
        <v>10</v>
      </c>
      <c r="N73" s="218"/>
    </row>
    <row r="74" spans="1:14" ht="30">
      <c r="A74" s="161" t="s">
        <v>3012</v>
      </c>
      <c r="B74" s="62" t="s">
        <v>1919</v>
      </c>
      <c r="C74" s="39" t="s">
        <v>11</v>
      </c>
      <c r="D74" s="41" t="s">
        <v>1911</v>
      </c>
      <c r="E74" s="47" t="s">
        <v>1022</v>
      </c>
      <c r="F74" s="39" t="s">
        <v>244</v>
      </c>
      <c r="G74" s="40" t="s">
        <v>245</v>
      </c>
      <c r="H74" s="39" t="s">
        <v>3708</v>
      </c>
      <c r="I74" s="139" t="s">
        <v>1912</v>
      </c>
      <c r="J74" s="135" t="s">
        <v>238</v>
      </c>
      <c r="K74" s="39" t="s">
        <v>243</v>
      </c>
      <c r="L74" s="135" t="s">
        <v>242</v>
      </c>
      <c r="M74" s="137" t="s">
        <v>9</v>
      </c>
      <c r="N74" s="218"/>
    </row>
    <row r="75" spans="1:14">
      <c r="A75" s="161" t="s">
        <v>3012</v>
      </c>
      <c r="B75" s="62" t="s">
        <v>1919</v>
      </c>
      <c r="C75" s="39" t="s">
        <v>11</v>
      </c>
      <c r="D75" s="41" t="s">
        <v>8</v>
      </c>
      <c r="E75" s="47" t="s">
        <v>1023</v>
      </c>
      <c r="F75" s="39" t="s">
        <v>247</v>
      </c>
      <c r="G75" s="40" t="s">
        <v>248</v>
      </c>
      <c r="H75" s="39" t="s">
        <v>3708</v>
      </c>
      <c r="I75" s="139"/>
      <c r="J75" s="135" t="s">
        <v>238</v>
      </c>
      <c r="K75" s="39" t="s">
        <v>246</v>
      </c>
      <c r="L75" s="135" t="s">
        <v>242</v>
      </c>
      <c r="M75" s="137" t="s">
        <v>8</v>
      </c>
      <c r="N75" s="218"/>
    </row>
    <row r="76" spans="1:14">
      <c r="A76" s="161" t="s">
        <v>3012</v>
      </c>
      <c r="B76" s="62" t="s">
        <v>1920</v>
      </c>
      <c r="C76" s="39" t="s">
        <v>11</v>
      </c>
      <c r="D76" s="41" t="s">
        <v>8</v>
      </c>
      <c r="E76" s="47" t="s">
        <v>1024</v>
      </c>
      <c r="F76" s="39" t="s">
        <v>251</v>
      </c>
      <c r="G76" s="40" t="s">
        <v>3713</v>
      </c>
      <c r="H76" s="39" t="s">
        <v>3712</v>
      </c>
      <c r="I76" s="139"/>
      <c r="J76" s="135" t="s">
        <v>249</v>
      </c>
      <c r="K76" s="39" t="s">
        <v>250</v>
      </c>
      <c r="L76" s="135" t="s">
        <v>252</v>
      </c>
      <c r="M76" s="137" t="s">
        <v>8</v>
      </c>
      <c r="N76" s="218"/>
    </row>
    <row r="77" spans="1:14">
      <c r="A77" s="161" t="s">
        <v>3012</v>
      </c>
      <c r="B77" s="62" t="s">
        <v>1920</v>
      </c>
      <c r="C77" s="39" t="s">
        <v>11</v>
      </c>
      <c r="D77" s="41" t="s">
        <v>1911</v>
      </c>
      <c r="E77" s="47" t="s">
        <v>1025</v>
      </c>
      <c r="F77" s="39" t="s">
        <v>254</v>
      </c>
      <c r="G77" s="40" t="s">
        <v>255</v>
      </c>
      <c r="H77" s="39" t="s">
        <v>3708</v>
      </c>
      <c r="I77" s="139" t="s">
        <v>1912</v>
      </c>
      <c r="J77" s="135" t="s">
        <v>249</v>
      </c>
      <c r="K77" s="39" t="s">
        <v>253</v>
      </c>
      <c r="L77" s="135" t="s">
        <v>252</v>
      </c>
      <c r="M77" s="137" t="s">
        <v>9</v>
      </c>
      <c r="N77" s="218"/>
    </row>
    <row r="78" spans="1:14">
      <c r="A78" s="161" t="s">
        <v>3012</v>
      </c>
      <c r="B78" s="62" t="s">
        <v>1920</v>
      </c>
      <c r="C78" s="39" t="s">
        <v>11</v>
      </c>
      <c r="D78" s="41" t="s">
        <v>8</v>
      </c>
      <c r="E78" s="47" t="s">
        <v>1026</v>
      </c>
      <c r="F78" s="39" t="s">
        <v>257</v>
      </c>
      <c r="G78" s="40" t="s">
        <v>3714</v>
      </c>
      <c r="H78" s="39" t="s">
        <v>3708</v>
      </c>
      <c r="I78" s="139"/>
      <c r="J78" s="135" t="s">
        <v>249</v>
      </c>
      <c r="K78" s="39" t="s">
        <v>256</v>
      </c>
      <c r="L78" s="135" t="s">
        <v>252</v>
      </c>
      <c r="M78" s="137" t="s">
        <v>8</v>
      </c>
      <c r="N78" s="218"/>
    </row>
    <row r="79" spans="1:14">
      <c r="A79" s="161" t="s">
        <v>3012</v>
      </c>
      <c r="B79" s="62" t="s">
        <v>1920</v>
      </c>
      <c r="C79" s="39" t="s">
        <v>11</v>
      </c>
      <c r="D79" s="41" t="s">
        <v>8</v>
      </c>
      <c r="E79" s="47" t="s">
        <v>1027</v>
      </c>
      <c r="F79" s="39" t="s">
        <v>259</v>
      </c>
      <c r="G79" s="40" t="s">
        <v>3715</v>
      </c>
      <c r="H79" s="39" t="s">
        <v>3708</v>
      </c>
      <c r="I79" s="139"/>
      <c r="J79" s="135" t="s">
        <v>249</v>
      </c>
      <c r="K79" s="39" t="s">
        <v>258</v>
      </c>
      <c r="L79" s="135" t="s">
        <v>252</v>
      </c>
      <c r="M79" s="137" t="s">
        <v>8</v>
      </c>
      <c r="N79" s="218"/>
    </row>
    <row r="80" spans="1:14">
      <c r="A80" s="161" t="s">
        <v>3012</v>
      </c>
      <c r="B80" s="62" t="s">
        <v>1920</v>
      </c>
      <c r="C80" s="39" t="s">
        <v>11</v>
      </c>
      <c r="D80" s="41" t="s">
        <v>1911</v>
      </c>
      <c r="E80" s="47" t="s">
        <v>1028</v>
      </c>
      <c r="F80" s="39" t="s">
        <v>261</v>
      </c>
      <c r="G80" s="40" t="s">
        <v>262</v>
      </c>
      <c r="H80" s="39" t="s">
        <v>3708</v>
      </c>
      <c r="I80" s="139" t="s">
        <v>1912</v>
      </c>
      <c r="J80" s="135" t="s">
        <v>249</v>
      </c>
      <c r="K80" s="39" t="s">
        <v>260</v>
      </c>
      <c r="L80" s="135" t="s">
        <v>252</v>
      </c>
      <c r="M80" s="137" t="s">
        <v>9</v>
      </c>
      <c r="N80" s="218"/>
    </row>
    <row r="81" spans="1:14">
      <c r="A81" s="161" t="s">
        <v>3012</v>
      </c>
      <c r="B81" s="62" t="s">
        <v>1920</v>
      </c>
      <c r="C81" s="39" t="s">
        <v>11</v>
      </c>
      <c r="D81" s="41" t="s">
        <v>8</v>
      </c>
      <c r="E81" s="47" t="s">
        <v>1029</v>
      </c>
      <c r="F81" s="39" t="s">
        <v>264</v>
      </c>
      <c r="G81" s="40" t="s">
        <v>265</v>
      </c>
      <c r="H81" s="39" t="s">
        <v>3716</v>
      </c>
      <c r="I81" s="139"/>
      <c r="J81" s="135" t="s">
        <v>249</v>
      </c>
      <c r="K81" s="39" t="s">
        <v>263</v>
      </c>
      <c r="L81" s="135" t="s">
        <v>252</v>
      </c>
      <c r="M81" s="137" t="s">
        <v>8</v>
      </c>
      <c r="N81" s="218"/>
    </row>
    <row r="82" spans="1:14">
      <c r="A82" s="161" t="s">
        <v>3012</v>
      </c>
      <c r="B82" s="62" t="s">
        <v>1920</v>
      </c>
      <c r="C82" s="39" t="s">
        <v>11</v>
      </c>
      <c r="D82" s="41" t="s">
        <v>1911</v>
      </c>
      <c r="E82" s="47" t="s">
        <v>1030</v>
      </c>
      <c r="F82" s="39" t="s">
        <v>268</v>
      </c>
      <c r="G82" s="40" t="s">
        <v>269</v>
      </c>
      <c r="H82" s="39" t="s">
        <v>3696</v>
      </c>
      <c r="I82" s="139" t="s">
        <v>1912</v>
      </c>
      <c r="J82" s="135" t="s">
        <v>266</v>
      </c>
      <c r="K82" s="39" t="s">
        <v>267</v>
      </c>
      <c r="L82" s="135" t="s">
        <v>270</v>
      </c>
      <c r="M82" s="137" t="s">
        <v>9</v>
      </c>
      <c r="N82" s="218"/>
    </row>
    <row r="83" spans="1:14">
      <c r="A83" s="161" t="s">
        <v>3012</v>
      </c>
      <c r="B83" s="62" t="s">
        <v>1920</v>
      </c>
      <c r="C83" s="39" t="s">
        <v>11</v>
      </c>
      <c r="D83" s="41" t="s">
        <v>1911</v>
      </c>
      <c r="E83" s="47" t="s">
        <v>1031</v>
      </c>
      <c r="F83" s="39" t="s">
        <v>272</v>
      </c>
      <c r="G83" s="40" t="s">
        <v>273</v>
      </c>
      <c r="H83" s="39" t="s">
        <v>3696</v>
      </c>
      <c r="I83" s="139" t="s">
        <v>1912</v>
      </c>
      <c r="J83" s="135" t="s">
        <v>266</v>
      </c>
      <c r="K83" s="39" t="s">
        <v>271</v>
      </c>
      <c r="L83" s="135" t="s">
        <v>270</v>
      </c>
      <c r="M83" s="137" t="s">
        <v>9</v>
      </c>
      <c r="N83" s="218"/>
    </row>
    <row r="84" spans="1:14">
      <c r="A84" s="161" t="s">
        <v>3012</v>
      </c>
      <c r="B84" s="62" t="s">
        <v>1920</v>
      </c>
      <c r="C84" s="39" t="s">
        <v>11</v>
      </c>
      <c r="D84" s="41" t="s">
        <v>1913</v>
      </c>
      <c r="E84" s="47" t="s">
        <v>3717</v>
      </c>
      <c r="F84" s="39" t="s">
        <v>276</v>
      </c>
      <c r="G84" s="40" t="s">
        <v>277</v>
      </c>
      <c r="H84" s="39" t="s">
        <v>3769</v>
      </c>
      <c r="I84" s="139" t="s">
        <v>1914</v>
      </c>
      <c r="J84" s="135" t="s">
        <v>274</v>
      </c>
      <c r="K84" s="39" t="s">
        <v>275</v>
      </c>
      <c r="L84" s="135" t="s">
        <v>278</v>
      </c>
      <c r="M84" s="137" t="s">
        <v>10</v>
      </c>
      <c r="N84" s="218"/>
    </row>
    <row r="85" spans="1:14">
      <c r="A85" s="161" t="s">
        <v>3012</v>
      </c>
      <c r="B85" s="62" t="s">
        <v>1920</v>
      </c>
      <c r="C85" s="39" t="s">
        <v>11</v>
      </c>
      <c r="D85" s="41" t="s">
        <v>1911</v>
      </c>
      <c r="E85" s="47" t="s">
        <v>1032</v>
      </c>
      <c r="F85" s="39" t="s">
        <v>280</v>
      </c>
      <c r="G85" s="40" t="s">
        <v>3719</v>
      </c>
      <c r="H85" s="39" t="s">
        <v>3696</v>
      </c>
      <c r="I85" s="139" t="s">
        <v>1912</v>
      </c>
      <c r="J85" s="135" t="s">
        <v>274</v>
      </c>
      <c r="K85" s="39" t="s">
        <v>279</v>
      </c>
      <c r="L85" s="135" t="s">
        <v>278</v>
      </c>
      <c r="M85" s="137" t="s">
        <v>9</v>
      </c>
      <c r="N85" s="218"/>
    </row>
    <row r="86" spans="1:14">
      <c r="A86" s="161" t="s">
        <v>3012</v>
      </c>
      <c r="B86" s="62" t="s">
        <v>1920</v>
      </c>
      <c r="C86" s="39" t="s">
        <v>11</v>
      </c>
      <c r="D86" s="41" t="s">
        <v>1913</v>
      </c>
      <c r="E86" s="47" t="s">
        <v>1033</v>
      </c>
      <c r="F86" s="39" t="s">
        <v>282</v>
      </c>
      <c r="G86" s="40" t="s">
        <v>3718</v>
      </c>
      <c r="H86" s="39" t="s">
        <v>3696</v>
      </c>
      <c r="I86" s="139" t="s">
        <v>1914</v>
      </c>
      <c r="J86" s="135" t="s">
        <v>274</v>
      </c>
      <c r="K86" s="39" t="s">
        <v>281</v>
      </c>
      <c r="L86" s="135" t="s">
        <v>278</v>
      </c>
      <c r="M86" s="137" t="s">
        <v>10</v>
      </c>
      <c r="N86" s="218"/>
    </row>
    <row r="87" spans="1:14" ht="30">
      <c r="A87" s="161" t="s">
        <v>3012</v>
      </c>
      <c r="B87" s="62" t="s">
        <v>1920</v>
      </c>
      <c r="C87" s="39" t="s">
        <v>11</v>
      </c>
      <c r="D87" s="41" t="s">
        <v>1911</v>
      </c>
      <c r="E87" s="47" t="s">
        <v>1034</v>
      </c>
      <c r="F87" s="39" t="s">
        <v>284</v>
      </c>
      <c r="G87" s="40" t="s">
        <v>285</v>
      </c>
      <c r="H87" s="39" t="s">
        <v>3728</v>
      </c>
      <c r="I87" s="139" t="s">
        <v>1912</v>
      </c>
      <c r="J87" s="135" t="s">
        <v>274</v>
      </c>
      <c r="K87" s="39" t="s">
        <v>283</v>
      </c>
      <c r="L87" s="135" t="s">
        <v>278</v>
      </c>
      <c r="M87" s="137" t="s">
        <v>9</v>
      </c>
      <c r="N87" s="218"/>
    </row>
    <row r="88" spans="1:14">
      <c r="A88" s="161" t="s">
        <v>3012</v>
      </c>
      <c r="B88" s="62" t="s">
        <v>1921</v>
      </c>
      <c r="C88" s="39" t="s">
        <v>11</v>
      </c>
      <c r="D88" s="41" t="s">
        <v>8</v>
      </c>
      <c r="E88" s="47" t="s">
        <v>1035</v>
      </c>
      <c r="F88" s="39" t="s">
        <v>288</v>
      </c>
      <c r="G88" s="40" t="s">
        <v>148</v>
      </c>
      <c r="H88" s="39" t="s">
        <v>3720</v>
      </c>
      <c r="I88" s="139"/>
      <c r="J88" s="135" t="s">
        <v>286</v>
      </c>
      <c r="K88" s="39" t="s">
        <v>287</v>
      </c>
      <c r="L88" s="135" t="s">
        <v>289</v>
      </c>
      <c r="M88" s="137" t="s">
        <v>8</v>
      </c>
      <c r="N88" s="218"/>
    </row>
    <row r="89" spans="1:14">
      <c r="A89" s="161" t="s">
        <v>3012</v>
      </c>
      <c r="B89" s="62" t="s">
        <v>1921</v>
      </c>
      <c r="C89" s="39" t="s">
        <v>11</v>
      </c>
      <c r="D89" s="41" t="s">
        <v>8</v>
      </c>
      <c r="E89" s="47" t="s">
        <v>1036</v>
      </c>
      <c r="F89" s="39" t="s">
        <v>291</v>
      </c>
      <c r="G89" s="40" t="s">
        <v>148</v>
      </c>
      <c r="H89" s="39" t="s">
        <v>3721</v>
      </c>
      <c r="I89" s="139"/>
      <c r="J89" s="135" t="s">
        <v>286</v>
      </c>
      <c r="K89" s="39" t="s">
        <v>290</v>
      </c>
      <c r="L89" s="135" t="s">
        <v>289</v>
      </c>
      <c r="M89" s="137" t="s">
        <v>8</v>
      </c>
      <c r="N89" s="218"/>
    </row>
    <row r="90" spans="1:14">
      <c r="A90" s="161" t="s">
        <v>3012</v>
      </c>
      <c r="B90" s="62" t="s">
        <v>1921</v>
      </c>
      <c r="C90" s="39" t="s">
        <v>11</v>
      </c>
      <c r="D90" s="41" t="s">
        <v>8</v>
      </c>
      <c r="E90" s="47" t="s">
        <v>1037</v>
      </c>
      <c r="F90" s="39" t="s">
        <v>293</v>
      </c>
      <c r="G90" s="40" t="s">
        <v>294</v>
      </c>
      <c r="H90" s="39" t="s">
        <v>3748</v>
      </c>
      <c r="I90" s="139"/>
      <c r="J90" s="135" t="s">
        <v>286</v>
      </c>
      <c r="K90" s="39" t="s">
        <v>292</v>
      </c>
      <c r="L90" s="135" t="s">
        <v>289</v>
      </c>
      <c r="M90" s="137" t="s">
        <v>8</v>
      </c>
      <c r="N90" s="218"/>
    </row>
    <row r="91" spans="1:14">
      <c r="A91" s="161" t="s">
        <v>3012</v>
      </c>
      <c r="B91" s="62" t="s">
        <v>1921</v>
      </c>
      <c r="C91" s="39" t="s">
        <v>11</v>
      </c>
      <c r="D91" s="41" t="s">
        <v>1911</v>
      </c>
      <c r="E91" s="47" t="s">
        <v>1038</v>
      </c>
      <c r="F91" s="39" t="s">
        <v>296</v>
      </c>
      <c r="G91" s="40" t="s">
        <v>157</v>
      </c>
      <c r="H91" s="39" t="s">
        <v>3722</v>
      </c>
      <c r="I91" s="139" t="s">
        <v>1912</v>
      </c>
      <c r="J91" s="135" t="s">
        <v>286</v>
      </c>
      <c r="K91" s="39" t="s">
        <v>295</v>
      </c>
      <c r="L91" s="135" t="s">
        <v>289</v>
      </c>
      <c r="M91" s="137" t="s">
        <v>9</v>
      </c>
      <c r="N91" s="218"/>
    </row>
    <row r="92" spans="1:14">
      <c r="A92" s="161" t="s">
        <v>3012</v>
      </c>
      <c r="B92" s="62" t="s">
        <v>1921</v>
      </c>
      <c r="C92" s="39" t="s">
        <v>11</v>
      </c>
      <c r="D92" s="41" t="s">
        <v>8</v>
      </c>
      <c r="E92" s="47" t="s">
        <v>1039</v>
      </c>
      <c r="F92" s="39" t="s">
        <v>298</v>
      </c>
      <c r="G92" s="40" t="s">
        <v>299</v>
      </c>
      <c r="H92" s="39" t="s">
        <v>3723</v>
      </c>
      <c r="I92" s="139"/>
      <c r="J92" s="135" t="s">
        <v>286</v>
      </c>
      <c r="K92" s="39" t="s">
        <v>297</v>
      </c>
      <c r="L92" s="135" t="s">
        <v>289</v>
      </c>
      <c r="M92" s="137" t="s">
        <v>8</v>
      </c>
      <c r="N92" s="218"/>
    </row>
    <row r="93" spans="1:14">
      <c r="A93" s="161" t="s">
        <v>3012</v>
      </c>
      <c r="B93" s="62" t="s">
        <v>1921</v>
      </c>
      <c r="C93" s="39" t="s">
        <v>11</v>
      </c>
      <c r="D93" s="41" t="s">
        <v>1911</v>
      </c>
      <c r="E93" s="47" t="s">
        <v>1040</v>
      </c>
      <c r="F93" s="39" t="s">
        <v>302</v>
      </c>
      <c r="G93" s="40" t="s">
        <v>3749</v>
      </c>
      <c r="H93" s="39" t="s">
        <v>3725</v>
      </c>
      <c r="I93" s="139" t="s">
        <v>1912</v>
      </c>
      <c r="J93" s="135" t="s">
        <v>300</v>
      </c>
      <c r="K93" s="39" t="s">
        <v>301</v>
      </c>
      <c r="L93" s="135" t="s">
        <v>303</v>
      </c>
      <c r="M93" s="137" t="s">
        <v>9</v>
      </c>
      <c r="N93" s="218"/>
    </row>
    <row r="94" spans="1:14">
      <c r="A94" s="161" t="s">
        <v>3012</v>
      </c>
      <c r="B94" s="62" t="s">
        <v>1921</v>
      </c>
      <c r="C94" s="39" t="s">
        <v>11</v>
      </c>
      <c r="D94" s="41" t="s">
        <v>1913</v>
      </c>
      <c r="E94" s="47" t="s">
        <v>1041</v>
      </c>
      <c r="F94" s="39" t="s">
        <v>305</v>
      </c>
      <c r="G94" s="40" t="s">
        <v>306</v>
      </c>
      <c r="H94" s="39" t="s">
        <v>3724</v>
      </c>
      <c r="I94" s="139" t="s">
        <v>1914</v>
      </c>
      <c r="J94" s="135" t="s">
        <v>300</v>
      </c>
      <c r="K94" s="39" t="s">
        <v>304</v>
      </c>
      <c r="L94" s="135" t="s">
        <v>303</v>
      </c>
      <c r="M94" s="137" t="s">
        <v>10</v>
      </c>
      <c r="N94" s="218"/>
    </row>
    <row r="95" spans="1:14" ht="75">
      <c r="A95" s="161" t="s">
        <v>3012</v>
      </c>
      <c r="B95" s="62" t="s">
        <v>1921</v>
      </c>
      <c r="C95" s="39" t="s">
        <v>11</v>
      </c>
      <c r="D95" s="41" t="s">
        <v>1913</v>
      </c>
      <c r="E95" s="47" t="s">
        <v>1042</v>
      </c>
      <c r="F95" s="39" t="s">
        <v>3726</v>
      </c>
      <c r="G95" s="40" t="s">
        <v>309</v>
      </c>
      <c r="H95" s="47" t="s">
        <v>3750</v>
      </c>
      <c r="I95" s="139" t="s">
        <v>1914</v>
      </c>
      <c r="J95" s="135" t="s">
        <v>307</v>
      </c>
      <c r="K95" s="39" t="s">
        <v>308</v>
      </c>
      <c r="L95" s="135" t="s">
        <v>310</v>
      </c>
      <c r="M95" s="137" t="s">
        <v>10</v>
      </c>
      <c r="N95" s="218"/>
    </row>
    <row r="96" spans="1:14">
      <c r="A96" s="161" t="s">
        <v>3012</v>
      </c>
      <c r="B96" s="62" t="s">
        <v>1921</v>
      </c>
      <c r="C96" s="39" t="s">
        <v>11</v>
      </c>
      <c r="D96" s="41" t="s">
        <v>1911</v>
      </c>
      <c r="E96" s="47" t="s">
        <v>1043</v>
      </c>
      <c r="F96" s="39" t="s">
        <v>312</v>
      </c>
      <c r="G96" s="40" t="s">
        <v>313</v>
      </c>
      <c r="H96" s="39" t="s">
        <v>3727</v>
      </c>
      <c r="I96" s="139" t="s">
        <v>1912</v>
      </c>
      <c r="J96" s="135" t="s">
        <v>307</v>
      </c>
      <c r="K96" s="39" t="s">
        <v>311</v>
      </c>
      <c r="L96" s="135" t="s">
        <v>310</v>
      </c>
      <c r="M96" s="137" t="s">
        <v>9</v>
      </c>
      <c r="N96" s="218"/>
    </row>
    <row r="97" spans="1:14" ht="30">
      <c r="A97" s="161" t="s">
        <v>3012</v>
      </c>
      <c r="B97" s="62" t="s">
        <v>1921</v>
      </c>
      <c r="C97" s="39" t="s">
        <v>11</v>
      </c>
      <c r="D97" s="41" t="s">
        <v>8</v>
      </c>
      <c r="E97" s="47" t="s">
        <v>1044</v>
      </c>
      <c r="F97" s="39" t="s">
        <v>315</v>
      </c>
      <c r="G97" s="40" t="s">
        <v>3751</v>
      </c>
      <c r="H97" s="39" t="s">
        <v>3729</v>
      </c>
      <c r="I97" s="139"/>
      <c r="J97" s="135" t="s">
        <v>307</v>
      </c>
      <c r="K97" s="39" t="s">
        <v>314</v>
      </c>
      <c r="L97" s="135" t="s">
        <v>310</v>
      </c>
      <c r="M97" s="137" t="s">
        <v>8</v>
      </c>
      <c r="N97" s="218"/>
    </row>
    <row r="98" spans="1:14" ht="30">
      <c r="A98" s="161" t="s">
        <v>3012</v>
      </c>
      <c r="B98" s="62" t="s">
        <v>1922</v>
      </c>
      <c r="C98" s="39" t="s">
        <v>12</v>
      </c>
      <c r="D98" s="41" t="s">
        <v>1913</v>
      </c>
      <c r="E98" s="47" t="s">
        <v>1045</v>
      </c>
      <c r="F98" s="39" t="s">
        <v>318</v>
      </c>
      <c r="G98" s="40" t="s">
        <v>319</v>
      </c>
      <c r="H98" s="39" t="s">
        <v>3695</v>
      </c>
      <c r="I98" s="139" t="s">
        <v>1914</v>
      </c>
      <c r="J98" s="135" t="s">
        <v>316</v>
      </c>
      <c r="K98" s="39" t="s">
        <v>317</v>
      </c>
      <c r="L98" s="135" t="s">
        <v>320</v>
      </c>
      <c r="M98" s="137" t="s">
        <v>10</v>
      </c>
      <c r="N98" s="218"/>
    </row>
    <row r="99" spans="1:14" ht="30">
      <c r="A99" s="161" t="s">
        <v>3012</v>
      </c>
      <c r="B99" s="62" t="s">
        <v>1922</v>
      </c>
      <c r="C99" s="39" t="s">
        <v>12</v>
      </c>
      <c r="D99" s="41" t="s">
        <v>1913</v>
      </c>
      <c r="E99" s="47" t="s">
        <v>1046</v>
      </c>
      <c r="F99" s="39" t="s">
        <v>322</v>
      </c>
      <c r="G99" s="40" t="s">
        <v>323</v>
      </c>
      <c r="H99" s="39" t="s">
        <v>3695</v>
      </c>
      <c r="I99" s="139" t="s">
        <v>1914</v>
      </c>
      <c r="J99" s="135" t="s">
        <v>316</v>
      </c>
      <c r="K99" s="39" t="s">
        <v>321</v>
      </c>
      <c r="L99" s="135" t="s">
        <v>320</v>
      </c>
      <c r="M99" s="137" t="s">
        <v>10</v>
      </c>
      <c r="N99" s="218"/>
    </row>
    <row r="100" spans="1:14">
      <c r="A100" s="161" t="s">
        <v>3012</v>
      </c>
      <c r="B100" s="62" t="s">
        <v>1922</v>
      </c>
      <c r="C100" s="39" t="s">
        <v>12</v>
      </c>
      <c r="D100" s="41" t="s">
        <v>1911</v>
      </c>
      <c r="E100" s="47" t="s">
        <v>1047</v>
      </c>
      <c r="F100" s="39" t="s">
        <v>325</v>
      </c>
      <c r="G100" s="40" t="s">
        <v>326</v>
      </c>
      <c r="H100" s="39" t="s">
        <v>3725</v>
      </c>
      <c r="I100" s="139" t="s">
        <v>1912</v>
      </c>
      <c r="J100" s="135" t="s">
        <v>316</v>
      </c>
      <c r="K100" s="39" t="s">
        <v>324</v>
      </c>
      <c r="L100" s="135" t="s">
        <v>320</v>
      </c>
      <c r="M100" s="137" t="s">
        <v>9</v>
      </c>
      <c r="N100" s="218"/>
    </row>
    <row r="101" spans="1:14">
      <c r="A101" s="161" t="s">
        <v>3012</v>
      </c>
      <c r="B101" s="62" t="s">
        <v>1922</v>
      </c>
      <c r="C101" s="39" t="s">
        <v>12</v>
      </c>
      <c r="D101" s="41" t="s">
        <v>8</v>
      </c>
      <c r="E101" s="47" t="s">
        <v>1048</v>
      </c>
      <c r="F101" s="39" t="s">
        <v>328</v>
      </c>
      <c r="G101" s="40" t="s">
        <v>329</v>
      </c>
      <c r="H101" s="39" t="s">
        <v>3725</v>
      </c>
      <c r="I101" s="139"/>
      <c r="J101" s="135" t="s">
        <v>316</v>
      </c>
      <c r="K101" s="39" t="s">
        <v>327</v>
      </c>
      <c r="L101" s="135" t="s">
        <v>320</v>
      </c>
      <c r="M101" s="137" t="s">
        <v>8</v>
      </c>
      <c r="N101" s="218"/>
    </row>
    <row r="102" spans="1:14">
      <c r="A102" s="161" t="s">
        <v>3012</v>
      </c>
      <c r="B102" s="62" t="s">
        <v>1922</v>
      </c>
      <c r="C102" s="39" t="s">
        <v>12</v>
      </c>
      <c r="D102" s="41" t="s">
        <v>1911</v>
      </c>
      <c r="E102" s="47" t="s">
        <v>1049</v>
      </c>
      <c r="F102" s="39" t="s">
        <v>331</v>
      </c>
      <c r="G102" s="40" t="s">
        <v>332</v>
      </c>
      <c r="H102" s="39" t="s">
        <v>3725</v>
      </c>
      <c r="I102" s="139" t="s">
        <v>1912</v>
      </c>
      <c r="J102" s="135" t="s">
        <v>316</v>
      </c>
      <c r="K102" s="39" t="s">
        <v>330</v>
      </c>
      <c r="L102" s="135" t="s">
        <v>320</v>
      </c>
      <c r="M102" s="137" t="s">
        <v>9</v>
      </c>
      <c r="N102" s="218"/>
    </row>
    <row r="103" spans="1:14">
      <c r="A103" s="161" t="s">
        <v>3012</v>
      </c>
      <c r="B103" s="62" t="s">
        <v>1922</v>
      </c>
      <c r="C103" s="39" t="s">
        <v>12</v>
      </c>
      <c r="D103" s="41" t="s">
        <v>1911</v>
      </c>
      <c r="E103" s="47" t="s">
        <v>1050</v>
      </c>
      <c r="F103" s="39" t="s">
        <v>334</v>
      </c>
      <c r="G103" s="40" t="s">
        <v>335</v>
      </c>
      <c r="H103" s="39" t="s">
        <v>3725</v>
      </c>
      <c r="I103" s="139" t="s">
        <v>1912</v>
      </c>
      <c r="J103" s="135" t="s">
        <v>316</v>
      </c>
      <c r="K103" s="39" t="s">
        <v>333</v>
      </c>
      <c r="L103" s="135" t="s">
        <v>320</v>
      </c>
      <c r="M103" s="137" t="s">
        <v>9</v>
      </c>
      <c r="N103" s="218"/>
    </row>
    <row r="104" spans="1:14">
      <c r="A104" s="161" t="s">
        <v>3012</v>
      </c>
      <c r="B104" s="62" t="s">
        <v>1923</v>
      </c>
      <c r="C104" s="39" t="s">
        <v>12</v>
      </c>
      <c r="D104" s="41" t="s">
        <v>1911</v>
      </c>
      <c r="E104" s="47" t="s">
        <v>1051</v>
      </c>
      <c r="F104" s="39" t="s">
        <v>338</v>
      </c>
      <c r="G104" s="40" t="s">
        <v>339</v>
      </c>
      <c r="H104" s="39" t="s">
        <v>3752</v>
      </c>
      <c r="I104" s="139" t="s">
        <v>1912</v>
      </c>
      <c r="J104" s="135" t="s">
        <v>336</v>
      </c>
      <c r="K104" s="39" t="s">
        <v>337</v>
      </c>
      <c r="L104" s="135" t="s">
        <v>340</v>
      </c>
      <c r="M104" s="137" t="s">
        <v>9</v>
      </c>
      <c r="N104" s="218"/>
    </row>
    <row r="105" spans="1:14">
      <c r="A105" s="161" t="s">
        <v>3012</v>
      </c>
      <c r="B105" s="62" t="s">
        <v>1923</v>
      </c>
      <c r="C105" s="39" t="s">
        <v>12</v>
      </c>
      <c r="D105" s="41" t="s">
        <v>8</v>
      </c>
      <c r="E105" s="47" t="s">
        <v>1052</v>
      </c>
      <c r="F105" s="39" t="s">
        <v>342</v>
      </c>
      <c r="G105" s="40" t="s">
        <v>343</v>
      </c>
      <c r="H105" s="39" t="s">
        <v>3689</v>
      </c>
      <c r="I105" s="139"/>
      <c r="J105" s="135" t="s">
        <v>336</v>
      </c>
      <c r="K105" s="39" t="s">
        <v>341</v>
      </c>
      <c r="L105" s="135" t="s">
        <v>340</v>
      </c>
      <c r="M105" s="137" t="s">
        <v>8</v>
      </c>
      <c r="N105" s="218"/>
    </row>
    <row r="106" spans="1:14">
      <c r="A106" s="161" t="s">
        <v>3012</v>
      </c>
      <c r="B106" s="62" t="s">
        <v>1923</v>
      </c>
      <c r="C106" s="39" t="s">
        <v>12</v>
      </c>
      <c r="D106" s="41" t="s">
        <v>8</v>
      </c>
      <c r="E106" s="47" t="s">
        <v>1053</v>
      </c>
      <c r="F106" s="39" t="s">
        <v>345</v>
      </c>
      <c r="G106" s="40" t="s">
        <v>346</v>
      </c>
      <c r="H106" s="39" t="s">
        <v>3730</v>
      </c>
      <c r="I106" s="139"/>
      <c r="J106" s="135" t="s">
        <v>336</v>
      </c>
      <c r="K106" s="39" t="s">
        <v>344</v>
      </c>
      <c r="L106" s="135" t="s">
        <v>340</v>
      </c>
      <c r="M106" s="137" t="s">
        <v>8</v>
      </c>
      <c r="N106" s="218"/>
    </row>
    <row r="107" spans="1:14">
      <c r="A107" s="161" t="s">
        <v>3012</v>
      </c>
      <c r="B107" s="62" t="s">
        <v>1923</v>
      </c>
      <c r="C107" s="39" t="s">
        <v>12</v>
      </c>
      <c r="D107" s="41" t="s">
        <v>8</v>
      </c>
      <c r="E107" s="47" t="s">
        <v>1054</v>
      </c>
      <c r="F107" s="39" t="s">
        <v>348</v>
      </c>
      <c r="G107" s="40" t="s">
        <v>349</v>
      </c>
      <c r="H107" s="39" t="s">
        <v>3730</v>
      </c>
      <c r="I107" s="139"/>
      <c r="J107" s="135" t="s">
        <v>336</v>
      </c>
      <c r="K107" s="39" t="s">
        <v>347</v>
      </c>
      <c r="L107" s="135" t="s">
        <v>340</v>
      </c>
      <c r="M107" s="137" t="s">
        <v>8</v>
      </c>
      <c r="N107" s="218"/>
    </row>
    <row r="108" spans="1:14">
      <c r="A108" s="161" t="s">
        <v>3012</v>
      </c>
      <c r="B108" s="62" t="s">
        <v>1923</v>
      </c>
      <c r="C108" s="39" t="s">
        <v>12</v>
      </c>
      <c r="D108" s="41" t="s">
        <v>1911</v>
      </c>
      <c r="E108" s="47" t="s">
        <v>1055</v>
      </c>
      <c r="F108" s="39" t="s">
        <v>351</v>
      </c>
      <c r="G108" s="40" t="s">
        <v>352</v>
      </c>
      <c r="H108" s="39" t="s">
        <v>3730</v>
      </c>
      <c r="I108" s="139" t="s">
        <v>1912</v>
      </c>
      <c r="J108" s="135" t="s">
        <v>336</v>
      </c>
      <c r="K108" s="39" t="s">
        <v>350</v>
      </c>
      <c r="L108" s="135" t="s">
        <v>340</v>
      </c>
      <c r="M108" s="137" t="s">
        <v>9</v>
      </c>
      <c r="N108" s="218"/>
    </row>
    <row r="109" spans="1:14">
      <c r="A109" s="161" t="s">
        <v>3012</v>
      </c>
      <c r="B109" s="62" t="s">
        <v>1923</v>
      </c>
      <c r="C109" s="39" t="s">
        <v>12</v>
      </c>
      <c r="D109" s="41" t="s">
        <v>1913</v>
      </c>
      <c r="E109" s="47" t="s">
        <v>1056</v>
      </c>
      <c r="F109" s="39" t="s">
        <v>355</v>
      </c>
      <c r="G109" s="40" t="s">
        <v>356</v>
      </c>
      <c r="H109" s="39" t="s">
        <v>3696</v>
      </c>
      <c r="I109" s="139" t="s">
        <v>1914</v>
      </c>
      <c r="J109" s="135" t="s">
        <v>353</v>
      </c>
      <c r="K109" s="39" t="s">
        <v>354</v>
      </c>
      <c r="L109" s="135" t="s">
        <v>357</v>
      </c>
      <c r="M109" s="137" t="s">
        <v>10</v>
      </c>
      <c r="N109" s="218"/>
    </row>
    <row r="110" spans="1:14">
      <c r="A110" s="161" t="s">
        <v>3012</v>
      </c>
      <c r="B110" s="62" t="s">
        <v>1923</v>
      </c>
      <c r="C110" s="39" t="s">
        <v>12</v>
      </c>
      <c r="D110" s="41" t="s">
        <v>1913</v>
      </c>
      <c r="E110" s="47" t="s">
        <v>1057</v>
      </c>
      <c r="F110" s="39" t="s">
        <v>359</v>
      </c>
      <c r="G110" s="40" t="s">
        <v>3753</v>
      </c>
      <c r="H110" s="39" t="s">
        <v>3696</v>
      </c>
      <c r="I110" s="139" t="s">
        <v>1914</v>
      </c>
      <c r="J110" s="135" t="s">
        <v>353</v>
      </c>
      <c r="K110" s="39" t="s">
        <v>358</v>
      </c>
      <c r="L110" s="135" t="s">
        <v>357</v>
      </c>
      <c r="M110" s="137" t="s">
        <v>10</v>
      </c>
      <c r="N110" s="218"/>
    </row>
    <row r="111" spans="1:14">
      <c r="A111" s="161" t="s">
        <v>3012</v>
      </c>
      <c r="B111" s="62" t="s">
        <v>1923</v>
      </c>
      <c r="C111" s="39" t="s">
        <v>12</v>
      </c>
      <c r="D111" s="41" t="s">
        <v>1911</v>
      </c>
      <c r="E111" s="47" t="s">
        <v>1058</v>
      </c>
      <c r="F111" s="39" t="s">
        <v>361</v>
      </c>
      <c r="G111" s="40" t="s">
        <v>362</v>
      </c>
      <c r="H111" s="39" t="s">
        <v>3696</v>
      </c>
      <c r="I111" s="139" t="s">
        <v>1912</v>
      </c>
      <c r="J111" s="135" t="s">
        <v>353</v>
      </c>
      <c r="K111" s="39" t="s">
        <v>360</v>
      </c>
      <c r="L111" s="135" t="s">
        <v>357</v>
      </c>
      <c r="M111" s="137" t="s">
        <v>9</v>
      </c>
      <c r="N111" s="218"/>
    </row>
    <row r="112" spans="1:14">
      <c r="A112" s="161" t="s">
        <v>3012</v>
      </c>
      <c r="B112" s="62" t="s">
        <v>1923</v>
      </c>
      <c r="C112" s="39" t="s">
        <v>12</v>
      </c>
      <c r="D112" s="41" t="s">
        <v>1913</v>
      </c>
      <c r="E112" s="47" t="s">
        <v>1059</v>
      </c>
      <c r="F112" s="39" t="s">
        <v>365</v>
      </c>
      <c r="G112" s="40" t="s">
        <v>3754</v>
      </c>
      <c r="H112" s="39" t="s">
        <v>3695</v>
      </c>
      <c r="I112" s="139" t="s">
        <v>1914</v>
      </c>
      <c r="J112" s="135" t="s">
        <v>363</v>
      </c>
      <c r="K112" s="39" t="s">
        <v>364</v>
      </c>
      <c r="L112" s="135" t="s">
        <v>366</v>
      </c>
      <c r="M112" s="137" t="s">
        <v>10</v>
      </c>
      <c r="N112" s="218"/>
    </row>
    <row r="113" spans="1:14">
      <c r="A113" s="161" t="s">
        <v>3012</v>
      </c>
      <c r="B113" s="62" t="s">
        <v>1923</v>
      </c>
      <c r="C113" s="39" t="s">
        <v>12</v>
      </c>
      <c r="D113" s="41" t="s">
        <v>1913</v>
      </c>
      <c r="E113" s="47" t="s">
        <v>1060</v>
      </c>
      <c r="F113" s="39" t="s">
        <v>368</v>
      </c>
      <c r="G113" s="40" t="s">
        <v>3755</v>
      </c>
      <c r="H113" s="39" t="s">
        <v>3696</v>
      </c>
      <c r="I113" s="139" t="s">
        <v>1914</v>
      </c>
      <c r="J113" s="135" t="s">
        <v>363</v>
      </c>
      <c r="K113" s="39" t="s">
        <v>367</v>
      </c>
      <c r="L113" s="135" t="s">
        <v>366</v>
      </c>
      <c r="M113" s="137" t="s">
        <v>10</v>
      </c>
      <c r="N113" s="218"/>
    </row>
    <row r="114" spans="1:14">
      <c r="A114" s="161" t="s">
        <v>3012</v>
      </c>
      <c r="B114" s="62" t="s">
        <v>1923</v>
      </c>
      <c r="C114" s="39" t="s">
        <v>12</v>
      </c>
      <c r="D114" s="41" t="s">
        <v>1911</v>
      </c>
      <c r="E114" s="47" t="s">
        <v>1061</v>
      </c>
      <c r="F114" s="39" t="s">
        <v>370</v>
      </c>
      <c r="G114" s="40" t="s">
        <v>371</v>
      </c>
      <c r="H114" s="39" t="s">
        <v>3696</v>
      </c>
      <c r="I114" s="139" t="s">
        <v>1912</v>
      </c>
      <c r="J114" s="135" t="s">
        <v>363</v>
      </c>
      <c r="K114" s="39" t="s">
        <v>369</v>
      </c>
      <c r="L114" s="135" t="s">
        <v>366</v>
      </c>
      <c r="M114" s="137" t="s">
        <v>9</v>
      </c>
      <c r="N114" s="218"/>
    </row>
    <row r="115" spans="1:14">
      <c r="A115" s="161" t="s">
        <v>3012</v>
      </c>
      <c r="B115" s="62" t="s">
        <v>1923</v>
      </c>
      <c r="C115" s="39" t="s">
        <v>12</v>
      </c>
      <c r="D115" s="41" t="s">
        <v>1911</v>
      </c>
      <c r="E115" s="47" t="s">
        <v>1062</v>
      </c>
      <c r="F115" s="39" t="s">
        <v>373</v>
      </c>
      <c r="G115" s="40" t="s">
        <v>374</v>
      </c>
      <c r="H115" s="39" t="s">
        <v>3695</v>
      </c>
      <c r="I115" s="139" t="s">
        <v>1912</v>
      </c>
      <c r="J115" s="135" t="s">
        <v>363</v>
      </c>
      <c r="K115" s="39" t="s">
        <v>372</v>
      </c>
      <c r="L115" s="135" t="s">
        <v>366</v>
      </c>
      <c r="M115" s="137" t="s">
        <v>9</v>
      </c>
      <c r="N115" s="218"/>
    </row>
    <row r="116" spans="1:14" ht="30">
      <c r="A116" s="161" t="s">
        <v>3012</v>
      </c>
      <c r="B116" s="62" t="s">
        <v>1923</v>
      </c>
      <c r="C116" s="39" t="s">
        <v>12</v>
      </c>
      <c r="D116" s="41" t="s">
        <v>1911</v>
      </c>
      <c r="E116" s="47" t="s">
        <v>1063</v>
      </c>
      <c r="F116" s="39" t="s">
        <v>376</v>
      </c>
      <c r="G116" s="40" t="s">
        <v>377</v>
      </c>
      <c r="H116" s="39" t="s">
        <v>3725</v>
      </c>
      <c r="I116" s="139" t="s">
        <v>1912</v>
      </c>
      <c r="J116" s="135" t="s">
        <v>363</v>
      </c>
      <c r="K116" s="39" t="s">
        <v>375</v>
      </c>
      <c r="L116" s="135" t="s">
        <v>366</v>
      </c>
      <c r="M116" s="137" t="s">
        <v>9</v>
      </c>
      <c r="N116" s="218"/>
    </row>
    <row r="117" spans="1:14">
      <c r="A117" s="161" t="s">
        <v>3012</v>
      </c>
      <c r="B117" s="62" t="s">
        <v>1923</v>
      </c>
      <c r="C117" s="39" t="s">
        <v>12</v>
      </c>
      <c r="D117" s="41" t="s">
        <v>1913</v>
      </c>
      <c r="E117" s="47" t="s">
        <v>1064</v>
      </c>
      <c r="F117" s="39" t="s">
        <v>379</v>
      </c>
      <c r="G117" s="40" t="s">
        <v>380</v>
      </c>
      <c r="H117" s="39" t="s">
        <v>3725</v>
      </c>
      <c r="I117" s="139" t="s">
        <v>1914</v>
      </c>
      <c r="J117" s="135" t="s">
        <v>363</v>
      </c>
      <c r="K117" s="39" t="s">
        <v>378</v>
      </c>
      <c r="L117" s="135" t="s">
        <v>366</v>
      </c>
      <c r="M117" s="137" t="s">
        <v>10</v>
      </c>
      <c r="N117" s="218"/>
    </row>
    <row r="118" spans="1:14">
      <c r="A118" s="161" t="s">
        <v>3012</v>
      </c>
      <c r="B118" s="62" t="s">
        <v>1923</v>
      </c>
      <c r="C118" s="39" t="s">
        <v>12</v>
      </c>
      <c r="D118" s="41" t="s">
        <v>1911</v>
      </c>
      <c r="E118" s="47" t="s">
        <v>1065</v>
      </c>
      <c r="F118" s="39" t="s">
        <v>382</v>
      </c>
      <c r="G118" s="40" t="s">
        <v>383</v>
      </c>
      <c r="H118" s="39" t="s">
        <v>3756</v>
      </c>
      <c r="I118" s="139" t="s">
        <v>1912</v>
      </c>
      <c r="J118" s="135" t="s">
        <v>363</v>
      </c>
      <c r="K118" s="39" t="s">
        <v>381</v>
      </c>
      <c r="L118" s="135" t="s">
        <v>366</v>
      </c>
      <c r="M118" s="137" t="s">
        <v>9</v>
      </c>
      <c r="N118" s="218"/>
    </row>
    <row r="119" spans="1:14">
      <c r="A119" s="161" t="s">
        <v>3012</v>
      </c>
      <c r="B119" s="62" t="s">
        <v>1924</v>
      </c>
      <c r="C119" s="39" t="s">
        <v>12</v>
      </c>
      <c r="D119" s="41" t="s">
        <v>1911</v>
      </c>
      <c r="E119" s="47" t="s">
        <v>1066</v>
      </c>
      <c r="F119" s="39" t="s">
        <v>386</v>
      </c>
      <c r="G119" s="40" t="s">
        <v>3731</v>
      </c>
      <c r="H119" s="39" t="s">
        <v>3725</v>
      </c>
      <c r="I119" s="139" t="s">
        <v>1912</v>
      </c>
      <c r="J119" s="135" t="s">
        <v>384</v>
      </c>
      <c r="K119" s="39" t="s">
        <v>385</v>
      </c>
      <c r="L119" s="135" t="s">
        <v>387</v>
      </c>
      <c r="M119" s="137" t="s">
        <v>9</v>
      </c>
      <c r="N119" s="218"/>
    </row>
    <row r="120" spans="1:14">
      <c r="A120" s="161" t="s">
        <v>3012</v>
      </c>
      <c r="B120" s="62" t="s">
        <v>1924</v>
      </c>
      <c r="C120" s="39" t="s">
        <v>12</v>
      </c>
      <c r="D120" s="41" t="s">
        <v>8</v>
      </c>
      <c r="E120" s="47" t="s">
        <v>1067</v>
      </c>
      <c r="F120" s="39" t="s">
        <v>389</v>
      </c>
      <c r="G120" s="40" t="s">
        <v>390</v>
      </c>
      <c r="H120" s="39" t="s">
        <v>3725</v>
      </c>
      <c r="I120" s="139"/>
      <c r="J120" s="135" t="s">
        <v>384</v>
      </c>
      <c r="K120" s="39" t="s">
        <v>388</v>
      </c>
      <c r="L120" s="135" t="s">
        <v>387</v>
      </c>
      <c r="M120" s="137" t="s">
        <v>8</v>
      </c>
      <c r="N120" s="218"/>
    </row>
    <row r="121" spans="1:14">
      <c r="A121" s="161" t="s">
        <v>3012</v>
      </c>
      <c r="B121" s="62" t="s">
        <v>1924</v>
      </c>
      <c r="C121" s="39" t="s">
        <v>12</v>
      </c>
      <c r="D121" s="41" t="s">
        <v>8</v>
      </c>
      <c r="E121" s="47" t="s">
        <v>1068</v>
      </c>
      <c r="F121" s="39" t="s">
        <v>392</v>
      </c>
      <c r="G121" s="40" t="s">
        <v>3757</v>
      </c>
      <c r="H121" s="39" t="s">
        <v>3696</v>
      </c>
      <c r="I121" s="139"/>
      <c r="J121" s="135" t="s">
        <v>384</v>
      </c>
      <c r="K121" s="39" t="s">
        <v>391</v>
      </c>
      <c r="L121" s="135" t="s">
        <v>387</v>
      </c>
      <c r="M121" s="137" t="s">
        <v>8</v>
      </c>
      <c r="N121" s="218"/>
    </row>
    <row r="122" spans="1:14">
      <c r="A122" s="161" t="s">
        <v>3012</v>
      </c>
      <c r="B122" s="62" t="s">
        <v>1924</v>
      </c>
      <c r="C122" s="39" t="s">
        <v>12</v>
      </c>
      <c r="D122" s="41" t="s">
        <v>8</v>
      </c>
      <c r="E122" s="47" t="s">
        <v>1069</v>
      </c>
      <c r="F122" s="39" t="s">
        <v>394</v>
      </c>
      <c r="G122" s="40" t="s">
        <v>3758</v>
      </c>
      <c r="H122" s="39" t="s">
        <v>3696</v>
      </c>
      <c r="I122" s="139"/>
      <c r="J122" s="135" t="s">
        <v>384</v>
      </c>
      <c r="K122" s="39" t="s">
        <v>393</v>
      </c>
      <c r="L122" s="135" t="s">
        <v>387</v>
      </c>
      <c r="M122" s="137" t="s">
        <v>8</v>
      </c>
      <c r="N122" s="218"/>
    </row>
    <row r="123" spans="1:14">
      <c r="A123" s="161" t="s">
        <v>3012</v>
      </c>
      <c r="B123" s="62" t="s">
        <v>1924</v>
      </c>
      <c r="C123" s="39" t="s">
        <v>12</v>
      </c>
      <c r="D123" s="41" t="s">
        <v>8</v>
      </c>
      <c r="E123" s="47" t="s">
        <v>1070</v>
      </c>
      <c r="F123" s="39" t="s">
        <v>396</v>
      </c>
      <c r="G123" s="40" t="s">
        <v>397</v>
      </c>
      <c r="H123" s="39" t="s">
        <v>3725</v>
      </c>
      <c r="I123" s="139"/>
      <c r="J123" s="135" t="s">
        <v>384</v>
      </c>
      <c r="K123" s="39" t="s">
        <v>395</v>
      </c>
      <c r="L123" s="135" t="s">
        <v>387</v>
      </c>
      <c r="M123" s="137" t="s">
        <v>8</v>
      </c>
      <c r="N123" s="218"/>
    </row>
    <row r="124" spans="1:14">
      <c r="A124" s="161" t="s">
        <v>3012</v>
      </c>
      <c r="B124" s="62" t="s">
        <v>1924</v>
      </c>
      <c r="C124" s="39" t="s">
        <v>12</v>
      </c>
      <c r="D124" s="41" t="s">
        <v>1911</v>
      </c>
      <c r="E124" s="47" t="s">
        <v>1071</v>
      </c>
      <c r="F124" s="39" t="s">
        <v>400</v>
      </c>
      <c r="G124" s="40" t="s">
        <v>401</v>
      </c>
      <c r="H124" s="39" t="s">
        <v>3696</v>
      </c>
      <c r="I124" s="139" t="s">
        <v>1912</v>
      </c>
      <c r="J124" s="135" t="s">
        <v>398</v>
      </c>
      <c r="K124" s="39" t="s">
        <v>399</v>
      </c>
      <c r="L124" s="135" t="s">
        <v>402</v>
      </c>
      <c r="M124" s="137" t="s">
        <v>9</v>
      </c>
      <c r="N124" s="218"/>
    </row>
    <row r="125" spans="1:14">
      <c r="A125" s="161" t="s">
        <v>3012</v>
      </c>
      <c r="B125" s="62" t="s">
        <v>1924</v>
      </c>
      <c r="C125" s="39" t="s">
        <v>12</v>
      </c>
      <c r="D125" s="41" t="s">
        <v>1911</v>
      </c>
      <c r="E125" s="47" t="s">
        <v>1072</v>
      </c>
      <c r="F125" s="39" t="s">
        <v>404</v>
      </c>
      <c r="G125" s="40" t="s">
        <v>405</v>
      </c>
      <c r="H125" s="39" t="s">
        <v>3696</v>
      </c>
      <c r="I125" s="139" t="s">
        <v>1912</v>
      </c>
      <c r="J125" s="135" t="s">
        <v>398</v>
      </c>
      <c r="K125" s="39" t="s">
        <v>403</v>
      </c>
      <c r="L125" s="135" t="s">
        <v>402</v>
      </c>
      <c r="M125" s="137" t="s">
        <v>9</v>
      </c>
      <c r="N125" s="218"/>
    </row>
    <row r="126" spans="1:14">
      <c r="A126" s="161" t="s">
        <v>3012</v>
      </c>
      <c r="B126" s="62" t="s">
        <v>1924</v>
      </c>
      <c r="C126" s="39" t="s">
        <v>12</v>
      </c>
      <c r="D126" s="41" t="s">
        <v>1911</v>
      </c>
      <c r="E126" s="47" t="s">
        <v>1073</v>
      </c>
      <c r="F126" s="39" t="s">
        <v>407</v>
      </c>
      <c r="G126" s="40" t="s">
        <v>408</v>
      </c>
      <c r="H126" s="39" t="s">
        <v>3696</v>
      </c>
      <c r="I126" s="139" t="s">
        <v>1912</v>
      </c>
      <c r="J126" s="135" t="s">
        <v>398</v>
      </c>
      <c r="K126" s="39" t="s">
        <v>406</v>
      </c>
      <c r="L126" s="135" t="s">
        <v>402</v>
      </c>
      <c r="M126" s="137" t="s">
        <v>9</v>
      </c>
      <c r="N126" s="218"/>
    </row>
    <row r="127" spans="1:14">
      <c r="A127" s="161" t="s">
        <v>3012</v>
      </c>
      <c r="B127" s="62" t="s">
        <v>1924</v>
      </c>
      <c r="C127" s="39" t="s">
        <v>12</v>
      </c>
      <c r="D127" s="41" t="s">
        <v>1911</v>
      </c>
      <c r="E127" s="47" t="s">
        <v>1074</v>
      </c>
      <c r="F127" s="39" t="s">
        <v>410</v>
      </c>
      <c r="G127" s="40" t="s">
        <v>411</v>
      </c>
      <c r="H127" s="39" t="s">
        <v>3696</v>
      </c>
      <c r="I127" s="139" t="s">
        <v>1912</v>
      </c>
      <c r="J127" s="135" t="s">
        <v>398</v>
      </c>
      <c r="K127" s="39" t="s">
        <v>409</v>
      </c>
      <c r="L127" s="135" t="s">
        <v>402</v>
      </c>
      <c r="M127" s="137" t="s">
        <v>9</v>
      </c>
      <c r="N127" s="218"/>
    </row>
    <row r="128" spans="1:14">
      <c r="A128" s="161" t="s">
        <v>3012</v>
      </c>
      <c r="B128" s="62" t="s">
        <v>1924</v>
      </c>
      <c r="C128" s="39" t="s">
        <v>12</v>
      </c>
      <c r="D128" s="41" t="s">
        <v>1911</v>
      </c>
      <c r="E128" s="47" t="s">
        <v>1075</v>
      </c>
      <c r="F128" s="39" t="s">
        <v>413</v>
      </c>
      <c r="G128" s="40" t="s">
        <v>414</v>
      </c>
      <c r="H128" s="39" t="s">
        <v>3696</v>
      </c>
      <c r="I128" s="139" t="s">
        <v>1912</v>
      </c>
      <c r="J128" s="135" t="s">
        <v>398</v>
      </c>
      <c r="K128" s="39" t="s">
        <v>412</v>
      </c>
      <c r="L128" s="135" t="s">
        <v>402</v>
      </c>
      <c r="M128" s="137" t="s">
        <v>9</v>
      </c>
      <c r="N128" s="218"/>
    </row>
    <row r="129" spans="1:14">
      <c r="A129" s="161" t="s">
        <v>3012</v>
      </c>
      <c r="B129" s="62" t="s">
        <v>1924</v>
      </c>
      <c r="C129" s="39" t="s">
        <v>12</v>
      </c>
      <c r="D129" s="41" t="s">
        <v>8</v>
      </c>
      <c r="E129" s="47" t="s">
        <v>1076</v>
      </c>
      <c r="F129" s="39" t="s">
        <v>416</v>
      </c>
      <c r="G129" s="40" t="s">
        <v>417</v>
      </c>
      <c r="H129" s="39" t="s">
        <v>3696</v>
      </c>
      <c r="I129" s="139"/>
      <c r="J129" s="135" t="s">
        <v>398</v>
      </c>
      <c r="K129" s="39" t="s">
        <v>415</v>
      </c>
      <c r="L129" s="135" t="s">
        <v>402</v>
      </c>
      <c r="M129" s="137" t="s">
        <v>8</v>
      </c>
      <c r="N129" s="218"/>
    </row>
    <row r="130" spans="1:14">
      <c r="A130" s="161" t="s">
        <v>3012</v>
      </c>
      <c r="B130" s="62" t="s">
        <v>1924</v>
      </c>
      <c r="C130" s="39" t="s">
        <v>12</v>
      </c>
      <c r="D130" s="41" t="s">
        <v>1911</v>
      </c>
      <c r="E130" s="47" t="s">
        <v>1077</v>
      </c>
      <c r="F130" s="39" t="s">
        <v>420</v>
      </c>
      <c r="G130" s="40" t="s">
        <v>3759</v>
      </c>
      <c r="H130" s="39" t="s">
        <v>3696</v>
      </c>
      <c r="I130" s="139" t="s">
        <v>1912</v>
      </c>
      <c r="J130" s="135" t="s">
        <v>418</v>
      </c>
      <c r="K130" s="39" t="s">
        <v>419</v>
      </c>
      <c r="L130" s="135" t="s">
        <v>421</v>
      </c>
      <c r="M130" s="137" t="s">
        <v>9</v>
      </c>
      <c r="N130" s="218"/>
    </row>
    <row r="131" spans="1:14">
      <c r="A131" s="161" t="s">
        <v>3012</v>
      </c>
      <c r="B131" s="62" t="s">
        <v>1924</v>
      </c>
      <c r="C131" s="39" t="s">
        <v>12</v>
      </c>
      <c r="D131" s="41" t="s">
        <v>1913</v>
      </c>
      <c r="E131" s="47" t="s">
        <v>1078</v>
      </c>
      <c r="F131" s="39" t="s">
        <v>423</v>
      </c>
      <c r="G131" s="40" t="s">
        <v>3760</v>
      </c>
      <c r="H131" s="39" t="s">
        <v>3696</v>
      </c>
      <c r="I131" s="139" t="s">
        <v>1914</v>
      </c>
      <c r="J131" s="135" t="s">
        <v>418</v>
      </c>
      <c r="K131" s="39" t="s">
        <v>422</v>
      </c>
      <c r="L131" s="135" t="s">
        <v>421</v>
      </c>
      <c r="M131" s="137" t="s">
        <v>10</v>
      </c>
      <c r="N131" s="218"/>
    </row>
    <row r="132" spans="1:14">
      <c r="A132" s="161" t="s">
        <v>3012</v>
      </c>
      <c r="B132" s="62" t="s">
        <v>1924</v>
      </c>
      <c r="C132" s="39" t="s">
        <v>12</v>
      </c>
      <c r="D132" s="41" t="s">
        <v>8</v>
      </c>
      <c r="E132" s="47" t="s">
        <v>1079</v>
      </c>
      <c r="F132" s="39" t="s">
        <v>425</v>
      </c>
      <c r="G132" s="40" t="s">
        <v>426</v>
      </c>
      <c r="H132" s="39" t="s">
        <v>3732</v>
      </c>
      <c r="I132" s="139"/>
      <c r="J132" s="135" t="s">
        <v>418</v>
      </c>
      <c r="K132" s="39" t="s">
        <v>424</v>
      </c>
      <c r="L132" s="135" t="s">
        <v>421</v>
      </c>
      <c r="M132" s="137" t="s">
        <v>8</v>
      </c>
      <c r="N132" s="218"/>
    </row>
    <row r="133" spans="1:14">
      <c r="A133" s="161" t="s">
        <v>3012</v>
      </c>
      <c r="B133" s="62" t="s">
        <v>1924</v>
      </c>
      <c r="C133" s="39" t="s">
        <v>12</v>
      </c>
      <c r="D133" s="41" t="s">
        <v>1913</v>
      </c>
      <c r="E133" s="47" t="s">
        <v>1080</v>
      </c>
      <c r="F133" s="39" t="s">
        <v>428</v>
      </c>
      <c r="G133" s="40" t="s">
        <v>429</v>
      </c>
      <c r="H133" s="39" t="s">
        <v>3696</v>
      </c>
      <c r="I133" s="139" t="s">
        <v>1914</v>
      </c>
      <c r="J133" s="135" t="s">
        <v>418</v>
      </c>
      <c r="K133" s="39" t="s">
        <v>427</v>
      </c>
      <c r="L133" s="135" t="s">
        <v>421</v>
      </c>
      <c r="M133" s="137" t="s">
        <v>10</v>
      </c>
      <c r="N133" s="218"/>
    </row>
    <row r="134" spans="1:14">
      <c r="A134" s="161" t="s">
        <v>3012</v>
      </c>
      <c r="B134" s="62" t="s">
        <v>1924</v>
      </c>
      <c r="C134" s="39" t="s">
        <v>12</v>
      </c>
      <c r="D134" s="41" t="s">
        <v>1911</v>
      </c>
      <c r="E134" s="47" t="s">
        <v>1081</v>
      </c>
      <c r="F134" s="39" t="s">
        <v>431</v>
      </c>
      <c r="G134" s="40" t="s">
        <v>3761</v>
      </c>
      <c r="H134" s="39" t="s">
        <v>3762</v>
      </c>
      <c r="I134" s="139" t="s">
        <v>1912</v>
      </c>
      <c r="J134" s="135" t="s">
        <v>418</v>
      </c>
      <c r="K134" s="39" t="s">
        <v>430</v>
      </c>
      <c r="L134" s="135" t="s">
        <v>421</v>
      </c>
      <c r="M134" s="137" t="s">
        <v>9</v>
      </c>
      <c r="N134" s="218"/>
    </row>
    <row r="135" spans="1:14" ht="30">
      <c r="A135" s="161" t="s">
        <v>3012</v>
      </c>
      <c r="B135" s="62" t="s">
        <v>1924</v>
      </c>
      <c r="C135" s="39" t="s">
        <v>12</v>
      </c>
      <c r="D135" s="41" t="s">
        <v>1911</v>
      </c>
      <c r="E135" s="47" t="s">
        <v>1082</v>
      </c>
      <c r="F135" s="39" t="s">
        <v>434</v>
      </c>
      <c r="G135" s="40" t="s">
        <v>435</v>
      </c>
      <c r="H135" s="39" t="s">
        <v>3733</v>
      </c>
      <c r="I135" s="139" t="s">
        <v>1912</v>
      </c>
      <c r="J135" s="135" t="s">
        <v>432</v>
      </c>
      <c r="K135" s="39" t="s">
        <v>433</v>
      </c>
      <c r="L135" s="135" t="s">
        <v>436</v>
      </c>
      <c r="M135" s="137" t="s">
        <v>9</v>
      </c>
      <c r="N135" s="218"/>
    </row>
    <row r="136" spans="1:14">
      <c r="A136" s="161" t="s">
        <v>3012</v>
      </c>
      <c r="B136" s="62" t="s">
        <v>1924</v>
      </c>
      <c r="C136" s="39" t="s">
        <v>12</v>
      </c>
      <c r="D136" s="41" t="s">
        <v>8</v>
      </c>
      <c r="E136" s="47" t="s">
        <v>1083</v>
      </c>
      <c r="F136" s="39" t="s">
        <v>438</v>
      </c>
      <c r="G136" s="40" t="s">
        <v>439</v>
      </c>
      <c r="H136" s="39" t="s">
        <v>3725</v>
      </c>
      <c r="I136" s="139"/>
      <c r="J136" s="135" t="s">
        <v>432</v>
      </c>
      <c r="K136" s="39" t="s">
        <v>437</v>
      </c>
      <c r="L136" s="135" t="s">
        <v>436</v>
      </c>
      <c r="M136" s="137" t="s">
        <v>8</v>
      </c>
      <c r="N136" s="218"/>
    </row>
    <row r="137" spans="1:14">
      <c r="A137" s="161" t="s">
        <v>3012</v>
      </c>
      <c r="B137" s="62" t="s">
        <v>1924</v>
      </c>
      <c r="C137" s="39" t="s">
        <v>12</v>
      </c>
      <c r="D137" s="41" t="s">
        <v>1911</v>
      </c>
      <c r="E137" s="47" t="s">
        <v>1084</v>
      </c>
      <c r="F137" s="39" t="s">
        <v>441</v>
      </c>
      <c r="G137" s="40" t="s">
        <v>442</v>
      </c>
      <c r="H137" s="39" t="s">
        <v>3763</v>
      </c>
      <c r="I137" s="139" t="s">
        <v>1912</v>
      </c>
      <c r="J137" s="135" t="s">
        <v>432</v>
      </c>
      <c r="K137" s="39" t="s">
        <v>440</v>
      </c>
      <c r="L137" s="135" t="s">
        <v>436</v>
      </c>
      <c r="M137" s="137" t="s">
        <v>9</v>
      </c>
      <c r="N137" s="218"/>
    </row>
    <row r="138" spans="1:14">
      <c r="A138" s="161" t="s">
        <v>3012</v>
      </c>
      <c r="B138" s="62" t="s">
        <v>1924</v>
      </c>
      <c r="C138" s="39" t="s">
        <v>12</v>
      </c>
      <c r="D138" s="41" t="s">
        <v>8</v>
      </c>
      <c r="E138" s="47" t="s">
        <v>1085</v>
      </c>
      <c r="F138" s="39" t="s">
        <v>444</v>
      </c>
      <c r="G138" s="40" t="s">
        <v>445</v>
      </c>
      <c r="H138" s="39" t="s">
        <v>3734</v>
      </c>
      <c r="I138" s="139"/>
      <c r="J138" s="135" t="s">
        <v>432</v>
      </c>
      <c r="K138" s="39" t="s">
        <v>443</v>
      </c>
      <c r="L138" s="135" t="s">
        <v>436</v>
      </c>
      <c r="M138" s="137" t="s">
        <v>8</v>
      </c>
      <c r="N138" s="218"/>
    </row>
    <row r="139" spans="1:14">
      <c r="A139" s="161" t="s">
        <v>3012</v>
      </c>
      <c r="B139" s="62" t="s">
        <v>1924</v>
      </c>
      <c r="C139" s="39" t="s">
        <v>12</v>
      </c>
      <c r="D139" s="41" t="s">
        <v>8</v>
      </c>
      <c r="E139" s="47" t="s">
        <v>1086</v>
      </c>
      <c r="F139" s="39" t="s">
        <v>447</v>
      </c>
      <c r="G139" s="40" t="s">
        <v>448</v>
      </c>
      <c r="H139" s="39" t="s">
        <v>3734</v>
      </c>
      <c r="I139" s="139"/>
      <c r="J139" s="135" t="s">
        <v>432</v>
      </c>
      <c r="K139" s="39" t="s">
        <v>446</v>
      </c>
      <c r="L139" s="135" t="s">
        <v>436</v>
      </c>
      <c r="M139" s="137" t="s">
        <v>8</v>
      </c>
      <c r="N139" s="218"/>
    </row>
    <row r="140" spans="1:14">
      <c r="A140" s="161" t="s">
        <v>3012</v>
      </c>
      <c r="B140" s="62" t="s">
        <v>1922</v>
      </c>
      <c r="C140" s="39" t="s">
        <v>12</v>
      </c>
      <c r="D140" s="41" t="s">
        <v>1913</v>
      </c>
      <c r="E140" s="47" t="s">
        <v>1087</v>
      </c>
      <c r="F140" s="39" t="s">
        <v>451</v>
      </c>
      <c r="G140" s="40" t="s">
        <v>452</v>
      </c>
      <c r="H140" s="39" t="s">
        <v>3765</v>
      </c>
      <c r="I140" s="139" t="s">
        <v>1914</v>
      </c>
      <c r="J140" s="135" t="s">
        <v>449</v>
      </c>
      <c r="K140" s="39" t="s">
        <v>450</v>
      </c>
      <c r="L140" s="135" t="s">
        <v>453</v>
      </c>
      <c r="M140" s="137" t="s">
        <v>10</v>
      </c>
      <c r="N140" s="218"/>
    </row>
    <row r="141" spans="1:14">
      <c r="A141" s="161" t="s">
        <v>3012</v>
      </c>
      <c r="B141" s="62" t="s">
        <v>1922</v>
      </c>
      <c r="C141" s="39" t="s">
        <v>12</v>
      </c>
      <c r="D141" s="41" t="s">
        <v>1913</v>
      </c>
      <c r="E141" s="47" t="s">
        <v>1088</v>
      </c>
      <c r="F141" s="39" t="s">
        <v>455</v>
      </c>
      <c r="G141" s="40" t="s">
        <v>456</v>
      </c>
      <c r="H141" s="39" t="s">
        <v>3764</v>
      </c>
      <c r="I141" s="139" t="s">
        <v>1914</v>
      </c>
      <c r="J141" s="135" t="s">
        <v>449</v>
      </c>
      <c r="K141" s="39" t="s">
        <v>454</v>
      </c>
      <c r="L141" s="135" t="s">
        <v>453</v>
      </c>
      <c r="M141" s="137" t="s">
        <v>10</v>
      </c>
      <c r="N141" s="218"/>
    </row>
    <row r="142" spans="1:14">
      <c r="A142" s="161" t="s">
        <v>3012</v>
      </c>
      <c r="B142" s="62" t="s">
        <v>1922</v>
      </c>
      <c r="C142" s="39" t="s">
        <v>12</v>
      </c>
      <c r="D142" s="41" t="s">
        <v>1913</v>
      </c>
      <c r="E142" s="47" t="s">
        <v>1089</v>
      </c>
      <c r="F142" s="39" t="s">
        <v>458</v>
      </c>
      <c r="G142" s="40" t="s">
        <v>459</v>
      </c>
      <c r="H142" s="39" t="s">
        <v>3766</v>
      </c>
      <c r="I142" s="139" t="s">
        <v>1914</v>
      </c>
      <c r="J142" s="135" t="s">
        <v>449</v>
      </c>
      <c r="K142" s="39" t="s">
        <v>457</v>
      </c>
      <c r="L142" s="135" t="s">
        <v>453</v>
      </c>
      <c r="M142" s="137" t="s">
        <v>10</v>
      </c>
      <c r="N142" s="218"/>
    </row>
    <row r="143" spans="1:14">
      <c r="A143" s="161" t="s">
        <v>3012</v>
      </c>
      <c r="B143" s="62" t="s">
        <v>1922</v>
      </c>
      <c r="C143" s="39" t="s">
        <v>12</v>
      </c>
      <c r="D143" s="41" t="s">
        <v>1911</v>
      </c>
      <c r="E143" s="47" t="s">
        <v>1090</v>
      </c>
      <c r="F143" s="39" t="s">
        <v>461</v>
      </c>
      <c r="G143" s="40" t="s">
        <v>462</v>
      </c>
      <c r="H143" s="39" t="s">
        <v>3695</v>
      </c>
      <c r="I143" s="139" t="s">
        <v>1912</v>
      </c>
      <c r="J143" s="135" t="s">
        <v>449</v>
      </c>
      <c r="K143" s="39" t="s">
        <v>460</v>
      </c>
      <c r="L143" s="135" t="s">
        <v>453</v>
      </c>
      <c r="M143" s="137" t="s">
        <v>9</v>
      </c>
      <c r="N143" s="218" t="s">
        <v>3767</v>
      </c>
    </row>
    <row r="144" spans="1:14" ht="30">
      <c r="A144" s="161" t="s">
        <v>3012</v>
      </c>
      <c r="B144" s="62" t="s">
        <v>1922</v>
      </c>
      <c r="C144" s="39" t="s">
        <v>12</v>
      </c>
      <c r="D144" s="41" t="s">
        <v>1911</v>
      </c>
      <c r="E144" s="47" t="s">
        <v>1091</v>
      </c>
      <c r="F144" s="39" t="s">
        <v>464</v>
      </c>
      <c r="G144" s="40" t="s">
        <v>465</v>
      </c>
      <c r="H144" s="39" t="s">
        <v>3695</v>
      </c>
      <c r="I144" s="139" t="s">
        <v>1912</v>
      </c>
      <c r="J144" s="135" t="s">
        <v>449</v>
      </c>
      <c r="K144" s="39" t="s">
        <v>463</v>
      </c>
      <c r="L144" s="135" t="s">
        <v>453</v>
      </c>
      <c r="M144" s="137" t="s">
        <v>9</v>
      </c>
      <c r="N144" s="218"/>
    </row>
    <row r="145" spans="1:14">
      <c r="A145" s="161" t="s">
        <v>3012</v>
      </c>
      <c r="B145" s="62" t="s">
        <v>1922</v>
      </c>
      <c r="C145" s="39" t="s">
        <v>12</v>
      </c>
      <c r="D145" s="41" t="s">
        <v>1911</v>
      </c>
      <c r="E145" s="47" t="s">
        <v>1092</v>
      </c>
      <c r="F145" s="39" t="s">
        <v>467</v>
      </c>
      <c r="G145" s="40" t="s">
        <v>3735</v>
      </c>
      <c r="H145" s="39" t="s">
        <v>3695</v>
      </c>
      <c r="I145" s="139" t="s">
        <v>1912</v>
      </c>
      <c r="J145" s="135" t="s">
        <v>449</v>
      </c>
      <c r="K145" s="39" t="s">
        <v>466</v>
      </c>
      <c r="L145" s="135" t="s">
        <v>453</v>
      </c>
      <c r="M145" s="137" t="s">
        <v>9</v>
      </c>
      <c r="N145" s="218"/>
    </row>
    <row r="146" spans="1:14">
      <c r="A146" s="161" t="s">
        <v>3012</v>
      </c>
      <c r="B146" s="62" t="s">
        <v>1922</v>
      </c>
      <c r="C146" s="39" t="s">
        <v>12</v>
      </c>
      <c r="D146" s="41" t="s">
        <v>1913</v>
      </c>
      <c r="E146" s="47" t="s">
        <v>1093</v>
      </c>
      <c r="F146" s="39" t="s">
        <v>469</v>
      </c>
      <c r="G146" s="40" t="s">
        <v>470</v>
      </c>
      <c r="H146" s="39" t="s">
        <v>3695</v>
      </c>
      <c r="I146" s="139" t="s">
        <v>1914</v>
      </c>
      <c r="J146" s="135" t="s">
        <v>449</v>
      </c>
      <c r="K146" s="39" t="s">
        <v>468</v>
      </c>
      <c r="L146" s="135" t="s">
        <v>453</v>
      </c>
      <c r="M146" s="137" t="s">
        <v>10</v>
      </c>
      <c r="N146" s="218"/>
    </row>
    <row r="147" spans="1:14">
      <c r="A147" s="161" t="s">
        <v>3012</v>
      </c>
      <c r="B147" s="62" t="s">
        <v>1922</v>
      </c>
      <c r="C147" s="39" t="s">
        <v>12</v>
      </c>
      <c r="D147" s="41" t="s">
        <v>1911</v>
      </c>
      <c r="E147" s="47" t="s">
        <v>1094</v>
      </c>
      <c r="F147" s="39" t="s">
        <v>472</v>
      </c>
      <c r="G147" s="40" t="s">
        <v>473</v>
      </c>
      <c r="H147" s="39" t="s">
        <v>3695</v>
      </c>
      <c r="I147" s="139" t="s">
        <v>1912</v>
      </c>
      <c r="J147" s="135" t="s">
        <v>449</v>
      </c>
      <c r="K147" s="39" t="s">
        <v>471</v>
      </c>
      <c r="L147" s="135" t="s">
        <v>453</v>
      </c>
      <c r="M147" s="137" t="s">
        <v>9</v>
      </c>
      <c r="N147" s="218"/>
    </row>
    <row r="148" spans="1:14">
      <c r="A148" s="161" t="s">
        <v>3012</v>
      </c>
      <c r="B148" s="62" t="s">
        <v>1925</v>
      </c>
      <c r="C148" s="39" t="s">
        <v>12</v>
      </c>
      <c r="D148" s="41" t="s">
        <v>1911</v>
      </c>
      <c r="E148" s="47" t="s">
        <v>1095</v>
      </c>
      <c r="F148" s="39" t="s">
        <v>476</v>
      </c>
      <c r="G148" s="40" t="s">
        <v>477</v>
      </c>
      <c r="H148" s="39" t="s">
        <v>3696</v>
      </c>
      <c r="I148" s="139" t="s">
        <v>1912</v>
      </c>
      <c r="J148" s="135" t="s">
        <v>474</v>
      </c>
      <c r="K148" s="39" t="s">
        <v>475</v>
      </c>
      <c r="L148" s="135" t="s">
        <v>478</v>
      </c>
      <c r="M148" s="137" t="s">
        <v>9</v>
      </c>
      <c r="N148" s="218"/>
    </row>
    <row r="149" spans="1:14">
      <c r="A149" s="161" t="s">
        <v>3012</v>
      </c>
      <c r="B149" s="62" t="s">
        <v>1925</v>
      </c>
      <c r="C149" s="39" t="s">
        <v>12</v>
      </c>
      <c r="D149" s="41" t="s">
        <v>1911</v>
      </c>
      <c r="E149" s="47" t="s">
        <v>1096</v>
      </c>
      <c r="F149" s="39" t="s">
        <v>480</v>
      </c>
      <c r="G149" s="40" t="s">
        <v>481</v>
      </c>
      <c r="H149" s="39" t="s">
        <v>3696</v>
      </c>
      <c r="I149" s="139" t="s">
        <v>1912</v>
      </c>
      <c r="J149" s="135" t="s">
        <v>474</v>
      </c>
      <c r="K149" s="39" t="s">
        <v>479</v>
      </c>
      <c r="L149" s="135" t="s">
        <v>478</v>
      </c>
      <c r="M149" s="137" t="s">
        <v>9</v>
      </c>
      <c r="N149" s="218"/>
    </row>
    <row r="150" spans="1:14">
      <c r="A150" s="161" t="s">
        <v>3012</v>
      </c>
      <c r="B150" s="62" t="s">
        <v>1925</v>
      </c>
      <c r="C150" s="39" t="s">
        <v>12</v>
      </c>
      <c r="D150" s="41" t="s">
        <v>1913</v>
      </c>
      <c r="E150" s="47" t="s">
        <v>1097</v>
      </c>
      <c r="F150" s="39" t="s">
        <v>483</v>
      </c>
      <c r="G150" s="40" t="s">
        <v>484</v>
      </c>
      <c r="H150" s="39" t="s">
        <v>3696</v>
      </c>
      <c r="I150" s="139" t="s">
        <v>1914</v>
      </c>
      <c r="J150" s="135" t="s">
        <v>474</v>
      </c>
      <c r="K150" s="39" t="s">
        <v>482</v>
      </c>
      <c r="L150" s="135" t="s">
        <v>478</v>
      </c>
      <c r="M150" s="137" t="s">
        <v>10</v>
      </c>
      <c r="N150" s="218"/>
    </row>
    <row r="151" spans="1:14">
      <c r="A151" s="161" t="s">
        <v>3012</v>
      </c>
      <c r="B151" s="62" t="s">
        <v>1925</v>
      </c>
      <c r="C151" s="39" t="s">
        <v>12</v>
      </c>
      <c r="D151" s="41" t="s">
        <v>1911</v>
      </c>
      <c r="E151" s="47" t="s">
        <v>1098</v>
      </c>
      <c r="F151" s="39" t="s">
        <v>486</v>
      </c>
      <c r="G151" s="40" t="s">
        <v>487</v>
      </c>
      <c r="H151" s="39" t="s">
        <v>3696</v>
      </c>
      <c r="I151" s="139" t="s">
        <v>1912</v>
      </c>
      <c r="J151" s="135" t="s">
        <v>474</v>
      </c>
      <c r="K151" s="39" t="s">
        <v>485</v>
      </c>
      <c r="L151" s="135" t="s">
        <v>478</v>
      </c>
      <c r="M151" s="137" t="s">
        <v>9</v>
      </c>
      <c r="N151" s="218"/>
    </row>
    <row r="152" spans="1:14">
      <c r="A152" s="161" t="s">
        <v>3012</v>
      </c>
      <c r="B152" s="62" t="s">
        <v>1925</v>
      </c>
      <c r="C152" s="39" t="s">
        <v>12</v>
      </c>
      <c r="D152" s="41" t="s">
        <v>1913</v>
      </c>
      <c r="E152" s="47" t="s">
        <v>1099</v>
      </c>
      <c r="F152" s="39" t="s">
        <v>490</v>
      </c>
      <c r="G152" s="40" t="s">
        <v>491</v>
      </c>
      <c r="H152" s="39" t="s">
        <v>3696</v>
      </c>
      <c r="I152" s="139" t="s">
        <v>1914</v>
      </c>
      <c r="J152" s="135" t="s">
        <v>488</v>
      </c>
      <c r="K152" s="39" t="s">
        <v>489</v>
      </c>
      <c r="L152" s="135" t="s">
        <v>492</v>
      </c>
      <c r="M152" s="137" t="s">
        <v>10</v>
      </c>
      <c r="N152" s="218"/>
    </row>
    <row r="153" spans="1:14">
      <c r="A153" s="161" t="s">
        <v>3012</v>
      </c>
      <c r="B153" s="62" t="s">
        <v>1925</v>
      </c>
      <c r="C153" s="39" t="s">
        <v>12</v>
      </c>
      <c r="D153" s="41" t="s">
        <v>1911</v>
      </c>
      <c r="E153" s="47" t="s">
        <v>1100</v>
      </c>
      <c r="F153" s="39" t="s">
        <v>494</v>
      </c>
      <c r="G153" s="40" t="s">
        <v>495</v>
      </c>
      <c r="H153" s="39" t="s">
        <v>3695</v>
      </c>
      <c r="I153" s="139" t="s">
        <v>1912</v>
      </c>
      <c r="J153" s="135" t="s">
        <v>488</v>
      </c>
      <c r="K153" s="39" t="s">
        <v>493</v>
      </c>
      <c r="L153" s="135" t="s">
        <v>492</v>
      </c>
      <c r="M153" s="137" t="s">
        <v>9</v>
      </c>
      <c r="N153" s="218"/>
    </row>
    <row r="154" spans="1:14">
      <c r="A154" s="161" t="s">
        <v>3012</v>
      </c>
      <c r="B154" s="62" t="s">
        <v>1925</v>
      </c>
      <c r="C154" s="39" t="s">
        <v>12</v>
      </c>
      <c r="D154" s="41" t="s">
        <v>1911</v>
      </c>
      <c r="E154" s="47" t="s">
        <v>1101</v>
      </c>
      <c r="F154" s="39" t="s">
        <v>497</v>
      </c>
      <c r="G154" s="40" t="s">
        <v>498</v>
      </c>
      <c r="H154" s="39" t="s">
        <v>3695</v>
      </c>
      <c r="I154" s="139" t="s">
        <v>1912</v>
      </c>
      <c r="J154" s="135" t="s">
        <v>488</v>
      </c>
      <c r="K154" s="39" t="s">
        <v>496</v>
      </c>
      <c r="L154" s="135" t="s">
        <v>492</v>
      </c>
      <c r="M154" s="137" t="s">
        <v>9</v>
      </c>
      <c r="N154" s="218"/>
    </row>
    <row r="155" spans="1:14">
      <c r="A155" s="161" t="s">
        <v>3012</v>
      </c>
      <c r="B155" s="62" t="s">
        <v>1925</v>
      </c>
      <c r="C155" s="39" t="s">
        <v>12</v>
      </c>
      <c r="D155" s="41" t="s">
        <v>1911</v>
      </c>
      <c r="E155" s="47" t="s">
        <v>1102</v>
      </c>
      <c r="F155" s="39" t="s">
        <v>500</v>
      </c>
      <c r="G155" s="40" t="s">
        <v>501</v>
      </c>
      <c r="H155" s="39" t="s">
        <v>3696</v>
      </c>
      <c r="I155" s="139" t="s">
        <v>1912</v>
      </c>
      <c r="J155" s="135" t="s">
        <v>488</v>
      </c>
      <c r="K155" s="39" t="s">
        <v>499</v>
      </c>
      <c r="L155" s="135" t="s">
        <v>492</v>
      </c>
      <c r="M155" s="137" t="s">
        <v>9</v>
      </c>
      <c r="N155" s="218"/>
    </row>
    <row r="156" spans="1:14">
      <c r="A156" s="161" t="s">
        <v>3012</v>
      </c>
      <c r="B156" s="62" t="s">
        <v>1925</v>
      </c>
      <c r="C156" s="39" t="s">
        <v>12</v>
      </c>
      <c r="D156" s="41" t="s">
        <v>1913</v>
      </c>
      <c r="E156" s="47" t="s">
        <v>1103</v>
      </c>
      <c r="F156" s="39" t="s">
        <v>504</v>
      </c>
      <c r="G156" s="40" t="s">
        <v>505</v>
      </c>
      <c r="H156" s="39" t="s">
        <v>3695</v>
      </c>
      <c r="I156" s="139" t="s">
        <v>1914</v>
      </c>
      <c r="J156" s="135" t="s">
        <v>502</v>
      </c>
      <c r="K156" s="39" t="s">
        <v>503</v>
      </c>
      <c r="L156" s="135" t="s">
        <v>506</v>
      </c>
      <c r="M156" s="137" t="s">
        <v>10</v>
      </c>
      <c r="N156" s="218"/>
    </row>
    <row r="157" spans="1:14">
      <c r="A157" s="161" t="s">
        <v>3012</v>
      </c>
      <c r="B157" s="62" t="s">
        <v>1925</v>
      </c>
      <c r="C157" s="39" t="s">
        <v>12</v>
      </c>
      <c r="D157" s="41" t="s">
        <v>1911</v>
      </c>
      <c r="E157" s="47" t="s">
        <v>1104</v>
      </c>
      <c r="F157" s="39" t="s">
        <v>508</v>
      </c>
      <c r="G157" s="40" t="s">
        <v>509</v>
      </c>
      <c r="H157" s="39" t="s">
        <v>3696</v>
      </c>
      <c r="I157" s="139" t="s">
        <v>1912</v>
      </c>
      <c r="J157" s="135" t="s">
        <v>502</v>
      </c>
      <c r="K157" s="39" t="s">
        <v>507</v>
      </c>
      <c r="L157" s="135" t="s">
        <v>506</v>
      </c>
      <c r="M157" s="137" t="s">
        <v>9</v>
      </c>
      <c r="N157" s="218"/>
    </row>
    <row r="158" spans="1:14">
      <c r="A158" s="161" t="s">
        <v>3012</v>
      </c>
      <c r="B158" s="62" t="s">
        <v>1925</v>
      </c>
      <c r="C158" s="39" t="s">
        <v>12</v>
      </c>
      <c r="D158" s="41" t="s">
        <v>1913</v>
      </c>
      <c r="E158" s="47" t="s">
        <v>3737</v>
      </c>
      <c r="F158" s="39" t="s">
        <v>511</v>
      </c>
      <c r="G158" s="40" t="s">
        <v>512</v>
      </c>
      <c r="H158" s="39" t="s">
        <v>3696</v>
      </c>
      <c r="I158" s="139" t="s">
        <v>1914</v>
      </c>
      <c r="J158" s="135" t="s">
        <v>502</v>
      </c>
      <c r="K158" s="39" t="s">
        <v>510</v>
      </c>
      <c r="L158" s="135" t="s">
        <v>506</v>
      </c>
      <c r="M158" s="137" t="s">
        <v>10</v>
      </c>
      <c r="N158" s="218"/>
    </row>
    <row r="159" spans="1:14">
      <c r="A159" s="161" t="s">
        <v>3012</v>
      </c>
      <c r="B159" s="62" t="s">
        <v>1926</v>
      </c>
      <c r="C159" s="39" t="s">
        <v>12</v>
      </c>
      <c r="D159" s="41" t="s">
        <v>1911</v>
      </c>
      <c r="E159" s="47" t="s">
        <v>1105</v>
      </c>
      <c r="F159" s="39" t="s">
        <v>515</v>
      </c>
      <c r="G159" s="40" t="s">
        <v>417</v>
      </c>
      <c r="H159" s="39" t="s">
        <v>3738</v>
      </c>
      <c r="I159" s="139" t="s">
        <v>1912</v>
      </c>
      <c r="J159" s="135" t="s">
        <v>513</v>
      </c>
      <c r="K159" s="39" t="s">
        <v>514</v>
      </c>
      <c r="L159" s="135" t="s">
        <v>516</v>
      </c>
      <c r="M159" s="137" t="s">
        <v>9</v>
      </c>
      <c r="N159" s="218"/>
    </row>
    <row r="160" spans="1:14">
      <c r="A160" s="161" t="s">
        <v>3012</v>
      </c>
      <c r="B160" s="62" t="s">
        <v>1926</v>
      </c>
      <c r="C160" s="39" t="s">
        <v>12</v>
      </c>
      <c r="D160" s="41" t="s">
        <v>1913</v>
      </c>
      <c r="E160" s="47" t="s">
        <v>1106</v>
      </c>
      <c r="F160" s="39" t="s">
        <v>3739</v>
      </c>
      <c r="G160" s="40" t="s">
        <v>518</v>
      </c>
      <c r="H160" s="39" t="s">
        <v>3740</v>
      </c>
      <c r="I160" s="139" t="s">
        <v>1914</v>
      </c>
      <c r="J160" s="135" t="s">
        <v>513</v>
      </c>
      <c r="K160" s="39" t="s">
        <v>517</v>
      </c>
      <c r="L160" s="135" t="s">
        <v>516</v>
      </c>
      <c r="M160" s="137" t="s">
        <v>10</v>
      </c>
      <c r="N160" s="218"/>
    </row>
    <row r="161" spans="1:14">
      <c r="A161" s="161" t="s">
        <v>3012</v>
      </c>
      <c r="B161" s="62" t="s">
        <v>1926</v>
      </c>
      <c r="C161" s="39" t="s">
        <v>12</v>
      </c>
      <c r="D161" s="41" t="s">
        <v>1913</v>
      </c>
      <c r="E161" s="47" t="s">
        <v>1107</v>
      </c>
      <c r="F161" s="39" t="s">
        <v>520</v>
      </c>
      <c r="G161" s="40" t="s">
        <v>521</v>
      </c>
      <c r="H161" s="39" t="s">
        <v>3741</v>
      </c>
      <c r="I161" s="139" t="s">
        <v>1914</v>
      </c>
      <c r="J161" s="135" t="s">
        <v>513</v>
      </c>
      <c r="K161" s="39" t="s">
        <v>519</v>
      </c>
      <c r="L161" s="135" t="s">
        <v>516</v>
      </c>
      <c r="M161" s="137" t="s">
        <v>10</v>
      </c>
      <c r="N161" s="218"/>
    </row>
    <row r="162" spans="1:14">
      <c r="A162" s="161" t="s">
        <v>3012</v>
      </c>
      <c r="B162" s="62" t="s">
        <v>1926</v>
      </c>
      <c r="C162" s="39" t="s">
        <v>12</v>
      </c>
      <c r="D162" s="41" t="s">
        <v>1913</v>
      </c>
      <c r="E162" s="47" t="s">
        <v>1108</v>
      </c>
      <c r="F162" s="39" t="s">
        <v>524</v>
      </c>
      <c r="G162" s="40" t="s">
        <v>525</v>
      </c>
      <c r="H162" s="39" t="s">
        <v>3695</v>
      </c>
      <c r="I162" s="139" t="s">
        <v>1914</v>
      </c>
      <c r="J162" s="135" t="s">
        <v>522</v>
      </c>
      <c r="K162" s="39" t="s">
        <v>523</v>
      </c>
      <c r="L162" s="135" t="s">
        <v>526</v>
      </c>
      <c r="M162" s="137" t="s">
        <v>10</v>
      </c>
      <c r="N162" s="218"/>
    </row>
    <row r="163" spans="1:14">
      <c r="A163" s="161" t="s">
        <v>3012</v>
      </c>
      <c r="B163" s="62" t="s">
        <v>1926</v>
      </c>
      <c r="C163" s="39" t="s">
        <v>12</v>
      </c>
      <c r="D163" s="41" t="s">
        <v>1913</v>
      </c>
      <c r="E163" s="47" t="s">
        <v>1109</v>
      </c>
      <c r="F163" s="39" t="s">
        <v>528</v>
      </c>
      <c r="G163" s="40" t="s">
        <v>525</v>
      </c>
      <c r="H163" s="39" t="s">
        <v>3742</v>
      </c>
      <c r="I163" s="139" t="s">
        <v>1914</v>
      </c>
      <c r="J163" s="135" t="s">
        <v>522</v>
      </c>
      <c r="K163" s="39" t="s">
        <v>527</v>
      </c>
      <c r="L163" s="135" t="s">
        <v>526</v>
      </c>
      <c r="M163" s="137" t="s">
        <v>10</v>
      </c>
      <c r="N163" s="218"/>
    </row>
    <row r="164" spans="1:14">
      <c r="A164" s="161" t="s">
        <v>3012</v>
      </c>
      <c r="B164" s="62" t="s">
        <v>1926</v>
      </c>
      <c r="C164" s="39" t="s">
        <v>12</v>
      </c>
      <c r="D164" s="41" t="s">
        <v>1913</v>
      </c>
      <c r="E164" s="47" t="s">
        <v>1110</v>
      </c>
      <c r="F164" s="39" t="s">
        <v>530</v>
      </c>
      <c r="G164" s="40" t="s">
        <v>531</v>
      </c>
      <c r="H164" s="39" t="s">
        <v>3695</v>
      </c>
      <c r="I164" s="139" t="s">
        <v>1914</v>
      </c>
      <c r="J164" s="135" t="s">
        <v>522</v>
      </c>
      <c r="K164" s="39" t="s">
        <v>529</v>
      </c>
      <c r="L164" s="135" t="s">
        <v>526</v>
      </c>
      <c r="M164" s="137" t="s">
        <v>10</v>
      </c>
      <c r="N164" s="218"/>
    </row>
    <row r="165" spans="1:14">
      <c r="A165" s="161" t="s">
        <v>3012</v>
      </c>
      <c r="B165" s="62" t="s">
        <v>1926</v>
      </c>
      <c r="C165" s="39" t="s">
        <v>12</v>
      </c>
      <c r="D165" s="41" t="s">
        <v>1913</v>
      </c>
      <c r="E165" s="47" t="s">
        <v>1111</v>
      </c>
      <c r="F165" s="39" t="s">
        <v>3744</v>
      </c>
      <c r="G165" s="40" t="s">
        <v>3743</v>
      </c>
      <c r="H165" s="39" t="s">
        <v>3695</v>
      </c>
      <c r="I165" s="139" t="s">
        <v>1914</v>
      </c>
      <c r="J165" s="135" t="s">
        <v>522</v>
      </c>
      <c r="K165" s="39" t="s">
        <v>532</v>
      </c>
      <c r="L165" s="135" t="s">
        <v>526</v>
      </c>
      <c r="M165" s="137" t="s">
        <v>10</v>
      </c>
      <c r="N165" s="218"/>
    </row>
    <row r="166" spans="1:14">
      <c r="A166" s="161" t="s">
        <v>3012</v>
      </c>
      <c r="B166" s="62" t="s">
        <v>1926</v>
      </c>
      <c r="C166" s="39" t="s">
        <v>12</v>
      </c>
      <c r="D166" s="41" t="s">
        <v>1913</v>
      </c>
      <c r="E166" s="47" t="s">
        <v>1112</v>
      </c>
      <c r="F166" s="39" t="s">
        <v>534</v>
      </c>
      <c r="G166" s="40" t="s">
        <v>535</v>
      </c>
      <c r="H166" s="39" t="s">
        <v>3695</v>
      </c>
      <c r="I166" s="139" t="s">
        <v>1914</v>
      </c>
      <c r="J166" s="135" t="s">
        <v>522</v>
      </c>
      <c r="K166" s="39" t="s">
        <v>533</v>
      </c>
      <c r="L166" s="135" t="s">
        <v>526</v>
      </c>
      <c r="M166" s="137" t="s">
        <v>10</v>
      </c>
      <c r="N166" s="218"/>
    </row>
    <row r="167" spans="1:14">
      <c r="A167" s="161" t="s">
        <v>3012</v>
      </c>
      <c r="B167" s="62" t="s">
        <v>1926</v>
      </c>
      <c r="C167" s="39" t="s">
        <v>12</v>
      </c>
      <c r="D167" s="41" t="s">
        <v>1911</v>
      </c>
      <c r="E167" s="47" t="s">
        <v>1113</v>
      </c>
      <c r="F167" s="39" t="s">
        <v>537</v>
      </c>
      <c r="G167" s="40" t="s">
        <v>3745</v>
      </c>
      <c r="H167" s="39" t="s">
        <v>3746</v>
      </c>
      <c r="I167" s="139" t="s">
        <v>1912</v>
      </c>
      <c r="J167" s="135" t="s">
        <v>522</v>
      </c>
      <c r="K167" s="39" t="s">
        <v>536</v>
      </c>
      <c r="L167" s="135" t="s">
        <v>526</v>
      </c>
      <c r="M167" s="137" t="s">
        <v>9</v>
      </c>
      <c r="N167" s="218"/>
    </row>
    <row r="168" spans="1:14">
      <c r="A168" s="161" t="s">
        <v>3012</v>
      </c>
      <c r="B168" s="62" t="s">
        <v>1926</v>
      </c>
      <c r="C168" s="39" t="s">
        <v>12</v>
      </c>
      <c r="D168" s="41" t="s">
        <v>1911</v>
      </c>
      <c r="E168" s="47" t="s">
        <v>1114</v>
      </c>
      <c r="F168" s="39" t="s">
        <v>540</v>
      </c>
      <c r="G168" s="40" t="s">
        <v>3431</v>
      </c>
      <c r="H168" s="39" t="s">
        <v>3747</v>
      </c>
      <c r="I168" s="139" t="s">
        <v>1912</v>
      </c>
      <c r="J168" s="135" t="s">
        <v>538</v>
      </c>
      <c r="K168" s="39" t="s">
        <v>539</v>
      </c>
      <c r="L168" s="135" t="s">
        <v>541</v>
      </c>
      <c r="M168" s="137" t="s">
        <v>9</v>
      </c>
      <c r="N168" s="218"/>
    </row>
    <row r="169" spans="1:14">
      <c r="A169" s="161" t="s">
        <v>3012</v>
      </c>
      <c r="B169" s="62" t="s">
        <v>1926</v>
      </c>
      <c r="C169" s="39" t="s">
        <v>12</v>
      </c>
      <c r="D169" s="41" t="s">
        <v>1911</v>
      </c>
      <c r="E169" s="47" t="s">
        <v>1115</v>
      </c>
      <c r="F169" s="39" t="s">
        <v>543</v>
      </c>
      <c r="G169" s="40" t="s">
        <v>544</v>
      </c>
      <c r="H169" s="39" t="s">
        <v>3770</v>
      </c>
      <c r="I169" s="139" t="s">
        <v>1912</v>
      </c>
      <c r="J169" s="135" t="s">
        <v>538</v>
      </c>
      <c r="K169" s="39" t="s">
        <v>542</v>
      </c>
      <c r="L169" s="135" t="s">
        <v>541</v>
      </c>
      <c r="M169" s="137" t="s">
        <v>9</v>
      </c>
      <c r="N169" s="218"/>
    </row>
    <row r="170" spans="1:14">
      <c r="A170" s="161" t="s">
        <v>3012</v>
      </c>
      <c r="B170" s="62" t="s">
        <v>1927</v>
      </c>
      <c r="C170" s="39" t="s">
        <v>12</v>
      </c>
      <c r="D170" s="41" t="s">
        <v>8</v>
      </c>
      <c r="E170" s="47" t="s">
        <v>1116</v>
      </c>
      <c r="F170" s="39" t="s">
        <v>547</v>
      </c>
      <c r="G170" s="40" t="s">
        <v>548</v>
      </c>
      <c r="H170" s="39" t="s">
        <v>3772</v>
      </c>
      <c r="I170" s="139"/>
      <c r="J170" s="135" t="s">
        <v>545</v>
      </c>
      <c r="K170" s="39" t="s">
        <v>546</v>
      </c>
      <c r="L170" s="135" t="s">
        <v>549</v>
      </c>
      <c r="M170" s="137" t="s">
        <v>8</v>
      </c>
      <c r="N170" s="218"/>
    </row>
    <row r="171" spans="1:14">
      <c r="A171" s="161" t="s">
        <v>3012</v>
      </c>
      <c r="B171" s="62" t="s">
        <v>1927</v>
      </c>
      <c r="C171" s="39" t="s">
        <v>12</v>
      </c>
      <c r="D171" s="41" t="s">
        <v>8</v>
      </c>
      <c r="E171" s="47" t="s">
        <v>1117</v>
      </c>
      <c r="F171" s="39" t="s">
        <v>551</v>
      </c>
      <c r="G171" s="40" t="s">
        <v>552</v>
      </c>
      <c r="H171" s="39" t="s">
        <v>3771</v>
      </c>
      <c r="I171" s="139"/>
      <c r="J171" s="135" t="s">
        <v>545</v>
      </c>
      <c r="K171" s="39" t="s">
        <v>550</v>
      </c>
      <c r="L171" s="135" t="s">
        <v>549</v>
      </c>
      <c r="M171" s="137" t="s">
        <v>8</v>
      </c>
      <c r="N171" s="218"/>
    </row>
    <row r="172" spans="1:14">
      <c r="A172" s="161" t="s">
        <v>3012</v>
      </c>
      <c r="B172" s="62" t="s">
        <v>1927</v>
      </c>
      <c r="C172" s="39" t="s">
        <v>12</v>
      </c>
      <c r="D172" s="41" t="s">
        <v>8</v>
      </c>
      <c r="E172" s="47" t="s">
        <v>1118</v>
      </c>
      <c r="F172" s="39" t="s">
        <v>554</v>
      </c>
      <c r="G172" s="40" t="s">
        <v>555</v>
      </c>
      <c r="H172" s="39" t="s">
        <v>3691</v>
      </c>
      <c r="I172" s="139"/>
      <c r="J172" s="135" t="s">
        <v>545</v>
      </c>
      <c r="K172" s="39" t="s">
        <v>553</v>
      </c>
      <c r="L172" s="135" t="s">
        <v>549</v>
      </c>
      <c r="M172" s="137" t="s">
        <v>8</v>
      </c>
      <c r="N172" s="218"/>
    </row>
    <row r="173" spans="1:14">
      <c r="A173" s="161" t="s">
        <v>3012</v>
      </c>
      <c r="B173" s="62" t="s">
        <v>1927</v>
      </c>
      <c r="C173" s="39" t="s">
        <v>12</v>
      </c>
      <c r="D173" s="41" t="s">
        <v>1911</v>
      </c>
      <c r="E173" s="47" t="s">
        <v>1119</v>
      </c>
      <c r="F173" s="39" t="s">
        <v>557</v>
      </c>
      <c r="G173" s="40" t="s">
        <v>558</v>
      </c>
      <c r="H173" s="39" t="s">
        <v>3773</v>
      </c>
      <c r="I173" s="139" t="s">
        <v>1912</v>
      </c>
      <c r="J173" s="135" t="s">
        <v>545</v>
      </c>
      <c r="K173" s="39" t="s">
        <v>556</v>
      </c>
      <c r="L173" s="135" t="s">
        <v>549</v>
      </c>
      <c r="M173" s="137" t="s">
        <v>9</v>
      </c>
      <c r="N173" s="218"/>
    </row>
    <row r="174" spans="1:14">
      <c r="A174" s="161" t="s">
        <v>3012</v>
      </c>
      <c r="B174" s="62" t="s">
        <v>1927</v>
      </c>
      <c r="C174" s="39" t="s">
        <v>12</v>
      </c>
      <c r="D174" s="41" t="s">
        <v>8</v>
      </c>
      <c r="E174" s="47" t="s">
        <v>1120</v>
      </c>
      <c r="F174" s="39" t="s">
        <v>560</v>
      </c>
      <c r="G174" s="40" t="s">
        <v>561</v>
      </c>
      <c r="H174" s="39" t="s">
        <v>3775</v>
      </c>
      <c r="I174" s="139"/>
      <c r="J174" s="135" t="s">
        <v>545</v>
      </c>
      <c r="K174" s="39" t="s">
        <v>559</v>
      </c>
      <c r="L174" s="135" t="s">
        <v>549</v>
      </c>
      <c r="M174" s="137" t="s">
        <v>8</v>
      </c>
      <c r="N174" s="218"/>
    </row>
    <row r="175" spans="1:14">
      <c r="A175" s="161" t="s">
        <v>3012</v>
      </c>
      <c r="B175" s="62" t="s">
        <v>1927</v>
      </c>
      <c r="C175" s="39" t="s">
        <v>12</v>
      </c>
      <c r="D175" s="41" t="s">
        <v>1911</v>
      </c>
      <c r="E175" s="47" t="s">
        <v>1121</v>
      </c>
      <c r="F175" s="39" t="s">
        <v>563</v>
      </c>
      <c r="G175" s="40" t="s">
        <v>564</v>
      </c>
      <c r="H175" s="39" t="s">
        <v>3776</v>
      </c>
      <c r="I175" s="139" t="s">
        <v>1912</v>
      </c>
      <c r="J175" s="135" t="s">
        <v>545</v>
      </c>
      <c r="K175" s="39" t="s">
        <v>562</v>
      </c>
      <c r="L175" s="135" t="s">
        <v>549</v>
      </c>
      <c r="M175" s="137" t="s">
        <v>9</v>
      </c>
      <c r="N175" s="218"/>
    </row>
    <row r="176" spans="1:14">
      <c r="A176" s="161" t="s">
        <v>3012</v>
      </c>
      <c r="B176" s="62" t="s">
        <v>1927</v>
      </c>
      <c r="C176" s="39" t="s">
        <v>12</v>
      </c>
      <c r="D176" s="41" t="s">
        <v>1913</v>
      </c>
      <c r="E176" s="47" t="s">
        <v>1122</v>
      </c>
      <c r="F176" s="39" t="s">
        <v>566</v>
      </c>
      <c r="G176" s="40" t="s">
        <v>567</v>
      </c>
      <c r="H176" s="39" t="s">
        <v>3777</v>
      </c>
      <c r="I176" s="139" t="s">
        <v>1914</v>
      </c>
      <c r="J176" s="135" t="s">
        <v>545</v>
      </c>
      <c r="K176" s="39" t="s">
        <v>565</v>
      </c>
      <c r="L176" s="135" t="s">
        <v>549</v>
      </c>
      <c r="M176" s="137" t="s">
        <v>10</v>
      </c>
      <c r="N176" s="218"/>
    </row>
    <row r="177" spans="1:14">
      <c r="A177" s="161" t="s">
        <v>3012</v>
      </c>
      <c r="B177" s="62" t="s">
        <v>1927</v>
      </c>
      <c r="C177" s="39" t="s">
        <v>12</v>
      </c>
      <c r="D177" s="41" t="s">
        <v>8</v>
      </c>
      <c r="E177" s="47" t="s">
        <v>1123</v>
      </c>
      <c r="F177" s="39" t="s">
        <v>569</v>
      </c>
      <c r="G177" s="40" t="s">
        <v>570</v>
      </c>
      <c r="H177" s="39" t="s">
        <v>3778</v>
      </c>
      <c r="I177" s="139"/>
      <c r="J177" s="135" t="s">
        <v>545</v>
      </c>
      <c r="K177" s="39" t="s">
        <v>568</v>
      </c>
      <c r="L177" s="135" t="s">
        <v>549</v>
      </c>
      <c r="M177" s="137" t="s">
        <v>8</v>
      </c>
      <c r="N177" s="218"/>
    </row>
    <row r="178" spans="1:14">
      <c r="A178" s="161" t="s">
        <v>3012</v>
      </c>
      <c r="B178" s="62" t="s">
        <v>1927</v>
      </c>
      <c r="C178" s="39" t="s">
        <v>12</v>
      </c>
      <c r="D178" s="41" t="s">
        <v>8</v>
      </c>
      <c r="E178" s="47" t="s">
        <v>1124</v>
      </c>
      <c r="F178" s="39" t="s">
        <v>572</v>
      </c>
      <c r="G178" s="40" t="s">
        <v>573</v>
      </c>
      <c r="H178" s="39" t="s">
        <v>3778</v>
      </c>
      <c r="I178" s="139"/>
      <c r="J178" s="135" t="s">
        <v>545</v>
      </c>
      <c r="K178" s="39" t="s">
        <v>571</v>
      </c>
      <c r="L178" s="135" t="s">
        <v>549</v>
      </c>
      <c r="M178" s="137" t="s">
        <v>8</v>
      </c>
      <c r="N178" s="218"/>
    </row>
    <row r="179" spans="1:14">
      <c r="A179" s="161" t="s">
        <v>3012</v>
      </c>
      <c r="B179" s="62" t="s">
        <v>1927</v>
      </c>
      <c r="C179" s="39" t="s">
        <v>12</v>
      </c>
      <c r="D179" s="41" t="s">
        <v>8</v>
      </c>
      <c r="E179" s="47" t="s">
        <v>1125</v>
      </c>
      <c r="F179" s="39" t="s">
        <v>575</v>
      </c>
      <c r="G179" s="40" t="s">
        <v>576</v>
      </c>
      <c r="H179" s="39" t="s">
        <v>3773</v>
      </c>
      <c r="I179" s="139"/>
      <c r="J179" s="135" t="s">
        <v>545</v>
      </c>
      <c r="K179" s="39" t="s">
        <v>574</v>
      </c>
      <c r="L179" s="135" t="s">
        <v>549</v>
      </c>
      <c r="M179" s="137" t="s">
        <v>8</v>
      </c>
      <c r="N179" s="218"/>
    </row>
    <row r="180" spans="1:14">
      <c r="A180" s="161" t="s">
        <v>3012</v>
      </c>
      <c r="B180" s="62" t="s">
        <v>1927</v>
      </c>
      <c r="C180" s="39" t="s">
        <v>12</v>
      </c>
      <c r="D180" s="41" t="s">
        <v>8</v>
      </c>
      <c r="E180" s="47" t="s">
        <v>1126</v>
      </c>
      <c r="F180" s="39" t="s">
        <v>578</v>
      </c>
      <c r="G180" s="40" t="s">
        <v>579</v>
      </c>
      <c r="H180" s="39" t="s">
        <v>3773</v>
      </c>
      <c r="I180" s="139"/>
      <c r="J180" s="135" t="s">
        <v>545</v>
      </c>
      <c r="K180" s="39" t="s">
        <v>577</v>
      </c>
      <c r="L180" s="135" t="s">
        <v>549</v>
      </c>
      <c r="M180" s="137" t="s">
        <v>8</v>
      </c>
      <c r="N180" s="218"/>
    </row>
    <row r="181" spans="1:14">
      <c r="A181" s="161" t="s">
        <v>3012</v>
      </c>
      <c r="B181" s="62" t="s">
        <v>1928</v>
      </c>
      <c r="C181" s="39" t="s">
        <v>12</v>
      </c>
      <c r="D181" s="41" t="s">
        <v>1913</v>
      </c>
      <c r="E181" s="47" t="s">
        <v>1127</v>
      </c>
      <c r="F181" s="39" t="s">
        <v>582</v>
      </c>
      <c r="G181" s="40" t="s">
        <v>583</v>
      </c>
      <c r="H181" s="39" t="s">
        <v>3779</v>
      </c>
      <c r="I181" s="139" t="s">
        <v>1914</v>
      </c>
      <c r="J181" s="135" t="s">
        <v>580</v>
      </c>
      <c r="K181" s="39" t="s">
        <v>581</v>
      </c>
      <c r="L181" s="135" t="s">
        <v>584</v>
      </c>
      <c r="M181" s="137" t="s">
        <v>10</v>
      </c>
      <c r="N181" s="218"/>
    </row>
    <row r="182" spans="1:14" ht="30">
      <c r="A182" s="161" t="s">
        <v>3012</v>
      </c>
      <c r="B182" s="62" t="s">
        <v>1928</v>
      </c>
      <c r="C182" s="39" t="s">
        <v>12</v>
      </c>
      <c r="D182" s="41" t="s">
        <v>1913</v>
      </c>
      <c r="E182" s="47" t="s">
        <v>1128</v>
      </c>
      <c r="F182" s="39" t="s">
        <v>586</v>
      </c>
      <c r="G182" s="40" t="s">
        <v>587</v>
      </c>
      <c r="H182" s="39" t="s">
        <v>3780</v>
      </c>
      <c r="I182" s="139" t="s">
        <v>1914</v>
      </c>
      <c r="J182" s="135" t="s">
        <v>580</v>
      </c>
      <c r="K182" s="39" t="s">
        <v>585</v>
      </c>
      <c r="L182" s="135" t="s">
        <v>584</v>
      </c>
      <c r="M182" s="137" t="s">
        <v>10</v>
      </c>
      <c r="N182" s="218"/>
    </row>
    <row r="183" spans="1:14">
      <c r="A183" s="161" t="s">
        <v>3012</v>
      </c>
      <c r="B183" s="62" t="s">
        <v>1928</v>
      </c>
      <c r="C183" s="39" t="s">
        <v>12</v>
      </c>
      <c r="D183" s="41" t="s">
        <v>8</v>
      </c>
      <c r="E183" s="47" t="s">
        <v>1129</v>
      </c>
      <c r="F183" s="39" t="s">
        <v>589</v>
      </c>
      <c r="G183" s="40" t="s">
        <v>590</v>
      </c>
      <c r="H183" s="39" t="s">
        <v>3781</v>
      </c>
      <c r="I183" s="139"/>
      <c r="J183" s="135" t="s">
        <v>580</v>
      </c>
      <c r="K183" s="39" t="s">
        <v>588</v>
      </c>
      <c r="L183" s="135" t="s">
        <v>584</v>
      </c>
      <c r="M183" s="137" t="s">
        <v>8</v>
      </c>
      <c r="N183" s="218"/>
    </row>
    <row r="184" spans="1:14">
      <c r="A184" s="161" t="s">
        <v>3012</v>
      </c>
      <c r="B184" s="62" t="s">
        <v>1928</v>
      </c>
      <c r="C184" s="39" t="s">
        <v>12</v>
      </c>
      <c r="D184" s="41" t="s">
        <v>1911</v>
      </c>
      <c r="E184" s="47" t="s">
        <v>1130</v>
      </c>
      <c r="F184" s="39" t="s">
        <v>592</v>
      </c>
      <c r="G184" s="40" t="s">
        <v>593</v>
      </c>
      <c r="H184" s="39" t="s">
        <v>3782</v>
      </c>
      <c r="I184" s="139" t="s">
        <v>1912</v>
      </c>
      <c r="J184" s="135" t="s">
        <v>580</v>
      </c>
      <c r="K184" s="39" t="s">
        <v>591</v>
      </c>
      <c r="L184" s="135" t="s">
        <v>584</v>
      </c>
      <c r="M184" s="137" t="s">
        <v>9</v>
      </c>
      <c r="N184" s="218"/>
    </row>
    <row r="185" spans="1:14">
      <c r="A185" s="161" t="s">
        <v>3012</v>
      </c>
      <c r="B185" s="62" t="s">
        <v>1928</v>
      </c>
      <c r="C185" s="39" t="s">
        <v>12</v>
      </c>
      <c r="D185" s="41" t="s">
        <v>1911</v>
      </c>
      <c r="E185" s="47" t="s">
        <v>1131</v>
      </c>
      <c r="F185" s="39" t="s">
        <v>595</v>
      </c>
      <c r="G185" s="40" t="s">
        <v>596</v>
      </c>
      <c r="H185" s="39" t="s">
        <v>3783</v>
      </c>
      <c r="I185" s="139" t="s">
        <v>1912</v>
      </c>
      <c r="J185" s="135" t="s">
        <v>580</v>
      </c>
      <c r="K185" s="39" t="s">
        <v>594</v>
      </c>
      <c r="L185" s="135" t="s">
        <v>584</v>
      </c>
      <c r="M185" s="137" t="s">
        <v>9</v>
      </c>
      <c r="N185" s="218"/>
    </row>
    <row r="186" spans="1:14" hidden="1">
      <c r="A186" s="161" t="s">
        <v>3013</v>
      </c>
      <c r="B186" s="62" t="s">
        <v>1929</v>
      </c>
      <c r="C186" s="39" t="s">
        <v>1783</v>
      </c>
      <c r="D186" s="41" t="s">
        <v>8</v>
      </c>
      <c r="E186" s="47" t="s">
        <v>1132</v>
      </c>
      <c r="F186" s="39" t="s">
        <v>599</v>
      </c>
      <c r="G186" s="40" t="s">
        <v>600</v>
      </c>
      <c r="H186" s="39" t="s">
        <v>3784</v>
      </c>
      <c r="I186" s="139"/>
      <c r="J186" s="135" t="s">
        <v>597</v>
      </c>
      <c r="K186" s="39" t="s">
        <v>598</v>
      </c>
      <c r="L186" s="135" t="s">
        <v>601</v>
      </c>
      <c r="M186" s="137" t="s">
        <v>8</v>
      </c>
      <c r="N186" s="218"/>
    </row>
    <row r="187" spans="1:14" hidden="1">
      <c r="A187" s="161" t="s">
        <v>3013</v>
      </c>
      <c r="B187" s="62" t="s">
        <v>1923</v>
      </c>
      <c r="C187" s="39" t="s">
        <v>1783</v>
      </c>
      <c r="D187" s="41" t="s">
        <v>8</v>
      </c>
      <c r="E187" s="47" t="s">
        <v>1133</v>
      </c>
      <c r="F187" s="39" t="s">
        <v>604</v>
      </c>
      <c r="G187" s="40" t="s">
        <v>605</v>
      </c>
      <c r="H187" s="39" t="s">
        <v>3785</v>
      </c>
      <c r="I187" s="139"/>
      <c r="J187" s="135" t="s">
        <v>602</v>
      </c>
      <c r="K187" s="39" t="s">
        <v>603</v>
      </c>
      <c r="L187" s="135" t="s">
        <v>601</v>
      </c>
      <c r="M187" s="137" t="s">
        <v>8</v>
      </c>
      <c r="N187" s="218"/>
    </row>
    <row r="188" spans="1:14" hidden="1">
      <c r="A188" s="161" t="s">
        <v>3013</v>
      </c>
      <c r="B188" s="62" t="s">
        <v>1926</v>
      </c>
      <c r="C188" s="39" t="s">
        <v>1783</v>
      </c>
      <c r="D188" s="41" t="s">
        <v>8</v>
      </c>
      <c r="E188" s="47" t="s">
        <v>1134</v>
      </c>
      <c r="F188" s="39" t="s">
        <v>608</v>
      </c>
      <c r="G188" s="40" t="s">
        <v>609</v>
      </c>
      <c r="H188" s="39" t="s">
        <v>3786</v>
      </c>
      <c r="I188" s="139"/>
      <c r="J188" s="135" t="s">
        <v>606</v>
      </c>
      <c r="K188" s="39" t="s">
        <v>607</v>
      </c>
      <c r="L188" s="135" t="s">
        <v>610</v>
      </c>
      <c r="M188" s="137" t="s">
        <v>8</v>
      </c>
      <c r="N188" s="218"/>
    </row>
    <row r="189" spans="1:14" hidden="1">
      <c r="A189" s="161" t="s">
        <v>3013</v>
      </c>
      <c r="B189" s="62" t="s">
        <v>1922</v>
      </c>
      <c r="C189" s="39" t="s">
        <v>1783</v>
      </c>
      <c r="D189" s="41" t="s">
        <v>1911</v>
      </c>
      <c r="E189" s="47" t="s">
        <v>1135</v>
      </c>
      <c r="F189" s="39" t="s">
        <v>613</v>
      </c>
      <c r="G189" s="40" t="s">
        <v>614</v>
      </c>
      <c r="H189" s="39" t="s">
        <v>3695</v>
      </c>
      <c r="I189" s="139" t="s">
        <v>1930</v>
      </c>
      <c r="J189" s="135" t="s">
        <v>611</v>
      </c>
      <c r="K189" s="39" t="s">
        <v>612</v>
      </c>
      <c r="L189" s="135" t="s">
        <v>601</v>
      </c>
      <c r="M189" s="137" t="s">
        <v>9</v>
      </c>
      <c r="N189" s="218"/>
    </row>
    <row r="190" spans="1:14" hidden="1">
      <c r="A190" s="161" t="s">
        <v>3013</v>
      </c>
      <c r="B190" s="62" t="s">
        <v>1922</v>
      </c>
      <c r="C190" s="39" t="s">
        <v>1783</v>
      </c>
      <c r="D190" s="41" t="s">
        <v>8</v>
      </c>
      <c r="E190" s="47" t="s">
        <v>1136</v>
      </c>
      <c r="F190" s="39" t="s">
        <v>617</v>
      </c>
      <c r="G190" s="40" t="s">
        <v>618</v>
      </c>
      <c r="H190" s="39" t="s">
        <v>3787</v>
      </c>
      <c r="I190" s="139"/>
      <c r="J190" s="135" t="s">
        <v>615</v>
      </c>
      <c r="K190" s="39" t="s">
        <v>616</v>
      </c>
      <c r="L190" s="135" t="s">
        <v>610</v>
      </c>
      <c r="M190" s="137" t="s">
        <v>8</v>
      </c>
      <c r="N190" s="218"/>
    </row>
    <row r="191" spans="1:14" hidden="1">
      <c r="A191" s="161" t="s">
        <v>3013</v>
      </c>
      <c r="B191" s="62" t="s">
        <v>1918</v>
      </c>
      <c r="C191" s="39" t="s">
        <v>1783</v>
      </c>
      <c r="D191" s="41" t="s">
        <v>8</v>
      </c>
      <c r="E191" s="47" t="s">
        <v>1137</v>
      </c>
      <c r="F191" s="39" t="s">
        <v>621</v>
      </c>
      <c r="G191" s="40" t="s">
        <v>622</v>
      </c>
      <c r="H191" s="39" t="s">
        <v>3789</v>
      </c>
      <c r="I191" s="139"/>
      <c r="J191" s="135" t="s">
        <v>619</v>
      </c>
      <c r="K191" s="39" t="s">
        <v>620</v>
      </c>
      <c r="L191" s="135" t="s">
        <v>601</v>
      </c>
      <c r="M191" s="137" t="s">
        <v>8</v>
      </c>
      <c r="N191" s="218"/>
    </row>
    <row r="192" spans="1:14" ht="30" hidden="1">
      <c r="A192" s="161" t="s">
        <v>3013</v>
      </c>
      <c r="B192" s="62" t="s">
        <v>1919</v>
      </c>
      <c r="C192" s="39" t="s">
        <v>1783</v>
      </c>
      <c r="D192" s="41" t="s">
        <v>8</v>
      </c>
      <c r="E192" s="47" t="s">
        <v>1138</v>
      </c>
      <c r="F192" s="39" t="s">
        <v>625</v>
      </c>
      <c r="G192" s="40" t="s">
        <v>3791</v>
      </c>
      <c r="H192" s="39" t="s">
        <v>3790</v>
      </c>
      <c r="I192" s="139"/>
      <c r="J192" s="135" t="s">
        <v>623</v>
      </c>
      <c r="K192" s="39" t="s">
        <v>624</v>
      </c>
      <c r="L192" s="135" t="s">
        <v>610</v>
      </c>
      <c r="M192" s="137" t="s">
        <v>8</v>
      </c>
      <c r="N192" s="218"/>
    </row>
    <row r="193" spans="1:14" hidden="1">
      <c r="A193" s="161" t="s">
        <v>3013</v>
      </c>
      <c r="B193" s="62" t="s">
        <v>1919</v>
      </c>
      <c r="C193" s="39" t="s">
        <v>1783</v>
      </c>
      <c r="D193" s="41" t="s">
        <v>8</v>
      </c>
      <c r="E193" s="47" t="s">
        <v>1139</v>
      </c>
      <c r="F193" s="39" t="s">
        <v>628</v>
      </c>
      <c r="G193" s="40" t="s">
        <v>629</v>
      </c>
      <c r="H193" s="39" t="s">
        <v>3792</v>
      </c>
      <c r="I193" s="139"/>
      <c r="J193" s="135" t="s">
        <v>626</v>
      </c>
      <c r="K193" s="39" t="s">
        <v>627</v>
      </c>
      <c r="L193" s="135" t="s">
        <v>601</v>
      </c>
      <c r="M193" s="137" t="s">
        <v>8</v>
      </c>
      <c r="N193" s="218"/>
    </row>
    <row r="194" spans="1:14" hidden="1">
      <c r="A194" s="161" t="s">
        <v>3013</v>
      </c>
      <c r="B194" s="62" t="s">
        <v>1917</v>
      </c>
      <c r="C194" s="39" t="s">
        <v>1783</v>
      </c>
      <c r="D194" s="41" t="s">
        <v>8</v>
      </c>
      <c r="E194" s="47" t="s">
        <v>1140</v>
      </c>
      <c r="F194" s="39" t="s">
        <v>632</v>
      </c>
      <c r="G194" s="40" t="s">
        <v>633</v>
      </c>
      <c r="H194" s="39" t="s">
        <v>3696</v>
      </c>
      <c r="I194" s="139"/>
      <c r="J194" s="135" t="s">
        <v>630</v>
      </c>
      <c r="K194" s="39" t="s">
        <v>631</v>
      </c>
      <c r="L194" s="135" t="s">
        <v>601</v>
      </c>
      <c r="M194" s="137" t="s">
        <v>8</v>
      </c>
      <c r="N194" s="218"/>
    </row>
    <row r="195" spans="1:14" hidden="1">
      <c r="A195" s="161" t="s">
        <v>3013</v>
      </c>
      <c r="B195" s="62" t="s">
        <v>1918</v>
      </c>
      <c r="C195" s="39" t="s">
        <v>1783</v>
      </c>
      <c r="D195" s="41" t="s">
        <v>8</v>
      </c>
      <c r="E195" s="47" t="s">
        <v>1141</v>
      </c>
      <c r="F195" s="39" t="s">
        <v>636</v>
      </c>
      <c r="G195" s="40" t="s">
        <v>637</v>
      </c>
      <c r="H195" s="39" t="s">
        <v>3696</v>
      </c>
      <c r="I195" s="139"/>
      <c r="J195" s="135" t="s">
        <v>634</v>
      </c>
      <c r="K195" s="39" t="s">
        <v>635</v>
      </c>
      <c r="L195" s="135" t="s">
        <v>601</v>
      </c>
      <c r="M195" s="137" t="s">
        <v>8</v>
      </c>
      <c r="N195" s="218"/>
    </row>
    <row r="196" spans="1:14" hidden="1">
      <c r="A196" s="161" t="s">
        <v>3013</v>
      </c>
      <c r="B196" s="62" t="s">
        <v>1917</v>
      </c>
      <c r="C196" s="39" t="s">
        <v>1783</v>
      </c>
      <c r="D196" s="41" t="s">
        <v>8</v>
      </c>
      <c r="E196" s="47" t="s">
        <v>1142</v>
      </c>
      <c r="F196" s="39" t="s">
        <v>640</v>
      </c>
      <c r="G196" s="40" t="s">
        <v>641</v>
      </c>
      <c r="H196" s="39" t="s">
        <v>3696</v>
      </c>
      <c r="I196" s="139"/>
      <c r="J196" s="135" t="s">
        <v>638</v>
      </c>
      <c r="K196" s="39" t="s">
        <v>639</v>
      </c>
      <c r="L196" s="135" t="s">
        <v>601</v>
      </c>
      <c r="M196" s="137" t="s">
        <v>8</v>
      </c>
      <c r="N196" s="218"/>
    </row>
    <row r="197" spans="1:14" ht="30" hidden="1">
      <c r="A197" s="161" t="s">
        <v>3013</v>
      </c>
      <c r="B197" s="62" t="s">
        <v>1919</v>
      </c>
      <c r="C197" s="39" t="s">
        <v>1783</v>
      </c>
      <c r="D197" s="41" t="s">
        <v>8</v>
      </c>
      <c r="E197" s="47" t="s">
        <v>1143</v>
      </c>
      <c r="F197" s="39" t="s">
        <v>644</v>
      </c>
      <c r="G197" s="40" t="s">
        <v>645</v>
      </c>
      <c r="H197" s="39" t="s">
        <v>3790</v>
      </c>
      <c r="I197" s="139"/>
      <c r="J197" s="135" t="s">
        <v>642</v>
      </c>
      <c r="K197" s="39" t="s">
        <v>643</v>
      </c>
      <c r="L197" s="135" t="s">
        <v>601</v>
      </c>
      <c r="M197" s="137" t="s">
        <v>8</v>
      </c>
      <c r="N197" s="218"/>
    </row>
    <row r="198" spans="1:14" hidden="1">
      <c r="A198" s="161" t="s">
        <v>3013</v>
      </c>
      <c r="B198" s="62" t="s">
        <v>1921</v>
      </c>
      <c r="C198" s="39" t="s">
        <v>1783</v>
      </c>
      <c r="D198" s="41" t="s">
        <v>8</v>
      </c>
      <c r="E198" s="47" t="s">
        <v>1144</v>
      </c>
      <c r="F198" s="39" t="s">
        <v>648</v>
      </c>
      <c r="G198" s="40" t="s">
        <v>649</v>
      </c>
      <c r="H198" s="39" t="s">
        <v>3790</v>
      </c>
      <c r="I198" s="139"/>
      <c r="J198" s="135" t="s">
        <v>646</v>
      </c>
      <c r="K198" s="39" t="s">
        <v>647</v>
      </c>
      <c r="L198" s="135" t="s">
        <v>601</v>
      </c>
      <c r="M198" s="137" t="s">
        <v>8</v>
      </c>
      <c r="N198" s="218"/>
    </row>
    <row r="199" spans="1:14" hidden="1">
      <c r="A199" s="161" t="s">
        <v>3013</v>
      </c>
      <c r="B199" s="62" t="s">
        <v>1921</v>
      </c>
      <c r="C199" s="39" t="s">
        <v>1783</v>
      </c>
      <c r="D199" s="41" t="s">
        <v>8</v>
      </c>
      <c r="E199" s="47" t="s">
        <v>1145</v>
      </c>
      <c r="F199" s="39" t="s">
        <v>652</v>
      </c>
      <c r="G199" s="40" t="s">
        <v>653</v>
      </c>
      <c r="H199" s="39" t="s">
        <v>3792</v>
      </c>
      <c r="I199" s="139"/>
      <c r="J199" s="135" t="s">
        <v>650</v>
      </c>
      <c r="K199" s="39" t="s">
        <v>651</v>
      </c>
      <c r="L199" s="135" t="s">
        <v>601</v>
      </c>
      <c r="M199" s="137" t="s">
        <v>8</v>
      </c>
      <c r="N199" s="218"/>
    </row>
    <row r="200" spans="1:14" hidden="1">
      <c r="A200" s="161" t="s">
        <v>3013</v>
      </c>
      <c r="B200" s="62" t="s">
        <v>1922</v>
      </c>
      <c r="C200" s="39" t="s">
        <v>1783</v>
      </c>
      <c r="D200" s="41" t="s">
        <v>8</v>
      </c>
      <c r="E200" s="47" t="s">
        <v>1146</v>
      </c>
      <c r="F200" s="39" t="s">
        <v>656</v>
      </c>
      <c r="G200" s="40" t="s">
        <v>657</v>
      </c>
      <c r="H200" s="39" t="s">
        <v>3793</v>
      </c>
      <c r="I200" s="139"/>
      <c r="J200" s="135" t="s">
        <v>654</v>
      </c>
      <c r="K200" s="39" t="s">
        <v>655</v>
      </c>
      <c r="L200" s="135" t="s">
        <v>601</v>
      </c>
      <c r="M200" s="137" t="s">
        <v>8</v>
      </c>
      <c r="N200" s="218"/>
    </row>
    <row r="201" spans="1:14" hidden="1">
      <c r="A201" s="161" t="s">
        <v>3013</v>
      </c>
      <c r="B201" s="62" t="s">
        <v>1923</v>
      </c>
      <c r="C201" s="39" t="s">
        <v>1783</v>
      </c>
      <c r="D201" s="41" t="s">
        <v>1911</v>
      </c>
      <c r="E201" s="47" t="s">
        <v>1147</v>
      </c>
      <c r="F201" s="39" t="s">
        <v>660</v>
      </c>
      <c r="G201" s="40" t="s">
        <v>661</v>
      </c>
      <c r="H201" s="39" t="s">
        <v>3794</v>
      </c>
      <c r="I201" s="139" t="s">
        <v>1930</v>
      </c>
      <c r="J201" s="135" t="s">
        <v>658</v>
      </c>
      <c r="K201" s="39" t="s">
        <v>659</v>
      </c>
      <c r="L201" s="135" t="s">
        <v>601</v>
      </c>
      <c r="M201" s="137" t="s">
        <v>9</v>
      </c>
      <c r="N201" s="218"/>
    </row>
    <row r="202" spans="1:14" hidden="1">
      <c r="A202" s="161" t="s">
        <v>3013</v>
      </c>
      <c r="B202" s="62" t="s">
        <v>1929</v>
      </c>
      <c r="C202" s="39" t="s">
        <v>1783</v>
      </c>
      <c r="D202" s="41" t="s">
        <v>1911</v>
      </c>
      <c r="E202" s="47" t="s">
        <v>1148</v>
      </c>
      <c r="F202" s="39" t="s">
        <v>664</v>
      </c>
      <c r="G202" s="40" t="s">
        <v>665</v>
      </c>
      <c r="H202" s="39" t="s">
        <v>3795</v>
      </c>
      <c r="I202" s="139" t="s">
        <v>1930</v>
      </c>
      <c r="J202" s="135" t="s">
        <v>662</v>
      </c>
      <c r="K202" s="39" t="s">
        <v>663</v>
      </c>
      <c r="L202" s="135" t="s">
        <v>666</v>
      </c>
      <c r="M202" s="137" t="s">
        <v>9</v>
      </c>
      <c r="N202" s="218"/>
    </row>
    <row r="203" spans="1:14" ht="30" hidden="1">
      <c r="A203" s="161" t="s">
        <v>3013</v>
      </c>
      <c r="B203" s="62" t="s">
        <v>1929</v>
      </c>
      <c r="C203" s="39" t="s">
        <v>1783</v>
      </c>
      <c r="D203" s="41" t="s">
        <v>8</v>
      </c>
      <c r="E203" s="47" t="s">
        <v>1149</v>
      </c>
      <c r="F203" s="39" t="s">
        <v>669</v>
      </c>
      <c r="G203" s="40" t="s">
        <v>670</v>
      </c>
      <c r="H203" s="39" t="s">
        <v>3696</v>
      </c>
      <c r="I203" s="139"/>
      <c r="J203" s="135" t="s">
        <v>667</v>
      </c>
      <c r="K203" s="39" t="s">
        <v>668</v>
      </c>
      <c r="L203" s="135" t="s">
        <v>601</v>
      </c>
      <c r="M203" s="137" t="s">
        <v>8</v>
      </c>
      <c r="N203" s="218"/>
    </row>
    <row r="204" spans="1:14" hidden="1">
      <c r="A204" s="161" t="s">
        <v>3013</v>
      </c>
      <c r="B204" s="62" t="s">
        <v>1923</v>
      </c>
      <c r="C204" s="39" t="s">
        <v>1931</v>
      </c>
      <c r="D204" s="41" t="s">
        <v>9</v>
      </c>
      <c r="E204" s="47" t="s">
        <v>1150</v>
      </c>
      <c r="F204" s="39" t="s">
        <v>673</v>
      </c>
      <c r="G204" s="40" t="s">
        <v>674</v>
      </c>
      <c r="H204" s="39" t="s">
        <v>3796</v>
      </c>
      <c r="I204" s="139" t="s">
        <v>1932</v>
      </c>
      <c r="J204" s="135" t="s">
        <v>671</v>
      </c>
      <c r="K204" s="39" t="s">
        <v>672</v>
      </c>
      <c r="L204" s="135" t="s">
        <v>675</v>
      </c>
      <c r="M204" s="137" t="s">
        <v>9</v>
      </c>
      <c r="N204" s="218"/>
    </row>
    <row r="205" spans="1:14" hidden="1">
      <c r="A205" s="161" t="s">
        <v>3013</v>
      </c>
      <c r="B205" s="62" t="s">
        <v>1910</v>
      </c>
      <c r="C205" s="39" t="s">
        <v>1931</v>
      </c>
      <c r="D205" s="41" t="s">
        <v>9</v>
      </c>
      <c r="E205" s="47" t="s">
        <v>1151</v>
      </c>
      <c r="F205" s="39" t="s">
        <v>677</v>
      </c>
      <c r="G205" s="40" t="s">
        <v>678</v>
      </c>
      <c r="H205" s="39" t="s">
        <v>3794</v>
      </c>
      <c r="I205" s="139" t="s">
        <v>1932</v>
      </c>
      <c r="J205" s="135" t="s">
        <v>671</v>
      </c>
      <c r="K205" s="39" t="s">
        <v>676</v>
      </c>
      <c r="L205" s="135" t="s">
        <v>679</v>
      </c>
      <c r="M205" s="137" t="s">
        <v>9</v>
      </c>
      <c r="N205" s="218"/>
    </row>
    <row r="206" spans="1:14" ht="30" hidden="1">
      <c r="A206" s="161" t="s">
        <v>3013</v>
      </c>
      <c r="B206" s="62" t="s">
        <v>1919</v>
      </c>
      <c r="C206" s="39" t="s">
        <v>1931</v>
      </c>
      <c r="D206" s="41" t="s">
        <v>9</v>
      </c>
      <c r="E206" s="47" t="s">
        <v>1152</v>
      </c>
      <c r="F206" s="39" t="s">
        <v>681</v>
      </c>
      <c r="G206" s="40" t="s">
        <v>3774</v>
      </c>
      <c r="H206" s="39" t="s">
        <v>3794</v>
      </c>
      <c r="I206" s="139" t="s">
        <v>1932</v>
      </c>
      <c r="J206" s="135" t="s">
        <v>671</v>
      </c>
      <c r="K206" s="39" t="s">
        <v>680</v>
      </c>
      <c r="L206" s="135" t="s">
        <v>675</v>
      </c>
      <c r="M206" s="137" t="s">
        <v>10</v>
      </c>
      <c r="N206" s="218"/>
    </row>
    <row r="207" spans="1:14" ht="30" hidden="1">
      <c r="A207" s="161" t="s">
        <v>3013</v>
      </c>
      <c r="B207" s="62" t="s">
        <v>1919</v>
      </c>
      <c r="C207" s="39" t="s">
        <v>1931</v>
      </c>
      <c r="D207" s="41" t="s">
        <v>9</v>
      </c>
      <c r="E207" s="47" t="s">
        <v>1153</v>
      </c>
      <c r="F207" s="39" t="s">
        <v>684</v>
      </c>
      <c r="G207" s="40" t="s">
        <v>685</v>
      </c>
      <c r="H207" s="39" t="s">
        <v>3794</v>
      </c>
      <c r="I207" s="139" t="s">
        <v>1932</v>
      </c>
      <c r="J207" s="135" t="s">
        <v>682</v>
      </c>
      <c r="K207" s="39" t="s">
        <v>683</v>
      </c>
      <c r="L207" s="135" t="s">
        <v>675</v>
      </c>
      <c r="M207" s="137" t="s">
        <v>9</v>
      </c>
      <c r="N207" s="218"/>
    </row>
    <row r="208" spans="1:14" hidden="1">
      <c r="A208" s="161" t="s">
        <v>3013</v>
      </c>
      <c r="B208" s="62" t="s">
        <v>1922</v>
      </c>
      <c r="C208" s="39" t="s">
        <v>1931</v>
      </c>
      <c r="D208" s="41" t="s">
        <v>9</v>
      </c>
      <c r="E208" s="47" t="s">
        <v>1154</v>
      </c>
      <c r="F208" s="39" t="s">
        <v>688</v>
      </c>
      <c r="G208" s="40" t="s">
        <v>689</v>
      </c>
      <c r="H208" s="39" t="s">
        <v>3797</v>
      </c>
      <c r="I208" s="139" t="s">
        <v>1932</v>
      </c>
      <c r="J208" s="135" t="s">
        <v>686</v>
      </c>
      <c r="K208" s="39" t="s">
        <v>687</v>
      </c>
      <c r="L208" s="135" t="s">
        <v>675</v>
      </c>
      <c r="M208" s="137" t="s">
        <v>10</v>
      </c>
      <c r="N208" s="218"/>
    </row>
    <row r="209" spans="1:14" ht="30" hidden="1">
      <c r="A209" s="161" t="s">
        <v>3013</v>
      </c>
      <c r="B209" s="62" t="s">
        <v>1929</v>
      </c>
      <c r="C209" s="39" t="s">
        <v>1931</v>
      </c>
      <c r="D209" s="41" t="s">
        <v>8</v>
      </c>
      <c r="E209" s="47" t="s">
        <v>1155</v>
      </c>
      <c r="F209" s="39" t="s">
        <v>692</v>
      </c>
      <c r="G209" s="40" t="s">
        <v>693</v>
      </c>
      <c r="H209" s="39" t="s">
        <v>3696</v>
      </c>
      <c r="I209" s="139"/>
      <c r="J209" s="135" t="s">
        <v>690</v>
      </c>
      <c r="K209" s="39" t="s">
        <v>691</v>
      </c>
      <c r="L209" s="135" t="s">
        <v>679</v>
      </c>
      <c r="M209" s="137" t="s">
        <v>8</v>
      </c>
      <c r="N209" s="218"/>
    </row>
    <row r="210" spans="1:14" ht="30" hidden="1">
      <c r="A210" s="161" t="s">
        <v>3013</v>
      </c>
      <c r="B210" s="62" t="s">
        <v>1926</v>
      </c>
      <c r="C210" s="39" t="s">
        <v>1931</v>
      </c>
      <c r="D210" s="41" t="s">
        <v>1913</v>
      </c>
      <c r="E210" s="47" t="s">
        <v>1156</v>
      </c>
      <c r="F210" s="39" t="s">
        <v>696</v>
      </c>
      <c r="G210" s="40" t="s">
        <v>697</v>
      </c>
      <c r="H210" s="39" t="s">
        <v>3798</v>
      </c>
      <c r="I210" s="139" t="s">
        <v>1933</v>
      </c>
      <c r="J210" s="135" t="s">
        <v>694</v>
      </c>
      <c r="K210" s="39" t="s">
        <v>695</v>
      </c>
      <c r="L210" s="135" t="s">
        <v>679</v>
      </c>
      <c r="M210" s="137" t="s">
        <v>9</v>
      </c>
      <c r="N210" s="218"/>
    </row>
    <row r="211" spans="1:14" ht="30" hidden="1">
      <c r="A211" s="161" t="s">
        <v>3013</v>
      </c>
      <c r="B211" s="62" t="s">
        <v>1922</v>
      </c>
      <c r="C211" s="39" t="s">
        <v>1931</v>
      </c>
      <c r="D211" s="41" t="s">
        <v>8</v>
      </c>
      <c r="E211" s="47" t="s">
        <v>1157</v>
      </c>
      <c r="F211" s="39" t="s">
        <v>700</v>
      </c>
      <c r="G211" s="40" t="s">
        <v>701</v>
      </c>
      <c r="H211" s="39" t="s">
        <v>3799</v>
      </c>
      <c r="I211" s="139"/>
      <c r="J211" s="135" t="s">
        <v>698</v>
      </c>
      <c r="K211" s="39" t="s">
        <v>699</v>
      </c>
      <c r="L211" s="135" t="s">
        <v>679</v>
      </c>
      <c r="M211" s="137" t="s">
        <v>8</v>
      </c>
      <c r="N211" s="218"/>
    </row>
    <row r="212" spans="1:14" hidden="1">
      <c r="A212" s="161" t="s">
        <v>3013</v>
      </c>
      <c r="B212" s="62" t="s">
        <v>1915</v>
      </c>
      <c r="C212" s="39" t="s">
        <v>1931</v>
      </c>
      <c r="D212" s="41" t="s">
        <v>1301</v>
      </c>
      <c r="E212" s="47" t="s">
        <v>1158</v>
      </c>
      <c r="F212" s="39" t="s">
        <v>704</v>
      </c>
      <c r="G212" s="40" t="s">
        <v>705</v>
      </c>
      <c r="H212" s="39" t="s">
        <v>3800</v>
      </c>
      <c r="I212" s="139" t="s">
        <v>1934</v>
      </c>
      <c r="J212" s="135" t="s">
        <v>702</v>
      </c>
      <c r="K212" s="39" t="s">
        <v>703</v>
      </c>
      <c r="L212" s="135" t="s">
        <v>679</v>
      </c>
      <c r="M212" s="137" t="s">
        <v>8</v>
      </c>
      <c r="N212" s="218"/>
    </row>
    <row r="213" spans="1:14" hidden="1">
      <c r="A213" s="161" t="s">
        <v>3013</v>
      </c>
      <c r="B213" s="62" t="s">
        <v>1926</v>
      </c>
      <c r="C213" s="39" t="s">
        <v>1931</v>
      </c>
      <c r="D213" s="41" t="s">
        <v>1301</v>
      </c>
      <c r="E213" s="47" t="s">
        <v>1159</v>
      </c>
      <c r="F213" s="39" t="s">
        <v>707</v>
      </c>
      <c r="G213" s="40" t="s">
        <v>708</v>
      </c>
      <c r="H213" s="39" t="s">
        <v>3801</v>
      </c>
      <c r="I213" s="139" t="s">
        <v>1934</v>
      </c>
      <c r="J213" s="135" t="s">
        <v>702</v>
      </c>
      <c r="K213" s="39" t="s">
        <v>706</v>
      </c>
      <c r="L213" s="135" t="s">
        <v>679</v>
      </c>
      <c r="M213" s="137" t="s">
        <v>8</v>
      </c>
      <c r="N213" s="218"/>
    </row>
    <row r="214" spans="1:14" ht="45" hidden="1">
      <c r="A214" s="161" t="s">
        <v>3013</v>
      </c>
      <c r="B214" s="62" t="s">
        <v>1917</v>
      </c>
      <c r="C214" s="39" t="s">
        <v>1931</v>
      </c>
      <c r="D214" s="41" t="s">
        <v>9</v>
      </c>
      <c r="E214" s="47" t="s">
        <v>1811</v>
      </c>
      <c r="F214" s="39" t="s">
        <v>1810</v>
      </c>
      <c r="G214" s="40" t="s">
        <v>1812</v>
      </c>
      <c r="H214" s="39"/>
      <c r="I214" s="139" t="s">
        <v>1932</v>
      </c>
      <c r="J214" s="135" t="s">
        <v>1258</v>
      </c>
      <c r="K214" s="39" t="s">
        <v>1809</v>
      </c>
      <c r="L214" s="135" t="s">
        <v>675</v>
      </c>
      <c r="M214" s="137" t="s">
        <v>10</v>
      </c>
      <c r="N214" s="218"/>
    </row>
    <row r="215" spans="1:14" ht="30" hidden="1">
      <c r="A215" s="161" t="s">
        <v>3013</v>
      </c>
      <c r="B215" s="62" t="s">
        <v>1923</v>
      </c>
      <c r="C215" s="39" t="s">
        <v>1935</v>
      </c>
      <c r="D215" s="41" t="s">
        <v>9</v>
      </c>
      <c r="E215" s="47" t="s">
        <v>1160</v>
      </c>
      <c r="F215" s="39" t="s">
        <v>711</v>
      </c>
      <c r="G215" s="40" t="s">
        <v>712</v>
      </c>
      <c r="H215" s="39"/>
      <c r="I215" s="139" t="s">
        <v>1936</v>
      </c>
      <c r="J215" s="135" t="s">
        <v>709</v>
      </c>
      <c r="K215" s="39" t="s">
        <v>710</v>
      </c>
      <c r="L215" s="135" t="s">
        <v>713</v>
      </c>
      <c r="M215" s="137" t="s">
        <v>9</v>
      </c>
      <c r="N215" s="218"/>
    </row>
    <row r="216" spans="1:14" ht="30" hidden="1">
      <c r="A216" s="161" t="s">
        <v>3013</v>
      </c>
      <c r="B216" s="62" t="s">
        <v>1910</v>
      </c>
      <c r="C216" s="39" t="s">
        <v>1935</v>
      </c>
      <c r="D216" s="41" t="s">
        <v>9</v>
      </c>
      <c r="E216" s="47" t="s">
        <v>1161</v>
      </c>
      <c r="F216" s="39" t="s">
        <v>715</v>
      </c>
      <c r="G216" s="40" t="s">
        <v>716</v>
      </c>
      <c r="H216" s="39"/>
      <c r="I216" s="139" t="s">
        <v>1936</v>
      </c>
      <c r="J216" s="135" t="s">
        <v>709</v>
      </c>
      <c r="K216" s="39" t="s">
        <v>714</v>
      </c>
      <c r="L216" s="135" t="s">
        <v>717</v>
      </c>
      <c r="M216" s="137" t="s">
        <v>10</v>
      </c>
      <c r="N216" s="218"/>
    </row>
    <row r="217" spans="1:14" ht="30" hidden="1">
      <c r="A217" s="161" t="s">
        <v>3013</v>
      </c>
      <c r="B217" s="62" t="s">
        <v>1919</v>
      </c>
      <c r="C217" s="39" t="s">
        <v>1935</v>
      </c>
      <c r="D217" s="41" t="s">
        <v>9</v>
      </c>
      <c r="E217" s="47" t="s">
        <v>1162</v>
      </c>
      <c r="F217" s="39" t="s">
        <v>719</v>
      </c>
      <c r="G217" s="40" t="s">
        <v>720</v>
      </c>
      <c r="H217" s="39"/>
      <c r="I217" s="139" t="s">
        <v>1936</v>
      </c>
      <c r="J217" s="135" t="s">
        <v>709</v>
      </c>
      <c r="K217" s="39" t="s">
        <v>718</v>
      </c>
      <c r="L217" s="135" t="s">
        <v>713</v>
      </c>
      <c r="M217" s="137" t="s">
        <v>10</v>
      </c>
      <c r="N217" s="218"/>
    </row>
    <row r="218" spans="1:14" hidden="1">
      <c r="A218" s="161" t="s">
        <v>3013</v>
      </c>
      <c r="B218" s="62" t="s">
        <v>1915</v>
      </c>
      <c r="C218" s="39" t="s">
        <v>1935</v>
      </c>
      <c r="D218" s="41" t="s">
        <v>1301</v>
      </c>
      <c r="E218" s="47" t="s">
        <v>1163</v>
      </c>
      <c r="F218" s="39" t="s">
        <v>722</v>
      </c>
      <c r="G218" s="40" t="s">
        <v>723</v>
      </c>
      <c r="H218" s="39"/>
      <c r="I218" s="139" t="s">
        <v>1934</v>
      </c>
      <c r="J218" s="135" t="s">
        <v>709</v>
      </c>
      <c r="K218" s="39" t="s">
        <v>721</v>
      </c>
      <c r="L218" s="135" t="s">
        <v>713</v>
      </c>
      <c r="M218" s="137" t="s">
        <v>8</v>
      </c>
      <c r="N218" s="218"/>
    </row>
    <row r="219" spans="1:14" ht="30" hidden="1">
      <c r="A219" s="161" t="s">
        <v>3013</v>
      </c>
      <c r="B219" s="62" t="s">
        <v>1915</v>
      </c>
      <c r="C219" s="39" t="s">
        <v>1935</v>
      </c>
      <c r="D219" s="41" t="s">
        <v>9</v>
      </c>
      <c r="E219" s="47" t="s">
        <v>1164</v>
      </c>
      <c r="F219" s="39" t="s">
        <v>725</v>
      </c>
      <c r="G219" s="40" t="s">
        <v>726</v>
      </c>
      <c r="H219" s="39"/>
      <c r="I219" s="139" t="s">
        <v>1936</v>
      </c>
      <c r="J219" s="135" t="s">
        <v>709</v>
      </c>
      <c r="K219" s="39" t="s">
        <v>724</v>
      </c>
      <c r="L219" s="135" t="s">
        <v>713</v>
      </c>
      <c r="M219" s="137" t="s">
        <v>10</v>
      </c>
      <c r="N219" s="218"/>
    </row>
    <row r="220" spans="1:14" ht="30" hidden="1">
      <c r="A220" s="161" t="s">
        <v>3013</v>
      </c>
      <c r="B220" s="62" t="s">
        <v>1915</v>
      </c>
      <c r="C220" s="39" t="s">
        <v>1935</v>
      </c>
      <c r="D220" s="41" t="s">
        <v>9</v>
      </c>
      <c r="E220" s="47" t="s">
        <v>1165</v>
      </c>
      <c r="F220" s="39" t="s">
        <v>728</v>
      </c>
      <c r="G220" s="40" t="s">
        <v>729</v>
      </c>
      <c r="H220" s="39"/>
      <c r="I220" s="139" t="s">
        <v>1936</v>
      </c>
      <c r="J220" s="135" t="s">
        <v>709</v>
      </c>
      <c r="K220" s="39" t="s">
        <v>727</v>
      </c>
      <c r="L220" s="135" t="s">
        <v>713</v>
      </c>
      <c r="M220" s="137" t="s">
        <v>10</v>
      </c>
      <c r="N220" s="218"/>
    </row>
    <row r="221" spans="1:14" ht="30" hidden="1">
      <c r="A221" s="161" t="s">
        <v>3013</v>
      </c>
      <c r="B221" s="62" t="s">
        <v>1922</v>
      </c>
      <c r="C221" s="39" t="s">
        <v>1935</v>
      </c>
      <c r="D221" s="41" t="s">
        <v>9</v>
      </c>
      <c r="E221" s="47" t="s">
        <v>1166</v>
      </c>
      <c r="F221" s="39" t="s">
        <v>731</v>
      </c>
      <c r="G221" s="40" t="s">
        <v>732</v>
      </c>
      <c r="H221" s="39"/>
      <c r="I221" s="139" t="s">
        <v>1936</v>
      </c>
      <c r="J221" s="135" t="s">
        <v>709</v>
      </c>
      <c r="K221" s="39" t="s">
        <v>730</v>
      </c>
      <c r="L221" s="135" t="s">
        <v>713</v>
      </c>
      <c r="M221" s="137" t="s">
        <v>10</v>
      </c>
      <c r="N221" s="218"/>
    </row>
    <row r="222" spans="1:14" ht="30" hidden="1">
      <c r="A222" s="161" t="s">
        <v>3013</v>
      </c>
      <c r="B222" s="62" t="s">
        <v>1923</v>
      </c>
      <c r="C222" s="39" t="s">
        <v>1935</v>
      </c>
      <c r="D222" s="41" t="s">
        <v>9</v>
      </c>
      <c r="E222" s="47" t="s">
        <v>1167</v>
      </c>
      <c r="F222" s="39" t="s">
        <v>734</v>
      </c>
      <c r="G222" s="40" t="s">
        <v>735</v>
      </c>
      <c r="H222" s="39"/>
      <c r="I222" s="139" t="s">
        <v>1936</v>
      </c>
      <c r="J222" s="135" t="s">
        <v>709</v>
      </c>
      <c r="K222" s="39" t="s">
        <v>733</v>
      </c>
      <c r="L222" s="135" t="s">
        <v>713</v>
      </c>
      <c r="M222" s="137" t="s">
        <v>10</v>
      </c>
      <c r="N222" s="218"/>
    </row>
    <row r="223" spans="1:14" ht="30" hidden="1">
      <c r="A223" s="161" t="s">
        <v>3013</v>
      </c>
      <c r="B223" s="62" t="s">
        <v>1921</v>
      </c>
      <c r="C223" s="39" t="s">
        <v>1935</v>
      </c>
      <c r="D223" s="41" t="s">
        <v>9</v>
      </c>
      <c r="E223" s="47" t="s">
        <v>1168</v>
      </c>
      <c r="F223" s="39" t="s">
        <v>737</v>
      </c>
      <c r="G223" s="40" t="s">
        <v>738</v>
      </c>
      <c r="H223" s="39"/>
      <c r="I223" s="139" t="s">
        <v>1936</v>
      </c>
      <c r="J223" s="135" t="s">
        <v>709</v>
      </c>
      <c r="K223" s="39" t="s">
        <v>736</v>
      </c>
      <c r="L223" s="135" t="s">
        <v>713</v>
      </c>
      <c r="M223" s="137" t="s">
        <v>10</v>
      </c>
      <c r="N223" s="218"/>
    </row>
    <row r="224" spans="1:14" ht="30" hidden="1">
      <c r="A224" s="161" t="s">
        <v>3013</v>
      </c>
      <c r="B224" s="62" t="s">
        <v>1923</v>
      </c>
      <c r="C224" s="39" t="s">
        <v>1935</v>
      </c>
      <c r="D224" s="41" t="s">
        <v>9</v>
      </c>
      <c r="E224" s="47" t="s">
        <v>1169</v>
      </c>
      <c r="F224" s="39" t="s">
        <v>740</v>
      </c>
      <c r="G224" s="40" t="s">
        <v>741</v>
      </c>
      <c r="H224" s="39"/>
      <c r="I224" s="139" t="s">
        <v>1936</v>
      </c>
      <c r="J224" s="135" t="s">
        <v>709</v>
      </c>
      <c r="K224" s="39" t="s">
        <v>739</v>
      </c>
      <c r="L224" s="135" t="s">
        <v>713</v>
      </c>
      <c r="M224" s="137" t="s">
        <v>10</v>
      </c>
      <c r="N224" s="218"/>
    </row>
    <row r="225" spans="1:14" ht="30" hidden="1">
      <c r="A225" s="161" t="s">
        <v>3013</v>
      </c>
      <c r="B225" s="62" t="s">
        <v>1925</v>
      </c>
      <c r="C225" s="39" t="s">
        <v>1935</v>
      </c>
      <c r="D225" s="41" t="s">
        <v>9</v>
      </c>
      <c r="E225" s="47" t="s">
        <v>1170</v>
      </c>
      <c r="F225" s="39" t="s">
        <v>743</v>
      </c>
      <c r="G225" s="40" t="s">
        <v>744</v>
      </c>
      <c r="H225" s="39"/>
      <c r="I225" s="139" t="s">
        <v>1936</v>
      </c>
      <c r="J225" s="135" t="s">
        <v>709</v>
      </c>
      <c r="K225" s="39" t="s">
        <v>742</v>
      </c>
      <c r="L225" s="135" t="s">
        <v>713</v>
      </c>
      <c r="M225" s="137" t="s">
        <v>10</v>
      </c>
      <c r="N225" s="218"/>
    </row>
    <row r="226" spans="1:14" ht="30" hidden="1">
      <c r="A226" s="161" t="s">
        <v>3013</v>
      </c>
      <c r="B226" s="62" t="s">
        <v>1921</v>
      </c>
      <c r="C226" s="39" t="s">
        <v>1935</v>
      </c>
      <c r="D226" s="41" t="s">
        <v>9</v>
      </c>
      <c r="E226" s="47" t="s">
        <v>1171</v>
      </c>
      <c r="F226" s="39" t="s">
        <v>746</v>
      </c>
      <c r="G226" s="40" t="s">
        <v>747</v>
      </c>
      <c r="H226" s="39"/>
      <c r="I226" s="139" t="s">
        <v>1936</v>
      </c>
      <c r="J226" s="135" t="s">
        <v>709</v>
      </c>
      <c r="K226" s="39" t="s">
        <v>745</v>
      </c>
      <c r="L226" s="135" t="s">
        <v>748</v>
      </c>
      <c r="M226" s="137" t="s">
        <v>10</v>
      </c>
      <c r="N226" s="218"/>
    </row>
    <row r="227" spans="1:14" ht="30" hidden="1">
      <c r="A227" s="161" t="s">
        <v>3013</v>
      </c>
      <c r="B227" s="62" t="s">
        <v>1929</v>
      </c>
      <c r="C227" s="39" t="s">
        <v>1935</v>
      </c>
      <c r="D227" s="41" t="s">
        <v>1913</v>
      </c>
      <c r="E227" s="47" t="s">
        <v>1172</v>
      </c>
      <c r="F227" s="39" t="s">
        <v>751</v>
      </c>
      <c r="G227" s="40" t="s">
        <v>752</v>
      </c>
      <c r="H227" s="39"/>
      <c r="I227" s="139" t="s">
        <v>1937</v>
      </c>
      <c r="J227" s="135" t="s">
        <v>749</v>
      </c>
      <c r="K227" s="39" t="s">
        <v>750</v>
      </c>
      <c r="L227" s="135" t="s">
        <v>753</v>
      </c>
      <c r="M227" s="137" t="s">
        <v>10</v>
      </c>
      <c r="N227" s="218"/>
    </row>
    <row r="228" spans="1:14" ht="30" hidden="1">
      <c r="A228" s="161" t="s">
        <v>3013</v>
      </c>
      <c r="B228" s="62" t="s">
        <v>1929</v>
      </c>
      <c r="C228" s="39" t="s">
        <v>1935</v>
      </c>
      <c r="D228" s="41" t="s">
        <v>1913</v>
      </c>
      <c r="E228" s="47" t="s">
        <v>1173</v>
      </c>
      <c r="F228" s="39" t="s">
        <v>755</v>
      </c>
      <c r="G228" s="40" t="s">
        <v>756</v>
      </c>
      <c r="H228" s="39"/>
      <c r="I228" s="139" t="s">
        <v>1937</v>
      </c>
      <c r="J228" s="135" t="s">
        <v>749</v>
      </c>
      <c r="K228" s="39" t="s">
        <v>754</v>
      </c>
      <c r="L228" s="135" t="s">
        <v>753</v>
      </c>
      <c r="M228" s="137" t="s">
        <v>10</v>
      </c>
      <c r="N228" s="218"/>
    </row>
    <row r="229" spans="1:14" ht="30" hidden="1">
      <c r="A229" s="161" t="s">
        <v>3013</v>
      </c>
      <c r="B229" s="62" t="s">
        <v>1929</v>
      </c>
      <c r="C229" s="39" t="s">
        <v>1935</v>
      </c>
      <c r="D229" s="41" t="s">
        <v>1913</v>
      </c>
      <c r="E229" s="47" t="s">
        <v>1174</v>
      </c>
      <c r="F229" s="39" t="s">
        <v>758</v>
      </c>
      <c r="G229" s="40" t="s">
        <v>759</v>
      </c>
      <c r="H229" s="39"/>
      <c r="I229" s="139" t="s">
        <v>1937</v>
      </c>
      <c r="J229" s="135" t="s">
        <v>749</v>
      </c>
      <c r="K229" s="39" t="s">
        <v>757</v>
      </c>
      <c r="L229" s="135" t="s">
        <v>753</v>
      </c>
      <c r="M229" s="137" t="s">
        <v>10</v>
      </c>
      <c r="N229" s="218"/>
    </row>
    <row r="230" spans="1:14" ht="30" hidden="1">
      <c r="A230" s="161" t="s">
        <v>3013</v>
      </c>
      <c r="B230" s="62" t="s">
        <v>1929</v>
      </c>
      <c r="C230" s="39" t="s">
        <v>1935</v>
      </c>
      <c r="D230" s="41" t="s">
        <v>1913</v>
      </c>
      <c r="E230" s="47" t="s">
        <v>1175</v>
      </c>
      <c r="F230" s="39" t="s">
        <v>761</v>
      </c>
      <c r="G230" s="40" t="s">
        <v>762</v>
      </c>
      <c r="H230" s="39"/>
      <c r="I230" s="139" t="s">
        <v>1937</v>
      </c>
      <c r="J230" s="135" t="s">
        <v>749</v>
      </c>
      <c r="K230" s="39" t="s">
        <v>760</v>
      </c>
      <c r="L230" s="135" t="s">
        <v>753</v>
      </c>
      <c r="M230" s="137" t="s">
        <v>10</v>
      </c>
      <c r="N230" s="218"/>
    </row>
    <row r="231" spans="1:14" ht="30" hidden="1">
      <c r="A231" s="161" t="s">
        <v>3013</v>
      </c>
      <c r="B231" s="62" t="s">
        <v>1929</v>
      </c>
      <c r="C231" s="39" t="s">
        <v>1935</v>
      </c>
      <c r="D231" s="41" t="s">
        <v>1913</v>
      </c>
      <c r="E231" s="47" t="s">
        <v>1176</v>
      </c>
      <c r="F231" s="39" t="s">
        <v>764</v>
      </c>
      <c r="G231" s="40" t="s">
        <v>765</v>
      </c>
      <c r="H231" s="39"/>
      <c r="I231" s="139" t="s">
        <v>1937</v>
      </c>
      <c r="J231" s="135" t="s">
        <v>749</v>
      </c>
      <c r="K231" s="39" t="s">
        <v>763</v>
      </c>
      <c r="L231" s="135" t="s">
        <v>753</v>
      </c>
      <c r="M231" s="137" t="s">
        <v>10</v>
      </c>
      <c r="N231" s="218"/>
    </row>
    <row r="232" spans="1:14" ht="30" hidden="1">
      <c r="A232" s="161" t="s">
        <v>3013</v>
      </c>
      <c r="B232" s="62" t="s">
        <v>1923</v>
      </c>
      <c r="C232" s="39" t="s">
        <v>1935</v>
      </c>
      <c r="D232" s="41" t="s">
        <v>9</v>
      </c>
      <c r="E232" s="47" t="s">
        <v>1177</v>
      </c>
      <c r="F232" s="39" t="s">
        <v>768</v>
      </c>
      <c r="G232" s="40" t="s">
        <v>769</v>
      </c>
      <c r="H232" s="39"/>
      <c r="I232" s="139" t="s">
        <v>1936</v>
      </c>
      <c r="J232" s="135" t="s">
        <v>766</v>
      </c>
      <c r="K232" s="39" t="s">
        <v>767</v>
      </c>
      <c r="L232" s="135" t="s">
        <v>770</v>
      </c>
      <c r="M232" s="137" t="s">
        <v>10</v>
      </c>
      <c r="N232" s="218"/>
    </row>
    <row r="233" spans="1:14" hidden="1">
      <c r="A233" s="161" t="s">
        <v>3013</v>
      </c>
      <c r="B233" s="62" t="s">
        <v>1938</v>
      </c>
      <c r="C233" s="39" t="s">
        <v>1935</v>
      </c>
      <c r="D233" s="41" t="s">
        <v>9</v>
      </c>
      <c r="E233" s="47" t="s">
        <v>1178</v>
      </c>
      <c r="F233" s="39" t="s">
        <v>772</v>
      </c>
      <c r="G233" s="40" t="s">
        <v>773</v>
      </c>
      <c r="H233" s="39"/>
      <c r="I233" s="139" t="s">
        <v>1936</v>
      </c>
      <c r="J233" s="135" t="s">
        <v>766</v>
      </c>
      <c r="K233" s="39" t="s">
        <v>771</v>
      </c>
      <c r="L233" s="135" t="s">
        <v>770</v>
      </c>
      <c r="M233" s="137" t="s">
        <v>10</v>
      </c>
      <c r="N233" s="218"/>
    </row>
    <row r="234" spans="1:14" hidden="1">
      <c r="A234" s="161" t="s">
        <v>3013</v>
      </c>
      <c r="B234" s="62" t="s">
        <v>1938</v>
      </c>
      <c r="C234" s="39" t="s">
        <v>1935</v>
      </c>
      <c r="D234" s="41" t="s">
        <v>9</v>
      </c>
      <c r="E234" s="47" t="s">
        <v>1179</v>
      </c>
      <c r="F234" s="39" t="s">
        <v>775</v>
      </c>
      <c r="G234" s="40" t="s">
        <v>776</v>
      </c>
      <c r="H234" s="39"/>
      <c r="I234" s="139" t="s">
        <v>1936</v>
      </c>
      <c r="J234" s="135" t="s">
        <v>766</v>
      </c>
      <c r="K234" s="39" t="s">
        <v>774</v>
      </c>
      <c r="L234" s="135" t="s">
        <v>770</v>
      </c>
      <c r="M234" s="137" t="s">
        <v>10</v>
      </c>
      <c r="N234" s="218"/>
    </row>
    <row r="235" spans="1:14" hidden="1">
      <c r="A235" s="161" t="s">
        <v>3013</v>
      </c>
      <c r="B235" s="62" t="s">
        <v>1938</v>
      </c>
      <c r="C235" s="39" t="s">
        <v>1935</v>
      </c>
      <c r="D235" s="41" t="s">
        <v>9</v>
      </c>
      <c r="E235" s="47" t="s">
        <v>1180</v>
      </c>
      <c r="F235" s="39" t="s">
        <v>778</v>
      </c>
      <c r="G235" s="40" t="s">
        <v>779</v>
      </c>
      <c r="H235" s="39"/>
      <c r="I235" s="139" t="s">
        <v>1936</v>
      </c>
      <c r="J235" s="135" t="s">
        <v>766</v>
      </c>
      <c r="K235" s="39" t="s">
        <v>777</v>
      </c>
      <c r="L235" s="135" t="s">
        <v>770</v>
      </c>
      <c r="M235" s="137" t="s">
        <v>10</v>
      </c>
      <c r="N235" s="218"/>
    </row>
    <row r="236" spans="1:14" ht="30" hidden="1">
      <c r="A236" s="161" t="s">
        <v>3013</v>
      </c>
      <c r="B236" s="62" t="s">
        <v>1938</v>
      </c>
      <c r="C236" s="39" t="s">
        <v>1935</v>
      </c>
      <c r="D236" s="41" t="s">
        <v>9</v>
      </c>
      <c r="E236" s="47" t="s">
        <v>1181</v>
      </c>
      <c r="F236" s="39" t="s">
        <v>781</v>
      </c>
      <c r="G236" s="40" t="s">
        <v>782</v>
      </c>
      <c r="H236" s="39"/>
      <c r="I236" s="139" t="s">
        <v>1936</v>
      </c>
      <c r="J236" s="135" t="s">
        <v>766</v>
      </c>
      <c r="K236" s="39" t="s">
        <v>780</v>
      </c>
      <c r="L236" s="135" t="s">
        <v>770</v>
      </c>
      <c r="M236" s="137" t="s">
        <v>10</v>
      </c>
      <c r="N236" s="218"/>
    </row>
    <row r="237" spans="1:14" hidden="1">
      <c r="A237" s="161" t="s">
        <v>3013</v>
      </c>
      <c r="B237" s="62" t="s">
        <v>1938</v>
      </c>
      <c r="C237" s="39" t="s">
        <v>1935</v>
      </c>
      <c r="D237" s="41" t="s">
        <v>9</v>
      </c>
      <c r="E237" s="47" t="s">
        <v>1182</v>
      </c>
      <c r="F237" s="39" t="s">
        <v>784</v>
      </c>
      <c r="G237" s="40" t="s">
        <v>785</v>
      </c>
      <c r="H237" s="39"/>
      <c r="I237" s="139" t="s">
        <v>1936</v>
      </c>
      <c r="J237" s="135" t="s">
        <v>766</v>
      </c>
      <c r="K237" s="39" t="s">
        <v>783</v>
      </c>
      <c r="L237" s="135" t="s">
        <v>770</v>
      </c>
      <c r="M237" s="137" t="s">
        <v>10</v>
      </c>
      <c r="N237" s="218"/>
    </row>
    <row r="238" spans="1:14" ht="30" hidden="1">
      <c r="A238" s="161" t="s">
        <v>3013</v>
      </c>
      <c r="B238" s="62" t="s">
        <v>1926</v>
      </c>
      <c r="C238" s="39" t="s">
        <v>1935</v>
      </c>
      <c r="D238" s="41" t="s">
        <v>9</v>
      </c>
      <c r="E238" s="47" t="s">
        <v>1183</v>
      </c>
      <c r="F238" s="39" t="s">
        <v>787</v>
      </c>
      <c r="G238" s="40" t="s">
        <v>788</v>
      </c>
      <c r="H238" s="39"/>
      <c r="I238" s="139" t="s">
        <v>1936</v>
      </c>
      <c r="J238" s="135" t="s">
        <v>766</v>
      </c>
      <c r="K238" s="39" t="s">
        <v>786</v>
      </c>
      <c r="L238" s="135" t="s">
        <v>770</v>
      </c>
      <c r="M238" s="137" t="s">
        <v>10</v>
      </c>
      <c r="N238" s="218"/>
    </row>
    <row r="239" spans="1:14" hidden="1">
      <c r="A239" s="161" t="s">
        <v>3013</v>
      </c>
      <c r="B239" s="62" t="s">
        <v>1915</v>
      </c>
      <c r="C239" s="39" t="s">
        <v>1935</v>
      </c>
      <c r="D239" s="41" t="s">
        <v>9</v>
      </c>
      <c r="E239" s="47" t="s">
        <v>1184</v>
      </c>
      <c r="F239" s="39" t="s">
        <v>790</v>
      </c>
      <c r="G239" s="40" t="s">
        <v>791</v>
      </c>
      <c r="H239" s="39"/>
      <c r="I239" s="139" t="s">
        <v>1936</v>
      </c>
      <c r="J239" s="135" t="s">
        <v>766</v>
      </c>
      <c r="K239" s="39" t="s">
        <v>789</v>
      </c>
      <c r="L239" s="135" t="s">
        <v>770</v>
      </c>
      <c r="M239" s="137" t="s">
        <v>10</v>
      </c>
      <c r="N239" s="218"/>
    </row>
    <row r="240" spans="1:14" hidden="1">
      <c r="A240" s="161" t="s">
        <v>3013</v>
      </c>
      <c r="B240" s="62" t="s">
        <v>1915</v>
      </c>
      <c r="C240" s="39" t="s">
        <v>1935</v>
      </c>
      <c r="D240" s="41" t="s">
        <v>9</v>
      </c>
      <c r="E240" s="47" t="s">
        <v>1185</v>
      </c>
      <c r="F240" s="39" t="s">
        <v>794</v>
      </c>
      <c r="G240" s="40" t="s">
        <v>795</v>
      </c>
      <c r="H240" s="39"/>
      <c r="I240" s="139" t="s">
        <v>1936</v>
      </c>
      <c r="J240" s="135" t="s">
        <v>792</v>
      </c>
      <c r="K240" s="39" t="s">
        <v>793</v>
      </c>
      <c r="L240" s="135" t="s">
        <v>796</v>
      </c>
      <c r="M240" s="137" t="s">
        <v>10</v>
      </c>
      <c r="N240" s="218"/>
    </row>
    <row r="241" spans="1:14" hidden="1">
      <c r="A241" s="161" t="s">
        <v>3013</v>
      </c>
      <c r="B241" s="62" t="s">
        <v>1916</v>
      </c>
      <c r="C241" s="39" t="s">
        <v>1935</v>
      </c>
      <c r="D241" s="41" t="s">
        <v>9</v>
      </c>
      <c r="E241" s="47" t="s">
        <v>1186</v>
      </c>
      <c r="F241" s="39" t="s">
        <v>798</v>
      </c>
      <c r="G241" s="40" t="s">
        <v>799</v>
      </c>
      <c r="H241" s="39"/>
      <c r="I241" s="139" t="s">
        <v>1936</v>
      </c>
      <c r="J241" s="135" t="s">
        <v>792</v>
      </c>
      <c r="K241" s="39" t="s">
        <v>797</v>
      </c>
      <c r="L241" s="135" t="s">
        <v>796</v>
      </c>
      <c r="M241" s="137" t="s">
        <v>10</v>
      </c>
      <c r="N241" s="218"/>
    </row>
    <row r="242" spans="1:14" hidden="1">
      <c r="A242" s="161" t="s">
        <v>3013</v>
      </c>
      <c r="B242" s="62" t="s">
        <v>1919</v>
      </c>
      <c r="C242" s="39" t="s">
        <v>1935</v>
      </c>
      <c r="D242" s="41" t="s">
        <v>9</v>
      </c>
      <c r="E242" s="47" t="s">
        <v>1187</v>
      </c>
      <c r="F242" s="39" t="s">
        <v>801</v>
      </c>
      <c r="G242" s="40" t="s">
        <v>802</v>
      </c>
      <c r="H242" s="39"/>
      <c r="I242" s="139" t="s">
        <v>1936</v>
      </c>
      <c r="J242" s="135" t="s">
        <v>792</v>
      </c>
      <c r="K242" s="39" t="s">
        <v>800</v>
      </c>
      <c r="L242" s="135" t="s">
        <v>796</v>
      </c>
      <c r="M242" s="137" t="s">
        <v>10</v>
      </c>
      <c r="N242" s="218"/>
    </row>
    <row r="243" spans="1:14" hidden="1">
      <c r="A243" s="161" t="s">
        <v>3013</v>
      </c>
      <c r="B243" s="62" t="s">
        <v>1919</v>
      </c>
      <c r="C243" s="39" t="s">
        <v>1935</v>
      </c>
      <c r="D243" s="41" t="s">
        <v>9</v>
      </c>
      <c r="E243" s="47" t="s">
        <v>1188</v>
      </c>
      <c r="F243" s="39" t="s">
        <v>804</v>
      </c>
      <c r="G243" s="40" t="s">
        <v>805</v>
      </c>
      <c r="H243" s="39"/>
      <c r="I243" s="139" t="s">
        <v>1936</v>
      </c>
      <c r="J243" s="135" t="s">
        <v>792</v>
      </c>
      <c r="K243" s="39" t="s">
        <v>803</v>
      </c>
      <c r="L243" s="135" t="s">
        <v>796</v>
      </c>
      <c r="M243" s="137" t="s">
        <v>10</v>
      </c>
      <c r="N243" s="218"/>
    </row>
    <row r="244" spans="1:14" hidden="1">
      <c r="A244" s="161" t="s">
        <v>3013</v>
      </c>
      <c r="B244" s="62" t="s">
        <v>1921</v>
      </c>
      <c r="C244" s="39" t="s">
        <v>1935</v>
      </c>
      <c r="D244" s="41" t="s">
        <v>1911</v>
      </c>
      <c r="E244" s="47" t="s">
        <v>1189</v>
      </c>
      <c r="F244" s="39" t="s">
        <v>807</v>
      </c>
      <c r="G244" s="40" t="s">
        <v>3429</v>
      </c>
      <c r="H244" s="39"/>
      <c r="I244" s="139" t="s">
        <v>3433</v>
      </c>
      <c r="J244" s="135" t="s">
        <v>792</v>
      </c>
      <c r="K244" s="39" t="s">
        <v>806</v>
      </c>
      <c r="L244" s="135" t="s">
        <v>796</v>
      </c>
      <c r="M244" s="137" t="s">
        <v>10</v>
      </c>
      <c r="N244" s="218"/>
    </row>
    <row r="245" spans="1:14" hidden="1">
      <c r="A245" s="161" t="s">
        <v>3013</v>
      </c>
      <c r="B245" s="62" t="s">
        <v>1925</v>
      </c>
      <c r="C245" s="39" t="s">
        <v>1935</v>
      </c>
      <c r="D245" s="41" t="s">
        <v>9</v>
      </c>
      <c r="E245" s="47" t="s">
        <v>1190</v>
      </c>
      <c r="F245" s="39" t="s">
        <v>809</v>
      </c>
      <c r="G245" s="40" t="s">
        <v>810</v>
      </c>
      <c r="H245" s="39"/>
      <c r="I245" s="139" t="s">
        <v>1936</v>
      </c>
      <c r="J245" s="135" t="s">
        <v>792</v>
      </c>
      <c r="K245" s="39" t="s">
        <v>808</v>
      </c>
      <c r="L245" s="135" t="s">
        <v>796</v>
      </c>
      <c r="M245" s="137" t="s">
        <v>10</v>
      </c>
      <c r="N245" s="218"/>
    </row>
    <row r="246" spans="1:14" ht="30" hidden="1">
      <c r="A246" s="161" t="s">
        <v>3013</v>
      </c>
      <c r="B246" s="62" t="s">
        <v>1924</v>
      </c>
      <c r="C246" s="39" t="s">
        <v>1935</v>
      </c>
      <c r="D246" s="41" t="s">
        <v>9</v>
      </c>
      <c r="E246" s="47" t="s">
        <v>1191</v>
      </c>
      <c r="F246" s="39" t="s">
        <v>812</v>
      </c>
      <c r="G246" s="40" t="s">
        <v>813</v>
      </c>
      <c r="H246" s="39"/>
      <c r="I246" s="139" t="s">
        <v>1936</v>
      </c>
      <c r="J246" s="135" t="s">
        <v>792</v>
      </c>
      <c r="K246" s="39" t="s">
        <v>811</v>
      </c>
      <c r="L246" s="135" t="s">
        <v>796</v>
      </c>
      <c r="M246" s="137" t="s">
        <v>10</v>
      </c>
      <c r="N246" s="218"/>
    </row>
    <row r="247" spans="1:14" hidden="1">
      <c r="A247" s="161" t="s">
        <v>3013</v>
      </c>
      <c r="B247" s="62" t="s">
        <v>1919</v>
      </c>
      <c r="C247" s="39" t="s">
        <v>1935</v>
      </c>
      <c r="D247" s="41" t="s">
        <v>9</v>
      </c>
      <c r="E247" s="47" t="s">
        <v>1192</v>
      </c>
      <c r="F247" s="39" t="s">
        <v>815</v>
      </c>
      <c r="G247" s="40" t="s">
        <v>816</v>
      </c>
      <c r="H247" s="39"/>
      <c r="I247" s="139" t="s">
        <v>1936</v>
      </c>
      <c r="J247" s="135" t="s">
        <v>792</v>
      </c>
      <c r="K247" s="39" t="s">
        <v>814</v>
      </c>
      <c r="L247" s="135" t="s">
        <v>796</v>
      </c>
      <c r="M247" s="137" t="s">
        <v>10</v>
      </c>
      <c r="N247" s="218"/>
    </row>
    <row r="248" spans="1:14" ht="30" hidden="1">
      <c r="A248" s="161" t="s">
        <v>3013</v>
      </c>
      <c r="B248" s="62" t="s">
        <v>1921</v>
      </c>
      <c r="C248" s="39" t="s">
        <v>1935</v>
      </c>
      <c r="D248" s="41" t="s">
        <v>9</v>
      </c>
      <c r="E248" s="47" t="s">
        <v>1193</v>
      </c>
      <c r="F248" s="39" t="s">
        <v>818</v>
      </c>
      <c r="G248" s="40" t="s">
        <v>819</v>
      </c>
      <c r="H248" s="39"/>
      <c r="I248" s="139" t="s">
        <v>1936</v>
      </c>
      <c r="J248" s="135" t="s">
        <v>792</v>
      </c>
      <c r="K248" s="39" t="s">
        <v>817</v>
      </c>
      <c r="L248" s="135" t="s">
        <v>796</v>
      </c>
      <c r="M248" s="137" t="s">
        <v>10</v>
      </c>
      <c r="N248" s="218"/>
    </row>
    <row r="249" spans="1:14" hidden="1">
      <c r="A249" s="161" t="s">
        <v>3013</v>
      </c>
      <c r="B249" s="62" t="s">
        <v>1915</v>
      </c>
      <c r="C249" s="39" t="s">
        <v>1935</v>
      </c>
      <c r="D249" s="41" t="s">
        <v>1301</v>
      </c>
      <c r="E249" s="47" t="s">
        <v>1194</v>
      </c>
      <c r="F249" s="39" t="s">
        <v>821</v>
      </c>
      <c r="G249" s="40" t="s">
        <v>822</v>
      </c>
      <c r="H249" s="39"/>
      <c r="I249" s="139" t="s">
        <v>1934</v>
      </c>
      <c r="J249" s="135" t="s">
        <v>792</v>
      </c>
      <c r="K249" s="39" t="s">
        <v>820</v>
      </c>
      <c r="L249" s="135" t="s">
        <v>796</v>
      </c>
      <c r="M249" s="137" t="s">
        <v>8</v>
      </c>
      <c r="N249" s="218"/>
    </row>
    <row r="250" spans="1:14" hidden="1">
      <c r="A250" s="161" t="s">
        <v>3013</v>
      </c>
      <c r="B250" s="62" t="s">
        <v>1915</v>
      </c>
      <c r="C250" s="39" t="s">
        <v>1935</v>
      </c>
      <c r="D250" s="41" t="s">
        <v>9</v>
      </c>
      <c r="E250" s="47" t="s">
        <v>1195</v>
      </c>
      <c r="F250" s="39" t="s">
        <v>824</v>
      </c>
      <c r="G250" s="40" t="s">
        <v>825</v>
      </c>
      <c r="H250" s="39"/>
      <c r="I250" s="139" t="s">
        <v>1936</v>
      </c>
      <c r="J250" s="135" t="s">
        <v>792</v>
      </c>
      <c r="K250" s="39" t="s">
        <v>823</v>
      </c>
      <c r="L250" s="135" t="s">
        <v>796</v>
      </c>
      <c r="M250" s="137" t="s">
        <v>10</v>
      </c>
      <c r="N250" s="218"/>
    </row>
    <row r="251" spans="1:14" hidden="1">
      <c r="A251" s="161" t="s">
        <v>3013</v>
      </c>
      <c r="B251" s="62" t="s">
        <v>1924</v>
      </c>
      <c r="C251" s="39" t="s">
        <v>1935</v>
      </c>
      <c r="D251" s="41" t="s">
        <v>9</v>
      </c>
      <c r="E251" s="47" t="s">
        <v>1196</v>
      </c>
      <c r="F251" s="39" t="s">
        <v>827</v>
      </c>
      <c r="G251" s="40" t="s">
        <v>828</v>
      </c>
      <c r="H251" s="39"/>
      <c r="I251" s="139" t="s">
        <v>1936</v>
      </c>
      <c r="J251" s="135" t="s">
        <v>792</v>
      </c>
      <c r="K251" s="39" t="s">
        <v>826</v>
      </c>
      <c r="L251" s="135" t="s">
        <v>796</v>
      </c>
      <c r="M251" s="137" t="s">
        <v>10</v>
      </c>
      <c r="N251" s="218"/>
    </row>
    <row r="252" spans="1:14" ht="30" hidden="1">
      <c r="A252" s="161" t="s">
        <v>3013</v>
      </c>
      <c r="B252" s="62" t="s">
        <v>1924</v>
      </c>
      <c r="C252" s="39" t="s">
        <v>1935</v>
      </c>
      <c r="D252" s="41" t="s">
        <v>9</v>
      </c>
      <c r="E252" s="47" t="s">
        <v>1197</v>
      </c>
      <c r="F252" s="39" t="s">
        <v>830</v>
      </c>
      <c r="G252" s="40" t="s">
        <v>831</v>
      </c>
      <c r="H252" s="39"/>
      <c r="I252" s="139" t="s">
        <v>1936</v>
      </c>
      <c r="J252" s="135" t="s">
        <v>792</v>
      </c>
      <c r="K252" s="39" t="s">
        <v>829</v>
      </c>
      <c r="L252" s="135" t="s">
        <v>796</v>
      </c>
      <c r="M252" s="137" t="s">
        <v>10</v>
      </c>
      <c r="N252" s="218"/>
    </row>
    <row r="253" spans="1:14" hidden="1">
      <c r="A253" s="161" t="s">
        <v>3013</v>
      </c>
      <c r="B253" s="62" t="s">
        <v>1924</v>
      </c>
      <c r="C253" s="39" t="s">
        <v>1935</v>
      </c>
      <c r="D253" s="41" t="s">
        <v>9</v>
      </c>
      <c r="E253" s="47" t="s">
        <v>1198</v>
      </c>
      <c r="F253" s="39" t="s">
        <v>833</v>
      </c>
      <c r="G253" s="40" t="s">
        <v>834</v>
      </c>
      <c r="H253" s="39"/>
      <c r="I253" s="139" t="s">
        <v>1936</v>
      </c>
      <c r="J253" s="135" t="s">
        <v>792</v>
      </c>
      <c r="K253" s="39" t="s">
        <v>832</v>
      </c>
      <c r="L253" s="135" t="s">
        <v>796</v>
      </c>
      <c r="M253" s="137" t="s">
        <v>10</v>
      </c>
      <c r="N253" s="218"/>
    </row>
    <row r="254" spans="1:14" hidden="1">
      <c r="A254" s="161" t="s">
        <v>3013</v>
      </c>
      <c r="B254" s="62" t="s">
        <v>1918</v>
      </c>
      <c r="C254" s="39" t="s">
        <v>1935</v>
      </c>
      <c r="D254" s="41" t="s">
        <v>9</v>
      </c>
      <c r="E254" s="47" t="s">
        <v>1199</v>
      </c>
      <c r="F254" s="39" t="s">
        <v>836</v>
      </c>
      <c r="G254" s="40" t="s">
        <v>837</v>
      </c>
      <c r="H254" s="39"/>
      <c r="I254" s="139" t="s">
        <v>1936</v>
      </c>
      <c r="J254" s="135" t="s">
        <v>792</v>
      </c>
      <c r="K254" s="39" t="s">
        <v>835</v>
      </c>
      <c r="L254" s="135" t="s">
        <v>796</v>
      </c>
      <c r="M254" s="137" t="s">
        <v>10</v>
      </c>
      <c r="N254" s="218"/>
    </row>
    <row r="255" spans="1:14" ht="30" hidden="1">
      <c r="A255" s="161" t="s">
        <v>3013</v>
      </c>
      <c r="B255" s="62" t="s">
        <v>1921</v>
      </c>
      <c r="C255" s="39" t="s">
        <v>1935</v>
      </c>
      <c r="D255" s="41" t="s">
        <v>9</v>
      </c>
      <c r="E255" s="47" t="s">
        <v>1200</v>
      </c>
      <c r="F255" s="39" t="s">
        <v>839</v>
      </c>
      <c r="G255" s="40" t="s">
        <v>3432</v>
      </c>
      <c r="H255" s="39"/>
      <c r="I255" s="139" t="s">
        <v>1936</v>
      </c>
      <c r="J255" s="135" t="s">
        <v>792</v>
      </c>
      <c r="K255" s="39" t="s">
        <v>838</v>
      </c>
      <c r="L255" s="135" t="s">
        <v>840</v>
      </c>
      <c r="M255" s="137" t="s">
        <v>10</v>
      </c>
      <c r="N255" s="218"/>
    </row>
    <row r="256" spans="1:14" ht="30" hidden="1">
      <c r="A256" s="161" t="s">
        <v>3013</v>
      </c>
      <c r="B256" s="62" t="s">
        <v>1919</v>
      </c>
      <c r="C256" s="39" t="s">
        <v>1935</v>
      </c>
      <c r="D256" s="41" t="s">
        <v>9</v>
      </c>
      <c r="E256" s="47" t="s">
        <v>1201</v>
      </c>
      <c r="F256" s="39" t="s">
        <v>842</v>
      </c>
      <c r="G256" s="40" t="s">
        <v>843</v>
      </c>
      <c r="H256" s="39"/>
      <c r="I256" s="139" t="s">
        <v>1936</v>
      </c>
      <c r="J256" s="135" t="s">
        <v>792</v>
      </c>
      <c r="K256" s="39" t="s">
        <v>841</v>
      </c>
      <c r="L256" s="135" t="s">
        <v>796</v>
      </c>
      <c r="M256" s="137" t="s">
        <v>10</v>
      </c>
      <c r="N256" s="218"/>
    </row>
    <row r="257" spans="1:14" ht="30" hidden="1">
      <c r="A257" s="161" t="s">
        <v>3013</v>
      </c>
      <c r="B257" s="62" t="s">
        <v>1922</v>
      </c>
      <c r="C257" s="39" t="s">
        <v>1935</v>
      </c>
      <c r="D257" s="41" t="s">
        <v>9</v>
      </c>
      <c r="E257" s="47" t="s">
        <v>1202</v>
      </c>
      <c r="F257" s="39" t="s">
        <v>845</v>
      </c>
      <c r="G257" s="40" t="s">
        <v>846</v>
      </c>
      <c r="H257" s="39"/>
      <c r="I257" s="139" t="s">
        <v>1936</v>
      </c>
      <c r="J257" s="135" t="s">
        <v>792</v>
      </c>
      <c r="K257" s="39" t="s">
        <v>844</v>
      </c>
      <c r="L257" s="135" t="s">
        <v>796</v>
      </c>
      <c r="M257" s="137" t="s">
        <v>10</v>
      </c>
      <c r="N257" s="218"/>
    </row>
    <row r="258" spans="1:14" ht="30" hidden="1">
      <c r="A258" s="161" t="s">
        <v>3013</v>
      </c>
      <c r="B258" s="62" t="s">
        <v>1925</v>
      </c>
      <c r="C258" s="39" t="s">
        <v>1935</v>
      </c>
      <c r="D258" s="41" t="s">
        <v>9</v>
      </c>
      <c r="E258" s="47" t="s">
        <v>1203</v>
      </c>
      <c r="F258" s="39" t="s">
        <v>849</v>
      </c>
      <c r="G258" s="40" t="s">
        <v>850</v>
      </c>
      <c r="H258" s="39"/>
      <c r="I258" s="139" t="s">
        <v>1936</v>
      </c>
      <c r="J258" s="135" t="s">
        <v>847</v>
      </c>
      <c r="K258" s="39" t="s">
        <v>848</v>
      </c>
      <c r="L258" s="135" t="s">
        <v>851</v>
      </c>
      <c r="M258" s="137" t="s">
        <v>10</v>
      </c>
      <c r="N258" s="218"/>
    </row>
    <row r="259" spans="1:14" ht="30" hidden="1">
      <c r="A259" s="161" t="s">
        <v>3013</v>
      </c>
      <c r="B259" s="62" t="s">
        <v>1923</v>
      </c>
      <c r="C259" s="39" t="s">
        <v>1935</v>
      </c>
      <c r="D259" s="41" t="s">
        <v>9</v>
      </c>
      <c r="E259" s="47" t="s">
        <v>1204</v>
      </c>
      <c r="F259" s="39" t="s">
        <v>853</v>
      </c>
      <c r="G259" s="40" t="s">
        <v>854</v>
      </c>
      <c r="H259" s="39"/>
      <c r="I259" s="139" t="s">
        <v>1936</v>
      </c>
      <c r="J259" s="135" t="s">
        <v>847</v>
      </c>
      <c r="K259" s="39" t="s">
        <v>852</v>
      </c>
      <c r="L259" s="135" t="s">
        <v>855</v>
      </c>
      <c r="M259" s="137" t="s">
        <v>10</v>
      </c>
      <c r="N259" s="218"/>
    </row>
    <row r="260" spans="1:14" ht="30" hidden="1">
      <c r="A260" s="161" t="s">
        <v>3013</v>
      </c>
      <c r="B260" s="62" t="s">
        <v>1927</v>
      </c>
      <c r="C260" s="39" t="s">
        <v>1935</v>
      </c>
      <c r="D260" s="41" t="s">
        <v>9</v>
      </c>
      <c r="E260" s="47" t="s">
        <v>1205</v>
      </c>
      <c r="F260" s="39" t="s">
        <v>857</v>
      </c>
      <c r="G260" s="40" t="s">
        <v>858</v>
      </c>
      <c r="H260" s="39"/>
      <c r="I260" s="139" t="s">
        <v>1936</v>
      </c>
      <c r="J260" s="135" t="s">
        <v>847</v>
      </c>
      <c r="K260" s="39" t="s">
        <v>856</v>
      </c>
      <c r="L260" s="135" t="s">
        <v>851</v>
      </c>
      <c r="M260" s="137" t="s">
        <v>10</v>
      </c>
      <c r="N260" s="218"/>
    </row>
    <row r="261" spans="1:14" ht="30" hidden="1">
      <c r="A261" s="161" t="s">
        <v>3013</v>
      </c>
      <c r="B261" s="62" t="s">
        <v>1923</v>
      </c>
      <c r="C261" s="39" t="s">
        <v>1935</v>
      </c>
      <c r="D261" s="41" t="s">
        <v>9</v>
      </c>
      <c r="E261" s="47" t="s">
        <v>1206</v>
      </c>
      <c r="F261" s="39" t="s">
        <v>860</v>
      </c>
      <c r="G261" s="40" t="s">
        <v>861</v>
      </c>
      <c r="H261" s="39"/>
      <c r="I261" s="139" t="s">
        <v>1936</v>
      </c>
      <c r="J261" s="135" t="s">
        <v>847</v>
      </c>
      <c r="K261" s="39" t="s">
        <v>859</v>
      </c>
      <c r="L261" s="135" t="s">
        <v>851</v>
      </c>
      <c r="M261" s="137" t="s">
        <v>10</v>
      </c>
      <c r="N261" s="218"/>
    </row>
    <row r="262" spans="1:14" ht="30" hidden="1">
      <c r="A262" s="161" t="s">
        <v>3013</v>
      </c>
      <c r="B262" s="62" t="s">
        <v>1925</v>
      </c>
      <c r="C262" s="39" t="s">
        <v>1935</v>
      </c>
      <c r="D262" s="41" t="s">
        <v>9</v>
      </c>
      <c r="E262" s="47" t="s">
        <v>1207</v>
      </c>
      <c r="F262" s="39" t="s">
        <v>863</v>
      </c>
      <c r="G262" s="40" t="s">
        <v>864</v>
      </c>
      <c r="H262" s="39"/>
      <c r="I262" s="139" t="s">
        <v>1936</v>
      </c>
      <c r="J262" s="135" t="s">
        <v>847</v>
      </c>
      <c r="K262" s="39" t="s">
        <v>862</v>
      </c>
      <c r="L262" s="135" t="s">
        <v>851</v>
      </c>
      <c r="M262" s="137" t="s">
        <v>10</v>
      </c>
      <c r="N262" s="218"/>
    </row>
    <row r="263" spans="1:14" hidden="1">
      <c r="A263" s="161" t="s">
        <v>3013</v>
      </c>
      <c r="B263" s="62" t="s">
        <v>1929</v>
      </c>
      <c r="C263" s="39" t="s">
        <v>1935</v>
      </c>
      <c r="D263" s="41" t="s">
        <v>9</v>
      </c>
      <c r="E263" s="47" t="s">
        <v>1208</v>
      </c>
      <c r="F263" s="39" t="s">
        <v>866</v>
      </c>
      <c r="G263" s="40" t="s">
        <v>867</v>
      </c>
      <c r="H263" s="39"/>
      <c r="I263" s="139" t="s">
        <v>1936</v>
      </c>
      <c r="J263" s="135" t="s">
        <v>847</v>
      </c>
      <c r="K263" s="39" t="s">
        <v>865</v>
      </c>
      <c r="L263" s="135" t="s">
        <v>851</v>
      </c>
      <c r="M263" s="137" t="s">
        <v>10</v>
      </c>
      <c r="N263" s="218"/>
    </row>
    <row r="264" spans="1:14" ht="30" hidden="1">
      <c r="A264" s="161" t="s">
        <v>3013</v>
      </c>
      <c r="B264" s="62" t="s">
        <v>1925</v>
      </c>
      <c r="C264" s="39" t="s">
        <v>1935</v>
      </c>
      <c r="D264" s="41" t="s">
        <v>9</v>
      </c>
      <c r="E264" s="47" t="s">
        <v>1209</v>
      </c>
      <c r="F264" s="39" t="s">
        <v>869</v>
      </c>
      <c r="G264" s="40" t="s">
        <v>870</v>
      </c>
      <c r="H264" s="39"/>
      <c r="I264" s="139" t="s">
        <v>1936</v>
      </c>
      <c r="J264" s="135" t="s">
        <v>847</v>
      </c>
      <c r="K264" s="39" t="s">
        <v>868</v>
      </c>
      <c r="L264" s="135" t="s">
        <v>851</v>
      </c>
      <c r="M264" s="137" t="s">
        <v>10</v>
      </c>
      <c r="N264" s="218"/>
    </row>
    <row r="265" spans="1:14" ht="30" hidden="1">
      <c r="A265" s="161" t="s">
        <v>3013</v>
      </c>
      <c r="B265" s="62" t="s">
        <v>1924</v>
      </c>
      <c r="C265" s="39" t="s">
        <v>1935</v>
      </c>
      <c r="D265" s="41" t="s">
        <v>9</v>
      </c>
      <c r="E265" s="47" t="s">
        <v>1210</v>
      </c>
      <c r="F265" s="39" t="s">
        <v>872</v>
      </c>
      <c r="G265" s="40" t="s">
        <v>873</v>
      </c>
      <c r="H265" s="39"/>
      <c r="I265" s="139" t="s">
        <v>1936</v>
      </c>
      <c r="J265" s="135" t="s">
        <v>847</v>
      </c>
      <c r="K265" s="39" t="s">
        <v>871</v>
      </c>
      <c r="L265" s="135" t="s">
        <v>851</v>
      </c>
      <c r="M265" s="137" t="s">
        <v>10</v>
      </c>
      <c r="N265" s="218"/>
    </row>
    <row r="266" spans="1:14" ht="30" hidden="1">
      <c r="A266" s="161" t="s">
        <v>3013</v>
      </c>
      <c r="B266" s="62" t="s">
        <v>1938</v>
      </c>
      <c r="C266" s="39" t="s">
        <v>1935</v>
      </c>
      <c r="D266" s="41" t="s">
        <v>1913</v>
      </c>
      <c r="E266" s="47" t="s">
        <v>1211</v>
      </c>
      <c r="F266" s="39" t="s">
        <v>876</v>
      </c>
      <c r="G266" s="40" t="s">
        <v>877</v>
      </c>
      <c r="H266" s="39"/>
      <c r="I266" s="139" t="s">
        <v>1937</v>
      </c>
      <c r="J266" s="135" t="s">
        <v>874</v>
      </c>
      <c r="K266" s="39" t="s">
        <v>875</v>
      </c>
      <c r="L266" s="135" t="s">
        <v>878</v>
      </c>
      <c r="M266" s="137" t="s">
        <v>10</v>
      </c>
      <c r="N266" s="218"/>
    </row>
    <row r="267" spans="1:14" hidden="1">
      <c r="A267" s="161" t="s">
        <v>3013</v>
      </c>
      <c r="B267" s="62" t="s">
        <v>1938</v>
      </c>
      <c r="C267" s="39" t="s">
        <v>1935</v>
      </c>
      <c r="D267" s="41" t="s">
        <v>1913</v>
      </c>
      <c r="E267" s="47" t="s">
        <v>1212</v>
      </c>
      <c r="F267" s="39" t="s">
        <v>880</v>
      </c>
      <c r="G267" s="40" t="s">
        <v>881</v>
      </c>
      <c r="H267" s="39"/>
      <c r="I267" s="139" t="s">
        <v>1937</v>
      </c>
      <c r="J267" s="135" t="s">
        <v>874</v>
      </c>
      <c r="K267" s="39" t="s">
        <v>879</v>
      </c>
      <c r="L267" s="135" t="s">
        <v>882</v>
      </c>
      <c r="M267" s="137" t="s">
        <v>10</v>
      </c>
      <c r="N267" s="218"/>
    </row>
    <row r="268" spans="1:14" ht="30" hidden="1">
      <c r="A268" s="161" t="s">
        <v>3013</v>
      </c>
      <c r="B268" s="62" t="s">
        <v>1926</v>
      </c>
      <c r="C268" s="39" t="s">
        <v>1935</v>
      </c>
      <c r="D268" s="41" t="s">
        <v>1913</v>
      </c>
      <c r="E268" s="47" t="s">
        <v>1213</v>
      </c>
      <c r="F268" s="39" t="s">
        <v>884</v>
      </c>
      <c r="G268" s="40" t="s">
        <v>885</v>
      </c>
      <c r="H268" s="39"/>
      <c r="I268" s="139" t="s">
        <v>1937</v>
      </c>
      <c r="J268" s="135" t="s">
        <v>874</v>
      </c>
      <c r="K268" s="39" t="s">
        <v>883</v>
      </c>
      <c r="L268" s="135" t="s">
        <v>886</v>
      </c>
      <c r="M268" s="137" t="s">
        <v>9</v>
      </c>
      <c r="N268" s="218"/>
    </row>
    <row r="269" spans="1:14" hidden="1">
      <c r="A269" s="161" t="s">
        <v>3013</v>
      </c>
      <c r="B269" s="62" t="s">
        <v>1924</v>
      </c>
      <c r="C269" s="39" t="s">
        <v>1935</v>
      </c>
      <c r="D269" s="41" t="s">
        <v>9</v>
      </c>
      <c r="E269" s="47" t="s">
        <v>1214</v>
      </c>
      <c r="F269" s="39" t="s">
        <v>888</v>
      </c>
      <c r="G269" s="40" t="s">
        <v>889</v>
      </c>
      <c r="H269" s="39"/>
      <c r="I269" s="139" t="s">
        <v>1936</v>
      </c>
      <c r="J269" s="135" t="s">
        <v>874</v>
      </c>
      <c r="K269" s="39" t="s">
        <v>887</v>
      </c>
      <c r="L269" s="135" t="s">
        <v>882</v>
      </c>
      <c r="M269" s="137" t="s">
        <v>10</v>
      </c>
      <c r="N269" s="218"/>
    </row>
    <row r="270" spans="1:14" hidden="1">
      <c r="A270" s="161" t="s">
        <v>3013</v>
      </c>
      <c r="B270" s="62" t="s">
        <v>1925</v>
      </c>
      <c r="C270" s="39" t="s">
        <v>1935</v>
      </c>
      <c r="D270" s="41" t="s">
        <v>9</v>
      </c>
      <c r="E270" s="47" t="s">
        <v>1215</v>
      </c>
      <c r="F270" s="39" t="s">
        <v>892</v>
      </c>
      <c r="G270" s="40" t="s">
        <v>893</v>
      </c>
      <c r="H270" s="39"/>
      <c r="I270" s="139" t="s">
        <v>1936</v>
      </c>
      <c r="J270" s="135" t="s">
        <v>890</v>
      </c>
      <c r="K270" s="39" t="s">
        <v>891</v>
      </c>
      <c r="L270" s="135" t="s">
        <v>894</v>
      </c>
      <c r="M270" s="137" t="s">
        <v>10</v>
      </c>
      <c r="N270" s="218"/>
    </row>
    <row r="271" spans="1:14" hidden="1">
      <c r="A271" s="161" t="s">
        <v>3013</v>
      </c>
      <c r="B271" s="62" t="s">
        <v>1925</v>
      </c>
      <c r="C271" s="39" t="s">
        <v>1935</v>
      </c>
      <c r="D271" s="41" t="s">
        <v>9</v>
      </c>
      <c r="E271" s="47" t="s">
        <v>1216</v>
      </c>
      <c r="F271" s="39" t="s">
        <v>896</v>
      </c>
      <c r="G271" s="40" t="s">
        <v>897</v>
      </c>
      <c r="H271" s="39"/>
      <c r="I271" s="139" t="s">
        <v>1936</v>
      </c>
      <c r="J271" s="135" t="s">
        <v>890</v>
      </c>
      <c r="K271" s="39" t="s">
        <v>895</v>
      </c>
      <c r="L271" s="135" t="s">
        <v>894</v>
      </c>
      <c r="M271" s="137" t="s">
        <v>10</v>
      </c>
      <c r="N271" s="218"/>
    </row>
    <row r="272" spans="1:14" hidden="1">
      <c r="A272" s="161" t="s">
        <v>3013</v>
      </c>
      <c r="B272" s="62" t="s">
        <v>1925</v>
      </c>
      <c r="C272" s="39" t="s">
        <v>1935</v>
      </c>
      <c r="D272" s="41" t="s">
        <v>9</v>
      </c>
      <c r="E272" s="47" t="s">
        <v>1217</v>
      </c>
      <c r="F272" s="39" t="s">
        <v>899</v>
      </c>
      <c r="G272" s="40" t="s">
        <v>900</v>
      </c>
      <c r="H272" s="39"/>
      <c r="I272" s="139" t="s">
        <v>1936</v>
      </c>
      <c r="J272" s="135" t="s">
        <v>890</v>
      </c>
      <c r="K272" s="39" t="s">
        <v>898</v>
      </c>
      <c r="L272" s="135" t="s">
        <v>894</v>
      </c>
      <c r="M272" s="137" t="s">
        <v>10</v>
      </c>
      <c r="N272" s="218"/>
    </row>
    <row r="273" spans="1:14" hidden="1">
      <c r="A273" s="161" t="s">
        <v>3013</v>
      </c>
      <c r="B273" s="62" t="s">
        <v>1938</v>
      </c>
      <c r="C273" s="39" t="s">
        <v>1935</v>
      </c>
      <c r="D273" s="41" t="s">
        <v>9</v>
      </c>
      <c r="E273" s="47" t="s">
        <v>1218</v>
      </c>
      <c r="F273" s="39" t="s">
        <v>902</v>
      </c>
      <c r="G273" s="40" t="s">
        <v>903</v>
      </c>
      <c r="H273" s="39"/>
      <c r="I273" s="139" t="s">
        <v>1936</v>
      </c>
      <c r="J273" s="135" t="s">
        <v>890</v>
      </c>
      <c r="K273" s="39" t="s">
        <v>901</v>
      </c>
      <c r="L273" s="135" t="s">
        <v>894</v>
      </c>
      <c r="M273" s="137" t="s">
        <v>10</v>
      </c>
      <c r="N273" s="218"/>
    </row>
    <row r="274" spans="1:14" ht="30">
      <c r="A274" s="161" t="s">
        <v>3012</v>
      </c>
      <c r="B274" s="62" t="s">
        <v>1917</v>
      </c>
      <c r="C274" s="39" t="s">
        <v>1939</v>
      </c>
      <c r="D274" s="41" t="s">
        <v>1913</v>
      </c>
      <c r="E274" s="47" t="s">
        <v>1836</v>
      </c>
      <c r="F274" s="39" t="s">
        <v>1835</v>
      </c>
      <c r="G274" s="40" t="s">
        <v>1837</v>
      </c>
      <c r="H274" s="39" t="s">
        <v>3802</v>
      </c>
      <c r="I274" s="139" t="s">
        <v>1940</v>
      </c>
      <c r="J274" s="135" t="s">
        <v>1833</v>
      </c>
      <c r="K274" s="39" t="s">
        <v>1834</v>
      </c>
      <c r="L274" s="135" t="s">
        <v>1838</v>
      </c>
      <c r="M274" s="137" t="s">
        <v>10</v>
      </c>
      <c r="N274" s="218"/>
    </row>
    <row r="275" spans="1:14" ht="30">
      <c r="A275" s="161" t="s">
        <v>3012</v>
      </c>
      <c r="B275" s="62" t="s">
        <v>1918</v>
      </c>
      <c r="C275" s="39" t="s">
        <v>1939</v>
      </c>
      <c r="D275" s="41" t="s">
        <v>1913</v>
      </c>
      <c r="E275" s="47" t="s">
        <v>1842</v>
      </c>
      <c r="F275" s="39" t="s">
        <v>1841</v>
      </c>
      <c r="G275" s="40" t="s">
        <v>1843</v>
      </c>
      <c r="H275" s="39" t="s">
        <v>3803</v>
      </c>
      <c r="I275" s="139" t="s">
        <v>1940</v>
      </c>
      <c r="J275" s="135" t="s">
        <v>1839</v>
      </c>
      <c r="K275" s="39" t="s">
        <v>1840</v>
      </c>
      <c r="L275" s="135" t="s">
        <v>1838</v>
      </c>
      <c r="M275" s="137" t="s">
        <v>10</v>
      </c>
      <c r="N275" s="218"/>
    </row>
    <row r="276" spans="1:14" ht="30">
      <c r="A276" s="161" t="s">
        <v>3012</v>
      </c>
      <c r="B276" s="62" t="s">
        <v>1924</v>
      </c>
      <c r="C276" s="39" t="s">
        <v>1939</v>
      </c>
      <c r="D276" s="41" t="s">
        <v>1913</v>
      </c>
      <c r="E276" s="47" t="s">
        <v>1847</v>
      </c>
      <c r="F276" s="39" t="s">
        <v>1846</v>
      </c>
      <c r="G276" s="40" t="s">
        <v>1848</v>
      </c>
      <c r="H276" s="39" t="s">
        <v>3804</v>
      </c>
      <c r="I276" s="139" t="s">
        <v>1940</v>
      </c>
      <c r="J276" s="135" t="s">
        <v>1844</v>
      </c>
      <c r="K276" s="39" t="s">
        <v>1845</v>
      </c>
      <c r="L276" s="135" t="s">
        <v>1838</v>
      </c>
      <c r="M276" s="137" t="s">
        <v>10</v>
      </c>
      <c r="N276" s="218"/>
    </row>
    <row r="277" spans="1:14" ht="30">
      <c r="A277" s="161" t="s">
        <v>3012</v>
      </c>
      <c r="B277" s="62" t="s">
        <v>1917</v>
      </c>
      <c r="C277" s="39" t="s">
        <v>1939</v>
      </c>
      <c r="D277" s="41" t="s">
        <v>1913</v>
      </c>
      <c r="E277" s="47" t="s">
        <v>1852</v>
      </c>
      <c r="F277" s="39" t="s">
        <v>1851</v>
      </c>
      <c r="G277" s="40" t="s">
        <v>1853</v>
      </c>
      <c r="H277" s="39" t="s">
        <v>3696</v>
      </c>
      <c r="I277" s="139" t="s">
        <v>1940</v>
      </c>
      <c r="J277" s="135" t="s">
        <v>1849</v>
      </c>
      <c r="K277" s="39" t="s">
        <v>1850</v>
      </c>
      <c r="L277" s="135" t="s">
        <v>1838</v>
      </c>
      <c r="M277" s="137" t="s">
        <v>10</v>
      </c>
      <c r="N277" s="218"/>
    </row>
    <row r="278" spans="1:14">
      <c r="A278" s="161" t="s">
        <v>3012</v>
      </c>
      <c r="B278" s="62" t="s">
        <v>1917</v>
      </c>
      <c r="C278" s="39" t="s">
        <v>1939</v>
      </c>
      <c r="D278" s="41" t="s">
        <v>1913</v>
      </c>
      <c r="E278" s="47" t="s">
        <v>1856</v>
      </c>
      <c r="F278" s="39" t="s">
        <v>1855</v>
      </c>
      <c r="G278" s="40" t="s">
        <v>1857</v>
      </c>
      <c r="H278" s="39" t="s">
        <v>3696</v>
      </c>
      <c r="I278" s="139" t="s">
        <v>1940</v>
      </c>
      <c r="J278" s="135" t="s">
        <v>1849</v>
      </c>
      <c r="K278" s="39" t="s">
        <v>1854</v>
      </c>
      <c r="L278" s="135" t="s">
        <v>1838</v>
      </c>
      <c r="M278" s="137" t="s">
        <v>10</v>
      </c>
      <c r="N278" s="218"/>
    </row>
    <row r="279" spans="1:14" ht="30">
      <c r="A279" s="161" t="s">
        <v>3012</v>
      </c>
      <c r="B279" s="62" t="s">
        <v>1925</v>
      </c>
      <c r="C279" s="39" t="s">
        <v>1939</v>
      </c>
      <c r="D279" s="41" t="s">
        <v>1913</v>
      </c>
      <c r="E279" s="47" t="s">
        <v>1861</v>
      </c>
      <c r="F279" s="39" t="s">
        <v>1860</v>
      </c>
      <c r="G279" s="40" t="s">
        <v>1862</v>
      </c>
      <c r="H279" s="39" t="s">
        <v>3696</v>
      </c>
      <c r="I279" s="139" t="s">
        <v>1940</v>
      </c>
      <c r="J279" s="135" t="s">
        <v>1858</v>
      </c>
      <c r="K279" s="39" t="s">
        <v>1859</v>
      </c>
      <c r="L279" s="135" t="s">
        <v>1838</v>
      </c>
      <c r="M279" s="137" t="s">
        <v>10</v>
      </c>
      <c r="N279" s="218"/>
    </row>
    <row r="280" spans="1:14">
      <c r="A280" s="161" t="s">
        <v>3012</v>
      </c>
      <c r="B280" s="62" t="s">
        <v>1918</v>
      </c>
      <c r="C280" s="39" t="s">
        <v>1939</v>
      </c>
      <c r="D280" s="41" t="s">
        <v>1913</v>
      </c>
      <c r="E280" s="47" t="s">
        <v>1866</v>
      </c>
      <c r="F280" s="39" t="s">
        <v>1865</v>
      </c>
      <c r="G280" s="40" t="s">
        <v>1867</v>
      </c>
      <c r="H280" s="39" t="s">
        <v>3805</v>
      </c>
      <c r="I280" s="139" t="s">
        <v>1940</v>
      </c>
      <c r="J280" s="135" t="s">
        <v>1863</v>
      </c>
      <c r="K280" s="39" t="s">
        <v>1864</v>
      </c>
      <c r="L280" s="135" t="s">
        <v>1838</v>
      </c>
      <c r="M280" s="137" t="s">
        <v>10</v>
      </c>
      <c r="N280" s="218"/>
    </row>
    <row r="281" spans="1:14" ht="30">
      <c r="A281" s="161" t="s">
        <v>3012</v>
      </c>
      <c r="B281" s="62" t="s">
        <v>1925</v>
      </c>
      <c r="C281" s="39" t="s">
        <v>1939</v>
      </c>
      <c r="D281" s="41" t="s">
        <v>1913</v>
      </c>
      <c r="E281" s="47" t="s">
        <v>1871</v>
      </c>
      <c r="F281" s="39" t="s">
        <v>1870</v>
      </c>
      <c r="G281" s="40" t="s">
        <v>1872</v>
      </c>
      <c r="H281" s="39" t="s">
        <v>3806</v>
      </c>
      <c r="I281" s="139" t="s">
        <v>1940</v>
      </c>
      <c r="J281" s="135" t="s">
        <v>1868</v>
      </c>
      <c r="K281" s="39" t="s">
        <v>1869</v>
      </c>
      <c r="L281" s="135" t="s">
        <v>1838</v>
      </c>
      <c r="M281" s="137" t="s">
        <v>10</v>
      </c>
      <c r="N281" s="218"/>
    </row>
    <row r="282" spans="1:14" ht="30">
      <c r="A282" s="161" t="s">
        <v>3012</v>
      </c>
      <c r="B282" s="62" t="s">
        <v>1916</v>
      </c>
      <c r="C282" s="39" t="s">
        <v>1939</v>
      </c>
      <c r="D282" s="41" t="s">
        <v>1913</v>
      </c>
      <c r="E282" s="47" t="s">
        <v>1876</v>
      </c>
      <c r="F282" s="39" t="s">
        <v>1875</v>
      </c>
      <c r="G282" s="40" t="s">
        <v>1877</v>
      </c>
      <c r="H282" s="39" t="s">
        <v>3807</v>
      </c>
      <c r="I282" s="139" t="s">
        <v>1940</v>
      </c>
      <c r="J282" s="135" t="s">
        <v>1873</v>
      </c>
      <c r="K282" s="39" t="s">
        <v>1874</v>
      </c>
      <c r="L282" s="135" t="s">
        <v>1838</v>
      </c>
      <c r="M282" s="137" t="s">
        <v>10</v>
      </c>
      <c r="N282" s="218"/>
    </row>
    <row r="283" spans="1:14" ht="30">
      <c r="A283" s="161" t="s">
        <v>3012</v>
      </c>
      <c r="B283" s="62" t="s">
        <v>1916</v>
      </c>
      <c r="C283" s="39" t="s">
        <v>1939</v>
      </c>
      <c r="D283" s="41" t="s">
        <v>1913</v>
      </c>
      <c r="E283" s="47" t="s">
        <v>1881</v>
      </c>
      <c r="F283" s="39" t="s">
        <v>1880</v>
      </c>
      <c r="G283" s="40" t="s">
        <v>1882</v>
      </c>
      <c r="H283" s="39" t="s">
        <v>3808</v>
      </c>
      <c r="I283" s="139" t="s">
        <v>1940</v>
      </c>
      <c r="J283" s="135" t="s">
        <v>1878</v>
      </c>
      <c r="K283" s="39" t="s">
        <v>1879</v>
      </c>
      <c r="L283" s="135" t="s">
        <v>1838</v>
      </c>
      <c r="M283" s="137" t="s">
        <v>10</v>
      </c>
      <c r="N283" s="218"/>
    </row>
    <row r="284" spans="1:14" ht="30">
      <c r="A284" s="161" t="s">
        <v>3012</v>
      </c>
      <c r="B284" s="62" t="s">
        <v>1926</v>
      </c>
      <c r="C284" s="39" t="s">
        <v>1939</v>
      </c>
      <c r="D284" s="41" t="s">
        <v>1913</v>
      </c>
      <c r="E284" s="47" t="s">
        <v>1886</v>
      </c>
      <c r="F284" s="39" t="s">
        <v>1885</v>
      </c>
      <c r="G284" s="40" t="s">
        <v>1887</v>
      </c>
      <c r="H284" s="39" t="s">
        <v>3809</v>
      </c>
      <c r="I284" s="139" t="s">
        <v>1940</v>
      </c>
      <c r="J284" s="135" t="s">
        <v>1883</v>
      </c>
      <c r="K284" s="39" t="s">
        <v>1884</v>
      </c>
      <c r="L284" s="135" t="s">
        <v>1838</v>
      </c>
      <c r="M284" s="137" t="s">
        <v>10</v>
      </c>
      <c r="N284" s="218"/>
    </row>
    <row r="285" spans="1:14" ht="30">
      <c r="A285" s="161" t="s">
        <v>3012</v>
      </c>
      <c r="B285" s="62" t="s">
        <v>1926</v>
      </c>
      <c r="C285" s="39" t="s">
        <v>1939</v>
      </c>
      <c r="D285" s="41" t="s">
        <v>1913</v>
      </c>
      <c r="E285" s="47" t="s">
        <v>1891</v>
      </c>
      <c r="F285" s="39" t="s">
        <v>1890</v>
      </c>
      <c r="G285" s="40" t="s">
        <v>1892</v>
      </c>
      <c r="H285" s="39" t="s">
        <v>3696</v>
      </c>
      <c r="I285" s="139" t="s">
        <v>1940</v>
      </c>
      <c r="J285" s="135" t="s">
        <v>1888</v>
      </c>
      <c r="K285" s="39" t="s">
        <v>1889</v>
      </c>
      <c r="L285" s="135" t="s">
        <v>1838</v>
      </c>
      <c r="M285" s="137" t="s">
        <v>10</v>
      </c>
      <c r="N285" s="218"/>
    </row>
    <row r="286" spans="1:14" ht="30">
      <c r="A286" s="161" t="s">
        <v>3012</v>
      </c>
      <c r="B286" s="62" t="s">
        <v>1924</v>
      </c>
      <c r="C286" s="39" t="s">
        <v>1939</v>
      </c>
      <c r="D286" s="41" t="s">
        <v>1913</v>
      </c>
      <c r="E286" s="47" t="s">
        <v>1896</v>
      </c>
      <c r="F286" s="39" t="s">
        <v>1895</v>
      </c>
      <c r="G286" s="40" t="s">
        <v>1897</v>
      </c>
      <c r="H286" s="39" t="s">
        <v>3810</v>
      </c>
      <c r="I286" s="139" t="s">
        <v>1940</v>
      </c>
      <c r="J286" s="135" t="s">
        <v>1893</v>
      </c>
      <c r="K286" s="39" t="s">
        <v>1894</v>
      </c>
      <c r="L286" s="135" t="s">
        <v>1838</v>
      </c>
      <c r="M286" s="137" t="s">
        <v>10</v>
      </c>
      <c r="N286" s="218"/>
    </row>
    <row r="287" spans="1:14" ht="30">
      <c r="A287" s="161" t="s">
        <v>3012</v>
      </c>
      <c r="B287" s="62" t="s">
        <v>1910</v>
      </c>
      <c r="C287" s="39" t="s">
        <v>1939</v>
      </c>
      <c r="D287" s="41" t="s">
        <v>1913</v>
      </c>
      <c r="E287" s="47" t="s">
        <v>1900</v>
      </c>
      <c r="F287" s="39" t="s">
        <v>1899</v>
      </c>
      <c r="G287" s="40" t="s">
        <v>1901</v>
      </c>
      <c r="H287" s="39" t="s">
        <v>3811</v>
      </c>
      <c r="I287" s="139" t="s">
        <v>1940</v>
      </c>
      <c r="J287" s="135" t="s">
        <v>1893</v>
      </c>
      <c r="K287" s="39" t="s">
        <v>1898</v>
      </c>
      <c r="L287" s="135" t="s">
        <v>1838</v>
      </c>
      <c r="M287" s="137" t="s">
        <v>10</v>
      </c>
      <c r="N287" s="218"/>
    </row>
    <row r="288" spans="1:14">
      <c r="A288" s="162" t="s">
        <v>3012</v>
      </c>
      <c r="B288" s="63" t="s">
        <v>1921</v>
      </c>
      <c r="C288" s="43" t="s">
        <v>1939</v>
      </c>
      <c r="D288" s="45" t="s">
        <v>1913</v>
      </c>
      <c r="E288" s="48" t="s">
        <v>1904</v>
      </c>
      <c r="F288" s="43" t="s">
        <v>1903</v>
      </c>
      <c r="G288" s="44" t="s">
        <v>1905</v>
      </c>
      <c r="H288" s="39" t="s">
        <v>3811</v>
      </c>
      <c r="I288" s="140" t="s">
        <v>1940</v>
      </c>
      <c r="J288" s="136" t="s">
        <v>1893</v>
      </c>
      <c r="K288" s="43" t="s">
        <v>1902</v>
      </c>
      <c r="L288" s="136" t="s">
        <v>1838</v>
      </c>
      <c r="M288" s="138" t="s">
        <v>10</v>
      </c>
      <c r="N288" s="219"/>
    </row>
    <row r="289" spans="1:14" ht="45" hidden="1">
      <c r="A289" s="162" t="s">
        <v>3013</v>
      </c>
      <c r="B289" s="63" t="s">
        <v>1929</v>
      </c>
      <c r="C289" s="43" t="s">
        <v>1783</v>
      </c>
      <c r="D289" s="45" t="s">
        <v>1911</v>
      </c>
      <c r="E289" s="48" t="s">
        <v>3402</v>
      </c>
      <c r="F289" s="43" t="s">
        <v>3403</v>
      </c>
      <c r="G289" s="44" t="s">
        <v>3404</v>
      </c>
      <c r="H289" s="43"/>
      <c r="I289" s="140" t="s">
        <v>3405</v>
      </c>
      <c r="J289" s="136" t="s">
        <v>3406</v>
      </c>
      <c r="K289" s="43" t="s">
        <v>3407</v>
      </c>
      <c r="L289" s="136" t="s">
        <v>3408</v>
      </c>
      <c r="M289" s="138" t="s">
        <v>2665</v>
      </c>
      <c r="N289" s="115"/>
    </row>
    <row r="290" spans="1:14" ht="30" hidden="1">
      <c r="A290" s="162" t="s">
        <v>3013</v>
      </c>
      <c r="B290" s="63" t="s">
        <v>1920</v>
      </c>
      <c r="C290" s="43" t="s">
        <v>1783</v>
      </c>
      <c r="D290" s="45" t="s">
        <v>1911</v>
      </c>
      <c r="E290" s="48" t="s">
        <v>3409</v>
      </c>
      <c r="F290" s="43" t="s">
        <v>3410</v>
      </c>
      <c r="G290" s="44" t="s">
        <v>3411</v>
      </c>
      <c r="H290" s="43"/>
      <c r="I290" s="140" t="s">
        <v>3412</v>
      </c>
      <c r="J290" s="136" t="s">
        <v>3413</v>
      </c>
      <c r="K290" s="43" t="s">
        <v>3414</v>
      </c>
      <c r="L290" s="136" t="s">
        <v>3415</v>
      </c>
      <c r="M290" s="138" t="s">
        <v>2665</v>
      </c>
      <c r="N290" s="115"/>
    </row>
    <row r="291" spans="1:14" ht="30" hidden="1">
      <c r="A291" s="162" t="s">
        <v>3013</v>
      </c>
      <c r="B291" s="63" t="s">
        <v>1919</v>
      </c>
      <c r="C291" s="43" t="s">
        <v>1783</v>
      </c>
      <c r="D291" s="45" t="s">
        <v>8</v>
      </c>
      <c r="E291" s="48" t="s">
        <v>3416</v>
      </c>
      <c r="F291" s="43" t="s">
        <v>3417</v>
      </c>
      <c r="G291" s="44" t="s">
        <v>3418</v>
      </c>
      <c r="H291" s="43"/>
      <c r="I291" s="140"/>
      <c r="J291" s="136" t="s">
        <v>3419</v>
      </c>
      <c r="K291" s="43" t="s">
        <v>3420</v>
      </c>
      <c r="L291" s="136" t="s">
        <v>3421</v>
      </c>
      <c r="M291" s="138" t="s">
        <v>2665</v>
      </c>
      <c r="N291" s="115"/>
    </row>
    <row r="292" spans="1:14" ht="45">
      <c r="A292" s="162" t="s">
        <v>3012</v>
      </c>
      <c r="B292" s="63" t="s">
        <v>1920</v>
      </c>
      <c r="C292" s="43" t="s">
        <v>1939</v>
      </c>
      <c r="D292" s="45" t="s">
        <v>1913</v>
      </c>
      <c r="E292" s="48" t="s">
        <v>3422</v>
      </c>
      <c r="F292" s="43" t="s">
        <v>3423</v>
      </c>
      <c r="G292" s="44" t="s">
        <v>3424</v>
      </c>
      <c r="H292" s="43" t="s">
        <v>3812</v>
      </c>
      <c r="I292" s="140" t="s">
        <v>3425</v>
      </c>
      <c r="J292" s="136" t="s">
        <v>3426</v>
      </c>
      <c r="K292" s="43" t="s">
        <v>3427</v>
      </c>
      <c r="L292" s="136" t="s">
        <v>3428</v>
      </c>
      <c r="M292" s="138" t="s">
        <v>2665</v>
      </c>
      <c r="N292" s="115"/>
    </row>
  </sheetData>
  <autoFilter ref="A6:M292" xr:uid="{4F6F187A-C144-EF41-838F-8FD30632C19C}">
    <filterColumn colId="0">
      <filters>
        <filter val="要件定義"/>
      </filters>
    </filterColumn>
  </autoFilter>
  <phoneticPr fontId="2"/>
  <conditionalFormatting sqref="B7:M288">
    <cfRule type="expression" dxfId="4" priority="6">
      <formula>$D7="確定"</formula>
    </cfRule>
  </conditionalFormatting>
  <conditionalFormatting sqref="B7:M288">
    <cfRule type="expression" dxfId="3" priority="7">
      <formula>$D7="方向性確定（条件付き）"</formula>
    </cfRule>
  </conditionalFormatting>
  <conditionalFormatting sqref="B7:M288">
    <cfRule type="expression" dxfId="2" priority="8">
      <formula>$D7="検討中"</formula>
    </cfRule>
  </conditionalFormatting>
  <conditionalFormatting sqref="B7:M288">
    <cfRule type="expression" dxfId="1" priority="9">
      <formula>$D7="外部待ち"</formula>
    </cfRule>
  </conditionalFormatting>
  <conditionalFormatting sqref="B7:M288">
    <cfRule type="expression" dxfId="0" priority="10">
      <formula>$D7="対象外"</formula>
    </cfRule>
  </conditionalFormatting>
  <conditionalFormatting sqref="B289:M292">
    <cfRule type="expression" dxfId="57" priority="1">
      <formula>$D289="確定"</formula>
    </cfRule>
  </conditionalFormatting>
  <conditionalFormatting sqref="B289:M292">
    <cfRule type="expression" dxfId="56" priority="2">
      <formula>$D289="方向性確定（条件付き）"</formula>
    </cfRule>
  </conditionalFormatting>
  <conditionalFormatting sqref="B289:M292">
    <cfRule type="expression" dxfId="55" priority="3">
      <formula>$D289="検討中"</formula>
    </cfRule>
  </conditionalFormatting>
  <conditionalFormatting sqref="B289:M292">
    <cfRule type="expression" dxfId="54" priority="4">
      <formula>$D289="外部待ち"</formula>
    </cfRule>
  </conditionalFormatting>
  <conditionalFormatting sqref="B289:M292">
    <cfRule type="expression" dxfId="53" priority="5">
      <formula>$D289="対象外"</formula>
    </cfRule>
  </conditionalFormatting>
  <pageMargins left="0.7" right="0.7" top="0.75" bottom="0.75" header="0.3" footer="0.3"/>
  <pageSetup paperSize="9"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581F7-ECDF-C64A-A7B0-C540D55B3FA1}">
  <dimension ref="A1:E189"/>
  <sheetViews>
    <sheetView zoomScale="161" workbookViewId="0">
      <pane ySplit="4" topLeftCell="A5" activePane="bottomLeft" state="frozen"/>
      <selection pane="bottomLeft" activeCell="C27" sqref="C27"/>
    </sheetView>
  </sheetViews>
  <sheetFormatPr baseColWidth="10" defaultRowHeight="15"/>
  <cols>
    <col min="1" max="1" width="42.85546875" style="66" customWidth="1"/>
    <col min="2" max="2" width="24.28515625" style="66" customWidth="1"/>
    <col min="3" max="3" width="100" style="66" customWidth="1"/>
    <col min="4" max="4" width="18.5703125" style="66" customWidth="1"/>
    <col min="5" max="5" width="40" style="66" customWidth="1"/>
    <col min="6" max="16384" width="10.7109375" style="66"/>
  </cols>
  <sheetData>
    <row r="1" spans="1:5">
      <c r="A1" s="65" t="s">
        <v>1219</v>
      </c>
    </row>
    <row r="2" spans="1:5">
      <c r="A2" s="67" t="s">
        <v>1908</v>
      </c>
    </row>
    <row r="4" spans="1:5" ht="22" customHeight="1">
      <c r="A4" s="36" t="s">
        <v>1973</v>
      </c>
      <c r="B4" s="37" t="s">
        <v>1974</v>
      </c>
      <c r="C4" s="37" t="s">
        <v>1975</v>
      </c>
      <c r="D4" s="37" t="s">
        <v>1976</v>
      </c>
      <c r="E4" s="38" t="s">
        <v>1977</v>
      </c>
    </row>
    <row r="5" spans="1:5">
      <c r="A5" s="127" t="s">
        <v>1978</v>
      </c>
      <c r="B5" s="70" t="s">
        <v>1979</v>
      </c>
      <c r="C5" s="70" t="s">
        <v>1980</v>
      </c>
      <c r="D5" s="130" t="s">
        <v>1981</v>
      </c>
      <c r="E5" s="42" t="s">
        <v>1982</v>
      </c>
    </row>
    <row r="6" spans="1:5">
      <c r="A6" s="127" t="s">
        <v>1983</v>
      </c>
      <c r="B6" s="70" t="s">
        <v>1979</v>
      </c>
      <c r="C6" s="70" t="s">
        <v>1984</v>
      </c>
      <c r="D6" s="130" t="s">
        <v>1985</v>
      </c>
      <c r="E6" s="42" t="s">
        <v>1982</v>
      </c>
    </row>
    <row r="7" spans="1:5">
      <c r="A7" s="127" t="s">
        <v>1986</v>
      </c>
      <c r="B7" s="70" t="s">
        <v>1979</v>
      </c>
      <c r="C7" s="70" t="s">
        <v>1987</v>
      </c>
      <c r="D7" s="130" t="s">
        <v>1988</v>
      </c>
      <c r="E7" s="42" t="s">
        <v>1982</v>
      </c>
    </row>
    <row r="8" spans="1:5">
      <c r="A8" s="127" t="s">
        <v>1989</v>
      </c>
      <c r="B8" s="70" t="s">
        <v>1979</v>
      </c>
      <c r="C8" s="70" t="s">
        <v>1990</v>
      </c>
      <c r="D8" s="130" t="s">
        <v>1991</v>
      </c>
      <c r="E8" s="42" t="s">
        <v>1982</v>
      </c>
    </row>
    <row r="9" spans="1:5">
      <c r="A9" s="127" t="s">
        <v>1992</v>
      </c>
      <c r="B9" s="70" t="s">
        <v>1979</v>
      </c>
      <c r="C9" s="70" t="s">
        <v>1993</v>
      </c>
      <c r="D9" s="130" t="s">
        <v>1994</v>
      </c>
      <c r="E9" s="42" t="s">
        <v>1982</v>
      </c>
    </row>
    <row r="10" spans="1:5">
      <c r="A10" s="127" t="s">
        <v>1995</v>
      </c>
      <c r="B10" s="70" t="s">
        <v>1979</v>
      </c>
      <c r="C10" s="70" t="s">
        <v>1996</v>
      </c>
      <c r="D10" s="130" t="s">
        <v>1997</v>
      </c>
      <c r="E10" s="42" t="s">
        <v>1982</v>
      </c>
    </row>
    <row r="11" spans="1:5">
      <c r="A11" s="127" t="s">
        <v>1998</v>
      </c>
      <c r="B11" s="70" t="s">
        <v>1979</v>
      </c>
      <c r="C11" s="70" t="s">
        <v>1999</v>
      </c>
      <c r="D11" s="130" t="s">
        <v>2000</v>
      </c>
      <c r="E11" s="42" t="s">
        <v>1982</v>
      </c>
    </row>
    <row r="12" spans="1:5">
      <c r="A12" s="127" t="s">
        <v>2001</v>
      </c>
      <c r="B12" s="70" t="s">
        <v>1979</v>
      </c>
      <c r="C12" s="70" t="s">
        <v>2002</v>
      </c>
      <c r="D12" s="130" t="s">
        <v>2003</v>
      </c>
      <c r="E12" s="42" t="s">
        <v>1982</v>
      </c>
    </row>
    <row r="13" spans="1:5">
      <c r="A13" s="127" t="s">
        <v>2004</v>
      </c>
      <c r="B13" s="70" t="s">
        <v>1979</v>
      </c>
      <c r="C13" s="70" t="s">
        <v>2005</v>
      </c>
      <c r="D13" s="130" t="s">
        <v>2006</v>
      </c>
      <c r="E13" s="42" t="s">
        <v>1982</v>
      </c>
    </row>
    <row r="14" spans="1:5">
      <c r="A14" s="127" t="s">
        <v>2007</v>
      </c>
      <c r="B14" s="70" t="s">
        <v>1979</v>
      </c>
      <c r="C14" s="70" t="s">
        <v>2008</v>
      </c>
      <c r="D14" s="130" t="s">
        <v>2009</v>
      </c>
      <c r="E14" s="42" t="s">
        <v>1982</v>
      </c>
    </row>
    <row r="15" spans="1:5">
      <c r="A15" s="127" t="s">
        <v>2010</v>
      </c>
      <c r="B15" s="70" t="s">
        <v>1979</v>
      </c>
      <c r="C15" s="70" t="s">
        <v>2011</v>
      </c>
      <c r="D15" s="130" t="s">
        <v>2012</v>
      </c>
      <c r="E15" s="42" t="s">
        <v>1982</v>
      </c>
    </row>
    <row r="16" spans="1:5">
      <c r="A16" s="127" t="s">
        <v>2013</v>
      </c>
      <c r="B16" s="70" t="s">
        <v>1979</v>
      </c>
      <c r="C16" s="70" t="s">
        <v>2014</v>
      </c>
      <c r="D16" s="130" t="s">
        <v>2015</v>
      </c>
      <c r="E16" s="42" t="s">
        <v>1982</v>
      </c>
    </row>
    <row r="17" spans="1:5">
      <c r="A17" s="127" t="s">
        <v>2016</v>
      </c>
      <c r="B17" s="70" t="s">
        <v>1979</v>
      </c>
      <c r="C17" s="70" t="s">
        <v>2017</v>
      </c>
      <c r="D17" s="130" t="s">
        <v>2018</v>
      </c>
      <c r="E17" s="42" t="s">
        <v>1982</v>
      </c>
    </row>
    <row r="18" spans="1:5">
      <c r="A18" s="127" t="s">
        <v>2019</v>
      </c>
      <c r="B18" s="70" t="s">
        <v>1979</v>
      </c>
      <c r="C18" s="70" t="s">
        <v>2020</v>
      </c>
      <c r="D18" s="130" t="s">
        <v>2021</v>
      </c>
      <c r="E18" s="42" t="s">
        <v>1982</v>
      </c>
    </row>
    <row r="19" spans="1:5">
      <c r="A19" s="127" t="s">
        <v>2022</v>
      </c>
      <c r="B19" s="70" t="s">
        <v>1979</v>
      </c>
      <c r="C19" s="70" t="s">
        <v>2023</v>
      </c>
      <c r="D19" s="130" t="s">
        <v>2024</v>
      </c>
      <c r="E19" s="42" t="s">
        <v>1982</v>
      </c>
    </row>
    <row r="20" spans="1:5">
      <c r="A20" s="127" t="s">
        <v>2025</v>
      </c>
      <c r="B20" s="70" t="s">
        <v>1979</v>
      </c>
      <c r="C20" s="70" t="s">
        <v>2026</v>
      </c>
      <c r="D20" s="130" t="s">
        <v>2027</v>
      </c>
      <c r="E20" s="42" t="s">
        <v>1982</v>
      </c>
    </row>
    <row r="21" spans="1:5">
      <c r="A21" s="127" t="s">
        <v>2028</v>
      </c>
      <c r="B21" s="70" t="s">
        <v>1979</v>
      </c>
      <c r="C21" s="70" t="s">
        <v>2029</v>
      </c>
      <c r="D21" s="130" t="s">
        <v>2030</v>
      </c>
      <c r="E21" s="42" t="s">
        <v>1982</v>
      </c>
    </row>
    <row r="22" spans="1:5">
      <c r="A22" s="127" t="s">
        <v>2031</v>
      </c>
      <c r="B22" s="70" t="s">
        <v>1979</v>
      </c>
      <c r="C22" s="70" t="s">
        <v>2032</v>
      </c>
      <c r="D22" s="130" t="s">
        <v>2033</v>
      </c>
      <c r="E22" s="42" t="s">
        <v>1982</v>
      </c>
    </row>
    <row r="23" spans="1:5">
      <c r="A23" s="127" t="s">
        <v>2034</v>
      </c>
      <c r="B23" s="70" t="s">
        <v>1979</v>
      </c>
      <c r="C23" s="70" t="s">
        <v>2035</v>
      </c>
      <c r="D23" s="130" t="s">
        <v>2036</v>
      </c>
      <c r="E23" s="42" t="s">
        <v>1982</v>
      </c>
    </row>
    <row r="24" spans="1:5">
      <c r="A24" s="127" t="s">
        <v>2037</v>
      </c>
      <c r="B24" s="70" t="s">
        <v>1979</v>
      </c>
      <c r="C24" s="70" t="s">
        <v>2038</v>
      </c>
      <c r="D24" s="130" t="s">
        <v>2039</v>
      </c>
      <c r="E24" s="42" t="s">
        <v>1982</v>
      </c>
    </row>
    <row r="25" spans="1:5">
      <c r="A25" s="127" t="s">
        <v>2040</v>
      </c>
      <c r="B25" s="70" t="s">
        <v>1979</v>
      </c>
      <c r="C25" s="70" t="s">
        <v>2041</v>
      </c>
      <c r="D25" s="130" t="s">
        <v>2042</v>
      </c>
      <c r="E25" s="42" t="s">
        <v>1982</v>
      </c>
    </row>
    <row r="26" spans="1:5">
      <c r="A26" s="127" t="s">
        <v>2043</v>
      </c>
      <c r="B26" s="70" t="s">
        <v>1979</v>
      </c>
      <c r="C26" s="70" t="s">
        <v>2044</v>
      </c>
      <c r="D26" s="130" t="s">
        <v>2045</v>
      </c>
      <c r="E26" s="42" t="s">
        <v>1982</v>
      </c>
    </row>
    <row r="27" spans="1:5">
      <c r="A27" s="127" t="s">
        <v>2046</v>
      </c>
      <c r="B27" s="70" t="s">
        <v>1979</v>
      </c>
      <c r="C27" s="70" t="s">
        <v>2047</v>
      </c>
      <c r="D27" s="130" t="s">
        <v>2048</v>
      </c>
      <c r="E27" s="42" t="s">
        <v>1982</v>
      </c>
    </row>
    <row r="28" spans="1:5">
      <c r="A28" s="127" t="s">
        <v>2049</v>
      </c>
      <c r="B28" s="70" t="s">
        <v>1979</v>
      </c>
      <c r="C28" s="70" t="s">
        <v>2050</v>
      </c>
      <c r="D28" s="130" t="s">
        <v>2051</v>
      </c>
      <c r="E28" s="42" t="s">
        <v>1982</v>
      </c>
    </row>
    <row r="29" spans="1:5">
      <c r="A29" s="127" t="s">
        <v>2052</v>
      </c>
      <c r="B29" s="70" t="s">
        <v>1979</v>
      </c>
      <c r="C29" s="70" t="s">
        <v>2053</v>
      </c>
      <c r="D29" s="130" t="s">
        <v>2054</v>
      </c>
      <c r="E29" s="42" t="s">
        <v>1982</v>
      </c>
    </row>
    <row r="30" spans="1:5">
      <c r="A30" s="127" t="s">
        <v>2055</v>
      </c>
      <c r="B30" s="70" t="s">
        <v>1979</v>
      </c>
      <c r="C30" s="70" t="s">
        <v>2056</v>
      </c>
      <c r="D30" s="130" t="s">
        <v>2057</v>
      </c>
      <c r="E30" s="42" t="s">
        <v>1982</v>
      </c>
    </row>
    <row r="31" spans="1:5">
      <c r="A31" s="127" t="s">
        <v>2058</v>
      </c>
      <c r="B31" s="70" t="s">
        <v>1979</v>
      </c>
      <c r="C31" s="70" t="s">
        <v>2059</v>
      </c>
      <c r="D31" s="130" t="s">
        <v>2060</v>
      </c>
      <c r="E31" s="42" t="s">
        <v>1982</v>
      </c>
    </row>
    <row r="32" spans="1:5">
      <c r="A32" s="127" t="s">
        <v>2061</v>
      </c>
      <c r="B32" s="70" t="s">
        <v>1979</v>
      </c>
      <c r="C32" s="70" t="s">
        <v>2062</v>
      </c>
      <c r="D32" s="130" t="s">
        <v>2063</v>
      </c>
      <c r="E32" s="42" t="s">
        <v>1982</v>
      </c>
    </row>
    <row r="33" spans="1:5">
      <c r="A33" s="127" t="s">
        <v>2064</v>
      </c>
      <c r="B33" s="70" t="s">
        <v>1979</v>
      </c>
      <c r="C33" s="70" t="s">
        <v>2065</v>
      </c>
      <c r="D33" s="130" t="s">
        <v>2066</v>
      </c>
      <c r="E33" s="42" t="s">
        <v>1982</v>
      </c>
    </row>
    <row r="34" spans="1:5">
      <c r="A34" s="127" t="s">
        <v>2067</v>
      </c>
      <c r="B34" s="70" t="s">
        <v>1979</v>
      </c>
      <c r="C34" s="70" t="s">
        <v>2068</v>
      </c>
      <c r="D34" s="130" t="s">
        <v>2069</v>
      </c>
      <c r="E34" s="42" t="s">
        <v>1982</v>
      </c>
    </row>
    <row r="35" spans="1:5">
      <c r="A35" s="127" t="s">
        <v>2070</v>
      </c>
      <c r="B35" s="70" t="s">
        <v>1979</v>
      </c>
      <c r="C35" s="70" t="s">
        <v>2071</v>
      </c>
      <c r="D35" s="130" t="s">
        <v>2072</v>
      </c>
      <c r="E35" s="42" t="s">
        <v>1982</v>
      </c>
    </row>
    <row r="36" spans="1:5">
      <c r="A36" s="127" t="s">
        <v>2073</v>
      </c>
      <c r="B36" s="70" t="s">
        <v>1979</v>
      </c>
      <c r="C36" s="70" t="s">
        <v>2074</v>
      </c>
      <c r="D36" s="130" t="s">
        <v>2075</v>
      </c>
      <c r="E36" s="42" t="s">
        <v>1982</v>
      </c>
    </row>
    <row r="37" spans="1:5">
      <c r="A37" s="127" t="s">
        <v>2076</v>
      </c>
      <c r="B37" s="70" t="s">
        <v>1979</v>
      </c>
      <c r="C37" s="70" t="s">
        <v>2077</v>
      </c>
      <c r="D37" s="130" t="s">
        <v>2078</v>
      </c>
      <c r="E37" s="42" t="s">
        <v>1982</v>
      </c>
    </row>
    <row r="38" spans="1:5">
      <c r="A38" s="127" t="s">
        <v>2079</v>
      </c>
      <c r="B38" s="70" t="s">
        <v>1979</v>
      </c>
      <c r="C38" s="70" t="s">
        <v>2080</v>
      </c>
      <c r="D38" s="130" t="s">
        <v>2081</v>
      </c>
      <c r="E38" s="42" t="s">
        <v>1982</v>
      </c>
    </row>
    <row r="39" spans="1:5">
      <c r="A39" s="127" t="s">
        <v>2082</v>
      </c>
      <c r="B39" s="70" t="s">
        <v>1979</v>
      </c>
      <c r="C39" s="70" t="s">
        <v>2083</v>
      </c>
      <c r="D39" s="130" t="s">
        <v>2084</v>
      </c>
      <c r="E39" s="42" t="s">
        <v>1982</v>
      </c>
    </row>
    <row r="40" spans="1:5">
      <c r="A40" s="127" t="s">
        <v>2085</v>
      </c>
      <c r="B40" s="70" t="s">
        <v>1979</v>
      </c>
      <c r="C40" s="70" t="s">
        <v>2086</v>
      </c>
      <c r="D40" s="130" t="s">
        <v>2087</v>
      </c>
      <c r="E40" s="42" t="s">
        <v>1982</v>
      </c>
    </row>
    <row r="41" spans="1:5">
      <c r="A41" s="127" t="s">
        <v>2088</v>
      </c>
      <c r="B41" s="70" t="s">
        <v>1979</v>
      </c>
      <c r="C41" s="70" t="s">
        <v>2089</v>
      </c>
      <c r="D41" s="130" t="s">
        <v>2090</v>
      </c>
      <c r="E41" s="42" t="s">
        <v>1982</v>
      </c>
    </row>
    <row r="42" spans="1:5">
      <c r="A42" s="127" t="s">
        <v>2091</v>
      </c>
      <c r="B42" s="70" t="s">
        <v>2092</v>
      </c>
      <c r="C42" s="70" t="s">
        <v>2093</v>
      </c>
      <c r="D42" s="130" t="s">
        <v>2094</v>
      </c>
      <c r="E42" s="42" t="s">
        <v>2095</v>
      </c>
    </row>
    <row r="43" spans="1:5">
      <c r="A43" s="127" t="s">
        <v>2096</v>
      </c>
      <c r="B43" s="70" t="s">
        <v>2092</v>
      </c>
      <c r="C43" s="70" t="s">
        <v>2097</v>
      </c>
      <c r="D43" s="130" t="s">
        <v>2098</v>
      </c>
      <c r="E43" s="42" t="s">
        <v>2095</v>
      </c>
    </row>
    <row r="44" spans="1:5">
      <c r="A44" s="127" t="s">
        <v>2099</v>
      </c>
      <c r="B44" s="70" t="s">
        <v>2092</v>
      </c>
      <c r="C44" s="70" t="s">
        <v>2100</v>
      </c>
      <c r="D44" s="130" t="s">
        <v>2101</v>
      </c>
      <c r="E44" s="42" t="s">
        <v>2095</v>
      </c>
    </row>
    <row r="45" spans="1:5">
      <c r="A45" s="127" t="s">
        <v>2102</v>
      </c>
      <c r="B45" s="70" t="s">
        <v>2092</v>
      </c>
      <c r="C45" s="70" t="s">
        <v>2103</v>
      </c>
      <c r="D45" s="130" t="s">
        <v>2104</v>
      </c>
      <c r="E45" s="42" t="s">
        <v>2105</v>
      </c>
    </row>
    <row r="46" spans="1:5">
      <c r="A46" s="127" t="s">
        <v>2106</v>
      </c>
      <c r="B46" s="70" t="s">
        <v>2092</v>
      </c>
      <c r="C46" s="70" t="s">
        <v>2107</v>
      </c>
      <c r="D46" s="130" t="s">
        <v>2108</v>
      </c>
      <c r="E46" s="42" t="s">
        <v>2105</v>
      </c>
    </row>
    <row r="47" spans="1:5">
      <c r="A47" s="127" t="s">
        <v>2109</v>
      </c>
      <c r="B47" s="70" t="s">
        <v>2092</v>
      </c>
      <c r="C47" s="70" t="s">
        <v>2110</v>
      </c>
      <c r="D47" s="130" t="s">
        <v>2111</v>
      </c>
      <c r="E47" s="42" t="s">
        <v>2105</v>
      </c>
    </row>
    <row r="48" spans="1:5">
      <c r="A48" s="127" t="s">
        <v>2112</v>
      </c>
      <c r="B48" s="70" t="s">
        <v>2092</v>
      </c>
      <c r="C48" s="70" t="s">
        <v>2113</v>
      </c>
      <c r="D48" s="130" t="s">
        <v>2114</v>
      </c>
      <c r="E48" s="42" t="s">
        <v>2115</v>
      </c>
    </row>
    <row r="49" spans="1:5">
      <c r="A49" s="127" t="s">
        <v>2116</v>
      </c>
      <c r="B49" s="70" t="s">
        <v>2092</v>
      </c>
      <c r="C49" s="70" t="s">
        <v>2117</v>
      </c>
      <c r="D49" s="130" t="s">
        <v>2118</v>
      </c>
      <c r="E49" s="42" t="s">
        <v>2115</v>
      </c>
    </row>
    <row r="50" spans="1:5">
      <c r="A50" s="127" t="s">
        <v>2119</v>
      </c>
      <c r="B50" s="70" t="s">
        <v>2092</v>
      </c>
      <c r="C50" s="70" t="s">
        <v>2120</v>
      </c>
      <c r="D50" s="130" t="s">
        <v>2121</v>
      </c>
      <c r="E50" s="42" t="s">
        <v>2122</v>
      </c>
    </row>
    <row r="51" spans="1:5">
      <c r="A51" s="127" t="s">
        <v>2123</v>
      </c>
      <c r="B51" s="70" t="s">
        <v>2092</v>
      </c>
      <c r="C51" s="70" t="s">
        <v>2124</v>
      </c>
      <c r="D51" s="130" t="s">
        <v>2125</v>
      </c>
      <c r="E51" s="42" t="s">
        <v>2122</v>
      </c>
    </row>
    <row r="52" spans="1:5">
      <c r="A52" s="127" t="s">
        <v>2126</v>
      </c>
      <c r="B52" s="70" t="s">
        <v>2092</v>
      </c>
      <c r="C52" s="70" t="s">
        <v>2127</v>
      </c>
      <c r="D52" s="130" t="s">
        <v>2128</v>
      </c>
      <c r="E52" s="42" t="s">
        <v>2129</v>
      </c>
    </row>
    <row r="53" spans="1:5">
      <c r="A53" s="127" t="s">
        <v>2130</v>
      </c>
      <c r="B53" s="70" t="s">
        <v>2092</v>
      </c>
      <c r="C53" s="70" t="s">
        <v>2131</v>
      </c>
      <c r="D53" s="130" t="s">
        <v>2132</v>
      </c>
      <c r="E53" s="42" t="s">
        <v>2122</v>
      </c>
    </row>
    <row r="54" spans="1:5">
      <c r="A54" s="127" t="s">
        <v>2133</v>
      </c>
      <c r="B54" s="70" t="s">
        <v>2092</v>
      </c>
      <c r="C54" s="70" t="s">
        <v>2134</v>
      </c>
      <c r="D54" s="130" t="s">
        <v>2135</v>
      </c>
      <c r="E54" s="42" t="s">
        <v>2136</v>
      </c>
    </row>
    <row r="55" spans="1:5">
      <c r="A55" s="127" t="s">
        <v>2137</v>
      </c>
      <c r="B55" s="70" t="s">
        <v>2092</v>
      </c>
      <c r="C55" s="70" t="s">
        <v>2138</v>
      </c>
      <c r="D55" s="130" t="s">
        <v>2139</v>
      </c>
      <c r="E55" s="42" t="s">
        <v>2140</v>
      </c>
    </row>
    <row r="56" spans="1:5">
      <c r="A56" s="127" t="s">
        <v>2141</v>
      </c>
      <c r="B56" s="70" t="s">
        <v>2092</v>
      </c>
      <c r="C56" s="70" t="s">
        <v>2142</v>
      </c>
      <c r="D56" s="130" t="s">
        <v>2143</v>
      </c>
      <c r="E56" s="42" t="s">
        <v>2140</v>
      </c>
    </row>
    <row r="57" spans="1:5">
      <c r="A57" s="127" t="s">
        <v>2144</v>
      </c>
      <c r="B57" s="70" t="s">
        <v>2092</v>
      </c>
      <c r="C57" s="70" t="s">
        <v>2145</v>
      </c>
      <c r="D57" s="130" t="s">
        <v>2146</v>
      </c>
      <c r="E57" s="42" t="s">
        <v>2140</v>
      </c>
    </row>
    <row r="58" spans="1:5">
      <c r="A58" s="127" t="s">
        <v>2147</v>
      </c>
      <c r="B58" s="70" t="s">
        <v>2092</v>
      </c>
      <c r="C58" s="70" t="s">
        <v>2148</v>
      </c>
      <c r="D58" s="130" t="s">
        <v>2149</v>
      </c>
      <c r="E58" s="42" t="s">
        <v>2140</v>
      </c>
    </row>
    <row r="59" spans="1:5">
      <c r="A59" s="127" t="s">
        <v>2150</v>
      </c>
      <c r="B59" s="70" t="s">
        <v>2151</v>
      </c>
      <c r="C59" s="70" t="s">
        <v>2152</v>
      </c>
      <c r="D59" s="130" t="s">
        <v>2153</v>
      </c>
      <c r="E59" s="42" t="s">
        <v>2154</v>
      </c>
    </row>
    <row r="60" spans="1:5">
      <c r="A60" s="127" t="s">
        <v>2155</v>
      </c>
      <c r="B60" s="70" t="s">
        <v>2151</v>
      </c>
      <c r="C60" s="70" t="s">
        <v>2156</v>
      </c>
      <c r="D60" s="130" t="s">
        <v>2157</v>
      </c>
      <c r="E60" s="42" t="s">
        <v>2154</v>
      </c>
    </row>
    <row r="61" spans="1:5">
      <c r="A61" s="127" t="s">
        <v>2158</v>
      </c>
      <c r="B61" s="70" t="s">
        <v>2151</v>
      </c>
      <c r="C61" s="70" t="s">
        <v>2159</v>
      </c>
      <c r="D61" s="130" t="s">
        <v>2160</v>
      </c>
      <c r="E61" s="42" t="s">
        <v>2154</v>
      </c>
    </row>
    <row r="62" spans="1:5">
      <c r="A62" s="127" t="s">
        <v>2161</v>
      </c>
      <c r="B62" s="70" t="s">
        <v>2151</v>
      </c>
      <c r="C62" s="70" t="s">
        <v>2162</v>
      </c>
      <c r="D62" s="130" t="s">
        <v>2163</v>
      </c>
      <c r="E62" s="42" t="s">
        <v>2154</v>
      </c>
    </row>
    <row r="63" spans="1:5">
      <c r="A63" s="127" t="s">
        <v>2164</v>
      </c>
      <c r="B63" s="70" t="s">
        <v>2151</v>
      </c>
      <c r="C63" s="70" t="s">
        <v>2165</v>
      </c>
      <c r="D63" s="130" t="s">
        <v>2166</v>
      </c>
      <c r="E63" s="42" t="s">
        <v>2154</v>
      </c>
    </row>
    <row r="64" spans="1:5">
      <c r="A64" s="127" t="s">
        <v>2167</v>
      </c>
      <c r="B64" s="70" t="s">
        <v>2151</v>
      </c>
      <c r="C64" s="70" t="s">
        <v>2168</v>
      </c>
      <c r="D64" s="130" t="s">
        <v>2169</v>
      </c>
      <c r="E64" s="42" t="s">
        <v>2154</v>
      </c>
    </row>
    <row r="65" spans="1:5">
      <c r="A65" s="127" t="s">
        <v>2170</v>
      </c>
      <c r="B65" s="70" t="s">
        <v>2151</v>
      </c>
      <c r="C65" s="70" t="s">
        <v>2171</v>
      </c>
      <c r="D65" s="130" t="s">
        <v>2172</v>
      </c>
      <c r="E65" s="42" t="s">
        <v>2154</v>
      </c>
    </row>
    <row r="66" spans="1:5">
      <c r="A66" s="127" t="s">
        <v>2173</v>
      </c>
      <c r="B66" s="70" t="s">
        <v>2151</v>
      </c>
      <c r="C66" s="70" t="s">
        <v>2174</v>
      </c>
      <c r="D66" s="130" t="s">
        <v>2175</v>
      </c>
      <c r="E66" s="42" t="s">
        <v>2154</v>
      </c>
    </row>
    <row r="67" spans="1:5">
      <c r="A67" s="127" t="s">
        <v>2176</v>
      </c>
      <c r="B67" s="70" t="s">
        <v>2151</v>
      </c>
      <c r="C67" s="70" t="s">
        <v>2177</v>
      </c>
      <c r="D67" s="130" t="s">
        <v>2178</v>
      </c>
      <c r="E67" s="42" t="s">
        <v>2154</v>
      </c>
    </row>
    <row r="68" spans="1:5">
      <c r="A68" s="127" t="s">
        <v>2179</v>
      </c>
      <c r="B68" s="70" t="s">
        <v>2151</v>
      </c>
      <c r="C68" s="70" t="s">
        <v>2180</v>
      </c>
      <c r="D68" s="130" t="s">
        <v>2181</v>
      </c>
      <c r="E68" s="42" t="s">
        <v>2154</v>
      </c>
    </row>
    <row r="69" spans="1:5">
      <c r="A69" s="127" t="s">
        <v>2182</v>
      </c>
      <c r="B69" s="70" t="s">
        <v>2151</v>
      </c>
      <c r="C69" s="70" t="s">
        <v>2183</v>
      </c>
      <c r="D69" s="130" t="s">
        <v>2184</v>
      </c>
      <c r="E69" s="42" t="s">
        <v>2154</v>
      </c>
    </row>
    <row r="70" spans="1:5">
      <c r="A70" s="127" t="s">
        <v>2185</v>
      </c>
      <c r="B70" s="70" t="s">
        <v>2151</v>
      </c>
      <c r="C70" s="70" t="s">
        <v>2186</v>
      </c>
      <c r="D70" s="130" t="s">
        <v>2187</v>
      </c>
      <c r="E70" s="42" t="s">
        <v>2154</v>
      </c>
    </row>
    <row r="71" spans="1:5">
      <c r="A71" s="127" t="s">
        <v>2188</v>
      </c>
      <c r="B71" s="70" t="s">
        <v>2151</v>
      </c>
      <c r="C71" s="70" t="s">
        <v>2189</v>
      </c>
      <c r="D71" s="130" t="s">
        <v>2190</v>
      </c>
      <c r="E71" s="42" t="s">
        <v>2154</v>
      </c>
    </row>
    <row r="72" spans="1:5">
      <c r="A72" s="127" t="s">
        <v>2191</v>
      </c>
      <c r="B72" s="70" t="s">
        <v>2151</v>
      </c>
      <c r="C72" s="70" t="s">
        <v>2192</v>
      </c>
      <c r="D72" s="130" t="s">
        <v>2193</v>
      </c>
      <c r="E72" s="42" t="s">
        <v>2154</v>
      </c>
    </row>
    <row r="73" spans="1:5">
      <c r="A73" s="127" t="s">
        <v>2194</v>
      </c>
      <c r="B73" s="70" t="s">
        <v>2151</v>
      </c>
      <c r="C73" s="70" t="s">
        <v>2195</v>
      </c>
      <c r="D73" s="130" t="s">
        <v>2196</v>
      </c>
      <c r="E73" s="42" t="s">
        <v>2154</v>
      </c>
    </row>
    <row r="74" spans="1:5">
      <c r="A74" s="127" t="s">
        <v>2197</v>
      </c>
      <c r="B74" s="70" t="s">
        <v>2151</v>
      </c>
      <c r="C74" s="70" t="s">
        <v>2198</v>
      </c>
      <c r="D74" s="130" t="s">
        <v>2199</v>
      </c>
      <c r="E74" s="42" t="s">
        <v>2154</v>
      </c>
    </row>
    <row r="75" spans="1:5">
      <c r="A75" s="127" t="s">
        <v>2200</v>
      </c>
      <c r="B75" s="70" t="s">
        <v>2151</v>
      </c>
      <c r="C75" s="70" t="s">
        <v>2201</v>
      </c>
      <c r="D75" s="130" t="s">
        <v>2202</v>
      </c>
      <c r="E75" s="42" t="s">
        <v>2154</v>
      </c>
    </row>
    <row r="76" spans="1:5">
      <c r="A76" s="127" t="s">
        <v>2203</v>
      </c>
      <c r="B76" s="70" t="s">
        <v>2151</v>
      </c>
      <c r="C76" s="70" t="s">
        <v>2204</v>
      </c>
      <c r="D76" s="130" t="s">
        <v>2205</v>
      </c>
      <c r="E76" s="42" t="s">
        <v>2154</v>
      </c>
    </row>
    <row r="77" spans="1:5">
      <c r="A77" s="127" t="s">
        <v>2206</v>
      </c>
      <c r="B77" s="70" t="s">
        <v>2151</v>
      </c>
      <c r="C77" s="70" t="s">
        <v>2207</v>
      </c>
      <c r="D77" s="130" t="s">
        <v>2208</v>
      </c>
      <c r="E77" s="42" t="s">
        <v>2154</v>
      </c>
    </row>
    <row r="78" spans="1:5">
      <c r="A78" s="127" t="s">
        <v>2209</v>
      </c>
      <c r="B78" s="70" t="s">
        <v>2151</v>
      </c>
      <c r="C78" s="70" t="s">
        <v>2210</v>
      </c>
      <c r="D78" s="130" t="s">
        <v>2211</v>
      </c>
      <c r="E78" s="42" t="s">
        <v>2154</v>
      </c>
    </row>
    <row r="79" spans="1:5">
      <c r="A79" s="127" t="s">
        <v>1795</v>
      </c>
      <c r="B79" s="70" t="s">
        <v>2151</v>
      </c>
      <c r="C79" s="70" t="s">
        <v>1796</v>
      </c>
      <c r="D79" s="130" t="s">
        <v>2212</v>
      </c>
      <c r="E79" s="42" t="s">
        <v>2154</v>
      </c>
    </row>
    <row r="80" spans="1:5">
      <c r="A80" s="127" t="s">
        <v>2213</v>
      </c>
      <c r="B80" s="70" t="s">
        <v>2151</v>
      </c>
      <c r="C80" s="70" t="s">
        <v>2214</v>
      </c>
      <c r="D80" s="130" t="s">
        <v>2215</v>
      </c>
      <c r="E80" s="42" t="s">
        <v>2154</v>
      </c>
    </row>
    <row r="81" spans="1:5">
      <c r="A81" s="127" t="s">
        <v>2216</v>
      </c>
      <c r="B81" s="70" t="s">
        <v>2151</v>
      </c>
      <c r="C81" s="70" t="s">
        <v>2217</v>
      </c>
      <c r="D81" s="130" t="s">
        <v>2218</v>
      </c>
      <c r="E81" s="42" t="s">
        <v>2154</v>
      </c>
    </row>
    <row r="82" spans="1:5">
      <c r="A82" s="127" t="s">
        <v>2219</v>
      </c>
      <c r="B82" s="70" t="s">
        <v>2151</v>
      </c>
      <c r="C82" s="70" t="s">
        <v>2220</v>
      </c>
      <c r="D82" s="130" t="s">
        <v>2221</v>
      </c>
      <c r="E82" s="42" t="s">
        <v>2154</v>
      </c>
    </row>
    <row r="83" spans="1:5">
      <c r="A83" s="127" t="s">
        <v>2222</v>
      </c>
      <c r="B83" s="70" t="s">
        <v>2151</v>
      </c>
      <c r="C83" s="70" t="s">
        <v>2223</v>
      </c>
      <c r="D83" s="130" t="s">
        <v>2224</v>
      </c>
      <c r="E83" s="42" t="s">
        <v>2154</v>
      </c>
    </row>
    <row r="84" spans="1:5">
      <c r="A84" s="128" t="s">
        <v>2225</v>
      </c>
      <c r="B84" s="74" t="s">
        <v>2151</v>
      </c>
      <c r="C84" s="74" t="s">
        <v>2226</v>
      </c>
      <c r="D84" s="131" t="s">
        <v>2227</v>
      </c>
      <c r="E84" s="46" t="s">
        <v>2154</v>
      </c>
    </row>
    <row r="85" spans="1:5">
      <c r="A85" s="129" t="s">
        <v>2228</v>
      </c>
      <c r="B85" s="66" t="s">
        <v>2229</v>
      </c>
      <c r="C85" s="66" t="s">
        <v>2230</v>
      </c>
      <c r="D85" s="132" t="s">
        <v>2231</v>
      </c>
      <c r="E85" s="133" t="s">
        <v>2232</v>
      </c>
    </row>
    <row r="86" spans="1:5">
      <c r="A86" s="129" t="s">
        <v>2233</v>
      </c>
      <c r="B86" s="66" t="s">
        <v>2229</v>
      </c>
      <c r="C86" s="66" t="s">
        <v>2234</v>
      </c>
      <c r="D86" s="132" t="s">
        <v>2235</v>
      </c>
      <c r="E86" s="133" t="s">
        <v>2236</v>
      </c>
    </row>
    <row r="87" spans="1:5">
      <c r="A87" s="129" t="s">
        <v>2237</v>
      </c>
      <c r="B87" s="66" t="s">
        <v>2229</v>
      </c>
      <c r="C87" s="66" t="s">
        <v>2238</v>
      </c>
      <c r="D87" s="132" t="s">
        <v>1412</v>
      </c>
      <c r="E87" s="133" t="s">
        <v>2239</v>
      </c>
    </row>
    <row r="88" spans="1:5">
      <c r="A88" s="129" t="s">
        <v>2240</v>
      </c>
      <c r="B88" s="66" t="s">
        <v>2229</v>
      </c>
      <c r="C88" s="66" t="s">
        <v>2241</v>
      </c>
      <c r="D88" s="132" t="s">
        <v>1422</v>
      </c>
      <c r="E88" s="133" t="s">
        <v>2242</v>
      </c>
    </row>
    <row r="89" spans="1:5">
      <c r="A89" s="129" t="s">
        <v>2243</v>
      </c>
      <c r="B89" s="66" t="s">
        <v>2229</v>
      </c>
      <c r="C89" s="66" t="s">
        <v>2244</v>
      </c>
      <c r="D89" s="132" t="s">
        <v>2245</v>
      </c>
      <c r="E89" s="133" t="s">
        <v>2246</v>
      </c>
    </row>
    <row r="90" spans="1:5">
      <c r="A90" s="129" t="s">
        <v>2247</v>
      </c>
      <c r="B90" s="66" t="s">
        <v>2229</v>
      </c>
      <c r="C90" s="66" t="s">
        <v>2248</v>
      </c>
      <c r="D90" s="132" t="s">
        <v>1406</v>
      </c>
      <c r="E90" s="133" t="s">
        <v>2249</v>
      </c>
    </row>
    <row r="91" spans="1:5">
      <c r="A91" s="129" t="s">
        <v>2250</v>
      </c>
      <c r="B91" s="66" t="s">
        <v>2229</v>
      </c>
      <c r="C91" s="66" t="s">
        <v>2251</v>
      </c>
      <c r="D91" s="132" t="s">
        <v>2252</v>
      </c>
      <c r="E91" s="133" t="s">
        <v>2253</v>
      </c>
    </row>
    <row r="92" spans="1:5">
      <c r="A92" s="129" t="s">
        <v>2254</v>
      </c>
      <c r="B92" s="66" t="s">
        <v>2229</v>
      </c>
      <c r="C92" s="66" t="s">
        <v>2255</v>
      </c>
      <c r="D92" s="132" t="s">
        <v>2256</v>
      </c>
      <c r="E92" s="133" t="s">
        <v>2257</v>
      </c>
    </row>
    <row r="93" spans="1:5">
      <c r="A93" s="129" t="s">
        <v>2258</v>
      </c>
      <c r="B93" s="66" t="s">
        <v>2229</v>
      </c>
      <c r="C93" s="66" t="s">
        <v>2259</v>
      </c>
      <c r="D93" s="132" t="s">
        <v>2260</v>
      </c>
      <c r="E93" s="133" t="s">
        <v>2261</v>
      </c>
    </row>
    <row r="94" spans="1:5">
      <c r="A94" s="129" t="s">
        <v>2262</v>
      </c>
      <c r="B94" s="66" t="s">
        <v>2229</v>
      </c>
      <c r="C94" s="66" t="s">
        <v>2263</v>
      </c>
      <c r="D94" s="132" t="s">
        <v>2264</v>
      </c>
      <c r="E94" s="133" t="s">
        <v>2265</v>
      </c>
    </row>
    <row r="95" spans="1:5">
      <c r="A95" s="129" t="s">
        <v>2266</v>
      </c>
      <c r="B95" s="66" t="s">
        <v>2229</v>
      </c>
      <c r="C95" s="66" t="s">
        <v>2267</v>
      </c>
      <c r="D95" s="132" t="s">
        <v>1432</v>
      </c>
      <c r="E95" s="133" t="s">
        <v>2268</v>
      </c>
    </row>
    <row r="96" spans="1:5">
      <c r="A96" s="129" t="s">
        <v>2269</v>
      </c>
      <c r="B96" s="66" t="s">
        <v>2229</v>
      </c>
      <c r="C96" s="66" t="s">
        <v>2270</v>
      </c>
      <c r="D96" s="132" t="s">
        <v>1430</v>
      </c>
      <c r="E96" s="133" t="s">
        <v>2271</v>
      </c>
    </row>
    <row r="97" spans="1:5">
      <c r="A97" s="129" t="s">
        <v>2272</v>
      </c>
      <c r="B97" s="66" t="s">
        <v>2273</v>
      </c>
      <c r="C97" s="66" t="s">
        <v>2274</v>
      </c>
      <c r="D97" s="132" t="s">
        <v>2275</v>
      </c>
      <c r="E97" s="133" t="s">
        <v>2276</v>
      </c>
    </row>
    <row r="98" spans="1:5">
      <c r="A98" s="129" t="s">
        <v>2277</v>
      </c>
      <c r="B98" s="66" t="s">
        <v>2273</v>
      </c>
      <c r="C98" s="66" t="s">
        <v>2278</v>
      </c>
      <c r="D98" s="132" t="s">
        <v>2279</v>
      </c>
      <c r="E98" s="133" t="s">
        <v>2280</v>
      </c>
    </row>
    <row r="99" spans="1:5">
      <c r="A99" s="129" t="s">
        <v>2281</v>
      </c>
      <c r="B99" s="66" t="s">
        <v>2273</v>
      </c>
      <c r="C99" s="66" t="s">
        <v>2282</v>
      </c>
      <c r="D99" s="132" t="s">
        <v>2283</v>
      </c>
      <c r="E99" s="133" t="s">
        <v>2284</v>
      </c>
    </row>
    <row r="100" spans="1:5">
      <c r="A100" s="129" t="s">
        <v>2285</v>
      </c>
      <c r="B100" s="66" t="s">
        <v>2273</v>
      </c>
      <c r="C100" s="66" t="s">
        <v>2286</v>
      </c>
      <c r="D100" s="132" t="s">
        <v>2287</v>
      </c>
      <c r="E100" s="133" t="s">
        <v>2288</v>
      </c>
    </row>
    <row r="101" spans="1:5">
      <c r="A101" s="129" t="s">
        <v>2289</v>
      </c>
      <c r="B101" s="66" t="s">
        <v>2273</v>
      </c>
      <c r="C101" s="66" t="s">
        <v>2290</v>
      </c>
      <c r="D101" s="132" t="s">
        <v>1467</v>
      </c>
      <c r="E101" s="133" t="s">
        <v>2291</v>
      </c>
    </row>
    <row r="102" spans="1:5">
      <c r="A102" s="129" t="s">
        <v>2292</v>
      </c>
      <c r="B102" s="66" t="s">
        <v>2273</v>
      </c>
      <c r="C102" s="66" t="s">
        <v>2293</v>
      </c>
      <c r="D102" s="132" t="s">
        <v>2294</v>
      </c>
      <c r="E102" s="133" t="s">
        <v>2295</v>
      </c>
    </row>
    <row r="103" spans="1:5">
      <c r="A103" s="129" t="s">
        <v>2296</v>
      </c>
      <c r="B103" s="66" t="s">
        <v>2273</v>
      </c>
      <c r="C103" s="66" t="s">
        <v>2297</v>
      </c>
      <c r="D103" s="132" t="s">
        <v>2298</v>
      </c>
      <c r="E103" s="133" t="s">
        <v>2299</v>
      </c>
    </row>
    <row r="104" spans="1:5">
      <c r="A104" s="129" t="s">
        <v>2300</v>
      </c>
      <c r="B104" s="66" t="s">
        <v>2273</v>
      </c>
      <c r="C104" s="66" t="s">
        <v>2301</v>
      </c>
      <c r="D104" s="132" t="s">
        <v>2302</v>
      </c>
      <c r="E104" s="133" t="s">
        <v>2303</v>
      </c>
    </row>
    <row r="105" spans="1:5">
      <c r="A105" s="129" t="s">
        <v>2304</v>
      </c>
      <c r="B105" s="66" t="s">
        <v>2273</v>
      </c>
      <c r="C105" s="66" t="s">
        <v>2305</v>
      </c>
      <c r="D105" s="132" t="s">
        <v>2306</v>
      </c>
      <c r="E105" s="133" t="s">
        <v>2307</v>
      </c>
    </row>
    <row r="106" spans="1:5">
      <c r="A106" s="129" t="s">
        <v>2308</v>
      </c>
      <c r="B106" s="66" t="s">
        <v>2273</v>
      </c>
      <c r="C106" s="66" t="s">
        <v>2309</v>
      </c>
      <c r="D106" s="132" t="s">
        <v>2310</v>
      </c>
      <c r="E106" s="133" t="s">
        <v>2311</v>
      </c>
    </row>
    <row r="107" spans="1:5">
      <c r="A107" s="129" t="s">
        <v>2312</v>
      </c>
      <c r="B107" s="66" t="s">
        <v>2273</v>
      </c>
      <c r="C107" s="66" t="s">
        <v>2313</v>
      </c>
      <c r="D107" s="132" t="s">
        <v>2314</v>
      </c>
      <c r="E107" s="133" t="s">
        <v>2315</v>
      </c>
    </row>
    <row r="108" spans="1:5">
      <c r="A108" s="129" t="s">
        <v>2316</v>
      </c>
      <c r="B108" s="66" t="s">
        <v>2273</v>
      </c>
      <c r="C108" s="66" t="s">
        <v>2317</v>
      </c>
      <c r="D108" s="132" t="s">
        <v>2318</v>
      </c>
      <c r="E108" s="133" t="s">
        <v>2319</v>
      </c>
    </row>
    <row r="109" spans="1:5">
      <c r="A109" s="129" t="s">
        <v>2320</v>
      </c>
      <c r="B109" s="66" t="s">
        <v>2273</v>
      </c>
      <c r="C109" s="66" t="s">
        <v>2321</v>
      </c>
      <c r="D109" s="132" t="s">
        <v>2322</v>
      </c>
      <c r="E109" s="133" t="s">
        <v>2323</v>
      </c>
    </row>
    <row r="110" spans="1:5">
      <c r="A110" s="129" t="s">
        <v>2324</v>
      </c>
      <c r="B110" s="66" t="s">
        <v>2273</v>
      </c>
      <c r="C110" s="66" t="s">
        <v>2325</v>
      </c>
      <c r="D110" s="132" t="s">
        <v>1472</v>
      </c>
      <c r="E110" s="133" t="s">
        <v>2326</v>
      </c>
    </row>
    <row r="111" spans="1:5">
      <c r="A111" s="129" t="s">
        <v>2327</v>
      </c>
      <c r="B111" s="66" t="s">
        <v>2273</v>
      </c>
      <c r="C111" s="66" t="s">
        <v>2328</v>
      </c>
      <c r="D111" s="132" t="s">
        <v>1457</v>
      </c>
      <c r="E111" s="133" t="s">
        <v>2329</v>
      </c>
    </row>
    <row r="112" spans="1:5">
      <c r="A112" s="129" t="s">
        <v>2330</v>
      </c>
      <c r="B112" s="66" t="s">
        <v>2273</v>
      </c>
      <c r="C112" s="66" t="s">
        <v>2331</v>
      </c>
      <c r="D112" s="132" t="s">
        <v>1445</v>
      </c>
      <c r="E112" s="133" t="s">
        <v>2332</v>
      </c>
    </row>
    <row r="113" spans="1:5">
      <c r="A113" s="129" t="s">
        <v>2333</v>
      </c>
      <c r="B113" s="66" t="s">
        <v>2273</v>
      </c>
      <c r="C113" s="66" t="s">
        <v>2334</v>
      </c>
      <c r="D113" s="132" t="s">
        <v>2335</v>
      </c>
      <c r="E113" s="133" t="s">
        <v>2336</v>
      </c>
    </row>
    <row r="114" spans="1:5">
      <c r="A114" s="129" t="s">
        <v>2337</v>
      </c>
      <c r="B114" s="66" t="s">
        <v>2273</v>
      </c>
      <c r="C114" s="66" t="s">
        <v>2338</v>
      </c>
      <c r="D114" s="132" t="s">
        <v>1463</v>
      </c>
      <c r="E114" s="133" t="s">
        <v>2339</v>
      </c>
    </row>
    <row r="115" spans="1:5">
      <c r="A115" s="129" t="s">
        <v>2340</v>
      </c>
      <c r="B115" s="66" t="s">
        <v>2273</v>
      </c>
      <c r="C115" s="66" t="s">
        <v>2341</v>
      </c>
      <c r="D115" s="132" t="s">
        <v>1458</v>
      </c>
      <c r="E115" s="133" t="s">
        <v>2342</v>
      </c>
    </row>
    <row r="116" spans="1:5">
      <c r="A116" s="129" t="s">
        <v>2343</v>
      </c>
      <c r="B116" s="66" t="s">
        <v>2273</v>
      </c>
      <c r="C116" s="66" t="s">
        <v>2344</v>
      </c>
      <c r="D116" s="132" t="s">
        <v>1439</v>
      </c>
      <c r="E116" s="133" t="s">
        <v>2345</v>
      </c>
    </row>
    <row r="117" spans="1:5">
      <c r="A117" s="129" t="s">
        <v>2346</v>
      </c>
      <c r="B117" s="66" t="s">
        <v>2347</v>
      </c>
      <c r="C117" s="66" t="s">
        <v>2348</v>
      </c>
      <c r="D117" s="132" t="s">
        <v>1486</v>
      </c>
      <c r="E117" s="133" t="s">
        <v>2349</v>
      </c>
    </row>
    <row r="118" spans="1:5">
      <c r="A118" s="129" t="s">
        <v>2350</v>
      </c>
      <c r="B118" s="66" t="s">
        <v>2347</v>
      </c>
      <c r="C118" s="66" t="s">
        <v>2351</v>
      </c>
      <c r="D118" s="132" t="s">
        <v>1491</v>
      </c>
      <c r="E118" s="133" t="s">
        <v>2352</v>
      </c>
    </row>
    <row r="119" spans="1:5">
      <c r="A119" s="129" t="s">
        <v>2353</v>
      </c>
      <c r="B119" s="66" t="s">
        <v>2347</v>
      </c>
      <c r="C119" s="66" t="s">
        <v>2354</v>
      </c>
      <c r="D119" s="132" t="s">
        <v>2355</v>
      </c>
      <c r="E119" s="133" t="s">
        <v>2356</v>
      </c>
    </row>
    <row r="120" spans="1:5">
      <c r="A120" s="129" t="s">
        <v>2357</v>
      </c>
      <c r="B120" s="66" t="s">
        <v>2347</v>
      </c>
      <c r="C120" s="66" t="s">
        <v>2358</v>
      </c>
      <c r="D120" s="132" t="s">
        <v>1496</v>
      </c>
      <c r="E120" s="133" t="s">
        <v>2359</v>
      </c>
    </row>
    <row r="121" spans="1:5">
      <c r="A121" s="129" t="s">
        <v>2360</v>
      </c>
      <c r="B121" s="66" t="s">
        <v>2347</v>
      </c>
      <c r="C121" s="66" t="s">
        <v>2361</v>
      </c>
      <c r="D121" s="132" t="s">
        <v>2362</v>
      </c>
      <c r="E121" s="133" t="s">
        <v>2363</v>
      </c>
    </row>
    <row r="122" spans="1:5">
      <c r="A122" s="129" t="s">
        <v>2364</v>
      </c>
      <c r="B122" s="66" t="s">
        <v>2347</v>
      </c>
      <c r="C122" s="66" t="s">
        <v>2365</v>
      </c>
      <c r="D122" s="132" t="s">
        <v>2366</v>
      </c>
      <c r="E122" s="133" t="s">
        <v>2367</v>
      </c>
    </row>
    <row r="123" spans="1:5">
      <c r="A123" s="129" t="s">
        <v>2368</v>
      </c>
      <c r="B123" s="66" t="s">
        <v>2347</v>
      </c>
      <c r="C123" s="66" t="s">
        <v>2369</v>
      </c>
      <c r="D123" s="132" t="s">
        <v>1504</v>
      </c>
      <c r="E123" s="133" t="s">
        <v>2370</v>
      </c>
    </row>
    <row r="124" spans="1:5">
      <c r="A124" s="129" t="s">
        <v>2371</v>
      </c>
      <c r="B124" s="66" t="s">
        <v>2347</v>
      </c>
      <c r="C124" s="66" t="s">
        <v>2372</v>
      </c>
      <c r="D124" s="132" t="s">
        <v>2373</v>
      </c>
      <c r="E124" s="133" t="s">
        <v>2370</v>
      </c>
    </row>
    <row r="125" spans="1:5">
      <c r="A125" s="129" t="s">
        <v>2374</v>
      </c>
      <c r="B125" s="66" t="s">
        <v>2347</v>
      </c>
      <c r="C125" s="66" t="s">
        <v>2375</v>
      </c>
      <c r="D125" s="132" t="s">
        <v>2376</v>
      </c>
      <c r="E125" s="133" t="s">
        <v>2377</v>
      </c>
    </row>
    <row r="126" spans="1:5">
      <c r="A126" s="129" t="s">
        <v>2378</v>
      </c>
      <c r="B126" s="66" t="s">
        <v>2347</v>
      </c>
      <c r="C126" s="66" t="s">
        <v>2379</v>
      </c>
      <c r="D126" s="132" t="s">
        <v>2380</v>
      </c>
      <c r="E126" s="133" t="s">
        <v>2381</v>
      </c>
    </row>
    <row r="127" spans="1:5">
      <c r="A127" s="129" t="s">
        <v>2382</v>
      </c>
      <c r="B127" s="66" t="s">
        <v>2347</v>
      </c>
      <c r="C127" s="66" t="s">
        <v>2383</v>
      </c>
      <c r="D127" s="132" t="s">
        <v>1511</v>
      </c>
      <c r="E127" s="133" t="s">
        <v>2384</v>
      </c>
    </row>
    <row r="128" spans="1:5">
      <c r="A128" s="129" t="s">
        <v>2385</v>
      </c>
      <c r="B128" s="66" t="s">
        <v>2347</v>
      </c>
      <c r="C128" s="66" t="s">
        <v>2386</v>
      </c>
      <c r="D128" s="132" t="s">
        <v>2387</v>
      </c>
      <c r="E128" s="133" t="s">
        <v>2388</v>
      </c>
    </row>
    <row r="129" spans="1:5">
      <c r="A129" s="129" t="s">
        <v>2389</v>
      </c>
      <c r="B129" s="66" t="s">
        <v>2347</v>
      </c>
      <c r="C129" s="66" t="s">
        <v>2390</v>
      </c>
      <c r="D129" s="132" t="s">
        <v>1509</v>
      </c>
      <c r="E129" s="133" t="s">
        <v>2391</v>
      </c>
    </row>
    <row r="130" spans="1:5">
      <c r="A130" s="129" t="s">
        <v>2392</v>
      </c>
      <c r="B130" s="66" t="s">
        <v>2347</v>
      </c>
      <c r="C130" s="66" t="s">
        <v>2393</v>
      </c>
      <c r="D130" s="132" t="s">
        <v>2394</v>
      </c>
      <c r="E130" s="133" t="s">
        <v>2395</v>
      </c>
    </row>
    <row r="131" spans="1:5">
      <c r="A131" s="129" t="s">
        <v>2396</v>
      </c>
      <c r="B131" s="66" t="s">
        <v>2397</v>
      </c>
      <c r="C131" s="66" t="s">
        <v>2398</v>
      </c>
      <c r="D131" s="132" t="s">
        <v>2399</v>
      </c>
      <c r="E131" s="133" t="s">
        <v>2400</v>
      </c>
    </row>
    <row r="132" spans="1:5">
      <c r="A132" s="129" t="s">
        <v>2401</v>
      </c>
      <c r="B132" s="66" t="s">
        <v>2397</v>
      </c>
      <c r="C132" s="66" t="s">
        <v>2402</v>
      </c>
      <c r="D132" s="132" t="s">
        <v>2403</v>
      </c>
      <c r="E132" s="133" t="s">
        <v>2404</v>
      </c>
    </row>
    <row r="133" spans="1:5">
      <c r="A133" s="129" t="s">
        <v>2405</v>
      </c>
      <c r="B133" s="66" t="s">
        <v>2397</v>
      </c>
      <c r="C133" s="66" t="s">
        <v>2406</v>
      </c>
      <c r="D133" s="132" t="s">
        <v>2407</v>
      </c>
      <c r="E133" s="133" t="s">
        <v>2408</v>
      </c>
    </row>
    <row r="134" spans="1:5">
      <c r="A134" s="129" t="s">
        <v>2409</v>
      </c>
      <c r="B134" s="66" t="s">
        <v>2397</v>
      </c>
      <c r="C134" s="66" t="s">
        <v>2410</v>
      </c>
      <c r="D134" s="132" t="s">
        <v>1537</v>
      </c>
      <c r="E134" s="133" t="s">
        <v>2411</v>
      </c>
    </row>
    <row r="135" spans="1:5">
      <c r="A135" s="129" t="s">
        <v>2412</v>
      </c>
      <c r="B135" s="66" t="s">
        <v>2397</v>
      </c>
      <c r="C135" s="66" t="s">
        <v>2413</v>
      </c>
      <c r="D135" s="132" t="s">
        <v>1553</v>
      </c>
      <c r="E135" s="133" t="s">
        <v>2414</v>
      </c>
    </row>
    <row r="136" spans="1:5">
      <c r="A136" s="129" t="s">
        <v>2415</v>
      </c>
      <c r="B136" s="66" t="s">
        <v>2397</v>
      </c>
      <c r="C136" s="66" t="s">
        <v>2416</v>
      </c>
      <c r="D136" s="132" t="s">
        <v>2417</v>
      </c>
      <c r="E136" s="133" t="s">
        <v>2418</v>
      </c>
    </row>
    <row r="137" spans="1:5">
      <c r="A137" s="129" t="s">
        <v>2419</v>
      </c>
      <c r="B137" s="66" t="s">
        <v>2397</v>
      </c>
      <c r="C137" s="66" t="s">
        <v>2420</v>
      </c>
      <c r="D137" s="132" t="s">
        <v>2421</v>
      </c>
      <c r="E137" s="133" t="s">
        <v>2422</v>
      </c>
    </row>
    <row r="138" spans="1:5">
      <c r="A138" s="129" t="s">
        <v>2423</v>
      </c>
      <c r="B138" s="66" t="s">
        <v>2397</v>
      </c>
      <c r="C138" s="66" t="s">
        <v>2424</v>
      </c>
      <c r="D138" s="132" t="s">
        <v>2425</v>
      </c>
      <c r="E138" s="133" t="s">
        <v>2426</v>
      </c>
    </row>
    <row r="139" spans="1:5">
      <c r="A139" s="129" t="s">
        <v>2427</v>
      </c>
      <c r="B139" s="66" t="s">
        <v>2397</v>
      </c>
      <c r="C139" s="66" t="s">
        <v>2428</v>
      </c>
      <c r="D139" s="132" t="s">
        <v>2429</v>
      </c>
      <c r="E139" s="133" t="s">
        <v>2430</v>
      </c>
    </row>
    <row r="140" spans="1:5">
      <c r="A140" s="129" t="s">
        <v>2431</v>
      </c>
      <c r="B140" s="66" t="s">
        <v>2397</v>
      </c>
      <c r="C140" s="66" t="s">
        <v>2432</v>
      </c>
      <c r="D140" s="132" t="s">
        <v>1541</v>
      </c>
      <c r="E140" s="133" t="s">
        <v>2433</v>
      </c>
    </row>
    <row r="141" spans="1:5">
      <c r="A141" s="129" t="s">
        <v>2434</v>
      </c>
      <c r="B141" s="66" t="s">
        <v>2397</v>
      </c>
      <c r="C141" s="66" t="s">
        <v>2435</v>
      </c>
      <c r="D141" s="132" t="s">
        <v>2436</v>
      </c>
      <c r="E141" s="133" t="s">
        <v>2437</v>
      </c>
    </row>
    <row r="142" spans="1:5">
      <c r="A142" s="129" t="s">
        <v>2438</v>
      </c>
      <c r="B142" s="66" t="s">
        <v>2397</v>
      </c>
      <c r="C142" s="66" t="s">
        <v>2439</v>
      </c>
      <c r="D142" s="132" t="s">
        <v>2440</v>
      </c>
      <c r="E142" s="133" t="s">
        <v>2441</v>
      </c>
    </row>
    <row r="143" spans="1:5">
      <c r="A143" s="129" t="s">
        <v>2442</v>
      </c>
      <c r="B143" s="66" t="s">
        <v>2397</v>
      </c>
      <c r="C143" s="66" t="s">
        <v>2443</v>
      </c>
      <c r="D143" s="132" t="s">
        <v>1535</v>
      </c>
      <c r="E143" s="133" t="s">
        <v>2444</v>
      </c>
    </row>
    <row r="144" spans="1:5">
      <c r="A144" s="129" t="s">
        <v>2445</v>
      </c>
      <c r="B144" s="66" t="s">
        <v>2446</v>
      </c>
      <c r="C144" s="66" t="s">
        <v>2447</v>
      </c>
      <c r="D144" s="132" t="s">
        <v>2448</v>
      </c>
      <c r="E144" s="133" t="s">
        <v>2449</v>
      </c>
    </row>
    <row r="145" spans="1:5">
      <c r="A145" s="129" t="s">
        <v>2450</v>
      </c>
      <c r="B145" s="66" t="s">
        <v>2446</v>
      </c>
      <c r="C145" s="66" t="s">
        <v>2451</v>
      </c>
      <c r="D145" s="132" t="s">
        <v>2452</v>
      </c>
      <c r="E145" s="133" t="s">
        <v>2453</v>
      </c>
    </row>
    <row r="146" spans="1:5">
      <c r="A146" s="129" t="s">
        <v>2454</v>
      </c>
      <c r="B146" s="66" t="s">
        <v>2446</v>
      </c>
      <c r="C146" s="66" t="s">
        <v>2455</v>
      </c>
      <c r="D146" s="132" t="s">
        <v>2456</v>
      </c>
      <c r="E146" s="133" t="s">
        <v>2457</v>
      </c>
    </row>
    <row r="147" spans="1:5">
      <c r="A147" s="129" t="s">
        <v>2458</v>
      </c>
      <c r="B147" s="66" t="s">
        <v>2446</v>
      </c>
      <c r="C147" s="66" t="s">
        <v>2459</v>
      </c>
      <c r="D147" s="132" t="s">
        <v>1755</v>
      </c>
      <c r="E147" s="133" t="s">
        <v>2460</v>
      </c>
    </row>
    <row r="148" spans="1:5">
      <c r="A148" s="129" t="s">
        <v>2461</v>
      </c>
      <c r="B148" s="66" t="s">
        <v>2446</v>
      </c>
      <c r="C148" s="66" t="s">
        <v>2462</v>
      </c>
      <c r="D148" s="132" t="s">
        <v>1570</v>
      </c>
      <c r="E148" s="133" t="s">
        <v>2463</v>
      </c>
    </row>
    <row r="149" spans="1:5">
      <c r="A149" s="129" t="s">
        <v>2464</v>
      </c>
      <c r="B149" s="66" t="s">
        <v>2446</v>
      </c>
      <c r="C149" s="66" t="s">
        <v>2465</v>
      </c>
      <c r="D149" s="132" t="s">
        <v>1572</v>
      </c>
      <c r="E149" s="133" t="s">
        <v>2466</v>
      </c>
    </row>
    <row r="150" spans="1:5">
      <c r="A150" s="129" t="s">
        <v>2467</v>
      </c>
      <c r="B150" s="66" t="s">
        <v>2446</v>
      </c>
      <c r="C150" s="66" t="s">
        <v>2468</v>
      </c>
      <c r="D150" s="132" t="s">
        <v>2469</v>
      </c>
      <c r="E150" s="133" t="s">
        <v>2470</v>
      </c>
    </row>
    <row r="151" spans="1:5">
      <c r="A151" s="129" t="s">
        <v>2471</v>
      </c>
      <c r="B151" s="66" t="s">
        <v>2446</v>
      </c>
      <c r="C151" s="66" t="s">
        <v>2472</v>
      </c>
      <c r="D151" s="132" t="s">
        <v>2473</v>
      </c>
      <c r="E151" s="133" t="s">
        <v>2474</v>
      </c>
    </row>
    <row r="152" spans="1:5">
      <c r="A152" s="129" t="s">
        <v>2475</v>
      </c>
      <c r="B152" s="66" t="s">
        <v>2446</v>
      </c>
      <c r="C152" s="66" t="s">
        <v>2476</v>
      </c>
      <c r="D152" s="132" t="s">
        <v>2477</v>
      </c>
      <c r="E152" s="133" t="s">
        <v>2478</v>
      </c>
    </row>
    <row r="153" spans="1:5">
      <c r="A153" s="129" t="s">
        <v>2479</v>
      </c>
      <c r="B153" s="66" t="s">
        <v>2446</v>
      </c>
      <c r="C153" s="66" t="s">
        <v>2480</v>
      </c>
      <c r="D153" s="132" t="s">
        <v>2481</v>
      </c>
      <c r="E153" s="133" t="s">
        <v>2482</v>
      </c>
    </row>
    <row r="154" spans="1:5">
      <c r="A154" s="129" t="s">
        <v>2483</v>
      </c>
      <c r="B154" s="66" t="s">
        <v>2446</v>
      </c>
      <c r="C154" s="66" t="s">
        <v>2484</v>
      </c>
      <c r="D154" s="132" t="s">
        <v>2485</v>
      </c>
      <c r="E154" s="133" t="s">
        <v>2486</v>
      </c>
    </row>
    <row r="155" spans="1:5">
      <c r="A155" s="129" t="s">
        <v>2487</v>
      </c>
      <c r="B155" s="66" t="s">
        <v>2446</v>
      </c>
      <c r="C155" s="66" t="s">
        <v>2488</v>
      </c>
      <c r="D155" s="132" t="s">
        <v>2489</v>
      </c>
      <c r="E155" s="133" t="s">
        <v>2490</v>
      </c>
    </row>
    <row r="156" spans="1:5">
      <c r="A156" s="129" t="s">
        <v>2491</v>
      </c>
      <c r="B156" s="66" t="s">
        <v>2446</v>
      </c>
      <c r="C156" s="66" t="s">
        <v>2492</v>
      </c>
      <c r="D156" s="132" t="s">
        <v>2493</v>
      </c>
      <c r="E156" s="133" t="s">
        <v>2494</v>
      </c>
    </row>
    <row r="157" spans="1:5">
      <c r="A157" s="129" t="s">
        <v>2495</v>
      </c>
      <c r="B157" s="66" t="s">
        <v>2446</v>
      </c>
      <c r="C157" s="66" t="s">
        <v>2496</v>
      </c>
      <c r="D157" s="132" t="s">
        <v>2497</v>
      </c>
      <c r="E157" s="133" t="s">
        <v>2498</v>
      </c>
    </row>
    <row r="158" spans="1:5">
      <c r="A158" s="129" t="s">
        <v>2499</v>
      </c>
      <c r="B158" s="66" t="s">
        <v>2446</v>
      </c>
      <c r="C158" s="66" t="s">
        <v>2500</v>
      </c>
      <c r="D158" s="132" t="s">
        <v>2501</v>
      </c>
      <c r="E158" s="133" t="s">
        <v>2502</v>
      </c>
    </row>
    <row r="159" spans="1:5">
      <c r="A159" s="129" t="s">
        <v>2503</v>
      </c>
      <c r="B159" s="66" t="s">
        <v>2446</v>
      </c>
      <c r="C159" s="66" t="s">
        <v>2504</v>
      </c>
      <c r="D159" s="132" t="s">
        <v>2505</v>
      </c>
      <c r="E159" s="133" t="s">
        <v>2506</v>
      </c>
    </row>
    <row r="160" spans="1:5">
      <c r="A160" s="129" t="s">
        <v>2507</v>
      </c>
      <c r="B160" s="66" t="s">
        <v>2446</v>
      </c>
      <c r="C160" s="66" t="s">
        <v>2508</v>
      </c>
      <c r="D160" s="132" t="s">
        <v>1588</v>
      </c>
      <c r="E160" s="133" t="s">
        <v>2509</v>
      </c>
    </row>
    <row r="161" spans="1:5">
      <c r="A161" s="129" t="s">
        <v>2510</v>
      </c>
      <c r="B161" s="66" t="s">
        <v>2446</v>
      </c>
      <c r="C161" s="66" t="s">
        <v>2511</v>
      </c>
      <c r="D161" s="132" t="s">
        <v>2512</v>
      </c>
      <c r="E161" s="133" t="s">
        <v>2513</v>
      </c>
    </row>
    <row r="162" spans="1:5">
      <c r="A162" s="129" t="s">
        <v>2514</v>
      </c>
      <c r="B162" s="66" t="s">
        <v>2515</v>
      </c>
      <c r="C162" s="66" t="s">
        <v>2516</v>
      </c>
      <c r="D162" s="132" t="s">
        <v>2517</v>
      </c>
      <c r="E162" s="133" t="s">
        <v>2518</v>
      </c>
    </row>
    <row r="163" spans="1:5">
      <c r="A163" s="129" t="s">
        <v>2519</v>
      </c>
      <c r="B163" s="66" t="s">
        <v>2515</v>
      </c>
      <c r="C163" s="66" t="s">
        <v>2520</v>
      </c>
      <c r="D163" s="132" t="s">
        <v>1619</v>
      </c>
      <c r="E163" s="133" t="s">
        <v>2521</v>
      </c>
    </row>
    <row r="164" spans="1:5">
      <c r="A164" s="129" t="s">
        <v>2522</v>
      </c>
      <c r="B164" s="66" t="s">
        <v>2515</v>
      </c>
      <c r="C164" s="66" t="s">
        <v>2523</v>
      </c>
      <c r="D164" s="132" t="s">
        <v>2524</v>
      </c>
      <c r="E164" s="133" t="s">
        <v>2525</v>
      </c>
    </row>
    <row r="165" spans="1:5">
      <c r="A165" s="129" t="s">
        <v>2526</v>
      </c>
      <c r="B165" s="66" t="s">
        <v>2515</v>
      </c>
      <c r="C165" s="66" t="s">
        <v>2527</v>
      </c>
      <c r="D165" s="132" t="s">
        <v>2528</v>
      </c>
      <c r="E165" s="133" t="s">
        <v>2529</v>
      </c>
    </row>
    <row r="166" spans="1:5">
      <c r="A166" s="129" t="s">
        <v>2530</v>
      </c>
      <c r="B166" s="66" t="s">
        <v>2515</v>
      </c>
      <c r="C166" s="66" t="s">
        <v>2531</v>
      </c>
      <c r="D166" s="132" t="s">
        <v>2532</v>
      </c>
      <c r="E166" s="133" t="s">
        <v>2533</v>
      </c>
    </row>
    <row r="167" spans="1:5">
      <c r="A167" s="129" t="s">
        <v>2534</v>
      </c>
      <c r="B167" s="66" t="s">
        <v>2515</v>
      </c>
      <c r="C167" s="66" t="s">
        <v>2535</v>
      </c>
      <c r="D167" s="132" t="s">
        <v>2536</v>
      </c>
      <c r="E167" s="133" t="s">
        <v>2537</v>
      </c>
    </row>
    <row r="168" spans="1:5">
      <c r="A168" s="129" t="s">
        <v>2538</v>
      </c>
      <c r="B168" s="66" t="s">
        <v>2515</v>
      </c>
      <c r="C168" s="66" t="s">
        <v>2539</v>
      </c>
      <c r="D168" s="132" t="s">
        <v>2540</v>
      </c>
      <c r="E168" s="133" t="s">
        <v>2541</v>
      </c>
    </row>
    <row r="169" spans="1:5">
      <c r="A169" s="129" t="s">
        <v>2542</v>
      </c>
      <c r="B169" s="66" t="s">
        <v>2515</v>
      </c>
      <c r="C169" s="66" t="s">
        <v>2543</v>
      </c>
      <c r="D169" s="132" t="s">
        <v>2544</v>
      </c>
      <c r="E169" s="133" t="s">
        <v>2545</v>
      </c>
    </row>
    <row r="170" spans="1:5">
      <c r="A170" s="129" t="s">
        <v>2546</v>
      </c>
      <c r="B170" s="66" t="s">
        <v>2515</v>
      </c>
      <c r="C170" s="66" t="s">
        <v>2547</v>
      </c>
      <c r="D170" s="132" t="s">
        <v>2548</v>
      </c>
      <c r="E170" s="133" t="s">
        <v>2549</v>
      </c>
    </row>
    <row r="171" spans="1:5">
      <c r="A171" s="129" t="s">
        <v>2550</v>
      </c>
      <c r="B171" s="66" t="s">
        <v>2515</v>
      </c>
      <c r="C171" s="66" t="s">
        <v>2551</v>
      </c>
      <c r="D171" s="132" t="s">
        <v>2552</v>
      </c>
      <c r="E171" s="133" t="s">
        <v>2553</v>
      </c>
    </row>
    <row r="172" spans="1:5">
      <c r="A172" s="129" t="s">
        <v>2554</v>
      </c>
      <c r="B172" s="66" t="s">
        <v>2515</v>
      </c>
      <c r="C172" s="66" t="s">
        <v>2555</v>
      </c>
      <c r="D172" s="132" t="s">
        <v>2556</v>
      </c>
      <c r="E172" s="133" t="s">
        <v>2557</v>
      </c>
    </row>
    <row r="173" spans="1:5">
      <c r="A173" s="129" t="s">
        <v>2558</v>
      </c>
      <c r="B173" s="66" t="s">
        <v>2515</v>
      </c>
      <c r="C173" s="66" t="s">
        <v>2559</v>
      </c>
      <c r="D173" s="132" t="s">
        <v>1626</v>
      </c>
      <c r="E173" s="133" t="s">
        <v>2560</v>
      </c>
    </row>
    <row r="174" spans="1:5">
      <c r="A174" s="129" t="s">
        <v>2561</v>
      </c>
      <c r="B174" s="66" t="s">
        <v>2515</v>
      </c>
      <c r="C174" s="66" t="s">
        <v>2562</v>
      </c>
      <c r="D174" s="132" t="s">
        <v>2563</v>
      </c>
      <c r="E174" s="133" t="s">
        <v>2564</v>
      </c>
    </row>
    <row r="175" spans="1:5">
      <c r="A175" s="129" t="s">
        <v>2565</v>
      </c>
      <c r="B175" s="66" t="s">
        <v>2151</v>
      </c>
      <c r="C175" s="66" t="s">
        <v>2566</v>
      </c>
      <c r="D175" s="132" t="s">
        <v>2567</v>
      </c>
      <c r="E175" s="133" t="s">
        <v>2568</v>
      </c>
    </row>
    <row r="176" spans="1:5">
      <c r="A176" s="129" t="s">
        <v>2569</v>
      </c>
      <c r="B176" s="66" t="s">
        <v>2151</v>
      </c>
      <c r="C176" s="66" t="s">
        <v>2570</v>
      </c>
      <c r="D176" s="132" t="s">
        <v>2571</v>
      </c>
      <c r="E176" s="133" t="s">
        <v>2572</v>
      </c>
    </row>
    <row r="177" spans="1:5">
      <c r="A177" s="129" t="s">
        <v>2573</v>
      </c>
      <c r="B177" s="66" t="s">
        <v>2151</v>
      </c>
      <c r="C177" s="66" t="s">
        <v>2574</v>
      </c>
      <c r="D177" s="132" t="s">
        <v>2575</v>
      </c>
      <c r="E177" s="133" t="s">
        <v>2576</v>
      </c>
    </row>
    <row r="178" spans="1:5">
      <c r="A178" s="129" t="s">
        <v>2577</v>
      </c>
      <c r="B178" s="66" t="s">
        <v>2151</v>
      </c>
      <c r="C178" s="66" t="s">
        <v>2578</v>
      </c>
      <c r="D178" s="132" t="s">
        <v>2579</v>
      </c>
      <c r="E178" s="133" t="s">
        <v>2580</v>
      </c>
    </row>
    <row r="179" spans="1:5">
      <c r="A179" s="129" t="s">
        <v>2581</v>
      </c>
      <c r="B179" s="66" t="s">
        <v>2151</v>
      </c>
      <c r="C179" s="66" t="s">
        <v>2582</v>
      </c>
      <c r="D179" s="132" t="s">
        <v>2583</v>
      </c>
      <c r="E179" s="133" t="s">
        <v>2584</v>
      </c>
    </row>
    <row r="180" spans="1:5">
      <c r="A180" s="129" t="s">
        <v>2585</v>
      </c>
      <c r="B180" s="66" t="s">
        <v>2151</v>
      </c>
      <c r="C180" s="66" t="s">
        <v>2586</v>
      </c>
      <c r="D180" s="132" t="s">
        <v>2587</v>
      </c>
      <c r="E180" s="133" t="s">
        <v>2588</v>
      </c>
    </row>
    <row r="181" spans="1:5">
      <c r="A181" s="129" t="s">
        <v>2589</v>
      </c>
      <c r="B181" s="66" t="s">
        <v>2229</v>
      </c>
      <c r="C181" s="66" t="s">
        <v>2590</v>
      </c>
      <c r="D181" s="132" t="s">
        <v>2591</v>
      </c>
      <c r="E181" s="133" t="s">
        <v>2592</v>
      </c>
    </row>
    <row r="182" spans="1:5">
      <c r="A182" s="129" t="s">
        <v>2593</v>
      </c>
      <c r="B182" s="66" t="s">
        <v>2229</v>
      </c>
      <c r="C182" s="66" t="s">
        <v>2594</v>
      </c>
      <c r="D182" s="132" t="s">
        <v>2595</v>
      </c>
      <c r="E182" s="133" t="s">
        <v>2246</v>
      </c>
    </row>
    <row r="183" spans="1:5">
      <c r="A183" s="129" t="s">
        <v>2596</v>
      </c>
      <c r="B183" s="66" t="s">
        <v>2229</v>
      </c>
      <c r="C183" s="66" t="s">
        <v>2597</v>
      </c>
      <c r="D183" s="132" t="s">
        <v>2598</v>
      </c>
      <c r="E183" s="133" t="s">
        <v>2249</v>
      </c>
    </row>
    <row r="184" spans="1:5">
      <c r="A184" s="129" t="s">
        <v>2599</v>
      </c>
      <c r="B184" s="66" t="s">
        <v>2273</v>
      </c>
      <c r="C184" s="66" t="s">
        <v>2600</v>
      </c>
      <c r="D184" s="132" t="s">
        <v>2601</v>
      </c>
      <c r="E184" s="133" t="s">
        <v>2602</v>
      </c>
    </row>
    <row r="185" spans="1:5">
      <c r="A185" s="129" t="s">
        <v>2603</v>
      </c>
      <c r="B185" s="66" t="s">
        <v>2273</v>
      </c>
      <c r="C185" s="66" t="s">
        <v>2604</v>
      </c>
      <c r="D185" s="132" t="s">
        <v>2605</v>
      </c>
      <c r="E185" s="133" t="s">
        <v>2606</v>
      </c>
    </row>
    <row r="186" spans="1:5">
      <c r="A186" s="129" t="s">
        <v>2607</v>
      </c>
      <c r="B186" s="66" t="s">
        <v>2446</v>
      </c>
      <c r="C186" s="66" t="s">
        <v>2608</v>
      </c>
      <c r="D186" s="132" t="s">
        <v>2609</v>
      </c>
      <c r="E186" s="133" t="s">
        <v>2610</v>
      </c>
    </row>
    <row r="187" spans="1:5">
      <c r="A187" s="129" t="s">
        <v>2611</v>
      </c>
      <c r="B187" s="66" t="s">
        <v>2446</v>
      </c>
      <c r="C187" s="66" t="s">
        <v>2612</v>
      </c>
      <c r="D187" s="132" t="s">
        <v>2613</v>
      </c>
      <c r="E187" s="133" t="s">
        <v>2614</v>
      </c>
    </row>
    <row r="188" spans="1:5">
      <c r="A188" s="129" t="s">
        <v>2615</v>
      </c>
      <c r="B188" s="66" t="s">
        <v>2397</v>
      </c>
      <c r="C188" s="66" t="s">
        <v>2616</v>
      </c>
      <c r="D188" s="132" t="s">
        <v>2617</v>
      </c>
      <c r="E188" s="133" t="s">
        <v>2618</v>
      </c>
    </row>
    <row r="189" spans="1:5">
      <c r="A189" s="129" t="s">
        <v>2619</v>
      </c>
      <c r="B189" s="66" t="s">
        <v>2515</v>
      </c>
      <c r="C189" s="66" t="s">
        <v>2620</v>
      </c>
      <c r="D189" s="132" t="s">
        <v>2621</v>
      </c>
      <c r="E189" s="133" t="s">
        <v>2564</v>
      </c>
    </row>
  </sheetData>
  <autoFilter ref="A4:E189" xr:uid="{310581F7-ECDF-C64A-A7B0-C540D55B3FA1}"/>
  <phoneticPr fontId="2"/>
  <conditionalFormatting sqref="A5:E189">
    <cfRule type="expression" dxfId="49" priority="1">
      <formula>$B5="U2 Keycloak論理"</formula>
    </cfRule>
  </conditionalFormatting>
  <conditionalFormatting sqref="A5:E189">
    <cfRule type="expression" dxfId="48" priority="2">
      <formula>$B5="U3 ID・プロビジョニング"</formula>
    </cfRule>
  </conditionalFormatting>
  <conditionalFormatting sqref="A5:E189">
    <cfRule type="expression" dxfId="47" priority="3">
      <formula>$B5="U5 トークン・認可"</formula>
    </cfRule>
  </conditionalFormatting>
  <conditionalFormatting sqref="A5:E189">
    <cfRule type="expression" dxfId="46" priority="4">
      <formula>$B5="U4 認証体験・UX"</formula>
    </cfRule>
  </conditionalFormatting>
  <conditionalFormatting sqref="A5:E189">
    <cfRule type="expression" dxfId="45" priority="5">
      <formula>$B5="U7 セキュリティ"</formula>
    </cfRule>
  </conditionalFormatting>
  <conditionalFormatting sqref="A5:E189">
    <cfRule type="expression" dxfId="44" priority="6">
      <formula>$B5="U8 可用性・DR"</formula>
    </cfRule>
  </conditionalFormatting>
  <conditionalFormatting sqref="A5:E189">
    <cfRule type="expression" dxfId="43" priority="7">
      <formula>$B5="U6 インフラ・NW"</formula>
    </cfRule>
  </conditionalFormatting>
  <conditionalFormatting sqref="A5:E189">
    <cfRule type="expression" dxfId="42" priority="8">
      <formula>$B5="U9 運用・監視・IaC"</formula>
    </cfRule>
  </conditionalFormatting>
  <conditionalFormatting sqref="A5:E189">
    <cfRule type="expression" dxfId="41" priority="9">
      <formula>$B5="U10 連携・移行"</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84182-FD2C-E145-9717-734327A3CD4B}">
  <dimension ref="A1:H183"/>
  <sheetViews>
    <sheetView zoomScale="125" workbookViewId="0">
      <pane ySplit="4" topLeftCell="A5" activePane="bottomLeft" state="frozen"/>
      <selection pane="bottomLeft" activeCell="C20" sqref="C20"/>
    </sheetView>
  </sheetViews>
  <sheetFormatPr baseColWidth="10" defaultRowHeight="15"/>
  <cols>
    <col min="1" max="1" width="15.7109375" style="66" customWidth="1"/>
    <col min="2" max="2" width="28.5703125" style="66" customWidth="1"/>
    <col min="3" max="3" width="61.42578125" style="66" customWidth="1"/>
    <col min="4" max="4" width="11.42578125" style="66" customWidth="1"/>
    <col min="5" max="5" width="32.85546875" style="66" customWidth="1"/>
    <col min="6" max="6" width="12.85546875" style="66" customWidth="1"/>
    <col min="7" max="7" width="14.28515625" style="66" customWidth="1"/>
    <col min="8" max="8" width="57.140625" style="66" customWidth="1"/>
    <col min="9" max="16384" width="10.7109375" style="66"/>
  </cols>
  <sheetData>
    <row r="1" spans="1:8">
      <c r="A1" s="65" t="s">
        <v>1223</v>
      </c>
    </row>
    <row r="2" spans="1:8">
      <c r="A2" s="79" t="s">
        <v>1224</v>
      </c>
    </row>
    <row r="4" spans="1:8" ht="22" customHeight="1">
      <c r="A4" s="36" t="s">
        <v>1225</v>
      </c>
      <c r="B4" s="37" t="s">
        <v>1226</v>
      </c>
      <c r="C4" s="37" t="s">
        <v>957</v>
      </c>
      <c r="D4" s="37" t="s">
        <v>2632</v>
      </c>
      <c r="E4" s="37" t="s">
        <v>1227</v>
      </c>
      <c r="F4" s="37" t="s">
        <v>1221</v>
      </c>
      <c r="G4" s="37" t="s">
        <v>1228</v>
      </c>
      <c r="H4" s="38" t="s">
        <v>1229</v>
      </c>
    </row>
    <row r="5" spans="1:8" ht="16">
      <c r="A5" s="69" t="str">
        <f>進捗一覧!K7</f>
        <v>FR-AUTH-001</v>
      </c>
      <c r="B5" s="70" t="str">
        <f>進捗一覧!J7</f>
        <v>FR-AUTH 認証フロー/Grant Type</v>
      </c>
      <c r="C5" s="71" t="str">
        <f>進捗一覧!E7</f>
        <v>ローカルユーザーにIDとパスワードでのログインを認めるか。</v>
      </c>
      <c r="D5" s="72" t="str">
        <f>進捗一覧!D7</f>
        <v>確定</v>
      </c>
      <c r="E5" s="70" t="s">
        <v>1238</v>
      </c>
      <c r="F5" s="72" t="s">
        <v>1278</v>
      </c>
      <c r="G5" s="72" t="s">
        <v>1279</v>
      </c>
      <c r="H5" s="80" t="s">
        <v>1280</v>
      </c>
    </row>
    <row r="6" spans="1:8" ht="16">
      <c r="A6" s="69" t="str">
        <f>進捗一覧!K8</f>
        <v>FR-AUTH-002</v>
      </c>
      <c r="B6" s="70" t="str">
        <f>進捗一覧!J8</f>
        <v>FR-AUTH 認証フロー/Grant Type</v>
      </c>
      <c r="C6" s="71" t="str">
        <f>進捗一覧!E8</f>
        <v>スマホアプリや画面だけで動くWebアプリから安全にログインさせる標準方式を採用するか</v>
      </c>
      <c r="D6" s="72" t="str">
        <f>進捗一覧!D8</f>
        <v>確定</v>
      </c>
      <c r="E6" s="70" t="s">
        <v>1281</v>
      </c>
      <c r="F6" s="72" t="s">
        <v>1282</v>
      </c>
      <c r="G6" s="72" t="s">
        <v>1279</v>
      </c>
      <c r="H6" s="80" t="s">
        <v>1283</v>
      </c>
    </row>
    <row r="7" spans="1:8" ht="16">
      <c r="A7" s="69" t="str">
        <f>進捗一覧!K9</f>
        <v>FR-AUTH-003</v>
      </c>
      <c r="B7" s="70" t="str">
        <f>進捗一覧!J9</f>
        <v>FR-AUTH 認証フロー/Grant Type</v>
      </c>
      <c r="C7" s="71" t="str">
        <f>進捗一覧!E9</f>
        <v>サーバー側で画面を組み立てるWebアプリのログイン方式をどうするか</v>
      </c>
      <c r="D7" s="72" t="str">
        <f>進捗一覧!D9</f>
        <v>方向性確定（条件付き）</v>
      </c>
      <c r="E7" s="70" t="s">
        <v>1272</v>
      </c>
      <c r="F7" s="72" t="s">
        <v>1282</v>
      </c>
      <c r="G7" s="72" t="s">
        <v>1279</v>
      </c>
      <c r="H7" s="80" t="s">
        <v>1284</v>
      </c>
    </row>
    <row r="8" spans="1:8" ht="16">
      <c r="A8" s="69" t="str">
        <f>進捗一覧!K10</f>
        <v>FR-AUTH-004</v>
      </c>
      <c r="B8" s="70" t="str">
        <f>進捗一覧!J10</f>
        <v>FR-AUTH 認証フロー/Grant Type</v>
      </c>
      <c r="C8" s="71" t="str">
        <f>進捗一覧!E10</f>
        <v>人を介さないシステム同士の通信で、機械が自分の身元を証明する仕組みを用意するか</v>
      </c>
      <c r="D8" s="72" t="str">
        <f>進捗一覧!D10</f>
        <v>方向性確定（条件付き）</v>
      </c>
      <c r="E8" s="70" t="s">
        <v>1277</v>
      </c>
      <c r="F8" s="72" t="s">
        <v>1282</v>
      </c>
      <c r="G8" s="72" t="s">
        <v>1279</v>
      </c>
      <c r="H8" s="80" t="s">
        <v>1285</v>
      </c>
    </row>
    <row r="9" spans="1:8" ht="16">
      <c r="A9" s="69" t="str">
        <f>進捗一覧!K11</f>
        <v>FR-AUTH-005</v>
      </c>
      <c r="B9" s="70" t="str">
        <f>進捗一覧!J11</f>
        <v>FR-AUTH 認証フロー/Grant Type</v>
      </c>
      <c r="C9" s="71" t="str">
        <f>進捗一覧!E11</f>
        <v>あるシステム向けの通行証を別システム向けに引き換える仕組みが必要か</v>
      </c>
      <c r="D9" s="72" t="str">
        <f>進捗一覧!D11</f>
        <v>外部待ち</v>
      </c>
      <c r="E9" s="70" t="s">
        <v>1286</v>
      </c>
      <c r="F9" s="72" t="s">
        <v>1282</v>
      </c>
      <c r="G9" s="72" t="s">
        <v>1279</v>
      </c>
      <c r="H9" s="80" t="s">
        <v>1287</v>
      </c>
    </row>
    <row r="10" spans="1:8" ht="16">
      <c r="A10" s="69" t="str">
        <f>進捗一覧!K12</f>
        <v>FR-AUTH-006</v>
      </c>
      <c r="B10" s="70" t="str">
        <f>進捗一覧!J12</f>
        <v>FR-AUTH 認証フロー/Grant Type</v>
      </c>
      <c r="C10" s="71" t="str">
        <f>進捗一覧!E12</f>
        <v>テレビやプリンタのように文字入力が難しい機器からログインする必要があるか</v>
      </c>
      <c r="D10" s="72" t="str">
        <f>進捗一覧!D12</f>
        <v>外部待ち</v>
      </c>
      <c r="E10" s="70" t="s">
        <v>1410</v>
      </c>
      <c r="F10" s="72" t="s">
        <v>1758</v>
      </c>
      <c r="G10" s="72" t="s">
        <v>1411</v>
      </c>
      <c r="H10" s="80" t="s">
        <v>1759</v>
      </c>
    </row>
    <row r="11" spans="1:8" ht="16">
      <c r="A11" s="69" t="str">
        <f>進捗一覧!K13</f>
        <v>FR-AUTH-007</v>
      </c>
      <c r="B11" s="70" t="str">
        <f>進捗一覧!J13</f>
        <v>FR-AUTH 認証フロー/Grant Type</v>
      </c>
      <c r="C11" s="71" t="str">
        <f>進捗一覧!E13</f>
        <v>電子証明書を使ってアプリ自身の身元を証明させる必要があるか</v>
      </c>
      <c r="D11" s="72" t="str">
        <f>進捗一覧!D13</f>
        <v>外部待ち</v>
      </c>
      <c r="E11" s="70" t="s">
        <v>1813</v>
      </c>
      <c r="F11" s="72" t="s">
        <v>1814</v>
      </c>
      <c r="G11" s="72" t="s">
        <v>1408</v>
      </c>
      <c r="H11" s="80" t="s">
        <v>1815</v>
      </c>
    </row>
    <row r="12" spans="1:8" ht="16">
      <c r="A12" s="69" t="str">
        <f>進捗一覧!K14</f>
        <v>FR-AUTH-008</v>
      </c>
      <c r="B12" s="70" t="str">
        <f>進捗一覧!J14</f>
        <v>FR-AUTH 認証フロー/Grant Type</v>
      </c>
      <c r="C12" s="71" t="str">
        <f>進捗一覧!E14</f>
        <v>IDとパスワードを直接アプリに預ける古い方式は使わない、という方針を確認する</v>
      </c>
      <c r="D12" s="72" t="str">
        <f>進捗一覧!D14</f>
        <v>確定</v>
      </c>
      <c r="E12" s="70" t="s">
        <v>1271</v>
      </c>
      <c r="F12" s="72" t="s">
        <v>1282</v>
      </c>
      <c r="G12" s="72" t="s">
        <v>1290</v>
      </c>
      <c r="H12" s="80" t="s">
        <v>1291</v>
      </c>
    </row>
    <row r="13" spans="1:8" ht="16">
      <c r="A13" s="69" t="str">
        <f>進捗一覧!K15</f>
        <v>FR-AUTH-009</v>
      </c>
      <c r="B13" s="70" t="str">
        <f>進捗一覧!J15</f>
        <v>FR-AUTH パスワード・ローカルユーザー管理</v>
      </c>
      <c r="C13" s="71" t="str">
        <f>進捗一覧!E15</f>
        <v>パスワードの最低文字数や、記号・数字を混ぜる条件をどう決めるか</v>
      </c>
      <c r="D13" s="72" t="str">
        <f>進捗一覧!D15</f>
        <v>確定</v>
      </c>
      <c r="E13" s="70" t="s">
        <v>1439</v>
      </c>
      <c r="F13" s="72" t="s">
        <v>1440</v>
      </c>
      <c r="G13" s="72" t="s">
        <v>1416</v>
      </c>
      <c r="H13" s="80" t="s">
        <v>1441</v>
      </c>
    </row>
    <row r="14" spans="1:8" ht="16">
      <c r="A14" s="69" t="str">
        <f>進捗一覧!K16</f>
        <v>FR-AUTH-010</v>
      </c>
      <c r="B14" s="70" t="str">
        <f>進捗一覧!J16</f>
        <v>FR-AUTH パスワード・ローカルユーザー管理</v>
      </c>
      <c r="C14" s="71" t="str">
        <f>進捗一覧!E16</f>
        <v>過去に使ったパスワードの再利用を禁止するか。禁止するなら何世代さかのぼるか</v>
      </c>
      <c r="D14" s="72" t="str">
        <f>進捗一覧!D16</f>
        <v>外部待ち</v>
      </c>
      <c r="E14" s="70" t="s">
        <v>1439</v>
      </c>
      <c r="F14" s="72" t="s">
        <v>1440</v>
      </c>
      <c r="G14" s="72" t="s">
        <v>1416</v>
      </c>
      <c r="H14" s="80" t="s">
        <v>1752</v>
      </c>
    </row>
    <row r="15" spans="1:8" ht="16">
      <c r="A15" s="69" t="str">
        <f>進捗一覧!K17</f>
        <v>FR-AUTH-011</v>
      </c>
      <c r="B15" s="70" t="str">
        <f>進捗一覧!J17</f>
        <v>FR-AUTH パスワード・ローカルユーザー管理</v>
      </c>
      <c r="C15" s="71" t="str">
        <f>進捗一覧!E17</f>
        <v>ログイン失敗が続いたときアカウントを一時的に止めるか。何回で止め、いつ解除するか</v>
      </c>
      <c r="D15" s="72" t="str">
        <f>進捗一覧!D17</f>
        <v>方向性確定（条件付き）</v>
      </c>
      <c r="E15" s="70" t="s">
        <v>1442</v>
      </c>
      <c r="F15" s="72" t="s">
        <v>1443</v>
      </c>
      <c r="G15" s="72" t="s">
        <v>1416</v>
      </c>
      <c r="H15" s="80" t="s">
        <v>1444</v>
      </c>
    </row>
    <row r="16" spans="1:8" ht="16">
      <c r="A16" s="69" t="str">
        <f>進捗一覧!K18</f>
        <v>FR-AUTH-012</v>
      </c>
      <c r="B16" s="70" t="str">
        <f>進捗一覧!J18</f>
        <v>FR-AUTH パスワード・ローカルユーザー管理</v>
      </c>
      <c r="C16" s="71" t="str">
        <f>進捗一覧!E18</f>
        <v>パスワードに有効期限を設けて定期変更を求めるか。何日で切るか</v>
      </c>
      <c r="D16" s="72" t="str">
        <f>進捗一覧!D18</f>
        <v>方向性確定（条件付き）</v>
      </c>
      <c r="E16" s="70" t="s">
        <v>1445</v>
      </c>
      <c r="F16" s="72" t="s">
        <v>1440</v>
      </c>
      <c r="G16" s="72" t="s">
        <v>1423</v>
      </c>
      <c r="H16" s="80" t="s">
        <v>1446</v>
      </c>
    </row>
    <row r="17" spans="1:8" ht="16">
      <c r="A17" s="69" t="str">
        <f>進捗一覧!K19</f>
        <v>FR-AUTH-013</v>
      </c>
      <c r="B17" s="70" t="str">
        <f>進捗一覧!J19</f>
        <v>FR-AUTH パスワード・ローカルユーザー管理</v>
      </c>
      <c r="C17" s="71" t="str">
        <f>進捗一覧!E19</f>
        <v>利用者が自分でパスワードを再設定できるようにするか。その際の本人確認をどう行うか</v>
      </c>
      <c r="D17" s="72" t="str">
        <f>進捗一覧!D19</f>
        <v>方向性確定（条件付き）</v>
      </c>
      <c r="E17" s="70" t="s">
        <v>1406</v>
      </c>
      <c r="F17" s="72" t="s">
        <v>1407</v>
      </c>
      <c r="G17" s="72" t="s">
        <v>1408</v>
      </c>
      <c r="H17" s="80" t="s">
        <v>1409</v>
      </c>
    </row>
    <row r="18" spans="1:8" ht="16">
      <c r="A18" s="69" t="str">
        <f>進捗一覧!K20</f>
        <v>FR-AUTH-014</v>
      </c>
      <c r="B18" s="70" t="str">
        <f>進捗一覧!J20</f>
        <v>FR-AUTH パスワード・ローカルユーザー管理</v>
      </c>
      <c r="C18" s="71" t="str">
        <f>進捗一覧!E20</f>
        <v>初回ログイン時にパスワードの変更を強制するか</v>
      </c>
      <c r="D18" s="72" t="str">
        <f>進捗一覧!D20</f>
        <v>方向性確定（条件付き）</v>
      </c>
      <c r="E18" s="70" t="s">
        <v>1439</v>
      </c>
      <c r="F18" s="72" t="s">
        <v>1440</v>
      </c>
      <c r="G18" s="72" t="s">
        <v>1416</v>
      </c>
      <c r="H18" s="80" t="s">
        <v>1753</v>
      </c>
    </row>
    <row r="19" spans="1:8" ht="16">
      <c r="A19" s="69" t="str">
        <f>進捗一覧!K21</f>
        <v>FR-FED-001</v>
      </c>
      <c r="B19" s="70" t="str">
        <f>進捗一覧!J21</f>
        <v>FR-FED IdP接続種別</v>
      </c>
      <c r="C19" s="71" t="str">
        <f>進捗一覧!E21</f>
        <v>既存の認証サービス（Auth0）と連携してログインさせるか</v>
      </c>
      <c r="D19" s="72" t="str">
        <f>進捗一覧!D21</f>
        <v>確定</v>
      </c>
      <c r="E19" s="70" t="s">
        <v>1293</v>
      </c>
      <c r="F19" s="72" t="s">
        <v>1278</v>
      </c>
      <c r="G19" s="72" t="s">
        <v>1279</v>
      </c>
      <c r="H19" s="80" t="s">
        <v>1294</v>
      </c>
    </row>
    <row r="20" spans="1:8" ht="16">
      <c r="A20" s="69" t="str">
        <f>進捗一覧!K22</f>
        <v>FR-FED-002</v>
      </c>
      <c r="B20" s="70" t="str">
        <f>進捗一覧!J22</f>
        <v>FR-FED IdP接続種別</v>
      </c>
      <c r="C20" s="71" t="str">
        <f>進捗一覧!E22</f>
        <v>顧客が使っているMicrosoftのID基盤と連携するか。最優先で確認したい項目</v>
      </c>
      <c r="D20" s="72" t="str">
        <f>進捗一覧!D22</f>
        <v>外部待ち</v>
      </c>
      <c r="E20" s="70" t="s">
        <v>1295</v>
      </c>
      <c r="F20" s="72" t="s">
        <v>1278</v>
      </c>
      <c r="G20" s="72" t="s">
        <v>1290</v>
      </c>
      <c r="H20" s="80" t="s">
        <v>1296</v>
      </c>
    </row>
    <row r="21" spans="1:8" ht="16">
      <c r="A21" s="69" t="str">
        <f>進捗一覧!K23</f>
        <v>FR-FED-003</v>
      </c>
      <c r="B21" s="70" t="str">
        <f>進捗一覧!J23</f>
        <v>FR-FED IdP接続種別</v>
      </c>
      <c r="C21" s="71" t="str">
        <f>進捗一覧!E23</f>
        <v>顧客が使っているOktaと連携するか</v>
      </c>
      <c r="D21" s="72" t="str">
        <f>進捗一覧!D23</f>
        <v>外部待ち</v>
      </c>
      <c r="E21" s="70" t="s">
        <v>1295</v>
      </c>
      <c r="F21" s="72" t="s">
        <v>1278</v>
      </c>
      <c r="G21" s="72" t="s">
        <v>1290</v>
      </c>
      <c r="H21" s="80" t="s">
        <v>1297</v>
      </c>
    </row>
    <row r="22" spans="1:8" ht="16">
      <c r="A22" s="69" t="str">
        <f>進捗一覧!K24</f>
        <v>FR-FED-004</v>
      </c>
      <c r="B22" s="70" t="str">
        <f>進捗一覧!J24</f>
        <v>FR-FED IdP接続種別</v>
      </c>
      <c r="C22" s="71" t="str">
        <f>進捗一覧!E24</f>
        <v>Google Workspaceのアカウントでログインできるようにするか</v>
      </c>
      <c r="D22" s="72" t="str">
        <f>進捗一覧!D24</f>
        <v>外部待ち</v>
      </c>
      <c r="E22" s="70" t="s">
        <v>1239</v>
      </c>
      <c r="F22" s="72" t="s">
        <v>1278</v>
      </c>
      <c r="G22" s="72" t="s">
        <v>1290</v>
      </c>
      <c r="H22" s="80" t="s">
        <v>1298</v>
      </c>
    </row>
    <row r="23" spans="1:8" ht="16">
      <c r="A23" s="69" t="str">
        <f>進捗一覧!K25</f>
        <v>FR-FED-005</v>
      </c>
      <c r="B23" s="70" t="str">
        <f>進捗一覧!J25</f>
        <v>FR-FED IdP接続種別</v>
      </c>
      <c r="C23" s="71" t="str">
        <f>進捗一覧!E25</f>
        <v>顧客側の旧来方式（SAML）のID基盤を受け入れる必要があるか</v>
      </c>
      <c r="D23" s="72" t="str">
        <f>進捗一覧!D25</f>
        <v>外部待ち</v>
      </c>
      <c r="E23" s="70" t="s">
        <v>1243</v>
      </c>
      <c r="F23" s="72" t="s">
        <v>1278</v>
      </c>
      <c r="G23" s="72" t="s">
        <v>1290</v>
      </c>
      <c r="H23" s="80" t="s">
        <v>1299</v>
      </c>
    </row>
    <row r="24" spans="1:8" ht="16">
      <c r="A24" s="69" t="str">
        <f>進捗一覧!K26</f>
        <v>FR-FED-006</v>
      </c>
      <c r="B24" s="70" t="str">
        <f>進捗一覧!J26</f>
        <v>FR-FED IdP接続種別</v>
      </c>
      <c r="C24" s="71" t="str">
        <f>進捗一覧!E26</f>
        <v>自分たちが旧来方式（SAML）のID提供元として振る舞う必要があるか</v>
      </c>
      <c r="D24" s="72" t="str">
        <f>進捗一覧!D26</f>
        <v>外部待ち</v>
      </c>
      <c r="E24" s="70" t="s">
        <v>1760</v>
      </c>
      <c r="F24" s="72" t="s">
        <v>1612</v>
      </c>
      <c r="G24" s="72" t="s">
        <v>1416</v>
      </c>
      <c r="H24" s="80" t="s">
        <v>1761</v>
      </c>
    </row>
    <row r="25" spans="1:8" ht="16">
      <c r="A25" s="69" t="str">
        <f>進捗一覧!K27</f>
        <v>FR-FED-007</v>
      </c>
      <c r="B25" s="70" t="str">
        <f>進捗一覧!J27</f>
        <v>FR-FED IdP接続種別</v>
      </c>
      <c r="C25" s="71" t="str">
        <f>進捗一覧!E27</f>
        <v>社内のディレクトリサーバー（LDAP/AD）と直接つなぐ必要があるか</v>
      </c>
      <c r="D25" s="72" t="str">
        <f>進捗一覧!D27</f>
        <v>外部待ち</v>
      </c>
      <c r="E25" s="70" t="s">
        <v>1249</v>
      </c>
      <c r="F25" s="72" t="s">
        <v>1300</v>
      </c>
      <c r="G25" s="72" t="s">
        <v>1301</v>
      </c>
      <c r="H25" s="80" t="s">
        <v>1302</v>
      </c>
    </row>
    <row r="26" spans="1:8" ht="16">
      <c r="A26" s="69" t="str">
        <f>進捗一覧!K28</f>
        <v>FR-FED-014</v>
      </c>
      <c r="B26" s="70" t="str">
        <f>進捗一覧!J28</f>
        <v>FR-FED IdP接続種別</v>
      </c>
      <c r="C26" s="71" t="str">
        <f>進捗一覧!E28</f>
        <v>顧客ごとの独自ドメイン名でログイン画面を出す必要があるか</v>
      </c>
      <c r="D26" s="72" t="str">
        <f>進捗一覧!D28</f>
        <v>方向性確定（条件付き）</v>
      </c>
      <c r="E26" s="70" t="s">
        <v>1412</v>
      </c>
      <c r="F26" s="72" t="s">
        <v>1407</v>
      </c>
      <c r="G26" s="72" t="s">
        <v>1408</v>
      </c>
      <c r="H26" s="80" t="s">
        <v>1413</v>
      </c>
    </row>
    <row r="27" spans="1:8" ht="16">
      <c r="A27" s="69" t="str">
        <f>進捗一覧!K29</f>
        <v>FR-FED-008</v>
      </c>
      <c r="B27" s="70" t="str">
        <f>進捗一覧!J29</f>
        <v>FR-FED フェデレーションユーザー処理</v>
      </c>
      <c r="C27" s="71" t="str">
        <f>進捗一覧!E29</f>
        <v>初回ログイン時に利用者情報を自動で作るか。作る項目と、既存と重複したときの扱いをどうするか</v>
      </c>
      <c r="D27" s="72" t="str">
        <f>進捗一覧!D29</f>
        <v>確定</v>
      </c>
      <c r="E27" s="70" t="s">
        <v>1303</v>
      </c>
      <c r="F27" s="72" t="s">
        <v>1304</v>
      </c>
      <c r="G27" s="72" t="s">
        <v>1279</v>
      </c>
      <c r="H27" s="80" t="s">
        <v>1305</v>
      </c>
    </row>
    <row r="28" spans="1:8" ht="16">
      <c r="A28" s="69" t="str">
        <f>進捗一覧!K30</f>
        <v>FR-FED-009</v>
      </c>
      <c r="B28" s="70" t="str">
        <f>進捗一覧!J30</f>
        <v>FR-FED フェデレーションユーザー処理</v>
      </c>
      <c r="C28" s="71" t="str">
        <f>進捗一覧!E30</f>
        <v>顧客側のID基盤から受け取る項目を、自分たちの項目にどう対応づけるか</v>
      </c>
      <c r="D28" s="72" t="str">
        <f>進捗一覧!D30</f>
        <v>確定</v>
      </c>
      <c r="E28" s="70" t="s">
        <v>1306</v>
      </c>
      <c r="F28" s="72" t="s">
        <v>1304</v>
      </c>
      <c r="G28" s="72" t="s">
        <v>1279</v>
      </c>
      <c r="H28" s="80" t="s">
        <v>1307</v>
      </c>
    </row>
    <row r="29" spans="1:8" ht="16">
      <c r="A29" s="69" t="str">
        <f>進捗一覧!K31</f>
        <v>FR-FED-012</v>
      </c>
      <c r="B29" s="70" t="str">
        <f>進捗一覧!J31</f>
        <v>FR-FED フェデレーションユーザー処理</v>
      </c>
      <c r="C29" s="71" t="str">
        <f>進捗一覧!E31</f>
        <v>顧客側で追加認証を済ませた利用者に、こちらで二重に求めないための条件をどうするか</v>
      </c>
      <c r="D29" s="72" t="str">
        <f>進捗一覧!D31</f>
        <v>方向性確定（条件付き）</v>
      </c>
      <c r="E29" s="70" t="s">
        <v>1308</v>
      </c>
      <c r="F29" s="72" t="s">
        <v>1278</v>
      </c>
      <c r="G29" s="72" t="s">
        <v>1279</v>
      </c>
      <c r="H29" s="80" t="s">
        <v>1309</v>
      </c>
    </row>
    <row r="30" spans="1:8" ht="16">
      <c r="A30" s="69" t="str">
        <f>進捗一覧!K32</f>
        <v>FR-FED-010</v>
      </c>
      <c r="B30" s="70" t="str">
        <f>進捗一覧!J32</f>
        <v>FR-FED マルチテナント運用</v>
      </c>
      <c r="C30" s="71" t="str">
        <f>進捗一覧!E32</f>
        <v>複数の顧客のID基盤を同時に並行運用する前提でよいか</v>
      </c>
      <c r="D30" s="72" t="str">
        <f>進捗一覧!D32</f>
        <v>確定</v>
      </c>
      <c r="E30" s="70" t="s">
        <v>1310</v>
      </c>
      <c r="F30" s="72" t="s">
        <v>1278</v>
      </c>
      <c r="G30" s="72" t="s">
        <v>1279</v>
      </c>
      <c r="H30" s="80" t="s">
        <v>1311</v>
      </c>
    </row>
    <row r="31" spans="1:8" ht="16">
      <c r="A31" s="69" t="str">
        <f>進捗一覧!K33</f>
        <v>FR-FED-011</v>
      </c>
      <c r="B31" s="70" t="str">
        <f>進捗一覧!J33</f>
        <v>FR-FED マルチテナント運用</v>
      </c>
      <c r="C31" s="71" t="str">
        <f>進捗一覧!E33</f>
        <v>新しい顧客を追加するときの申請から開通までの手順と、所要日数をどうするか</v>
      </c>
      <c r="D31" s="72" t="str">
        <f>進捗一覧!D33</f>
        <v>方向性確定（条件付き）</v>
      </c>
      <c r="E31" s="70" t="s">
        <v>1246</v>
      </c>
      <c r="F31" s="72" t="s">
        <v>1278</v>
      </c>
      <c r="G31" s="72" t="s">
        <v>1290</v>
      </c>
      <c r="H31" s="80" t="s">
        <v>1312</v>
      </c>
    </row>
    <row r="32" spans="1:8" ht="16">
      <c r="A32" s="69" t="str">
        <f>進捗一覧!K34</f>
        <v>FR-FED-013</v>
      </c>
      <c r="B32" s="70" t="str">
        <f>進捗一覧!J34</f>
        <v>FR-FED マルチテナント運用</v>
      </c>
      <c r="C32" s="71" t="str">
        <f>進捗一覧!E34</f>
        <v>ログイン画面で所属を利用者に選ばせるか、メールアドレスから自動判定するか</v>
      </c>
      <c r="D32" s="72" t="str">
        <f>進捗一覧!D34</f>
        <v>方向性確定（条件付き）</v>
      </c>
      <c r="E32" s="70" t="s">
        <v>1414</v>
      </c>
      <c r="F32" s="72" t="s">
        <v>1415</v>
      </c>
      <c r="G32" s="72" t="s">
        <v>1416</v>
      </c>
      <c r="H32" s="80" t="s">
        <v>1417</v>
      </c>
    </row>
    <row r="33" spans="1:8" ht="16">
      <c r="A33" s="69" t="str">
        <f>進捗一覧!K35</f>
        <v>FR-MFA-001</v>
      </c>
      <c r="B33" s="70" t="str">
        <f>進捗一覧!J35</f>
        <v>FR-MFA MFA要素</v>
      </c>
      <c r="C33" s="71" t="str">
        <f>進捗一覧!E35</f>
        <v>スマホの認証アプリによる追加確認を用意するか</v>
      </c>
      <c r="D33" s="72" t="str">
        <f>進捗一覧!D35</f>
        <v>確定</v>
      </c>
      <c r="E33" s="70" t="s">
        <v>1418</v>
      </c>
      <c r="F33" s="72" t="s">
        <v>1415</v>
      </c>
      <c r="G33" s="72" t="s">
        <v>1416</v>
      </c>
      <c r="H33" s="80" t="s">
        <v>1419</v>
      </c>
    </row>
    <row r="34" spans="1:8" ht="16">
      <c r="A34" s="69" t="str">
        <f>進捗一覧!K36</f>
        <v>FR-MFA-002</v>
      </c>
      <c r="B34" s="70" t="str">
        <f>進捗一覧!J36</f>
        <v>FR-MFA MFA要素</v>
      </c>
      <c r="C34" s="71" t="str">
        <f>進捗一覧!E36</f>
        <v>指紋・顔認証やセキュリティキーを使ったパスワード不要のログインを用意するか</v>
      </c>
      <c r="D34" s="72" t="str">
        <f>進捗一覧!D36</f>
        <v>方向性確定（条件付き）</v>
      </c>
      <c r="E34" s="70" t="s">
        <v>1420</v>
      </c>
      <c r="F34" s="72" t="s">
        <v>1415</v>
      </c>
      <c r="G34" s="72" t="s">
        <v>1416</v>
      </c>
      <c r="H34" s="80" t="s">
        <v>1421</v>
      </c>
    </row>
    <row r="35" spans="1:8" ht="16">
      <c r="A35" s="69" t="str">
        <f>進捗一覧!K37</f>
        <v>FR-MFA-003</v>
      </c>
      <c r="B35" s="70" t="str">
        <f>進捗一覧!J37</f>
        <v>FR-MFA MFA要素</v>
      </c>
      <c r="C35" s="71" t="str">
        <f>進捗一覧!E37</f>
        <v>SMS（携帯メッセージ）による追加確認を用意するか。費用と安全性をどう見るか</v>
      </c>
      <c r="D35" s="72" t="str">
        <f>進捗一覧!D37</f>
        <v>外部待ち</v>
      </c>
      <c r="E35" s="70" t="s">
        <v>1422</v>
      </c>
      <c r="F35" s="72" t="s">
        <v>1407</v>
      </c>
      <c r="G35" s="72" t="s">
        <v>1423</v>
      </c>
      <c r="H35" s="80" t="s">
        <v>1424</v>
      </c>
    </row>
    <row r="36" spans="1:8" ht="16">
      <c r="A36" s="69" t="str">
        <f>進捗一覧!K38</f>
        <v>FR-MFA-004</v>
      </c>
      <c r="B36" s="70" t="str">
        <f>進捗一覧!J38</f>
        <v>FR-MFA MFA要素</v>
      </c>
      <c r="C36" s="71" t="str">
        <f>進捗一覧!E38</f>
        <v>メールによる追加確認を用意するか</v>
      </c>
      <c r="D36" s="72" t="str">
        <f>進捗一覧!D38</f>
        <v>外部待ち</v>
      </c>
      <c r="E36" s="70" t="s">
        <v>1445</v>
      </c>
      <c r="F36" s="72" t="s">
        <v>1440</v>
      </c>
      <c r="G36" s="72" t="s">
        <v>1423</v>
      </c>
      <c r="H36" s="80" t="s">
        <v>1754</v>
      </c>
    </row>
    <row r="37" spans="1:8" ht="16">
      <c r="A37" s="69" t="str">
        <f>進捗一覧!K39</f>
        <v>FR-MFA-005</v>
      </c>
      <c r="B37" s="70" t="str">
        <f>進捗一覧!J39</f>
        <v>FR-MFA MFA要素</v>
      </c>
      <c r="C37" s="71" t="str">
        <f>進捗一覧!E39</f>
        <v>端末を失くしたとき用の予備コードを発行するか</v>
      </c>
      <c r="D37" s="72" t="str">
        <f>進捗一覧!D39</f>
        <v>方向性確定（条件付き）</v>
      </c>
      <c r="E37" s="70" t="s">
        <v>1406</v>
      </c>
      <c r="F37" s="72" t="s">
        <v>1407</v>
      </c>
      <c r="G37" s="72" t="s">
        <v>1416</v>
      </c>
      <c r="H37" s="80" t="s">
        <v>1425</v>
      </c>
    </row>
    <row r="38" spans="1:8" ht="16">
      <c r="A38" s="69" t="str">
        <f>進捗一覧!K40</f>
        <v>FR-MFA-006</v>
      </c>
      <c r="B38" s="70" t="str">
        <f>進捗一覧!J40</f>
        <v>FR-MFA MFA適用ポリシー</v>
      </c>
      <c r="C38" s="71" t="str">
        <f>進捗一覧!E40</f>
        <v>普段と違う場所や不審な状況のときだけ追加確認を求めるか。その判定基準をどうするか</v>
      </c>
      <c r="D38" s="72" t="str">
        <f>進捗一覧!D40</f>
        <v>方向性確定（条件付き）</v>
      </c>
      <c r="E38" s="70" t="s">
        <v>1426</v>
      </c>
      <c r="F38" s="72" t="s">
        <v>1415</v>
      </c>
      <c r="G38" s="72" t="s">
        <v>1408</v>
      </c>
      <c r="H38" s="80" t="s">
        <v>1427</v>
      </c>
    </row>
    <row r="39" spans="1:8" ht="16">
      <c r="A39" s="69" t="str">
        <f>進捗一覧!K41</f>
        <v>FR-MFA-007</v>
      </c>
      <c r="B39" s="70" t="str">
        <f>進捗一覧!J41</f>
        <v>FR-MFA MFA適用ポリシー</v>
      </c>
      <c r="C39" s="71" t="str">
        <f>進捗一覧!E41</f>
        <v>追加確認を全員必須にするか、役割ごとに任意とするか</v>
      </c>
      <c r="D39" s="72" t="str">
        <f>進捗一覧!D41</f>
        <v>方向性確定（条件付き）</v>
      </c>
      <c r="E39" s="70" t="s">
        <v>1418</v>
      </c>
      <c r="F39" s="72" t="s">
        <v>1415</v>
      </c>
      <c r="G39" s="72" t="s">
        <v>1416</v>
      </c>
      <c r="H39" s="80" t="s">
        <v>1428</v>
      </c>
    </row>
    <row r="40" spans="1:8" ht="16">
      <c r="A40" s="69" t="str">
        <f>進捗一覧!K42</f>
        <v>FR-MFA-008</v>
      </c>
      <c r="B40" s="70" t="str">
        <f>進捗一覧!J42</f>
        <v>FR-MFA MFA適用ポリシー</v>
      </c>
      <c r="C40" s="71" t="str">
        <f>進捗一覧!E42</f>
        <v>一度確認した端末を記憶して次回以降の追加確認を省くか。記憶する期間をどうするか</v>
      </c>
      <c r="D40" s="72" t="str">
        <f>進捗一覧!D42</f>
        <v>外部待ち</v>
      </c>
      <c r="E40" s="70" t="s">
        <v>1410</v>
      </c>
      <c r="F40" s="72" t="s">
        <v>1407</v>
      </c>
      <c r="G40" s="72" t="s">
        <v>1408</v>
      </c>
      <c r="H40" s="80" t="s">
        <v>1429</v>
      </c>
    </row>
    <row r="41" spans="1:8" ht="16">
      <c r="A41" s="69" t="str">
        <f>進捗一覧!K43</f>
        <v>FR-MFA-009</v>
      </c>
      <c r="B41" s="70" t="str">
        <f>進捗一覧!J43</f>
        <v>FR-MFA MFA適用ポリシー</v>
      </c>
      <c r="C41" s="71" t="str">
        <f>進捗一覧!E43</f>
        <v>管理者権限を持つ人には追加確認を必須にするか</v>
      </c>
      <c r="D41" s="72" t="str">
        <f>進捗一覧!D43</f>
        <v>方向性確定（条件付き）</v>
      </c>
      <c r="E41" s="70" t="s">
        <v>1238</v>
      </c>
      <c r="F41" s="72" t="s">
        <v>1278</v>
      </c>
      <c r="G41" s="72" t="s">
        <v>1279</v>
      </c>
      <c r="H41" s="80" t="s">
        <v>1313</v>
      </c>
    </row>
    <row r="42" spans="1:8" ht="16">
      <c r="A42" s="69" t="str">
        <f>進捗一覧!K44</f>
        <v>FR-SSO-001</v>
      </c>
      <c r="B42" s="70" t="str">
        <f>進捗一覧!J44</f>
        <v>FR-SSO SSO</v>
      </c>
      <c r="C42" s="71" t="str">
        <f>進捗一覧!E44</f>
        <v>一度ログインすれば複数のアプリを使い回せる状態にするか</v>
      </c>
      <c r="D42" s="72" t="str">
        <f>進捗一覧!D44</f>
        <v>確定</v>
      </c>
      <c r="E42" s="70" t="s">
        <v>1261</v>
      </c>
      <c r="F42" s="72" t="s">
        <v>1282</v>
      </c>
      <c r="G42" s="72" t="s">
        <v>1279</v>
      </c>
      <c r="H42" s="80" t="s">
        <v>1314</v>
      </c>
    </row>
    <row r="43" spans="1:8" ht="16">
      <c r="A43" s="69" t="str">
        <f>進捗一覧!K45</f>
        <v>FR-SSO-002</v>
      </c>
      <c r="B43" s="70" t="str">
        <f>進捗一覧!J45</f>
        <v>FR-SSO SSO</v>
      </c>
      <c r="C43" s="71" t="str">
        <f>進捗一覧!E45</f>
        <v>顧客側のID基盤を経由した場合も同じく使い回せるようにするか</v>
      </c>
      <c r="D43" s="72" t="str">
        <f>進捗一覧!D45</f>
        <v>確定</v>
      </c>
      <c r="E43" s="70" t="s">
        <v>1315</v>
      </c>
      <c r="F43" s="72" t="s">
        <v>1278</v>
      </c>
      <c r="G43" s="72" t="s">
        <v>1279</v>
      </c>
      <c r="H43" s="80" t="s">
        <v>1316</v>
      </c>
    </row>
    <row r="44" spans="1:8" ht="16">
      <c r="A44" s="69" t="str">
        <f>進捗一覧!K46</f>
        <v>FR-SSO-003</v>
      </c>
      <c r="B44" s="70" t="str">
        <f>進捗一覧!J46</f>
        <v>FR-SSO ログアウト</v>
      </c>
      <c r="C44" s="71" t="str">
        <f>進捗一覧!E46</f>
        <v>ログアウト操作でアプリ内の状態だけを消す動作を用意するか</v>
      </c>
      <c r="D44" s="72" t="str">
        <f>進捗一覧!D46</f>
        <v>確定</v>
      </c>
      <c r="E44" s="70" t="s">
        <v>1268</v>
      </c>
      <c r="F44" s="72" t="s">
        <v>1282</v>
      </c>
      <c r="G44" s="72" t="s">
        <v>1279</v>
      </c>
      <c r="H44" s="80" t="s">
        <v>1317</v>
      </c>
    </row>
    <row r="45" spans="1:8" ht="16">
      <c r="A45" s="69" t="str">
        <f>進捗一覧!K47</f>
        <v>FR-SSO-004</v>
      </c>
      <c r="B45" s="70" t="str">
        <f>進捗一覧!J47</f>
        <v>FR-SSO ログアウト</v>
      </c>
      <c r="C45" s="71" t="str">
        <f>進捗一覧!E47</f>
        <v>ログアウト時に認証基盤側のログイン状態も併せて消すか</v>
      </c>
      <c r="D45" s="72" t="str">
        <f>進捗一覧!D47</f>
        <v>確定</v>
      </c>
      <c r="E45" s="70" t="s">
        <v>1268</v>
      </c>
      <c r="F45" s="72" t="s">
        <v>1282</v>
      </c>
      <c r="G45" s="72" t="s">
        <v>1279</v>
      </c>
      <c r="H45" s="80" t="s">
        <v>1318</v>
      </c>
    </row>
    <row r="46" spans="1:8" ht="16">
      <c r="A46" s="69" t="str">
        <f>進捗一覧!K48</f>
        <v>FR-SSO-005</v>
      </c>
      <c r="B46" s="70" t="str">
        <f>進捗一覧!J48</f>
        <v>FR-SSO ログアウト</v>
      </c>
      <c r="C46" s="71" t="str">
        <f>進捗一覧!E48</f>
        <v>ログアウト時に顧客側のID基盤のログイン状態まで消すか。どこまで連動させるか</v>
      </c>
      <c r="D46" s="72" t="str">
        <f>進捗一覧!D48</f>
        <v>方向性確定（条件付き）</v>
      </c>
      <c r="E46" s="70" t="s">
        <v>1319</v>
      </c>
      <c r="F46" s="72" t="s">
        <v>1320</v>
      </c>
      <c r="G46" s="72" t="s">
        <v>1279</v>
      </c>
      <c r="H46" s="80" t="s">
        <v>1321</v>
      </c>
    </row>
    <row r="47" spans="1:8" ht="16">
      <c r="A47" s="69" t="str">
        <f>進捗一覧!K49</f>
        <v>FR-SSO-006</v>
      </c>
      <c r="B47" s="70" t="str">
        <f>進捗一覧!J49</f>
        <v>FR-SSO ログアウト</v>
      </c>
      <c r="C47" s="71" t="str">
        <f>進捗一覧!E49</f>
        <v>利用者のブラウザ経由で各アプリに一斉ログアウトを伝える方式を使うか</v>
      </c>
      <c r="D47" s="72" t="str">
        <f>進捗一覧!D49</f>
        <v>方向性確定（条件付き）</v>
      </c>
      <c r="E47" s="70" t="s">
        <v>1268</v>
      </c>
      <c r="F47" s="72" t="s">
        <v>1282</v>
      </c>
      <c r="G47" s="72" t="s">
        <v>1279</v>
      </c>
      <c r="H47" s="80" t="s">
        <v>1322</v>
      </c>
    </row>
    <row r="48" spans="1:8" ht="16">
      <c r="A48" s="69" t="str">
        <f>進捗一覧!K50</f>
        <v>FR-SSO-007</v>
      </c>
      <c r="B48" s="70" t="str">
        <f>進捗一覧!J50</f>
        <v>FR-SSO ログアウト</v>
      </c>
      <c r="C48" s="71" t="str">
        <f>進捗一覧!E50</f>
        <v>サーバー同士の通信で各アプリに確実にログアウトを伝える方式を使うか</v>
      </c>
      <c r="D48" s="72" t="str">
        <f>進捗一覧!D50</f>
        <v>方向性確定（条件付き）</v>
      </c>
      <c r="E48" s="70" t="s">
        <v>1323</v>
      </c>
      <c r="F48" s="72" t="s">
        <v>1282</v>
      </c>
      <c r="G48" s="72" t="s">
        <v>1279</v>
      </c>
      <c r="H48" s="80" t="s">
        <v>1324</v>
      </c>
    </row>
    <row r="49" spans="1:8" ht="16">
      <c r="A49" s="69" t="str">
        <f>進捗一覧!K51</f>
        <v>FR-SSO-008</v>
      </c>
      <c r="B49" s="70" t="str">
        <f>進捗一覧!J51</f>
        <v>FR-SSO セッション管理</v>
      </c>
      <c r="C49" s="71" t="str">
        <f>進捗一覧!E51</f>
        <v>無操作が続いたときに自動ログアウトするまでの時間をどうするか</v>
      </c>
      <c r="D49" s="72" t="str">
        <f>進捗一覧!D51</f>
        <v>方向性確定（条件付き）</v>
      </c>
      <c r="E49" s="70" t="s">
        <v>1816</v>
      </c>
      <c r="F49" s="72" t="s">
        <v>1817</v>
      </c>
      <c r="G49" s="72" t="s">
        <v>1416</v>
      </c>
      <c r="H49" s="80" t="s">
        <v>1818</v>
      </c>
    </row>
    <row r="50" spans="1:8" ht="16">
      <c r="A50" s="69" t="str">
        <f>進捗一覧!K52</f>
        <v>FR-SSO-009</v>
      </c>
      <c r="B50" s="70" t="str">
        <f>進捗一覧!J52</f>
        <v>FR-SSO セッション管理</v>
      </c>
      <c r="C50" s="71" t="str">
        <f>進捗一覧!E52</f>
        <v>発行済みの通行証を有効期限前に強制的に無効化できる必要があるか</v>
      </c>
      <c r="D50" s="72" t="str">
        <f>進捗一覧!D52</f>
        <v>外部待ち</v>
      </c>
      <c r="E50" s="70" t="s">
        <v>1819</v>
      </c>
      <c r="F50" s="72" t="s">
        <v>1820</v>
      </c>
      <c r="G50" s="72" t="s">
        <v>1416</v>
      </c>
      <c r="H50" s="80" t="s">
        <v>1821</v>
      </c>
    </row>
    <row r="51" spans="1:8" ht="16">
      <c r="A51" s="69" t="str">
        <f>進捗一覧!K53</f>
        <v>FR-SSO-010</v>
      </c>
      <c r="B51" s="70" t="str">
        <f>進捗一覧!J53</f>
        <v>FR-SSO セッション管理</v>
      </c>
      <c r="C51" s="71" t="str">
        <f>進捗一覧!E53</f>
        <v>管理者が特定の利用者のログイン状態を一括で切断できる機能を用意するか</v>
      </c>
      <c r="D51" s="72" t="str">
        <f>進捗一覧!D53</f>
        <v>方向性確定（条件付き）</v>
      </c>
      <c r="E51" s="70" t="s">
        <v>1822</v>
      </c>
      <c r="F51" s="72" t="s">
        <v>1823</v>
      </c>
      <c r="G51" s="72" t="s">
        <v>1416</v>
      </c>
      <c r="H51" s="80" t="s">
        <v>1824</v>
      </c>
    </row>
    <row r="52" spans="1:8" ht="16">
      <c r="A52" s="69" t="str">
        <f>進捗一覧!K54</f>
        <v>FR-AUTHZ-001</v>
      </c>
      <c r="B52" s="70" t="str">
        <f>進捗一覧!J54</f>
        <v>FR-AUTHZ クレームベース基本認可</v>
      </c>
      <c r="C52" s="71" t="str">
        <f>進捗一覧!E54</f>
        <v>通行証に含まれる情報をもとに各アプリが権限を判定する方式でよいか</v>
      </c>
      <c r="D52" s="72" t="str">
        <f>進捗一覧!D54</f>
        <v>確定</v>
      </c>
      <c r="E52" s="70" t="s">
        <v>1325</v>
      </c>
      <c r="F52" s="72" t="s">
        <v>1282</v>
      </c>
      <c r="G52" s="72" t="s">
        <v>1279</v>
      </c>
      <c r="H52" s="80" t="s">
        <v>1326</v>
      </c>
    </row>
    <row r="53" spans="1:8" ht="16">
      <c r="A53" s="69" t="str">
        <f>進捗一覧!K55</f>
        <v>FR-AUTHZ-002</v>
      </c>
      <c r="B53" s="70" t="str">
        <f>進捗一覧!J55</f>
        <v>FR-AUTHZ クレームベース基本認可</v>
      </c>
      <c r="C53" s="71" t="str">
        <f>進捗一覧!E55</f>
        <v>顧客ごとのデータが混ざらないよう、所属情報を通行証に必ず載せるか</v>
      </c>
      <c r="D53" s="72" t="str">
        <f>進捗一覧!D55</f>
        <v>確定</v>
      </c>
      <c r="E53" s="70" t="s">
        <v>1327</v>
      </c>
      <c r="F53" s="72" t="s">
        <v>1320</v>
      </c>
      <c r="G53" s="72" t="s">
        <v>1279</v>
      </c>
      <c r="H53" s="80" t="s">
        <v>1328</v>
      </c>
    </row>
    <row r="54" spans="1:8" ht="16">
      <c r="A54" s="69" t="str">
        <f>進捗一覧!K56</f>
        <v>FR-AUTHZ-003</v>
      </c>
      <c r="B54" s="70" t="str">
        <f>進捗一覧!J56</f>
        <v>FR-AUTHZ クレームベース基本認可</v>
      </c>
      <c r="C54" s="71" t="str">
        <f>進捗一覧!E56</f>
        <v>役割（ロール）の情報を通行証に載せて権限判定に使うか</v>
      </c>
      <c r="D54" s="72" t="str">
        <f>進捗一覧!D56</f>
        <v>確定</v>
      </c>
      <c r="E54" s="70" t="s">
        <v>1329</v>
      </c>
      <c r="F54" s="72" t="s">
        <v>1330</v>
      </c>
      <c r="G54" s="72" t="s">
        <v>1279</v>
      </c>
      <c r="H54" s="80" t="s">
        <v>1331</v>
      </c>
    </row>
    <row r="55" spans="1:8" ht="16">
      <c r="A55" s="69" t="str">
        <f>進捗一覧!K57</f>
        <v>FR-AUTHZ-004</v>
      </c>
      <c r="B55" s="70" t="str">
        <f>進捗一覧!J57</f>
        <v>FR-AUTHZ クレームベース基本認可</v>
      </c>
      <c r="C55" s="71" t="str">
        <f>進捗一覧!E57</f>
        <v>役割に上下関係（上位が下位を兼ねる）を持たせるか</v>
      </c>
      <c r="D55" s="72" t="str">
        <f>進捗一覧!D57</f>
        <v>方向性確定（条件付き）</v>
      </c>
      <c r="E55" s="70" t="s">
        <v>1238</v>
      </c>
      <c r="F55" s="72" t="s">
        <v>1278</v>
      </c>
      <c r="G55" s="72" t="s">
        <v>1290</v>
      </c>
      <c r="H55" s="80" t="s">
        <v>1332</v>
      </c>
    </row>
    <row r="56" spans="1:8" ht="16">
      <c r="A56" s="69" t="str">
        <f>進捗一覧!K58</f>
        <v>FR-AUTHZ-005</v>
      </c>
      <c r="B56" s="70" t="str">
        <f>進捗一覧!J58</f>
        <v>FR-AUTHZ クレームベース基本認可</v>
      </c>
      <c r="C56" s="71" t="str">
        <f>進捗一覧!E58</f>
        <v>システム同士の通信でも、呼び出せる機能の範囲を絞り込む仕組みを使うか</v>
      </c>
      <c r="D56" s="72" t="str">
        <f>進捗一覧!D58</f>
        <v>方向性確定（条件付き）</v>
      </c>
      <c r="E56" s="70" t="s">
        <v>1333</v>
      </c>
      <c r="F56" s="72" t="s">
        <v>1282</v>
      </c>
      <c r="G56" s="72" t="s">
        <v>1279</v>
      </c>
      <c r="H56" s="80" t="s">
        <v>1334</v>
      </c>
    </row>
    <row r="57" spans="1:8" ht="16">
      <c r="A57" s="69" t="str">
        <f>進捗一覧!K59</f>
        <v>FR-AUTHZ-006</v>
      </c>
      <c r="B57" s="70" t="str">
        <f>進捗一覧!J59</f>
        <v>FR-AUTHZ クレームベース基本認可</v>
      </c>
      <c r="C57" s="71" t="str">
        <f>進捗一覧!E59</f>
        <v>顧客固有の項目を通行証に追加できるようにするか。追加を認める範囲をどこまでにするか</v>
      </c>
      <c r="D57" s="72" t="str">
        <f>進捗一覧!D59</f>
        <v>確定</v>
      </c>
      <c r="E57" s="70" t="s">
        <v>1259</v>
      </c>
      <c r="F57" s="72" t="s">
        <v>1282</v>
      </c>
      <c r="G57" s="72" t="s">
        <v>1279</v>
      </c>
      <c r="H57" s="80" t="s">
        <v>1335</v>
      </c>
    </row>
    <row r="58" spans="1:8" ht="16">
      <c r="A58" s="69" t="str">
        <f>進捗一覧!K60</f>
        <v>FR-AUTHZ-007</v>
      </c>
      <c r="B58" s="70" t="str">
        <f>進捗一覧!J60</f>
        <v>FR-AUTHZ クレームベース基本認可</v>
      </c>
      <c r="C58" s="71" t="str">
        <f>進捗一覧!E60</f>
        <v>AWSのAPI入口で通行証を検証する共通部品を用意するか</v>
      </c>
      <c r="D58" s="72" t="str">
        <f>進捗一覧!D60</f>
        <v>確定</v>
      </c>
      <c r="E58" s="70" t="s">
        <v>1273</v>
      </c>
      <c r="F58" s="72" t="s">
        <v>1282</v>
      </c>
      <c r="G58" s="72" t="s">
        <v>1290</v>
      </c>
      <c r="H58" s="80" t="s">
        <v>1336</v>
      </c>
    </row>
    <row r="59" spans="1:8" ht="16">
      <c r="A59" s="69" t="str">
        <f>進捗一覧!K61</f>
        <v>FR-AUTHZ-008</v>
      </c>
      <c r="B59" s="70" t="str">
        <f>進捗一覧!J61</f>
        <v>FR-AUTHZ クレームベース基本認可</v>
      </c>
      <c r="C59" s="71" t="str">
        <f>進捗一覧!E61</f>
        <v>通行証の発行元が複数ある状態を、各アプリが受け入れられるようにするか</v>
      </c>
      <c r="D59" s="72" t="str">
        <f>進捗一覧!D61</f>
        <v>確定</v>
      </c>
      <c r="E59" s="70" t="s">
        <v>1337</v>
      </c>
      <c r="F59" s="72" t="s">
        <v>1330</v>
      </c>
      <c r="G59" s="72" t="s">
        <v>1279</v>
      </c>
      <c r="H59" s="80" t="s">
        <v>1338</v>
      </c>
    </row>
    <row r="60" spans="1:8" ht="16">
      <c r="A60" s="69" t="str">
        <f>進捗一覧!K62</f>
        <v>FR-AUTHZ-009</v>
      </c>
      <c r="B60" s="70" t="str">
        <f>進捗一覧!J62</f>
        <v>FR-AUTHZ 細粒度認可</v>
      </c>
      <c r="C60" s="71" t="str">
        <f>進捗一覧!E62</f>
        <v>「この書類はこの人だけ」といった個別データ単位の細かい権限管理が必要か</v>
      </c>
      <c r="D60" s="72" t="str">
        <f>進捗一覧!D62</f>
        <v>外部待ち</v>
      </c>
      <c r="E60" s="70" t="s">
        <v>1254</v>
      </c>
      <c r="F60" s="72" t="s">
        <v>1300</v>
      </c>
      <c r="G60" s="72" t="s">
        <v>1301</v>
      </c>
      <c r="H60" s="80" t="s">
        <v>1339</v>
      </c>
    </row>
    <row r="61" spans="1:8" ht="16">
      <c r="A61" s="69" t="str">
        <f>進捗一覧!K63</f>
        <v>FR-AUTHZ-010</v>
      </c>
      <c r="B61" s="70" t="str">
        <f>進捗一覧!J63</f>
        <v>FR-AUTHZ 細粒度認可</v>
      </c>
      <c r="C61" s="71" t="str">
        <f>進捗一覧!E63</f>
        <v>部署や職位などの属性を組み合わせて、その場で権限を決める仕組みが必要か</v>
      </c>
      <c r="D61" s="72" t="str">
        <f>進捗一覧!D63</f>
        <v>外部待ち</v>
      </c>
      <c r="E61" s="70" t="s">
        <v>1340</v>
      </c>
      <c r="F61" s="72" t="s">
        <v>1300</v>
      </c>
      <c r="G61" s="72" t="s">
        <v>1301</v>
      </c>
      <c r="H61" s="80" t="s">
        <v>1341</v>
      </c>
    </row>
    <row r="62" spans="1:8" ht="16">
      <c r="A62" s="69" t="str">
        <f>進捗一覧!K64</f>
        <v>FR-USER-001</v>
      </c>
      <c r="B62" s="70" t="str">
        <f>進捗一覧!J64</f>
        <v>FR-USER ユーザーCRUD</v>
      </c>
      <c r="C62" s="71" t="str">
        <f>進捗一覧!E64</f>
        <v>利用者情報の登録・変更・削除を、誰がどの画面やAPIから行えるようにするか</v>
      </c>
      <c r="D62" s="72" t="str">
        <f>進捗一覧!D64</f>
        <v>確定</v>
      </c>
      <c r="E62" s="70" t="s">
        <v>1342</v>
      </c>
      <c r="F62" s="72" t="s">
        <v>1343</v>
      </c>
      <c r="G62" s="72" t="s">
        <v>1279</v>
      </c>
      <c r="H62" s="80" t="s">
        <v>1344</v>
      </c>
    </row>
    <row r="63" spans="1:8" ht="16">
      <c r="A63" s="69" t="str">
        <f>進捗一覧!K65</f>
        <v>FR-USER-005</v>
      </c>
      <c r="B63" s="70" t="str">
        <f>進捗一覧!J65</f>
        <v>FR-USER ユーザーCRUD</v>
      </c>
      <c r="C63" s="71" t="str">
        <f>進捗一覧!E65</f>
        <v>利用者の検索・一覧表示に必要な検索条件と表示項目をどうするか</v>
      </c>
      <c r="D63" s="72" t="str">
        <f>進捗一覧!D65</f>
        <v>確定</v>
      </c>
      <c r="E63" s="70" t="s">
        <v>1604</v>
      </c>
      <c r="F63" s="72" t="s">
        <v>1605</v>
      </c>
      <c r="G63" s="72" t="s">
        <v>1416</v>
      </c>
      <c r="H63" s="80" t="s">
        <v>1606</v>
      </c>
    </row>
    <row r="64" spans="1:8" ht="16">
      <c r="A64" s="69" t="str">
        <f>進捗一覧!K66</f>
        <v>FR-USER-006</v>
      </c>
      <c r="B64" s="70" t="str">
        <f>進捗一覧!J66</f>
        <v>FR-USER ユーザーCRUD</v>
      </c>
      <c r="C64" s="71" t="str">
        <f>進捗一覧!E66</f>
        <v>利用者を削除せず一時停止できる状態を用意するか</v>
      </c>
      <c r="D64" s="72" t="str">
        <f>進捗一覧!D66</f>
        <v>確定</v>
      </c>
      <c r="E64" s="70" t="s">
        <v>1345</v>
      </c>
      <c r="F64" s="72" t="s">
        <v>1343</v>
      </c>
      <c r="G64" s="72" t="s">
        <v>1279</v>
      </c>
      <c r="H64" s="80" t="s">
        <v>1346</v>
      </c>
    </row>
    <row r="65" spans="1:8" ht="16">
      <c r="A65" s="69" t="str">
        <f>進捗一覧!K67</f>
        <v>FR-USER-011</v>
      </c>
      <c r="B65" s="70" t="str">
        <f>進捗一覧!J67</f>
        <v>FR-USER ユーザーCRUD</v>
      </c>
      <c r="C65" s="71" t="str">
        <f>進捗一覧!E67</f>
        <v>退職・解約時に利用者情報と関連データをどこまで消すか。保存期間をどうするか</v>
      </c>
      <c r="D65" s="72" t="str">
        <f>進捗一覧!D67</f>
        <v>方向性確定（条件付き）</v>
      </c>
      <c r="E65" s="70" t="s">
        <v>1347</v>
      </c>
      <c r="F65" s="72" t="s">
        <v>1300</v>
      </c>
      <c r="G65" s="72" t="s">
        <v>1279</v>
      </c>
      <c r="H65" s="80" t="s">
        <v>1348</v>
      </c>
    </row>
    <row r="66" spans="1:8" ht="16">
      <c r="A66" s="69" t="str">
        <f>進捗一覧!K68</f>
        <v>FR-USER-002</v>
      </c>
      <c r="B66" s="70" t="str">
        <f>進捗一覧!J68</f>
        <v>FR-USER 属性・ロール</v>
      </c>
      <c r="C66" s="71" t="str">
        <f>進捗一覧!E68</f>
        <v>標準で用意される項目以外に、独自に持たせたい項目を何にするか</v>
      </c>
      <c r="D66" s="72" t="str">
        <f>進捗一覧!D68</f>
        <v>確定</v>
      </c>
      <c r="E66" s="70" t="s">
        <v>1349</v>
      </c>
      <c r="F66" s="72" t="s">
        <v>1304</v>
      </c>
      <c r="G66" s="72" t="s">
        <v>1279</v>
      </c>
      <c r="H66" s="80" t="s">
        <v>1350</v>
      </c>
    </row>
    <row r="67" spans="1:8" ht="16">
      <c r="A67" s="69" t="str">
        <f>進捗一覧!K69</f>
        <v>FR-USER-007</v>
      </c>
      <c r="B67" s="70" t="str">
        <f>進捗一覧!J69</f>
        <v>FR-USER 属性・ロール</v>
      </c>
      <c r="C67" s="71" t="str">
        <f>進捗一覧!E69</f>
        <v>利用者をグループにまとめて管理する必要があるか</v>
      </c>
      <c r="D67" s="72" t="str">
        <f>進捗一覧!D69</f>
        <v>方向性確定（条件付き）</v>
      </c>
      <c r="E67" s="70" t="s">
        <v>1762</v>
      </c>
      <c r="F67" s="72" t="s">
        <v>1763</v>
      </c>
      <c r="G67" s="72" t="s">
        <v>1423</v>
      </c>
      <c r="H67" s="80" t="s">
        <v>1764</v>
      </c>
    </row>
    <row r="68" spans="1:8" ht="16">
      <c r="A68" s="69" t="str">
        <f>進捗一覧!K70</f>
        <v>FR-USER-008</v>
      </c>
      <c r="B68" s="70" t="str">
        <f>進捗一覧!J70</f>
        <v>FR-USER 属性・ロール</v>
      </c>
      <c r="C68" s="71" t="str">
        <f>進捗一覧!E70</f>
        <v>誰がどの役割を割り当てられるようにするか</v>
      </c>
      <c r="D68" s="72" t="str">
        <f>進捗一覧!D70</f>
        <v>方向性確定（条件付き）</v>
      </c>
      <c r="E68" s="70" t="s">
        <v>1351</v>
      </c>
      <c r="F68" s="72" t="s">
        <v>1343</v>
      </c>
      <c r="G68" s="72" t="s">
        <v>1279</v>
      </c>
      <c r="H68" s="80" t="s">
        <v>1352</v>
      </c>
    </row>
    <row r="69" spans="1:8" ht="16">
      <c r="A69" s="69" t="str">
        <f>進捗一覧!K71</f>
        <v>FR-USER-004</v>
      </c>
      <c r="B69" s="70" t="str">
        <f>進捗一覧!J71</f>
        <v>FR-USER セルフサービス</v>
      </c>
      <c r="C69" s="71" t="str">
        <f>進捗一覧!E71</f>
        <v>利用者が自分のプロフィールを自分で編集できる範囲をどこまでにするか</v>
      </c>
      <c r="D69" s="72" t="str">
        <f>進捗一覧!D71</f>
        <v>方向性確定（条件付き）</v>
      </c>
      <c r="E69" s="70" t="s">
        <v>1430</v>
      </c>
      <c r="F69" s="72" t="s">
        <v>1415</v>
      </c>
      <c r="G69" s="72" t="s">
        <v>1408</v>
      </c>
      <c r="H69" s="80" t="s">
        <v>1431</v>
      </c>
    </row>
    <row r="70" spans="1:8" ht="16">
      <c r="A70" s="69" t="str">
        <f>進捗一覧!K72</f>
        <v>FR-USER-012</v>
      </c>
      <c r="B70" s="70" t="str">
        <f>進捗一覧!J72</f>
        <v>FR-USER セルフサービス</v>
      </c>
      <c r="C70" s="71" t="str">
        <f>進捗一覧!E72</f>
        <v>新規登録時に招待メールを送る運用にするか。文面と有効期限をどうするか</v>
      </c>
      <c r="D70" s="72" t="str">
        <f>進捗一覧!D72</f>
        <v>方向性確定（条件付き）</v>
      </c>
      <c r="E70" s="70" t="s">
        <v>1608</v>
      </c>
      <c r="F70" s="72" t="s">
        <v>1609</v>
      </c>
      <c r="G70" s="72" t="s">
        <v>1408</v>
      </c>
      <c r="H70" s="80" t="s">
        <v>1610</v>
      </c>
    </row>
    <row r="71" spans="1:8" ht="16">
      <c r="A71" s="69" t="str">
        <f>進捗一覧!K73</f>
        <v>FR-USER-003</v>
      </c>
      <c r="B71" s="70" t="str">
        <f>進捗一覧!J73</f>
        <v>FR-USER プロビジョニング</v>
      </c>
      <c r="C71" s="71" t="str">
        <f>進捗一覧!E73</f>
        <v>顧客のID基盤から利用者情報を自動同期する標準方式に対応するか</v>
      </c>
      <c r="D71" s="72" t="str">
        <f>進捗一覧!D73</f>
        <v>外部待ち</v>
      </c>
      <c r="E71" s="70" t="s">
        <v>1353</v>
      </c>
      <c r="F71" s="72" t="s">
        <v>1300</v>
      </c>
      <c r="G71" s="72" t="s">
        <v>1279</v>
      </c>
      <c r="H71" s="80" t="s">
        <v>1354</v>
      </c>
    </row>
    <row r="72" spans="1:8" ht="16">
      <c r="A72" s="69" t="str">
        <f>進捗一覧!K74</f>
        <v>FR-USER-009</v>
      </c>
      <c r="B72" s="70" t="str">
        <f>進捗一覧!J74</f>
        <v>FR-USER プロビジョニング</v>
      </c>
      <c r="C72" s="71" t="str">
        <f>進捗一覧!E74</f>
        <v>表形式ファイルによる一括登録を用意するか。1回あたりの上限件数をどうするか</v>
      </c>
      <c r="D72" s="72" t="str">
        <f>進捗一覧!D74</f>
        <v>方向性確定（条件付き）</v>
      </c>
      <c r="E72" s="70" t="s">
        <v>1251</v>
      </c>
      <c r="F72" s="72" t="s">
        <v>1300</v>
      </c>
      <c r="G72" s="72" t="s">
        <v>1290</v>
      </c>
      <c r="H72" s="80" t="s">
        <v>1355</v>
      </c>
    </row>
    <row r="73" spans="1:8" ht="16">
      <c r="A73" s="69" t="str">
        <f>進捗一覧!K75</f>
        <v>FR-USER-010</v>
      </c>
      <c r="B73" s="70" t="str">
        <f>進捗一覧!J75</f>
        <v>FR-USER プロビジョニング</v>
      </c>
      <c r="C73" s="71" t="str">
        <f>進捗一覧!E75</f>
        <v>管理者が利用者のパスワードを強制的に再設定できるようにするか</v>
      </c>
      <c r="D73" s="72" t="str">
        <f>進捗一覧!D75</f>
        <v>確定</v>
      </c>
      <c r="E73" s="70" t="s">
        <v>1247</v>
      </c>
      <c r="F73" s="72" t="s">
        <v>1300</v>
      </c>
      <c r="G73" s="72" t="s">
        <v>1290</v>
      </c>
      <c r="H73" s="80" t="s">
        <v>1356</v>
      </c>
    </row>
    <row r="74" spans="1:8" ht="16">
      <c r="A74" s="69" t="str">
        <f>進捗一覧!K76</f>
        <v>FR-ADMIN-001</v>
      </c>
      <c r="B74" s="70" t="str">
        <f>進捗一覧!J76</f>
        <v>FR-ADMIN 基盤設定管理</v>
      </c>
      <c r="C74" s="71" t="str">
        <f>進捗一覧!E76</f>
        <v>運用担当者が使う管理画面を、どこまで自前で作るか</v>
      </c>
      <c r="D74" s="72" t="str">
        <f>進捗一覧!D76</f>
        <v>確定</v>
      </c>
      <c r="E74" s="70" t="s">
        <v>1357</v>
      </c>
      <c r="F74" s="72" t="s">
        <v>1300</v>
      </c>
      <c r="G74" s="72" t="s">
        <v>1279</v>
      </c>
      <c r="H74" s="80" t="s">
        <v>1358</v>
      </c>
    </row>
    <row r="75" spans="1:8" ht="16">
      <c r="A75" s="69" t="str">
        <f>進捗一覧!K77</f>
        <v>FR-ADMIN-002</v>
      </c>
      <c r="B75" s="70" t="str">
        <f>進捗一覧!J77</f>
        <v>FR-ADMIN 基盤設定管理</v>
      </c>
      <c r="C75" s="71" t="str">
        <f>進捗一覧!E77</f>
        <v>顧客テナントの追加・削除を誰がどの手順で行うか</v>
      </c>
      <c r="D75" s="72" t="str">
        <f>進捗一覧!D77</f>
        <v>方向性確定（条件付き）</v>
      </c>
      <c r="E75" s="70" t="s">
        <v>1611</v>
      </c>
      <c r="F75" s="72" t="s">
        <v>1612</v>
      </c>
      <c r="G75" s="72" t="s">
        <v>1408</v>
      </c>
      <c r="H75" s="80" t="s">
        <v>1613</v>
      </c>
    </row>
    <row r="76" spans="1:8" ht="16">
      <c r="A76" s="69" t="str">
        <f>進捗一覧!K78</f>
        <v>FR-ADMIN-003</v>
      </c>
      <c r="B76" s="70" t="str">
        <f>進捗一覧!J78</f>
        <v>FR-ADMIN 基盤設定管理</v>
      </c>
      <c r="C76" s="71" t="str">
        <f>進捗一覧!E78</f>
        <v>顧客のID基盤の登録・変更・削除を誰がどの手順で行うか</v>
      </c>
      <c r="D76" s="72" t="str">
        <f>進捗一覧!D78</f>
        <v>確定</v>
      </c>
      <c r="E76" s="70" t="s">
        <v>1359</v>
      </c>
      <c r="F76" s="72" t="s">
        <v>1278</v>
      </c>
      <c r="G76" s="72" t="s">
        <v>1279</v>
      </c>
      <c r="H76" s="80" t="s">
        <v>1360</v>
      </c>
    </row>
    <row r="77" spans="1:8" ht="16">
      <c r="A77" s="69" t="str">
        <f>進捗一覧!K79</f>
        <v>FR-ADMIN-004</v>
      </c>
      <c r="B77" s="70" t="str">
        <f>進捗一覧!J79</f>
        <v>FR-ADMIN 基盤設定管理</v>
      </c>
      <c r="C77" s="71" t="str">
        <f>進捗一覧!E79</f>
        <v>アプリの登録と設定変更を誰がどの手順で行うか</v>
      </c>
      <c r="D77" s="72" t="str">
        <f>進捗一覧!D79</f>
        <v>確定</v>
      </c>
      <c r="E77" s="70" t="s">
        <v>1246</v>
      </c>
      <c r="F77" s="72" t="s">
        <v>1278</v>
      </c>
      <c r="G77" s="72" t="s">
        <v>1279</v>
      </c>
      <c r="H77" s="80" t="s">
        <v>1361</v>
      </c>
    </row>
    <row r="78" spans="1:8" ht="16">
      <c r="A78" s="69" t="str">
        <f>進捗一覧!K80</f>
        <v>FR-ADMIN-005</v>
      </c>
      <c r="B78" s="70" t="str">
        <f>進捗一覧!J80</f>
        <v>FR-ADMIN 基盤設定管理</v>
      </c>
      <c r="C78" s="71" t="str">
        <f>進捗一覧!E80</f>
        <v>どんな役割を用意するかの定義を、誰が管理するか</v>
      </c>
      <c r="D78" s="72" t="str">
        <f>進捗一覧!D80</f>
        <v>方向性確定（条件付き）</v>
      </c>
      <c r="E78" s="70" t="s">
        <v>1614</v>
      </c>
      <c r="F78" s="72" t="s">
        <v>1615</v>
      </c>
      <c r="G78" s="72" t="s">
        <v>1416</v>
      </c>
      <c r="H78" s="80" t="s">
        <v>1616</v>
      </c>
    </row>
    <row r="79" spans="1:8" ht="16">
      <c r="A79" s="69" t="str">
        <f>進捗一覧!K81</f>
        <v>FR-ADMIN-009</v>
      </c>
      <c r="B79" s="70" t="str">
        <f>進捗一覧!J81</f>
        <v>FR-ADMIN 基盤設定管理</v>
      </c>
      <c r="C79" s="71" t="str">
        <f>進捗一覧!E81</f>
        <v>顧客ごとの設定が互いに見えない・触れない状態を、どう担保するか</v>
      </c>
      <c r="D79" s="72" t="str">
        <f>進捗一覧!D81</f>
        <v>確定</v>
      </c>
      <c r="E79" s="70" t="s">
        <v>1362</v>
      </c>
      <c r="F79" s="72" t="s">
        <v>1330</v>
      </c>
      <c r="G79" s="72" t="s">
        <v>1279</v>
      </c>
      <c r="H79" s="80" t="s">
        <v>1363</v>
      </c>
    </row>
    <row r="80" spans="1:8" ht="16">
      <c r="A80" s="69" t="str">
        <f>進捗一覧!K82</f>
        <v>FR-ADMIN-007</v>
      </c>
      <c r="B80" s="70" t="str">
        <f>進捗一覧!J82</f>
        <v>FR-ADMIN 監査・可視性</v>
      </c>
      <c r="C80" s="71" t="str">
        <f>進捗一覧!E82</f>
        <v>誰がいつ何をしたかの記録を、誰がどの画面で見られるようにするか</v>
      </c>
      <c r="D80" s="72" t="str">
        <f>進捗一覧!D82</f>
        <v>方向性確定（条件付き）</v>
      </c>
      <c r="E80" s="70" t="s">
        <v>1564</v>
      </c>
      <c r="F80" s="72" t="s">
        <v>1565</v>
      </c>
      <c r="G80" s="72" t="s">
        <v>1416</v>
      </c>
      <c r="H80" s="80" t="s">
        <v>1566</v>
      </c>
    </row>
    <row r="81" spans="1:8" ht="16">
      <c r="A81" s="69" t="str">
        <f>進捗一覧!K83</f>
        <v>FR-ADMIN-008</v>
      </c>
      <c r="B81" s="70" t="str">
        <f>進捗一覧!J83</f>
        <v>FR-ADMIN 監査・可視性</v>
      </c>
      <c r="C81" s="71" t="str">
        <f>進捗一覧!E83</f>
        <v>設定変更の履歴をどこまで残し、いつまで保存するか</v>
      </c>
      <c r="D81" s="72" t="str">
        <f>進捗一覧!D83</f>
        <v>方向性確定（条件付き）</v>
      </c>
      <c r="E81" s="70" t="s">
        <v>1567</v>
      </c>
      <c r="F81" s="72" t="s">
        <v>1568</v>
      </c>
      <c r="G81" s="72" t="s">
        <v>1416</v>
      </c>
      <c r="H81" s="80" t="s">
        <v>1569</v>
      </c>
    </row>
    <row r="82" spans="1:8" ht="16">
      <c r="A82" s="69" t="str">
        <f>進捗一覧!K84</f>
        <v>FR-ADMIN-006</v>
      </c>
      <c r="B82" s="70" t="str">
        <f>進捗一覧!J84</f>
        <v>FR-ADMIN 権限委譲・カスタマイズ</v>
      </c>
      <c r="C82" s="71" t="str">
        <f>進捗一覧!E84</f>
        <v>管理画面の操作権限をどこまで分ける必要があるか</v>
      </c>
      <c r="D82" s="72" t="str">
        <f>進捗一覧!D84</f>
        <v>外部待ち</v>
      </c>
      <c r="E82" s="70" t="s">
        <v>1617</v>
      </c>
      <c r="F82" s="72" t="s">
        <v>1605</v>
      </c>
      <c r="G82" s="72" t="s">
        <v>1416</v>
      </c>
      <c r="H82" s="80" t="s">
        <v>1618</v>
      </c>
    </row>
    <row r="83" spans="1:8" ht="16">
      <c r="A83" s="69" t="str">
        <f>進捗一覧!K85</f>
        <v>FR-ADMIN-010</v>
      </c>
      <c r="B83" s="70" t="str">
        <f>進捗一覧!J85</f>
        <v>FR-ADMIN 権限委譲・カスタマイズ</v>
      </c>
      <c r="C83" s="71" t="str">
        <f>進捗一覧!E85</f>
        <v>運用担当者側の役割分担（見るだけ／変更できる等）をどう分けるか</v>
      </c>
      <c r="D83" s="72" t="str">
        <f>進捗一覧!D85</f>
        <v>方向性確定（条件付き）</v>
      </c>
      <c r="E83" s="70" t="s">
        <v>1364</v>
      </c>
      <c r="F83" s="72" t="s">
        <v>1304</v>
      </c>
      <c r="G83" s="72" t="s">
        <v>1290</v>
      </c>
      <c r="H83" s="80" t="s">
        <v>1365</v>
      </c>
    </row>
    <row r="84" spans="1:8" ht="16">
      <c r="A84" s="69" t="str">
        <f>進捗一覧!K86</f>
        <v>FR-ADMIN-011</v>
      </c>
      <c r="B84" s="70" t="str">
        <f>進捗一覧!J86</f>
        <v>FR-ADMIN 権限委譲・カスタマイズ</v>
      </c>
      <c r="C84" s="71" t="str">
        <f>進捗一覧!E86</f>
        <v>顧客自身に自社の利用者管理を任せるか。任せる範囲をどこまでにするか</v>
      </c>
      <c r="D84" s="72" t="str">
        <f>進捗一覧!D86</f>
        <v>外部待ち</v>
      </c>
      <c r="E84" s="70" t="s">
        <v>1366</v>
      </c>
      <c r="F84" s="72" t="s">
        <v>1367</v>
      </c>
      <c r="G84" s="72" t="s">
        <v>1279</v>
      </c>
      <c r="H84" s="80" t="s">
        <v>1368</v>
      </c>
    </row>
    <row r="85" spans="1:8" ht="16">
      <c r="A85" s="69" t="str">
        <f>進捗一覧!K87</f>
        <v>FR-ADMIN-012</v>
      </c>
      <c r="B85" s="70" t="str">
        <f>進捗一覧!J87</f>
        <v>FR-ADMIN 権限委譲・カスタマイズ</v>
      </c>
      <c r="C85" s="71" t="str">
        <f>進捗一覧!E87</f>
        <v>ログイン画面を顧客ごとのロゴや配色に変えられるようにするか。どこまで変えられるか</v>
      </c>
      <c r="D85" s="72" t="str">
        <f>進捗一覧!D87</f>
        <v>方向性確定（条件付き）</v>
      </c>
      <c r="E85" s="70" t="s">
        <v>1433</v>
      </c>
      <c r="F85" s="72" t="s">
        <v>1407</v>
      </c>
      <c r="G85" s="72" t="s">
        <v>1416</v>
      </c>
      <c r="H85" s="80" t="s">
        <v>1434</v>
      </c>
    </row>
    <row r="86" spans="1:8" ht="16">
      <c r="A86" s="69" t="str">
        <f>進捗一覧!K88</f>
        <v>FR-INT-001</v>
      </c>
      <c r="B86" s="70" t="str">
        <f>進捗一覧!J88</f>
        <v>FR-INT プロトコル準拠</v>
      </c>
      <c r="C86" s="71" t="str">
        <f>進捗一覧!E88</f>
        <v>業界標準の認証仕様に準拠する方針でよいか</v>
      </c>
      <c r="D86" s="72" t="str">
        <f>進捗一覧!D88</f>
        <v>確定</v>
      </c>
      <c r="E86" s="70" t="s">
        <v>1369</v>
      </c>
      <c r="F86" s="72" t="s">
        <v>1282</v>
      </c>
      <c r="G86" s="72" t="s">
        <v>1279</v>
      </c>
      <c r="H86" s="80" t="s">
        <v>1370</v>
      </c>
    </row>
    <row r="87" spans="1:8" ht="16">
      <c r="A87" s="69" t="str">
        <f>進捗一覧!K89</f>
        <v>FR-INT-002</v>
      </c>
      <c r="B87" s="70" t="str">
        <f>進捗一覧!J89</f>
        <v>FR-INT プロトコル準拠</v>
      </c>
      <c r="C87" s="71" t="str">
        <f>進捗一覧!E89</f>
        <v>アプリが接続設定を自動取得できる標準の窓口を公開するか</v>
      </c>
      <c r="D87" s="72" t="str">
        <f>進捗一覧!D89</f>
        <v>確定</v>
      </c>
      <c r="E87" s="70" t="s">
        <v>1765</v>
      </c>
      <c r="F87" s="72" t="s">
        <v>1605</v>
      </c>
      <c r="G87" s="72" t="s">
        <v>1416</v>
      </c>
      <c r="H87" s="80" t="s">
        <v>1766</v>
      </c>
    </row>
    <row r="88" spans="1:8" ht="16">
      <c r="A88" s="69" t="str">
        <f>進捗一覧!K90</f>
        <v>FR-INT-003</v>
      </c>
      <c r="B88" s="70" t="str">
        <f>進捗一覧!J90</f>
        <v>FR-INT プロトコル準拠</v>
      </c>
      <c r="C88" s="71" t="str">
        <f>進捗一覧!E90</f>
        <v>通行証の正しさを検証するための鍵情報を公開する窓口を用意するか</v>
      </c>
      <c r="D88" s="72" t="str">
        <f>進捗一覧!D90</f>
        <v>確定</v>
      </c>
      <c r="E88" s="70" t="s">
        <v>1273</v>
      </c>
      <c r="F88" s="72" t="s">
        <v>1282</v>
      </c>
      <c r="G88" s="72" t="s">
        <v>1279</v>
      </c>
      <c r="H88" s="80" t="s">
        <v>1371</v>
      </c>
    </row>
    <row r="89" spans="1:8" ht="16">
      <c r="A89" s="69" t="str">
        <f>進捗一覧!K91</f>
        <v>FR-INT-004</v>
      </c>
      <c r="B89" s="70" t="str">
        <f>進捗一覧!J91</f>
        <v>FR-INT プロトコル準拠</v>
      </c>
      <c r="C89" s="71" t="str">
        <f>進捗一覧!E91</f>
        <v>旧来方式（SAML）向けの接続情報を公開する必要があるか</v>
      </c>
      <c r="D89" s="72" t="str">
        <f>進捗一覧!D91</f>
        <v>方向性確定（条件付き）</v>
      </c>
      <c r="E89" s="70" t="s">
        <v>1619</v>
      </c>
      <c r="F89" s="72" t="s">
        <v>1615</v>
      </c>
      <c r="G89" s="72" t="s">
        <v>1416</v>
      </c>
      <c r="H89" s="80" t="s">
        <v>1620</v>
      </c>
    </row>
    <row r="90" spans="1:8" ht="16">
      <c r="A90" s="69" t="str">
        <f>進捗一覧!K92</f>
        <v>FR-INT-007</v>
      </c>
      <c r="B90" s="70" t="str">
        <f>進捗一覧!J92</f>
        <v>FR-INT プロトコル準拠</v>
      </c>
      <c r="C90" s="71" t="str">
        <f>進捗一覧!E92</f>
        <v>AWSのAPI入口との接続方法を標準化するか</v>
      </c>
      <c r="D90" s="72" t="str">
        <f>進捗一覧!D92</f>
        <v>確定</v>
      </c>
      <c r="E90" s="70" t="s">
        <v>1273</v>
      </c>
      <c r="F90" s="72" t="s">
        <v>1282</v>
      </c>
      <c r="G90" s="72" t="s">
        <v>1290</v>
      </c>
      <c r="H90" s="80" t="s">
        <v>1336</v>
      </c>
    </row>
    <row r="91" spans="1:8" ht="16">
      <c r="A91" s="69" t="str">
        <f>進捗一覧!K93</f>
        <v>FR-INT-008</v>
      </c>
      <c r="B91" s="70" t="str">
        <f>進捗一覧!J93</f>
        <v>FR-INT ログ・監視</v>
      </c>
      <c r="C91" s="71" t="str">
        <f>進捗一覧!E93</f>
        <v>操作記録を外部にどの形式・どの頻度で出すか</v>
      </c>
      <c r="D91" s="72" t="str">
        <f>進捗一覧!D93</f>
        <v>方向性確定（条件付き）</v>
      </c>
      <c r="E91" s="70" t="s">
        <v>1570</v>
      </c>
      <c r="F91" s="72" t="s">
        <v>1568</v>
      </c>
      <c r="G91" s="72" t="s">
        <v>1416</v>
      </c>
      <c r="H91" s="80" t="s">
        <v>1571</v>
      </c>
    </row>
    <row r="92" spans="1:8" ht="16">
      <c r="A92" s="69" t="str">
        <f>進捗一覧!K94</f>
        <v>FR-INT-009</v>
      </c>
      <c r="B92" s="70" t="str">
        <f>進捗一覧!J94</f>
        <v>FR-INT ログ・監視</v>
      </c>
      <c r="C92" s="71" t="str">
        <f>進捗一覧!E94</f>
        <v>操作記録をセキュリティ監視製品に送る必要があるか。送り先をどこにするか</v>
      </c>
      <c r="D92" s="72" t="str">
        <f>進捗一覧!D94</f>
        <v>外部待ち</v>
      </c>
      <c r="E92" s="70" t="s">
        <v>1621</v>
      </c>
      <c r="F92" s="72" t="s">
        <v>1622</v>
      </c>
      <c r="G92" s="72" t="s">
        <v>1408</v>
      </c>
      <c r="H92" s="80" t="s">
        <v>1623</v>
      </c>
    </row>
    <row r="93" spans="1:8" ht="16">
      <c r="A93" s="69" t="str">
        <f>進捗一覧!K95</f>
        <v>FR-INT-005</v>
      </c>
      <c r="B93" s="70" t="str">
        <f>進捗一覧!J95</f>
        <v>FR-INT API・IaC・Webhook</v>
      </c>
      <c r="C93" s="71" t="str">
        <f>進捗一覧!E95</f>
        <v>利用者が作られた等の出来事を他システムに自動通知する必要があるか。通知先と項目をどうするか</v>
      </c>
      <c r="D93" s="72" t="str">
        <f>進捗一覧!D95</f>
        <v>外部待ち</v>
      </c>
      <c r="E93" s="70" t="s">
        <v>1624</v>
      </c>
      <c r="F93" s="72" t="s">
        <v>1607</v>
      </c>
      <c r="G93" s="72" t="s">
        <v>1416</v>
      </c>
      <c r="H93" s="80" t="s">
        <v>1625</v>
      </c>
    </row>
    <row r="94" spans="1:8" ht="16">
      <c r="A94" s="69" t="str">
        <f>進捗一覧!K96</f>
        <v>FR-INT-006</v>
      </c>
      <c r="B94" s="70" t="str">
        <f>進捗一覧!J96</f>
        <v>FR-INT API・IaC・Webhook</v>
      </c>
      <c r="C94" s="71" t="str">
        <f>進捗一覧!E96</f>
        <v>外部から設定や利用者を操作するためのAPIを、どこまで公開するか</v>
      </c>
      <c r="D94" s="72" t="str">
        <f>進捗一覧!D96</f>
        <v>方向性確定（条件付き）</v>
      </c>
      <c r="E94" s="70" t="s">
        <v>1372</v>
      </c>
      <c r="F94" s="72" t="s">
        <v>1367</v>
      </c>
      <c r="G94" s="72" t="s">
        <v>1279</v>
      </c>
      <c r="H94" s="80" t="s">
        <v>1373</v>
      </c>
    </row>
    <row r="95" spans="1:8" ht="16">
      <c r="A95" s="69" t="str">
        <f>進捗一覧!K97</f>
        <v>FR-INT-010</v>
      </c>
      <c r="B95" s="70" t="str">
        <f>進捗一覧!J97</f>
        <v>FR-INT API・IaC・Webhook</v>
      </c>
      <c r="C95" s="71" t="str">
        <f>進捗一覧!E97</f>
        <v>設定を手作業ではなくコードで管理する方針でよいか。対象範囲をどこまでにするか</v>
      </c>
      <c r="D95" s="72" t="str">
        <f>進捗一覧!D97</f>
        <v>確定</v>
      </c>
      <c r="E95" s="70" t="s">
        <v>1246</v>
      </c>
      <c r="F95" s="72" t="s">
        <v>1278</v>
      </c>
      <c r="G95" s="72" t="s">
        <v>1279</v>
      </c>
      <c r="H95" s="80" t="s">
        <v>1374</v>
      </c>
    </row>
    <row r="96" spans="1:8" ht="16">
      <c r="A96" s="69" t="str">
        <f>進捗一覧!K98</f>
        <v>NFR-AVL-001</v>
      </c>
      <c r="B96" s="70" t="str">
        <f>進捗一覧!J98</f>
        <v>NFR-AVL 可用性</v>
      </c>
      <c r="C96" s="71" t="str">
        <f>進捗一覧!E98</f>
        <v>何％の稼働率を顧客に約束するか。約束を下回ったときの扱いをどうするか。最重要の確認事項</v>
      </c>
      <c r="D96" s="72" t="str">
        <f>進捗一覧!D98</f>
        <v>外部待ち</v>
      </c>
      <c r="E96" s="70" t="s">
        <v>1486</v>
      </c>
      <c r="F96" s="72" t="s">
        <v>1487</v>
      </c>
      <c r="G96" s="72" t="s">
        <v>1416</v>
      </c>
      <c r="H96" s="80" t="s">
        <v>1488</v>
      </c>
    </row>
    <row r="97" spans="1:8" ht="16">
      <c r="A97" s="69" t="str">
        <f>進捗一覧!K99</f>
        <v>NFR-AVL-002</v>
      </c>
      <c r="B97" s="70" t="str">
        <f>進捗一覧!J99</f>
        <v>NFR-AVL 可用性</v>
      </c>
      <c r="C97" s="71" t="str">
        <f>進捗一覧!E99</f>
        <v>計画的な停止作業をいつ・どのくらいの頻度で行うか。事前通知をいつ出すか</v>
      </c>
      <c r="D97" s="72" t="str">
        <f>進捗一覧!D99</f>
        <v>外部待ち</v>
      </c>
      <c r="E97" s="70" t="s">
        <v>1489</v>
      </c>
      <c r="F97" s="72" t="s">
        <v>1487</v>
      </c>
      <c r="G97" s="72" t="s">
        <v>1416</v>
      </c>
      <c r="H97" s="80" t="s">
        <v>1490</v>
      </c>
    </row>
    <row r="98" spans="1:8" ht="16">
      <c r="A98" s="69" t="str">
        <f>進捗一覧!K100</f>
        <v>NFR-AVL-003</v>
      </c>
      <c r="B98" s="70" t="str">
        <f>進捗一覧!J100</f>
        <v>NFR-AVL 可用性</v>
      </c>
      <c r="C98" s="71" t="str">
        <f>進捗一覧!E100</f>
        <v>障害に備えて設備を複数の場所に分けて置くか</v>
      </c>
      <c r="D98" s="72" t="str">
        <f>進捗一覧!D100</f>
        <v>方向性確定（条件付き）</v>
      </c>
      <c r="E98" s="70" t="s">
        <v>1491</v>
      </c>
      <c r="F98" s="72" t="s">
        <v>1487</v>
      </c>
      <c r="G98" s="72" t="s">
        <v>1416</v>
      </c>
      <c r="H98" s="80" t="s">
        <v>1492</v>
      </c>
    </row>
    <row r="99" spans="1:8" ht="16">
      <c r="A99" s="69" t="str">
        <f>進捗一覧!K101</f>
        <v>NFR-AVL-004</v>
      </c>
      <c r="B99" s="70" t="str">
        <f>進捗一覧!J101</f>
        <v>NFR-AVL 可用性</v>
      </c>
      <c r="C99" s="71" t="str">
        <f>進捗一覧!E101</f>
        <v>部品が落ちたときに自動で立ち上げ直す仕組みを入れるか</v>
      </c>
      <c r="D99" s="72" t="str">
        <f>進捗一覧!D101</f>
        <v>確定</v>
      </c>
      <c r="E99" s="70" t="s">
        <v>1491</v>
      </c>
      <c r="F99" s="72" t="s">
        <v>1487</v>
      </c>
      <c r="G99" s="72" t="s">
        <v>1416</v>
      </c>
      <c r="H99" s="80" t="s">
        <v>1493</v>
      </c>
    </row>
    <row r="100" spans="1:8" ht="16">
      <c r="A100" s="69" t="str">
        <f>進捗一覧!K102</f>
        <v>NFR-AVL-005</v>
      </c>
      <c r="B100" s="70" t="str">
        <f>進捗一覧!J102</f>
        <v>NFR-AVL 可用性</v>
      </c>
      <c r="C100" s="71" t="str">
        <f>進捗一覧!E102</f>
        <v>1か所壊れると全部止まる箇所をなくす方針でよいか</v>
      </c>
      <c r="D100" s="72" t="str">
        <f>進捗一覧!D102</f>
        <v>方向性確定（条件付き）</v>
      </c>
      <c r="E100" s="70" t="s">
        <v>1494</v>
      </c>
      <c r="F100" s="72" t="s">
        <v>1487</v>
      </c>
      <c r="G100" s="72" t="s">
        <v>1416</v>
      </c>
      <c r="H100" s="80" t="s">
        <v>1495</v>
      </c>
    </row>
    <row r="101" spans="1:8" ht="16">
      <c r="A101" s="69" t="str">
        <f>進捗一覧!K103</f>
        <v>NFR-AVL-006</v>
      </c>
      <c r="B101" s="70" t="str">
        <f>進捗一覧!J103</f>
        <v>NFR-AVL 可用性</v>
      </c>
      <c r="C101" s="71" t="str">
        <f>進捗一覧!E103</f>
        <v>更新作業中もサービスを止めない方式にするか</v>
      </c>
      <c r="D101" s="72" t="str">
        <f>進捗一覧!D103</f>
        <v>方向性確定（条件付き）</v>
      </c>
      <c r="E101" s="70" t="s">
        <v>1496</v>
      </c>
      <c r="F101" s="72" t="s">
        <v>1487</v>
      </c>
      <c r="G101" s="72" t="s">
        <v>1416</v>
      </c>
      <c r="H101" s="80" t="s">
        <v>1497</v>
      </c>
    </row>
    <row r="102" spans="1:8" ht="16">
      <c r="A102" s="69" t="str">
        <f>進捗一覧!K104</f>
        <v>NFR-PERF-001</v>
      </c>
      <c r="B102" s="70" t="str">
        <f>進捗一覧!J104</f>
        <v>NFR-PERF 応答時間/レイテンシ</v>
      </c>
      <c r="C102" s="71" t="str">
        <f>進捗一覧!E104</f>
        <v>ログインが何秒以内に返れば合格とするか</v>
      </c>
      <c r="D102" s="72" t="str">
        <f>進捗一覧!D104</f>
        <v>方向性確定（条件付き）</v>
      </c>
      <c r="E102" s="70" t="s">
        <v>1525</v>
      </c>
      <c r="F102" s="72" t="s">
        <v>1526</v>
      </c>
      <c r="G102" s="72" t="s">
        <v>1408</v>
      </c>
      <c r="H102" s="80" t="s">
        <v>1527</v>
      </c>
    </row>
    <row r="103" spans="1:8" ht="16">
      <c r="A103" s="69" t="str">
        <f>進捗一覧!K105</f>
        <v>NFR-PERF-003</v>
      </c>
      <c r="B103" s="70" t="str">
        <f>進捗一覧!J105</f>
        <v>NFR-PERF 応答時間/レイテンシ</v>
      </c>
      <c r="C103" s="71" t="str">
        <f>進捗一覧!E105</f>
        <v>権限チェック部分の応答時間の目標をどこに置くか</v>
      </c>
      <c r="D103" s="72" t="str">
        <f>進捗一覧!D105</f>
        <v>確定</v>
      </c>
      <c r="E103" s="70" t="s">
        <v>1755</v>
      </c>
      <c r="F103" s="72" t="s">
        <v>1568</v>
      </c>
      <c r="G103" s="72" t="s">
        <v>1408</v>
      </c>
      <c r="H103" s="80" t="s">
        <v>1756</v>
      </c>
    </row>
    <row r="104" spans="1:8" ht="16">
      <c r="A104" s="69" t="str">
        <f>進捗一覧!K106</f>
        <v>NFR-PERF-004</v>
      </c>
      <c r="B104" s="70" t="str">
        <f>進捗一覧!J106</f>
        <v>NFR-PERF 応答時間/レイテンシ</v>
      </c>
      <c r="C104" s="71" t="str">
        <f>進捗一覧!E106</f>
        <v>通行証の検証を1秒あたり何件さばく必要があるか</v>
      </c>
      <c r="D104" s="72" t="str">
        <f>進捗一覧!D106</f>
        <v>確定</v>
      </c>
      <c r="E104" s="70" t="s">
        <v>1755</v>
      </c>
      <c r="F104" s="72" t="s">
        <v>1568</v>
      </c>
      <c r="G104" s="72" t="s">
        <v>1408</v>
      </c>
      <c r="H104" s="80" t="s">
        <v>1757</v>
      </c>
    </row>
    <row r="105" spans="1:8" ht="16">
      <c r="A105" s="69" t="str">
        <f>進捗一覧!K107</f>
        <v>NFR-PERF-005</v>
      </c>
      <c r="B105" s="70" t="str">
        <f>進捗一覧!J107</f>
        <v>NFR-PERF 応答時間/レイテンシ</v>
      </c>
      <c r="C105" s="71" t="str">
        <f>進捗一覧!E107</f>
        <v>検証用の鍵情報を各アプリが何分間覚えておくか</v>
      </c>
      <c r="D105" s="72" t="str">
        <f>進捗一覧!D107</f>
        <v>確定</v>
      </c>
      <c r="E105" s="70" t="s">
        <v>1529</v>
      </c>
      <c r="F105" s="72" t="s">
        <v>1528</v>
      </c>
      <c r="G105" s="72" t="s">
        <v>1408</v>
      </c>
      <c r="H105" s="80" t="s">
        <v>1530</v>
      </c>
    </row>
    <row r="106" spans="1:8" ht="16">
      <c r="A106" s="69" t="str">
        <f>進捗一覧!K108</f>
        <v>NFR-PERF-008</v>
      </c>
      <c r="B106" s="70" t="str">
        <f>進捗一覧!J108</f>
        <v>NFR-PERF 応答時間/レイテンシ</v>
      </c>
      <c r="C106" s="71" t="str">
        <f>進捗一覧!E108</f>
        <v>データベースの応答時間の目標をどこに置くか</v>
      </c>
      <c r="D106" s="72" t="str">
        <f>進捗一覧!D108</f>
        <v>方向性確定（条件付き）</v>
      </c>
      <c r="E106" s="70" t="s">
        <v>1531</v>
      </c>
      <c r="F106" s="72" t="s">
        <v>1526</v>
      </c>
      <c r="G106" s="72" t="s">
        <v>1408</v>
      </c>
      <c r="H106" s="80" t="s">
        <v>1532</v>
      </c>
    </row>
    <row r="107" spans="1:8" ht="16">
      <c r="A107" s="69" t="str">
        <f>進捗一覧!K109</f>
        <v>NFR-PERF-002</v>
      </c>
      <c r="B107" s="70" t="str">
        <f>進捗一覧!J109</f>
        <v>NFR-PERF スループット/スケール耐性</v>
      </c>
      <c r="C107" s="71" t="str">
        <f>進捗一覧!E109</f>
        <v>ログインが集中したとき、同時に何件まで耐える必要があるか</v>
      </c>
      <c r="D107" s="72" t="str">
        <f>進捗一覧!D109</f>
        <v>外部待ち</v>
      </c>
      <c r="E107" s="70" t="s">
        <v>1533</v>
      </c>
      <c r="F107" s="72" t="s">
        <v>1526</v>
      </c>
      <c r="G107" s="72" t="s">
        <v>1416</v>
      </c>
      <c r="H107" s="80" t="s">
        <v>1534</v>
      </c>
    </row>
    <row r="108" spans="1:8" ht="16">
      <c r="A108" s="69" t="str">
        <f>進捗一覧!K110</f>
        <v>NFR-PERF-006</v>
      </c>
      <c r="B108" s="70" t="str">
        <f>進捗一覧!J110</f>
        <v>NFR-PERF スループット/スケール耐性</v>
      </c>
      <c r="C108" s="71" t="str">
        <f>進捗一覧!E110</f>
        <v>入口で1秒あたりの受付上限をいくつにするか</v>
      </c>
      <c r="D108" s="72" t="str">
        <f>進捗一覧!D110</f>
        <v>外部待ち</v>
      </c>
      <c r="E108" s="70" t="s">
        <v>1535</v>
      </c>
      <c r="F108" s="72" t="s">
        <v>1526</v>
      </c>
      <c r="G108" s="72" t="s">
        <v>1408</v>
      </c>
      <c r="H108" s="80" t="s">
        <v>1536</v>
      </c>
    </row>
    <row r="109" spans="1:8" ht="16">
      <c r="A109" s="69" t="str">
        <f>進捗一覧!K111</f>
        <v>NFR-PERF-007</v>
      </c>
      <c r="B109" s="70" t="str">
        <f>進捗一覧!J111</f>
        <v>NFR-PERF スループット/スケール耐性</v>
      </c>
      <c r="C109" s="71" t="str">
        <f>進捗一覧!E111</f>
        <v>始業時など混み合う時間帯の想定と、その山をどう吸収するか</v>
      </c>
      <c r="D109" s="72" t="str">
        <f>進捗一覧!D111</f>
        <v>方向性確定（条件付き）</v>
      </c>
      <c r="E109" s="70" t="s">
        <v>1537</v>
      </c>
      <c r="F109" s="72" t="s">
        <v>1526</v>
      </c>
      <c r="G109" s="72" t="s">
        <v>1416</v>
      </c>
      <c r="H109" s="80" t="s">
        <v>1538</v>
      </c>
    </row>
    <row r="110" spans="1:8" ht="16">
      <c r="A110" s="69" t="str">
        <f>進捗一覧!K112</f>
        <v>NFR-SCL-001</v>
      </c>
      <c r="B110" s="70" t="str">
        <f>進捗一覧!J112</f>
        <v>NFR-SCL 拡張性</v>
      </c>
      <c r="C110" s="71" t="str">
        <f>進捗一覧!E112</f>
        <v>利用者数の上限をいくらと想定して設計するか。最重要の確認事項</v>
      </c>
      <c r="D110" s="72" t="str">
        <f>進捗一覧!D112</f>
        <v>外部待ち</v>
      </c>
      <c r="E110" s="70" t="s">
        <v>1539</v>
      </c>
      <c r="F110" s="72" t="s">
        <v>1526</v>
      </c>
      <c r="G110" s="72" t="s">
        <v>1416</v>
      </c>
      <c r="H110" s="80" t="s">
        <v>1540</v>
      </c>
    </row>
    <row r="111" spans="1:8" ht="16">
      <c r="A111" s="69" t="str">
        <f>進捗一覧!K113</f>
        <v>NFR-SCL-002</v>
      </c>
      <c r="B111" s="70" t="str">
        <f>進捗一覧!J113</f>
        <v>NFR-SCL 拡張性</v>
      </c>
      <c r="C111" s="71" t="str">
        <f>進捗一覧!E113</f>
        <v>同時にログイン状態になる人数を、最大いくらと見込むか</v>
      </c>
      <c r="D111" s="72" t="str">
        <f>進捗一覧!D113</f>
        <v>外部待ち</v>
      </c>
      <c r="E111" s="70" t="s">
        <v>1541</v>
      </c>
      <c r="F111" s="72" t="s">
        <v>1526</v>
      </c>
      <c r="G111" s="72" t="s">
        <v>1408</v>
      </c>
      <c r="H111" s="80" t="s">
        <v>1542</v>
      </c>
    </row>
    <row r="112" spans="1:8" ht="16">
      <c r="A112" s="69" t="str">
        <f>進捗一覧!K114</f>
        <v>NFR-SCL-003</v>
      </c>
      <c r="B112" s="70" t="str">
        <f>進捗一覧!J114</f>
        <v>NFR-SCL 拡張性</v>
      </c>
      <c r="C112" s="71" t="str">
        <f>進捗一覧!E114</f>
        <v>顧客の数（接続するID基盤の数）を最大いくらと見込むか</v>
      </c>
      <c r="D112" s="72" t="str">
        <f>進捗一覧!D114</f>
        <v>方向性確定（条件付き）</v>
      </c>
      <c r="E112" s="70" t="s">
        <v>1375</v>
      </c>
      <c r="F112" s="72" t="s">
        <v>1278</v>
      </c>
      <c r="G112" s="72" t="s">
        <v>1279</v>
      </c>
      <c r="H112" s="80" t="s">
        <v>1376</v>
      </c>
    </row>
    <row r="113" spans="1:8" ht="16">
      <c r="A113" s="69" t="str">
        <f>進捗一覧!K115</f>
        <v>NFR-SCL-004</v>
      </c>
      <c r="B113" s="70" t="str">
        <f>進捗一覧!J115</f>
        <v>NFR-SCL 拡張性</v>
      </c>
      <c r="C113" s="71" t="str">
        <f>進捗一覧!E115</f>
        <v>新しい顧客の接続を、依頼から何日で開通させるか</v>
      </c>
      <c r="D113" s="72" t="str">
        <f>進捗一覧!D115</f>
        <v>方向性確定（条件付き）</v>
      </c>
      <c r="E113" s="70" t="s">
        <v>1535</v>
      </c>
      <c r="F113" s="72" t="s">
        <v>1526</v>
      </c>
      <c r="G113" s="72" t="s">
        <v>1408</v>
      </c>
      <c r="H113" s="80" t="s">
        <v>1543</v>
      </c>
    </row>
    <row r="114" spans="1:8" ht="16">
      <c r="A114" s="69" t="str">
        <f>進捗一覧!K116</f>
        <v>NFR-SCL-005</v>
      </c>
      <c r="B114" s="70" t="str">
        <f>進捗一覧!J116</f>
        <v>NFR-SCL 拡張性</v>
      </c>
      <c r="C114" s="71" t="str">
        <f>進捗一覧!E116</f>
        <v>混雑に応じて設備を自動で増減させるか。増やす・減らす判定基準をどうするか</v>
      </c>
      <c r="D114" s="72" t="str">
        <f>進捗一覧!D116</f>
        <v>方向性確定（条件付き）</v>
      </c>
      <c r="E114" s="70" t="s">
        <v>1537</v>
      </c>
      <c r="F114" s="72" t="s">
        <v>1526</v>
      </c>
      <c r="G114" s="72" t="s">
        <v>1416</v>
      </c>
      <c r="H114" s="80" t="s">
        <v>1544</v>
      </c>
    </row>
    <row r="115" spans="1:8" ht="16">
      <c r="A115" s="69" t="str">
        <f>進捗一覧!K117</f>
        <v>NFR-SCL-006</v>
      </c>
      <c r="B115" s="70" t="str">
        <f>進捗一覧!J117</f>
        <v>NFR-SCL 拡張性</v>
      </c>
      <c r="C115" s="71" t="str">
        <f>進捗一覧!E117</f>
        <v>複数の地域で同時に稼働させる必要があるか</v>
      </c>
      <c r="D115" s="72" t="str">
        <f>進捗一覧!D117</f>
        <v>外部待ち</v>
      </c>
      <c r="E115" s="70" t="s">
        <v>1545</v>
      </c>
      <c r="F115" s="72" t="s">
        <v>1546</v>
      </c>
      <c r="G115" s="72" t="s">
        <v>1416</v>
      </c>
      <c r="H115" s="80" t="s">
        <v>1547</v>
      </c>
    </row>
    <row r="116" spans="1:8" ht="16">
      <c r="A116" s="69" t="str">
        <f>進捗一覧!K118</f>
        <v>NFR-SCL-007</v>
      </c>
      <c r="B116" s="70" t="str">
        <f>進捗一覧!J118</f>
        <v>NFR-SCL 拡張性</v>
      </c>
      <c r="C116" s="71" t="str">
        <f>進捗一覧!E118</f>
        <v>データベースの拡張余地をどこまで確保するか</v>
      </c>
      <c r="D116" s="72" t="str">
        <f>進捗一覧!D118</f>
        <v>方向性確定（条件付き）</v>
      </c>
      <c r="E116" s="70" t="s">
        <v>1548</v>
      </c>
      <c r="F116" s="72" t="s">
        <v>1526</v>
      </c>
      <c r="G116" s="72" t="s">
        <v>1416</v>
      </c>
      <c r="H116" s="80" t="s">
        <v>1549</v>
      </c>
    </row>
    <row r="117" spans="1:8" ht="16">
      <c r="A117" s="69" t="str">
        <f>進捗一覧!K119</f>
        <v>NFR-SEC-001</v>
      </c>
      <c r="B117" s="70" t="str">
        <f>進捗一覧!J119</f>
        <v>NFR-SEC 暗号化・鍵管理</v>
      </c>
      <c r="C117" s="71" t="str">
        <f>進捗一覧!E119</f>
        <v>通信の暗号化をどの水準で必須にするか</v>
      </c>
      <c r="D117" s="72" t="str">
        <f>進捗一覧!D119</f>
        <v>方向性確定（条件付き）</v>
      </c>
      <c r="E117" s="70" t="s">
        <v>1550</v>
      </c>
      <c r="F117" s="72" t="s">
        <v>1526</v>
      </c>
      <c r="G117" s="72" t="s">
        <v>1416</v>
      </c>
      <c r="H117" s="80" t="s">
        <v>1551</v>
      </c>
    </row>
    <row r="118" spans="1:8" ht="16">
      <c r="A118" s="69" t="str">
        <f>進捗一覧!K120</f>
        <v>NFR-SEC-002</v>
      </c>
      <c r="B118" s="70" t="str">
        <f>進捗一覧!J120</f>
        <v>NFR-SEC 暗号化・鍵管理</v>
      </c>
      <c r="C118" s="71" t="str">
        <f>進捗一覧!E120</f>
        <v>保存データの暗号化をどこまで必須にするか。暗号鍵を誰が持つか</v>
      </c>
      <c r="D118" s="72" t="str">
        <f>進捗一覧!D120</f>
        <v>確定</v>
      </c>
      <c r="E118" s="70" t="s">
        <v>1447</v>
      </c>
      <c r="F118" s="72" t="s">
        <v>1440</v>
      </c>
      <c r="G118" s="72" t="s">
        <v>1416</v>
      </c>
      <c r="H118" s="80" t="s">
        <v>1448</v>
      </c>
    </row>
    <row r="119" spans="1:8" ht="16">
      <c r="A119" s="69" t="str">
        <f>進捗一覧!K121</f>
        <v>NFR-SEC-003</v>
      </c>
      <c r="B119" s="70" t="str">
        <f>進捗一覧!J121</f>
        <v>NFR-SEC 暗号化・鍵管理</v>
      </c>
      <c r="C119" s="71" t="str">
        <f>進捗一覧!E121</f>
        <v>通行証の署名方式に何を使うか</v>
      </c>
      <c r="D119" s="72" t="str">
        <f>進捗一覧!D121</f>
        <v>確定</v>
      </c>
      <c r="E119" s="70" t="s">
        <v>1449</v>
      </c>
      <c r="F119" s="72" t="s">
        <v>1450</v>
      </c>
      <c r="G119" s="72" t="s">
        <v>1416</v>
      </c>
      <c r="H119" s="80" t="s">
        <v>1451</v>
      </c>
    </row>
    <row r="120" spans="1:8" ht="16">
      <c r="A120" s="69" t="str">
        <f>進捗一覧!K122</f>
        <v>NFR-SEC-009</v>
      </c>
      <c r="B120" s="70" t="str">
        <f>進捗一覧!J122</f>
        <v>NFR-SEC 暗号化・鍵管理</v>
      </c>
      <c r="C120" s="71" t="str">
        <f>進捗一覧!E122</f>
        <v>パスワードをどの方式で保管するか。強度の設定値をどうするか</v>
      </c>
      <c r="D120" s="72" t="str">
        <f>進捗一覧!D122</f>
        <v>確定</v>
      </c>
      <c r="E120" s="70" t="s">
        <v>1439</v>
      </c>
      <c r="F120" s="72" t="s">
        <v>1440</v>
      </c>
      <c r="G120" s="72" t="s">
        <v>1408</v>
      </c>
      <c r="H120" s="80" t="s">
        <v>1452</v>
      </c>
    </row>
    <row r="121" spans="1:8" ht="16">
      <c r="A121" s="69" t="str">
        <f>進捗一覧!K123</f>
        <v>NFR-SEC-015</v>
      </c>
      <c r="B121" s="70" t="str">
        <f>進捗一覧!J123</f>
        <v>NFR-SEC 暗号化・鍵管理</v>
      </c>
      <c r="C121" s="71" t="str">
        <f>進捗一覧!E123</f>
        <v>接続用の秘密情報をどこに保管し、誰が取り出せるようにするか</v>
      </c>
      <c r="D121" s="72" t="str">
        <f>進捗一覧!D123</f>
        <v>確定</v>
      </c>
      <c r="E121" s="70" t="s">
        <v>1453</v>
      </c>
      <c r="F121" s="72" t="s">
        <v>1440</v>
      </c>
      <c r="G121" s="72" t="s">
        <v>1416</v>
      </c>
      <c r="H121" s="80" t="s">
        <v>1454</v>
      </c>
    </row>
    <row r="122" spans="1:8" ht="16">
      <c r="A122" s="69" t="str">
        <f>進捗一覧!K124</f>
        <v>NFR-SEC-004</v>
      </c>
      <c r="B122" s="70" t="str">
        <f>進捗一覧!J124</f>
        <v>NFR-SEC トークン・セッション</v>
      </c>
      <c r="C122" s="71" t="str">
        <f>進捗一覧!E124</f>
        <v>通行証の有効時間を何分にするか</v>
      </c>
      <c r="D122" s="72" t="str">
        <f>進捗一覧!D124</f>
        <v>方向性確定（条件付き）</v>
      </c>
      <c r="E122" s="70" t="s">
        <v>1377</v>
      </c>
      <c r="F122" s="72" t="s">
        <v>1282</v>
      </c>
      <c r="G122" s="72" t="s">
        <v>1279</v>
      </c>
      <c r="H122" s="80" t="s">
        <v>1378</v>
      </c>
    </row>
    <row r="123" spans="1:8" ht="16">
      <c r="A123" s="69" t="str">
        <f>進捗一覧!K125</f>
        <v>NFR-SEC-005</v>
      </c>
      <c r="B123" s="70" t="str">
        <f>進捗一覧!J125</f>
        <v>NFR-SEC トークン・セッション</v>
      </c>
      <c r="C123" s="71" t="str">
        <f>進捗一覧!E125</f>
        <v>再ログインなしで使い続けられる期間を何日にするか</v>
      </c>
      <c r="D123" s="72" t="str">
        <f>進捗一覧!D125</f>
        <v>方向性確定（条件付き）</v>
      </c>
      <c r="E123" s="70" t="s">
        <v>1379</v>
      </c>
      <c r="F123" s="72" t="s">
        <v>1282</v>
      </c>
      <c r="G123" s="72" t="s">
        <v>1279</v>
      </c>
      <c r="H123" s="80" t="s">
        <v>1380</v>
      </c>
    </row>
    <row r="124" spans="1:8" ht="16">
      <c r="A124" s="69" t="str">
        <f>進捗一覧!K126</f>
        <v>NFR-SEC-006</v>
      </c>
      <c r="B124" s="70" t="str">
        <f>進捗一覧!J126</f>
        <v>NFR-SEC トークン・セッション</v>
      </c>
      <c r="C124" s="71" t="str">
        <f>進捗一覧!E126</f>
        <v>本人確認情報の有効時間を何分にするか</v>
      </c>
      <c r="D124" s="72" t="str">
        <f>進捗一覧!D126</f>
        <v>方向性確定（条件付き）</v>
      </c>
      <c r="E124" s="70" t="s">
        <v>1381</v>
      </c>
      <c r="F124" s="72" t="s">
        <v>1282</v>
      </c>
      <c r="G124" s="72" t="s">
        <v>1279</v>
      </c>
      <c r="H124" s="80" t="s">
        <v>1382</v>
      </c>
    </row>
    <row r="125" spans="1:8" ht="16">
      <c r="A125" s="69" t="str">
        <f>進捗一覧!K127</f>
        <v>NFR-SEC-007</v>
      </c>
      <c r="B125" s="70" t="str">
        <f>進捗一覧!J127</f>
        <v>NFR-SEC トークン・セッション</v>
      </c>
      <c r="C125" s="71" t="str">
        <f>進捗一覧!E127</f>
        <v>使い回しを防ぐため、更新のたびに引換券を作り替える方式にするか</v>
      </c>
      <c r="D125" s="72" t="str">
        <f>進捗一覧!D127</f>
        <v>方向性確定（条件付き）</v>
      </c>
      <c r="E125" s="70" t="s">
        <v>1261</v>
      </c>
      <c r="F125" s="72" t="s">
        <v>1282</v>
      </c>
      <c r="G125" s="72" t="s">
        <v>1279</v>
      </c>
      <c r="H125" s="80" t="s">
        <v>1383</v>
      </c>
    </row>
    <row r="126" spans="1:8" ht="16">
      <c r="A126" s="69" t="str">
        <f>進捗一覧!K128</f>
        <v>NFR-SEC-008</v>
      </c>
      <c r="B126" s="70" t="str">
        <f>進捗一覧!J128</f>
        <v>NFR-SEC トークン・セッション</v>
      </c>
      <c r="C126" s="71" t="str">
        <f>進捗一覧!E128</f>
        <v>発行済みの通行証を有効期限前に取り消せる仕組みを用意するか</v>
      </c>
      <c r="D126" s="72" t="str">
        <f>進捗一覧!D128</f>
        <v>方向性確定（条件付き）</v>
      </c>
      <c r="E126" s="70" t="s">
        <v>1384</v>
      </c>
      <c r="F126" s="72" t="s">
        <v>1282</v>
      </c>
      <c r="G126" s="72" t="s">
        <v>1279</v>
      </c>
      <c r="H126" s="80" t="s">
        <v>1385</v>
      </c>
    </row>
    <row r="127" spans="1:8" ht="16">
      <c r="A127" s="69" t="str">
        <f>進捗一覧!K129</f>
        <v>NFR-SEC-020</v>
      </c>
      <c r="B127" s="70" t="str">
        <f>進捗一覧!J129</f>
        <v>NFR-SEC トークン・セッション</v>
      </c>
      <c r="C127" s="71" t="str">
        <f>進捗一覧!E129</f>
        <v>なりすましを防ぐため、ログイン時に識別子を作り替えるか</v>
      </c>
      <c r="D127" s="72" t="str">
        <f>進捗一覧!D129</f>
        <v>確定</v>
      </c>
      <c r="E127" s="70" t="s">
        <v>1439</v>
      </c>
      <c r="F127" s="72" t="s">
        <v>1440</v>
      </c>
      <c r="G127" s="72" t="s">
        <v>1408</v>
      </c>
      <c r="H127" s="80" t="s">
        <v>1466</v>
      </c>
    </row>
    <row r="128" spans="1:8" ht="16">
      <c r="A128" s="69" t="str">
        <f>進捗一覧!K130</f>
        <v>NFR-SEC-010</v>
      </c>
      <c r="B128" s="70" t="str">
        <f>進捗一覧!J130</f>
        <v>NFR-SEC 攻撃対策</v>
      </c>
      <c r="C128" s="71" t="str">
        <f>進捗一覧!E130</f>
        <v>パスワードの総当たり攻撃への対処方式をどれにするか</v>
      </c>
      <c r="D128" s="72" t="str">
        <f>進捗一覧!D130</f>
        <v>方向性確定（条件付き）</v>
      </c>
      <c r="E128" s="70" t="s">
        <v>1455</v>
      </c>
      <c r="F128" s="72" t="s">
        <v>1440</v>
      </c>
      <c r="G128" s="72" t="s">
        <v>1416</v>
      </c>
      <c r="H128" s="80" t="s">
        <v>1456</v>
      </c>
    </row>
    <row r="129" spans="1:8" ht="16">
      <c r="A129" s="69" t="str">
        <f>進捗一覧!K131</f>
        <v>NFR-SEC-010-2</v>
      </c>
      <c r="B129" s="70" t="str">
        <f>進捗一覧!J131</f>
        <v>NFR-SEC 攻撃対策</v>
      </c>
      <c r="C129" s="71" t="str">
        <f>進捗一覧!E131</f>
        <v>世の中に漏れていると分かっているパスワードの使用を拒否するか</v>
      </c>
      <c r="D129" s="72" t="str">
        <f>進捗一覧!D131</f>
        <v>外部待ち</v>
      </c>
      <c r="E129" s="70" t="s">
        <v>1467</v>
      </c>
      <c r="F129" s="72" t="s">
        <v>1440</v>
      </c>
      <c r="G129" s="72" t="s">
        <v>1416</v>
      </c>
      <c r="H129" s="80" t="s">
        <v>1468</v>
      </c>
    </row>
    <row r="130" spans="1:8" ht="16">
      <c r="A130" s="69" t="str">
        <f>進捗一覧!K132</f>
        <v>NFR-SEC-012</v>
      </c>
      <c r="B130" s="70" t="str">
        <f>進捗一覧!J132</f>
        <v>NFR-SEC 攻撃対策</v>
      </c>
      <c r="C130" s="71" t="str">
        <f>進捗一覧!E132</f>
        <v>大量アクセス攻撃への備えをどこまで行うか。誰が担うか</v>
      </c>
      <c r="D130" s="72" t="str">
        <f>進捗一覧!D132</f>
        <v>確定</v>
      </c>
      <c r="E130" s="70" t="s">
        <v>1439</v>
      </c>
      <c r="F130" s="72" t="s">
        <v>1440</v>
      </c>
      <c r="G130" s="72" t="s">
        <v>1408</v>
      </c>
      <c r="H130" s="80" t="s">
        <v>1469</v>
      </c>
    </row>
    <row r="131" spans="1:8" ht="16">
      <c r="A131" s="69" t="str">
        <f>進捗一覧!K133</f>
        <v>NFR-SEC-013</v>
      </c>
      <c r="B131" s="70" t="str">
        <f>進捗一覧!J133</f>
        <v>NFR-SEC 攻撃対策</v>
      </c>
      <c r="C131" s="71" t="str">
        <f>進捗一覧!E133</f>
        <v>疑似攻撃による検査を行うか。頻度と実施者をどうするか</v>
      </c>
      <c r="D131" s="72" t="str">
        <f>進捗一覧!D133</f>
        <v>外部待ち</v>
      </c>
      <c r="E131" s="70" t="s">
        <v>1767</v>
      </c>
      <c r="F131" s="72" t="s">
        <v>1440</v>
      </c>
      <c r="G131" s="72" t="s">
        <v>1408</v>
      </c>
      <c r="H131" s="80" t="s">
        <v>1768</v>
      </c>
    </row>
    <row r="132" spans="1:8" ht="16">
      <c r="A132" s="69" t="str">
        <f>進捗一覧!K134</f>
        <v>NFR-SEC-014</v>
      </c>
      <c r="B132" s="70" t="str">
        <f>進捗一覧!J134</f>
        <v>NFR-SEC 攻撃対策</v>
      </c>
      <c r="C132" s="71" t="str">
        <f>進捗一覧!E134</f>
        <v>弱点の自動検査をどの頻度で行うか。何を合格とするか</v>
      </c>
      <c r="D132" s="72" t="str">
        <f>進捗一覧!D134</f>
        <v>方向性確定（条件付き）</v>
      </c>
      <c r="E132" s="70" t="s">
        <v>1458</v>
      </c>
      <c r="F132" s="72" t="s">
        <v>1440</v>
      </c>
      <c r="G132" s="72" t="s">
        <v>1408</v>
      </c>
      <c r="H132" s="80" t="s">
        <v>1470</v>
      </c>
    </row>
    <row r="133" spans="1:8" ht="16">
      <c r="A133" s="69" t="str">
        <f>進捗一覧!K135</f>
        <v>NFR-SEC-011</v>
      </c>
      <c r="B133" s="70" t="str">
        <f>進捗一覧!J135</f>
        <v>NFR-SEC ネットワーク・境界制御</v>
      </c>
      <c r="C133" s="71" t="str">
        <f>進捗一覧!E135</f>
        <v>不正アクセスを入口で遮る仕組みを適用するか。その設定を誰が管理するか</v>
      </c>
      <c r="D133" s="72" t="str">
        <f>進捗一覧!D135</f>
        <v>方向性確定（条件付き）</v>
      </c>
      <c r="E133" s="70" t="s">
        <v>1439</v>
      </c>
      <c r="F133" s="72" t="s">
        <v>1440</v>
      </c>
      <c r="G133" s="72" t="s">
        <v>1408</v>
      </c>
      <c r="H133" s="80" t="s">
        <v>1471</v>
      </c>
    </row>
    <row r="134" spans="1:8" ht="16">
      <c r="A134" s="69" t="str">
        <f>進捗一覧!K136</f>
        <v>NFR-SEC-016</v>
      </c>
      <c r="B134" s="70" t="str">
        <f>進捗一覧!J136</f>
        <v>NFR-SEC ネットワーク・境界制御</v>
      </c>
      <c r="C134" s="71" t="str">
        <f>進捗一覧!E136</f>
        <v>サーバーを外部から直接触れない場所に置くか</v>
      </c>
      <c r="D134" s="72" t="str">
        <f>進捗一覧!D136</f>
        <v>確定</v>
      </c>
      <c r="E134" s="70" t="s">
        <v>1742</v>
      </c>
      <c r="F134" s="72" t="s">
        <v>1552</v>
      </c>
      <c r="G134" s="72" t="s">
        <v>1416</v>
      </c>
      <c r="H134" s="80" t="s">
        <v>1743</v>
      </c>
    </row>
    <row r="135" spans="1:8" ht="16">
      <c r="A135" s="69" t="str">
        <f>進捗一覧!K137</f>
        <v>NFR-SEC-017</v>
      </c>
      <c r="B135" s="70" t="str">
        <f>進捗一覧!J137</f>
        <v>NFR-SEC ネットワーク・境界制御</v>
      </c>
      <c r="C135" s="71" t="str">
        <f>進捗一覧!E137</f>
        <v>管理画面に誰がどこからアクセスできるようにするか</v>
      </c>
      <c r="D135" s="72" t="str">
        <f>進捗一覧!D137</f>
        <v>方向性確定（条件付き）</v>
      </c>
      <c r="E135" s="70" t="s">
        <v>1740</v>
      </c>
      <c r="F135" s="72" t="s">
        <v>1552</v>
      </c>
      <c r="G135" s="72" t="s">
        <v>1416</v>
      </c>
      <c r="H135" s="80" t="s">
        <v>1741</v>
      </c>
    </row>
    <row r="136" spans="1:8" ht="16">
      <c r="A136" s="69" t="str">
        <f>進捗一覧!K138</f>
        <v>NFR-SEC-018</v>
      </c>
      <c r="B136" s="70" t="str">
        <f>進捗一覧!J138</f>
        <v>NFR-SEC ネットワーク・境界制御</v>
      </c>
      <c r="C136" s="71" t="str">
        <f>進捗一覧!E138</f>
        <v>鍵情報の公開窓口をどこまで守るか</v>
      </c>
      <c r="D136" s="72" t="str">
        <f>進捗一覧!D138</f>
        <v>確定</v>
      </c>
      <c r="E136" s="70" t="s">
        <v>1473</v>
      </c>
      <c r="F136" s="72" t="s">
        <v>1450</v>
      </c>
      <c r="G136" s="72" t="s">
        <v>1408</v>
      </c>
      <c r="H136" s="80" t="s">
        <v>1474</v>
      </c>
    </row>
    <row r="137" spans="1:8" ht="16">
      <c r="A137" s="69" t="str">
        <f>進捗一覧!K139</f>
        <v>NFR-SEC-019</v>
      </c>
      <c r="B137" s="70" t="str">
        <f>進捗一覧!J139</f>
        <v>NFR-SEC ネットワーク・境界制御</v>
      </c>
      <c r="C137" s="71" t="str">
        <f>進捗一覧!E139</f>
        <v>内部の部品同士の通信でも身元確認を必須にするか</v>
      </c>
      <c r="D137" s="72" t="str">
        <f>進捗一覧!D139</f>
        <v>確定</v>
      </c>
      <c r="E137" s="70" t="s">
        <v>1476</v>
      </c>
      <c r="F137" s="72" t="s">
        <v>1440</v>
      </c>
      <c r="G137" s="72" t="s">
        <v>1416</v>
      </c>
      <c r="H137" s="80" t="s">
        <v>1477</v>
      </c>
    </row>
    <row r="138" spans="1:8" ht="16">
      <c r="A138" s="69" t="str">
        <f>進捗一覧!K140</f>
        <v>NFR-DR-001</v>
      </c>
      <c r="B138" s="70" t="str">
        <f>進捗一覧!J140</f>
        <v>NFR-DR 災害復旧</v>
      </c>
      <c r="C138" s="71" t="str">
        <f>進捗一覧!E140</f>
        <v>大きな障害からどれだけの時間で復旧させるか。最重要の確認事項</v>
      </c>
      <c r="D138" s="72" t="str">
        <f>進捗一覧!D140</f>
        <v>外部待ち</v>
      </c>
      <c r="E138" s="70" t="s">
        <v>1498</v>
      </c>
      <c r="F138" s="72" t="s">
        <v>1487</v>
      </c>
      <c r="G138" s="72" t="s">
        <v>1416</v>
      </c>
      <c r="H138" s="80" t="s">
        <v>1499</v>
      </c>
    </row>
    <row r="139" spans="1:8" ht="16">
      <c r="A139" s="69" t="str">
        <f>進捗一覧!K141</f>
        <v>NFR-DR-002</v>
      </c>
      <c r="B139" s="70" t="str">
        <f>進捗一覧!J141</f>
        <v>NFR-DR 災害復旧</v>
      </c>
      <c r="C139" s="71" t="str">
        <f>進捗一覧!E141</f>
        <v>障害時にどこまでのデータ喪失を許容するか。最重要の確認事項</v>
      </c>
      <c r="D139" s="72" t="str">
        <f>進捗一覧!D141</f>
        <v>外部待ち</v>
      </c>
      <c r="E139" s="70" t="s">
        <v>1500</v>
      </c>
      <c r="F139" s="72" t="s">
        <v>1487</v>
      </c>
      <c r="G139" s="72" t="s">
        <v>1408</v>
      </c>
      <c r="H139" s="80" t="s">
        <v>1501</v>
      </c>
    </row>
    <row r="140" spans="1:8" ht="16">
      <c r="A140" s="69" t="str">
        <f>進捗一覧!K142</f>
        <v>NFR-DR-003</v>
      </c>
      <c r="B140" s="70" t="str">
        <f>進捗一覧!J142</f>
        <v>NFR-DR 災害復旧</v>
      </c>
      <c r="C140" s="71" t="str">
        <f>進捗一覧!E142</f>
        <v>予備側への切替を自動で行うか、人の判断で行うか</v>
      </c>
      <c r="D140" s="72" t="str">
        <f>進捗一覧!D142</f>
        <v>外部待ち</v>
      </c>
      <c r="E140" s="70" t="s">
        <v>1502</v>
      </c>
      <c r="F140" s="72" t="s">
        <v>1487</v>
      </c>
      <c r="G140" s="72" t="s">
        <v>1416</v>
      </c>
      <c r="H140" s="80" t="s">
        <v>1503</v>
      </c>
    </row>
    <row r="141" spans="1:8" ht="16">
      <c r="A141" s="69" t="str">
        <f>進捗一覧!K143</f>
        <v>NFR-DR-004</v>
      </c>
      <c r="B141" s="70" t="str">
        <f>進捗一覧!J143</f>
        <v>NFR-DR 災害復旧</v>
      </c>
      <c r="C141" s="71" t="str">
        <f>進捗一覧!E143</f>
        <v>バックアップを何日分保持するか</v>
      </c>
      <c r="D141" s="72" t="str">
        <f>進捗一覧!D143</f>
        <v>方向性確定（条件付き）</v>
      </c>
      <c r="E141" s="70" t="s">
        <v>1504</v>
      </c>
      <c r="F141" s="72" t="s">
        <v>1487</v>
      </c>
      <c r="G141" s="72" t="s">
        <v>1408</v>
      </c>
      <c r="H141" s="80" t="s">
        <v>1505</v>
      </c>
    </row>
    <row r="142" spans="1:8" ht="16">
      <c r="A142" s="69" t="str">
        <f>進捗一覧!K144</f>
        <v>NFR-DR-005</v>
      </c>
      <c r="B142" s="70" t="str">
        <f>進捗一覧!J144</f>
        <v>NFR-DR 災害復旧</v>
      </c>
      <c r="C142" s="71" t="str">
        <f>進捗一覧!E144</f>
        <v>任意の時点まで巻き戻せる仕組みを用意するか。遡れる範囲を何日にするか</v>
      </c>
      <c r="D142" s="72" t="str">
        <f>進捗一覧!D144</f>
        <v>方向性確定（条件付き）</v>
      </c>
      <c r="E142" s="70" t="s">
        <v>1506</v>
      </c>
      <c r="F142" s="72" t="s">
        <v>1487</v>
      </c>
      <c r="G142" s="72" t="s">
        <v>1416</v>
      </c>
      <c r="H142" s="80" t="s">
        <v>1507</v>
      </c>
    </row>
    <row r="143" spans="1:8" ht="16">
      <c r="A143" s="69" t="str">
        <f>進捗一覧!K145</f>
        <v>NFR-DR-006</v>
      </c>
      <c r="B143" s="70" t="str">
        <f>進捗一覧!J145</f>
        <v>NFR-DR 災害復旧</v>
      </c>
      <c r="C143" s="71" t="str">
        <f>進捗一覧!E145</f>
        <v>バックアップを別の地域にも複製するか</v>
      </c>
      <c r="D143" s="72" t="str">
        <f>進捗一覧!D145</f>
        <v>方向性確定（条件付き）</v>
      </c>
      <c r="E143" s="70" t="s">
        <v>1504</v>
      </c>
      <c r="F143" s="72" t="s">
        <v>1487</v>
      </c>
      <c r="G143" s="72" t="s">
        <v>1416</v>
      </c>
      <c r="H143" s="80" t="s">
        <v>1508</v>
      </c>
    </row>
    <row r="144" spans="1:8" ht="16">
      <c r="A144" s="69" t="str">
        <f>進捗一覧!K146</f>
        <v>NFR-DR-007</v>
      </c>
      <c r="B144" s="70" t="str">
        <f>進捗一覧!J146</f>
        <v>NFR-DR 災害復旧</v>
      </c>
      <c r="C144" s="71" t="str">
        <f>進捗一覧!E146</f>
        <v>復旧手順の訓練をどの頻度で行うか。誰が参加するか</v>
      </c>
      <c r="D144" s="72" t="str">
        <f>進捗一覧!D146</f>
        <v>外部待ち</v>
      </c>
      <c r="E144" s="70" t="s">
        <v>1509</v>
      </c>
      <c r="F144" s="72" t="s">
        <v>1487</v>
      </c>
      <c r="G144" s="72" t="s">
        <v>1416</v>
      </c>
      <c r="H144" s="80" t="s">
        <v>1510</v>
      </c>
    </row>
    <row r="145" spans="1:8" ht="16">
      <c r="A145" s="69" t="str">
        <f>進捗一覧!K147</f>
        <v>NFR-DR-008</v>
      </c>
      <c r="B145" s="70" t="str">
        <f>進捗一覧!J147</f>
        <v>NFR-DR 災害復旧</v>
      </c>
      <c r="C145" s="71" t="str">
        <f>進捗一覧!E147</f>
        <v>切替時にログイン状態を維持するか、利用者に再ログインを求めるか</v>
      </c>
      <c r="D145" s="72" t="str">
        <f>進捗一覧!D147</f>
        <v>方向性確定（条件付き）</v>
      </c>
      <c r="E145" s="70" t="s">
        <v>1511</v>
      </c>
      <c r="F145" s="72" t="s">
        <v>1487</v>
      </c>
      <c r="G145" s="72" t="s">
        <v>1416</v>
      </c>
      <c r="H145" s="80" t="s">
        <v>1512</v>
      </c>
    </row>
    <row r="146" spans="1:8" ht="16">
      <c r="A146" s="69" t="str">
        <f>進捗一覧!K148</f>
        <v>NFR-OPS-001</v>
      </c>
      <c r="B146" s="70" t="str">
        <f>進捗一覧!J148</f>
        <v>NFR-OPS 監視・ロギング</v>
      </c>
      <c r="C146" s="71" t="str">
        <f>進捗一覧!E148</f>
        <v>何を監視項目とし、どの値を異常とみなすか</v>
      </c>
      <c r="D146" s="72" t="str">
        <f>進捗一覧!D148</f>
        <v>方向性確定（条件付き）</v>
      </c>
      <c r="E146" s="70" t="s">
        <v>1573</v>
      </c>
      <c r="F146" s="72" t="s">
        <v>1513</v>
      </c>
      <c r="G146" s="72" t="s">
        <v>1416</v>
      </c>
      <c r="H146" s="80" t="s">
        <v>1574</v>
      </c>
    </row>
    <row r="147" spans="1:8" ht="16">
      <c r="A147" s="69" t="str">
        <f>進捗一覧!K149</f>
        <v>NFR-OPS-002</v>
      </c>
      <c r="B147" s="70" t="str">
        <f>進捗一覧!J149</f>
        <v>NFR-OPS 監視・ロギング</v>
      </c>
      <c r="C147" s="71" t="str">
        <f>進捗一覧!E149</f>
        <v>誰にどの経路で通知するか。夜間・休日の対応をどうするか</v>
      </c>
      <c r="D147" s="72" t="str">
        <f>進捗一覧!D149</f>
        <v>方向性確定（条件付き）</v>
      </c>
      <c r="E147" s="70" t="s">
        <v>1575</v>
      </c>
      <c r="F147" s="72" t="s">
        <v>1568</v>
      </c>
      <c r="G147" s="72" t="s">
        <v>1416</v>
      </c>
      <c r="H147" s="80" t="s">
        <v>1576</v>
      </c>
    </row>
    <row r="148" spans="1:8" ht="16">
      <c r="A148" s="69" t="str">
        <f>進捗一覧!K150</f>
        <v>NFR-OPS-003</v>
      </c>
      <c r="B148" s="70" t="str">
        <f>進捗一覧!J150</f>
        <v>NFR-OPS 監視・ロギング</v>
      </c>
      <c r="C148" s="71" t="str">
        <f>進捗一覧!E150</f>
        <v>各種ログを何日保存するか</v>
      </c>
      <c r="D148" s="72" t="str">
        <f>進捗一覧!D150</f>
        <v>外部待ち</v>
      </c>
      <c r="E148" s="70" t="s">
        <v>1459</v>
      </c>
      <c r="F148" s="72" t="s">
        <v>1460</v>
      </c>
      <c r="G148" s="72" t="s">
        <v>1416</v>
      </c>
      <c r="H148" s="80" t="s">
        <v>1461</v>
      </c>
    </row>
    <row r="149" spans="1:8" ht="16">
      <c r="A149" s="69" t="str">
        <f>進捗一覧!K151</f>
        <v>NFR-OPS-004</v>
      </c>
      <c r="B149" s="70" t="str">
        <f>進捗一覧!J151</f>
        <v>NFR-OPS 監視・ロギング</v>
      </c>
      <c r="C149" s="71" t="str">
        <f>進捗一覧!E151</f>
        <v>障害時にログをどれだけ速く探せる状態にしておくか</v>
      </c>
      <c r="D149" s="72" t="str">
        <f>進捗一覧!D151</f>
        <v>方向性確定（条件付き）</v>
      </c>
      <c r="E149" s="70" t="s">
        <v>1459</v>
      </c>
      <c r="F149" s="72" t="s">
        <v>1460</v>
      </c>
      <c r="G149" s="72" t="s">
        <v>1408</v>
      </c>
      <c r="H149" s="80" t="s">
        <v>1462</v>
      </c>
    </row>
    <row r="150" spans="1:8" ht="16">
      <c r="A150" s="69" t="str">
        <f>進捗一覧!K152</f>
        <v>NFR-OPS-005</v>
      </c>
      <c r="B150" s="70" t="str">
        <f>進捗一覧!J152</f>
        <v>NFR-OPS デプロイ・パッチ</v>
      </c>
      <c r="C150" s="71" t="str">
        <f>進捗一覧!E152</f>
        <v>製品の更新をどの頻度・どの手順で当てるか</v>
      </c>
      <c r="D150" s="72" t="str">
        <f>進捗一覧!D152</f>
        <v>外部待ち</v>
      </c>
      <c r="E150" s="70" t="s">
        <v>1577</v>
      </c>
      <c r="F150" s="72" t="s">
        <v>1578</v>
      </c>
      <c r="G150" s="72" t="s">
        <v>1416</v>
      </c>
      <c r="H150" s="80" t="s">
        <v>1579</v>
      </c>
    </row>
    <row r="151" spans="1:8" ht="16">
      <c r="A151" s="69" t="str">
        <f>進捗一覧!K153</f>
        <v>NFR-OPS-006</v>
      </c>
      <c r="B151" s="70" t="str">
        <f>進捗一覧!J153</f>
        <v>NFR-OPS デプロイ・パッチ</v>
      </c>
      <c r="C151" s="71" t="str">
        <f>進捗一覧!E153</f>
        <v>脆弱性が公表されたとき、何日以内に対処するか</v>
      </c>
      <c r="D151" s="72" t="str">
        <f>進捗一覧!D153</f>
        <v>方向性確定（条件付き）</v>
      </c>
      <c r="E151" s="70" t="s">
        <v>1580</v>
      </c>
      <c r="F151" s="72" t="s">
        <v>1568</v>
      </c>
      <c r="G151" s="72" t="s">
        <v>1416</v>
      </c>
      <c r="H151" s="80" t="s">
        <v>1581</v>
      </c>
    </row>
    <row r="152" spans="1:8" ht="16">
      <c r="A152" s="69" t="str">
        <f>進捗一覧!K154</f>
        <v>NFR-OPS-007</v>
      </c>
      <c r="B152" s="70" t="str">
        <f>進捗一覧!J154</f>
        <v>NFR-OPS デプロイ・パッチ</v>
      </c>
      <c r="C152" s="71" t="str">
        <f>進捗一覧!E154</f>
        <v>設定変更の申請・承認・適用の流れを誰がどう回すか</v>
      </c>
      <c r="D152" s="72" t="str">
        <f>進捗一覧!D154</f>
        <v>方向性確定（条件付き）</v>
      </c>
      <c r="E152" s="70" t="s">
        <v>1582</v>
      </c>
      <c r="F152" s="72" t="s">
        <v>1568</v>
      </c>
      <c r="G152" s="72" t="s">
        <v>1416</v>
      </c>
      <c r="H152" s="80" t="s">
        <v>1583</v>
      </c>
    </row>
    <row r="153" spans="1:8" ht="16">
      <c r="A153" s="69" t="str">
        <f>進捗一覧!K155</f>
        <v>NFR-OPS-010</v>
      </c>
      <c r="B153" s="70" t="str">
        <f>進捗一覧!J155</f>
        <v>NFR-OPS デプロイ・パッチ</v>
      </c>
      <c r="C153" s="71" t="str">
        <f>進捗一覧!E155</f>
        <v>更新作業の自動化をどこまで行うか</v>
      </c>
      <c r="D153" s="72" t="str">
        <f>進捗一覧!D155</f>
        <v>方向性確定（条件付き）</v>
      </c>
      <c r="E153" s="70" t="s">
        <v>1584</v>
      </c>
      <c r="F153" s="72" t="s">
        <v>1568</v>
      </c>
      <c r="G153" s="72" t="s">
        <v>1416</v>
      </c>
      <c r="H153" s="80" t="s">
        <v>1585</v>
      </c>
    </row>
    <row r="154" spans="1:8" ht="16">
      <c r="A154" s="69" t="str">
        <f>進捗一覧!K156</f>
        <v>NFR-OPS-008</v>
      </c>
      <c r="B154" s="70" t="str">
        <f>進捗一覧!J156</f>
        <v>NFR-OPS 体制・運用SLA</v>
      </c>
      <c r="C154" s="71" t="str">
        <f>進捗一覧!E156</f>
        <v>障害時の連絡体制と役割分担をどう組むか</v>
      </c>
      <c r="D154" s="72" t="str">
        <f>進捗一覧!D156</f>
        <v>外部待ち</v>
      </c>
      <c r="E154" s="70" t="s">
        <v>1586</v>
      </c>
      <c r="F154" s="72" t="s">
        <v>1568</v>
      </c>
      <c r="G154" s="72" t="s">
        <v>1408</v>
      </c>
      <c r="H154" s="80" t="s">
        <v>1587</v>
      </c>
    </row>
    <row r="155" spans="1:8" ht="16">
      <c r="A155" s="69" t="str">
        <f>進捗一覧!K157</f>
        <v>NFR-OPS-009</v>
      </c>
      <c r="B155" s="70" t="str">
        <f>進捗一覧!J157</f>
        <v>NFR-OPS 体制・運用SLA</v>
      </c>
      <c r="C155" s="71" t="str">
        <f>進捗一覧!E157</f>
        <v>運用に何人月かかる前提とするか。誰が担当するか</v>
      </c>
      <c r="D155" s="72" t="str">
        <f>進捗一覧!D157</f>
        <v>方向性確定（条件付き）</v>
      </c>
      <c r="E155" s="70" t="s">
        <v>1769</v>
      </c>
      <c r="F155" s="72" t="s">
        <v>1770</v>
      </c>
      <c r="G155" s="72" t="s">
        <v>1416</v>
      </c>
      <c r="H155" s="80" t="s">
        <v>1771</v>
      </c>
    </row>
    <row r="156" spans="1:8" ht="16">
      <c r="A156" s="69" t="str">
        <f>進捗一覧!K158</f>
        <v>NFR-OPS-011</v>
      </c>
      <c r="B156" s="70" t="str">
        <f>進捗一覧!J158</f>
        <v>NFR-OPS 体制・運用SLA</v>
      </c>
      <c r="C156" s="71" t="str">
        <f>進捗一覧!E158</f>
        <v>顧客追加の作業を何営業日で完了させるか</v>
      </c>
      <c r="D156" s="72" t="str">
        <f>進捗一覧!D158</f>
        <v>外部待ち</v>
      </c>
      <c r="E156" s="70" t="s">
        <v>1588</v>
      </c>
      <c r="F156" s="72" t="s">
        <v>1568</v>
      </c>
      <c r="G156" s="72" t="s">
        <v>1416</v>
      </c>
      <c r="H156" s="80" t="s">
        <v>1589</v>
      </c>
    </row>
    <row r="157" spans="1:8" ht="16">
      <c r="A157" s="69" t="str">
        <f>進捗一覧!K159</f>
        <v>NFR-COMP-001</v>
      </c>
      <c r="B157" s="70" t="str">
        <f>進捗一覧!J159</f>
        <v>NFR-COMP 規制・法令対応</v>
      </c>
      <c r="C157" s="71" t="str">
        <f>進捗一覧!E159</f>
        <v>日本の個人情報保護法への対応範囲をどこまでにするか</v>
      </c>
      <c r="D157" s="72" t="str">
        <f>進捗一覧!D159</f>
        <v>方向性確定（条件付き）</v>
      </c>
      <c r="E157" s="70" t="s">
        <v>1825</v>
      </c>
      <c r="F157" s="72" t="s">
        <v>1443</v>
      </c>
      <c r="G157" s="72" t="s">
        <v>1416</v>
      </c>
      <c r="H157" s="80" t="s">
        <v>1826</v>
      </c>
    </row>
    <row r="158" spans="1:8" ht="16">
      <c r="A158" s="69" t="str">
        <f>進捗一覧!K160</f>
        <v>NFR-COMP-002</v>
      </c>
      <c r="B158" s="70" t="str">
        <f>進捗一覧!J160</f>
        <v>NFR-COMP 規制・法令対応</v>
      </c>
      <c r="C158" s="71" t="str">
        <f>進捗一覧!E160</f>
        <v>海外展開に伴う規制対応が必要か。対象となる地域はどこか</v>
      </c>
      <c r="D158" s="72" t="str">
        <f>進捗一覧!D160</f>
        <v>外部待ち</v>
      </c>
      <c r="E158" s="70" t="s">
        <v>1772</v>
      </c>
      <c r="F158" s="72" t="s">
        <v>1770</v>
      </c>
      <c r="G158" s="72" t="s">
        <v>1423</v>
      </c>
      <c r="H158" s="80" t="s">
        <v>1773</v>
      </c>
    </row>
    <row r="159" spans="1:8" ht="16">
      <c r="A159" s="69" t="str">
        <f>進捗一覧!K161</f>
        <v>NFR-COMP-008</v>
      </c>
      <c r="B159" s="70" t="str">
        <f>進捗一覧!J161</f>
        <v>NFR-COMP 規制・法令対応</v>
      </c>
      <c r="C159" s="71" t="str">
        <f>進捗一覧!E161</f>
        <v>データを日本国内に限定する必要があるか。最重要の確認事項</v>
      </c>
      <c r="D159" s="72" t="str">
        <f>進捗一覧!D161</f>
        <v>外部待ち</v>
      </c>
      <c r="E159" s="70" t="s">
        <v>1827</v>
      </c>
      <c r="F159" s="72" t="s">
        <v>1440</v>
      </c>
      <c r="G159" s="72" t="s">
        <v>1408</v>
      </c>
      <c r="H159" s="80" t="s">
        <v>1828</v>
      </c>
    </row>
    <row r="160" spans="1:8" ht="16">
      <c r="A160" s="69" t="str">
        <f>進捗一覧!K162</f>
        <v>NFR-COMP-003</v>
      </c>
      <c r="B160" s="70" t="str">
        <f>進捗一覧!J162</f>
        <v>NFR-COMP 業界認定・監査</v>
      </c>
      <c r="C160" s="71" t="str">
        <f>進捗一覧!E162</f>
        <v>第三者による内部統制の証明が必要か</v>
      </c>
      <c r="D160" s="72" t="str">
        <f>進捗一覧!D162</f>
        <v>外部待ち</v>
      </c>
      <c r="E160" s="70" t="s">
        <v>1772</v>
      </c>
      <c r="F160" s="72" t="s">
        <v>1770</v>
      </c>
      <c r="G160" s="72" t="s">
        <v>1423</v>
      </c>
      <c r="H160" s="80" t="s">
        <v>1774</v>
      </c>
    </row>
    <row r="161" spans="1:8" ht="16">
      <c r="A161" s="69" t="str">
        <f>進捗一覧!K163</f>
        <v>NFR-COMP-004</v>
      </c>
      <c r="B161" s="70" t="str">
        <f>進捗一覧!J163</f>
        <v>NFR-COMP 業界認定・監査</v>
      </c>
      <c r="C161" s="71" t="str">
        <f>進捗一覧!E163</f>
        <v>情報セキュリティの認証取得が必要か</v>
      </c>
      <c r="D161" s="72" t="str">
        <f>進捗一覧!D163</f>
        <v>外部待ち</v>
      </c>
      <c r="E161" s="70" t="s">
        <v>1772</v>
      </c>
      <c r="F161" s="72" t="s">
        <v>1770</v>
      </c>
      <c r="G161" s="72" t="s">
        <v>1423</v>
      </c>
      <c r="H161" s="80" t="s">
        <v>1775</v>
      </c>
    </row>
    <row r="162" spans="1:8" ht="16">
      <c r="A162" s="69" t="str">
        <f>進捗一覧!K164</f>
        <v>NFR-COMP-005</v>
      </c>
      <c r="B162" s="70" t="str">
        <f>進捗一覧!J164</f>
        <v>NFR-COMP 業界認定・監査</v>
      </c>
      <c r="C162" s="71" t="str">
        <f>進捗一覧!E164</f>
        <v>クレジットカード関連の規格対応が必要か</v>
      </c>
      <c r="D162" s="72" t="str">
        <f>進捗一覧!D164</f>
        <v>外部待ち</v>
      </c>
      <c r="E162" s="70" t="s">
        <v>1776</v>
      </c>
      <c r="F162" s="72" t="s">
        <v>1770</v>
      </c>
      <c r="G162" s="72" t="s">
        <v>1423</v>
      </c>
      <c r="H162" s="80" t="s">
        <v>1777</v>
      </c>
    </row>
    <row r="163" spans="1:8" ht="16">
      <c r="A163" s="69" t="str">
        <f>進捗一覧!K165</f>
        <v>NFR-COMP-006</v>
      </c>
      <c r="B163" s="70" t="str">
        <f>進捗一覧!J165</f>
        <v>NFR-COMP 業界認定・監査</v>
      </c>
      <c r="C163" s="71" t="str">
        <f>進捗一覧!E165</f>
        <v>米国政府が認定した暗号方式が必要か。最重要の確認事項</v>
      </c>
      <c r="D163" s="72" t="str">
        <f>進捗一覧!D165</f>
        <v>外部待ち</v>
      </c>
      <c r="E163" s="70" t="s">
        <v>1410</v>
      </c>
      <c r="F163" s="72" t="s">
        <v>1440</v>
      </c>
      <c r="G163" s="72" t="s">
        <v>1423</v>
      </c>
      <c r="H163" s="80" t="s">
        <v>1475</v>
      </c>
    </row>
    <row r="164" spans="1:8" ht="16">
      <c r="A164" s="69" t="str">
        <f>進捗一覧!K166</f>
        <v>NFR-COMP-007</v>
      </c>
      <c r="B164" s="70" t="str">
        <f>進捗一覧!J166</f>
        <v>NFR-COMP 業界認定・監査</v>
      </c>
      <c r="C164" s="71" t="str">
        <f>進捗一覧!E166</f>
        <v>法令上、操作記録を何年保存する必要があるか</v>
      </c>
      <c r="D164" s="72" t="str">
        <f>進捗一覧!D166</f>
        <v>外部待ち</v>
      </c>
      <c r="E164" s="70" t="s">
        <v>1464</v>
      </c>
      <c r="F164" s="72" t="s">
        <v>1460</v>
      </c>
      <c r="G164" s="72" t="s">
        <v>1416</v>
      </c>
      <c r="H164" s="80" t="s">
        <v>1465</v>
      </c>
    </row>
    <row r="165" spans="1:8" ht="16">
      <c r="A165" s="69" t="str">
        <f>進捗一覧!K167</f>
        <v>NFR-COMP-010</v>
      </c>
      <c r="B165" s="70" t="str">
        <f>進捗一覧!J167</f>
        <v>NFR-COMP 業界認定・監査</v>
      </c>
      <c r="C165" s="71" t="str">
        <f>進捗一覧!E167</f>
        <v>誰がいつ何を見たかを後から追える状態を、どこまで作るか</v>
      </c>
      <c r="D165" s="72" t="str">
        <f>進捗一覧!D167</f>
        <v>方向性確定（条件付き）</v>
      </c>
      <c r="E165" s="70" t="s">
        <v>1829</v>
      </c>
      <c r="F165" s="72" t="s">
        <v>1460</v>
      </c>
      <c r="G165" s="72" t="s">
        <v>1416</v>
      </c>
      <c r="H165" s="80" t="s">
        <v>1830</v>
      </c>
    </row>
    <row r="166" spans="1:8" ht="16">
      <c r="A166" s="69" t="str">
        <f>進捗一覧!K168</f>
        <v>NFR-COMP-009</v>
      </c>
      <c r="B166" s="70" t="str">
        <f>進捗一覧!J168</f>
        <v>NFR-COMP データガバナンス</v>
      </c>
      <c r="C166" s="71" t="str">
        <f>進捗一覧!E168</f>
        <v>利用者からの削除要求に、どの手順・何日以内で応じるか</v>
      </c>
      <c r="D166" s="72" t="str">
        <f>進捗一覧!D168</f>
        <v>方向性確定（条件付き）</v>
      </c>
      <c r="E166" s="70" t="s">
        <v>1831</v>
      </c>
      <c r="F166" s="72" t="s">
        <v>1607</v>
      </c>
      <c r="G166" s="72" t="s">
        <v>1416</v>
      </c>
      <c r="H166" s="80" t="s">
        <v>1832</v>
      </c>
    </row>
    <row r="167" spans="1:8" ht="16">
      <c r="A167" s="69" t="str">
        <f>進捗一覧!K169</f>
        <v>NFR-COMP-011</v>
      </c>
      <c r="B167" s="70" t="str">
        <f>進捗一覧!J169</f>
        <v>NFR-COMP データガバナンス</v>
      </c>
      <c r="C167" s="71" t="str">
        <f>進捗一覧!E169</f>
        <v>暗号鍵をどの頻度で入れ替えるか</v>
      </c>
      <c r="D167" s="72" t="str">
        <f>進捗一覧!D169</f>
        <v>方向性確定（条件付き）</v>
      </c>
      <c r="E167" s="70" t="s">
        <v>1386</v>
      </c>
      <c r="F167" s="72" t="s">
        <v>1387</v>
      </c>
      <c r="G167" s="72" t="s">
        <v>1290</v>
      </c>
      <c r="H167" s="80" t="s">
        <v>1388</v>
      </c>
    </row>
    <row r="168" spans="1:8" ht="16">
      <c r="A168" s="69" t="str">
        <f>進捗一覧!K170</f>
        <v>NFR-COST-001</v>
      </c>
      <c r="B168" s="70" t="str">
        <f>進捗一覧!J170</f>
        <v>NFR-COST コスト</v>
      </c>
      <c r="C168" s="71" t="str">
        <f>進捗一覧!E170</f>
        <v>初期構築にいくらかけるか。予算枠をどこに置くか</v>
      </c>
      <c r="D168" s="72" t="str">
        <f>進捗一覧!D170</f>
        <v>確定</v>
      </c>
      <c r="E168" s="70" t="s">
        <v>1778</v>
      </c>
      <c r="F168" s="72" t="s">
        <v>1770</v>
      </c>
      <c r="G168" s="72" t="s">
        <v>1423</v>
      </c>
      <c r="H168" s="80" t="s">
        <v>1779</v>
      </c>
    </row>
    <row r="169" spans="1:8" ht="16">
      <c r="A169" s="69" t="str">
        <f>進捗一覧!K171</f>
        <v>NFR-COST-002</v>
      </c>
      <c r="B169" s="70" t="str">
        <f>進捗一覧!J171</f>
        <v>NFR-COST コスト</v>
      </c>
      <c r="C169" s="71" t="str">
        <f>進捗一覧!E171</f>
        <v>毎月の設備費をいくらまでとするか</v>
      </c>
      <c r="D169" s="72" t="str">
        <f>進捗一覧!D171</f>
        <v>確定</v>
      </c>
      <c r="E169" s="70" t="s">
        <v>1553</v>
      </c>
      <c r="F169" s="72" t="s">
        <v>1526</v>
      </c>
      <c r="G169" s="72" t="s">
        <v>1408</v>
      </c>
      <c r="H169" s="80" t="s">
        <v>1554</v>
      </c>
    </row>
    <row r="170" spans="1:8" ht="16">
      <c r="A170" s="69" t="str">
        <f>進捗一覧!K172</f>
        <v>NFR-COST-003</v>
      </c>
      <c r="B170" s="70" t="str">
        <f>進捗一覧!J172</f>
        <v>NFR-COST コスト</v>
      </c>
      <c r="C170" s="71" t="str">
        <f>進捗一覧!E172</f>
        <v>利用者1人あたりの単価をいくらと見るか</v>
      </c>
      <c r="D170" s="72" t="str">
        <f>進捗一覧!D172</f>
        <v>確定</v>
      </c>
      <c r="E170" s="70" t="s">
        <v>1778</v>
      </c>
      <c r="F170" s="72" t="s">
        <v>1770</v>
      </c>
      <c r="G170" s="72" t="s">
        <v>1423</v>
      </c>
      <c r="H170" s="80" t="s">
        <v>1780</v>
      </c>
    </row>
    <row r="171" spans="1:8" ht="16">
      <c r="A171" s="69" t="str">
        <f>進捗一覧!K173</f>
        <v>NFR-COST-003-PLUS</v>
      </c>
      <c r="B171" s="70" t="str">
        <f>進捗一覧!J173</f>
        <v>NFR-COST コスト</v>
      </c>
      <c r="C171" s="71" t="str">
        <f>進捗一覧!E173</f>
        <v>上位プランを使う場合の追加費用をどう見るか</v>
      </c>
      <c r="D171" s="72" t="str">
        <f>進捗一覧!D173</f>
        <v>方向性確定（条件付き）</v>
      </c>
      <c r="E171" s="70" t="s">
        <v>1778</v>
      </c>
      <c r="F171" s="72" t="s">
        <v>1770</v>
      </c>
      <c r="G171" s="72" t="s">
        <v>1423</v>
      </c>
      <c r="H171" s="80" t="s">
        <v>1780</v>
      </c>
    </row>
    <row r="172" spans="1:8" ht="16">
      <c r="A172" s="69" t="str">
        <f>進捗一覧!K174</f>
        <v>NFR-COST-004</v>
      </c>
      <c r="B172" s="70" t="str">
        <f>進捗一覧!J174</f>
        <v>NFR-COST コスト</v>
      </c>
      <c r="C172" s="71" t="str">
        <f>進捗一覧!E174</f>
        <v>災害対策のために毎月いくら追加でかけるか</v>
      </c>
      <c r="D172" s="72" t="str">
        <f>進捗一覧!D174</f>
        <v>確定</v>
      </c>
      <c r="E172" s="70" t="s">
        <v>1514</v>
      </c>
      <c r="F172" s="72" t="s">
        <v>1515</v>
      </c>
      <c r="G172" s="72" t="s">
        <v>1408</v>
      </c>
      <c r="H172" s="80" t="s">
        <v>1516</v>
      </c>
    </row>
    <row r="173" spans="1:8" ht="16">
      <c r="A173" s="69" t="str">
        <f>進捗一覧!K175</f>
        <v>NFR-COST-005</v>
      </c>
      <c r="B173" s="70" t="str">
        <f>進捗一覧!J175</f>
        <v>NFR-COST コスト</v>
      </c>
      <c r="C173" s="71" t="str">
        <f>進捗一覧!E175</f>
        <v>運用担当の人件費をいくらと見込むか</v>
      </c>
      <c r="D173" s="72" t="str">
        <f>進捗一覧!D175</f>
        <v>方向性確定（条件付き）</v>
      </c>
      <c r="E173" s="70" t="s">
        <v>1769</v>
      </c>
      <c r="F173" s="72" t="s">
        <v>1770</v>
      </c>
      <c r="G173" s="72" t="s">
        <v>1416</v>
      </c>
      <c r="H173" s="80" t="s">
        <v>1781</v>
      </c>
    </row>
    <row r="174" spans="1:8" ht="16">
      <c r="A174" s="69" t="str">
        <f>進捗一覧!K176</f>
        <v>NFR-COST-006</v>
      </c>
      <c r="B174" s="70" t="str">
        <f>進捗一覧!J176</f>
        <v>NFR-COST コスト</v>
      </c>
      <c r="C174" s="71" t="str">
        <f>進捗一覧!E176</f>
        <v>製品サポート契約の費用をどう扱うか</v>
      </c>
      <c r="D174" s="72" t="str">
        <f>進捗一覧!D176</f>
        <v>外部待ち</v>
      </c>
      <c r="E174" s="70" t="s">
        <v>1555</v>
      </c>
      <c r="F174" s="72" t="s">
        <v>1526</v>
      </c>
      <c r="G174" s="72" t="s">
        <v>1416</v>
      </c>
      <c r="H174" s="80" t="s">
        <v>1556</v>
      </c>
    </row>
    <row r="175" spans="1:8" ht="16">
      <c r="A175" s="69" t="str">
        <f>進捗一覧!K177</f>
        <v>NFR-COST-007</v>
      </c>
      <c r="B175" s="70" t="str">
        <f>進捗一覧!J177</f>
        <v>NFR-COST コスト</v>
      </c>
      <c r="C175" s="71" t="str">
        <f>進捗一覧!E177</f>
        <v>何人以上の規模なら自前で構築するほうが有利になるか</v>
      </c>
      <c r="D175" s="72" t="str">
        <f>進捗一覧!D177</f>
        <v>確定</v>
      </c>
      <c r="E175" s="70" t="s">
        <v>1778</v>
      </c>
      <c r="F175" s="72" t="s">
        <v>1770</v>
      </c>
      <c r="G175" s="72" t="s">
        <v>1423</v>
      </c>
      <c r="H175" s="80" t="s">
        <v>1780</v>
      </c>
    </row>
    <row r="176" spans="1:8" ht="16">
      <c r="A176" s="69" t="str">
        <f>進捗一覧!K178</f>
        <v>NFR-COST-007-PLUS</v>
      </c>
      <c r="B176" s="70" t="str">
        <f>進捗一覧!J178</f>
        <v>NFR-COST コスト</v>
      </c>
      <c r="C176" s="71" t="str">
        <f>進捗一覧!E178</f>
        <v>上位プランと比べた場合、有利になる規模の境目をどこに置くか</v>
      </c>
      <c r="D176" s="72" t="str">
        <f>進捗一覧!D178</f>
        <v>確定</v>
      </c>
      <c r="E176" s="70" t="s">
        <v>1778</v>
      </c>
      <c r="F176" s="72" t="s">
        <v>1770</v>
      </c>
      <c r="G176" s="72" t="s">
        <v>1423</v>
      </c>
      <c r="H176" s="80" t="s">
        <v>1780</v>
      </c>
    </row>
    <row r="177" spans="1:8" ht="16">
      <c r="A177" s="69" t="str">
        <f>進捗一覧!K179</f>
        <v>NFR-COST-008</v>
      </c>
      <c r="B177" s="70" t="str">
        <f>進捗一覧!J179</f>
        <v>NFR-COST コスト</v>
      </c>
      <c r="C177" s="71" t="str">
        <f>進捗一覧!E179</f>
        <v>10万人規模で3年間の総額をいくらと見るか</v>
      </c>
      <c r="D177" s="72" t="str">
        <f>進捗一覧!D179</f>
        <v>確定</v>
      </c>
      <c r="E177" s="70" t="s">
        <v>1553</v>
      </c>
      <c r="F177" s="72" t="s">
        <v>1526</v>
      </c>
      <c r="G177" s="72" t="s">
        <v>1408</v>
      </c>
      <c r="H177" s="80" t="s">
        <v>1557</v>
      </c>
    </row>
    <row r="178" spans="1:8" ht="16">
      <c r="A178" s="69" t="str">
        <f>進捗一覧!K180</f>
        <v>NFR-COST-009</v>
      </c>
      <c r="B178" s="70" t="str">
        <f>進捗一覧!J180</f>
        <v>NFR-COST コスト</v>
      </c>
      <c r="C178" s="71" t="str">
        <f>進捗一覧!E180</f>
        <v>50万人規模で3年間の総額をいくらと見るか</v>
      </c>
      <c r="D178" s="72" t="str">
        <f>進捗一覧!D180</f>
        <v>確定</v>
      </c>
      <c r="E178" s="70" t="s">
        <v>1553</v>
      </c>
      <c r="F178" s="72" t="s">
        <v>1526</v>
      </c>
      <c r="G178" s="72" t="s">
        <v>1408</v>
      </c>
      <c r="H178" s="80" t="s">
        <v>1558</v>
      </c>
    </row>
    <row r="179" spans="1:8" ht="16">
      <c r="A179" s="69" t="str">
        <f>進捗一覧!K181</f>
        <v>NFR-MIG-001</v>
      </c>
      <c r="B179" s="70" t="str">
        <f>進捗一覧!J181</f>
        <v>NFR-MIG 移行性</v>
      </c>
      <c r="C179" s="71" t="str">
        <f>進捗一覧!E181</f>
        <v>今の認証システムから利用者情報をどう移すか。件数と期間をどう見るか</v>
      </c>
      <c r="D179" s="72" t="str">
        <f>進捗一覧!D181</f>
        <v>外部待ち</v>
      </c>
      <c r="E179" s="70" t="s">
        <v>1626</v>
      </c>
      <c r="F179" s="72" t="s">
        <v>1615</v>
      </c>
      <c r="G179" s="72" t="s">
        <v>1416</v>
      </c>
      <c r="H179" s="80" t="s">
        <v>1627</v>
      </c>
    </row>
    <row r="180" spans="1:8" ht="16">
      <c r="A180" s="69" t="str">
        <f>進捗一覧!K182</f>
        <v>NFR-MIG-002</v>
      </c>
      <c r="B180" s="70" t="str">
        <f>進捗一覧!J182</f>
        <v>NFR-MIG 移行性</v>
      </c>
      <c r="C180" s="71" t="str">
        <f>進捗一覧!E182</f>
        <v>パスワードを再設定させずに引き継げるか。無理な場合、利用者にどう案内するか</v>
      </c>
      <c r="D180" s="72" t="str">
        <f>進捗一覧!D182</f>
        <v>外部待ち</v>
      </c>
      <c r="E180" s="70" t="s">
        <v>1626</v>
      </c>
      <c r="F180" s="72" t="s">
        <v>1615</v>
      </c>
      <c r="G180" s="72" t="s">
        <v>1416</v>
      </c>
      <c r="H180" s="80" t="s">
        <v>1628</v>
      </c>
    </row>
    <row r="181" spans="1:8" ht="16">
      <c r="A181" s="69" t="str">
        <f>進捗一覧!K183</f>
        <v>NFR-MIG-003</v>
      </c>
      <c r="B181" s="70" t="str">
        <f>進捗一覧!J183</f>
        <v>NFR-MIG 移行性</v>
      </c>
      <c r="C181" s="71" t="str">
        <f>進捗一覧!E183</f>
        <v>将来ほかの製品に乗り換えられる状態を、どこまで保つか</v>
      </c>
      <c r="D181" s="72" t="str">
        <f>進捗一覧!D183</f>
        <v>確定</v>
      </c>
      <c r="E181" s="70" t="s">
        <v>1629</v>
      </c>
      <c r="F181" s="72" t="s">
        <v>1630</v>
      </c>
      <c r="G181" s="72" t="s">
        <v>1408</v>
      </c>
      <c r="H181" s="80" t="s">
        <v>1631</v>
      </c>
    </row>
    <row r="182" spans="1:8" ht="16">
      <c r="A182" s="69" t="str">
        <f>進捗一覧!K184</f>
        <v>NFR-MIG-004</v>
      </c>
      <c r="B182" s="70" t="str">
        <f>進捗一覧!J184</f>
        <v>NFR-MIG 移行性</v>
      </c>
      <c r="C182" s="71" t="str">
        <f>進捗一覧!E184</f>
        <v>自分たちのデータをいつでも取り出せる手段を用意するか</v>
      </c>
      <c r="D182" s="72" t="str">
        <f>進捗一覧!D184</f>
        <v>方向性確定（条件付き）</v>
      </c>
      <c r="E182" s="70" t="s">
        <v>1632</v>
      </c>
      <c r="F182" s="72" t="s">
        <v>1633</v>
      </c>
      <c r="G182" s="72" t="s">
        <v>1416</v>
      </c>
      <c r="H182" s="80" t="s">
        <v>1634</v>
      </c>
    </row>
    <row r="183" spans="1:8" ht="16">
      <c r="A183" s="73" t="str">
        <f>進捗一覧!K185</f>
        <v>NFR-MIG-005</v>
      </c>
      <c r="B183" s="74" t="str">
        <f>進捗一覧!J185</f>
        <v>NFR-MIG 移行性</v>
      </c>
      <c r="C183" s="75" t="str">
        <f>進捗一覧!E185</f>
        <v>新旧を並行稼働させて少しずつ移すか。並行期間をどれだけ取るか</v>
      </c>
      <c r="D183" s="76" t="str">
        <f>進捗一覧!D185</f>
        <v>方向性確定（条件付き）</v>
      </c>
      <c r="E183" s="74" t="s">
        <v>1635</v>
      </c>
      <c r="F183" s="76" t="s">
        <v>1615</v>
      </c>
      <c r="G183" s="76" t="s">
        <v>1416</v>
      </c>
      <c r="H183" s="81" t="s">
        <v>1636</v>
      </c>
    </row>
  </sheetData>
  <autoFilter ref="A4:H183" xr:uid="{F6284182-FD2C-E145-9717-734327A3CD4B}"/>
  <phoneticPr fontId="2"/>
  <conditionalFormatting sqref="A5:H183">
    <cfRule type="expression" dxfId="40" priority="1">
      <formula>$G5="未対応"</formula>
    </cfRule>
  </conditionalFormatting>
  <conditionalFormatting sqref="A5:H183">
    <cfRule type="expression" dxfId="39" priority="2">
      <formula>$G5="単元未取込"</formula>
    </cfRule>
  </conditionalFormatting>
  <conditionalFormatting sqref="A5:H183">
    <cfRule type="expression" dxfId="38" priority="3">
      <formula>$G5="部分"</formula>
    </cfRule>
  </conditionalFormatting>
  <conditionalFormatting sqref="A5:H183">
    <cfRule type="expression" dxfId="37" priority="4">
      <formula>$G5="設計済"</formula>
    </cfRule>
  </conditionalFormatting>
  <conditionalFormatting sqref="A5:H183">
    <cfRule type="expression" dxfId="36" priority="5">
      <formula>$G5="対象外"</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CA42E-305E-3549-A119-1311DF775CFA}">
  <dimension ref="A1:F55"/>
  <sheetViews>
    <sheetView zoomScale="106" workbookViewId="0">
      <pane ySplit="5" topLeftCell="A6" activePane="bottomLeft" state="frozen"/>
      <selection pane="bottomLeft" activeCell="D23" sqref="D23"/>
    </sheetView>
  </sheetViews>
  <sheetFormatPr baseColWidth="10" defaultRowHeight="15"/>
  <cols>
    <col min="1" max="1" width="17.140625" style="66" customWidth="1"/>
    <col min="2" max="2" width="24.28515625" style="66" customWidth="1"/>
    <col min="3" max="3" width="40" style="66" customWidth="1"/>
    <col min="4" max="4" width="18.5703125" style="66" customWidth="1"/>
    <col min="5" max="5" width="88.5703125" style="66" customWidth="1"/>
    <col min="6" max="6" width="32.85546875" style="66" customWidth="1"/>
    <col min="7" max="16384" width="10.7109375" style="66"/>
  </cols>
  <sheetData>
    <row r="1" spans="1:6">
      <c r="A1" s="65" t="s">
        <v>1637</v>
      </c>
    </row>
    <row r="2" spans="1:6">
      <c r="A2" s="79" t="s">
        <v>1909</v>
      </c>
    </row>
    <row r="3" spans="1:6">
      <c r="A3" s="84" t="s">
        <v>1638</v>
      </c>
    </row>
    <row r="5" spans="1:6" ht="22" customHeight="1">
      <c r="A5" s="85" t="s">
        <v>1220</v>
      </c>
      <c r="B5" s="86" t="s">
        <v>1221</v>
      </c>
      <c r="C5" s="86" t="s">
        <v>1222</v>
      </c>
      <c r="D5" s="86" t="s">
        <v>1639</v>
      </c>
      <c r="E5" s="86" t="s">
        <v>1640</v>
      </c>
      <c r="F5" s="87" t="s">
        <v>1641</v>
      </c>
    </row>
    <row r="6" spans="1:6" ht="32">
      <c r="A6" s="77" t="s">
        <v>1404</v>
      </c>
      <c r="B6" s="70" t="s">
        <v>1398</v>
      </c>
      <c r="C6" s="70" t="s">
        <v>1405</v>
      </c>
      <c r="D6" s="72" t="s">
        <v>1642</v>
      </c>
      <c r="E6" s="71" t="s">
        <v>1643</v>
      </c>
      <c r="F6" s="80" t="s">
        <v>1644</v>
      </c>
    </row>
    <row r="7" spans="1:6" ht="32">
      <c r="A7" s="77" t="s">
        <v>1400</v>
      </c>
      <c r="B7" s="70" t="s">
        <v>1398</v>
      </c>
      <c r="C7" s="70" t="s">
        <v>1401</v>
      </c>
      <c r="D7" s="72" t="s">
        <v>1642</v>
      </c>
      <c r="E7" s="71" t="s">
        <v>1645</v>
      </c>
      <c r="F7" s="80" t="s">
        <v>1644</v>
      </c>
    </row>
    <row r="8" spans="1:6" ht="16">
      <c r="A8" s="77" t="s">
        <v>1602</v>
      </c>
      <c r="B8" s="70" t="s">
        <v>1591</v>
      </c>
      <c r="C8" s="70" t="s">
        <v>1603</v>
      </c>
      <c r="D8" s="72" t="s">
        <v>1642</v>
      </c>
      <c r="E8" s="71" t="s">
        <v>1646</v>
      </c>
      <c r="F8" s="80" t="s">
        <v>1644</v>
      </c>
    </row>
    <row r="9" spans="1:6" ht="16">
      <c r="A9" s="77" t="s">
        <v>1402</v>
      </c>
      <c r="B9" s="70" t="s">
        <v>1398</v>
      </c>
      <c r="C9" s="70" t="s">
        <v>1403</v>
      </c>
      <c r="D9" s="72" t="s">
        <v>1642</v>
      </c>
      <c r="E9" s="71" t="s">
        <v>1647</v>
      </c>
      <c r="F9" s="80" t="s">
        <v>1644</v>
      </c>
    </row>
    <row r="10" spans="1:6" ht="16">
      <c r="A10" s="77" t="s">
        <v>1276</v>
      </c>
      <c r="B10" s="70" t="s">
        <v>1258</v>
      </c>
      <c r="C10" s="70" t="s">
        <v>1648</v>
      </c>
      <c r="D10" s="72" t="s">
        <v>1642</v>
      </c>
      <c r="E10" s="71" t="s">
        <v>1649</v>
      </c>
      <c r="F10" s="80" t="s">
        <v>173</v>
      </c>
    </row>
    <row r="11" spans="1:6" ht="32">
      <c r="A11" s="77" t="s">
        <v>1600</v>
      </c>
      <c r="B11" s="70" t="s">
        <v>1591</v>
      </c>
      <c r="C11" s="70" t="s">
        <v>1601</v>
      </c>
      <c r="D11" s="72" t="s">
        <v>1642</v>
      </c>
      <c r="E11" s="71" t="s">
        <v>1650</v>
      </c>
      <c r="F11" s="80" t="s">
        <v>250</v>
      </c>
    </row>
    <row r="12" spans="1:6" ht="16">
      <c r="A12" s="77" t="s">
        <v>1435</v>
      </c>
      <c r="B12" s="70" t="s">
        <v>694</v>
      </c>
      <c r="C12" s="70" t="s">
        <v>1436</v>
      </c>
      <c r="D12" s="72" t="s">
        <v>1642</v>
      </c>
      <c r="E12" s="71" t="s">
        <v>1651</v>
      </c>
      <c r="F12" s="80" t="s">
        <v>1652</v>
      </c>
    </row>
    <row r="13" spans="1:6" ht="16">
      <c r="A13" s="77" t="s">
        <v>1256</v>
      </c>
      <c r="B13" s="70" t="s">
        <v>682</v>
      </c>
      <c r="C13" s="70" t="s">
        <v>1653</v>
      </c>
      <c r="D13" s="72" t="s">
        <v>1642</v>
      </c>
      <c r="E13" s="71" t="s">
        <v>1654</v>
      </c>
      <c r="F13" s="80" t="s">
        <v>1644</v>
      </c>
    </row>
    <row r="14" spans="1:6" ht="16">
      <c r="A14" s="77" t="s">
        <v>1562</v>
      </c>
      <c r="B14" s="70" t="s">
        <v>1559</v>
      </c>
      <c r="C14" s="70" t="s">
        <v>1563</v>
      </c>
      <c r="D14" s="72" t="s">
        <v>1642</v>
      </c>
      <c r="E14" s="71" t="s">
        <v>1655</v>
      </c>
      <c r="F14" s="80" t="s">
        <v>475</v>
      </c>
    </row>
    <row r="15" spans="1:6" ht="16">
      <c r="A15" s="77" t="s">
        <v>1596</v>
      </c>
      <c r="B15" s="70" t="s">
        <v>1591</v>
      </c>
      <c r="C15" s="70" t="s">
        <v>1597</v>
      </c>
      <c r="D15" s="72" t="s">
        <v>1642</v>
      </c>
      <c r="E15" s="71" t="s">
        <v>1656</v>
      </c>
      <c r="F15" s="80" t="s">
        <v>1644</v>
      </c>
    </row>
    <row r="16" spans="1:6" ht="16">
      <c r="A16" s="77" t="s">
        <v>1263</v>
      </c>
      <c r="B16" s="70" t="s">
        <v>1258</v>
      </c>
      <c r="C16" s="70" t="s">
        <v>1657</v>
      </c>
      <c r="D16" s="72" t="s">
        <v>1642</v>
      </c>
      <c r="E16" s="71" t="s">
        <v>1658</v>
      </c>
      <c r="F16" s="80" t="s">
        <v>399</v>
      </c>
    </row>
    <row r="17" spans="1:6" ht="32">
      <c r="A17" s="77" t="s">
        <v>1590</v>
      </c>
      <c r="B17" s="70" t="s">
        <v>1591</v>
      </c>
      <c r="C17" s="70" t="s">
        <v>1592</v>
      </c>
      <c r="D17" s="72" t="s">
        <v>1659</v>
      </c>
      <c r="E17" s="71" t="s">
        <v>1660</v>
      </c>
      <c r="F17" s="80" t="s">
        <v>1661</v>
      </c>
    </row>
    <row r="18" spans="1:6" ht="16">
      <c r="A18" s="77" t="s">
        <v>1593</v>
      </c>
      <c r="B18" s="70" t="s">
        <v>1591</v>
      </c>
      <c r="C18" s="70" t="s">
        <v>1594</v>
      </c>
      <c r="D18" s="72" t="s">
        <v>1659</v>
      </c>
      <c r="E18" s="71" t="s">
        <v>1662</v>
      </c>
      <c r="F18" s="80" t="s">
        <v>1661</v>
      </c>
    </row>
    <row r="19" spans="1:6" ht="16">
      <c r="A19" s="77" t="s">
        <v>1598</v>
      </c>
      <c r="B19" s="70" t="s">
        <v>1591</v>
      </c>
      <c r="C19" s="70" t="s">
        <v>1599</v>
      </c>
      <c r="D19" s="72" t="s">
        <v>1659</v>
      </c>
      <c r="E19" s="71" t="s">
        <v>1663</v>
      </c>
      <c r="F19" s="80" t="s">
        <v>1664</v>
      </c>
    </row>
    <row r="20" spans="1:6" ht="16">
      <c r="A20" s="77" t="s">
        <v>1264</v>
      </c>
      <c r="B20" s="70" t="s">
        <v>1258</v>
      </c>
      <c r="C20" s="70" t="s">
        <v>1665</v>
      </c>
      <c r="D20" s="72" t="s">
        <v>1659</v>
      </c>
      <c r="E20" s="71" t="s">
        <v>1666</v>
      </c>
      <c r="F20" s="80" t="s">
        <v>1667</v>
      </c>
    </row>
    <row r="21" spans="1:6" ht="16">
      <c r="A21" s="77" t="s">
        <v>1262</v>
      </c>
      <c r="B21" s="70" t="s">
        <v>1258</v>
      </c>
      <c r="C21" s="70" t="s">
        <v>1668</v>
      </c>
      <c r="D21" s="72" t="s">
        <v>1659</v>
      </c>
      <c r="E21" s="71" t="s">
        <v>1669</v>
      </c>
      <c r="F21" s="80" t="s">
        <v>403</v>
      </c>
    </row>
    <row r="22" spans="1:6" ht="16">
      <c r="A22" s="77" t="s">
        <v>1269</v>
      </c>
      <c r="B22" s="70" t="s">
        <v>1258</v>
      </c>
      <c r="C22" s="70" t="s">
        <v>1670</v>
      </c>
      <c r="D22" s="72" t="s">
        <v>1659</v>
      </c>
      <c r="E22" s="71" t="s">
        <v>1671</v>
      </c>
      <c r="F22" s="80" t="s">
        <v>1672</v>
      </c>
    </row>
    <row r="23" spans="1:6" ht="32">
      <c r="A23" s="77" t="s">
        <v>1270</v>
      </c>
      <c r="B23" s="70" t="s">
        <v>1258</v>
      </c>
      <c r="C23" s="70" t="s">
        <v>1673</v>
      </c>
      <c r="D23" s="72" t="s">
        <v>1659</v>
      </c>
      <c r="E23" s="71" t="s">
        <v>1674</v>
      </c>
      <c r="F23" s="80" t="s">
        <v>158</v>
      </c>
    </row>
    <row r="24" spans="1:6" ht="16">
      <c r="A24" s="77" t="s">
        <v>1267</v>
      </c>
      <c r="B24" s="70" t="s">
        <v>1258</v>
      </c>
      <c r="C24" s="70" t="s">
        <v>1675</v>
      </c>
      <c r="D24" s="72" t="s">
        <v>1659</v>
      </c>
      <c r="E24" s="71" t="s">
        <v>1676</v>
      </c>
      <c r="F24" s="80" t="s">
        <v>412</v>
      </c>
    </row>
    <row r="25" spans="1:6" ht="16">
      <c r="A25" s="77" t="s">
        <v>1260</v>
      </c>
      <c r="B25" s="70" t="s">
        <v>1258</v>
      </c>
      <c r="C25" s="70" t="s">
        <v>1677</v>
      </c>
      <c r="D25" s="72" t="s">
        <v>1659</v>
      </c>
      <c r="E25" s="71" t="s">
        <v>1678</v>
      </c>
      <c r="F25" s="80" t="s">
        <v>1679</v>
      </c>
    </row>
    <row r="26" spans="1:6" ht="16">
      <c r="A26" s="77" t="s">
        <v>1399</v>
      </c>
      <c r="B26" s="70" t="s">
        <v>1398</v>
      </c>
      <c r="C26" s="70" t="s">
        <v>1680</v>
      </c>
      <c r="D26" s="72" t="s">
        <v>1659</v>
      </c>
      <c r="E26" s="71" t="s">
        <v>1681</v>
      </c>
      <c r="F26" s="80" t="s">
        <v>128</v>
      </c>
    </row>
    <row r="27" spans="1:6" ht="16">
      <c r="A27" s="77" t="s">
        <v>1234</v>
      </c>
      <c r="B27" s="70" t="s">
        <v>671</v>
      </c>
      <c r="C27" s="70" t="s">
        <v>1682</v>
      </c>
      <c r="D27" s="72" t="s">
        <v>1659</v>
      </c>
      <c r="E27" s="71" t="s">
        <v>1683</v>
      </c>
      <c r="F27" s="80" t="s">
        <v>128</v>
      </c>
    </row>
    <row r="28" spans="1:6" ht="16">
      <c r="A28" s="77" t="s">
        <v>1484</v>
      </c>
      <c r="B28" s="70" t="s">
        <v>698</v>
      </c>
      <c r="C28" s="70" t="s">
        <v>1485</v>
      </c>
      <c r="D28" s="72" t="s">
        <v>1659</v>
      </c>
      <c r="E28" s="71" t="s">
        <v>1684</v>
      </c>
      <c r="F28" s="80" t="s">
        <v>457</v>
      </c>
    </row>
    <row r="29" spans="1:6" ht="16">
      <c r="A29" s="77" t="s">
        <v>1523</v>
      </c>
      <c r="B29" s="70" t="s">
        <v>686</v>
      </c>
      <c r="C29" s="70" t="s">
        <v>1524</v>
      </c>
      <c r="D29" s="72" t="s">
        <v>1659</v>
      </c>
      <c r="E29" s="71" t="s">
        <v>1685</v>
      </c>
      <c r="F29" s="80" t="s">
        <v>1686</v>
      </c>
    </row>
    <row r="30" spans="1:6" ht="32">
      <c r="A30" s="77" t="s">
        <v>1250</v>
      </c>
      <c r="B30" s="70" t="s">
        <v>682</v>
      </c>
      <c r="C30" s="70" t="s">
        <v>1687</v>
      </c>
      <c r="D30" s="72" t="s">
        <v>1659</v>
      </c>
      <c r="E30" s="71" t="s">
        <v>1688</v>
      </c>
      <c r="F30" s="80" t="s">
        <v>1689</v>
      </c>
    </row>
    <row r="31" spans="1:6" ht="16">
      <c r="A31" s="77" t="s">
        <v>1521</v>
      </c>
      <c r="B31" s="70" t="s">
        <v>686</v>
      </c>
      <c r="C31" s="70" t="s">
        <v>1522</v>
      </c>
      <c r="D31" s="72" t="s">
        <v>1690</v>
      </c>
      <c r="E31" s="71" t="s">
        <v>1691</v>
      </c>
      <c r="F31" s="80" t="s">
        <v>1692</v>
      </c>
    </row>
    <row r="32" spans="1:6" ht="16">
      <c r="A32" s="77" t="s">
        <v>1481</v>
      </c>
      <c r="B32" s="70" t="s">
        <v>698</v>
      </c>
      <c r="C32" s="70" t="s">
        <v>1482</v>
      </c>
      <c r="D32" s="72" t="s">
        <v>1693</v>
      </c>
      <c r="E32" s="71" t="s">
        <v>1694</v>
      </c>
      <c r="F32" s="80" t="s">
        <v>450</v>
      </c>
    </row>
    <row r="33" spans="1:6" ht="16">
      <c r="A33" s="77" t="s">
        <v>1230</v>
      </c>
      <c r="B33" s="70" t="s">
        <v>671</v>
      </c>
      <c r="C33" s="70" t="s">
        <v>1695</v>
      </c>
      <c r="D33" s="72" t="s">
        <v>1696</v>
      </c>
      <c r="E33" s="71" t="s">
        <v>1697</v>
      </c>
      <c r="F33" s="80" t="s">
        <v>1288</v>
      </c>
    </row>
    <row r="34" spans="1:6" ht="16">
      <c r="A34" s="77" t="s">
        <v>1231</v>
      </c>
      <c r="B34" s="70" t="s">
        <v>671</v>
      </c>
      <c r="C34" s="70" t="s">
        <v>1698</v>
      </c>
      <c r="D34" s="72" t="s">
        <v>1696</v>
      </c>
      <c r="E34" s="71" t="s">
        <v>1699</v>
      </c>
      <c r="F34" s="80" t="s">
        <v>1288</v>
      </c>
    </row>
    <row r="35" spans="1:6" ht="16">
      <c r="A35" s="77" t="s">
        <v>1232</v>
      </c>
      <c r="B35" s="70" t="s">
        <v>671</v>
      </c>
      <c r="C35" s="70" t="s">
        <v>1700</v>
      </c>
      <c r="D35" s="72" t="s">
        <v>1696</v>
      </c>
      <c r="E35" s="71" t="s">
        <v>1701</v>
      </c>
      <c r="F35" s="80" t="s">
        <v>1288</v>
      </c>
    </row>
    <row r="36" spans="1:6" ht="16">
      <c r="A36" s="77" t="s">
        <v>1233</v>
      </c>
      <c r="B36" s="70" t="s">
        <v>671</v>
      </c>
      <c r="C36" s="70" t="s">
        <v>1702</v>
      </c>
      <c r="D36" s="72" t="s">
        <v>1696</v>
      </c>
      <c r="E36" s="71" t="s">
        <v>1703</v>
      </c>
      <c r="F36" s="80" t="s">
        <v>1288</v>
      </c>
    </row>
    <row r="37" spans="1:6" ht="16">
      <c r="A37" s="77" t="s">
        <v>1235</v>
      </c>
      <c r="B37" s="70" t="s">
        <v>671</v>
      </c>
      <c r="C37" s="70" t="s">
        <v>1704</v>
      </c>
      <c r="D37" s="72" t="s">
        <v>1696</v>
      </c>
      <c r="E37" s="71" t="s">
        <v>1705</v>
      </c>
      <c r="F37" s="80" t="s">
        <v>1288</v>
      </c>
    </row>
    <row r="38" spans="1:6" ht="16">
      <c r="A38" s="77" t="s">
        <v>1236</v>
      </c>
      <c r="B38" s="70" t="s">
        <v>671</v>
      </c>
      <c r="C38" s="70" t="s">
        <v>1706</v>
      </c>
      <c r="D38" s="72" t="s">
        <v>1696</v>
      </c>
      <c r="E38" s="71" t="s">
        <v>1707</v>
      </c>
      <c r="F38" s="80" t="s">
        <v>1288</v>
      </c>
    </row>
    <row r="39" spans="1:6" ht="16">
      <c r="A39" s="77" t="s">
        <v>1237</v>
      </c>
      <c r="B39" s="70" t="s">
        <v>671</v>
      </c>
      <c r="C39" s="70" t="s">
        <v>1708</v>
      </c>
      <c r="D39" s="72" t="s">
        <v>1696</v>
      </c>
      <c r="E39" s="71" t="s">
        <v>1709</v>
      </c>
      <c r="F39" s="80" t="s">
        <v>1288</v>
      </c>
    </row>
    <row r="40" spans="1:6" ht="16">
      <c r="A40" s="77" t="s">
        <v>1240</v>
      </c>
      <c r="B40" s="70" t="s">
        <v>671</v>
      </c>
      <c r="C40" s="70" t="s">
        <v>1710</v>
      </c>
      <c r="D40" s="72" t="s">
        <v>1696</v>
      </c>
      <c r="E40" s="71" t="s">
        <v>1711</v>
      </c>
      <c r="F40" s="80" t="s">
        <v>1288</v>
      </c>
    </row>
    <row r="41" spans="1:6" ht="16">
      <c r="A41" s="77" t="s">
        <v>1241</v>
      </c>
      <c r="B41" s="70" t="s">
        <v>671</v>
      </c>
      <c r="C41" s="70" t="s">
        <v>1712</v>
      </c>
      <c r="D41" s="72" t="s">
        <v>1696</v>
      </c>
      <c r="E41" s="71" t="s">
        <v>1713</v>
      </c>
      <c r="F41" s="80" t="s">
        <v>1288</v>
      </c>
    </row>
    <row r="42" spans="1:6" ht="16">
      <c r="A42" s="77" t="s">
        <v>1242</v>
      </c>
      <c r="B42" s="70" t="s">
        <v>671</v>
      </c>
      <c r="C42" s="70" t="s">
        <v>1714</v>
      </c>
      <c r="D42" s="72" t="s">
        <v>1696</v>
      </c>
      <c r="E42" s="71" t="s">
        <v>1715</v>
      </c>
      <c r="F42" s="80" t="s">
        <v>1288</v>
      </c>
    </row>
    <row r="43" spans="1:6" ht="16">
      <c r="A43" s="77" t="s">
        <v>1244</v>
      </c>
      <c r="B43" s="70" t="s">
        <v>671</v>
      </c>
      <c r="C43" s="70" t="s">
        <v>1716</v>
      </c>
      <c r="D43" s="72" t="s">
        <v>1696</v>
      </c>
      <c r="E43" s="71" t="s">
        <v>1717</v>
      </c>
      <c r="F43" s="80" t="s">
        <v>1288</v>
      </c>
    </row>
    <row r="44" spans="1:6" ht="16">
      <c r="A44" s="77" t="s">
        <v>1245</v>
      </c>
      <c r="B44" s="70" t="s">
        <v>671</v>
      </c>
      <c r="C44" s="70" t="s">
        <v>1718</v>
      </c>
      <c r="D44" s="72" t="s">
        <v>1696</v>
      </c>
      <c r="E44" s="71" t="s">
        <v>1719</v>
      </c>
      <c r="F44" s="80" t="s">
        <v>1288</v>
      </c>
    </row>
    <row r="45" spans="1:6" ht="16">
      <c r="A45" s="77" t="s">
        <v>1265</v>
      </c>
      <c r="B45" s="70" t="s">
        <v>1258</v>
      </c>
      <c r="C45" s="70" t="s">
        <v>1720</v>
      </c>
      <c r="D45" s="72" t="s">
        <v>1696</v>
      </c>
      <c r="E45" s="71" t="s">
        <v>1721</v>
      </c>
      <c r="F45" s="80" t="s">
        <v>1288</v>
      </c>
    </row>
    <row r="46" spans="1:6" ht="16">
      <c r="A46" s="77" t="s">
        <v>1266</v>
      </c>
      <c r="B46" s="70" t="s">
        <v>1258</v>
      </c>
      <c r="C46" s="70" t="s">
        <v>1722</v>
      </c>
      <c r="D46" s="72" t="s">
        <v>1696</v>
      </c>
      <c r="E46" s="71" t="s">
        <v>1723</v>
      </c>
      <c r="F46" s="80" t="s">
        <v>1288</v>
      </c>
    </row>
    <row r="47" spans="1:6" ht="16">
      <c r="A47" s="77" t="s">
        <v>1274</v>
      </c>
      <c r="B47" s="70" t="s">
        <v>1258</v>
      </c>
      <c r="C47" s="70" t="s">
        <v>1724</v>
      </c>
      <c r="D47" s="72" t="s">
        <v>1696</v>
      </c>
      <c r="E47" s="71" t="s">
        <v>1725</v>
      </c>
      <c r="F47" s="80" t="s">
        <v>1288</v>
      </c>
    </row>
    <row r="48" spans="1:6" ht="16">
      <c r="A48" s="77" t="s">
        <v>1275</v>
      </c>
      <c r="B48" s="70" t="s">
        <v>1258</v>
      </c>
      <c r="C48" s="70" t="s">
        <v>1726</v>
      </c>
      <c r="D48" s="72" t="s">
        <v>1696</v>
      </c>
      <c r="E48" s="71" t="s">
        <v>1727</v>
      </c>
      <c r="F48" s="80" t="s">
        <v>1288</v>
      </c>
    </row>
    <row r="49" spans="1:6" ht="16">
      <c r="A49" s="77" t="s">
        <v>1248</v>
      </c>
      <c r="B49" s="70" t="s">
        <v>682</v>
      </c>
      <c r="C49" s="70" t="s">
        <v>1728</v>
      </c>
      <c r="D49" s="72" t="s">
        <v>1696</v>
      </c>
      <c r="E49" s="71" t="s">
        <v>1729</v>
      </c>
      <c r="F49" s="80" t="s">
        <v>1288</v>
      </c>
    </row>
    <row r="50" spans="1:6" ht="16">
      <c r="A50" s="77" t="s">
        <v>1252</v>
      </c>
      <c r="B50" s="70" t="s">
        <v>682</v>
      </c>
      <c r="C50" s="70" t="s">
        <v>1730</v>
      </c>
      <c r="D50" s="72" t="s">
        <v>1696</v>
      </c>
      <c r="E50" s="71" t="s">
        <v>1731</v>
      </c>
      <c r="F50" s="80" t="s">
        <v>1288</v>
      </c>
    </row>
    <row r="51" spans="1:6" ht="16">
      <c r="A51" s="77" t="s">
        <v>1253</v>
      </c>
      <c r="B51" s="70" t="s">
        <v>682</v>
      </c>
      <c r="C51" s="70" t="s">
        <v>1732</v>
      </c>
      <c r="D51" s="72" t="s">
        <v>1696</v>
      </c>
      <c r="E51" s="71" t="s">
        <v>1733</v>
      </c>
      <c r="F51" s="80" t="s">
        <v>1288</v>
      </c>
    </row>
    <row r="52" spans="1:6" ht="16">
      <c r="A52" s="77" t="s">
        <v>1517</v>
      </c>
      <c r="B52" s="70" t="s">
        <v>686</v>
      </c>
      <c r="C52" s="70" t="s">
        <v>1518</v>
      </c>
      <c r="D52" s="72" t="s">
        <v>1696</v>
      </c>
      <c r="E52" s="71" t="s">
        <v>1734</v>
      </c>
      <c r="F52" s="80" t="s">
        <v>1288</v>
      </c>
    </row>
    <row r="53" spans="1:6" ht="16">
      <c r="A53" s="77" t="s">
        <v>1519</v>
      </c>
      <c r="B53" s="70" t="s">
        <v>686</v>
      </c>
      <c r="C53" s="70" t="s">
        <v>1520</v>
      </c>
      <c r="D53" s="72" t="s">
        <v>1696</v>
      </c>
      <c r="E53" s="71" t="s">
        <v>1735</v>
      </c>
      <c r="F53" s="80" t="s">
        <v>1288</v>
      </c>
    </row>
    <row r="54" spans="1:6" ht="16">
      <c r="A54" s="77" t="s">
        <v>1560</v>
      </c>
      <c r="B54" s="70" t="s">
        <v>1559</v>
      </c>
      <c r="C54" s="70" t="s">
        <v>1736</v>
      </c>
      <c r="D54" s="72" t="s">
        <v>1696</v>
      </c>
      <c r="E54" s="71" t="s">
        <v>1737</v>
      </c>
      <c r="F54" s="80" t="s">
        <v>1288</v>
      </c>
    </row>
    <row r="55" spans="1:6" ht="16">
      <c r="A55" s="78" t="s">
        <v>1561</v>
      </c>
      <c r="B55" s="74" t="s">
        <v>1559</v>
      </c>
      <c r="C55" s="74" t="s">
        <v>1738</v>
      </c>
      <c r="D55" s="76" t="s">
        <v>1696</v>
      </c>
      <c r="E55" s="75" t="s">
        <v>1739</v>
      </c>
      <c r="F55" s="81" t="s">
        <v>1288</v>
      </c>
    </row>
  </sheetData>
  <autoFilter ref="A5:F55" xr:uid="{8B2CA42E-305E-3549-A119-1311DF775CFA}"/>
  <phoneticPr fontId="2"/>
  <conditionalFormatting sqref="A6:F55">
    <cfRule type="expression" dxfId="35" priority="1">
      <formula>$D6="スコープ増"</formula>
    </cfRule>
  </conditionalFormatting>
  <conditionalFormatting sqref="A6:F55">
    <cfRule type="expression" dxfId="34" priority="2">
      <formula>$D6="要件側の書き漏れ"</formula>
    </cfRule>
  </conditionalFormatting>
  <conditionalFormatting sqref="A6:F55">
    <cfRule type="expression" dxfId="33" priority="3">
      <formula>$D6="参照漏れ"</formula>
    </cfRule>
  </conditionalFormatting>
  <conditionalFormatting sqref="A6:F55">
    <cfRule type="expression" dxfId="32" priority="4">
      <formula>$D6="内部技術判断"</formula>
    </cfRule>
  </conditionalFormatting>
  <conditionalFormatting sqref="A6:F55">
    <cfRule type="expression" dxfId="31" priority="5">
      <formula>$D6="廃止済み"</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EADF9-EFAE-A14D-BC4F-3F04ADDCB1E4}">
  <dimension ref="A1:I72"/>
  <sheetViews>
    <sheetView workbookViewId="0">
      <pane ySplit="5" topLeftCell="A6" activePane="bottomLeft" state="frozen"/>
      <selection pane="bottomLeft" activeCell="E20" sqref="E20"/>
    </sheetView>
  </sheetViews>
  <sheetFormatPr baseColWidth="10" defaultRowHeight="20"/>
  <cols>
    <col min="1" max="1" width="13.5703125" customWidth="1"/>
    <col min="2" max="2" width="60" customWidth="1"/>
    <col min="3" max="3" width="21.42578125" customWidth="1"/>
    <col min="4" max="4" width="25.7109375" customWidth="1"/>
    <col min="5" max="5" width="88.5703125" customWidth="1"/>
    <col min="6" max="6" width="1.42578125" customWidth="1"/>
    <col min="7" max="7" width="27.140625" customWidth="1"/>
    <col min="8" max="8" width="10" customWidth="1"/>
    <col min="9" max="9" width="24.28515625" customWidth="1"/>
  </cols>
  <sheetData>
    <row r="1" spans="1:9" ht="25">
      <c r="A1" s="49" t="s">
        <v>3210</v>
      </c>
    </row>
    <row r="2" spans="1:9">
      <c r="A2" s="3" t="s">
        <v>3211</v>
      </c>
    </row>
    <row r="3" spans="1:9">
      <c r="A3" s="53" t="s">
        <v>3212</v>
      </c>
    </row>
    <row r="4" spans="1:9" ht="22" customHeight="1"/>
    <row r="5" spans="1:9" ht="22" customHeight="1">
      <c r="A5" s="9" t="s">
        <v>1800</v>
      </c>
      <c r="B5" s="10" t="s">
        <v>1801</v>
      </c>
      <c r="C5" s="10" t="s">
        <v>1802</v>
      </c>
      <c r="D5" s="10" t="s">
        <v>3213</v>
      </c>
      <c r="E5" s="11" t="s">
        <v>3214</v>
      </c>
      <c r="G5" s="158" t="s">
        <v>3381</v>
      </c>
    </row>
    <row r="6" spans="1:9">
      <c r="A6" s="51" t="s">
        <v>3215</v>
      </c>
      <c r="B6" s="6" t="s">
        <v>3216</v>
      </c>
      <c r="C6" s="12" t="s">
        <v>3217</v>
      </c>
      <c r="D6" s="184" t="s">
        <v>3382</v>
      </c>
      <c r="E6" s="182"/>
      <c r="G6" s="20" t="s">
        <v>1802</v>
      </c>
      <c r="H6" s="22" t="s">
        <v>1390</v>
      </c>
    </row>
    <row r="7" spans="1:9">
      <c r="A7" s="51" t="s">
        <v>3218</v>
      </c>
      <c r="B7" s="6" t="s">
        <v>3219</v>
      </c>
      <c r="C7" s="12" t="s">
        <v>3217</v>
      </c>
      <c r="D7" s="184" t="s">
        <v>3382</v>
      </c>
      <c r="E7" s="182"/>
      <c r="G7" s="23" t="s">
        <v>3228</v>
      </c>
      <c r="H7" s="159">
        <f>COUNTIF($C$6:$C$72,$G7)</f>
        <v>50</v>
      </c>
    </row>
    <row r="8" spans="1:9">
      <c r="A8" s="51" t="s">
        <v>3220</v>
      </c>
      <c r="B8" s="6" t="s">
        <v>3221</v>
      </c>
      <c r="C8" s="12" t="s">
        <v>3217</v>
      </c>
      <c r="D8" s="184" t="s">
        <v>3382</v>
      </c>
      <c r="E8" s="182"/>
      <c r="G8" s="23" t="s">
        <v>3217</v>
      </c>
      <c r="H8" s="159">
        <f>COUNTIF($C$6:$C$72,$G8)</f>
        <v>12</v>
      </c>
    </row>
    <row r="9" spans="1:9">
      <c r="A9" s="51" t="s">
        <v>3222</v>
      </c>
      <c r="B9" s="6" t="s">
        <v>3223</v>
      </c>
      <c r="C9" s="12" t="s">
        <v>3217</v>
      </c>
      <c r="D9" s="184" t="s">
        <v>3382</v>
      </c>
      <c r="E9" s="182"/>
      <c r="G9" s="23" t="s">
        <v>3346</v>
      </c>
      <c r="H9" s="159">
        <f>COUNTIF($C$6:$C$72,$G9)</f>
        <v>1</v>
      </c>
    </row>
    <row r="10" spans="1:9">
      <c r="A10" s="51" t="s">
        <v>3224</v>
      </c>
      <c r="B10" s="6" t="s">
        <v>3225</v>
      </c>
      <c r="C10" s="12" t="s">
        <v>3217</v>
      </c>
      <c r="D10" s="184" t="s">
        <v>3382</v>
      </c>
      <c r="E10" s="182"/>
      <c r="G10" s="23" t="s">
        <v>3350</v>
      </c>
      <c r="H10" s="159">
        <f>COUNTIF($C$6:$C$72,$G10)</f>
        <v>1</v>
      </c>
    </row>
    <row r="11" spans="1:9">
      <c r="A11" s="51" t="s">
        <v>3226</v>
      </c>
      <c r="B11" s="6" t="s">
        <v>3227</v>
      </c>
      <c r="C11" s="12" t="s">
        <v>3228</v>
      </c>
      <c r="D11" s="184" t="s">
        <v>3382</v>
      </c>
      <c r="E11" s="182"/>
      <c r="G11" s="23" t="s">
        <v>3297</v>
      </c>
      <c r="H11" s="159">
        <f>COUNTIF($C$6:$C$72,$G11)</f>
        <v>2</v>
      </c>
    </row>
    <row r="12" spans="1:9">
      <c r="A12" s="51" t="s">
        <v>3229</v>
      </c>
      <c r="B12" s="6" t="s">
        <v>3230</v>
      </c>
      <c r="C12" s="12" t="s">
        <v>3217</v>
      </c>
      <c r="D12" s="184" t="s">
        <v>3383</v>
      </c>
      <c r="E12" s="182"/>
      <c r="G12" s="23" t="s">
        <v>3309</v>
      </c>
      <c r="H12" s="159">
        <f>COUNTIF($C$6:$C$72,$G12)</f>
        <v>1</v>
      </c>
    </row>
    <row r="13" spans="1:9">
      <c r="A13" s="51" t="s">
        <v>3231</v>
      </c>
      <c r="B13" s="6" t="s">
        <v>3232</v>
      </c>
      <c r="C13" s="12" t="s">
        <v>3217</v>
      </c>
      <c r="D13" s="184" t="s">
        <v>3384</v>
      </c>
      <c r="E13" s="182"/>
      <c r="G13" s="25" t="s">
        <v>13</v>
      </c>
      <c r="H13" s="160">
        <f>SUM(H7:H12)</f>
        <v>67</v>
      </c>
      <c r="I13" s="50" t="str">
        <f>IF(H13=COUNTA($A$6:$A$72),"✓ 明細行数と一致","⚠ 不一致")</f>
        <v>✓ 明細行数と一致</v>
      </c>
    </row>
    <row r="14" spans="1:9">
      <c r="A14" s="51" t="s">
        <v>3233</v>
      </c>
      <c r="B14" s="6" t="s">
        <v>3234</v>
      </c>
      <c r="C14" s="12" t="s">
        <v>3217</v>
      </c>
      <c r="D14" s="184" t="s">
        <v>3385</v>
      </c>
      <c r="E14" s="182"/>
    </row>
    <row r="15" spans="1:9">
      <c r="A15" s="51" t="s">
        <v>3235</v>
      </c>
      <c r="B15" s="6" t="s">
        <v>3236</v>
      </c>
      <c r="C15" s="12" t="s">
        <v>3217</v>
      </c>
      <c r="D15" s="184" t="s">
        <v>3386</v>
      </c>
      <c r="E15" s="182"/>
    </row>
    <row r="16" spans="1:9">
      <c r="A16" s="51" t="s">
        <v>3237</v>
      </c>
      <c r="B16" s="6" t="s">
        <v>3238</v>
      </c>
      <c r="C16" s="12" t="s">
        <v>3228</v>
      </c>
      <c r="D16" s="184" t="s">
        <v>3386</v>
      </c>
      <c r="E16" s="182" t="s">
        <v>3239</v>
      </c>
    </row>
    <row r="17" spans="1:5">
      <c r="A17" s="51" t="s">
        <v>3240</v>
      </c>
      <c r="B17" s="6" t="s">
        <v>3241</v>
      </c>
      <c r="C17" s="12" t="s">
        <v>3217</v>
      </c>
      <c r="D17" s="184" t="s">
        <v>3387</v>
      </c>
      <c r="E17" s="182"/>
    </row>
    <row r="18" spans="1:5">
      <c r="A18" s="51" t="s">
        <v>3242</v>
      </c>
      <c r="B18" s="6" t="s">
        <v>3243</v>
      </c>
      <c r="C18" s="12" t="s">
        <v>3228</v>
      </c>
      <c r="D18" s="184" t="s">
        <v>3388</v>
      </c>
      <c r="E18" s="182"/>
    </row>
    <row r="19" spans="1:5">
      <c r="A19" s="51" t="s">
        <v>3244</v>
      </c>
      <c r="B19" s="6" t="s">
        <v>3245</v>
      </c>
      <c r="C19" s="12" t="s">
        <v>3228</v>
      </c>
      <c r="D19" s="184" t="s">
        <v>3388</v>
      </c>
      <c r="E19" s="182"/>
    </row>
    <row r="20" spans="1:5">
      <c r="A20" s="51" t="s">
        <v>3246</v>
      </c>
      <c r="B20" s="6" t="s">
        <v>3247</v>
      </c>
      <c r="C20" s="12" t="s">
        <v>3228</v>
      </c>
      <c r="D20" s="184" t="s">
        <v>3388</v>
      </c>
      <c r="E20" s="182"/>
    </row>
    <row r="21" spans="1:5">
      <c r="A21" s="51" t="s">
        <v>3248</v>
      </c>
      <c r="B21" s="6" t="s">
        <v>3249</v>
      </c>
      <c r="C21" s="12" t="s">
        <v>3228</v>
      </c>
      <c r="D21" s="184" t="s">
        <v>3389</v>
      </c>
      <c r="E21" s="182" t="s">
        <v>3250</v>
      </c>
    </row>
    <row r="22" spans="1:5">
      <c r="A22" s="51" t="s">
        <v>3251</v>
      </c>
      <c r="B22" s="6" t="s">
        <v>3252</v>
      </c>
      <c r="C22" s="12" t="s">
        <v>3228</v>
      </c>
      <c r="D22" s="184" t="s">
        <v>3253</v>
      </c>
      <c r="E22" s="182" t="s">
        <v>3254</v>
      </c>
    </row>
    <row r="23" spans="1:5">
      <c r="A23" s="51" t="s">
        <v>3255</v>
      </c>
      <c r="B23" s="6" t="s">
        <v>3256</v>
      </c>
      <c r="C23" s="12" t="s">
        <v>3228</v>
      </c>
      <c r="D23" s="184" t="s">
        <v>3390</v>
      </c>
      <c r="E23" s="182"/>
    </row>
    <row r="24" spans="1:5">
      <c r="A24" s="51" t="s">
        <v>3257</v>
      </c>
      <c r="B24" s="6" t="s">
        <v>3258</v>
      </c>
      <c r="C24" s="12" t="s">
        <v>3228</v>
      </c>
      <c r="D24" s="184" t="s">
        <v>3390</v>
      </c>
      <c r="E24" s="182"/>
    </row>
    <row r="25" spans="1:5">
      <c r="A25" s="51" t="s">
        <v>3259</v>
      </c>
      <c r="B25" s="6" t="s">
        <v>3260</v>
      </c>
      <c r="C25" s="12" t="s">
        <v>3228</v>
      </c>
      <c r="D25" s="184" t="s">
        <v>3390</v>
      </c>
      <c r="E25" s="182"/>
    </row>
    <row r="26" spans="1:5">
      <c r="A26" s="51" t="s">
        <v>3261</v>
      </c>
      <c r="B26" s="6" t="s">
        <v>3262</v>
      </c>
      <c r="C26" s="12" t="s">
        <v>3228</v>
      </c>
      <c r="D26" s="184" t="s">
        <v>3390</v>
      </c>
      <c r="E26" s="182"/>
    </row>
    <row r="27" spans="1:5">
      <c r="A27" s="51" t="s">
        <v>3263</v>
      </c>
      <c r="B27" s="6" t="s">
        <v>3264</v>
      </c>
      <c r="C27" s="12" t="s">
        <v>3228</v>
      </c>
      <c r="D27" s="184" t="s">
        <v>3390</v>
      </c>
      <c r="E27" s="182"/>
    </row>
    <row r="28" spans="1:5">
      <c r="A28" s="51" t="s">
        <v>3265</v>
      </c>
      <c r="B28" s="6" t="s">
        <v>3266</v>
      </c>
      <c r="C28" s="12" t="s">
        <v>3228</v>
      </c>
      <c r="D28" s="184" t="s">
        <v>3391</v>
      </c>
      <c r="E28" s="182" t="s">
        <v>3267</v>
      </c>
    </row>
    <row r="29" spans="1:5">
      <c r="A29" s="51" t="s">
        <v>3268</v>
      </c>
      <c r="B29" s="6" t="s">
        <v>3269</v>
      </c>
      <c r="C29" s="12" t="s">
        <v>3228</v>
      </c>
      <c r="D29" s="184" t="s">
        <v>3391</v>
      </c>
      <c r="E29" s="182"/>
    </row>
    <row r="30" spans="1:5">
      <c r="A30" s="51" t="s">
        <v>3270</v>
      </c>
      <c r="B30" s="6" t="s">
        <v>3271</v>
      </c>
      <c r="C30" s="12" t="s">
        <v>3228</v>
      </c>
      <c r="D30" s="184" t="s">
        <v>3391</v>
      </c>
      <c r="E30" s="182" t="s">
        <v>3272</v>
      </c>
    </row>
    <row r="31" spans="1:5">
      <c r="A31" s="51" t="s">
        <v>3273</v>
      </c>
      <c r="B31" s="6" t="s">
        <v>3274</v>
      </c>
      <c r="C31" s="12" t="s">
        <v>3228</v>
      </c>
      <c r="D31" s="184" t="s">
        <v>3391</v>
      </c>
      <c r="E31" s="182"/>
    </row>
    <row r="32" spans="1:5">
      <c r="A32" s="51" t="s">
        <v>3275</v>
      </c>
      <c r="B32" s="6" t="s">
        <v>3276</v>
      </c>
      <c r="C32" s="12" t="s">
        <v>3228</v>
      </c>
      <c r="D32" s="184" t="s">
        <v>3391</v>
      </c>
      <c r="E32" s="182"/>
    </row>
    <row r="33" spans="1:5">
      <c r="A33" s="51" t="s">
        <v>3277</v>
      </c>
      <c r="B33" s="6" t="s">
        <v>3278</v>
      </c>
      <c r="C33" s="12" t="s">
        <v>3228</v>
      </c>
      <c r="D33" s="184" t="s">
        <v>3391</v>
      </c>
      <c r="E33" s="182"/>
    </row>
    <row r="34" spans="1:5">
      <c r="A34" s="51" t="s">
        <v>3279</v>
      </c>
      <c r="B34" s="6" t="s">
        <v>3280</v>
      </c>
      <c r="C34" s="12" t="s">
        <v>3228</v>
      </c>
      <c r="D34" s="184" t="s">
        <v>3391</v>
      </c>
      <c r="E34" s="182"/>
    </row>
    <row r="35" spans="1:5">
      <c r="A35" s="51" t="s">
        <v>3281</v>
      </c>
      <c r="B35" s="6" t="s">
        <v>3282</v>
      </c>
      <c r="C35" s="12" t="s">
        <v>3228</v>
      </c>
      <c r="D35" s="184" t="s">
        <v>3391</v>
      </c>
      <c r="E35" s="182"/>
    </row>
    <row r="36" spans="1:5">
      <c r="A36" s="51" t="s">
        <v>3283</v>
      </c>
      <c r="B36" s="6" t="s">
        <v>3284</v>
      </c>
      <c r="C36" s="12" t="s">
        <v>3228</v>
      </c>
      <c r="D36" s="184" t="s">
        <v>3391</v>
      </c>
      <c r="E36" s="182"/>
    </row>
    <row r="37" spans="1:5">
      <c r="A37" s="51" t="s">
        <v>3285</v>
      </c>
      <c r="B37" s="6" t="s">
        <v>3286</v>
      </c>
      <c r="C37" s="12" t="s">
        <v>3228</v>
      </c>
      <c r="D37" s="184" t="s">
        <v>3390</v>
      </c>
      <c r="E37" s="182"/>
    </row>
    <row r="38" spans="1:5">
      <c r="A38" s="51" t="s">
        <v>3287</v>
      </c>
      <c r="B38" s="6" t="s">
        <v>3288</v>
      </c>
      <c r="C38" s="12" t="s">
        <v>3228</v>
      </c>
      <c r="D38" s="184" t="s">
        <v>3289</v>
      </c>
      <c r="E38" s="182" t="s">
        <v>3290</v>
      </c>
    </row>
    <row r="39" spans="1:5">
      <c r="A39" s="51" t="s">
        <v>3291</v>
      </c>
      <c r="B39" s="6" t="s">
        <v>3292</v>
      </c>
      <c r="C39" s="12" t="s">
        <v>3228</v>
      </c>
      <c r="D39" s="184" t="s">
        <v>3392</v>
      </c>
      <c r="E39" s="182"/>
    </row>
    <row r="40" spans="1:5">
      <c r="A40" s="51" t="s">
        <v>3293</v>
      </c>
      <c r="B40" s="6" t="s">
        <v>3294</v>
      </c>
      <c r="C40" s="12" t="s">
        <v>3228</v>
      </c>
      <c r="D40" s="184" t="s">
        <v>3392</v>
      </c>
      <c r="E40" s="182"/>
    </row>
    <row r="41" spans="1:5">
      <c r="A41" s="51" t="s">
        <v>3295</v>
      </c>
      <c r="B41" s="6" t="s">
        <v>3296</v>
      </c>
      <c r="C41" s="12" t="s">
        <v>3297</v>
      </c>
      <c r="D41" s="184" t="s">
        <v>3392</v>
      </c>
      <c r="E41" s="182" t="s">
        <v>3298</v>
      </c>
    </row>
    <row r="42" spans="1:5">
      <c r="A42" s="51" t="s">
        <v>3299</v>
      </c>
      <c r="B42" s="6" t="s">
        <v>3300</v>
      </c>
      <c r="C42" s="12" t="s">
        <v>3228</v>
      </c>
      <c r="D42" s="184" t="s">
        <v>3392</v>
      </c>
      <c r="E42" s="182"/>
    </row>
    <row r="43" spans="1:5">
      <c r="A43" s="51" t="s">
        <v>3301</v>
      </c>
      <c r="B43" s="6" t="s">
        <v>3302</v>
      </c>
      <c r="C43" s="12" t="s">
        <v>3228</v>
      </c>
      <c r="D43" s="184" t="s">
        <v>3392</v>
      </c>
      <c r="E43" s="182"/>
    </row>
    <row r="44" spans="1:5">
      <c r="A44" s="51" t="s">
        <v>3303</v>
      </c>
      <c r="B44" s="6" t="s">
        <v>3304</v>
      </c>
      <c r="C44" s="12" t="s">
        <v>3228</v>
      </c>
      <c r="D44" s="184" t="s">
        <v>3305</v>
      </c>
      <c r="E44" s="182" t="s">
        <v>3306</v>
      </c>
    </row>
    <row r="45" spans="1:5">
      <c r="A45" s="51" t="s">
        <v>3307</v>
      </c>
      <c r="B45" s="6" t="s">
        <v>3308</v>
      </c>
      <c r="C45" s="12" t="s">
        <v>3309</v>
      </c>
      <c r="D45" s="184" t="s">
        <v>3393</v>
      </c>
      <c r="E45" s="182" t="s">
        <v>3310</v>
      </c>
    </row>
    <row r="46" spans="1:5">
      <c r="A46" s="51" t="s">
        <v>3311</v>
      </c>
      <c r="B46" s="6" t="s">
        <v>3312</v>
      </c>
      <c r="C46" s="12" t="s">
        <v>3228</v>
      </c>
      <c r="D46" s="184" t="s">
        <v>3305</v>
      </c>
      <c r="E46" s="182" t="s">
        <v>3313</v>
      </c>
    </row>
    <row r="47" spans="1:5">
      <c r="A47" s="51" t="s">
        <v>3314</v>
      </c>
      <c r="B47" s="6" t="s">
        <v>3315</v>
      </c>
      <c r="C47" s="12" t="s">
        <v>3228</v>
      </c>
      <c r="D47" s="184" t="s">
        <v>3393</v>
      </c>
      <c r="E47" s="182"/>
    </row>
    <row r="48" spans="1:5">
      <c r="A48" s="51" t="s">
        <v>3316</v>
      </c>
      <c r="B48" s="6" t="s">
        <v>3317</v>
      </c>
      <c r="C48" s="12" t="s">
        <v>3228</v>
      </c>
      <c r="D48" s="184" t="s">
        <v>3393</v>
      </c>
      <c r="E48" s="182" t="s">
        <v>3318</v>
      </c>
    </row>
    <row r="49" spans="1:5">
      <c r="A49" s="51" t="s">
        <v>3319</v>
      </c>
      <c r="B49" s="6" t="s">
        <v>3320</v>
      </c>
      <c r="C49" s="12" t="s">
        <v>3228</v>
      </c>
      <c r="D49" s="184" t="s">
        <v>3393</v>
      </c>
      <c r="E49" s="182"/>
    </row>
    <row r="50" spans="1:5">
      <c r="A50" s="51" t="s">
        <v>3321</v>
      </c>
      <c r="B50" s="6" t="s">
        <v>3322</v>
      </c>
      <c r="C50" s="12" t="s">
        <v>3228</v>
      </c>
      <c r="D50" s="184" t="s">
        <v>3393</v>
      </c>
      <c r="E50" s="182"/>
    </row>
    <row r="51" spans="1:5">
      <c r="A51" s="51" t="s">
        <v>3323</v>
      </c>
      <c r="B51" s="6" t="s">
        <v>3324</v>
      </c>
      <c r="C51" s="12" t="s">
        <v>3228</v>
      </c>
      <c r="D51" s="184" t="s">
        <v>3393</v>
      </c>
      <c r="E51" s="182"/>
    </row>
    <row r="52" spans="1:5">
      <c r="A52" s="51" t="s">
        <v>3325</v>
      </c>
      <c r="B52" s="6" t="s">
        <v>3326</v>
      </c>
      <c r="C52" s="12" t="s">
        <v>3228</v>
      </c>
      <c r="D52" s="184" t="s">
        <v>3393</v>
      </c>
      <c r="E52" s="182"/>
    </row>
    <row r="53" spans="1:5">
      <c r="A53" s="51" t="s">
        <v>3327</v>
      </c>
      <c r="B53" s="6" t="s">
        <v>3328</v>
      </c>
      <c r="C53" s="12" t="s">
        <v>3228</v>
      </c>
      <c r="D53" s="184" t="s">
        <v>3393</v>
      </c>
      <c r="E53" s="182"/>
    </row>
    <row r="54" spans="1:5">
      <c r="A54" s="51" t="s">
        <v>3329</v>
      </c>
      <c r="B54" s="6" t="s">
        <v>3330</v>
      </c>
      <c r="C54" s="12" t="s">
        <v>3228</v>
      </c>
      <c r="D54" s="184" t="s">
        <v>3393</v>
      </c>
      <c r="E54" s="182"/>
    </row>
    <row r="55" spans="1:5">
      <c r="A55" s="51" t="s">
        <v>3331</v>
      </c>
      <c r="B55" s="6" t="s">
        <v>3332</v>
      </c>
      <c r="C55" s="12" t="s">
        <v>3228</v>
      </c>
      <c r="D55" s="184" t="s">
        <v>3393</v>
      </c>
      <c r="E55" s="182"/>
    </row>
    <row r="56" spans="1:5">
      <c r="A56" s="51" t="s">
        <v>3333</v>
      </c>
      <c r="B56" s="6" t="s">
        <v>3334</v>
      </c>
      <c r="C56" s="12" t="s">
        <v>3228</v>
      </c>
      <c r="D56" s="184" t="s">
        <v>3305</v>
      </c>
      <c r="E56" s="182" t="s">
        <v>3335</v>
      </c>
    </row>
    <row r="57" spans="1:5">
      <c r="A57" s="51" t="s">
        <v>3336</v>
      </c>
      <c r="B57" s="6" t="s">
        <v>3337</v>
      </c>
      <c r="C57" s="12" t="s">
        <v>3297</v>
      </c>
      <c r="D57" s="184" t="s">
        <v>3393</v>
      </c>
      <c r="E57" s="182" t="s">
        <v>3338</v>
      </c>
    </row>
    <row r="58" spans="1:5">
      <c r="A58" s="51" t="s">
        <v>3339</v>
      </c>
      <c r="B58" s="6" t="s">
        <v>3340</v>
      </c>
      <c r="C58" s="12" t="s">
        <v>3228</v>
      </c>
      <c r="D58" s="184" t="s">
        <v>3393</v>
      </c>
      <c r="E58" s="182"/>
    </row>
    <row r="59" spans="1:5">
      <c r="A59" s="51" t="s">
        <v>3341</v>
      </c>
      <c r="B59" s="6" t="s">
        <v>3342</v>
      </c>
      <c r="C59" s="12" t="s">
        <v>3228</v>
      </c>
      <c r="D59" s="184" t="s">
        <v>3394</v>
      </c>
      <c r="E59" s="182" t="s">
        <v>3343</v>
      </c>
    </row>
    <row r="60" spans="1:5">
      <c r="A60" s="51" t="s">
        <v>3344</v>
      </c>
      <c r="B60" s="6" t="s">
        <v>3345</v>
      </c>
      <c r="C60" s="12" t="s">
        <v>3346</v>
      </c>
      <c r="D60" s="184" t="s">
        <v>3395</v>
      </c>
      <c r="E60" s="182" t="s">
        <v>3347</v>
      </c>
    </row>
    <row r="61" spans="1:5">
      <c r="A61" s="51" t="s">
        <v>3348</v>
      </c>
      <c r="B61" s="6" t="s">
        <v>3349</v>
      </c>
      <c r="C61" s="12" t="s">
        <v>3350</v>
      </c>
      <c r="D61" s="184" t="s">
        <v>3351</v>
      </c>
      <c r="E61" s="182" t="s">
        <v>3352</v>
      </c>
    </row>
    <row r="62" spans="1:5">
      <c r="A62" s="51" t="s">
        <v>3353</v>
      </c>
      <c r="B62" s="6" t="s">
        <v>3354</v>
      </c>
      <c r="C62" s="12" t="s">
        <v>3228</v>
      </c>
      <c r="D62" s="184" t="s">
        <v>3396</v>
      </c>
      <c r="E62" s="182" t="s">
        <v>3355</v>
      </c>
    </row>
    <row r="63" spans="1:5">
      <c r="A63" s="51" t="s">
        <v>3356</v>
      </c>
      <c r="B63" s="6" t="s">
        <v>3357</v>
      </c>
      <c r="C63" s="12" t="s">
        <v>3217</v>
      </c>
      <c r="D63" s="184" t="s">
        <v>3397</v>
      </c>
      <c r="E63" s="182" t="s">
        <v>3358</v>
      </c>
    </row>
    <row r="64" spans="1:5">
      <c r="A64" s="51" t="s">
        <v>3359</v>
      </c>
      <c r="B64" s="6" t="s">
        <v>3360</v>
      </c>
      <c r="C64" s="12" t="s">
        <v>3228</v>
      </c>
      <c r="D64" s="184" t="s">
        <v>3396</v>
      </c>
      <c r="E64" s="182" t="s">
        <v>3361</v>
      </c>
    </row>
    <row r="65" spans="1:5">
      <c r="A65" s="51" t="s">
        <v>3362</v>
      </c>
      <c r="B65" s="6" t="s">
        <v>3363</v>
      </c>
      <c r="C65" s="12" t="s">
        <v>3228</v>
      </c>
      <c r="D65" s="184" t="s">
        <v>3398</v>
      </c>
      <c r="E65" s="182" t="s">
        <v>3364</v>
      </c>
    </row>
    <row r="66" spans="1:5">
      <c r="A66" s="51" t="s">
        <v>3365</v>
      </c>
      <c r="B66" s="6" t="s">
        <v>3366</v>
      </c>
      <c r="C66" s="12" t="s">
        <v>3217</v>
      </c>
      <c r="D66" s="184" t="s">
        <v>3367</v>
      </c>
      <c r="E66" s="182" t="s">
        <v>3368</v>
      </c>
    </row>
    <row r="67" spans="1:5">
      <c r="A67" s="51" t="s">
        <v>3369</v>
      </c>
      <c r="B67" s="6" t="s">
        <v>3370</v>
      </c>
      <c r="C67" s="12" t="s">
        <v>3228</v>
      </c>
      <c r="D67" s="184" t="s">
        <v>3371</v>
      </c>
      <c r="E67" s="182" t="s">
        <v>3372</v>
      </c>
    </row>
    <row r="68" spans="1:5">
      <c r="A68" s="51" t="s">
        <v>3373</v>
      </c>
      <c r="B68" s="6" t="s">
        <v>3374</v>
      </c>
      <c r="C68" s="12" t="s">
        <v>3228</v>
      </c>
      <c r="D68" s="184" t="s">
        <v>3399</v>
      </c>
      <c r="E68" s="182" t="s">
        <v>3375</v>
      </c>
    </row>
    <row r="69" spans="1:5">
      <c r="A69" s="51" t="s">
        <v>3135</v>
      </c>
      <c r="B69" s="6" t="s">
        <v>3376</v>
      </c>
      <c r="C69" s="12" t="s">
        <v>3228</v>
      </c>
      <c r="D69" s="184" t="s">
        <v>3400</v>
      </c>
      <c r="E69" s="182" t="s">
        <v>3377</v>
      </c>
    </row>
    <row r="70" spans="1:5">
      <c r="A70" s="51" t="s">
        <v>1803</v>
      </c>
      <c r="B70" s="6" t="s">
        <v>1833</v>
      </c>
      <c r="C70" s="12" t="s">
        <v>3228</v>
      </c>
      <c r="D70" s="184" t="s">
        <v>3401</v>
      </c>
      <c r="E70" s="182" t="s">
        <v>3378</v>
      </c>
    </row>
    <row r="71" spans="1:5">
      <c r="A71" s="51" t="s">
        <v>1804</v>
      </c>
      <c r="B71" s="6" t="s">
        <v>1805</v>
      </c>
      <c r="C71" s="12" t="s">
        <v>3228</v>
      </c>
      <c r="D71" s="184" t="s">
        <v>3401</v>
      </c>
      <c r="E71" s="182" t="s">
        <v>3379</v>
      </c>
    </row>
    <row r="72" spans="1:5">
      <c r="A72" s="52" t="s">
        <v>1806</v>
      </c>
      <c r="B72" s="8" t="s">
        <v>1807</v>
      </c>
      <c r="C72" s="13" t="s">
        <v>3228</v>
      </c>
      <c r="D72" s="185" t="s">
        <v>3401</v>
      </c>
      <c r="E72" s="183" t="s">
        <v>3380</v>
      </c>
    </row>
  </sheetData>
  <autoFilter ref="A5:E72" xr:uid="{A4DEADF9-EFAE-A14D-BC4F-3F04ADDCB1E4}"/>
  <phoneticPr fontId="2"/>
  <conditionalFormatting sqref="A6:E72">
    <cfRule type="expression" dxfId="30" priority="1">
      <formula>$C6="Accepted"</formula>
    </cfRule>
  </conditionalFormatting>
  <conditionalFormatting sqref="A6:E72">
    <cfRule type="expression" dxfId="29" priority="2">
      <formula>$C6="Accepted (Phase 1)"</formula>
    </cfRule>
  </conditionalFormatting>
  <conditionalFormatting sqref="A6:E72">
    <cfRule type="expression" dxfId="28" priority="3">
      <formula>$C6="Accepted（条件付き）"</formula>
    </cfRule>
  </conditionalFormatting>
  <conditionalFormatting sqref="A6:E72">
    <cfRule type="expression" dxfId="27" priority="4">
      <formula>$C6="Scope Reduced"</formula>
    </cfRule>
  </conditionalFormatting>
  <conditionalFormatting sqref="A6:E72">
    <cfRule type="expression" dxfId="26" priority="5">
      <formula>$C6="Out of Scope"</formula>
    </cfRule>
  </conditionalFormatting>
  <conditionalFormatting sqref="A6:E72">
    <cfRule type="expression" dxfId="25" priority="6">
      <formula>$A6="ADR-061"</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50CDA-FE4E-E74B-968F-00BE7CB94CEE}">
  <dimension ref="A1:P91"/>
  <sheetViews>
    <sheetView zoomScale="138" workbookViewId="0">
      <pane ySplit="5" topLeftCell="A28" activePane="bottomLeft" state="frozen"/>
      <selection pane="bottomLeft" activeCell="D14" sqref="D14"/>
    </sheetView>
  </sheetViews>
  <sheetFormatPr baseColWidth="10" defaultRowHeight="20"/>
  <cols>
    <col min="1" max="1" width="30" customWidth="1"/>
    <col min="2" max="2" width="15" customWidth="1"/>
    <col min="3" max="3" width="57.140625" customWidth="1"/>
    <col min="4" max="4" width="15.7109375" customWidth="1"/>
    <col min="5" max="5" width="10" customWidth="1"/>
    <col min="6" max="6" width="35.7109375" customWidth="1"/>
    <col min="7" max="7" width="80" customWidth="1"/>
    <col min="8" max="8" width="21.42578125" customWidth="1"/>
    <col min="9" max="9" width="35.7109375" customWidth="1"/>
    <col min="11" max="11" width="30" customWidth="1"/>
    <col min="12" max="12" width="12.140625" customWidth="1"/>
    <col min="13" max="14" width="17.140625" customWidth="1"/>
    <col min="15" max="15" width="10" customWidth="1"/>
    <col min="16" max="16" width="24.28515625" customWidth="1"/>
  </cols>
  <sheetData>
    <row r="1" spans="1:16" ht="25">
      <c r="A1" s="49" t="s">
        <v>3436</v>
      </c>
    </row>
    <row r="2" spans="1:16">
      <c r="A2" s="3" t="s">
        <v>3437</v>
      </c>
    </row>
    <row r="3" spans="1:16">
      <c r="A3" s="54" t="s">
        <v>3438</v>
      </c>
    </row>
    <row r="4" spans="1:16">
      <c r="K4" s="175" t="s">
        <v>3453</v>
      </c>
    </row>
    <row r="5" spans="1:16" ht="24" customHeight="1">
      <c r="A5" s="186" t="s">
        <v>3439</v>
      </c>
      <c r="B5" s="187" t="s">
        <v>16</v>
      </c>
      <c r="C5" s="187" t="s">
        <v>3440</v>
      </c>
      <c r="D5" s="187" t="s">
        <v>1942</v>
      </c>
      <c r="E5" s="187" t="s">
        <v>3185</v>
      </c>
      <c r="F5" s="187" t="s">
        <v>3441</v>
      </c>
      <c r="G5" s="187" t="s">
        <v>3442</v>
      </c>
      <c r="H5" s="187" t="s">
        <v>3443</v>
      </c>
      <c r="I5" s="188" t="s">
        <v>19</v>
      </c>
      <c r="K5" s="194" t="s">
        <v>3439</v>
      </c>
      <c r="L5" s="195" t="s">
        <v>3454</v>
      </c>
      <c r="M5" s="195" t="s">
        <v>3455</v>
      </c>
      <c r="N5" s="195" t="s">
        <v>3456</v>
      </c>
      <c r="O5" s="196" t="s">
        <v>3457</v>
      </c>
      <c r="P5" s="1"/>
    </row>
    <row r="6" spans="1:16">
      <c r="A6" s="5" t="s">
        <v>709</v>
      </c>
      <c r="B6" s="189" t="s">
        <v>710</v>
      </c>
      <c r="C6" s="6" t="s">
        <v>1160</v>
      </c>
      <c r="D6" s="12" t="s">
        <v>3444</v>
      </c>
      <c r="E6" s="169">
        <v>25</v>
      </c>
      <c r="F6" s="6" t="s">
        <v>3676</v>
      </c>
      <c r="G6" s="191" t="s">
        <v>712</v>
      </c>
      <c r="H6" s="12" t="s">
        <v>9</v>
      </c>
      <c r="I6" s="14" t="s">
        <v>713</v>
      </c>
      <c r="K6" s="23" t="s">
        <v>709</v>
      </c>
      <c r="L6" s="30">
        <f>COUNTIF($A$6:$A$91,$K6)</f>
        <v>12</v>
      </c>
      <c r="M6" s="30">
        <f>SUMIF($A$6:$A$91,$K6,$E$6:$E$91)</f>
        <v>87</v>
      </c>
      <c r="N6" s="30">
        <v>87</v>
      </c>
      <c r="O6" s="159">
        <f>M6-N6</f>
        <v>0</v>
      </c>
      <c r="P6" s="1"/>
    </row>
    <row r="7" spans="1:16">
      <c r="A7" s="5" t="s">
        <v>709</v>
      </c>
      <c r="B7" s="189" t="s">
        <v>714</v>
      </c>
      <c r="C7" s="6" t="s">
        <v>1161</v>
      </c>
      <c r="D7" s="12" t="s">
        <v>3444</v>
      </c>
      <c r="E7" s="169">
        <v>10</v>
      </c>
      <c r="F7" s="6" t="s">
        <v>3665</v>
      </c>
      <c r="G7" s="191" t="s">
        <v>716</v>
      </c>
      <c r="H7" s="12" t="s">
        <v>9</v>
      </c>
      <c r="I7" s="14" t="s">
        <v>717</v>
      </c>
      <c r="K7" s="23" t="s">
        <v>749</v>
      </c>
      <c r="L7" s="30">
        <f>COUNTIF($A$6:$A$91,$K7)</f>
        <v>5</v>
      </c>
      <c r="M7" s="30">
        <f>SUMIF($A$6:$A$91,$K7,$E$6:$E$91)</f>
        <v>24</v>
      </c>
      <c r="N7" s="30">
        <v>22</v>
      </c>
      <c r="O7" s="159">
        <f>M7-N7</f>
        <v>2</v>
      </c>
      <c r="P7" s="1"/>
    </row>
    <row r="8" spans="1:16">
      <c r="A8" s="5" t="s">
        <v>709</v>
      </c>
      <c r="B8" s="189" t="s">
        <v>718</v>
      </c>
      <c r="C8" s="6" t="s">
        <v>1162</v>
      </c>
      <c r="D8" s="12" t="s">
        <v>3444</v>
      </c>
      <c r="E8" s="169">
        <v>20</v>
      </c>
      <c r="F8" s="6" t="s">
        <v>719</v>
      </c>
      <c r="G8" s="191" t="s">
        <v>720</v>
      </c>
      <c r="H8" s="12" t="s">
        <v>9</v>
      </c>
      <c r="I8" s="14" t="s">
        <v>713</v>
      </c>
      <c r="K8" s="23" t="s">
        <v>766</v>
      </c>
      <c r="L8" s="30">
        <f>COUNTIF($A$6:$A$91,$K8)</f>
        <v>8</v>
      </c>
      <c r="M8" s="30">
        <f>SUMIF($A$6:$A$91,$K8,$E$6:$E$91)</f>
        <v>17</v>
      </c>
      <c r="N8" s="30">
        <v>17</v>
      </c>
      <c r="O8" s="159">
        <f>M8-N8</f>
        <v>0</v>
      </c>
      <c r="P8" s="1"/>
    </row>
    <row r="9" spans="1:16">
      <c r="A9" s="5" t="s">
        <v>709</v>
      </c>
      <c r="B9" s="189" t="s">
        <v>721</v>
      </c>
      <c r="C9" s="6" t="s">
        <v>1163</v>
      </c>
      <c r="D9" s="12" t="s">
        <v>2665</v>
      </c>
      <c r="E9" s="169">
        <v>0</v>
      </c>
      <c r="F9" s="6" t="s">
        <v>722</v>
      </c>
      <c r="G9" s="191" t="s">
        <v>723</v>
      </c>
      <c r="H9" s="12" t="s">
        <v>1301</v>
      </c>
      <c r="I9" s="14" t="s">
        <v>713</v>
      </c>
      <c r="K9" s="23" t="s">
        <v>792</v>
      </c>
      <c r="L9" s="30">
        <f>COUNTIF($A$6:$A$91,$K9)</f>
        <v>18</v>
      </c>
      <c r="M9" s="30">
        <f>SUMIF($A$6:$A$91,$K9,$E$6:$E$91)</f>
        <v>53</v>
      </c>
      <c r="N9" s="30">
        <v>50</v>
      </c>
      <c r="O9" s="159">
        <f>M9-N9</f>
        <v>3</v>
      </c>
      <c r="P9" s="1"/>
    </row>
    <row r="10" spans="1:16">
      <c r="A10" s="5" t="s">
        <v>709</v>
      </c>
      <c r="B10" s="189" t="s">
        <v>724</v>
      </c>
      <c r="C10" s="6" t="s">
        <v>1164</v>
      </c>
      <c r="D10" s="12" t="s">
        <v>3444</v>
      </c>
      <c r="E10" s="169">
        <v>4</v>
      </c>
      <c r="F10" s="6" t="s">
        <v>725</v>
      </c>
      <c r="G10" s="191" t="s">
        <v>726</v>
      </c>
      <c r="H10" s="12" t="s">
        <v>9</v>
      </c>
      <c r="I10" s="14" t="s">
        <v>713</v>
      </c>
      <c r="K10" s="23" t="s">
        <v>847</v>
      </c>
      <c r="L10" s="30">
        <f>COUNTIF($A$6:$A$91,$K10)</f>
        <v>8</v>
      </c>
      <c r="M10" s="30">
        <f>SUMIF($A$6:$A$91,$K10,$E$6:$E$91)</f>
        <v>33</v>
      </c>
      <c r="N10" s="30">
        <v>33</v>
      </c>
      <c r="O10" s="159">
        <f>M10-N10</f>
        <v>0</v>
      </c>
      <c r="P10" s="1"/>
    </row>
    <row r="11" spans="1:16">
      <c r="A11" s="5" t="s">
        <v>709</v>
      </c>
      <c r="B11" s="189" t="s">
        <v>727</v>
      </c>
      <c r="C11" s="6" t="s">
        <v>1165</v>
      </c>
      <c r="D11" s="12" t="s">
        <v>3444</v>
      </c>
      <c r="E11" s="169">
        <v>8</v>
      </c>
      <c r="F11" s="6" t="s">
        <v>728</v>
      </c>
      <c r="G11" s="191" t="s">
        <v>729</v>
      </c>
      <c r="H11" s="12" t="s">
        <v>9</v>
      </c>
      <c r="I11" s="14" t="s">
        <v>713</v>
      </c>
      <c r="K11" s="23" t="s">
        <v>874</v>
      </c>
      <c r="L11" s="30">
        <f>COUNTIF($A$6:$A$91,$K11)</f>
        <v>4</v>
      </c>
      <c r="M11" s="30">
        <f>SUMIF($A$6:$A$91,$K11,$E$6:$E$91)</f>
        <v>14</v>
      </c>
      <c r="N11" s="30">
        <v>13</v>
      </c>
      <c r="O11" s="159">
        <f>M11-N11</f>
        <v>1</v>
      </c>
      <c r="P11" s="1"/>
    </row>
    <row r="12" spans="1:16">
      <c r="A12" s="5" t="s">
        <v>709</v>
      </c>
      <c r="B12" s="189" t="s">
        <v>730</v>
      </c>
      <c r="C12" s="6" t="s">
        <v>1166</v>
      </c>
      <c r="D12" s="12" t="s">
        <v>3444</v>
      </c>
      <c r="E12" s="169">
        <v>3</v>
      </c>
      <c r="F12" s="6" t="s">
        <v>731</v>
      </c>
      <c r="G12" s="191" t="s">
        <v>732</v>
      </c>
      <c r="H12" s="12" t="s">
        <v>9</v>
      </c>
      <c r="I12" s="14" t="s">
        <v>713</v>
      </c>
      <c r="K12" s="23" t="s">
        <v>890</v>
      </c>
      <c r="L12" s="30">
        <f>COUNTIF($A$6:$A$91,$K12)</f>
        <v>4</v>
      </c>
      <c r="M12" s="30">
        <f>SUMIF($A$6:$A$91,$K12,$E$6:$E$91)</f>
        <v>42</v>
      </c>
      <c r="N12" s="30">
        <v>22</v>
      </c>
      <c r="O12" s="159">
        <f>M12-N12</f>
        <v>20</v>
      </c>
      <c r="P12" s="1"/>
    </row>
    <row r="13" spans="1:16">
      <c r="A13" s="5" t="s">
        <v>709</v>
      </c>
      <c r="B13" s="189" t="s">
        <v>733</v>
      </c>
      <c r="C13" s="6" t="s">
        <v>1167</v>
      </c>
      <c r="D13" s="12" t="s">
        <v>3444</v>
      </c>
      <c r="E13" s="169">
        <v>2</v>
      </c>
      <c r="F13" s="6" t="s">
        <v>734</v>
      </c>
      <c r="G13" s="191" t="s">
        <v>735</v>
      </c>
      <c r="H13" s="12" t="s">
        <v>9</v>
      </c>
      <c r="I13" s="14" t="s">
        <v>713</v>
      </c>
      <c r="K13" s="176" t="s">
        <v>3458</v>
      </c>
      <c r="L13" s="163">
        <f>SUM(L6:L12)</f>
        <v>59</v>
      </c>
      <c r="M13" s="163">
        <f>SUM(M6:M12)</f>
        <v>270</v>
      </c>
      <c r="N13" s="163">
        <f>SUM(N6:N12)</f>
        <v>244</v>
      </c>
      <c r="O13" s="193">
        <f>SUM(O6:O12)</f>
        <v>26</v>
      </c>
      <c r="P13" s="1"/>
    </row>
    <row r="14" spans="1:16">
      <c r="A14" s="5" t="s">
        <v>709</v>
      </c>
      <c r="B14" s="189" t="s">
        <v>736</v>
      </c>
      <c r="C14" s="6" t="s">
        <v>1168</v>
      </c>
      <c r="D14" s="12" t="s">
        <v>3444</v>
      </c>
      <c r="E14" s="169">
        <v>2</v>
      </c>
      <c r="F14" s="6" t="s">
        <v>737</v>
      </c>
      <c r="G14" s="191" t="s">
        <v>738</v>
      </c>
      <c r="H14" s="12" t="s">
        <v>9</v>
      </c>
      <c r="I14" s="14" t="s">
        <v>713</v>
      </c>
      <c r="K14" s="176" t="s">
        <v>3448</v>
      </c>
      <c r="L14" s="163">
        <f>COUNTIF($A$6:$A$91,"（検証ゲート）")</f>
        <v>11</v>
      </c>
      <c r="M14" s="163">
        <v>0</v>
      </c>
      <c r="N14" s="163">
        <v>0</v>
      </c>
      <c r="O14" s="193">
        <v>0</v>
      </c>
      <c r="P14" s="1"/>
    </row>
    <row r="15" spans="1:16">
      <c r="A15" s="5" t="s">
        <v>709</v>
      </c>
      <c r="B15" s="189" t="s">
        <v>739</v>
      </c>
      <c r="C15" s="6" t="s">
        <v>1169</v>
      </c>
      <c r="D15" s="12" t="s">
        <v>3444</v>
      </c>
      <c r="E15" s="169">
        <v>5</v>
      </c>
      <c r="F15" s="6" t="s">
        <v>740</v>
      </c>
      <c r="G15" s="191" t="s">
        <v>741</v>
      </c>
      <c r="H15" s="12" t="s">
        <v>9</v>
      </c>
      <c r="I15" s="14" t="s">
        <v>713</v>
      </c>
      <c r="K15" s="176" t="s">
        <v>3451</v>
      </c>
      <c r="L15" s="163">
        <f>COUNTIF($A$6:$A$91,"（顧客確認）")</f>
        <v>16</v>
      </c>
      <c r="M15" s="163">
        <v>0</v>
      </c>
      <c r="N15" s="163">
        <v>0</v>
      </c>
      <c r="O15" s="193">
        <v>0</v>
      </c>
      <c r="P15" s="1"/>
    </row>
    <row r="16" spans="1:16">
      <c r="A16" s="5" t="s">
        <v>709</v>
      </c>
      <c r="B16" s="189" t="s">
        <v>742</v>
      </c>
      <c r="C16" s="6" t="s">
        <v>1170</v>
      </c>
      <c r="D16" s="12" t="s">
        <v>3444</v>
      </c>
      <c r="E16" s="169">
        <v>2</v>
      </c>
      <c r="F16" s="6" t="s">
        <v>743</v>
      </c>
      <c r="G16" s="191" t="s">
        <v>744</v>
      </c>
      <c r="H16" s="12" t="s">
        <v>9</v>
      </c>
      <c r="I16" s="14" t="s">
        <v>713</v>
      </c>
      <c r="K16" s="25" t="s">
        <v>13</v>
      </c>
      <c r="L16" s="31">
        <f>SUM(L13:L15)</f>
        <v>86</v>
      </c>
      <c r="M16" s="31">
        <f>SUM(M13:M15)</f>
        <v>270</v>
      </c>
      <c r="N16" s="31">
        <f>SUM(N13:N15)</f>
        <v>244</v>
      </c>
      <c r="O16" s="160">
        <f>SUM(O13:O15)</f>
        <v>26</v>
      </c>
      <c r="P16" s="16" t="str">
        <f>IF(L16=COUNTA($B$6:$B$91),"✓ 明細行数と一致","⚠ 不一致")</f>
        <v>✓ 明細行数と一致</v>
      </c>
    </row>
    <row r="17" spans="1:12">
      <c r="A17" s="5" t="s">
        <v>709</v>
      </c>
      <c r="B17" s="189" t="s">
        <v>745</v>
      </c>
      <c r="C17" s="6" t="s">
        <v>1171</v>
      </c>
      <c r="D17" s="12" t="s">
        <v>3444</v>
      </c>
      <c r="E17" s="169">
        <v>6</v>
      </c>
      <c r="F17" s="6" t="s">
        <v>746</v>
      </c>
      <c r="G17" s="191" t="s">
        <v>747</v>
      </c>
      <c r="H17" s="12" t="s">
        <v>9</v>
      </c>
      <c r="I17" s="14" t="s">
        <v>748</v>
      </c>
    </row>
    <row r="18" spans="1:12">
      <c r="A18" s="5" t="s">
        <v>749</v>
      </c>
      <c r="B18" s="189" t="s">
        <v>750</v>
      </c>
      <c r="C18" s="6" t="s">
        <v>1172</v>
      </c>
      <c r="D18" s="12" t="s">
        <v>1913</v>
      </c>
      <c r="E18" s="169">
        <v>12</v>
      </c>
      <c r="F18" s="6" t="s">
        <v>751</v>
      </c>
      <c r="G18" s="191" t="s">
        <v>752</v>
      </c>
      <c r="H18" s="12" t="s">
        <v>1913</v>
      </c>
      <c r="I18" s="14" t="s">
        <v>753</v>
      </c>
      <c r="K18" s="197" t="s">
        <v>3459</v>
      </c>
    </row>
    <row r="19" spans="1:12">
      <c r="A19" s="5" t="s">
        <v>749</v>
      </c>
      <c r="B19" s="189" t="s">
        <v>754</v>
      </c>
      <c r="C19" s="6" t="s">
        <v>1173</v>
      </c>
      <c r="D19" s="12" t="s">
        <v>1913</v>
      </c>
      <c r="E19" s="169">
        <v>5</v>
      </c>
      <c r="F19" s="6" t="s">
        <v>755</v>
      </c>
      <c r="G19" s="191" t="s">
        <v>756</v>
      </c>
      <c r="H19" s="12" t="s">
        <v>1913</v>
      </c>
      <c r="I19" s="14" t="s">
        <v>753</v>
      </c>
      <c r="K19" s="56" t="s">
        <v>3460</v>
      </c>
      <c r="L19" s="55" t="s">
        <v>3461</v>
      </c>
    </row>
    <row r="20" spans="1:12">
      <c r="A20" s="5" t="s">
        <v>749</v>
      </c>
      <c r="B20" s="189" t="s">
        <v>757</v>
      </c>
      <c r="C20" s="6" t="s">
        <v>1174</v>
      </c>
      <c r="D20" s="12" t="s">
        <v>1913</v>
      </c>
      <c r="E20" s="169">
        <v>2</v>
      </c>
      <c r="F20" s="6" t="s">
        <v>758</v>
      </c>
      <c r="G20" s="191" t="s">
        <v>759</v>
      </c>
      <c r="H20" s="12" t="s">
        <v>1913</v>
      </c>
      <c r="I20" s="14" t="s">
        <v>753</v>
      </c>
      <c r="K20" s="56" t="s">
        <v>3462</v>
      </c>
      <c r="L20" s="53" t="s">
        <v>3463</v>
      </c>
    </row>
    <row r="21" spans="1:12">
      <c r="A21" s="5" t="s">
        <v>749</v>
      </c>
      <c r="B21" s="189" t="s">
        <v>760</v>
      </c>
      <c r="C21" s="6" t="s">
        <v>1175</v>
      </c>
      <c r="D21" s="12" t="s">
        <v>1913</v>
      </c>
      <c r="E21" s="169">
        <v>4</v>
      </c>
      <c r="F21" s="6" t="s">
        <v>761</v>
      </c>
      <c r="G21" s="191" t="s">
        <v>762</v>
      </c>
      <c r="H21" s="12" t="s">
        <v>1913</v>
      </c>
      <c r="I21" s="14" t="s">
        <v>753</v>
      </c>
      <c r="K21" s="56" t="s">
        <v>3464</v>
      </c>
      <c r="L21" s="1" t="s">
        <v>3465</v>
      </c>
    </row>
    <row r="22" spans="1:12">
      <c r="A22" s="5" t="s">
        <v>749</v>
      </c>
      <c r="B22" s="189" t="s">
        <v>763</v>
      </c>
      <c r="C22" s="6" t="s">
        <v>1176</v>
      </c>
      <c r="D22" s="12" t="s">
        <v>1913</v>
      </c>
      <c r="E22" s="169">
        <v>1</v>
      </c>
      <c r="F22" s="6" t="s">
        <v>764</v>
      </c>
      <c r="G22" s="191" t="s">
        <v>765</v>
      </c>
      <c r="H22" s="12" t="s">
        <v>1913</v>
      </c>
      <c r="I22" s="14" t="s">
        <v>753</v>
      </c>
    </row>
    <row r="23" spans="1:12">
      <c r="A23" s="5" t="s">
        <v>766</v>
      </c>
      <c r="B23" s="189" t="s">
        <v>767</v>
      </c>
      <c r="C23" s="6" t="s">
        <v>1177</v>
      </c>
      <c r="D23" s="12" t="s">
        <v>3445</v>
      </c>
      <c r="E23" s="169">
        <v>4</v>
      </c>
      <c r="F23" s="6" t="s">
        <v>768</v>
      </c>
      <c r="G23" s="191" t="s">
        <v>769</v>
      </c>
      <c r="H23" s="12" t="s">
        <v>9</v>
      </c>
      <c r="I23" s="14" t="s">
        <v>770</v>
      </c>
    </row>
    <row r="24" spans="1:12">
      <c r="A24" s="5" t="s">
        <v>766</v>
      </c>
      <c r="B24" s="189" t="s">
        <v>771</v>
      </c>
      <c r="C24" s="6" t="s">
        <v>1178</v>
      </c>
      <c r="D24" s="12" t="s">
        <v>3445</v>
      </c>
      <c r="E24" s="169">
        <v>2</v>
      </c>
      <c r="F24" s="6" t="s">
        <v>772</v>
      </c>
      <c r="G24" s="191" t="s">
        <v>773</v>
      </c>
      <c r="H24" s="12" t="s">
        <v>9</v>
      </c>
      <c r="I24" s="14" t="s">
        <v>770</v>
      </c>
    </row>
    <row r="25" spans="1:12">
      <c r="A25" s="5" t="s">
        <v>766</v>
      </c>
      <c r="B25" s="189" t="s">
        <v>774</v>
      </c>
      <c r="C25" s="6" t="s">
        <v>1179</v>
      </c>
      <c r="D25" s="12" t="s">
        <v>3445</v>
      </c>
      <c r="E25" s="169">
        <v>4</v>
      </c>
      <c r="F25" s="6" t="s">
        <v>775</v>
      </c>
      <c r="G25" s="191" t="s">
        <v>776</v>
      </c>
      <c r="H25" s="12" t="s">
        <v>9</v>
      </c>
      <c r="I25" s="14" t="s">
        <v>770</v>
      </c>
    </row>
    <row r="26" spans="1:12">
      <c r="A26" s="5" t="s">
        <v>766</v>
      </c>
      <c r="B26" s="189" t="s">
        <v>777</v>
      </c>
      <c r="C26" s="6" t="s">
        <v>1180</v>
      </c>
      <c r="D26" s="12" t="s">
        <v>3445</v>
      </c>
      <c r="E26" s="169">
        <v>1</v>
      </c>
      <c r="F26" s="6" t="s">
        <v>778</v>
      </c>
      <c r="G26" s="191" t="s">
        <v>779</v>
      </c>
      <c r="H26" s="12" t="s">
        <v>9</v>
      </c>
      <c r="I26" s="14" t="s">
        <v>770</v>
      </c>
    </row>
    <row r="27" spans="1:12">
      <c r="A27" s="5" t="s">
        <v>766</v>
      </c>
      <c r="B27" s="189" t="s">
        <v>780</v>
      </c>
      <c r="C27" s="6" t="s">
        <v>1181</v>
      </c>
      <c r="D27" s="12" t="s">
        <v>3445</v>
      </c>
      <c r="E27" s="169">
        <v>2</v>
      </c>
      <c r="F27" s="6" t="s">
        <v>781</v>
      </c>
      <c r="G27" s="191" t="s">
        <v>782</v>
      </c>
      <c r="H27" s="12" t="s">
        <v>9</v>
      </c>
      <c r="I27" s="14" t="s">
        <v>770</v>
      </c>
    </row>
    <row r="28" spans="1:12">
      <c r="A28" s="5" t="s">
        <v>766</v>
      </c>
      <c r="B28" s="189" t="s">
        <v>783</v>
      </c>
      <c r="C28" s="6" t="s">
        <v>1182</v>
      </c>
      <c r="D28" s="12" t="s">
        <v>3445</v>
      </c>
      <c r="E28" s="169">
        <v>1</v>
      </c>
      <c r="F28" s="6" t="s">
        <v>784</v>
      </c>
      <c r="G28" s="191" t="s">
        <v>785</v>
      </c>
      <c r="H28" s="12" t="s">
        <v>9</v>
      </c>
      <c r="I28" s="14" t="s">
        <v>770</v>
      </c>
    </row>
    <row r="29" spans="1:12">
      <c r="A29" s="5" t="s">
        <v>766</v>
      </c>
      <c r="B29" s="189" t="s">
        <v>786</v>
      </c>
      <c r="C29" s="6" t="s">
        <v>1183</v>
      </c>
      <c r="D29" s="12" t="s">
        <v>3445</v>
      </c>
      <c r="E29" s="169">
        <v>2</v>
      </c>
      <c r="F29" s="6" t="s">
        <v>787</v>
      </c>
      <c r="G29" s="191" t="s">
        <v>788</v>
      </c>
      <c r="H29" s="12" t="s">
        <v>9</v>
      </c>
      <c r="I29" s="14" t="s">
        <v>770</v>
      </c>
    </row>
    <row r="30" spans="1:12">
      <c r="A30" s="5" t="s">
        <v>766</v>
      </c>
      <c r="B30" s="189" t="s">
        <v>789</v>
      </c>
      <c r="C30" s="6" t="s">
        <v>1184</v>
      </c>
      <c r="D30" s="12" t="s">
        <v>3445</v>
      </c>
      <c r="E30" s="169">
        <v>1</v>
      </c>
      <c r="F30" s="6" t="s">
        <v>790</v>
      </c>
      <c r="G30" s="191" t="s">
        <v>791</v>
      </c>
      <c r="H30" s="12" t="s">
        <v>9</v>
      </c>
      <c r="I30" s="14" t="s">
        <v>770</v>
      </c>
    </row>
    <row r="31" spans="1:12">
      <c r="A31" s="5" t="s">
        <v>792</v>
      </c>
      <c r="B31" s="189" t="s">
        <v>793</v>
      </c>
      <c r="C31" s="6" t="s">
        <v>1185</v>
      </c>
      <c r="D31" s="12" t="s">
        <v>3445</v>
      </c>
      <c r="E31" s="169">
        <v>2</v>
      </c>
      <c r="F31" s="6" t="s">
        <v>794</v>
      </c>
      <c r="G31" s="191" t="s">
        <v>795</v>
      </c>
      <c r="H31" s="12" t="s">
        <v>9</v>
      </c>
      <c r="I31" s="14" t="s">
        <v>796</v>
      </c>
    </row>
    <row r="32" spans="1:12">
      <c r="A32" s="5" t="s">
        <v>792</v>
      </c>
      <c r="B32" s="189" t="s">
        <v>797</v>
      </c>
      <c r="C32" s="6" t="s">
        <v>1186</v>
      </c>
      <c r="D32" s="12" t="s">
        <v>3445</v>
      </c>
      <c r="E32" s="169">
        <v>3</v>
      </c>
      <c r="F32" s="6" t="s">
        <v>798</v>
      </c>
      <c r="G32" s="191" t="s">
        <v>799</v>
      </c>
      <c r="H32" s="12" t="s">
        <v>9</v>
      </c>
      <c r="I32" s="14" t="s">
        <v>796</v>
      </c>
    </row>
    <row r="33" spans="1:9">
      <c r="A33" s="5" t="s">
        <v>792</v>
      </c>
      <c r="B33" s="189" t="s">
        <v>800</v>
      </c>
      <c r="C33" s="6" t="s">
        <v>1187</v>
      </c>
      <c r="D33" s="12" t="s">
        <v>3445</v>
      </c>
      <c r="E33" s="169">
        <v>2</v>
      </c>
      <c r="F33" s="6" t="s">
        <v>801</v>
      </c>
      <c r="G33" s="191" t="s">
        <v>802</v>
      </c>
      <c r="H33" s="12" t="s">
        <v>9</v>
      </c>
      <c r="I33" s="14" t="s">
        <v>796</v>
      </c>
    </row>
    <row r="34" spans="1:9">
      <c r="A34" s="5" t="s">
        <v>792</v>
      </c>
      <c r="B34" s="189" t="s">
        <v>803</v>
      </c>
      <c r="C34" s="6" t="s">
        <v>1188</v>
      </c>
      <c r="D34" s="12" t="s">
        <v>3445</v>
      </c>
      <c r="E34" s="169">
        <v>3</v>
      </c>
      <c r="F34" s="6" t="s">
        <v>804</v>
      </c>
      <c r="G34" s="191" t="s">
        <v>805</v>
      </c>
      <c r="H34" s="12" t="s">
        <v>9</v>
      </c>
      <c r="I34" s="14" t="s">
        <v>796</v>
      </c>
    </row>
    <row r="35" spans="1:9">
      <c r="A35" s="5" t="s">
        <v>792</v>
      </c>
      <c r="B35" s="189" t="s">
        <v>806</v>
      </c>
      <c r="C35" s="6" t="s">
        <v>1189</v>
      </c>
      <c r="D35" s="12" t="s">
        <v>3445</v>
      </c>
      <c r="E35" s="169">
        <v>3</v>
      </c>
      <c r="F35" s="6" t="s">
        <v>807</v>
      </c>
      <c r="G35" s="191" t="s">
        <v>3429</v>
      </c>
      <c r="H35" s="12" t="s">
        <v>1911</v>
      </c>
      <c r="I35" s="14" t="s">
        <v>796</v>
      </c>
    </row>
    <row r="36" spans="1:9">
      <c r="A36" s="5" t="s">
        <v>792</v>
      </c>
      <c r="B36" s="189" t="s">
        <v>808</v>
      </c>
      <c r="C36" s="6" t="s">
        <v>1190</v>
      </c>
      <c r="D36" s="12" t="s">
        <v>3445</v>
      </c>
      <c r="E36" s="169">
        <v>3</v>
      </c>
      <c r="F36" s="6" t="s">
        <v>809</v>
      </c>
      <c r="G36" s="191" t="s">
        <v>810</v>
      </c>
      <c r="H36" s="12" t="s">
        <v>9</v>
      </c>
      <c r="I36" s="14" t="s">
        <v>796</v>
      </c>
    </row>
    <row r="37" spans="1:9">
      <c r="A37" s="5" t="s">
        <v>792</v>
      </c>
      <c r="B37" s="189" t="s">
        <v>811</v>
      </c>
      <c r="C37" s="6" t="s">
        <v>1191</v>
      </c>
      <c r="D37" s="12" t="s">
        <v>3445</v>
      </c>
      <c r="E37" s="169">
        <v>3</v>
      </c>
      <c r="F37" s="6" t="s">
        <v>812</v>
      </c>
      <c r="G37" s="191" t="s">
        <v>813</v>
      </c>
      <c r="H37" s="12" t="s">
        <v>9</v>
      </c>
      <c r="I37" s="14" t="s">
        <v>796</v>
      </c>
    </row>
    <row r="38" spans="1:9">
      <c r="A38" s="5" t="s">
        <v>792</v>
      </c>
      <c r="B38" s="189" t="s">
        <v>814</v>
      </c>
      <c r="C38" s="6" t="s">
        <v>1192</v>
      </c>
      <c r="D38" s="12" t="s">
        <v>3445</v>
      </c>
      <c r="E38" s="169">
        <v>2</v>
      </c>
      <c r="F38" s="6" t="s">
        <v>815</v>
      </c>
      <c r="G38" s="191" t="s">
        <v>816</v>
      </c>
      <c r="H38" s="12" t="s">
        <v>9</v>
      </c>
      <c r="I38" s="14" t="s">
        <v>796</v>
      </c>
    </row>
    <row r="39" spans="1:9">
      <c r="A39" s="5" t="s">
        <v>792</v>
      </c>
      <c r="B39" s="189" t="s">
        <v>817</v>
      </c>
      <c r="C39" s="6" t="s">
        <v>1193</v>
      </c>
      <c r="D39" s="12" t="s">
        <v>3445</v>
      </c>
      <c r="E39" s="169">
        <v>5</v>
      </c>
      <c r="F39" s="6" t="s">
        <v>818</v>
      </c>
      <c r="G39" s="191" t="s">
        <v>819</v>
      </c>
      <c r="H39" s="12" t="s">
        <v>9</v>
      </c>
      <c r="I39" s="14" t="s">
        <v>796</v>
      </c>
    </row>
    <row r="40" spans="1:9">
      <c r="A40" s="5" t="s">
        <v>792</v>
      </c>
      <c r="B40" s="189" t="s">
        <v>820</v>
      </c>
      <c r="C40" s="6" t="s">
        <v>1194</v>
      </c>
      <c r="D40" s="12" t="s">
        <v>2665</v>
      </c>
      <c r="E40" s="169">
        <v>0</v>
      </c>
      <c r="F40" s="6" t="s">
        <v>821</v>
      </c>
      <c r="G40" s="191" t="s">
        <v>822</v>
      </c>
      <c r="H40" s="12" t="s">
        <v>1301</v>
      </c>
      <c r="I40" s="14" t="s">
        <v>796</v>
      </c>
    </row>
    <row r="41" spans="1:9">
      <c r="A41" s="5" t="s">
        <v>792</v>
      </c>
      <c r="B41" s="189" t="s">
        <v>823</v>
      </c>
      <c r="C41" s="6" t="s">
        <v>1195</v>
      </c>
      <c r="D41" s="12" t="s">
        <v>3445</v>
      </c>
      <c r="E41" s="169">
        <v>2</v>
      </c>
      <c r="F41" s="6" t="s">
        <v>824</v>
      </c>
      <c r="G41" s="191" t="s">
        <v>825</v>
      </c>
      <c r="H41" s="12" t="s">
        <v>9</v>
      </c>
      <c r="I41" s="14" t="s">
        <v>796</v>
      </c>
    </row>
    <row r="42" spans="1:9">
      <c r="A42" s="5" t="s">
        <v>792</v>
      </c>
      <c r="B42" s="189" t="s">
        <v>826</v>
      </c>
      <c r="C42" s="6" t="s">
        <v>1196</v>
      </c>
      <c r="D42" s="12" t="s">
        <v>3445</v>
      </c>
      <c r="E42" s="169">
        <v>3</v>
      </c>
      <c r="F42" s="6" t="s">
        <v>827</v>
      </c>
      <c r="G42" s="191" t="s">
        <v>828</v>
      </c>
      <c r="H42" s="12" t="s">
        <v>9</v>
      </c>
      <c r="I42" s="14" t="s">
        <v>796</v>
      </c>
    </row>
    <row r="43" spans="1:9">
      <c r="A43" s="5" t="s">
        <v>792</v>
      </c>
      <c r="B43" s="189" t="s">
        <v>829</v>
      </c>
      <c r="C43" s="6" t="s">
        <v>1197</v>
      </c>
      <c r="D43" s="12" t="s">
        <v>3445</v>
      </c>
      <c r="E43" s="169">
        <v>2</v>
      </c>
      <c r="F43" s="6" t="s">
        <v>830</v>
      </c>
      <c r="G43" s="191" t="s">
        <v>831</v>
      </c>
      <c r="H43" s="12" t="s">
        <v>9</v>
      </c>
      <c r="I43" s="14" t="s">
        <v>796</v>
      </c>
    </row>
    <row r="44" spans="1:9">
      <c r="A44" s="5" t="s">
        <v>792</v>
      </c>
      <c r="B44" s="189" t="s">
        <v>832</v>
      </c>
      <c r="C44" s="6" t="s">
        <v>1198</v>
      </c>
      <c r="D44" s="12" t="s">
        <v>3445</v>
      </c>
      <c r="E44" s="169">
        <v>1</v>
      </c>
      <c r="F44" s="6" t="s">
        <v>833</v>
      </c>
      <c r="G44" s="191" t="s">
        <v>834</v>
      </c>
      <c r="H44" s="12" t="s">
        <v>9</v>
      </c>
      <c r="I44" s="14" t="s">
        <v>796</v>
      </c>
    </row>
    <row r="45" spans="1:9">
      <c r="A45" s="5" t="s">
        <v>792</v>
      </c>
      <c r="B45" s="189" t="s">
        <v>835</v>
      </c>
      <c r="C45" s="6" t="s">
        <v>1199</v>
      </c>
      <c r="D45" s="12" t="s">
        <v>3445</v>
      </c>
      <c r="E45" s="169">
        <v>2</v>
      </c>
      <c r="F45" s="6" t="s">
        <v>836</v>
      </c>
      <c r="G45" s="191" t="s">
        <v>837</v>
      </c>
      <c r="H45" s="12" t="s">
        <v>9</v>
      </c>
      <c r="I45" s="14" t="s">
        <v>796</v>
      </c>
    </row>
    <row r="46" spans="1:9">
      <c r="A46" s="5" t="s">
        <v>792</v>
      </c>
      <c r="B46" s="189" t="s">
        <v>838</v>
      </c>
      <c r="C46" s="6" t="s">
        <v>1200</v>
      </c>
      <c r="D46" s="12" t="s">
        <v>3445</v>
      </c>
      <c r="E46" s="169">
        <v>4</v>
      </c>
      <c r="F46" s="6" t="s">
        <v>839</v>
      </c>
      <c r="G46" s="191" t="s">
        <v>3432</v>
      </c>
      <c r="H46" s="12" t="s">
        <v>9</v>
      </c>
      <c r="I46" s="14" t="s">
        <v>840</v>
      </c>
    </row>
    <row r="47" spans="1:9">
      <c r="A47" s="5" t="s">
        <v>792</v>
      </c>
      <c r="B47" s="189" t="s">
        <v>841</v>
      </c>
      <c r="C47" s="6" t="s">
        <v>1201</v>
      </c>
      <c r="D47" s="12" t="s">
        <v>3445</v>
      </c>
      <c r="E47" s="169">
        <v>5</v>
      </c>
      <c r="F47" s="6" t="s">
        <v>842</v>
      </c>
      <c r="G47" s="191" t="s">
        <v>843</v>
      </c>
      <c r="H47" s="12" t="s">
        <v>9</v>
      </c>
      <c r="I47" s="14" t="s">
        <v>796</v>
      </c>
    </row>
    <row r="48" spans="1:9">
      <c r="A48" s="5" t="s">
        <v>792</v>
      </c>
      <c r="B48" s="189" t="s">
        <v>844</v>
      </c>
      <c r="C48" s="6" t="s">
        <v>1202</v>
      </c>
      <c r="D48" s="12" t="s">
        <v>3445</v>
      </c>
      <c r="E48" s="169">
        <v>8</v>
      </c>
      <c r="F48" s="6" t="s">
        <v>845</v>
      </c>
      <c r="G48" s="191" t="s">
        <v>3446</v>
      </c>
      <c r="H48" s="12" t="s">
        <v>9</v>
      </c>
      <c r="I48" s="14" t="s">
        <v>796</v>
      </c>
    </row>
    <row r="49" spans="1:9">
      <c r="A49" s="5" t="s">
        <v>847</v>
      </c>
      <c r="B49" s="189" t="s">
        <v>848</v>
      </c>
      <c r="C49" s="6" t="s">
        <v>1203</v>
      </c>
      <c r="D49" s="12" t="s">
        <v>3447</v>
      </c>
      <c r="E49" s="169">
        <v>8</v>
      </c>
      <c r="F49" s="6" t="s">
        <v>849</v>
      </c>
      <c r="G49" s="191" t="s">
        <v>850</v>
      </c>
      <c r="H49" s="12" t="s">
        <v>9</v>
      </c>
      <c r="I49" s="14" t="s">
        <v>851</v>
      </c>
    </row>
    <row r="50" spans="1:9">
      <c r="A50" s="5" t="s">
        <v>847</v>
      </c>
      <c r="B50" s="189" t="s">
        <v>852</v>
      </c>
      <c r="C50" s="6" t="s">
        <v>1204</v>
      </c>
      <c r="D50" s="12" t="s">
        <v>3445</v>
      </c>
      <c r="E50" s="169">
        <v>4</v>
      </c>
      <c r="F50" s="6" t="s">
        <v>853</v>
      </c>
      <c r="G50" s="191" t="s">
        <v>854</v>
      </c>
      <c r="H50" s="12" t="s">
        <v>9</v>
      </c>
      <c r="I50" s="14" t="s">
        <v>855</v>
      </c>
    </row>
    <row r="51" spans="1:9">
      <c r="A51" s="5" t="s">
        <v>847</v>
      </c>
      <c r="B51" s="189" t="s">
        <v>856</v>
      </c>
      <c r="C51" s="6" t="s">
        <v>1205</v>
      </c>
      <c r="D51" s="12" t="s">
        <v>3445</v>
      </c>
      <c r="E51" s="169">
        <v>4</v>
      </c>
      <c r="F51" s="6" t="s">
        <v>857</v>
      </c>
      <c r="G51" s="191" t="s">
        <v>858</v>
      </c>
      <c r="H51" s="12" t="s">
        <v>9</v>
      </c>
      <c r="I51" s="14" t="s">
        <v>851</v>
      </c>
    </row>
    <row r="52" spans="1:9">
      <c r="A52" s="5" t="s">
        <v>847</v>
      </c>
      <c r="B52" s="189" t="s">
        <v>859</v>
      </c>
      <c r="C52" s="6" t="s">
        <v>1206</v>
      </c>
      <c r="D52" s="12" t="s">
        <v>3447</v>
      </c>
      <c r="E52" s="169">
        <v>5</v>
      </c>
      <c r="F52" s="6" t="s">
        <v>860</v>
      </c>
      <c r="G52" s="191" t="s">
        <v>861</v>
      </c>
      <c r="H52" s="12" t="s">
        <v>9</v>
      </c>
      <c r="I52" s="14" t="s">
        <v>851</v>
      </c>
    </row>
    <row r="53" spans="1:9">
      <c r="A53" s="5" t="s">
        <v>847</v>
      </c>
      <c r="B53" s="189" t="s">
        <v>862</v>
      </c>
      <c r="C53" s="6" t="s">
        <v>1207</v>
      </c>
      <c r="D53" s="12" t="s">
        <v>3447</v>
      </c>
      <c r="E53" s="169">
        <v>5</v>
      </c>
      <c r="F53" s="6" t="s">
        <v>863</v>
      </c>
      <c r="G53" s="191" t="s">
        <v>864</v>
      </c>
      <c r="H53" s="12" t="s">
        <v>9</v>
      </c>
      <c r="I53" s="14" t="s">
        <v>851</v>
      </c>
    </row>
    <row r="54" spans="1:9">
      <c r="A54" s="5" t="s">
        <v>847</v>
      </c>
      <c r="B54" s="189" t="s">
        <v>865</v>
      </c>
      <c r="C54" s="6" t="s">
        <v>1208</v>
      </c>
      <c r="D54" s="12" t="s">
        <v>3447</v>
      </c>
      <c r="E54" s="169">
        <v>3</v>
      </c>
      <c r="F54" s="6" t="s">
        <v>866</v>
      </c>
      <c r="G54" s="191" t="s">
        <v>867</v>
      </c>
      <c r="H54" s="12" t="s">
        <v>9</v>
      </c>
      <c r="I54" s="14" t="s">
        <v>851</v>
      </c>
    </row>
    <row r="55" spans="1:9">
      <c r="A55" s="5" t="s">
        <v>847</v>
      </c>
      <c r="B55" s="189" t="s">
        <v>868</v>
      </c>
      <c r="C55" s="6" t="s">
        <v>1209</v>
      </c>
      <c r="D55" s="12" t="s">
        <v>3447</v>
      </c>
      <c r="E55" s="169">
        <v>3</v>
      </c>
      <c r="F55" s="6" t="s">
        <v>869</v>
      </c>
      <c r="G55" s="191" t="s">
        <v>870</v>
      </c>
      <c r="H55" s="12" t="s">
        <v>9</v>
      </c>
      <c r="I55" s="14" t="s">
        <v>851</v>
      </c>
    </row>
    <row r="56" spans="1:9">
      <c r="A56" s="5" t="s">
        <v>847</v>
      </c>
      <c r="B56" s="189" t="s">
        <v>871</v>
      </c>
      <c r="C56" s="6" t="s">
        <v>1210</v>
      </c>
      <c r="D56" s="12" t="s">
        <v>3445</v>
      </c>
      <c r="E56" s="169">
        <v>1</v>
      </c>
      <c r="F56" s="6" t="s">
        <v>872</v>
      </c>
      <c r="G56" s="191" t="s">
        <v>873</v>
      </c>
      <c r="H56" s="12" t="s">
        <v>9</v>
      </c>
      <c r="I56" s="14" t="s">
        <v>851</v>
      </c>
    </row>
    <row r="57" spans="1:9">
      <c r="A57" s="5" t="s">
        <v>874</v>
      </c>
      <c r="B57" s="189" t="s">
        <v>875</v>
      </c>
      <c r="C57" s="6" t="s">
        <v>1211</v>
      </c>
      <c r="D57" s="12" t="s">
        <v>1913</v>
      </c>
      <c r="E57" s="169">
        <v>2</v>
      </c>
      <c r="F57" s="6" t="s">
        <v>876</v>
      </c>
      <c r="G57" s="191" t="s">
        <v>877</v>
      </c>
      <c r="H57" s="12" t="s">
        <v>1913</v>
      </c>
      <c r="I57" s="14" t="s">
        <v>878</v>
      </c>
    </row>
    <row r="58" spans="1:9">
      <c r="A58" s="5" t="s">
        <v>874</v>
      </c>
      <c r="B58" s="189" t="s">
        <v>879</v>
      </c>
      <c r="C58" s="6" t="s">
        <v>1212</v>
      </c>
      <c r="D58" s="12" t="s">
        <v>1913</v>
      </c>
      <c r="E58" s="169">
        <v>8</v>
      </c>
      <c r="F58" s="6" t="s">
        <v>880</v>
      </c>
      <c r="G58" s="191" t="s">
        <v>881</v>
      </c>
      <c r="H58" s="12" t="s">
        <v>1913</v>
      </c>
      <c r="I58" s="14" t="s">
        <v>882</v>
      </c>
    </row>
    <row r="59" spans="1:9">
      <c r="A59" s="5" t="s">
        <v>874</v>
      </c>
      <c r="B59" s="189" t="s">
        <v>883</v>
      </c>
      <c r="C59" s="6" t="s">
        <v>1213</v>
      </c>
      <c r="D59" s="12" t="s">
        <v>1913</v>
      </c>
      <c r="E59" s="169">
        <v>2</v>
      </c>
      <c r="F59" s="6" t="s">
        <v>884</v>
      </c>
      <c r="G59" s="191" t="s">
        <v>885</v>
      </c>
      <c r="H59" s="12" t="s">
        <v>1913</v>
      </c>
      <c r="I59" s="14" t="s">
        <v>886</v>
      </c>
    </row>
    <row r="60" spans="1:9">
      <c r="A60" s="5" t="s">
        <v>874</v>
      </c>
      <c r="B60" s="189" t="s">
        <v>887</v>
      </c>
      <c r="C60" s="6" t="s">
        <v>1214</v>
      </c>
      <c r="D60" s="12" t="s">
        <v>3445</v>
      </c>
      <c r="E60" s="169">
        <v>2</v>
      </c>
      <c r="F60" s="6" t="s">
        <v>888</v>
      </c>
      <c r="G60" s="191" t="s">
        <v>889</v>
      </c>
      <c r="H60" s="12" t="s">
        <v>9</v>
      </c>
      <c r="I60" s="14" t="s">
        <v>882</v>
      </c>
    </row>
    <row r="61" spans="1:9">
      <c r="A61" s="5" t="s">
        <v>890</v>
      </c>
      <c r="B61" s="189" t="s">
        <v>891</v>
      </c>
      <c r="C61" s="6" t="s">
        <v>1215</v>
      </c>
      <c r="D61" s="12" t="s">
        <v>3445</v>
      </c>
      <c r="E61" s="169">
        <v>16</v>
      </c>
      <c r="F61" s="6" t="s">
        <v>892</v>
      </c>
      <c r="G61" s="191" t="s">
        <v>893</v>
      </c>
      <c r="H61" s="12" t="s">
        <v>9</v>
      </c>
      <c r="I61" s="14" t="s">
        <v>894</v>
      </c>
    </row>
    <row r="62" spans="1:9">
      <c r="A62" s="5" t="s">
        <v>890</v>
      </c>
      <c r="B62" s="189" t="s">
        <v>895</v>
      </c>
      <c r="C62" s="6" t="s">
        <v>1216</v>
      </c>
      <c r="D62" s="12" t="s">
        <v>3445</v>
      </c>
      <c r="E62" s="169">
        <v>20</v>
      </c>
      <c r="F62" s="6" t="s">
        <v>896</v>
      </c>
      <c r="G62" s="191" t="s">
        <v>897</v>
      </c>
      <c r="H62" s="12" t="s">
        <v>9</v>
      </c>
      <c r="I62" s="14" t="s">
        <v>894</v>
      </c>
    </row>
    <row r="63" spans="1:9">
      <c r="A63" s="5" t="s">
        <v>890</v>
      </c>
      <c r="B63" s="189" t="s">
        <v>898</v>
      </c>
      <c r="C63" s="6" t="s">
        <v>1217</v>
      </c>
      <c r="D63" s="12" t="s">
        <v>3445</v>
      </c>
      <c r="E63" s="169">
        <v>2</v>
      </c>
      <c r="F63" s="6" t="s">
        <v>899</v>
      </c>
      <c r="G63" s="191" t="s">
        <v>900</v>
      </c>
      <c r="H63" s="12" t="s">
        <v>9</v>
      </c>
      <c r="I63" s="14" t="s">
        <v>894</v>
      </c>
    </row>
    <row r="64" spans="1:9">
      <c r="A64" s="5" t="s">
        <v>890</v>
      </c>
      <c r="B64" s="189" t="s">
        <v>901</v>
      </c>
      <c r="C64" s="6" t="s">
        <v>1218</v>
      </c>
      <c r="D64" s="12" t="s">
        <v>3445</v>
      </c>
      <c r="E64" s="169">
        <v>4</v>
      </c>
      <c r="F64" s="6" t="s">
        <v>902</v>
      </c>
      <c r="G64" s="191" t="s">
        <v>903</v>
      </c>
      <c r="H64" s="12" t="s">
        <v>9</v>
      </c>
      <c r="I64" s="14" t="s">
        <v>894</v>
      </c>
    </row>
    <row r="65" spans="1:9">
      <c r="A65" s="5" t="s">
        <v>3448</v>
      </c>
      <c r="B65" s="189" t="s">
        <v>672</v>
      </c>
      <c r="C65" s="6" t="s">
        <v>1150</v>
      </c>
      <c r="D65" s="12" t="s">
        <v>3449</v>
      </c>
      <c r="E65" s="169">
        <v>0</v>
      </c>
      <c r="F65" s="6" t="s">
        <v>673</v>
      </c>
      <c r="G65" s="191" t="s">
        <v>3450</v>
      </c>
      <c r="H65" s="12" t="s">
        <v>9</v>
      </c>
      <c r="I65" s="14" t="s">
        <v>675</v>
      </c>
    </row>
    <row r="66" spans="1:9">
      <c r="A66" s="5" t="s">
        <v>3448</v>
      </c>
      <c r="B66" s="189" t="s">
        <v>676</v>
      </c>
      <c r="C66" s="6" t="s">
        <v>1151</v>
      </c>
      <c r="D66" s="12" t="s">
        <v>3449</v>
      </c>
      <c r="E66" s="169">
        <v>0</v>
      </c>
      <c r="F66" s="6" t="s">
        <v>677</v>
      </c>
      <c r="G66" s="191" t="s">
        <v>3450</v>
      </c>
      <c r="H66" s="12" t="s">
        <v>9</v>
      </c>
      <c r="I66" s="14" t="s">
        <v>679</v>
      </c>
    </row>
    <row r="67" spans="1:9">
      <c r="A67" s="5" t="s">
        <v>3448</v>
      </c>
      <c r="B67" s="189" t="s">
        <v>680</v>
      </c>
      <c r="C67" s="6" t="s">
        <v>1152</v>
      </c>
      <c r="D67" s="12" t="s">
        <v>3449</v>
      </c>
      <c r="E67" s="169">
        <v>0</v>
      </c>
      <c r="F67" s="6" t="s">
        <v>681</v>
      </c>
      <c r="G67" s="191" t="s">
        <v>3450</v>
      </c>
      <c r="H67" s="12" t="s">
        <v>9</v>
      </c>
      <c r="I67" s="14" t="s">
        <v>675</v>
      </c>
    </row>
    <row r="68" spans="1:9">
      <c r="A68" s="5" t="s">
        <v>3448</v>
      </c>
      <c r="B68" s="189" t="s">
        <v>683</v>
      </c>
      <c r="C68" s="6" t="s">
        <v>1153</v>
      </c>
      <c r="D68" s="12" t="s">
        <v>3449</v>
      </c>
      <c r="E68" s="169">
        <v>0</v>
      </c>
      <c r="F68" s="6" t="s">
        <v>684</v>
      </c>
      <c r="G68" s="191" t="s">
        <v>3450</v>
      </c>
      <c r="H68" s="12" t="s">
        <v>9</v>
      </c>
      <c r="I68" s="14" t="s">
        <v>675</v>
      </c>
    </row>
    <row r="69" spans="1:9">
      <c r="A69" s="5" t="s">
        <v>3448</v>
      </c>
      <c r="B69" s="189" t="s">
        <v>687</v>
      </c>
      <c r="C69" s="6" t="s">
        <v>1154</v>
      </c>
      <c r="D69" s="12" t="s">
        <v>3449</v>
      </c>
      <c r="E69" s="169">
        <v>0</v>
      </c>
      <c r="F69" s="6" t="s">
        <v>688</v>
      </c>
      <c r="G69" s="191" t="s">
        <v>3450</v>
      </c>
      <c r="H69" s="12" t="s">
        <v>9</v>
      </c>
      <c r="I69" s="14" t="s">
        <v>675</v>
      </c>
    </row>
    <row r="70" spans="1:9">
      <c r="A70" s="5" t="s">
        <v>3448</v>
      </c>
      <c r="B70" s="189" t="s">
        <v>691</v>
      </c>
      <c r="C70" s="6" t="s">
        <v>1155</v>
      </c>
      <c r="D70" s="12" t="s">
        <v>3449</v>
      </c>
      <c r="E70" s="169">
        <v>0</v>
      </c>
      <c r="F70" s="6" t="s">
        <v>692</v>
      </c>
      <c r="G70" s="191" t="s">
        <v>3450</v>
      </c>
      <c r="H70" s="12" t="s">
        <v>8</v>
      </c>
      <c r="I70" s="14" t="s">
        <v>679</v>
      </c>
    </row>
    <row r="71" spans="1:9">
      <c r="A71" s="5" t="s">
        <v>3448</v>
      </c>
      <c r="B71" s="189" t="s">
        <v>695</v>
      </c>
      <c r="C71" s="6" t="s">
        <v>1156</v>
      </c>
      <c r="D71" s="12" t="s">
        <v>3449</v>
      </c>
      <c r="E71" s="169">
        <v>0</v>
      </c>
      <c r="F71" s="6" t="s">
        <v>696</v>
      </c>
      <c r="G71" s="191" t="s">
        <v>3450</v>
      </c>
      <c r="H71" s="12" t="s">
        <v>1913</v>
      </c>
      <c r="I71" s="14" t="s">
        <v>679</v>
      </c>
    </row>
    <row r="72" spans="1:9">
      <c r="A72" s="5" t="s">
        <v>3448</v>
      </c>
      <c r="B72" s="189" t="s">
        <v>699</v>
      </c>
      <c r="C72" s="6" t="s">
        <v>1157</v>
      </c>
      <c r="D72" s="12" t="s">
        <v>3449</v>
      </c>
      <c r="E72" s="169">
        <v>0</v>
      </c>
      <c r="F72" s="6" t="s">
        <v>700</v>
      </c>
      <c r="G72" s="191" t="s">
        <v>3450</v>
      </c>
      <c r="H72" s="12" t="s">
        <v>8</v>
      </c>
      <c r="I72" s="14" t="s">
        <v>679</v>
      </c>
    </row>
    <row r="73" spans="1:9">
      <c r="A73" s="5" t="s">
        <v>3448</v>
      </c>
      <c r="B73" s="189" t="s">
        <v>703</v>
      </c>
      <c r="C73" s="6" t="s">
        <v>1158</v>
      </c>
      <c r="D73" s="12" t="s">
        <v>3449</v>
      </c>
      <c r="E73" s="169">
        <v>0</v>
      </c>
      <c r="F73" s="6" t="s">
        <v>704</v>
      </c>
      <c r="G73" s="191" t="s">
        <v>3450</v>
      </c>
      <c r="H73" s="12" t="s">
        <v>1301</v>
      </c>
      <c r="I73" s="14" t="s">
        <v>679</v>
      </c>
    </row>
    <row r="74" spans="1:9">
      <c r="A74" s="5" t="s">
        <v>3448</v>
      </c>
      <c r="B74" s="189" t="s">
        <v>706</v>
      </c>
      <c r="C74" s="6" t="s">
        <v>1159</v>
      </c>
      <c r="D74" s="12" t="s">
        <v>3449</v>
      </c>
      <c r="E74" s="169">
        <v>0</v>
      </c>
      <c r="F74" s="6" t="s">
        <v>707</v>
      </c>
      <c r="G74" s="191" t="s">
        <v>3450</v>
      </c>
      <c r="H74" s="12" t="s">
        <v>1301</v>
      </c>
      <c r="I74" s="14" t="s">
        <v>679</v>
      </c>
    </row>
    <row r="75" spans="1:9">
      <c r="A75" s="5" t="s">
        <v>3448</v>
      </c>
      <c r="B75" s="189" t="s">
        <v>1809</v>
      </c>
      <c r="C75" s="6" t="s">
        <v>1811</v>
      </c>
      <c r="D75" s="12" t="s">
        <v>3449</v>
      </c>
      <c r="E75" s="169">
        <v>0</v>
      </c>
      <c r="F75" s="6" t="s">
        <v>1810</v>
      </c>
      <c r="G75" s="191" t="s">
        <v>3450</v>
      </c>
      <c r="H75" s="12" t="s">
        <v>9</v>
      </c>
      <c r="I75" s="14" t="s">
        <v>675</v>
      </c>
    </row>
    <row r="76" spans="1:9">
      <c r="A76" s="5" t="s">
        <v>3451</v>
      </c>
      <c r="B76" s="189" t="s">
        <v>1834</v>
      </c>
      <c r="C76" s="6" t="s">
        <v>1836</v>
      </c>
      <c r="D76" s="12" t="s">
        <v>1913</v>
      </c>
      <c r="E76" s="169">
        <v>0</v>
      </c>
      <c r="F76" s="6" t="s">
        <v>1835</v>
      </c>
      <c r="G76" s="191" t="s">
        <v>3452</v>
      </c>
      <c r="H76" s="12" t="s">
        <v>1913</v>
      </c>
      <c r="I76" s="14" t="s">
        <v>1838</v>
      </c>
    </row>
    <row r="77" spans="1:9">
      <c r="A77" s="5" t="s">
        <v>3451</v>
      </c>
      <c r="B77" s="189" t="s">
        <v>1840</v>
      </c>
      <c r="C77" s="6" t="s">
        <v>1842</v>
      </c>
      <c r="D77" s="12" t="s">
        <v>1913</v>
      </c>
      <c r="E77" s="169">
        <v>0</v>
      </c>
      <c r="F77" s="6" t="s">
        <v>1841</v>
      </c>
      <c r="G77" s="191" t="s">
        <v>3452</v>
      </c>
      <c r="H77" s="12" t="s">
        <v>1913</v>
      </c>
      <c r="I77" s="14" t="s">
        <v>1838</v>
      </c>
    </row>
    <row r="78" spans="1:9">
      <c r="A78" s="5" t="s">
        <v>3451</v>
      </c>
      <c r="B78" s="189" t="s">
        <v>1845</v>
      </c>
      <c r="C78" s="6" t="s">
        <v>1847</v>
      </c>
      <c r="D78" s="12" t="s">
        <v>1913</v>
      </c>
      <c r="E78" s="169">
        <v>0</v>
      </c>
      <c r="F78" s="6" t="s">
        <v>1846</v>
      </c>
      <c r="G78" s="191" t="s">
        <v>3452</v>
      </c>
      <c r="H78" s="12" t="s">
        <v>1913</v>
      </c>
      <c r="I78" s="14" t="s">
        <v>1838</v>
      </c>
    </row>
    <row r="79" spans="1:9">
      <c r="A79" s="5" t="s">
        <v>3451</v>
      </c>
      <c r="B79" s="189" t="s">
        <v>1850</v>
      </c>
      <c r="C79" s="6" t="s">
        <v>1852</v>
      </c>
      <c r="D79" s="12" t="s">
        <v>1913</v>
      </c>
      <c r="E79" s="169">
        <v>0</v>
      </c>
      <c r="F79" s="6" t="s">
        <v>1851</v>
      </c>
      <c r="G79" s="191" t="s">
        <v>3452</v>
      </c>
      <c r="H79" s="12" t="s">
        <v>1913</v>
      </c>
      <c r="I79" s="14" t="s">
        <v>1838</v>
      </c>
    </row>
    <row r="80" spans="1:9">
      <c r="A80" s="5" t="s">
        <v>3451</v>
      </c>
      <c r="B80" s="189" t="s">
        <v>1854</v>
      </c>
      <c r="C80" s="6" t="s">
        <v>1856</v>
      </c>
      <c r="D80" s="12" t="s">
        <v>1913</v>
      </c>
      <c r="E80" s="169">
        <v>0</v>
      </c>
      <c r="F80" s="6" t="s">
        <v>1855</v>
      </c>
      <c r="G80" s="191" t="s">
        <v>3452</v>
      </c>
      <c r="H80" s="12" t="s">
        <v>1913</v>
      </c>
      <c r="I80" s="14" t="s">
        <v>1838</v>
      </c>
    </row>
    <row r="81" spans="1:9">
      <c r="A81" s="5" t="s">
        <v>3451</v>
      </c>
      <c r="B81" s="189" t="s">
        <v>1859</v>
      </c>
      <c r="C81" s="6" t="s">
        <v>1861</v>
      </c>
      <c r="D81" s="12" t="s">
        <v>1913</v>
      </c>
      <c r="E81" s="169">
        <v>0</v>
      </c>
      <c r="F81" s="6" t="s">
        <v>1860</v>
      </c>
      <c r="G81" s="191" t="s">
        <v>3452</v>
      </c>
      <c r="H81" s="12" t="s">
        <v>1913</v>
      </c>
      <c r="I81" s="14" t="s">
        <v>1838</v>
      </c>
    </row>
    <row r="82" spans="1:9">
      <c r="A82" s="5" t="s">
        <v>3451</v>
      </c>
      <c r="B82" s="189" t="s">
        <v>1864</v>
      </c>
      <c r="C82" s="6" t="s">
        <v>1866</v>
      </c>
      <c r="D82" s="12" t="s">
        <v>1913</v>
      </c>
      <c r="E82" s="169">
        <v>0</v>
      </c>
      <c r="F82" s="6" t="s">
        <v>1865</v>
      </c>
      <c r="G82" s="191" t="s">
        <v>3452</v>
      </c>
      <c r="H82" s="12" t="s">
        <v>1913</v>
      </c>
      <c r="I82" s="14" t="s">
        <v>1838</v>
      </c>
    </row>
    <row r="83" spans="1:9">
      <c r="A83" s="5" t="s">
        <v>3451</v>
      </c>
      <c r="B83" s="189" t="s">
        <v>1869</v>
      </c>
      <c r="C83" s="6" t="s">
        <v>1871</v>
      </c>
      <c r="D83" s="12" t="s">
        <v>1913</v>
      </c>
      <c r="E83" s="169">
        <v>0</v>
      </c>
      <c r="F83" s="6" t="s">
        <v>1870</v>
      </c>
      <c r="G83" s="191" t="s">
        <v>3452</v>
      </c>
      <c r="H83" s="12" t="s">
        <v>1913</v>
      </c>
      <c r="I83" s="14" t="s">
        <v>1838</v>
      </c>
    </row>
    <row r="84" spans="1:9">
      <c r="A84" s="5" t="s">
        <v>3451</v>
      </c>
      <c r="B84" s="189" t="s">
        <v>1874</v>
      </c>
      <c r="C84" s="6" t="s">
        <v>1876</v>
      </c>
      <c r="D84" s="12" t="s">
        <v>1913</v>
      </c>
      <c r="E84" s="169">
        <v>0</v>
      </c>
      <c r="F84" s="6" t="s">
        <v>1875</v>
      </c>
      <c r="G84" s="191" t="s">
        <v>3452</v>
      </c>
      <c r="H84" s="12" t="s">
        <v>1913</v>
      </c>
      <c r="I84" s="14" t="s">
        <v>1838</v>
      </c>
    </row>
    <row r="85" spans="1:9">
      <c r="A85" s="5" t="s">
        <v>3451</v>
      </c>
      <c r="B85" s="189" t="s">
        <v>1879</v>
      </c>
      <c r="C85" s="6" t="s">
        <v>1881</v>
      </c>
      <c r="D85" s="12" t="s">
        <v>1913</v>
      </c>
      <c r="E85" s="169">
        <v>0</v>
      </c>
      <c r="F85" s="6" t="s">
        <v>1880</v>
      </c>
      <c r="G85" s="191" t="s">
        <v>3452</v>
      </c>
      <c r="H85" s="12" t="s">
        <v>1913</v>
      </c>
      <c r="I85" s="14" t="s">
        <v>1838</v>
      </c>
    </row>
    <row r="86" spans="1:9">
      <c r="A86" s="5" t="s">
        <v>3451</v>
      </c>
      <c r="B86" s="189" t="s">
        <v>1884</v>
      </c>
      <c r="C86" s="6" t="s">
        <v>1886</v>
      </c>
      <c r="D86" s="12" t="s">
        <v>1913</v>
      </c>
      <c r="E86" s="169">
        <v>0</v>
      </c>
      <c r="F86" s="6" t="s">
        <v>1885</v>
      </c>
      <c r="G86" s="191" t="s">
        <v>3452</v>
      </c>
      <c r="H86" s="12" t="s">
        <v>1913</v>
      </c>
      <c r="I86" s="14" t="s">
        <v>1838</v>
      </c>
    </row>
    <row r="87" spans="1:9">
      <c r="A87" s="5" t="s">
        <v>3451</v>
      </c>
      <c r="B87" s="189" t="s">
        <v>1889</v>
      </c>
      <c r="C87" s="6" t="s">
        <v>1891</v>
      </c>
      <c r="D87" s="12" t="s">
        <v>1913</v>
      </c>
      <c r="E87" s="169">
        <v>0</v>
      </c>
      <c r="F87" s="6" t="s">
        <v>1890</v>
      </c>
      <c r="G87" s="191" t="s">
        <v>3452</v>
      </c>
      <c r="H87" s="12" t="s">
        <v>1913</v>
      </c>
      <c r="I87" s="14" t="s">
        <v>1838</v>
      </c>
    </row>
    <row r="88" spans="1:9">
      <c r="A88" s="5" t="s">
        <v>3451</v>
      </c>
      <c r="B88" s="189" t="s">
        <v>1894</v>
      </c>
      <c r="C88" s="6" t="s">
        <v>1896</v>
      </c>
      <c r="D88" s="12" t="s">
        <v>1913</v>
      </c>
      <c r="E88" s="169">
        <v>0</v>
      </c>
      <c r="F88" s="6" t="s">
        <v>1895</v>
      </c>
      <c r="G88" s="191" t="s">
        <v>3452</v>
      </c>
      <c r="H88" s="12" t="s">
        <v>1913</v>
      </c>
      <c r="I88" s="14" t="s">
        <v>1838</v>
      </c>
    </row>
    <row r="89" spans="1:9">
      <c r="A89" s="5" t="s">
        <v>3451</v>
      </c>
      <c r="B89" s="189" t="s">
        <v>1898</v>
      </c>
      <c r="C89" s="6" t="s">
        <v>1900</v>
      </c>
      <c r="D89" s="12" t="s">
        <v>1913</v>
      </c>
      <c r="E89" s="169">
        <v>0</v>
      </c>
      <c r="F89" s="6" t="s">
        <v>1899</v>
      </c>
      <c r="G89" s="191" t="s">
        <v>3452</v>
      </c>
      <c r="H89" s="12" t="s">
        <v>1913</v>
      </c>
      <c r="I89" s="14" t="s">
        <v>1838</v>
      </c>
    </row>
    <row r="90" spans="1:9">
      <c r="A90" s="5" t="s">
        <v>3451</v>
      </c>
      <c r="B90" s="189" t="s">
        <v>1902</v>
      </c>
      <c r="C90" s="6" t="s">
        <v>1904</v>
      </c>
      <c r="D90" s="12" t="s">
        <v>1913</v>
      </c>
      <c r="E90" s="169">
        <v>0</v>
      </c>
      <c r="F90" s="6" t="s">
        <v>1903</v>
      </c>
      <c r="G90" s="191" t="s">
        <v>3452</v>
      </c>
      <c r="H90" s="12" t="s">
        <v>1913</v>
      </c>
      <c r="I90" s="14" t="s">
        <v>1838</v>
      </c>
    </row>
    <row r="91" spans="1:9">
      <c r="A91" s="7" t="s">
        <v>3451</v>
      </c>
      <c r="B91" s="190" t="s">
        <v>3427</v>
      </c>
      <c r="C91" s="8" t="s">
        <v>3422</v>
      </c>
      <c r="D91" s="13" t="s">
        <v>1913</v>
      </c>
      <c r="E91" s="170">
        <v>0</v>
      </c>
      <c r="F91" s="8" t="s">
        <v>3423</v>
      </c>
      <c r="G91" s="192" t="s">
        <v>3452</v>
      </c>
      <c r="H91" s="13" t="s">
        <v>1913</v>
      </c>
      <c r="I91" s="15" t="s">
        <v>3428</v>
      </c>
    </row>
  </sheetData>
  <autoFilter ref="A5:I91" xr:uid="{66250CDA-FE4E-E74B-968F-00BE7CB94CEE}"/>
  <phoneticPr fontId="2"/>
  <conditionalFormatting sqref="A6:I91">
    <cfRule type="expression" dxfId="24" priority="1">
      <formula>$H6="確定"</formula>
    </cfRule>
  </conditionalFormatting>
  <conditionalFormatting sqref="A6:I91">
    <cfRule type="expression" dxfId="23" priority="2">
      <formula>$H6="方向性確定（条件付き）"</formula>
    </cfRule>
  </conditionalFormatting>
  <conditionalFormatting sqref="A6:I91">
    <cfRule type="expression" dxfId="22" priority="3">
      <formula>$H6="検討中"</formula>
    </cfRule>
  </conditionalFormatting>
  <conditionalFormatting sqref="A6:I91">
    <cfRule type="expression" dxfId="21" priority="4">
      <formula>$H6="外部待ち"</formula>
    </cfRule>
  </conditionalFormatting>
  <conditionalFormatting sqref="A6:I91">
    <cfRule type="expression" dxfId="20" priority="5">
      <formula>$H6="対象外"</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9E7693-5B40-0444-B227-D6033B94776C}">
  <dimension ref="A1:Y108"/>
  <sheetViews>
    <sheetView topLeftCell="B1" zoomScale="150" workbookViewId="0">
      <pane ySplit="5" topLeftCell="A6" activePane="bottomLeft" state="frozen"/>
      <selection pane="bottomLeft" activeCell="I15" sqref="I15"/>
    </sheetView>
  </sheetViews>
  <sheetFormatPr baseColWidth="10" defaultRowHeight="20"/>
  <cols>
    <col min="1" max="1" width="15" customWidth="1"/>
    <col min="2" max="2" width="23.5703125" customWidth="1"/>
    <col min="3" max="3" width="35.7109375" customWidth="1"/>
    <col min="4" max="4" width="14.28515625" customWidth="1"/>
    <col min="5" max="5" width="45.7109375" customWidth="1"/>
    <col min="6" max="6" width="57.140625" customWidth="1"/>
    <col min="7" max="7" width="27.140625" customWidth="1"/>
    <col min="8" max="8" width="17.85546875" customWidth="1"/>
    <col min="9" max="9" width="10.7109375" customWidth="1"/>
    <col min="10" max="10" width="15.7109375" customWidth="1"/>
    <col min="11" max="12" width="12.140625" customWidth="1"/>
    <col min="13" max="13" width="18.5703125" customWidth="1"/>
    <col min="14" max="14" width="21.42578125" customWidth="1"/>
    <col min="15" max="15" width="19.28515625" customWidth="1"/>
    <col min="16" max="16" width="24.28515625" customWidth="1"/>
    <col min="17" max="17" width="10" customWidth="1"/>
    <col min="18" max="18" width="40" customWidth="1"/>
    <col min="19" max="19" width="100" customWidth="1"/>
    <col min="20" max="20" width="74.28515625" customWidth="1"/>
    <col min="21" max="23" width="13.5703125" customWidth="1"/>
    <col min="24" max="24" width="15.7109375" customWidth="1"/>
    <col min="25" max="25" width="65.7109375" customWidth="1"/>
  </cols>
  <sheetData>
    <row r="1" spans="1:25" ht="25">
      <c r="A1" s="49" t="s">
        <v>3470</v>
      </c>
    </row>
    <row r="2" spans="1:25">
      <c r="A2" s="3" t="s">
        <v>3177</v>
      </c>
    </row>
    <row r="3" spans="1:25">
      <c r="A3" s="54" t="s">
        <v>3675</v>
      </c>
    </row>
    <row r="4" spans="1:25">
      <c r="R4" s="175" t="s">
        <v>3178</v>
      </c>
    </row>
    <row r="5" spans="1:25" ht="26" customHeight="1">
      <c r="A5" s="9" t="s">
        <v>3016</v>
      </c>
      <c r="B5" s="10" t="s">
        <v>3017</v>
      </c>
      <c r="C5" s="10" t="s">
        <v>3018</v>
      </c>
      <c r="D5" s="10" t="s">
        <v>3019</v>
      </c>
      <c r="E5" s="10" t="s">
        <v>3020</v>
      </c>
      <c r="F5" s="10" t="s">
        <v>3021</v>
      </c>
      <c r="G5" s="10" t="s">
        <v>3022</v>
      </c>
      <c r="H5" s="10" t="s">
        <v>3023</v>
      </c>
      <c r="I5" s="10" t="s">
        <v>3024</v>
      </c>
      <c r="J5" s="10" t="s">
        <v>3025</v>
      </c>
      <c r="K5" s="10" t="s">
        <v>3027</v>
      </c>
      <c r="L5" s="10" t="s">
        <v>3029</v>
      </c>
      <c r="M5" s="10" t="s">
        <v>3030</v>
      </c>
      <c r="N5" s="10" t="s">
        <v>3031</v>
      </c>
      <c r="O5" s="10" t="s">
        <v>3032</v>
      </c>
      <c r="P5" s="11" t="s">
        <v>3033</v>
      </c>
      <c r="R5" s="20" t="s">
        <v>3179</v>
      </c>
      <c r="S5" s="21" t="s">
        <v>3010</v>
      </c>
      <c r="T5" s="21" t="s">
        <v>3180</v>
      </c>
      <c r="U5" s="21" t="s">
        <v>3026</v>
      </c>
      <c r="V5" s="21" t="s">
        <v>3028</v>
      </c>
      <c r="W5" s="21" t="s">
        <v>3181</v>
      </c>
      <c r="X5" s="22" t="s">
        <v>3672</v>
      </c>
      <c r="Y5" s="206" t="s">
        <v>3673</v>
      </c>
    </row>
    <row r="6" spans="1:25">
      <c r="A6" s="51" t="s">
        <v>2659</v>
      </c>
      <c r="B6" s="6" t="s">
        <v>671</v>
      </c>
      <c r="C6" s="6" t="s">
        <v>2660</v>
      </c>
      <c r="D6" s="12" t="s">
        <v>2661</v>
      </c>
      <c r="E6" s="6" t="s">
        <v>2662</v>
      </c>
      <c r="F6" s="6" t="s">
        <v>2663</v>
      </c>
      <c r="G6" s="154" t="s">
        <v>2664</v>
      </c>
      <c r="H6" s="12" t="s">
        <v>2665</v>
      </c>
      <c r="I6" s="12" t="s">
        <v>2666</v>
      </c>
      <c r="J6" s="173">
        <v>4</v>
      </c>
      <c r="K6" s="171">
        <v>1.6</v>
      </c>
      <c r="L6" s="171">
        <v>2.4</v>
      </c>
      <c r="M6" s="12" t="s">
        <v>3034</v>
      </c>
      <c r="N6" s="12" t="s">
        <v>2667</v>
      </c>
      <c r="O6" s="154" t="s">
        <v>2668</v>
      </c>
      <c r="P6" s="156" t="s">
        <v>3035</v>
      </c>
      <c r="R6" s="23" t="s">
        <v>671</v>
      </c>
      <c r="S6" s="30">
        <f>COUNTIF($B$6:$B$108,$R6)</f>
        <v>10</v>
      </c>
      <c r="T6" s="30">
        <f>SUMIF($B$6:$B$108,$R6,$J$6:$J$108)</f>
        <v>106</v>
      </c>
      <c r="U6" s="30">
        <f>SUMIF($B$6:$B$108,$R6,$K$6:$K$108)</f>
        <v>42.400000000000006</v>
      </c>
      <c r="V6" s="30">
        <f>SUMIF($B$6:$B$108,$R6,$L$6:$L$108)</f>
        <v>63.599999999999994</v>
      </c>
      <c r="W6" s="30" t="s">
        <v>3671</v>
      </c>
      <c r="X6" s="159">
        <f>U6+V6</f>
        <v>106</v>
      </c>
    </row>
    <row r="7" spans="1:25">
      <c r="A7" s="51" t="s">
        <v>2669</v>
      </c>
      <c r="B7" s="6" t="s">
        <v>671</v>
      </c>
      <c r="C7" s="6" t="s">
        <v>2670</v>
      </c>
      <c r="D7" s="12" t="s">
        <v>2661</v>
      </c>
      <c r="E7" s="6" t="s">
        <v>2671</v>
      </c>
      <c r="F7" s="6" t="s">
        <v>3036</v>
      </c>
      <c r="G7" s="154" t="s">
        <v>2672</v>
      </c>
      <c r="H7" s="12" t="s">
        <v>676</v>
      </c>
      <c r="I7" s="12" t="s">
        <v>2673</v>
      </c>
      <c r="J7" s="173">
        <v>10</v>
      </c>
      <c r="K7" s="171">
        <v>4</v>
      </c>
      <c r="L7" s="171">
        <v>6</v>
      </c>
      <c r="M7" s="12" t="s">
        <v>3034</v>
      </c>
      <c r="N7" s="12" t="s">
        <v>2674</v>
      </c>
      <c r="O7" s="154" t="s">
        <v>2668</v>
      </c>
      <c r="P7" s="156" t="s">
        <v>3035</v>
      </c>
      <c r="R7" s="23" t="s">
        <v>682</v>
      </c>
      <c r="S7" s="30">
        <f>COUNTIF($B$6:$B$108,$R7)</f>
        <v>11</v>
      </c>
      <c r="T7" s="30">
        <f>SUMIF($B$6:$B$108,$R7,$J$6:$J$108)</f>
        <v>134</v>
      </c>
      <c r="U7" s="30">
        <f>SUMIF($B$6:$B$108,$R7,$K$6:$K$108)</f>
        <v>53.6</v>
      </c>
      <c r="V7" s="30">
        <f>SUMIF($B$6:$B$108,$R7,$L$6:$L$108)</f>
        <v>80.400000000000006</v>
      </c>
      <c r="W7" s="30" t="s">
        <v>3671</v>
      </c>
      <c r="X7" s="159">
        <f>U7+V7</f>
        <v>134</v>
      </c>
    </row>
    <row r="8" spans="1:25">
      <c r="A8" s="51" t="s">
        <v>2675</v>
      </c>
      <c r="B8" s="6" t="s">
        <v>671</v>
      </c>
      <c r="C8" s="6" t="s">
        <v>2676</v>
      </c>
      <c r="D8" s="12" t="s">
        <v>2661</v>
      </c>
      <c r="E8" s="6" t="s">
        <v>2677</v>
      </c>
      <c r="F8" s="6" t="s">
        <v>2678</v>
      </c>
      <c r="G8" s="154" t="s">
        <v>2679</v>
      </c>
      <c r="H8" s="12" t="s">
        <v>676</v>
      </c>
      <c r="I8" s="12" t="s">
        <v>2673</v>
      </c>
      <c r="J8" s="173">
        <v>11</v>
      </c>
      <c r="K8" s="171">
        <v>4.4000000000000004</v>
      </c>
      <c r="L8" s="171">
        <v>6.6</v>
      </c>
      <c r="M8" s="12" t="s">
        <v>3034</v>
      </c>
      <c r="N8" s="12" t="s">
        <v>2674</v>
      </c>
      <c r="O8" s="154" t="s">
        <v>2668</v>
      </c>
      <c r="P8" s="156" t="s">
        <v>3035</v>
      </c>
      <c r="R8" s="23" t="s">
        <v>1398</v>
      </c>
      <c r="S8" s="30">
        <f>COUNTIF($B$6:$B$108,$R8)</f>
        <v>11</v>
      </c>
      <c r="T8" s="30">
        <f>SUMIF($B$6:$B$108,$R8,$J$6:$J$108)</f>
        <v>74</v>
      </c>
      <c r="U8" s="30">
        <f>SUMIF($B$6:$B$108,$R8,$K$6:$K$108)</f>
        <v>29.600000000000005</v>
      </c>
      <c r="V8" s="30">
        <f>SUMIF($B$6:$B$108,$R8,$L$6:$L$108)</f>
        <v>44.399999999999991</v>
      </c>
      <c r="W8" s="30" t="s">
        <v>3671</v>
      </c>
      <c r="X8" s="159">
        <f>U8+V8</f>
        <v>74</v>
      </c>
    </row>
    <row r="9" spans="1:25">
      <c r="A9" s="51" t="s">
        <v>2679</v>
      </c>
      <c r="B9" s="6" t="s">
        <v>671</v>
      </c>
      <c r="C9" s="6" t="s">
        <v>2680</v>
      </c>
      <c r="D9" s="12" t="s">
        <v>2681</v>
      </c>
      <c r="E9" s="6" t="s">
        <v>2682</v>
      </c>
      <c r="F9" s="6" t="s">
        <v>2683</v>
      </c>
      <c r="G9" s="154" t="s">
        <v>2675</v>
      </c>
      <c r="H9" s="12" t="s">
        <v>676</v>
      </c>
      <c r="I9" s="12" t="s">
        <v>2684</v>
      </c>
      <c r="J9" s="173">
        <v>24</v>
      </c>
      <c r="K9" s="171">
        <v>9.6</v>
      </c>
      <c r="L9" s="171">
        <v>14.4</v>
      </c>
      <c r="M9" s="12" t="s">
        <v>3034</v>
      </c>
      <c r="N9" s="12" t="s">
        <v>2674</v>
      </c>
      <c r="O9" s="154" t="s">
        <v>2668</v>
      </c>
      <c r="P9" s="156" t="s">
        <v>3035</v>
      </c>
      <c r="R9" s="23" t="s">
        <v>1258</v>
      </c>
      <c r="S9" s="30">
        <f>COUNTIF($B$6:$B$108,$R9)</f>
        <v>8</v>
      </c>
      <c r="T9" s="30">
        <f>SUMIF($B$6:$B$108,$R9,$J$6:$J$108)</f>
        <v>74</v>
      </c>
      <c r="U9" s="30">
        <f>SUMIF($B$6:$B$108,$R9,$K$6:$K$108)</f>
        <v>29.6</v>
      </c>
      <c r="V9" s="30">
        <f>SUMIF($B$6:$B$108,$R9,$L$6:$L$108)</f>
        <v>44.4</v>
      </c>
      <c r="W9" s="30" t="s">
        <v>3671</v>
      </c>
      <c r="X9" s="159">
        <f>U9+V9</f>
        <v>74</v>
      </c>
    </row>
    <row r="10" spans="1:25">
      <c r="A10" s="51" t="s">
        <v>2685</v>
      </c>
      <c r="B10" s="6" t="s">
        <v>671</v>
      </c>
      <c r="C10" s="6" t="s">
        <v>2686</v>
      </c>
      <c r="D10" s="12" t="s">
        <v>2661</v>
      </c>
      <c r="E10" s="6" t="s">
        <v>2687</v>
      </c>
      <c r="F10" s="6" t="s">
        <v>2688</v>
      </c>
      <c r="G10" s="154" t="s">
        <v>2689</v>
      </c>
      <c r="H10" s="12" t="s">
        <v>2665</v>
      </c>
      <c r="I10" s="12" t="s">
        <v>2666</v>
      </c>
      <c r="J10" s="173">
        <v>4</v>
      </c>
      <c r="K10" s="171">
        <v>1.6</v>
      </c>
      <c r="L10" s="171">
        <v>2.4</v>
      </c>
      <c r="M10" s="12" t="s">
        <v>3034</v>
      </c>
      <c r="N10" s="12" t="s">
        <v>2667</v>
      </c>
      <c r="O10" s="154" t="s">
        <v>2668</v>
      </c>
      <c r="P10" s="156" t="s">
        <v>3035</v>
      </c>
      <c r="R10" s="23" t="s">
        <v>686</v>
      </c>
      <c r="S10" s="30">
        <f>COUNTIF($B$6:$B$108,$R10)</f>
        <v>13</v>
      </c>
      <c r="T10" s="30">
        <f>SUMIF($B$6:$B$108,$R10,$J$6:$J$108)</f>
        <v>138</v>
      </c>
      <c r="U10" s="30">
        <f>SUMIF($B$6:$B$108,$R10,$K$6:$K$108)</f>
        <v>55.2</v>
      </c>
      <c r="V10" s="30">
        <f>SUMIF($B$6:$B$108,$R10,$L$6:$L$108)</f>
        <v>82.8</v>
      </c>
      <c r="W10" s="30" t="s">
        <v>3671</v>
      </c>
      <c r="X10" s="159">
        <f>U10+V10</f>
        <v>138</v>
      </c>
    </row>
    <row r="11" spans="1:25">
      <c r="A11" s="51" t="s">
        <v>2690</v>
      </c>
      <c r="B11" s="6" t="s">
        <v>671</v>
      </c>
      <c r="C11" s="6" t="s">
        <v>2691</v>
      </c>
      <c r="D11" s="12" t="s">
        <v>2661</v>
      </c>
      <c r="E11" s="6" t="s">
        <v>2692</v>
      </c>
      <c r="F11" s="6" t="s">
        <v>2693</v>
      </c>
      <c r="G11" s="154" t="s">
        <v>2659</v>
      </c>
      <c r="H11" s="12" t="s">
        <v>680</v>
      </c>
      <c r="I11" s="12" t="s">
        <v>2673</v>
      </c>
      <c r="J11" s="173">
        <v>9</v>
      </c>
      <c r="K11" s="171">
        <v>3.6</v>
      </c>
      <c r="L11" s="171">
        <v>5.4</v>
      </c>
      <c r="M11" s="12" t="s">
        <v>3034</v>
      </c>
      <c r="N11" s="12" t="s">
        <v>2674</v>
      </c>
      <c r="O11" s="154" t="s">
        <v>2668</v>
      </c>
      <c r="P11" s="156" t="s">
        <v>3035</v>
      </c>
      <c r="R11" s="23" t="s">
        <v>694</v>
      </c>
      <c r="S11" s="30">
        <f>COUNTIF($B$6:$B$108,$R11)</f>
        <v>15</v>
      </c>
      <c r="T11" s="30">
        <f>SUMIF($B$6:$B$108,$R11,$J$6:$J$108)</f>
        <v>156</v>
      </c>
      <c r="U11" s="30">
        <f>SUMIF($B$6:$B$108,$R11,$K$6:$K$108)</f>
        <v>62.400000000000006</v>
      </c>
      <c r="V11" s="30">
        <f>SUMIF($B$6:$B$108,$R11,$L$6:$L$108)</f>
        <v>93.600000000000023</v>
      </c>
      <c r="W11" s="30" t="s">
        <v>3671</v>
      </c>
      <c r="X11" s="159">
        <f>U11+V11</f>
        <v>156.00000000000003</v>
      </c>
    </row>
    <row r="12" spans="1:25">
      <c r="A12" s="51" t="s">
        <v>2694</v>
      </c>
      <c r="B12" s="6" t="s">
        <v>671</v>
      </c>
      <c r="C12" s="6" t="s">
        <v>2695</v>
      </c>
      <c r="D12" s="12" t="s">
        <v>2661</v>
      </c>
      <c r="E12" s="6" t="s">
        <v>2696</v>
      </c>
      <c r="F12" s="6" t="s">
        <v>2697</v>
      </c>
      <c r="G12" s="154" t="s">
        <v>2659</v>
      </c>
      <c r="H12" s="12" t="s">
        <v>2665</v>
      </c>
      <c r="I12" s="12" t="s">
        <v>2666</v>
      </c>
      <c r="J12" s="173">
        <v>4</v>
      </c>
      <c r="K12" s="171">
        <v>1.6</v>
      </c>
      <c r="L12" s="171">
        <v>2.4</v>
      </c>
      <c r="M12" s="12" t="s">
        <v>3034</v>
      </c>
      <c r="N12" s="12" t="s">
        <v>2667</v>
      </c>
      <c r="O12" s="154" t="s">
        <v>2668</v>
      </c>
      <c r="P12" s="156" t="s">
        <v>3035</v>
      </c>
      <c r="R12" s="23" t="s">
        <v>698</v>
      </c>
      <c r="S12" s="30">
        <f>COUNTIF($B$6:$B$108,$R12)</f>
        <v>12</v>
      </c>
      <c r="T12" s="30">
        <f>SUMIF($B$6:$B$108,$R12,$J$6:$J$108)</f>
        <v>102</v>
      </c>
      <c r="U12" s="30">
        <f>SUMIF($B$6:$B$108,$R12,$K$6:$K$108)</f>
        <v>40.800000000000004</v>
      </c>
      <c r="V12" s="30">
        <f>SUMIF($B$6:$B$108,$R12,$L$6:$L$108)</f>
        <v>61.199999999999989</v>
      </c>
      <c r="W12" s="30" t="s">
        <v>3671</v>
      </c>
      <c r="X12" s="159">
        <f>U12+V12</f>
        <v>102</v>
      </c>
    </row>
    <row r="13" spans="1:25">
      <c r="A13" s="51" t="s">
        <v>2698</v>
      </c>
      <c r="B13" s="6" t="s">
        <v>671</v>
      </c>
      <c r="C13" s="6" t="s">
        <v>2699</v>
      </c>
      <c r="D13" s="12" t="s">
        <v>2700</v>
      </c>
      <c r="E13" s="6" t="s">
        <v>2701</v>
      </c>
      <c r="F13" s="6" t="s">
        <v>2702</v>
      </c>
      <c r="G13" s="154" t="s">
        <v>2703</v>
      </c>
      <c r="H13" s="12" t="s">
        <v>672</v>
      </c>
      <c r="I13" s="12" t="s">
        <v>2673</v>
      </c>
      <c r="J13" s="173">
        <v>12</v>
      </c>
      <c r="K13" s="171">
        <v>4.8</v>
      </c>
      <c r="L13" s="171">
        <v>7.2</v>
      </c>
      <c r="M13" s="12" t="s">
        <v>3034</v>
      </c>
      <c r="N13" s="12" t="s">
        <v>2674</v>
      </c>
      <c r="O13" s="154" t="s">
        <v>2668</v>
      </c>
      <c r="P13" s="156" t="s">
        <v>3035</v>
      </c>
      <c r="R13" s="23" t="s">
        <v>2941</v>
      </c>
      <c r="S13" s="30">
        <f>COUNTIF($B$6:$B$108,$R13)</f>
        <v>3</v>
      </c>
      <c r="T13" s="30">
        <f>SUMIF($B$6:$B$108,$R13,$J$6:$J$108)</f>
        <v>48</v>
      </c>
      <c r="U13" s="30">
        <f>SUMIF($B$6:$B$108,$R13,$K$6:$K$108)</f>
        <v>19.2</v>
      </c>
      <c r="V13" s="30">
        <f>SUMIF($B$6:$B$108,$R13,$L$6:$L$108)</f>
        <v>28.8</v>
      </c>
      <c r="W13" s="30" t="s">
        <v>3671</v>
      </c>
      <c r="X13" s="159">
        <f>U13+V13</f>
        <v>48</v>
      </c>
    </row>
    <row r="14" spans="1:25">
      <c r="A14" s="51" t="s">
        <v>3037</v>
      </c>
      <c r="B14" s="6" t="s">
        <v>671</v>
      </c>
      <c r="C14" s="6" t="s">
        <v>3038</v>
      </c>
      <c r="D14" s="12" t="s">
        <v>2779</v>
      </c>
      <c r="E14" s="6" t="s">
        <v>3039</v>
      </c>
      <c r="F14" s="6" t="s">
        <v>3040</v>
      </c>
      <c r="G14" s="154" t="s">
        <v>2659</v>
      </c>
      <c r="H14" s="12" t="s">
        <v>2665</v>
      </c>
      <c r="I14" s="12" t="s">
        <v>2684</v>
      </c>
      <c r="J14" s="173">
        <v>18</v>
      </c>
      <c r="K14" s="171">
        <v>7.2</v>
      </c>
      <c r="L14" s="171">
        <v>10.8</v>
      </c>
      <c r="M14" s="12" t="s">
        <v>3041</v>
      </c>
      <c r="N14" s="12" t="s">
        <v>3042</v>
      </c>
      <c r="O14" s="154" t="s">
        <v>3043</v>
      </c>
      <c r="P14" s="156" t="s">
        <v>3044</v>
      </c>
      <c r="R14" s="23" t="s">
        <v>2949</v>
      </c>
      <c r="S14" s="30">
        <f>COUNTIF($B$6:$B$108,$R14)</f>
        <v>9</v>
      </c>
      <c r="T14" s="30">
        <f>SUMIF($B$6:$B$108,$R14,$J$6:$J$108)</f>
        <v>102</v>
      </c>
      <c r="U14" s="30">
        <f>SUMIF($B$6:$B$108,$R14,$K$6:$K$108)</f>
        <v>40.800000000000004</v>
      </c>
      <c r="V14" s="30">
        <f>SUMIF($B$6:$B$108,$R14,$L$6:$L$108)</f>
        <v>61.2</v>
      </c>
      <c r="W14" s="30" t="s">
        <v>3671</v>
      </c>
      <c r="X14" s="159">
        <f>U14+V14</f>
        <v>102</v>
      </c>
    </row>
    <row r="15" spans="1:25">
      <c r="A15" s="51" t="s">
        <v>3045</v>
      </c>
      <c r="B15" s="6" t="s">
        <v>671</v>
      </c>
      <c r="C15" s="6" t="s">
        <v>3046</v>
      </c>
      <c r="D15" s="12" t="s">
        <v>2661</v>
      </c>
      <c r="E15" s="6" t="s">
        <v>3047</v>
      </c>
      <c r="F15" s="6" t="s">
        <v>3048</v>
      </c>
      <c r="G15" s="154" t="s">
        <v>2669</v>
      </c>
      <c r="H15" s="12" t="s">
        <v>2665</v>
      </c>
      <c r="I15" s="12" t="s">
        <v>2673</v>
      </c>
      <c r="J15" s="173">
        <v>10</v>
      </c>
      <c r="K15" s="171">
        <v>4</v>
      </c>
      <c r="L15" s="171">
        <v>6</v>
      </c>
      <c r="M15" s="12" t="s">
        <v>3034</v>
      </c>
      <c r="N15" s="12" t="s">
        <v>2667</v>
      </c>
      <c r="O15" s="154" t="s">
        <v>3043</v>
      </c>
      <c r="P15" s="156" t="s">
        <v>3049</v>
      </c>
      <c r="R15" s="23" t="s">
        <v>1591</v>
      </c>
      <c r="S15" s="30">
        <f>COUNTIF($B$6:$B$108,$R15)</f>
        <v>11</v>
      </c>
      <c r="T15" s="30">
        <f>SUMIF($B$6:$B$108,$R15,$J$6:$J$108)</f>
        <v>110</v>
      </c>
      <c r="U15" s="30">
        <f>SUMIF($B$6:$B$108,$R15,$K$6:$K$108)</f>
        <v>44</v>
      </c>
      <c r="V15" s="30">
        <f>SUMIF($B$6:$B$108,$R15,$L$6:$L$108)</f>
        <v>66</v>
      </c>
      <c r="W15" s="30" t="s">
        <v>3671</v>
      </c>
      <c r="X15" s="159">
        <f>U15+V15</f>
        <v>110</v>
      </c>
    </row>
    <row r="16" spans="1:25">
      <c r="A16" s="51" t="s">
        <v>2704</v>
      </c>
      <c r="B16" s="6" t="s">
        <v>682</v>
      </c>
      <c r="C16" s="6" t="s">
        <v>2705</v>
      </c>
      <c r="D16" s="12" t="s">
        <v>2706</v>
      </c>
      <c r="E16" s="6" t="s">
        <v>2707</v>
      </c>
      <c r="F16" s="6" t="s">
        <v>2708</v>
      </c>
      <c r="G16" s="154" t="s">
        <v>2709</v>
      </c>
      <c r="H16" s="12" t="s">
        <v>2665</v>
      </c>
      <c r="I16" s="12" t="s">
        <v>2673</v>
      </c>
      <c r="J16" s="173">
        <v>10</v>
      </c>
      <c r="K16" s="171">
        <v>4</v>
      </c>
      <c r="L16" s="171">
        <v>6</v>
      </c>
      <c r="M16" s="12" t="s">
        <v>3034</v>
      </c>
      <c r="N16" s="12" t="s">
        <v>2667</v>
      </c>
      <c r="O16" s="154" t="s">
        <v>2668</v>
      </c>
      <c r="P16" s="156" t="s">
        <v>3035</v>
      </c>
      <c r="R16" s="23" t="s">
        <v>3182</v>
      </c>
      <c r="S16" s="30" t="s">
        <v>2665</v>
      </c>
      <c r="T16" s="30">
        <v>0</v>
      </c>
      <c r="U16" s="30">
        <v>0</v>
      </c>
      <c r="V16" s="30">
        <v>0</v>
      </c>
      <c r="W16" s="30" t="s">
        <v>3671</v>
      </c>
      <c r="X16" s="159">
        <f>U16+V16</f>
        <v>0</v>
      </c>
    </row>
    <row r="17" spans="1:24">
      <c r="A17" s="51" t="s">
        <v>2710</v>
      </c>
      <c r="B17" s="6" t="s">
        <v>682</v>
      </c>
      <c r="C17" s="6" t="s">
        <v>2711</v>
      </c>
      <c r="D17" s="12" t="s">
        <v>2712</v>
      </c>
      <c r="E17" s="6" t="s">
        <v>2713</v>
      </c>
      <c r="F17" s="6" t="s">
        <v>2714</v>
      </c>
      <c r="G17" s="154" t="s">
        <v>2679</v>
      </c>
      <c r="H17" s="12" t="s">
        <v>676</v>
      </c>
      <c r="I17" s="12" t="s">
        <v>2673</v>
      </c>
      <c r="J17" s="173">
        <v>11</v>
      </c>
      <c r="K17" s="171">
        <v>4.4000000000000004</v>
      </c>
      <c r="L17" s="171">
        <v>6.6</v>
      </c>
      <c r="M17" s="12" t="s">
        <v>3034</v>
      </c>
      <c r="N17" s="12" t="s">
        <v>2674</v>
      </c>
      <c r="O17" s="154" t="s">
        <v>2668</v>
      </c>
      <c r="P17" s="156" t="s">
        <v>3035</v>
      </c>
      <c r="R17" s="25" t="s">
        <v>13</v>
      </c>
      <c r="S17" s="31">
        <f>SUM(S6:S16)</f>
        <v>103</v>
      </c>
      <c r="T17" s="31">
        <f>SUM(T6:T16)</f>
        <v>1044</v>
      </c>
      <c r="U17" s="31">
        <f>SUM(U6:U16)</f>
        <v>417.60000000000008</v>
      </c>
      <c r="V17" s="31">
        <f>SUM(V6:V16)</f>
        <v>626.4</v>
      </c>
      <c r="W17" s="31">
        <f>'WBS(テスト)'!$C$60</f>
        <v>363</v>
      </c>
      <c r="X17" s="160">
        <f>SUM(X6:X16)</f>
        <v>1044</v>
      </c>
    </row>
    <row r="18" spans="1:24">
      <c r="A18" s="51" t="s">
        <v>2715</v>
      </c>
      <c r="B18" s="6" t="s">
        <v>682</v>
      </c>
      <c r="C18" s="6" t="s">
        <v>2716</v>
      </c>
      <c r="D18" s="12" t="s">
        <v>2717</v>
      </c>
      <c r="E18" s="6" t="s">
        <v>2718</v>
      </c>
      <c r="F18" s="6" t="s">
        <v>2719</v>
      </c>
      <c r="G18" s="154" t="s">
        <v>2704</v>
      </c>
      <c r="H18" s="12" t="s">
        <v>683</v>
      </c>
      <c r="I18" s="12" t="s">
        <v>2684</v>
      </c>
      <c r="J18" s="173">
        <v>22</v>
      </c>
      <c r="K18" s="171">
        <v>8.8000000000000007</v>
      </c>
      <c r="L18" s="171">
        <v>13.2</v>
      </c>
      <c r="M18" s="12" t="s">
        <v>3034</v>
      </c>
      <c r="N18" s="12" t="s">
        <v>2674</v>
      </c>
      <c r="O18" s="154" t="s">
        <v>2668</v>
      </c>
      <c r="P18" s="156" t="s">
        <v>3035</v>
      </c>
      <c r="R18" s="1"/>
      <c r="S18" s="1"/>
      <c r="T18" s="1"/>
      <c r="U18" s="1"/>
      <c r="V18" s="1"/>
      <c r="W18" s="1"/>
      <c r="X18" s="1"/>
    </row>
    <row r="19" spans="1:24">
      <c r="A19" s="51" t="s">
        <v>2720</v>
      </c>
      <c r="B19" s="6" t="s">
        <v>682</v>
      </c>
      <c r="C19" s="6" t="s">
        <v>2721</v>
      </c>
      <c r="D19" s="12" t="s">
        <v>2722</v>
      </c>
      <c r="E19" s="6" t="s">
        <v>2723</v>
      </c>
      <c r="F19" s="6" t="s">
        <v>2724</v>
      </c>
      <c r="G19" s="154" t="s">
        <v>2725</v>
      </c>
      <c r="H19" s="12" t="s">
        <v>683</v>
      </c>
      <c r="I19" s="12" t="s">
        <v>2684</v>
      </c>
      <c r="J19" s="173">
        <v>22</v>
      </c>
      <c r="K19" s="171">
        <v>8.8000000000000007</v>
      </c>
      <c r="L19" s="171">
        <v>13.2</v>
      </c>
      <c r="M19" s="12" t="s">
        <v>3034</v>
      </c>
      <c r="N19" s="12" t="s">
        <v>2674</v>
      </c>
      <c r="O19" s="154" t="s">
        <v>2668</v>
      </c>
      <c r="P19" s="156" t="s">
        <v>3035</v>
      </c>
      <c r="R19" s="2" t="s">
        <v>3183</v>
      </c>
      <c r="S19" s="1"/>
      <c r="T19" s="1"/>
      <c r="U19" s="1"/>
      <c r="V19" s="1"/>
      <c r="W19" s="1"/>
      <c r="X19" s="1"/>
    </row>
    <row r="20" spans="1:24">
      <c r="A20" s="51" t="s">
        <v>2726</v>
      </c>
      <c r="B20" s="6" t="s">
        <v>682</v>
      </c>
      <c r="C20" s="6" t="s">
        <v>2727</v>
      </c>
      <c r="D20" s="12" t="s">
        <v>2717</v>
      </c>
      <c r="E20" s="6" t="s">
        <v>2728</v>
      </c>
      <c r="F20" s="6" t="s">
        <v>2729</v>
      </c>
      <c r="G20" s="154" t="s">
        <v>2730</v>
      </c>
      <c r="H20" s="12" t="s">
        <v>2665</v>
      </c>
      <c r="I20" s="12" t="s">
        <v>2673</v>
      </c>
      <c r="J20" s="173">
        <v>12</v>
      </c>
      <c r="K20" s="171">
        <v>4.8</v>
      </c>
      <c r="L20" s="171">
        <v>7.2</v>
      </c>
      <c r="M20" s="12" t="s">
        <v>3034</v>
      </c>
      <c r="N20" s="12" t="s">
        <v>2667</v>
      </c>
      <c r="O20" s="154" t="s">
        <v>2668</v>
      </c>
      <c r="P20" s="156" t="s">
        <v>3035</v>
      </c>
      <c r="R20" s="178" t="s">
        <v>3184</v>
      </c>
      <c r="S20" s="179" t="s">
        <v>3185</v>
      </c>
      <c r="T20" s="180" t="s">
        <v>3186</v>
      </c>
      <c r="U20" s="1"/>
      <c r="V20" s="1"/>
      <c r="W20" s="1"/>
      <c r="X20" s="1"/>
    </row>
    <row r="21" spans="1:24">
      <c r="A21" s="51" t="s">
        <v>2731</v>
      </c>
      <c r="B21" s="6" t="s">
        <v>682</v>
      </c>
      <c r="C21" s="6" t="s">
        <v>2732</v>
      </c>
      <c r="D21" s="12" t="s">
        <v>2733</v>
      </c>
      <c r="E21" s="6" t="s">
        <v>2734</v>
      </c>
      <c r="F21" s="6" t="s">
        <v>2735</v>
      </c>
      <c r="G21" s="154" t="s">
        <v>2726</v>
      </c>
      <c r="H21" s="12" t="s">
        <v>2665</v>
      </c>
      <c r="I21" s="12" t="s">
        <v>2673</v>
      </c>
      <c r="J21" s="173">
        <v>10</v>
      </c>
      <c r="K21" s="171">
        <v>4</v>
      </c>
      <c r="L21" s="171">
        <v>6</v>
      </c>
      <c r="M21" s="166" t="s">
        <v>3034</v>
      </c>
      <c r="N21" s="12" t="s">
        <v>2667</v>
      </c>
      <c r="O21" s="154" t="s">
        <v>2668</v>
      </c>
      <c r="P21" s="156" t="s">
        <v>3035</v>
      </c>
      <c r="R21" s="23" t="s">
        <v>3187</v>
      </c>
      <c r="S21" s="30">
        <v>244</v>
      </c>
      <c r="T21" s="28" t="s">
        <v>3471</v>
      </c>
      <c r="U21" s="1"/>
      <c r="V21" s="1"/>
      <c r="W21" s="1"/>
      <c r="X21" s="1"/>
    </row>
    <row r="22" spans="1:24">
      <c r="A22" s="51" t="s">
        <v>2736</v>
      </c>
      <c r="B22" s="6" t="s">
        <v>682</v>
      </c>
      <c r="C22" s="6" t="s">
        <v>2737</v>
      </c>
      <c r="D22" s="12" t="s">
        <v>2681</v>
      </c>
      <c r="E22" s="6" t="s">
        <v>2738</v>
      </c>
      <c r="F22" s="6" t="s">
        <v>2739</v>
      </c>
      <c r="G22" s="154" t="s">
        <v>2740</v>
      </c>
      <c r="H22" s="12" t="s">
        <v>676</v>
      </c>
      <c r="I22" s="12" t="s">
        <v>2673</v>
      </c>
      <c r="J22" s="173">
        <v>11</v>
      </c>
      <c r="K22" s="171">
        <v>4.4000000000000004</v>
      </c>
      <c r="L22" s="171">
        <v>6.6</v>
      </c>
      <c r="M22" s="166" t="s">
        <v>3034</v>
      </c>
      <c r="N22" s="167" t="s">
        <v>2674</v>
      </c>
      <c r="O22" s="154" t="s">
        <v>2668</v>
      </c>
      <c r="P22" s="156" t="s">
        <v>3035</v>
      </c>
      <c r="R22" s="23" t="s">
        <v>3188</v>
      </c>
      <c r="S22" s="30">
        <f>U17</f>
        <v>417.60000000000008</v>
      </c>
      <c r="T22" s="28" t="s">
        <v>3208</v>
      </c>
      <c r="U22" s="1"/>
      <c r="V22" s="1"/>
      <c r="W22" s="1"/>
      <c r="X22" s="1"/>
    </row>
    <row r="23" spans="1:24">
      <c r="A23" s="51" t="s">
        <v>2741</v>
      </c>
      <c r="B23" s="6" t="s">
        <v>682</v>
      </c>
      <c r="C23" s="6" t="s">
        <v>2742</v>
      </c>
      <c r="D23" s="12" t="s">
        <v>2717</v>
      </c>
      <c r="E23" s="6" t="s">
        <v>2743</v>
      </c>
      <c r="F23" s="6" t="s">
        <v>2744</v>
      </c>
      <c r="G23" s="154" t="s">
        <v>2745</v>
      </c>
      <c r="H23" s="12" t="s">
        <v>2665</v>
      </c>
      <c r="I23" s="12" t="s">
        <v>2673</v>
      </c>
      <c r="J23" s="173">
        <v>12</v>
      </c>
      <c r="K23" s="171">
        <v>4.8</v>
      </c>
      <c r="L23" s="171">
        <v>7.2</v>
      </c>
      <c r="M23" s="166" t="s">
        <v>3034</v>
      </c>
      <c r="N23" s="167" t="s">
        <v>2667</v>
      </c>
      <c r="O23" s="154" t="s">
        <v>2668</v>
      </c>
      <c r="P23" s="156" t="s">
        <v>3035</v>
      </c>
      <c r="R23" s="23" t="s">
        <v>3189</v>
      </c>
      <c r="S23" s="30">
        <f>V17</f>
        <v>626.4</v>
      </c>
      <c r="T23" s="28" t="s">
        <v>3209</v>
      </c>
      <c r="U23" s="1"/>
      <c r="V23" s="1"/>
      <c r="W23" s="1"/>
      <c r="X23" s="1"/>
    </row>
    <row r="24" spans="1:24">
      <c r="A24" s="51" t="s">
        <v>3050</v>
      </c>
      <c r="B24" s="6" t="s">
        <v>682</v>
      </c>
      <c r="C24" s="6" t="s">
        <v>3051</v>
      </c>
      <c r="D24" s="12" t="s">
        <v>2717</v>
      </c>
      <c r="E24" s="6" t="s">
        <v>3052</v>
      </c>
      <c r="F24" s="6" t="s">
        <v>3053</v>
      </c>
      <c r="G24" s="154" t="s">
        <v>2726</v>
      </c>
      <c r="H24" s="12" t="s">
        <v>2665</v>
      </c>
      <c r="I24" s="12" t="s">
        <v>2673</v>
      </c>
      <c r="J24" s="173">
        <v>9</v>
      </c>
      <c r="K24" s="171">
        <v>3.6</v>
      </c>
      <c r="L24" s="171">
        <v>5.4</v>
      </c>
      <c r="M24" s="166" t="s">
        <v>3034</v>
      </c>
      <c r="N24" s="168" t="s">
        <v>2667</v>
      </c>
      <c r="O24" s="154" t="s">
        <v>3043</v>
      </c>
      <c r="P24" s="156" t="s">
        <v>1257</v>
      </c>
      <c r="R24" s="23" t="s">
        <v>3190</v>
      </c>
      <c r="S24" s="30">
        <f>'WBS(テスト)'!$C$60</f>
        <v>363</v>
      </c>
      <c r="T24" s="28" t="s">
        <v>3674</v>
      </c>
      <c r="U24" s="1"/>
      <c r="V24" s="1"/>
      <c r="W24" s="1"/>
      <c r="X24" s="1"/>
    </row>
    <row r="25" spans="1:24">
      <c r="A25" s="51" t="s">
        <v>3054</v>
      </c>
      <c r="B25" s="6" t="s">
        <v>682</v>
      </c>
      <c r="C25" s="6" t="s">
        <v>3055</v>
      </c>
      <c r="D25" s="12" t="s">
        <v>2717</v>
      </c>
      <c r="E25" s="6" t="s">
        <v>3056</v>
      </c>
      <c r="F25" s="6" t="s">
        <v>3057</v>
      </c>
      <c r="G25" s="154" t="s">
        <v>2720</v>
      </c>
      <c r="H25" s="12" t="s">
        <v>2665</v>
      </c>
      <c r="I25" s="12" t="s">
        <v>2673</v>
      </c>
      <c r="J25" s="173">
        <v>9</v>
      </c>
      <c r="K25" s="171">
        <v>3.6</v>
      </c>
      <c r="L25" s="171">
        <v>5.4</v>
      </c>
      <c r="M25" s="166" t="s">
        <v>3034</v>
      </c>
      <c r="N25" s="168" t="s">
        <v>2667</v>
      </c>
      <c r="O25" s="154" t="s">
        <v>3043</v>
      </c>
      <c r="P25" s="156" t="s">
        <v>1256</v>
      </c>
      <c r="R25" s="176" t="s">
        <v>3191</v>
      </c>
      <c r="S25" s="163">
        <f>S22+S23+S24</f>
        <v>1407</v>
      </c>
      <c r="T25" s="177"/>
      <c r="U25" s="1"/>
      <c r="V25" s="1"/>
      <c r="W25" s="1"/>
      <c r="X25" s="1"/>
    </row>
    <row r="26" spans="1:24">
      <c r="A26" s="51" t="s">
        <v>3058</v>
      </c>
      <c r="B26" s="6" t="s">
        <v>682</v>
      </c>
      <c r="C26" s="6" t="s">
        <v>3059</v>
      </c>
      <c r="D26" s="12" t="s">
        <v>2779</v>
      </c>
      <c r="E26" s="6" t="s">
        <v>3060</v>
      </c>
      <c r="F26" s="6" t="s">
        <v>3061</v>
      </c>
      <c r="G26" s="154" t="s">
        <v>2715</v>
      </c>
      <c r="H26" s="12" t="s">
        <v>2665</v>
      </c>
      <c r="I26" s="12" t="s">
        <v>2666</v>
      </c>
      <c r="J26" s="173">
        <v>6</v>
      </c>
      <c r="K26" s="171">
        <v>2.4</v>
      </c>
      <c r="L26" s="171">
        <v>3.6</v>
      </c>
      <c r="M26" s="166" t="s">
        <v>3034</v>
      </c>
      <c r="N26" s="168" t="s">
        <v>2667</v>
      </c>
      <c r="O26" s="154" t="s">
        <v>3043</v>
      </c>
      <c r="P26" s="156" t="s">
        <v>1255</v>
      </c>
      <c r="R26" s="25" t="s">
        <v>3192</v>
      </c>
      <c r="S26" s="31">
        <f>S21+S25</f>
        <v>1651</v>
      </c>
      <c r="T26" s="181"/>
      <c r="U26" s="1" t="str">
        <f>IF(AND(ROUND(S25,0)=1244,ROUND(S26,0)=1488),"✓ レポート§9と一致","⚠ 不一致")</f>
        <v>⚠ 不一致</v>
      </c>
      <c r="V26" s="1"/>
      <c r="W26" s="1"/>
      <c r="X26" s="1"/>
    </row>
    <row r="27" spans="1:24">
      <c r="A27" s="51" t="s">
        <v>2746</v>
      </c>
      <c r="B27" s="6" t="s">
        <v>1398</v>
      </c>
      <c r="C27" s="6" t="s">
        <v>2747</v>
      </c>
      <c r="D27" s="12" t="s">
        <v>2748</v>
      </c>
      <c r="E27" s="6" t="s">
        <v>2749</v>
      </c>
      <c r="F27" s="6" t="s">
        <v>2750</v>
      </c>
      <c r="G27" s="154" t="s">
        <v>2675</v>
      </c>
      <c r="H27" s="12" t="s">
        <v>2665</v>
      </c>
      <c r="I27" s="12" t="s">
        <v>2673</v>
      </c>
      <c r="J27" s="173">
        <v>10</v>
      </c>
      <c r="K27" s="171">
        <v>4</v>
      </c>
      <c r="L27" s="171">
        <v>6</v>
      </c>
      <c r="M27" s="166" t="s">
        <v>3034</v>
      </c>
      <c r="N27" s="168" t="s">
        <v>2667</v>
      </c>
      <c r="O27" s="154" t="s">
        <v>2668</v>
      </c>
      <c r="P27" s="156" t="s">
        <v>3035</v>
      </c>
    </row>
    <row r="28" spans="1:24">
      <c r="A28" s="51" t="s">
        <v>2751</v>
      </c>
      <c r="B28" s="6" t="s">
        <v>1398</v>
      </c>
      <c r="C28" s="6" t="s">
        <v>2752</v>
      </c>
      <c r="D28" s="12" t="s">
        <v>2753</v>
      </c>
      <c r="E28" s="6" t="s">
        <v>2754</v>
      </c>
      <c r="F28" s="6" t="s">
        <v>3062</v>
      </c>
      <c r="G28" s="154" t="s">
        <v>2746</v>
      </c>
      <c r="H28" s="12" t="s">
        <v>2665</v>
      </c>
      <c r="I28" s="12" t="s">
        <v>2666</v>
      </c>
      <c r="J28" s="173">
        <v>5</v>
      </c>
      <c r="K28" s="171">
        <v>2</v>
      </c>
      <c r="L28" s="171">
        <v>3</v>
      </c>
      <c r="M28" s="12" t="s">
        <v>3034</v>
      </c>
      <c r="N28" s="12" t="s">
        <v>2667</v>
      </c>
      <c r="O28" s="154" t="s">
        <v>2668</v>
      </c>
      <c r="P28" s="156" t="s">
        <v>3035</v>
      </c>
      <c r="R28" s="175" t="s">
        <v>3193</v>
      </c>
    </row>
    <row r="29" spans="1:24">
      <c r="A29" s="51" t="s">
        <v>2755</v>
      </c>
      <c r="B29" s="6" t="s">
        <v>1398</v>
      </c>
      <c r="C29" s="6" t="s">
        <v>2756</v>
      </c>
      <c r="D29" s="12" t="s">
        <v>2757</v>
      </c>
      <c r="E29" s="6" t="s">
        <v>2758</v>
      </c>
      <c r="F29" s="6" t="s">
        <v>3063</v>
      </c>
      <c r="G29" s="154" t="s">
        <v>2759</v>
      </c>
      <c r="H29" s="12" t="s">
        <v>2665</v>
      </c>
      <c r="I29" s="12" t="s">
        <v>2673</v>
      </c>
      <c r="J29" s="173">
        <v>12</v>
      </c>
      <c r="K29" s="171">
        <v>4.8</v>
      </c>
      <c r="L29" s="171">
        <v>7.2</v>
      </c>
      <c r="M29" s="12" t="s">
        <v>3034</v>
      </c>
      <c r="N29" s="12" t="s">
        <v>2667</v>
      </c>
      <c r="O29" s="154" t="s">
        <v>2668</v>
      </c>
      <c r="P29" s="156" t="s">
        <v>3035</v>
      </c>
      <c r="R29" s="57" t="s">
        <v>3194</v>
      </c>
      <c r="S29" s="58" t="s">
        <v>3195</v>
      </c>
    </row>
    <row r="30" spans="1:24">
      <c r="A30" s="51" t="s">
        <v>2760</v>
      </c>
      <c r="B30" s="6" t="s">
        <v>1398</v>
      </c>
      <c r="C30" s="6" t="s">
        <v>2761</v>
      </c>
      <c r="D30" s="12" t="s">
        <v>2717</v>
      </c>
      <c r="E30" s="6" t="s">
        <v>2762</v>
      </c>
      <c r="F30" s="6" t="s">
        <v>2763</v>
      </c>
      <c r="G30" s="154" t="s">
        <v>2764</v>
      </c>
      <c r="H30" s="12" t="s">
        <v>2665</v>
      </c>
      <c r="I30" s="12" t="s">
        <v>2673</v>
      </c>
      <c r="J30" s="173">
        <v>12</v>
      </c>
      <c r="K30" s="171">
        <v>4.8</v>
      </c>
      <c r="L30" s="171">
        <v>7.2</v>
      </c>
      <c r="M30" s="12" t="s">
        <v>3034</v>
      </c>
      <c r="N30" s="12" t="s">
        <v>2667</v>
      </c>
      <c r="O30" s="154" t="s">
        <v>2668</v>
      </c>
      <c r="P30" s="156" t="s">
        <v>3035</v>
      </c>
      <c r="R30" s="57" t="s">
        <v>3196</v>
      </c>
      <c r="S30" s="58" t="s">
        <v>3197</v>
      </c>
    </row>
    <row r="31" spans="1:24" ht="34">
      <c r="A31" s="51" t="s">
        <v>2765</v>
      </c>
      <c r="B31" s="6" t="s">
        <v>1398</v>
      </c>
      <c r="C31" s="6" t="s">
        <v>2766</v>
      </c>
      <c r="D31" s="12" t="s">
        <v>2717</v>
      </c>
      <c r="E31" s="6" t="s">
        <v>2767</v>
      </c>
      <c r="F31" s="6" t="s">
        <v>2768</v>
      </c>
      <c r="G31" s="154" t="s">
        <v>2769</v>
      </c>
      <c r="H31" s="12" t="s">
        <v>2665</v>
      </c>
      <c r="I31" s="12" t="s">
        <v>2666</v>
      </c>
      <c r="J31" s="173">
        <v>5</v>
      </c>
      <c r="K31" s="171">
        <v>2</v>
      </c>
      <c r="L31" s="171">
        <v>3</v>
      </c>
      <c r="M31" s="12" t="s">
        <v>3034</v>
      </c>
      <c r="N31" s="12" t="s">
        <v>2667</v>
      </c>
      <c r="O31" s="154" t="s">
        <v>2668</v>
      </c>
      <c r="P31" s="156" t="s">
        <v>3035</v>
      </c>
      <c r="R31" s="57" t="s">
        <v>3198</v>
      </c>
      <c r="S31" s="58" t="s">
        <v>3199</v>
      </c>
    </row>
    <row r="32" spans="1:24" ht="34">
      <c r="A32" s="51" t="s">
        <v>2770</v>
      </c>
      <c r="B32" s="6" t="s">
        <v>1398</v>
      </c>
      <c r="C32" s="6" t="s">
        <v>2771</v>
      </c>
      <c r="D32" s="12" t="s">
        <v>2772</v>
      </c>
      <c r="E32" s="6" t="s">
        <v>2773</v>
      </c>
      <c r="F32" s="6" t="s">
        <v>2774</v>
      </c>
      <c r="G32" s="154" t="s">
        <v>2775</v>
      </c>
      <c r="H32" s="12" t="s">
        <v>2665</v>
      </c>
      <c r="I32" s="12" t="s">
        <v>2673</v>
      </c>
      <c r="J32" s="173">
        <v>10</v>
      </c>
      <c r="K32" s="171">
        <v>4</v>
      </c>
      <c r="L32" s="171">
        <v>6</v>
      </c>
      <c r="M32" s="12" t="s">
        <v>3034</v>
      </c>
      <c r="N32" s="12" t="s">
        <v>2776</v>
      </c>
      <c r="O32" s="154" t="s">
        <v>2668</v>
      </c>
      <c r="P32" s="156" t="s">
        <v>3035</v>
      </c>
      <c r="R32" s="57" t="s">
        <v>3200</v>
      </c>
      <c r="S32" s="58" t="s">
        <v>3201</v>
      </c>
    </row>
    <row r="33" spans="1:19">
      <c r="A33" s="51" t="s">
        <v>2777</v>
      </c>
      <c r="B33" s="6" t="s">
        <v>1398</v>
      </c>
      <c r="C33" s="6" t="s">
        <v>2778</v>
      </c>
      <c r="D33" s="12" t="s">
        <v>2779</v>
      </c>
      <c r="E33" s="6" t="s">
        <v>2780</v>
      </c>
      <c r="F33" s="6" t="s">
        <v>2781</v>
      </c>
      <c r="G33" s="154" t="s">
        <v>2751</v>
      </c>
      <c r="H33" s="12" t="s">
        <v>2665</v>
      </c>
      <c r="I33" s="12" t="s">
        <v>2666</v>
      </c>
      <c r="J33" s="173">
        <v>3</v>
      </c>
      <c r="K33" s="171">
        <v>1.2</v>
      </c>
      <c r="L33" s="171">
        <v>1.8</v>
      </c>
      <c r="M33" s="12" t="s">
        <v>3034</v>
      </c>
      <c r="N33" s="12" t="s">
        <v>2782</v>
      </c>
      <c r="O33" s="154" t="s">
        <v>2668</v>
      </c>
      <c r="P33" s="156" t="s">
        <v>3035</v>
      </c>
      <c r="R33" s="57" t="s">
        <v>3202</v>
      </c>
      <c r="S33" s="58" t="s">
        <v>3203</v>
      </c>
    </row>
    <row r="34" spans="1:19">
      <c r="A34" s="51" t="s">
        <v>2783</v>
      </c>
      <c r="B34" s="6" t="s">
        <v>1398</v>
      </c>
      <c r="C34" s="6" t="s">
        <v>2784</v>
      </c>
      <c r="D34" s="12" t="s">
        <v>2753</v>
      </c>
      <c r="E34" s="6" t="s">
        <v>2785</v>
      </c>
      <c r="F34" s="6" t="s">
        <v>2786</v>
      </c>
      <c r="G34" s="154" t="s">
        <v>2759</v>
      </c>
      <c r="H34" s="12" t="s">
        <v>2665</v>
      </c>
      <c r="I34" s="12" t="s">
        <v>2666</v>
      </c>
      <c r="J34" s="173">
        <v>4</v>
      </c>
      <c r="K34" s="171">
        <v>1.6</v>
      </c>
      <c r="L34" s="171">
        <v>2.4</v>
      </c>
      <c r="M34" s="12" t="s">
        <v>3034</v>
      </c>
      <c r="N34" s="12" t="s">
        <v>2674</v>
      </c>
      <c r="O34" s="154" t="s">
        <v>2668</v>
      </c>
      <c r="P34" s="156" t="s">
        <v>3035</v>
      </c>
      <c r="R34" s="57" t="s">
        <v>3204</v>
      </c>
      <c r="S34" s="58" t="s">
        <v>3205</v>
      </c>
    </row>
    <row r="35" spans="1:19">
      <c r="A35" s="51" t="s">
        <v>2787</v>
      </c>
      <c r="B35" s="6" t="s">
        <v>1398</v>
      </c>
      <c r="C35" s="6" t="s">
        <v>1797</v>
      </c>
      <c r="D35" s="12" t="s">
        <v>2788</v>
      </c>
      <c r="E35" s="6" t="s">
        <v>2789</v>
      </c>
      <c r="F35" s="6" t="s">
        <v>2790</v>
      </c>
      <c r="G35" s="154" t="s">
        <v>2746</v>
      </c>
      <c r="H35" s="12" t="s">
        <v>2665</v>
      </c>
      <c r="I35" s="12" t="s">
        <v>2666</v>
      </c>
      <c r="J35" s="173">
        <v>5</v>
      </c>
      <c r="K35" s="171">
        <v>2</v>
      </c>
      <c r="L35" s="171">
        <v>3</v>
      </c>
      <c r="M35" s="12" t="s">
        <v>3034</v>
      </c>
      <c r="N35" s="12" t="s">
        <v>2667</v>
      </c>
      <c r="O35" s="154" t="s">
        <v>2791</v>
      </c>
      <c r="P35" s="156" t="s">
        <v>3035</v>
      </c>
      <c r="R35" s="57" t="s">
        <v>3206</v>
      </c>
      <c r="S35" s="58" t="s">
        <v>3207</v>
      </c>
    </row>
    <row r="36" spans="1:19">
      <c r="A36" s="51" t="s">
        <v>2792</v>
      </c>
      <c r="B36" s="6" t="s">
        <v>1398</v>
      </c>
      <c r="C36" s="6" t="s">
        <v>1798</v>
      </c>
      <c r="D36" s="12" t="s">
        <v>2661</v>
      </c>
      <c r="E36" s="6" t="s">
        <v>2793</v>
      </c>
      <c r="F36" s="6" t="s">
        <v>2794</v>
      </c>
      <c r="G36" s="154" t="s">
        <v>2755</v>
      </c>
      <c r="H36" s="12" t="s">
        <v>2665</v>
      </c>
      <c r="I36" s="12" t="s">
        <v>2666</v>
      </c>
      <c r="J36" s="173">
        <v>4</v>
      </c>
      <c r="K36" s="171">
        <v>1.6</v>
      </c>
      <c r="L36" s="171">
        <v>2.4</v>
      </c>
      <c r="M36" s="12" t="s">
        <v>3034</v>
      </c>
      <c r="N36" s="12" t="s">
        <v>2667</v>
      </c>
      <c r="O36" s="154" t="s">
        <v>2791</v>
      </c>
      <c r="P36" s="156" t="s">
        <v>3035</v>
      </c>
    </row>
    <row r="37" spans="1:19">
      <c r="A37" s="51" t="s">
        <v>3064</v>
      </c>
      <c r="B37" s="6" t="s">
        <v>1398</v>
      </c>
      <c r="C37" s="6" t="s">
        <v>3065</v>
      </c>
      <c r="D37" s="12" t="s">
        <v>2779</v>
      </c>
      <c r="E37" s="6" t="s">
        <v>3066</v>
      </c>
      <c r="F37" s="6" t="s">
        <v>3067</v>
      </c>
      <c r="G37" s="154" t="s">
        <v>2792</v>
      </c>
      <c r="H37" s="12" t="s">
        <v>2665</v>
      </c>
      <c r="I37" s="12" t="s">
        <v>2666</v>
      </c>
      <c r="J37" s="173">
        <v>4</v>
      </c>
      <c r="K37" s="171">
        <v>1.6</v>
      </c>
      <c r="L37" s="171">
        <v>2.4</v>
      </c>
      <c r="M37" s="12" t="s">
        <v>3034</v>
      </c>
      <c r="N37" s="12" t="s">
        <v>2667</v>
      </c>
      <c r="O37" s="154" t="s">
        <v>3043</v>
      </c>
      <c r="P37" s="156" t="s">
        <v>1799</v>
      </c>
    </row>
    <row r="38" spans="1:19">
      <c r="A38" s="51" t="s">
        <v>2795</v>
      </c>
      <c r="B38" s="6" t="s">
        <v>1258</v>
      </c>
      <c r="C38" s="6" t="s">
        <v>2796</v>
      </c>
      <c r="D38" s="12" t="s">
        <v>2661</v>
      </c>
      <c r="E38" s="6" t="s">
        <v>2797</v>
      </c>
      <c r="F38" s="6" t="s">
        <v>2798</v>
      </c>
      <c r="G38" s="154" t="s">
        <v>2685</v>
      </c>
      <c r="H38" s="12" t="s">
        <v>2665</v>
      </c>
      <c r="I38" s="12" t="s">
        <v>2666</v>
      </c>
      <c r="J38" s="173">
        <v>5</v>
      </c>
      <c r="K38" s="171">
        <v>2</v>
      </c>
      <c r="L38" s="171">
        <v>3</v>
      </c>
      <c r="M38" s="12" t="s">
        <v>3034</v>
      </c>
      <c r="N38" s="12" t="s">
        <v>2667</v>
      </c>
      <c r="O38" s="154" t="s">
        <v>2668</v>
      </c>
      <c r="P38" s="156" t="s">
        <v>3035</v>
      </c>
    </row>
    <row r="39" spans="1:19">
      <c r="A39" s="51" t="s">
        <v>2799</v>
      </c>
      <c r="B39" s="6" t="s">
        <v>1258</v>
      </c>
      <c r="C39" s="6" t="s">
        <v>2800</v>
      </c>
      <c r="D39" s="12" t="s">
        <v>2661</v>
      </c>
      <c r="E39" s="6" t="s">
        <v>2801</v>
      </c>
      <c r="F39" s="6" t="s">
        <v>2802</v>
      </c>
      <c r="G39" s="154" t="s">
        <v>2795</v>
      </c>
      <c r="H39" s="12" t="s">
        <v>2665</v>
      </c>
      <c r="I39" s="12" t="s">
        <v>2673</v>
      </c>
      <c r="J39" s="173">
        <v>8</v>
      </c>
      <c r="K39" s="171">
        <v>3.2</v>
      </c>
      <c r="L39" s="171">
        <v>4.8</v>
      </c>
      <c r="M39" s="12" t="s">
        <v>3034</v>
      </c>
      <c r="N39" s="12" t="s">
        <v>2667</v>
      </c>
      <c r="O39" s="154" t="s">
        <v>2668</v>
      </c>
      <c r="P39" s="156" t="s">
        <v>3035</v>
      </c>
    </row>
    <row r="40" spans="1:19">
      <c r="A40" s="51" t="s">
        <v>2803</v>
      </c>
      <c r="B40" s="6" t="s">
        <v>1258</v>
      </c>
      <c r="C40" s="6" t="s">
        <v>2804</v>
      </c>
      <c r="D40" s="12" t="s">
        <v>2733</v>
      </c>
      <c r="E40" s="6" t="s">
        <v>2805</v>
      </c>
      <c r="F40" s="6" t="s">
        <v>2806</v>
      </c>
      <c r="G40" s="154" t="s">
        <v>2807</v>
      </c>
      <c r="H40" s="12" t="s">
        <v>2665</v>
      </c>
      <c r="I40" s="12" t="s">
        <v>2673</v>
      </c>
      <c r="J40" s="173">
        <v>12</v>
      </c>
      <c r="K40" s="171">
        <v>4.8</v>
      </c>
      <c r="L40" s="171">
        <v>7.2</v>
      </c>
      <c r="M40" s="12" t="s">
        <v>3034</v>
      </c>
      <c r="N40" s="12" t="s">
        <v>2667</v>
      </c>
      <c r="O40" s="154" t="s">
        <v>2668</v>
      </c>
      <c r="P40" s="156" t="s">
        <v>3035</v>
      </c>
    </row>
    <row r="41" spans="1:19">
      <c r="A41" s="51" t="s">
        <v>2808</v>
      </c>
      <c r="B41" s="6" t="s">
        <v>1258</v>
      </c>
      <c r="C41" s="6" t="s">
        <v>2809</v>
      </c>
      <c r="D41" s="12" t="s">
        <v>2661</v>
      </c>
      <c r="E41" s="6" t="s">
        <v>2810</v>
      </c>
      <c r="F41" s="6" t="s">
        <v>2811</v>
      </c>
      <c r="G41" s="154" t="s">
        <v>2812</v>
      </c>
      <c r="H41" s="12" t="s">
        <v>2665</v>
      </c>
      <c r="I41" s="12" t="s">
        <v>2666</v>
      </c>
      <c r="J41" s="173">
        <v>5</v>
      </c>
      <c r="K41" s="171">
        <v>2</v>
      </c>
      <c r="L41" s="171">
        <v>3</v>
      </c>
      <c r="M41" s="12" t="s">
        <v>3034</v>
      </c>
      <c r="N41" s="12" t="s">
        <v>2667</v>
      </c>
      <c r="O41" s="154" t="s">
        <v>2668</v>
      </c>
      <c r="P41" s="156" t="s">
        <v>3035</v>
      </c>
    </row>
    <row r="42" spans="1:19">
      <c r="A42" s="51" t="s">
        <v>2769</v>
      </c>
      <c r="B42" s="6" t="s">
        <v>1258</v>
      </c>
      <c r="C42" s="6" t="s">
        <v>2813</v>
      </c>
      <c r="D42" s="12" t="s">
        <v>2814</v>
      </c>
      <c r="E42" s="6" t="s">
        <v>2815</v>
      </c>
      <c r="F42" s="6" t="s">
        <v>2816</v>
      </c>
      <c r="G42" s="154" t="s">
        <v>2795</v>
      </c>
      <c r="H42" s="12" t="s">
        <v>2665</v>
      </c>
      <c r="I42" s="12" t="s">
        <v>2673</v>
      </c>
      <c r="J42" s="173">
        <v>10</v>
      </c>
      <c r="K42" s="171">
        <v>4</v>
      </c>
      <c r="L42" s="171">
        <v>6</v>
      </c>
      <c r="M42" s="12" t="s">
        <v>3034</v>
      </c>
      <c r="N42" s="12" t="s">
        <v>2667</v>
      </c>
      <c r="O42" s="154" t="s">
        <v>2668</v>
      </c>
      <c r="P42" s="156" t="s">
        <v>3035</v>
      </c>
    </row>
    <row r="43" spans="1:19">
      <c r="A43" s="51" t="s">
        <v>2817</v>
      </c>
      <c r="B43" s="6" t="s">
        <v>1258</v>
      </c>
      <c r="C43" s="6" t="s">
        <v>1833</v>
      </c>
      <c r="D43" s="12" t="s">
        <v>2717</v>
      </c>
      <c r="E43" s="6" t="s">
        <v>2818</v>
      </c>
      <c r="F43" s="6" t="s">
        <v>2819</v>
      </c>
      <c r="G43" s="154" t="s">
        <v>2820</v>
      </c>
      <c r="H43" s="12" t="s">
        <v>1809</v>
      </c>
      <c r="I43" s="12" t="s">
        <v>2684</v>
      </c>
      <c r="J43" s="173">
        <v>20</v>
      </c>
      <c r="K43" s="171">
        <v>8</v>
      </c>
      <c r="L43" s="171">
        <v>12</v>
      </c>
      <c r="M43" s="12" t="s">
        <v>3034</v>
      </c>
      <c r="N43" s="12" t="s">
        <v>2674</v>
      </c>
      <c r="O43" s="154" t="s">
        <v>2791</v>
      </c>
      <c r="P43" s="156" t="s">
        <v>3035</v>
      </c>
    </row>
    <row r="44" spans="1:19">
      <c r="A44" s="51" t="s">
        <v>2821</v>
      </c>
      <c r="B44" s="6" t="s">
        <v>1258</v>
      </c>
      <c r="C44" s="6" t="s">
        <v>2822</v>
      </c>
      <c r="D44" s="12" t="s">
        <v>2661</v>
      </c>
      <c r="E44" s="6" t="s">
        <v>2823</v>
      </c>
      <c r="F44" s="6" t="s">
        <v>3677</v>
      </c>
      <c r="G44" s="154" t="s">
        <v>2824</v>
      </c>
      <c r="H44" s="12" t="s">
        <v>2665</v>
      </c>
      <c r="I44" s="12" t="s">
        <v>2673</v>
      </c>
      <c r="J44" s="173">
        <v>10</v>
      </c>
      <c r="K44" s="171">
        <v>4</v>
      </c>
      <c r="L44" s="171">
        <v>6</v>
      </c>
      <c r="M44" s="12" t="s">
        <v>3034</v>
      </c>
      <c r="N44" s="12" t="s">
        <v>2667</v>
      </c>
      <c r="O44" s="154" t="s">
        <v>2791</v>
      </c>
      <c r="P44" s="156" t="s">
        <v>3035</v>
      </c>
    </row>
    <row r="45" spans="1:19">
      <c r="A45" s="51" t="s">
        <v>3068</v>
      </c>
      <c r="B45" s="6" t="s">
        <v>1258</v>
      </c>
      <c r="C45" s="6" t="s">
        <v>3069</v>
      </c>
      <c r="D45" s="12" t="s">
        <v>2849</v>
      </c>
      <c r="E45" s="6" t="s">
        <v>3070</v>
      </c>
      <c r="F45" s="6" t="s">
        <v>3071</v>
      </c>
      <c r="G45" s="154" t="s">
        <v>2795</v>
      </c>
      <c r="H45" s="12" t="s">
        <v>2665</v>
      </c>
      <c r="I45" s="12" t="s">
        <v>2666</v>
      </c>
      <c r="J45" s="173">
        <v>4</v>
      </c>
      <c r="K45" s="171">
        <v>1.6</v>
      </c>
      <c r="L45" s="171">
        <v>2.4</v>
      </c>
      <c r="M45" s="12" t="s">
        <v>3041</v>
      </c>
      <c r="N45" s="12" t="s">
        <v>3072</v>
      </c>
      <c r="O45" s="154" t="s">
        <v>3043</v>
      </c>
      <c r="P45" s="156" t="s">
        <v>1794</v>
      </c>
    </row>
    <row r="46" spans="1:19">
      <c r="A46" s="51" t="s">
        <v>2664</v>
      </c>
      <c r="B46" s="6" t="s">
        <v>686</v>
      </c>
      <c r="C46" s="6" t="s">
        <v>2825</v>
      </c>
      <c r="D46" s="12" t="s">
        <v>2706</v>
      </c>
      <c r="E46" s="6" t="s">
        <v>2826</v>
      </c>
      <c r="F46" s="6" t="s">
        <v>2827</v>
      </c>
      <c r="G46" s="154" t="s">
        <v>2828</v>
      </c>
      <c r="H46" s="12" t="s">
        <v>2665</v>
      </c>
      <c r="I46" s="12" t="s">
        <v>2673</v>
      </c>
      <c r="J46" s="173">
        <v>12</v>
      </c>
      <c r="K46" s="171">
        <v>4.8</v>
      </c>
      <c r="L46" s="171">
        <v>7.2</v>
      </c>
      <c r="M46" s="12" t="s">
        <v>3034</v>
      </c>
      <c r="N46" s="12" t="s">
        <v>2667</v>
      </c>
      <c r="O46" s="154" t="s">
        <v>2668</v>
      </c>
      <c r="P46" s="156" t="s">
        <v>3035</v>
      </c>
    </row>
    <row r="47" spans="1:19">
      <c r="A47" s="51" t="s">
        <v>2703</v>
      </c>
      <c r="B47" s="6" t="s">
        <v>686</v>
      </c>
      <c r="C47" s="6" t="s">
        <v>2829</v>
      </c>
      <c r="D47" s="12" t="s">
        <v>2706</v>
      </c>
      <c r="E47" s="6" t="s">
        <v>2830</v>
      </c>
      <c r="F47" s="6" t="s">
        <v>2831</v>
      </c>
      <c r="G47" s="154" t="s">
        <v>2664</v>
      </c>
      <c r="H47" s="12" t="s">
        <v>672</v>
      </c>
      <c r="I47" s="12" t="s">
        <v>2684</v>
      </c>
      <c r="J47" s="173">
        <v>24</v>
      </c>
      <c r="K47" s="171">
        <v>9.6</v>
      </c>
      <c r="L47" s="171">
        <v>14.4</v>
      </c>
      <c r="M47" s="12" t="s">
        <v>3034</v>
      </c>
      <c r="N47" s="12" t="s">
        <v>2674</v>
      </c>
      <c r="O47" s="154" t="s">
        <v>2668</v>
      </c>
      <c r="P47" s="156" t="s">
        <v>3035</v>
      </c>
    </row>
    <row r="48" spans="1:19">
      <c r="A48" s="51" t="s">
        <v>2709</v>
      </c>
      <c r="B48" s="6" t="s">
        <v>686</v>
      </c>
      <c r="C48" s="6" t="s">
        <v>2832</v>
      </c>
      <c r="D48" s="12" t="s">
        <v>2706</v>
      </c>
      <c r="E48" s="6" t="s">
        <v>2833</v>
      </c>
      <c r="F48" s="6" t="s">
        <v>3073</v>
      </c>
      <c r="G48" s="154" t="s">
        <v>2834</v>
      </c>
      <c r="H48" s="12" t="s">
        <v>2665</v>
      </c>
      <c r="I48" s="12" t="s">
        <v>2673</v>
      </c>
      <c r="J48" s="173">
        <v>12</v>
      </c>
      <c r="K48" s="171">
        <v>4.8</v>
      </c>
      <c r="L48" s="171">
        <v>7.2</v>
      </c>
      <c r="M48" s="12" t="s">
        <v>3034</v>
      </c>
      <c r="N48" s="12" t="s">
        <v>2667</v>
      </c>
      <c r="O48" s="154" t="s">
        <v>2668</v>
      </c>
      <c r="P48" s="156" t="s">
        <v>3035</v>
      </c>
    </row>
    <row r="49" spans="1:16">
      <c r="A49" s="51" t="s">
        <v>2835</v>
      </c>
      <c r="B49" s="6" t="s">
        <v>686</v>
      </c>
      <c r="C49" s="6" t="s">
        <v>2836</v>
      </c>
      <c r="D49" s="12" t="s">
        <v>2706</v>
      </c>
      <c r="E49" s="6" t="s">
        <v>2837</v>
      </c>
      <c r="F49" s="6" t="s">
        <v>2838</v>
      </c>
      <c r="G49" s="154" t="s">
        <v>2664</v>
      </c>
      <c r="H49" s="12" t="s">
        <v>691</v>
      </c>
      <c r="I49" s="12" t="s">
        <v>2673</v>
      </c>
      <c r="J49" s="173">
        <v>13</v>
      </c>
      <c r="K49" s="171">
        <v>5.2</v>
      </c>
      <c r="L49" s="171">
        <v>7.8</v>
      </c>
      <c r="M49" s="12" t="s">
        <v>3034</v>
      </c>
      <c r="N49" s="12" t="s">
        <v>2674</v>
      </c>
      <c r="O49" s="154" t="s">
        <v>2668</v>
      </c>
      <c r="P49" s="156" t="s">
        <v>3035</v>
      </c>
    </row>
    <row r="50" spans="1:16">
      <c r="A50" s="51" t="s">
        <v>2839</v>
      </c>
      <c r="B50" s="6" t="s">
        <v>686</v>
      </c>
      <c r="C50" s="6" t="s">
        <v>2840</v>
      </c>
      <c r="D50" s="12" t="s">
        <v>2706</v>
      </c>
      <c r="E50" s="6" t="s">
        <v>2841</v>
      </c>
      <c r="F50" s="6" t="s">
        <v>3074</v>
      </c>
      <c r="G50" s="154" t="s">
        <v>2703</v>
      </c>
      <c r="H50" s="12" t="s">
        <v>2665</v>
      </c>
      <c r="I50" s="12" t="s">
        <v>2673</v>
      </c>
      <c r="J50" s="173">
        <v>12</v>
      </c>
      <c r="K50" s="171">
        <v>4.8</v>
      </c>
      <c r="L50" s="171">
        <v>7.2</v>
      </c>
      <c r="M50" s="12" t="s">
        <v>3034</v>
      </c>
      <c r="N50" s="12" t="s">
        <v>2667</v>
      </c>
      <c r="O50" s="154" t="s">
        <v>2668</v>
      </c>
      <c r="P50" s="156" t="s">
        <v>3035</v>
      </c>
    </row>
    <row r="51" spans="1:16">
      <c r="A51" s="51" t="s">
        <v>2842</v>
      </c>
      <c r="B51" s="6" t="s">
        <v>686</v>
      </c>
      <c r="C51" s="6" t="s">
        <v>2843</v>
      </c>
      <c r="D51" s="12" t="s">
        <v>2706</v>
      </c>
      <c r="E51" s="6" t="s">
        <v>2844</v>
      </c>
      <c r="F51" s="6" t="s">
        <v>2845</v>
      </c>
      <c r="G51" s="154" t="s">
        <v>2846</v>
      </c>
      <c r="H51" s="12" t="s">
        <v>2665</v>
      </c>
      <c r="I51" s="12" t="s">
        <v>2673</v>
      </c>
      <c r="J51" s="173">
        <v>10</v>
      </c>
      <c r="K51" s="171">
        <v>4</v>
      </c>
      <c r="L51" s="171">
        <v>6</v>
      </c>
      <c r="M51" s="12" t="s">
        <v>3034</v>
      </c>
      <c r="N51" s="12" t="s">
        <v>2667</v>
      </c>
      <c r="O51" s="154" t="s">
        <v>2668</v>
      </c>
      <c r="P51" s="156" t="s">
        <v>3035</v>
      </c>
    </row>
    <row r="52" spans="1:16">
      <c r="A52" s="51" t="s">
        <v>2847</v>
      </c>
      <c r="B52" s="6" t="s">
        <v>686</v>
      </c>
      <c r="C52" s="6" t="s">
        <v>2848</v>
      </c>
      <c r="D52" s="12" t="s">
        <v>2849</v>
      </c>
      <c r="E52" s="6" t="s">
        <v>2850</v>
      </c>
      <c r="F52" s="6" t="s">
        <v>2851</v>
      </c>
      <c r="G52" s="154" t="s">
        <v>2664</v>
      </c>
      <c r="H52" s="12" t="s">
        <v>691</v>
      </c>
      <c r="I52" s="12" t="s">
        <v>2673</v>
      </c>
      <c r="J52" s="173">
        <v>12</v>
      </c>
      <c r="K52" s="171">
        <v>4.8</v>
      </c>
      <c r="L52" s="171">
        <v>7.2</v>
      </c>
      <c r="M52" s="12" t="s">
        <v>3034</v>
      </c>
      <c r="N52" s="12" t="s">
        <v>2674</v>
      </c>
      <c r="O52" s="154" t="s">
        <v>2668</v>
      </c>
      <c r="P52" s="156" t="s">
        <v>3035</v>
      </c>
    </row>
    <row r="53" spans="1:16">
      <c r="A53" s="51" t="s">
        <v>2852</v>
      </c>
      <c r="B53" s="6" t="s">
        <v>686</v>
      </c>
      <c r="C53" s="6" t="s">
        <v>2853</v>
      </c>
      <c r="D53" s="12" t="s">
        <v>2854</v>
      </c>
      <c r="E53" s="6" t="s">
        <v>2855</v>
      </c>
      <c r="F53" s="6" t="s">
        <v>2856</v>
      </c>
      <c r="G53" s="154" t="s">
        <v>2835</v>
      </c>
      <c r="H53" s="12" t="s">
        <v>2665</v>
      </c>
      <c r="I53" s="12" t="s">
        <v>2666</v>
      </c>
      <c r="J53" s="173">
        <v>5</v>
      </c>
      <c r="K53" s="171">
        <v>2</v>
      </c>
      <c r="L53" s="171">
        <v>3</v>
      </c>
      <c r="M53" s="12" t="s">
        <v>3034</v>
      </c>
      <c r="N53" s="12" t="s">
        <v>2667</v>
      </c>
      <c r="O53" s="154" t="s">
        <v>2668</v>
      </c>
      <c r="P53" s="156" t="s">
        <v>3035</v>
      </c>
    </row>
    <row r="54" spans="1:16">
      <c r="A54" s="51" t="s">
        <v>2857</v>
      </c>
      <c r="B54" s="6" t="s">
        <v>686</v>
      </c>
      <c r="C54" s="6" t="s">
        <v>2858</v>
      </c>
      <c r="D54" s="12" t="s">
        <v>2859</v>
      </c>
      <c r="E54" s="6" t="s">
        <v>2860</v>
      </c>
      <c r="F54" s="6" t="s">
        <v>2861</v>
      </c>
      <c r="G54" s="154" t="s">
        <v>2664</v>
      </c>
      <c r="H54" s="12" t="s">
        <v>2665</v>
      </c>
      <c r="I54" s="12" t="s">
        <v>2666</v>
      </c>
      <c r="J54" s="173">
        <v>5</v>
      </c>
      <c r="K54" s="171">
        <v>2</v>
      </c>
      <c r="L54" s="171">
        <v>3</v>
      </c>
      <c r="M54" s="12" t="s">
        <v>3034</v>
      </c>
      <c r="N54" s="12" t="s">
        <v>2667</v>
      </c>
      <c r="O54" s="154" t="s">
        <v>2668</v>
      </c>
      <c r="P54" s="156" t="s">
        <v>3035</v>
      </c>
    </row>
    <row r="55" spans="1:16">
      <c r="A55" s="51" t="s">
        <v>2862</v>
      </c>
      <c r="B55" s="6" t="s">
        <v>686</v>
      </c>
      <c r="C55" s="6" t="s">
        <v>2863</v>
      </c>
      <c r="D55" s="12" t="s">
        <v>2854</v>
      </c>
      <c r="E55" s="6" t="s">
        <v>2864</v>
      </c>
      <c r="F55" s="6" t="s">
        <v>2865</v>
      </c>
      <c r="G55" s="154" t="s">
        <v>2866</v>
      </c>
      <c r="H55" s="12" t="s">
        <v>2665</v>
      </c>
      <c r="I55" s="12" t="s">
        <v>2673</v>
      </c>
      <c r="J55" s="173">
        <v>9</v>
      </c>
      <c r="K55" s="171">
        <v>3.6</v>
      </c>
      <c r="L55" s="171">
        <v>5.4</v>
      </c>
      <c r="M55" s="12" t="s">
        <v>3034</v>
      </c>
      <c r="N55" s="12" t="s">
        <v>2674</v>
      </c>
      <c r="O55" s="154" t="s">
        <v>2791</v>
      </c>
      <c r="P55" s="156" t="s">
        <v>3035</v>
      </c>
    </row>
    <row r="56" spans="1:16">
      <c r="A56" s="51" t="s">
        <v>3075</v>
      </c>
      <c r="B56" s="6" t="s">
        <v>686</v>
      </c>
      <c r="C56" s="6" t="s">
        <v>3076</v>
      </c>
      <c r="D56" s="12" t="s">
        <v>2706</v>
      </c>
      <c r="E56" s="6" t="s">
        <v>3077</v>
      </c>
      <c r="F56" s="6" t="s">
        <v>3078</v>
      </c>
      <c r="G56" s="154" t="s">
        <v>2839</v>
      </c>
      <c r="H56" s="12" t="s">
        <v>2665</v>
      </c>
      <c r="I56" s="12" t="s">
        <v>2673</v>
      </c>
      <c r="J56" s="173">
        <v>10</v>
      </c>
      <c r="K56" s="171">
        <v>4</v>
      </c>
      <c r="L56" s="171">
        <v>6</v>
      </c>
      <c r="M56" s="12" t="s">
        <v>3034</v>
      </c>
      <c r="N56" s="12" t="s">
        <v>2667</v>
      </c>
      <c r="O56" s="154" t="s">
        <v>3043</v>
      </c>
      <c r="P56" s="156" t="s">
        <v>3079</v>
      </c>
    </row>
    <row r="57" spans="1:16">
      <c r="A57" s="51" t="s">
        <v>3080</v>
      </c>
      <c r="B57" s="6" t="s">
        <v>686</v>
      </c>
      <c r="C57" s="6" t="s">
        <v>3081</v>
      </c>
      <c r="D57" s="12" t="s">
        <v>2706</v>
      </c>
      <c r="E57" s="6" t="s">
        <v>3082</v>
      </c>
      <c r="F57" s="6" t="s">
        <v>3083</v>
      </c>
      <c r="G57" s="154" t="s">
        <v>2664</v>
      </c>
      <c r="H57" s="12" t="s">
        <v>2665</v>
      </c>
      <c r="I57" s="12" t="s">
        <v>2666</v>
      </c>
      <c r="J57" s="173">
        <v>6</v>
      </c>
      <c r="K57" s="171">
        <v>2.4</v>
      </c>
      <c r="L57" s="171">
        <v>3.6</v>
      </c>
      <c r="M57" s="12" t="s">
        <v>3034</v>
      </c>
      <c r="N57" s="12" t="s">
        <v>2667</v>
      </c>
      <c r="O57" s="154" t="s">
        <v>3043</v>
      </c>
      <c r="P57" s="156" t="s">
        <v>3084</v>
      </c>
    </row>
    <row r="58" spans="1:16">
      <c r="A58" s="51" t="s">
        <v>3085</v>
      </c>
      <c r="B58" s="6" t="s">
        <v>686</v>
      </c>
      <c r="C58" s="6" t="s">
        <v>3086</v>
      </c>
      <c r="D58" s="12" t="s">
        <v>2706</v>
      </c>
      <c r="E58" s="6" t="s">
        <v>3087</v>
      </c>
      <c r="F58" s="6" t="s">
        <v>3088</v>
      </c>
      <c r="G58" s="154" t="s">
        <v>2664</v>
      </c>
      <c r="H58" s="12" t="s">
        <v>2665</v>
      </c>
      <c r="I58" s="12" t="s">
        <v>2666</v>
      </c>
      <c r="J58" s="173">
        <v>8</v>
      </c>
      <c r="K58" s="171">
        <v>3.2</v>
      </c>
      <c r="L58" s="171">
        <v>4.8</v>
      </c>
      <c r="M58" s="12" t="s">
        <v>3034</v>
      </c>
      <c r="N58" s="12" t="s">
        <v>2667</v>
      </c>
      <c r="O58" s="154" t="s">
        <v>3043</v>
      </c>
      <c r="P58" s="156" t="s">
        <v>3089</v>
      </c>
    </row>
    <row r="59" spans="1:16">
      <c r="A59" s="51" t="s">
        <v>2867</v>
      </c>
      <c r="B59" s="6" t="s">
        <v>694</v>
      </c>
      <c r="C59" s="6" t="s">
        <v>2868</v>
      </c>
      <c r="D59" s="12" t="s">
        <v>2706</v>
      </c>
      <c r="E59" s="6" t="s">
        <v>2869</v>
      </c>
      <c r="F59" s="6" t="s">
        <v>2870</v>
      </c>
      <c r="G59" s="154" t="s">
        <v>2664</v>
      </c>
      <c r="H59" s="12" t="s">
        <v>2665</v>
      </c>
      <c r="I59" s="12" t="s">
        <v>2673</v>
      </c>
      <c r="J59" s="173">
        <v>12</v>
      </c>
      <c r="K59" s="171">
        <v>4.8</v>
      </c>
      <c r="L59" s="171">
        <v>7.2</v>
      </c>
      <c r="M59" s="12" t="s">
        <v>3034</v>
      </c>
      <c r="N59" s="12" t="s">
        <v>2667</v>
      </c>
      <c r="O59" s="154" t="s">
        <v>2668</v>
      </c>
      <c r="P59" s="156" t="s">
        <v>3035</v>
      </c>
    </row>
    <row r="60" spans="1:16">
      <c r="A60" s="51" t="s">
        <v>2871</v>
      </c>
      <c r="B60" s="6" t="s">
        <v>694</v>
      </c>
      <c r="C60" s="6" t="s">
        <v>2872</v>
      </c>
      <c r="D60" s="12" t="s">
        <v>2733</v>
      </c>
      <c r="E60" s="6" t="s">
        <v>2873</v>
      </c>
      <c r="F60" s="6" t="s">
        <v>2874</v>
      </c>
      <c r="G60" s="154" t="s">
        <v>2875</v>
      </c>
      <c r="H60" s="12" t="s">
        <v>2665</v>
      </c>
      <c r="I60" s="12" t="s">
        <v>2666</v>
      </c>
      <c r="J60" s="173">
        <v>6</v>
      </c>
      <c r="K60" s="171">
        <v>2.4</v>
      </c>
      <c r="L60" s="171">
        <v>3.6</v>
      </c>
      <c r="M60" s="12" t="s">
        <v>3034</v>
      </c>
      <c r="N60" s="12" t="s">
        <v>2667</v>
      </c>
      <c r="O60" s="154" t="s">
        <v>2668</v>
      </c>
      <c r="P60" s="156" t="s">
        <v>3035</v>
      </c>
    </row>
    <row r="61" spans="1:16">
      <c r="A61" s="51" t="s">
        <v>2876</v>
      </c>
      <c r="B61" s="6" t="s">
        <v>694</v>
      </c>
      <c r="C61" s="6" t="s">
        <v>2877</v>
      </c>
      <c r="D61" s="12" t="s">
        <v>2717</v>
      </c>
      <c r="E61" s="6" t="s">
        <v>2878</v>
      </c>
      <c r="F61" s="6" t="s">
        <v>2879</v>
      </c>
      <c r="G61" s="154" t="s">
        <v>2880</v>
      </c>
      <c r="H61" s="12" t="s">
        <v>2665</v>
      </c>
      <c r="I61" s="12" t="s">
        <v>2684</v>
      </c>
      <c r="J61" s="173">
        <v>22</v>
      </c>
      <c r="K61" s="171">
        <v>8.8000000000000007</v>
      </c>
      <c r="L61" s="171">
        <v>13.2</v>
      </c>
      <c r="M61" s="12" t="s">
        <v>3034</v>
      </c>
      <c r="N61" s="12" t="s">
        <v>2667</v>
      </c>
      <c r="O61" s="154" t="s">
        <v>2668</v>
      </c>
      <c r="P61" s="156" t="s">
        <v>3035</v>
      </c>
    </row>
    <row r="62" spans="1:16">
      <c r="A62" s="51" t="s">
        <v>2881</v>
      </c>
      <c r="B62" s="6" t="s">
        <v>694</v>
      </c>
      <c r="C62" s="6" t="s">
        <v>2882</v>
      </c>
      <c r="D62" s="12" t="s">
        <v>2883</v>
      </c>
      <c r="E62" s="6" t="s">
        <v>2884</v>
      </c>
      <c r="F62" s="6" t="s">
        <v>2885</v>
      </c>
      <c r="G62" s="154" t="s">
        <v>2886</v>
      </c>
      <c r="H62" s="12" t="s">
        <v>2665</v>
      </c>
      <c r="I62" s="12" t="s">
        <v>2673</v>
      </c>
      <c r="J62" s="173">
        <v>12</v>
      </c>
      <c r="K62" s="171">
        <v>4.8</v>
      </c>
      <c r="L62" s="171">
        <v>7.2</v>
      </c>
      <c r="M62" s="12" t="s">
        <v>3034</v>
      </c>
      <c r="N62" s="12" t="s">
        <v>2667</v>
      </c>
      <c r="O62" s="154" t="s">
        <v>2668</v>
      </c>
      <c r="P62" s="156" t="s">
        <v>3035</v>
      </c>
    </row>
    <row r="63" spans="1:16">
      <c r="A63" s="51" t="s">
        <v>2887</v>
      </c>
      <c r="B63" s="6" t="s">
        <v>694</v>
      </c>
      <c r="C63" s="6" t="s">
        <v>2888</v>
      </c>
      <c r="D63" s="12" t="s">
        <v>2706</v>
      </c>
      <c r="E63" s="6" t="s">
        <v>2889</v>
      </c>
      <c r="F63" s="6" t="s">
        <v>2890</v>
      </c>
      <c r="G63" s="154" t="s">
        <v>2891</v>
      </c>
      <c r="H63" s="12" t="s">
        <v>2665</v>
      </c>
      <c r="I63" s="12" t="s">
        <v>2666</v>
      </c>
      <c r="J63" s="173">
        <v>5</v>
      </c>
      <c r="K63" s="171">
        <v>2</v>
      </c>
      <c r="L63" s="171">
        <v>3</v>
      </c>
      <c r="M63" s="12" t="s">
        <v>3034</v>
      </c>
      <c r="N63" s="12" t="s">
        <v>2667</v>
      </c>
      <c r="O63" s="154" t="s">
        <v>2668</v>
      </c>
      <c r="P63" s="156" t="s">
        <v>3035</v>
      </c>
    </row>
    <row r="64" spans="1:16">
      <c r="A64" s="51" t="s">
        <v>2892</v>
      </c>
      <c r="B64" s="6" t="s">
        <v>694</v>
      </c>
      <c r="C64" s="6" t="s">
        <v>2893</v>
      </c>
      <c r="D64" s="12" t="s">
        <v>2849</v>
      </c>
      <c r="E64" s="6" t="s">
        <v>2894</v>
      </c>
      <c r="F64" s="6" t="s">
        <v>2895</v>
      </c>
      <c r="G64" s="154" t="s">
        <v>2896</v>
      </c>
      <c r="H64" s="12" t="s">
        <v>2665</v>
      </c>
      <c r="I64" s="12" t="s">
        <v>2684</v>
      </c>
      <c r="J64" s="173">
        <v>22</v>
      </c>
      <c r="K64" s="171">
        <v>8.8000000000000007</v>
      </c>
      <c r="L64" s="171">
        <v>13.2</v>
      </c>
      <c r="M64" s="12" t="s">
        <v>3034</v>
      </c>
      <c r="N64" s="12" t="s">
        <v>2667</v>
      </c>
      <c r="O64" s="154" t="s">
        <v>2668</v>
      </c>
      <c r="P64" s="156" t="s">
        <v>3035</v>
      </c>
    </row>
    <row r="65" spans="1:16">
      <c r="A65" s="51" t="s">
        <v>2897</v>
      </c>
      <c r="B65" s="6" t="s">
        <v>694</v>
      </c>
      <c r="C65" s="6" t="s">
        <v>2898</v>
      </c>
      <c r="D65" s="12" t="s">
        <v>2706</v>
      </c>
      <c r="E65" s="6" t="s">
        <v>2899</v>
      </c>
      <c r="F65" s="6" t="s">
        <v>2900</v>
      </c>
      <c r="G65" s="154" t="s">
        <v>2709</v>
      </c>
      <c r="H65" s="12" t="s">
        <v>2665</v>
      </c>
      <c r="I65" s="12" t="s">
        <v>2673</v>
      </c>
      <c r="J65" s="173">
        <v>10</v>
      </c>
      <c r="K65" s="171">
        <v>4</v>
      </c>
      <c r="L65" s="171">
        <v>6</v>
      </c>
      <c r="M65" s="12" t="s">
        <v>3034</v>
      </c>
      <c r="N65" s="12" t="s">
        <v>2667</v>
      </c>
      <c r="O65" s="154" t="s">
        <v>2668</v>
      </c>
      <c r="P65" s="156" t="s">
        <v>3035</v>
      </c>
    </row>
    <row r="66" spans="1:16">
      <c r="A66" s="51" t="s">
        <v>2901</v>
      </c>
      <c r="B66" s="6" t="s">
        <v>694</v>
      </c>
      <c r="C66" s="6" t="s">
        <v>2902</v>
      </c>
      <c r="D66" s="12" t="s">
        <v>2661</v>
      </c>
      <c r="E66" s="6" t="s">
        <v>2903</v>
      </c>
      <c r="F66" s="6" t="s">
        <v>2904</v>
      </c>
      <c r="G66" s="154" t="s">
        <v>2659</v>
      </c>
      <c r="H66" s="12" t="s">
        <v>2665</v>
      </c>
      <c r="I66" s="12" t="s">
        <v>2666</v>
      </c>
      <c r="J66" s="173">
        <v>5</v>
      </c>
      <c r="K66" s="171">
        <v>2</v>
      </c>
      <c r="L66" s="171">
        <v>3</v>
      </c>
      <c r="M66" s="12" t="s">
        <v>3034</v>
      </c>
      <c r="N66" s="12" t="s">
        <v>2667</v>
      </c>
      <c r="O66" s="154" t="s">
        <v>2668</v>
      </c>
      <c r="P66" s="156" t="s">
        <v>3035</v>
      </c>
    </row>
    <row r="67" spans="1:16">
      <c r="A67" s="51" t="s">
        <v>2905</v>
      </c>
      <c r="B67" s="6" t="s">
        <v>694</v>
      </c>
      <c r="C67" s="6" t="s">
        <v>2906</v>
      </c>
      <c r="D67" s="12" t="s">
        <v>2907</v>
      </c>
      <c r="E67" s="6" t="s">
        <v>2908</v>
      </c>
      <c r="F67" s="6" t="s">
        <v>2909</v>
      </c>
      <c r="G67" s="154" t="s">
        <v>2835</v>
      </c>
      <c r="H67" s="12" t="s">
        <v>2665</v>
      </c>
      <c r="I67" s="12" t="s">
        <v>2673</v>
      </c>
      <c r="J67" s="173">
        <v>9</v>
      </c>
      <c r="K67" s="171">
        <v>3.6</v>
      </c>
      <c r="L67" s="171">
        <v>5.4</v>
      </c>
      <c r="M67" s="12" t="s">
        <v>3034</v>
      </c>
      <c r="N67" s="12" t="s">
        <v>2667</v>
      </c>
      <c r="O67" s="154" t="s">
        <v>2668</v>
      </c>
      <c r="P67" s="156" t="s">
        <v>3035</v>
      </c>
    </row>
    <row r="68" spans="1:16">
      <c r="A68" s="51" t="s">
        <v>2910</v>
      </c>
      <c r="B68" s="6" t="s">
        <v>694</v>
      </c>
      <c r="C68" s="6" t="s">
        <v>2911</v>
      </c>
      <c r="D68" s="12" t="s">
        <v>2722</v>
      </c>
      <c r="E68" s="6" t="s">
        <v>2912</v>
      </c>
      <c r="F68" s="6" t="s">
        <v>2913</v>
      </c>
      <c r="G68" s="154" t="s">
        <v>2914</v>
      </c>
      <c r="H68" s="12" t="s">
        <v>2665</v>
      </c>
      <c r="I68" s="12" t="s">
        <v>2673</v>
      </c>
      <c r="J68" s="173">
        <v>10</v>
      </c>
      <c r="K68" s="171">
        <v>4</v>
      </c>
      <c r="L68" s="171">
        <v>6</v>
      </c>
      <c r="M68" s="12" t="s">
        <v>3034</v>
      </c>
      <c r="N68" s="12" t="s">
        <v>2667</v>
      </c>
      <c r="O68" s="154" t="s">
        <v>2791</v>
      </c>
      <c r="P68" s="156" t="s">
        <v>3035</v>
      </c>
    </row>
    <row r="69" spans="1:16">
      <c r="A69" s="51" t="s">
        <v>2915</v>
      </c>
      <c r="B69" s="6" t="s">
        <v>694</v>
      </c>
      <c r="C69" s="6" t="s">
        <v>1808</v>
      </c>
      <c r="D69" s="12" t="s">
        <v>2916</v>
      </c>
      <c r="E69" s="6" t="s">
        <v>2917</v>
      </c>
      <c r="F69" s="6" t="s">
        <v>2918</v>
      </c>
      <c r="G69" s="154" t="s">
        <v>2764</v>
      </c>
      <c r="H69" s="12" t="s">
        <v>2665</v>
      </c>
      <c r="I69" s="12" t="s">
        <v>2666</v>
      </c>
      <c r="J69" s="173">
        <v>5</v>
      </c>
      <c r="K69" s="171">
        <v>2</v>
      </c>
      <c r="L69" s="171">
        <v>3</v>
      </c>
      <c r="M69" s="12" t="s">
        <v>3034</v>
      </c>
      <c r="N69" s="12" t="s">
        <v>2674</v>
      </c>
      <c r="O69" s="154" t="s">
        <v>2791</v>
      </c>
      <c r="P69" s="156" t="s">
        <v>3035</v>
      </c>
    </row>
    <row r="70" spans="1:16">
      <c r="A70" s="51" t="s">
        <v>3090</v>
      </c>
      <c r="B70" s="6" t="s">
        <v>694</v>
      </c>
      <c r="C70" s="6" t="s">
        <v>3091</v>
      </c>
      <c r="D70" s="12" t="s">
        <v>2722</v>
      </c>
      <c r="E70" s="6" t="s">
        <v>3092</v>
      </c>
      <c r="F70" s="6" t="s">
        <v>3093</v>
      </c>
      <c r="G70" s="154" t="s">
        <v>2867</v>
      </c>
      <c r="H70" s="12" t="s">
        <v>2665</v>
      </c>
      <c r="I70" s="12" t="s">
        <v>2673</v>
      </c>
      <c r="J70" s="173">
        <v>10</v>
      </c>
      <c r="K70" s="171">
        <v>4</v>
      </c>
      <c r="L70" s="171">
        <v>6</v>
      </c>
      <c r="M70" s="12" t="s">
        <v>3034</v>
      </c>
      <c r="N70" s="12" t="s">
        <v>2667</v>
      </c>
      <c r="O70" s="154" t="s">
        <v>3043</v>
      </c>
      <c r="P70" s="156" t="s">
        <v>1437</v>
      </c>
    </row>
    <row r="71" spans="1:16">
      <c r="A71" s="51" t="s">
        <v>3094</v>
      </c>
      <c r="B71" s="6" t="s">
        <v>694</v>
      </c>
      <c r="C71" s="6" t="s">
        <v>3095</v>
      </c>
      <c r="D71" s="12" t="s">
        <v>2977</v>
      </c>
      <c r="E71" s="6" t="s">
        <v>3096</v>
      </c>
      <c r="F71" s="6" t="s">
        <v>3097</v>
      </c>
      <c r="G71" s="154" t="s">
        <v>2945</v>
      </c>
      <c r="H71" s="12" t="s">
        <v>2665</v>
      </c>
      <c r="I71" s="12" t="s">
        <v>2673</v>
      </c>
      <c r="J71" s="173">
        <v>9</v>
      </c>
      <c r="K71" s="171">
        <v>3.6</v>
      </c>
      <c r="L71" s="171">
        <v>5.4</v>
      </c>
      <c r="M71" s="12" t="s">
        <v>3034</v>
      </c>
      <c r="N71" s="12" t="s">
        <v>2667</v>
      </c>
      <c r="O71" s="154" t="s">
        <v>3043</v>
      </c>
      <c r="P71" s="156" t="s">
        <v>3098</v>
      </c>
    </row>
    <row r="72" spans="1:16">
      <c r="A72" s="51" t="s">
        <v>3099</v>
      </c>
      <c r="B72" s="6" t="s">
        <v>694</v>
      </c>
      <c r="C72" s="6" t="s">
        <v>3100</v>
      </c>
      <c r="D72" s="12" t="s">
        <v>2814</v>
      </c>
      <c r="E72" s="6" t="s">
        <v>3101</v>
      </c>
      <c r="F72" s="6" t="s">
        <v>3102</v>
      </c>
      <c r="G72" s="154" t="s">
        <v>2892</v>
      </c>
      <c r="H72" s="12" t="s">
        <v>2665</v>
      </c>
      <c r="I72" s="12" t="s">
        <v>2673</v>
      </c>
      <c r="J72" s="173">
        <v>9</v>
      </c>
      <c r="K72" s="171">
        <v>3.6</v>
      </c>
      <c r="L72" s="171">
        <v>5.4</v>
      </c>
      <c r="M72" s="12" t="s">
        <v>3034</v>
      </c>
      <c r="N72" s="12" t="s">
        <v>2667</v>
      </c>
      <c r="O72" s="154" t="s">
        <v>3043</v>
      </c>
      <c r="P72" s="156" t="s">
        <v>3103</v>
      </c>
    </row>
    <row r="73" spans="1:16">
      <c r="A73" s="51" t="s">
        <v>3104</v>
      </c>
      <c r="B73" s="6" t="s">
        <v>694</v>
      </c>
      <c r="C73" s="6" t="s">
        <v>3105</v>
      </c>
      <c r="D73" s="12" t="s">
        <v>2700</v>
      </c>
      <c r="E73" s="6" t="s">
        <v>3106</v>
      </c>
      <c r="F73" s="6" t="s">
        <v>3107</v>
      </c>
      <c r="G73" s="154" t="s">
        <v>2897</v>
      </c>
      <c r="H73" s="12" t="s">
        <v>2665</v>
      </c>
      <c r="I73" s="12" t="s">
        <v>2673</v>
      </c>
      <c r="J73" s="173">
        <v>10</v>
      </c>
      <c r="K73" s="171">
        <v>4</v>
      </c>
      <c r="L73" s="171">
        <v>6</v>
      </c>
      <c r="M73" s="12" t="s">
        <v>3034</v>
      </c>
      <c r="N73" s="12" t="s">
        <v>2667</v>
      </c>
      <c r="O73" s="154" t="s">
        <v>3043</v>
      </c>
      <c r="P73" s="156" t="s">
        <v>1438</v>
      </c>
    </row>
    <row r="74" spans="1:16">
      <c r="A74" s="51" t="s">
        <v>2919</v>
      </c>
      <c r="B74" s="6" t="s">
        <v>698</v>
      </c>
      <c r="C74" s="6" t="s">
        <v>2920</v>
      </c>
      <c r="D74" s="12" t="s">
        <v>2854</v>
      </c>
      <c r="E74" s="6" t="s">
        <v>2921</v>
      </c>
      <c r="F74" s="6" t="s">
        <v>2922</v>
      </c>
      <c r="G74" s="154" t="s">
        <v>2923</v>
      </c>
      <c r="H74" s="12" t="s">
        <v>2665</v>
      </c>
      <c r="I74" s="12" t="s">
        <v>2673</v>
      </c>
      <c r="J74" s="173">
        <v>10</v>
      </c>
      <c r="K74" s="171">
        <v>4</v>
      </c>
      <c r="L74" s="171">
        <v>6</v>
      </c>
      <c r="M74" s="12" t="s">
        <v>3034</v>
      </c>
      <c r="N74" s="12" t="s">
        <v>2667</v>
      </c>
      <c r="O74" s="154" t="s">
        <v>2668</v>
      </c>
      <c r="P74" s="156" t="s">
        <v>3035</v>
      </c>
    </row>
    <row r="75" spans="1:16">
      <c r="A75" s="51" t="s">
        <v>2924</v>
      </c>
      <c r="B75" s="6" t="s">
        <v>698</v>
      </c>
      <c r="C75" s="6" t="s">
        <v>2925</v>
      </c>
      <c r="D75" s="12" t="s">
        <v>2849</v>
      </c>
      <c r="E75" s="6" t="s">
        <v>2926</v>
      </c>
      <c r="F75" s="6" t="s">
        <v>2927</v>
      </c>
      <c r="G75" s="154" t="s">
        <v>2703</v>
      </c>
      <c r="H75" s="12" t="s">
        <v>699</v>
      </c>
      <c r="I75" s="12" t="s">
        <v>2673</v>
      </c>
      <c r="J75" s="173">
        <v>12</v>
      </c>
      <c r="K75" s="171">
        <v>4.8</v>
      </c>
      <c r="L75" s="171">
        <v>7.2</v>
      </c>
      <c r="M75" s="12" t="s">
        <v>3034</v>
      </c>
      <c r="N75" s="12" t="s">
        <v>2674</v>
      </c>
      <c r="O75" s="154" t="s">
        <v>2668</v>
      </c>
      <c r="P75" s="156" t="s">
        <v>3035</v>
      </c>
    </row>
    <row r="76" spans="1:16">
      <c r="A76" s="51" t="s">
        <v>2928</v>
      </c>
      <c r="B76" s="6" t="s">
        <v>698</v>
      </c>
      <c r="C76" s="6" t="s">
        <v>2929</v>
      </c>
      <c r="D76" s="12" t="s">
        <v>2706</v>
      </c>
      <c r="E76" s="6" t="s">
        <v>2930</v>
      </c>
      <c r="F76" s="6" t="s">
        <v>2931</v>
      </c>
      <c r="G76" s="154" t="s">
        <v>2709</v>
      </c>
      <c r="H76" s="12" t="s">
        <v>2665</v>
      </c>
      <c r="I76" s="12" t="s">
        <v>2673</v>
      </c>
      <c r="J76" s="173">
        <v>12</v>
      </c>
      <c r="K76" s="171">
        <v>4.8</v>
      </c>
      <c r="L76" s="171">
        <v>7.2</v>
      </c>
      <c r="M76" s="12" t="s">
        <v>3034</v>
      </c>
      <c r="N76" s="12" t="s">
        <v>2667</v>
      </c>
      <c r="O76" s="154" t="s">
        <v>2668</v>
      </c>
      <c r="P76" s="156" t="s">
        <v>3035</v>
      </c>
    </row>
    <row r="77" spans="1:16">
      <c r="A77" s="51" t="s">
        <v>2932</v>
      </c>
      <c r="B77" s="6" t="s">
        <v>698</v>
      </c>
      <c r="C77" s="6" t="s">
        <v>2933</v>
      </c>
      <c r="D77" s="12" t="s">
        <v>2772</v>
      </c>
      <c r="E77" s="6" t="s">
        <v>2934</v>
      </c>
      <c r="F77" s="6" t="s">
        <v>3108</v>
      </c>
      <c r="G77" s="154" t="s">
        <v>2935</v>
      </c>
      <c r="H77" s="12" t="s">
        <v>2665</v>
      </c>
      <c r="I77" s="12" t="s">
        <v>2673</v>
      </c>
      <c r="J77" s="173">
        <v>15</v>
      </c>
      <c r="K77" s="171">
        <v>6</v>
      </c>
      <c r="L77" s="171">
        <v>9</v>
      </c>
      <c r="M77" s="12" t="s">
        <v>3034</v>
      </c>
      <c r="N77" s="12" t="s">
        <v>2667</v>
      </c>
      <c r="O77" s="154" t="s">
        <v>2668</v>
      </c>
      <c r="P77" s="156" t="s">
        <v>3035</v>
      </c>
    </row>
    <row r="78" spans="1:16">
      <c r="A78" s="51" t="s">
        <v>2936</v>
      </c>
      <c r="B78" s="6" t="s">
        <v>698</v>
      </c>
      <c r="C78" s="6" t="s">
        <v>2937</v>
      </c>
      <c r="D78" s="12" t="s">
        <v>2849</v>
      </c>
      <c r="E78" s="6" t="s">
        <v>2938</v>
      </c>
      <c r="F78" s="6" t="s">
        <v>2939</v>
      </c>
      <c r="G78" s="154" t="s">
        <v>2940</v>
      </c>
      <c r="H78" s="12" t="s">
        <v>2665</v>
      </c>
      <c r="I78" s="12" t="s">
        <v>2666</v>
      </c>
      <c r="J78" s="173">
        <v>5</v>
      </c>
      <c r="K78" s="171">
        <v>2</v>
      </c>
      <c r="L78" s="171">
        <v>3</v>
      </c>
      <c r="M78" s="12" t="s">
        <v>3034</v>
      </c>
      <c r="N78" s="12" t="s">
        <v>2667</v>
      </c>
      <c r="O78" s="154" t="s">
        <v>2668</v>
      </c>
      <c r="P78" s="156" t="s">
        <v>3035</v>
      </c>
    </row>
    <row r="79" spans="1:16">
      <c r="A79" s="51" t="s">
        <v>3109</v>
      </c>
      <c r="B79" s="6" t="s">
        <v>698</v>
      </c>
      <c r="C79" s="6" t="s">
        <v>3110</v>
      </c>
      <c r="D79" s="12" t="s">
        <v>2706</v>
      </c>
      <c r="E79" s="6" t="s">
        <v>3111</v>
      </c>
      <c r="F79" s="6" t="s">
        <v>3112</v>
      </c>
      <c r="G79" s="154" t="s">
        <v>2703</v>
      </c>
      <c r="H79" s="12" t="s">
        <v>2665</v>
      </c>
      <c r="I79" s="12" t="s">
        <v>2666</v>
      </c>
      <c r="J79" s="173">
        <v>5</v>
      </c>
      <c r="K79" s="171">
        <v>2</v>
      </c>
      <c r="L79" s="171">
        <v>3</v>
      </c>
      <c r="M79" s="12" t="s">
        <v>3034</v>
      </c>
      <c r="N79" s="12" t="s">
        <v>2667</v>
      </c>
      <c r="O79" s="154" t="s">
        <v>3043</v>
      </c>
      <c r="P79" s="156" t="s">
        <v>1478</v>
      </c>
    </row>
    <row r="80" spans="1:16">
      <c r="A80" s="51" t="s">
        <v>3113</v>
      </c>
      <c r="B80" s="6" t="s">
        <v>698</v>
      </c>
      <c r="C80" s="6" t="s">
        <v>3114</v>
      </c>
      <c r="D80" s="12" t="s">
        <v>2854</v>
      </c>
      <c r="E80" s="6" t="s">
        <v>3115</v>
      </c>
      <c r="F80" s="6" t="s">
        <v>3116</v>
      </c>
      <c r="G80" s="154" t="s">
        <v>2709</v>
      </c>
      <c r="H80" s="12" t="s">
        <v>2665</v>
      </c>
      <c r="I80" s="12" t="s">
        <v>2666</v>
      </c>
      <c r="J80" s="173">
        <v>8</v>
      </c>
      <c r="K80" s="171">
        <v>3.2</v>
      </c>
      <c r="L80" s="171">
        <v>4.8</v>
      </c>
      <c r="M80" s="12" t="s">
        <v>3034</v>
      </c>
      <c r="N80" s="12" t="s">
        <v>2667</v>
      </c>
      <c r="O80" s="154" t="s">
        <v>3043</v>
      </c>
      <c r="P80" s="156" t="s">
        <v>1479</v>
      </c>
    </row>
    <row r="81" spans="1:16">
      <c r="A81" s="51" t="s">
        <v>3117</v>
      </c>
      <c r="B81" s="6" t="s">
        <v>698</v>
      </c>
      <c r="C81" s="6" t="s">
        <v>3118</v>
      </c>
      <c r="D81" s="12" t="s">
        <v>2849</v>
      </c>
      <c r="E81" s="6" t="s">
        <v>3119</v>
      </c>
      <c r="F81" s="6" t="s">
        <v>3120</v>
      </c>
      <c r="G81" s="154" t="s">
        <v>2945</v>
      </c>
      <c r="H81" s="12" t="s">
        <v>2665</v>
      </c>
      <c r="I81" s="12" t="s">
        <v>2666</v>
      </c>
      <c r="J81" s="173">
        <v>8</v>
      </c>
      <c r="K81" s="171">
        <v>3.2</v>
      </c>
      <c r="L81" s="171">
        <v>4.8</v>
      </c>
      <c r="M81" s="12" t="s">
        <v>3034</v>
      </c>
      <c r="N81" s="12" t="s">
        <v>2667</v>
      </c>
      <c r="O81" s="154" t="s">
        <v>3043</v>
      </c>
      <c r="P81" s="156" t="s">
        <v>1480</v>
      </c>
    </row>
    <row r="82" spans="1:16">
      <c r="A82" s="51" t="s">
        <v>3121</v>
      </c>
      <c r="B82" s="6" t="s">
        <v>698</v>
      </c>
      <c r="C82" s="6" t="s">
        <v>3122</v>
      </c>
      <c r="D82" s="12" t="s">
        <v>2814</v>
      </c>
      <c r="E82" s="6" t="s">
        <v>3123</v>
      </c>
      <c r="F82" s="6" t="s">
        <v>3124</v>
      </c>
      <c r="G82" s="154" t="s">
        <v>2924</v>
      </c>
      <c r="H82" s="12" t="s">
        <v>2665</v>
      </c>
      <c r="I82" s="12" t="s">
        <v>2666</v>
      </c>
      <c r="J82" s="173">
        <v>6</v>
      </c>
      <c r="K82" s="171">
        <v>2.4</v>
      </c>
      <c r="L82" s="171">
        <v>3.6</v>
      </c>
      <c r="M82" s="12" t="s">
        <v>3034</v>
      </c>
      <c r="N82" s="12" t="s">
        <v>2667</v>
      </c>
      <c r="O82" s="154" t="s">
        <v>3043</v>
      </c>
      <c r="P82" s="156" t="s">
        <v>1483</v>
      </c>
    </row>
    <row r="83" spans="1:16">
      <c r="A83" s="51" t="s">
        <v>3125</v>
      </c>
      <c r="B83" s="6" t="s">
        <v>698</v>
      </c>
      <c r="C83" s="6" t="s">
        <v>3126</v>
      </c>
      <c r="D83" s="12" t="s">
        <v>2706</v>
      </c>
      <c r="E83" s="6" t="s">
        <v>3127</v>
      </c>
      <c r="F83" s="6" t="s">
        <v>3128</v>
      </c>
      <c r="G83" s="154" t="s">
        <v>2928</v>
      </c>
      <c r="H83" s="12" t="s">
        <v>2665</v>
      </c>
      <c r="I83" s="12" t="s">
        <v>2673</v>
      </c>
      <c r="J83" s="173">
        <v>10</v>
      </c>
      <c r="K83" s="171">
        <v>4</v>
      </c>
      <c r="L83" s="171">
        <v>6</v>
      </c>
      <c r="M83" s="12" t="s">
        <v>3034</v>
      </c>
      <c r="N83" s="12" t="s">
        <v>2667</v>
      </c>
      <c r="O83" s="154" t="s">
        <v>3043</v>
      </c>
      <c r="P83" s="156" t="s">
        <v>3129</v>
      </c>
    </row>
    <row r="84" spans="1:16">
      <c r="A84" s="51" t="s">
        <v>3130</v>
      </c>
      <c r="B84" s="6" t="s">
        <v>698</v>
      </c>
      <c r="C84" s="6" t="s">
        <v>3131</v>
      </c>
      <c r="D84" s="12" t="s">
        <v>2717</v>
      </c>
      <c r="E84" s="6" t="s">
        <v>3132</v>
      </c>
      <c r="F84" s="6" t="s">
        <v>3133</v>
      </c>
      <c r="G84" s="154" t="s">
        <v>3134</v>
      </c>
      <c r="H84" s="12" t="s">
        <v>2665</v>
      </c>
      <c r="I84" s="12" t="s">
        <v>2666</v>
      </c>
      <c r="J84" s="173">
        <v>8</v>
      </c>
      <c r="K84" s="171">
        <v>3.2</v>
      </c>
      <c r="L84" s="171">
        <v>4.8</v>
      </c>
      <c r="M84" s="12" t="s">
        <v>3034</v>
      </c>
      <c r="N84" s="12" t="s">
        <v>2667</v>
      </c>
      <c r="O84" s="154" t="s">
        <v>3043</v>
      </c>
      <c r="P84" s="156" t="s">
        <v>3135</v>
      </c>
    </row>
    <row r="85" spans="1:16">
      <c r="A85" s="51" t="s">
        <v>3136</v>
      </c>
      <c r="B85" s="6" t="s">
        <v>698</v>
      </c>
      <c r="C85" s="6" t="s">
        <v>3137</v>
      </c>
      <c r="D85" s="12" t="s">
        <v>2814</v>
      </c>
      <c r="E85" s="6" t="s">
        <v>3138</v>
      </c>
      <c r="F85" s="6" t="s">
        <v>3139</v>
      </c>
      <c r="G85" s="154" t="s">
        <v>2924</v>
      </c>
      <c r="H85" s="12" t="s">
        <v>2665</v>
      </c>
      <c r="I85" s="12" t="s">
        <v>2666</v>
      </c>
      <c r="J85" s="173">
        <v>3</v>
      </c>
      <c r="K85" s="171">
        <v>1.2</v>
      </c>
      <c r="L85" s="171">
        <v>1.8</v>
      </c>
      <c r="M85" s="12" t="s">
        <v>3034</v>
      </c>
      <c r="N85" s="12" t="s">
        <v>2667</v>
      </c>
      <c r="O85" s="154" t="s">
        <v>3043</v>
      </c>
      <c r="P85" s="156" t="s">
        <v>3140</v>
      </c>
    </row>
    <row r="86" spans="1:16">
      <c r="A86" s="51" t="s">
        <v>2828</v>
      </c>
      <c r="B86" s="6" t="s">
        <v>2941</v>
      </c>
      <c r="C86" s="6" t="s">
        <v>2942</v>
      </c>
      <c r="D86" s="12" t="s">
        <v>2706</v>
      </c>
      <c r="E86" s="6" t="s">
        <v>2943</v>
      </c>
      <c r="F86" s="6" t="s">
        <v>2944</v>
      </c>
      <c r="G86" s="154" t="s">
        <v>2665</v>
      </c>
      <c r="H86" s="12" t="s">
        <v>2665</v>
      </c>
      <c r="I86" s="12" t="s">
        <v>2684</v>
      </c>
      <c r="J86" s="173">
        <v>22</v>
      </c>
      <c r="K86" s="171">
        <v>8.8000000000000007</v>
      </c>
      <c r="L86" s="171">
        <v>13.2</v>
      </c>
      <c r="M86" s="12" t="s">
        <v>3034</v>
      </c>
      <c r="N86" s="12" t="s">
        <v>2667</v>
      </c>
      <c r="O86" s="154" t="s">
        <v>2668</v>
      </c>
      <c r="P86" s="156" t="s">
        <v>3035</v>
      </c>
    </row>
    <row r="87" spans="1:16">
      <c r="A87" s="51" t="s">
        <v>2945</v>
      </c>
      <c r="B87" s="6" t="s">
        <v>2941</v>
      </c>
      <c r="C87" s="6" t="s">
        <v>2946</v>
      </c>
      <c r="D87" s="12" t="s">
        <v>2706</v>
      </c>
      <c r="E87" s="6" t="s">
        <v>2947</v>
      </c>
      <c r="F87" s="6" t="s">
        <v>2948</v>
      </c>
      <c r="G87" s="154" t="s">
        <v>2828</v>
      </c>
      <c r="H87" s="12" t="s">
        <v>2665</v>
      </c>
      <c r="I87" s="12" t="s">
        <v>2673</v>
      </c>
      <c r="J87" s="173">
        <v>14</v>
      </c>
      <c r="K87" s="171">
        <v>5.6</v>
      </c>
      <c r="L87" s="171">
        <v>8.4</v>
      </c>
      <c r="M87" s="12" t="s">
        <v>3034</v>
      </c>
      <c r="N87" s="12" t="s">
        <v>2667</v>
      </c>
      <c r="O87" s="154" t="s">
        <v>2668</v>
      </c>
      <c r="P87" s="156" t="s">
        <v>3035</v>
      </c>
    </row>
    <row r="88" spans="1:16">
      <c r="A88" s="51" t="s">
        <v>3141</v>
      </c>
      <c r="B88" s="6" t="s">
        <v>2941</v>
      </c>
      <c r="C88" s="6" t="s">
        <v>3142</v>
      </c>
      <c r="D88" s="12" t="s">
        <v>2706</v>
      </c>
      <c r="E88" s="6" t="s">
        <v>3143</v>
      </c>
      <c r="F88" s="6" t="s">
        <v>3144</v>
      </c>
      <c r="G88" s="154" t="s">
        <v>2945</v>
      </c>
      <c r="H88" s="12" t="s">
        <v>2665</v>
      </c>
      <c r="I88" s="12" t="s">
        <v>2673</v>
      </c>
      <c r="J88" s="173">
        <v>12</v>
      </c>
      <c r="K88" s="171">
        <v>4.8</v>
      </c>
      <c r="L88" s="171">
        <v>7.2</v>
      </c>
      <c r="M88" s="12" t="s">
        <v>3034</v>
      </c>
      <c r="N88" s="12" t="s">
        <v>2667</v>
      </c>
      <c r="O88" s="154" t="s">
        <v>3043</v>
      </c>
      <c r="P88" s="156" t="s">
        <v>1561</v>
      </c>
    </row>
    <row r="89" spans="1:16">
      <c r="A89" s="51" t="s">
        <v>2923</v>
      </c>
      <c r="B89" s="6" t="s">
        <v>2949</v>
      </c>
      <c r="C89" s="6" t="s">
        <v>2950</v>
      </c>
      <c r="D89" s="12" t="s">
        <v>2951</v>
      </c>
      <c r="E89" s="6" t="s">
        <v>2952</v>
      </c>
      <c r="F89" s="6" t="s">
        <v>2953</v>
      </c>
      <c r="G89" s="154" t="s">
        <v>2703</v>
      </c>
      <c r="H89" s="12" t="s">
        <v>2665</v>
      </c>
      <c r="I89" s="12" t="s">
        <v>2673</v>
      </c>
      <c r="J89" s="173">
        <v>13</v>
      </c>
      <c r="K89" s="171">
        <v>5.2</v>
      </c>
      <c r="L89" s="171">
        <v>7.8</v>
      </c>
      <c r="M89" s="12" t="s">
        <v>3034</v>
      </c>
      <c r="N89" s="12" t="s">
        <v>2667</v>
      </c>
      <c r="O89" s="154" t="s">
        <v>2668</v>
      </c>
      <c r="P89" s="156" t="s">
        <v>3035</v>
      </c>
    </row>
    <row r="90" spans="1:16">
      <c r="A90" s="51" t="s">
        <v>2886</v>
      </c>
      <c r="B90" s="6" t="s">
        <v>2949</v>
      </c>
      <c r="C90" s="6" t="s">
        <v>2954</v>
      </c>
      <c r="D90" s="12" t="s">
        <v>2706</v>
      </c>
      <c r="E90" s="6" t="s">
        <v>2955</v>
      </c>
      <c r="F90" s="6" t="s">
        <v>2956</v>
      </c>
      <c r="G90" s="154" t="s">
        <v>2957</v>
      </c>
      <c r="H90" s="12" t="s">
        <v>2665</v>
      </c>
      <c r="I90" s="12" t="s">
        <v>2673</v>
      </c>
      <c r="J90" s="173">
        <v>13</v>
      </c>
      <c r="K90" s="171">
        <v>5.2</v>
      </c>
      <c r="L90" s="171">
        <v>7.8</v>
      </c>
      <c r="M90" s="12" t="s">
        <v>3034</v>
      </c>
      <c r="N90" s="12" t="s">
        <v>2667</v>
      </c>
      <c r="O90" s="154" t="s">
        <v>2668</v>
      </c>
      <c r="P90" s="156" t="s">
        <v>3035</v>
      </c>
    </row>
    <row r="91" spans="1:16">
      <c r="A91" s="51" t="s">
        <v>2958</v>
      </c>
      <c r="B91" s="6" t="s">
        <v>2949</v>
      </c>
      <c r="C91" s="6" t="s">
        <v>2959</v>
      </c>
      <c r="D91" s="12" t="s">
        <v>2814</v>
      </c>
      <c r="E91" s="6" t="s">
        <v>2960</v>
      </c>
      <c r="F91" s="6" t="s">
        <v>3145</v>
      </c>
      <c r="G91" s="154" t="s">
        <v>2961</v>
      </c>
      <c r="H91" s="12" t="s">
        <v>2665</v>
      </c>
      <c r="I91" s="12" t="s">
        <v>2684</v>
      </c>
      <c r="J91" s="173">
        <v>25</v>
      </c>
      <c r="K91" s="171">
        <v>10</v>
      </c>
      <c r="L91" s="171">
        <v>15</v>
      </c>
      <c r="M91" s="12" t="s">
        <v>3034</v>
      </c>
      <c r="N91" s="12" t="s">
        <v>2667</v>
      </c>
      <c r="O91" s="154" t="s">
        <v>2668</v>
      </c>
      <c r="P91" s="156" t="s">
        <v>3035</v>
      </c>
    </row>
    <row r="92" spans="1:16">
      <c r="A92" s="51" t="s">
        <v>2962</v>
      </c>
      <c r="B92" s="6" t="s">
        <v>2949</v>
      </c>
      <c r="C92" s="6" t="s">
        <v>2963</v>
      </c>
      <c r="D92" s="12" t="s">
        <v>2722</v>
      </c>
      <c r="E92" s="6" t="s">
        <v>2964</v>
      </c>
      <c r="F92" s="6" t="s">
        <v>2965</v>
      </c>
      <c r="G92" s="154" t="s">
        <v>2966</v>
      </c>
      <c r="H92" s="12" t="s">
        <v>2665</v>
      </c>
      <c r="I92" s="12" t="s">
        <v>2673</v>
      </c>
      <c r="J92" s="173">
        <v>12</v>
      </c>
      <c r="K92" s="171">
        <v>4.8</v>
      </c>
      <c r="L92" s="171">
        <v>7.2</v>
      </c>
      <c r="M92" s="12" t="s">
        <v>3034</v>
      </c>
      <c r="N92" s="12" t="s">
        <v>2667</v>
      </c>
      <c r="O92" s="154" t="s">
        <v>2668</v>
      </c>
      <c r="P92" s="156" t="s">
        <v>3035</v>
      </c>
    </row>
    <row r="93" spans="1:16">
      <c r="A93" s="51" t="s">
        <v>2967</v>
      </c>
      <c r="B93" s="6" t="s">
        <v>2949</v>
      </c>
      <c r="C93" s="6" t="s">
        <v>2968</v>
      </c>
      <c r="D93" s="12" t="s">
        <v>2722</v>
      </c>
      <c r="E93" s="6" t="s">
        <v>2969</v>
      </c>
      <c r="F93" s="6" t="s">
        <v>2970</v>
      </c>
      <c r="G93" s="154" t="s">
        <v>2923</v>
      </c>
      <c r="H93" s="12" t="s">
        <v>2665</v>
      </c>
      <c r="I93" s="12" t="s">
        <v>2673</v>
      </c>
      <c r="J93" s="173">
        <v>11</v>
      </c>
      <c r="K93" s="171">
        <v>4.4000000000000004</v>
      </c>
      <c r="L93" s="171">
        <v>6.6</v>
      </c>
      <c r="M93" s="12" t="s">
        <v>3034</v>
      </c>
      <c r="N93" s="12" t="s">
        <v>2667</v>
      </c>
      <c r="O93" s="154" t="s">
        <v>2668</v>
      </c>
      <c r="P93" s="156" t="s">
        <v>3035</v>
      </c>
    </row>
    <row r="94" spans="1:16">
      <c r="A94" s="51" t="s">
        <v>2971</v>
      </c>
      <c r="B94" s="6" t="s">
        <v>2949</v>
      </c>
      <c r="C94" s="6" t="s">
        <v>1807</v>
      </c>
      <c r="D94" s="12" t="s">
        <v>2916</v>
      </c>
      <c r="E94" s="6" t="s">
        <v>2972</v>
      </c>
      <c r="F94" s="6" t="s">
        <v>2973</v>
      </c>
      <c r="G94" s="154" t="s">
        <v>2974</v>
      </c>
      <c r="H94" s="12" t="s">
        <v>2665</v>
      </c>
      <c r="I94" s="12" t="s">
        <v>2673</v>
      </c>
      <c r="J94" s="173">
        <v>10</v>
      </c>
      <c r="K94" s="171">
        <v>4</v>
      </c>
      <c r="L94" s="171">
        <v>6</v>
      </c>
      <c r="M94" s="12" t="s">
        <v>3034</v>
      </c>
      <c r="N94" s="12" t="s">
        <v>2667</v>
      </c>
      <c r="O94" s="154" t="s">
        <v>2791</v>
      </c>
      <c r="P94" s="156" t="s">
        <v>3035</v>
      </c>
    </row>
    <row r="95" spans="1:16">
      <c r="A95" s="51" t="s">
        <v>2975</v>
      </c>
      <c r="B95" s="6" t="s">
        <v>2949</v>
      </c>
      <c r="C95" s="6" t="s">
        <v>2976</v>
      </c>
      <c r="D95" s="12" t="s">
        <v>2977</v>
      </c>
      <c r="E95" s="6" t="s">
        <v>2978</v>
      </c>
      <c r="F95" s="6" t="s">
        <v>2979</v>
      </c>
      <c r="G95" s="154" t="s">
        <v>2828</v>
      </c>
      <c r="H95" s="12" t="s">
        <v>2665</v>
      </c>
      <c r="I95" s="12" t="s">
        <v>2666</v>
      </c>
      <c r="J95" s="173">
        <v>5</v>
      </c>
      <c r="K95" s="171">
        <v>2</v>
      </c>
      <c r="L95" s="171">
        <v>3</v>
      </c>
      <c r="M95" s="12" t="s">
        <v>3034</v>
      </c>
      <c r="N95" s="12" t="s">
        <v>2667</v>
      </c>
      <c r="O95" s="154" t="s">
        <v>2791</v>
      </c>
      <c r="P95" s="156" t="s">
        <v>3035</v>
      </c>
    </row>
    <row r="96" spans="1:16">
      <c r="A96" s="51" t="s">
        <v>3146</v>
      </c>
      <c r="B96" s="6" t="s">
        <v>2949</v>
      </c>
      <c r="C96" s="6" t="s">
        <v>3147</v>
      </c>
      <c r="D96" s="12" t="s">
        <v>2951</v>
      </c>
      <c r="E96" s="6" t="s">
        <v>3148</v>
      </c>
      <c r="F96" s="6" t="s">
        <v>3149</v>
      </c>
      <c r="G96" s="154" t="s">
        <v>2923</v>
      </c>
      <c r="H96" s="12" t="s">
        <v>2665</v>
      </c>
      <c r="I96" s="12" t="s">
        <v>2666</v>
      </c>
      <c r="J96" s="173">
        <v>8</v>
      </c>
      <c r="K96" s="171">
        <v>3.2</v>
      </c>
      <c r="L96" s="171">
        <v>4.8</v>
      </c>
      <c r="M96" s="12" t="s">
        <v>3034</v>
      </c>
      <c r="N96" s="12" t="s">
        <v>2667</v>
      </c>
      <c r="O96" s="154" t="s">
        <v>3043</v>
      </c>
      <c r="P96" s="156" t="s">
        <v>3150</v>
      </c>
    </row>
    <row r="97" spans="1:16">
      <c r="A97" s="51" t="s">
        <v>3151</v>
      </c>
      <c r="B97" s="6" t="s">
        <v>2949</v>
      </c>
      <c r="C97" s="6" t="s">
        <v>3152</v>
      </c>
      <c r="D97" s="12" t="s">
        <v>2814</v>
      </c>
      <c r="E97" s="6" t="s">
        <v>3153</v>
      </c>
      <c r="F97" s="6" t="s">
        <v>3154</v>
      </c>
      <c r="G97" s="154" t="s">
        <v>2886</v>
      </c>
      <c r="H97" s="12" t="s">
        <v>2665</v>
      </c>
      <c r="I97" s="12" t="s">
        <v>2666</v>
      </c>
      <c r="J97" s="173">
        <v>5</v>
      </c>
      <c r="K97" s="171">
        <v>2</v>
      </c>
      <c r="L97" s="171">
        <v>3</v>
      </c>
      <c r="M97" s="12" t="s">
        <v>3034</v>
      </c>
      <c r="N97" s="12" t="s">
        <v>3155</v>
      </c>
      <c r="O97" s="154" t="s">
        <v>3043</v>
      </c>
      <c r="P97" s="156" t="s">
        <v>3156</v>
      </c>
    </row>
    <row r="98" spans="1:16">
      <c r="A98" s="51" t="s">
        <v>2980</v>
      </c>
      <c r="B98" s="6" t="s">
        <v>1591</v>
      </c>
      <c r="C98" s="6" t="s">
        <v>2981</v>
      </c>
      <c r="D98" s="12" t="s">
        <v>2982</v>
      </c>
      <c r="E98" s="6" t="s">
        <v>2983</v>
      </c>
      <c r="F98" s="6" t="s">
        <v>2984</v>
      </c>
      <c r="G98" s="154" t="s">
        <v>2985</v>
      </c>
      <c r="H98" s="12" t="s">
        <v>2665</v>
      </c>
      <c r="I98" s="12" t="s">
        <v>2673</v>
      </c>
      <c r="J98" s="173">
        <v>14</v>
      </c>
      <c r="K98" s="171">
        <v>5.6</v>
      </c>
      <c r="L98" s="171">
        <v>8.4</v>
      </c>
      <c r="M98" s="12" t="s">
        <v>3034</v>
      </c>
      <c r="N98" s="12" t="s">
        <v>2667</v>
      </c>
      <c r="O98" s="154" t="s">
        <v>2668</v>
      </c>
      <c r="P98" s="156" t="s">
        <v>3035</v>
      </c>
    </row>
    <row r="99" spans="1:16">
      <c r="A99" s="51" t="s">
        <v>2764</v>
      </c>
      <c r="B99" s="6" t="s">
        <v>1591</v>
      </c>
      <c r="C99" s="6" t="s">
        <v>2986</v>
      </c>
      <c r="D99" s="12" t="s">
        <v>2717</v>
      </c>
      <c r="E99" s="6" t="s">
        <v>2987</v>
      </c>
      <c r="F99" s="6" t="s">
        <v>3157</v>
      </c>
      <c r="G99" s="154" t="s">
        <v>2988</v>
      </c>
      <c r="H99" s="12" t="s">
        <v>2665</v>
      </c>
      <c r="I99" s="12" t="s">
        <v>2684</v>
      </c>
      <c r="J99" s="173">
        <v>24</v>
      </c>
      <c r="K99" s="171">
        <v>9.6</v>
      </c>
      <c r="L99" s="171">
        <v>14.4</v>
      </c>
      <c r="M99" s="12" t="s">
        <v>3034</v>
      </c>
      <c r="N99" s="12" t="s">
        <v>2667</v>
      </c>
      <c r="O99" s="154" t="s">
        <v>2668</v>
      </c>
      <c r="P99" s="156" t="s">
        <v>3035</v>
      </c>
    </row>
    <row r="100" spans="1:16">
      <c r="A100" s="51" t="s">
        <v>2989</v>
      </c>
      <c r="B100" s="6" t="s">
        <v>1591</v>
      </c>
      <c r="C100" s="6" t="s">
        <v>2990</v>
      </c>
      <c r="D100" s="12" t="s">
        <v>2717</v>
      </c>
      <c r="E100" s="6" t="s">
        <v>2991</v>
      </c>
      <c r="F100" s="6" t="s">
        <v>2992</v>
      </c>
      <c r="G100" s="154" t="s">
        <v>2764</v>
      </c>
      <c r="H100" s="12" t="s">
        <v>2665</v>
      </c>
      <c r="I100" s="12" t="s">
        <v>2673</v>
      </c>
      <c r="J100" s="173">
        <v>12</v>
      </c>
      <c r="K100" s="171">
        <v>4.8</v>
      </c>
      <c r="L100" s="171">
        <v>7.2</v>
      </c>
      <c r="M100" s="12" t="s">
        <v>3034</v>
      </c>
      <c r="N100" s="12" t="s">
        <v>2667</v>
      </c>
      <c r="O100" s="154" t="s">
        <v>2668</v>
      </c>
      <c r="P100" s="156" t="s">
        <v>3035</v>
      </c>
    </row>
    <row r="101" spans="1:16">
      <c r="A101" s="51" t="s">
        <v>2993</v>
      </c>
      <c r="B101" s="6" t="s">
        <v>1591</v>
      </c>
      <c r="C101" s="6" t="s">
        <v>2994</v>
      </c>
      <c r="D101" s="12" t="s">
        <v>2995</v>
      </c>
      <c r="E101" s="6" t="s">
        <v>2996</v>
      </c>
      <c r="F101" s="6" t="s">
        <v>2997</v>
      </c>
      <c r="G101" s="154" t="s">
        <v>2725</v>
      </c>
      <c r="H101" s="12" t="s">
        <v>2665</v>
      </c>
      <c r="I101" s="12" t="s">
        <v>2673</v>
      </c>
      <c r="J101" s="173">
        <v>14</v>
      </c>
      <c r="K101" s="171">
        <v>5.6</v>
      </c>
      <c r="L101" s="171">
        <v>8.4</v>
      </c>
      <c r="M101" s="12" t="s">
        <v>3034</v>
      </c>
      <c r="N101" s="12" t="s">
        <v>2674</v>
      </c>
      <c r="O101" s="154" t="s">
        <v>2668</v>
      </c>
      <c r="P101" s="156" t="s">
        <v>3035</v>
      </c>
    </row>
    <row r="102" spans="1:16">
      <c r="A102" s="51" t="s">
        <v>2998</v>
      </c>
      <c r="B102" s="6" t="s">
        <v>1591</v>
      </c>
      <c r="C102" s="6" t="s">
        <v>2999</v>
      </c>
      <c r="D102" s="12" t="s">
        <v>2814</v>
      </c>
      <c r="E102" s="6" t="s">
        <v>3000</v>
      </c>
      <c r="F102" s="6" t="s">
        <v>3001</v>
      </c>
      <c r="G102" s="154" t="s">
        <v>2731</v>
      </c>
      <c r="H102" s="12" t="s">
        <v>2665</v>
      </c>
      <c r="I102" s="12" t="s">
        <v>2666</v>
      </c>
      <c r="J102" s="173">
        <v>5</v>
      </c>
      <c r="K102" s="171">
        <v>2</v>
      </c>
      <c r="L102" s="171">
        <v>3</v>
      </c>
      <c r="M102" s="12" t="s">
        <v>3034</v>
      </c>
      <c r="N102" s="12" t="s">
        <v>2674</v>
      </c>
      <c r="O102" s="154" t="s">
        <v>2668</v>
      </c>
      <c r="P102" s="156" t="s">
        <v>3035</v>
      </c>
    </row>
    <row r="103" spans="1:16">
      <c r="A103" s="51" t="s">
        <v>3002</v>
      </c>
      <c r="B103" s="6" t="s">
        <v>1591</v>
      </c>
      <c r="C103" s="6" t="s">
        <v>3003</v>
      </c>
      <c r="D103" s="12" t="s">
        <v>2995</v>
      </c>
      <c r="E103" s="6" t="s">
        <v>3004</v>
      </c>
      <c r="F103" s="6" t="s">
        <v>3005</v>
      </c>
      <c r="G103" s="154" t="s">
        <v>2820</v>
      </c>
      <c r="H103" s="12" t="s">
        <v>2665</v>
      </c>
      <c r="I103" s="12" t="s">
        <v>2666</v>
      </c>
      <c r="J103" s="173">
        <v>6</v>
      </c>
      <c r="K103" s="171">
        <v>2.4</v>
      </c>
      <c r="L103" s="171">
        <v>3.6</v>
      </c>
      <c r="M103" s="12" t="s">
        <v>3034</v>
      </c>
      <c r="N103" s="12" t="s">
        <v>2667</v>
      </c>
      <c r="O103" s="154" t="s">
        <v>2668</v>
      </c>
      <c r="P103" s="156" t="s">
        <v>3035</v>
      </c>
    </row>
    <row r="104" spans="1:16">
      <c r="A104" s="51" t="s">
        <v>3006</v>
      </c>
      <c r="B104" s="6" t="s">
        <v>1591</v>
      </c>
      <c r="C104" s="6" t="s">
        <v>3007</v>
      </c>
      <c r="D104" s="12" t="s">
        <v>2814</v>
      </c>
      <c r="E104" s="6" t="s">
        <v>3008</v>
      </c>
      <c r="F104" s="6" t="s">
        <v>3009</v>
      </c>
      <c r="G104" s="154" t="s">
        <v>2731</v>
      </c>
      <c r="H104" s="12" t="s">
        <v>2665</v>
      </c>
      <c r="I104" s="12" t="s">
        <v>2666</v>
      </c>
      <c r="J104" s="173">
        <v>4</v>
      </c>
      <c r="K104" s="171">
        <v>1.6</v>
      </c>
      <c r="L104" s="171">
        <v>2.4</v>
      </c>
      <c r="M104" s="12" t="s">
        <v>3034</v>
      </c>
      <c r="N104" s="12" t="s">
        <v>2674</v>
      </c>
      <c r="O104" s="154" t="s">
        <v>2791</v>
      </c>
      <c r="P104" s="156" t="s">
        <v>3035</v>
      </c>
    </row>
    <row r="105" spans="1:16">
      <c r="A105" s="51" t="s">
        <v>3158</v>
      </c>
      <c r="B105" s="6" t="s">
        <v>1591</v>
      </c>
      <c r="C105" s="6" t="s">
        <v>3159</v>
      </c>
      <c r="D105" s="12" t="s">
        <v>2814</v>
      </c>
      <c r="E105" s="6" t="s">
        <v>3160</v>
      </c>
      <c r="F105" s="6" t="s">
        <v>3161</v>
      </c>
      <c r="G105" s="154" t="s">
        <v>2980</v>
      </c>
      <c r="H105" s="12" t="s">
        <v>2665</v>
      </c>
      <c r="I105" s="12" t="s">
        <v>2673</v>
      </c>
      <c r="J105" s="173">
        <v>12</v>
      </c>
      <c r="K105" s="171">
        <v>4.8</v>
      </c>
      <c r="L105" s="171">
        <v>7.2</v>
      </c>
      <c r="M105" s="12" t="s">
        <v>3034</v>
      </c>
      <c r="N105" s="12" t="s">
        <v>2667</v>
      </c>
      <c r="O105" s="154" t="s">
        <v>3043</v>
      </c>
      <c r="P105" s="156" t="s">
        <v>1595</v>
      </c>
    </row>
    <row r="106" spans="1:16">
      <c r="A106" s="51" t="s">
        <v>3162</v>
      </c>
      <c r="B106" s="6" t="s">
        <v>1591</v>
      </c>
      <c r="C106" s="6" t="s">
        <v>3163</v>
      </c>
      <c r="D106" s="12" t="s">
        <v>2779</v>
      </c>
      <c r="E106" s="6" t="s">
        <v>3164</v>
      </c>
      <c r="F106" s="6" t="s">
        <v>3165</v>
      </c>
      <c r="G106" s="154" t="s">
        <v>2980</v>
      </c>
      <c r="H106" s="12" t="s">
        <v>2665</v>
      </c>
      <c r="I106" s="12" t="s">
        <v>2666</v>
      </c>
      <c r="J106" s="173">
        <v>5</v>
      </c>
      <c r="K106" s="171">
        <v>2</v>
      </c>
      <c r="L106" s="171">
        <v>3</v>
      </c>
      <c r="M106" s="12" t="s">
        <v>3034</v>
      </c>
      <c r="N106" s="12" t="s">
        <v>2667</v>
      </c>
      <c r="O106" s="154" t="s">
        <v>3043</v>
      </c>
      <c r="P106" s="156" t="s">
        <v>1596</v>
      </c>
    </row>
    <row r="107" spans="1:16">
      <c r="A107" s="51" t="s">
        <v>3166</v>
      </c>
      <c r="B107" s="6" t="s">
        <v>1591</v>
      </c>
      <c r="C107" s="6" t="s">
        <v>3167</v>
      </c>
      <c r="D107" s="12" t="s">
        <v>2661</v>
      </c>
      <c r="E107" s="6" t="s">
        <v>3168</v>
      </c>
      <c r="F107" s="6" t="s">
        <v>3169</v>
      </c>
      <c r="G107" s="154" t="s">
        <v>2764</v>
      </c>
      <c r="H107" s="12" t="s">
        <v>2665</v>
      </c>
      <c r="I107" s="12" t="s">
        <v>2666</v>
      </c>
      <c r="J107" s="173">
        <v>6</v>
      </c>
      <c r="K107" s="171">
        <v>2.4</v>
      </c>
      <c r="L107" s="171">
        <v>3.6</v>
      </c>
      <c r="M107" s="12" t="s">
        <v>3034</v>
      </c>
      <c r="N107" s="12" t="s">
        <v>2667</v>
      </c>
      <c r="O107" s="154" t="s">
        <v>3043</v>
      </c>
      <c r="P107" s="156" t="s">
        <v>3170</v>
      </c>
    </row>
    <row r="108" spans="1:16">
      <c r="A108" s="52" t="s">
        <v>3171</v>
      </c>
      <c r="B108" s="8" t="s">
        <v>1591</v>
      </c>
      <c r="C108" s="8" t="s">
        <v>3172</v>
      </c>
      <c r="D108" s="13" t="s">
        <v>2681</v>
      </c>
      <c r="E108" s="8" t="s">
        <v>3173</v>
      </c>
      <c r="F108" s="8" t="s">
        <v>3174</v>
      </c>
      <c r="G108" s="155" t="s">
        <v>2993</v>
      </c>
      <c r="H108" s="13" t="s">
        <v>2665</v>
      </c>
      <c r="I108" s="13" t="s">
        <v>2666</v>
      </c>
      <c r="J108" s="174">
        <v>8</v>
      </c>
      <c r="K108" s="172">
        <v>3.2</v>
      </c>
      <c r="L108" s="172">
        <v>4.8</v>
      </c>
      <c r="M108" s="13" t="s">
        <v>3041</v>
      </c>
      <c r="N108" s="13" t="s">
        <v>3175</v>
      </c>
      <c r="O108" s="155" t="s">
        <v>3043</v>
      </c>
      <c r="P108" s="157" t="s">
        <v>3176</v>
      </c>
    </row>
  </sheetData>
  <autoFilter ref="A5:P108" xr:uid="{299E7693-5B40-0444-B227-D6033B94776C}"/>
  <phoneticPr fontId="2"/>
  <conditionalFormatting sqref="A6:P108">
    <cfRule type="expression" dxfId="16" priority="1">
      <formula>$M6="🟡 将来・条件付"</formula>
    </cfRule>
  </conditionalFormatting>
  <conditionalFormatting sqref="A6:P108">
    <cfRule type="expression" dxfId="15" priority="2">
      <formula>$O6="v1.2（2026-08-12 GAP監査）"</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185A0-2764-294B-9250-00ECB5CCB839}">
  <dimension ref="A1:G60"/>
  <sheetViews>
    <sheetView workbookViewId="0">
      <pane ySplit="5" topLeftCell="A6" activePane="bottomLeft" state="frozen"/>
      <selection activeCell="C1" sqref="C1"/>
      <selection pane="bottomLeft" activeCell="E31" sqref="E31"/>
    </sheetView>
  </sheetViews>
  <sheetFormatPr baseColWidth="10" defaultRowHeight="20"/>
  <cols>
    <col min="1" max="1" width="18.5703125" customWidth="1"/>
    <col min="2" max="2" width="15.7109375" customWidth="1"/>
    <col min="3" max="3" width="74.28515625" customWidth="1"/>
    <col min="4" max="4" width="41.42578125" customWidth="1"/>
    <col min="5" max="5" width="10" customWidth="1"/>
    <col min="6" max="6" width="61.42578125" customWidth="1"/>
    <col min="7" max="7" width="21.42578125" customWidth="1"/>
    <col min="9" max="9" width="24.28515625" customWidth="1"/>
    <col min="10" max="11" width="11.42578125" customWidth="1"/>
    <col min="12" max="12" width="32.85546875" customWidth="1"/>
  </cols>
  <sheetData>
    <row r="1" spans="1:7" ht="25">
      <c r="A1" s="49" t="s">
        <v>3481</v>
      </c>
    </row>
    <row r="2" spans="1:7">
      <c r="A2" s="3" t="s">
        <v>3482</v>
      </c>
    </row>
    <row r="3" spans="1:7">
      <c r="A3" s="54" t="s">
        <v>3483</v>
      </c>
    </row>
    <row r="5" spans="1:7" ht="24" customHeight="1">
      <c r="A5" s="198" t="s">
        <v>6</v>
      </c>
      <c r="B5" s="199" t="s">
        <v>16</v>
      </c>
      <c r="C5" s="199" t="s">
        <v>3466</v>
      </c>
      <c r="D5" s="199" t="s">
        <v>3484</v>
      </c>
      <c r="E5" s="199" t="s">
        <v>3185</v>
      </c>
      <c r="F5" s="199" t="s">
        <v>3485</v>
      </c>
      <c r="G5" s="200" t="s">
        <v>3443</v>
      </c>
    </row>
    <row r="6" spans="1:7">
      <c r="A6" s="5" t="s">
        <v>3486</v>
      </c>
      <c r="B6" s="189" t="s">
        <v>3487</v>
      </c>
      <c r="C6" s="6" t="s">
        <v>3488</v>
      </c>
      <c r="D6" s="211" t="s">
        <v>3489</v>
      </c>
      <c r="E6" s="169">
        <v>6</v>
      </c>
      <c r="F6" s="191" t="s">
        <v>3490</v>
      </c>
      <c r="G6" s="201" t="s">
        <v>3491</v>
      </c>
    </row>
    <row r="7" spans="1:7">
      <c r="A7" s="5" t="s">
        <v>3486</v>
      </c>
      <c r="B7" s="189" t="s">
        <v>3492</v>
      </c>
      <c r="C7" s="6" t="s">
        <v>3493</v>
      </c>
      <c r="D7" s="211" t="s">
        <v>3494</v>
      </c>
      <c r="E7" s="169">
        <v>6</v>
      </c>
      <c r="F7" s="191" t="s">
        <v>3495</v>
      </c>
      <c r="G7" s="201" t="s">
        <v>3491</v>
      </c>
    </row>
    <row r="8" spans="1:7">
      <c r="A8" s="5" t="s">
        <v>3486</v>
      </c>
      <c r="B8" s="189" t="s">
        <v>3496</v>
      </c>
      <c r="C8" s="6" t="s">
        <v>3497</v>
      </c>
      <c r="D8" s="211" t="s">
        <v>3498</v>
      </c>
      <c r="E8" s="169">
        <v>6</v>
      </c>
      <c r="F8" s="191" t="s">
        <v>3499</v>
      </c>
      <c r="G8" s="201" t="s">
        <v>3491</v>
      </c>
    </row>
    <row r="9" spans="1:7">
      <c r="A9" s="5" t="s">
        <v>3486</v>
      </c>
      <c r="B9" s="189" t="s">
        <v>3500</v>
      </c>
      <c r="C9" s="6" t="s">
        <v>3501</v>
      </c>
      <c r="D9" s="211" t="s">
        <v>3502</v>
      </c>
      <c r="E9" s="169">
        <v>5</v>
      </c>
      <c r="F9" s="191" t="s">
        <v>3503</v>
      </c>
      <c r="G9" s="201" t="s">
        <v>3491</v>
      </c>
    </row>
    <row r="10" spans="1:7">
      <c r="A10" s="5" t="s">
        <v>3486</v>
      </c>
      <c r="B10" s="189" t="s">
        <v>3504</v>
      </c>
      <c r="C10" s="6" t="s">
        <v>3505</v>
      </c>
      <c r="D10" s="211" t="s">
        <v>3506</v>
      </c>
      <c r="E10" s="169">
        <v>5</v>
      </c>
      <c r="F10" s="191" t="s">
        <v>3507</v>
      </c>
      <c r="G10" s="201" t="s">
        <v>3491</v>
      </c>
    </row>
    <row r="11" spans="1:7">
      <c r="A11" s="5" t="s">
        <v>3486</v>
      </c>
      <c r="B11" s="189" t="s">
        <v>3508</v>
      </c>
      <c r="C11" s="6" t="s">
        <v>3509</v>
      </c>
      <c r="D11" s="211" t="s">
        <v>3510</v>
      </c>
      <c r="E11" s="169">
        <v>6</v>
      </c>
      <c r="F11" s="191" t="s">
        <v>3511</v>
      </c>
      <c r="G11" s="201" t="s">
        <v>3491</v>
      </c>
    </row>
    <row r="12" spans="1:7">
      <c r="A12" s="5" t="s">
        <v>3486</v>
      </c>
      <c r="B12" s="189" t="s">
        <v>3512</v>
      </c>
      <c r="C12" s="6" t="s">
        <v>3513</v>
      </c>
      <c r="D12" s="211" t="s">
        <v>3514</v>
      </c>
      <c r="E12" s="169">
        <v>4</v>
      </c>
      <c r="F12" s="191" t="s">
        <v>3515</v>
      </c>
      <c r="G12" s="201" t="s">
        <v>3491</v>
      </c>
    </row>
    <row r="13" spans="1:7">
      <c r="A13" s="5" t="s">
        <v>3516</v>
      </c>
      <c r="B13" s="189" t="s">
        <v>3517</v>
      </c>
      <c r="C13" s="6" t="s">
        <v>3518</v>
      </c>
      <c r="D13" s="211" t="s">
        <v>3519</v>
      </c>
      <c r="E13" s="169">
        <v>12</v>
      </c>
      <c r="F13" s="191" t="s">
        <v>3520</v>
      </c>
      <c r="G13" s="201" t="s">
        <v>3491</v>
      </c>
    </row>
    <row r="14" spans="1:7">
      <c r="A14" s="5" t="s">
        <v>3516</v>
      </c>
      <c r="B14" s="189" t="s">
        <v>3521</v>
      </c>
      <c r="C14" s="6" t="s">
        <v>3522</v>
      </c>
      <c r="D14" s="211" t="s">
        <v>3523</v>
      </c>
      <c r="E14" s="169">
        <v>10</v>
      </c>
      <c r="F14" s="191" t="s">
        <v>3524</v>
      </c>
      <c r="G14" s="201" t="s">
        <v>3491</v>
      </c>
    </row>
    <row r="15" spans="1:7">
      <c r="A15" s="5" t="s">
        <v>3516</v>
      </c>
      <c r="B15" s="189" t="s">
        <v>3525</v>
      </c>
      <c r="C15" s="6" t="s">
        <v>3526</v>
      </c>
      <c r="D15" s="211" t="s">
        <v>3527</v>
      </c>
      <c r="E15" s="169">
        <v>12</v>
      </c>
      <c r="F15" s="191" t="s">
        <v>3528</v>
      </c>
      <c r="G15" s="201" t="s">
        <v>3491</v>
      </c>
    </row>
    <row r="16" spans="1:7">
      <c r="A16" s="5" t="s">
        <v>3516</v>
      </c>
      <c r="B16" s="189" t="s">
        <v>3529</v>
      </c>
      <c r="C16" s="6" t="s">
        <v>3530</v>
      </c>
      <c r="D16" s="211" t="s">
        <v>3531</v>
      </c>
      <c r="E16" s="169">
        <v>10</v>
      </c>
      <c r="F16" s="191" t="s">
        <v>3532</v>
      </c>
      <c r="G16" s="201" t="s">
        <v>3491</v>
      </c>
    </row>
    <row r="17" spans="1:7">
      <c r="A17" s="5" t="s">
        <v>3516</v>
      </c>
      <c r="B17" s="189" t="s">
        <v>3533</v>
      </c>
      <c r="C17" s="6" t="s">
        <v>3534</v>
      </c>
      <c r="D17" s="211" t="s">
        <v>3535</v>
      </c>
      <c r="E17" s="169">
        <v>12</v>
      </c>
      <c r="F17" s="191" t="s">
        <v>3467</v>
      </c>
      <c r="G17" s="201" t="s">
        <v>3491</v>
      </c>
    </row>
    <row r="18" spans="1:7">
      <c r="A18" s="5" t="s">
        <v>3516</v>
      </c>
      <c r="B18" s="189" t="s">
        <v>3536</v>
      </c>
      <c r="C18" s="6" t="s">
        <v>3537</v>
      </c>
      <c r="D18" s="211" t="s">
        <v>3538</v>
      </c>
      <c r="E18" s="169">
        <v>8</v>
      </c>
      <c r="F18" s="191" t="s">
        <v>3468</v>
      </c>
      <c r="G18" s="201" t="s">
        <v>3491</v>
      </c>
    </row>
    <row r="19" spans="1:7">
      <c r="A19" s="5" t="s">
        <v>3516</v>
      </c>
      <c r="B19" s="189" t="s">
        <v>3539</v>
      </c>
      <c r="C19" s="6" t="s">
        <v>3540</v>
      </c>
      <c r="D19" s="211" t="s">
        <v>3541</v>
      </c>
      <c r="E19" s="169">
        <v>12</v>
      </c>
      <c r="F19" s="191" t="s">
        <v>3542</v>
      </c>
      <c r="G19" s="201" t="s">
        <v>3491</v>
      </c>
    </row>
    <row r="20" spans="1:7">
      <c r="A20" s="5" t="s">
        <v>3516</v>
      </c>
      <c r="B20" s="189" t="s">
        <v>3543</v>
      </c>
      <c r="C20" s="6" t="s">
        <v>3544</v>
      </c>
      <c r="D20" s="211" t="s">
        <v>3545</v>
      </c>
      <c r="E20" s="169">
        <v>6</v>
      </c>
      <c r="F20" s="191" t="s">
        <v>3546</v>
      </c>
      <c r="G20" s="201" t="s">
        <v>3491</v>
      </c>
    </row>
    <row r="21" spans="1:7">
      <c r="A21" s="5" t="s">
        <v>3516</v>
      </c>
      <c r="B21" s="189" t="s">
        <v>3547</v>
      </c>
      <c r="C21" s="6" t="s">
        <v>3548</v>
      </c>
      <c r="D21" s="211" t="s">
        <v>3549</v>
      </c>
      <c r="E21" s="169">
        <v>5</v>
      </c>
      <c r="F21" s="191" t="s">
        <v>3550</v>
      </c>
      <c r="G21" s="201" t="s">
        <v>3491</v>
      </c>
    </row>
    <row r="22" spans="1:7">
      <c r="A22" s="5" t="s">
        <v>3551</v>
      </c>
      <c r="B22" s="189" t="s">
        <v>3552</v>
      </c>
      <c r="C22" s="6" t="s">
        <v>3553</v>
      </c>
      <c r="D22" s="211" t="s">
        <v>3554</v>
      </c>
      <c r="E22" s="169">
        <v>10</v>
      </c>
      <c r="F22" s="191" t="s">
        <v>3555</v>
      </c>
      <c r="G22" s="201" t="s">
        <v>1913</v>
      </c>
    </row>
    <row r="23" spans="1:7">
      <c r="A23" s="5" t="s">
        <v>3551</v>
      </c>
      <c r="B23" s="189" t="s">
        <v>3556</v>
      </c>
      <c r="C23" s="6" t="s">
        <v>3557</v>
      </c>
      <c r="D23" s="211" t="s">
        <v>3558</v>
      </c>
      <c r="E23" s="169">
        <v>8</v>
      </c>
      <c r="F23" s="191" t="s">
        <v>3559</v>
      </c>
      <c r="G23" s="201" t="s">
        <v>1913</v>
      </c>
    </row>
    <row r="24" spans="1:7">
      <c r="A24" s="5" t="s">
        <v>3551</v>
      </c>
      <c r="B24" s="189" t="s">
        <v>3560</v>
      </c>
      <c r="C24" s="6" t="s">
        <v>3561</v>
      </c>
      <c r="D24" s="211" t="s">
        <v>3562</v>
      </c>
      <c r="E24" s="169">
        <v>12</v>
      </c>
      <c r="F24" s="191" t="s">
        <v>3563</v>
      </c>
      <c r="G24" s="201" t="s">
        <v>1913</v>
      </c>
    </row>
    <row r="25" spans="1:7">
      <c r="A25" s="5" t="s">
        <v>3551</v>
      </c>
      <c r="B25" s="189" t="s">
        <v>3564</v>
      </c>
      <c r="C25" s="6" t="s">
        <v>3565</v>
      </c>
      <c r="D25" s="211" t="s">
        <v>3566</v>
      </c>
      <c r="E25" s="169">
        <v>8</v>
      </c>
      <c r="F25" s="191" t="s">
        <v>3567</v>
      </c>
      <c r="G25" s="201" t="s">
        <v>1913</v>
      </c>
    </row>
    <row r="26" spans="1:7">
      <c r="A26" s="5" t="s">
        <v>3568</v>
      </c>
      <c r="B26" s="189" t="s">
        <v>3569</v>
      </c>
      <c r="C26" s="6" t="s">
        <v>3570</v>
      </c>
      <c r="D26" s="211" t="s">
        <v>3571</v>
      </c>
      <c r="E26" s="169">
        <v>18</v>
      </c>
      <c r="F26" s="191" t="s">
        <v>3572</v>
      </c>
      <c r="G26" s="201" t="s">
        <v>3491</v>
      </c>
    </row>
    <row r="27" spans="1:7">
      <c r="A27" s="5" t="s">
        <v>3568</v>
      </c>
      <c r="B27" s="189" t="s">
        <v>3573</v>
      </c>
      <c r="C27" s="6" t="s">
        <v>3574</v>
      </c>
      <c r="D27" s="211" t="s">
        <v>3575</v>
      </c>
      <c r="E27" s="169">
        <v>14</v>
      </c>
      <c r="F27" s="191" t="s">
        <v>3576</v>
      </c>
      <c r="G27" s="201" t="s">
        <v>3491</v>
      </c>
    </row>
    <row r="28" spans="1:7">
      <c r="A28" s="5" t="s">
        <v>3568</v>
      </c>
      <c r="B28" s="189" t="s">
        <v>3577</v>
      </c>
      <c r="C28" s="6" t="s">
        <v>3578</v>
      </c>
      <c r="D28" s="211" t="s">
        <v>3579</v>
      </c>
      <c r="E28" s="169">
        <v>12</v>
      </c>
      <c r="F28" s="191" t="s">
        <v>3580</v>
      </c>
      <c r="G28" s="201" t="s">
        <v>3491</v>
      </c>
    </row>
    <row r="29" spans="1:7">
      <c r="A29" s="5" t="s">
        <v>3568</v>
      </c>
      <c r="B29" s="189" t="s">
        <v>3581</v>
      </c>
      <c r="C29" s="6" t="s">
        <v>3582</v>
      </c>
      <c r="D29" s="211" t="s">
        <v>3583</v>
      </c>
      <c r="E29" s="169">
        <v>8</v>
      </c>
      <c r="F29" s="191" t="s">
        <v>3584</v>
      </c>
      <c r="G29" s="201" t="s">
        <v>3491</v>
      </c>
    </row>
    <row r="30" spans="1:7">
      <c r="A30" s="5" t="s">
        <v>3568</v>
      </c>
      <c r="B30" s="189" t="s">
        <v>3585</v>
      </c>
      <c r="C30" s="6" t="s">
        <v>3586</v>
      </c>
      <c r="D30" s="211" t="s">
        <v>3587</v>
      </c>
      <c r="E30" s="169">
        <v>6</v>
      </c>
      <c r="F30" s="191" t="s">
        <v>3588</v>
      </c>
      <c r="G30" s="201" t="s">
        <v>3491</v>
      </c>
    </row>
    <row r="31" spans="1:7">
      <c r="A31" s="5" t="s">
        <v>3568</v>
      </c>
      <c r="B31" s="189" t="s">
        <v>3589</v>
      </c>
      <c r="C31" s="6" t="s">
        <v>3590</v>
      </c>
      <c r="D31" s="211" t="s">
        <v>3591</v>
      </c>
      <c r="E31" s="169">
        <v>6</v>
      </c>
      <c r="F31" s="191" t="s">
        <v>3592</v>
      </c>
      <c r="G31" s="201" t="s">
        <v>3491</v>
      </c>
    </row>
    <row r="32" spans="1:7">
      <c r="A32" s="5" t="s">
        <v>3593</v>
      </c>
      <c r="B32" s="189" t="s">
        <v>3594</v>
      </c>
      <c r="C32" s="6" t="s">
        <v>3595</v>
      </c>
      <c r="D32" s="211" t="s">
        <v>3596</v>
      </c>
      <c r="E32" s="169">
        <v>12</v>
      </c>
      <c r="F32" s="191" t="s">
        <v>3597</v>
      </c>
      <c r="G32" s="201" t="s">
        <v>3491</v>
      </c>
    </row>
    <row r="33" spans="1:7">
      <c r="A33" s="5" t="s">
        <v>3593</v>
      </c>
      <c r="B33" s="189" t="s">
        <v>3598</v>
      </c>
      <c r="C33" s="6" t="s">
        <v>3599</v>
      </c>
      <c r="D33" s="211" t="s">
        <v>3600</v>
      </c>
      <c r="E33" s="169">
        <v>8</v>
      </c>
      <c r="F33" s="191" t="s">
        <v>3601</v>
      </c>
      <c r="G33" s="201" t="s">
        <v>3491</v>
      </c>
    </row>
    <row r="34" spans="1:7">
      <c r="A34" s="5" t="s">
        <v>3593</v>
      </c>
      <c r="B34" s="189" t="s">
        <v>3602</v>
      </c>
      <c r="C34" s="6" t="s">
        <v>3603</v>
      </c>
      <c r="D34" s="211" t="s">
        <v>3604</v>
      </c>
      <c r="E34" s="169">
        <v>8</v>
      </c>
      <c r="F34" s="191" t="s">
        <v>3605</v>
      </c>
      <c r="G34" s="201" t="s">
        <v>3491</v>
      </c>
    </row>
    <row r="35" spans="1:7">
      <c r="A35" s="5" t="s">
        <v>3593</v>
      </c>
      <c r="B35" s="189" t="s">
        <v>3606</v>
      </c>
      <c r="C35" s="6" t="s">
        <v>3607</v>
      </c>
      <c r="D35" s="211" t="s">
        <v>3608</v>
      </c>
      <c r="E35" s="169">
        <v>6</v>
      </c>
      <c r="F35" s="191" t="s">
        <v>3609</v>
      </c>
      <c r="G35" s="201" t="s">
        <v>3491</v>
      </c>
    </row>
    <row r="36" spans="1:7">
      <c r="A36" s="5" t="s">
        <v>3593</v>
      </c>
      <c r="B36" s="189" t="s">
        <v>3610</v>
      </c>
      <c r="C36" s="6" t="s">
        <v>3611</v>
      </c>
      <c r="D36" s="211" t="s">
        <v>3612</v>
      </c>
      <c r="E36" s="169">
        <v>6</v>
      </c>
      <c r="F36" s="191" t="s">
        <v>3613</v>
      </c>
      <c r="G36" s="201" t="s">
        <v>3491</v>
      </c>
    </row>
    <row r="37" spans="1:7">
      <c r="A37" s="5" t="s">
        <v>3614</v>
      </c>
      <c r="B37" s="189" t="s">
        <v>3615</v>
      </c>
      <c r="C37" s="6" t="s">
        <v>3616</v>
      </c>
      <c r="D37" s="211" t="s">
        <v>3617</v>
      </c>
      <c r="E37" s="169">
        <v>15</v>
      </c>
      <c r="F37" s="191" t="s">
        <v>3618</v>
      </c>
      <c r="G37" s="201" t="s">
        <v>1913</v>
      </c>
    </row>
    <row r="38" spans="1:7">
      <c r="A38" s="5" t="s">
        <v>3614</v>
      </c>
      <c r="B38" s="189" t="s">
        <v>3619</v>
      </c>
      <c r="C38" s="6" t="s">
        <v>3620</v>
      </c>
      <c r="D38" s="211" t="s">
        <v>3621</v>
      </c>
      <c r="E38" s="169">
        <v>8</v>
      </c>
      <c r="F38" s="191" t="s">
        <v>3622</v>
      </c>
      <c r="G38" s="201" t="s">
        <v>3491</v>
      </c>
    </row>
    <row r="39" spans="1:7">
      <c r="A39" s="5" t="s">
        <v>3614</v>
      </c>
      <c r="B39" s="189" t="s">
        <v>3623</v>
      </c>
      <c r="C39" s="6" t="s">
        <v>3624</v>
      </c>
      <c r="D39" s="211" t="s">
        <v>3625</v>
      </c>
      <c r="E39" s="169">
        <v>6</v>
      </c>
      <c r="F39" s="191" t="s">
        <v>3626</v>
      </c>
      <c r="G39" s="201" t="s">
        <v>3491</v>
      </c>
    </row>
    <row r="40" spans="1:7">
      <c r="A40" s="5" t="s">
        <v>3614</v>
      </c>
      <c r="B40" s="189" t="s">
        <v>3627</v>
      </c>
      <c r="C40" s="6" t="s">
        <v>3628</v>
      </c>
      <c r="D40" s="211" t="s">
        <v>3629</v>
      </c>
      <c r="E40" s="169">
        <v>5</v>
      </c>
      <c r="F40" s="191" t="s">
        <v>3630</v>
      </c>
      <c r="G40" s="201" t="s">
        <v>3491</v>
      </c>
    </row>
    <row r="41" spans="1:7">
      <c r="A41" s="5" t="s">
        <v>3614</v>
      </c>
      <c r="B41" s="189" t="s">
        <v>3631</v>
      </c>
      <c r="C41" s="6" t="s">
        <v>3632</v>
      </c>
      <c r="D41" s="211" t="s">
        <v>3633</v>
      </c>
      <c r="E41" s="169">
        <v>4</v>
      </c>
      <c r="F41" s="191" t="s">
        <v>3634</v>
      </c>
      <c r="G41" s="201" t="s">
        <v>3491</v>
      </c>
    </row>
    <row r="42" spans="1:7">
      <c r="A42" s="5" t="s">
        <v>3635</v>
      </c>
      <c r="B42" s="189" t="s">
        <v>3636</v>
      </c>
      <c r="C42" s="6" t="s">
        <v>3637</v>
      </c>
      <c r="D42" s="211" t="s">
        <v>3638</v>
      </c>
      <c r="E42" s="169">
        <v>10</v>
      </c>
      <c r="F42" s="191" t="s">
        <v>3639</v>
      </c>
      <c r="G42" s="201" t="s">
        <v>3491</v>
      </c>
    </row>
    <row r="43" spans="1:7">
      <c r="A43" s="5" t="s">
        <v>3635</v>
      </c>
      <c r="B43" s="189" t="s">
        <v>3640</v>
      </c>
      <c r="C43" s="6" t="s">
        <v>3641</v>
      </c>
      <c r="D43" s="211" t="s">
        <v>3642</v>
      </c>
      <c r="E43" s="169">
        <v>12</v>
      </c>
      <c r="F43" s="191" t="s">
        <v>3643</v>
      </c>
      <c r="G43" s="201" t="s">
        <v>3491</v>
      </c>
    </row>
    <row r="44" spans="1:7">
      <c r="A44" s="5" t="s">
        <v>3635</v>
      </c>
      <c r="B44" s="189" t="s">
        <v>3644</v>
      </c>
      <c r="C44" s="6" t="s">
        <v>3645</v>
      </c>
      <c r="D44" s="211" t="s">
        <v>3646</v>
      </c>
      <c r="E44" s="169">
        <v>8</v>
      </c>
      <c r="F44" s="191" t="s">
        <v>3647</v>
      </c>
      <c r="G44" s="201" t="s">
        <v>3491</v>
      </c>
    </row>
    <row r="45" spans="1:7">
      <c r="A45" s="5" t="s">
        <v>3635</v>
      </c>
      <c r="B45" s="189" t="s">
        <v>3648</v>
      </c>
      <c r="C45" s="6" t="s">
        <v>3649</v>
      </c>
      <c r="D45" s="211" t="s">
        <v>3650</v>
      </c>
      <c r="E45" s="169">
        <v>6</v>
      </c>
      <c r="F45" s="191" t="s">
        <v>3651</v>
      </c>
      <c r="G45" s="201" t="s">
        <v>3491</v>
      </c>
    </row>
    <row r="46" spans="1:7">
      <c r="A46" s="5" t="s">
        <v>3652</v>
      </c>
      <c r="B46" s="189" t="s">
        <v>3653</v>
      </c>
      <c r="C46" s="6" t="s">
        <v>3654</v>
      </c>
      <c r="D46" s="211" t="s">
        <v>3655</v>
      </c>
      <c r="E46" s="169">
        <v>8</v>
      </c>
      <c r="F46" s="191" t="s">
        <v>3656</v>
      </c>
      <c r="G46" s="201" t="s">
        <v>3491</v>
      </c>
    </row>
    <row r="47" spans="1:7">
      <c r="A47" s="5" t="s">
        <v>3652</v>
      </c>
      <c r="B47" s="189" t="s">
        <v>3657</v>
      </c>
      <c r="C47" s="6" t="s">
        <v>3658</v>
      </c>
      <c r="D47" s="211" t="s">
        <v>3659</v>
      </c>
      <c r="E47" s="169">
        <v>6</v>
      </c>
      <c r="F47" s="191" t="s">
        <v>3660</v>
      </c>
      <c r="G47" s="201" t="s">
        <v>3491</v>
      </c>
    </row>
    <row r="48" spans="1:7">
      <c r="A48" s="7" t="s">
        <v>3652</v>
      </c>
      <c r="B48" s="190" t="s">
        <v>3661</v>
      </c>
      <c r="C48" s="8" t="s">
        <v>3662</v>
      </c>
      <c r="D48" s="212" t="s">
        <v>3663</v>
      </c>
      <c r="E48" s="170">
        <v>8</v>
      </c>
      <c r="F48" s="192" t="s">
        <v>3664</v>
      </c>
      <c r="G48" s="202" t="s">
        <v>3491</v>
      </c>
    </row>
    <row r="50" spans="1:6">
      <c r="A50" s="175" t="s">
        <v>3666</v>
      </c>
    </row>
    <row r="51" spans="1:6">
      <c r="A51" s="203" t="s">
        <v>6</v>
      </c>
      <c r="B51" s="204" t="s">
        <v>3469</v>
      </c>
      <c r="C51" s="204" t="s">
        <v>3667</v>
      </c>
      <c r="D51" s="204" t="s">
        <v>3668</v>
      </c>
      <c r="E51" s="205" t="s">
        <v>3457</v>
      </c>
    </row>
    <row r="52" spans="1:6">
      <c r="A52" s="23" t="s">
        <v>3486</v>
      </c>
      <c r="B52" s="30">
        <f>COUNTIF($A$6:$A$48,$A52)</f>
        <v>7</v>
      </c>
      <c r="C52" s="30">
        <f>SUMIF($A$6:$A$48,$A52,$E$6:$E$48)</f>
        <v>38</v>
      </c>
      <c r="D52" s="30">
        <v>38</v>
      </c>
      <c r="E52" s="159"/>
    </row>
    <row r="53" spans="1:6">
      <c r="A53" s="23" t="s">
        <v>3516</v>
      </c>
      <c r="B53" s="30">
        <f>COUNTIF($A$6:$A$48,$A53)</f>
        <v>9</v>
      </c>
      <c r="C53" s="30">
        <f>SUMIF($A$6:$A$48,$A53,$E$6:$E$48)</f>
        <v>87</v>
      </c>
      <c r="D53" s="30">
        <v>87</v>
      </c>
      <c r="E53" s="159"/>
    </row>
    <row r="54" spans="1:6">
      <c r="A54" s="23" t="s">
        <v>3551</v>
      </c>
      <c r="B54" s="30">
        <f>COUNTIF($A$6:$A$48,$A54)</f>
        <v>4</v>
      </c>
      <c r="C54" s="30">
        <f>SUMIF($A$6:$A$48,$A54,$E$6:$E$48)</f>
        <v>38</v>
      </c>
      <c r="D54" s="30">
        <v>38</v>
      </c>
      <c r="E54" s="159"/>
    </row>
    <row r="55" spans="1:6">
      <c r="A55" s="23" t="s">
        <v>3568</v>
      </c>
      <c r="B55" s="30">
        <f>COUNTIF($A$6:$A$48,$A55)</f>
        <v>6</v>
      </c>
      <c r="C55" s="30">
        <f>SUMIF($A$6:$A$48,$A55,$E$6:$E$48)</f>
        <v>64</v>
      </c>
      <c r="D55" s="30">
        <v>64</v>
      </c>
      <c r="E55" s="159"/>
    </row>
    <row r="56" spans="1:6">
      <c r="A56" s="23" t="s">
        <v>3593</v>
      </c>
      <c r="B56" s="30">
        <f>COUNTIF($A$6:$A$48,$A56)</f>
        <v>5</v>
      </c>
      <c r="C56" s="30">
        <f>SUMIF($A$6:$A$48,$A56,$E$6:$E$48)</f>
        <v>40</v>
      </c>
      <c r="D56" s="30">
        <v>40</v>
      </c>
      <c r="E56" s="159"/>
    </row>
    <row r="57" spans="1:6">
      <c r="A57" s="23" t="s">
        <v>3614</v>
      </c>
      <c r="B57" s="30">
        <f>COUNTIF($A$6:$A$48,$A57)</f>
        <v>5</v>
      </c>
      <c r="C57" s="30">
        <f>SUMIF($A$6:$A$48,$A57,$E$6:$E$48)</f>
        <v>38</v>
      </c>
      <c r="D57" s="30">
        <v>38</v>
      </c>
      <c r="E57" s="159"/>
    </row>
    <row r="58" spans="1:6">
      <c r="A58" s="23" t="s">
        <v>3635</v>
      </c>
      <c r="B58" s="30">
        <f>COUNTIF($A$6:$A$48,$A58)</f>
        <v>4</v>
      </c>
      <c r="C58" s="30">
        <f>SUMIF($A$6:$A$48,$A58,$E$6:$E$48)</f>
        <v>36</v>
      </c>
      <c r="D58" s="30">
        <v>36</v>
      </c>
      <c r="E58" s="159"/>
    </row>
    <row r="59" spans="1:6">
      <c r="A59" s="23" t="s">
        <v>3652</v>
      </c>
      <c r="B59" s="30">
        <f>COUNTIF($A$6:$A$48,$A59)</f>
        <v>3</v>
      </c>
      <c r="C59" s="30">
        <f>SUMIF($A$6:$A$48,$A59,$E$6:$E$48)</f>
        <v>22</v>
      </c>
      <c r="D59" s="30">
        <v>22</v>
      </c>
      <c r="E59" s="159"/>
    </row>
    <row r="60" spans="1:6">
      <c r="A60" s="25" t="s">
        <v>13</v>
      </c>
      <c r="B60" s="31">
        <f>SUM(B52:B59)</f>
        <v>43</v>
      </c>
      <c r="C60" s="31">
        <f>SUM(C52:C59)</f>
        <v>363</v>
      </c>
      <c r="D60" s="31">
        <f>SUM(D52:D59)</f>
        <v>363</v>
      </c>
      <c r="E60" s="160">
        <f>SUM(E52:E59)</f>
        <v>0</v>
      </c>
      <c r="F60" s="16" t="str">
        <f>IF(AND(B60=COUNTA($B$6:$B$48),C60=363,E60=0),"✓ 43項目・363人日・差分0で一致","⚠ 不一致")</f>
        <v>✓ 43項目・363人日・差分0で一致</v>
      </c>
    </row>
  </sheetData>
  <autoFilter ref="A5:G48" xr:uid="{513185A0-2764-294B-9250-00ECB5CCB839}"/>
  <phoneticPr fontId="2"/>
  <conditionalFormatting sqref="A6:G48">
    <cfRule type="expression" dxfId="10" priority="1">
      <formula>$G6="外部待ち"</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10</vt:i4>
      </vt:variant>
    </vt:vector>
  </HeadingPairs>
  <TitlesOfParts>
    <vt:vector size="10" baseType="lpstr">
      <vt:lpstr>ダッシュボード</vt:lpstr>
      <vt:lpstr>サマリー</vt:lpstr>
      <vt:lpstr>進捗一覧</vt:lpstr>
      <vt:lpstr>設計決定一覧</vt:lpstr>
      <vt:lpstr>要件→設計</vt:lpstr>
      <vt:lpstr>設計→要件</vt:lpstr>
      <vt:lpstr>ADR一覧</vt:lpstr>
      <vt:lpstr>WBS(基本設計)</vt:lpstr>
      <vt:lpstr>WBS(詳細設計_製造)</vt:lpstr>
      <vt:lpstr>WBS(テスト)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2026-08-10T06:54:40Z</dcterms:created>
  <dcterms:modified xsi:type="dcterms:W3CDTF">2026-08-14T07:02:34Z</dcterms:modified>
</cp:coreProperties>
</file>