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311"/>
  <workbookPr defaultThemeVersion="202300"/>
  <mc:AlternateContent xmlns:mc="http://schemas.openxmlformats.org/markup-compatibility/2006">
    <mc:Choice Requires="x15">
      <x15ac:absPath xmlns:x15ac="http://schemas.microsoft.com/office/spreadsheetml/2010/11/ac" url="/Users/suepie/Develop/10_project/aws-atuh-poc/doc/excel/"/>
    </mc:Choice>
  </mc:AlternateContent>
  <xr:revisionPtr revIDLastSave="0" documentId="13_ncr:1_{46A532A3-CF36-0244-A980-4D74536AB264}" xr6:coauthVersionLast="47" xr6:coauthVersionMax="47" xr10:uidLastSave="{00000000-0000-0000-0000-000000000000}"/>
  <bookViews>
    <workbookView xWindow="0" yWindow="780" windowWidth="34200" windowHeight="21460" firstSheet="8" activeTab="9" xr2:uid="{B021B529-7D79-6D49-8055-5FE1DF3A55F9}"/>
  </bookViews>
  <sheets>
    <sheet name="調査依頼プロンプト（一時）" sheetId="11" r:id="rId1"/>
    <sheet name="コスト見積もり" sheetId="12" r:id="rId2"/>
    <sheet name="ダッシュボード" sheetId="7" r:id="rId3"/>
    <sheet name="サマリー" sheetId="2" r:id="rId4"/>
    <sheet name="進捗一覧" sheetId="1" r:id="rId5"/>
    <sheet name="設計決定一覧" sheetId="3" r:id="rId6"/>
    <sheet name="要件→設計" sheetId="4" r:id="rId7"/>
    <sheet name="設計→要件" sheetId="5" r:id="rId8"/>
    <sheet name="ADR一覧" sheetId="6" r:id="rId9"/>
    <sheet name="WBS(基本設計)" sheetId="9" r:id="rId10"/>
    <sheet name="WBS(詳細設計_製造)" sheetId="8" r:id="rId11"/>
    <sheet name="WBS(テスト)" sheetId="10" r:id="rId12"/>
    <sheet name="Git照合スクリプト" sheetId="13" r:id="rId13"/>
    <sheet name="DR案別コスト" sheetId="14" r:id="rId14"/>
    <sheet name="RH照会" sheetId="22" r:id="rId15"/>
    <sheet name="RH照会_メール添付用" sheetId="23" r:id="rId16"/>
    <sheet name="QA(方式検討)" sheetId="24" r:id="rId17"/>
    <sheet name="分岐プール" sheetId="25" r:id="rId18"/>
    <sheet name="機能一覧" sheetId="26" r:id="rId19"/>
  </sheets>
  <definedNames>
    <definedName name="_xlnm._FilterDatabase" localSheetId="8" hidden="1">ADR一覧!$A$5:$E$72</definedName>
    <definedName name="_xlnm._FilterDatabase" localSheetId="16" hidden="1">'QA(方式検討)'!$A$6:$M$13</definedName>
    <definedName name="_xlnm._FilterDatabase" localSheetId="14" hidden="1">RH照会!$A$5:$N$48</definedName>
    <definedName name="_xlnm._FilterDatabase" localSheetId="11" hidden="1">'WBS(テスト)'!$A$5:$G$51</definedName>
    <definedName name="_xlnm._FilterDatabase" localSheetId="9" hidden="1">'WBS(基本設計)'!$A$6:$P$418</definedName>
    <definedName name="_xlnm._FilterDatabase" localSheetId="10" hidden="1">'WBS(詳細設計_製造)'!$A$5:$N$184</definedName>
    <definedName name="_xlnm._FilterDatabase" localSheetId="1" hidden="1">コスト見積もり!$A$24:$M$59</definedName>
    <definedName name="_xlnm._FilterDatabase" localSheetId="18" hidden="1">機能一覧!$A$6:$H$97</definedName>
    <definedName name="_xlnm._FilterDatabase" localSheetId="4" hidden="1">進捗一覧!$A$3:$T$337</definedName>
    <definedName name="_xlnm._FilterDatabase" localSheetId="7" hidden="1">設計→要件!$A$5:$F$55</definedName>
    <definedName name="_xlnm._FilterDatabase" localSheetId="5" hidden="1">設計決定一覧!$A$4:$E$189</definedName>
    <definedName name="_xlnm._FilterDatabase" localSheetId="17" hidden="1">分岐プール!$A$7:$F$42</definedName>
    <definedName name="_xlnm._FilterDatabase" localSheetId="6" hidden="1">要件→設計!$A$4:$H$183</definedName>
    <definedName name="_xlnm.Print_Area" localSheetId="16">'QA(方式検討)'!$A$1:$I$13</definedName>
    <definedName name="_xlnm.Print_Area" localSheetId="14">RH照会!$A$1:$J$48</definedName>
    <definedName name="_xlnm.Print_Area" localSheetId="15">RH照会_メール添付用!$A$1:$C$47</definedName>
    <definedName name="_xlnm.Print_Titles" localSheetId="16">'QA(方式検討)'!$6:$6</definedName>
    <definedName name="_xlnm.Print_Titles" localSheetId="14">RH照会!$5:$5</definedName>
    <definedName name="_xlnm.Print_Titles" localSheetId="15">RH照会_メール添付用!$4:$4</definedName>
  </definedNames>
  <calcPr calcId="18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J42" i="2" l="1"/>
  <c r="I42" i="2"/>
  <c r="B50" i="25"/>
  <c r="B49" i="25"/>
  <c r="B48" i="25"/>
  <c r="B47" i="25"/>
  <c r="B46" i="25"/>
  <c r="Y17" i="8"/>
  <c r="E70" i="10"/>
  <c r="E69" i="10"/>
  <c r="E68" i="10"/>
  <c r="E67" i="10"/>
  <c r="E66" i="10"/>
  <c r="E65" i="10"/>
  <c r="E64" i="10"/>
  <c r="E63" i="10"/>
  <c r="E62" i="10"/>
  <c r="E61" i="10"/>
  <c r="E60" i="10"/>
  <c r="C70" i="10"/>
  <c r="B70" i="10"/>
  <c r="C69" i="10"/>
  <c r="B69" i="10"/>
  <c r="C68" i="10"/>
  <c r="B68" i="10"/>
  <c r="C67" i="10"/>
  <c r="B67" i="10"/>
  <c r="C66" i="10"/>
  <c r="B66" i="10"/>
  <c r="C65" i="10"/>
  <c r="B65" i="10"/>
  <c r="C64" i="10"/>
  <c r="B64" i="10"/>
  <c r="C63" i="10"/>
  <c r="B63" i="10"/>
  <c r="C62" i="10"/>
  <c r="B62" i="10"/>
  <c r="C61" i="10"/>
  <c r="B61" i="10"/>
  <c r="C60" i="10"/>
  <c r="B60" i="10"/>
  <c r="D81" i="10"/>
  <c r="A5" i="7"/>
  <c r="E5" i="7"/>
  <c r="I5" i="7"/>
  <c r="A6" i="7"/>
  <c r="A9" i="7"/>
  <c r="B9" i="7"/>
  <c r="F10" i="7"/>
  <c r="G10" i="7" s="1"/>
  <c r="F11" i="7"/>
  <c r="G11" i="7" s="1"/>
  <c r="F12" i="7"/>
  <c r="G12" i="7" s="1"/>
  <c r="B16" i="7"/>
  <c r="C16" i="7"/>
  <c r="D16" i="7"/>
  <c r="E16" i="7"/>
  <c r="F16" i="7"/>
  <c r="G16" i="7"/>
  <c r="K16" i="7"/>
  <c r="L16" i="7"/>
  <c r="B17" i="7"/>
  <c r="C17" i="7"/>
  <c r="D17" i="7"/>
  <c r="E17" i="7"/>
  <c r="F17" i="7"/>
  <c r="G17" i="7"/>
  <c r="K17" i="7"/>
  <c r="L17" i="7"/>
  <c r="B18" i="7"/>
  <c r="C18" i="7"/>
  <c r="D18" i="7"/>
  <c r="E18" i="7"/>
  <c r="F18" i="7"/>
  <c r="G18" i="7"/>
  <c r="K18" i="7"/>
  <c r="N18" i="7" s="1"/>
  <c r="L18" i="7"/>
  <c r="B19" i="7"/>
  <c r="C19" i="7"/>
  <c r="D19" i="7"/>
  <c r="E19" i="7"/>
  <c r="F19" i="7"/>
  <c r="G19" i="7"/>
  <c r="B20" i="7"/>
  <c r="C20" i="7"/>
  <c r="D20" i="7"/>
  <c r="E20" i="7"/>
  <c r="F20" i="7"/>
  <c r="G20" i="7"/>
  <c r="B21" i="7"/>
  <c r="C21" i="7"/>
  <c r="D21" i="7"/>
  <c r="E21" i="7"/>
  <c r="F21" i="7"/>
  <c r="G21" i="7"/>
  <c r="B22" i="7"/>
  <c r="C22" i="7"/>
  <c r="D22" i="7"/>
  <c r="E22" i="7"/>
  <c r="F22" i="7"/>
  <c r="G22" i="7"/>
  <c r="B23" i="7"/>
  <c r="C23" i="7"/>
  <c r="D23" i="7"/>
  <c r="E23" i="7"/>
  <c r="F23" i="7"/>
  <c r="G23" i="7"/>
  <c r="B24" i="7"/>
  <c r="C24" i="7"/>
  <c r="D24" i="7"/>
  <c r="E24" i="7"/>
  <c r="F24" i="7"/>
  <c r="G24" i="7"/>
  <c r="B25" i="7"/>
  <c r="C25" i="7"/>
  <c r="D25" i="7"/>
  <c r="E25" i="7"/>
  <c r="F25" i="7"/>
  <c r="G25" i="7"/>
  <c r="B26" i="7"/>
  <c r="C26" i="7"/>
  <c r="D26" i="7"/>
  <c r="E26" i="7"/>
  <c r="E33" i="7" s="1"/>
  <c r="F26" i="7"/>
  <c r="G26" i="7"/>
  <c r="B27" i="7"/>
  <c r="C27" i="7"/>
  <c r="D27" i="7"/>
  <c r="E27" i="7"/>
  <c r="F27" i="7"/>
  <c r="G27" i="7"/>
  <c r="G33" i="7" s="1"/>
  <c r="B28" i="7"/>
  <c r="C28" i="7"/>
  <c r="D28" i="7"/>
  <c r="E28" i="7"/>
  <c r="F28" i="7"/>
  <c r="G28" i="7"/>
  <c r="B29" i="7"/>
  <c r="C29" i="7"/>
  <c r="C33" i="7" s="1"/>
  <c r="D29" i="7"/>
  <c r="E29" i="7"/>
  <c r="F29" i="7"/>
  <c r="G29" i="7"/>
  <c r="B30" i="7"/>
  <c r="C30" i="7"/>
  <c r="D30" i="7"/>
  <c r="E30" i="7"/>
  <c r="F30" i="7"/>
  <c r="F33" i="7" s="1"/>
  <c r="G30" i="7"/>
  <c r="B31" i="7"/>
  <c r="C31" i="7"/>
  <c r="D31" i="7"/>
  <c r="E31" i="7"/>
  <c r="F31" i="7"/>
  <c r="G31" i="7"/>
  <c r="B32" i="7"/>
  <c r="B33" i="7" s="1"/>
  <c r="C32" i="7"/>
  <c r="D32" i="7"/>
  <c r="D33" i="7" s="1"/>
  <c r="E32" i="7"/>
  <c r="F32" i="7"/>
  <c r="G32" i="7"/>
  <c r="B7" i="2"/>
  <c r="C7" i="2"/>
  <c r="D7" i="2"/>
  <c r="E7" i="2"/>
  <c r="F7" i="2"/>
  <c r="G7" i="2"/>
  <c r="B8" i="2"/>
  <c r="C8" i="2"/>
  <c r="D8" i="2"/>
  <c r="E8" i="2"/>
  <c r="F8" i="2"/>
  <c r="G8" i="2"/>
  <c r="B9" i="2"/>
  <c r="C9" i="2"/>
  <c r="D9" i="2"/>
  <c r="E9" i="2"/>
  <c r="F9" i="2"/>
  <c r="G9" i="2"/>
  <c r="B10" i="2"/>
  <c r="C10" i="2"/>
  <c r="D10" i="2"/>
  <c r="E10" i="2"/>
  <c r="F10" i="2"/>
  <c r="G10" i="2"/>
  <c r="B11" i="2"/>
  <c r="B13" i="2" s="1"/>
  <c r="H13" i="2" s="1"/>
  <c r="C11" i="2"/>
  <c r="D11" i="2"/>
  <c r="E11" i="2"/>
  <c r="F11" i="2"/>
  <c r="F13" i="2" s="1"/>
  <c r="G11" i="2"/>
  <c r="B12" i="2"/>
  <c r="C12" i="2"/>
  <c r="D12" i="2"/>
  <c r="E12" i="2"/>
  <c r="F12" i="2"/>
  <c r="G12" i="2"/>
  <c r="D17" i="2"/>
  <c r="E17" i="2"/>
  <c r="F17" i="2"/>
  <c r="G17" i="2"/>
  <c r="H17" i="2"/>
  <c r="D18" i="2"/>
  <c r="E18" i="2"/>
  <c r="F18" i="2"/>
  <c r="G18" i="2"/>
  <c r="H18" i="2"/>
  <c r="D19" i="2"/>
  <c r="E19" i="2"/>
  <c r="F19" i="2"/>
  <c r="G19" i="2"/>
  <c r="H19" i="2"/>
  <c r="D20" i="2"/>
  <c r="E20" i="2"/>
  <c r="F20" i="2"/>
  <c r="G20" i="2"/>
  <c r="H20" i="2"/>
  <c r="D21" i="2"/>
  <c r="E21" i="2"/>
  <c r="F21" i="2"/>
  <c r="G21" i="2"/>
  <c r="H21" i="2"/>
  <c r="D22" i="2"/>
  <c r="E22" i="2"/>
  <c r="F22" i="2"/>
  <c r="G22" i="2"/>
  <c r="H22" i="2"/>
  <c r="D23" i="2"/>
  <c r="E23" i="2"/>
  <c r="F23" i="2"/>
  <c r="G23" i="2"/>
  <c r="H23" i="2"/>
  <c r="D24" i="2"/>
  <c r="E24" i="2"/>
  <c r="F24" i="2"/>
  <c r="G24" i="2"/>
  <c r="H24" i="2"/>
  <c r="D25" i="2"/>
  <c r="E25" i="2"/>
  <c r="F25" i="2"/>
  <c r="G25" i="2"/>
  <c r="H25" i="2"/>
  <c r="D26" i="2"/>
  <c r="E26" i="2"/>
  <c r="F26" i="2"/>
  <c r="G26" i="2"/>
  <c r="H26" i="2"/>
  <c r="D27" i="2"/>
  <c r="E27" i="2"/>
  <c r="F27" i="2"/>
  <c r="G27" i="2"/>
  <c r="H27" i="2"/>
  <c r="D28" i="2"/>
  <c r="E28" i="2"/>
  <c r="F28" i="2"/>
  <c r="G28" i="2"/>
  <c r="H28" i="2"/>
  <c r="D29" i="2"/>
  <c r="E29" i="2"/>
  <c r="F29" i="2"/>
  <c r="G29" i="2"/>
  <c r="H29" i="2"/>
  <c r="D30" i="2"/>
  <c r="E30" i="2"/>
  <c r="F30" i="2"/>
  <c r="G30" i="2"/>
  <c r="H30" i="2"/>
  <c r="D31" i="2"/>
  <c r="E31" i="2"/>
  <c r="F31" i="2"/>
  <c r="G31" i="2"/>
  <c r="H31" i="2"/>
  <c r="D32" i="2"/>
  <c r="E32" i="2"/>
  <c r="F32" i="2"/>
  <c r="G32" i="2"/>
  <c r="H32" i="2"/>
  <c r="D33" i="2"/>
  <c r="E33" i="2"/>
  <c r="F33" i="2"/>
  <c r="G33" i="2"/>
  <c r="H33" i="2"/>
  <c r="D34" i="2"/>
  <c r="E34" i="2"/>
  <c r="F34" i="2"/>
  <c r="G34" i="2"/>
  <c r="H34" i="2"/>
  <c r="D35" i="2"/>
  <c r="E35" i="2"/>
  <c r="F35" i="2"/>
  <c r="G35" i="2"/>
  <c r="H35" i="2"/>
  <c r="D36" i="2"/>
  <c r="E36" i="2"/>
  <c r="F36" i="2"/>
  <c r="G36" i="2"/>
  <c r="H36" i="2"/>
  <c r="D37" i="2"/>
  <c r="E37" i="2"/>
  <c r="F37" i="2"/>
  <c r="G37" i="2"/>
  <c r="H37" i="2"/>
  <c r="D38" i="2"/>
  <c r="E38" i="2"/>
  <c r="F38" i="2"/>
  <c r="G38" i="2"/>
  <c r="H38" i="2"/>
  <c r="D39" i="2"/>
  <c r="E39" i="2"/>
  <c r="F39" i="2"/>
  <c r="G39" i="2"/>
  <c r="H39" i="2"/>
  <c r="D40" i="2"/>
  <c r="E40" i="2"/>
  <c r="F40" i="2"/>
  <c r="G40" i="2"/>
  <c r="H40" i="2"/>
  <c r="B58" i="2"/>
  <c r="B59" i="2"/>
  <c r="B60" i="2"/>
  <c r="B61" i="2"/>
  <c r="B62" i="2"/>
  <c r="B68" i="2"/>
  <c r="B69" i="2"/>
  <c r="B70" i="2"/>
  <c r="B71" i="2"/>
  <c r="B72" i="2"/>
  <c r="B73" i="2"/>
  <c r="F31" i="14"/>
  <c r="D37" i="14" s="1"/>
  <c r="E31" i="14"/>
  <c r="C37" i="14" s="1"/>
  <c r="E30" i="14"/>
  <c r="C36" i="14" s="1"/>
  <c r="D29" i="14"/>
  <c r="B35" i="14" s="1"/>
  <c r="L28" i="14"/>
  <c r="K28" i="14"/>
  <c r="J28" i="14"/>
  <c r="L27" i="14"/>
  <c r="K27" i="14"/>
  <c r="J27" i="14"/>
  <c r="L26" i="14"/>
  <c r="F30" i="14" s="1"/>
  <c r="D36" i="14" s="1"/>
  <c r="K26" i="14"/>
  <c r="E29" i="14" s="1"/>
  <c r="C35" i="14" s="1"/>
  <c r="J26" i="14"/>
  <c r="D31" i="14" s="1"/>
  <c r="B37" i="14" s="1"/>
  <c r="A85" i="12"/>
  <c r="A37" i="14"/>
  <c r="A36" i="14"/>
  <c r="A35" i="14"/>
  <c r="L25" i="14"/>
  <c r="K25" i="14"/>
  <c r="J25" i="14"/>
  <c r="L24" i="14"/>
  <c r="K24" i="14"/>
  <c r="J24" i="14"/>
  <c r="L23" i="14"/>
  <c r="K23" i="14"/>
  <c r="J23" i="14"/>
  <c r="L22" i="14"/>
  <c r="K22" i="14"/>
  <c r="J22" i="14"/>
  <c r="L21" i="14"/>
  <c r="K21" i="14"/>
  <c r="J21" i="14"/>
  <c r="L20" i="14"/>
  <c r="K20" i="14"/>
  <c r="J20" i="14"/>
  <c r="L19" i="14"/>
  <c r="K19" i="14"/>
  <c r="J19" i="14"/>
  <c r="L18" i="14"/>
  <c r="K18" i="14"/>
  <c r="J18" i="14"/>
  <c r="L17" i="14"/>
  <c r="K17" i="14"/>
  <c r="J17" i="14"/>
  <c r="L16" i="14"/>
  <c r="K16" i="14"/>
  <c r="J16" i="14"/>
  <c r="L15" i="14"/>
  <c r="K15" i="14"/>
  <c r="J15" i="14"/>
  <c r="L14" i="14"/>
  <c r="K14" i="14"/>
  <c r="J14" i="14"/>
  <c r="L13" i="14"/>
  <c r="K13" i="14"/>
  <c r="J13" i="14"/>
  <c r="L12" i="14"/>
  <c r="K12" i="14"/>
  <c r="J12" i="14"/>
  <c r="L11" i="14"/>
  <c r="K11" i="14"/>
  <c r="J11" i="14"/>
  <c r="L10" i="14"/>
  <c r="K10" i="14"/>
  <c r="J10" i="14"/>
  <c r="L9" i="14"/>
  <c r="K9" i="14"/>
  <c r="J9" i="14"/>
  <c r="L8" i="14"/>
  <c r="K8" i="14"/>
  <c r="J8" i="14"/>
  <c r="L7" i="14"/>
  <c r="K7" i="14"/>
  <c r="J7" i="14"/>
  <c r="L6" i="14"/>
  <c r="K6" i="14"/>
  <c r="J6" i="14"/>
  <c r="L59" i="12"/>
  <c r="K59" i="12"/>
  <c r="J59" i="12"/>
  <c r="L58" i="12"/>
  <c r="K58" i="12"/>
  <c r="J58" i="12"/>
  <c r="L57" i="12"/>
  <c r="K57" i="12"/>
  <c r="J57" i="12"/>
  <c r="L56" i="12"/>
  <c r="K56" i="12"/>
  <c r="J56" i="12"/>
  <c r="L55" i="12"/>
  <c r="K55" i="12"/>
  <c r="J55" i="12"/>
  <c r="L54" i="12"/>
  <c r="K54" i="12"/>
  <c r="J54" i="12"/>
  <c r="L53" i="12"/>
  <c r="K53" i="12"/>
  <c r="J53" i="12"/>
  <c r="L52" i="12"/>
  <c r="K52" i="12"/>
  <c r="J52" i="12"/>
  <c r="L51" i="12"/>
  <c r="K51" i="12"/>
  <c r="J51" i="12"/>
  <c r="L50" i="12"/>
  <c r="K50" i="12"/>
  <c r="J50" i="12"/>
  <c r="L49" i="12"/>
  <c r="K49" i="12"/>
  <c r="J49" i="12"/>
  <c r="L48" i="12"/>
  <c r="K48" i="12"/>
  <c r="J48" i="12"/>
  <c r="L47" i="12"/>
  <c r="K47" i="12"/>
  <c r="J47" i="12"/>
  <c r="L46" i="12"/>
  <c r="K46" i="12"/>
  <c r="J46" i="12"/>
  <c r="L45" i="12"/>
  <c r="K45" i="12"/>
  <c r="J45" i="12"/>
  <c r="L44" i="12"/>
  <c r="K44" i="12"/>
  <c r="J44" i="12"/>
  <c r="L43" i="12"/>
  <c r="K43" i="12"/>
  <c r="J43" i="12"/>
  <c r="L42" i="12"/>
  <c r="K42" i="12"/>
  <c r="J42" i="12"/>
  <c r="L41" i="12"/>
  <c r="K41" i="12"/>
  <c r="J41" i="12"/>
  <c r="L40" i="12"/>
  <c r="K40" i="12"/>
  <c r="J40" i="12"/>
  <c r="L39" i="12"/>
  <c r="K39" i="12"/>
  <c r="J39" i="12"/>
  <c r="L38" i="12"/>
  <c r="K38" i="12"/>
  <c r="J38" i="12"/>
  <c r="L37" i="12"/>
  <c r="K37" i="12"/>
  <c r="J37" i="12"/>
  <c r="L36" i="12"/>
  <c r="K36" i="12"/>
  <c r="J36" i="12"/>
  <c r="L35" i="12"/>
  <c r="K35" i="12"/>
  <c r="J35" i="12"/>
  <c r="L34" i="12"/>
  <c r="K34" i="12"/>
  <c r="J34" i="12"/>
  <c r="L33" i="12"/>
  <c r="K33" i="12"/>
  <c r="J33" i="12"/>
  <c r="L32" i="12"/>
  <c r="K32" i="12"/>
  <c r="J32" i="12"/>
  <c r="L31" i="12"/>
  <c r="K31" i="12"/>
  <c r="J31" i="12"/>
  <c r="L30" i="12"/>
  <c r="K30" i="12"/>
  <c r="J30" i="12"/>
  <c r="L29" i="12"/>
  <c r="K29" i="12"/>
  <c r="J29" i="12"/>
  <c r="L28" i="12"/>
  <c r="K28" i="12"/>
  <c r="J28" i="12"/>
  <c r="L27" i="12"/>
  <c r="K27" i="12"/>
  <c r="J27" i="12"/>
  <c r="L26" i="12"/>
  <c r="K26" i="12"/>
  <c r="J26" i="12"/>
  <c r="L25" i="12"/>
  <c r="K25" i="12"/>
  <c r="J25" i="12"/>
  <c r="E13" i="2" l="1"/>
  <c r="C13" i="2"/>
  <c r="D13" i="2"/>
  <c r="G13" i="2"/>
  <c r="D82" i="10"/>
  <c r="B63" i="2"/>
  <c r="C60" i="2" s="1"/>
  <c r="B74" i="2"/>
  <c r="F29" i="14"/>
  <c r="D35" i="14" s="1"/>
  <c r="D30" i="14"/>
  <c r="B36" i="14" s="1"/>
  <c r="A41" i="14" s="1"/>
  <c r="C62" i="2" l="1"/>
  <c r="E74" i="2"/>
  <c r="C69" i="2"/>
  <c r="C73" i="2"/>
  <c r="C70" i="2"/>
  <c r="C74" i="2"/>
  <c r="C71" i="2"/>
  <c r="C61" i="2"/>
  <c r="C63" i="2"/>
  <c r="E63" i="2"/>
  <c r="C58" i="2"/>
  <c r="C59" i="2"/>
  <c r="C68" i="2"/>
  <c r="C72" i="2"/>
  <c r="A40" i="14"/>
  <c r="F70" i="12" l="1"/>
  <c r="B70" i="12"/>
  <c r="B64" i="12"/>
  <c r="C64" i="12"/>
  <c r="B65" i="12"/>
  <c r="B66" i="12"/>
  <c r="B67" i="12"/>
  <c r="B68" i="12"/>
  <c r="B69" i="12"/>
  <c r="N60" i="12"/>
  <c r="E65" i="12"/>
  <c r="C65" i="12"/>
  <c r="D66" i="12"/>
  <c r="E66" i="12"/>
  <c r="C66" i="12"/>
  <c r="C67" i="12"/>
  <c r="D67" i="12"/>
  <c r="E67" i="12"/>
  <c r="C68" i="12"/>
  <c r="D68" i="12"/>
  <c r="E68" i="12"/>
  <c r="C69" i="12"/>
  <c r="D69" i="12"/>
  <c r="E69" i="12"/>
  <c r="B5" i="4"/>
  <c r="C5" i="4"/>
  <c r="D5" i="4"/>
  <c r="B6" i="4"/>
  <c r="C6" i="4"/>
  <c r="D6" i="4"/>
  <c r="B7" i="4"/>
  <c r="C7" i="4"/>
  <c r="D7" i="4"/>
  <c r="B8" i="4"/>
  <c r="C8" i="4"/>
  <c r="D8" i="4"/>
  <c r="B9" i="4"/>
  <c r="C9" i="4"/>
  <c r="D9" i="4"/>
  <c r="B10" i="4"/>
  <c r="C10" i="4"/>
  <c r="D10" i="4"/>
  <c r="B11" i="4"/>
  <c r="C11" i="4"/>
  <c r="D11" i="4"/>
  <c r="B12" i="4"/>
  <c r="C12" i="4"/>
  <c r="D12" i="4"/>
  <c r="B13" i="4"/>
  <c r="C13" i="4"/>
  <c r="D13" i="4"/>
  <c r="B14" i="4"/>
  <c r="C14" i="4"/>
  <c r="D14" i="4"/>
  <c r="B15" i="4"/>
  <c r="C15" i="4"/>
  <c r="D15" i="4"/>
  <c r="B16" i="4"/>
  <c r="C16" i="4"/>
  <c r="D16" i="4"/>
  <c r="B17" i="4"/>
  <c r="C17" i="4"/>
  <c r="D17" i="4"/>
  <c r="B18" i="4"/>
  <c r="C18" i="4"/>
  <c r="D18" i="4"/>
  <c r="B19" i="4"/>
  <c r="C19" i="4"/>
  <c r="D19" i="4"/>
  <c r="B20" i="4"/>
  <c r="C20" i="4"/>
  <c r="D20" i="4"/>
  <c r="B21" i="4"/>
  <c r="C21" i="4"/>
  <c r="D21" i="4"/>
  <c r="B22" i="4"/>
  <c r="C22" i="4"/>
  <c r="D22" i="4"/>
  <c r="B23" i="4"/>
  <c r="C23" i="4"/>
  <c r="D23" i="4"/>
  <c r="B24" i="4"/>
  <c r="C24" i="4"/>
  <c r="D24" i="4"/>
  <c r="B25" i="4"/>
  <c r="C25" i="4"/>
  <c r="D25" i="4"/>
  <c r="B26" i="4"/>
  <c r="C26" i="4"/>
  <c r="D26" i="4"/>
  <c r="B27" i="4"/>
  <c r="C27" i="4"/>
  <c r="D27" i="4"/>
  <c r="B28" i="4"/>
  <c r="C28" i="4"/>
  <c r="D28" i="4"/>
  <c r="B29" i="4"/>
  <c r="C29" i="4"/>
  <c r="D29" i="4"/>
  <c r="B30" i="4"/>
  <c r="C30" i="4"/>
  <c r="D30" i="4"/>
  <c r="B31" i="4"/>
  <c r="C31" i="4"/>
  <c r="D31" i="4"/>
  <c r="B32" i="4"/>
  <c r="C32" i="4"/>
  <c r="D32" i="4"/>
  <c r="B33" i="4"/>
  <c r="C33" i="4"/>
  <c r="D33" i="4"/>
  <c r="B34" i="4"/>
  <c r="C34" i="4"/>
  <c r="D34" i="4"/>
  <c r="B35" i="4"/>
  <c r="C35" i="4"/>
  <c r="D35" i="4"/>
  <c r="B36" i="4"/>
  <c r="C36" i="4"/>
  <c r="D36" i="4"/>
  <c r="B37" i="4"/>
  <c r="C37" i="4"/>
  <c r="D37" i="4"/>
  <c r="B38" i="4"/>
  <c r="C38" i="4"/>
  <c r="D38" i="4"/>
  <c r="B39" i="4"/>
  <c r="C39" i="4"/>
  <c r="D39" i="4"/>
  <c r="B40" i="4"/>
  <c r="C40" i="4"/>
  <c r="D40" i="4"/>
  <c r="B41" i="4"/>
  <c r="C41" i="4"/>
  <c r="D41" i="4"/>
  <c r="B42" i="4"/>
  <c r="C42" i="4"/>
  <c r="D42" i="4"/>
  <c r="B43" i="4"/>
  <c r="C43" i="4"/>
  <c r="D43" i="4"/>
  <c r="B44" i="4"/>
  <c r="C44" i="4"/>
  <c r="D44" i="4"/>
  <c r="B45" i="4"/>
  <c r="C45" i="4"/>
  <c r="D45" i="4"/>
  <c r="B46" i="4"/>
  <c r="C46" i="4"/>
  <c r="D46" i="4"/>
  <c r="B47" i="4"/>
  <c r="C47" i="4"/>
  <c r="D47" i="4"/>
  <c r="B48" i="4"/>
  <c r="C48" i="4"/>
  <c r="D48" i="4"/>
  <c r="B49" i="4"/>
  <c r="C49" i="4"/>
  <c r="D49" i="4"/>
  <c r="B50" i="4"/>
  <c r="C50" i="4"/>
  <c r="D50" i="4"/>
  <c r="B51" i="4"/>
  <c r="C51" i="4"/>
  <c r="D51" i="4"/>
  <c r="B52" i="4"/>
  <c r="C52" i="4"/>
  <c r="D52" i="4"/>
  <c r="B53" i="4"/>
  <c r="C53" i="4"/>
  <c r="D53" i="4"/>
  <c r="B54" i="4"/>
  <c r="C54" i="4"/>
  <c r="D54" i="4"/>
  <c r="B55" i="4"/>
  <c r="C55" i="4"/>
  <c r="D55" i="4"/>
  <c r="B56" i="4"/>
  <c r="C56" i="4"/>
  <c r="D56" i="4"/>
  <c r="B57" i="4"/>
  <c r="C57" i="4"/>
  <c r="D57" i="4"/>
  <c r="B58" i="4"/>
  <c r="C58" i="4"/>
  <c r="D58" i="4"/>
  <c r="B59" i="4"/>
  <c r="C59" i="4"/>
  <c r="D59" i="4"/>
  <c r="B60" i="4"/>
  <c r="C60" i="4"/>
  <c r="D60" i="4"/>
  <c r="B61" i="4"/>
  <c r="C61" i="4"/>
  <c r="D61" i="4"/>
  <c r="B62" i="4"/>
  <c r="C62" i="4"/>
  <c r="D62" i="4"/>
  <c r="B63" i="4"/>
  <c r="C63" i="4"/>
  <c r="D63" i="4"/>
  <c r="B64" i="4"/>
  <c r="C64" i="4"/>
  <c r="D64" i="4"/>
  <c r="B65" i="4"/>
  <c r="C65" i="4"/>
  <c r="D65" i="4"/>
  <c r="B66" i="4"/>
  <c r="C66" i="4"/>
  <c r="D66" i="4"/>
  <c r="B67" i="4"/>
  <c r="C67" i="4"/>
  <c r="D67" i="4"/>
  <c r="B68" i="4"/>
  <c r="C68" i="4"/>
  <c r="D68" i="4"/>
  <c r="B69" i="4"/>
  <c r="C69" i="4"/>
  <c r="D69" i="4"/>
  <c r="B70" i="4"/>
  <c r="C70" i="4"/>
  <c r="D70" i="4"/>
  <c r="B71" i="4"/>
  <c r="C71" i="4"/>
  <c r="D71" i="4"/>
  <c r="B72" i="4"/>
  <c r="C72" i="4"/>
  <c r="D72" i="4"/>
  <c r="B73" i="4"/>
  <c r="C73" i="4"/>
  <c r="D73" i="4"/>
  <c r="B74" i="4"/>
  <c r="C74" i="4"/>
  <c r="D74" i="4"/>
  <c r="B75" i="4"/>
  <c r="C75" i="4"/>
  <c r="D75" i="4"/>
  <c r="B76" i="4"/>
  <c r="C76" i="4"/>
  <c r="D76" i="4"/>
  <c r="B77" i="4"/>
  <c r="C77" i="4"/>
  <c r="D77" i="4"/>
  <c r="B78" i="4"/>
  <c r="C78" i="4"/>
  <c r="D78" i="4"/>
  <c r="B79" i="4"/>
  <c r="C79" i="4"/>
  <c r="D79" i="4"/>
  <c r="B80" i="4"/>
  <c r="C80" i="4"/>
  <c r="D80" i="4"/>
  <c r="B81" i="4"/>
  <c r="C81" i="4"/>
  <c r="D81" i="4"/>
  <c r="B82" i="4"/>
  <c r="C82" i="4"/>
  <c r="D82" i="4"/>
  <c r="B83" i="4"/>
  <c r="C83" i="4"/>
  <c r="D83" i="4"/>
  <c r="B84" i="4"/>
  <c r="C84" i="4"/>
  <c r="D84" i="4"/>
  <c r="B85" i="4"/>
  <c r="C85" i="4"/>
  <c r="D85" i="4"/>
  <c r="B86" i="4"/>
  <c r="C86" i="4"/>
  <c r="D86" i="4"/>
  <c r="B87" i="4"/>
  <c r="C87" i="4"/>
  <c r="D87" i="4"/>
  <c r="B88" i="4"/>
  <c r="C88" i="4"/>
  <c r="D88" i="4"/>
  <c r="B89" i="4"/>
  <c r="C89" i="4"/>
  <c r="D89" i="4"/>
  <c r="B90" i="4"/>
  <c r="C90" i="4"/>
  <c r="D90" i="4"/>
  <c r="B91" i="4"/>
  <c r="C91" i="4"/>
  <c r="D91" i="4"/>
  <c r="B92" i="4"/>
  <c r="C92" i="4"/>
  <c r="D92" i="4"/>
  <c r="B93" i="4"/>
  <c r="C93" i="4"/>
  <c r="D93" i="4"/>
  <c r="B94" i="4"/>
  <c r="C94" i="4"/>
  <c r="D94" i="4"/>
  <c r="B95" i="4"/>
  <c r="C95" i="4"/>
  <c r="D95" i="4"/>
  <c r="B96" i="4"/>
  <c r="C96" i="4"/>
  <c r="D96" i="4"/>
  <c r="B97" i="4"/>
  <c r="C97" i="4"/>
  <c r="D97" i="4"/>
  <c r="B98" i="4"/>
  <c r="C98" i="4"/>
  <c r="D98" i="4"/>
  <c r="B99" i="4"/>
  <c r="C99" i="4"/>
  <c r="D99" i="4"/>
  <c r="B100" i="4"/>
  <c r="C100" i="4"/>
  <c r="D100" i="4"/>
  <c r="B101" i="4"/>
  <c r="C101" i="4"/>
  <c r="D101" i="4"/>
  <c r="B102" i="4"/>
  <c r="C102" i="4"/>
  <c r="D102" i="4"/>
  <c r="B103" i="4"/>
  <c r="C103" i="4"/>
  <c r="D103" i="4"/>
  <c r="B104" i="4"/>
  <c r="C104" i="4"/>
  <c r="D104" i="4"/>
  <c r="B105" i="4"/>
  <c r="C105" i="4"/>
  <c r="D105" i="4"/>
  <c r="B106" i="4"/>
  <c r="C106" i="4"/>
  <c r="D106" i="4"/>
  <c r="B107" i="4"/>
  <c r="C107" i="4"/>
  <c r="D107" i="4"/>
  <c r="B108" i="4"/>
  <c r="C108" i="4"/>
  <c r="D108" i="4"/>
  <c r="B109" i="4"/>
  <c r="C109" i="4"/>
  <c r="D109" i="4"/>
  <c r="B110" i="4"/>
  <c r="C110" i="4"/>
  <c r="D110" i="4"/>
  <c r="B111" i="4"/>
  <c r="C111" i="4"/>
  <c r="D111" i="4"/>
  <c r="B112" i="4"/>
  <c r="C112" i="4"/>
  <c r="D112" i="4"/>
  <c r="B113" i="4"/>
  <c r="C113" i="4"/>
  <c r="D113" i="4"/>
  <c r="B114" i="4"/>
  <c r="C114" i="4"/>
  <c r="D114" i="4"/>
  <c r="B115" i="4"/>
  <c r="C115" i="4"/>
  <c r="D115" i="4"/>
  <c r="B116" i="4"/>
  <c r="C116" i="4"/>
  <c r="D116" i="4"/>
  <c r="B117" i="4"/>
  <c r="C117" i="4"/>
  <c r="D117" i="4"/>
  <c r="B118" i="4"/>
  <c r="C118" i="4"/>
  <c r="D118" i="4"/>
  <c r="B119" i="4"/>
  <c r="C119" i="4"/>
  <c r="D119" i="4"/>
  <c r="B120" i="4"/>
  <c r="C120" i="4"/>
  <c r="D120" i="4"/>
  <c r="B121" i="4"/>
  <c r="C121" i="4"/>
  <c r="D121" i="4"/>
  <c r="B122" i="4"/>
  <c r="C122" i="4"/>
  <c r="D122" i="4"/>
  <c r="B123" i="4"/>
  <c r="C123" i="4"/>
  <c r="D123" i="4"/>
  <c r="B124" i="4"/>
  <c r="C124" i="4"/>
  <c r="D124" i="4"/>
  <c r="B125" i="4"/>
  <c r="C125" i="4"/>
  <c r="D125" i="4"/>
  <c r="B126" i="4"/>
  <c r="C126" i="4"/>
  <c r="D126" i="4"/>
  <c r="B127" i="4"/>
  <c r="C127" i="4"/>
  <c r="D127" i="4"/>
  <c r="B128" i="4"/>
  <c r="C128" i="4"/>
  <c r="D128" i="4"/>
  <c r="B129" i="4"/>
  <c r="C129" i="4"/>
  <c r="D129" i="4"/>
  <c r="B130" i="4"/>
  <c r="C130" i="4"/>
  <c r="D130" i="4"/>
  <c r="B131" i="4"/>
  <c r="C131" i="4"/>
  <c r="D131" i="4"/>
  <c r="B132" i="4"/>
  <c r="C132" i="4"/>
  <c r="D132" i="4"/>
  <c r="B133" i="4"/>
  <c r="C133" i="4"/>
  <c r="D133" i="4"/>
  <c r="B134" i="4"/>
  <c r="C134" i="4"/>
  <c r="D134" i="4"/>
  <c r="B135" i="4"/>
  <c r="C135" i="4"/>
  <c r="D135" i="4"/>
  <c r="B136" i="4"/>
  <c r="C136" i="4"/>
  <c r="D136" i="4"/>
  <c r="B137" i="4"/>
  <c r="C137" i="4"/>
  <c r="D137" i="4"/>
  <c r="B138" i="4"/>
  <c r="C138" i="4"/>
  <c r="D138" i="4"/>
  <c r="B139" i="4"/>
  <c r="C139" i="4"/>
  <c r="D139" i="4"/>
  <c r="B140" i="4"/>
  <c r="C140" i="4"/>
  <c r="D140" i="4"/>
  <c r="B141" i="4"/>
  <c r="C141" i="4"/>
  <c r="D141" i="4"/>
  <c r="B142" i="4"/>
  <c r="C142" i="4"/>
  <c r="D142" i="4"/>
  <c r="B143" i="4"/>
  <c r="C143" i="4"/>
  <c r="D143" i="4"/>
  <c r="B144" i="4"/>
  <c r="C144" i="4"/>
  <c r="D144" i="4"/>
  <c r="B145" i="4"/>
  <c r="C145" i="4"/>
  <c r="D145" i="4"/>
  <c r="B146" i="4"/>
  <c r="C146" i="4"/>
  <c r="D146" i="4"/>
  <c r="B147" i="4"/>
  <c r="C147" i="4"/>
  <c r="D147" i="4"/>
  <c r="B148" i="4"/>
  <c r="C148" i="4"/>
  <c r="D148" i="4"/>
  <c r="B149" i="4"/>
  <c r="C149" i="4"/>
  <c r="D149" i="4"/>
  <c r="B150" i="4"/>
  <c r="C150" i="4"/>
  <c r="D150" i="4"/>
  <c r="B151" i="4"/>
  <c r="C151" i="4"/>
  <c r="D151" i="4"/>
  <c r="B152" i="4"/>
  <c r="C152" i="4"/>
  <c r="D152" i="4"/>
  <c r="B153" i="4"/>
  <c r="C153" i="4"/>
  <c r="D153" i="4"/>
  <c r="B154" i="4"/>
  <c r="C154" i="4"/>
  <c r="D154" i="4"/>
  <c r="B155" i="4"/>
  <c r="C155" i="4"/>
  <c r="D155" i="4"/>
  <c r="B156" i="4"/>
  <c r="C156" i="4"/>
  <c r="D156" i="4"/>
  <c r="B157" i="4"/>
  <c r="C157" i="4"/>
  <c r="D157" i="4"/>
  <c r="B158" i="4"/>
  <c r="C158" i="4"/>
  <c r="D158" i="4"/>
  <c r="B159" i="4"/>
  <c r="C159" i="4"/>
  <c r="D159" i="4"/>
  <c r="B160" i="4"/>
  <c r="C160" i="4"/>
  <c r="D160" i="4"/>
  <c r="B161" i="4"/>
  <c r="C161" i="4"/>
  <c r="D161" i="4"/>
  <c r="B162" i="4"/>
  <c r="C162" i="4"/>
  <c r="D162" i="4"/>
  <c r="B163" i="4"/>
  <c r="C163" i="4"/>
  <c r="D163" i="4"/>
  <c r="B164" i="4"/>
  <c r="C164" i="4"/>
  <c r="D164" i="4"/>
  <c r="B165" i="4"/>
  <c r="C165" i="4"/>
  <c r="D165" i="4"/>
  <c r="B166" i="4"/>
  <c r="C166" i="4"/>
  <c r="D166" i="4"/>
  <c r="B167" i="4"/>
  <c r="C167" i="4"/>
  <c r="D167" i="4"/>
  <c r="B168" i="4"/>
  <c r="C168" i="4"/>
  <c r="D168" i="4"/>
  <c r="B169" i="4"/>
  <c r="C169" i="4"/>
  <c r="D169" i="4"/>
  <c r="B170" i="4"/>
  <c r="C170" i="4"/>
  <c r="D170" i="4"/>
  <c r="B171" i="4"/>
  <c r="C171" i="4"/>
  <c r="D171" i="4"/>
  <c r="B172" i="4"/>
  <c r="C172" i="4"/>
  <c r="D172" i="4"/>
  <c r="B173" i="4"/>
  <c r="C173" i="4"/>
  <c r="D173" i="4"/>
  <c r="B174" i="4"/>
  <c r="C174" i="4"/>
  <c r="D174" i="4"/>
  <c r="B175" i="4"/>
  <c r="C175" i="4"/>
  <c r="D175" i="4"/>
  <c r="B176" i="4"/>
  <c r="C176" i="4"/>
  <c r="D176" i="4"/>
  <c r="B177" i="4"/>
  <c r="C177" i="4"/>
  <c r="D177" i="4"/>
  <c r="B178" i="4"/>
  <c r="C178" i="4"/>
  <c r="D178" i="4"/>
  <c r="B179" i="4"/>
  <c r="C179" i="4"/>
  <c r="D179" i="4"/>
  <c r="B180" i="4"/>
  <c r="C180" i="4"/>
  <c r="D180" i="4"/>
  <c r="B181" i="4"/>
  <c r="C181" i="4"/>
  <c r="D181" i="4"/>
  <c r="B182" i="4"/>
  <c r="C182" i="4"/>
  <c r="D182" i="4"/>
  <c r="B183" i="4"/>
  <c r="C183" i="4"/>
  <c r="D183" i="4"/>
  <c r="Z16" i="8"/>
  <c r="H7" i="6"/>
  <c r="H8" i="6"/>
  <c r="H9" i="6"/>
  <c r="H10" i="6"/>
  <c r="H11" i="6"/>
  <c r="H12" i="6"/>
  <c r="U6" i="8"/>
  <c r="V6" i="8"/>
  <c r="W6" i="8"/>
  <c r="X6" i="8"/>
  <c r="U7" i="8"/>
  <c r="V7" i="8"/>
  <c r="W7" i="8"/>
  <c r="X7" i="8"/>
  <c r="U8" i="8"/>
  <c r="V8" i="8"/>
  <c r="W8" i="8"/>
  <c r="X8" i="8"/>
  <c r="U9" i="8"/>
  <c r="V9" i="8"/>
  <c r="W9" i="8"/>
  <c r="X9" i="8"/>
  <c r="U10" i="8"/>
  <c r="V10" i="8"/>
  <c r="W10" i="8"/>
  <c r="X10" i="8"/>
  <c r="U11" i="8"/>
  <c r="V11" i="8"/>
  <c r="W11" i="8"/>
  <c r="X11" i="8"/>
  <c r="U12" i="8"/>
  <c r="V12" i="8"/>
  <c r="W12" i="8"/>
  <c r="X12" i="8"/>
  <c r="U13" i="8"/>
  <c r="V13" i="8"/>
  <c r="W13" i="8"/>
  <c r="X13" i="8"/>
  <c r="U14" i="8"/>
  <c r="V14" i="8"/>
  <c r="W14" i="8"/>
  <c r="X14" i="8"/>
  <c r="U15" i="8"/>
  <c r="V15" i="8"/>
  <c r="W15" i="8"/>
  <c r="X15" i="8"/>
  <c r="Z9" i="8" l="1"/>
  <c r="Z10" i="8"/>
  <c r="Z8" i="8"/>
  <c r="U17" i="8"/>
  <c r="Z15" i="8"/>
  <c r="Z13" i="8"/>
  <c r="Z11" i="8"/>
  <c r="Z7" i="8"/>
  <c r="Z14" i="8"/>
  <c r="Z12" i="8"/>
  <c r="Z6" i="8"/>
  <c r="H13" i="6"/>
  <c r="I13" i="6" s="1"/>
  <c r="L60" i="12"/>
  <c r="D74" i="12" s="1"/>
  <c r="D75" i="12" s="1"/>
  <c r="D79" i="12" s="1"/>
  <c r="K60" i="12"/>
  <c r="C74" i="12" s="1"/>
  <c r="C76" i="12" s="1"/>
  <c r="C77" i="12" s="1"/>
  <c r="C78" i="12" s="1"/>
  <c r="J60" i="12"/>
  <c r="B74" i="12" s="1"/>
  <c r="B75" i="12" s="1"/>
  <c r="B79" i="12" s="1"/>
  <c r="D65" i="12"/>
  <c r="C70" i="12"/>
  <c r="E64" i="12"/>
  <c r="E70" i="12" s="1"/>
  <c r="D64" i="12"/>
  <c r="B42" i="7" l="1"/>
  <c r="C75" i="12"/>
  <c r="C79" i="12" s="1"/>
  <c r="B76" i="12"/>
  <c r="B77" i="12" s="1"/>
  <c r="B78" i="12" s="1"/>
  <c r="D76" i="12"/>
  <c r="D77" i="12" s="1"/>
  <c r="D78" i="12" s="1"/>
  <c r="D70" i="12"/>
  <c r="U25" i="8" l="1"/>
  <c r="W26" i="8" s="1"/>
</calcChain>
</file>

<file path=xl/sharedStrings.xml><?xml version="1.0" encoding="utf-8"?>
<sst xmlns="http://schemas.openxmlformats.org/spreadsheetml/2006/main" count="17619" uniqueCount="8281">
  <si>
    <t>認証基盤 要件定義・基本設計 進捗一覧</t>
  </si>
  <si>
    <t>区分</t>
  </si>
  <si>
    <t>確定</t>
  </si>
  <si>
    <t>検討中</t>
  </si>
  <si>
    <t>未着手</t>
  </si>
  <si>
    <t>機能要件</t>
  </si>
  <si>
    <t>非機能要件</t>
  </si>
  <si>
    <t>合計</t>
  </si>
  <si>
    <t>小項目</t>
  </si>
  <si>
    <t>ID</t>
  </si>
  <si>
    <t>概要</t>
  </si>
  <si>
    <t>決定内容・残論点</t>
  </si>
  <si>
    <t>出典</t>
  </si>
  <si>
    <t>FR-AUTH 認証フロー/Grant Type</t>
  </si>
  <si>
    <t>FR-AUTH-001</t>
  </si>
  <si>
    <t>ID/PW認証（ローカルユーザー）</t>
  </si>
  <si>
    <t>requirements/functional-requirements.md §1.1</t>
  </si>
  <si>
    <t>FR-AUTH-002</t>
  </si>
  <si>
    <t>Authorization Code + PKCE（SPA/モバイル）</t>
  </si>
  <si>
    <t>FR-AUTH-003</t>
  </si>
  <si>
    <t>Authorization Code + client_secret（SSR）</t>
  </si>
  <si>
    <t>FR-AUTH-004</t>
  </si>
  <si>
    <t>Client Credentials（M2M）</t>
  </si>
  <si>
    <t>FR-AUTH-005</t>
  </si>
  <si>
    <t>Token Exchange（RFC 8693）</t>
  </si>
  <si>
    <t>FR-AUTH-006</t>
  </si>
  <si>
    <t>Device Code Flow</t>
  </si>
  <si>
    <t>FR-AUTH-007</t>
  </si>
  <si>
    <t>mTLS Client Authentication（RFC 8705）</t>
  </si>
  <si>
    <t>FR-AUTH-008</t>
  </si>
  <si>
    <t>ROPC（Password Grant）</t>
  </si>
  <si>
    <t>FR-AUTH パスワード・ローカルユーザー管理</t>
  </si>
  <si>
    <t>FR-AUTH-009</t>
  </si>
  <si>
    <t>パスワードポリシー（最小長・複雑性）</t>
  </si>
  <si>
    <t>requirements/functional-requirements.md §1.2</t>
  </si>
  <si>
    <t>FR-AUTH-010</t>
  </si>
  <si>
    <t>パスワード履歴（N個と一致禁止）</t>
  </si>
  <si>
    <t>FR-AUTH-011</t>
  </si>
  <si>
    <t>FR-AUTH-012</t>
  </si>
  <si>
    <t>パスワード有効期限</t>
  </si>
  <si>
    <t>FR-AUTH-013</t>
  </si>
  <si>
    <t>FR-AUTH-014</t>
  </si>
  <si>
    <t>初期パスワード強制変更</t>
  </si>
  <si>
    <t>FR-FED IdP接続種別</t>
  </si>
  <si>
    <t>FR-FED-001</t>
  </si>
  <si>
    <t>Auth0 OIDC IdP連携</t>
  </si>
  <si>
    <t>requirements/functional-requirements.md §2.1</t>
  </si>
  <si>
    <t>FR-FED-002</t>
  </si>
  <si>
    <t>Entra ID（Azure AD）OIDC連携</t>
  </si>
  <si>
    <t>FR-FED-003</t>
  </si>
  <si>
    <t>Okta OIDC連携</t>
  </si>
  <si>
    <t>FR-FED-004</t>
  </si>
  <si>
    <t>Google Workspace OIDC連携</t>
  </si>
  <si>
    <t>FR-FED-005</t>
  </si>
  <si>
    <t>SAML 2.0 IdPとして受け入れ（SPモード）</t>
  </si>
  <si>
    <t>FR-FED-006</t>
  </si>
  <si>
    <t>SAML 2.0 IdPとして発行（IdPモード）</t>
  </si>
  <si>
    <t>FR-FED-007</t>
  </si>
  <si>
    <t>LDAP / AD 直接連携</t>
  </si>
  <si>
    <t>FR-FED-014</t>
  </si>
  <si>
    <t>FR-FED フェデレーションユーザー処理</t>
  </si>
  <si>
    <t>FR-FED-008</t>
  </si>
  <si>
    <t>JITプロビジョニング</t>
  </si>
  <si>
    <t>requirements/functional-requirements.md §2.2</t>
  </si>
  <si>
    <t>FR-FED-009</t>
  </si>
  <si>
    <t>FR-FED-012</t>
  </si>
  <si>
    <t>フェデレーション時のMFA重複回避</t>
  </si>
  <si>
    <t>FR-FED マルチテナント運用</t>
  </si>
  <si>
    <t>FR-FED-010</t>
  </si>
  <si>
    <t>複数IdP並行運用（マルチテナント）</t>
  </si>
  <si>
    <t>requirements/functional-requirements.md §2.3</t>
  </si>
  <si>
    <t>FR-FED-011</t>
  </si>
  <si>
    <t>顧客追加時のオンボーディングフロー</t>
  </si>
  <si>
    <t>FR-FED-013</t>
  </si>
  <si>
    <t>FR-MFA MFA要素</t>
  </si>
  <si>
    <t>FR-MFA-001</t>
  </si>
  <si>
    <t>TOTP（Google Authenticator等）</t>
  </si>
  <si>
    <t>requirements/functional-requirements.md §3.1</t>
  </si>
  <si>
    <t>FR-MFA-002</t>
  </si>
  <si>
    <t>WebAuthn / FIDO2（Passkeys）</t>
  </si>
  <si>
    <t>FR-MFA-003</t>
  </si>
  <si>
    <t>SMS OTP</t>
  </si>
  <si>
    <t>FR-MFA-004</t>
  </si>
  <si>
    <t>メールOTP</t>
  </si>
  <si>
    <t>FR-MFA-005</t>
  </si>
  <si>
    <t>FR-MFA MFA適用ポリシー</t>
  </si>
  <si>
    <t>FR-MFA-006</t>
  </si>
  <si>
    <t>条件付きMFA（IP / リスクベース）</t>
  </si>
  <si>
    <t>requirements/functional-requirements.md §3.2</t>
  </si>
  <si>
    <t>FR-MFA-007</t>
  </si>
  <si>
    <t>MFA強制 / 任意の切替（ロール単位）</t>
  </si>
  <si>
    <t>FR-MFA-008</t>
  </si>
  <si>
    <t>FR-MFA-009</t>
  </si>
  <si>
    <t>管理者のMFA強制</t>
  </si>
  <si>
    <t>FR-SSO SSO</t>
  </si>
  <si>
    <t>FR-SSO-001</t>
  </si>
  <si>
    <t>同一IdP内の複数Client間SSO</t>
  </si>
  <si>
    <t>requirements/functional-requirements.md §4.1</t>
  </si>
  <si>
    <t>FR-SSO-002</t>
  </si>
  <si>
    <t>Auth0/Entra経由のクロスIdP SSO</t>
  </si>
  <si>
    <t>FR-SSO ログアウト</t>
  </si>
  <si>
    <t>FR-SSO-003</t>
  </si>
  <si>
    <t>requirements/functional-requirements.md §4.2</t>
  </si>
  <si>
    <t>FR-SSO-004</t>
  </si>
  <si>
    <t>IdPセッション破棄（OIDC RP-Initiated Logout）</t>
  </si>
  <si>
    <t>FR-SSO-005</t>
  </si>
  <si>
    <t>フェデレーションIdPセッション破棄（連動ログアウト）</t>
  </si>
  <si>
    <t>FR-SSO-006</t>
  </si>
  <si>
    <t>Front-Channel Logout</t>
  </si>
  <si>
    <t>FR-SSO-007</t>
  </si>
  <si>
    <t>Back-Channel Logout（RFC 8606）</t>
  </si>
  <si>
    <t>FR-SSO セッション管理</t>
  </si>
  <si>
    <t>FR-SSO-008</t>
  </si>
  <si>
    <t>セッションタイムアウト設定</t>
  </si>
  <si>
    <t>requirements/functional-requirements.md §4.3</t>
  </si>
  <si>
    <t>FR-SSO-009</t>
  </si>
  <si>
    <t>アクセストークン強制無効化（Revocation）</t>
  </si>
  <si>
    <t>FR-SSO-010</t>
  </si>
  <si>
    <t>強制全セッション破棄（管理者操作）</t>
  </si>
  <si>
    <t>FR-AUTHZ クレームベース基本認可</t>
  </si>
  <si>
    <t>FR-AUTHZ-001</t>
  </si>
  <si>
    <t>JWTクレームベース認可</t>
  </si>
  <si>
    <t>requirements/functional-requirements.md §5.1</t>
  </si>
  <si>
    <t>FR-AUTHZ-002</t>
  </si>
  <si>
    <t>tenant_idによるテナント分離</t>
  </si>
  <si>
    <t>FR-AUTHZ-003</t>
  </si>
  <si>
    <t>rolesクレームによるロール認可</t>
  </si>
  <si>
    <t>FR-AUTHZ-004</t>
  </si>
  <si>
    <t>ロール階層（継承）</t>
  </si>
  <si>
    <t>FR-AUTHZ-005</t>
  </si>
  <si>
    <t>scopeベース認可（M2M）</t>
  </si>
  <si>
    <t>FR-AUTHZ-006</t>
  </si>
  <si>
    <t>カスタムクレーム注入（任意属性）</t>
  </si>
  <si>
    <t>FR-AUTHZ-007</t>
  </si>
  <si>
    <t>API Gateway認可統合（Lambda Authorizer）</t>
  </si>
  <si>
    <t>FR-AUTHZ-008</t>
  </si>
  <si>
    <t>マルチイシュア対応（複数User Pool / Realm）</t>
  </si>
  <si>
    <t>FR-AUTHZ 細粒度認可</t>
  </si>
  <si>
    <t>FR-AUTHZ-009</t>
  </si>
  <si>
    <t>リソースレベル認可（UMA 2.0 / Fine-grained）</t>
  </si>
  <si>
    <t>requirements/functional-requirements.md §5.2</t>
  </si>
  <si>
    <t>FR-AUTHZ-010</t>
  </si>
  <si>
    <t>動的属性ベース認可（ABAC）</t>
  </si>
  <si>
    <t>FR-USER ユーザーCRUD</t>
  </si>
  <si>
    <t>FR-USER-001</t>
  </si>
  <si>
    <t>ユーザー作成 / 更新 / 削除（CRUD）</t>
  </si>
  <si>
    <t>requirements/functional-requirements.md §6.1</t>
  </si>
  <si>
    <t>FR-USER-005</t>
  </si>
  <si>
    <t>ユーザー検索・一覧</t>
  </si>
  <si>
    <t>FR-USER-006</t>
  </si>
  <si>
    <t>ユーザー有効化 / 無効化（suspend）</t>
  </si>
  <si>
    <t>FR-USER-011</t>
  </si>
  <si>
    <t>ユーザー削除時の関連データ削除（GDPR等）</t>
  </si>
  <si>
    <t>FR-USER 属性・ロール</t>
  </si>
  <si>
    <t>FR-USER-002</t>
  </si>
  <si>
    <t>カスタム属性（任意フィールド）</t>
  </si>
  <si>
    <t>requirements/functional-requirements.md §6.2</t>
  </si>
  <si>
    <t>FR-USER-007</t>
  </si>
  <si>
    <t>ユーザーグループ管理</t>
  </si>
  <si>
    <t>FR-USER-008</t>
  </si>
  <si>
    <t>ロール割り当て</t>
  </si>
  <si>
    <t>FR-USER セルフサービス</t>
  </si>
  <si>
    <t>FR-USER-004</t>
  </si>
  <si>
    <t>セルフサービスプロフィール編集</t>
  </si>
  <si>
    <t>requirements/functional-requirements.md §6.3</t>
  </si>
  <si>
    <t>FR-USER-012</t>
  </si>
  <si>
    <t>ユーザー作成時の招待メール</t>
  </si>
  <si>
    <t>FR-USER プロビジョニング</t>
  </si>
  <si>
    <t>FR-USER-003</t>
  </si>
  <si>
    <t>SCIM 2.0 プロビジョニング</t>
  </si>
  <si>
    <t>requirements/functional-requirements.md §6.4</t>
  </si>
  <si>
    <t>FR-USER-009</t>
  </si>
  <si>
    <t>バルクインポート（CSV / JSON）</t>
  </si>
  <si>
    <t>FR-USER-010</t>
  </si>
  <si>
    <t>ユーザーパスワード強制リセット</t>
  </si>
  <si>
    <t>FR-ADMIN 基盤設定管理</t>
  </si>
  <si>
    <t>FR-ADMIN-001</t>
  </si>
  <si>
    <t>管理コンソールUI</t>
  </si>
  <si>
    <t>requirements/functional-requirements.md §7.1</t>
  </si>
  <si>
    <t>FR-ADMIN-002</t>
  </si>
  <si>
    <t>テナント追加・削除</t>
  </si>
  <si>
    <t>FR-ADMIN-003</t>
  </si>
  <si>
    <t>IdP追加・削除・更新</t>
  </si>
  <si>
    <t>FR-ADMIN-004</t>
  </si>
  <si>
    <t>クライアント（App）管理</t>
  </si>
  <si>
    <t>FR-ADMIN-005</t>
  </si>
  <si>
    <t>ロール定義管理</t>
  </si>
  <si>
    <t>FR-ADMIN-009</t>
  </si>
  <si>
    <t>テナント別設定の分離</t>
  </si>
  <si>
    <t>FR-ADMIN 監査・可視性</t>
  </si>
  <si>
    <t>FR-ADMIN-007</t>
  </si>
  <si>
    <t>監査ログ閲覧</t>
  </si>
  <si>
    <t>requirements/functional-requirements.md §7.2</t>
  </si>
  <si>
    <t>FR-ADMIN-008</t>
  </si>
  <si>
    <t>設定変更履歴</t>
  </si>
  <si>
    <t>FR-ADMIN 権限委譲・カスタマイズ</t>
  </si>
  <si>
    <t>FR-ADMIN-006</t>
  </si>
  <si>
    <t>パーミッション管理（細粒度）</t>
  </si>
  <si>
    <t>requirements/functional-requirements.md §7.3</t>
  </si>
  <si>
    <t>FR-ADMIN-010</t>
  </si>
  <si>
    <t>管理者ロール（RBAC for Admin）</t>
  </si>
  <si>
    <t>FR-ADMIN-011</t>
  </si>
  <si>
    <t>テナント管理者の委譲（顧客の自社運用）</t>
  </si>
  <si>
    <t>FR-ADMIN-012</t>
  </si>
  <si>
    <t>カスタマイズ可能なログインUI</t>
  </si>
  <si>
    <t>FR-INT プロトコル準拠</t>
  </si>
  <si>
    <t>FR-INT-001</t>
  </si>
  <si>
    <t>OIDC 1.0 / OAuth 2.0 標準準拠</t>
  </si>
  <si>
    <t>requirements/functional-requirements.md §8.1</t>
  </si>
  <si>
    <t>FR-INT-002</t>
  </si>
  <si>
    <t>OIDC Discovery（.well-known）</t>
  </si>
  <si>
    <t>FR-INT-003</t>
  </si>
  <si>
    <t>JWKS公開エンドポイント</t>
  </si>
  <si>
    <t>FR-INT-004</t>
  </si>
  <si>
    <t>SAML 2.0 メタデータ</t>
  </si>
  <si>
    <t>FR-INT-007</t>
  </si>
  <si>
    <t>API Gateway / Lambda Authorizer統合</t>
  </si>
  <si>
    <t>FR-INT ログ・監視</t>
  </si>
  <si>
    <t>FR-INT-008</t>
  </si>
  <si>
    <t>監査ログ外部出力（CloudWatch / S3 / Kinesis）</t>
  </si>
  <si>
    <t>requirements/functional-requirements.md §8.2</t>
  </si>
  <si>
    <t>FR-INT-009</t>
  </si>
  <si>
    <t>監査ログSIEM連携（Splunk / Datadog）</t>
  </si>
  <si>
    <t>FR-INT API・IaC・Webhook</t>
  </si>
  <si>
    <t>FR-INT-005</t>
  </si>
  <si>
    <t>Webhookイベント通知（user.created等）</t>
  </si>
  <si>
    <t>requirements/functional-requirements.md §8.3</t>
  </si>
  <si>
    <t>FR-INT-006</t>
  </si>
  <si>
    <t>管理REST API</t>
  </si>
  <si>
    <t>FR-INT-010</t>
  </si>
  <si>
    <t>Terraform / IaC管理</t>
  </si>
  <si>
    <t>NFR-AVL 可用性</t>
  </si>
  <si>
    <t>NFR-AVL-001</t>
  </si>
  <si>
    <t>requirements/non-functional-requirements.md §1</t>
  </si>
  <si>
    <t>NFR-AVL-002</t>
  </si>
  <si>
    <t>NFR-AVL-003</t>
  </si>
  <si>
    <t>マルチAZ配置</t>
  </si>
  <si>
    <t>NFR-AVL-004</t>
  </si>
  <si>
    <t>自動復旧（コンテナ障害）</t>
  </si>
  <si>
    <t>NFR-AVL-005</t>
  </si>
  <si>
    <t>単一障害点の排除</t>
  </si>
  <si>
    <t>NFR-AVL-006</t>
  </si>
  <si>
    <t>デプロイ時のダウンタイム</t>
  </si>
  <si>
    <t>NFR-PERF 応答時間/レイテンシ</t>
  </si>
  <si>
    <t>NFR-PERF-001</t>
  </si>
  <si>
    <t>認証応答時間（P50/P95/P99）</t>
  </si>
  <si>
    <t>requirements/non-functional-requirements.md §2.1</t>
  </si>
  <si>
    <t>NFR-PERF-003</t>
  </si>
  <si>
    <t>Lambda Authorizer応答時間</t>
  </si>
  <si>
    <t>NFR-PERF-004</t>
  </si>
  <si>
    <t>JWT検証スループット</t>
  </si>
  <si>
    <t>NFR-PERF-005</t>
  </si>
  <si>
    <t>JWKSキャッシュTTL</t>
  </si>
  <si>
    <t>NFR-PERF-008</t>
  </si>
  <si>
    <t>DB応答時間（Keycloakのみ）</t>
  </si>
  <si>
    <t>NFR-PERF スループット/スケール耐性</t>
  </si>
  <si>
    <t>NFR-PERF-002</t>
  </si>
  <si>
    <t>同時認証リクエスト処理能力</t>
  </si>
  <si>
    <t>requirements/non-functional-requirements.md §2.2</t>
  </si>
  <si>
    <t>NFR-PERF-006</t>
  </si>
  <si>
    <t>API Gatewayスロットリング</t>
  </si>
  <si>
    <t>NFR-PERF-007</t>
  </si>
  <si>
    <t>認証ピーク時間帯への耐性</t>
  </si>
  <si>
    <t>NFR-SCL 拡張性</t>
  </si>
  <si>
    <t>NFR-SCL-001</t>
  </si>
  <si>
    <t>requirements/non-functional-requirements.md §3</t>
  </si>
  <si>
    <t>NFR-SCL-002</t>
  </si>
  <si>
    <t>ピーク時同時セッション数</t>
  </si>
  <si>
    <t>NFR-SCL-003</t>
  </si>
  <si>
    <t>顧客テナント数（IdP数）スケール</t>
  </si>
  <si>
    <t>NFR-SCL-004</t>
  </si>
  <si>
    <t>IdP追加リードタイム</t>
  </si>
  <si>
    <t>NFR-SCL-005</t>
  </si>
  <si>
    <t>自動スケーリング</t>
  </si>
  <si>
    <t>NFR-SCL-006</t>
  </si>
  <si>
    <t>マルチリージョン対応</t>
  </si>
  <si>
    <t>NFR-SCL-007</t>
  </si>
  <si>
    <t>データベーススケール（Keycloak）</t>
  </si>
  <si>
    <t>NFR-SEC 暗号化・鍵管理</t>
  </si>
  <si>
    <t>NFR-SEC-001</t>
  </si>
  <si>
    <t>通信暗号化</t>
  </si>
  <si>
    <t>requirements/non-functional-requirements.md §4.1</t>
  </si>
  <si>
    <t>NFR-SEC-002</t>
  </si>
  <si>
    <t>データ暗号化（at-rest）</t>
  </si>
  <si>
    <t>NFR-SEC-003</t>
  </si>
  <si>
    <t>トークン署名アルゴリズム</t>
  </si>
  <si>
    <t>NFR-SEC-009</t>
  </si>
  <si>
    <t>パスワード保管アルゴリズム</t>
  </si>
  <si>
    <t>NFR-SEC-015</t>
  </si>
  <si>
    <t>シークレット管理</t>
  </si>
  <si>
    <t>NFR-SEC トークン・セッション</t>
  </si>
  <si>
    <t>NFR-SEC-004</t>
  </si>
  <si>
    <t>Access Token TTL</t>
  </si>
  <si>
    <t>requirements/non-functional-requirements.md §4.2</t>
  </si>
  <si>
    <t>NFR-SEC-005</t>
  </si>
  <si>
    <t>Refresh Token TTL</t>
  </si>
  <si>
    <t>NFR-SEC-006</t>
  </si>
  <si>
    <t>ID Token TTL</t>
  </si>
  <si>
    <t>NFR-SEC-007</t>
  </si>
  <si>
    <t>Refresh Token Rotation</t>
  </si>
  <si>
    <t>NFR-SEC-008</t>
  </si>
  <si>
    <t>トークン失効（Revocation）</t>
  </si>
  <si>
    <t>NFR-SEC-020</t>
  </si>
  <si>
    <t>セッション固定攻撃対策</t>
  </si>
  <si>
    <t>NFR-SEC 攻撃対策</t>
  </si>
  <si>
    <t>NFR-SEC-010</t>
  </si>
  <si>
    <t>ブルートフォース対策</t>
  </si>
  <si>
    <t>requirements/non-functional-requirements.md §4.3</t>
  </si>
  <si>
    <t>NFR-SEC-010-2</t>
  </si>
  <si>
    <t>侵害クレデンシャル検出（HIBP相当）</t>
  </si>
  <si>
    <t>NFR-SEC-012</t>
  </si>
  <si>
    <t>DDoS対策</t>
  </si>
  <si>
    <t>NFR-SEC-013</t>
  </si>
  <si>
    <t>ペネトレーションテスト</t>
  </si>
  <si>
    <t>(TBD) 年N回｜製品非依存。実施体制・頻度を要ヒアリング</t>
  </si>
  <si>
    <t>NFR-SEC-014</t>
  </si>
  <si>
    <t>脆弱性スキャン</t>
  </si>
  <si>
    <t>NFR-SEC ネットワーク・境界制御</t>
  </si>
  <si>
    <t>NFR-SEC-011</t>
  </si>
  <si>
    <t>WAF適用</t>
  </si>
  <si>
    <t>requirements/non-functional-requirements.md §4.4</t>
  </si>
  <si>
    <t>NFR-SEC-016</t>
  </si>
  <si>
    <t>ネットワーク分離（Private Subnet）</t>
  </si>
  <si>
    <t>NFR-SEC-017</t>
  </si>
  <si>
    <t>管理画面アクセス制御</t>
  </si>
  <si>
    <t>NFR-SEC-018</t>
  </si>
  <si>
    <t>JWKSエンドポイント保護</t>
  </si>
  <si>
    <t>NFR-SEC-019</t>
  </si>
  <si>
    <t>内部通信の認証（Lambda→Keycloak）</t>
  </si>
  <si>
    <t>NFR-DR 災害復旧</t>
  </si>
  <si>
    <t>NFR-DR-001</t>
  </si>
  <si>
    <t>RTO（目標復旧時間）</t>
  </si>
  <si>
    <t>requirements/non-functional-requirements.md §5</t>
  </si>
  <si>
    <t>NFR-DR-002</t>
  </si>
  <si>
    <t>RPO（目標復旧地点）</t>
  </si>
  <si>
    <t>NFR-DR-003</t>
  </si>
  <si>
    <t>フェイルオーバー方式</t>
  </si>
  <si>
    <t>NFR-DR-004</t>
  </si>
  <si>
    <t>バックアップ保存期間</t>
  </si>
  <si>
    <t>NFR-DR-005</t>
  </si>
  <si>
    <t>PITR（Point-in-Time Recovery）</t>
  </si>
  <si>
    <t>NFR-DR-006</t>
  </si>
  <si>
    <t>クロスリージョンバックアップ</t>
  </si>
  <si>
    <t>NFR-DR-007</t>
  </si>
  <si>
    <t>DR訓練</t>
  </si>
  <si>
    <t>(TBD) 年N回｜製品非依存。基本設計にRB-DR-00〜05のRunbookあり</t>
  </si>
  <si>
    <t>NFR-DR-008</t>
  </si>
  <si>
    <t>DR切替時のセッション維持</t>
  </si>
  <si>
    <t>NFR-OPS 監視・ロギング</t>
  </si>
  <si>
    <t>NFR-OPS-001</t>
  </si>
  <si>
    <t>監視・メトリクス</t>
  </si>
  <si>
    <t>requirements/non-functional-requirements.md §6.1</t>
  </si>
  <si>
    <t>NFR-OPS-002</t>
  </si>
  <si>
    <t>アラート通知</t>
  </si>
  <si>
    <t>NFR-OPS-003</t>
  </si>
  <si>
    <t>ログ保存期間</t>
  </si>
  <si>
    <t>(TBD) Nヶ月/N年｜★重要：NFR-COMP-007と連動。基本設計はログ3層+SIEM</t>
  </si>
  <si>
    <t>NFR-OPS-004</t>
  </si>
  <si>
    <t>ログ検索性</t>
  </si>
  <si>
    <t>NFR-OPS デプロイ・パッチ</t>
  </si>
  <si>
    <t>NFR-OPS-005</t>
  </si>
  <si>
    <t>バージョンアップ方針</t>
  </si>
  <si>
    <t>requirements/non-functional-requirements.md §6.2</t>
  </si>
  <si>
    <t>NFR-OPS-006</t>
  </si>
  <si>
    <t>NFR-OPS-007</t>
  </si>
  <si>
    <t>(D)IaC（Terraform）+レビュー｜Keycloak=Realmは別管理。基本設計でIaC 2層・keycloak-config-cli不採用が決定</t>
  </si>
  <si>
    <t>NFR-OPS-010</t>
  </si>
  <si>
    <t>デプロイ自動化（CI/CD）</t>
  </si>
  <si>
    <t>NFR-OPS 体制・運用SLA</t>
  </si>
  <si>
    <t>NFR-OPS-008</t>
  </si>
  <si>
    <t>requirements/non-functional-requirements.md §6.3</t>
  </si>
  <si>
    <t>NFR-OPS-009</t>
  </si>
  <si>
    <t>運用工数（人月）</t>
  </si>
  <si>
    <t>NFR-OPS-011</t>
  </si>
  <si>
    <t>テナント追加の運用SLA</t>
  </si>
  <si>
    <t>NFR-COMP 規制・法令対応</t>
  </si>
  <si>
    <t>NFR-COMP-001</t>
  </si>
  <si>
    <t>個人情報保護法対応</t>
  </si>
  <si>
    <t>requirements/non-functional-requirements.md §7.1</t>
  </si>
  <si>
    <t>NFR-COMP-002</t>
  </si>
  <si>
    <t>GDPR / CCPA（海外展開時）</t>
  </si>
  <si>
    <t>NFR-COMP-008</t>
  </si>
  <si>
    <t>データ所在地（リージョン制限）</t>
  </si>
  <si>
    <t>NFR-COMP 業界認定・監査</t>
  </si>
  <si>
    <t>NFR-COMP-003</t>
  </si>
  <si>
    <t>SOC 2 Type II</t>
  </si>
  <si>
    <t>requirements/non-functional-requirements.md §7.2</t>
  </si>
  <si>
    <t>NFR-COMP-004</t>
  </si>
  <si>
    <t>ISO 27001</t>
  </si>
  <si>
    <t>NFR-COMP-005</t>
  </si>
  <si>
    <t>NFR-COMP-006</t>
  </si>
  <si>
    <t>NFR-COMP-007</t>
  </si>
  <si>
    <t>NFR-COMP-010</t>
  </si>
  <si>
    <t>アクセス監査の追跡可能性</t>
  </si>
  <si>
    <t>NFR-COMP データガバナンス</t>
  </si>
  <si>
    <t>NFR-COMP-009</t>
  </si>
  <si>
    <t>requirements/non-functional-requirements.md §7.3</t>
  </si>
  <si>
    <t>NFR-COMP-011</t>
  </si>
  <si>
    <t>暗号鍵のローテーション</t>
  </si>
  <si>
    <t>NFR-COST コスト</t>
  </si>
  <si>
    <t>NFR-COST-001</t>
  </si>
  <si>
    <t>初期構築費</t>
  </si>
  <si>
    <t>requirements/non-functional-requirements.md §8</t>
  </si>
  <si>
    <t>NFR-COST-002</t>
  </si>
  <si>
    <t>月額固定インフラ費</t>
  </si>
  <si>
    <t>NFR-COST-003</t>
  </si>
  <si>
    <t>MAUあたりコスト（連携）</t>
  </si>
  <si>
    <t>NFR-COST-003-PLUS</t>
  </si>
  <si>
    <t>Cognito Plusティア追加課金</t>
  </si>
  <si>
    <t>NFR-COST-004</t>
  </si>
  <si>
    <t>DR追加月額</t>
  </si>
  <si>
    <t>NFR-COST-005</t>
  </si>
  <si>
    <t>運用人件費</t>
  </si>
  <si>
    <t>NFR-COST-006</t>
  </si>
  <si>
    <t>RHBKサブスクリプション</t>
  </si>
  <si>
    <t>NFR-COST-007</t>
  </si>
  <si>
    <t>損益分岐MAU（連携のみ）</t>
  </si>
  <si>
    <t>Keycloak OSS 175,000 MAU / RHBK採用時 〜600,000 MAU（ADR-006）</t>
  </si>
  <si>
    <t>NFR-COST-007-PLUS</t>
  </si>
  <si>
    <t>損益分岐MAU（Plusティア利用時 $0.035/MAU）</t>
  </si>
  <si>
    <t>〜75,000 MAU（ADR-006）。Plusティア採用で175,000→75,000に変動</t>
  </si>
  <si>
    <t>NFR-COST-008</t>
  </si>
  <si>
    <t>3年TCO（10万MAU想定）</t>
  </si>
  <si>
    <t>NFR-COST-009</t>
  </si>
  <si>
    <t>3年TCO（50万MAU想定）</t>
  </si>
  <si>
    <t>NFR-MIG 移行性</t>
  </si>
  <si>
    <t>NFR-MIG-001</t>
  </si>
  <si>
    <t>既存認証システムからのユーザー移行</t>
  </si>
  <si>
    <t>requirements/non-functional-requirements.md §9</t>
  </si>
  <si>
    <t>NFR-MIG-002</t>
  </si>
  <si>
    <t>パスワード移行（ハッシュ持ち越し）</t>
  </si>
  <si>
    <t>NFR-MIG-003</t>
  </si>
  <si>
    <t>ベンダーロックイン回避</t>
  </si>
  <si>
    <t>NFR-MIG-004</t>
  </si>
  <si>
    <t>データエクスポート</t>
  </si>
  <si>
    <t>NFR-MIG-005</t>
  </si>
  <si>
    <t>段階的移行（並行稼働）</t>
  </si>
  <si>
    <t>プラットフォーム</t>
  </si>
  <si>
    <t>P-01</t>
  </si>
  <si>
    <t>Keycloak / ROSA HCP + RHBK Operator（RHBKサブスクはROSA内包・追加費用なし）</t>
  </si>
  <si>
    <t>basic-design/01-architecture-baseline.md §1.1</t>
  </si>
  <si>
    <t>MAU規模</t>
  </si>
  <si>
    <t>P-02</t>
  </si>
  <si>
    <t>10M MAU上限で設計</t>
  </si>
  <si>
    <t>FIPS 140-2</t>
  </si>
  <si>
    <t>P-03</t>
  </si>
  <si>
    <t>不要</t>
  </si>
  <si>
    <t>basic-design/01-architecture-baseline.md §1.1/§1.4a</t>
  </si>
  <si>
    <t>SLA</t>
  </si>
  <si>
    <t>P-04</t>
  </si>
  <si>
    <t>99.9%（暫定）</t>
  </si>
  <si>
    <t>NFR-AVL-001推奨デフォルト。ROSA HCP自体は99.95%。顧客合意待ち。影響=U6/U8/U9</t>
  </si>
  <si>
    <t>DR方式</t>
  </si>
  <si>
    <t>P-05</t>
  </si>
  <si>
    <t>Tier 3+: 手動DR / RTO≈14日（大阪でオンデマンド再構築）/ RPOはAurora自動バックアップ+PITR依存</t>
  </si>
  <si>
    <t>テナント分離</t>
  </si>
  <si>
    <t>P-06</t>
  </si>
  <si>
    <t>L2 単一Realm + Organizations + tenant_idクレーム</t>
  </si>
  <si>
    <t>ADR-017（2026-07-23更新）。影響=U2/U3</t>
  </si>
  <si>
    <t>ユーザーカテゴリ</t>
  </si>
  <si>
    <t>P-07</t>
  </si>
  <si>
    <t>P-1〜P-4全カテゴリ受入。テナント管理者含め全顧客ユーザーはフェデレーション。Brokerローカルは基盤運用者/Break-Glassのみ</t>
  </si>
  <si>
    <t>2026-07-30確定（A-5-2回答）。顧客IdP保有テナント=顧客IdP / 非保有テナント=IdP-KC収容。従前γ「管理者層のみローカル」から転換。残: U2 Browser Flow / U3プロビ経路 / U4・U7 MFA（管理者=ローカル前提）要改訂（D-17）</t>
  </si>
  <si>
    <t>識別子</t>
  </si>
  <si>
    <t>ADR-018/054/055。影響=U2/U3/U5</t>
  </si>
  <si>
    <t>トークン</t>
  </si>
  <si>
    <t>P-09</t>
  </si>
  <si>
    <t>AT 30分 / RT 30日+Rotation / 絶対24h / アイドル1h / ES256</t>
  </si>
  <si>
    <t>§NFR-4.2、ADR-045。影響=U5</t>
  </si>
  <si>
    <t>JWTクレーム</t>
  </si>
  <si>
    <t>P-10</t>
  </si>
  <si>
    <t>Stage 1最小、PII非搭載</t>
  </si>
  <si>
    <t>ADR-030。影響=U5</t>
  </si>
  <si>
    <t>SSO信頼レベル</t>
  </si>
  <si>
    <t>P-11</t>
  </si>
  <si>
    <t>L1完全信頼デフォルト、L3は規制業種オプション</t>
  </si>
  <si>
    <t>§FR-4.2。影響=U4/U5</t>
  </si>
  <si>
    <t>プロビジョニング</t>
  </si>
  <si>
    <t>P-12</t>
  </si>
  <si>
    <t>JIT + SCIM受信併用、Custom Authenticator SPI案B、3系統Flow配置</t>
  </si>
  <si>
    <t>PoC V1〜V3''検証済。LDAP User Federation経路は対象外（2026-07-30、LDAP顧客なし）。影響=U2/U3</t>
  </si>
  <si>
    <t>ServiceNow</t>
  </si>
  <si>
    <t>P-13</t>
  </si>
  <si>
    <t>パターン②（L1 SCIM + L2 SAML JIT）</t>
  </si>
  <si>
    <t>ADR-023 §L。影響=U10</t>
  </si>
  <si>
    <t>アプリ標準プロトコル</t>
  </si>
  <si>
    <t>P-14</t>
  </si>
  <si>
    <t>新規=OIDC / 既存SP=SAML</t>
  </si>
  <si>
    <t>saml-vs-oidc §16。影響=U5/U10</t>
  </si>
  <si>
    <t>リージョン</t>
  </si>
  <si>
    <t>P-15</t>
  </si>
  <si>
    <t>東京 ap-northeast-1（常用）+ 大阪 ap-northeast-3（DR時オンデマンド再構築、平時はROSA事前プロビジョニングなし）</t>
  </si>
  <si>
    <t>2026-07-30 DR転換。Auroraバックアップ/スナップショットは平時から保全。P-05連動。影響=U6/U8</t>
  </si>
  <si>
    <t>接続IdP数</t>
  </si>
  <si>
    <t>P-16</t>
  </si>
  <si>
    <t>1000超想定 — 条件付き成立。必須対策7点をU2設計制約とする</t>
  </si>
  <si>
    <t>アカウント/クラスタ</t>
  </si>
  <si>
    <t>P-17</t>
  </si>
  <si>
    <t>IdP-KCはBrokerと別AWSアカウント、ROSA HCP×2クラスタ</t>
  </si>
  <si>
    <t>basic-design/01-architecture-baseline.md §1.1/§1.2</t>
  </si>
  <si>
    <t>インターネット境界</t>
  </si>
  <si>
    <t>P-18</t>
  </si>
  <si>
    <t>他組織管理の監査Acct（In: CF+WAF+ALB or NLB+NWFW / Out: NWFWドメインフィルタ）</t>
  </si>
  <si>
    <t>U2 Keycloak論理</t>
  </si>
  <si>
    <t>G-IdP-Scale</t>
  </si>
  <si>
    <t>1000/2000 IdP実測PoC P-1〜P-7</t>
  </si>
  <si>
    <t>basic-design/01-architecture-baseline.md §1.5</t>
  </si>
  <si>
    <t>basic-design/01-architecture-baseline.md §1.5/§1.4a</t>
  </si>
  <si>
    <t>G-UProfile-Email</t>
  </si>
  <si>
    <t>User Profileでemailを任意化した際のKeycloak既知不具合を回避し、email非保有ユーザーが登録/ログイン/更新を完走できるか実機検証</t>
  </si>
  <si>
    <t>U3 ID・プロビジョニング</t>
  </si>
  <si>
    <t>G-SCIM</t>
  </si>
  <si>
    <t>SCIM FacadeのSCIM 2.0準拠検証（Entra/Okta SCIM Validator + D1/D2 E2E + Soft Delete写像 + deprovisioned_atセット確認）</t>
  </si>
  <si>
    <t>U6 インフラ・NW</t>
  </si>
  <si>
    <t>U6/U9</t>
  </si>
  <si>
    <t>G-EGRESS</t>
  </si>
  <si>
    <t>Egress許可ドメインの追加運用方式</t>
  </si>
  <si>
    <t>U7 セキュリティ</t>
  </si>
  <si>
    <t>2026-07-30軟化: クラウド利用のAPPI同意は取得方針。残はRed Hat SRE越境閲覧の確認中1点（U7 §7.7.4）。ROSA再検討リスクは大幅低下</t>
  </si>
  <si>
    <t>U8 可用性・DR</t>
  </si>
  <si>
    <t>G-EDGE-DR</t>
  </si>
  <si>
    <t>エッジ層のDR切替合意</t>
  </si>
  <si>
    <t>2026-07-30転換: 手動DR / RTO≈14日で大阪オンデマンド再構築 → RTO 1h・エッジ自動切替合意は不要。論点は「大阪再構築Runbook」へ（U8要改訂）</t>
  </si>
  <si>
    <t>（対象外化）</t>
  </si>
  <si>
    <t>G-PCI-WAF</t>
  </si>
  <si>
    <t>PCI DSS向けWAF要件</t>
  </si>
  <si>
    <t>2026-07-30廃止（PCI DSS対応不要）。B-MFA-PCI-1も不要。U7のPCIスコープを「Phase 1対象外」化（削除でなく降格、将来再開可）</t>
  </si>
  <si>
    <t>A. PoC・技術ゲート実測</t>
  </si>
  <si>
    <t>A-1</t>
  </si>
  <si>
    <t>G-IdP-Scale実測PoC（1000/2000 IdP+Org投入・認証p99・Admin応答・キャッシュメモリ/ウォームアップ・Terraform plan分割閾値・パッチ回帰）</t>
  </si>
  <si>
    <t>basic-design/00a-remaining-tasks-and-effort.md §2 A</t>
  </si>
  <si>
    <t>A-2</t>
  </si>
  <si>
    <t>G-SPI-Compat（RHBK 26.4 × Custom SPI 4機能 + HRD Flow配置 + storeToken=false×id_token_hint + 属性ポリシー + Micrometer計装）</t>
  </si>
  <si>
    <t>basic-design/00a-remaining-tasks-and-effort.md §2 A/§3.1</t>
  </si>
  <si>
    <t>A-3</t>
  </si>
  <si>
    <t>G-SCIM（自作SCIM Facadeプロトタイプ実装 + Entra/Okta Validator + D1/D2 E2E + Soft Delete写像 + 500/1000テナントp99 + バルク5万件）</t>
  </si>
  <si>
    <t>A-4</t>
  </si>
  <si>
    <t>G-LDAP（B-SCIM-13）</t>
  </si>
  <si>
    <t>A-5</t>
  </si>
  <si>
    <t>B-SCIM-12: SAML経由JITのSPI検証（NameID handling差）</t>
  </si>
  <si>
    <t>A-6</t>
  </si>
  <si>
    <t>B-SCIM-14: 実IdP統合検証（Entra ID / Okta trialでClaims・iss・SPI発火・login_hint・amr差）</t>
  </si>
  <si>
    <t>A-7</t>
  </si>
  <si>
    <t>G-OSAKA: 大阪c7g/c7i在庫・vCPUクォータ・arm64 Machine Pool / RHBK Operator arm64対応</t>
  </si>
  <si>
    <t>A-8</t>
  </si>
  <si>
    <t>Argon2idスループット実測（KCデフォルト m=7MiB/t=5 でのreq/s実測 → サイジング補正）</t>
  </si>
  <si>
    <t>A-9</t>
  </si>
  <si>
    <t>SAMLメタデータ自動更新の実機確認（metadata descriptor URL + Refresh periodが実機に存在・動作するか）</t>
  </si>
  <si>
    <t>A-10</t>
  </si>
  <si>
    <t>SPI debounce負荷試験（100 RPS × 24h × 10万ユーザのAurora IOPS / Infinispan invalidate / Podリソース）</t>
  </si>
  <si>
    <t>A-11</t>
  </si>
  <si>
    <t>小粒実機確認バンドル（multi-cluster v2版数 / ROSA SA issuer JWKS / Red Hat docs 403分のEUS・Operatorチャネル・監査ログ制約の本文確認）</t>
  </si>
  <si>
    <t>A-12</t>
  </si>
  <si>
    <t>ServiceNow SP連携の実機検証（SAML Client CL-SN-01実機 + L1 SCIM→L2 SAML JIT統合フロー + Matching Field突合 + Webhook配信）</t>
  </si>
  <si>
    <t>basic-design/00a-remaining-tasks-and-effort.md §2 A/横串</t>
  </si>
  <si>
    <t>B. 他組織・エッジ連携確定</t>
  </si>
  <si>
    <t>B-1</t>
  </si>
  <si>
    <t>要求仕様書v1の発行〜回答反映（既存B部記述を要求仕様書として体裁化・発行、先方QA対応、回答の各単元反映）</t>
  </si>
  <si>
    <t>basic-design/00a-remaining-tasks-and-effort.md §2 B</t>
  </si>
  <si>
    <t>B-2</t>
  </si>
  <si>
    <t>CloudFront→エッジLB到達方式 + NFWルート設計の技術詰め</t>
  </si>
  <si>
    <t>B-3</t>
  </si>
  <si>
    <t>CIDR台帳の凍結（社内NW・他組織・顧客CIDRの入手と衝突確認）</t>
  </si>
  <si>
    <t>B-4</t>
  </si>
  <si>
    <t>3ゲート合意の交渉サポート資料（SLA選択肢・未合意時の要件改訂影響を先方向けに整理）</t>
  </si>
  <si>
    <t>B-5</t>
  </si>
  <si>
    <t>Canary Bot除外合意（Canary送信元のWAF誤検知除外をREQ追補へ）</t>
  </si>
  <si>
    <t>C. 設計是正・文書整合</t>
  </si>
  <si>
    <t>C-1</t>
  </si>
  <si>
    <t>U6サイジング是正（Podモデル+接続予算）</t>
  </si>
  <si>
    <t>basic-design/00a-remaining-tasks-and-effort.md §2 C</t>
  </si>
  <si>
    <t>C-2</t>
  </si>
  <si>
    <t>Baseline整合3点（NFR-3 10M改訂 / §C-7改訂ステータスの01・00-index矛盾突合 / P-09「RT 30日」精密化）</t>
  </si>
  <si>
    <t>C-3</t>
  </si>
  <si>
    <t>ADR反映残の一括処理（ADR-051の12項目 / 053 / 059 / 019 / 048 / 038 / 023 §L.8 + research波及文書修正）</t>
  </si>
  <si>
    <t>C-4</t>
  </si>
  <si>
    <t>小粒登録4点（legacy_spiのD3-04行追加 / REQ-IN-12のU6登録 / REQ-OUT-06起票 / Pod・Service CIDRずらし承認）</t>
  </si>
  <si>
    <t>C-5</t>
  </si>
  <si>
    <t>宙に浮いた参照8件の解消（idp_priority→D-1 / AAL操作一覧→D-2 / canaryスコープ→D-10 / L4特権JIT API→D-15 / drawio→G-4 / 00計画書のSorry旧記述 / §C-7 / ADR-040・036トリガー追跡→F-4）</t>
  </si>
  <si>
    <t>C-6</t>
  </si>
  <si>
    <t>research波及文書修正（rosa-detailed-analysis §4/§7、rhbk-support-and-pricing §4.5）</t>
  </si>
  <si>
    <t>C-7</t>
  </si>
  <si>
    <t>PCI DSSスコープのPhase 1除外化</t>
  </si>
  <si>
    <t>C-8</t>
  </si>
  <si>
    <t>LDAP経路の対象外化（U2/U3のLDAP記述、ADR-025 §H、D3-04 ldap経路に「Phase 1対象外」注記）</t>
  </si>
  <si>
    <t>D. 未確定設計の合同確定</t>
  </si>
  <si>
    <t>D-1</t>
  </si>
  <si>
    <t>idp_priority属性 + Orgセレクター表示順（U2×U4合同）</t>
  </si>
  <si>
    <t>basic-design/00a-remaining-tasks-and-effort.md §2 D</t>
  </si>
  <si>
    <t>D-2</t>
  </si>
  <si>
    <t>AAL2/AAL3要求操作一覧（RP契約の前倒し確定）</t>
  </si>
  <si>
    <t>D-3</t>
  </si>
  <si>
    <t>idmap補助DB物理配置</t>
  </si>
  <si>
    <t>D-4</t>
  </si>
  <si>
    <t>SCIM Facade実行形態（U3×U6×U9三者）</t>
  </si>
  <si>
    <t>D-5</t>
  </si>
  <si>
    <t>idm-api内部ルート + サービス間認可</t>
  </si>
  <si>
    <t>D-6</t>
  </si>
  <si>
    <t>SES/メール送信設計（サンドボックス解除・SPF/DKIM・realm単位SMTP as-code）</t>
  </si>
  <si>
    <t>D-7</t>
  </si>
  <si>
    <t>ITDR DynamoDB大阪方式 + Break-Glass大阪実体（U7×U8）</t>
  </si>
  <si>
    <t>D-8</t>
  </si>
  <si>
    <t>D3-17 portal値 + ext_拡張属性受入枠 + app 90日バッチオプトイン</t>
  </si>
  <si>
    <t>D-9</t>
  </si>
  <si>
    <t>idm-api周辺5点（エンタイトルメント×App Registryスキーマ統合 / 監査二重書き / 承認UI共用 / canaryスコープ / SLO境界）</t>
  </si>
  <si>
    <t>D-10</t>
  </si>
  <si>
    <t>LDAP経路の追加Flow設計</t>
  </si>
  <si>
    <t>D-11</t>
  </si>
  <si>
    <t>SAML IdPテンプレート（Mapper定義）</t>
  </si>
  <si>
    <t>D-12</t>
  </si>
  <si>
    <t>IdP証明書ローテーション運用設計（SP側SAML鍵ローテ含む）</t>
  </si>
  <si>
    <t>D-13</t>
  </si>
  <si>
    <t>ロックアウト×Brokerリスクスコア整合</t>
  </si>
  <si>
    <t>D-14</t>
  </si>
  <si>
    <t>ATPフォームフィールド添付 + HRD文言最終稿</t>
  </si>
  <si>
    <t>D-15</t>
  </si>
  <si>
    <t>L3昇格API配置</t>
  </si>
  <si>
    <t>D-16</t>
  </si>
  <si>
    <t>ServiceNow移行・並走・削除連鎖の設計詰め（並走4Phase M0〜M3詳細手順 + 削除連鎖 + SN Break Glass実体 + SN-onlyユーザ移行/PW移行判定）</t>
  </si>
  <si>
    <t>basic-design/00a-remaining-tasks-and-effort.md §2 D/横串</t>
  </si>
  <si>
    <t>D-17</t>
  </si>
  <si>
    <t>アイデンティティモデル改訂（全顧客ユーザーをフェデ化。ローカル管理者=Broker/IdP-KC両KCの基盤運用者P-1のみ・踏み台/SSMクローズド接続）</t>
  </si>
  <si>
    <t>D-18</t>
  </si>
  <si>
    <t>DRコールド化 + データ保全改訂（パイロットライト→手動コールドDR、RTO≈14日。2障害シナリオを区別）</t>
  </si>
  <si>
    <t>E. 新規検討領域</t>
  </si>
  <si>
    <t>E-1</t>
  </si>
  <si>
    <t>dev/stg環境設計（Acct構成・ROSAクラスタ数/共用方針・テストデータ・コスト）</t>
  </si>
  <si>
    <t>basic-design/00a-remaining-tasks-and-effort.md §2 E</t>
  </si>
  <si>
    <t>E-2</t>
  </si>
  <si>
    <t>負荷試験一元計画書（keycloak-benchmark/Gatling・dataset投入・合格基準・「Pod増で1Pod性能低下」公式警告の織込み）</t>
  </si>
  <si>
    <t>basic-design/00a-remaining-tasks-and-effort.md §2 E/§4</t>
  </si>
  <si>
    <t>E-3</t>
  </si>
  <si>
    <t>FinOps/継続コスト管理（タグ戦略・予算アラート・テナント別原価・3y見積回収）</t>
  </si>
  <si>
    <t>E-4</t>
  </si>
  <si>
    <t>KC本番設定の詰め漏れ反映（http-max-queued-requests / 公開パス遮断表 / JGroups mTLS 30日自動ローテ / jdbc-ping / persistent-user-sessions前提確認）</t>
  </si>
  <si>
    <t>E-5</t>
  </si>
  <si>
    <t>アップグレード運用の精密化（update-compatibility checkのCI組込み / DB・cache系変更=recreate全停止のメンテ窓設計 / RHBK EUS・チャネル確認）</t>
  </si>
  <si>
    <t>E-6</t>
  </si>
  <si>
    <t>Aurora接続の公式部品採否（AWS Advanced JDBC Wrapper failoverプラグイン採否 / migration-strategy選定 / WAL・バックアップ暗号化範囲確認）</t>
  </si>
  <si>
    <t>E-7</t>
  </si>
  <si>
    <t>ROSA監査ログの中央集約制約（CloudWatch別Acct直接転送非サポートの本文確認 + 4.17.2+ OAuthログ肥大）</t>
  </si>
  <si>
    <t>E-8</t>
  </si>
  <si>
    <t>brute force戦略選定 + アカウント列挙対策の明文化</t>
  </si>
  <si>
    <t>F. ヒアリング・契約・法務</t>
  </si>
  <si>
    <t>F-1</t>
  </si>
  <si>
    <t>ヒアリング質問状のパッケージ化（127項目を優先度圧縮）</t>
  </si>
  <si>
    <t>basic-design/00a-remaining-tasks-and-effort.md §2 F/§0</t>
  </si>
  <si>
    <t>F-2</t>
  </si>
  <si>
    <t>ヒアリング回答反映（P表更新→影響単元改訂）</t>
  </si>
  <si>
    <t>basic-design/00a-remaining-tasks-and-effort.md §2 F</t>
  </si>
  <si>
    <t>F-3</t>
  </si>
  <si>
    <t>法務系の起票と追撃（Red Hat DPA / Key Custodian Agreement / PPC報告雛形 / 契約テンプレ）</t>
  </si>
  <si>
    <t>basic-design/00a-remaining-tasks-and-effort.md §2 F/§3.1</t>
  </si>
  <si>
    <t>F-4</t>
  </si>
  <si>
    <t>ADR-040/036別スレッド完了後の統合（OOS残存参照整理）</t>
  </si>
  <si>
    <t>G. 運用実体化</t>
  </si>
  <si>
    <t>G-1</t>
  </si>
  <si>
    <t>Runbook Phase 1必須13冊の執筆（TEN-01/03、SEC-01〜06、DR-00〜05）</t>
  </si>
  <si>
    <t>basic-design/00a-remaining-tasks-and-effort.md §2 G</t>
  </si>
  <si>
    <t>G-2</t>
  </si>
  <si>
    <t>（参考・総計外）Runbook残り23冊 — リリース後3ヶ月以内</t>
  </si>
  <si>
    <t>G-3</t>
  </si>
  <si>
    <t>オンコール/アラートRouting実体（PagerDuty契約・ローテーション）</t>
  </si>
  <si>
    <t>G-4</t>
  </si>
  <si>
    <t>drawio清書（mermaid → AWSアイコン版、旧EKS図置換）</t>
  </si>
  <si>
    <t>系統</t>
  </si>
  <si>
    <t>状態</t>
  </si>
  <si>
    <t>決めること（平易な説明）</t>
  </si>
  <si>
    <t>スマホアプリや画面だけで動くWebアプリから安全にログインさせる標準方式を採用するか</t>
  </si>
  <si>
    <t>サーバー側で画面を組み立てるWebアプリのログイン方式をどうするか</t>
  </si>
  <si>
    <t>人を介さないシステム同士の通信で、機械が自分の身元を証明する仕組みを用意するか</t>
  </si>
  <si>
    <t>あるシステム向けの通行証を別システム向けに引き換える仕組みが必要か</t>
  </si>
  <si>
    <t>テレビやプリンタのように文字入力が難しい機器からログインする必要があるか</t>
  </si>
  <si>
    <t>電子証明書を使ってアプリ自身の身元を証明させる必要があるか</t>
  </si>
  <si>
    <t>IDとパスワードを直接アプリに預ける古い方式は使わない、という方針を確認する</t>
  </si>
  <si>
    <t>パスワードの最低文字数や、記号・数字を混ぜる条件をどう決めるか</t>
  </si>
  <si>
    <t>過去に使ったパスワードの再利用を禁止するか。禁止するなら何世代さかのぼるか</t>
  </si>
  <si>
    <t>ログイン失敗が続いたときアカウントを一時的に止めるか。何回で止め、いつ解除するか</t>
  </si>
  <si>
    <t>パスワードに有効期限を設けて定期変更を求めるか。何日で切るか</t>
  </si>
  <si>
    <t>利用者が自分でパスワードを再設定できるようにするか。その際の本人確認をどう行うか</t>
  </si>
  <si>
    <t>初回ログイン時にパスワードの変更を強制するか</t>
  </si>
  <si>
    <t>既存の認証サービス（Auth0）と連携してログインさせるか</t>
  </si>
  <si>
    <t>顧客が使っているMicrosoftのID基盤と連携するか。最優先で確認したい項目</t>
  </si>
  <si>
    <t>顧客が使っているOktaと連携するか</t>
  </si>
  <si>
    <t>Google Workspaceのアカウントでログインできるようにするか</t>
  </si>
  <si>
    <t>顧客側の旧来方式（SAML）のID基盤を受け入れる必要があるか</t>
  </si>
  <si>
    <t>自分たちが旧来方式（SAML）のID提供元として振る舞う必要があるか</t>
  </si>
  <si>
    <t>社内のディレクトリサーバー（LDAP/AD）と直接つなぐ必要があるか</t>
  </si>
  <si>
    <t>顧客ごとの独自ドメイン名でログイン画面を出す必要があるか</t>
  </si>
  <si>
    <t>顧客側で追加認証を済ませた利用者に、こちらで二重に求めないための条件をどうするか</t>
  </si>
  <si>
    <t>複数の顧客のID基盤を同時に並行運用する前提でよいか</t>
  </si>
  <si>
    <t>新しい顧客を追加するときの申請から開通までの手順と、所要日数をどうするか</t>
  </si>
  <si>
    <t>ログイン画面で所属を利用者に選ばせるか、メールアドレスから自動判定するか</t>
  </si>
  <si>
    <t>スマホの認証アプリによる追加確認を用意するか</t>
  </si>
  <si>
    <t>指紋・顔認証やセキュリティキーを使ったパスワード不要のログインを用意するか</t>
  </si>
  <si>
    <t>SMS（携帯メッセージ）による追加確認を用意するか。費用と安全性をどう見るか</t>
  </si>
  <si>
    <t>メールによる追加確認を用意するか</t>
  </si>
  <si>
    <t>端末を失くしたとき用の予備コードを発行するか</t>
  </si>
  <si>
    <t>普段と違う場所や不審な状況のときだけ追加確認を求めるか。その判定基準をどうするか</t>
  </si>
  <si>
    <t>追加確認を全員必須にするか、役割ごとに任意とするか</t>
  </si>
  <si>
    <t>一度確認した端末を記憶して次回以降の追加確認を省くか。記憶する期間をどうするか</t>
  </si>
  <si>
    <t>管理者権限を持つ人には追加確認を必須にするか</t>
  </si>
  <si>
    <t>一度ログインすれば複数のアプリを使い回せる状態にするか</t>
  </si>
  <si>
    <t>顧客側のID基盤を経由した場合も同じく使い回せるようにするか</t>
  </si>
  <si>
    <t>ログアウト操作でアプリ内の状態だけを消す動作を用意するか</t>
  </si>
  <si>
    <t>ログアウト時に認証基盤側のログイン状態も併せて消すか</t>
  </si>
  <si>
    <t>ログアウト時に顧客側のID基盤のログイン状態まで消すか。どこまで連動させるか</t>
  </si>
  <si>
    <t>利用者のブラウザ経由で各アプリに一斉ログアウトを伝える方式を使うか</t>
  </si>
  <si>
    <t>サーバー同士の通信で各アプリに確実にログアウトを伝える方式を使うか</t>
  </si>
  <si>
    <t>無操作が続いたときに自動ログアウトするまでの時間をどうするか</t>
  </si>
  <si>
    <t>発行済みの通行証を有効期限前に強制的に無効化できる必要があるか</t>
  </si>
  <si>
    <t>管理者が特定の利用者のログイン状態を一括で切断できる機能を用意するか</t>
  </si>
  <si>
    <t>通行証に含まれる情報をもとに各アプリが権限を判定する方式でよいか</t>
  </si>
  <si>
    <t>顧客ごとのデータが混ざらないよう、所属情報を通行証に必ず載せるか</t>
  </si>
  <si>
    <t>役割（ロール）の情報を通行証に載せて権限判定に使うか</t>
  </si>
  <si>
    <t>役割に上下関係（上位が下位を兼ねる）を持たせるか</t>
  </si>
  <si>
    <t>システム同士の通信でも、呼び出せる機能の範囲を絞り込む仕組みを使うか</t>
  </si>
  <si>
    <t>顧客固有の項目を通行証に追加できるようにするか。追加を認める範囲をどこまでにするか</t>
  </si>
  <si>
    <t>AWSのAPI入口で通行証を検証する共通部品を用意するか</t>
  </si>
  <si>
    <t>利用者情報の登録・変更・削除を、誰がどの画面やAPIから行えるようにするか</t>
  </si>
  <si>
    <t>利用者の検索・一覧表示に必要な検索条件と表示項目をどうするか</t>
  </si>
  <si>
    <t>退職・解約時に利用者情報と関連データをどこまで消すか。保存期間をどうするか</t>
  </si>
  <si>
    <t>標準で用意される項目以外に、独自に持たせたい項目を何にするか</t>
  </si>
  <si>
    <t>利用者をグループにまとめて管理する必要があるか</t>
  </si>
  <si>
    <t>誰がどの役割を割り当てられるようにするか</t>
  </si>
  <si>
    <t>利用者が自分のプロフィールを自分で編集できる範囲をどこまでにするか</t>
  </si>
  <si>
    <t>新規登録時に招待メールを送る運用にするか。文面と有効期限をどうするか</t>
  </si>
  <si>
    <t>表形式ファイルによる一括登録を用意するか。1回あたりの上限件数をどうするか</t>
  </si>
  <si>
    <t>運用担当者が使う管理画面を、どこまで自前で作るか</t>
  </si>
  <si>
    <t>顧客テナントの追加・削除を誰がどの手順で行うか</t>
  </si>
  <si>
    <t>顧客のID基盤の登録・変更・削除を誰がどの手順で行うか</t>
  </si>
  <si>
    <t>アプリの登録と設定変更を誰がどの手順で行うか</t>
  </si>
  <si>
    <t>どんな役割を用意するかの定義を、誰が管理するか</t>
  </si>
  <si>
    <t>誰がいつ何をしたかの記録を、誰がどの画面で見られるようにするか</t>
  </si>
  <si>
    <t>設定変更の履歴をどこまで残し、いつまで保存するか</t>
  </si>
  <si>
    <t>運用担当者側の役割分担（見るだけ／変更できる等）をどう分けるか</t>
  </si>
  <si>
    <t>顧客自身に自社の利用者管理を任せるか。任せる範囲をどこまでにするか</t>
  </si>
  <si>
    <t>ログイン画面を顧客ごとのロゴや配色に変えられるようにするか。どこまで変えられるか</t>
  </si>
  <si>
    <t>AWSのAPI入口との接続方法を標準化するか</t>
  </si>
  <si>
    <t>操作記録を外部にどの形式・どの頻度で出すか</t>
  </si>
  <si>
    <t>何％の稼働率を顧客に約束するか。約束を下回ったときの扱いをどうするか。最重要の確認事項</t>
  </si>
  <si>
    <t>計画的な停止作業をいつ・どのくらいの頻度で行うか。事前通知をいつ出すか</t>
  </si>
  <si>
    <t>障害に備えて設備を複数の場所に分けて置くか</t>
  </si>
  <si>
    <t>部品が落ちたときに自動で立ち上げ直す仕組みを入れるか</t>
  </si>
  <si>
    <t>1か所壊れると全部止まる箇所をなくす方針でよいか</t>
  </si>
  <si>
    <t>更新作業中もサービスを止めない方式にするか</t>
  </si>
  <si>
    <t>ログインが何秒以内に返れば合格とするか</t>
  </si>
  <si>
    <t>権限チェック部分の応答時間の目標をどこに置くか</t>
  </si>
  <si>
    <t>ログインが集中したとき、同時に何件まで耐える必要があるか</t>
  </si>
  <si>
    <t>入口で1秒あたりの受付上限をいくつにするか</t>
  </si>
  <si>
    <t>始業時など混み合う時間帯の想定と、その山をどう吸収するか</t>
  </si>
  <si>
    <t>利用者数の上限をいくらと想定して設計するか。最重要の確認事項</t>
  </si>
  <si>
    <t>同時にログイン状態になる人数を、最大いくらと見込むか</t>
  </si>
  <si>
    <t>顧客の数（接続するID基盤の数）を最大いくらと見込むか</t>
  </si>
  <si>
    <t>新しい顧客の接続を、依頼から何日で開通させるか</t>
  </si>
  <si>
    <t>混雑に応じて設備を自動で増減させるか。増やす・減らす判定基準をどうするか</t>
  </si>
  <si>
    <t>複数の地域で同時に稼働させる必要があるか</t>
  </si>
  <si>
    <t>通信の暗号化をどの水準で必須にするか</t>
  </si>
  <si>
    <t>保存データの暗号化をどこまで必須にするか。暗号鍵を誰が持つか</t>
  </si>
  <si>
    <t>通行証の署名方式に何を使うか</t>
  </si>
  <si>
    <t>パスワードをどの方式で保管するか。強度の設定値をどうするか</t>
  </si>
  <si>
    <t>接続用の秘密情報をどこに保管し、誰が取り出せるようにするか</t>
  </si>
  <si>
    <t>通行証の有効時間を何分にするか</t>
  </si>
  <si>
    <t>再ログインなしで使い続けられる期間を何日にするか</t>
  </si>
  <si>
    <t>本人確認情報の有効時間を何分にするか</t>
  </si>
  <si>
    <t>使い回しを防ぐため、更新のたびに引換券を作り替える方式にするか</t>
  </si>
  <si>
    <t>発行済みの通行証を有効期限前に取り消せる仕組みを用意するか</t>
  </si>
  <si>
    <t>なりすましを防ぐため、ログイン時に識別子を作り替えるか</t>
  </si>
  <si>
    <t>パスワードの総当たり攻撃への対処方式をどれにするか</t>
  </si>
  <si>
    <t>世の中に漏れていると分かっているパスワードの使用を拒否するか</t>
  </si>
  <si>
    <t>大量アクセス攻撃への備えをどこまで行うか。誰が担うか</t>
  </si>
  <si>
    <t>疑似攻撃による検査を行うか。頻度と実施者をどうするか</t>
  </si>
  <si>
    <t>弱点の自動検査をどの頻度で行うか。何を合格とするか</t>
  </si>
  <si>
    <t>サーバーを外部から直接触れない場所に置くか</t>
  </si>
  <si>
    <t>鍵情報の公開窓口をどこまで守るか</t>
  </si>
  <si>
    <t>内部の部品同士の通信でも身元確認を必須にするか</t>
  </si>
  <si>
    <t>バックアップを何日分保持するか</t>
  </si>
  <si>
    <t>任意の時点まで巻き戻せる仕組みを用意するか。遡れる範囲を何日にするか</t>
  </si>
  <si>
    <t>バックアップを別の地域にも複製するか</t>
  </si>
  <si>
    <t>復旧手順の訓練をどの頻度で行うか。誰が参加するか</t>
  </si>
  <si>
    <t>切替時にログイン状態を維持するか、利用者に再ログインを求めるか</t>
  </si>
  <si>
    <t>何を監視項目とし、どの値を異常とみなすか</t>
  </si>
  <si>
    <t>誰にどの経路で通知するか。夜間・休日の対応をどうするか</t>
  </si>
  <si>
    <t>各種ログを何日保存するか</t>
  </si>
  <si>
    <t>障害時にログをどれだけ速く探せる状態にしておくか</t>
  </si>
  <si>
    <t>製品の更新をどの頻度・どの手順で当てるか</t>
  </si>
  <si>
    <t>脆弱性が公表されたとき、何日以内に対処するか</t>
  </si>
  <si>
    <t>設定変更の申請・承認・適用の流れを誰がどう回すか</t>
  </si>
  <si>
    <t>更新作業の自動化をどこまで行うか</t>
  </si>
  <si>
    <t>障害時の連絡体制と役割分担をどう組むか</t>
  </si>
  <si>
    <t>運用に何人月かかる前提とするか。誰が担当するか</t>
  </si>
  <si>
    <t>日本の個人情報保護法への対応範囲をどこまでにするか</t>
  </si>
  <si>
    <t>第三者による内部統制の証明が必要か</t>
  </si>
  <si>
    <t>クレジットカード関連の規格対応が必要か</t>
  </si>
  <si>
    <t>法令上、操作記録を何年保存する必要があるか</t>
  </si>
  <si>
    <t>利用者からの削除要求に、どの手順・何日以内で応じるか</t>
  </si>
  <si>
    <t>利用者1人あたりの単価をいくらと見るか</t>
  </si>
  <si>
    <t>今の認証システムから利用者情報をどう移すか。件数と期間をどう見るか</t>
  </si>
  <si>
    <t>将来ほかの製品に乗り換えられる状態を、どこまで保つか</t>
  </si>
  <si>
    <t>どの製品を使い、どの基盤の上に認証システムを作るか</t>
  </si>
  <si>
    <t>顧客に約束する稼働率を何％にするか</t>
  </si>
  <si>
    <t>顧客ごとのデータをどう分けて、互いに混ざらないようにするか</t>
  </si>
  <si>
    <t>どの種類の利用者を受け入れるか。誰を顧客側の仕組みでログインさせ、誰を自社で直接持つか</t>
  </si>
  <si>
    <t>利用者を一意に見分けるための番号の付け方をどうするか</t>
  </si>
  <si>
    <t>通行証の有効時間と、再ログインが必要になるまでの期間をどうするか</t>
  </si>
  <si>
    <t>通行証に何の情報を載せるか。個人情報は載せない方針でよいか</t>
  </si>
  <si>
    <t>顧客側のID基盤が行った本人確認の結果を、どこまで信用するか</t>
  </si>
  <si>
    <t>利用者情報を作る経路をどう用意するか（初回ログイン時の自動作成、顧客からの自動同期など）</t>
  </si>
  <si>
    <t>既存の業務システム（ServiceNow）との接続方式をどうするか</t>
  </si>
  <si>
    <t>新しいアプリと既存アプリで、それぞれどの接続方式を標準とするか</t>
  </si>
  <si>
    <t>どの地域に設備を置くか。予備の地域を平時から動かしておくか</t>
  </si>
  <si>
    <t>顧客のID基盤を何件まで繋ぐ想定にするか。その規模で本当に動くか</t>
  </si>
  <si>
    <t>インターネットとの出入口を誰が管理するか。相手組織に何を要求として出すか</t>
  </si>
  <si>
    <t>メールアドレスを持たない利用者でも、登録からログインまで完走できるか実機で確かめる</t>
  </si>
  <si>
    <t>顧客のID基盤からの利用者自動同期が、各社の仕様どおり動き、大量件数でも耐えるか確かめる</t>
  </si>
  <si>
    <t>外部への通信許可を追加するとき、誰にどう依頼し、何日で通るかを合意する</t>
  </si>
  <si>
    <t>クレジットカード規格向けの防御要件を確認するか（不要と決着済み）</t>
  </si>
  <si>
    <t>顧客のID基盤を1000〜2000件つないだ状態で、ログイン速度・管理画面の反応・メモリ消費が実用に耐えるかを実際に測る</t>
  </si>
  <si>
    <t>独自に作り込む4つの機能が、採用する製品の正式版でも問題なく動くか実機で確かめる</t>
  </si>
  <si>
    <t>利用者情報の自動同期の受け口を試作し、各社の検証ツールで仕様どおりか、大量件数でも遅くならないかを確かめる</t>
  </si>
  <si>
    <t>社内ディレクトリとの直接連携を検証するか（不要と決着し中止）</t>
  </si>
  <si>
    <t>旧来方式のID基盤を経由した場合も、初回ログイン時の利用者自動作成が正しく動くか確かめる</t>
  </si>
  <si>
    <t>Microsoft・Oktaの実環境につないで、受け取る情報や動きの違いを洗い出す</t>
  </si>
  <si>
    <t>予備の地域で必要な機材が実際に確保できるか、上限に引っかからないかを確認する</t>
  </si>
  <si>
    <t>パスワード検証の処理がどれだけの速さで回るかを測り、設備の大きさを補正する</t>
  </si>
  <si>
    <t>接続情報の自動更新機能が実機に本当にあるか確かめる。無ければ手作業での代替手順を決める</t>
  </si>
  <si>
    <t>独自機能に高い負荷をかけ続けたとき、データベースや各部品が耐えられるか測る</t>
  </si>
  <si>
    <t>製品の版数・鍵情報の窓口・ログの制約など、細かい確認事項をまとめて一度に確かめる</t>
  </si>
  <si>
    <t>既存の業務システムとの接続を実機で通し、利用者の突合や通知が正しく動くか確かめる</t>
  </si>
  <si>
    <t>インターネットの出入口を管理する相手組織に、こちらの要求を文書で出して回答をもらう</t>
  </si>
  <si>
    <t>外部からの通信を、相手組織の防御装置を通してどう届けるかを技術的に詰める</t>
  </si>
  <si>
    <t>使用するネットワークの番号を関係先から集め、重複がないか確認して確定させる（構築後は変更できない）</t>
  </si>
  <si>
    <t>稼働率・復旧目標・通信許可の3点について、選択肢と決まらない場合の影響を相手向けに整理する</t>
  </si>
  <si>
    <t>常時監視用の自動アクセスが誤って遮断されないよう、相手組織に除外を依頼する</t>
  </si>
  <si>
    <t>設備の台数と接続数の見積りに食い違いがあるので、方式を決め直して計算をやり直す</t>
  </si>
  <si>
    <t>想定人数などの記載が文書間で食い違っているので揃える</t>
  </si>
  <si>
    <t>各設計書で決まった内容を、決定記録の文書側にも反映する</t>
  </si>
  <si>
    <t>登録漏れになっている項目を各文書に追記する</t>
  </si>
  <si>
    <t>「別の場所で決める」と書いたまま行き先が決まっていない8件について、担当を確定させる</t>
  </si>
  <si>
    <t>調査メモの記述を最新の決定内容に合わせて直す</t>
  </si>
  <si>
    <t>クレジットカード規格の記載を「今回は対象外」に格下げする（将来再開できる形で残す）</t>
  </si>
  <si>
    <t>社内ディレクトリ連携の記載を「今回は対象外」に格下げする</t>
  </si>
  <si>
    <t>ログイン画面で所属の選択肢をどの順番で並べるかを決める</t>
  </si>
  <si>
    <t>どの操作のときに追加の本人確認を求めるか、その一覧を決める</t>
  </si>
  <si>
    <t>利用者の番号を対応づける台帳を、どこに置くかを決める</t>
  </si>
  <si>
    <t>利用者情報の自動同期の受け口を、どういう形で動かすかを決める</t>
  </si>
  <si>
    <t>管理用APIの内部の通り道と、部品同士の権限の与え方を決める</t>
  </si>
  <si>
    <t>通知メールをどこから送るか、なりすまし対策をどう設定するかを決める</t>
  </si>
  <si>
    <t>不正検知の記録と緊急時アクセスを、予備の地域でどう用意するかを決める</t>
  </si>
  <si>
    <t>追加で受け入れる利用者項目の枠と、その扱い方を決める</t>
  </si>
  <si>
    <t>権限一覧・記録の二重化・承認画面の共用など、管理API周辺の5点を決める</t>
  </si>
  <si>
    <t>社内ディレクトリ向けの追加設計（不要と決着し中止）</t>
  </si>
  <si>
    <t>旧来方式のID基盤をつなぐときの標準設定の雛形を作る</t>
  </si>
  <si>
    <t>接続に使う証明書を、どの手順で入れ替え運用するかを決める</t>
  </si>
  <si>
    <t>アカウント停止の判定と不審な動きの検知の判定が、互いに矛盾しないよう整合させる</t>
  </si>
  <si>
    <t>入力画面の項目と、所属を判定する画面の文言を確定させる</t>
  </si>
  <si>
    <t>特別に強い権限へ一時的に上げる仕組みを、どこに置くかを決める</t>
  </si>
  <si>
    <t>既存業務システムからの移行手順と、退職時に双方から消える連動の作り方を決める</t>
  </si>
  <si>
    <t>顧客の管理者も含め全員を顧客側の仕組みでログインさせる方針に合わせ、関連する設計文書を書き換える</t>
  </si>
  <si>
    <t>開発用・検証用の環境をどう用意するかを決める（現状は本番前提の設計しかない）</t>
  </si>
  <si>
    <t>性能試験のやり方と合格基準を1冊にまとめる。以降の実測作業すべての前提になる</t>
  </si>
  <si>
    <t>費用の見える化と予算超過の検知、顧客ごとの原価計算をどう行うかを決める</t>
  </si>
  <si>
    <t>高負荷時の受付制限や、管理用の入口を外部から遮断する設定など、本番運用向けの細部を決める</t>
  </si>
  <si>
    <t>製品更新のとき無停止でできるかを機械的に判定する方法と、止める場合の作業時間帯を決める</t>
  </si>
  <si>
    <t>データベース接続に公式の部品を使うか、切替時の動きをどうするかを決める</t>
  </si>
  <si>
    <t>基盤側のログを監査用の場所に集められるか制約を確認し、集約方針と整合させる</t>
  </si>
  <si>
    <t>総当たり攻撃への対策方式を選び、アカウントの有無を推測されない工夫を文書化する</t>
  </si>
  <si>
    <t>顧客に聞くべき127項目を優先度で絞り、質問状として送れる形にまとめる（未回答123件）</t>
  </si>
  <si>
    <t>顧客の回答を受けて前提表を更新し、影響する設計文書を直す</t>
  </si>
  <si>
    <t>契約・法令面の文書を起こして相手を追いかける（海外の保守要員による閲覧の扱いが最後の1点）</t>
  </si>
  <si>
    <t>別で進めている特権管理・監査の検討結果を、本体の文書に統合する</t>
  </si>
  <si>
    <t>運用担当者が障害時や作業時に見る手順書を、まず必須の13冊書く</t>
  </si>
  <si>
    <t>残りの手順書23冊を書く（稼働開始後3ヶ月以内でよい）</t>
  </si>
  <si>
    <t>夜間・休日の呼び出し当番と、通知の飛ばし方を実際に組む</t>
  </si>
  <si>
    <t>手書き相当の構成図を、正式な図に描き直す</t>
  </si>
  <si>
    <t>設計決定一覧（基本設計 02〜10 の正式決定）</t>
  </si>
  <si>
    <t>決定ID</t>
  </si>
  <si>
    <t>設計単元</t>
  </si>
  <si>
    <t>決定テーマ</t>
  </si>
  <si>
    <t>要件 → 設計決定 マッピング（漏れ探し用）</t>
  </si>
  <si>
    <t>要件側を主軸に並べ、対応する設計決定がない行を洗い出すための表。要件の文言は Sheet1 と数式で連動。</t>
  </si>
  <si>
    <t>要件ID</t>
  </si>
  <si>
    <t>要件の分類</t>
  </si>
  <si>
    <t>対応する設計決定ID</t>
  </si>
  <si>
    <t>対応状況</t>
  </si>
  <si>
    <t>備考・残論点</t>
  </si>
  <si>
    <t>U2 §2.1.2</t>
  </si>
  <si>
    <t>U2 §2.1.3</t>
  </si>
  <si>
    <t>U2 §2.2.2</t>
  </si>
  <si>
    <t>U2 §2.2.3</t>
  </si>
  <si>
    <t>U2 §2.2.4</t>
  </si>
  <si>
    <t>U2 §2.2.5 #3</t>
  </si>
  <si>
    <t>U2 §2.2.5 #4</t>
  </si>
  <si>
    <t>U2 §2.2.5 #5</t>
  </si>
  <si>
    <t>U2 §2.3 共通制約</t>
  </si>
  <si>
    <t>U2 §2.3.1</t>
  </si>
  <si>
    <t>U2 §2.3.2</t>
  </si>
  <si>
    <t>U2 §2.4.1</t>
  </si>
  <si>
    <t>U2 §2.4.2</t>
  </si>
  <si>
    <t>U2 §2.4.3</t>
  </si>
  <si>
    <t>U2 §2.4.4</t>
  </si>
  <si>
    <t>U2 §2.5.1</t>
  </si>
  <si>
    <t>U2 §2.5.2</t>
  </si>
  <si>
    <t>U2 §2.7.1</t>
  </si>
  <si>
    <t>U2 §2.7.5</t>
  </si>
  <si>
    <t>D3-02</t>
  </si>
  <si>
    <t>D3-03</t>
  </si>
  <si>
    <t>D3-04</t>
  </si>
  <si>
    <t>D3-06</t>
  </si>
  <si>
    <t>D3-07</t>
  </si>
  <si>
    <t>D3-11</t>
  </si>
  <si>
    <t>D3-12</t>
  </si>
  <si>
    <t>D3-13</t>
  </si>
  <si>
    <t>D3-14</t>
  </si>
  <si>
    <t>D3-15</t>
  </si>
  <si>
    <t>D3-16</t>
  </si>
  <si>
    <t>D3-17</t>
  </si>
  <si>
    <t>U5 トークン・認可</t>
  </si>
  <si>
    <t>U5 §5.1.3</t>
  </si>
  <si>
    <t>U5 §5.1.4</t>
  </si>
  <si>
    <t>U5 §5.2.1</t>
  </si>
  <si>
    <t>U5 §5.2.2</t>
  </si>
  <si>
    <t>U5 §5.2.3</t>
  </si>
  <si>
    <t>U5 §5.2.4</t>
  </si>
  <si>
    <t>U5 §5.3.2</t>
  </si>
  <si>
    <t>U5 §5.3.3</t>
  </si>
  <si>
    <t>U5 §5.4.3</t>
  </si>
  <si>
    <t>U5 §5.5.1</t>
  </si>
  <si>
    <t>U5 §5.5.2</t>
  </si>
  <si>
    <t>U5 §5.5.3</t>
  </si>
  <si>
    <t>U5 §5.6.1</t>
  </si>
  <si>
    <t>U5 §5.6.2</t>
  </si>
  <si>
    <t>U5 §5.6.3</t>
  </si>
  <si>
    <t>U5 §5.6.4</t>
  </si>
  <si>
    <t>U5 §5.6.5</t>
  </si>
  <si>
    <t>U5 §5.6.6</t>
  </si>
  <si>
    <t>U5 §5.8.2</t>
  </si>
  <si>
    <t>U2</t>
  </si>
  <si>
    <t>設計済</t>
  </si>
  <si>
    <t>ローカル認証は基盤運用者P-1のみに限定。踏み台/SSM経由でWebAuthn必須</t>
  </si>
  <si>
    <t>U5 §5.6.1 / §5.6.2</t>
  </si>
  <si>
    <t>U5</t>
  </si>
  <si>
    <t>response_type=code固定、PKCE S256必須。SPA直はL4ログアウト受信不可の制約付き</t>
  </si>
  <si>
    <t>BFF構成を既定推奨</t>
  </si>
  <si>
    <t>利用アプリごとに1 Confidential Client、Service Account有効</t>
  </si>
  <si>
    <t>U5 §5.3.1 / §5.3.2 / §5.3.3</t>
  </si>
  <si>
    <t>Pattern 2（audience縮小）/3（scope縮小）限定。V2のみ、なりすまし型は不採用</t>
  </si>
  <si>
    <t>－</t>
  </si>
  <si>
    <t>部分</t>
  </si>
  <si>
    <t>Implicit/Hybrid禁止は明記。この方式の明示的な禁止条項は確認できず</t>
  </si>
  <si>
    <t>U2 §2.1.4 / §2.3.2</t>
  </si>
  <si>
    <t>OIDC接続元として所属ごとに紐付けて登録。命名規約も確定</t>
  </si>
  <si>
    <t>U2 §2.3.2 / §2.4.4</t>
  </si>
  <si>
    <t>共通の接続規約と独自方式の追加確認情報の正規化は決定済。実機での差分は実測待ち</t>
  </si>
  <si>
    <t>同上。実機での差分は実測待ち</t>
  </si>
  <si>
    <t>共通規約でカバー。個別の検証は予定なし</t>
  </si>
  <si>
    <t>旧来方式の追加確認情報の正規化は決定済。接続設定の雛形づくりは未着手</t>
  </si>
  <si>
    <t>U3</t>
  </si>
  <si>
    <t>対象外</t>
  </si>
  <si>
    <t>今回は対象外に降格（将来用に区分値のみ予約）</t>
  </si>
  <si>
    <t>U2 §2.3.2 / §2.4.1 ・ D3-04 / D3-07</t>
  </si>
  <si>
    <t>U2+U3</t>
  </si>
  <si>
    <t>突合キーは所属＋変わらない利用者IDの組。再有効化の分岐と作成経路の区分まで確定</t>
  </si>
  <si>
    <t>U2 §2.5.3 ・ D3-15</t>
  </si>
  <si>
    <t>顧客側の項目を素通しせず、基盤の正しい形に写して配る原則を確立</t>
  </si>
  <si>
    <t>U2 §2.3.4 / §2.4.4</t>
  </si>
  <si>
    <t>顧客側で済んだ追加確認を属性で判定。情報がなければ未済扱い（安全側）</t>
  </si>
  <si>
    <t>U2 §2.1.2 / §2.7.3</t>
  </si>
  <si>
    <t>1顧客＝1所属単位。所属に紐付かない接続は禁止</t>
  </si>
  <si>
    <t>顧客追加は専用APIで差分適用と決定。実際の手順書と所要日数は運用側</t>
  </si>
  <si>
    <t>運用者は必須。顧客側の管理者は顧客の責任に変更（改訂作業が進行中）</t>
  </si>
  <si>
    <t>無操作1時間・最長24時間</t>
  </si>
  <si>
    <t>U2 §2.2.1 / §2.2.2</t>
  </si>
  <si>
    <t>自社の受け皿を接続先の1つとして登録する構成</t>
  </si>
  <si>
    <t>必須。アプリ内の状態を消し、手元の引換券も無効化する</t>
  </si>
  <si>
    <t>必須。戻り先URLは完全一致で登録（ワイルドカード禁止）</t>
  </si>
  <si>
    <t>U5 §5.5.1 ・ U2 §2.2.5 #1</t>
  </si>
  <si>
    <t>U5+U2</t>
  </si>
  <si>
    <t>顧客側まで消すのは既定オフ・顧客ごとの選択。自社の受け皿だけは既定オン</t>
  </si>
  <si>
    <t>この方式は不採用と決定</t>
  </si>
  <si>
    <t>U5 §5.5.4 / §5.5.3</t>
  </si>
  <si>
    <t>実装確定。画面だけのアプリは受信できない制約を明示</t>
  </si>
  <si>
    <t>U5 §5.1.1 / §5.6.3</t>
  </si>
  <si>
    <t>載せる情報を最小限に固定。受け取り側の検証6点も規定</t>
  </si>
  <si>
    <t>U5 §5.6.3 ・ U2 §2.5.3</t>
  </si>
  <si>
    <t>他人のデータを覗く攻撃を防ぐため、通行証の所属情報を常に優先する</t>
  </si>
  <si>
    <t>U2 §2.5.4 ・ U5 §5.1.2</t>
  </si>
  <si>
    <t>U2+U5</t>
  </si>
  <si>
    <t>管理系のみ役割情報を発行。業務アプリへの発行は禁止</t>
  </si>
  <si>
    <t>運用者向けの組み合わせ役割の言及のみ。一般的な階層設計は確認できず</t>
  </si>
  <si>
    <t>U5 §5.8.1 / §5.8.2</t>
  </si>
  <si>
    <t>操作範囲を10種に定義し、所属境界と二段構えで判定</t>
  </si>
  <si>
    <t>追加項目の命名規約と個人情報審査、通行証1KB上限を規定</t>
  </si>
  <si>
    <t>検証内容は確定。実装部品づくりはインフラ側</t>
  </si>
  <si>
    <t>U2 §2.1.1 ・ U5 §5.6.3</t>
  </si>
  <si>
    <t>発行元の完全一致検証を必須化</t>
  </si>
  <si>
    <t>本基盤は粗い粒度まで。細かい判定はアプリ責務と明確化</t>
  </si>
  <si>
    <t>D3-14 / D3-15</t>
  </si>
  <si>
    <t>同上。属性は正しい形に整えて配る</t>
  </si>
  <si>
    <t>D3-04 / D3-05 ・ U5 §5.8.1</t>
  </si>
  <si>
    <t>U3+U5</t>
  </si>
  <si>
    <t>アプリからの操作は専用API経由に限定（直接操作は不採用）</t>
  </si>
  <si>
    <t>D3-09 ・ U5 §5.8.1</t>
  </si>
  <si>
    <t>消さずに止める状態を用意し、停止日時を必ず記録</t>
  </si>
  <si>
    <t>D3-09 / D3-17</t>
  </si>
  <si>
    <t>3段階の削除。完全削除は次段階、削除の伝播は取りこぼさない仕組みで担保</t>
  </si>
  <si>
    <t>U2 §2.6 ・ D3-01 / D3-15</t>
  </si>
  <si>
    <t>持つ項目を事前に宣言し、宣言外の項目は保存できない</t>
  </si>
  <si>
    <t>D3-14 ・ U5 §5.8.1</t>
  </si>
  <si>
    <t>割当の器だけ基盤が持ち、意味づけはアプリ側</t>
  </si>
  <si>
    <t>D3-11 / D3-08</t>
  </si>
  <si>
    <t>自前の受け口を用意。削除要求は「止める」に置き換える</t>
  </si>
  <si>
    <t>流量制限の言及のみ。ファイル取込の設計は見当たらない</t>
  </si>
  <si>
    <t>管理者リセットを復旧手段として言及。運用手順は運用側</t>
  </si>
  <si>
    <t>D3-05 / D3-14</t>
  </si>
  <si>
    <t>自前の管理画面＋3層の権限で構成</t>
  </si>
  <si>
    <t>U2 §2.7.3 / §2.7.5</t>
  </si>
  <si>
    <t>専用APIで差分適用</t>
  </si>
  <si>
    <t>コードによる管理（基盤層）</t>
  </si>
  <si>
    <t>U2 §2.1.2 / §2.1.3 ・ U5 §5.8.2</t>
  </si>
  <si>
    <t>所属の境界と許可リストの二層で分離</t>
  </si>
  <si>
    <t>U2 §2.3.1 ・ D3-05</t>
  </si>
  <si>
    <t>運用者の2状態の役割は決定済。管理画面側の3層権限は別文書</t>
  </si>
  <si>
    <t>U5 §5.4.2 ・ D3-17</t>
  </si>
  <si>
    <t>U5+U3</t>
  </si>
  <si>
    <t>自分の顧客範囲に限定。顧客側で管理する形も用意</t>
  </si>
  <si>
    <t>U5 §5.6.1 / §5.6.3</t>
  </si>
  <si>
    <t>標準準拠の具体項目まで規定</t>
  </si>
  <si>
    <t>鍵情報の取得とキャッシュ更新を受け取り側の必須項目に</t>
  </si>
  <si>
    <t>U5 §5.8.1 / §5.8.2 ・ D3-05</t>
  </si>
  <si>
    <t>管理用APIと操作範囲10種を定義</t>
  </si>
  <si>
    <t>2層に分けてコード管理。既存の設定投入ツールは不採用と決定</t>
  </si>
  <si>
    <t>U2 §2.7.1〜§2.7.8</t>
  </si>
  <si>
    <t>1000件超を条件付き成立とし、必須対策7点と超過時の拡張方針まで確定</t>
  </si>
  <si>
    <t>U5 §5.2.1 / §5.2.3</t>
  </si>
  <si>
    <t>30分に確定。顧客別の短縮も専用の登録枠で可能</t>
  </si>
  <si>
    <t>U5 §5.2.1 / §5.2.2</t>
  </si>
  <si>
    <t>「30日」は設定可能上限の意味と解釈を確定。実効は無操作1時間ごとの更新で最長24時間</t>
  </si>
  <si>
    <t>U5 §5.2.1 / §5.1.1</t>
  </si>
  <si>
    <t>本人確認情報も30分（通行証と同一）</t>
  </si>
  <si>
    <t>毎回作り替える方式を有効化し、再利用検知で一族すべてを停止</t>
  </si>
  <si>
    <t>U5 §5.4.1 / §5.4.2 / §5.4.3</t>
  </si>
  <si>
    <t>3粒度＋緊急時の一括手順まで確定</t>
  </si>
  <si>
    <t>U5 §5.2.1 ・ U2 §2.7.1</t>
  </si>
  <si>
    <t>U5+U7</t>
  </si>
  <si>
    <t>署名方式は確定。鍵の入れ替え頻度はセキュリティ設計側</t>
  </si>
  <si>
    <t>件数</t>
  </si>
  <si>
    <t>U4 認証体験・UX</t>
  </si>
  <si>
    <t>D-U4-05</t>
  </si>
  <si>
    <t>D-U4-06</t>
  </si>
  <si>
    <t>Landing = Pattern 1（許可サービスのみ表示）</t>
  </si>
  <si>
    <t>D-U4-07</t>
  </si>
  <si>
    <t>Sorry = 基盤側SPA主実装</t>
  </si>
  <si>
    <t>D-U4-08</t>
  </si>
  <si>
    <t>アクセシビリティ = WCAG 2.2 AA + JIS AA</t>
  </si>
  <si>
    <t>U4 §4.3.3</t>
    <phoneticPr fontId="2"/>
  </si>
  <si>
    <t>U4</t>
    <phoneticPr fontId="2"/>
  </si>
  <si>
    <t>部分</t>
    <phoneticPr fontId="2"/>
  </si>
  <si>
    <t>追加確認手段のリセット経路（テナント管理者／運用ランブック）は決定済。パスワード自体の自己リセット画面はカスタマイズ対象10ファイルに含まれず未確認</t>
    <phoneticPr fontId="2"/>
  </si>
  <si>
    <t>（なし）</t>
    <phoneticPr fontId="2"/>
  </si>
  <si>
    <t>未対応</t>
    <phoneticPr fontId="2"/>
  </si>
  <si>
    <t>D-U4-03</t>
    <phoneticPr fontId="2"/>
  </si>
  <si>
    <t>顧客別の画面出しはPhase 1不採用。顧客別URL方式はPhase 2オプションとして保留</t>
    <phoneticPr fontId="2"/>
  </si>
  <si>
    <t>U2 §2.3.3 / §2.7.2 ・ D-U4-01 / D-U4-02</t>
    <phoneticPr fontId="2"/>
  </si>
  <si>
    <t>U2+U4</t>
    <phoneticPr fontId="2"/>
  </si>
  <si>
    <t>設計済</t>
    <phoneticPr fontId="2"/>
  </si>
  <si>
    <t>接続先一覧は恒久非表示。識別子先行の2段階＋所属限定セレクター、失敗時の応答同一化まで確定</t>
    <phoneticPr fontId="2"/>
  </si>
  <si>
    <t>D-U4-04 ・ U4 §4.3.2</t>
    <phoneticPr fontId="2"/>
  </si>
  <si>
    <t>自社受け皿収容の利用者にWebAuthn不可時の代替として提供。6桁の自動送信はしない</t>
    <phoneticPr fontId="2"/>
  </si>
  <si>
    <t>D-U4-04 ・ U4 §4.3.2 ・ U2 §2.3.1</t>
    <phoneticPr fontId="2"/>
  </si>
  <si>
    <t>第一候補として提示。運用者は必須、最上位強度はこの方式のみ</t>
    <phoneticPr fontId="2"/>
  </si>
  <si>
    <t>D-U4-04</t>
    <phoneticPr fontId="2"/>
  </si>
  <si>
    <t>対象外</t>
    <phoneticPr fontId="2"/>
  </si>
  <si>
    <t>不採用を確定（推奨されない方式かつ個人情報を持つため）</t>
    <phoneticPr fontId="2"/>
  </si>
  <si>
    <t>基盤側の認証手段を持つ全員に発行。残3以下で再発行誘導、全消費時は強制再発行</t>
    <phoneticPr fontId="2"/>
  </si>
  <si>
    <t>U2 §2.3.5 ・ D-U4-04</t>
    <phoneticPr fontId="2"/>
  </si>
  <si>
    <t>状況に応じた判定はPhase 1対象外。画面の挿入位置も次段階で設計</t>
    <phoneticPr fontId="2"/>
  </si>
  <si>
    <t>対象者の区分で強制範囲を定義（外部フェデは顧客責任、自社受け皿収容と運用者は必須・猶予なし）</t>
    <phoneticPr fontId="2"/>
  </si>
  <si>
    <t>30日スキップの採否は未確定（未実装で設計済み、追加は設定変更のみで可）</t>
    <phoneticPr fontId="2"/>
  </si>
  <si>
    <t>U4 §4.2.3</t>
    <phoneticPr fontId="2"/>
  </si>
  <si>
    <t>アカウント設定画面は標準ベース＋文言/ロゴのみを暫定。編集可能項目の範囲は未確定</t>
    <phoneticPr fontId="2"/>
  </si>
  <si>
    <t>U4 §4.1.4</t>
    <phoneticPr fontId="2"/>
  </si>
  <si>
    <t>D-U4-03 ・ U4 §4.2.3</t>
    <phoneticPr fontId="2"/>
  </si>
  <si>
    <t>統一テーマ1本を採用し顧客別の差し替えはPhase 1不採用。カスタマイズ対象は10ファイルに限定</t>
    <phoneticPr fontId="2"/>
  </si>
  <si>
    <t>D-U7-04</t>
  </si>
  <si>
    <t>不正検知のパイプライン構成と配置</t>
  </si>
  <si>
    <t>D-U7-10b</t>
  </si>
  <si>
    <t>D-U7-19</t>
  </si>
  <si>
    <t>D-U7-17</t>
    <phoneticPr fontId="2"/>
  </si>
  <si>
    <t>U7</t>
    <phoneticPr fontId="2"/>
  </si>
  <si>
    <t>12文字以上＋英数混在＋漏洩パスワード照合を必須と確定</t>
    <phoneticPr fontId="2"/>
  </si>
  <si>
    <t>D-U7-05 / D-U7-17 ・ U2 §2.3.5</t>
    <phoneticPr fontId="2"/>
  </si>
  <si>
    <t>U2+U7</t>
    <phoneticPr fontId="2"/>
  </si>
  <si>
    <t>連続5回で30分ロック。恒久ロックはサービス妨害化を防ぐため不使用と明記</t>
    <phoneticPr fontId="2"/>
  </si>
  <si>
    <t>D-U7-14</t>
    <phoneticPr fontId="2"/>
  </si>
  <si>
    <t>全アクセスで追加確認を必須化することにより、定期変更の要件を適用外化する方針</t>
    <phoneticPr fontId="2"/>
  </si>
  <si>
    <t>D-U7-01 / D-U7-02</t>
    <phoneticPr fontId="2"/>
  </si>
  <si>
    <t>3階層の暗号鍵体系と命名規約、職務分離の鍵ポリシーまで確定</t>
    <phoneticPr fontId="2"/>
  </si>
  <si>
    <t>D-U7-03 ・ U5 §5.2.1</t>
    <phoneticPr fontId="2"/>
  </si>
  <si>
    <t>U5+U7</t>
    <phoneticPr fontId="2"/>
  </si>
  <si>
    <t>署名方式を確定し、標準機能で管理して90日周期で更新（旧鍵は30日並走）</t>
    <phoneticPr fontId="2"/>
  </si>
  <si>
    <t>12文字以上＋英数混在＋漏洩照合を確定。アルゴリズムの詳細値は末尾欠落部にあり未取得</t>
    <phoneticPr fontId="2"/>
  </si>
  <si>
    <t>D-U7-02 / D-U7-09 / D-U7-10a / D-U7-10b</t>
    <phoneticPr fontId="2"/>
  </si>
  <si>
    <t>保管庫管理＋90日自動更新＋設定への直書き禁止（機械検査）。内部は無秘密方式へ移行</t>
    <phoneticPr fontId="2"/>
  </si>
  <si>
    <t>D-U7-05 / D-U7-08 / D-U7-06</t>
    <phoneticPr fontId="2"/>
  </si>
  <si>
    <t>総当たり・横断的な試行・署名鍵悪用の4シグナルまで検知範囲を確定</t>
    <phoneticPr fontId="2"/>
  </si>
  <si>
    <t>D-U7-13</t>
    <phoneticPr fontId="2"/>
  </si>
  <si>
    <t>D-U7-16</t>
    <phoneticPr fontId="2"/>
  </si>
  <si>
    <t>D-U7-13 / D-U7-07</t>
    <phoneticPr fontId="2"/>
  </si>
  <si>
    <t>U7+U9</t>
    <phoneticPr fontId="2"/>
  </si>
  <si>
    <t>即時分析90日＋改ざん不能7年の2層。全ログはマスキング通過後に保存</t>
    <phoneticPr fontId="2"/>
  </si>
  <si>
    <t>検索基盤とデータレイク検索の2段構え。運用ダッシュボード化は運用設計側</t>
    <phoneticPr fontId="2"/>
  </si>
  <si>
    <t>D-U7-15b</t>
    <phoneticPr fontId="2"/>
  </si>
  <si>
    <t>D-U7-12 / D-U7-13</t>
    <phoneticPr fontId="2"/>
  </si>
  <si>
    <t>対象ログ源11種を必須セットとして列挙し、監査アカウントを唯一の集約先に確定</t>
    <phoneticPr fontId="2"/>
  </si>
  <si>
    <t>アカウントの存在有無を返さない汎用エラーと応答時間の均一化は確定。ログイン時の識別子作り替えの明示的な記述は確認できず</t>
    <phoneticPr fontId="2"/>
  </si>
  <si>
    <t>D-U7-05</t>
    <phoneticPr fontId="2"/>
  </si>
  <si>
    <t>漏洩パスワード照合を採用。ログイン成功時と設定変更時に照会し、ヒット時は変更強制／設定拒否</t>
    <phoneticPr fontId="2"/>
  </si>
  <si>
    <t>エッジ側の大規模攻撃防御は他組織へ要求。体積型は保証しないと責任分担表に明記。自管理側は自動増減で吸収余地のみ</t>
    <phoneticPr fontId="2"/>
  </si>
  <si>
    <t>ミラー同期パイプラインに脆弱性スキャンと署名検証を組み込む方針は確定。頻度と合格基準は未確定</t>
    <phoneticPr fontId="2"/>
  </si>
  <si>
    <t>不正自動化対策・認証情報リスト攻撃検知・流量制限（5分2000件/送信元）を要求仕様として明細化。設定管理は他組織</t>
    <phoneticPr fontId="2"/>
  </si>
  <si>
    <t>D-U7-12</t>
    <phoneticPr fontId="2"/>
  </si>
  <si>
    <t>D-U7-03 ・ U5 §5.6.3</t>
    <phoneticPr fontId="2"/>
  </si>
  <si>
    <t>鍵は90日周期で更新し旧鍵30日並走。窓口自体の保護レベルはインフラ側</t>
    <phoneticPr fontId="2"/>
  </si>
  <si>
    <t>前提側で不要と確定済み。本文の該当節も対象外化の改訂待ちと明記されている</t>
    <phoneticPr fontId="2"/>
  </si>
  <si>
    <t>D-U7-09 / D-U7-10a / D-U7-19</t>
    <phoneticPr fontId="2"/>
  </si>
  <si>
    <t>実行主体ごとに1ロール・完全一致の信頼設定。内部は無秘密方式へ移行し、両系統に届く単一権限を作らない</t>
    <phoneticPr fontId="2"/>
  </si>
  <si>
    <t>D-U8-02</t>
  </si>
  <si>
    <t>D-U8-03</t>
  </si>
  <si>
    <t>D-U8-04</t>
  </si>
  <si>
    <t>D-U8-07</t>
  </si>
  <si>
    <t>（廃止）予備地域を温めて待機する方式</t>
  </si>
  <si>
    <t>D-U8-10</t>
  </si>
  <si>
    <t>D-U8-12</t>
  </si>
  <si>
    <t>切り戻しは計画切替（データ喪失ゼロ）</t>
  </si>
  <si>
    <t>D-U8-01</t>
    <phoneticPr fontId="2"/>
  </si>
  <si>
    <t>U8</t>
    <phoneticPr fontId="2"/>
  </si>
  <si>
    <t>月間停止許容枠43.8分。計測は認証成功率で、計画停止と顧客側ID基盤起因は除外。律速は他組織管理のエッジで99.95%以上を要求仕様化</t>
    <phoneticPr fontId="2"/>
  </si>
  <si>
    <t>D-U8-01 / D-U8-04</t>
    <phoneticPr fontId="2"/>
  </si>
  <si>
    <t>月1回・深夜2〜4時・7日前通知で確定。機能追加を伴う版数更新はこの窓で実施</t>
    <phoneticPr fontId="2"/>
  </si>
  <si>
    <t>D-U8-02</t>
    <phoneticPr fontId="2"/>
  </si>
  <si>
    <t>最小3台を拠点ごとに分散配置し偏りを1に制限</t>
    <phoneticPr fontId="2"/>
  </si>
  <si>
    <t>同時停止許容数1、ノード障害は基盤側で自動置換、クラスタ再編も自動</t>
    <phoneticPr fontId="2"/>
  </si>
  <si>
    <t>D-U8-02 / D-U8-03</t>
    <phoneticPr fontId="2"/>
  </si>
  <si>
    <t>負荷分散・接続窓口・データベースをすべて3拠点化。出口装置を持たない構成</t>
    <phoneticPr fontId="2"/>
  </si>
  <si>
    <t>D-U8-04</t>
    <phoneticPr fontId="2"/>
  </si>
  <si>
    <t>設定変更と修正版は無停止（順次再起動）。機能追加を伴う更新のみ計画停止窓</t>
    <phoneticPr fontId="2"/>
  </si>
  <si>
    <t>D-U8-05 / D-U8-14 / D-U8-09</t>
    <phoneticPr fontId="2"/>
  </si>
  <si>
    <t>手動復旧・およそ14日で確定（2026-07-30に「1時間」から全面転換）。工程ごとの内訳と成立条件5点も定義</t>
    <phoneticPr fontId="2"/>
  </si>
  <si>
    <t>D-U8-14 / D-U8-10</t>
    <phoneticPr fontId="2"/>
  </si>
  <si>
    <t>3層で定義（継続複製=約1秒／時点復元=1秒精度／変更不能な控え=取得間隔）。ただし地域災害時にどこまで詰めるかは未決（継続複製の維持か定期取得のみか）</t>
    <phoneticPr fontId="2"/>
  </si>
  <si>
    <t>D-U8-08 / D-U8-05</t>
    <phoneticPr fontId="2"/>
  </si>
  <si>
    <t>判定チェックリストで2系統以上該当なら宣言。昇格・全体切替・切り戻しは手動承認、承認は検知から15分以内</t>
    <phoneticPr fontId="2"/>
  </si>
  <si>
    <t>D-U8-14</t>
    <phoneticPr fontId="2"/>
  </si>
  <si>
    <t>時点復元は1〜35日。定期取得の控えの保持期間は「無期限は永久課金のため避ける」方針のみで具体値は未確定</t>
    <phoneticPr fontId="2"/>
  </si>
  <si>
    <t>D-U8-14 / D-U8-06</t>
    <phoneticPr fontId="2"/>
  </si>
  <si>
    <t>1〜35日・1秒精度。論理破壊時の主たる復元手段と位置づけ</t>
    <phoneticPr fontId="2"/>
  </si>
  <si>
    <t>定期取得の控えを別地域かつ別アカウントへ複製。継続バックアップは別地域複製できない制約を明記</t>
    <phoneticPr fontId="2"/>
  </si>
  <si>
    <t>D-U8-13</t>
    <phoneticPr fontId="2"/>
  </si>
  <si>
    <t>年2回（上期=地域災害の作り直し／下期=論理破壊の復元）。他組織にも年1回以上の参加を要求</t>
    <phoneticPr fontId="2"/>
  </si>
  <si>
    <t>D-U8-10</t>
    <phoneticPr fontId="2"/>
  </si>
  <si>
    <t>維持しない方針を確定。全利用者が再認証となることを製品仕様として明文化し顧客との取り決めに記載</t>
    <phoneticPr fontId="2"/>
  </si>
  <si>
    <t>U8+U9</t>
    <phoneticPr fontId="2"/>
  </si>
  <si>
    <t>D-U8-14 / D-U8-11</t>
    <phoneticPr fontId="2"/>
  </si>
  <si>
    <t>U8+U6</t>
    <phoneticPr fontId="2"/>
  </si>
  <si>
    <t>予備地域の計算資源を平時ゼロにしたことで常時費用は削減。データ保全分の費用は未算定</t>
    <phoneticPr fontId="2"/>
  </si>
  <si>
    <t>D-U6-01</t>
  </si>
  <si>
    <t>6アカウント体系の確定</t>
  </si>
  <si>
    <t>D-U6-02</t>
  </si>
  <si>
    <t>アカウント間の権限原則と許可経路8本</t>
  </si>
  <si>
    <t>D-U6-11</t>
  </si>
  <si>
    <t>管理画面保護は3層防御＋管理用ホスト名の分離</t>
  </si>
  <si>
    <t>D-U6-12</t>
  </si>
  <si>
    <t>運用者の内部アクセス経路</t>
  </si>
  <si>
    <t>D-U6-04 / D-U6-10</t>
    <phoneticPr fontId="2"/>
  </si>
  <si>
    <t>U6</t>
    <phoneticPr fontId="2"/>
  </si>
  <si>
    <t>ピーク時1,000〜3,000件/秒を試算前提として設定。応答時間の合格値自体は負荷試験計画で確定予定</t>
    <phoneticPr fontId="2"/>
  </si>
  <si>
    <t>U5+U6</t>
    <phoneticPr fontId="2"/>
  </si>
  <si>
    <t>U5 §5.6.3 ・ D-U6-10</t>
    <phoneticPr fontId="2"/>
  </si>
  <si>
    <t>受け取り側にキャッシュと更新追従を義務付け、基盤側のキャッシュ初期値も明示。保持時間の具体値は未確定</t>
    <phoneticPr fontId="2"/>
  </si>
  <si>
    <t>D-U6-07 / D-U6-08</t>
    <phoneticPr fontId="2"/>
  </si>
  <si>
    <t>構成と接続プールは確定（総接続810に対し上限3,300で余裕）。応答時間の目標値は未確定</t>
    <phoneticPr fontId="2"/>
  </si>
  <si>
    <t>D-U6-04 ・ D-U6-05</t>
    <phoneticPr fontId="2"/>
  </si>
  <si>
    <t>ピーク1,000〜3,000件/秒で必要資源を算定し、上限台数（Broker 9／自社受け皿18）まで確定</t>
    <phoneticPr fontId="2"/>
  </si>
  <si>
    <t>D-U6-13</t>
    <phoneticPr fontId="2"/>
  </si>
  <si>
    <t>入口側の流量制限は他組織への要求仕様として明細化。自管理側の受付上限は未確定</t>
    <phoneticPr fontId="2"/>
  </si>
  <si>
    <t>D-U6-04</t>
    <phoneticPr fontId="2"/>
  </si>
  <si>
    <t>自動増減を採用。自社受け皿側は起動が遅いため、CPUではなく予兆（1台あたり毎秒8件超が3分継続）を優先トリガに</t>
    <phoneticPr fontId="2"/>
  </si>
  <si>
    <t>D-U6-05 ・ D-U6-04</t>
    <phoneticPr fontId="2"/>
  </si>
  <si>
    <t>10M上限で資源を算定。立ち上げ期から上限までの構成変更なしでの吸収可能性まで確認済み</t>
    <phoneticPr fontId="2"/>
  </si>
  <si>
    <t>D-U6-10</t>
    <phoneticPr fontId="2"/>
  </si>
  <si>
    <t>キャッシュ初期値は確定。同時セッション数そのものの見込み値は顧客確認待ち</t>
    <phoneticPr fontId="2"/>
  </si>
  <si>
    <t>委任方式が合意できれば翌営業日以内は成立。合意不成立時は要件自体の改訂へ差し戻す条件を明記</t>
    <phoneticPr fontId="2"/>
  </si>
  <si>
    <t>2系統に分離し、認証製品側のみ動的に増減。管理系は規模と監視量で準静的に調整</t>
    <phoneticPr fontId="2"/>
  </si>
  <si>
    <t>D-U6-03 ・ D-U8-05</t>
    <phoneticPr fontId="2"/>
  </si>
  <si>
    <t>U6+U8</t>
    <phoneticPr fontId="2"/>
  </si>
  <si>
    <t>平時は東京のみ稼働。予備地域は平時に計算資源を持たず被災時に作り直す方式で確定</t>
    <phoneticPr fontId="2"/>
  </si>
  <si>
    <t>D-U6-07 / D-U6-08 / D-U6-09</t>
    <phoneticPr fontId="2"/>
  </si>
  <si>
    <t>3拠点構成＋接続プール等値化。中継サービスは恩恵が薄く当面不採用と判断</t>
    <phoneticPr fontId="2"/>
  </si>
  <si>
    <t>D-U6-06 ・ D-U6-03</t>
    <phoneticPr fontId="2"/>
  </si>
  <si>
    <t>入口方式は通過型を推奨し、平文の出現位置を自管理側に閉じ込める。裏側通信は単方向の私設経路</t>
    <phoneticPr fontId="2"/>
  </si>
  <si>
    <t>U6+U7</t>
    <phoneticPr fontId="2"/>
  </si>
  <si>
    <t>D-U6-05</t>
    <phoneticPr fontId="2"/>
  </si>
  <si>
    <t>基盤部分は月額およそ2,032ドルと算定。データベース等を含む全体額は概算±30%</t>
    <phoneticPr fontId="2"/>
  </si>
  <si>
    <t>D-U6-03 ・ D-U6-05</t>
    <phoneticPr fontId="2"/>
  </si>
  <si>
    <t>製品サポートは基盤に内包され追加費用なしと確定</t>
    <phoneticPr fontId="2"/>
  </si>
  <si>
    <t>月額の内訳は算定済。3年総額としての集計は未実施</t>
    <phoneticPr fontId="2"/>
  </si>
  <si>
    <t>同上。規模別の線形加算の考え方のみ提示</t>
    <phoneticPr fontId="2"/>
  </si>
  <si>
    <t>U9 運用・監視・IaC</t>
  </si>
  <si>
    <t>D-U9-17</t>
  </si>
  <si>
    <t>D-U9-18</t>
  </si>
  <si>
    <t>D-U9-15</t>
  </si>
  <si>
    <t>D-U9-16</t>
  </si>
  <si>
    <t>常時監視用の自動アクセスの配置変更と検知範囲</t>
  </si>
  <si>
    <t>D-U9-05 / D-U9-06 ・ U5 §5.4.2</t>
    <phoneticPr fontId="2"/>
  </si>
  <si>
    <t>U5+U9</t>
    <phoneticPr fontId="2"/>
  </si>
  <si>
    <t>即時参照90日＋検索用1年＋長期7年。管理操作は全量を取込セットに含める</t>
    <phoneticPr fontId="2"/>
  </si>
  <si>
    <t>D-U9-06 / D-U9-11</t>
    <phoneticPr fontId="2"/>
  </si>
  <si>
    <t>U9</t>
    <phoneticPr fontId="2"/>
  </si>
  <si>
    <t>管理操作の全量を記録し、構成のずれ検知の照合元も兼ねる。ずれ検出時は正当／不正の分岐フローまで定義</t>
    <phoneticPr fontId="2"/>
  </si>
  <si>
    <t>D-U9-05</t>
    <phoneticPr fontId="2"/>
  </si>
  <si>
    <t>3層への出力経路を確定（即時参照・検索用・長期の変更不能保管）。全ソースがマスキング通過後に保存</t>
    <phoneticPr fontId="2"/>
  </si>
  <si>
    <t>D-U9-06</t>
    <phoneticPr fontId="2"/>
  </si>
  <si>
    <t>D-U9-01 / D-U9-02 / D-U9-03 ・ D-U8-01</t>
    <phoneticPr fontId="2"/>
  </si>
  <si>
    <t>計装14点と系列数の規約まで確定。接続先件数を注記した時系列で継続計測し基準値比+10%で警戒</t>
    <phoneticPr fontId="2"/>
  </si>
  <si>
    <t>D-U9-04 / D-U9-01</t>
    <phoneticPr fontId="2"/>
  </si>
  <si>
    <t>停止許容枠の消費速度で3段階（急速消費は即時呼出15分応答／緩慢はチャット／予兆は通知）</t>
    <phoneticPr fontId="2"/>
  </si>
  <si>
    <t>D-U9-14 ・ U2 §2.7.1</t>
    <phoneticPr fontId="2"/>
  </si>
  <si>
    <t>U2+U9</t>
    <phoneticPr fontId="2"/>
  </si>
  <si>
    <t>版数固定・イメージは識別子指定・管理ソフトは手動承認。修正版含む全昇格が1000件規模の回帰通過を必須</t>
    <phoneticPr fontId="2"/>
  </si>
  <si>
    <t>D-U9-13 / D-U9-14</t>
    <phoneticPr fontId="2"/>
  </si>
  <si>
    <t>脆弱性は重大24時間・高7日で対処。昇格経路は定例と同じパイプライン</t>
    <phoneticPr fontId="2"/>
  </si>
  <si>
    <t>D-U9-09 / D-U9-10 / D-U9-08</t>
    <phoneticPr fontId="2"/>
  </si>
  <si>
    <t>基盤層はコード管理でPR2名レビュー、顧客層は宣言ファイル＋自作エンジン。管理画面からの直接変更は禁則で機械強制</t>
    <phoneticPr fontId="2"/>
  </si>
  <si>
    <t>D-U9-12 / D-U9-13</t>
    <phoneticPr fontId="2"/>
  </si>
  <si>
    <t>組み立てから配信まで自動化し、本番昇格のみ手動承認。段階投入は15分の様子見＋自動巻き戻し</t>
    <phoneticPr fontId="2"/>
  </si>
  <si>
    <t>D-U9-04 / D-U9-07</t>
    <phoneticPr fontId="2"/>
  </si>
  <si>
    <t>警報の振り分けと手順書体系は確定。当初は業務時間内対応で、24時間体制は次段階</t>
    <phoneticPr fontId="2"/>
  </si>
  <si>
    <t>D-U9-15</t>
    <phoneticPr fontId="2"/>
  </si>
  <si>
    <t>6ステップの内訳と所要時間まで確定。基盤側の純作業2〜3時間で翌営業日以内は成立</t>
    <phoneticPr fontId="2"/>
  </si>
  <si>
    <t>D-U10-01</t>
  </si>
  <si>
    <t>U10 連携・移行</t>
  </si>
  <si>
    <t>既存業務システム連携の全体構成</t>
  </si>
  <si>
    <t>D-U10-03</t>
  </si>
  <si>
    <t>既存利用者の引き当てと内部IDの保全</t>
  </si>
  <si>
    <t>D-U10-04</t>
  </si>
  <si>
    <t>D-U10-05</t>
  </si>
  <si>
    <t>業務システム側の緊急用アカウント</t>
  </si>
  <si>
    <t>D-U10-06</t>
  </si>
  <si>
    <t>退職時の遮断連鎖と一括ログアウト</t>
  </si>
  <si>
    <t>D-U10-07</t>
  </si>
  <si>
    <t>管理API の構成</t>
  </si>
  <si>
    <t>D-U10-10</t>
  </si>
  <si>
    <t>利用可能アプリ一覧APIの仕様</t>
  </si>
  <si>
    <t>D-U10-11</t>
  </si>
  <si>
    <t>D-U10-08 ・ U5 §5.8.1</t>
    <phoneticPr fontId="2"/>
  </si>
  <si>
    <t>U5+U10</t>
    <phoneticPr fontId="2"/>
  </si>
  <si>
    <t>検索条件（文字列・社員番号・有効状態）とカーソル方式のページング（1回200件上限）まで確定</t>
    <phoneticPr fontId="2"/>
  </si>
  <si>
    <t>U3+U10</t>
    <phoneticPr fontId="2"/>
  </si>
  <si>
    <t>D-U10-08 ・ U4 §4.1.4</t>
    <phoneticPr fontId="2"/>
  </si>
  <si>
    <t>U4+U10</t>
    <phoneticPr fontId="2"/>
  </si>
  <si>
    <t>招待リンク発行のAPIは提供操作に含まれる。文面・有効期限とメール送信そのものの設計は未着手</t>
    <phoneticPr fontId="2"/>
  </si>
  <si>
    <t>D-U10-08 ・ U2 §2.1.2 / §2.7.5</t>
    <phoneticPr fontId="2"/>
  </si>
  <si>
    <t>U2+U10</t>
    <phoneticPr fontId="2"/>
  </si>
  <si>
    <t>所属の参照・更新と接続先の追加削除のAPIは確定。顧客の離脱・退出時の扱いは顧客確認が未了</t>
    <phoneticPr fontId="2"/>
  </si>
  <si>
    <t>D-U10-08 / D-U10-09</t>
    <phoneticPr fontId="2"/>
  </si>
  <si>
    <t>U10</t>
    <phoneticPr fontId="2"/>
  </si>
  <si>
    <t>役割一覧の取得と割当のAPIを提供。ただし基盤側の管理系役割のみで、業務権限は各アプリの責務と明確化</t>
    <phoneticPr fontId="2"/>
  </si>
  <si>
    <t>D-U10-09 ・ U5 §5.8.1</t>
    <phoneticPr fontId="2"/>
  </si>
  <si>
    <t>「アプリを使えるか」は管理画面側で持ちAPI照会で配り、アプリ内の詳細権限は各アプリが持つと役割分担を確定</t>
    <phoneticPr fontId="2"/>
  </si>
  <si>
    <t>D-U10-02</t>
    <phoneticPr fontId="2"/>
  </si>
  <si>
    <t>接続定義のテンプレートを新規作成し、識別名・突合属性・署名方式・戻り先URLまで確定</t>
    <phoneticPr fontId="2"/>
  </si>
  <si>
    <t>D-U10-11 ・ D-U9-06</t>
    <phoneticPr fontId="2"/>
  </si>
  <si>
    <t>U9+U10</t>
    <phoneticPr fontId="2"/>
  </si>
  <si>
    <t>正規化イベントを正とする配信機構は確定。顧客側の監視製品への標準形式提供は次段階</t>
    <phoneticPr fontId="2"/>
  </si>
  <si>
    <t>D-U10-11 ・ D3-10</t>
    <phoneticPr fontId="2"/>
  </si>
  <si>
    <t>配信7種・署名方式・重複排除・再送8回約24時間・待避キュー14日まで確定。個人情報は載せず受信側がAPI取得</t>
    <phoneticPr fontId="2"/>
  </si>
  <si>
    <t>D-U10-12</t>
    <phoneticPr fontId="2"/>
  </si>
  <si>
    <t>利用者集団を4分類し方式を割当。切替単位はアプリ単位、並走3〜6ヶ月</t>
    <phoneticPr fontId="2"/>
  </si>
  <si>
    <t>判定フローを確定。既定は並走方式で初回ログイン時に新方式へ再保存＝強制リセットなし。抽出不能や脆弱な方式のみリセット</t>
    <phoneticPr fontId="2"/>
  </si>
  <si>
    <t>D-U10-12 ・ U2 §2.7.4 / §2.7.5 ・ D-U8-06</t>
    <phoneticPr fontId="2"/>
  </si>
  <si>
    <t>U2+U8+U10</t>
    <phoneticPr fontId="2"/>
  </si>
  <si>
    <t>一括書き出し禁止とコード管理を正とする方針、旧IDの対応表記録までは確定。乗り換え評価そのものは未実施</t>
    <phoneticPr fontId="2"/>
  </si>
  <si>
    <t>D-U10-13 ・ D-U8-06</t>
    <phoneticPr fontId="2"/>
  </si>
  <si>
    <t>U8+U10</t>
    <phoneticPr fontId="2"/>
  </si>
  <si>
    <t>標準形式での書き出し手順を確定（秘匿値は含めない）。移転用は業界標準形式でも出力</t>
    <phoneticPr fontId="2"/>
  </si>
  <si>
    <t>D-U10-12 / D-U10-04</t>
    <phoneticPr fontId="2"/>
  </si>
  <si>
    <t>並走4段階と各段階の巻き戻し手段まで確定。並走期間は3〜6ヶ月</t>
    <phoneticPr fontId="2"/>
  </si>
  <si>
    <t>設計 → 要件 逆マッピング（根拠確認・過剰設計の洗い出し）</t>
  </si>
  <si>
    <t>分類の意味 ─ 内部技術判断: 要件から降りてこない実装判断で確認不要／スコープ増: 要件にないのに機能・工数・運用負荷が発生（要確認）／要件側の書き漏れ: 契約や実装ガイドに落とすべき制約の抜け（要確認）／参照漏れ: 前方マッピング側の紐付け漏れ（本表作成時に発見）／廃止済み: 方針転換で無効</t>
  </si>
  <si>
    <t>分類</t>
  </si>
  <si>
    <t>判断理由・確認すべきこと</t>
  </si>
  <si>
    <t>関連しそうな要件</t>
  </si>
  <si>
    <t>スコープ増</t>
  </si>
  <si>
    <t>★最重要。要件75+88件のどこにもアクセシビリティ要件がなく、前提P-01〜18にも該当なし。それにも関わらず全10画面の準拠、PRごとの自動検査でマージ禁止、月1回の手動検査、年1回の当事者テストという恒久運用が確定している。要件化するかレベルを下げるかの判断が必要</t>
  </si>
  <si>
    <t>（該当なし）</t>
  </si>
  <si>
    <t>★許可されたサービスをタイル表示する着地画面を独立アプリとして新規構築する決定。対応する機能要件がない。構築フェーズで30〜40人日の見積り枠に含まれる</t>
  </si>
  <si>
    <t>★上の着地画面の裏側API。表示判定の正をこのAPIに置く決定だが、要件側に着地画面がないため連鎖して根拠がない</t>
  </si>
  <si>
    <t>権限不足時の専用画面を基盤側で実装する決定。表示必須6項目・表示禁止5項目まで規定されているが対応する要件がない</t>
  </si>
  <si>
    <t>受け取り側実装ガイド: 403→Sorry誘導</t>
  </si>
  <si>
    <t>上のSorry画面へアプリ側からリダイレクトさせる規約。アプリ開発者に実装義務が発生するが要件・契約に落ちていない</t>
  </si>
  <si>
    <t>自作の管理画面＋専用API層＋関数実行という構成。要件は「管理コンソールUI」の1行のみで、3層権限・ブランド主役トポロジ・別障害ドメイン分離は要件を大きく超える</t>
  </si>
  <si>
    <t>判定エンジン＋履歴DB＋イベント送出専任の仕組みを新設する決定。要件側は総当たり対策と漏洩照合の2項目のみで、パイプライン構築の根拠が薄い</t>
  </si>
  <si>
    <t>NFR-SEC-010 / NFR-SEC-010-2</t>
  </si>
  <si>
    <t>統合コンテキスト射影</t>
  </si>
  <si>
    <t>読取専用の射影ストアを新設する決定。読取性能の実測が別途必要（検証ゲートの拡張項目）。対応する要件がない</t>
  </si>
  <si>
    <t>監査アカウントへの配置と運用主体の変更、認証実装漏れの検知という役割。要件側に外形監視の項目がない</t>
  </si>
  <si>
    <t>2〜3名分の緊急経路、ハードウェアキー必須、IP制限、四半期テストという恒久運用。要件側に該当項目がない</t>
  </si>
  <si>
    <t>顧客別の有効時間短縮オプション</t>
  </si>
  <si>
    <t>顧客ごとに短縮するために専用の登録枠を、規制対応にはさらに分離した領域を発行する運用が発生。要件側に顧客別設定の項目がない</t>
  </si>
  <si>
    <t>要件側の書き漏れ</t>
  </si>
  <si>
    <t>前提P-13に凍結値があるため根拠なしではないが、機能要件一覧に特定業務システム連携の項目が存在しない。設計書1冊の約半分＋実機検証6人日＋移行設計4人日が積まれており、要件一覧が前提を拾えていない</t>
  </si>
  <si>
    <t>（要件一覧に不在。前提P-13）</t>
  </si>
  <si>
    <t>同上。突合項目の選定と内部ID保全は移行の成否を分ける論点だが要件一覧に該当なし</t>
  </si>
  <si>
    <t>既存セッションが業務システム側のタイムアウトまで残る残余時間を顧客契約に明記する決定。契約条項として要件化されていない</t>
  </si>
  <si>
    <t>FR-SSO-005 / NFR-DR-008</t>
  </si>
  <si>
    <t>取り消し漏れ時間の侵害シナリオ</t>
  </si>
  <si>
    <t>通行証の取り消し後も最大30分の残余リスクが残ることを契約明示事項とする決定。5つのシナリオ別に整理されているが要件・契約に落ちていない</t>
  </si>
  <si>
    <t>NFR-SEC-008 / FR-SSO-009</t>
  </si>
  <si>
    <t>「30日」の解釈確定</t>
  </si>
  <si>
    <t>要件側の「30日」は設定可能上限の意味であり実効は最長24時間という解釈確定。要件文の記述と実効値が乖離しているため要件文自体の改訂が必要</t>
  </si>
  <si>
    <t>特定業務システムへの一括ログアウト</t>
  </si>
  <si>
    <t>成功率6〜8割かつ1つの無応答が連鎖を壊すため不実装とする例外決定。要件側の一括ログアウト項目にこの例外が反映されていない</t>
  </si>
  <si>
    <t>FR-SSO-005 / FR-SSO-006</t>
  </si>
  <si>
    <t>画面だけのアプリの限界の明示</t>
  </si>
  <si>
    <t>画面だけの構成では一括ログアウトを受信できないため、最大30分遅れを許容するか構成変更するかをアプリ側に選択させる決定。アプリ側の義務が要件化されていない</t>
  </si>
  <si>
    <t>緊急時の全通行証取り消し</t>
  </si>
  <si>
    <t>取り消しが受け取り側に伝播しないため発動後30分の追加監視を運用手順に含める決定。運用義務が要件化されていない</t>
  </si>
  <si>
    <t>個人情報非搭載の検証チェックリスト</t>
  </si>
  <si>
    <t>7項目の検証を「マッパー追加時レビュー・自動検査・四半期監査」の3箇所で回す恒久運用。要件側にこの運用の記載がない</t>
  </si>
  <si>
    <t>NFR-COMP-001 / FR-AUTHZ-006</t>
  </si>
  <si>
    <t>操作単位の再認証UX</t>
  </si>
  <si>
    <t>重要操作の直前に追加確認を求める仕組みと専用文言。要件側は「強制/任意の切替」までで、操作単位の再認証という概念が存在しない</t>
  </si>
  <si>
    <t>最上位強度の追加確認の転送</t>
  </si>
  <si>
    <t>2層構成をまたいで最上位強度の確認を要求する仕組み。上と同じく操作単位の再認証が要件にない</t>
  </si>
  <si>
    <t>予備地域から本番へ戻す手順と禁止3操作。要件側は切替方式までで、切り戻しの要件がない</t>
  </si>
  <si>
    <t>運用経路の二重化を必須とする決定（一方が他組織依存のため）。要件側に運用経路の可用性項目がない</t>
  </si>
  <si>
    <t>NFR-OPS-008 / NFR-SEC-017</t>
  </si>
  <si>
    <t>アプリ発利用者のライフサイクル扱い</t>
  </si>
  <si>
    <t>アプリ側に休眠検出時のAPI呼び出し義務を課し、未達アプリ向けに顧客単位のオプトイン設定を用意する決定。アプリ側の義務が開発標準・契約に落ちていない</t>
  </si>
  <si>
    <t>FR-USER-006 / NFR-COMP-010</t>
  </si>
  <si>
    <t>参照漏れ</t>
  </si>
  <si>
    <t>前方マッピングで管理画面アクセス制御の行にセキュリティ側の決定だけを紐付け、インフラ側のこの決定を拾い漏れていた。マッピング側を修正済み</t>
  </si>
  <si>
    <t>NFR-SEC-017 / NFR-SEC-016</t>
  </si>
  <si>
    <t>廃止済み</t>
  </si>
  <si>
    <t>2026-07-30の方針転換で廃止。確認不要</t>
  </si>
  <si>
    <t>所属単位の命名規則</t>
  </si>
  <si>
    <t>内部技術判断</t>
  </si>
  <si>
    <t>英数字2〜20文字・作成後変更不可・予約語禁止といった命名規約。要件から降りてくる性質のものではない</t>
  </si>
  <si>
    <t>仲介側の接続先登録</t>
  </si>
  <si>
    <t>2層構成を成立させるための接続設定。実装詳細</t>
  </si>
  <si>
    <t>受け皿側の接続枠登録</t>
  </si>
  <si>
    <t>同上。戻り先URLの完全一致や認証方式の段階昇格などの実装詳細</t>
  </si>
  <si>
    <t>2層間の属性受け渡し</t>
  </si>
  <si>
    <t>専用の属性グループに4種の変換を集約する実装詳細</t>
  </si>
  <si>
    <t>再認証要求の転送方針</t>
  </si>
  <si>
    <t>自社側へは転送し外部の顧客側へは転送しないという方針。挙動が相手依存で保証できないための実装判断</t>
  </si>
  <si>
    <t>入力補助値の書式契約</t>
  </si>
  <si>
    <t>2層間で渡す値の書式と寛容受理のルール。実装詳細</t>
  </si>
  <si>
    <t>認証フロー配置の共通制約</t>
  </si>
  <si>
    <t>製品の仕様上、特定の独自機能を最上位の必須位置に置けないという制約。実装レビューのチェック項目</t>
  </si>
  <si>
    <t>独自機能① 初回作成の制御</t>
  </si>
  <si>
    <t>再有効化の分岐や書込の冪等性など実装仕様</t>
  </si>
  <si>
    <t>独自機能② 所属判定</t>
  </si>
  <si>
    <t>失敗時は必ず後続へ降格させるなどの実装仕様</t>
  </si>
  <si>
    <t>再有効化の実装制約</t>
  </si>
  <si>
    <t>独自機能を分離せず統合し同一トランザクションで判定する実装判断</t>
  </si>
  <si>
    <t>既定で載せる情報の範囲</t>
  </si>
  <si>
    <t>通行証に載せる項目を最小限に固定する実装規約。個人情報を載せない方針自体は法対応の要件に紐づく</t>
  </si>
  <si>
    <t>宛先指定の変換定義</t>
  </si>
  <si>
    <t>API単位に専用の属性グループを作る実装規約</t>
  </si>
  <si>
    <t>宛先の命名規約</t>
  </si>
  <si>
    <t>短名を採用しURI形式は不採用という命名判断</t>
  </si>
  <si>
    <t>引き換えの登録枠設定方針</t>
  </si>
  <si>
    <t>機密扱い必須・個別有効化・縮小のみ許可などの実装規約</t>
  </si>
  <si>
    <t>受け取り側実装ガイド: 通信元制限とCookie属性</t>
  </si>
  <si>
    <t>ワイルドカード禁止やCookie属性の既定値。実装ガイドの細目</t>
  </si>
  <si>
    <t>受け取り側実装ガイド: ログアウト手順</t>
  </si>
  <si>
    <t>取り消し→破棄→リダイレクトの順序。実装ガイドの細目</t>
  </si>
  <si>
    <t>ID対応表のスキーマ</t>
  </si>
  <si>
    <t>履歴行方式の採用や外部キーの張り方。データ設計の実装詳細</t>
  </si>
  <si>
    <t>再有効化の条件仕様</t>
  </si>
  <si>
    <t>作成経路ごとの許可・拒否の分岐。実装仕様（ただし自動復帰の可否は顧客ポリシー確認の対象）</t>
  </si>
  <si>
    <t>確認事項の追跡表の一元管理</t>
  </si>
  <si>
    <t>8項目のゲートを1か所で管理するというプロジェクト管理手法</t>
  </si>
  <si>
    <t>アカウント分割の設計判断。要件からは降りないが、影響範囲の隔離という設計思想の根幹</t>
  </si>
  <si>
    <t>相互信頼を作らない原則と経路の限定。実装詳細だが横展開防止の根幹</t>
  </si>
  <si>
    <t>退職者遮断バッチの実行基盤</t>
  </si>
  <si>
    <t>実行時間の上限と管理APIの到達性から実行方式を選定した実装判断</t>
  </si>
  <si>
    <t>管理API群は別系統の配信経路</t>
  </si>
  <si>
    <t>認証を最優先・管理ツールを次位とする障害範囲分離の実装形態</t>
  </si>
  <si>
    <t>D-U7-12 / D-U7-11 / D-U6-11</t>
    <phoneticPr fontId="2"/>
  </si>
  <si>
    <t>3層防御（他組織側の遮断は保証せず自管理の拒否ルールが生命線）＋管理用ホスト名を公開DNSに載せない分離＋一時昇格経由に限定</t>
    <phoneticPr fontId="2"/>
  </si>
  <si>
    <t>D-U6-03 / D-U6-06 / D-U6-11 ・ D-U7-12</t>
    <phoneticPr fontId="2"/>
  </si>
  <si>
    <t>各アカウント専用の仮想ネットワークで内部限定配置。管理APIは内部限定の接続点経由でインターネットに露出しない</t>
    <phoneticPr fontId="2"/>
  </si>
  <si>
    <t>直近5世代の再利用を禁止（2026 コミット 389e87c で反映、07 §7.8.1）。当初は判定不能としていたが真の漏れに再分類のうえ反映済み</t>
    <phoneticPr fontId="2"/>
  </si>
  <si>
    <t>初回ログイン時にパスワード変更を強制。対象は自社受け皿収容のローカルパスワード利用者で、顧客側ID基盤経由の利用者は対象外（2026 コミット 389e87c で反映、07 §7.8.1）</t>
    <phoneticPr fontId="2"/>
  </si>
  <si>
    <t>メールによる追加確認を不採用と明示（メール非保有利用者を受け入れる前提と衝突するため、パスキーと認証アプリの2方式に固定。2026 コミット 389e87c で反映、07 §7.7.2）</t>
    <phoneticPr fontId="2"/>
  </si>
  <si>
    <t>D-U9-04</t>
    <phoneticPr fontId="2"/>
  </si>
  <si>
    <t>権限コンテキスト取得の応答目標を暫定でp99 300ミリ秒未満と設定（2026 コミット 389e87c で反映、09 §9.2.1）。確定値は自動同期の検証ゲートとインフラ側サイジングの実測待ち</t>
    <phoneticPr fontId="2"/>
  </si>
  <si>
    <t>処理能力の律速要因に関する考察を追記（同上）。数値目標の確定はインフラ側サイジング実測待ち</t>
    <phoneticPr fontId="2"/>
  </si>
  <si>
    <t>－</t>
    <phoneticPr fontId="2"/>
  </si>
  <si>
    <t>要件・設計の双方で未確定。据え置き妥当と再監査で合意（キオスク端末でのパスキー利用は顧客確認に連動、機器向けの認証方式は未採用）</t>
    <phoneticPr fontId="2"/>
  </si>
  <si>
    <t>D-U10-01 / D-U10-02 ・ U2 §2.8.2</t>
    <phoneticPr fontId="2"/>
  </si>
  <si>
    <t>本基盤が業務システムに対して旧来方式のID提供元として振る舞う構成を決定（接続定義テンプレート・識別名・突合属性・署名方式まで確定）。当初「未対応」としたが誤判定</t>
    <phoneticPr fontId="2"/>
  </si>
  <si>
    <t>U2 §2.5.4 ・ D3-11 / D3-14</t>
    <phoneticPr fontId="2"/>
  </si>
  <si>
    <t>U2+U3</t>
    <phoneticPr fontId="2"/>
  </si>
  <si>
    <t>製品のグループ機能を業務認可に使わない方針を決定（02）。顧客側からのグループ同期は次段階（03）。認可は管理画面側のデータベースで持つ利用可否に一元化。当初「未対応」としたが意図的な方式選択のため対象外に再分類</t>
    <phoneticPr fontId="2"/>
  </si>
  <si>
    <t>D-U10-02 ・ U5 §5.6.3</t>
    <phoneticPr fontId="2"/>
  </si>
  <si>
    <t>接続設定の自動取得窓口は製品標準機能で成立。旧来方式側の接続情報の自動更新機能は実機確認予定（調査タスク A-9）。当初「未対応」としたが標準機能のため誤判定</t>
    <phoneticPr fontId="2"/>
  </si>
  <si>
    <t>D-U7-17 / D-U7-16</t>
    <phoneticPr fontId="2"/>
  </si>
  <si>
    <t>責任分担は決定済（入口側は他組織へ要求、自管理側は実装時に実施）。頻度の数値のみ未確定。当初「未対応」としたが責任の所在は決まっているため部分に再分類</t>
    <phoneticPr fontId="2"/>
  </si>
  <si>
    <t>00a 残タスク棚卸し ・ ADR-040</t>
    <phoneticPr fontId="2"/>
  </si>
  <si>
    <t>（設計書外）</t>
    <phoneticPr fontId="2"/>
  </si>
  <si>
    <t>構築フェーズの概算を16〜22人月と算定、運用体制は10名で別文書に確定済み。技術設計9冊には載せない方針のため、設計書側の欠落ではない</t>
    <phoneticPr fontId="2"/>
  </si>
  <si>
    <t>Trust Center ・ ADR-036</t>
    <phoneticPr fontId="2"/>
  </si>
  <si>
    <t>海外規制対応は第三者監査・情報開示の枠組み側で扱う方針。技術設計9冊の対象外</t>
    <phoneticPr fontId="2"/>
  </si>
  <si>
    <t>第三者による内部統制証明は同枠組み側で扱う方針</t>
    <phoneticPr fontId="2"/>
  </si>
  <si>
    <t>情報セキュリティ認証は同枠組み側で扱う方針</t>
    <phoneticPr fontId="2"/>
  </si>
  <si>
    <t>00a 残タスク棚卸し（B-PCI-1）</t>
    <phoneticPr fontId="2"/>
  </si>
  <si>
    <t>カード決済規格対応は今回スコープから除外を明示決定（削除ではなく降格で将来再開可）。当初「単元未取込」としたが決定済みのため再分類</t>
    <phoneticPr fontId="2"/>
  </si>
  <si>
    <t>proposal 側 ・ ADR-032 / ADR-058</t>
    <phoneticPr fontId="2"/>
  </si>
  <si>
    <t>費用系は提案書側の文書で扱う方針。技術設計9冊の対象外</t>
    <phoneticPr fontId="2"/>
  </si>
  <si>
    <t>同上</t>
    <phoneticPr fontId="2"/>
  </si>
  <si>
    <t>同上。人件費は別文書で決定済みで技術設計の対象外</t>
    <phoneticPr fontId="2"/>
  </si>
  <si>
    <t>前提</t>
  </si>
  <si>
    <t>D-U5-14</t>
  </si>
  <si>
    <t>受け取り側実装ガイド: 通行証の検証（必須7点）</t>
    <phoneticPr fontId="2"/>
  </si>
  <si>
    <t>①署名方式の検証と鍵情報のキャッシュ（鍵の入れ替えに追従）②発行元の完全一致 ③有効期限と発行時刻（時刻ずれ許容60秒以内）④宛先が自分のAPI識別子を含むこと、不一致は拒否 ⑤接続元アプリを許可リストで検証 ⑥所属情報を、要求が触れる全リソースの所属範囲と一致強制（他人のデータを覗く攻撃の防御。経路やリクエスト本文の指定より通行証の値を常に優先）⑦【2026-08-12追加】ヘッダの種別が通行証用であることを検証し、別種のトークンの流用を拒否（署名が通っても種別不一致は拒否）。リソース単位の権限判定はアプリ責務</t>
    <phoneticPr fontId="2"/>
  </si>
  <si>
    <t>セルフサービスのセッション・端末管理</t>
  </si>
  <si>
    <t>D-U4-10</t>
  </si>
  <si>
    <t>安全な登録手続き（登録の乗っ取り対策）</t>
  </si>
  <si>
    <t>D-U4-11</t>
  </si>
  <si>
    <t>ADR番号</t>
  </si>
  <si>
    <t>表題</t>
  </si>
  <si>
    <t>ステータス</t>
  </si>
  <si>
    <t>ADR-065</t>
  </si>
  <si>
    <t>ADR-066</t>
  </si>
  <si>
    <t>非人間IDのガバナンス</t>
  </si>
  <si>
    <t>ADR-067</t>
  </si>
  <si>
    <t>認可判定ログ＋アクセス再認証</t>
  </si>
  <si>
    <t>同意管理・同意レシート</t>
  </si>
  <si>
    <t>G-SSF</t>
  </si>
  <si>
    <t>U7 §7.5.3 ・ U2 §2.2.3 ・ D-U5-13</t>
    <phoneticPr fontId="2"/>
  </si>
  <si>
    <t>U2+U5+U7</t>
    <phoneticPr fontId="2"/>
  </si>
  <si>
    <t>アプリ認証方式の段階昇格を決定（第1段階=送信型の秘密情報／第2段階=鍵ペア方式へ一括昇格／第3段階=相互証明書方式）。要件の意図は「アプリの身元証明」で確定（用語集と要件の配置で裏取り済み、利用者本人の証明書ログイン要件は不在）。2026-08-12追加=金融グレード仕様への姿勢を整理し、相互証明書方式は金融グレードの顧客が出た時点で必須化する条件付き採用と明確化。第3段階の実施条件のみ未確定のため部分</t>
    <phoneticPr fontId="2"/>
  </si>
  <si>
    <t>U5 §5.2.1 / §5.2.3 ・ U2 §2.2.5 #2 ・ D-U5-11 / D-U4-09</t>
    <phoneticPr fontId="2"/>
  </si>
  <si>
    <t>U2+U4+U5</t>
    <phoneticPr fontId="2"/>
  </si>
  <si>
    <t>無操作1時間・最長24時間。顧客別の短縮は専用の登録枠で、規制対応は分離した領域で実現。2026-08-12追加=管理系に同時セッション数の上限、利用者が自分でセッションと端末を確認・失効できる画面</t>
    <phoneticPr fontId="2"/>
  </si>
  <si>
    <t>U5 §5.4.1 / §5.4.3 / §5.2.4 ・ D-U5-09 / D-U4-09</t>
    <phoneticPr fontId="2"/>
  </si>
  <si>
    <t>U4+U5</t>
    <phoneticPr fontId="2"/>
  </si>
  <si>
    <t>取消の仕組みは用意。最大30分の取り消し漏れ時間が残ることを明示。2026-08-12追加=継続アクセス評価を目標構成に据え、高価値経路は数秒まで短縮する3段階計画。利用者による自己失効も追加</t>
    <phoneticPr fontId="2"/>
  </si>
  <si>
    <t>U5 §5.4.2 ・ D-U5-11 / D-U5-09</t>
    <phoneticPr fontId="2"/>
  </si>
  <si>
    <t>U5</t>
    <phoneticPr fontId="2"/>
  </si>
  <si>
    <t>個別・顧客単位・全体の3粒度。2026-08-12追加=同時セッション数の上限で失効時の影響範囲を縮小、失効イベントの標準配信で受け取り側への伝播を高速化</t>
    <phoneticPr fontId="2"/>
  </si>
  <si>
    <t>D-U7-15 / D-U7-15b / D-U7-21 ・ U2 §2.6</t>
    <phoneticPr fontId="2"/>
  </si>
  <si>
    <t>漏えい報告の7ステップと期限、委託先監督の方針まで確定。2026-08-12追加=同意の記録・撤回・監査証跡（同意レシート）の枠組み。越境や第三者提供が絡む顧客は必須</t>
    <phoneticPr fontId="2"/>
  </si>
  <si>
    <t>D-U7-15b / D-U7-21</t>
    <phoneticPr fontId="2"/>
  </si>
  <si>
    <t>国内2拠点に限定し越境は最小化。保守要員の越境閲覧の扱いが確認中の唯一の論点。2026-08-12追加=越境が絡む顧客には同意レシートを必須化</t>
    <phoneticPr fontId="2"/>
  </si>
  <si>
    <t>D-U9-06 / D-U9-05 / D-U9-20 ・ D-U7-12</t>
    <phoneticPr fontId="2"/>
  </si>
  <si>
    <t>取込イベントセットを確定し監査アカウントを唯一の集約先に。2026-08-12追加=認可判定の決定ログ（誰が・何に・なぜ・ポリシー版）を出力し、最小権限の証明と定期棚卸しの証跡を担保</t>
    <phoneticPr fontId="2"/>
  </si>
  <si>
    <t>D-U10-13 / D-U10-13b ・ D3-09 / D3-17</t>
    <phoneticPr fontId="2"/>
  </si>
  <si>
    <t>停止処理＋監査ログの仮名化で応答し物理削除は行わない方針を確定。全対応を7年保管。2026-08-12追加=消去要求と7年間の改ざん不能監査の境界を明文化（個人データ本体は消去、監査ログ内の主体識別子は仮名化して保持）。応答期限日数は顧客確認待ち</t>
    <phoneticPr fontId="2"/>
  </si>
  <si>
    <t>継続アクセス評価</t>
  </si>
  <si>
    <t>B-CAEP-1</t>
  </si>
  <si>
    <t>顧客側ID基盤が失効イベントを送信できるか。受け取り側アプリへ受信部品をどこまで配布するか</t>
  </si>
  <si>
    <t>requirements/hearing-checklist.md §5.6</t>
  </si>
  <si>
    <t>テナント隔離</t>
  </si>
  <si>
    <t>B-TENANT-ISO-1</t>
  </si>
  <si>
    <t>顧客ごとのレート制限・上限の既定値と、大口顧客や規制対象顧客を別領域へ分離する基準</t>
  </si>
  <si>
    <t>非人間ID</t>
  </si>
  <si>
    <t>B-NHI-1</t>
  </si>
  <si>
    <t>顧客側の機械通信アカウントの責任者を顧客と自社のどちらが持つか。棚卸し責任の分界</t>
  </si>
  <si>
    <t>関連=D-U7-20 / ADR-066。台帳では責任者を必須項目とし空欄は自動検査で拒否する設計のため、分界の合意が前提</t>
  </si>
  <si>
    <t>セッション管理</t>
  </si>
  <si>
    <t>B-SESS-1</t>
  </si>
  <si>
    <t>管理系利用者の同時セッション数の上限をいくつにするか</t>
  </si>
  <si>
    <t>無制限のセッションは失効時の影響範囲と乗っ取りリスクを拡大するため、上限値を決める</t>
  </si>
  <si>
    <t>関連=D-U5-11。一般利用者は無制限のままとし、上限は管理系のみに適用する方針</t>
  </si>
  <si>
    <t>B-SESS-2</t>
  </si>
  <si>
    <t>利用者が自分のセッションと端末を確認・失効できる画面を今回提供するか</t>
  </si>
  <si>
    <t>不審な端末の即時失効を利用者自身で行えるようにするかを決める</t>
  </si>
  <si>
    <t>関連=D-U4-09。顧客側ID基盤を使う利用者については本基盤のセッションのみが対象</t>
  </si>
  <si>
    <t>テストデータ</t>
  </si>
  <si>
    <t>B-TESTDATA-1</t>
  </si>
  <si>
    <t>検証環境の個人情報について、マスキング方式と適用範囲をどうするか</t>
  </si>
  <si>
    <t>本番相当の個人情報を検証環境に置かないための方式（不可逆マスキングか合成データか）を決める</t>
  </si>
  <si>
    <t>関連=D-U9-19。1000万規模の実データの非本番露出は法令上の重大な責任</t>
  </si>
  <si>
    <t>アクセス再認証</t>
  </si>
  <si>
    <t>B-IGA-REC-1</t>
  </si>
  <si>
    <t>権限の定期棚卸しの頻度と実施主体を、自社・顧客・監査のどこに置くか</t>
  </si>
  <si>
    <t>認可ログ</t>
  </si>
  <si>
    <t>B-AUTHZLOG-1</t>
  </si>
  <si>
    <t>監査人が求める認可証跡の粒度と保持期間</t>
  </si>
  <si>
    <t>登録手続き</t>
  </si>
  <si>
    <t>B-ENROLL-1</t>
  </si>
  <si>
    <t>2台目以降の認証手段の登録に、どこまでの再確認を求めるか</t>
  </si>
  <si>
    <t>関連=D-U4-10。既定案=既存の認証手段または予備コードによる再認証を必須とし、第1要素だけでの追加登録を禁止</t>
  </si>
  <si>
    <t>復旧手段</t>
  </si>
  <si>
    <t>B-RECOV-1</t>
  </si>
  <si>
    <t>認証器のみ・メール非保有の利用者が締め出された場合の復旧方針</t>
  </si>
  <si>
    <t>関連=D-U4-11。既定案=2台目の事前登録を強く推奨、復旧時に確認の強度を下げない、永久的な締め出しを避ける管理者経路を用意</t>
  </si>
  <si>
    <t>同意管理</t>
  </si>
  <si>
    <t>B-CONSENT-1</t>
  </si>
  <si>
    <t>同意の記録・撤回・監査証跡（同意レシート）が必要か。対象となる顧客の範囲</t>
  </si>
  <si>
    <t>消去と保持</t>
  </si>
  <si>
    <t>B-RTBF-1</t>
  </si>
  <si>
    <t>消去要求の対象と、監査のため仮名化して残す対象の境界</t>
  </si>
  <si>
    <t>忘れられる権利と7年間の改ざん不能な監査証跡の衝突をどう線引きするかを決める</t>
  </si>
  <si>
    <t>関連=D-U10-13b。既定案=個人データ本体は消去し、監査ログ内の主体識別子は仮名化して保持</t>
  </si>
  <si>
    <t>新興ID</t>
  </si>
  <si>
    <t>B-AGENT-1</t>
  </si>
  <si>
    <t>自動エージェントによる代理実行のIDをどう扱うか</t>
  </si>
  <si>
    <t>姿勢のみで今回は実装なし。関連=D-U5-12（委譲制御）/ ADR-066（非人間ID台帳の種別拡張で受ける）</t>
  </si>
  <si>
    <t>B-FAPI-1</t>
  </si>
  <si>
    <t>金融グレードの仕様準拠を求める顧客が存在するか</t>
  </si>
  <si>
    <t>B-IPSIE-1</t>
  </si>
  <si>
    <t>企業向け相互運用プロファイルへの準拠を求められるか</t>
  </si>
  <si>
    <t>出典: github.com/suepie/aws-atuh-poc  doc/basic-design/  commit 9511a58 ／ Gitからの派生ビュー（読み取り専用）。2026-08-12 網羅性再監査で16件追加</t>
  </si>
  <si>
    <t>「要件→設計」シートのどの要件からも参照されていない設計決定 50件（全185件中）を分類。参照あり135件は根拠が辿れているため本表には含めない。※分類は2026-08-12再監査前の170件時点のもので、新規16件は未分類</t>
  </si>
  <si>
    <t>認証方式</t>
  </si>
  <si>
    <t>方向性確定（条件付き）</t>
  </si>
  <si>
    <t>外部待ち</t>
  </si>
  <si>
    <t>外部ID連携</t>
  </si>
  <si>
    <t>追加確認（多要素）</t>
  </si>
  <si>
    <t>SSO・セッション</t>
  </si>
  <si>
    <t>認可・権限</t>
  </si>
  <si>
    <t>利用者管理・同期</t>
  </si>
  <si>
    <t>管理機能・画面</t>
  </si>
  <si>
    <t>外部連携・API</t>
  </si>
  <si>
    <t>可用性・災害復旧</t>
  </si>
  <si>
    <t>性能・拡張性</t>
  </si>
  <si>
    <t>セキュリティ</t>
  </si>
  <si>
    <t>運用・監視</t>
  </si>
  <si>
    <t>コンプライアンス・法令</t>
  </si>
  <si>
    <t>コスト</t>
  </si>
  <si>
    <t>移行</t>
  </si>
  <si>
    <t>基盤・ネットワーク</t>
  </si>
  <si>
    <t>検証ゲート</t>
  </si>
  <si>
    <t>設計タスク</t>
  </si>
  <si>
    <t>全般・プロジェクト進行</t>
  </si>
  <si>
    <t>顧客確認</t>
  </si>
  <si>
    <t>技術領域</t>
  </si>
  <si>
    <t>種別</t>
  </si>
  <si>
    <t>状況（5区分）</t>
  </si>
  <si>
    <t>内容</t>
  </si>
  <si>
    <t>決定名（何を決めたか）</t>
    <phoneticPr fontId="2"/>
  </si>
  <si>
    <t>設計単元</t>
    <phoneticPr fontId="2"/>
  </si>
  <si>
    <t>決定内容</t>
    <phoneticPr fontId="2"/>
  </si>
  <si>
    <t>内部ID（Git内の採番）</t>
    <phoneticPr fontId="2"/>
  </si>
  <si>
    <t>出典</t>
    <phoneticPr fontId="2"/>
  </si>
  <si>
    <t>Realm構成</t>
    <phoneticPr fontId="2"/>
  </si>
  <si>
    <t>U2 Keycloak論理</t>
    <phoneticPr fontId="2"/>
  </si>
  <si>
    <t>Broker KC=単一Realm『broker』+Organizations、IdP-KC=単一Realm『idp』+Organizations。masterはKeycloak自体の管理専用で業務ユーザ・Clientを置かない。Realm名はissuer URLに埋まり変更不可のため普遍的短名</t>
    <phoneticPr fontId="2"/>
  </si>
  <si>
    <t>U2 §2.1.1</t>
    <phoneticPr fontId="2"/>
  </si>
  <si>
    <t>basic-design/02-keycloak-logical-design.md</t>
    <phoneticPr fontId="2"/>
  </si>
  <si>
    <t>Organizationsの使い方</t>
    <phoneticPr fontId="2"/>
  </si>
  <si>
    <t>Brokerは全顧客（IdPあり・なし問わず）を1顧客=1Orgで登録。顧客IdPは必ず当該顧客Orgに紐付け（グローバルIdP禁止）。IdP-KCはIdPなし顧客のみ登録。Org attributeは表示名とhrd_modeのみ、課金・契約メタは持たない</t>
    <phoneticPr fontId="2"/>
  </si>
  <si>
    <t>U2 §2.1.2</t>
    <phoneticPr fontId="2"/>
  </si>
  <si>
    <t>Org命名規則・alias規則</t>
    <phoneticPr fontId="2"/>
  </si>
  <si>
    <t>Org alias=小文字英数字2〜20文字・先頭英字・ハイフン禁止・作成後変更不可。tenant_idクレーム値とログインIDのtenantプレフィックスと完全一致。master/admin/broker/idp/api/scim/test等は予約語で使用禁止</t>
    <phoneticPr fontId="2"/>
  </si>
  <si>
    <t>U2 §2.1.3</t>
    <phoneticPr fontId="2"/>
  </si>
  <si>
    <t>IdP alias規則</t>
    <phoneticPr fontId="2"/>
  </si>
  <si>
    <t>顧客IdP alias=&lt;orgAlias&gt;-&lt;proto&gt;&lt;NN&gt;（例 acme-oidc01）。IdP製品名はdisplayNameのみに記載しaliasには含めない（製品乗換時にalias変更＝顧客側再設定を避ける）</t>
    <phoneticPr fontId="2"/>
  </si>
  <si>
    <t>U2 §2.1.4</t>
    <phoneticPr fontId="2"/>
  </si>
  <si>
    <t>2-tier間フェデの位置付け</t>
    <phoneticPr fontId="2"/>
  </si>
  <si>
    <t>Brokerから見たIdP-KCは「OIDC IdPの1つ」として登録。IdP-KC側ではBrokerをOIDC confidential clientとして登録</t>
    <phoneticPr fontId="2"/>
  </si>
  <si>
    <t>U2 §2.2.1</t>
    <phoneticPr fontId="2"/>
  </si>
  <si>
    <t>Broker側IdP登録（IdP-KC向け）</t>
    <phoneticPr fontId="2"/>
  </si>
  <si>
    <t>IdPなし顧客共通の単一OIDC IdPエントリ『idpkc-oidc01』を作り、IdPなし顧客の全Orgに紐付け。loginHint=true / hideOnLoginPage=true / trustEmail=false / syncMode=IMPORT / storeToken=false</t>
    <phoneticPr fontId="2"/>
  </si>
  <si>
    <t>U2 §2.2.2</t>
    <phoneticPr fontId="2"/>
  </si>
  <si>
    <t>IdP-KC側Client登録（Broker向け）</t>
    <phoneticPr fontId="2"/>
  </si>
  <si>
    <t>client_id=broker-rp。Confidential・Standard Flowのみ（Implicit/Direct Access/Service Account無効）。redirect URIは完全一致1本のみ（ワイルドカード禁止）。Phase 1=client_secret_post、Phase 2でprivate_key_jwtへ昇格。Web Origins/CORSなし</t>
    <phoneticPr fontId="2"/>
  </si>
  <si>
    <t>U2 §2.2.3</t>
    <phoneticPr fontId="2"/>
  </si>
  <si>
    <t>2-tier間のクレーム受け渡し</t>
    <phoneticPr fontId="2"/>
  </si>
  <si>
    <t>IdP-KC側に専用Client Scope『broker-federation』を作りMapperを集約（tenant_id / preferred_username / amr / email の4種）。JIT突合キーはtenant_id+persistent sub、emailは補助。Phase 1ではIdP-KCのrolesをBrokerへ伝播しない</t>
    <phoneticPr fontId="2"/>
  </si>
  <si>
    <t>U2 §2.2.4</t>
    <phoneticPr fontId="2"/>
  </si>
  <si>
    <t>ログアウト連鎖</t>
    <phoneticPr fontId="2"/>
  </si>
  <si>
    <t>idpkc-oidc01にbackchannelSupported=trueを設定し、Brokerのログアウト時にIdP-KCセッションも常時破棄（自社基盤のため越境問題なし）。storeToken=false下でのid_token_hint取り回しは実機確認が必要</t>
    <phoneticPr fontId="2"/>
  </si>
  <si>
    <t>U2 §2.2.5 #1</t>
    <phoneticPr fontId="2"/>
  </si>
  <si>
    <t>IdP-KC側Realmセッション TTL</t>
    <phoneticPr fontId="2"/>
  </si>
  <si>
    <t>Realm『idp』のSSO Session Idle/MaxをBroker Realmと同値（Idle 1h / Max 24h）に固定。IaCで両Realm共通変数化し独立変更を構造的に防ぐ</t>
    <phoneticPr fontId="2"/>
  </si>
  <si>
    <t>U2 §2.2.5 #2</t>
    <phoneticPr fontId="2"/>
  </si>
  <si>
    <t>ステップアップ（AAL3）の転送</t>
    <phoneticPr fontId="2"/>
  </si>
  <si>
    <t>認証元がidpkc-oidc01の場合、IdP-KCへacr_values="3"+prompt=loginを付けて再リダイレクト。IdP-KC側にもACR-to-LoAマッピング（1/2/3）を定義し、amrで返してmfa_indicator Mapper（FORCE）がBroker側acr判定に反映</t>
    <phoneticPr fontId="2"/>
  </si>
  <si>
    <t>U2 §2.2.5 #3</t>
    <phoneticPr fontId="2"/>
  </si>
  <si>
    <t>prompt=login / max_ageの転送方針</t>
    <phoneticPr fontId="2"/>
  </si>
  <si>
    <t>idpkc-oidc01経由のユーザにはprompt=login / max_age / acr_valuesをIdP-KCへ転送する。外部顧客IdPへは転送しない（挙動がIdP依存で保証できないため、Broker側max_age評価で代替）</t>
    <phoneticPr fontId="2"/>
  </si>
  <si>
    <t>U2 §2.2.5 #4</t>
    <phoneticPr fontId="2"/>
  </si>
  <si>
    <t>login_hintの書式契約</t>
    <phoneticPr fontId="2"/>
  </si>
  <si>
    <t>Broker→IdP-KCへ渡す値は&lt;userid&gt;（tenantプレフィックス除去後）のみ。IdP-KC側は完全形&lt;tenant&gt;-&lt;userid&gt;も受理して除去する寛容受理とし、誤設定でもループしない</t>
    <phoneticPr fontId="2"/>
  </si>
  <si>
    <t>U2 §2.2.5 #5</t>
    <phoneticPr fontId="2"/>
  </si>
  <si>
    <t>Flow配置の全系統共通制約</t>
    <phoneticPr fontId="2"/>
  </si>
  <si>
    <t>Keycloakは同一レベルにREQUIREDがあると同レベルのALTERNATIVEを無視するため、requiresUser()=trueのCustom SPIをtop-levelのREQUIREDに置いてはならない。必ずformsサブフロー内またはBroker Flow末尾に配置。IaCレビューのチェック項目に含める</t>
    <phoneticPr fontId="2"/>
  </si>
  <si>
    <t>U2 §2.3 共通制約</t>
    <phoneticPr fontId="2"/>
  </si>
  <si>
    <t>系統① ローカル認証（Browser Flow）</t>
    <phoneticPr fontId="2"/>
  </si>
  <si>
    <t>カスタムFlow『browser-std』。到達するのは基盤運用者P-1のみで、アクセスは踏み台/SSMのクローズド接続に限定。顧客テナント管理者P-2は対象外（フェデ化）。P-1はWebAuthn/Passkey必須。PAM L3向けにeligible/activeの2状態Composite Roleを両Realmに用意</t>
    <phoneticPr fontId="2"/>
  </si>
  <si>
    <t>U2 §2.3.1</t>
    <phoneticPr fontId="2"/>
  </si>
  <si>
    <t>系統② フェデレーション（First/Post Broker Login）</t>
    <phoneticPr fontId="2"/>
  </si>
  <si>
    <t>全IdP共通でfirst-broker-std / post-broker-stdを紐付け。Review ProfileはDISABLED（JITでユーザ入力を挟まない）。自動リンクは行わず衝突時はエラー画面+監査+管理者通知。突合キーはtenant_id+IdP persistent subでemailは使わない。初回はFirst→Postが連続発火するためSPIは冪等に実装</t>
    <phoneticPr fontId="2"/>
  </si>
  <si>
    <t>U2 §2.3.2</t>
    <phoneticPr fontId="2"/>
  </si>
  <si>
    <t>系統③ HRD（Home Realm Discovery）</t>
    <phoneticPr fontId="2"/>
  </si>
  <si>
    <t>識別子先行（&lt;tenant&gt;-&lt;userid&gt;）を主経路、メールドメインを補助経路とするハイブリッド。実装はCustom Authenticator SPI。最初のハイフンでparseしOrg→IdPを解決。顧客ごとの受入経路はOrg attribute『hrd_mode』（identifier/email/both、既定both）で宣言。IdP一覧非表示は性能成立の必須条件</t>
    <phoneticPr fontId="2"/>
  </si>
  <si>
    <t>U2 §2.3.3</t>
    <phoneticPr fontId="2"/>
  </si>
  <si>
    <t>系統④ ステップアップ認証（acr/LoA）</t>
    <phoneticPr fontId="2"/>
  </si>
  <si>
    <t>Keycloak標準のACR to LoA Mapping + Conditional Level of Authenticationを使用。acr 1/2/3をAAL1/2/3に対応。LoA3はWebAuthnのみ（Phishing-resistant）。フェデユーザの充足判定はmfa_indicator属性で行い、値がなければ未済扱い（fail-safe）。外部フェデユーザは補完せず記録・監視のみ</t>
    <phoneticPr fontId="2"/>
  </si>
  <si>
    <t>U2 §2.3.4</t>
    <phoneticPr fontId="2"/>
  </si>
  <si>
    <t>系統⑤ Adaptive認証</t>
    <phoneticPr fontId="2"/>
  </si>
  <si>
    <t>Phase 1はBrute Force Detection（Keycloak標準）と侵害クレデンシャル検出（ローカルPW=管理者のみ対象、PW変更時とログイン成功時にHIBP照合）のみ。IPレピュテーション・Impossible Travel・デバイス指紋等のフルRisk ScoringはPhase 2</t>
    <phoneticPr fontId="2"/>
  </si>
  <si>
    <t>U2 §2.3.5</t>
    <phoneticPr fontId="2"/>
  </si>
  <si>
    <t>Custom SPIの総量</t>
    <phoneticPr fontId="2"/>
  </si>
  <si>
    <t>Phase 1のCustom SPIは3JAR・4機能に限定（JIT制御Authenticator / HRD Authenticator / Event Listener / mfa_indicator正規化）。RHBKバージョン追従コストを面積で抑えるため。CI/CDは全SPIでU9の仕組みを共用</t>
    <phoneticPr fontId="2"/>
  </si>
  <si>
    <t>U2 §2.4</t>
    <phoneticPr fontId="2"/>
  </si>
  <si>
    <t>SPI① JIT制御Authenticator</t>
    <phoneticPr fontId="2"/>
  </si>
  <si>
    <t>Re-Activation分岐（scim/local-admin/app/ldapは拒否、jitのみ再有効化）+ last_login書込（debounce 1日、冪等）+ provisioned_by未設定時のみjit系属性を書込（既設定値は経路を問わず上書き禁止）。Re-Activation拒否はfail-closed、属性書込失敗はログインを失敗させない</t>
    <phoneticPr fontId="2"/>
  </si>
  <si>
    <t>U2 §2.4.1</t>
    <phoneticPr fontId="2"/>
  </si>
  <si>
    <t>SPI② HRD Authenticator</t>
    <phoneticPr fontId="2"/>
  </si>
  <si>
    <t>常にfail-openで後続Authenticatorに降格（HRDは経路解決であって認証判定ではない）。requiresUser()=false、実装50〜100行。複数IdPリンク時は先頭1件を選ばずattempted()降格してOrgセレクターに委ねる</t>
    <phoneticPr fontId="2"/>
  </si>
  <si>
    <t>U2 §2.4.2</t>
    <phoneticPr fontId="2"/>
  </si>
  <si>
    <t>Re-Activationの実装制約</t>
    <phoneticPr fontId="2"/>
  </si>
  <si>
    <t>Re-ActivationロジックはSPI①に統合し単独SPIとして分離しない（同一トランザクションで判定）。SCIM除外条件と想定外値の安全側拒否は削除不可の必須分岐とし単体テストで固定</t>
    <phoneticPr fontId="2"/>
  </si>
  <si>
    <t>U2 §2.4.3</t>
    <phoneticPr fontId="2"/>
  </si>
  <si>
    <t>mfa_indicator正規化Mapper</t>
    <phoneticPr fontId="2"/>
  </si>
  <si>
    <t>OIDC amr / SAML AuthnContextClassRef / Microsoft拡張の3方言を単一user attribute『mfa_indicator』に正規化。第一選択はKeycloak標準IdP Mapper、ホワイトリスト化が表現できない場合のみCustom。syncMode=FORCE（認証ごとに最新値で上書き）。属性不在・空・非MFA値はすべて未済扱い（fail-safe）</t>
    <phoneticPr fontId="2"/>
  </si>
  <si>
    <t>U2 §2.4.4</t>
    <phoneticPr fontId="2"/>
  </si>
  <si>
    <t>Stage 1クレーム（既定発行）</t>
    <phoneticPr fontId="2"/>
  </si>
  <si>
    <t>全アプリClientの既定発行をStage 1最小に固定（iss/exp/iat/sub/sid/azp/aud/tenant_id）。email・name等のPII系Mapperはアプリ Clientの Default Scopeから外しuserinfoまたはアプリDB参照とする。preferred_usernameも既定発行しない。provisioned_by/scim_active/last_loginはJWTに載せない</t>
    <phoneticPr fontId="2"/>
  </si>
  <si>
    <t>U2 §2.5.1</t>
    <phoneticPr fontId="2"/>
  </si>
  <si>
    <t>audience Mapper</t>
    <phoneticPr fontId="2"/>
  </si>
  <si>
    <t>アプリAPIごとに専用Client Scope『aud-&lt;api名&gt;』を作りoidc-audience-mapperを1つ載せる。フロントClientにはアクセス先APIのaud-*のみDefault付与。多重audはscopeの複数付与で表現</t>
    <phoneticPr fontId="2"/>
  </si>
  <si>
    <t>U2 §2.5.2</t>
    <phoneticPr fontId="2"/>
  </si>
  <si>
    <t>tenant_id / usernameの供給経路</t>
    <phoneticPr fontId="2"/>
  </si>
  <si>
    <t>tenant_idは3経路（フェデJIT時にBroker側で焼き込む / IdP-KC経由のAttribute Importer / 管理画面BackendのAdmin API）のいずれかで必ず設定。顧客IdPのクレームは信用しない。Broker内部username=&lt;orgAlias&gt;-&lt;userid&gt;でRealm内一意性を担保</t>
    <phoneticPr fontId="2"/>
  </si>
  <si>
    <t>U2 §2.5.3</t>
    <phoneticPr fontId="2"/>
  </si>
  <si>
    <t>roles方式とsyncMode既定</t>
    <phoneticPr fontId="2"/>
  </si>
  <si>
    <t>rolesはハイブリッドC（管理系Clientに限りrealm-role-mapperで発行、業務アプリの細粒度認可はアプリ側DB/管理画面Backend）。粗粒度認可のSSOTは管理画面Backend DBで配信は/api/me/context。syncMode既定はIMPORT、Mapper単位overrideはmfa_indicator（FORCE）のみ許可。scim_active/provisioned_by/last_loginをIdP Mapper対象にすることを禁止</t>
    <phoneticPr fontId="2"/>
  </si>
  <si>
    <t>U2 §2.5.4</t>
    <phoneticPr fontId="2"/>
  </si>
  <si>
    <t>User Profileスキーマ</t>
    <phoneticPr fontId="2"/>
  </si>
  <si>
    <t>両RealmでUser Profileを明示宣言しunmanagedAttributePolicy=DISABLED（未宣言属性は保存不可＝顧客IdPの生クレームを保存段階で物理破棄）。設定はUser Profile API経由でIaC化。宣言属性のSSOTはU3側。emailは必須にしない（email非保有顧客を収容）。realm属性でのポリシー設定は無効、JSONにコメントキーを入れると拒否される</t>
    <phoneticPr fontId="2"/>
  </si>
  <si>
    <t>U2 §2.6</t>
    <phoneticPr fontId="2"/>
  </si>
  <si>
    <t>1000+IdP制約1: バージョン固定</t>
    <phoneticPr fontId="2"/>
  </si>
  <si>
    <t>RHBK 26.x系に固定しupstream混在禁止。RHBK OperatorのOLMは手動承認とし自動更新を禁止。パッチ含む全昇格はStagingで1000 IdP合成データセットに対する回帰測定（ログインp99/Admin API p99）を通過してから本番適用</t>
    <phoneticPr fontId="2"/>
  </si>
  <si>
    <t>U2 §2.7.1</t>
    <phoneticPr fontId="2"/>
  </si>
  <si>
    <t>1000+IdP制約2: IdP一覧を出さない</t>
    <phoneticPr fontId="2"/>
  </si>
  <si>
    <t>全IdP・全期間でhideOnLoginPage=trueを必須とし（IaC既定+CI lint）、ログインテーマはIdPリストを描画しない。Account ConsoleのIdPリンク一覧は無効化または対象限定。HRD SPIはこの制約の実現手段であり性能成立の必須条件</t>
    <phoneticPr fontId="2"/>
  </si>
  <si>
    <t>U2 §2.7.2</t>
    <phoneticPr fontId="2"/>
  </si>
  <si>
    <t>1000+IdP制約3: Org紐付け必須</t>
    <phoneticPr fontId="2"/>
  </si>
  <si>
    <t>Org非紐付けのグローバルIdPの新規作成を禁止。例外はidpkc-oidc01のみ（これも各Orgに紐付けて登録）。オンボーディングパイプラインはOrg紐付けのないIdP作成要求をrejectする</t>
    <phoneticPr fontId="2"/>
  </si>
  <si>
    <t>U2 §2.7.3</t>
    <phoneticPr fontId="2"/>
  </si>
  <si>
    <t>1000+IdP制約4: realm全体export禁止</t>
    <phoneticPr fontId="2"/>
  </si>
  <si>
    <t>日常運用・バックアップ・監査のいずれでもrealm全体export（partial-export含む）を使用しない。構成の読取・変更はIdP単位/Org単位/Client単位のAdmin APIのみ。構成バックアップはIaCリポジトリとAuroraスナップショット/PITRを正とする</t>
    <phoneticPr fontId="2"/>
  </si>
  <si>
    <t>U2 §2.7.4</t>
    <phoneticPr fontId="2"/>
  </si>
  <si>
    <t>1000+IdP制約5: IaC 2層分離</t>
    <phoneticPr fontId="2"/>
  </si>
  <si>
    <t>基盤層（Realm設定/Flow/SPI配備/共通Client Scope/アプリClient/User Profile）はTerraform、テナント層（Organization/顧客IdP/IdP Mapper/リンク）は自作オンボーディングAPIによるAdmin API差分適用。keycloak-config-cliはrealm representationベースのため制約4と原理衝突し不採用に確定。単一stateに1000 IdPを置く構成は設計として不成立</t>
    <phoneticPr fontId="2"/>
  </si>
  <si>
    <t>U2 §2.7.5</t>
    <phoneticPr fontId="2"/>
  </si>
  <si>
    <t>1000+IdP制約6: キャッシュサイジング明示</t>
    <phoneticPr fontId="2"/>
  </si>
  <si>
    <t>キャッシュサイズを既定値のまま運用することを禁止し初期値を明示宣言。realmsキャッシュはmax-count 200,000 entriesを初期値（IdP 2,000×Mapper 5-6+Orgリンクで数万エントリ想定+ヘッドルーム）。usersキャッシュは10M MAU前提でU6が算定。再起動時のウォームアップ時間も測定対象</t>
    <phoneticPr fontId="2"/>
  </si>
  <si>
    <t>U2 §2.7.6</t>
    <phoneticPr fontId="2"/>
  </si>
  <si>
    <t>1000+IdP制約7: IdP数の関数としての継続監視</t>
    <phoneticPr fontId="2"/>
  </si>
  <si>
    <t>ログインフローp99・HRD解決時間・IdP系Admin API p99・IdPキャッシュhit率とエントリ数・Aurora CPUを、IdP数とOrg数を注記した時系列として継続計測。IdP追加バッチ前後で比較できるダッシュボードをU9が実装。アラート初期閾値は10 IdP時点ベースライン比+10%</t>
    <phoneticPr fontId="2"/>
  </si>
  <si>
    <t>U2 §2.7.7</t>
    <phoneticPr fontId="2"/>
  </si>
  <si>
    <t>1000社超過時の拡張パス</t>
    <phoneticPr fontId="2"/>
  </si>
  <si>
    <t>第一拡張パスはIdP-KC側のシャーディング（例 500 IdP/クラスタ）でBroker KCのIdP数を圧縮（Broker多段）。Realm分割は運用コストが復活するため次善。Custom IdP Storage SPIはPhase 2の研究テーマ</t>
    <phoneticPr fontId="2"/>
  </si>
  <si>
    <t>U2 §2.7.8</t>
    <phoneticPr fontId="2"/>
  </si>
  <si>
    <t>3階層識別子の格納先</t>
    <phoneticPr fontId="2"/>
  </si>
  <si>
    <t>U3 ID・プロビジョニング</t>
    <phoneticPr fontId="2"/>
  </si>
  <si>
    <t>Layer A=sub（user_entity.id、Keycloak採番、絶対不変、全DB FK・監査・アプリ主ID）/ Layer B=external_id（username=&lt;tenant&gt;-&lt;userid&gt; + user_attribute.external_id生値 + external_id_history改番履歴）/ Layer C=IdP側sub（federated_identity）。カスタム属性はUser Profile APIによるschema宣言+unmanagedAttributePolicy設定が必須（realm属性では効かないことを実機確認済）</t>
    <phoneticPr fontId="2"/>
  </si>
  <si>
    <t>D3-01</t>
    <phoneticPr fontId="2"/>
  </si>
  <si>
    <t>basic-design/03-identity-provisioning-design.md §3.1</t>
    <phoneticPr fontId="2"/>
  </si>
  <si>
    <t>emailは補助属性</t>
    <phoneticPr fontId="2"/>
  </si>
  <si>
    <t>JIT突合キーの第一推奨はtenant_id+persistentなIdP不変ID（OIDC sub / SAML persistent NameID / Entra oid）。emailは補助属性で突合キー・主識別子に使用禁止。email非保有ユーザーが存在しても全フローが成立する設計。復旧手段はRecovery Codes / Admin Reset / Passkey多重登録。email突合を使う顧客はデフォルトConfirm Link（Auto-LinkはTrusted IdPのみ）</t>
    <phoneticPr fontId="2"/>
  </si>
  <si>
    <t>D3-02</t>
    <phoneticPr fontId="2"/>
  </si>
  <si>
    <t>マッピングDBのスキーマ</t>
    <phoneticPr fontId="2"/>
  </si>
  <si>
    <t>per-userの少数マッピング（external_id/tenant_id等）はKeycloak user_attribute。多システムIDマッピング（経理ID/ServiceNow user_name/旧システムID等）はAurora補助スキーマ idmap（id_mapping + external_id_history、履歴行方式valid_from/valid_to）。Brokerのuser_attributeには置かずJWTにも載せない。アプリはJWT subを鍵にユーザ管理API経由で参照。FKはLayer A（sub）のみ。idmapは写像でありSoTではない</t>
    <phoneticPr fontId="2"/>
  </si>
  <si>
    <t>D3-03</t>
    <phoneticPr fontId="2"/>
  </si>
  <si>
    <t>プロビジョニング経路とprovisioned_by値体系</t>
    <phoneticPr fontId="2"/>
  </si>
  <si>
    <t>①JIT（フェデ初回ログイン、Broker、provisioned_by=jit、90日バッチ・Re-Activation対象）②SCIM受信（D2顧客IdP→Broker / D1顧客HRIS→IdP-KC、scim + scim_active=true、Re-Activation禁止）③LDAP（Phase 1対象外、ldapは将来用に予約）④管理者作成（local-admin、P-1運用者は踏み台経由）⑤アプリ発CRUD（IdP-KC、app + provisioned_app=client_id）+ Realm Import（realm_import）。未知の値・nullは常に安全側（90日バッチ=人間レビュー / Re-Activation=拒否）</t>
    <phoneticPr fontId="2"/>
  </si>
  <si>
    <t>D3-04</t>
    <phoneticPr fontId="2"/>
  </si>
  <si>
    <t>basic-design/03-identity-provisioning-design.md §3.2</t>
    <phoneticPr fontId="2"/>
  </si>
  <si>
    <t>アプリ発CRUDは専用API層経由</t>
    <phoneticPr fontId="2"/>
  </si>
  <si>
    <t>案C（専用API層）を採用。実体はADR-038の管理画面Backend（自作SPA+3層スコープ）と同一のユーザ管理APIをIdP-KC Acctに配置し、アプリにはOAuth2 Client Credentials（クライアントごとにテナント/操作スコープ限定）で開放。案B（SCIMエンドポイント経由）はSCIMのセマンティクスを壊すため明確に却下。案A（Admin API直叩き）は暫定運用としても不採用（物理削除ガードレールLayer 1が崩壊）</t>
    <phoneticPr fontId="2"/>
  </si>
  <si>
    <t>D3-05</t>
    <phoneticPr fontId="2"/>
  </si>
  <si>
    <t>appユーザのライフサイクル扱い</t>
    <phoneticPr fontId="2"/>
  </si>
  <si>
    <t>appユーザは90日バッチ対象外（アプリがSoT、削除・休眠判定はアプリ責務）+ Re-Activation禁止。ただしPCI DSS 8.2.6のシステムごと独立監査原則により、アプリは休眠検出時にAPI層のdeactivate（Soft Delete）を必ず呼ぶ義務を開発標準・契約に明記。未達アプリ向けに「90日バッチへのテナント単位オプトイン」をPhase 1設定項目として用意</t>
    <phoneticPr fontId="2"/>
  </si>
  <si>
    <t>D3-06</t>
    <phoneticPr fontId="2"/>
  </si>
  <si>
    <t>JIT/SCIM判別ロジックとCase 1-6</t>
    <phoneticPr fontId="2"/>
  </si>
  <si>
    <t>判定順序を固定: 判定1=scim_active=="true"なら削除・復活対象外（最強フラグ）→ 判定2=除外（serviceAccountClientLink / provisioned_by∈{local-admin,app,ldap} / admin role）→ 判定3=経路判定（jitのみ90日バッチ・Re-Activation対象、manual・realm_import・nullは人間レビュー）。不変条件3点: First Broker Login SPIはprovisioned_by未設定時のみjitをセット / per-Mapper syncMode=IMPORTでscim_active・provisioned_byを上書きから保護 / SPIは3系統Flow配置でdebounceは両Flow対応</t>
    <phoneticPr fontId="2"/>
  </si>
  <si>
    <t>D3-07</t>
    <phoneticPr fontId="2"/>
  </si>
  <si>
    <t>basic-design/03-identity-provisioning-design.md §3.3</t>
    <phoneticPr fontId="2"/>
  </si>
  <si>
    <t>SoTルールと混在時ポリシー</t>
    <phoneticPr fontId="2"/>
  </si>
  <si>
    <t>経路別SoT: ①JIT=顧客IdP（受動キャッシュ、削除トリガーは本基盤90日バッチ）②SCIM=顧客IdP/HRIS（SCIM Consumer、PATCH active=false / DELETE）③LDAP=顧客AD/LDAP ④local-admin=本基盤運用 ⑤app=同居アプリ。混在時ポリシーは「SCIM優先」= scim_active=trueが他のすべての判定に優先する削除禁止・復活禁止フラグ。SCIMユーザーのInactive Detectionは顧客IdP責任として契約に明記</t>
    <phoneticPr fontId="2"/>
  </si>
  <si>
    <t>D3-08</t>
    <phoneticPr fontId="2"/>
  </si>
  <si>
    <t>S1-S10状態遷移と3段階削除モデル</t>
    <phoneticPr fontId="2"/>
  </si>
  <si>
    <t>4状態機械（Active / Disabled / Deleted）。3段階削除: 第1段階=認証遮断（短命AT+RT Rotation、退職後数分〜4hで実質遮断）/ 第2段階=Soft Delete（enabled=false + not_before + Session Revoke + deprovisioned_at必須セット、Phase 1）/ 第3段階=物理削除（deprovisioned_at + retention_years経過後、S3 Glacier Deep Archive → DELETE CASCADE + idmap掃除、Phase 2）。起算はlast_loginではなくdeprovisioned_at。90日バッチはROSA infra PoolのKubernetes CronJobで実行（Lambda不採用）。jit_idp_aliasがidpkc%のもの（Broker shadow）は90日バッチ対象外</t>
    <phoneticPr fontId="2"/>
  </si>
  <si>
    <t>D3-09</t>
    <phoneticPr fontId="2"/>
  </si>
  <si>
    <t>basic-design/03-identity-provisioning-design.md §3.4</t>
    <phoneticPr fontId="2"/>
  </si>
  <si>
    <t>責任分界 L1-L3</t>
    <phoneticPr fontId="2"/>
  </si>
  <si>
    <t>L1本基盤Hygiene=90日バッチ+Soft Delete+Re-Activation+SCIM受信+Health Check（契約明記「JIT顧客のDeprovisioningは最大90日Lag。即時性が必要ならSCIM実装」）/ L2認証（本当の遮断）=顧客IdP責任（本基盤は顧客IdPのユーザ状態を操作しない）/ L3認可=アプリ（USER_DISABLED / USER_REACTIVATED / USER_DEPROVISIONEDをEventBridge→Webhookで通知、アプリはsub主ID+通知受信でRole剥奪）</t>
    <phoneticPr fontId="2"/>
  </si>
  <si>
    <t>D3-10</t>
    <phoneticPr fontId="2"/>
  </si>
  <si>
    <t>SCIM受信は自作Facade</t>
    <phoneticPr fontId="2"/>
  </si>
  <si>
    <t>Keycloak native inbound SCIMは不採用（feature有効でも404、実測）。Metatavu keycloak-scim-serverはPhase 1選定不要。Phase 1はSCIM 2.0を受けてKeycloak Admin APIに写像する自前の外部コンポーネント（SCIM Facade）を採用。エンドポイントはD2（scim-broker.&lt;domain&gt;/t/{tenant_id}/scim/v2）とD1（scim-idp.&lt;domain&gt;/t/{tenant_id}/scim/v2）の2方向。パスにテナントを含めURL+トークンの二重照合。DELETEはSoft Deleteに写像し物理削除しない。GroupsはPhase 2。認証=テナント専用の不透明Bearer（Secrets Manager保管、90日ローテ、URL不一致は403、Rate Limit初期値10 req/s）。externalId突合順序=scim_external_id → username → email（verified+matchByEmail=trueのみ）→ 新規作成</t>
    <phoneticPr fontId="2"/>
  </si>
  <si>
    <t>D3-11</t>
    <phoneticPr fontId="2"/>
  </si>
  <si>
    <t>basic-design/03-identity-provisioning-design.md §3.5</t>
    <phoneticPr fontId="2"/>
  </si>
  <si>
    <t>Re-Activationの条件仕様</t>
    <phoneticPr fontId="2"/>
  </si>
  <si>
    <t>発火点はPost Broker Login Flowが主戦場。enabled=falseで復帰ログイン時、jit→自動enabled=true + reactivated_at + deprovisioned_atクリア / scim or scim_active=true→拒否（SCIM deprovisioningの意味喪失防止、セキュリティ上重大）/ local-admin・app・未知→拒否。USER_REACTIVATEDイベント必須発行+大量発生の異常検知（ITDR）。Phase 1推奨=自動+監査+異常検知、厳格ポリシー顧客はテナント単位で手動切替可</t>
    <phoneticPr fontId="2"/>
  </si>
  <si>
    <t>D3-12</t>
    <phoneticPr fontId="2"/>
  </si>
  <si>
    <t>ゲート追跡表の一元管理</t>
    <phoneticPr fontId="2"/>
  </si>
  <si>
    <t>Phase 1契約前ゲート8項目（B-JIT-LC-1 / B-JIT-RA-1 / B-SCIM-JIT-1 / B-SCIM-JIT-3 / B-JIT-DEL-1 / B-JIT-DEL-2 / B-SCIM-HC-1 / B-TENANT-SWITCH-1・B-TENANT-EXIT-1）を本書§3.7で一元管理し、Waveごとに更新。全項目が未通過で暫定値（デフォルト）で設計継続中</t>
    <phoneticPr fontId="2"/>
  </si>
  <si>
    <t>D3-13</t>
    <phoneticPr fontId="2"/>
  </si>
  <si>
    <t>basic-design/03-identity-provisioning-design.md §3.7</t>
    <phoneticPr fontId="2"/>
  </si>
  <si>
    <t>認可境界は「粗粒度」まで</t>
    <phoneticPr fontId="2"/>
  </si>
  <si>
    <t>本基盤が持つのはL-認可2（組織コンテキスト+エンタイトルメント+機能ロール割当の器）まで。SSOT=ADR-038 Backend DB。JWTには載せずAPI pull（/api/me/context）で配信（ハイブリッドC）。アプリエンタイトルメントはフェデ系テナントにも必要。組織属性は認可に要る部分集合のみ（Minimum Storage）。機能ロール割当は器（opaque per-app文字列）のみ本基盤が持ち、意味の定義・閾値・ルーティング・リソース判定はアプリ</t>
    <phoneticPr fontId="2"/>
  </si>
  <si>
    <t>D3-14</t>
    <phoneticPr fontId="2"/>
  </si>
  <si>
    <t>basic-design/03-identity-provisioning-design.md §3.8</t>
    <phoneticPr fontId="2"/>
  </si>
  <si>
    <t>組織属性の格納と属性正準化の原則</t>
    <phoneticPr fontId="2"/>
  </si>
  <si>
    <t>単純per-user組織属性はKeycloak user attribute（User Profile宣言）: department / manager_ref / job_title / cost_center / organization / division / employment_type / hire_year。関係データ（機能ロール割当・エンタイトルメント・idmap・射影）はBackend DB。SCIM Enterprise拡張のmanagerは参照型のため直写像不可 → manager_ref=同一テナント内external_id値へ正規化する規約。属性正準化の原則: 名前・ID以外の属性は顧客IdPから素通しせず基盤の正準スキーマへ写像or基盤付与し、アプリは正準スキーマのみ受領。source解決3ケース（顧客写像 / 基盤付与 / 不要）はテナント×属性ごとに決める</t>
    <phoneticPr fontId="2"/>
  </si>
  <si>
    <t>D3-15</t>
    <phoneticPr fontId="2"/>
  </si>
  <si>
    <t>統合コンテキスト射影（/api/me/context）</t>
    <phoneticPr fontId="2"/>
  </si>
  <si>
    <t>読取元=ブランドユニット内の統合射影（read model = Option A）を1 read（Keycloak非経由・越境ゼロ）。都度join（Option B）は非IdPユーザーの読取でIdP-KC越境が必要=P-17抵触のため却下。ハイブリッド案2（部分射影: 変化の遅い組織属性・idmapは射影、変化の速いエンタイトルメントはBroker内で都度read）を選択肢として保持。即時剥奪など鮮度が命の操作は射影に頼らずBroker shadow無効化で担保。書込フィード3系統（D2 SCIM直upsert / D1 SCIM・アプリCRUD→EventBridge→upsert / 管理画面authoring直）。EventBridge at-least-once前提の冪等upsert+version最新勝ち。読取p99とストア選定はG-SCIMで実測して確定</t>
    <phoneticPr fontId="2"/>
  </si>
  <si>
    <t>D3-16</t>
    <phoneticPr fontId="2"/>
  </si>
  <si>
    <t>非IdPテナントのユーザCRUD/削除モデル</t>
    <phoneticPr fontId="2"/>
  </si>
  <si>
    <t>mode A（管理画面=SoT）単独を採用。テナント管理者がユーザ一覧/編集画面から作成・編集・削除。mode B（HRIS/D1 SCIM）・mode C（アプリ発CRUD）・非IdPの90日休眠バッチはPhase 1対象外。削除はoutboxパターンで確実伝播（①IdP-KC Soft Delete → ②projection deprovisioned + user.deprovisioned outbox行をauthz DBの1 Txで書く → ③outboxリレーがEventBridgeへ必達送信 → ④中央shadow制御LambdaがBroker shadowをenabled=false + not_before + session revoke、冪等）。遮断窓=通常数秒 / worst=リコンサイル間隔（数分）、発行済みATは最大30分有効。安全網として「IdP-KC deprovisioned_at有り ↔ Broker shadow enabled=true」を数分間隔で突合</t>
    <phoneticPr fontId="2"/>
  </si>
  <si>
    <t>D3-17</t>
    <phoneticPr fontId="2"/>
  </si>
  <si>
    <t>既定発行クレームの確定（Stage 1 + sid）</t>
    <phoneticPr fontId="2"/>
  </si>
  <si>
    <t>U5 トークン・認可</t>
    <phoneticPr fontId="2"/>
  </si>
  <si>
    <t>全アプリClientの既定発行= Stage 1の7クレーム（iss/sub/aud/azp/tenant_id/exp/iat）+ sid（Stage 1.5）に確定。sid既定発行を正式決定しADR-030の宙吊りを解消。sidはBack-Channel Logoutの突合キーで認可判定には使用禁止。Keycloakが付すjti/typ/scope/session_stateは契約外。Lightweight Access Token化はPhase 1では行わない</t>
    <phoneticPr fontId="2"/>
  </si>
  <si>
    <t>U5 §5.1.1</t>
    <phoneticPr fontId="2"/>
  </si>
  <si>
    <t>basic-design/05-token-session-authz-design.md</t>
    <phoneticPr fontId="2"/>
  </si>
  <si>
    <t>Stage 2 / Stage 3への昇格規約</t>
    <phoneticPr fontId="2"/>
  </si>
  <si>
    <t>昇格はRealm一括ではなくClient（アプリ）単位。Stage 2（scope/client_id/auth_time/jti）はToken Exchange参加・jti監査要件・ステップアップMFA利用のいずれか。Stage 3（roles）は管理系Clientのみで業務アプリへのroles発行は不可。acr/amrは常時発行せずOptional Client Scope『acr-step-up』でのみ発行</t>
    <phoneticPr fontId="2"/>
  </si>
  <si>
    <t>U5 §5.1.2</t>
    <phoneticPr fontId="2"/>
  </si>
  <si>
    <t>顧客拡張クレームの規約（ext_）</t>
    <phoneticPr fontId="2"/>
  </si>
  <si>
    <t>命名=ext_&lt;tenant&gt;_&lt;name&gt; または ext_&lt;name&gt;。該当テナント専用のOptional Client Scopeに集約しDefault Scopeへの追加禁止。PII審査必須（氏名・メール・電話・住所等の直接PIIは拒否）。供給元はUser Profile宣言済み属性のみ。拡張込みでAccess Token ≤ 1KB（base64後）を上限、groups等の可変長配列は原則拒否</t>
    <phoneticPr fontId="2"/>
  </si>
  <si>
    <t>U5 §5.1.3</t>
    <phoneticPr fontId="2"/>
  </si>
  <si>
    <t>PII非搭載原則の検証チェックリスト（C-1〜C-7）</t>
    <phoneticPr fontId="2"/>
  </si>
  <si>
    <t>C-1 AT/ID TokenにPII系クレームが含まれない / C-2 アプリClientのDefault Scopeにprofile・emailが付いていない / C-3 ライフサイクル属性がJWTに載っていない / C-4 新規クレームが直接・準識別子でない（external_id生値はJWT非搭載）/ C-5 トークンサイズ≤1KB / C-6 ログ・APMにトークン平文が出ない / C-7 userinfoがPII提供の唯一の窓口。①Mapper追加時レビュー ②CI（realm設定lint）③四半期監査の3箇所で運用</t>
    <phoneticPr fontId="2"/>
  </si>
  <si>
    <t>U5 §5.1.4</t>
    <phoneticPr fontId="2"/>
  </si>
  <si>
    <t>TTL体系の最終値とKeycloak設定マッピング</t>
    <phoneticPr fontId="2"/>
  </si>
  <si>
    <t>Access Token 30分 / ID Token 30分（ATと同一、Keycloakは共用）/ SSO Session Idle 1h / SSO Session Max 24h / Revoke Refresh Token=ON（Rotation有効）/ Refresh Token Max Reuse=0（Reuse Detection、再利用でトークンファミリー全停止）/ Client Session Idle・Maxは未設定（SSOセッション従属）/ offline_access はPhase 1無効 / 署名=ES256 / RP側の許容clock skew ≤60秒</t>
    <phoneticPr fontId="2"/>
  </si>
  <si>
    <t>U5 §5.2.1</t>
    <phoneticPr fontId="2"/>
  </si>
  <si>
    <t>「RT 30日」の解釈確定</t>
    <phoneticPr fontId="2"/>
  </si>
  <si>
    <t>P-09の「RT 30日」は設定可能上限（レンジ）を指すと解釈を確定。KeycloakではRTの寿命はSSO Session Idle/Maxに従属するためRT単独30日は成立しない。Phase 1のRT実効寿命=アイドル1hごとのRotation前提で最大24h（絶対）。NIST AAL2と完全整合し「絶対24h」と「RT 30日」の見かけの矛盾を解消。30日級の長期ログインはOffline Tokenのみで実現可能だがPhase 1無効、必要時はアプリ単位の個別審査でPhase 2以降に解禁</t>
    <phoneticPr fontId="2"/>
  </si>
  <si>
    <t>U5 §5.2.2</t>
    <phoneticPr fontId="2"/>
  </si>
  <si>
    <t>テナント別TTL短縮オプション（5-15分）</t>
    <phoneticPr fontId="2"/>
  </si>
  <si>
    <t>Keycloak標準のClient単位Access Token Lifespan overrideで実現。Client単位overrideはテナント単位ではないため短縮対象テナントには専用Clientを発行する。SSO Session Idle短縮（15-30分）も同一テナント判定で適用可。規制/PCIテナントの絶対セッション短縮（24h→8h）はSSO Session MaxがRealm単位のため専用Realm（ADR-017規制例外）で実現。カスタムTokenProvider SPI方式は不採用</t>
    <phoneticPr fontId="2"/>
  </si>
  <si>
    <t>U5 §5.2.3</t>
    <phoneticPr fontId="2"/>
  </si>
  <si>
    <t>ゾンビウィンドウの侵害シナリオ（Z-1〜Z-5）</t>
    <phoneticPr fontId="2"/>
  </si>
  <si>
    <t>ATはStateless JWTのため失効操作後も最大30分のゾンビ窓が残る。Z-1退職者SCIM削除=≤30分 / Z-2 RT盗難=Reuse Detectionでファミリー全停止（即時）/ Z-3管理者強制ログアウト=≤30分 / Z-4 ITDR L4大規模侵害=not-beforeはRPローカル検証に伝播せず≤30分 / Z-5 AT単体盗難=構造的残余リスク（Phase 2 DPoPで完全防御）。契約明示事項として顧客説明に用いる</t>
    <phoneticPr fontId="2"/>
  </si>
  <si>
    <t>U5 §5.2.4</t>
    <phoneticPr fontId="2"/>
  </si>
  <si>
    <t>Token Exchange 適用パターンの限定</t>
    <phoneticPr fontId="2"/>
  </si>
  <si>
    <t>Phase 1で有効化するのはPattern 2（Audience縮小/Downstream Token）とPattern 3（Scope縮小）の2つに限定。Pattern 5（Delegation/act連鎖）とPattern 6/7（クロスドメイン・エッジ橋渡し）はPhase 2。Pattern 4（Impersonation）は監査追跡性を損なうため不採用（テスト環境限定・本番禁止）。aud跨ぎの素通し転送は禁止。同一信頼境界内の複数API呼び出しはTEではなくaud-* scopeの複数Default付与で解決するのが第一選択</t>
    <phoneticPr fontId="2"/>
  </si>
  <si>
    <t>U5 §5.3.1</t>
    <phoneticPr fontId="2"/>
  </si>
  <si>
    <t>audience設計と命名規約</t>
    <phoneticPr fontId="2"/>
  </si>
  <si>
    <t>Token Exchangeのaudienceパラメータ値=aud-&lt;api&gt; scopeが埋めるAPI識別子と同一の名前空間（TE用に別体系を作らない）。aud値の命名は短名（Client IDと同一の&lt;api名&gt;、例 expense-api）を採用しURI形式は不採用。交換後トークンのクレームはStage 1 + sidを維持（sub=元ユーザ、azp=交換実行サービス）</t>
    <phoneticPr fontId="2"/>
  </si>
  <si>
    <t>U5 §5.3.2</t>
    <phoneticPr fontId="2"/>
  </si>
  <si>
    <t>Token Exchange の Client設定方針</t>
    <phoneticPr fontId="2"/>
  </si>
  <si>
    <t>Keycloak Standard Token Exchange（V2）のみ使用しLegacy(V1)は禁止。交換実行ClientはConfidential必須（Public ClientのTE禁止）。有効化はClientごとに個別（Realm一括禁止）でaud-* scope付与のホワイトリストとして表現。scopeは縮小のみ許可（要求scope ⊆ 元AT scope）。交換後AT TTL=15分、Refresh Tokenは発行しない。TOKEN_EXCHANGEイベントを監査ログ必須収集。IdP-KC側でのTEは提供しない</t>
    <phoneticPr fontId="2"/>
  </si>
  <si>
    <t>U5 §5.3.3</t>
    <phoneticPr fontId="2"/>
  </si>
  <si>
    <t>RT Revocation（アプリ・ユーザ起点）</t>
    <phoneticPr fontId="2"/>
  </si>
  <si>
    <t>RFC 7009準拠のRevocationエンドポイントを全RPに開放。RPはログアウト時に保持中のRTをrevokeしてから破棄することをRP実装ガイドの必須項目とする。ATのrevokeは受理されるがローカル検証RPには伝播しないため、RPには「AT revokeに依存せず短TTLを前提に設計せよ」と案内</t>
    <phoneticPr fontId="2"/>
  </si>
  <si>
    <t>U5 §5.4.1</t>
    <phoneticPr fontId="2"/>
  </si>
  <si>
    <t>管理者強制ログアウトの3粒度</t>
    <phoneticPr fontId="2"/>
  </si>
  <si>
    <t>①個別ユーザ=Admin API users/{id}/logout（全セッション削除→RT即死+L4 Back-Channel Logout発火）、入口は管理画面Backend経由のみでテナント管理者は自テナントに限定 ②テナント単位=対象Orgメンバーへの一括logout（冪等・再開可能なジョブ）③全体（緊急）=ITDR L4手順、基盤on-callのみ。全操作を監査ログ必須（操作者/対象/理由コード/粒度）。パスワード変更時の全セッション無効化は自動切断をデフォルト</t>
    <phoneticPr fontId="2"/>
  </si>
  <si>
    <t>U5 §5.4.2</t>
    <phoneticPr fontId="2"/>
  </si>
  <si>
    <t>ITDR L4連動（全Token Revoke）</t>
    <phoneticPr fontId="2"/>
  </si>
  <si>
    <t>①not-before push（Realmまたは対象Client単位）で発火時刻以前発行の全トークンを無効化 ②対象範囲の全セッション削除（RT即死+L4一斉送信）③限界の明示=ローカル署名検証のみのRPにはnot-beforeが伝播せずAT残寿命≤30分のゾンビ窓が残るため、L4発火Runbookに「30分間の追加監視」を含める ④発火判定・自動化閾値はU7のRisk Engine設計に従う。本書は実行API面の確定のみ</t>
    <phoneticPr fontId="2"/>
  </si>
  <si>
    <t>U5 §5.4.3</t>
    <phoneticPr fontId="2"/>
  </si>
  <si>
    <t>ログアウト4レイヤーの採用範囲</t>
    <phoneticPr fontId="2"/>
  </si>
  <si>
    <t>L1ローカル=Must（Cookie/トークンストア破棄+保持RTのrevoke）/ L2 RP-Initiated Logout=Must（id_token_hint必須、post_logout_redirect_uriは完全一致登録・ワイルドカード禁止）/ L3フェデ連動=既定OFF・テナントオプション、ただしidpkc-oidc01（自社IdP-KC）は既定ON / L4 Back-Channel Logout=Must（コア層OIDCアプリ標準）/ L4 Front-Channel Logout=不採用。既定の到達範囲=L1+L2+L4+IdP-KC連鎖（顧客IdPセッションは維持=顧客責任）</t>
    <phoneticPr fontId="2"/>
  </si>
  <si>
    <t>U5 §5.5.1</t>
    <phoneticPr fontId="2"/>
  </si>
  <si>
    <t>SAML SP（ServiceNow）へのSLO</t>
    <phoneticPr fontId="2"/>
  </si>
  <si>
    <t>ServiceNowへのSAML SLOはPhase 1では実装しない（オプション扱い）。根拠=SAML SLOは成功率60-80%・SOAP実装複雑で1 SPの無応答がチェーンを壊す。SNセッションはSN側アイドルタイムアウト+次回アクセス時のSAML再認証で収束し、L1 SCIM enabled=false→SAML認証拒否の遮断経路が既にある。テナントが要求した場合はSP-initiated SLOのみ検討し詳細設計はU10へ</t>
    <phoneticPr fontId="2"/>
  </si>
  <si>
    <t>U5 §5.5.2</t>
    <phoneticPr fontId="2"/>
  </si>
  <si>
    <t>SPA直構成の限界の明示</t>
    <phoneticPr fontId="2"/>
  </si>
  <si>
    <t>Back-Channel Logoutはサーバ間POSTのためバックエンドを持たないSPA直構成はL4通知を受信できない。該当アプリは①AT 30分の自然失効+次回Refresh失敗で最大30分遅れの切断を許容するか、②BFF構成へ移行してL4受信を実装するかのいずれかを選択。OIDC Session Management（iframe polling）は3rd party cookie制約により推奨しない。シェア端末を扱うアプリはBFF+L4を必須</t>
    <phoneticPr fontId="2"/>
  </si>
  <si>
    <t>U5 §5.5.3</t>
    <phoneticPr fontId="2"/>
  </si>
  <si>
    <t>Back-Channel Logoutの実装確定</t>
    <phoneticPr fontId="2"/>
  </si>
  <si>
    <t>各アプリClientにbackchannel_logout_urlを登録しBackchannel Logout Session Required=ON（Logout Tokenにsidを含める）。発火点=L2 RP-Initiated / 管理者強制ログアウト / ITDR L4のすべて。RP受信実装の必須項目=①POST /backchannel-logout ②Logout Token検証（署名/iss/aud/iat/events/nonceが無いこと）③sidでローカルセッション索引を破棄（sid不在時はsub全セッション破棄にフォールバック）④2xx応答・冪等実装。送信失敗時はベストエフォート（再送保証なし）で最終防衛線はTTL</t>
    <phoneticPr fontId="2"/>
  </si>
  <si>
    <t>U5 §5.5.4</t>
    <phoneticPr fontId="2"/>
  </si>
  <si>
    <t>RP実装ガイド: 認可リクエスト（全アプリ必須）</t>
    <phoneticPr fontId="2"/>
  </si>
  <si>
    <t>response_type=codeのみ（Implicit/Hybrid禁止）。state（128bit以上乱数）+ nonce + PKCE S256を必須。Public Client（SPA/モバイル）はPKCE必須、ConfidentialでもPKCE推奨。state/nonce/code_verifierはHttpOnly Cookie or sessionStorage（BFFはサーバセッション）でTTL 10分・1回検証で即破棄。Callbackでstate不一致は400拒否。issレスポンスパラメータ検証（mix-up対策）を推奨項目に含める</t>
    <phoneticPr fontId="2"/>
  </si>
  <si>
    <t>U5 §5.6.1</t>
    <phoneticPr fontId="2"/>
  </si>
  <si>
    <t>RP実装ガイド: BFF vs SPA直の使い分け</t>
    <phoneticPr fontId="2"/>
  </si>
  <si>
    <t>既定推奨はBFF（トークンはサーバ側保管、ブラウザにはHttpOnly+Secure+SameSite=Laxのセッションcookieのみ、L4受信可、CSRFはDouble Submit Cookie必須）。SPA直は制約の明示同意（アプリオーナー）を条件に許容（AT/RTはMemory保管のみ、localStorage/Cookie禁止、L4受信不可、CSP+escape+DOMPurify必須）。適用目安=機微データ・シェア端末・長時間業務はBFF、社内向け読み取り中心の軽量SPAはSPA直</t>
    <phoneticPr fontId="2"/>
  </si>
  <si>
    <t>U5 §5.6.2</t>
    <phoneticPr fontId="2"/>
  </si>
  <si>
    <t>U5 §5.6.3</t>
    <phoneticPr fontId="2"/>
  </si>
  <si>
    <t>RP実装ガイド: CORS / SameSite</t>
    <phoneticPr fontId="2"/>
  </si>
  <si>
    <t>APIのAccess-Control-Allow-Originは具体的RP originの許可リスト（*禁止）。Bearer方式ではAccess-Control-Allow-Credentials=false。BFFセッションCookieはHttpOnly; Secure; SameSite=Laxを既定（Strictはフェデリダイレクト帰還で切れるためLax、CSRFトークン併用で完全防御）。GETで状態変更するAPIの実装禁止</t>
    <phoneticPr fontId="2"/>
  </si>
  <si>
    <t>U5 §5.6.4</t>
    <phoneticPr fontId="2"/>
  </si>
  <si>
    <t>RP実装ガイド: ログアウト・トークンライフサイクル</t>
    <phoneticPr fontId="2"/>
  </si>
  <si>
    <t>ログアウト時はRT revoke → ローカル破棄 → L2 RP-Initiated（id_token_hint付き）の順。L4受信エンドポイント実装はBFF/SSR必須。Refresh失敗（invalid_grant）はセッション終了として再ログイン誘導（Reuse Detection発火時も同じ経路に収束）</t>
    <phoneticPr fontId="2"/>
  </si>
  <si>
    <t>U5 §5.6.5</t>
    <phoneticPr fontId="2"/>
  </si>
  <si>
    <t>RP実装ガイド: 認可失敗（403）→ Sorry誘導</t>
    <phoneticPr fontId="2"/>
  </si>
  <si>
    <t>アプリは403を検知したらlaunchpad.&lt;domain&gt;/sorry?app=&lt;カタログID&gt;&amp;reason=&lt;code&gt;へredirectする。reasonコードは固定辞書のみ（not_entitled / tenant_not_allowed / stepup_required 等、SSOTはU4）。自由文パラメータの付与は禁止（インジェクション・情報漏えい対策）。エッジ403→302集約が他組織に受諾された後も本規約は廃止しない（二重化）</t>
    <phoneticPr fontId="2"/>
  </si>
  <si>
    <t>U5 §5.6.6</t>
    <phoneticPr fontId="2"/>
  </si>
  <si>
    <t>専用API層のスコープ命名規約とPhase 1セット</t>
    <phoneticPr fontId="2"/>
  </si>
  <si>
    <t>命名=idm:&lt;resource&gt;:&lt;action&gt;（小文字・コロン区切り・複数形リソース）。Phase 1セット= idm:users:read / write / deactivate / reactivate、idm:idmap:read / write、idm:context:read、idm:assignments:write、idm:sessions:revoke、idm:orgs:read。粒度は「リソース×操作」の2軸のみとし行レベル制約はスコープで表現しない（スコープ爆発の防止）。物理削除スコープ（idm:users:delete）はPhase 1では定義しない</t>
    <phoneticPr fontId="2"/>
  </si>
  <si>
    <t>U5 §5.8.1</t>
    <phoneticPr fontId="2"/>
  </si>
  <si>
    <t>専用API層のClient発行・テナント制約・トークン設定</t>
    <phoneticPr fontId="2"/>
  </si>
  <si>
    <t>Client発行単位=利用アプリごとに1 Confidential Client（Service Account有効・Standard Flow無効、共有Client禁止）。スコープはOptional Client Scopeとして定義しアプリごとに必要最小セットのみ付与。テナント制約=Client属性allowed_tenants（カンマ区切りOrg alias）をHardcoded Claim MapperでATに焼き込み、API層は全リクエストで対象リソースのtenant ∈ allowed_tenants を強制（スコープ=リソース×操作、テナント境界=クレームの2層認可）。aud=idm-api、AT TTL=15分、azp単位のレート制限</t>
    <phoneticPr fontId="2"/>
  </si>
  <si>
    <t>U5 §5.8.2</t>
    <phoneticPr fontId="2"/>
  </si>
  <si>
    <t>ログインUX = Identifier-First 2段階</t>
    <phoneticPr fontId="2"/>
  </si>
  <si>
    <t>U4 認証体験・UX</t>
    <phoneticPr fontId="2"/>
  </si>
  <si>
    <t>画面1は識別子入力のみ（パスワード欄なし・接続先ボタンなし）。IDとメールを同一フィールドで受けHRDが判別。接続先一覧は恒久的に非表示（1000+件では性能上成立しないため必須条件）。画面1に「ここではパスワードを入力しません」の1行説明を常設し、リダイレクト直前の中間画面は設けない。統合1画面案は98%の利用者に無関係なPW欄を見せフィッシング教育上有害なため不採用</t>
    <phoneticPr fontId="2"/>
  </si>
  <si>
    <t>D-U4-01</t>
    <phoneticPr fontId="2"/>
  </si>
  <si>
    <t>basic-design/04-auth-ux-design.md §4.1</t>
    <phoneticPr fontId="2"/>
  </si>
  <si>
    <t>HRD失敗時のフォールバックUX</t>
    <phoneticPr fontId="2"/>
  </si>
  <si>
    <t>利用者の存在有無を漏らさない応答同一化を全ケースで守る。①所属不在/接続なし=無言でPW画面へ+汎用エラー+書式ヒント ②メールのドメイン未登録=同上 ③ハイフンなしの素のID=PW画面（運用者の正規経路）+恒常ヒント ④同一所属に複数接続=所属限定セレクター（displayName昇順）。ダミー遅延は入れずフォーム描画コストに吸収。「組織が見つかりません」等の表示は禁止</t>
    <phoneticPr fontId="2"/>
  </si>
  <si>
    <t>D-U4-02</t>
    <phoneticPr fontId="2"/>
  </si>
  <si>
    <t>basic-design/04-auth-ux-design.md §4.1.3</t>
    <phoneticPr fontId="2"/>
  </si>
  <si>
    <t>ブランディング = パターンA（統一テーマ1本）</t>
    <phoneticPr fontId="2"/>
  </si>
  <si>
    <t>基盤統一のニュートラルテーマ1本のみ保守。テナント別ロゴ・配色はPhase 1不採用（画面1はテナント未確定で原理的に不可能、HRD解決後も出さない）。テナント識別はテキスト表示のみ。全カスタム文言はmessagesプロパティに集約しFTL直書き禁止。標準のCSRF hiddenフィールドとsession_codeを削除・改変しないことをテーマPRレビュー必須項目に。アプリ別テーマはA'移行時に解禁、顧客別はPhase 2の顧客別URL方式で受ける</t>
    <phoneticPr fontId="2"/>
  </si>
  <si>
    <t>basic-design/04-auth-ux-design.md §4.2</t>
    <phoneticPr fontId="2"/>
  </si>
  <si>
    <t>MFA UX 4ケース（2026-07-30 D-17反映）</t>
    <phoneticPr fontId="2"/>
  </si>
  <si>
    <t>ケースA'=外部フェデ利用者（顧客IdP保有テナントの全員＋そのテナント管理者）は基盤側追加画面ゼロ、mfa_indicatorの検証・記録・監視のみでブロックも補完もしない（MFA実施は顧客IdP責任＋契約担保）/ ケースB=自社受け皿収容の利用者（非IdPテナントの一般利用者＋テナント管理者）にWebAuthn優先、実施場所は受け皿側のログイン画面 / ケースC=同対象でWebAuthn不可時にTOTP（6桁自動送信はしない）/ ケースD=基盤運用者のみPW+WebAuthn必須（TOTPへの緩和不可）。SMS OTPは不採用確定。二重MFA回避が本設計の中核価値</t>
    <phoneticPr fontId="2"/>
  </si>
  <si>
    <t>basic-design/04-auth-ux-design.md §4.3.1</t>
    <phoneticPr fontId="2"/>
  </si>
  <si>
    <t>MFAエンロールフロー（初回登録UX）</t>
    <phoneticPr fontId="2"/>
  </si>
  <si>
    <t>ケースB/C対象者は初回ログイン時にエンロール強制（猶予期間なし）。遷移=登録案内（所要1分目安）→WebAuthn登録（認証器名は自動命名、利用者入力を必須にしない）→使えない場合のフォールバックリンクでTOTP登録（QR+手動キー併記・コピーボタン付き）→Recovery Codes発行→着地。猶予期間案は「MFA漏れ利用者が常在しコンプラ主張が崩れる」ため不採用</t>
    <phoneticPr fontId="2"/>
  </si>
  <si>
    <t>U4 §4.3.2</t>
    <phoneticPr fontId="2"/>
  </si>
  <si>
    <t>basic-design/04-auth-ux-design.md §4.3.2</t>
    <phoneticPr fontId="2"/>
  </si>
  <si>
    <t>Recovery Codes（予備コード）</t>
    <phoneticPr fontId="2"/>
  </si>
  <si>
    <t>基盤側クレデンシャルを持つ全利用者（ケースB/C/D）に標準機能で発行。エンロール完了直後に自動発火し一括表示＋ダウンロード/印刷/コピー。ハッシュ化保存。残3以下でバナー再発行誘導、全消費時は再発行を強制。紛失時の自己救済不能ケースはケースB/C=顧客テナント管理者が管理画面からリセット、ケースD=自社運用ランブック（本人確認手順込み）。リセットは通常操作ではなく管理者の一時昇格承認経路のみ</t>
    <phoneticPr fontId="2"/>
  </si>
  <si>
    <t>basic-design/04-auth-ux-design.md §4.3.3</t>
    <phoneticPr fontId="2"/>
  </si>
  <si>
    <t>ステップアップ再認証UX</t>
    <phoneticPr fontId="2"/>
  </si>
  <si>
    <t>通常ログインと明確に区別された専用文言画面。AAL2=「操作の確認のため、追加の本人確認を行います」でWebAuthn/TOTP・max_age 900秒 / AAL3=同文言でフィッシング耐性のある方式のみ（TOTPは選択肢に出さない）・max_age 300秒。再認証後は元の操作画面へ復帰（操作コンテキスト保持はアプリ責務）。「再ログイン」「ログインし直してください」という表現を全画面で禁止。max_age超過時は「最後の確認から時間が経過しました」（「セッション切れ」と言わない）。外部フェデ利用者はステップアップ対象外</t>
    <phoneticPr fontId="2"/>
  </si>
  <si>
    <t>D-U4-05</t>
    <phoneticPr fontId="2"/>
  </si>
  <si>
    <t>basic-design/04-auth-ux-design.md §4.3.4</t>
    <phoneticPr fontId="2"/>
  </si>
  <si>
    <t>Landing = Pattern 1（許可サービスのみ表示）</t>
    <phoneticPr fontId="2"/>
  </si>
  <si>
    <t>Post-loginサービス選択画面を独立SPA（launchpad）として構築。許可されたサービスのみタイル表示＋申請可能セクション。表示判定は通行証のロール直読ではなく管理画面Backendのエンタイトルメント照会API（/api/me/context、フェデ系・非IdP系を問わず全テナント共通契約）。業務アプリにロール情報を発行しない決定と整合。アプリ側の認可判定はPattern 1でも必須（省略は誤った安心感）。お気に入り・最近使ったはPhase 2</t>
    <phoneticPr fontId="2"/>
  </si>
  <si>
    <t>D-U4-06</t>
    <phoneticPr fontId="2"/>
  </si>
  <si>
    <t>basic-design/04-auth-ux-design.md §4.4</t>
    <phoneticPr fontId="2"/>
  </si>
  <si>
    <t>Sorry = 基盤側SPA主実装</t>
    <phoneticPr fontId="2"/>
  </si>
  <si>
    <t>主実装=launchpad SPA内ルート/sorry（同一codebase・同一配信）。主経路=アプリが403検知時に/sorryへredirectする規約を受け取り側実装ガイドの標準要件に。追加層=エッジでの403→302集約は境界が他組織管理のため実装を保証できず、要求仕様（別紙）に降格。受諾されてもアプリ側redirect規約は廃止しない（二重化）。表示必須=認証エラーと誤認させない見出し・利用者名とテナント名・対象サービス名・理由コードの固定文言・次のアクション・リクエストIDと時刻。表示禁止=他テナント情報・スタックトレース・内部システム名・生トークン・内部ロール名</t>
    <phoneticPr fontId="2"/>
  </si>
  <si>
    <t>D-U4-07</t>
    <phoneticPr fontId="2"/>
  </si>
  <si>
    <t>basic-design/04-auth-ux-design.md §4.5</t>
    <phoneticPr fontId="2"/>
  </si>
  <si>
    <t>アクセシビリティ = WCAG 2.2 AA + JIS AA</t>
    <phoneticPr fontId="2"/>
  </si>
  <si>
    <t>全UI接点10画面を対象にWCAG 2.2 AA + JIS X 8341-3:2016 AA準拠。axe-coreをPRごとに実行しAA違反でmergeブロック（テーマは実画面をテストコンテナで起動して検査、FTL静的検査では不足）。3層検証=L1自動CI / L2手動（NVDA・VoiceOver、月1+Major改修時）/ L3当事者テスト（年1回）。拘束項目=識別子欄にautocomplete=username・TOTPにone-time-code、ステップアップで識別子を再入力させない、ヒント/エラーはrole=alert+aria-live、タイムアウトは無言の白画面禁止、ボタン44×44px以上、コントラスト・フォーカスリングはデザイントークン1セットを共通化</t>
    <phoneticPr fontId="2"/>
  </si>
  <si>
    <t>D-U4-08</t>
    <phoneticPr fontId="2"/>
  </si>
  <si>
    <t>basic-design/04-auth-ux-design.md §4.6</t>
    <phoneticPr fontId="2"/>
  </si>
  <si>
    <t>ディープリンク・着地の原則</t>
    <phoneticPr fontId="2"/>
  </si>
  <si>
    <t>redirect_uri優先（ディープリンク尊重）。認可要求に戻り先がない基盤起点ログインのみLandingに着地。接続先指定付きディープリンク（ポータル・QR・招待メール用途）は画面1をスキップする正規経路として許容し、指定が不正な場合は標準動作で画面1に降格</t>
    <phoneticPr fontId="2"/>
  </si>
  <si>
    <t>basic-design/04-auth-ux-design.md §4.1.4</t>
    <phoneticPr fontId="2"/>
  </si>
  <si>
    <t>テーマの構成と保守範囲</t>
    <phoneticPr fontId="2"/>
  </si>
  <si>
    <t>カスタマイズ対象は10ファイルに限定（識別子/PW画面・TOTP認証・TOTPエンロール・WebAuthn認証・WebAuthn登録・Recovery Codes発行/入力・所属セレクター・エラー・情報）。それ以外は標準テーマ継承のままとし製品バージョンアップ時の差分確認対象を最小化。アクセシビリティ要件をテーマの受け入れ基準に組み込む。アカウント設定画面は標準ベース＋文言/ロゴのみを暫定</t>
    <phoneticPr fontId="2"/>
  </si>
  <si>
    <t>basic-design/04-auth-ux-design.md §4.2.3</t>
    <phoneticPr fontId="2"/>
  </si>
  <si>
    <t>暗号鍵の命名規則と配置（6アカウント体系への写像）</t>
    <phoneticPr fontId="2"/>
  </si>
  <si>
    <t>U7 セキュリティ</t>
    <phoneticPr fontId="2"/>
  </si>
  <si>
    <t>3階層モデル（L1基盤共通/L2アカウント別/L3テナント別）を維持し alias/&lt;scope&gt;-&lt;purpose&gt;[-mrk] で確定。Phase 1初期セット10種を定義（監査ログ・組織証跡・Break-Glass・Broker Aurora・IdP-KC Aurora〔PWハッシュ保有〕・idmap・ITDR・Secrets・S3・テナント別）。IdP-KC侵害時にBroker側の鍵へ到達できないことをアカウント分割で構造保証。他組織アカウントへの鍵共有はゼロ。全鍵MRK化は漏洩影響を東京に限定する観点で不採用</t>
    <phoneticPr fontId="2"/>
  </si>
  <si>
    <t>D-U7-01</t>
    <phoneticPr fontId="2"/>
  </si>
  <si>
    <t>basic-design/07-security-compliance-design.md §7.1.1</t>
    <phoneticPr fontId="2"/>
  </si>
  <si>
    <t>鍵ポリシー — 管理者/利用者/監査者の職務分離</t>
    <phoneticPr fontId="2"/>
  </si>
  <si>
    <t>全鍵の Key Policy を3ロール構造で統一しTerraformテンプレート化。管理者=Security Lead+Infra Leadの2名（多要素認証必須、暗号化操作権限は付与しない、JIT昇格経由のみ）/ 利用者=サービスRole（IRSA）のみで人間への付与禁止・対象鍵限定 / 監査者=読取専用。Key Custodian Agreement は書面で法務レビュー、離職時は即日削除。鍵削除・ポリシー変更・無効化は高重要度で即時通知</t>
    <phoneticPr fontId="2"/>
  </si>
  <si>
    <t>D-U7-02</t>
    <phoneticPr fontId="2"/>
  </si>
  <si>
    <t>basic-design/07-security-compliance-design.md §7.1.2</t>
    <phoneticPr fontId="2"/>
  </si>
  <si>
    <t>JWT署名鍵はKeycloak標準管理 + 90日更新周期</t>
    <phoneticPr fontId="2"/>
  </si>
  <si>
    <t>署名鍵はKeycloak標準のRealm Keysで管理し暗号管理サービスには持ち込まない。90日で新鍵に切替、旧鍵は検証専用で30日並走（受け取り側キャッシュTTLを上回ることを保証）。緊急時は並走なしで即時無効化＋全体無効化操作＋受け取り側へ再取得の注意喚起。暗号管理サービスでの署名は該当機能がなく開発と遅延が過大なためPhase 1では見送り（金融要件発生時にPhase 2再評価）</t>
    <phoneticPr fontId="2"/>
  </si>
  <si>
    <t>D-U7-03</t>
    <phoneticPr fontId="2"/>
  </si>
  <si>
    <t>basic-design/07-security-compliance-design.md §7.1.3</t>
    <phoneticPr fontId="2"/>
  </si>
  <si>
    <t>不正検知のパイプライン構成と配置</t>
    <phoneticPr fontId="2"/>
  </si>
  <si>
    <t>イベント送出専任の仕組みでイベントバスへ送り、Broker側に判定エンジンと履歴DBを一元配置。IdP-KC側のイベント（ローカルパスワードログインが主戦場）はクロスアカウントで送出のみ。対応操作はBroker内で完結させ、IdP-KCへの逆流経路は作らない（片方向原則の維持）。判定エンジンの二重配置は履歴が分裂し将来の相関分析が不能になるため不採用。監視製品連携は後続フェーズ</t>
    <phoneticPr fontId="2"/>
  </si>
  <si>
    <t>D-U7-04</t>
    <phoneticPr fontId="2"/>
  </si>
  <si>
    <t>basic-design/07-security-compliance-design.md §7.2.1</t>
    <phoneticPr fontId="2"/>
  </si>
  <si>
    <t>Phase 1の検知範囲と閾値初期値</t>
    <phoneticPr fontId="2"/>
  </si>
  <si>
    <t>漏洩パスワード照合と総当たり検知の2領域に限定。①アカウント単位=連続5失敗で30分ロック（恒久ロックはサービス妨害化を防ぐため不使用）②横断パターン=同一送信元から10分で10利用者以上の失敗で警戒、30ユーザ以上で上位通知（Phase 1aは通知のみ）③漏洩パスワード=ログイン成功時とパスワード設定変更時に外部照合し、ヒット時は強制再認証＋変更強制/設定拒否。照合は先頭5桁のみ送信する方式で平文は送らない。外部API障害時は照合をスキップしログイン可用性を優先。リスク帯を4段階で定義</t>
    <phoneticPr fontId="2"/>
  </si>
  <si>
    <t>basic-design/07-security-compliance-design.md §7.2.2</t>
    <phoneticPr fontId="2"/>
  </si>
  <si>
    <t>誤検知の段階活性化運用</t>
    <phoneticPr fontId="2"/>
  </si>
  <si>
    <t>Phase 1a（〜3ヶ月）は検知・通知のみ（例外は漏洩パスワードヒット時の変更強制）。Phase 1bで誤検知率5%未満を実測条件として自動対応をシグナル単位で有効化。検証済み送信元の除外リストはコード管理＋四半期棚卸し。災害復旧訓練の実施ウィンドウ中は一部検知を通知のみに自動降格し、総当たり検知の感度は一段引き上げ。誤ロック解除はテナント管理者または基盤運用者が行い操作を監査記録。リリース時から全自動遮断は誤検知多発が確実なため不採用</t>
    <phoneticPr fontId="2"/>
  </si>
  <si>
    <t>D-U7-06</t>
    <phoneticPr fontId="2"/>
  </si>
  <si>
    <t>basic-design/07-security-compliance-design.md §7.2.3</t>
    <phoneticPr fontId="2"/>
  </si>
  <si>
    <t>ログの秘匿情報マスキング（収集段＋保存後スキャンの2段構え）</t>
    <phoneticPr fontId="2"/>
  </si>
  <si>
    <t>収集段マスクを主とし保存後スキャンで漏れを検知。収集は全ノード配置の軽量収集役→集約役（マスク処理を集中、Keycloak用ノードとは分離配置しCPUを食わせない）。マスキング辞書14項目を定義（旧来方式の応答/要求/中継状態、認可コード、検証子、各種トークン、セッションCookie、認証ヘッダ、ログアウトトークン等）。週1で保存後スキャンを実行し、検出時は該当トークンの強制無効化＋辞書追加。マスク処理件数もメトリクス化し突然のゼロ件はパイプライン故障として警報。配信元ログは他組織管理のため要求仕様に登録</t>
    <phoneticPr fontId="2"/>
  </si>
  <si>
    <t>D-U7-07</t>
    <phoneticPr fontId="2"/>
  </si>
  <si>
    <t>basic-design/07-security-compliance-design.md §7.3.1</t>
    <phoneticPr fontId="2"/>
  </si>
  <si>
    <t>署名鍵悪用検知はPhase 1でルールベース4シグナル</t>
    <phoneticPr fontId="2"/>
  </si>
  <si>
    <t>ベースライン学習の要否で分割。Phase 1採用=①短時間大量発行（1分100件で警戒/1000件で重大）②通常時間帯外の署名操作（深夜帯の急増）③鍵識別子の異常使用（廃止済み・未知・未指定。90日更新運用と表裏一体のため必須）④認証イベントを伴わないトークン発行（最も直接的なシグナル）。発行分布の統計逸脱と異常地理IPは3ヶ月以上の履歴が前提のためPhase 2。重大発火時は緊急鍵更新手順＋全体無効化手順に連動（Phase 1aは通知のみ）</t>
    <phoneticPr fontId="2"/>
  </si>
  <si>
    <t>D-U7-08</t>
    <phoneticPr fontId="2"/>
  </si>
  <si>
    <t>basic-design/07-security-compliance-design.md §7.4.1</t>
    <phoneticPr fontId="2"/>
  </si>
  <si>
    <t>実行主体の権限設計（IRSA）</t>
    <phoneticPr fontId="2"/>
  </si>
  <si>
    <t>Pod→AWSリソースは標準のIRSA方式で統一。命名規約 &lt;acct&gt;-irsa-&lt;namespace&gt;-&lt;serviceaccount&gt;、信頼ポリシーは完全一致（ワイルドカード禁止）、1実行主体=1ロール（共有禁止）、Broker/IdP-KCは信頼関係も完全別で相互のロールを信頼する構成を禁止。Phase 1初期セット6種を定義（Keycloak各Realm用・ログ収集・SCIM受け口・鍵更新ジョブ・判定エンジンなど）。長期の固定認証情報を排除し1時間で自動更新</t>
    <phoneticPr fontId="2"/>
  </si>
  <si>
    <t>D-U7-09</t>
    <phoneticPr fontId="2"/>
  </si>
  <si>
    <t>basic-design/07-security-compliance-design.md §7.5.1</t>
    <phoneticPr fontId="2"/>
  </si>
  <si>
    <t>Keycloakへの機械アクセスは内部から順に無秘密方式へ</t>
    <phoneticPr fontId="2"/>
  </si>
  <si>
    <t>基盤内部コンポーネントは実行環境の身分証明を使った交換方式へ移行し秘密情報を廃止（管理画面Backend・専用API層・鍵更新ジョブ・一括ログアウトジョブ）。実行環境を持たない判定エンジンと顧客側のアプリは秘密情報方式のまま（保管庫管理＋90日更新）。全クライアント一括移行は対象外が存在するため不成立。方式を2系統に限定し「野良管理される秘密情報」だけを排除する</t>
    <phoneticPr fontId="2"/>
  </si>
  <si>
    <t>D-U7-10a</t>
    <phoneticPr fontId="2"/>
  </si>
  <si>
    <t>basic-design/07-security-compliance-design.md §7.5.2</t>
    <phoneticPr fontId="2"/>
  </si>
  <si>
    <t>クライアント認証の昇格時期を確定</t>
    <phoneticPr fontId="2"/>
  </si>
  <si>
    <t>Phase 1は閉域が成立しているため送信型の秘密情報を許容。ただし①保管庫での管理＋90日自動更新 ②2世代並走で無停止更新 ③設定ファイルへの直書き禁止（CI機械検査）を必須。Phase 2開始時に鍵ペア方式へ一括昇格し、更新の自動化基盤はそのまま流用（Phase 1の投資を無駄にしない）。相互証明書方式は金融要件発生時のみでPhase 3・標準昇格パスには含めない。昇格の前提条件は方式そのものではなく更新自動化であるという判断</t>
    <phoneticPr fontId="2"/>
  </si>
  <si>
    <t>D-U7-10b</t>
    <phoneticPr fontId="2"/>
  </si>
  <si>
    <t>basic-design/07-security-compliance-design.md §7.5.3</t>
    <phoneticPr fontId="2"/>
  </si>
  <si>
    <t>ブランド単位アカウント内での認証系と権限系の強分離</t>
    <phoneticPr fontId="2"/>
  </si>
  <si>
    <t>Phase 1は単一アカウントだが、認証基盤（Keycloak）と権限系（権限DB・ID対応表・射影）をデータベース・暗号鍵・実行権限・通信許可の4軸で内部分離。両方に届く単一の実行権限や通信許可を作らない。両者をつなぐ唯一の橋渡しコンポーネントは権限を必要最小に絞り、その堅牢化を最優先（主脅威である橋渡しの乗っ取りはアカウント分割でも防げないため）。規制対象ブランドでアカウントレベル分離が要件化した場合に2アカウント分割へ移行可能な不変条件を維持</t>
    <phoneticPr fontId="2"/>
  </si>
  <si>
    <t>D-U7-19</t>
    <phoneticPr fontId="2"/>
  </si>
  <si>
    <t>basic-design/07-security-compliance-design.md §7.5.4</t>
    <phoneticPr fontId="2"/>
  </si>
  <si>
    <t>特権管理4層モデルの構成への写像</t>
    <phoneticPr fontId="2"/>
  </si>
  <si>
    <t>L1緊急用アカウント=自管理3アカウントに各1つ、専用暗号鍵＋物理金庫＋ハードウェアキー（他組織アカウント分は先方責務）。L2インフラ=6アカウント×3チームで権限セット定義、BrokerとIdP-KCへの同一人物の同時昇格を承認フローで排他。L3アプリ=昇格可能/昇格中の2状態の組み合わせ役割を両Realmに定義し最大4時間で自動剥奪、管理画面へは内部ホスト名・内部経路のみ。L4テナント特権=破壊的操作の都度承認。追加製品ゼロで実現</t>
    <phoneticPr fontId="2"/>
  </si>
  <si>
    <t>D-U7-11</t>
    <phoneticPr fontId="2"/>
  </si>
  <si>
    <t>basic-design/07-security-compliance-design.md §7.6.1</t>
    <phoneticPr fontId="2"/>
  </si>
  <si>
    <t>管理経路と監査ログ集約の整合</t>
    <phoneticPr fontId="2"/>
  </si>
  <si>
    <t>管理画面の実効防御は3層（WAF要求／自管理側での拒否＝生命線／内部ホスト名分離）で成立していることを特権管理側の前提として確定。特権セッションはセッション管理サービスのポート転送を標準としVPN併用、全操作を録画して監査アカウントへ。インターネットから管理画面へ到達する経路が存在しない構造を維持。監査アカウントを唯一の集約先とし、昇格記録7年・操作録画1年＋長期保管6年・管理イベント1年＋6年、すべて改ざん不能保管。運用者は監査アカウントに対し読取専用</t>
    <phoneticPr fontId="2"/>
  </si>
  <si>
    <t>basic-design/07-security-compliance-design.md §7.6.2</t>
    <phoneticPr fontId="2"/>
  </si>
  <si>
    <t>監査ログ保持 — 即時分析90日 + 改ざん不能7年</t>
    <phoneticPr fontId="2"/>
  </si>
  <si>
    <t>Hot層=CloudWatch Logs＋検索基盤で90日（直近3ヶ月の即時アクセス要件を充足、保持設定はコードで固定）。Cold層=監査アカウントのS3に改ざん不能モードで7年（運用者・最上位権限でも削除不可）＋長期アーカイブ移行。12ヶ月超の調査はデータレイク検索で対応。対象ログ源11種を必須セットとして列挙し、すべてマスキング通過後に保存（長期保管層に平文トークンを7年残さない）。誤設定の巻き戻し不能リスクはバケット分割と保持期間の段階設定で緩和</t>
    <phoneticPr fontId="2"/>
  </si>
  <si>
    <t>basic-design/07-security-compliance-design.md §7.7.1</t>
    <phoneticPr fontId="2"/>
  </si>
  <si>
    <t>フィッシング耐性のある追加確認を管理系に必須化</t>
    <phoneticPr fontId="2"/>
  </si>
  <si>
    <t>①基盤運用者=パスキー必須（認証アプリ不可）②テナント管理者=顧客側ID基盤保有なら顧客側の追加確認を信頼し基盤は補完しない／非保有なら自社受け皿収容でパスキー必須・初回強制登録 ③ローカル利用者=パスキー推奨・認証アプリ許容 ④外部連携利用者=顧客側の追加確認を信頼し記録・監視のみ ⑤緊急用アカウント=ハードウェアキー必須。2026-07-26改訂で外部連携利用者への基盤側補完を撤去。リスク明示: 顧客側が追加確認を実施しない場合そのテナントでは技術的に充足されないため、契約で必須条項化し実施率の監視を遵守検知手段とする</t>
    <phoneticPr fontId="2"/>
  </si>
  <si>
    <t>basic-design/07-security-compliance-design.md §7.7.2</t>
    <phoneticPr fontId="2"/>
  </si>
  <si>
    <t>漏えい等報告の標準手順（個人情報保護法）</t>
    <phoneticPr fontId="2"/>
  </si>
  <si>
    <t>7ステップで確定。①検知（不正検知・署名鍵悪用検知・ログ監査スキャン・外部通報）→②トリアージ（4類型該当判定、不正アクセス起因は1件でも報告対象、検知から24時間以内）→③封じ込め（②と並行、個別/テナント/全体の粒度＋必要時の緊急鍵更新）→④速報（知った時点から3〜5日）→⑤顧客通知（契約SLA）→⑥確報（30日以内、不正アクセス起因は60日以内）→⑦事後（是正＋監査記録7年）。Phase 1αは業務時間内対応だが重大インシデントの初動のみ緊急経路で時間外可、Phase 1βで24/7体制へ</t>
    <phoneticPr fontId="2"/>
  </si>
  <si>
    <t>D-U7-15</t>
    <phoneticPr fontId="2"/>
  </si>
  <si>
    <t>basic-design/07-security-compliance-design.md §7.7.3</t>
    <phoneticPr fontId="2"/>
  </si>
  <si>
    <t>委託先監督（個人情報保護法25条・28条）</t>
    <phoneticPr fontId="2"/>
  </si>
  <si>
    <t>Red Hat=保守要員の越境アクセスが外国第三者提供に当たる可能性があるため、データ処理契約に標準契約条項相当＋越境アクセスログ取得＋監査権を求める。技術側前提として個人データ本体をクラスタ構成情報に流入させない設計（鍵類のみ保持、個人データはデータベースに閉じ込め）。法務確認で不可なら実行基盤を再検討。AWS=リージョンを国内2拠点に限定し関連文書を整理。導入SaaSは第三者監査証跡の確認を必須プロセス化。顧客に対しては責任分担表と書面での確認を契約書内で明文提供（ポータル掲載単独では不可）</t>
    <phoneticPr fontId="2"/>
  </si>
  <si>
    <t>basic-design/07-security-compliance-design.md §7.7.4</t>
    <phoneticPr fontId="2"/>
  </si>
  <si>
    <t>外部通信を持たない構成のセキュリティ評価 — 採用推奨</t>
    <phoneticPr fontId="2"/>
  </si>
  <si>
    <t>供給網統制の観点で推奨。イメージ配布のミラーが単一の検証点になり、脆弱性スキャンと署名検証を同期パイプラインに組み込めば未検証イメージがクラスタに到達する経路が構造的に消える（取得時検証より強い事前検証モデル）。外部通信統制の観点でも自アカウントに出口が存在しなくなり未知宛先への通信経路が縮小、統制説明が容易。トレードオフはミラー同期の鮮度遅延で、重大脆弱性時の緊急同期手順を運用手順書に必須追加。最終採否はインフラ側の先方回答と運用負荷実測で決定</t>
    <phoneticPr fontId="2"/>
  </si>
  <si>
    <t>basic-design/07-security-compliance-design.md §7.7.5</t>
    <phoneticPr fontId="2"/>
  </si>
  <si>
    <t>自動化された攻撃・大量アクセスの自管理/他組織分離</t>
    <phoneticPr fontId="2"/>
  </si>
  <si>
    <t>L1ネットワーク=他組織へ要求（不正自動化対策の一般＋標的型、認証情報リスト攻撃検知、認証系への流量制限〔5分あたり2000件/送信元が初期値〕、大規模攻撃防御）＋検知ログの自社監査アカウントへの配信を新規要求。L2アプリ=人間判定はPhase 2オプションだが、L1が他組織に受け入れられない場合の埋め合わせとして前倒し検討するトリガーを追加。L3アカウント=Phase 1必須（総当たり検知5回30分、アカウント存在の有無を返さない汎用エラーと応答時間の均一化、パスワード12文字＋英数混在＋漏洩照合）。体積型の大量アクセス防御は保証せず責任分担表に明記</t>
    <phoneticPr fontId="2"/>
  </si>
  <si>
    <t>basic-design/07-security-compliance-design.md §7.8.1</t>
    <phoneticPr fontId="2"/>
  </si>
  <si>
    <t>稼働率の目標値と、直列で積み上げた成立性</t>
    <phoneticPr fontId="2"/>
  </si>
  <si>
    <t>U8 可用性・DR</t>
    <phoneticPr fontId="2"/>
  </si>
  <si>
    <t>月間の停止許容枠は43.8分（年8.76時間）。計測対象は認証処理の成功率で、計画停止（月1回・深夜2〜4時・7日前通知）と顧客側のID基盤起因の失敗は除外。自管理部分だけを積み上げると余裕をもって成立するが、律速はインターネット出入口を管理する他組織側。よってエッジ経路の可用性99.95%以上を要求仕様として明文化</t>
    <phoneticPr fontId="2"/>
  </si>
  <si>
    <t>basic-design/08-availability-dr-design.md §8.1.1</t>
    <phoneticPr fontId="2"/>
  </si>
  <si>
    <t>3拠点分散・停止許容数・自動増減の方針</t>
    <phoneticPr fontId="2"/>
  </si>
  <si>
    <t>最小3台（拠点ごとに1台以上、偏りを1に制限）。同時停止許容数を1に設定し、更新中も2拠点分の容量を維持。自動増減はCPU60%を目標。自社受け皿側はパスワード検証と実行環境の起動が遅いため、CPUではなく予兆（1台あたり毎秒8件超が3分継続）を優先トリガに。ノード障害は基盤側で自動置換され、クラスタ再編も外部の仕組みなしで自動</t>
    <phoneticPr fontId="2"/>
  </si>
  <si>
    <t>basic-design/08-availability-dr-design.md §8.1.2</t>
    <phoneticPr fontId="2"/>
  </si>
  <si>
    <t>データベースの拠点内切替</t>
    <phoneticPr fontId="2"/>
  </si>
  <si>
    <t>書込1台＋読取2台の3拠点構成。拠点内の書込障害は1分未満で自動切替。接続は書込用の窓口のみを使い、交代時は接続タイムアウトで早期切断して再接続。ただし交代中は探索用の書込が一時失敗するため、全台同時再起動を伴う操作は書込側が安定してから実施する（運用手順書の禁止事項に登録）</t>
    <phoneticPr fontId="2"/>
  </si>
  <si>
    <t>D-U8-03</t>
    <phoneticPr fontId="2"/>
  </si>
  <si>
    <t>basic-design/08-availability-dr-design.md §8.1.3</t>
    <phoneticPr fontId="2"/>
  </si>
  <si>
    <t>無停止での更新方式</t>
    <phoneticPr fontId="2"/>
  </si>
  <si>
    <t>設定変更と修正版の適用は互換判定に基づく順次再起動で無停止（セッションはデータベース保存のため入れ替えても切れない）。機能追加を伴う版数更新はデータベース移行を伴い得るため計画停止窓で実施し、事前に規模データでの回帰測定通過を必須。管理ソフト自体の更新は手動承認とし自動更新を禁止。独自機能の差し替えも修正版と同じ順次再起動</t>
    <phoneticPr fontId="2"/>
  </si>
  <si>
    <t>basic-design/08-availability-dr-design.md §8.1.4</t>
    <phoneticPr fontId="2"/>
  </si>
  <si>
    <t>復旧目標と待機形態（2026-07-30 全面転換）</t>
    <phoneticPr fontId="2"/>
  </si>
  <si>
    <t>手動での復旧・目標復旧時間およそ14日。予備地域は平時に設備を持たず、被災時に構成コードから作り直す。データ喪失許容はバックアップ方式に依存。従前の「1時間で復旧・予備地域を温めて待機」は廃止。常時稼働の二重化は東西間の遅延が公式要件の上限を超え保証できないため引き続き不採用。より短い復旧時間は常時待機が前提となるため今回は提供しない</t>
    <phoneticPr fontId="2"/>
  </si>
  <si>
    <t>D-U8-05</t>
    <phoneticPr fontId="2"/>
  </si>
  <si>
    <t>basic-design/08-availability-dr-design.md §8.2.1</t>
    <phoneticPr fontId="2"/>
  </si>
  <si>
    <t>一括書き出しを全廃し、復元経路を2系統に再定義</t>
    <phoneticPr fontId="2"/>
  </si>
  <si>
    <t>構成の一括書き出しはバックアップ・災害復旧を含む一切の用途で使用しない（接続先1000件超では出力が巨大化し運用が成立しないため）。経路1=地域障害では予備地域を作り直しデータを復元（構成もデータベースに一体で入っているため構成の再投入は不要）。経路2=論理破壊では時点復元で直前に巻き戻し、それ以降の正当な変更だけを構成コードから差分再生。全1000件超を一括再生することはしない。ランサム等で時点復元自体が消される事態に備え、変更不能な控えからの復元経路を必ず併設</t>
    <phoneticPr fontId="2"/>
  </si>
  <si>
    <t>D-U8-06</t>
    <phoneticPr fontId="2"/>
  </si>
  <si>
    <t>basic-design/08-availability-dr-design.md §8.3.1</t>
    <phoneticPr fontId="2"/>
  </si>
  <si>
    <t>データ保全の3層構造と予備地域のオンデマンド再構築</t>
    <phoneticPr fontId="2"/>
  </si>
  <si>
    <t>「計算資源は平時ゼロ、データは保全」を原則とし2つの障害シナリオを分離。L1=地域災害向けの継続複製（喪失およそ1秒）／L2=論理復元向けの時点復元（1〜35日・1秒精度、ただしサービス内に留まるため攻撃者に消される）／L3=ランサム・内部不正の最終防衛線として定期取得の控えを変更不能モードで施錠し別地域・別アカウントへ複製。重要な制約として継続バックアップは変更不能化も別地域複製もできないため、不変・隔離が要る対策は定期取得の控えに置く。施錠は一度かけると解除不可（猶予は最短3日）で、保持期間「無期限」は永久課金のため避ける。アカウント閉鎖90日で施錠も無効化される点を事業継続計画に織り込む</t>
    <phoneticPr fontId="2"/>
  </si>
  <si>
    <t>basic-design/08-availability-dr-design.md §8.3.1a</t>
    <phoneticPr fontId="2"/>
  </si>
  <si>
    <t>（廃止）予備地域を温めて待機する方式</t>
    <phoneticPr fontId="2"/>
  </si>
  <si>
    <t>2026-07-30の方針転換で廃止。予備側のデータベースは読取専用で認証製品が起動できないため「設備は温め、製品は0台で待機」としていたが、コールド化に伴いD-U8-14へ統合</t>
    <phoneticPr fontId="2"/>
  </si>
  <si>
    <t>D-U8-07</t>
    <phoneticPr fontId="2"/>
  </si>
  <si>
    <t>切替の判断基準と承認フロー</t>
    <phoneticPr fontId="2"/>
  </si>
  <si>
    <t>地域障害かどうかを判定するチェックリストを新設。判定材料はクラウド事業者の障害情報、外形監視（成功率50%未満が3分継続、予備地域からの到達性）、データベースの接続不能と拠点内切替の不成立。2系統以上該当した時点で地域障害を宣言し承認プロセスへ（単一拠点・単一部品の障害は自動復旧に委ねる）。データベースの昇格・全体切替・切り戻しは起案者から責任者への手動承認。承認は検知から15分以内を運用目標とし訓練で計測</t>
    <phoneticPr fontId="2"/>
  </si>
  <si>
    <t>D-U8-08</t>
    <phoneticPr fontId="2"/>
  </si>
  <si>
    <t>basic-design/08-availability-dr-design.md §8.4.1</t>
    <phoneticPr fontId="2"/>
  </si>
  <si>
    <t>（廃止）1時間復旧の積み上げ検証</t>
    <phoneticPr fontId="2"/>
  </si>
  <si>
    <t>2026-07-30の方針転換で廃止。旧方式（予備地域を温めて待機）を前提とした50分の積み上げと成立5条件は、コールド化に伴い無効。将来より短い復旧時間を再検討する際の出発点として本文に旧参考として保存</t>
    <phoneticPr fontId="2"/>
  </si>
  <si>
    <t>D-U8-09</t>
    <phoneticPr fontId="2"/>
  </si>
  <si>
    <t>basic-design/08-availability-dr-design.md §8.4.3</t>
    <phoneticPr fontId="2"/>
  </si>
  <si>
    <t>切替時は全利用者が再認証（セッション連続性は対象外）</t>
    <phoneticPr fontId="2"/>
  </si>
  <si>
    <t>地域間で共有されるのはデータベースのみで、ログイン途中の状態・一時的な失敗回数などのキャッシュは予備地域では空から再構築される。よって切替時は全利用者が再ログインとなることを製品仕様として明文化し、顧客との取り決めにも記載する。「再ログインだけで業務再開できる」（追加認証手段はデータベース経由で予備地域でも有効）を説明線とする。発行済みの通行証は自己完結かつ署名鍵も複製され識別子が変わらないため、切替中もアプリ側の検証は継続できる。ログイン途中の状態とパスワード再設定リンクは消失（再試行・再送で回復）。失敗回数カウンタの消失による一時的な低下は、切替後60分間の検知感度引き上げで緩和</t>
    <phoneticPr fontId="2"/>
  </si>
  <si>
    <t>basic-design/08-availability-dr-design.md §8.5.1</t>
    <phoneticPr fontId="2"/>
  </si>
  <si>
    <t>切り戻しは計画切替（データ喪失ゼロ）</t>
    <phoneticPr fontId="2"/>
  </si>
  <si>
    <t>予備地域で稼働していた期間のデータを守ることが目的。禁止3操作を冒頭に置く（旧本番のデータベースを単独で再起動しない／広域構成を削除しない／同期完了前に元へ戻さない）。手順は①復旧確認②禁止操作の周知③旧本番を予備として再参加させ全量複製の完了を確認④計画停止窓で計画切替（喪失ゼロ）⑤検証後に切り戻し⑥東西双方で構成の突合と事後レビュー。全段が手動承認で、急がない（予備地域のまま数日運用しても構成上の問題はない）</t>
    <phoneticPr fontId="2"/>
  </si>
  <si>
    <t>D-U8-12</t>
    <phoneticPr fontId="2"/>
  </si>
  <si>
    <t>basic-design/08-availability-dr-design.md §8.7.1</t>
    <phoneticPr fontId="2"/>
  </si>
  <si>
    <t>復旧訓練は年2回</t>
    <phoneticPr fontId="2"/>
  </si>
  <si>
    <t>上期＝地域災害シナリオ（構成コードによる予備地域の作り直し＋データ復元＋構成突合＋手動での経路切替、他組織にも参加を要求）。合格基準は各工程の所要時間の実測と、復元後の構成が構成コードと一致すること。下期＝論理破壊シナリオ（時点復元による細粒度の巻き戻しと、変更不能な控えからの復元の両方を検証）。通年で承認15分以内の机上検証。アプリ運用へ2週間前、顧客へ3営業日前に通知。達成率の指標も定義</t>
    <phoneticPr fontId="2"/>
  </si>
  <si>
    <t>basic-design/08-availability-dr-design.md §8.7.2</t>
    <phoneticPr fontId="2"/>
  </si>
  <si>
    <t>（廃止）予備地域の最小構成と平時同期対象</t>
    <phoneticPr fontId="2"/>
  </si>
  <si>
    <t>2026-07-30の方針転換で廃止。予備地域は平時に設備を持たない方式へ変更されD-U8-14に統合。ただし「腐らない備え」のためデータ層・イメージ・構成コード・IPレンジ予約は平時から維持する</t>
    <phoneticPr fontId="2"/>
  </si>
  <si>
    <t>D-U8-11</t>
    <phoneticPr fontId="2"/>
  </si>
  <si>
    <t>basic-design/08-availability-dr-design.md §8.6.1</t>
    <phoneticPr fontId="2"/>
  </si>
  <si>
    <t>6アカウント体系の確定</t>
    <phoneticPr fontId="2"/>
  </si>
  <si>
    <t>U6 インフラ・NW</t>
    <phoneticPr fontId="2"/>
  </si>
  <si>
    <t>ネットワーク監査（他組織管理）／ネットワーク（他組織想定・要確認）／監査（自社、証跡集約7年）／Broker（受け皿#1＋データベース＋不正検知＋管理画面裏側）／自社受け皿=ブランド単位（受け皿#2＋2系統のデータベース＋管理API。業務アプリは非同居＝パスワードハッシュの影響範囲を隔離）／アプリ用×N。本設計書は「自管理内の設計（A部）」と「他組織への要求（B部）」を明確に分離し混在させない。セキュリティの生命線は『他組織側の要求が満たされなくても自管理側単独で破られないこと』</t>
    <phoneticPr fontId="2"/>
  </si>
  <si>
    <t>D-U6-01</t>
    <phoneticPr fontId="2"/>
  </si>
  <si>
    <t>basic-design/06-infra-network-design.md §6.1.1</t>
    <phoneticPr fontId="2"/>
  </si>
  <si>
    <t>アカウント間の権限原則と許可経路8本</t>
    <phoneticPr fontId="2"/>
  </si>
  <si>
    <t>Broker と自社受け皿の間に権限の相互信頼を作らない（片方の侵害が他方の管理面に波及しない構造）。Podからクラウド資源へは実行環境の身分証明を使い一時資格は最長1時間で失効。アカウント跨ぎは8経路に限定（証跡集約×2、自動デプロイ、ID対応表更新、不正検知イベント集約、削除伝播、初回識別子通知、アプリ→Brokerは権限経路なし）。ワイルドカード指定を禁止し条件付きを必須。他組織アカウントとは権限関係を一切持たない</t>
    <phoneticPr fontId="2"/>
  </si>
  <si>
    <t>D-U6-02</t>
    <phoneticPr fontId="2"/>
  </si>
  <si>
    <t>basic-design/06-infra-network-design.md §6.1.2</t>
    <phoneticPr fontId="2"/>
  </si>
  <si>
    <t>クラスタ構成（2クラスタ）</t>
    <phoneticPr fontId="2"/>
  </si>
  <si>
    <t>管理負荷の軽い方式を採用（旧方式は新規作成期限が公式化）。基盤自体の稼働率は99.95%で目標を上回る。3拠点分散し拠点ごとに1つずつ配置。制御部分はベンダー側で自動管理され顧客の関与不要。入口は内部限定で作成し前段に自管理の負荷分散装置を置いて細かい制御を行う。各アカウントに専用の仮想ネットワークを持ち、用途別4層でアドレスを採番（構築後は変更不可のため事前確定が必須）。外部通信の形態は要決定で、外部通信を持たない構成が他組織経由の方針と噛み合うため積極検討</t>
    <phoneticPr fontId="2"/>
  </si>
  <si>
    <t>D-U6-03</t>
    <phoneticPr fontId="2"/>
  </si>
  <si>
    <t>basic-design/06-infra-network-design.md §6.2.1</t>
    <phoneticPr fontId="2"/>
  </si>
  <si>
    <t>ノード群を役割で2系統に分離</t>
    <phoneticPr fontId="2"/>
  </si>
  <si>
    <t>この基盤には専用の管理用ノードが存在せず管理系が業務ノードに同居するため、「認証製品専用」と「既定（管理系）」の2系統に分ける。既定側は入口・監視・イメージ配布・受け口などを載せ、負荷ではなく規模と監視量で準静的に調整。認証製品側は専用の隔離設定を付けて動的に増減（自動増減→保留→ノード追加の連鎖）。分離しない場合、認証側の急増が監視や入口と資源を食い合い『監視が飛ぶ・入口が詰まる』事態が確実に顕在化する。自社受け皿側はパスワード検証が支配的なため上限台数を大きく取る</t>
    <phoneticPr fontId="2"/>
  </si>
  <si>
    <t>basic-design/06-infra-network-design.md §6.2.2</t>
    <phoneticPr fontId="2"/>
  </si>
  <si>
    <t>基盤コストの概算（予備地域は平時ゼロ）</t>
    <phoneticPr fontId="2"/>
  </si>
  <si>
    <t>東京2クラスタで月額およそ2,032ドル（管理系ノードを別建て加算したことで旧試算1,678ドルから増加）。2026-07-30の方針転換で予備地域の常時クラスタ（月602ドル）を廃止し平時ゼロに。ただし切替時に認証製品が配置不能にならないよう、予備地域にも同じ隔離設定を持つ専用ノード群を台数0で事前定義しておく。10M規模のピーク帯まで伸ばした場合の増分は別途線形加算。概算±30%</t>
    <phoneticPr fontId="2"/>
  </si>
  <si>
    <t>basic-design/06-infra-network-design.md §6.2.3</t>
    <phoneticPr fontId="2"/>
  </si>
  <si>
    <t>2つの受け皿の間の裏側通信は単方向の私設経路</t>
    <phoneticPr fontId="2"/>
  </si>
  <si>
    <t>3方式を比較し、公開したサービスのみに届く単方向の私設接続を採用。自社受け皿側から Broker 側へ構造的に到達できないため、パスワードハッシュを持つ側が侵害されても横展開を経路レベルで遮断できる。中継方式は他組織依存となり内部経路まで他組織の変更管理に載るため回避。アドレス重複の制約も受けない。閉じた経路が成立するため、当面はクライアント認証に送信型の秘密情報を許容。利用者の画面遷移（表側）は他組織の入口経由となる点で裏側と分離</t>
    <phoneticPr fontId="2"/>
  </si>
  <si>
    <t>D-U6-06</t>
    <phoneticPr fontId="2"/>
  </si>
  <si>
    <t>basic-design/06-infra-network-design.md §6.3.2</t>
    <phoneticPr fontId="2"/>
  </si>
  <si>
    <t>データベースの基本構成</t>
    <phoneticPr fontId="2"/>
  </si>
  <si>
    <t>2系統に分け共有しない。東京は書込1台＋読取2台の3拠点構成。予備地域へは継続複製を維持（計算資源は平時ゼロだがデータ層は維持）＋変更不能な控えを併用。暗号鍵はアカウントごとに分離し、パスワードハッシュを持つ側はバックアップの暗号化を必須。権限系・ID対応表・射影は2026-08-07の方針変更でブランド側アカウントに配置し、認証用とは別のデータベース・別の鍵・別の権限・別の通信許可に分離</t>
    <phoneticPr fontId="2"/>
  </si>
  <si>
    <t>D-U6-07</t>
    <phoneticPr fontId="2"/>
  </si>
  <si>
    <t>basic-design/06-infra-network-design.md §6.4.1</t>
    <phoneticPr fontId="2"/>
  </si>
  <si>
    <t>接続プールの設計</t>
    <phoneticPr fontId="2"/>
  </si>
  <si>
    <t>製品の既定がデータベース経由のノード探索に変わったことを前提に設計。接続先は書込用の窓口のみとし読取分散は行わない。1台あたりの接続プールは初期値・最小・最大をすべて30に揃えて明示設定（製品既定の100を放置しない）。等値化により接続の作り直しを避け、事前準備済みの問い合わせが効いて応答のばらつきに有利。総接続数は最大810で、上限約3,300に対して大幅な余裕。交代中は探索用の書込が一時失敗するため全台同時再起動を伴う操作は書込側が安定してから実施</t>
    <phoneticPr fontId="2"/>
  </si>
  <si>
    <t>D-U6-08</t>
    <phoneticPr fontId="2"/>
  </si>
  <si>
    <t>basic-design/06-infra-network-design.md §6.4.2</t>
    <phoneticPr fontId="2"/>
  </si>
  <si>
    <t>接続の中継サービスは当面不採用</t>
    <phoneticPr fontId="2"/>
  </si>
  <si>
    <t>中継サービスの主用途は大量かつ短命な接続の束ね直しだが、本構成は長命プールで接続数が設計上固定のため恩恵がほぼない。逆に状態保持による束ね直しの無効化と遅延加算、ノード探索の経路に中間層が挟まることによるサポート切り分けの不利、費用増が生じる。よって直接続とする。復旧検証で書込側交代時の再接続時間が復旧時間を圧迫する場合のみ再評価。将来数百台規模まで分割する段階で初めて別方式を検討</t>
    <phoneticPr fontId="2"/>
  </si>
  <si>
    <t>D-U6-09</t>
    <phoneticPr fontId="2"/>
  </si>
  <si>
    <t>basic-design/06-infra-network-design.md §6.4.3</t>
    <phoneticPr fontId="2"/>
  </si>
  <si>
    <t>接続先1000件超に備えたキャッシュ初期値</t>
    <phoneticPr fontId="2"/>
  </si>
  <si>
    <t>接続先関連のキャッシュを20万件に設定（公式ベンチで1万→20万件にするとデータベースCPUが77.8%→63.8%に低下。想定1.6万件に対し10倍超の余裕）。利用者キャッシュは10万件を初期値としヒット率90%未満で増量。セッション系はデータベース永続の既定を維持。上記でノードあたり1.5〜2GBのメモリ増を見込み、割当を3GB→4GBへ引き上げられる余裕をノード群に確保。実測で補正する前提</t>
    <phoneticPr fontId="2"/>
  </si>
  <si>
    <t>basic-design/06-infra-network-design.md §6.5.5</t>
    <phoneticPr fontId="2"/>
  </si>
  <si>
    <t>管理画面保護は3層防御＋管理用ホスト名の分離</t>
    <phoneticPr fontId="2"/>
  </si>
  <si>
    <t>他組織側の入口での遮断は「あれば良い追加層」で保証しない。生命線は自管理の負荷分散装置での固定拒否ルール（最優先評価）。加えて管理画面専用の内部ホスト名を分離し、社内DNSにのみ登録して公開DNSには存在させない（公開名からは管理画面が構造的に開けない）。ただしホスト名分離単体は遮断機構ではないため必ず拒否ルールと併用。管理APIへの到達は内部限定の接続点＋送信元を絞った通信許可＋通信暗号化＋アプリ層の認証で行い、インターネットには露出しない</t>
    <phoneticPr fontId="2"/>
  </si>
  <si>
    <t>D-U6-11</t>
    <phoneticPr fontId="2"/>
  </si>
  <si>
    <t>basic-design/06-infra-network-design.md §6.6.1</t>
    <phoneticPr fontId="2"/>
  </si>
  <si>
    <t>運用者の内部アクセス経路</t>
    <phoneticPr fontId="2"/>
  </si>
  <si>
    <t>標準はクラウド標準のセッション管理サービスによる転送（踏み台不要、権限と操作ログで監査し監査アカウントへ集約）。併用として社内ネットワーク経由も認めるが、中継が他組織依存のため可用性は保証しない（断時はセッション管理サービス経路へ退避）。インターネットから管理画面へ到達する経路の新設は禁止。運用経路の二重化を必須とする</t>
    <phoneticPr fontId="2"/>
  </si>
  <si>
    <t>D-U6-12</t>
    <phoneticPr fontId="2"/>
  </si>
  <si>
    <t>basic-design/06-infra-network-design.md §6.6.2</t>
    <phoneticPr fontId="2"/>
  </si>
  <si>
    <t>外部通信の許可運用は「枠は他組織・中身は自社」の委任方式（要求案）</t>
    <phoneticPr fontId="2"/>
  </si>
  <si>
    <t>接続先1000件超では許可ドメインも1000件超となり、他組織管理のドメイン絞り込みと正面衝突する。3案を比較し、認証基盤専用の許可枠を事前合意で設置したうえで、許可リストの更新権限を自社のオンボーディング処理に委任する方式（可能なら更新APIで自動化）を第一要求とする。全更新は双方の証跡に記録し四半期で棚卸し。受け入れられない場合は都度申請の応答時間4営業時間以内の合意が必要で、それも不可なら「接続追加は翌営業日以内」という非機能要件自体の改訂へ差し戻す</t>
    <phoneticPr fontId="2"/>
  </si>
  <si>
    <t>basic-design/06-infra-network-design.md §6.7.3</t>
    <phoneticPr fontId="2"/>
  </si>
  <si>
    <t>監視の仕組みと収集役の配置</t>
    <phoneticPr fontId="2"/>
  </si>
  <si>
    <t>U9 運用・監視・IaC</t>
    <phoneticPr fontId="2"/>
  </si>
  <si>
    <t>標準的な計測フレームワークとクラウド標準の managed サービスを採用し商用の高機能監視製品は不採用（年3.2万ドル、商用比5〜8倍の削減）。収集役は両クラスタの管理系ノードに常駐させ、認証製品専用ノードの資源を食わせない（専用ノードへの配置許可設定を忘れるとログ収集と同じ落とし穴になる点を明記）。指標の集約先は監査アカウントに1か所へ寄せ、東西比較と接続先件数との相関分析を1か所で行えるようにする。予備地域にも平時から縮退構成で配備（「切替えたら監視が死んでいた」の防止）</t>
    <phoneticPr fontId="2"/>
  </si>
  <si>
    <t>D-U9-01</t>
    <phoneticPr fontId="2"/>
  </si>
  <si>
    <t>basic-design/09-operations-observability-design.md §9.1.1</t>
    <phoneticPr fontId="2"/>
  </si>
  <si>
    <t>計装ポイント14点と「接続先件数の関数」としての監視</t>
    <phoneticPr fontId="2"/>
  </si>
  <si>
    <t>認証製品の組込み指標＋独自機能内の手動計測＋イベント由来指標の3系統で計装。主要な系列は接続先件数と顧客数を注記した時系列として継続計測し、「10件時点の基準値に対して+10%」で警戒とする。キャッシュのヒット率は90%以上維持、自社受け皿は1台あたり毎秒8件超が3分継続で増設予兆、地域間の複製遅延は10秒で注意・30秒で重大。マスキング処理件数が突然ゼロになったらパイプライン故障として警報。接続先追加バッチの前後スナップショット比較を、顧客追加手順の完了条件に組み込む</t>
    <phoneticPr fontId="2"/>
  </si>
  <si>
    <t>D-U9-02</t>
    <phoneticPr fontId="2"/>
  </si>
  <si>
    <t>basic-design/09-operations-observability-design.md §9.1.2</t>
    <phoneticPr fontId="2"/>
  </si>
  <si>
    <t>指標の系列数の規約と追跡の抽出率</t>
    <phoneticPr fontId="2"/>
  </si>
  <si>
    <t>ラベルに使うのは顧客識別子・エンドポイント・メソッド・状態コード・アプリ識別子まで。利用者ID・セッションID・要求ID・IPアドレスは指標には使わない（追跡はログ側で行う）。顧客単位の系列は「ログイン系と利用者同期系のみ」に限定し、1000件超×エンドポイントで課金が爆発するのを防ぐ。詳細追跡の抽出率は正常1%・エラーと遅延100%・障害調査時は特定顧客を一時的に100%。入口が他組織管理で透過を期待できないため、追跡の起点は自管理側の負荷分散装置から</t>
    <phoneticPr fontId="2"/>
  </si>
  <si>
    <t>D-U9-03</t>
    <phoneticPr fontId="2"/>
  </si>
  <si>
    <t>basic-design/09-operations-observability-design.md §9.1.3</t>
    <phoneticPr fontId="2"/>
  </si>
  <si>
    <t>サービス別の内部目標値と、消費速度による警報</t>
    <phoneticPr fontId="2"/>
  </si>
  <si>
    <t>顧客への約束は99.9%だが、それを支える内部目標を4サービスで個別設定（認証99.9%・500ms／トークン発行99.95%・200ms／管理API 99.5%・1秒／鍵情報公開99.99%・100ms）。停止許容枠の消費速度で3段階の警報（急速消費14.4倍は即時呼出、緩慢6倍はチャット、予兆3倍は通知）。枠の50%消費で変更凍結の要否を週次レビューし、枯渇時は機能変更を凍結して信頼性作業のみ許可。消費の内訳を毎月「自管理／他組織の入口／顧客側ID基盤」に分類し、他組織起因分は定例で提示する</t>
    <phoneticPr fontId="2"/>
  </si>
  <si>
    <t>basic-design/09-operations-observability-design.md §9.2.1</t>
    <phoneticPr fontId="2"/>
  </si>
  <si>
    <t>ログ3層保管の最終形</t>
    <phoneticPr fontId="2"/>
  </si>
  <si>
    <t>収集は全ノード常駐→集約役でマスキング集中適用→3層へ。即時参照は90日（設定はコード固定でPRのみ変更可）、検索用は1年、長期は監査アカウントで変更不能モード7年（削除不可）。順序保証として「全ソースがマスキングを通過した後に保存」を厳守し、平文がどの層にも入らないようにする。予備地域にも集約役とマスキング経路を平時配備。週1の監査スキャンをダッシュボード化し、検出時の手順書に接続。入口側のログは他組織管理で回答待ちだが、未対応でも自管理2層で主要な秘匿情報は遮蔽される</t>
    <phoneticPr fontId="2"/>
  </si>
  <si>
    <t>basic-design/09-operations-observability-design.md §9.3.1</t>
    <phoneticPr fontId="2"/>
  </si>
  <si>
    <t>監視・相関に取り込むイベントセット</t>
    <phoneticPr fontId="2"/>
  </si>
  <si>
    <t>認証系（成功・失敗・アプリ認証・コード引換・更新）、トークン引換（主体・要求元・宛先・範囲付き）、取消とログアウト系、ライフサイクル系（再有効化・無効化・削除）、管理操作の全量（構成のドリフト検知の照合元も兼ねる）、基盤の証跡（6アカウント分＋クラスタ操作記録＋緊急用アカウント使用）を必須取込セットとして確定。顧客側の監視製品への提供は標準形式で次段階</t>
    <phoneticPr fontId="2"/>
  </si>
  <si>
    <t>basic-design/09-operations-observability-design.md §9.3.2</t>
    <phoneticPr fontId="2"/>
  </si>
  <si>
    <t>運用手順書 全36冊の体系と、先行必須13冊の指定</t>
    <phoneticPr fontId="2"/>
  </si>
  <si>
    <t>顧客追加/変更/離脱/同期方式切替/トークン更新/外部システム連携/通知先登録の7冊、アプリ追加系3冊、利用者操作系6冊、セキュリティ系7冊、基盤系5冊、災害復旧系6冊、移行1冊、開示請求1冊。太字の13冊（顧客追加・顧客離脱、セキュリティ系6冊、災害復旧系6冊）はリリース前に文書化と訓練を必須、残りはリリース後3ヶ月以内。全手順書に対応する監視ダッシュボードURLと警報名の記載を必須化し、年次見直しと訓練での完走率100%をKPIとする</t>
    <phoneticPr fontId="2"/>
  </si>
  <si>
    <t>D-U9-07</t>
    <phoneticPr fontId="2"/>
  </si>
  <si>
    <t>basic-design/09-operations-observability-design.md §9.4.1</t>
    <phoneticPr fontId="2"/>
  </si>
  <si>
    <t>運用禁則集 11項目と機械強制</t>
    <phoneticPr fontId="2"/>
  </si>
  <si>
    <t>K-1 構成の一括書き出し・取り込みを全用途で禁止／K-2 全ノード同時再起動はデータベース書込側の安定後／K-3 検知の一時降格は災害復旧判定手順の中でのみ操作（恒常的な降格を禁止）／K-4 切り戻し時の禁止3操作／K-5 管理画面からの直接変更禁止（緊急時のみ・事後にコードへ反映必須）／K-6 利用者を要求する独自機能を最上位の必須位置に置かない／K-7 秘密情報のコード直書き禁止／K-8 接続先一覧の非表示と所属紐付けを必須／K-9 単一の構成管理単位に1000件級を置かない／K-10 管理APIの呼び出しは内部ホスト名経由に統一／K-11 管理ソフトの自動更新禁止。可能なものは自動検査とパイプラインでの却下により機械強制する（運用者の記憶に依存させない）</t>
    <phoneticPr fontId="2"/>
  </si>
  <si>
    <t>D-U9-08</t>
    <phoneticPr fontId="2"/>
  </si>
  <si>
    <t>basic-design/09-operations-observability-design.md §9.4.2</t>
    <phoneticPr fontId="2"/>
  </si>
  <si>
    <t>構成管理の単位分割</t>
    <phoneticPr fontId="2"/>
  </si>
  <si>
    <t>「クラウドアカウント×層」で分割（Broker基盤／自社受け皿基盤／監査基盤／各受け皿の認証製品設定／予備地域の重ね合わせ）。顧客数に比例して増えるリソースは基盤層の管理単位に置かない。環境（開発・検証・本番）は別アカウント＋別管理単位。適用は自動化パイプラインのみで手元からの実行を禁止し、本番は手動承認ゲートを置く</t>
    <phoneticPr fontId="2"/>
  </si>
  <si>
    <t>D-U9-09</t>
    <phoneticPr fontId="2"/>
  </si>
  <si>
    <t>basic-design/09-operations-observability-design.md §9.5.1</t>
    <phoneticPr fontId="2"/>
  </si>
  <si>
    <t>顧客層の適用エンジンは自作（既存の設定投入ツールは不採用）</t>
    <phoneticPr fontId="2"/>
  </si>
  <si>
    <t>顧客ごとの宣言ファイルをコード管理し、自作の顧客追加APIが管理APIを個別単位で呼んで差分適用する。既存の設定投入ツールは構成一式の取り込みを中核とするため禁則K-1と原理的に衝突し、1000件超では巨大な構成ファイルの再取り込みになるため不採用と確定。冪等性は「現状取得→差分→反映」で担保し、結果・差分・実行者を監査アカウントへ記録。このエンジン自体を性能検証用の一括投入資産として実装し、検証と本番投入で同一コードを使う</t>
    <phoneticPr fontId="2"/>
  </si>
  <si>
    <t>D-U9-10</t>
    <phoneticPr fontId="2"/>
  </si>
  <si>
    <t>basic-design/09-operations-observability-design.md §9.5.2</t>
    <phoneticPr fontId="2"/>
  </si>
  <si>
    <t>構成のずれの検知（日次）</t>
    <phoneticPr fontId="2"/>
  </si>
  <si>
    <t>基盤層は日次で全管理単位の差分ゼロを確認。顧客層は管理APIの個別読取と宣言ファイルの突合スクリプトで検査し、構成の一括書き出しは使わない（禁則K-1）。検査項目に接続先一覧の非表示と所属紐付けを含める。ずれ検出時は管理操作記録と証跡を照合し、正当なら構成コードへ逆反映のPR、不正なら時点復元＋差分再生の発動判断と不正検知連携へ。予備地域も日次で検証し、訓練で「切替後の構成＝コード」を突合</t>
    <phoneticPr fontId="2"/>
  </si>
  <si>
    <t>D-U9-11</t>
    <phoneticPr fontId="2"/>
  </si>
  <si>
    <t>basic-design/09-operations-observability-design.md §9.5.3</t>
    <phoneticPr fontId="2"/>
  </si>
  <si>
    <t>退職者遮断バッチの実行基盤はクラスタ内の定期ジョブ（関数実行は不採用）</t>
    <phoneticPr fontId="2"/>
  </si>
  <si>
    <t>顧客側ID基盤の退職を本基盤は検知できないため、最終ログインを入力とした90日休眠での停止処理で代替する。管理APIが内部限定であることと実行時間の15分上限の2点から、関数実行ではなくクラスタ内の定期ジョブを採用。管理系ノードに置くのでログイン負荷の急増による自動増減の影響を受けない。多重実行対策の3点セット（重なり禁止設定・完全終了後の置換設定・データベースの排他ロック）を必須とし、停止直前に最終ログインを再取得して現役利用者の誤停止を防ぐ。停止時はセッション取消も必須（無効化だけでは既存セッションと発行済み通行証が残るため）。試走モードと1回あたりの上限件数で暴走を防止し、未知の作成経路は停止せず人間レビューへ</t>
    <phoneticPr fontId="2"/>
  </si>
  <si>
    <t>D-U9-17</t>
    <phoneticPr fontId="2"/>
  </si>
  <si>
    <t>basic-design/09-operations-observability-design.md §9.5.4</t>
    <phoneticPr fontId="2"/>
  </si>
  <si>
    <t>継続的な組み立てと配信の構成</t>
    <phoneticPr fontId="2"/>
  </si>
  <si>
    <t>組み立ては外部の自動化サービス＋一時資格による認証（長期の固定鍵なし）。コンテナ置き場は1か所へ一元化し、製品の基となるイメージも自社側へ複製して取得経路を一本化（供給網の検証点を単一化）。クラスタへの反映は基盤同梱の構成同期ツールでコードから同期し、イメージ更新はコード上の識別子書き換えで行う。秘密情報はクラウドの保管庫を正とし専用の連携部品経由でのみ供給。画面テーマの自動検査（改ざん防止項目の保持・接続先一覧を描画しない・文言集約）とアクセシビリティ自動検査、通行証への個人情報混入検査も同じ段で機械強制</t>
    <phoneticPr fontId="2"/>
  </si>
  <si>
    <t>D-U9-12</t>
    <phoneticPr fontId="2"/>
  </si>
  <si>
    <t>basic-design/09-operations-observability-design.md §9.6.1</t>
    <phoneticPr fontId="2"/>
  </si>
  <si>
    <t>独自機能の組み立て・検証・段階的投入</t>
    <phoneticPr fontId="2"/>
  </si>
  <si>
    <t>独自機能は個別配布せず、製品イメージに焼き込んだ単一イメージとして出荷（識別子＝検証単位）。脆弱性スキャン（重大24時間・高7日で対処）→署名と生成来歴の付与→クラスタ側は署名検証を必須にして未署名イメージの起動を拒否。検証段では3系統の配置回帰と1000件規模の合成データでの回帰（基準値比+10%以内）を通す。本番投入は1台目更新後に15分の様子見を置き、その間は毎分の外形ログインチェックを実施して失敗なら自動巻き戻し。セッションがデータベース保存のため利用者影響はゼロ</t>
    <phoneticPr fontId="2"/>
  </si>
  <si>
    <t>D-U9-13</t>
    <phoneticPr fontId="2"/>
  </si>
  <si>
    <t>basic-design/09-operations-observability-design.md §9.6.2</t>
    <phoneticPr fontId="2"/>
  </si>
  <si>
    <t>製品版数の固定と昇格前検証</t>
    <phoneticPr fontId="2"/>
  </si>
  <si>
    <t>版数系列を固定し、イメージはタグではなく識別子で指定（東西の一致を日次検証）。管理ソフトの更新は手動承認でコード固定。修正版を含む全昇格が、検証環境での1000件規模の合成データ回帰を通過してから本番へ（過去に修正版で性能劣化の前例があるため例外を作らない）。年1〜2回の製品リリースへの追従をカレンダー化し、独自機能の互換確認→必要修正→出荷の順で流す</t>
    <phoneticPr fontId="2"/>
  </si>
  <si>
    <t>D-U9-14</t>
    <phoneticPr fontId="2"/>
  </si>
  <si>
    <t>basic-design/09-operations-observability-design.md §9.6.3</t>
    <phoneticPr fontId="2"/>
  </si>
  <si>
    <t>管理API群と非同期処理は認証製品とは別系統のパイプライン</t>
    <phoneticPr fontId="2"/>
  </si>
  <si>
    <t>ブランド側の管理APIと非同期の連結処理（射影反映・通知配信・影ユーザ制御）は関数実行方式とし、認証製品（クラスタ＋構成同期）とは別のパイプラインで配信する。これが「認証は最優先・管理ツールは次位」という障害範囲の分離の実体。コンテナイメージ形式で同じ置き場へ送り、専用の配信ツールで2アカウントへ展開。秘密情報は保管庫＋自動更新の関数で管理（クラスタ用の連携部品は使わない）。定常バッチは日時起動サービスと組み合わせるが、退職者遮断バッチだけは管理APIが内部限定のためクラスタ内定期ジョブで別扱い</t>
    <phoneticPr fontId="2"/>
  </si>
  <si>
    <t>D-U9-18</t>
    <phoneticPr fontId="2"/>
  </si>
  <si>
    <t>basic-design/09-operations-observability-design.md §9.6.4</t>
    <phoneticPr fontId="2"/>
  </si>
  <si>
    <t>顧客追加パイプライン6ステップとリードタイム内訳</t>
    <phoneticPr fontId="2"/>
  </si>
  <si>
    <t>①申請（宣言ファイルのPR、接続情報とドメインとヒントキー）②検証（機械検査＋運用者1名レビュー、約2時間）③外部通信の許可先更新（他組織側の絞り込みリストへの反映。委任方式が合意できれば自動で約10分、都度申請なら先方の4営業時間以内）④所属と接続先の作成（全自動・約10分）⑤疎通確認（自動の情報取得約5分＋顧客と合同のテストログイン）⑥監視登録（自動・約5分）。基盤側の純作業は合計2〜3時間で「翌営業日以内」は成立するが、都度申請で先方の応答が1営業日以上になる場合は成立せず、その際は要件自体の緩和へエスカレーションする</t>
    <phoneticPr fontId="2"/>
  </si>
  <si>
    <t>basic-design/09-operations-observability-design.md §9.7.1</t>
    <phoneticPr fontId="2"/>
  </si>
  <si>
    <t>常時監視用の自動アクセスの配置変更と検知範囲</t>
    <phoneticPr fontId="2"/>
  </si>
  <si>
    <t>当初計画では入口を管理するアカウントに置く想定だったが、そのアカウントが他組織管理となったため成立せず、自社の監査アカウントへ配置変更（運用主体も自社の基盤運用へ変更）。検知範囲は「認証実装漏れの検知」を主目的とし、正当な通行証で200が返ることに加えて、通行証なし・改ざん通行証で401/403が返ることを確認する（認証チェックの欠落を直接検知）。外形での目標値計測（入口経由と内部直の2系統で切り分け）、段階投入時の様子見判定、予備地域の外形監視にも兼用する</t>
    <phoneticPr fontId="2"/>
  </si>
  <si>
    <t>D-U9-16</t>
    <phoneticPr fontId="2"/>
  </si>
  <si>
    <t>basic-design/09-operations-observability-design.md §9.8.1</t>
    <phoneticPr fontId="2"/>
  </si>
  <si>
    <t>既存業務システム連携の全体構成</t>
    <phoneticPr fontId="2"/>
  </si>
  <si>
    <t>U10 連携・移行</t>
    <phoneticPr fontId="2"/>
  </si>
  <si>
    <t>顧客側ID基盤→本基盤は利用者情報の自動同期（未対応なら初回ログイン時の自動作成）、本基盤→業務システムは旧来方式の認証＋業務システム側での初回自動作成という2層構成を標準とする。業務システムへの利用者情報の押し出しは今回対象外（超大企業かつ承認フロー事前設定必須かつ特定製品以外という3条件が揃う顧客のみ次段階で個別検討）。下層の経路の違いは仲介役が吸収するため上層の設計に一切現れない（これが2層＋仲介構成の設計上の利得）。画面遷移はブラウザ経由で運ばれるためサーバ間の外部通信が発生しない</t>
    <phoneticPr fontId="2"/>
  </si>
  <si>
    <t>D-U10-01</t>
    <phoneticPr fontId="2"/>
  </si>
  <si>
    <t>basic-design/10-integration-migration-design.md §10.1.1</t>
    <phoneticPr fontId="2"/>
  </si>
  <si>
    <t>業務システム向けの接続定義（テンプレート化）</t>
    <phoneticPr fontId="2"/>
  </si>
  <si>
    <t>顧客ごとに1本ずつ接続枠を発行。利用者の識別名は基盤内で一意な「所属＋利用者ID」の全体を渡し、突合用には顧客生値の社員番号を属性として別送する。署名は業務システム側の互換標準に合わせ、通行証側の方式とは別体系とする。業務システム側から始まる遷移のみ許可し、基盤側から始まる遷移は無効化（悪用面の排除）。戻り先URLは完全一致で登録しワイルドカード禁止。一括ログアウトの窓口は今回登録しない。送出属性は社員番号・メール・氏名の最小セットに限定し、部署・上司・役割は今回送らない</t>
    <phoneticPr fontId="2"/>
  </si>
  <si>
    <t>basic-design/10-integration-migration-design.md §10.1.2</t>
    <phoneticPr fontId="2"/>
  </si>
  <si>
    <t>既存利用者の引き当てと内部IDの保全</t>
    <phoneticPr fontId="2"/>
  </si>
  <si>
    <t>業務システム側の突合項目は社員番号を第一推奨とし、埋込率に応じた判断フローで顧客別に確定（移行前に決めて以後変更しない）。一致すれば既存の利用者レコードに紐付け内部IDが変わらないため、過去の申請・承認・監査履歴がすべて保全される。禁止事項3つ=①既存利用者を削除して作り直す（履歴破壊）②突合項目の後変更③パスワード無効化と連携有効化の間に隙間を作る。重複レコードは連携開始前に検出・統合しておく</t>
    <phoneticPr fontId="2"/>
  </si>
  <si>
    <t>D-U10-03</t>
    <phoneticPr fontId="2"/>
  </si>
  <si>
    <t>basic-design/10-integration-migration-design.md §10.1.3</t>
    <phoneticPr fontId="2"/>
  </si>
  <si>
    <t>移行の並走4段階</t>
    <phoneticPr fontId="2"/>
  </si>
  <si>
    <t>①準備（1〜2週間、接続枠の発行と情報提供、顧客側の設定投入、強制せず並走モードで起動、重複レコード統合をここで完了）②試行（2〜4週間、10〜20名のみ有効化し内部ID不変・履歴表示・権限を受入テスト、設定クリアで即時巻き戻し）③全社有効化（1〜2ヶ月、全員に設定しつつパスワード認証も継続、未移行者を履歴から追跡）④パスワード無効化（1ヶ月、全員の成功確認後に一般利用者のパスワードを無効化し強制モードへ。緊急用アカウントのみ残置。無効化と強制化は同一の変更枠で実施）。各段階に巻き戻し手段を明記</t>
    <phoneticPr fontId="2"/>
  </si>
  <si>
    <t>D-U10-04</t>
    <phoneticPr fontId="2"/>
  </si>
  <si>
    <t>basic-design/10-integration-migration-design.md §10.1.4</t>
    <phoneticPr fontId="2"/>
  </si>
  <si>
    <t>業務システム側の緊急用アカウント</t>
    <phoneticPr fontId="2"/>
  </si>
  <si>
    <t>2〜3名を専用命名で用意。連携設定を空にして専用の裏口URLから入る（本基盤の障害時に業務システムが道連れにならない最終防衛線）。認証はローカルパスワード20文字以上＋ハードウェアキー必須。統制はアクセス元IP制限＋使用時の即時通知＋変更申請の起票＋使用後24時間以内のパスワード入れ替え＋四半期ごとのログインテスト。これは業務システム側で完結する経路で、本基盤の緊急用アカウントとは独立</t>
    <phoneticPr fontId="2"/>
  </si>
  <si>
    <t>D-U10-05</t>
    <phoneticPr fontId="2"/>
  </si>
  <si>
    <t>basic-design/10-integration-migration-design.md §10.1.5</t>
    <phoneticPr fontId="2"/>
  </si>
  <si>
    <t>退職時の遮断連鎖と一括ログアウト</t>
    <phoneticPr fontId="2"/>
  </si>
  <si>
    <t>本基盤側で停止すれば次回アクセス時の認証が拒否され、結果として業務システムにも入れなくなる（遮断成立）。業務システム側の利用者レコードは残置し業務履歴を保全する（削除の非対称性）。既存セッションは業務システム側の無操作タイムアウトまで残るため、その残余時間を顧客契約に明記し、即時性が必要な顧客にはタイムアウト短縮を案内。一括ログアウトは成功率が6〜8割で1つの無応答が連鎖を壊すため今回不実装。復帰は本基盤側で戻せば次回アクセスで自動復帰し業務システム側の操作は不要。試行段階の受入テスト5点（内部ID不変・自動作成・遮断連鎖・緊急用アカウント・履歴非破壊）を必須</t>
    <phoneticPr fontId="2"/>
  </si>
  <si>
    <t>D-U10-06</t>
    <phoneticPr fontId="2"/>
  </si>
  <si>
    <t>basic-design/10-integration-migration-design.md §10.1.6</t>
    <phoneticPr fontId="2"/>
  </si>
  <si>
    <t>管理API の構成</t>
    <phoneticPr fontId="2"/>
  </si>
  <si>
    <t>仕様定義は1本にまとめ、ブランド側の管理APIを主役として配置（利用者の作成・変更・権限・射影・ID対応表の実体）。入口はブランド側で、振り分けは配信網の入口側で行い、重い中央窓口は置かない。中央に残るのは影ユーザの有効・無効を切り替える薄い処理のみ（削除イベントで発火）。実行形態は関数実行で確定し、認証製品（最優先）と管理ツール（次位）を別の障害範囲に分離する。認証製品の管理APIへは内部限定の接続点経由で到達。管理画面のアクセシビリティ準拠も実装要件</t>
    <phoneticPr fontId="2"/>
  </si>
  <si>
    <t>D-U10-07</t>
    <phoneticPr fontId="2"/>
  </si>
  <si>
    <t>basic-design/10-integration-migration-design.md §10.2.1</t>
    <phoneticPr fontId="2"/>
  </si>
  <si>
    <t>提供する操作の一覧と共通規約</t>
    <phoneticPr fontId="2"/>
  </si>
  <si>
    <t>利用者の検索・参照・作成・属性更新・無効化・再有効化、招待、資格情報リセット（パスワード・追加確認・ロック解除）、役割、所属管理、利用可否の付与剥奪、監査ログ照会、ID対応表、強制ログアウト、本人向けの文脈取得。削除の動詞は提供せず405を返す（今回の物理削除禁止をAPI層で物理的に強制）。共通規約=標準形式のエラー体系（内部例外の露出禁止）、カーソル方式のページング（1回200件上限、飛び番方式は大規模で不採用）、作成系は重複防止キーを受理、流量制限は管理画面10件/秒・アプリ50件/秒が初期値、全書込で実行者・対象・操作・理由コードを記録</t>
    <phoneticPr fontId="2"/>
  </si>
  <si>
    <t>D-U10-08</t>
    <phoneticPr fontId="2"/>
  </si>
  <si>
    <t>basic-design/10-integration-migration-design.md §10.2.2</t>
    <phoneticPr fontId="2"/>
  </si>
  <si>
    <t>権限モデルの実装</t>
    <phoneticPr fontId="2"/>
  </si>
  <si>
    <t>「アプリを使えるかどうか」は管理画面側のデータベースで持ちAPI照会で配る（通行証には載せない＝先の決定を上書き）。「承認上限いくらまで」といったアプリ内の詳細権限は各アプリのデータベースで持ち本基盤は関与しない。所属境界の検証は3層（通行証の検証6点→所属情報と管理者役割の確認→管理API呼び出し時に所属フィルタを常時付与、フィルタ不能なAPIは結果を再フィルタ）。越境要求は403＋監査記録。管理者自身の停止・自己の役割剥奪は拒否（締め出し防止）。自社運用者は全顧客範囲で使えるが入口は一時昇格経由に限定</t>
    <phoneticPr fontId="2"/>
  </si>
  <si>
    <t>D-U10-09</t>
    <phoneticPr fontId="2"/>
  </si>
  <si>
    <t>basic-design/10-integration-migration-design.md §10.2.3</t>
    <phoneticPr fontId="2"/>
  </si>
  <si>
    <t>利用可能アプリ一覧APIの仕様</t>
    <phoneticPr fontId="2"/>
  </si>
  <si>
    <t>着地画面と権限不足画面の表示判定の正とする。所属の表示名と、アプリごとの識別子・名称・説明・起動URL・アイコン・状態（利用可／申請可）を返す。識別子はアプリ台帳のカタログIDと統一し、権限不足画面の引数や理由コード辞書と同一の名前空間にする。キャッシュは本人限定60秒で、剥奪の伝播は最大60秒＋アプリ側の認可判定で防御。管理者役割を持つ場合のみ管理画面のタイルを含める。申請フローは今回は申請URLへの誘導のみ</t>
    <phoneticPr fontId="2"/>
  </si>
  <si>
    <t>D-U10-10</t>
    <phoneticPr fontId="2"/>
  </si>
  <si>
    <t>basic-design/10-integration-migration-design.md §10.2.4</t>
    <phoneticPr fontId="2"/>
  </si>
  <si>
    <t>出来事通知の配信機構</t>
    <phoneticPr fontId="2"/>
  </si>
  <si>
    <t>基盤は対応必須・顧客アプリ側は任意という立場。イベントバス上の正規化イベントを正とし、認証製品の生イベントを直接顧客に流さない（内部名称の契約化を防ぐ）。今回配信する7種=利用者の作成・更新・停止・復活、追加確認の登録と解除、セッション取消。予約4種=物理削除、リスク検知、接続先の有効無効、計画メンテ通知。署名は時刻付きの改ざん検知方式で許容幅±5分、秘密情報は顧客×宛先単位で保管庫管理・入れ替え時は2世代並走。重複排除用の不変IDを付与。再送は指数的な間隔で計8回・約24時間、最終失敗は待避キューに14日保管＋運用警報＋顧客通知。順序は保証せず、受信側は発生時刻とリソース再取得で収束させる規約。配信内容に個人情報は含めず、必要な属性は受信側がAPIで取得する</t>
    <phoneticPr fontId="2"/>
  </si>
  <si>
    <t>D-U10-11</t>
    <phoneticPr fontId="2"/>
  </si>
  <si>
    <t>basic-design/10-integration-migration-design.md §10.3</t>
    <phoneticPr fontId="2"/>
  </si>
  <si>
    <t>既存システムからの移行方式</t>
    <phoneticPr fontId="2"/>
  </si>
  <si>
    <t>利用者集団の性質で4分類。A=顧客側ID基盤ありの利用者は接続先を本基盤へ向け替えて初回ログインで作成（パスワード移行不要）／B=旧システムのローカルパスワード利用者は並走方式（初回ログイン時に旧システムへ照会し成功したら新方式で再保存＝強制リセットなし）を第一選択／C=属性とID対応のみ必要な集団は一括投入／D=人事システム起点の顧客は自動同期で初期投入。パスワードの持ち越しは判定フローで確定（抽出不可なら並走方式、標準的な方式ならそのまま取り込み、旧方式を恒久維持するなら独自部品を追加して互換検証の対象に載せる、方式不明や脆弱な方式なら強制リセット）。切替単位はアプリ単位で並走3〜6ヶ月、旧IDは対応表に記録し通行証には載せない（先の決定を上書き）。巻き戻しは1時間以内が目標</t>
    <phoneticPr fontId="2"/>
  </si>
  <si>
    <t>basic-design/10-integration-migration-design.md §10.4</t>
    <phoneticPr fontId="2"/>
  </si>
  <si>
    <t>データ主体の権利対応の今回範囲</t>
    <phoneticPr fontId="2"/>
  </si>
  <si>
    <t>今回は手動運用（手順書）＋既存APIの組み合わせに限定。受付は顧客管理者経由の1経路に収束させ、本人向けポータル・自動化された処理基盤・暗号鍵削除による消去は次段階。6権利の実現手段=開示と可搬性は標準形式での書き出し手順（秘匿値は含めない）／訂正は属性更新API／削除は停止処理＋監査ログの仮名化で応答し物理削除は行わない（先の決定が優先。監査・法的義務による保持は法令上の除外事由に該当）／処理制限は停止処理／処理拒否は手動対応。全対応を7年保管。件数が月10件を超えた時点を次段階への前倒しトリガーとする</t>
    <phoneticPr fontId="2"/>
  </si>
  <si>
    <t>D-U10-13</t>
    <phoneticPr fontId="2"/>
  </si>
  <si>
    <t>basic-design/10-integration-migration-design.md §10.5</t>
    <phoneticPr fontId="2"/>
  </si>
  <si>
    <t>継続アクセス（CAEP／共有シグナル）= 取り消し漏れ時間の恒久解</t>
    <phoneticPr fontId="2"/>
  </si>
  <si>
    <t>通行証の取り消しが受け取り側に届かない残余時間（最大30分）の恒久的な解決策として、継続的アクセス評価を目標構成に据える。今回は暫定のつなぎ（短命な通行証＋一括無効化＋高価値リソースの都度照会＋送信者拘束）に加え、削除伝播の仕組みを起点とした自前のイベント送出を実装し、希望する受け取り側にセッション取消・アカウント無効化を配信する。次段階で製品標準の対応、その次で顧客側ID基盤からの失効を受信する側へ拡張。受け取り側実装ガイドに受信章を追加。最終確定は新設ゲートと顧客確認に依存</t>
    <phoneticPr fontId="2"/>
  </si>
  <si>
    <t>D-U5-09</t>
    <phoneticPr fontId="2"/>
  </si>
  <si>
    <t>basic-design/05-token-session-authz-design.md §5.10.1 / ADR-065</t>
    <phoneticPr fontId="2"/>
  </si>
  <si>
    <t>API層のステップアップ = 標準仕様に準拠</t>
    <phoneticPr fontId="2"/>
  </si>
  <si>
    <t>管理系・決済・個人情報更新などの重要APIについて、API側から「本人確認が不足している」と通知して再認証へ誘導する標準方式に準拠する。ログイン時のステップアップと同じ強度体系を使う。今回は構造の準備（認可要求の集約）に留め、重要APIが発生した時点でAPI側のチャレンジを有効化する</t>
    <phoneticPr fontId="2"/>
  </si>
  <si>
    <t>D-U5-10</t>
    <phoneticPr fontId="2"/>
  </si>
  <si>
    <t>basic-design/05-token-session-authz-design.md §5.10.2</t>
    <phoneticPr fontId="2"/>
  </si>
  <si>
    <t>同時セッション数の制限</t>
    <phoneticPr fontId="2"/>
  </si>
  <si>
    <t>基盤運用者と顧客テナント管理者に同時に有効なセッションの上限を設ける（製品標準の機能を使用）。無制限のセッションは失効時の影響範囲と乗っ取りリスクを拡大するため。一般利用者は無制限のままとし、上限は管理系のみ。具体的な上限値は運用設計側のサイジングと合わせて確定。顧客確認事項として登録</t>
    <phoneticPr fontId="2"/>
  </si>
  <si>
    <t>D-U5-11</t>
    <phoneticPr fontId="2"/>
  </si>
  <si>
    <t>basic-design/05-token-session-authz-design.md §5.10.3</t>
    <phoneticPr fontId="2"/>
  </si>
  <si>
    <t>通行証引き換えの委譲制御</t>
    <phoneticPr fontId="2"/>
  </si>
  <si>
    <t>引き換えの際に「実際に操作している主体」と「代理を許された主体」を明示するクレームで委譲を表現し、引き換えごとに宛先と権限範囲の縮小を必須とする（黙って権限が広がることを禁止）。なりすましと正規の委譲を区別する。将来の自動エージェントによる代理実行の基盤にもなる</t>
    <phoneticPr fontId="2"/>
  </si>
  <si>
    <t>D-U5-12</t>
    <phoneticPr fontId="2"/>
  </si>
  <si>
    <t>basic-design/05-token-session-authz-design.md §5.10.4</t>
    <phoneticPr fontId="2"/>
  </si>
  <si>
    <t>金融グレード仕様への姿勢</t>
    <phoneticPr fontId="2"/>
  </si>
  <si>
    <t>今回の認可要求の基線は、検証子付きの標準フロー＋発行元の応答検証＋使い捨て値の必須化で成立させる。要求内容の事前登録・要求そのものの署名・送信者拘束の3つは「金融グレードの顧客が出た時点で必須化する」条件付き採用とし、現時点では導入しない。相互証明書方式は第3段階という既存の段階昇格と整合。判定は顧客確認に依存</t>
    <phoneticPr fontId="2"/>
  </si>
  <si>
    <t>D-U5-13</t>
    <phoneticPr fontId="2"/>
  </si>
  <si>
    <t>basic-design/05-token-session-authz-design.md §5.10.5</t>
    <phoneticPr fontId="2"/>
  </si>
  <si>
    <t>送信者拘束方式の運用サイジング</t>
    <phoneticPr fontId="2"/>
  </si>
  <si>
    <t>導入時はサーバ側から使い捨て値を提供する仕組み（時刻ずれと事前生成攻撃の対策）と、証明の再生防止キャッシュが必要。1000万規模では再生防止キャッシュが容量と応答時間の設計項目になるため、インフラ側のサイジングに含める。送信者拘束は通行証だけでなく更新用の引換券にも適用する（盗まれた引換券を別端末で使わせない）</t>
    <phoneticPr fontId="2"/>
  </si>
  <si>
    <t>D-U5-14</t>
    <phoneticPr fontId="2"/>
  </si>
  <si>
    <t>basic-design/05-token-session-authz-design.md §5.10.6</t>
    <phoneticPr fontId="2"/>
  </si>
  <si>
    <t>セルフサービスのセッション・端末管理</t>
    <phoneticPr fontId="2"/>
  </si>
  <si>
    <t>利用者が自分の有効なセッションと端末の一覧を見て、自分で失効させられる画面を提供する（製品標準のアカウント設定画面相当をブランド適用、または管理画面に組込）。不審な端末の即時失効と、自分のアクセス状況の可視化を利用者自身で担保し、問い合わせ負荷と取り消し漏れ時間の露出を縮小する。管理者側の強制失効とは別レイヤ。顧客側ID基盤を使う利用者については本基盤のセッションのみが対象（顧客側のセッションは顧客責任）。今回実装するか次段階かは顧客確認で確定</t>
    <phoneticPr fontId="2"/>
  </si>
  <si>
    <t>D-U4-09</t>
    <phoneticPr fontId="2"/>
  </si>
  <si>
    <t>basic-design/04-auth-ux-design.md §4.3.5</t>
    <phoneticPr fontId="2"/>
  </si>
  <si>
    <t>安全な登録手続き（登録の乗っ取り対策）</t>
    <phoneticPr fontId="2"/>
  </si>
  <si>
    <t>追加確認手段の新規登録は「検証済みの文脈」でのみ許可する。①初回は初回ログイン直後の強制登録 ②2台目以降と再登録は、既存の認証手段または予備コードによる再認証を必須とし、第1要素だけでの追加登録を禁止。盗んだ第1要素で攻撃者が自分の認証器を登録し、正規の利用者を締め出す乗っ取り手口を防ぐため。顧客確認事項として登録</t>
    <phoneticPr fontId="2"/>
  </si>
  <si>
    <t>D-U4-10</t>
    <phoneticPr fontId="2"/>
  </si>
  <si>
    <t>認証器のみ・メール非保有の利用者の復旧</t>
    <phoneticPr fontId="2"/>
  </si>
  <si>
    <t>メールによる追加確認を不採用としたためメール経由のリセット経路が存在しない。そのため ①2台目の認証手段の事前登録を強く推奨（登録直後に案内）②復旧時に確認の強度を下げない（予備コードまたは管理者の一時昇格承認経路のみとし、SMSやメールへの後退を禁止）③永久的な締め出しを避ける設計（自社受け皿収容の利用者は顧客テナント管理者、基盤運用者は運用手順書による復旧経路を用意）。顧客確認事項として登録</t>
    <phoneticPr fontId="2"/>
  </si>
  <si>
    <t>D-U4-11</t>
    <phoneticPr fontId="2"/>
  </si>
  <si>
    <t>非人間IDのガバナンス</t>
    <phoneticPr fontId="2"/>
  </si>
  <si>
    <t>機械同士の通信用アカウント・サービスアカウント・実行環境の権限・連携部品・糊付けの関数など、本基盤が生成し保持する非人間IDを、軽量な台帳＋命名規約＋孤立検知＋失効伝播で統制する（軽量な権限管理の枠組みの傘下）。1000超の顧客×機械通信で非人間IDは人間の数十倍規模になり、台帳・責任者・棚卸しがないとスケール時に統制不能になり資格情報が散乱するため。要点=①台帳（種別／責任者は必須で空欄は自動検査で拒否／用途／権限範囲／更新周期／最終使用、権限系データベースに同居）②孤立検知の定期ジョブ（最終使用から90日超・責任者不在・更新期限超過を検出し通知のうえ猶予後に停止）③失効は既存の削除伝播の仕組みで伝播。顧客と自社どちらが責任者を持つかの分界は顧客確認 B-NHI-1。自動エージェントのIDは非人間IDの特殊系として台帳の種別拡張で受ける</t>
    <phoneticPr fontId="2"/>
  </si>
  <si>
    <t>D-U7-20</t>
    <phoneticPr fontId="2"/>
  </si>
  <si>
    <t>basic-design/07-security-compliance-design.md §7.5.5 / ADR-066</t>
    <phoneticPr fontId="2"/>
  </si>
  <si>
    <t>同意管理・同意レシート</t>
    <phoneticPr fontId="2"/>
  </si>
  <si>
    <t>顧客側ID基盤からの属性の受け渡し・越境・利用目的に対する同意を、記録・撤回・監査証跡（同意レシート）として保持する枠組みを用意する。連携では利用者の属性を受け取り側アプリに渡すため、国内外の個人情報保護法制は記録可能かつ撤回可能な同意を期待する。製品には同意画面があるが、記録・目的の拘束・撤回の伝播は別途設計が必要。今回の既定は自社が主体のサービスであるため同意画面はオフ運用可としつつ、越境や第三者提供が絡む顧客については同意レシートを必須とする。要否と適用範囲は顧客確認 B-CONSENT-1。忘れられる権利との整合は連携・移行側の決定と顧客確認 B-RTBF-1 で扱う</t>
    <phoneticPr fontId="2"/>
  </si>
  <si>
    <t>D-U7-21</t>
    <phoneticPr fontId="2"/>
  </si>
  <si>
    <t>basic-design/07-security-compliance-design.md §7.7.6</t>
    <phoneticPr fontId="2"/>
  </si>
  <si>
    <t>非本番環境の個人情報マスキング／合成データ</t>
    <phoneticPr fontId="2"/>
  </si>
  <si>
    <t>検証環境に本番相当の個人情報を投入しない。①本番からの複製時に不可逆のマスキングを施す ②または合成データを生成する のいずれかをコード管理と自動検査で標準化し、非本番に平文の個人情報が着地しないことを機械的に検査する。1000万規模の実データを非本番に露出させることは法令上の重大な責任であり、テスト環境からの流出は制裁事例でも相当の割合を占めるため。負荷試験用の大量データセットも本規約に従い合成生成する。適用範囲とマスキング方式は顧客確認 B-TESTDATA-1</t>
    <phoneticPr fontId="2"/>
  </si>
  <si>
    <t>D-U9-19</t>
    <phoneticPr fontId="2"/>
  </si>
  <si>
    <t>basic-design/09-operations-observability-design.md §9.5.5</t>
    <phoneticPr fontId="2"/>
  </si>
  <si>
    <t>認可判定ログ</t>
    <phoneticPr fontId="2"/>
  </si>
  <si>
    <t>管理APIの認可判定ごとに決定ログ（判定対象・操作主体・対象リソース×操作・許可/拒否・理由・適用したポリシー版）を出力し、既存のログ3層に相乗りさせる（秘匿情報のマスキングを通過後に保存、判定対象は個人情報非搭載の内部IDのみ）。既存の監査ログは認証イベント中心で、第三者認証や情報セキュリティ規格が求める「認可の説明可能性（最小権限の証明）」が担保されないため。サンプリングは拒否を全件、高権限操作（書込・削除・権限変更）の許可も全件、一般の読み取りは集約とし、量の律速を避けつつ高リスク面で「なぜ許可したか」を担保。将来、認可判定を外部エンジンに移しても決定ログの形は変わらない。粒度と保持期間は顧客確認 B-AUTHZLOG-1</t>
    <phoneticPr fontId="2"/>
  </si>
  <si>
    <t>D-U9-20</t>
    <phoneticPr fontId="2"/>
  </si>
  <si>
    <t>basic-design/09-operations-observability-design.md §9.3.3 / ADR-067</t>
    <phoneticPr fontId="2"/>
  </si>
  <si>
    <t>テナント隔離の契約化と認証フローの公平性</t>
    <phoneticPr fontId="2"/>
  </si>
  <si>
    <t>単一の領域＋所属単位の構成は論理的な分離であり、資源や障害の隔離が自動的に伴うわけではないため、隔離を「契約」として明文化する。①テナント別の公平性（一部の顧客の急増が他に波及する問題への対策）= ログインと通行証発行のフローに顧客別のレート制限・上限を設ける。利用者同期と管理APIには既に毎秒10件の制限があるが、認証フローは1顧客の急増で共有のデータベース接続プールとキャッシュを枯渇させ得るため、配信網や負荷分散装置の層と認証製品側の両方で顧客別の絞り込みを実装する ②隔離の強制点 = 所属情報をデータベースの行・ログ・キュー・射影・下流APIで一貫して強制する（所属のクレームは識別であって隔離ではない）③領域分割への脱出条件 = 領域全体の変更・障害・キャッシュは全顧客に波及するため、大口顧客や規制対象の顧客を別領域へ分離できる基準を持つ。既定値と分離基準は顧客確認 B-TENANT-ISO-1 とインフラ側サイジングで確定</t>
    <phoneticPr fontId="2"/>
  </si>
  <si>
    <t>D-U6-14</t>
    <phoneticPr fontId="2"/>
  </si>
  <si>
    <t>basic-design/06-infra-network-design.md §6.6.3</t>
    <phoneticPr fontId="2"/>
  </si>
  <si>
    <t>忘れられる権利と7年間の改ざん不能監査の境界を明文化</t>
    <phoneticPr fontId="2"/>
  </si>
  <si>
    <t>利用者からの消去要求と、改ざん不能で7年保管する監査証跡は正面から衝突するため、「消去する対象」と「不変の監査側で墓標化・仮名化して残す対象」の境界を文書で定める（都度判断は不可）。既定は、個人データ本体は停止処理のうえ次段階の物理削除へ／監査ログ内の主体識別子は仮名化して保持（法令上の保持根拠がある）。認可判定ログ内の識別子の仮名化も同じ扱いで整合させる。境界の最終確定は顧客確認 B-RTBF-1</t>
    <phoneticPr fontId="2"/>
  </si>
  <si>
    <t>D-U10-13b</t>
    <phoneticPr fontId="2"/>
  </si>
  <si>
    <t>機能要件</t>
    <phoneticPr fontId="2"/>
  </si>
  <si>
    <t>非機能要件</t>
    <phoneticPr fontId="2"/>
  </si>
  <si>
    <t>設計タスク</t>
    <phoneticPr fontId="2"/>
  </si>
  <si>
    <t>総数</t>
    <phoneticPr fontId="2"/>
  </si>
  <si>
    <t>確定</t>
    <phoneticPr fontId="2"/>
  </si>
  <si>
    <t>方向性確定</t>
    <phoneticPr fontId="2"/>
  </si>
  <si>
    <t>検討中</t>
    <phoneticPr fontId="2"/>
  </si>
  <si>
    <t>外部待ち</t>
    <phoneticPr fontId="2"/>
  </si>
  <si>
    <t>要件の状況（5区分）</t>
  </si>
  <si>
    <t>種別</t>
    <phoneticPr fontId="2"/>
  </si>
  <si>
    <t>IDパターン</t>
    <phoneticPr fontId="2"/>
  </si>
  <si>
    <t>FR-AUTH-*</t>
    <phoneticPr fontId="2"/>
  </si>
  <si>
    <t>FR-FED-*</t>
    <phoneticPr fontId="2"/>
  </si>
  <si>
    <t>FR-MFA-*</t>
    <phoneticPr fontId="2"/>
  </si>
  <si>
    <t>FR-SSO-*</t>
    <phoneticPr fontId="2"/>
  </si>
  <si>
    <t>FR-AUTHZ-*</t>
    <phoneticPr fontId="2"/>
  </si>
  <si>
    <t>FR-USER-*</t>
    <phoneticPr fontId="2"/>
  </si>
  <si>
    <t>FR-ADMIN-*</t>
    <phoneticPr fontId="2"/>
  </si>
  <si>
    <t>FR-INT-*</t>
    <phoneticPr fontId="2"/>
  </si>
  <si>
    <t>NFR-AVL-*</t>
    <phoneticPr fontId="2"/>
  </si>
  <si>
    <t>NFR-PERF-*</t>
    <phoneticPr fontId="2"/>
  </si>
  <si>
    <t>NFR-SCL-*</t>
    <phoneticPr fontId="2"/>
  </si>
  <si>
    <t>NFR-SEC-*</t>
    <phoneticPr fontId="2"/>
  </si>
  <si>
    <t>NFR-DR-*</t>
    <phoneticPr fontId="2"/>
  </si>
  <si>
    <t>NFR-OPS-*</t>
    <phoneticPr fontId="2"/>
  </si>
  <si>
    <t>NFR-COMP-*</t>
    <phoneticPr fontId="2"/>
  </si>
  <si>
    <t>NFR-COST-*</t>
    <phoneticPr fontId="2"/>
  </si>
  <si>
    <t>NFR-MIG-*</t>
    <phoneticPr fontId="2"/>
  </si>
  <si>
    <t>A-*</t>
    <phoneticPr fontId="2"/>
  </si>
  <si>
    <t>B-*</t>
    <phoneticPr fontId="2"/>
  </si>
  <si>
    <t>C-*</t>
    <phoneticPr fontId="2"/>
  </si>
  <si>
    <t>D-*</t>
    <phoneticPr fontId="2"/>
  </si>
  <si>
    <t>E-*</t>
    <phoneticPr fontId="2"/>
  </si>
  <si>
    <t>F-*</t>
    <phoneticPr fontId="2"/>
  </si>
  <si>
    <t>G-*</t>
    <phoneticPr fontId="2"/>
  </si>
  <si>
    <t>成果物種別</t>
  </si>
  <si>
    <t>追加時期</t>
  </si>
  <si>
    <t>DU-U2-01</t>
  </si>
  <si>
    <t>Realm/Organizations 構成</t>
  </si>
  <si>
    <t>Config</t>
  </si>
  <si>
    <t>DU-U6-01</t>
  </si>
  <si>
    <t>—</t>
  </si>
  <si>
    <t>🔒 確定</t>
  </si>
  <si>
    <t>v1.0（2026-08-10）</t>
  </si>
  <si>
    <t>DU-U2-02</t>
  </si>
  <si>
    <t>2層間フェデレーション</t>
  </si>
  <si>
    <t>DU-U2-01, DU-U6-05</t>
  </si>
  <si>
    <t>🟡 ゲート待ち</t>
  </si>
  <si>
    <t>DU-U2-03</t>
  </si>
  <si>
    <t>認証フロー5系統</t>
  </si>
  <si>
    <t>DU-U2-04</t>
  </si>
  <si>
    <t>独自機能（3JAR／4機能）</t>
  </si>
  <si>
    <t>SPI</t>
  </si>
  <si>
    <t>DU-U2-05</t>
  </si>
  <si>
    <t>通行証の項目定義</t>
  </si>
  <si>
    <t>DU-U2-01, DU-U5-01</t>
  </si>
  <si>
    <t>DU-U2-06</t>
  </si>
  <si>
    <t>利用者項目スキーマの宣言</t>
  </si>
  <si>
    <t>DU-U2-07</t>
  </si>
  <si>
    <t>旧来方式のID提供元テンプレート</t>
  </si>
  <si>
    <t>DU-U2-08</t>
  </si>
  <si>
    <t>1000件超のスケール設定</t>
  </si>
  <si>
    <t>Config / IaC</t>
  </si>
  <si>
    <t>DU-U6-02</t>
  </si>
  <si>
    <t>DU-U3-01</t>
  </si>
  <si>
    <t>3階層識別子＋ID対応表</t>
  </si>
  <si>
    <t>IaC</t>
  </si>
  <si>
    <t>DU-U6-03</t>
  </si>
  <si>
    <t>DU-U3-02</t>
  </si>
  <si>
    <t>作成経路6値＋判別ロジック</t>
  </si>
  <si>
    <t>SPI / Config</t>
  </si>
  <si>
    <t>DU-U3-03</t>
  </si>
  <si>
    <t>利用者自動同期の受け口（自作）</t>
  </si>
  <si>
    <t>App</t>
  </si>
  <si>
    <t>DU-U3-04</t>
  </si>
  <si>
    <t>統合コンテキストの射影</t>
  </si>
  <si>
    <t>App / IaC</t>
  </si>
  <si>
    <t>DU-U3-01, DU-U3-03</t>
  </si>
  <si>
    <t>DU-U3-05</t>
  </si>
  <si>
    <t>削除・停止の確実な伝播</t>
  </si>
  <si>
    <t>DU-U3-01, DU-U6-01, DU-U6-05</t>
  </si>
  <si>
    <t>DU-U3-06</t>
  </si>
  <si>
    <t>状態機械＋3段階削除</t>
  </si>
  <si>
    <t>Config / App</t>
  </si>
  <si>
    <t>DU-U3-07</t>
  </si>
  <si>
    <t>再有効化の統合</t>
  </si>
  <si>
    <t>DU-U2-04, DU-U3-02</t>
  </si>
  <si>
    <t>DU-U3-08</t>
  </si>
  <si>
    <t>90日休眠バッチ</t>
  </si>
  <si>
    <t>DU-U6-02, DU-U3-06</t>
  </si>
  <si>
    <t>DU-U4-01</t>
  </si>
  <si>
    <t>識別子先行＋所属判定のUX</t>
  </si>
  <si>
    <t>Config / Theme</t>
  </si>
  <si>
    <t>DU-U4-02</t>
  </si>
  <si>
    <t>ブランディング（統一テーマ1本）</t>
  </si>
  <si>
    <t>Theme</t>
  </si>
  <si>
    <t>DU-U4-03</t>
  </si>
  <si>
    <t>追加確認のUX 4ケース</t>
  </si>
  <si>
    <t>Theme / Config</t>
  </si>
  <si>
    <t>DU-U4-01, DU-U7-08</t>
  </si>
  <si>
    <t>DU-U4-04</t>
  </si>
  <si>
    <t>着地画面（許可サービス一覧）</t>
  </si>
  <si>
    <t>DU-U10-02</t>
  </si>
  <si>
    <t>DU-U4-05</t>
  </si>
  <si>
    <t>権限不足画面</t>
  </si>
  <si>
    <t>DU-U5-05</t>
  </si>
  <si>
    <t>DU-U4-06</t>
  </si>
  <si>
    <t>アクセシビリティ準拠</t>
  </si>
  <si>
    <t>Doc / Test</t>
  </si>
  <si>
    <t>DU-U4-01〜05</t>
  </si>
  <si>
    <t>🆕 新規（要件化が先行）</t>
  </si>
  <si>
    <t>DU-U4-07</t>
  </si>
  <si>
    <t>多言語・日本語ロケールの明示</t>
  </si>
  <si>
    <t>Config / Doc</t>
  </si>
  <si>
    <t>🆕 新規（決定化が先行）</t>
  </si>
  <si>
    <t>DU-U4-08</t>
  </si>
  <si>
    <t>セルフサービスのパスワード再設定画面</t>
  </si>
  <si>
    <t>DU-U4-09</t>
  </si>
  <si>
    <t>App / Theme</t>
  </si>
  <si>
    <t>v1.1（2026-08-12 再監査）</t>
  </si>
  <si>
    <t>DU-U4-10</t>
  </si>
  <si>
    <t>DU-U5-01</t>
  </si>
  <si>
    <t>項目辞書＋有効時間の確定</t>
  </si>
  <si>
    <t>DU-U5-02</t>
  </si>
  <si>
    <t>通行証の引き換え（2方式）</t>
  </si>
  <si>
    <t>DU-U5-03</t>
  </si>
  <si>
    <t>失効・緊急停止・一括ログアウト</t>
  </si>
  <si>
    <t>DU-U5-01, DU-U7-03</t>
  </si>
  <si>
    <t>DU-U5-04</t>
  </si>
  <si>
    <t>管理API の操作範囲＋機械認証</t>
  </si>
  <si>
    <t>DU-U5-01, DU-U10-02</t>
  </si>
  <si>
    <t>受け取り側実装ガイド</t>
  </si>
  <si>
    <t>Doc</t>
  </si>
  <si>
    <t>DU-U5-06</t>
  </si>
  <si>
    <t>DU-U3-05, DU-U5-03</t>
  </si>
  <si>
    <t>DU-U5-07</t>
  </si>
  <si>
    <t>プロトコル堅牢化</t>
  </si>
  <si>
    <t>DU-U5-01, DU-U2-03</t>
  </si>
  <si>
    <t>6アカウント＋越境8経路</t>
  </si>
  <si>
    <t>DU-U9I-01</t>
  </si>
  <si>
    <t>2クラスタ＋ノード群</t>
  </si>
  <si>
    <t>データベース2系統（認証系と権限系の分離）</t>
  </si>
  <si>
    <t>DU-U6-04</t>
  </si>
  <si>
    <t>入口3系統</t>
  </si>
  <si>
    <t>DU-U6-05</t>
  </si>
  <si>
    <t>内部接続点＋私設経路</t>
  </si>
  <si>
    <t>DU-U6-06</t>
  </si>
  <si>
    <t>管理APIの実行基盤</t>
  </si>
  <si>
    <t>DU-U6-07</t>
  </si>
  <si>
    <t>外部通信を持たない構成／許可ルールの要求</t>
  </si>
  <si>
    <t>IaC / Doc</t>
  </si>
  <si>
    <t>DU-U6-08</t>
  </si>
  <si>
    <t>管理画面3層防御＋管理用ホスト名分離</t>
  </si>
  <si>
    <t>IaC / Config</t>
  </si>
  <si>
    <t>DU-U6-09</t>
  </si>
  <si>
    <t>ネットワーク番号の割当計画の凍結</t>
  </si>
  <si>
    <t>Doc / IaC</t>
  </si>
  <si>
    <t>DU-U6-10</t>
  </si>
  <si>
    <t>テナント隔離の契約化・公平性</t>
  </si>
  <si>
    <t>DU-U7-01</t>
  </si>
  <si>
    <t>暗号鍵の3階層と6アカウントへの写像</t>
  </si>
  <si>
    <t>DU-U7-02</t>
  </si>
  <si>
    <t>署名鍵の90日入れ替え</t>
  </si>
  <si>
    <t>DU-U2-01, DU-U7-01</t>
  </si>
  <si>
    <t>DU-U7-03</t>
  </si>
  <si>
    <t>不正検知エンジン</t>
  </si>
  <si>
    <t>DU-U6-01, DU-U2-04</t>
  </si>
  <si>
    <t>DU-U7-04</t>
  </si>
  <si>
    <t>ログの秘匿情報マスキング辞書</t>
  </si>
  <si>
    <t>App / Config</t>
  </si>
  <si>
    <t>DU-U9O-02</t>
  </si>
  <si>
    <t>DU-U7-05</t>
  </si>
  <si>
    <t>実行環境の権限</t>
  </si>
  <si>
    <t>DU-U6-02, DU-U7-01</t>
  </si>
  <si>
    <t>DU-U7-06</t>
  </si>
  <si>
    <t>特権管理＋緊急用アカウント</t>
  </si>
  <si>
    <t>DU-U6-08, DU-U7-01</t>
  </si>
  <si>
    <t>DU-U7-07</t>
  </si>
  <si>
    <t>認証系と権限系の4軸分離</t>
  </si>
  <si>
    <t>DU-U7-08</t>
  </si>
  <si>
    <t>パスワードポリシー／追加確認の要素</t>
  </si>
  <si>
    <t>DU-U7-09</t>
  </si>
  <si>
    <t>自動化攻撃・大量アクセス対策</t>
  </si>
  <si>
    <t>Doc / Config</t>
  </si>
  <si>
    <t>DU-U7-10</t>
  </si>
  <si>
    <t>非人間IDの台帳</t>
  </si>
  <si>
    <t>DU-U3-01, DU-U7-05</t>
  </si>
  <si>
    <t>DU-U7-11</t>
  </si>
  <si>
    <t>App / Doc</t>
  </si>
  <si>
    <t>DU-U8-01</t>
  </si>
  <si>
    <t>内部目標値＋消費速度の警報</t>
  </si>
  <si>
    <t>DU-U9O-01</t>
  </si>
  <si>
    <t>DU-U8-02</t>
  </si>
  <si>
    <t>手動コールド復旧（およそ14日）</t>
  </si>
  <si>
    <t>DU-U8-03</t>
  </si>
  <si>
    <t>データ保全3層</t>
  </si>
  <si>
    <t>DU-U8-04</t>
  </si>
  <si>
    <t>復旧手順書＋訓練</t>
  </si>
  <si>
    <t>DU-U8-05</t>
  </si>
  <si>
    <t>復元2経路</t>
  </si>
  <si>
    <t>DU-U9I-01, DU-U8-03</t>
  </si>
  <si>
    <t>U9 運用・IaC</t>
  </si>
  <si>
    <t>コード管理2層＋管理単位の分離</t>
  </si>
  <si>
    <t>DU-U9I-02</t>
  </si>
  <si>
    <t>継続的な組み立てと配信</t>
  </si>
  <si>
    <t>U9 運用・監視</t>
  </si>
  <si>
    <t>計測基盤＋接続先件数の関数監視</t>
  </si>
  <si>
    <t>IaC / App</t>
  </si>
  <si>
    <t>ログ3層＋監視製品連携</t>
  </si>
  <si>
    <t>DU-U6-01, DU-U7-04</t>
  </si>
  <si>
    <t>DU-U9O-03</t>
  </si>
  <si>
    <t>手順書体系＋禁則集</t>
  </si>
  <si>
    <t>各DU</t>
  </si>
  <si>
    <t>DU-U9O-04</t>
  </si>
  <si>
    <t>顧客追加パイプライン</t>
  </si>
  <si>
    <t>DU-U2-01, DU-U9I-01</t>
  </si>
  <si>
    <t>DU-U9O-05</t>
  </si>
  <si>
    <t>常時監視用の自動アクセス</t>
  </si>
  <si>
    <t>DU-U9O-06</t>
  </si>
  <si>
    <t>DU-U10-02, DU-U9O-02</t>
  </si>
  <si>
    <t>DU-U9O-07</t>
  </si>
  <si>
    <t>非本番の個人情報マスキング</t>
  </si>
  <si>
    <t>IaC / CI</t>
  </si>
  <si>
    <t>DU-U10-01</t>
  </si>
  <si>
    <t>業務システム連携</t>
  </si>
  <si>
    <t>Config / Test</t>
  </si>
  <si>
    <t>DU-U2-07, DU-U3-03</t>
  </si>
  <si>
    <t>管理API v1</t>
  </si>
  <si>
    <t>DU-U6-06, DU-U3-01, DU-U5-04</t>
  </si>
  <si>
    <t>DU-U10-03</t>
  </si>
  <si>
    <t>出来事通知の配信</t>
  </si>
  <si>
    <t>DU-U10-04</t>
  </si>
  <si>
    <t>移行4集団</t>
  </si>
  <si>
    <t>Doc / App</t>
  </si>
  <si>
    <t>DU-U10-05</t>
  </si>
  <si>
    <t>データ主体の権利対応（手動）</t>
  </si>
  <si>
    <t>DU-U10-06</t>
  </si>
  <si>
    <t>退職時の遮断連鎖</t>
  </si>
  <si>
    <t>DU-U10-07</t>
  </si>
  <si>
    <t>消去と監査保持の境界</t>
  </si>
  <si>
    <t>DU数</t>
  </si>
  <si>
    <t>フェーズ</t>
  </si>
  <si>
    <t>要件定義</t>
  </si>
  <si>
    <t>基本設計</t>
  </si>
  <si>
    <t>フェーズ</t>
    <phoneticPr fontId="2"/>
  </si>
  <si>
    <t>残り（検討中＋外部待ち）</t>
    <phoneticPr fontId="2"/>
  </si>
  <si>
    <t>内容</t>
    <phoneticPr fontId="2"/>
  </si>
  <si>
    <t>②詳細設計</t>
  </si>
  <si>
    <t>③構築</t>
  </si>
  <si>
    <t>区分</t>
    <phoneticPr fontId="2"/>
  </si>
  <si>
    <t>状態</t>
    <phoneticPr fontId="2"/>
  </si>
  <si>
    <t>🔴 Phase 1 必須</t>
  </si>
  <si>
    <t>00b（v1.0/1.1）</t>
  </si>
  <si>
    <t>DU-U2-09</t>
  </si>
  <si>
    <t>ブランド＝領域のマルチ領域モデリング</t>
  </si>
  <si>
    <t>🟡 将来・条件付</t>
  </si>
  <si>
    <t>🟡 将来（先行判断要）</t>
  </si>
  <si>
    <t>v1.2（2026-08-12 GAP監査）</t>
  </si>
  <si>
    <t>§3.8.0 / ADR-063</t>
  </si>
  <si>
    <t>DU-U2-10</t>
  </si>
  <si>
    <t>2層間のセッション整合</t>
  </si>
  <si>
    <t>§2.2.5 GAP-1〜5</t>
  </si>
  <si>
    <t>DU-U3-09</t>
  </si>
  <si>
    <t>再有効化の対称伝播</t>
  </si>
  <si>
    <t>DU-U3-10</t>
  </si>
  <si>
    <t>初回の識別子通知の整合設計</t>
  </si>
  <si>
    <t>DU-U3-11</t>
  </si>
  <si>
    <t>属性の正準化ソース台帳</t>
  </si>
  <si>
    <t>DU-U4-11</t>
  </si>
  <si>
    <t>認証器のみ・メール非保有の復旧</t>
  </si>
  <si>
    <t>DU-U5-08</t>
  </si>
  <si>
    <t>送信者拘束方式の運用サイジング準備</t>
  </si>
  <si>
    <t>🟡 将来（次段階）</t>
  </si>
  <si>
    <t>DU-U6-11</t>
  </si>
  <si>
    <t>内部接続点の通信暗号化基盤</t>
  </si>
  <si>
    <t>ADR-062 / D-U6-11</t>
  </si>
  <si>
    <t>DU-U6-12</t>
  </si>
  <si>
    <t>メール送信基盤</t>
  </si>
  <si>
    <t>§A.4 A6a-1</t>
  </si>
  <si>
    <t>DU-U6-13</t>
  </si>
  <si>
    <t>名前解決の設計</t>
  </si>
  <si>
    <t>DNS 3役割 / REQ-OUT-04</t>
  </si>
  <si>
    <t>DU-U7-12</t>
  </si>
  <si>
    <t>秘密情報の90日自動入れ替え</t>
  </si>
  <si>
    <t>DU-U7-13</t>
  </si>
  <si>
    <t>供給網の検証点</t>
  </si>
  <si>
    <t>D-U7-16 / ADR-046</t>
  </si>
  <si>
    <t>DU-U7-14</t>
  </si>
  <si>
    <t>漏えい報告の手順＋委託先監督</t>
  </si>
  <si>
    <t>D-U7-15 / 15b</t>
  </si>
  <si>
    <t>DU-U7-15</t>
  </si>
  <si>
    <t>管理API用クライアントの最小権限化</t>
  </si>
  <si>
    <t>DU-U8-06</t>
  </si>
  <si>
    <t>地域内の可用性</t>
  </si>
  <si>
    <t>DU-U8-07</t>
  </si>
  <si>
    <t>データベースの地域内切替の調整</t>
  </si>
  <si>
    <t>DU-U8-08</t>
  </si>
  <si>
    <t>無停止デプロイ戦略</t>
  </si>
  <si>
    <t>DU-U8-09</t>
  </si>
  <si>
    <t>セッション連続性と顧客への明示</t>
  </si>
  <si>
    <t>DU-U8-10</t>
  </si>
  <si>
    <t>ブランド側の災害復旧対象化</t>
  </si>
  <si>
    <t>§8.2.2</t>
  </si>
  <si>
    <t>DU-U8-11</t>
  </si>
  <si>
    <t>削除伝播の災害復旧整合</t>
  </si>
  <si>
    <t>DU-U3-05, DU-U8-02</t>
  </si>
  <si>
    <t>ADR-064</t>
  </si>
  <si>
    <t>DU-U8-12</t>
  </si>
  <si>
    <t>復旧方針の決定記録の改訂</t>
  </si>
  <si>
    <t>§8.8</t>
  </si>
  <si>
    <t>DU-U9I-03</t>
  </si>
  <si>
    <t>管理API・糊付け関数の配信経路</t>
  </si>
  <si>
    <t>DU-U9O-08</t>
  </si>
  <si>
    <t>管理API・影ユーザ制御・伝播関数の監視</t>
  </si>
  <si>
    <t>§9.6.4</t>
  </si>
  <si>
    <t>DU-U9O-09</t>
  </si>
  <si>
    <t>管理操作ログの配置・保持の決定</t>
  </si>
  <si>
    <t>🔒 確定（決定先行）</t>
  </si>
  <si>
    <t>§9.3.2 / §9.3.3</t>
  </si>
  <si>
    <t>DU-U10-08</t>
  </si>
  <si>
    <t>業務システム移行の並走4段階</t>
  </si>
  <si>
    <t>DU-U10-09</t>
  </si>
  <si>
    <t>業務システム側の緊急用アカウント構成</t>
  </si>
  <si>
    <t>DU-U10-10</t>
  </si>
  <si>
    <t>業務システムから他アプリへの貫通</t>
  </si>
  <si>
    <t>§10.1.7</t>
  </si>
  <si>
    <t>DU-U10-11</t>
  </si>
  <si>
    <t>独自のパスワード方式変換部品</t>
  </si>
  <si>
    <t>単元別 4工程内訳（④テストは単元別＋横断で別掲）</t>
  </si>
  <si>
    <t>単元</t>
  </si>
  <si>
    <t>人日（②+③）</t>
  </si>
  <si>
    <t>④テスト</t>
  </si>
  <si>
    <t>横断（負荷試験・災害復旧訓練・疑似攻撃検査）</t>
  </si>
  <si>
    <t>工程4分割の全体像</t>
  </si>
  <si>
    <t>工程</t>
  </si>
  <si>
    <t>人日</t>
  </si>
  <si>
    <t>出典・スコープ</t>
  </si>
  <si>
    <t>① 基本設計クローズ</t>
  </si>
  <si>
    <t>② 詳細設計</t>
  </si>
  <si>
    <t>③ 構築（実装＋単体）</t>
  </si>
  <si>
    <t>④ テスト</t>
  </si>
  <si>
    <t>②＋③＋④（これから作る工数）</t>
  </si>
  <si>
    <t>総計（①含む）</t>
  </si>
  <si>
    <t>重要な注記</t>
  </si>
  <si>
    <t>① GAP 28件の性質</t>
  </si>
  <si>
    <t>新規要件ではなく「既存決定の作業単位化漏れ」。すべて設計書またはADRに決定根拠がある。要件が増えたわけではない</t>
  </si>
  <si>
    <t>② 工数枠の比較不可</t>
  </si>
  <si>
    <t>本表の1,044人日は「詳細設計＋構築」。00a §6の325〜455人日は「構築＋テスト」で詳細設計を含まない。スコープが違うため単純比較・合算はできない</t>
  </si>
  <si>
    <t>③ 見積りの精度</t>
  </si>
  <si>
    <t>S/M/Lから人日への変換バンドは粗く上振れ傾向。ボトムアップ値をそのまま採るか、目標枠に合わせてバンドを縮小するか（例: 600人日台）は未決定でユーザー判断待ち</t>
  </si>
  <si>
    <t>④ 先行判断が必要 1</t>
  </si>
  <si>
    <t>「単一の領域」か「ブランドごとに領域を分ける」か。DU-U2-09 とエッジ側の発行元検証は、現行の単一領域・単一発行元の前提と正面衝突する。今回は1ブランドのため急がないが、方式だけ先に固定しないと将来の移行が発生する</t>
  </si>
  <si>
    <t>⑤ 先行判断が必要 2</t>
  </si>
  <si>
    <t>DU-U9O-09（管理操作ログをブランド別に置くか中央に置くか）も決定が先行する</t>
  </si>
  <si>
    <t>⑥ テストの扱い</t>
  </si>
  <si>
    <t>⑦ ①は別枠</t>
  </si>
  <si>
    <t>ADR（アーキテクチャ決定記録）一覧 — 全67本</t>
  </si>
  <si>
    <t>出典: doc/adr/00-index.md ＋ 各ADRファイル（commit 9511a58 時点）。Gitからの派生ビュー（読み取り専用）</t>
  </si>
  <si>
    <t>日付</t>
  </si>
  <si>
    <t>備考・更新履歴</t>
  </si>
  <si>
    <t>ADR-001</t>
  </si>
  <si>
    <t>PoC第1パターンとしてCognitoハイブリッド構成を採用</t>
  </si>
  <si>
    <t>Accepted</t>
  </si>
  <si>
    <t>ADR-002</t>
  </si>
  <si>
    <t>認可方式としてLambda Authorizerを採用</t>
  </si>
  <si>
    <t>ADR-003</t>
  </si>
  <si>
    <t>認証ライブラリとしてoidc-client-tsを採用</t>
  </si>
  <si>
    <t>ADR-004</t>
  </si>
  <si>
    <t>1アカウント2 User Poolでマルチアカウント構成を擬似再現</t>
  </si>
  <si>
    <t>ADR-005</t>
  </si>
  <si>
    <t>共通認証基盤にUser Poolを使用（Identity Poolではない）</t>
  </si>
  <si>
    <t>ADR-006</t>
  </si>
  <si>
    <t>Cognito vs Keycloak コスト損益分岐点の分析</t>
  </si>
  <si>
    <t>Proposed</t>
  </si>
  <si>
    <t>ADR-007</t>
  </si>
  <si>
    <t>大阪リージョンでAuth0 OIDC IdP接続不可の記録</t>
  </si>
  <si>
    <t>ADR-008</t>
  </si>
  <si>
    <t>PoCでKeycloak start-devモードを使用</t>
  </si>
  <si>
    <t>ADR-009</t>
  </si>
  <si>
    <t>MFA責任はパスワード管理側に帰属させる</t>
  </si>
  <si>
    <t>ADR-010</t>
  </si>
  <si>
    <t>Keycloak環境をPrivate Subnet + VPC Endpoint構成へ移行</t>
  </si>
  <si>
    <t>ADR-011</t>
  </si>
  <si>
    <t>認証基盤前段ネットワーク設計の統合判断</t>
  </si>
  <si>
    <t>HTTPS／カスタムドメイン／WAF／CloudFront</t>
  </si>
  <si>
    <t>ADR-012</t>
  </si>
  <si>
    <t>VPC Lambda Authorizer + Internal ALBによる鍵情報のプライベート化</t>
  </si>
  <si>
    <t>ADR-013</t>
  </si>
  <si>
    <t>CloudFront + WAFによるIP制限の置き換え戦略</t>
  </si>
  <si>
    <t>ADR-014</t>
  </si>
  <si>
    <t>共有認証基盤が対応する認証パターンの範囲</t>
  </si>
  <si>
    <t>ADR-015</t>
  </si>
  <si>
    <t>PoCではRHBK検証を実施せず本番設計フェーズへ先送り</t>
  </si>
  <si>
    <t>ADR-016</t>
  </si>
  <si>
    <t>Cognito機能ティアの機能マトリクスと選定基準</t>
  </si>
  <si>
    <t>Lite / Essentials / Plus</t>
  </si>
  <si>
    <t>ADR-017</t>
  </si>
  <si>
    <t>マルチテナントL2（単一領域＋複数IdP）の採用根拠</t>
  </si>
  <si>
    <t>2026-06-11 / 2026-07-23</t>
  </si>
  <si>
    <t>2026-07-23更新: 1000+ IdP条件付き成立・必須対策7点・PoC P-1〜P-7を追記</t>
  </si>
  <si>
    <t>ADR-018</t>
  </si>
  <si>
    <t>利用者識別子3階層戦略（メール非保有＋顧客独自ID対応）</t>
  </si>
  <si>
    <t>ADR-019</t>
  </si>
  <si>
    <t>既存システムからの移行戦略（並走＋キャッシュ移行）</t>
  </si>
  <si>
    <t>ADR-020</t>
  </si>
  <si>
    <t>所属判定のヒントキー戦略＋フェデ/ローカル混在の識別子先行</t>
  </si>
  <si>
    <t>ADR-021</t>
  </si>
  <si>
    <t>ログイン後の着地UX（サービス選択画面＋権限不足画面）</t>
  </si>
  <si>
    <t>ADR-022</t>
  </si>
  <si>
    <t>エッジでの権限不足画面の制御パターン</t>
  </si>
  <si>
    <t>ADR-023</t>
  </si>
  <si>
    <t>業務システム（ServiceNow）連携設計</t>
  </si>
  <si>
    <t>SSO＋プロビジョニング方向の選択</t>
  </si>
  <si>
    <t>ADR-024</t>
  </si>
  <si>
    <t>ログイン画面アーキテクチャとブランディング4パターン</t>
  </si>
  <si>
    <t>ADR-025</t>
  </si>
  <si>
    <t>利用者自動同期の位置づけと受信スタンス</t>
  </si>
  <si>
    <t>2026-07-08 §H追記: 顧客IdPがLDAPの場合の扱い、論点6件、ヒアリングB-LDAP-1〜7を起票</t>
  </si>
  <si>
    <t>ADR-026</t>
  </si>
  <si>
    <t>強度の不整合の具体例とステップアップ設計</t>
  </si>
  <si>
    <t>ADR-027</t>
  </si>
  <si>
    <t>同一顧客内の利用者重複の扱い（7シナリオ＋連携戦略）</t>
  </si>
  <si>
    <t>ADR-028</t>
  </si>
  <si>
    <t>IdPなし顧客のローカル利用者管理 — 4選択肢の比較</t>
  </si>
  <si>
    <t>ADR-029</t>
  </si>
  <si>
    <t>ローカル利用者の定義 — 利用者カテゴリと範囲シナリオ</t>
  </si>
  <si>
    <t>ADR-030</t>
  </si>
  <si>
    <t>最小の通行証項目設計と接続元アプリの表現</t>
  </si>
  <si>
    <t>ADR-031</t>
  </si>
  <si>
    <t>追加確認の実施情報の統合方針</t>
  </si>
  <si>
    <t>ADR-032</t>
  </si>
  <si>
    <t>1000万規模におけるプラットフォーム選定とコスト比較</t>
  </si>
  <si>
    <t>ADR-033</t>
  </si>
  <si>
    <t>2層アーキテクチャ（仲介＋自社受け皿）</t>
  </si>
  <si>
    <t>2026-06-15 / 2026-07-23</t>
  </si>
  <si>
    <t>2026-07-23更新: 別アカウント配置＋2クラスタ凍結＋シャーディング拡張パス</t>
  </si>
  <si>
    <t>ADR-034</t>
  </si>
  <si>
    <t>状況に応じた認証（リスクベース）の設計</t>
  </si>
  <si>
    <t>ADR-035</t>
  </si>
  <si>
    <t>不正検知と対応（ITDR）の設計</t>
  </si>
  <si>
    <t>ADR-036</t>
  </si>
  <si>
    <t>顧客監査対応</t>
  </si>
  <si>
    <t>Scope Reduced</t>
  </si>
  <si>
    <t>2026-06-24縮小: 監査ログ保管＋都度メール対応のみ。情報開示ポータルはスコープ外</t>
  </si>
  <si>
    <t>ADR-037</t>
  </si>
  <si>
    <t>責任分界モデルと軽量な権限管理の設計</t>
  </si>
  <si>
    <t>ADR-038</t>
  </si>
  <si>
    <t>利用者管理画面（顧客テナント管理者向け）</t>
  </si>
  <si>
    <t>ADR-039</t>
  </si>
  <si>
    <t>ネットワーク監査アカウント設計</t>
  </si>
  <si>
    <t>2026-06-23 / 2026-07-23</t>
  </si>
  <si>
    <t>v3 2026-07-23: 当該アカウントが他組織管理と判明し要求仕様化。外部通信の許可申請リスクを追記</t>
  </si>
  <si>
    <t>ADR-040</t>
  </si>
  <si>
    <t>特権管理（一時昇格）</t>
  </si>
  <si>
    <t>Out of Scope</t>
  </si>
  <si>
    <t>2026-06-24: 本基盤対象外、運用体制側で別途検討。管理画面パス保護方針はADR-039/013へ</t>
  </si>
  <si>
    <t>ADR-041</t>
  </si>
  <si>
    <t>実行環境の権限設計</t>
  </si>
  <si>
    <t>2026-07-23更新: 基盤転換に伴い方式を変更</t>
  </si>
  <si>
    <t>ADR-042</t>
  </si>
  <si>
    <t>自動化された攻撃の検知と対策の設計</t>
  </si>
  <si>
    <t>ADR-043</t>
  </si>
  <si>
    <t>アクセシビリティ設計（WCAG 2.2 AA＋JIS準拠）</t>
  </si>
  <si>
    <t>要件側に対応項目が存在しない点は本ブックの「設計→要件」で指摘済み</t>
  </si>
  <si>
    <t>ADR-044</t>
  </si>
  <si>
    <t>机上演習・インシデント訓練の設計</t>
  </si>
  <si>
    <t>ADR-045</t>
  </si>
  <si>
    <t>鍵管理戦略の集約</t>
  </si>
  <si>
    <t>ADR-046</t>
  </si>
  <si>
    <t>供給網セキュリティ</t>
  </si>
  <si>
    <t>ADR-047</t>
  </si>
  <si>
    <t>耐量子暗号への移行計画</t>
  </si>
  <si>
    <t>ADR-048</t>
  </si>
  <si>
    <t>データ可搬性＋データ主体の権利対応</t>
  </si>
  <si>
    <t>ADR-049</t>
  </si>
  <si>
    <t>委託先リスク管理</t>
  </si>
  <si>
    <t>ADR-050</t>
  </si>
  <si>
    <t>モバイルアプリ認証設計</t>
  </si>
  <si>
    <t>ADR-051</t>
  </si>
  <si>
    <t>複数地域での災害復旧・切替の詳細設計</t>
  </si>
  <si>
    <t>2026-07-23更新: 予備地域の対応確認。ただし2026-07-30の手動復旧転換により再改訂が必要（DU-U8-12）</t>
  </si>
  <si>
    <t>ADR-052</t>
  </si>
  <si>
    <t>認証APIへの流量制限</t>
  </si>
  <si>
    <t>ADR-053</t>
  </si>
  <si>
    <t>可観測性戦略</t>
  </si>
  <si>
    <t>ADR-054</t>
  </si>
  <si>
    <t>ID統合戦略</t>
  </si>
  <si>
    <t>現状調査＋人事DBを正＋対応表＋3段階移行</t>
  </si>
  <si>
    <t>ADR-055</t>
  </si>
  <si>
    <t>所属判定の実装方式選定</t>
  </si>
  <si>
    <t>Accepted (Phase 1)</t>
  </si>
  <si>
    <t>今回採用＝独自機能方式。次段階候補＝URL＋エッジ関数の併用</t>
  </si>
  <si>
    <t>ADR-056</t>
  </si>
  <si>
    <t>基盤の採用判断</t>
  </si>
  <si>
    <t>Accepted（条件付き）</t>
  </si>
  <si>
    <t>2026-06-25 / 2026-07-23</t>
  </si>
  <si>
    <t>2026-07-23で決定が逆転。採用条件3点の充足まで条件付き。旧判断は履歴として保存</t>
  </si>
  <si>
    <t>ADR-057</t>
  </si>
  <si>
    <t>偽装リクエスト対策の責任分界と実装パターン</t>
  </si>
  <si>
    <t>3層に分けて整理（基盤UI／認可フロー／アプリAPI）</t>
  </si>
  <si>
    <t>ADR-058</t>
  </si>
  <si>
    <t>認証プラットフォームの代替6パターン比較</t>
  </si>
  <si>
    <t>2系統の独立調査で現行方式の維持を再確認</t>
  </si>
  <si>
    <t>ADR-059</t>
  </si>
  <si>
    <t>認証実装漏れ検知の中央監視アーキテクチャ</t>
  </si>
  <si>
    <t>アプリ台帳＋仕様台帳で全アプリを自動追随</t>
  </si>
  <si>
    <t>ADR-060</t>
  </si>
  <si>
    <t>認証プロトコルの攻撃経路 残課題対応</t>
  </si>
  <si>
    <t>33経路の残課題3領域を統合（ログのマスキング／送信者拘束／状況判定の強化）</t>
  </si>
  <si>
    <t>ADR-061</t>
  </si>
  <si>
    <t>デプロイ検知の巡回型への統一</t>
  </si>
  <si>
    <t>2026-08-06 / 2026-08-07</t>
  </si>
  <si>
    <t>★索引に未登録。改訂で検知対象をコード差分に変更。受容した穴2点（コンソール直変更・未デプロイ時の偽安心）を明記</t>
  </si>
  <si>
    <t>ADR-062</t>
  </si>
  <si>
    <t>管理APIの実行形態＝関数実行</t>
  </si>
  <si>
    <t>2026-08-06 / 2026-08-08</t>
  </si>
  <si>
    <t>認証製品と管理ツールを別障害ドメインに分離。トポロジはADR-063、削除伝播はADR-064</t>
  </si>
  <si>
    <t>ADR-063</t>
  </si>
  <si>
    <t>ブランドユニット・アーキテクチャ</t>
  </si>
  <si>
    <t>仲介は共有1つ、権限系はブランド側へ。不変条件4点を明示。今回は1ブランド</t>
  </si>
  <si>
    <t>削除・停止伝播＝取りこぼし防止方式</t>
  </si>
  <si>
    <t>1トランザクションで記録し必達送信、冪等に影ユーザを無効化。数分で突合</t>
  </si>
  <si>
    <t>取り消し漏れ時間の恒久解。3段階導入。確定はゲートG-SSFと顧客確認B-CAEP-1</t>
  </si>
  <si>
    <t>軽量台帳＋命名規約＋孤立検知＋失効伝播。確定は顧客確認B-NHI-1</t>
  </si>
  <si>
    <t>決定ログと定期棚卸し。確定は顧客確認B-AUTHZLOG-1／B-IGA-REC-1</t>
  </si>
  <si>
    <t>ステータス別</t>
  </si>
  <si>
    <t>2026-03-17</t>
  </si>
  <si>
    <t>2026-03-18</t>
  </si>
  <si>
    <t>2026-03-25</t>
  </si>
  <si>
    <t>2026-03-28</t>
  </si>
  <si>
    <t>2026-04-21</t>
  </si>
  <si>
    <t>2026-04-23</t>
  </si>
  <si>
    <t>2026-04-24</t>
  </si>
  <si>
    <t>2026-05-13</t>
  </si>
  <si>
    <t>2026-06-12</t>
  </si>
  <si>
    <t>2026-06-15</t>
  </si>
  <si>
    <t>2026-06-18</t>
  </si>
  <si>
    <t>2026-06-23</t>
  </si>
  <si>
    <t>2026-06-24</t>
  </si>
  <si>
    <t>2026-06-25</t>
  </si>
  <si>
    <t>2026-07-06</t>
  </si>
  <si>
    <t>2026-07-02</t>
  </si>
  <si>
    <t>2026-07-08</t>
  </si>
  <si>
    <t>2026-08-06</t>
  </si>
  <si>
    <t>2026-08-08</t>
  </si>
  <si>
    <t>2026-08-12</t>
  </si>
  <si>
    <t>将来のブランド拡張に備えてブランドをどの単位で隔離するか（現行の単一領域＋顧客所属のままか、ブランドごとに領域を分けるか）。権限系とID対応表をブランド側に置くか。物理分離をいつ判断するか</t>
  </si>
  <si>
    <t>ブランドユニット・アーキテクチャ（共有の仲介＋ブランド別のバックエンド）</t>
  </si>
  <si>
    <t>ブランド隔離の単位</t>
  </si>
  <si>
    <t>adr/063-brand-unit-architecture.md</t>
  </si>
  <si>
    <t>管理コントロールプレーン</t>
  </si>
  <si>
    <t>利用者の無効化（削除）を仲介側の影ユーザへどう確実に伝播させるか。再有効化も同じ確実さで対称に扱うか</t>
  </si>
  <si>
    <t>無効化の影ユーザへの確実な伝播</t>
  </si>
  <si>
    <t>削除・停止の伝播</t>
  </si>
  <si>
    <t>D-DEPROV-1</t>
  </si>
  <si>
    <t>ブランド分離下の管理操作監査ログの配置と保持</t>
  </si>
  <si>
    <t>作業単位はDU-U9O-09。中央の監査アカウントへの集約と改ざん不能な7年保管は既に決定済み。ブランド分離下での管理APIの操作ログをブランド別に持つか中央に集約するか、およびその保持年数が決定先行。ブランド別にする場合は越境ゼロを担保する必要がある。関連=認可判定ログの決定、ADR-063</t>
  </si>
  <si>
    <t>管理操作ログ</t>
  </si>
  <si>
    <t>B-AUDITLOG-BRAND-1</t>
  </si>
  <si>
    <t>09-operations-observability-design.md / adr/063</t>
  </si>
  <si>
    <t>クラスタ</t>
  </si>
  <si>
    <t>状況</t>
  </si>
  <si>
    <t>調査</t>
  </si>
  <si>
    <t>差分</t>
  </si>
  <si>
    <t>テスト項目</t>
  </si>
  <si>
    <t>DU-U5-02/03/06 の完了、ゲート G-SSF</t>
  </si>
  <si>
    <t>DU-U3-04、DU-U10-02 の完了</t>
  </si>
  <si>
    <t>横断</t>
  </si>
  <si>
    <t>項目数</t>
  </si>
  <si>
    <t>対象単元／DU</t>
  </si>
  <si>
    <t>前提（PoCゲート・環境・実機・外部依存）</t>
  </si>
  <si>
    <t>A 結合</t>
  </si>
  <si>
    <t>IT-01</t>
  </si>
  <si>
    <t>管理API ↔ 認証製品の管理API（内部接続点・通信暗号化・最小権限クライアント×2アカウント）</t>
  </si>
  <si>
    <t>U10 / U6 / DU-U10-02, DU-U6-11, DU-U7-15</t>
  </si>
  <si>
    <t>DU-U6-11（証明書基盤）とDU-U7-15の完了</t>
  </si>
  <si>
    <t>未着手（詳細設計後）</t>
  </si>
  <si>
    <t>IT-02</t>
  </si>
  <si>
    <t>利用者自動同期の受け口 ↔ 認証製品（属性写像・正準化・停止処理への写像）</t>
  </si>
  <si>
    <t>U3 / DU-U3-03, DU-U3-11</t>
  </si>
  <si>
    <t>DU-U3-03/11 の完了</t>
  </si>
  <si>
    <t>IT-03</t>
  </si>
  <si>
    <t>削除の取りこぼし防止 ↔ 影ユーザ制御（同一トランザクション・必達・冪等・突合）</t>
  </si>
  <si>
    <t>U3 / DU-U3-05, DU-U3-09</t>
  </si>
  <si>
    <t>DU-U3-05/09 の完了</t>
  </si>
  <si>
    <t>IT-04</t>
  </si>
  <si>
    <t>アカウント跨ぎのイベント（初回識別子通知・削除、2アカウント・少なくとも1回配信）</t>
  </si>
  <si>
    <t>U6 / U3 / DU-U6-01, DU-U3-10</t>
  </si>
  <si>
    <t>DU-U6-01（越境8経路）とDU-U3-10 の完了</t>
  </si>
  <si>
    <t>IT-05</t>
  </si>
  <si>
    <t>射影フィード ↔ 本人向け文脈取得（3書込経路・冪等・版管理）</t>
  </si>
  <si>
    <t>U3 / DU-U3-04</t>
  </si>
  <si>
    <t>DU-U3-04 の完了</t>
  </si>
  <si>
    <t>IT-06</t>
  </si>
  <si>
    <t>仲介 ↔ 自社受け皿のフェデレーション（私設経路・鍵情報・利用者情報・サーバ間ログアウト）</t>
  </si>
  <si>
    <t>U2 / DU-U2-02, DU-U2-10</t>
  </si>
  <si>
    <t>DU-U2-02/10 とDU-U6-05 の完了</t>
  </si>
  <si>
    <t>IT-07</t>
  </si>
  <si>
    <t>権限DB・ID対応表 ↔ 管理API（ブランド識別子・ブランド跨ぎ結合の不能性）</t>
  </si>
  <si>
    <t>U3 / U6 / DU-U3-01, DU-U6-03</t>
  </si>
  <si>
    <t>DU-U3-01（不変条件4点）の完了</t>
  </si>
  <si>
    <t>B E2E</t>
  </si>
  <si>
    <t>ST-01</t>
  </si>
  <si>
    <t>認証コア（ローカル認証・識別子先行の所属判定・初回連携・連携後・操作単位の再認証）</t>
  </si>
  <si>
    <t>U2 / U4 / DU-U2-03, DU-U4-01</t>
  </si>
  <si>
    <t>DU-U2-03/04、DU-U4-01 の完了</t>
  </si>
  <si>
    <t>ST-02</t>
  </si>
  <si>
    <t>追加確認と復旧（認証アプリ・パスキー・認証器のみ・予備コード・メール非保有・登録の乗っ取り対策）</t>
  </si>
  <si>
    <t>U4 / DU-U4-03, DU-U4-10, DU-U4-11</t>
  </si>
  <si>
    <t>DU-U4-03/10/11 の完了</t>
  </si>
  <si>
    <t>ST-03</t>
  </si>
  <si>
    <t>プロビジョニング（初回自動作成3系統・自動同期2方向・属性正準化・混在6ケース）</t>
  </si>
  <si>
    <t>U3 / DU-U3-02, DU-U3-03</t>
  </si>
  <si>
    <t>DU-U3-02/03/11 の完了</t>
  </si>
  <si>
    <t>ST-04</t>
  </si>
  <si>
    <t>ライフサイクル（停止処理・再有効化の対称性・90日バッチ・3段階削除）</t>
  </si>
  <si>
    <t>U3 / DU-U3-06, DU-U3-08, DU-U3-09</t>
  </si>
  <si>
    <t>DU-U3-06/08/09 の完了</t>
  </si>
  <si>
    <t>ST-05</t>
  </si>
  <si>
    <t>通行証・セッション・ログアウト（有効期限・更新方式・サーバ間通知・失効・引き換え・継続アクセス評価）</t>
  </si>
  <si>
    <t>U5 / DU-U5-01〜03, DU-U5-06</t>
  </si>
  <si>
    <t>ST-06</t>
  </si>
  <si>
    <t>認可（本人向け文脈取得・利用可否・機能ロール・所属分離）</t>
  </si>
  <si>
    <t>U5 / U10 / DU-U5-04, DU-U10-02</t>
  </si>
  <si>
    <t>ST-07</t>
  </si>
  <si>
    <t>管理コントロールプレーン（作成変更削除・権限編集・招待・パスワードリセット・監査・3層権限）</t>
  </si>
  <si>
    <t>U10 / DU-U10-02</t>
  </si>
  <si>
    <t>DU-U10-02 の完了</t>
  </si>
  <si>
    <t>ST-08</t>
  </si>
  <si>
    <t>所属判定とUX（識別子先行・失敗時の降格・ブランド別テーマ・多言語）</t>
  </si>
  <si>
    <t>U4 / DU-U4-01, DU-U4-02, DU-U4-07</t>
  </si>
  <si>
    <t>DU-U4-01/02/07 の完了</t>
  </si>
  <si>
    <t>ST-09</t>
  </si>
  <si>
    <t>着地画面・権限不足画面（許可サービス一覧・403からの誘導）</t>
  </si>
  <si>
    <t>U4 / DU-U4-04, DU-U4-05</t>
  </si>
  <si>
    <t>DU-U4-04/05、DU-U10-10 の完了</t>
  </si>
  <si>
    <t>C 実機</t>
  </si>
  <si>
    <t>RI-01</t>
  </si>
  <si>
    <t>商用ID基盤の実機検証 Microsoft（旧来方式・OIDC・受け取る情報・証明書・発行元と使い捨て値）</t>
  </si>
  <si>
    <t>U2 / DU-U2-02, DU-U2-07</t>
  </si>
  <si>
    <t>★商用ID基盤の試用環境の確保が前提（顧客確認 B-SCIM-14 連動）。費用・調達別</t>
  </si>
  <si>
    <t>RI-02</t>
  </si>
  <si>
    <t>商用ID基盤の実機検証 Okta（差分の洗い出し）</t>
  </si>
  <si>
    <t>U2 / DU-U2-02</t>
  </si>
  <si>
    <t>★同上。試用環境の確保待ち</t>
  </si>
  <si>
    <t>RI-03</t>
  </si>
  <si>
    <t>業務システムの実機検証（旧来方式の初回自動作成・内部ID保全・削除連鎖・他アプリへの貫通・緊急用アカウント）</t>
  </si>
  <si>
    <t>U10 / DU-U10-01, DU-U10-08〜10</t>
  </si>
  <si>
    <t>★業務システム実機の確保が前提。顧客側の変更管理の枠取りも必要</t>
  </si>
  <si>
    <t>RI-04</t>
  </si>
  <si>
    <t>顧客側からの自動同期の実機検証（各社から受け口への押し出し・検証ツール）</t>
  </si>
  <si>
    <t>U3 / DU-U3-03</t>
  </si>
  <si>
    <t>★商用ID基盤の試用環境の確保が前提。ゲート G-SCIM と連動</t>
  </si>
  <si>
    <t>D 負荷</t>
  </si>
  <si>
    <t>PT-01</t>
  </si>
  <si>
    <t>認証負荷（1000万規模：ログインと通行証検証の応答時間、毎秒1000件超、比率70/30）</t>
  </si>
  <si>
    <t>横断 / DU-U6-02</t>
  </si>
  <si>
    <t>PT-02</t>
  </si>
  <si>
    <t>接続先スケール（1000／2000件：所属判定からフェデまでの応答時間が基準値比+10%以内、キャッシュ、再起動）</t>
  </si>
  <si>
    <t>横断 / U2 / DU-U2-08</t>
  </si>
  <si>
    <t>PT-03</t>
  </si>
  <si>
    <t>自動同期・射影のスケール（500／1000顧客の識別子検索、一括5万件、読取の応答時間）</t>
  </si>
  <si>
    <t>U3 / DU-U3-03, DU-U3-04</t>
  </si>
  <si>
    <t>PT-04</t>
  </si>
  <si>
    <t>データベース負荷（接続プールの予算、書込側の負荷、接続の飽和）</t>
  </si>
  <si>
    <t>U6 / DU-U6-03, DU-U6-08</t>
  </si>
  <si>
    <t>PT-05</t>
  </si>
  <si>
    <t>独自機能の高負荷耐久（4機能・所属判定の高頻度）</t>
  </si>
  <si>
    <t>U2 / DU-U2-04</t>
  </si>
  <si>
    <t>PT-06</t>
  </si>
  <si>
    <t>バッチ性能（90日休眠バッチ1000万件・移行の一括投入）</t>
  </si>
  <si>
    <t>U3 / U10 / DU-U3-08, DU-U10-04</t>
  </si>
  <si>
    <t>E 災害復旧</t>
  </si>
  <si>
    <t>DR-01</t>
  </si>
  <si>
    <t>復旧訓練 上期（予備地域でのコールド再構築、目標約14日、成立条件5点）</t>
  </si>
  <si>
    <t>U8 / DU-U8-02, DU-U8-04</t>
  </si>
  <si>
    <t>DR-02</t>
  </si>
  <si>
    <t>復旧訓練 下期（時点復元・論理破壊・変更不能な控え）</t>
  </si>
  <si>
    <t>U8 / DU-U8-03, DU-U8-04</t>
  </si>
  <si>
    <t>DR-03</t>
  </si>
  <si>
    <t>地域内の可用性（データベース切替1分未満・ノード退避・同時停止許容・順次再起動）</t>
  </si>
  <si>
    <t>U8 / DU-U8-06, DU-U8-07, DU-U8-08</t>
  </si>
  <si>
    <t>DR-04</t>
  </si>
  <si>
    <t>取りこぼし防止と射影の切替整合（切替時に重複も欠落もなく1回・未送信分の昇格）</t>
  </si>
  <si>
    <t>U8 / U3 / DU-U8-11</t>
  </si>
  <si>
    <t>DR-05</t>
  </si>
  <si>
    <t>ブランド側の災害復旧（権限DB・ID対応表・射影の時点復元と予備地域）</t>
  </si>
  <si>
    <t>U8 / DU-U8-10</t>
  </si>
  <si>
    <t>F セキュリティ</t>
  </si>
  <si>
    <t>SEC-01</t>
  </si>
  <si>
    <t>疑似攻撃検査（攻撃経路33・旧来方式とOIDC・認可のすり抜け・所属越境）</t>
  </si>
  <si>
    <t>U7 / DU-U7-03, DU-U7-09</t>
  </si>
  <si>
    <t>★外部ベンダーへの委託（費用・スケジュール別）。頻度と実施者が未確定（顧客確認）</t>
  </si>
  <si>
    <t>SEC-02</t>
  </si>
  <si>
    <t>署名鍵悪用の検知と不正検知（4シグナル・漏洩パスワード照合・総当たり検知の発火検証）</t>
  </si>
  <si>
    <t>U7 / DU-U7-03</t>
  </si>
  <si>
    <t>DU-U7-03 の完了</t>
  </si>
  <si>
    <t>SEC-03</t>
  </si>
  <si>
    <t>鍵と秘密情報（職務分離・署名鍵の入れ替え・秘密情報の入れ替え・緊急用アカウント）</t>
  </si>
  <si>
    <t>U7 / DU-U7-01, DU-U7-02, DU-U7-12</t>
  </si>
  <si>
    <t>DU-U7-01/02/12 の完了</t>
  </si>
  <si>
    <t>SEC-04</t>
  </si>
  <si>
    <t>供給網（脆弱性検査・署名検証・部品表・未検証イメージの遮断）</t>
  </si>
  <si>
    <t>U7 / U9 / DU-U7-13</t>
  </si>
  <si>
    <t>DU-U7-13、DU-U9I-02 の完了</t>
  </si>
  <si>
    <t>SEC-05</t>
  </si>
  <si>
    <t>偽装リクエスト対策・通行証の境界・送信者拘束の準備検証</t>
  </si>
  <si>
    <t>U5 / U7 / DU-U5-07, DU-U5-08</t>
  </si>
  <si>
    <t>DU-U5-07 の完了</t>
  </si>
  <si>
    <t>G 運用</t>
  </si>
  <si>
    <t>OP-01</t>
  </si>
  <si>
    <t>監視とアラート（内部目標・消費速度・関数群の監視・ダッシュボード・系列数）</t>
  </si>
  <si>
    <t>U9 / DU-U9O-01, DU-U9O-08, DU-U8-01</t>
  </si>
  <si>
    <t>DU-U9O-01/08、DU-U8-01 の完了</t>
  </si>
  <si>
    <t>OP-02</t>
  </si>
  <si>
    <t>手順書リハーサル（必須13冊の手順実証・禁則の機械強制）</t>
  </si>
  <si>
    <t>U9 / DU-U9O-03</t>
  </si>
  <si>
    <t>DU-U9O-03 の完了</t>
  </si>
  <si>
    <t>OP-03</t>
  </si>
  <si>
    <t>顧客追加パイプライン（6ステップ・証明書の入れ替え・外部通信の許可申請）</t>
  </si>
  <si>
    <t>U9 / DU-U9O-04</t>
  </si>
  <si>
    <t>DU-U9O-04 の完了、ゲート G-EGRESS の合意</t>
  </si>
  <si>
    <t>OP-04</t>
  </si>
  <si>
    <t>ログと監査（3層・マスキング・監視製品連携・監査スキャン・認可判定ログ）</t>
  </si>
  <si>
    <t>U9 / DU-U9O-02, DU-U9O-06</t>
  </si>
  <si>
    <t>DU-U9O-02/06 の完了</t>
  </si>
  <si>
    <t>H 受入</t>
  </si>
  <si>
    <t>UAT-01</t>
  </si>
  <si>
    <t>顧客テナント管理者の受入（管理画面の代表シナリオ・権限・監査）</t>
  </si>
  <si>
    <t>U10 / U4 / DU-U10-02</t>
  </si>
  <si>
    <t>顧客側の受入担当者の確保。代表テナントの選定</t>
  </si>
  <si>
    <t>UAT-02</t>
  </si>
  <si>
    <t>エンド利用者の受入（ログイン・追加確認・復旧・複数アプリの使い回し）</t>
  </si>
  <si>
    <t>U2 / U4 / U5</t>
  </si>
  <si>
    <t>顧客側の受入担当者の確保</t>
  </si>
  <si>
    <t>UAT-03</t>
  </si>
  <si>
    <t>顧客連携の受入（ID基盤接続・自動同期・業務システム、代表テナント）</t>
  </si>
  <si>
    <t>U3 / U10</t>
  </si>
  <si>
    <t>代表テナントの実機環境。RI-01〜04の完了後</t>
  </si>
  <si>
    <t>→</t>
  </si>
  <si>
    <t>小計（②＋③）</t>
  </si>
  <si>
    <t>更新メモ</t>
    <rPh sb="0" eb="2">
      <t>コウシn</t>
    </rPh>
    <phoneticPr fontId="2"/>
  </si>
  <si>
    <t>ローカルユーザーにIDとパスワードでのログインを認めるか。</t>
  </si>
  <si>
    <t>OK</t>
  </si>
  <si>
    <t>できるので確定とする</t>
  </si>
  <si>
    <t>スコープ外とする（本認証基盤ではなくアプリで実施）</t>
  </si>
  <si>
    <t>ヒアリングが必要（アプリチームに対して）</t>
  </si>
  <si>
    <t>決まってるのでOK</t>
  </si>
  <si>
    <t>ヒアリングが必要（顧客に対して）</t>
  </si>
  <si>
    <t>別途資料で説明してヒアリング</t>
  </si>
  <si>
    <t>不要で確定</t>
  </si>
  <si>
    <t>JITとSCIM併用（意図が違ったら指摘して）</t>
  </si>
  <si>
    <t>統一JWTの形式の話であればようヒアリング</t>
  </si>
  <si>
    <t>OKで確定</t>
  </si>
  <si>
    <t>必要</t>
  </si>
  <si>
    <t>何言ってるか解説して</t>
  </si>
  <si>
    <t>あったとしてもアプリが判断するので対応しない</t>
  </si>
  <si>
    <t>役割分担で決定するが未定</t>
  </si>
  <si>
    <t>無効化するはずなのでその復旧をすればいい認識</t>
  </si>
  <si>
    <t>あるで確定</t>
  </si>
  <si>
    <t>SCIMとJIT併用で決定</t>
  </si>
  <si>
    <t>これで良い</t>
  </si>
  <si>
    <t>Realm分離はしない。Organizationsで分離</t>
  </si>
  <si>
    <t>OIDCで良い</t>
  </si>
  <si>
    <t>.well-knownの話であれば必要</t>
  </si>
  <si>
    <t>IdPへの通信でSAMLは想定しているがアプリがわとブローカーの通信はOIDC</t>
  </si>
  <si>
    <t>記載通り確定</t>
  </si>
  <si>
    <t>なしで確定</t>
  </si>
  <si>
    <t>必須で確定</t>
  </si>
  <si>
    <t>記載通りの方法で確定だが、IdP側の専用アプリ（誰が作るか未定）でラップして公開</t>
  </si>
  <si>
    <t>なるべくやりたいがどのようにするかは検討</t>
  </si>
  <si>
    <t>結局レスポンスの性能なので意味ないと思う</t>
  </si>
  <si>
    <t>ネットワーク監査アカウントで必須で確定</t>
  </si>
  <si>
    <t>確定でOK</t>
  </si>
  <si>
    <t>顧客追加の作業を何営業日で完了させるか</t>
  </si>
  <si>
    <t>別途資料で説明してヒアリング(HCPが問題である。海外の越境</t>
  </si>
  <si>
    <t>不要の認識だが改めてヒアリング</t>
  </si>
  <si>
    <t>国内限定だが、HCPは別になるかも？</t>
  </si>
  <si>
    <t>不要と確認済み</t>
  </si>
  <si>
    <t>別途資料で説明してヒアリング（EventListenerはSPI作り込み、KeycloakからAWSにログを持っていかねばならないが、EventBridgeのコストがすごいことになるかもしれない。ここをこう絞ってこんな感じになりますという説明はいると思う）</t>
  </si>
  <si>
    <t>レアケースだがヒアリングは必要</t>
  </si>
  <si>
    <t>JWKSのエンドポイントの話であれば公開は必要。（APIGWのネイティブが外出しなので）</t>
  </si>
  <si>
    <t>別途資料で説明してヒアリング。認証基盤からアプリに何か通知が必要か。必要な場合は作り込みが必要
非同期でとりにきてくれればいいけどというのがある</t>
  </si>
  <si>
    <t>別途資料で説明してヒアリング（テストでやってみてどのくらいになるかになると思う）</t>
  </si>
  <si>
    <t>見積もるしかない</t>
  </si>
  <si>
    <t>別途資料で説明してヒアリング(ROSAなのでEC2が立ってるが、これはどう扱うのかを相談する）</t>
  </si>
  <si>
    <t>admin封鎖して踏み台から</t>
  </si>
  <si>
    <t>5分</t>
  </si>
  <si>
    <t>1日/DR障害時は3日</t>
  </si>
  <si>
    <t>手動</t>
  </si>
  <si>
    <t>アプリにヒアリング</t>
  </si>
  <si>
    <t>選択肢を提示する。新規列で選択肢を入れてほしい</t>
  </si>
  <si>
    <t>どこの暗号鍵なのかわかるようにする</t>
  </si>
  <si>
    <t>AWSのリソースごとにROSAで詳細見積もり作成</t>
  </si>
  <si>
    <t>WBSの積み上げ工数がそれに当たる</t>
  </si>
  <si>
    <t>Keycloakであれば不要？</t>
  </si>
  <si>
    <t>AWSリソースごとにROSAで詳細見積もりを作るときに一緒に作る</t>
  </si>
  <si>
    <t>別途計算？</t>
  </si>
  <si>
    <t>上記の固定インフラ費と合わせて計上。単価は未定</t>
  </si>
  <si>
    <t>計算するだけなのでこれで良いが細かく計算するのは別途シートで</t>
  </si>
  <si>
    <t>移行は対象外</t>
  </si>
  <si>
    <t>確認して設計におとしたい</t>
  </si>
  <si>
    <t>新旧のシステムは並行稼働。テナント（顧客）ごとに順次移行・</t>
  </si>
  <si>
    <t>ROSA</t>
  </si>
  <si>
    <t>ROSA想定</t>
  </si>
  <si>
    <t>100〜500万ユーザー</t>
  </si>
  <si>
    <t>RTOとかが変わってるので見直しが必要</t>
  </si>
  <si>
    <t>確定で良い</t>
  </si>
  <si>
    <t>顧客確認中</t>
  </si>
  <si>
    <t>検証必要</t>
  </si>
  <si>
    <t>そもそもIdPKeycloakの方どうするか</t>
  </si>
  <si>
    <t>検証必要被っているか</t>
  </si>
  <si>
    <t>ROSA利用で進んでるがこれがひっくり返るとまた検討が必要。合わせてヒアリング</t>
  </si>
  <si>
    <t>手動で良い</t>
  </si>
  <si>
    <t>原則論理分離で論理分離できないものはその時に検討。物理分離もできると言うことがわかればいい</t>
  </si>
  <si>
    <t>機械通信というのはAPIからAPIの呼び出しなどか。それであればアプリで管理の認識</t>
  </si>
  <si>
    <t>Keycloakのユーザの話であれば必要。アプリの話であればアプリで検討</t>
  </si>
  <si>
    <t>もう少し詳しく、わかりやすく書いてほしい。どこに記録する何なのかわからない</t>
  </si>
  <si>
    <t>別途資料で説明してヒアリング（MFAについては実装するということしか検討していないがこのように検討することが他にもあるかもしれない）</t>
  </si>
  <si>
    <t>別途資料で説明してヒアリング（そもそもメールによる追加認証で良いのかは一応ヒアリングしないといけない）</t>
  </si>
  <si>
    <t>これはアプリで考えることなのか、認証基盤なのかわからない</t>
  </si>
  <si>
    <t>別途資料で説明してヒアリング（そもそもそのようなものを想定するのかしないのか。選択肢が欲しい）</t>
  </si>
  <si>
    <t>もう少し具体的にしてほしい</t>
  </si>
  <si>
    <t>一旦1ブランドごとで良い</t>
  </si>
  <si>
    <t>旧ゲート G-SPI-Compat 統合済</t>
  </si>
  <si>
    <t>旧ゲート G-LDAP 統合済</t>
  </si>
  <si>
    <t>旧ゲート G-OSAKA 統合済</t>
  </si>
  <si>
    <t>最優先。回答により第3段階（顧客側からの失効受信）の要否と、第1段階の適用対象アプリの範囲が決まる。関連=D-U5-09 / ADR-065 / ゲート G-SSF。【統合】旧・契約前ゲート G-SSF を本行に統合。ゲートとしての管理も本行で行う</t>
  </si>
  <si>
    <t>JITの話？であれば資料を作ってヒアリング／旧ゲート G-SSF 統合済</t>
  </si>
  <si>
    <t>ヒアリングが必要（顧客に対して）／前提P-03と同一論点（相互参照）</t>
  </si>
  <si>
    <t>必須ではないと思っている／要件NFR-COMP-006と同一論点（相互参照）。顧客確認が未了</t>
  </si>
  <si>
    <t>決定内容を設計文書へ反映し、状況を確定へ更新</t>
  </si>
  <si>
    <t>本基盤の対象外として明記し、責任分界を文書化</t>
  </si>
  <si>
    <t>アプリチームへ確認事項を提示して回答を得る</t>
  </si>
  <si>
    <t>質問項目を確定し顧客へ提示して回答を得る</t>
  </si>
  <si>
    <t>調査のうえ説明資料を作成し、それを用いて顧客ヒアリング</t>
  </si>
  <si>
    <t>取り得る選択肢を整理して提示し、顧客または社内で選択</t>
  </si>
  <si>
    <t>回答を追跡し受領後に反映</t>
  </si>
  <si>
    <t>次のアクション</t>
  </si>
  <si>
    <t>確定（反映のみ）</t>
  </si>
  <si>
    <t>スコープ外</t>
  </si>
  <si>
    <t>顧客ヒアリング</t>
  </si>
  <si>
    <t>資料作成→ヒアリング</t>
  </si>
  <si>
    <t>社内判断待ち</t>
  </si>
  <si>
    <t>対応区分</t>
  </si>
  <si>
    <t>ヒアリング項目・選択肢</t>
  </si>
  <si>
    <t>別エージェントへの調査依頼プロンプト（一時シート・コピー用）</t>
  </si>
  <si>
    <t>D列のセルを選択してコピーし、そのまま別エージェントに貼り付けてください。用途が済んだらこのシートは削除して構いません。</t>
  </si>
  <si>
    <t>用途</t>
  </si>
  <si>
    <t>対象件数</t>
  </si>
  <si>
    <t>対象ID</t>
  </si>
  <si>
    <t>プロンプト本文（このセルをコピー）</t>
  </si>
  <si>
    <t>B-ENROLL-1 ほか57件（プロンプト本文に全ID記載）</t>
  </si>
  <si>
    <t>FR-AUTH-010 ほか45件（プロンプト本文に全ID記載）</t>
  </si>
  <si>
    <t>その他（確認してExcel最新化）</t>
  </si>
  <si>
    <t>個別対応31＋社内判断待ち24＋記述改善要5＋未記入59＋スコープ外11（本文に内訳とID記載）</t>
  </si>
  <si>
    <r>
      <t xml:space="preserve"># </t>
    </r>
    <r>
      <rPr>
        <sz val="8"/>
        <color theme="1"/>
        <rFont val="MS Mincho"/>
        <family val="2"/>
        <charset val="128"/>
      </rPr>
      <t>依頼</t>
    </r>
    <r>
      <rPr>
        <sz val="8"/>
        <color theme="1"/>
        <rFont val="Consolas"/>
        <family val="2"/>
      </rPr>
      <t xml:space="preserve">: </t>
    </r>
    <r>
      <rPr>
        <sz val="8"/>
        <color theme="1"/>
        <rFont val="MS Mincho"/>
        <family val="2"/>
        <charset val="128"/>
      </rPr>
      <t>顧客説明資料の作成（認証基盤の要件確認用）</t>
    </r>
    <r>
      <rPr>
        <sz val="8"/>
        <color theme="1"/>
        <rFont val="Consolas"/>
        <family val="2"/>
      </rPr>
      <t xml:space="preserve">
## </t>
    </r>
    <r>
      <rPr>
        <sz val="8"/>
        <color theme="1"/>
        <rFont val="MS Mincho"/>
        <family val="2"/>
        <charset val="128"/>
      </rPr>
      <t>背景</t>
    </r>
    <r>
      <rPr>
        <sz val="8"/>
        <color theme="1"/>
        <rFont val="Consolas"/>
        <family val="2"/>
      </rPr>
      <t xml:space="preserve">
</t>
    </r>
    <r>
      <rPr>
        <sz val="8"/>
        <color theme="1"/>
        <rFont val="MS Mincho"/>
        <family val="2"/>
        <charset val="128"/>
      </rPr>
      <t>大規模認証基盤（</t>
    </r>
    <r>
      <rPr>
        <sz val="8"/>
        <color theme="1"/>
        <rFont val="Consolas"/>
        <family val="2"/>
      </rPr>
      <t>1000</t>
    </r>
    <r>
      <rPr>
        <sz val="8"/>
        <color theme="1"/>
        <rFont val="MS Mincho"/>
        <family val="2"/>
        <charset val="128"/>
      </rPr>
      <t>社超・最大</t>
    </r>
    <r>
      <rPr>
        <sz val="8"/>
        <color theme="1"/>
        <rFont val="Consolas"/>
        <family val="2"/>
      </rPr>
      <t>1000</t>
    </r>
    <r>
      <rPr>
        <sz val="8"/>
        <color theme="1"/>
        <rFont val="MS Mincho"/>
        <family val="2"/>
        <charset val="128"/>
      </rPr>
      <t>万利用者）の要件定義フェーズにいる。設計は書き切ったが、顧客ヒアリングが</t>
    </r>
    <r>
      <rPr>
        <sz val="8"/>
        <color theme="1"/>
        <rFont val="Consolas"/>
        <family val="2"/>
      </rPr>
      <t>127</t>
    </r>
    <r>
      <rPr>
        <sz val="8"/>
        <color theme="1"/>
        <rFont val="MS Mincho"/>
        <family val="2"/>
        <charset val="128"/>
      </rPr>
      <t>項目中</t>
    </r>
    <r>
      <rPr>
        <sz val="8"/>
        <color theme="1"/>
        <rFont val="Consolas"/>
        <family val="2"/>
      </rPr>
      <t>123</t>
    </r>
    <r>
      <rPr>
        <sz val="8"/>
        <color theme="1"/>
        <rFont val="MS Mincho"/>
        <family val="2"/>
        <charset val="128"/>
      </rPr>
      <t>件未回答のまま暫定前提で進んでいる。下記</t>
    </r>
    <r>
      <rPr>
        <sz val="8"/>
        <color theme="1"/>
        <rFont val="Consolas"/>
        <family val="2"/>
      </rPr>
      <t>57</t>
    </r>
    <r>
      <rPr>
        <sz val="8"/>
        <color theme="1"/>
        <rFont val="MS Mincho"/>
        <family val="2"/>
        <charset val="128"/>
      </rPr>
      <t>項目は「顧客に説明資料を見せないと質問が成立しない」ものとして分類された。技術的な選択肢を調査・整理し、顧客が判断できる説明資料を作ってほしい。</t>
    </r>
    <r>
      <rPr>
        <sz val="8"/>
        <color theme="1"/>
        <rFont val="Consolas"/>
        <family val="2"/>
      </rPr>
      <t xml:space="preserve">
## </t>
    </r>
    <r>
      <rPr>
        <sz val="8"/>
        <color theme="1"/>
        <rFont val="MS Mincho"/>
        <family val="2"/>
        <charset val="128"/>
      </rPr>
      <t>正となる情報源（必ず先に読む）</t>
    </r>
    <r>
      <rPr>
        <sz val="8"/>
        <color theme="1"/>
        <rFont val="Consolas"/>
        <family val="2"/>
      </rPr>
      <t xml:space="preserve">
GitHub: suepie/aws-atuh-poc
- doc/requirements/functional-requirements.md</t>
    </r>
    <r>
      <rPr>
        <sz val="8"/>
        <color theme="1"/>
        <rFont val="MS Mincho"/>
        <family val="2"/>
        <charset val="128"/>
      </rPr>
      <t>（機能要件</t>
    </r>
    <r>
      <rPr>
        <sz val="8"/>
        <color theme="1"/>
        <rFont val="Consolas"/>
        <family val="2"/>
      </rPr>
      <t>91</t>
    </r>
    <r>
      <rPr>
        <sz val="8"/>
        <color theme="1"/>
        <rFont val="MS Mincho"/>
        <family val="2"/>
        <charset val="128"/>
      </rPr>
      <t>件）</t>
    </r>
    <r>
      <rPr>
        <sz val="8"/>
        <color theme="1"/>
        <rFont val="Consolas"/>
        <family val="2"/>
      </rPr>
      <t xml:space="preserve">
- doc/requirements/non-functional-requirements.md</t>
    </r>
    <r>
      <rPr>
        <sz val="8"/>
        <color theme="1"/>
        <rFont val="MS Mincho"/>
        <family val="2"/>
        <charset val="128"/>
      </rPr>
      <t>（非機能要件</t>
    </r>
    <r>
      <rPr>
        <sz val="8"/>
        <color theme="1"/>
        <rFont val="Consolas"/>
        <family val="2"/>
      </rPr>
      <t>88</t>
    </r>
    <r>
      <rPr>
        <sz val="8"/>
        <color theme="1"/>
        <rFont val="MS Mincho"/>
        <family val="2"/>
        <charset val="128"/>
      </rPr>
      <t>件）</t>
    </r>
    <r>
      <rPr>
        <sz val="8"/>
        <color theme="1"/>
        <rFont val="Consolas"/>
        <family val="2"/>
      </rPr>
      <t xml:space="preserve">
- doc/basic-design/01-architecture-baseline.md</t>
    </r>
    <r>
      <rPr>
        <sz val="8"/>
        <color theme="1"/>
        <rFont val="MS Mincho"/>
        <family val="2"/>
        <charset val="128"/>
      </rPr>
      <t>（前提</t>
    </r>
    <r>
      <rPr>
        <sz val="8"/>
        <color theme="1"/>
        <rFont val="Consolas"/>
        <family val="2"/>
      </rPr>
      <t>P-01</t>
    </r>
    <r>
      <rPr>
        <sz val="8"/>
        <color theme="1"/>
        <rFont val="MS Mincho"/>
        <family val="2"/>
        <charset val="128"/>
      </rPr>
      <t>〜</t>
    </r>
    <r>
      <rPr>
        <sz val="8"/>
        <color theme="1"/>
        <rFont val="Consolas"/>
        <family val="2"/>
      </rPr>
      <t>18</t>
    </r>
    <r>
      <rPr>
        <sz val="8"/>
        <color theme="1"/>
        <rFont val="MS Mincho"/>
        <family val="2"/>
        <charset val="128"/>
      </rPr>
      <t>と契約前ゲート）</t>
    </r>
    <r>
      <rPr>
        <sz val="8"/>
        <color theme="1"/>
        <rFont val="Consolas"/>
        <family val="2"/>
      </rPr>
      <t xml:space="preserve">
- doc/basic-design/02</t>
    </r>
    <r>
      <rPr>
        <sz val="8"/>
        <color theme="1"/>
        <rFont val="MS Mincho"/>
        <family val="2"/>
        <charset val="128"/>
      </rPr>
      <t>〜</t>
    </r>
    <r>
      <rPr>
        <sz val="8"/>
        <color theme="1"/>
        <rFont val="Consolas"/>
        <family val="2"/>
      </rPr>
      <t>10</t>
    </r>
    <r>
      <rPr>
        <sz val="8"/>
        <color theme="1"/>
        <rFont val="MS Mincho"/>
        <family val="2"/>
        <charset val="128"/>
      </rPr>
      <t>（設計書</t>
    </r>
    <r>
      <rPr>
        <sz val="8"/>
        <color theme="1"/>
        <rFont val="Consolas"/>
        <family val="2"/>
      </rPr>
      <t>9</t>
    </r>
    <r>
      <rPr>
        <sz val="8"/>
        <color theme="1"/>
        <rFont val="MS Mincho"/>
        <family val="2"/>
        <charset val="128"/>
      </rPr>
      <t>冊。該当項目の決定内容）</t>
    </r>
    <r>
      <rPr>
        <sz val="8"/>
        <color theme="1"/>
        <rFont val="Consolas"/>
        <family val="2"/>
      </rPr>
      <t xml:space="preserve">
- doc/adr/</t>
    </r>
    <r>
      <rPr>
        <sz val="8"/>
        <color theme="1"/>
        <rFont val="MS Mincho"/>
        <family val="2"/>
        <charset val="128"/>
      </rPr>
      <t>（</t>
    </r>
    <r>
      <rPr>
        <sz val="8"/>
        <color theme="1"/>
        <rFont val="Consolas"/>
        <family val="2"/>
      </rPr>
      <t>ADR 001</t>
    </r>
    <r>
      <rPr>
        <sz val="8"/>
        <color theme="1"/>
        <rFont val="MS Mincho"/>
        <family val="2"/>
        <charset val="128"/>
      </rPr>
      <t>〜</t>
    </r>
    <r>
      <rPr>
        <sz val="8"/>
        <color theme="1"/>
        <rFont val="Consolas"/>
        <family val="2"/>
      </rPr>
      <t>067</t>
    </r>
    <r>
      <rPr>
        <sz val="8"/>
        <color theme="1"/>
        <rFont val="MS Mincho"/>
        <family val="2"/>
        <charset val="128"/>
      </rPr>
      <t>）</t>
    </r>
    <r>
      <rPr>
        <sz val="8"/>
        <color theme="1"/>
        <rFont val="Consolas"/>
        <family val="2"/>
      </rPr>
      <t xml:space="preserve">
</t>
    </r>
    <r>
      <rPr>
        <sz val="8"/>
        <color theme="1"/>
        <rFont val="MS Mincho"/>
        <family val="2"/>
        <charset val="128"/>
      </rPr>
      <t>重要な制約</t>
    </r>
    <r>
      <rPr>
        <sz val="8"/>
        <color theme="1"/>
        <rFont val="Consolas"/>
        <family val="2"/>
      </rPr>
      <t>: 1</t>
    </r>
    <r>
      <rPr>
        <sz val="8"/>
        <color theme="1"/>
        <rFont val="MS Mincho"/>
        <family val="2"/>
        <charset val="128"/>
      </rPr>
      <t>ファイルの取得は</t>
    </r>
    <r>
      <rPr>
        <sz val="8"/>
        <color theme="1"/>
        <rFont val="Consolas"/>
        <family val="2"/>
      </rPr>
      <t>40,000</t>
    </r>
    <r>
      <rPr>
        <sz val="8"/>
        <color theme="1"/>
        <rFont val="MS Mincho"/>
        <family val="2"/>
        <charset val="128"/>
      </rPr>
      <t>文字で打ち切られる。</t>
    </r>
    <r>
      <rPr>
        <sz val="8"/>
        <color theme="1"/>
        <rFont val="Consolas"/>
        <family val="2"/>
      </rPr>
      <t>02/03/06/07/09/10</t>
    </r>
    <r>
      <rPr>
        <sz val="8"/>
        <color theme="1"/>
        <rFont val="MS Mincho"/>
        <family val="2"/>
        <charset val="128"/>
      </rPr>
      <t>は末尾が欠ける。必要な節が末尾にある場合は該当</t>
    </r>
    <r>
      <rPr>
        <sz val="8"/>
        <color theme="1"/>
        <rFont val="Consolas"/>
        <family val="2"/>
      </rPr>
      <t>ADR</t>
    </r>
    <r>
      <rPr>
        <sz val="8"/>
        <color theme="1"/>
        <rFont val="MS Mincho"/>
        <family val="2"/>
        <charset val="128"/>
      </rPr>
      <t>から補うこと。</t>
    </r>
    <r>
      <rPr>
        <sz val="8"/>
        <color theme="1"/>
        <rFont val="Consolas"/>
        <family val="2"/>
      </rPr>
      <t xml:space="preserve">
## </t>
    </r>
    <r>
      <rPr>
        <sz val="8"/>
        <color theme="1"/>
        <rFont val="MS Mincho"/>
        <family val="2"/>
        <charset val="128"/>
      </rPr>
      <t>対象</t>
    </r>
    <r>
      <rPr>
        <sz val="8"/>
        <color theme="1"/>
        <rFont val="Consolas"/>
        <family val="2"/>
      </rPr>
      <t>57</t>
    </r>
    <r>
      <rPr>
        <sz val="8"/>
        <color theme="1"/>
        <rFont val="MS Mincho"/>
        <family val="2"/>
        <charset val="128"/>
      </rPr>
      <t>項目</t>
    </r>
    <r>
      <rPr>
        <sz val="8"/>
        <color theme="1"/>
        <rFont val="Consolas"/>
        <family val="2"/>
      </rPr>
      <t xml:space="preserve">
B-ENROLL-1, B-RECOV-1, FR-SSO-006</t>
    </r>
    <r>
      <rPr>
        <sz val="8"/>
        <color theme="1"/>
        <rFont val="MS Mincho"/>
        <family val="2"/>
        <charset val="128"/>
      </rPr>
      <t>〜</t>
    </r>
    <r>
      <rPr>
        <sz val="8"/>
        <color theme="1"/>
        <rFont val="Consolas"/>
        <family val="2"/>
      </rPr>
      <t>010, B-CAEP-1, B-SESS-1, B-SESS-2, FR-AUTHZ-003, FR-AUTHZ-004, FR-AUTHZ-006, FR-USER-002, FR-USER-011, FR-ADMIN-007, FR-ADMIN-008, FR-ADMIN-010</t>
    </r>
    <r>
      <rPr>
        <sz val="8"/>
        <color theme="1"/>
        <rFont val="MS Mincho"/>
        <family val="2"/>
        <charset val="128"/>
      </rPr>
      <t>〜</t>
    </r>
    <r>
      <rPr>
        <sz val="8"/>
        <color theme="1"/>
        <rFont val="Consolas"/>
        <family val="2"/>
      </rPr>
      <t>012, FR-INT-005, NFR-PERF-001, NFR-PERF-002, NFR-PERF-006, NFR-PERF-007, NFR-SCL-002, NFR-SCL-003, NFR-SEC-003</t>
    </r>
    <r>
      <rPr>
        <sz val="8"/>
        <color theme="1"/>
        <rFont val="MS Mincho"/>
        <family val="2"/>
        <charset val="128"/>
      </rPr>
      <t>〜</t>
    </r>
    <r>
      <rPr>
        <sz val="8"/>
        <color theme="1"/>
        <rFont val="Consolas"/>
        <family val="2"/>
      </rPr>
      <t>010, NFR-SEC-010-2, NFR-SEC-013, NFR-SEC-014, NFR-SEC-020, B-AGENT-1, NFR-COMP-001, NFR-COMP-010, B-RTBF-1, NFR-OPS-001</t>
    </r>
    <r>
      <rPr>
        <sz val="8"/>
        <color theme="1"/>
        <rFont val="MS Mincho"/>
        <family val="2"/>
        <charset val="128"/>
      </rPr>
      <t>〜</t>
    </r>
    <r>
      <rPr>
        <sz val="8"/>
        <color theme="1"/>
        <rFont val="Consolas"/>
        <family val="2"/>
      </rPr>
      <t>005, NFR-OPS-009</t>
    </r>
    <r>
      <rPr>
        <sz val="8"/>
        <color theme="1"/>
        <rFont val="MS Mincho"/>
        <family val="2"/>
        <charset val="128"/>
      </rPr>
      <t>〜</t>
    </r>
    <r>
      <rPr>
        <sz val="8"/>
        <color theme="1"/>
        <rFont val="Consolas"/>
        <family val="2"/>
      </rPr>
      <t xml:space="preserve">011, B-TESTDATA-1, P-09, P-10, P-11, P-18, G-EGRESS
## </t>
    </r>
    <r>
      <rPr>
        <sz val="8"/>
        <color theme="1"/>
        <rFont val="MS Mincho"/>
        <family val="2"/>
        <charset val="128"/>
      </rPr>
      <t>各項目で調べて整理すること</t>
    </r>
    <r>
      <rPr>
        <sz val="8"/>
        <color theme="1"/>
        <rFont val="Consolas"/>
        <family val="2"/>
      </rPr>
      <t xml:space="preserve">
1. </t>
    </r>
    <r>
      <rPr>
        <sz val="8"/>
        <color theme="1"/>
        <rFont val="MS Mincho"/>
        <family val="2"/>
        <charset val="128"/>
      </rPr>
      <t>その要件が何を決めるものか（専門用語を使わず</t>
    </r>
    <r>
      <rPr>
        <sz val="8"/>
        <color theme="1"/>
        <rFont val="Consolas"/>
        <family val="2"/>
      </rPr>
      <t>1</t>
    </r>
    <r>
      <rPr>
        <sz val="8"/>
        <color theme="1"/>
        <rFont val="MS Mincho"/>
        <family val="2"/>
        <charset val="128"/>
      </rPr>
      <t>〜</t>
    </r>
    <r>
      <rPr>
        <sz val="8"/>
        <color theme="1"/>
        <rFont val="Consolas"/>
        <family val="2"/>
      </rPr>
      <t>2</t>
    </r>
    <r>
      <rPr>
        <sz val="8"/>
        <color theme="1"/>
        <rFont val="MS Mincho"/>
        <family val="2"/>
        <charset val="128"/>
      </rPr>
      <t>文）</t>
    </r>
    <r>
      <rPr>
        <sz val="8"/>
        <color theme="1"/>
        <rFont val="Consolas"/>
        <family val="2"/>
      </rPr>
      <t xml:space="preserve">
2. </t>
    </r>
    <r>
      <rPr>
        <sz val="8"/>
        <color theme="1"/>
        <rFont val="MS Mincho"/>
        <family val="2"/>
        <charset val="128"/>
      </rPr>
      <t>取り得る選択肢を</t>
    </r>
    <r>
      <rPr>
        <sz val="8"/>
        <color theme="1"/>
        <rFont val="Consolas"/>
        <family val="2"/>
      </rPr>
      <t>2</t>
    </r>
    <r>
      <rPr>
        <sz val="8"/>
        <color theme="1"/>
        <rFont val="MS Mincho"/>
        <family val="2"/>
        <charset val="128"/>
      </rPr>
      <t>〜</t>
    </r>
    <r>
      <rPr>
        <sz val="8"/>
        <color theme="1"/>
        <rFont val="Consolas"/>
        <family val="2"/>
      </rPr>
      <t>4</t>
    </r>
    <r>
      <rPr>
        <sz val="8"/>
        <color theme="1"/>
        <rFont val="MS Mincho"/>
        <family val="2"/>
        <charset val="128"/>
      </rPr>
      <t>つ。各選択肢の「できること／できないこと」「費用や工数への影響」「運用負荷への影響」を対比</t>
    </r>
    <r>
      <rPr>
        <sz val="8"/>
        <color theme="1"/>
        <rFont val="Consolas"/>
        <family val="2"/>
      </rPr>
      <t xml:space="preserve">
3. </t>
    </r>
    <r>
      <rPr>
        <sz val="8"/>
        <color theme="1"/>
        <rFont val="MS Mincho"/>
        <family val="2"/>
        <charset val="128"/>
      </rPr>
      <t>現在の設計での暫定値と、そう決めた理由</t>
    </r>
    <r>
      <rPr>
        <sz val="8"/>
        <color theme="1"/>
        <rFont val="Consolas"/>
        <family val="2"/>
      </rPr>
      <t xml:space="preserve">
4. </t>
    </r>
    <r>
      <rPr>
        <sz val="8"/>
        <color theme="1"/>
        <rFont val="MS Mincho"/>
        <family val="2"/>
        <charset val="128"/>
      </rPr>
      <t>顧客がこの選択を誤った場合に後から変更できるか（変更コストの大小）</t>
    </r>
    <r>
      <rPr>
        <sz val="8"/>
        <color theme="1"/>
        <rFont val="Consolas"/>
        <family val="2"/>
      </rPr>
      <t xml:space="preserve">
5. </t>
    </r>
    <r>
      <rPr>
        <sz val="8"/>
        <color theme="1"/>
        <rFont val="MS Mincho"/>
        <family val="2"/>
        <charset val="128"/>
      </rPr>
      <t>業界の一般的な水準（同規模の認証基盤で何が標準か）。出典を明記</t>
    </r>
    <r>
      <rPr>
        <sz val="8"/>
        <color theme="1"/>
        <rFont val="Consolas"/>
        <family val="2"/>
      </rPr>
      <t xml:space="preserve">
## </t>
    </r>
    <r>
      <rPr>
        <sz val="8"/>
        <color theme="1"/>
        <rFont val="MS Mincho"/>
        <family val="2"/>
        <charset val="128"/>
      </rPr>
      <t>出力形式</t>
    </r>
    <r>
      <rPr>
        <sz val="8"/>
        <color theme="1"/>
        <rFont val="Consolas"/>
        <family val="2"/>
      </rPr>
      <t xml:space="preserve">
</t>
    </r>
    <r>
      <rPr>
        <sz val="8"/>
        <color theme="1"/>
        <rFont val="MS Mincho"/>
        <family val="2"/>
        <charset val="128"/>
      </rPr>
      <t>項目ごとに</t>
    </r>
    <r>
      <rPr>
        <sz val="8"/>
        <color theme="1"/>
        <rFont val="Consolas"/>
        <family val="2"/>
      </rPr>
      <t>1</t>
    </r>
    <r>
      <rPr>
        <sz val="8"/>
        <color theme="1"/>
        <rFont val="MS Mincho"/>
        <family val="2"/>
        <charset val="128"/>
      </rPr>
      <t>ページ相当の</t>
    </r>
    <r>
      <rPr>
        <sz val="8"/>
        <color theme="1"/>
        <rFont val="Consolas"/>
        <family val="2"/>
      </rPr>
      <t>Markdown</t>
    </r>
    <r>
      <rPr>
        <sz val="8"/>
        <color theme="1"/>
        <rFont val="MS Mincho"/>
        <family val="2"/>
        <charset val="128"/>
      </rPr>
      <t>。以下の見出しを固定で使う。</t>
    </r>
    <r>
      <rPr>
        <sz val="8"/>
        <color theme="1"/>
        <rFont val="Consolas"/>
        <family val="2"/>
      </rPr>
      <t xml:space="preserve">
- </t>
    </r>
    <r>
      <rPr>
        <sz val="8"/>
        <color theme="1"/>
        <rFont val="MS Mincho"/>
        <family val="2"/>
        <charset val="128"/>
      </rPr>
      <t>何を決めるか</t>
    </r>
    <r>
      <rPr>
        <sz val="8"/>
        <color theme="1"/>
        <rFont val="Consolas"/>
        <family val="2"/>
      </rPr>
      <t xml:space="preserve">
- </t>
    </r>
    <r>
      <rPr>
        <sz val="8"/>
        <color theme="1"/>
        <rFont val="MS Mincho"/>
        <family val="2"/>
        <charset val="128"/>
      </rPr>
      <t>選択肢の比較（表形式）</t>
    </r>
    <r>
      <rPr>
        <sz val="8"/>
        <color theme="1"/>
        <rFont val="Consolas"/>
        <family val="2"/>
      </rPr>
      <t xml:space="preserve">
- </t>
    </r>
    <r>
      <rPr>
        <sz val="8"/>
        <color theme="1"/>
        <rFont val="MS Mincho"/>
        <family val="2"/>
        <charset val="128"/>
      </rPr>
      <t>弊社の推奨と理由</t>
    </r>
    <r>
      <rPr>
        <sz val="8"/>
        <color theme="1"/>
        <rFont val="Consolas"/>
        <family val="2"/>
      </rPr>
      <t xml:space="preserve">
- </t>
    </r>
    <r>
      <rPr>
        <sz val="8"/>
        <color theme="1"/>
        <rFont val="MS Mincho"/>
        <family val="2"/>
        <charset val="128"/>
      </rPr>
      <t>後から変更できるか</t>
    </r>
    <r>
      <rPr>
        <sz val="8"/>
        <color theme="1"/>
        <rFont val="Consolas"/>
        <family val="2"/>
      </rPr>
      <t xml:space="preserve">
- </t>
    </r>
    <r>
      <rPr>
        <sz val="8"/>
        <color theme="1"/>
        <rFont val="MS Mincho"/>
        <family val="2"/>
        <charset val="128"/>
      </rPr>
      <t>参考</t>
    </r>
    <r>
      <rPr>
        <sz val="8"/>
        <color theme="1"/>
        <rFont val="Consolas"/>
        <family val="2"/>
      </rPr>
      <t xml:space="preserve">: </t>
    </r>
    <r>
      <rPr>
        <sz val="8"/>
        <color theme="1"/>
        <rFont val="MS Mincho"/>
        <family val="2"/>
        <charset val="128"/>
      </rPr>
      <t>業界の一般的な水準</t>
    </r>
    <r>
      <rPr>
        <sz val="8"/>
        <color theme="1"/>
        <rFont val="Consolas"/>
        <family val="2"/>
      </rPr>
      <t xml:space="preserve">
## </t>
    </r>
    <r>
      <rPr>
        <sz val="8"/>
        <color theme="1"/>
        <rFont val="MS Mincho"/>
        <family val="2"/>
        <charset val="128"/>
      </rPr>
      <t>守ってほしいこと</t>
    </r>
    <r>
      <rPr>
        <sz val="8"/>
        <color theme="1"/>
        <rFont val="Consolas"/>
        <family val="2"/>
      </rPr>
      <t xml:space="preserve">
- </t>
    </r>
    <r>
      <rPr>
        <sz val="8"/>
        <color theme="1"/>
        <rFont val="MS Mincho"/>
        <family val="2"/>
        <charset val="128"/>
      </rPr>
      <t>専門用語は避ける。使う場合は初出で言い換えを添える（例</t>
    </r>
    <r>
      <rPr>
        <sz val="8"/>
        <color theme="1"/>
        <rFont val="Consolas"/>
        <family val="2"/>
      </rPr>
      <t xml:space="preserve">: </t>
    </r>
    <r>
      <rPr>
        <sz val="8"/>
        <color theme="1"/>
        <rFont val="MS Mincho"/>
        <family val="2"/>
        <charset val="128"/>
      </rPr>
      <t>トークン</t>
    </r>
    <r>
      <rPr>
        <sz val="8"/>
        <color theme="1"/>
        <rFont val="Consolas"/>
        <family val="2"/>
      </rPr>
      <t>→</t>
    </r>
    <r>
      <rPr>
        <sz val="8"/>
        <color theme="1"/>
        <rFont val="MS Mincho"/>
        <family val="2"/>
        <charset val="128"/>
      </rPr>
      <t>「通行証」）</t>
    </r>
    <r>
      <rPr>
        <sz val="8"/>
        <color theme="1"/>
        <rFont val="Consolas"/>
        <family val="2"/>
      </rPr>
      <t xml:space="preserve">
- </t>
    </r>
    <r>
      <rPr>
        <sz val="8"/>
        <color theme="1"/>
        <rFont val="MS Mincho"/>
        <family val="2"/>
        <charset val="128"/>
      </rPr>
      <t>「トークン」「フェデレーション」「プロビジョニング」等をそのまま使わない。日常語に置き換える</t>
    </r>
    <r>
      <rPr>
        <sz val="8"/>
        <color theme="1"/>
        <rFont val="Consolas"/>
        <family val="2"/>
      </rPr>
      <t xml:space="preserve">
- </t>
    </r>
    <r>
      <rPr>
        <sz val="8"/>
        <color theme="1"/>
        <rFont val="MS Mincho"/>
        <family val="2"/>
        <charset val="128"/>
      </rPr>
      <t>設計書に書かれていないことを推測で埋めない。情報がなければ「設計書に記載なし」と明記</t>
    </r>
    <r>
      <rPr>
        <sz val="8"/>
        <color theme="1"/>
        <rFont val="Consolas"/>
        <family val="2"/>
      </rPr>
      <t xml:space="preserve">
- </t>
    </r>
    <r>
      <rPr>
        <sz val="8"/>
        <color theme="1"/>
        <rFont val="MS Mincho"/>
        <family val="2"/>
        <charset val="128"/>
      </rPr>
      <t>選択肢に必ず現在の暫定値を含め、どれが現行かを示す</t>
    </r>
    <r>
      <rPr>
        <sz val="8"/>
        <color theme="1"/>
        <rFont val="Consolas"/>
        <family val="2"/>
      </rPr>
      <t xml:space="preserve">
- </t>
    </r>
    <r>
      <rPr>
        <sz val="8"/>
        <color theme="1"/>
        <rFont val="MS Mincho"/>
        <family val="2"/>
        <charset val="128"/>
      </rPr>
      <t>費用に言及する場合は概算根拠を添える。数字だけを書かない</t>
    </r>
    <phoneticPr fontId="2"/>
  </si>
  <si>
    <r>
      <t xml:space="preserve"># </t>
    </r>
    <r>
      <rPr>
        <sz val="8"/>
        <color theme="1"/>
        <rFont val="MS Mincho"/>
        <family val="2"/>
        <charset val="128"/>
      </rPr>
      <t>依頼</t>
    </r>
    <r>
      <rPr>
        <sz val="8"/>
        <color theme="1"/>
        <rFont val="Consolas"/>
        <family val="2"/>
      </rPr>
      <t xml:space="preserve">: </t>
    </r>
    <r>
      <rPr>
        <sz val="8"/>
        <color theme="1"/>
        <rFont val="MS Mincho"/>
        <family val="2"/>
        <charset val="128"/>
      </rPr>
      <t>残りの論点の技術方式調査と</t>
    </r>
    <r>
      <rPr>
        <sz val="8"/>
        <color theme="1"/>
        <rFont val="Consolas"/>
        <family val="2"/>
      </rPr>
      <t>Excel</t>
    </r>
    <r>
      <rPr>
        <sz val="8"/>
        <color theme="1"/>
        <rFont val="MS Mincho"/>
        <family val="2"/>
        <charset val="128"/>
      </rPr>
      <t>の最新化</t>
    </r>
    <r>
      <rPr>
        <sz val="8"/>
        <color theme="1"/>
        <rFont val="Consolas"/>
        <family val="2"/>
      </rPr>
      <t xml:space="preserve">
## </t>
    </r>
    <r>
      <rPr>
        <sz val="8"/>
        <color theme="1"/>
        <rFont val="MS Mincho"/>
        <family val="2"/>
        <charset val="128"/>
      </rPr>
      <t>背景</t>
    </r>
    <r>
      <rPr>
        <sz val="8"/>
        <color theme="1"/>
        <rFont val="Consolas"/>
        <family val="2"/>
      </rPr>
      <t xml:space="preserve">
</t>
    </r>
    <r>
      <rPr>
        <sz val="8"/>
        <color theme="1"/>
        <rFont val="MS Mincho"/>
        <family val="2"/>
        <charset val="128"/>
      </rPr>
      <t>大規模認証基盤（</t>
    </r>
    <r>
      <rPr>
        <sz val="8"/>
        <color theme="1"/>
        <rFont val="Consolas"/>
        <family val="2"/>
      </rPr>
      <t>1000</t>
    </r>
    <r>
      <rPr>
        <sz val="8"/>
        <color theme="1"/>
        <rFont val="MS Mincho"/>
        <family val="2"/>
        <charset val="128"/>
      </rPr>
      <t>社超・最大</t>
    </r>
    <r>
      <rPr>
        <sz val="8"/>
        <color theme="1"/>
        <rFont val="Consolas"/>
        <family val="2"/>
      </rPr>
      <t>1000</t>
    </r>
    <r>
      <rPr>
        <sz val="8"/>
        <color theme="1"/>
        <rFont val="MS Mincho"/>
        <family val="2"/>
        <charset val="128"/>
      </rPr>
      <t>万利用者）の要件・設計トラッカーを</t>
    </r>
    <r>
      <rPr>
        <sz val="8"/>
        <color theme="1"/>
        <rFont val="Consolas"/>
        <family val="2"/>
      </rPr>
      <t>Excel</t>
    </r>
    <r>
      <rPr>
        <sz val="8"/>
        <color theme="1"/>
        <rFont val="MS Mincho"/>
        <family val="2"/>
        <charset val="128"/>
      </rPr>
      <t>で管理している。下記</t>
    </r>
    <r>
      <rPr>
        <sz val="8"/>
        <color theme="1"/>
        <rFont val="Consolas"/>
        <family val="2"/>
      </rPr>
      <t>130</t>
    </r>
    <r>
      <rPr>
        <sz val="8"/>
        <color theme="1"/>
        <rFont val="MS Mincho"/>
        <family val="2"/>
        <charset val="128"/>
      </rPr>
      <t>項目は「顧客への確認でも資料作成でもなく、こちら側で調べて詰める」ものとして分類された。方式を調査し、</t>
    </r>
    <r>
      <rPr>
        <sz val="8"/>
        <color theme="1"/>
        <rFont val="Consolas"/>
        <family val="2"/>
      </rPr>
      <t>Excel</t>
    </r>
    <r>
      <rPr>
        <sz val="8"/>
        <color theme="1"/>
        <rFont val="MS Mincho"/>
        <family val="2"/>
        <charset val="128"/>
      </rPr>
      <t>に反映できる形で結論を出してほしい。</t>
    </r>
    <r>
      <rPr>
        <sz val="8"/>
        <color theme="1"/>
        <rFont val="Consolas"/>
        <family val="2"/>
      </rPr>
      <t xml:space="preserve">
## </t>
    </r>
    <r>
      <rPr>
        <sz val="8"/>
        <color theme="1"/>
        <rFont val="MS Mincho"/>
        <family val="2"/>
        <charset val="128"/>
      </rPr>
      <t>正となる情報源（必ず先に読む）</t>
    </r>
    <r>
      <rPr>
        <sz val="8"/>
        <color theme="1"/>
        <rFont val="Consolas"/>
        <family val="2"/>
      </rPr>
      <t xml:space="preserve">
GitHub: suepie/aws-atuh-poc
- doc/basic-design/00a-remaining-tasks-and-effort.md</t>
    </r>
    <r>
      <rPr>
        <sz val="8"/>
        <color theme="1"/>
        <rFont val="MS Mincho"/>
        <family val="2"/>
        <charset val="128"/>
      </rPr>
      <t>（残タスク</t>
    </r>
    <r>
      <rPr>
        <sz val="8"/>
        <color theme="1"/>
        <rFont val="Consolas"/>
        <family val="2"/>
      </rPr>
      <t>A</t>
    </r>
    <r>
      <rPr>
        <sz val="8"/>
        <color theme="1"/>
        <rFont val="MS Mincho"/>
        <family val="2"/>
        <charset val="128"/>
      </rPr>
      <t>〜</t>
    </r>
    <r>
      <rPr>
        <sz val="8"/>
        <color theme="1"/>
        <rFont val="Consolas"/>
        <family val="2"/>
      </rPr>
      <t>G</t>
    </r>
    <r>
      <rPr>
        <sz val="8"/>
        <color theme="1"/>
        <rFont val="MS Mincho"/>
        <family val="2"/>
        <charset val="128"/>
      </rPr>
      <t>・工数</t>
    </r>
    <r>
      <rPr>
        <sz val="8"/>
        <color theme="1"/>
        <rFont val="Consolas"/>
        <family val="2"/>
      </rPr>
      <t>244</t>
    </r>
    <r>
      <rPr>
        <sz val="8"/>
        <color theme="1"/>
        <rFont val="MS Mincho"/>
        <family val="2"/>
        <charset val="128"/>
      </rPr>
      <t>人日）</t>
    </r>
    <r>
      <rPr>
        <sz val="8"/>
        <color theme="1"/>
        <rFont val="Consolas"/>
        <family val="2"/>
      </rPr>
      <t xml:space="preserve">
- doc/basic-design/00b-design-unit-breakdown.md</t>
    </r>
    <r>
      <rPr>
        <sz val="8"/>
        <color theme="1"/>
        <rFont val="MS Mincho"/>
        <family val="2"/>
        <charset val="128"/>
      </rPr>
      <t>（作業単位</t>
    </r>
    <r>
      <rPr>
        <sz val="8"/>
        <color theme="1"/>
        <rFont val="Consolas"/>
        <family val="2"/>
      </rPr>
      <t>WBS</t>
    </r>
    <r>
      <rPr>
        <sz val="8"/>
        <color theme="1"/>
        <rFont val="MS Mincho"/>
        <family val="2"/>
        <charset val="128"/>
      </rPr>
      <t>）</t>
    </r>
    <r>
      <rPr>
        <sz val="8"/>
        <color theme="1"/>
        <rFont val="Consolas"/>
        <family val="2"/>
      </rPr>
      <t xml:space="preserve">
- doc/basic-design/research/wbs-gap-audit-2026-08-12.md</t>
    </r>
    <r>
      <rPr>
        <sz val="8"/>
        <color theme="1"/>
        <rFont val="MS Mincho"/>
        <family val="2"/>
        <charset val="128"/>
      </rPr>
      <t>（</t>
    </r>
    <r>
      <rPr>
        <sz val="8"/>
        <color theme="1"/>
        <rFont val="Consolas"/>
        <family val="2"/>
      </rPr>
      <t>GAP</t>
    </r>
    <r>
      <rPr>
        <sz val="8"/>
        <color theme="1"/>
        <rFont val="MS Mincho"/>
        <family val="2"/>
        <charset val="128"/>
      </rPr>
      <t>監査・全</t>
    </r>
    <r>
      <rPr>
        <sz val="8"/>
        <color theme="1"/>
        <rFont val="Consolas"/>
        <family val="2"/>
      </rPr>
      <t>DU</t>
    </r>
    <r>
      <rPr>
        <sz val="8"/>
        <color theme="1"/>
        <rFont val="MS Mincho"/>
        <family val="2"/>
        <charset val="128"/>
      </rPr>
      <t>人日・工程</t>
    </r>
    <r>
      <rPr>
        <sz val="8"/>
        <color theme="1"/>
        <rFont val="Consolas"/>
        <family val="2"/>
      </rPr>
      <t>4</t>
    </r>
    <r>
      <rPr>
        <sz val="8"/>
        <color theme="1"/>
        <rFont val="MS Mincho"/>
        <family val="2"/>
        <charset val="128"/>
      </rPr>
      <t>分割）</t>
    </r>
    <r>
      <rPr>
        <sz val="8"/>
        <color theme="1"/>
        <rFont val="Consolas"/>
        <family val="2"/>
      </rPr>
      <t xml:space="preserve">
- doc/basic-design/01</t>
    </r>
    <r>
      <rPr>
        <sz val="8"/>
        <color theme="1"/>
        <rFont val="MS Mincho"/>
        <family val="2"/>
        <charset val="128"/>
      </rPr>
      <t>〜</t>
    </r>
    <r>
      <rPr>
        <sz val="8"/>
        <color theme="1"/>
        <rFont val="Consolas"/>
        <family val="2"/>
      </rPr>
      <t>10</t>
    </r>
    <r>
      <rPr>
        <sz val="8"/>
        <color theme="1"/>
        <rFont val="MS Mincho"/>
        <family val="2"/>
        <charset val="128"/>
      </rPr>
      <t>（設計書）</t>
    </r>
    <r>
      <rPr>
        <sz val="8"/>
        <color theme="1"/>
        <rFont val="Consolas"/>
        <family val="2"/>
      </rPr>
      <t xml:space="preserve">
- doc/adr/</t>
    </r>
    <r>
      <rPr>
        <sz val="8"/>
        <color theme="1"/>
        <rFont val="MS Mincho"/>
        <family val="2"/>
        <charset val="128"/>
      </rPr>
      <t>（</t>
    </r>
    <r>
      <rPr>
        <sz val="8"/>
        <color theme="1"/>
        <rFont val="Consolas"/>
        <family val="2"/>
      </rPr>
      <t>ADR 001</t>
    </r>
    <r>
      <rPr>
        <sz val="8"/>
        <color theme="1"/>
        <rFont val="MS Mincho"/>
        <family val="2"/>
        <charset val="128"/>
      </rPr>
      <t>〜</t>
    </r>
    <r>
      <rPr>
        <sz val="8"/>
        <color theme="1"/>
        <rFont val="Consolas"/>
        <family val="2"/>
      </rPr>
      <t>067</t>
    </r>
    <r>
      <rPr>
        <sz val="8"/>
        <color theme="1"/>
        <rFont val="MS Mincho"/>
        <family val="2"/>
        <charset val="128"/>
      </rPr>
      <t>）</t>
    </r>
    <r>
      <rPr>
        <sz val="8"/>
        <color theme="1"/>
        <rFont val="Consolas"/>
        <family val="2"/>
      </rPr>
      <t xml:space="preserve">
</t>
    </r>
    <r>
      <rPr>
        <sz val="8"/>
        <color theme="1"/>
        <rFont val="MS Mincho"/>
        <family val="2"/>
        <charset val="128"/>
      </rPr>
      <t>重要な制約</t>
    </r>
    <r>
      <rPr>
        <sz val="8"/>
        <color theme="1"/>
        <rFont val="Consolas"/>
        <family val="2"/>
      </rPr>
      <t>: 1</t>
    </r>
    <r>
      <rPr>
        <sz val="8"/>
        <color theme="1"/>
        <rFont val="MS Mincho"/>
        <family val="2"/>
        <charset val="128"/>
      </rPr>
      <t>ファイルの取得は</t>
    </r>
    <r>
      <rPr>
        <sz val="8"/>
        <color theme="1"/>
        <rFont val="Consolas"/>
        <family val="2"/>
      </rPr>
      <t>40,000</t>
    </r>
    <r>
      <rPr>
        <sz val="8"/>
        <color theme="1"/>
        <rFont val="MS Mincho"/>
        <family val="2"/>
        <charset val="128"/>
      </rPr>
      <t>文字で打ち切られる。</t>
    </r>
    <r>
      <rPr>
        <sz val="8"/>
        <color theme="1"/>
        <rFont val="Consolas"/>
        <family val="2"/>
      </rPr>
      <t>02/03/06/07/09/10/hearing-checklist</t>
    </r>
    <r>
      <rPr>
        <sz val="8"/>
        <color theme="1"/>
        <rFont val="MS Mincho"/>
        <family val="2"/>
        <charset val="128"/>
      </rPr>
      <t>は末尾が欠ける。</t>
    </r>
    <r>
      <rPr>
        <sz val="8"/>
        <color theme="1"/>
        <rFont val="Consolas"/>
        <family val="2"/>
      </rPr>
      <t xml:space="preserve">
## </t>
    </r>
    <r>
      <rPr>
        <sz val="8"/>
        <color theme="1"/>
        <rFont val="MS Mincho"/>
        <family val="2"/>
        <charset val="128"/>
      </rPr>
      <t>対象（</t>
    </r>
    <r>
      <rPr>
        <sz val="8"/>
        <color theme="1"/>
        <rFont val="Consolas"/>
        <family val="2"/>
      </rPr>
      <t>4</t>
    </r>
    <r>
      <rPr>
        <sz val="8"/>
        <color theme="1"/>
        <rFont val="MS Mincho"/>
        <family val="2"/>
        <charset val="128"/>
      </rPr>
      <t>グループ・計</t>
    </r>
    <r>
      <rPr>
        <sz val="8"/>
        <color theme="1"/>
        <rFont val="Consolas"/>
        <family val="2"/>
      </rPr>
      <t>130</t>
    </r>
    <r>
      <rPr>
        <sz val="8"/>
        <color theme="1"/>
        <rFont val="MS Mincho"/>
        <family val="2"/>
        <charset val="128"/>
      </rPr>
      <t>項目）</t>
    </r>
    <r>
      <rPr>
        <sz val="8"/>
        <color theme="1"/>
        <rFont val="Consolas"/>
        <family val="2"/>
      </rPr>
      <t xml:space="preserve">
### A. </t>
    </r>
    <r>
      <rPr>
        <sz val="8"/>
        <color theme="1"/>
        <rFont val="MS Mincho"/>
        <family val="2"/>
        <charset val="128"/>
      </rPr>
      <t>個別対応（</t>
    </r>
    <r>
      <rPr>
        <sz val="8"/>
        <color theme="1"/>
        <rFont val="Consolas"/>
        <family val="2"/>
      </rPr>
      <t>31</t>
    </r>
    <r>
      <rPr>
        <sz val="8"/>
        <color theme="1"/>
        <rFont val="MS Mincho"/>
        <family val="2"/>
        <charset val="128"/>
      </rPr>
      <t>件）</t>
    </r>
    <r>
      <rPr>
        <sz val="8"/>
        <color theme="1"/>
        <rFont val="Consolas"/>
        <family val="2"/>
      </rPr>
      <t xml:space="preserve">— </t>
    </r>
    <r>
      <rPr>
        <sz val="8"/>
        <color theme="1"/>
        <rFont val="MS Mincho"/>
        <family val="2"/>
        <charset val="128"/>
      </rPr>
      <t>メモに具体的な回答が既に書かれている</t>
    </r>
    <r>
      <rPr>
        <sz val="8"/>
        <color theme="1"/>
        <rFont val="Consolas"/>
        <family val="2"/>
      </rPr>
      <t xml:space="preserve">
FR-AUTH-006, FR-AUTH-007, FR-SSO-001, B-TENANT-ISO-1, FR-USER-006, FR-ADMIN-009, FR-INT-002</t>
    </r>
    <r>
      <rPr>
        <sz val="8"/>
        <color theme="1"/>
        <rFont val="MS Mincho"/>
        <family val="2"/>
        <charset val="128"/>
      </rPr>
      <t>〜</t>
    </r>
    <r>
      <rPr>
        <sz val="8"/>
        <color theme="1"/>
        <rFont val="Consolas"/>
        <family val="2"/>
      </rPr>
      <t>004, FR-INT-010, NFR-PERF-004, NFR-PERF-005, NFR-PERF-008, NFR-DR-001</t>
    </r>
    <r>
      <rPr>
        <sz val="8"/>
        <color theme="1"/>
        <rFont val="MS Mincho"/>
        <family val="2"/>
        <charset val="128"/>
      </rPr>
      <t>〜</t>
    </r>
    <r>
      <rPr>
        <sz val="8"/>
        <color theme="1"/>
        <rFont val="Consolas"/>
        <family val="2"/>
      </rPr>
      <t xml:space="preserve">003, NFR-SEC-017, NFR-COMP-008, NFR-COST-001, NFR-COST-003, NFR-COST-003-PLUS, NFR-COST-006, NFR-COST-008, NFR-COST-009, NFR-MIG-005, A-2, A-4, A-7, P-01, P-02, P-03
→ </t>
    </r>
    <r>
      <rPr>
        <sz val="8"/>
        <color theme="1"/>
        <rFont val="MS Mincho"/>
        <family val="2"/>
        <charset val="128"/>
      </rPr>
      <t>やること</t>
    </r>
    <r>
      <rPr>
        <sz val="8"/>
        <color theme="1"/>
        <rFont val="Consolas"/>
        <family val="2"/>
      </rPr>
      <t xml:space="preserve">: </t>
    </r>
    <r>
      <rPr>
        <sz val="8"/>
        <color theme="1"/>
        <rFont val="MS Mincho"/>
        <family val="2"/>
        <charset val="128"/>
      </rPr>
      <t>メモの記述を読み、確定として扱えるものは決定内容へ整理して状況を「確定」または「方向性確定（条件付き）」に更新。判断が足りないものは何が足りないかを明記。</t>
    </r>
    <r>
      <rPr>
        <sz val="8"/>
        <color theme="1"/>
        <rFont val="Consolas"/>
        <family val="2"/>
      </rPr>
      <t xml:space="preserve">
### B. </t>
    </r>
    <r>
      <rPr>
        <sz val="8"/>
        <color theme="1"/>
        <rFont val="MS Mincho"/>
        <family val="2"/>
        <charset val="128"/>
      </rPr>
      <t>社内判断待ち（</t>
    </r>
    <r>
      <rPr>
        <sz val="8"/>
        <color theme="1"/>
        <rFont val="Consolas"/>
        <family val="2"/>
      </rPr>
      <t>24</t>
    </r>
    <r>
      <rPr>
        <sz val="8"/>
        <color theme="1"/>
        <rFont val="MS Mincho"/>
        <family val="2"/>
        <charset val="128"/>
      </rPr>
      <t>件）</t>
    </r>
    <r>
      <rPr>
        <sz val="8"/>
        <color theme="1"/>
        <rFont val="Consolas"/>
        <family val="2"/>
      </rPr>
      <t xml:space="preserve">— </t>
    </r>
    <r>
      <rPr>
        <sz val="8"/>
        <color theme="1"/>
        <rFont val="MS Mincho"/>
        <family val="2"/>
        <charset val="128"/>
      </rPr>
      <t>担当と方針が未定</t>
    </r>
    <r>
      <rPr>
        <sz val="8"/>
        <color theme="1"/>
        <rFont val="Consolas"/>
        <family val="2"/>
      </rPr>
      <t xml:space="preserve">
FR-USER-001, FR-USER-004, FR-USER-005, FR-USER-009, FR-USER-010, FR-USER-012, FR-ADMIN-002</t>
    </r>
    <r>
      <rPr>
        <sz val="8"/>
        <color theme="1"/>
        <rFont val="MS Mincho"/>
        <family val="2"/>
        <charset val="128"/>
      </rPr>
      <t>〜</t>
    </r>
    <r>
      <rPr>
        <sz val="8"/>
        <color theme="1"/>
        <rFont val="Consolas"/>
        <family val="2"/>
      </rPr>
      <t xml:space="preserve">005, FR-INT-006, NFR-SCL-007, NFR-COMP-011, NFR-COST-002, NFR-COST-004, NFR-COST-005, NFR-MIG-002, NFR-MIG-004, G-SCIM, G-UProfile-Email, G-IdP-Scale, P-05, P-16, P-17
→ </t>
    </r>
    <r>
      <rPr>
        <sz val="8"/>
        <color theme="1"/>
        <rFont val="MS Mincho"/>
        <family val="2"/>
        <charset val="128"/>
      </rPr>
      <t>やること</t>
    </r>
    <r>
      <rPr>
        <sz val="8"/>
        <color theme="1"/>
        <rFont val="Consolas"/>
        <family val="2"/>
      </rPr>
      <t xml:space="preserve">: </t>
    </r>
    <r>
      <rPr>
        <sz val="8"/>
        <color theme="1"/>
        <rFont val="MS Mincho"/>
        <family val="2"/>
        <charset val="128"/>
      </rPr>
      <t>技術的な選択肢を洗い出し、判断に必要な材料（費用・工数・リスク）を揃える。誰が決めるべきかも提示。</t>
    </r>
    <r>
      <rPr>
        <sz val="8"/>
        <color theme="1"/>
        <rFont val="Consolas"/>
        <family val="2"/>
      </rPr>
      <t xml:space="preserve">
### C. </t>
    </r>
    <r>
      <rPr>
        <sz val="8"/>
        <color theme="1"/>
        <rFont val="MS Mincho"/>
        <family val="2"/>
        <charset val="128"/>
      </rPr>
      <t>記述改善要（</t>
    </r>
    <r>
      <rPr>
        <sz val="8"/>
        <color theme="1"/>
        <rFont val="Consolas"/>
        <family val="2"/>
      </rPr>
      <t>5</t>
    </r>
    <r>
      <rPr>
        <sz val="8"/>
        <color theme="1"/>
        <rFont val="MS Mincho"/>
        <family val="2"/>
        <charset val="128"/>
      </rPr>
      <t>件）</t>
    </r>
    <r>
      <rPr>
        <sz val="8"/>
        <color theme="1"/>
        <rFont val="Consolas"/>
        <family val="2"/>
      </rPr>
      <t xml:space="preserve">— </t>
    </r>
    <r>
      <rPr>
        <sz val="8"/>
        <color theme="1"/>
        <rFont val="MS Mincho"/>
        <family val="2"/>
        <charset val="128"/>
      </rPr>
      <t>現在の記載が不明瞭という指摘を受けている</t>
    </r>
    <r>
      <rPr>
        <sz val="8"/>
        <color theme="1"/>
        <rFont val="Consolas"/>
        <family val="2"/>
      </rPr>
      <t xml:space="preserve">
B-FAPI-1, B-IPSIE-1, B-AUTHZLOG-1, FR-FED-008, FR-AUTHZ-008
→ </t>
    </r>
    <r>
      <rPr>
        <sz val="8"/>
        <color theme="1"/>
        <rFont val="MS Mincho"/>
        <family val="2"/>
        <charset val="128"/>
      </rPr>
      <t>やること</t>
    </r>
    <r>
      <rPr>
        <sz val="8"/>
        <color theme="1"/>
        <rFont val="Consolas"/>
        <family val="2"/>
      </rPr>
      <t xml:space="preserve">: </t>
    </r>
    <r>
      <rPr>
        <sz val="8"/>
        <color theme="1"/>
        <rFont val="MS Mincho"/>
        <family val="2"/>
        <charset val="128"/>
      </rPr>
      <t>何が分かりにくいかを特定し、専門用語を使わない平易な記述に書き換える。「どこに記録する何なのか」レベルまで具体化。</t>
    </r>
    <r>
      <rPr>
        <sz val="8"/>
        <color theme="1"/>
        <rFont val="Consolas"/>
        <family val="2"/>
      </rPr>
      <t xml:space="preserve">
### D. </t>
    </r>
    <r>
      <rPr>
        <sz val="8"/>
        <color theme="1"/>
        <rFont val="MS Mincho"/>
        <family val="2"/>
        <charset val="128"/>
      </rPr>
      <t>基本設計側の未記入（</t>
    </r>
    <r>
      <rPr>
        <sz val="8"/>
        <color theme="1"/>
        <rFont val="Consolas"/>
        <family val="2"/>
      </rPr>
      <t>59</t>
    </r>
    <r>
      <rPr>
        <sz val="8"/>
        <color theme="1"/>
        <rFont val="MS Mincho"/>
        <family val="2"/>
        <charset val="128"/>
      </rPr>
      <t>件）</t>
    </r>
    <r>
      <rPr>
        <sz val="8"/>
        <color theme="1"/>
        <rFont val="Consolas"/>
        <family val="2"/>
      </rPr>
      <t xml:space="preserve">— </t>
    </r>
    <r>
      <rPr>
        <sz val="8"/>
        <color theme="1"/>
        <rFont val="MS Mincho"/>
        <family val="2"/>
        <charset val="128"/>
      </rPr>
      <t>設計タスク</t>
    </r>
    <r>
      <rPr>
        <sz val="8"/>
        <color theme="1"/>
        <rFont val="Consolas"/>
        <family val="2"/>
      </rPr>
      <t>A-1</t>
    </r>
    <r>
      <rPr>
        <sz val="8"/>
        <color theme="1"/>
        <rFont val="MS Mincho"/>
        <family val="2"/>
        <charset val="128"/>
      </rPr>
      <t>〜</t>
    </r>
    <r>
      <rPr>
        <sz val="8"/>
        <color theme="1"/>
        <rFont val="Consolas"/>
        <family val="2"/>
      </rPr>
      <t>G-4</t>
    </r>
    <r>
      <rPr>
        <sz val="8"/>
        <color theme="1"/>
        <rFont val="MS Mincho"/>
        <family val="2"/>
        <charset val="128"/>
      </rPr>
      <t>等</t>
    </r>
    <r>
      <rPr>
        <sz val="8"/>
        <color theme="1"/>
        <rFont val="Consolas"/>
        <family val="2"/>
      </rPr>
      <t xml:space="preserve">
A-1</t>
    </r>
    <r>
      <rPr>
        <sz val="8"/>
        <color theme="1"/>
        <rFont val="MS Mincho"/>
        <family val="2"/>
        <charset val="128"/>
      </rPr>
      <t>〜</t>
    </r>
    <r>
      <rPr>
        <sz val="8"/>
        <color theme="1"/>
        <rFont val="Consolas"/>
        <family val="2"/>
      </rPr>
      <t>A-12, B-1</t>
    </r>
    <r>
      <rPr>
        <sz val="8"/>
        <color theme="1"/>
        <rFont val="MS Mincho"/>
        <family val="2"/>
        <charset val="128"/>
      </rPr>
      <t>〜</t>
    </r>
    <r>
      <rPr>
        <sz val="8"/>
        <color theme="1"/>
        <rFont val="Consolas"/>
        <family val="2"/>
      </rPr>
      <t>B-5, C-1</t>
    </r>
    <r>
      <rPr>
        <sz val="8"/>
        <color theme="1"/>
        <rFont val="MS Mincho"/>
        <family val="2"/>
        <charset val="128"/>
      </rPr>
      <t>〜</t>
    </r>
    <r>
      <rPr>
        <sz val="8"/>
        <color theme="1"/>
        <rFont val="Consolas"/>
        <family val="2"/>
      </rPr>
      <t>C-8, D-1</t>
    </r>
    <r>
      <rPr>
        <sz val="8"/>
        <color theme="1"/>
        <rFont val="MS Mincho"/>
        <family val="2"/>
        <charset val="128"/>
      </rPr>
      <t>〜</t>
    </r>
    <r>
      <rPr>
        <sz val="8"/>
        <color theme="1"/>
        <rFont val="Consolas"/>
        <family val="2"/>
      </rPr>
      <t>D-18, E-1</t>
    </r>
    <r>
      <rPr>
        <sz val="8"/>
        <color theme="1"/>
        <rFont val="MS Mincho"/>
        <family val="2"/>
        <charset val="128"/>
      </rPr>
      <t>〜</t>
    </r>
    <r>
      <rPr>
        <sz val="8"/>
        <color theme="1"/>
        <rFont val="Consolas"/>
        <family val="2"/>
      </rPr>
      <t>E-8, F-1</t>
    </r>
    <r>
      <rPr>
        <sz val="8"/>
        <color theme="1"/>
        <rFont val="MS Mincho"/>
        <family val="2"/>
        <charset val="128"/>
      </rPr>
      <t>〜</t>
    </r>
    <r>
      <rPr>
        <sz val="8"/>
        <color theme="1"/>
        <rFont val="Consolas"/>
        <family val="2"/>
      </rPr>
      <t>F-4, G-1</t>
    </r>
    <r>
      <rPr>
        <sz val="8"/>
        <color theme="1"/>
        <rFont val="MS Mincho"/>
        <family val="2"/>
        <charset val="128"/>
      </rPr>
      <t>〜</t>
    </r>
    <r>
      <rPr>
        <sz val="8"/>
        <color theme="1"/>
        <rFont val="Consolas"/>
        <family val="2"/>
      </rPr>
      <t xml:space="preserve">G-4, D-DEPROV-1, D-IDMAPI-1, P-BRAND-1
→ </t>
    </r>
    <r>
      <rPr>
        <sz val="8"/>
        <color theme="1"/>
        <rFont val="MS Mincho"/>
        <family val="2"/>
        <charset val="128"/>
      </rPr>
      <t>やること</t>
    </r>
    <r>
      <rPr>
        <sz val="8"/>
        <color theme="1"/>
        <rFont val="Consolas"/>
        <family val="2"/>
      </rPr>
      <t xml:space="preserve">: </t>
    </r>
    <r>
      <rPr>
        <sz val="8"/>
        <color theme="1"/>
        <rFont val="MS Mincho"/>
        <family val="2"/>
        <charset val="128"/>
      </rPr>
      <t>各タスクの現状（着手可否・ブロッカー・依存）を確認し、次のアクションを</t>
    </r>
    <r>
      <rPr>
        <sz val="8"/>
        <color theme="1"/>
        <rFont val="Consolas"/>
        <family val="2"/>
      </rPr>
      <t>1</t>
    </r>
    <r>
      <rPr>
        <sz val="8"/>
        <color theme="1"/>
        <rFont val="MS Mincho"/>
        <family val="2"/>
        <charset val="128"/>
      </rPr>
      <t>文で書く。</t>
    </r>
    <r>
      <rPr>
        <sz val="8"/>
        <color theme="1"/>
        <rFont val="Consolas"/>
        <family val="2"/>
      </rPr>
      <t xml:space="preserve">
## </t>
    </r>
    <r>
      <rPr>
        <sz val="8"/>
        <color theme="1"/>
        <rFont val="MS Mincho"/>
        <family val="2"/>
        <charset val="128"/>
      </rPr>
      <t>出力形式</t>
    </r>
    <r>
      <rPr>
        <sz val="8"/>
        <color theme="1"/>
        <rFont val="Consolas"/>
        <family val="2"/>
      </rPr>
      <t xml:space="preserve">
</t>
    </r>
    <r>
      <rPr>
        <sz val="8"/>
        <color theme="1"/>
        <rFont val="MS Mincho"/>
        <family val="2"/>
        <charset val="128"/>
      </rPr>
      <t>項目ごとに以下を</t>
    </r>
    <r>
      <rPr>
        <sz val="8"/>
        <color theme="1"/>
        <rFont val="Consolas"/>
        <family val="2"/>
      </rPr>
      <t>TSV1</t>
    </r>
    <r>
      <rPr>
        <sz val="8"/>
        <color theme="1"/>
        <rFont val="MS Mincho"/>
        <family val="2"/>
        <charset val="128"/>
      </rPr>
      <t>行（</t>
    </r>
    <r>
      <rPr>
        <sz val="8"/>
        <color theme="1"/>
        <rFont val="Consolas"/>
        <family val="2"/>
      </rPr>
      <t>Excel</t>
    </r>
    <r>
      <rPr>
        <sz val="8"/>
        <color theme="1"/>
        <rFont val="MS Mincho"/>
        <family val="2"/>
        <charset val="128"/>
      </rPr>
      <t>へ貼り付けられる形）。</t>
    </r>
    <r>
      <rPr>
        <sz val="8"/>
        <color theme="1"/>
        <rFont val="Consolas"/>
        <family val="2"/>
      </rPr>
      <t xml:space="preserve">
ID / </t>
    </r>
    <r>
      <rPr>
        <sz val="8"/>
        <color theme="1"/>
        <rFont val="MS Mincho"/>
        <family val="2"/>
        <charset val="128"/>
      </rPr>
      <t>状況（確定・方向性確定（条件付き）・検討中・外部待ち・対象外のいずれか）</t>
    </r>
    <r>
      <rPr>
        <sz val="8"/>
        <color theme="1"/>
        <rFont val="Consolas"/>
        <family val="2"/>
      </rPr>
      <t xml:space="preserve"> / </t>
    </r>
    <r>
      <rPr>
        <sz val="8"/>
        <color theme="1"/>
        <rFont val="MS Mincho"/>
        <family val="2"/>
        <charset val="128"/>
      </rPr>
      <t>決定内容・残論点</t>
    </r>
    <r>
      <rPr>
        <sz val="8"/>
        <color theme="1"/>
        <rFont val="Consolas"/>
        <family val="2"/>
      </rPr>
      <t xml:space="preserve"> / </t>
    </r>
    <r>
      <rPr>
        <sz val="8"/>
        <color theme="1"/>
        <rFont val="MS Mincho"/>
        <family val="2"/>
        <charset val="128"/>
      </rPr>
      <t>次のアクション</t>
    </r>
    <r>
      <rPr>
        <sz val="8"/>
        <color theme="1"/>
        <rFont val="Consolas"/>
        <family val="2"/>
      </rPr>
      <t xml:space="preserve"> / </t>
    </r>
    <r>
      <rPr>
        <sz val="8"/>
        <color theme="1"/>
        <rFont val="MS Mincho"/>
        <family val="2"/>
        <charset val="128"/>
      </rPr>
      <t>対応区分</t>
    </r>
    <r>
      <rPr>
        <sz val="8"/>
        <color theme="1"/>
        <rFont val="Consolas"/>
        <family val="2"/>
      </rPr>
      <t xml:space="preserve">
</t>
    </r>
    <r>
      <rPr>
        <sz val="8"/>
        <color theme="1"/>
        <rFont val="MS Mincho"/>
        <family val="2"/>
        <charset val="128"/>
      </rPr>
      <t>加えて、調査で判明した重要な発見を</t>
    </r>
    <r>
      <rPr>
        <sz val="8"/>
        <color theme="1"/>
        <rFont val="Consolas"/>
        <family val="2"/>
      </rPr>
      <t>Markdown</t>
    </r>
    <r>
      <rPr>
        <sz val="8"/>
        <color theme="1"/>
        <rFont val="MS Mincho"/>
        <family val="2"/>
        <charset val="128"/>
      </rPr>
      <t>で別途まとめる。</t>
    </r>
    <r>
      <rPr>
        <sz val="8"/>
        <color theme="1"/>
        <rFont val="Consolas"/>
        <family val="2"/>
      </rPr>
      <t xml:space="preserve">
## </t>
    </r>
    <r>
      <rPr>
        <sz val="8"/>
        <color theme="1"/>
        <rFont val="MS Mincho"/>
        <family val="2"/>
        <charset val="128"/>
      </rPr>
      <t>守ってほしいこと</t>
    </r>
    <r>
      <rPr>
        <sz val="8"/>
        <color theme="1"/>
        <rFont val="Consolas"/>
        <family val="2"/>
      </rPr>
      <t xml:space="preserve">
- Git</t>
    </r>
    <r>
      <rPr>
        <sz val="8"/>
        <color theme="1"/>
        <rFont val="MS Mincho"/>
        <family val="2"/>
        <charset val="128"/>
      </rPr>
      <t>が正。</t>
    </r>
    <r>
      <rPr>
        <sz val="8"/>
        <color theme="1"/>
        <rFont val="Consolas"/>
        <family val="2"/>
      </rPr>
      <t>Excel</t>
    </r>
    <r>
      <rPr>
        <sz val="8"/>
        <color theme="1"/>
        <rFont val="MS Mincho"/>
        <family val="2"/>
        <charset val="128"/>
      </rPr>
      <t>は派生ビュー。</t>
    </r>
    <r>
      <rPr>
        <sz val="8"/>
        <color theme="1"/>
        <rFont val="Consolas"/>
        <family val="2"/>
      </rPr>
      <t>Git</t>
    </r>
    <r>
      <rPr>
        <sz val="8"/>
        <color theme="1"/>
        <rFont val="MS Mincho"/>
        <family val="2"/>
        <charset val="128"/>
      </rPr>
      <t>に書かれていないことを結論として書かない</t>
    </r>
    <r>
      <rPr>
        <sz val="8"/>
        <color theme="1"/>
        <rFont val="Consolas"/>
        <family val="2"/>
      </rPr>
      <t xml:space="preserve">
- </t>
    </r>
    <r>
      <rPr>
        <sz val="8"/>
        <color theme="1"/>
        <rFont val="MS Mincho"/>
        <family val="2"/>
        <charset val="128"/>
      </rPr>
      <t>情報がない項目は「設計書に記載なし。要調査」と明記する。推測で埋めない</t>
    </r>
    <r>
      <rPr>
        <sz val="8"/>
        <color theme="1"/>
        <rFont val="Consolas"/>
        <family val="2"/>
      </rPr>
      <t xml:space="preserve">
- </t>
    </r>
    <r>
      <rPr>
        <sz val="8"/>
        <color theme="1"/>
        <rFont val="MS Mincho"/>
        <family val="2"/>
        <charset val="128"/>
      </rPr>
      <t>状況は</t>
    </r>
    <r>
      <rPr>
        <sz val="8"/>
        <color theme="1"/>
        <rFont val="Consolas"/>
        <family val="2"/>
      </rPr>
      <t>5</t>
    </r>
    <r>
      <rPr>
        <sz val="8"/>
        <color theme="1"/>
        <rFont val="MS Mincho"/>
        <family val="2"/>
        <charset val="128"/>
      </rPr>
      <t>区分の語をそのまま使う。独自の表現を作らない</t>
    </r>
    <r>
      <rPr>
        <sz val="8"/>
        <color theme="1"/>
        <rFont val="Consolas"/>
        <family val="2"/>
      </rPr>
      <t xml:space="preserve">
- </t>
    </r>
    <r>
      <rPr>
        <sz val="8"/>
        <color theme="1"/>
        <rFont val="MS Mincho"/>
        <family val="2"/>
        <charset val="128"/>
      </rPr>
      <t>専門用語は日常語に置き換える（トークン</t>
    </r>
    <r>
      <rPr>
        <sz val="8"/>
        <color theme="1"/>
        <rFont val="Consolas"/>
        <family val="2"/>
      </rPr>
      <t>→</t>
    </r>
    <r>
      <rPr>
        <sz val="8"/>
        <color theme="1"/>
        <rFont val="MS Mincho"/>
        <family val="2"/>
        <charset val="128"/>
      </rPr>
      <t>通行証、フェデレーション</t>
    </r>
    <r>
      <rPr>
        <sz val="8"/>
        <color theme="1"/>
        <rFont val="Consolas"/>
        <family val="2"/>
      </rPr>
      <t>→</t>
    </r>
    <r>
      <rPr>
        <sz val="8"/>
        <color theme="1"/>
        <rFont val="MS Mincho"/>
        <family val="2"/>
        <charset val="128"/>
      </rPr>
      <t>顧客側</t>
    </r>
    <r>
      <rPr>
        <sz val="8"/>
        <color theme="1"/>
        <rFont val="Consolas"/>
        <family val="2"/>
      </rPr>
      <t>ID</t>
    </r>
    <r>
      <rPr>
        <sz val="8"/>
        <color theme="1"/>
        <rFont val="MS Mincho"/>
        <family val="2"/>
        <charset val="128"/>
      </rPr>
      <t>基盤との連携</t>
    </r>
    <r>
      <rPr>
        <sz val="8"/>
        <color theme="1"/>
        <rFont val="Consolas"/>
        <family val="2"/>
      </rPr>
      <t xml:space="preserve"> </t>
    </r>
    <r>
      <rPr>
        <sz val="8"/>
        <color theme="1"/>
        <rFont val="MS Mincho"/>
        <family val="2"/>
        <charset val="128"/>
      </rPr>
      <t>等）</t>
    </r>
    <r>
      <rPr>
        <sz val="8"/>
        <color theme="1"/>
        <rFont val="Consolas"/>
        <family val="2"/>
      </rPr>
      <t xml:space="preserve">
- </t>
    </r>
    <r>
      <rPr>
        <sz val="8"/>
        <color theme="1"/>
        <rFont val="MS Mincho"/>
        <family val="2"/>
        <charset val="128"/>
      </rPr>
      <t>費用・工数に触れる場合、既存の見積り（基本設計</t>
    </r>
    <r>
      <rPr>
        <sz val="8"/>
        <color theme="1"/>
        <rFont val="Consolas"/>
        <family val="2"/>
      </rPr>
      <t>244</t>
    </r>
    <r>
      <rPr>
        <sz val="8"/>
        <color theme="1"/>
        <rFont val="MS Mincho"/>
        <family val="2"/>
        <charset val="128"/>
      </rPr>
      <t>人日／詳細設計</t>
    </r>
    <r>
      <rPr>
        <sz val="8"/>
        <color theme="1"/>
        <rFont val="Consolas"/>
        <family val="2"/>
      </rPr>
      <t>+</t>
    </r>
    <r>
      <rPr>
        <sz val="8"/>
        <color theme="1"/>
        <rFont val="MS Mincho"/>
        <family val="2"/>
        <charset val="128"/>
      </rPr>
      <t>構築</t>
    </r>
    <r>
      <rPr>
        <sz val="8"/>
        <color theme="1"/>
        <rFont val="Consolas"/>
        <family val="2"/>
      </rPr>
      <t>1,044</t>
    </r>
    <r>
      <rPr>
        <sz val="8"/>
        <color theme="1"/>
        <rFont val="MS Mincho"/>
        <family val="2"/>
        <charset val="128"/>
      </rPr>
      <t>人日／テスト</t>
    </r>
    <r>
      <rPr>
        <sz val="8"/>
        <color theme="1"/>
        <rFont val="Consolas"/>
        <family val="2"/>
      </rPr>
      <t>363</t>
    </r>
    <r>
      <rPr>
        <sz val="8"/>
        <color theme="1"/>
        <rFont val="MS Mincho"/>
        <family val="2"/>
        <charset val="128"/>
      </rPr>
      <t>人日）との整合を確認し、二重計上しない</t>
    </r>
    <r>
      <rPr>
        <sz val="8"/>
        <color theme="1"/>
        <rFont val="Consolas"/>
        <family val="2"/>
      </rPr>
      <t xml:space="preserve">
- ADR-051</t>
    </r>
    <r>
      <rPr>
        <sz val="8"/>
        <color theme="1"/>
        <rFont val="MS Mincho"/>
        <family val="2"/>
        <charset val="128"/>
      </rPr>
      <t>（災害復旧）は</t>
    </r>
    <r>
      <rPr>
        <sz val="8"/>
        <color theme="1"/>
        <rFont val="Consolas"/>
        <family val="2"/>
      </rPr>
      <t>2026-07-30</t>
    </r>
    <r>
      <rPr>
        <sz val="8"/>
        <color theme="1"/>
        <rFont val="MS Mincho"/>
        <family val="2"/>
        <charset val="128"/>
      </rPr>
      <t>の方針転換で再改訂が必要な状態。古い記述に引きずられないこと</t>
    </r>
    <r>
      <rPr>
        <sz val="8"/>
        <color theme="1"/>
        <rFont val="Consolas"/>
        <family val="2"/>
      </rPr>
      <t xml:space="preserve">
- ADR-061</t>
    </r>
    <r>
      <rPr>
        <sz val="8"/>
        <color theme="1"/>
        <rFont val="MS Mincho"/>
        <family val="2"/>
        <charset val="128"/>
      </rPr>
      <t>は索引（</t>
    </r>
    <r>
      <rPr>
        <sz val="8"/>
        <color theme="1"/>
        <rFont val="Consolas"/>
        <family val="2"/>
      </rPr>
      <t>00-index.md</t>
    </r>
    <r>
      <rPr>
        <sz val="8"/>
        <color theme="1"/>
        <rFont val="MS Mincho"/>
        <family val="2"/>
        <charset val="128"/>
      </rPr>
      <t>）に未登録だがファイルは存在する。見落とさないこと</t>
    </r>
    <phoneticPr fontId="2"/>
  </si>
  <si>
    <r>
      <t xml:space="preserve"># </t>
    </r>
    <r>
      <rPr>
        <sz val="8"/>
        <color theme="1"/>
        <rFont val="MS Mincho"/>
        <family val="2"/>
        <charset val="128"/>
      </rPr>
      <t>依頼</t>
    </r>
    <r>
      <rPr>
        <sz val="8"/>
        <color theme="1"/>
        <rFont val="Consolas"/>
        <family val="2"/>
      </rPr>
      <t xml:space="preserve">: </t>
    </r>
    <r>
      <rPr>
        <sz val="8"/>
        <color theme="1"/>
        <rFont val="MS Mincho"/>
        <family val="2"/>
        <charset val="128"/>
      </rPr>
      <t>顧客ヒアリング項目の整理と質問状の作成</t>
    </r>
    <r>
      <rPr>
        <sz val="8"/>
        <color theme="1"/>
        <rFont val="Consolas"/>
        <family val="2"/>
      </rPr>
      <t xml:space="preserve">
## </t>
    </r>
    <r>
      <rPr>
        <sz val="8"/>
        <color theme="1"/>
        <rFont val="MS Mincho"/>
        <family val="2"/>
        <charset val="128"/>
      </rPr>
      <t>背景</t>
    </r>
    <r>
      <rPr>
        <sz val="8"/>
        <color theme="1"/>
        <rFont val="Consolas"/>
        <family val="2"/>
      </rPr>
      <t xml:space="preserve">
</t>
    </r>
    <r>
      <rPr>
        <sz val="8"/>
        <color theme="1"/>
        <rFont val="MS Mincho"/>
        <family val="2"/>
        <charset val="128"/>
      </rPr>
      <t>大規模認証基盤（</t>
    </r>
    <r>
      <rPr>
        <sz val="8"/>
        <color theme="1"/>
        <rFont val="Consolas"/>
        <family val="2"/>
      </rPr>
      <t>1000</t>
    </r>
    <r>
      <rPr>
        <sz val="8"/>
        <color theme="1"/>
        <rFont val="MS Mincho"/>
        <family val="2"/>
        <charset val="128"/>
      </rPr>
      <t>社超・最大</t>
    </r>
    <r>
      <rPr>
        <sz val="8"/>
        <color theme="1"/>
        <rFont val="Consolas"/>
        <family val="2"/>
      </rPr>
      <t>1000</t>
    </r>
    <r>
      <rPr>
        <sz val="8"/>
        <color theme="1"/>
        <rFont val="MS Mincho"/>
        <family val="2"/>
        <charset val="128"/>
      </rPr>
      <t>万利用者）の要件定義で、顧客への確認が</t>
    </r>
    <r>
      <rPr>
        <sz val="8"/>
        <color theme="1"/>
        <rFont val="Consolas"/>
        <family val="2"/>
      </rPr>
      <t>127</t>
    </r>
    <r>
      <rPr>
        <sz val="8"/>
        <color theme="1"/>
        <rFont val="MS Mincho"/>
        <family val="2"/>
        <charset val="128"/>
      </rPr>
      <t>項目中</t>
    </r>
    <r>
      <rPr>
        <sz val="8"/>
        <color theme="1"/>
        <rFont val="Consolas"/>
        <family val="2"/>
      </rPr>
      <t>123</t>
    </r>
    <r>
      <rPr>
        <sz val="8"/>
        <color theme="1"/>
        <rFont val="MS Mincho"/>
        <family val="2"/>
        <charset val="128"/>
      </rPr>
      <t>件未回答のまま止まっている。壁時計時間の律速は工数ではなく顧客の回答待ちであり、質問状の質が全体の進行速度を決める。下記</t>
    </r>
    <r>
      <rPr>
        <sz val="8"/>
        <color theme="1"/>
        <rFont val="Consolas"/>
        <family val="2"/>
      </rPr>
      <t>45</t>
    </r>
    <r>
      <rPr>
        <sz val="8"/>
        <color theme="1"/>
        <rFont val="MS Mincho"/>
        <family val="2"/>
        <charset val="128"/>
      </rPr>
      <t>項目は「資料なしでも質問が成立する」ものとして分類された。これを顧客がその場で答えられる質問状にまとめてほしい。</t>
    </r>
    <r>
      <rPr>
        <sz val="8"/>
        <color theme="1"/>
        <rFont val="Consolas"/>
        <family val="2"/>
      </rPr>
      <t xml:space="preserve">
## </t>
    </r>
    <r>
      <rPr>
        <sz val="8"/>
        <color theme="1"/>
        <rFont val="MS Mincho"/>
        <family val="2"/>
        <charset val="128"/>
      </rPr>
      <t>正となる情報源（必ず先に読む）</t>
    </r>
    <r>
      <rPr>
        <sz val="8"/>
        <color theme="1"/>
        <rFont val="Consolas"/>
        <family val="2"/>
      </rPr>
      <t xml:space="preserve">
GitHub: suepie/aws-atuh-poc
- doc/requirements/hearing-checklist.md</t>
    </r>
    <r>
      <rPr>
        <sz val="8"/>
        <color theme="1"/>
        <rFont val="MS Mincho"/>
        <family val="2"/>
        <charset val="128"/>
      </rPr>
      <t>（既存の質問</t>
    </r>
    <r>
      <rPr>
        <sz val="8"/>
        <color theme="1"/>
        <rFont val="Consolas"/>
        <family val="2"/>
      </rPr>
      <t>127</t>
    </r>
    <r>
      <rPr>
        <sz val="8"/>
        <color theme="1"/>
        <rFont val="MS Mincho"/>
        <family val="2"/>
        <charset val="128"/>
      </rPr>
      <t>項目。</t>
    </r>
    <r>
      <rPr>
        <sz val="8"/>
        <color theme="1"/>
        <rFont val="Consolas"/>
        <family val="2"/>
      </rPr>
      <t xml:space="preserve">§5.6 </t>
    </r>
    <r>
      <rPr>
        <sz val="8"/>
        <color theme="1"/>
        <rFont val="MS Mincho"/>
        <family val="2"/>
        <charset val="128"/>
      </rPr>
      <t>が最新の追加分）</t>
    </r>
    <r>
      <rPr>
        <sz val="8"/>
        <color theme="1"/>
        <rFont val="Consolas"/>
        <family val="2"/>
      </rPr>
      <t xml:space="preserve">
- doc/requirements/functional-requirements.md / non-functional-requirements.md
- doc/basic-design/01-architecture-baseline.md</t>
    </r>
    <r>
      <rPr>
        <sz val="8"/>
        <color theme="1"/>
        <rFont val="MS Mincho"/>
        <family val="2"/>
        <charset val="128"/>
      </rPr>
      <t>（前提</t>
    </r>
    <r>
      <rPr>
        <sz val="8"/>
        <color theme="1"/>
        <rFont val="Consolas"/>
        <family val="2"/>
      </rPr>
      <t>P-01</t>
    </r>
    <r>
      <rPr>
        <sz val="8"/>
        <color theme="1"/>
        <rFont val="MS Mincho"/>
        <family val="2"/>
        <charset val="128"/>
      </rPr>
      <t>〜</t>
    </r>
    <r>
      <rPr>
        <sz val="8"/>
        <color theme="1"/>
        <rFont val="Consolas"/>
        <family val="2"/>
      </rPr>
      <t>18</t>
    </r>
    <r>
      <rPr>
        <sz val="8"/>
        <color theme="1"/>
        <rFont val="MS Mincho"/>
        <family val="2"/>
        <charset val="128"/>
      </rPr>
      <t>。各項目の暫定値がここにある）</t>
    </r>
    <r>
      <rPr>
        <sz val="8"/>
        <color theme="1"/>
        <rFont val="Consolas"/>
        <family val="2"/>
      </rPr>
      <t xml:space="preserve">
</t>
    </r>
    <r>
      <rPr>
        <sz val="8"/>
        <color theme="1"/>
        <rFont val="MS Mincho"/>
        <family val="2"/>
        <charset val="128"/>
      </rPr>
      <t>重要な制約</t>
    </r>
    <r>
      <rPr>
        <sz val="8"/>
        <color theme="1"/>
        <rFont val="Consolas"/>
        <family val="2"/>
      </rPr>
      <t xml:space="preserve">: hearing-checklist.md </t>
    </r>
    <r>
      <rPr>
        <sz val="8"/>
        <color theme="1"/>
        <rFont val="MS Mincho"/>
        <family val="2"/>
        <charset val="128"/>
      </rPr>
      <t>は</t>
    </r>
    <r>
      <rPr>
        <sz val="8"/>
        <color theme="1"/>
        <rFont val="Consolas"/>
        <family val="2"/>
      </rPr>
      <t>173KB</t>
    </r>
    <r>
      <rPr>
        <sz val="8"/>
        <color theme="1"/>
        <rFont val="MS Mincho"/>
        <family val="2"/>
        <charset val="128"/>
      </rPr>
      <t>あり、</t>
    </r>
    <r>
      <rPr>
        <sz val="8"/>
        <color theme="1"/>
        <rFont val="Consolas"/>
        <family val="2"/>
      </rPr>
      <t>1</t>
    </r>
    <r>
      <rPr>
        <sz val="8"/>
        <color theme="1"/>
        <rFont val="MS Mincho"/>
        <family val="2"/>
        <charset val="128"/>
      </rPr>
      <t>ファイル</t>
    </r>
    <r>
      <rPr>
        <sz val="8"/>
        <color theme="1"/>
        <rFont val="Consolas"/>
        <family val="2"/>
      </rPr>
      <t>40,000</t>
    </r>
    <r>
      <rPr>
        <sz val="8"/>
        <color theme="1"/>
        <rFont val="MS Mincho"/>
        <family val="2"/>
        <charset val="128"/>
      </rPr>
      <t>文字で打ち切られる。</t>
    </r>
    <r>
      <rPr>
        <sz val="8"/>
        <color theme="1"/>
        <rFont val="Consolas"/>
        <family val="2"/>
      </rPr>
      <t>§5.6</t>
    </r>
    <r>
      <rPr>
        <sz val="8"/>
        <color theme="1"/>
        <rFont val="MS Mincho"/>
        <family val="2"/>
        <charset val="128"/>
      </rPr>
      <t>は末尾にあるため取得できない可能性がある。その場合は</t>
    </r>
    <r>
      <rPr>
        <sz val="8"/>
        <color theme="1"/>
        <rFont val="Consolas"/>
        <family val="2"/>
      </rPr>
      <t xml:space="preserve"> search_code </t>
    </r>
    <r>
      <rPr>
        <sz val="8"/>
        <color theme="1"/>
        <rFont val="MS Mincho"/>
        <family val="2"/>
        <charset val="128"/>
      </rPr>
      <t>で該当</t>
    </r>
    <r>
      <rPr>
        <sz val="8"/>
        <color theme="1"/>
        <rFont val="Consolas"/>
        <family val="2"/>
      </rPr>
      <t>ID</t>
    </r>
    <r>
      <rPr>
        <sz val="8"/>
        <color theme="1"/>
        <rFont val="MS Mincho"/>
        <family val="2"/>
        <charset val="128"/>
      </rPr>
      <t>を検索して補うこと。</t>
    </r>
    <r>
      <rPr>
        <sz val="8"/>
        <color theme="1"/>
        <rFont val="Consolas"/>
        <family val="2"/>
      </rPr>
      <t xml:space="preserve">
## </t>
    </r>
    <r>
      <rPr>
        <sz val="8"/>
        <color theme="1"/>
        <rFont val="MS Mincho"/>
        <family val="2"/>
        <charset val="128"/>
      </rPr>
      <t>対象</t>
    </r>
    <r>
      <rPr>
        <sz val="8"/>
        <color theme="1"/>
        <rFont val="Consolas"/>
        <family val="2"/>
      </rPr>
      <t>45</t>
    </r>
    <r>
      <rPr>
        <sz val="8"/>
        <color theme="1"/>
        <rFont val="MS Mincho"/>
        <family val="2"/>
        <charset val="128"/>
      </rPr>
      <t>項目</t>
    </r>
    <r>
      <rPr>
        <sz val="8"/>
        <color theme="1"/>
        <rFont val="Consolas"/>
        <family val="2"/>
      </rPr>
      <t xml:space="preserve">
FR-AUTH-010</t>
    </r>
    <r>
      <rPr>
        <sz val="8"/>
        <color theme="1"/>
        <rFont val="MS Mincho"/>
        <family val="2"/>
        <charset val="128"/>
      </rPr>
      <t>〜</t>
    </r>
    <r>
      <rPr>
        <sz val="8"/>
        <color theme="1"/>
        <rFont val="Consolas"/>
        <family val="2"/>
      </rPr>
      <t>014, FR-FED-001</t>
    </r>
    <r>
      <rPr>
        <sz val="8"/>
        <color theme="1"/>
        <rFont val="MS Mincho"/>
        <family val="2"/>
        <charset val="128"/>
      </rPr>
      <t>〜</t>
    </r>
    <r>
      <rPr>
        <sz val="8"/>
        <color theme="1"/>
        <rFont val="Consolas"/>
        <family val="2"/>
      </rPr>
      <t>004, FR-FED-009, FR-FED-011, FR-FED-013, FR-FED-014, FR-MFA-001</t>
    </r>
    <r>
      <rPr>
        <sz val="8"/>
        <color theme="1"/>
        <rFont val="MS Mincho"/>
        <family val="2"/>
        <charset val="128"/>
      </rPr>
      <t>〜</t>
    </r>
    <r>
      <rPr>
        <sz val="8"/>
        <color theme="1"/>
        <rFont val="Consolas"/>
        <family val="2"/>
      </rPr>
      <t>005, FR-MFA-008, FR-SSO-002</t>
    </r>
    <r>
      <rPr>
        <sz val="8"/>
        <color theme="1"/>
        <rFont val="MS Mincho"/>
        <family val="2"/>
        <charset val="128"/>
      </rPr>
      <t>〜</t>
    </r>
    <r>
      <rPr>
        <sz val="8"/>
        <color theme="1"/>
        <rFont val="Consolas"/>
        <family val="2"/>
      </rPr>
      <t>005, NFR-SCL-001, NFR-SCL-004, NFR-AVL-001, NFR-AVL-002, NFR-DR-004</t>
    </r>
    <r>
      <rPr>
        <sz val="8"/>
        <color theme="1"/>
        <rFont val="MS Mincho"/>
        <family val="2"/>
        <charset val="128"/>
      </rPr>
      <t>〜</t>
    </r>
    <r>
      <rPr>
        <sz val="8"/>
        <color theme="1"/>
        <rFont val="Consolas"/>
        <family val="2"/>
      </rPr>
      <t>008, NFR-COMP-002, NFR-COMP-003, NFR-COMP-005</t>
    </r>
    <r>
      <rPr>
        <sz val="8"/>
        <color theme="1"/>
        <rFont val="MS Mincho"/>
        <family val="2"/>
        <charset val="128"/>
      </rPr>
      <t>〜</t>
    </r>
    <r>
      <rPr>
        <sz val="8"/>
        <color theme="1"/>
        <rFont val="Consolas"/>
        <family val="2"/>
      </rPr>
      <t>007, NFR-COMP-009, NFR-OPS-006</t>
    </r>
    <r>
      <rPr>
        <sz val="8"/>
        <color theme="1"/>
        <rFont val="MS Mincho"/>
        <family val="2"/>
        <charset val="128"/>
      </rPr>
      <t>〜</t>
    </r>
    <r>
      <rPr>
        <sz val="8"/>
        <color theme="1"/>
        <rFont val="Consolas"/>
        <family val="2"/>
      </rPr>
      <t xml:space="preserve">008, P-04, P-08, P-14, G-DPA
## </t>
    </r>
    <r>
      <rPr>
        <sz val="8"/>
        <color theme="1"/>
        <rFont val="MS Mincho"/>
        <family val="2"/>
        <charset val="128"/>
      </rPr>
      <t>質問状に求める形</t>
    </r>
    <r>
      <rPr>
        <sz val="8"/>
        <color theme="1"/>
        <rFont val="Consolas"/>
        <family val="2"/>
      </rPr>
      <t xml:space="preserve">
</t>
    </r>
    <r>
      <rPr>
        <sz val="8"/>
        <color theme="1"/>
        <rFont val="MS Mincho"/>
        <family val="2"/>
        <charset val="128"/>
      </rPr>
      <t>項目ごとに以下を</t>
    </r>
    <r>
      <rPr>
        <sz val="8"/>
        <color theme="1"/>
        <rFont val="Consolas"/>
        <family val="2"/>
      </rPr>
      <t>1</t>
    </r>
    <r>
      <rPr>
        <sz val="8"/>
        <color theme="1"/>
        <rFont val="MS Mincho"/>
        <family val="2"/>
        <charset val="128"/>
      </rPr>
      <t>セット。</t>
    </r>
    <r>
      <rPr>
        <sz val="8"/>
        <color theme="1"/>
        <rFont val="Consolas"/>
        <family val="2"/>
      </rPr>
      <t xml:space="preserve">
1. </t>
    </r>
    <r>
      <rPr>
        <sz val="8"/>
        <color theme="1"/>
        <rFont val="MS Mincho"/>
        <family val="2"/>
        <charset val="128"/>
      </rPr>
      <t>質問文（</t>
    </r>
    <r>
      <rPr>
        <sz val="8"/>
        <color theme="1"/>
        <rFont val="Consolas"/>
        <family val="2"/>
      </rPr>
      <t>1</t>
    </r>
    <r>
      <rPr>
        <sz val="8"/>
        <color theme="1"/>
        <rFont val="MS Mincho"/>
        <family val="2"/>
        <charset val="128"/>
      </rPr>
      <t>文。「〜しますか」「〜は何ですか」の形。複数の論点を</t>
    </r>
    <r>
      <rPr>
        <sz val="8"/>
        <color theme="1"/>
        <rFont val="Consolas"/>
        <family val="2"/>
      </rPr>
      <t>1</t>
    </r>
    <r>
      <rPr>
        <sz val="8"/>
        <color theme="1"/>
        <rFont val="MS Mincho"/>
        <family val="2"/>
        <charset val="128"/>
      </rPr>
      <t>文に混ぜない）</t>
    </r>
    <r>
      <rPr>
        <sz val="8"/>
        <color theme="1"/>
        <rFont val="Consolas"/>
        <family val="2"/>
      </rPr>
      <t xml:space="preserve">
2. </t>
    </r>
    <r>
      <rPr>
        <sz val="8"/>
        <color theme="1"/>
        <rFont val="MS Mincho"/>
        <family val="2"/>
        <charset val="128"/>
      </rPr>
      <t>選択肢（</t>
    </r>
    <r>
      <rPr>
        <sz val="8"/>
        <color theme="1"/>
        <rFont val="Consolas"/>
        <family val="2"/>
      </rPr>
      <t>2</t>
    </r>
    <r>
      <rPr>
        <sz val="8"/>
        <color theme="1"/>
        <rFont val="MS Mincho"/>
        <family val="2"/>
        <charset val="128"/>
      </rPr>
      <t>〜</t>
    </r>
    <r>
      <rPr>
        <sz val="8"/>
        <color theme="1"/>
        <rFont val="Consolas"/>
        <family val="2"/>
      </rPr>
      <t>4</t>
    </r>
    <r>
      <rPr>
        <sz val="8"/>
        <color theme="1"/>
        <rFont val="MS Mincho"/>
        <family val="2"/>
        <charset val="128"/>
      </rPr>
      <t>個。必ず「現行の暫定値」がどれかを示す）</t>
    </r>
    <r>
      <rPr>
        <sz val="8"/>
        <color theme="1"/>
        <rFont val="Consolas"/>
        <family val="2"/>
      </rPr>
      <t xml:space="preserve">
3. </t>
    </r>
    <r>
      <rPr>
        <sz val="8"/>
        <color theme="1"/>
        <rFont val="MS Mincho"/>
        <family val="2"/>
        <charset val="128"/>
      </rPr>
      <t>この質問が必要な理由（顧客が「なぜ聞かれているか」を理解できる</t>
    </r>
    <r>
      <rPr>
        <sz val="8"/>
        <color theme="1"/>
        <rFont val="Consolas"/>
        <family val="2"/>
      </rPr>
      <t>1</t>
    </r>
    <r>
      <rPr>
        <sz val="8"/>
        <color theme="1"/>
        <rFont val="MS Mincho"/>
        <family val="2"/>
        <charset val="128"/>
      </rPr>
      <t>文）</t>
    </r>
    <r>
      <rPr>
        <sz val="8"/>
        <color theme="1"/>
        <rFont val="Consolas"/>
        <family val="2"/>
      </rPr>
      <t xml:space="preserve">
4. </t>
    </r>
    <r>
      <rPr>
        <sz val="8"/>
        <color theme="1"/>
        <rFont val="MS Mincho"/>
        <family val="2"/>
        <charset val="128"/>
      </rPr>
      <t>回答が設計に与える影響（回答によって何が変わるか。工数や費用が動く場合はその旨）</t>
    </r>
    <r>
      <rPr>
        <sz val="8"/>
        <color theme="1"/>
        <rFont val="Consolas"/>
        <family val="2"/>
      </rPr>
      <t xml:space="preserve">
5. </t>
    </r>
    <r>
      <rPr>
        <sz val="8"/>
        <color theme="1"/>
        <rFont val="MS Mincho"/>
        <family val="2"/>
        <charset val="128"/>
      </rPr>
      <t>優先度（最優先／通常／後回し可）。最優先は「これが決まらないと他が進まない」もののみ</t>
    </r>
    <r>
      <rPr>
        <sz val="8"/>
        <color theme="1"/>
        <rFont val="Consolas"/>
        <family val="2"/>
      </rPr>
      <t xml:space="preserve">
## </t>
    </r>
    <r>
      <rPr>
        <sz val="8"/>
        <color theme="1"/>
        <rFont val="MS Mincho"/>
        <family val="2"/>
        <charset val="128"/>
      </rPr>
      <t>優先度の判定基準</t>
    </r>
    <r>
      <rPr>
        <sz val="8"/>
        <color theme="1"/>
        <rFont val="Consolas"/>
        <family val="2"/>
      </rPr>
      <t xml:space="preserve">
</t>
    </r>
    <r>
      <rPr>
        <sz val="8"/>
        <color theme="1"/>
        <rFont val="MS Mincho"/>
        <family val="2"/>
        <charset val="128"/>
      </rPr>
      <t>最優先に該当するのは次のいずれか。</t>
    </r>
    <r>
      <rPr>
        <sz val="8"/>
        <color theme="1"/>
        <rFont val="Consolas"/>
        <family val="2"/>
      </rPr>
      <t xml:space="preserve">
- </t>
    </r>
    <r>
      <rPr>
        <sz val="8"/>
        <color theme="1"/>
        <rFont val="MS Mincho"/>
        <family val="2"/>
        <charset val="128"/>
      </rPr>
      <t>設備規模や費用が決まらない（利用者数の上限、稼働率、復旧目標）</t>
    </r>
    <r>
      <rPr>
        <sz val="8"/>
        <color theme="1"/>
        <rFont val="Consolas"/>
        <family val="2"/>
      </rPr>
      <t xml:space="preserve">
- </t>
    </r>
    <r>
      <rPr>
        <sz val="8"/>
        <color theme="1"/>
        <rFont val="MS Mincho"/>
        <family val="2"/>
        <charset val="128"/>
      </rPr>
      <t>製品や基盤の選定自体に影響する（暗号方式の認定要否、データの保管場所）</t>
    </r>
    <r>
      <rPr>
        <sz val="8"/>
        <color theme="1"/>
        <rFont val="Consolas"/>
        <family val="2"/>
      </rPr>
      <t xml:space="preserve">
- </t>
    </r>
    <r>
      <rPr>
        <sz val="8"/>
        <color theme="1"/>
        <rFont val="MS Mincho"/>
        <family val="2"/>
        <charset val="128"/>
      </rPr>
      <t>他の質問の前提になる（顧客の</t>
    </r>
    <r>
      <rPr>
        <sz val="8"/>
        <color theme="1"/>
        <rFont val="Consolas"/>
        <family val="2"/>
      </rPr>
      <t>ID</t>
    </r>
    <r>
      <rPr>
        <sz val="8"/>
        <color theme="1"/>
        <rFont val="MS Mincho"/>
        <family val="2"/>
        <charset val="128"/>
      </rPr>
      <t>基盤の種類）</t>
    </r>
    <r>
      <rPr>
        <sz val="8"/>
        <color theme="1"/>
        <rFont val="Consolas"/>
        <family val="2"/>
      </rPr>
      <t xml:space="preserve">
## </t>
    </r>
    <r>
      <rPr>
        <sz val="8"/>
        <color theme="1"/>
        <rFont val="MS Mincho"/>
        <family val="2"/>
        <charset val="128"/>
      </rPr>
      <t>出力形式</t>
    </r>
    <r>
      <rPr>
        <sz val="8"/>
        <color theme="1"/>
        <rFont val="Consolas"/>
        <family val="2"/>
      </rPr>
      <t xml:space="preserve">
Markdown</t>
    </r>
    <r>
      <rPr>
        <sz val="8"/>
        <color theme="1"/>
        <rFont val="MS Mincho"/>
        <family val="2"/>
        <charset val="128"/>
      </rPr>
      <t>。優先度順（最優先</t>
    </r>
    <r>
      <rPr>
        <sz val="8"/>
        <color theme="1"/>
        <rFont val="Consolas"/>
        <family val="2"/>
      </rPr>
      <t>→</t>
    </r>
    <r>
      <rPr>
        <sz val="8"/>
        <color theme="1"/>
        <rFont val="MS Mincho"/>
        <family val="2"/>
        <charset val="128"/>
      </rPr>
      <t>通常</t>
    </r>
    <r>
      <rPr>
        <sz val="8"/>
        <color theme="1"/>
        <rFont val="Consolas"/>
        <family val="2"/>
      </rPr>
      <t>→</t>
    </r>
    <r>
      <rPr>
        <sz val="8"/>
        <color theme="1"/>
        <rFont val="MS Mincho"/>
        <family val="2"/>
        <charset val="128"/>
      </rPr>
      <t>後回し可）に並べ、技術領域でグルーピング。冒頭に「最優先項目の一覧」を置き、顧客が最初に何に答えればよいか分かるようにする。</t>
    </r>
    <r>
      <rPr>
        <sz val="8"/>
        <color theme="1"/>
        <rFont val="Consolas"/>
        <family val="2"/>
      </rPr>
      <t xml:space="preserve">
## </t>
    </r>
    <r>
      <rPr>
        <sz val="8"/>
        <color theme="1"/>
        <rFont val="MS Mincho"/>
        <family val="2"/>
        <charset val="128"/>
      </rPr>
      <t>守ってほしいこと</t>
    </r>
    <r>
      <rPr>
        <sz val="8"/>
        <color theme="1"/>
        <rFont val="Consolas"/>
        <family val="2"/>
      </rPr>
      <t xml:space="preserve">
- </t>
    </r>
    <r>
      <rPr>
        <sz val="8"/>
        <color theme="1"/>
        <rFont val="MS Mincho"/>
        <family val="2"/>
        <charset val="128"/>
      </rPr>
      <t>専門用語を使わない。「トークン」「フェデレーション」「</t>
    </r>
    <r>
      <rPr>
        <sz val="8"/>
        <color theme="1"/>
        <rFont val="Consolas"/>
        <family val="2"/>
      </rPr>
      <t>MFA</t>
    </r>
    <r>
      <rPr>
        <sz val="8"/>
        <color theme="1"/>
        <rFont val="MS Mincho"/>
        <family val="2"/>
        <charset val="128"/>
      </rPr>
      <t>」等は日常語に置き換える</t>
    </r>
    <r>
      <rPr>
        <sz val="8"/>
        <color theme="1"/>
        <rFont val="Consolas"/>
        <family val="2"/>
      </rPr>
      <t xml:space="preserve">
- 1</t>
    </r>
    <r>
      <rPr>
        <sz val="8"/>
        <color theme="1"/>
        <rFont val="MS Mincho"/>
        <family val="2"/>
        <charset val="128"/>
      </rPr>
      <t>つの質問で複数のことを聞かない。分割する</t>
    </r>
    <r>
      <rPr>
        <sz val="8"/>
        <color theme="1"/>
        <rFont val="Consolas"/>
        <family val="2"/>
      </rPr>
      <t xml:space="preserve">
- </t>
    </r>
    <r>
      <rPr>
        <sz val="8"/>
        <color theme="1"/>
        <rFont val="MS Mincho"/>
        <family val="2"/>
        <charset val="128"/>
      </rPr>
      <t>選択肢のない自由回答は最小限にする。顧客は選ぶほうが答えやすい</t>
    </r>
    <r>
      <rPr>
        <sz val="8"/>
        <color theme="1"/>
        <rFont val="Consolas"/>
        <family val="2"/>
      </rPr>
      <t xml:space="preserve">
- </t>
    </r>
    <r>
      <rPr>
        <sz val="8"/>
        <color theme="1"/>
        <rFont val="MS Mincho"/>
        <family val="2"/>
        <charset val="128"/>
      </rPr>
      <t>設計書に暫定値があるものは必ず選択肢に含め、「弊社の推奨」と明示する</t>
    </r>
    <r>
      <rPr>
        <sz val="8"/>
        <color theme="1"/>
        <rFont val="Consolas"/>
        <family val="2"/>
      </rPr>
      <t xml:space="preserve">
- </t>
    </r>
    <r>
      <rPr>
        <sz val="8"/>
        <color theme="1"/>
        <rFont val="MS Mincho"/>
        <family val="2"/>
        <charset val="128"/>
      </rPr>
      <t>既存の</t>
    </r>
    <r>
      <rPr>
        <sz val="8"/>
        <color theme="1"/>
        <rFont val="Consolas"/>
        <family val="2"/>
      </rPr>
      <t>hearing-checklist</t>
    </r>
    <r>
      <rPr>
        <sz val="8"/>
        <color theme="1"/>
        <rFont val="MS Mincho"/>
        <family val="2"/>
        <charset val="128"/>
      </rPr>
      <t>と重複する質問は「既出（項目番号）」と注記し、二重に聞かない</t>
    </r>
    <r>
      <rPr>
        <sz val="8"/>
        <color theme="1"/>
        <rFont val="Consolas"/>
        <family val="2"/>
      </rPr>
      <t xml:space="preserve">
- </t>
    </r>
    <r>
      <rPr>
        <sz val="8"/>
        <color theme="1"/>
        <rFont val="MS Mincho"/>
        <family val="2"/>
        <charset val="128"/>
      </rPr>
      <t>設計書に記載のない項目を推測で補わない。「未確定」と書く</t>
    </r>
    <phoneticPr fontId="2"/>
  </si>
  <si>
    <t>AWS＋ROSA コスト見積もり（東京リージョン ap-northeast-1）</t>
  </si>
  <si>
    <t>構成の根拠: doc/basic-design/06-infra-network-design.md（D-U6-01〜14）ほか設計書。ROSAサービス料は AWS 公式料金ページから取得（2026-08時点）。AWSインフラの単価は公式ページが動的読み込みのため取得できず、青字の入力欄としている</t>
  </si>
  <si>
    <t>★青字セル＝入力欄（未取得）。AWS Pricing Calculator または各サービスの公式料金ページから値を入れると、以降の集計は自動計算される。数量は設計値（上限台数・構成）に基づくが、規模別の按分は推定</t>
  </si>
  <si>
    <t>■ 前提（入力）</t>
  </si>
  <si>
    <t>項目</t>
  </si>
  <si>
    <t>値</t>
  </si>
  <si>
    <t>単位</t>
  </si>
  <si>
    <t>備考</t>
  </si>
  <si>
    <t>対象リージョン</t>
  </si>
  <si>
    <t>東京 ap-northeast-1</t>
  </si>
  <si>
    <t>前提P-15。予備地域は平時ゼロのため本表に含めない</t>
  </si>
  <si>
    <t>月間稼働時間</t>
  </si>
  <si>
    <t>時間</t>
  </si>
  <si>
    <t>24時間×365日÷12</t>
  </si>
  <si>
    <t>為替レート</t>
  </si>
  <si>
    <t>円/USD</t>
  </si>
  <si>
    <t>円換算用の入力値。実勢に合わせて変更</t>
  </si>
  <si>
    <t>想定利用者数 シナリオ1</t>
  </si>
  <si>
    <t>人</t>
  </si>
  <si>
    <t>小規模。最小構成想定</t>
  </si>
  <si>
    <t>想定利用者数 シナリオ2</t>
  </si>
  <si>
    <t>更新メモ「100〜500万ユーザー」の上限</t>
  </si>
  <si>
    <t>想定利用者数 シナリオ3</t>
  </si>
  <si>
    <t>前提P-02の凍結値（設計上の上限）</t>
  </si>
  <si>
    <t>■ ROSA サービス料（AWS公式料金ページから取得）</t>
  </si>
  <si>
    <t>単価</t>
  </si>
  <si>
    <t>制御部分の料金（hosted control planes）</t>
  </si>
  <si>
    <t>クラスタ・時</t>
  </si>
  <si>
    <t>https://aws.amazon.com/rosa/pricing/</t>
  </si>
  <si>
    <t>取得済</t>
  </si>
  <si>
    <t>ワーカーノードのサービス料（従量）</t>
  </si>
  <si>
    <t>4vCPU・時</t>
  </si>
  <si>
    <t>同・年額換算（従量）</t>
  </si>
  <si>
    <t>4vCPU・年</t>
  </si>
  <si>
    <t>同・1年契約</t>
  </si>
  <si>
    <t>同・3年契約</t>
  </si>
  <si>
    <t>※ ROSAのサービス料は全対応リージョンで同一。契約による割引は従量比で1年33%・3年55%。製品サポートは基盤に内包され追加費用は発生しない（前提P-01）</t>
  </si>
  <si>
    <t>■ AWSインフラ費 明細（数量＝月間の課金単位数。単価は青字の入力欄）</t>
  </si>
  <si>
    <t>リソース／サービス</t>
  </si>
  <si>
    <t>用途（設計上の根拠）</t>
  </si>
  <si>
    <t>数量の考え方</t>
  </si>
  <si>
    <t>数量 100万人</t>
  </si>
  <si>
    <t>数量 500万人</t>
  </si>
  <si>
    <t>数量 1000万人</t>
  </si>
  <si>
    <t>単価(USD)</t>
  </si>
  <si>
    <t>月額 100万人</t>
  </si>
  <si>
    <t>月額 500万人</t>
  </si>
  <si>
    <t>月額 1000万人</t>
  </si>
  <si>
    <t>単価の出典URL</t>
  </si>
  <si>
    <t>計算</t>
  </si>
  <si>
    <t>ROSA 計算ノード（認証製品専用・仲介側）</t>
  </si>
  <si>
    <t>認証処理の実行。D-U6-04で2系統に分離、上限9台</t>
  </si>
  <si>
    <t>台数×730時間。100万=3台／500万=6台／1000万=9台（上限）</t>
  </si>
  <si>
    <t>インスタンス時間</t>
  </si>
  <si>
    <t>ROSA 計算ノード（認証製品専用・自社受け皿側）</t>
  </si>
  <si>
    <t>パスワード検証が支配的。D-U6-04で上限18台</t>
  </si>
  <si>
    <t>台数×730時間。100万=3台／500万=9台／1000万=18台（上限）</t>
  </si>
  <si>
    <t>ROSA 計算ノード（管理系）×2クラスタ</t>
  </si>
  <si>
    <t>入口・監視・イメージ配布・受け口。規模と監視量で準静的</t>
  </si>
  <si>
    <t>3台×2クラスタ×730時間で固定</t>
  </si>
  <si>
    <t>ROSA サービス料（制御部分）</t>
  </si>
  <si>
    <t>D-U6-03で2クラスタ構成</t>
  </si>
  <si>
    <t>0.25ドル×2クラスタ×730時間</t>
  </si>
  <si>
    <t>クラスタ時間</t>
  </si>
  <si>
    <t>ROSA サービス料（ワーカーノード）</t>
  </si>
  <si>
    <t>4vCPUあたりの従量。ノードのvCPU総数に比例</t>
  </si>
  <si>
    <t>ノード合計vCPU÷4×730時間。1台4vCPU想定</t>
  </si>
  <si>
    <t>4vCPU時間</t>
  </si>
  <si>
    <t>EBS（ノード用ブロックストレージ）</t>
  </si>
  <si>
    <t>各ノードのOS・作業領域</t>
  </si>
  <si>
    <t>GB・月</t>
  </si>
  <si>
    <t>DB</t>
  </si>
  <si>
    <t>Aurora インスタンス（認証用・書込1＋読取2）</t>
  </si>
  <si>
    <t>D-U6-07。db.r7g.xlarge想定の3拠点構成</t>
  </si>
  <si>
    <t>3台×730時間</t>
  </si>
  <si>
    <t>Aurora インスタンス（権限系・書込1＋読取2）</t>
  </si>
  <si>
    <t>D-U6-07。認証用と別系統・別鍵で分離</t>
  </si>
  <si>
    <t>Aurora ストレージ</t>
  </si>
  <si>
    <t>利用者・セッション・権限・ID対応表・射影</t>
  </si>
  <si>
    <t>利用者数に比例。1人あたり約2KB＋索引</t>
  </si>
  <si>
    <t>Aurora I/O</t>
  </si>
  <si>
    <t>認証時の読み書き。100req/sあたり書込1,400 IOPSが公式算定式</t>
  </si>
  <si>
    <t>ログイン回数に比例（月間認証回数×IO係数）</t>
  </si>
  <si>
    <t>100万リクエスト</t>
  </si>
  <si>
    <t>Aurora バックアップストレージ</t>
  </si>
  <si>
    <t>時点復元1〜35日＋定期取得の控え</t>
  </si>
  <si>
    <t>データ量と同程度＋世代分</t>
  </si>
  <si>
    <t>Aurora グローバル複製（予備地域へのデータ保全）</t>
  </si>
  <si>
    <t>D-U8-14のL1。計算資源は平時ゼロだがデータ層は維持</t>
  </si>
  <si>
    <t>複製データ量。転送＋предスト保管</t>
  </si>
  <si>
    <t>NW</t>
  </si>
  <si>
    <t>内部接続点（内部NLB）×2</t>
  </si>
  <si>
    <t>D-U6-05。管理APIへの到達。インターネット非露出</t>
  </si>
  <si>
    <t>2台×730時間＋処理容量単位</t>
  </si>
  <si>
    <t>NLB時間</t>
  </si>
  <si>
    <t>負荷分散装置（ALB）</t>
  </si>
  <si>
    <t>D-U6-11の生命線。管理画面の固定拒否ルールを評価</t>
  </si>
  <si>
    <t>1台×730時間＋処理容量単位</t>
  </si>
  <si>
    <t>ALB時間</t>
  </si>
  <si>
    <t>配信網（CloudFront）</t>
  </si>
  <si>
    <t>D-U6-04の入口3系統。画面配信とAPI入口</t>
  </si>
  <si>
    <t>データ転送量とリクエスト数</t>
  </si>
  <si>
    <t>GB</t>
  </si>
  <si>
    <t>不正アクセス遮断（WAF）</t>
  </si>
  <si>
    <t>D-U7-17。ただし入口側は他組織管理</t>
  </si>
  <si>
    <t>ルール数＋リクエスト数。自管理分のみ</t>
  </si>
  <si>
    <t>私設接続（PrivateLink）</t>
  </si>
  <si>
    <t>D-U6-06。2つの受け皿の間を単方向で接続</t>
  </si>
  <si>
    <t>エンドポイント×730時間＋転送量</t>
  </si>
  <si>
    <t>エンドポイント時間</t>
  </si>
  <si>
    <t>接続点群（VPCエンドポイント）</t>
  </si>
  <si>
    <t>D-U6-07の外部通信を持たない構成。各サービスへの私設経路</t>
  </si>
  <si>
    <t>20種×3拠点×730時間</t>
  </si>
  <si>
    <t>名前解決（Route 53 私設ゾーン）</t>
  </si>
  <si>
    <t>DU-U6-13。内外で解決結果を分ける構成</t>
  </si>
  <si>
    <t>ゾーン数＋問い合わせ数</t>
  </si>
  <si>
    <t>データ転送（拠点間）</t>
  </si>
  <si>
    <t>3拠点分散のため拠点をまたぐ通信が発生</t>
  </si>
  <si>
    <t>クラスタ内・DB複製の拠点間転送量</t>
  </si>
  <si>
    <t>データ転送（インターネット向け）</t>
  </si>
  <si>
    <t>利用者への画面・通行証の応答</t>
  </si>
  <si>
    <t>配信網経由分を除いた直接転送</t>
  </si>
  <si>
    <t>APP</t>
  </si>
  <si>
    <t>関数実行（管理API）</t>
  </si>
  <si>
    <t>D-U6-06。認証製品と別の障害ドメインに分離</t>
  </si>
  <si>
    <t>呼び出し回数×実行時間×メモリ</t>
  </si>
  <si>
    <t>関数実行（糊付け：影ユーザ制御・伝播・通知配信）</t>
  </si>
  <si>
    <t>DU-U3-05、DU-U10-03。非同期の連結処理</t>
  </si>
  <si>
    <t>イベント数に比例</t>
  </si>
  <si>
    <t>API入口（API Gateway）</t>
  </si>
  <si>
    <t>D-U6-06。通行証の一次検証と流量制限</t>
  </si>
  <si>
    <t>リクエスト数</t>
  </si>
  <si>
    <t>イベントバス（EventBridge）</t>
  </si>
  <si>
    <t>D-U6-02のアカウント跨ぎ8経路。削除伝播と初回通知</t>
  </si>
  <si>
    <t>発行イベント数</t>
  </si>
  <si>
    <t>キー・バリューストア（DynamoDB）</t>
  </si>
  <si>
    <t>D-U7-04の不正検知の履歴、顧客開示用の監査ログ射影</t>
  </si>
  <si>
    <t>書込・読込・保管量</t>
  </si>
  <si>
    <t>暗号鍵（KMS CMK）</t>
  </si>
  <si>
    <t>D-U7-01。3階層6アカウント写像で初期10種</t>
  </si>
  <si>
    <t>10鍵×月額＋API呼び出し数</t>
  </si>
  <si>
    <t>鍵・月</t>
  </si>
  <si>
    <t>秘密情報の保管（Secrets Manager）</t>
  </si>
  <si>
    <t>D-U7-01。90日自動入れ替え対象</t>
  </si>
  <si>
    <t>顧客別の接続用秘密情報＋内部用</t>
  </si>
  <si>
    <t>シークレット・月</t>
  </si>
  <si>
    <t>自社認証局（Private CA）</t>
  </si>
  <si>
    <t>DU-U6-11。内部接続点の通信暗号化</t>
  </si>
  <si>
    <t>認証局×月額＋証明書発行数</t>
  </si>
  <si>
    <t>CA・月</t>
  </si>
  <si>
    <t>変更不能な控え（AWS Backup Vault Lock）</t>
  </si>
  <si>
    <t>D-U8-14のL3。ランサム対策の最終防衛線</t>
  </si>
  <si>
    <t>保管量＋別地域複製</t>
  </si>
  <si>
    <t>運用</t>
  </si>
  <si>
    <t>ログ（即時参照90日）</t>
  </si>
  <si>
    <t>D-U9-05の3層構造のうちHot層</t>
  </si>
  <si>
    <t>取込量＋保管量</t>
  </si>
  <si>
    <t>ログ検索基盤（1年）</t>
  </si>
  <si>
    <t>D-U9-05のCold検索層</t>
  </si>
  <si>
    <t>インスタンス＋ストレージ</t>
  </si>
  <si>
    <t>長期保管（S3＋Glacier Deep Archive）</t>
  </si>
  <si>
    <t>D-U7-13。改ざん不能モードで7年</t>
  </si>
  <si>
    <t>累積保管量（7年分の逓増）</t>
  </si>
  <si>
    <t>メール送信（SES）</t>
  </si>
  <si>
    <t>DU-U6-12。通知・招待メール</t>
  </si>
  <si>
    <t>送信数</t>
  </si>
  <si>
    <t>外形監視（Canary）</t>
  </si>
  <si>
    <t>D-U9-16。認証実装漏れの検知</t>
  </si>
  <si>
    <t>実行回数×2クラスタ</t>
  </si>
  <si>
    <t>実行回数</t>
  </si>
  <si>
    <t>合計（AWSインフラ＋ROSAサービス料）</t>
  </si>
  <si>
    <t>■ 区分別 月額小計</t>
  </si>
  <si>
    <t>■ 総括（月額・年額・3年総額）</t>
  </si>
  <si>
    <t>100万人</t>
  </si>
  <si>
    <t>500万人</t>
  </si>
  <si>
    <t>1000万人</t>
  </si>
  <si>
    <t>月額（USD）</t>
  </si>
  <si>
    <t>明細の合計</t>
  </si>
  <si>
    <t>月額（円）</t>
  </si>
  <si>
    <t>為替レートは前提の入力値</t>
  </si>
  <si>
    <t>年額（USD）</t>
  </si>
  <si>
    <t>月額×12</t>
  </si>
  <si>
    <t>3年総額（USD）</t>
  </si>
  <si>
    <t>年額×3。ROSAの3年契約割引は未反映</t>
  </si>
  <si>
    <t>3年総額（円）</t>
  </si>
  <si>
    <t>利用者1人あたり月額（円）</t>
  </si>
  <si>
    <t>月額円÷利用者数</t>
  </si>
  <si>
    <t>参考: 設計書の概算（月額USD）</t>
  </si>
  <si>
    <t>D-U6-05。東京2クラスタの基盤部分のみ・±30%。本表はデータベース等を含むため範囲が広い</t>
  </si>
  <si>
    <t>-</t>
  </si>
  <si>
    <t>出自（ID体系）</t>
  </si>
  <si>
    <t>要件表</t>
  </si>
  <si>
    <t>hearing</t>
  </si>
  <si>
    <t>00aタスク</t>
  </si>
  <si>
    <t>前提P</t>
  </si>
  <si>
    <t>本Excel仮採番</t>
  </si>
  <si>
    <t>ゲートG</t>
  </si>
  <si>
    <t>米国政府が認定した暗号方式（FIPS 140-3）が必要か。最重要の確認事項</t>
  </si>
  <si>
    <t>米国政府が認定した暗号方式（FIPS 140-3）が必要か</t>
  </si>
  <si>
    <t>令和8年改正 個人情報保護法 58条の2（受託者の適用特例）の該当性</t>
  </si>
  <si>
    <t>本基盤が委託先の特例に該当するか。該当すれば開示等請求への対応義務が大半免除される</t>
  </si>
  <si>
    <t>2026-08-15 に一覧へ正式登録（設計書 §7.7.8 で起票済みだったが一覧に未登録だった）。特例適用には「委託先自らは取扱いの方法を決定しない」実態が必要だが、本基盤は所属の自動振り分けや初回自動登録など自律的な判断を持つため該当性は微妙。★該当・非該当のいずれでも安全管理・従業者監督・委託先監督・漏えい報告の義務は継続するため、漏えい報告体制の設計に変更は生じない。施行は公布から2年以内（2028年春〜7月想定）、委員会規則の公布は2027年後半〜2028年前半見込み</t>
  </si>
  <si>
    <t>法務と連携して該当性を判断。規則公布後の再評価も選択肢</t>
  </si>
  <si>
    <t>B-APPI 法令特例</t>
  </si>
  <si>
    <t>B-APPI-R8-1</t>
  </si>
  <si>
    <t>2026-08-15 追加（一覧未登録の是正）</t>
  </si>
  <si>
    <t>requirements/hearing-checklist.md §5.6 / §5.3</t>
  </si>
  <si>
    <t>保守要員の所在地域の地理制限を契約で保証できるか</t>
  </si>
  <si>
    <t>海外の保守要員がデータに触れる可能性について、所在地域を契約で限定できるか。できない場合の代替措置をどう構成するか</t>
  </si>
  <si>
    <t>2026-08-14 追加（実質残ブロッカー G-DPA の技術的裏付け）。製品ベンダーの保守体制は時間帯を追って各地域が担当する方式のため、所在が米国・欧州中東アフリカ・アジア太平洋にまたがる。データ処理契約と再委託先一覧で所在と越境提供の根拠を確認し、国内限定等の地理制限を契約で保証できるかを確かめる。不可の場合は個人情報保護法28条の相当措置をどう構成するかを法務と設計</t>
  </si>
  <si>
    <t>契約書類を取り寄せて所在と越境の根拠を確認し、地理制限の可否を法務と判断</t>
  </si>
  <si>
    <t>B-DPA 委託先監督</t>
  </si>
  <si>
    <t>B-DPA-2</t>
  </si>
  <si>
    <t>2026-08-14 追加</t>
  </si>
  <si>
    <t>顧客側ID基盤の署名鍵の入れ替え通知体制</t>
  </si>
  <si>
    <t>顧客側で署名鍵を入れ替える際に事前通知をもらえるか。通知がない場合の接続断をどう防ぐか</t>
  </si>
  <si>
    <t>2026-07-23 追加（署名鍵悪用検知の一環として正式化）。接続情報の自動更新機能が実機に存在するかは調査タスク A-9 で確認予定。自動更新が使えない場合、顧客からの事前通知が唯一の防御手段になる</t>
  </si>
  <si>
    <t>顧客ごとの通知体制を確認し、自動更新の実機確認結果と合わせて運用を確定</t>
  </si>
  <si>
    <t>B-GD 署名鍵悪用検知</t>
  </si>
  <si>
    <t>B-GD-1</t>
  </si>
  <si>
    <t>2026-07-23 追加</t>
  </si>
  <si>
    <t>アプリ側のログに秘匿情報のマスキングが実施されているか</t>
  </si>
  <si>
    <t>各アプリのログに通行証や認証情報が平文で残っていないか。残る場合の是正をどう進めるか</t>
  </si>
  <si>
    <t>2026-07-23 追加。本基盤側は収集段でのマスキングと保存後スキャンの2段構えを設計済みだが、アプリ側のログは各アプリの責任範囲。アプリ側で平文が残ると、基盤側の対策が実質的に無効化される</t>
  </si>
  <si>
    <t>アプリチームへ実施状況を確認し、未実施なら実装ガイドに必須項目として追加</t>
  </si>
  <si>
    <t>B-LOG ログ</t>
  </si>
  <si>
    <t>B-LOG-1</t>
  </si>
  <si>
    <t>顧客ごとに専用の暗号鍵を用意する必要があるか</t>
  </si>
  <si>
    <t>暗号鍵を顧客ごとに分けるか、共通鍵で運用するか。分ける場合の費用と運用負荷をどう見るか</t>
  </si>
  <si>
    <t>2026-07-23 追加（鍵管理戦略から転記）。現行設計は3階層6アカウントで初期10鍵。顧客別の鍵は将来の暗号消去（鍵を捨てることでデータを復元不能にする方式）の前提にもなるが、1000社分の鍵管理は運用負荷と費用が大きい</t>
  </si>
  <si>
    <t>顧客の要求水準を確認し、鍵の階層設計を確定</t>
  </si>
  <si>
    <t>B-KMS 鍵管理</t>
  </si>
  <si>
    <t>B-KMS-3</t>
  </si>
  <si>
    <t>同じ発行元の中で複数アプリを1回のログインで使える。U2 §2.1でBroker KC = 単一Realm broker + Organizationsと決定済み。Realm内のClient間SSOは製品標準で成立し、PoC Phase 1/7で実証済み</t>
  </si>
  <si>
    <t>なし（確定）。要件表に基本設計の参照（U2 §2.1）を追記するのみ</t>
  </si>
  <si>
    <t>お客様企業どうしの相互影響の遮断。決定D-U6-14（U6 §6.6.3）で ①ログイン・通行証発行にお客様企業別の流量上限を設ける ②tenant_idの一貫強制 ③Realm分離へ移る条件 を明文化済み。単一Realmは論理的な分離であり資源・障害の自動分離を伴わないことを前提に「契約として明記する」方針</t>
  </si>
  <si>
    <t>契約文言の確定（顧客合意）。設計側の追加作業はない</t>
  </si>
  <si>
    <t>利用者の有効化・無効化。実体はU3のSoft Delete（enabled=false）とU10 §10.xの削除連鎖（L1側Soft Delete → SAML認証拒否でL2も遮断、sys_userは残置）で決定済み。※要件IDでの明示紐付けが設計書側に無い</t>
  </si>
  <si>
    <t>要件表→基本設計の参照リンク（U3 Soft Delete / U10 削除連鎖）を追記する</t>
  </si>
  <si>
    <t>お客様企業ごとの設定分離。U2 §2.1（単一Realm + Organizations）+ tenant_idクレーム（U2 §2.6）+ D-U6-14（隔離契約）で決定済み。方式はADR-017のL2（単一Pool/Realm + 複数IdP）</t>
  </si>
  <si>
    <t>なし（確定）。要件表に参照を追記するのみ</t>
  </si>
  <si>
    <t>接続情報の自動配布（OIDC Discovery）。決定D-U5-15（U5 §5.6.3b）で案内するパス形式を規約化済み。正はOIDC形式（issuerにパスを追記）。別形式（RFC 8414 = パス挿入）の提供有無は実機確認（00a A-11）</t>
  </si>
  <si>
    <t>署名鍵の公開先（JWKS）。決定D-U5-15で ①JWKSは必須（アプリ形態によらず、検証する側が必要）②jwks_uriは必ず自動配布情報から解決しハードコードさせない ③API Gatewayの標準検証機能を使う限り公開到達性が必須（IP制限で絞れない）を確定</t>
  </si>
  <si>
    <t>なし（確定）</t>
  </si>
  <si>
    <t>SAMLの接続情報。受信側（お客様IdPの情報取り込み・自動更新）はA-9の実機確認待ちで、機能が存在しない場合は運用代替（D-12）が必要。発行側（ServiceNow向け）はU10のCL-SN-01で決定済み。要件の重要度はShould</t>
  </si>
  <si>
    <t>通行証の検証性能。U9 §9.2.1の注記で「検証はアプリ側で基盤に問い合わせずに完結するため、基盤の処理能力の律速ではない」と整理済み。基盤側の関連目標はJWKSの可用性99.99% / 応答100ms未満（D-U9-04）</t>
  </si>
  <si>
    <t>なし（確定）。要件表の「&gt;1,000 req/s」は基盤負荷ではなくアプリ側の指標である旨を注記する</t>
  </si>
  <si>
    <t>署名鍵情報の保持時間。決定D-U5-15 + D-U7-03で「既定1時間 + 鍵識別子が一致しないときは即時再取得」をセットで必須化。不変条件として「鍵の並走期間 &gt; 全検証者の最大保持時間」を明示。保持時間を自分で制御できない検証者（API Gateway標準機能 = AWS側が最大2時間保持）を含めて満たす必要がある</t>
  </si>
  <si>
    <t>なし（確定）。要件表の「1時間（Lambda内）」を上記の不変条件つき記述に差し替える</t>
  </si>
  <si>
    <t>データベース応答時間。D-U9-04の内部目標表にデータベース単体の行が無い（ログイン/通行証発行/管理/JWKS/管理画面/権限確認の6行のみ）。要件表のP95 &lt; 50msを独立目標として残すか、通行証発行のp99 &lt; 200msに内包するかが未決</t>
  </si>
  <si>
    <t>復旧までの目標時間。P-05（2026-07-30転換）で手動復旧・約14日（大阪でその都度作り直す）に確定。従前のピロットライト方式・1時間目標は廃止</t>
  </si>
  <si>
    <t>切り替え方式。P-05 / P-15で手動（大阪は平時に設備を置かず被災時にその都度構築）に確定。他組織エッジの自動切替要求（REQ-DR-01/02）は撤回済み</t>
  </si>
  <si>
    <t>管理画面への接続制限。決定D-U6-11（3層防御 + 管理用ホスト名の分離）+ 接続3系統の分離 + 禁則K-10（管理APIは内部経路のみ）+ D-U7-14（基盤運用者は踏み台・SSM経由 + 端末鍵必須）で確定</t>
  </si>
  <si>
    <t>データを置く場所。P-15で東京（常用）+ 大阪（災害時のみ）に凍結。国外には置かない。ただし裏付けとなるhearing A-4（お客様拠点の地理分布）は未回答で、質問状Q46で確認中</t>
  </si>
  <si>
    <t>Q46の回答を待つ。国外在住の利用者が含まれる場合は保管場所と本人請求対応の再評価が必要</t>
  </si>
  <si>
    <t>利用者1人あたりの費用。Keycloak / ROSAは利用者数に応じた従量課金が無く $0/MAU。費用は固定インフラ費（NFR-COST-002）に集約される</t>
  </si>
  <si>
    <t>なし（確定）。要件表のCognito列はP-01確定により参考情報へ降格する</t>
  </si>
  <si>
    <t>要件表から対象外として降格（削除ではなく凍結）。ADR-016は履歴として保持</t>
  </si>
  <si>
    <t>基盤ソフトウェアの利用料。ADR-056で「RHBKの利用権はROSAに内包され追加サブスクリプション不要」と確定（Red Hat KB 7044244）。要件表の「$5,000〜30,000/年/ノード」は誤り</t>
  </si>
  <si>
    <t>3年総保有コスト（50万利用者想定）。NFR-COST-008と同じ理由で前提が変わった</t>
  </si>
  <si>
    <t>NFR-COST-008と同時に処理する</t>
  </si>
  <si>
    <t>段階的な移行（並行稼働）。決定D-U10-04で4段階（M0稼働開始 → M1試行 → M2全社 → M3旧パスワード停止）に正規化済み</t>
  </si>
  <si>
    <t>基盤の構成。Keycloak / ROSA HCP + RHBK Operator（2026-07-23凍結、ADR-056）。ただしADR-056は「Accepted（条件付き）」で、採用条件4点（①法令追加要件の整備計画承認 ②3年契約見積取得 ③Terraform書き換え工数承認 ④Approved Access有効化と保守要員のログ閲覧対策の実機確認）が未充足</t>
  </si>
  <si>
    <t>採用条件4点を個別に消化する。特に④はG-SRE-LogVis、質問状Q50と連動</t>
  </si>
  <si>
    <t>利用者の登録・変更・削除。U3 §3.xで「お客様IdPを持たないテナントは管理画面を正とする方式（mode A）単独」と決定。人事システム連携（mode B）・アプリ発の登録（mode C）・EventBridge削除経路・非IdPテナントの90日休眠バッチはPhase 1対象外。実体はidm-api #2（ADR-062 Lambda / ADR-063 ブランド側）</t>
  </si>
  <si>
    <t>残る判断はB-MIG-12（旧利用者番号を永続保持するか並走期のみか）。決裁 = 設計リード + 移行担当</t>
  </si>
  <si>
    <t>利用者本人による情報編集。どこまでを基盤が標準提供するかが未決（B-402: パスワード再設定 / 情報編集 / 追加本人確認のリセット / ログイン状態の管理）。選択肢 = ①製品標準のアカウント画面をそのまま出す（追加開発ゼロ・見た目は製品既定）②自作の管理画面に取り込む（開発増・見た目統一）③アプリ側で実装（基盤の作業ゼロ・アプリ数に比例して増）。B-SESS-2（本人によるログイン状態の自己解除）とも連動</t>
  </si>
  <si>
    <t>選択肢3案の工数差を出して比較する。決裁 = プロダクトオーナー + UX。②を選ぶ場合DU-U4系に工数追加が必要</t>
  </si>
  <si>
    <t>利用者の検索・一覧。Admin REST API + idm-api #2で提供。PoC実証済み</t>
  </si>
  <si>
    <t>既存利用者の一括投入。要件表は「Realm Import」を可としているが、禁則K-1でrealm全体の取り込み・書き出しを全用途で禁止しており矛盾する（1000 IdP環境ではrealm定義が30MB級になり成立しないため）。実際の投入経路は ①SCIM受信 ②JIT任せ ③自作の一括投入API のいずれか</t>
  </si>
  <si>
    <t>管理者によるパスワード強制リセット。Admin API + idm-api #2で提供。初回パスワードの強制変更（D-U7-17）と、リセット依頼者の本人確認（B-IDM-6、質問状Q35）が連動</t>
  </si>
  <si>
    <t>利用者作成時の招待メール。メール送信基盤そのものが未設計（D-6 = SES設計3人日、DU-U6-12 = 6人日）。送信元ドメインの認証設定・サンドボックス解除・Realm単位の設定管理が未決。加えて本基盤は「業務用メールを持たない利用者」を正式な前提としており、招待メールが届かない層への代替手順が要る</t>
  </si>
  <si>
    <t>お客様企業の追加・削除。追加はOrganizations単位で新規接続6ステップ（DU-U9O-04）。削除（サービス離脱）は段階的削除（30/90日猶予 + エクスポート + 物理削除完了証明書）の方針があるが、B-TENANT-EXIT-1が未回答</t>
  </si>
  <si>
    <t>B-TENANT-EXIT-1の回答を待つ。決裁 = 事業側（契約条件）+ 設計リード</t>
  </si>
  <si>
    <t>お客様IdPの追加・変更・削除。DU-U9O-04のパイプラインで自動化、目標は次営業日以内。ただし外部通信の許可申請が他組織依存（G-EGRESS）で、初期一括 + 追加は都度依頼（当日／翌日対応）の合意方向</t>
  </si>
  <si>
    <t>アプリ登録の管理。設定はコードで管理（禁則K-5）で確定だが、アプリ台帳（App Registry）と権限台帳のスキーマ統合が未決（U10-OP-3/4、D-9に5点まとめて計上）</t>
  </si>
  <si>
    <t>権限の定義管理。ADR-038（3層スコープ）+ 認可Cハイブリッド（2026-06-25確定）+ ADR-067（判断記録と定期棚卸し）で方式は決定済み。残るのは権限台帳のスキーマ（D-9）と棚卸しの頻度・実施主体（B-IGA-REC-1未回答）</t>
  </si>
  <si>
    <t>管理用のAPI。idm-apiとしてADR-062（実行形態 = Lambda）+ ADR-063（ブランド側 #2が主役）で方式確定。API仕様の詳細化は詳細設計（00a §5）扱いで基本設計の対象外</t>
  </si>
  <si>
    <t>データベースの拡張性。C-1（U6サイジング是正、4人日）が未消化。少数大型Podへ寄せる設計判断と、接続数の予算規約（D-U6-08）の追加が残る。2026-07-30の50:50比率を入力に再計算が必要</t>
  </si>
  <si>
    <t>暗号鍵の定期交換。決定D-U7-03で署名鍵は90日ごと交換・30日並走と確定しており、要件表の「年1回以上」より厳しい。KMSの鍵は自動交換</t>
  </si>
  <si>
    <t>月額の固定インフラ費。要件表の約$987はECS + ADR-012前提の旧値。ADR-056の試算はROSA HCP単体で約$590/月（3年前払い、Aurora込み）だが、P-17で2クラスタ構成に凍結したため増分が約+$500/月。大阪はコールドDR化で常時費用ゼロ</t>
  </si>
  <si>
    <t>災害対策の追加月額。要件表の$890は大阪ウォーム待機前提の旧値。P-05転換で平時の大阪費用はゼロになり、代わりにバックアップ保管費（クロスリージョンコピー + 変更不能スナップショット）が発生する</t>
  </si>
  <si>
    <t>運用の人件費。ADR-040 §G〜§Iで運用者10名体制（Phase 1 α = 平日日中 / Phase 1 β = 24時間365日）が決定済みだが、要件表の約$840/月はこれを反映していない</t>
  </si>
  <si>
    <t>ADR-040の10名体制を金額換算して要件表を更新する。質問状Q48の回答（α/βのどちらで開始するか）が確定値の前提。決裁 = 事業側 + 運用リード</t>
  </si>
  <si>
    <t>データの書き出し。要件表は「Realm Export」を可としているが禁則K-1で全用途禁止のため矛盾する。実際の書き出し経路はAdmin APIの単位取得（IdP / Organization / Client単位）に限られる</t>
  </si>
  <si>
    <t>禁則K-1と整合する書き出し方式を定義する（サービス離脱時のエクスポート要件B-TENANT-EXIT-1と連動）。決裁 = 設計リード</t>
  </si>
  <si>
    <t>利用者情報の受信機能（自作SCIM Facade）の規格適合と規模の実測ゲート。A-3（20人日）が未実施。権限確認の応答目標（/api/me/context p99 &lt; 300ms）の確定値もこのゲート待ちで暫定のまま</t>
  </si>
  <si>
    <t>メールアドレスを持たない利用者が3つの登録経路すべてを完走できるかの確認ゲート（既知の製品不具合 #21265 / #33497の回避可否）。DU-U2-06に紐づくが未実施</t>
  </si>
  <si>
    <t>Aクラスタの実機バンドルに載せて実施する。メール非保有が本基盤の正式前提のため、失敗時の設計影響が大きい。決裁 = 設計リード</t>
  </si>
  <si>
    <t>1000社超の接続規模の実測ゲート。2026-07-30に「実測困難」として仮定値（1000/2000 IdP、フェデ:IdP-KC = 50:50）で設計継続と決定し、A-1（25人日）は後追い検証へ格下げ・非ブロッカー化</t>
  </si>
  <si>
    <t>災害対策の方針。手動復旧・約14日・大阪はその都度構築に転換（2026-07-30）。2つの障害シナリオ（①地域災害 = 大阪で作り直し ②論理破壊 = 任意時点復元と変更不能スナップショットからその場復元）を区別</t>
  </si>
  <si>
    <t>接続IdP数。1000超を条件付き成立とし、必須対策7点をU2の設計制約とする。実測はG-IdP-Scaleで後追い</t>
  </si>
  <si>
    <t>必須対策7点が設計に落ちているかをU2で自己点検する。決裁 = 済（仮定値で継続）</t>
  </si>
  <si>
    <t>【改善後】金融機関のように特に厳しい安全基準を求めるお客様が来た場合に、ログイン要求の受け渡し方をより厳格な方式へ切り替える必要があるか。具体的には ①ログイン要求をURLに載せず事前にサーバー間で預ける ②ログイン要求に電子署名を付ける ③通行証を特定の端末に結びつけ盗まれても使えなくする の3つ。【Phase 1の扱い】実装なし・姿勢のみ。現行はPKCE + 発行元検証 + 使い捨て値必須で成立（U5 §5.6）。③の証明書方式はPhase 3条件付き（D-U7-10b）</t>
  </si>
  <si>
    <t>回答は質問状ではなく営業・調達情報からの見込み判断でよい</t>
  </si>
  <si>
    <t>【改善後】企業向けID連携の新しい業界標準（OpenID IPSIE）に沿っていることを、お客様の調達条件として求められる見込みがあるか。この標準は ①1回のログインで複数サービス ②利用者の登録・削除 ③権限 ④不審な兆候の通知 ⑤ログアウト の5分野について『安全な既定値』をまとめたもの。【Phase 1の扱い】実装なし・姿勢のみ。④はADR-065で別途対応方針あり</t>
  </si>
  <si>
    <t>調達要件になる見込みが立った時点でADR-065と合わせて再評価</t>
  </si>
  <si>
    <t>【改善後】誰がどの操作を許可または拒否されたかの判断記録を、どこまで細かく残すか。【記録先】ブランド管理API（idm-api、Lambda）が出力し、U9 §9.3.3のログ3層（すぐ検索できる90日 → 1年 → 書き換え不能な7年）に個人情報のマスキングを通した後で保存する。記録内容は 対象利用者の内部番号（氏名等は載せない）/ 操作した人 / 対象と操作 / 許可か拒否か / 理由 / 使ったルールの版。【決定済みの粒度】拒否は全件、高権限操作の許可は全件、一般の閲覧は集約（決定D-U9-20 / ADR-067）</t>
  </si>
  <si>
    <t>【改善後】お客様のログイン基盤から初めてログインしてきた人を、その場で自動的に利用者として登録する。【記録先】Broker KCのAuroraに利用者レコードを作る。実行するのは自作の登録制御部品（Custom Authenticator SPI案B）で、3系統のログイン処理（通常ログイン / 初回連携 / 連携後）すべてに配置する（PoC V1〜V3''で検証済み）。【残論点】新規作成時の初期権限が未決（B-401-2。業界推奨は最小権限 = 明示的に付与されるまでアクセス不可）</t>
  </si>
  <si>
    <t>B-401-2の回答を待って初期権限を確定する</t>
  </si>
  <si>
    <t>1000/2000社規模の実測PoC（G-IdP-Scale、25人日）。2026-07-30に仮定値で設計継続と決定し後追い検証へ格下げ・非ブロッカー化。公式実測が存在せず本PoCが一次検証となる</t>
  </si>
  <si>
    <t>RHBK 26.4と自作部品4機能の互換確認（G-SPI-Compat、10人日）。実質残ブロッカーの1つ。※ID衝突注意 — hearingのA-2（3年後MAU）とは別物</t>
  </si>
  <si>
    <t>RHBK環境を用意して着手する。ブロッカーのためW1冒頭で先行</t>
  </si>
  <si>
    <t>自作SCIM Facadeの規格適合と規模実測（G-SCIM、20人日）。権限確認の応答目標の確定値もこれ待ち</t>
  </si>
  <si>
    <t>着手可（依存なし）。W1で並走</t>
  </si>
  <si>
    <t>LDAP経路の検証（G-LDAP）。2026-07-30にB-LDAP-1 = LDAP顧客なしで廃止。工数0。※ID衝突注意 — hearingのA-4（地理分布）とは別物</t>
  </si>
  <si>
    <t>なし（廃止済み）。Excel上も対象外として凍結表示にする</t>
  </si>
  <si>
    <t>SAML経由の自動登録の検証（B-SCIM-12、4人日）。名前識別子の扱いの差を確認する</t>
  </si>
  <si>
    <t>商用IdP実機との統合検証（B-SCIM-14、8人日）。Entra ID / Oktaの試用環境で属性・発行元・登録部品の発火・ログインヒント・認証手段表示の差を確認。Phase 1 β前必須</t>
  </si>
  <si>
    <t>大阪リージョンの在庫・上限確認（G-OSAKA、3人日）。機種在庫・vCPU上限・arm64対応。※ID衝突注意 — hearingのA-7（新規顧客追加頻度）とは別物</t>
  </si>
  <si>
    <t>着手可（依存なし）。P-05コールドDR転換により緊急度は下がったが、被災時に確保できるかは要確認</t>
  </si>
  <si>
    <t>パスワード変換処理の性能実測（2人日）。製品既定パラメータでの処理能力を測りサイジングを補正する</t>
  </si>
  <si>
    <t>SAML接続情報の自動更新機能の実機確認（2人日）。文書と実装の乖離疑い（Discussion #27828未解決）。1000社超の証明書更新運用の前提</t>
  </si>
  <si>
    <t>自作部品の負荷試験（6人日）。①登録制御の抑制処理がDB書込・キャッシュ無効化・Pod資源に与える影響 ②イベント送出の流量が通行証発行の応答時間に与える遅延</t>
  </si>
  <si>
    <t>小粒の実機確認4点セット（2人日）。複数クラスタ版数 / ROSAの署名情報 / Red Hat文書の本文確認 / 別形式の接続情報配布の提供有無</t>
  </si>
  <si>
    <t>ServiceNow連携の実機検証（6人日）。SAML設定・パターン②統合フロー・突合キー・Webhook配信</t>
  </si>
  <si>
    <t>着手可（パターン選択B-SN-3は暫定②でよい）</t>
  </si>
  <si>
    <t>要求仕様書v1の発行と回答反映（12人日）。REQ-IN-01〜13 / REQ-OUT-01〜06 / REQ-DR-01〜05が全件未回答。他組織が管理するインターネット境界の設定要求</t>
  </si>
  <si>
    <t>配信網からエッジ負荷分散への到達方式と通信制御ルートの技術詰め（5人日）</t>
  </si>
  <si>
    <t>IPアドレス帯の台帳凍結（2人日）。構築後に変更できないため構築前必須</t>
  </si>
  <si>
    <t>3ゲート合意の交渉サポート資料（4人日）。ただしG-PCI-WAFは2026-07-30に廃止済みのため実質2ゲート（G-EGRESS / G-EDGE-DR）。G-EDGE-DRも転換済みで合意不要になった可能性がある</t>
  </si>
  <si>
    <t>外形監視の送信元を防御装置の誤検知対象から除外する合意（1人日）</t>
  </si>
  <si>
    <t>サイジング是正（4人日）。Pod数の不整合是正・少数大型Podへの設計判断・接続数の予算規約追加。50:50比率を入力に再計算</t>
  </si>
  <si>
    <t>即着手可。NFR-SCL-007 / NFR-COST-002の前提になるため優先度高</t>
  </si>
  <si>
    <t>前提の整合3点（2人日）。§NFR-3のレンジ記述を1,000万に改訂 / §C-7改訂ステータスの矛盾突合 / P-09の精密化。※本調査でP-17と2026-08-06 E判断の食い違いも判明したため4点目として追加を推奨</t>
  </si>
  <si>
    <t>即着手可</t>
  </si>
  <si>
    <t>ADR反映残の一括処理（4人日）。ADR-051 / 053 / 059 / 019 / 048 / 038 / 023 §L.8ほか。※本調査でNFR-COST-006（RHBK内包）とNFR-COMP-011（鍵交換90日）の要件表誤りも判明したため対象に追加を推奨</t>
  </si>
  <si>
    <t>小粒登録4点（1人日）</t>
  </si>
  <si>
    <t>宙に浮いた参照8件の解消（2人日）</t>
  </si>
  <si>
    <t>research波及文書の修正（1人日）</t>
  </si>
  <si>
    <t>カード決済規格スコープのPhase 1除外化（2人日）。削除ではなく無効化注記で降格</t>
  </si>
  <si>
    <t>即着手可。※注記『pci-dss-* / hearing-checklistは別スレッド編集中のため触らない』は2026-07-30時点の制約。現在も有効か確認してから着手すること</t>
  </si>
  <si>
    <t>LDAP経路の対象外化（1人日）。削除ではなく降格、provisioned_by=ldapは将来用に予約</t>
  </si>
  <si>
    <t>IdP表示順の属性とセレクター表示順（2人日、U2×U4合同）</t>
  </si>
  <si>
    <t>追加本人確認を要求する操作の一覧（3人日）。アプリとの契約の前倒し確定</t>
  </si>
  <si>
    <t>即着手可（B-APP-STEPUP-1は暫定でよい）</t>
  </si>
  <si>
    <t>ID対応表の補助データベースの物理配置（2人日）</t>
  </si>
  <si>
    <t>SCIM Facadeの実行形態（3人日、U3×U6×U9三者）</t>
  </si>
  <si>
    <t>管理APIの内部ルートとサービス間の認可（3人日）</t>
  </si>
  <si>
    <t>即着手可。FR-INT-006の前提</t>
  </si>
  <si>
    <t>メール送信基盤の設計（3人日）。送信上限解除・送信元ドメイン認証・Realm単位の設定管理</t>
  </si>
  <si>
    <t>不正検知データベースの大阪方式と緊急アクセスの大阪実体（3人日、U7×U8）</t>
  </si>
  <si>
    <t>P-05コールドDR転換の影響を織り込んで実施する</t>
  </si>
  <si>
    <t>利用者属性の値定義と拡張属性の受入枠（2人日）</t>
  </si>
  <si>
    <t>即着手可。質問状Q22（お客様固有の追加項目）の回答が入力</t>
  </si>
  <si>
    <t>管理API周辺5点（5人日）。権限台帳×アプリ台帳のスキーマ統合 / 監査の二重書き / 承認画面の共用 / 外形監視の範囲 / 目標値の境界</t>
  </si>
  <si>
    <t>即着手可。FR-ADMIN-004 / FR-ADMIN-005の前提</t>
  </si>
  <si>
    <t>LDAP経路の追加処理設計。2026-07-30に廃止。工数0</t>
  </si>
  <si>
    <t>なし（廃止済み）</t>
  </si>
  <si>
    <t>SAML IdPの設定ひな形（2人日）</t>
  </si>
  <si>
    <t>IdP証明書の更新運用設計（3人日）</t>
  </si>
  <si>
    <t>ログイン失敗ロックと危険度判定の整合（2人日）</t>
  </si>
  <si>
    <t>防御装置のフォーム項目添付と振り分け画面の文言最終稿（1人日）</t>
  </si>
  <si>
    <t>特権昇格APIの配置（2人日）</t>
  </si>
  <si>
    <t>ServiceNowの移行・並走・削除連鎖の設計詰め（4人日）</t>
  </si>
  <si>
    <t>即着手可（B-SN群は暫定で骨子作成可）</t>
  </si>
  <si>
    <t>利用者モデルの改訂（5人日）。全顧客利用者をお客様IdP側またはIdP-KC収容へ寄せ、ローカルは基盤運用者のみに限定。U2/U3/U4/U7の『管理者=ローカル』前提を書き換える</t>
  </si>
  <si>
    <t>即着手可。2026-07-30決定の反映漏れであり、放置するとU4/U7の記述が誤ったまま残る。優先度高</t>
  </si>
  <si>
    <t>災害対策のコールド化とデータ保全の改訂（8人日）。ADR-051全面改訂 + 大阪常時コスト削除 + 復旧手順書改訂</t>
  </si>
  <si>
    <t>開発・検証環境の設計（8人日）。6アカウント体系は本番前提で、検証環境がどの単元にも無い</t>
  </si>
  <si>
    <t>即着手可。※質問状Q57の非本番データ方針（B-TESTDATA-1）と連動</t>
  </si>
  <si>
    <t>負荷試験の一元計画書（4人日）</t>
  </si>
  <si>
    <t>継続的なコスト管理（4人日）。タグ戦略・予算アラート・テナント別原価・3年見積回収</t>
  </si>
  <si>
    <t>即着手可。NFR-COST-001/002/004/005/008/009の受け皿になる</t>
  </si>
  <si>
    <t>本番設定の詰め漏れ反映（5人日）。要求の待ち行列上限・公開パス遮断表・クラスタ内通信の証明書自動更新ほか</t>
  </si>
  <si>
    <t>更新運用の精密化（5人日）。無停止更新の可否判定の自動化・全停止を伴う変更のメンテ窓設計</t>
  </si>
  <si>
    <t>データベース接続の公式部品採否（3人日）</t>
  </si>
  <si>
    <t>クラスタ監査ログの中央集約制約（3人日）</t>
  </si>
  <si>
    <t>即着手可。※禁則K-12（監査記録の詳細度を上げない）と整合させること</t>
  </si>
  <si>
    <t>総当たり攻撃対策の戦略選定と利用者存在の推測対策の明文化（1人日）</t>
  </si>
  <si>
    <t>ヒアリング質問状のパッケージ化（2人日）。※2026-08-14〜16に顧客説明資料57項目と質問状67問を作成済みのため、本タスクは実質着手済み</t>
  </si>
  <si>
    <t>作成済みの2資材を成果物として紐づけ、残工数を再評価する（当初2人日 → 実質消化済みの見込み）</t>
  </si>
  <si>
    <t>ヒアリング回答の反映（8人日）。前提表の更新と影響単元の改訂</t>
  </si>
  <si>
    <t>質問状の送付と回収が前提。W0で送付する</t>
  </si>
  <si>
    <t>法務系の起票と追撃（2人日）。基盤ベンダーとのデータ取扱い契約・鍵管理者合意・報告雛形・契約テンプレ</t>
  </si>
  <si>
    <t>ADR-040 / 036の別スレッド完了後の統合（2人日）</t>
  </si>
  <si>
    <t>運用手順書Phase 1必須13冊の執筆（16人日）</t>
  </si>
  <si>
    <t>即着手可。仕様は各単元で確定済み。W1で並行実施</t>
  </si>
  <si>
    <t>残り22冊の手順書（参考20人日、総計外）。リリース後3か月以内</t>
  </si>
  <si>
    <t>基本設計クローズの対象外。Excelでも総計外として区別する</t>
  </si>
  <si>
    <t>呼び出し当番と通知経路の実体（2人日）。呼び出しサービスの契約・当番表</t>
  </si>
  <si>
    <t>即着手可。※質問状Q48（24時間対応の開始時期）の回答で規模が変わる</t>
  </si>
  <si>
    <t>構成図の清書（4人日）。mermaidからAWSアイコン版へ、旧EKS図の置換</t>
  </si>
  <si>
    <t>3年後の想定利用者数</t>
  </si>
  <si>
    <t>3年後に何人まで増える見込みか</t>
  </si>
  <si>
    <t>3年後の想定利用者数。hearingでは未回答。設計はP-02（1,000万人上限）で凍結して進行しておりブロックはしていない。※ID衝突注意 — 設計タスクのA-2（G-SPI-Compat）とは別物</t>
  </si>
  <si>
    <t>質問状Q02で回収する。回答が上限を超える場合のみP-02を再評価</t>
  </si>
  <si>
    <t>規模</t>
  </si>
  <si>
    <t>2026-08-16 TSV同期で追加</t>
  </si>
  <si>
    <t>hearing-checklist.md §5.6</t>
  </si>
  <si>
    <t>法令</t>
  </si>
  <si>
    <t>お客様拠点の地理分布</t>
  </si>
  <si>
    <t>利用者・拠点が国内のみか国外を含むか</t>
  </si>
  <si>
    <t>お客様拠点の地理分布。hearingでは未回答。設計はP-15（東京常用・大阪災害時のみ、国外に置かない）で凍結。※ID衝突注意 — 設計タスクのA-4（G-LDAP、2026-07-30廃止）とは別物</t>
  </si>
  <si>
    <t>質問状Q46で回収する。国外在住の利用者を含む場合は保管場所と本人請求対応を再評価</t>
  </si>
  <si>
    <t>新規のお客様企業を追加する頻度</t>
  </si>
  <si>
    <t>何社／月のペースで新規接続が発生するか</t>
  </si>
  <si>
    <t>新規のお客様企業を追加する頻度。hearingでは未回答。NFR-SCL-004（次営業日以内）が暫定値。※ID衝突注意 — 設計タスクのA-7（G-OSAKA）とは別物</t>
  </si>
  <si>
    <t>要件定義</t>
    <phoneticPr fontId="2"/>
  </si>
  <si>
    <t>認証方式</t>
    <phoneticPr fontId="2"/>
  </si>
  <si>
    <t>管理機能・画面</t>
    <phoneticPr fontId="2"/>
  </si>
  <si>
    <t>認可・権限</t>
    <phoneticPr fontId="2"/>
  </si>
  <si>
    <t>外部ID連携</t>
    <phoneticPr fontId="2"/>
  </si>
  <si>
    <t>外部連携・API</t>
    <phoneticPr fontId="2"/>
  </si>
  <si>
    <t>追加確認（多要素）</t>
    <phoneticPr fontId="2"/>
  </si>
  <si>
    <t>SSO・セッション</t>
    <phoneticPr fontId="2"/>
  </si>
  <si>
    <t>利用者管理・同期</t>
    <phoneticPr fontId="2"/>
  </si>
  <si>
    <t>セキュリティ</t>
    <phoneticPr fontId="2"/>
  </si>
  <si>
    <t>コスト</t>
    <phoneticPr fontId="2"/>
  </si>
  <si>
    <t>NFR-COST コスト</t>
    <phoneticPr fontId="2"/>
  </si>
  <si>
    <t>移行</t>
    <phoneticPr fontId="2"/>
  </si>
  <si>
    <t>可用性・災害復旧</t>
    <phoneticPr fontId="2"/>
  </si>
  <si>
    <t>NFR-AVL 可用性</t>
    <phoneticPr fontId="2"/>
  </si>
  <si>
    <t>コンプライアンス・法令</t>
    <phoneticPr fontId="2"/>
  </si>
  <si>
    <t>NFR-DR 災害復旧</t>
    <phoneticPr fontId="2"/>
  </si>
  <si>
    <t>運用・監視</t>
    <phoneticPr fontId="2"/>
  </si>
  <si>
    <t>性能・拡張性</t>
    <phoneticPr fontId="2"/>
  </si>
  <si>
    <t>顧客確認</t>
    <phoneticPr fontId="2"/>
  </si>
  <si>
    <t>基本設計</t>
    <phoneticPr fontId="2"/>
  </si>
  <si>
    <t>前提</t>
    <phoneticPr fontId="2"/>
  </si>
  <si>
    <t>基盤・ネットワーク</t>
    <phoneticPr fontId="2"/>
  </si>
  <si>
    <t>検証ゲート</t>
    <phoneticPr fontId="2"/>
  </si>
  <si>
    <t>B-1</t>
    <phoneticPr fontId="2"/>
  </si>
  <si>
    <t>全般・プロジェクト進行</t>
    <phoneticPr fontId="2"/>
  </si>
  <si>
    <t>D-17</t>
    <phoneticPr fontId="2"/>
  </si>
  <si>
    <t>D-18</t>
    <phoneticPr fontId="2"/>
  </si>
  <si>
    <t>F-1</t>
    <phoneticPr fontId="2"/>
  </si>
  <si>
    <t>F-3</t>
    <phoneticPr fontId="2"/>
  </si>
  <si>
    <t>認証基盤 要件定義・基本設計 進捗サマリー</t>
    <phoneticPr fontId="2"/>
  </si>
  <si>
    <t>出典: github.com/suepie/aws-atuh-poc（doc/requirements + doc/basic-design + doc/adr）/ commit 9511a58 / 明細は「進捗一覧」「設計決定一覧」参照</t>
    <phoneticPr fontId="2"/>
  </si>
  <si>
    <t>本表はGitからの派生ビュー（読み取り専用）。SSOTはGit側。</t>
    <phoneticPr fontId="2"/>
  </si>
  <si>
    <t>① 種別別の進捗（状況は5区分）</t>
    <phoneticPr fontId="2"/>
  </si>
  <si>
    <t>合計</t>
    <phoneticPr fontId="2"/>
  </si>
  <si>
    <t>② 系統別 内訳</t>
    <phoneticPr fontId="2"/>
  </si>
  <si>
    <t>大項目</t>
    <phoneticPr fontId="2"/>
  </si>
  <si>
    <t>系統</t>
    <phoneticPr fontId="2"/>
  </si>
  <si>
    <t>FR-AUTH 認証フロー/Grant Type・PW管理</t>
    <phoneticPr fontId="2"/>
  </si>
  <si>
    <t>FR-FED フェデレーション</t>
    <phoneticPr fontId="2"/>
  </si>
  <si>
    <t>FR-MFA 多要素認証</t>
    <phoneticPr fontId="2"/>
  </si>
  <si>
    <t>FR-SSO SSO・ログアウト・セッション</t>
    <phoneticPr fontId="2"/>
  </si>
  <si>
    <t>FR-AUTHZ 認可</t>
    <phoneticPr fontId="2"/>
  </si>
  <si>
    <t>FR-USER ユーザー管理</t>
    <phoneticPr fontId="2"/>
  </si>
  <si>
    <t>FR-ADMIN 管理機能</t>
    <phoneticPr fontId="2"/>
  </si>
  <si>
    <t>FR-INT 連携・標準準拠</t>
    <phoneticPr fontId="2"/>
  </si>
  <si>
    <t>NFR-PERF 性能</t>
    <phoneticPr fontId="2"/>
  </si>
  <si>
    <t>NFR-SCL スケーラビリティ</t>
    <phoneticPr fontId="2"/>
  </si>
  <si>
    <t>NFR-SEC セキュリティ</t>
    <phoneticPr fontId="2"/>
  </si>
  <si>
    <t>NFR-OPS 運用・監視</t>
    <phoneticPr fontId="2"/>
  </si>
  <si>
    <t>NFR-COMP コンプライアンス</t>
    <phoneticPr fontId="2"/>
  </si>
  <si>
    <t>NFR-MIG 移行</t>
    <phoneticPr fontId="2"/>
  </si>
  <si>
    <t>③ 重点論点（2026-07-30 意思決定後）</t>
    <phoneticPr fontId="2"/>
  </si>
  <si>
    <t>ID</t>
    <phoneticPr fontId="2"/>
  </si>
  <si>
    <t>論点</t>
    <phoneticPr fontId="2"/>
  </si>
  <si>
    <t>A-2 / G-SPI-Compat</t>
    <phoneticPr fontId="2"/>
  </si>
  <si>
    <t>RHBK 26.4 × upstream Custom SPI 互換検証（HRD / Re-Activation）</t>
    <phoneticPr fontId="2"/>
  </si>
  <si>
    <t>未着手（検証実施は確定）</t>
    <phoneticPr fontId="2"/>
  </si>
  <si>
    <t>実質残ブロッカー①</t>
    <phoneticPr fontId="2"/>
  </si>
  <si>
    <t>F-3 / G-DPA</t>
    <phoneticPr fontId="2"/>
  </si>
  <si>
    <t>Red Hat SRE の越境閲覧確認（APPI 28条）。クラウド利用の同意は取得方針</t>
    <phoneticPr fontId="2"/>
  </si>
  <si>
    <t>確認中</t>
    <phoneticPr fontId="2"/>
  </si>
  <si>
    <t>実質残ブロッカー②</t>
    <phoneticPr fontId="2"/>
  </si>
  <si>
    <t>ヒアリング質問状のパッケージ化。全127項目中 未回答123（顧客回答ゼロ）</t>
    <phoneticPr fontId="2"/>
  </si>
  <si>
    <t>未着手</t>
    <phoneticPr fontId="2"/>
  </si>
  <si>
    <t>W0 最優先（外部依頼）</t>
    <phoneticPr fontId="2"/>
  </si>
  <si>
    <t>要求仕様書v1の発行。REQ-IN/OUT/DR 全件未回答</t>
    <phoneticPr fontId="2"/>
  </si>
  <si>
    <t>法務起票（Red Hat DPA 最優先）</t>
    <phoneticPr fontId="2"/>
  </si>
  <si>
    <t>E-2 → A-1 → C-1/D系</t>
    <phoneticPr fontId="2"/>
  </si>
  <si>
    <t>負荷試験計画 → G-IdP-Scale実測(25人日) → キャッシュ・Pod・接続予算の最終値</t>
    <phoneticPr fontId="2"/>
  </si>
  <si>
    <t>内部クリティカルパス</t>
    <phoneticPr fontId="2"/>
  </si>
  <si>
    <t>アイデンティティモデル改訂（全顧客ユーザーのフェデ化、P-07転換）</t>
    <phoneticPr fontId="2"/>
  </si>
  <si>
    <t>決定を受けた改訂タスク</t>
    <phoneticPr fontId="2"/>
  </si>
  <si>
    <t>DRコールド化＋データ保全改訂（RTO≈14日、P-05/P-15転換）</t>
    <phoneticPr fontId="2"/>
  </si>
  <si>
    <t>A-4 / D-10 / G-LDAP</t>
    <phoneticPr fontId="2"/>
  </si>
  <si>
    <t>LDAP 経路（LDAP顧客なし）</t>
    <phoneticPr fontId="2"/>
  </si>
  <si>
    <t>対象外化で決着</t>
    <phoneticPr fontId="2"/>
  </si>
  <si>
    <t>スコープ除外</t>
    <phoneticPr fontId="2"/>
  </si>
  <si>
    <t>C-7 / G-PCI-WAF</t>
    <phoneticPr fontId="2"/>
  </si>
  <si>
    <t>PCI DSS（対応不要）。削除でなく降格・将来再開可</t>
    <phoneticPr fontId="2"/>
  </si>
  <si>
    <t>④ 要件→設計 対応状況（漏れ探し）</t>
    <phoneticPr fontId="2"/>
  </si>
  <si>
    <t>件数</t>
    <phoneticPr fontId="2"/>
  </si>
  <si>
    <t>割合</t>
    <phoneticPr fontId="2"/>
  </si>
  <si>
    <t>意味</t>
    <phoneticPr fontId="2"/>
  </si>
  <si>
    <t>対応状況</t>
    <phoneticPr fontId="2"/>
  </si>
  <si>
    <t>対応する設計決定が特定できた</t>
    <phoneticPr fontId="2"/>
  </si>
  <si>
    <t>一部は決まっているが残りは未確定・他単元待ち</t>
    <phoneticPr fontId="2"/>
  </si>
  <si>
    <t>取込済の設計書に対応する決定が見当たらない（★要確認）</t>
    <phoneticPr fontId="2"/>
  </si>
  <si>
    <t>意図的にスコープ外と決着済</t>
    <phoneticPr fontId="2"/>
  </si>
  <si>
    <t>該当設計書（U4/U6〜U10）未読込のため判定不能</t>
    <phoneticPr fontId="2"/>
  </si>
  <si>
    <t>単元未取込</t>
    <phoneticPr fontId="2"/>
  </si>
  <si>
    <t>⑤ 設計→要件 逆マッピング（根拠確認）</t>
    <phoneticPr fontId="2"/>
  </si>
  <si>
    <t>意味・対応</t>
    <phoneticPr fontId="2"/>
  </si>
  <si>
    <t>根拠が辩できる。確認不要</t>
    <phoneticPr fontId="2"/>
  </si>
  <si>
    <t>要件から参照あり</t>
    <phoneticPr fontId="2"/>
  </si>
  <si>
    <t>★要件にないのに機能・工数・運用負荷が発生。要件化か削除かの判断が必要</t>
    <phoneticPr fontId="2"/>
  </si>
  <si>
    <t>スコープ増</t>
    <phoneticPr fontId="2"/>
  </si>
  <si>
    <t>★契約・実装ガイドに落とすべき制約の抜け。要件文の追記が必要</t>
    <phoneticPr fontId="2"/>
  </si>
  <si>
    <t>要件側の書き漏れ</t>
    <phoneticPr fontId="2"/>
  </si>
  <si>
    <t>前方マッピングの紐付け漏れ。本表作成時に発見し修正済み</t>
    <phoneticPr fontId="2"/>
  </si>
  <si>
    <t>参照漏れ</t>
    <phoneticPr fontId="2"/>
  </si>
  <si>
    <t>要件から降りてこない実装判断。確認不要</t>
    <phoneticPr fontId="2"/>
  </si>
  <si>
    <t>内部技術判断</t>
    <phoneticPr fontId="2"/>
  </si>
  <si>
    <t>方針転換で無効。確認不要</t>
    <phoneticPr fontId="2"/>
  </si>
  <si>
    <t>廃止済み</t>
    <phoneticPr fontId="2"/>
  </si>
  <si>
    <t>⑥ 再監査の取込記録（設計側フル監査の結果）</t>
    <phoneticPr fontId="2"/>
  </si>
  <si>
    <t>設計書9冊を全文（打ち切りなし）で突合し直した結果を反映。当初本表は1ファイル40,000文字の制限で末尾が欠けていたが、打ち切り部が隔していた項目はなかったことを確認済み</t>
    <phoneticPr fontId="2"/>
  </si>
  <si>
    <t>4件のみ（初回パスワード強制変更・パスワード履歴・メールによる追加確認・応答目標値）。いずれもコミット 389e87c で設計側に反映済み</t>
    <phoneticPr fontId="2"/>
  </si>
  <si>
    <t>真の漏れ</t>
    <phoneticPr fontId="2"/>
  </si>
  <si>
    <t>8件を再分類（設計側に既に決定あり、または意図的先送り）。以前の「未対応」判定は設計書の読み取り範囲不足による誤判定が主因</t>
    <phoneticPr fontId="2"/>
  </si>
  <si>
    <t>判定見直し</t>
    <phoneticPr fontId="2"/>
  </si>
  <si>
    <t>費用5件は提案書側、第三者監査・情報開示系3件は別枠組み側、運用工数2件は残タスク棚卸し側で決定済み。技術設計9冊には載せない方針</t>
    <phoneticPr fontId="2"/>
  </si>
  <si>
    <t>設計書外</t>
    <phoneticPr fontId="2"/>
  </si>
  <si>
    <t>セキュリティ設計書冒頭の「改訂待ち」注記（カード決済規格の除外・管理者のローカル認証前提）は、残タスク側の改訂2件が未実施のため残存しているもので、網羅性の穴ではない</t>
    <phoneticPr fontId="2"/>
  </si>
  <si>
    <t>文書同期待ち</t>
    <phoneticPr fontId="2"/>
  </si>
  <si>
    <t>認証基盤 要件定義・基本設計 ダッシュボード</t>
    <phoneticPr fontId="2"/>
  </si>
  <si>
    <t>Git（github.com/suepie/aws-atuh-poc, commit 9511a58）からの派生ビュー。判断・更新はGit側で行い、本ファイルは俯瞰専用の読み取りスナップショットです。</t>
    <phoneticPr fontId="2"/>
  </si>
  <si>
    <t>①決まったこと</t>
    <phoneticPr fontId="2"/>
  </si>
  <si>
    <t>②これから社内で決めること</t>
    <phoneticPr fontId="2"/>
  </si>
  <si>
    <t>③外部に依存すること</t>
    <phoneticPr fontId="2"/>
  </si>
  <si>
    <t>件</t>
    <phoneticPr fontId="2"/>
  </si>
  <si>
    <t>自社だけで判断・検証できる。今すぐ着手可能</t>
    <phoneticPr fontId="2"/>
  </si>
  <si>
    <t>顧客・他組織・法務の回答が要る。待ち＝遅れではない</t>
    <phoneticPr fontId="2"/>
  </si>
  <si>
    <t>詰め切りに必要な残数（②＋③）</t>
    <phoneticPr fontId="2"/>
  </si>
  <si>
    <t>詳細設計に着手する前提の3ゲート</t>
    <phoneticPr fontId="2"/>
  </si>
  <si>
    <t>ゲート</t>
    <phoneticPr fontId="2"/>
  </si>
  <si>
    <t>残</t>
    <phoneticPr fontId="2"/>
  </si>
  <si>
    <t>信号</t>
    <phoneticPr fontId="2"/>
  </si>
  <si>
    <t>① 技術検証（自社実測）</t>
    <phoneticPr fontId="2"/>
  </si>
  <si>
    <t>自社で実施する実機検証。他者を待たずに着手できる</t>
    <phoneticPr fontId="2"/>
  </si>
  <si>
    <t>② 他組織の要求仕様回答</t>
    <phoneticPr fontId="2"/>
  </si>
  <si>
    <t>インターネット出入口を管理する他組織への要求と回答</t>
    <phoneticPr fontId="2"/>
  </si>
  <si>
    <t>③ 顧客ヒアリング回答</t>
    <phoneticPr fontId="2"/>
  </si>
  <si>
    <t>顧客への質問状。全127項目中の未回答が主因</t>
    <phoneticPr fontId="2"/>
  </si>
  <si>
    <t>技術領域別の内訳</t>
    <phoneticPr fontId="2"/>
  </si>
  <si>
    <t>フェーズ別の残り</t>
    <phoneticPr fontId="2"/>
  </si>
  <si>
    <t>技術領域</t>
    <phoneticPr fontId="2"/>
  </si>
  <si>
    <t>機能要件91＋非機能要件88＋顧客確認16。残りは主に顧客ヒアリング回答待ち</t>
    <phoneticPr fontId="2"/>
  </si>
  <si>
    <t>前提21＋検証ゲート11＋設計タスク59。基本設計を閉じるまでの残作業</t>
    <phoneticPr fontId="2"/>
  </si>
  <si>
    <t>規模と目標値が顧客回答待ちのため。設計は上限10Mで凍結し先行している</t>
    <phoneticPr fontId="2"/>
  </si>
  <si>
    <t>稼働率と復旧目標が顧客合意待ち。設計側は手動復旧14日で確定済み</t>
    <phoneticPr fontId="2"/>
  </si>
  <si>
    <t>対象法令と認証取得の要否が顧客回答待ち。多くは提案書側・別枠組み側で扱う</t>
    <phoneticPr fontId="2"/>
  </si>
  <si>
    <t>体制・工数の合意と手順書の執筆が残るため。方式は決定済み</t>
    <phoneticPr fontId="2"/>
  </si>
  <si>
    <t>費用は提案書側の文書で扱う方針のため、技術設計側には決定を置いていない</t>
    <phoneticPr fontId="2"/>
  </si>
  <si>
    <t>現行システムの実態（利用者数・パスワード方式）が顧客回答待ち</t>
    <phoneticPr fontId="2"/>
  </si>
  <si>
    <t>質問状の発行と回答反映が主。外部リードタイムが律速</t>
    <phoneticPr fontId="2"/>
  </si>
  <si>
    <t>工程別の工数（3つのWBSシートの合計）</t>
    <phoneticPr fontId="2"/>
  </si>
  <si>
    <t>工程</t>
    <phoneticPr fontId="2"/>
  </si>
  <si>
    <t>人日</t>
    <phoneticPr fontId="2"/>
  </si>
  <si>
    <t>明細シート</t>
    <phoneticPr fontId="2"/>
  </si>
  <si>
    <t>スコープ</t>
    <phoneticPr fontId="2"/>
  </si>
  <si>
    <t>① 基本設計クローズ</t>
    <phoneticPr fontId="2"/>
  </si>
  <si>
    <t>WBS(基本設計)</t>
    <phoneticPr fontId="2"/>
  </si>
  <si>
    <t>② 詳細設計</t>
    <phoneticPr fontId="2"/>
  </si>
  <si>
    <t>WBS(詳細設計_製造)</t>
    <phoneticPr fontId="2"/>
  </si>
  <si>
    <t>③ 構築（実装＋単体）</t>
    <phoneticPr fontId="2"/>
  </si>
  <si>
    <t>④ テスト</t>
    <phoneticPr fontId="2"/>
  </si>
  <si>
    <t>WBS(テスト)</t>
    <phoneticPr fontId="2"/>
  </si>
  <si>
    <t>②＋③＋④（これから作る工数）</t>
    <phoneticPr fontId="2"/>
  </si>
  <si>
    <t>—</t>
    <phoneticPr fontId="2"/>
  </si>
  <si>
    <t>総計（①含む）</t>
    <phoneticPr fontId="2"/>
  </si>
  <si>
    <t>要Git照合</t>
  </si>
  <si>
    <t>Git（md）側 状況照合スクリプト</t>
  </si>
  <si>
    <t>用途：Excel の 状況（H列）と、Git 側 md 文書に書かれた状況記述の食い違いを機械的に検出する。Excel の更新メモ（N列）はユーザー正、それ以外は Git 正。</t>
  </si>
  <si>
    <t>手順：① 進捗一覧を CSV 出力（ID,状況,更新メモ,要Git照合）→ repo の tools/ に置く　② 下記 check_status.py を実行　③ 出力 report.md を確認</t>
  </si>
  <si>
    <t>■ tools/check_status.py</t>
  </si>
  <si>
    <t>#!/usr/bin/env python3</t>
  </si>
  <si>
    <t># -*- coding: utf-8 -*-</t>
  </si>
  <si>
    <t>"""</t>
  </si>
  <si>
    <t>check_status.py -- Excel(進捗一覧) と Git(md) の状況記述を照合する</t>
  </si>
  <si>
    <t>前提:</t>
  </si>
  <si>
    <t xml:space="preserve">  - Git が正: 決定内容 / 状況 / 出典</t>
  </si>
  <si>
    <t xml:space="preserve">  - Excel が正: 更新メモ(N列)  ... 設計者の一次観察。md に対応記述が無いことがある</t>
  </si>
  <si>
    <t xml:space="preserve">  - よって「メモの含意」と「md の記述」が食い違う行を洗い出し、</t>
  </si>
  <si>
    <t xml:space="preserve">    md 側の是正候補として report.md に出す。</t>
  </si>
  <si>
    <t>使い方:</t>
  </si>
  <si>
    <t xml:space="preserve">  python3 tools/check_status.py --csv tools/shinchoku.csv --root doc/ --out tools/report.md</t>
  </si>
  <si>
    <t>CSV 必須列: ID, 状況, 更新メモ, 要Git照合</t>
  </si>
  <si>
    <t>import argparse, csv, re, os, sys, json</t>
  </si>
  <si>
    <t>from collections import defaultdict</t>
  </si>
  <si>
    <t>STATUS = ["確定", "方向性確定（条件付き）", "検討中", "外部待ち", "対象外"]</t>
  </si>
  <si>
    <t># --- 更新メモ -&gt; 含意する状況（Excel 側の分類ロジックと同一） -------------</t>
  </si>
  <si>
    <t>RULES = [</t>
  </si>
  <si>
    <t xml:space="preserve">    ("外部待ち", r"ヒアリング|顧客確認中|顧客確認が未了"),</t>
  </si>
  <si>
    <t xml:space="preserve">    ("対象外",   r"スコープ外|対象外|^不要$|対応しない|アプリで管理の認識|アプリで検討"),</t>
  </si>
  <si>
    <t xml:space="preserve">    ("検討中",   r"未定|検証必要|検討|わからない|解説して|具体的に|詳しく|見直しが必要|"</t>
  </si>
  <si>
    <t xml:space="preserve">                 r"見積もるしかない|どうするか|別途計算|選択肢を提示|？|\?"),</t>
  </si>
  <si>
    <t xml:space="preserve">    ("確定",     r"確定|決定|決まってる|OK|良い|必須|確認済み|^必要$|^手動$|^5分$|^1日"),</t>
  </si>
  <si>
    <t>]</t>
  </si>
  <si>
    <t>META = re.compile(r"^(20\d\d-\d\d-\d\d|旧ゲート)")</t>
  </si>
  <si>
    <t>def implied(note: str):</t>
  </si>
  <si>
    <t xml:space="preserve">    note = (note or "").strip()</t>
  </si>
  <si>
    <t xml:space="preserve">    if not note or META.match(note):</t>
  </si>
  <si>
    <t xml:space="preserve">        return None</t>
  </si>
  <si>
    <t xml:space="preserve">    for st, pat in RULES:</t>
  </si>
  <si>
    <t xml:space="preserve">        if re.search(pat, note):</t>
  </si>
  <si>
    <t xml:space="preserve">            return st</t>
  </si>
  <si>
    <t xml:space="preserve">    return None</t>
  </si>
  <si>
    <t># --- md 側から ID の記述を拾う -------------------------------------------</t>
  </si>
  <si>
    <t>def index_md(root: str):</t>
  </si>
  <si>
    <t xml:space="preserve">    """ID -&gt; [(path, lineno, line)] を作る"""</t>
  </si>
  <si>
    <t xml:space="preserve">    idx = defaultdict(list)</t>
  </si>
  <si>
    <t xml:space="preserve">    idpat = re.compile(r"\b((?:FR|NFR)-[A-Z]+-\d+(?:-PLUS)?|P-\d+|[A-G]-\d+|"</t>
  </si>
  <si>
    <t xml:space="preserve">                       r"B-[A-Z0-9]+(?:-[A-Z0-9]+)*|G-[A-Za-z-]+|ADR-\d+)\b")</t>
  </si>
  <si>
    <t xml:space="preserve">    for dirpath, _, files in os.walk(root):</t>
  </si>
  <si>
    <t xml:space="preserve">        for fn in files:</t>
  </si>
  <si>
    <t xml:space="preserve">            if not fn.endswith(".md"):</t>
  </si>
  <si>
    <t xml:space="preserve">                continue</t>
  </si>
  <si>
    <t xml:space="preserve">            path = os.path.join(dirpath, fn)</t>
  </si>
  <si>
    <t xml:space="preserve">            try:</t>
  </si>
  <si>
    <t xml:space="preserve">                with open(path, encoding="utf-8") as f:</t>
  </si>
  <si>
    <t xml:space="preserve">                    for i, line in enumerate(f, 1):</t>
  </si>
  <si>
    <t xml:space="preserve">                        for m in set(idpat.findall(line)):</t>
  </si>
  <si>
    <t xml:space="preserve">                            idx[m].append((path, i, line.rstrip()))</t>
  </si>
  <si>
    <t xml:space="preserve">            except (UnicodeDecodeError, OSError):</t>
  </si>
  <si>
    <t xml:space="preserve">    return idx</t>
  </si>
  <si>
    <t>def md_status(lines):</t>
  </si>
  <si>
    <t xml:space="preserve">    """md の該当行群から状況キーワードを推定"""</t>
  </si>
  <si>
    <t xml:space="preserve">    hits = set()</t>
  </si>
  <si>
    <t xml:space="preserve">    blob = " ".join(l for _, _, l in lines)</t>
  </si>
  <si>
    <t xml:space="preserve">    if re.search(r"廃止|対象外|スコープ外|不採用", blob): hits.add("対象外")</t>
  </si>
  <si>
    <t xml:space="preserve">    if re.search(r"未回答|回答待ち|ヒアリング|質問状", blob): hits.add("外部待ち")</t>
  </si>
  <si>
    <t xml:space="preserve">    if re.search(r"未決|TBD|要検討|検証待ち|暫定", blob):    hits.add("検討中")</t>
  </si>
  <si>
    <t xml:space="preserve">    if re.search(r"確定|凍結|決定済|Accepted", blob):        hits.add("確定")</t>
  </si>
  <si>
    <t xml:space="preserve">    return hits</t>
  </si>
  <si>
    <t>def main():</t>
  </si>
  <si>
    <t xml:space="preserve">    ap = argparse.ArgumentParser()</t>
  </si>
  <si>
    <t xml:space="preserve">    ap.add_argument("--csv",  required=True)</t>
  </si>
  <si>
    <t xml:space="preserve">    ap.add_argument("--root", default="doc/")</t>
  </si>
  <si>
    <t xml:space="preserve">    ap.add_argument("--out",  default="tools/report.md")</t>
  </si>
  <si>
    <t xml:space="preserve">    a = ap.parse_args()</t>
  </si>
  <si>
    <t xml:space="preserve">    with open(a.csv, encoding="utf-8-sig", newline="") as f:</t>
  </si>
  <si>
    <t xml:space="preserve">        rows = list(csv.DictReader(f))</t>
  </si>
  <si>
    <t xml:space="preserve">    idx = index_md(a.root)</t>
  </si>
  <si>
    <t xml:space="preserve">    conflicts, orphans, agree = [], [], 0</t>
  </si>
  <si>
    <t xml:space="preserve">    for r in rows:</t>
  </si>
  <si>
    <t xml:space="preserve">        rid  = (r.get("ID") or "").strip()</t>
  </si>
  <si>
    <t xml:space="preserve">        exst = (r.get("状況") or "").strip()</t>
  </si>
  <si>
    <t xml:space="preserve">        note = (r.get("更新メモ") or "").strip()</t>
  </si>
  <si>
    <t xml:space="preserve">        imp  = implied(note)</t>
  </si>
  <si>
    <t xml:space="preserve">        if not rid:</t>
  </si>
  <si>
    <t xml:space="preserve">            continue</t>
  </si>
  <si>
    <t xml:space="preserve">        lines = idx.get(rid, [])</t>
  </si>
  <si>
    <t xml:space="preserve">        if not lines:</t>
  </si>
  <si>
    <t xml:space="preserve">            orphans.append((rid, exst, note))</t>
  </si>
  <si>
    <t xml:space="preserve">        mds = md_status(lines)</t>
  </si>
  <si>
    <t xml:space="preserve">        if imp and mds and imp not in mds:</t>
  </si>
  <si>
    <t xml:space="preserve">            conflicts.append({</t>
  </si>
  <si>
    <t xml:space="preserve">                "id": rid, "excel_status": exst, "memo_implies": imp,</t>
  </si>
  <si>
    <t xml:space="preserve">                "md_says": sorted(mds), "memo": note[:80],</t>
  </si>
  <si>
    <t xml:space="preserve">                "refs": [f"{p}:{n}" for p, n, _ in lines[:3]],</t>
  </si>
  <si>
    <t xml:space="preserve">            })</t>
  </si>
  <si>
    <t xml:space="preserve">        elif imp:</t>
  </si>
  <si>
    <t xml:space="preserve">            agree += 1</t>
  </si>
  <si>
    <t xml:space="preserve">    with open(a.out, "w", encoding="utf-8") as f:</t>
  </si>
  <si>
    <t xml:space="preserve">        f.write("# 状況照合レポート\n\n")</t>
  </si>
  <si>
    <t xml:space="preserve">        f.write(f"- 対象行: {len(rows)}\n- 一致: {agree}\n")</t>
  </si>
  <si>
    <t xml:space="preserve">        f.write(f"- **要是正（md とメモが不一致）: {len(conflicts)}**\n")</t>
  </si>
  <si>
    <t xml:space="preserve">        f.write(f"- md に記述が見つからない ID: {len(orphans)}\n\n")</t>
  </si>
  <si>
    <t xml:space="preserve">        f.write("## 1. md 側の是正候補\n\n")</t>
  </si>
  <si>
    <t xml:space="preserve">        f.write("| ID | Excel状況 | メモ含意 | md記述 | メモ | 参照 |\n|---|---|---|---|---|---|\n")</t>
  </si>
  <si>
    <t xml:space="preserve">        for c in conflicts:</t>
  </si>
  <si>
    <t xml:space="preserve">            f.write(f"| {c['id']} | {c['excel_status']} | {c['memo_implies']} | "</t>
  </si>
  <si>
    <t xml:space="preserve">                    f"{'/'.join(c['md_says'])} | {c['memo']} | {'&lt;br&gt;'.join(c['refs'])} |\n")</t>
  </si>
  <si>
    <t xml:space="preserve">        f.write("\n## 2. md に記述が無い ID（起票候補）\n\n")</t>
  </si>
  <si>
    <t xml:space="preserve">        f.write("| ID | Excel状況 | 更新メモ |\n|---|---|---|\n")</t>
  </si>
  <si>
    <t xml:space="preserve">        for rid, exst, note in orphans:</t>
  </si>
  <si>
    <t xml:space="preserve">            f.write(f"| {rid} | {exst} | {note[:80]} |\n")</t>
  </si>
  <si>
    <t xml:space="preserve">    print(f"conflicts={len(conflicts)} orphans={len(orphans)} agree={agree} -&gt; {a.out}")</t>
  </si>
  <si>
    <t xml:space="preserve">    sys.exit(1 if conflicts else 0)</t>
  </si>
  <si>
    <t>if __name__ == "__main__":</t>
  </si>
  <si>
    <t xml:space="preserve">    main()</t>
  </si>
  <si>
    <r>
      <rPr>
        <sz val="12"/>
        <color theme="1"/>
        <rFont val="游ゴシック"/>
        <family val="2"/>
        <charset val="128"/>
        <scheme val="minor"/>
      </rPr>
      <t>■</t>
    </r>
    <r>
      <rPr>
        <sz val="12"/>
        <color theme="1"/>
        <rFont val="游ゴシック"/>
        <family val="2"/>
        <charset val="128"/>
        <scheme val="minor"/>
      </rPr>
      <t xml:space="preserve"> .github/workflows/status-check.yml</t>
    </r>
    <r>
      <rPr>
        <sz val="12"/>
        <color theme="1"/>
        <rFont val="游ゴシック"/>
        <family val="2"/>
        <charset val="128"/>
        <scheme val="minor"/>
      </rPr>
      <t>（任意：</t>
    </r>
    <r>
      <rPr>
        <sz val="12"/>
        <color theme="1"/>
        <rFont val="游ゴシック"/>
        <family val="2"/>
        <charset val="128"/>
        <scheme val="minor"/>
      </rPr>
      <t>PR</t>
    </r>
    <r>
      <rPr>
        <sz val="12"/>
        <color theme="1"/>
        <rFont val="游ゴシック"/>
        <family val="2"/>
        <charset val="128"/>
        <scheme val="minor"/>
      </rPr>
      <t>ごとに自動照合）</t>
    </r>
  </si>
  <si>
    <t>name: status-check</t>
  </si>
  <si>
    <t>on:</t>
  </si>
  <si>
    <t xml:space="preserve">  pull_request:</t>
  </si>
  <si>
    <t xml:space="preserve">    paths:</t>
  </si>
  <si>
    <t xml:space="preserve">      - "doc/**/*.md"</t>
  </si>
  <si>
    <t xml:space="preserve">      - "tools/shinchoku.csv"</t>
  </si>
  <si>
    <t xml:space="preserve">  workflow_dispatch:</t>
  </si>
  <si>
    <t>jobs:</t>
  </si>
  <si>
    <t xml:space="preserve">  check:</t>
  </si>
  <si>
    <t xml:space="preserve">    runs-on: ubuntu-latest</t>
  </si>
  <si>
    <t xml:space="preserve">    steps:</t>
  </si>
  <si>
    <t xml:space="preserve">      - uses: actions/checkout@v4</t>
  </si>
  <si>
    <t xml:space="preserve">      - uses: actions/setup-python@v5</t>
  </si>
  <si>
    <t xml:space="preserve">        with:</t>
  </si>
  <si>
    <t xml:space="preserve">          python-version: "3.12"</t>
  </si>
  <si>
    <t xml:space="preserve">      - name: 状況照合</t>
  </si>
  <si>
    <t xml:space="preserve">        id: check</t>
  </si>
  <si>
    <t xml:space="preserve">        continue-on-error: true</t>
  </si>
  <si>
    <t xml:space="preserve">        run: python3 tools/check_status.py --csv tools/shinchoku.csv --root doc/ --out tools/report.md</t>
  </si>
  <si>
    <t xml:space="preserve">      - name: レポートをPRコメントに貼る</t>
  </si>
  <si>
    <t xml:space="preserve">        uses: actions/github-script@v7</t>
  </si>
  <si>
    <t xml:space="preserve">          script: |</t>
  </si>
  <si>
    <t xml:space="preserve">            const fs = require('fs');</t>
  </si>
  <si>
    <t xml:space="preserve">            const body = fs.readFileSync('tools/report.md', 'utf8');</t>
  </si>
  <si>
    <t xml:space="preserve">            await github.rest.issues.createComment({</t>
  </si>
  <si>
    <t xml:space="preserve">              issue_number: context.issue.number,</t>
  </si>
  <si>
    <t xml:space="preserve">              owner: context.repo.owner,</t>
  </si>
  <si>
    <t xml:space="preserve">              repo: context.repo.repo,</t>
  </si>
  <si>
    <t xml:space="preserve">              body: body.slice(0, 65000)</t>
  </si>
  <si>
    <t xml:space="preserve">            });</t>
  </si>
  <si>
    <t xml:space="preserve">      - name: 是正候補があれば失敗させる（任意）</t>
  </si>
  <si>
    <t xml:space="preserve">        if: steps.check.outcome == 'failure'</t>
  </si>
  <si>
    <t xml:space="preserve">        run: |</t>
  </si>
  <si>
    <t xml:space="preserve">          echo "md 側に是正候補があります。tools/report.md を確認してください。"</t>
  </si>
  <si>
    <t xml:space="preserve">          exit 1</t>
  </si>
  <si>
    <t>■ CSV の作り方（進捗一覧 → tools/shinchoku.csv）</t>
  </si>
  <si>
    <t>1. 進捗一覧のフィルタを全解除する</t>
  </si>
  <si>
    <t>2. L列(ID) / H列(状況) / N列(更新メモ) / P列(要Git照合) を新規ブックにコピーし、1行目のヘッダを ID,状況,更新メモ,要Git照合 にする</t>
  </si>
  <si>
    <t>3. UTF-8（BOM付き）CSV として tools/shinchoku.csv に保存する（BOM無しでも動作する）</t>
  </si>
  <si>
    <t>4. python3 tools/check_status.py --csv tools/shinchoku.csv --root doc/ --out tools/report.md</t>
  </si>
  <si>
    <t>5. tools/report.md の「1. md 側の是正候補」を上から潰す。潰したら md を直し、Excel 側は次回同期で追従させる</t>
  </si>
  <si>
    <t>※ スクリプトは Excel を書き換えない。あくまで md 側の是正候補を出すだけ（Git が正、Excel は派生ビュー）</t>
  </si>
  <si>
    <t>初回ログイン時に利用者を自動で作る方式（JIT）は採用で決定済み。SCIM同期と併用する前提で、自動で作る項目と、既存利用者と重複したときの突合キー・初期権限をどうするか</t>
  </si>
  <si>
    <t>顧客のID基盤から利用者情報を自動同期する標準方式（SCIM）は採用で決定済み。初回ログイン時の自動作成（JIT）と併用する前提で、どちらを主とし、両者が食い違ったときどちらを優先するか</t>
  </si>
  <si>
    <t>顧客のID基盤から受け取る項目を、自分たちの項目にどう対応づけるか。アプリへ渡す通行証（JWT）の項目名をどこまで統一するかを含む</t>
  </si>
  <si>
    <t>顧客ごとの設定が互いに見えない・触れない状態をどう担保するか。Realm は分けず Organizations で分離すると決定済み。残るのは、この論理分離で足りない場合の扱い</t>
  </si>
  <si>
    <t>業界標準の認証仕様は OIDC に準拠すると決定済み。SAML は顧客のID基盤との接続にのみ使い、アプリとの間では使わない</t>
  </si>
  <si>
    <t>アプリが接続設定を自動取得する窓口（.well-known の OIDC Discovery）は公開で決定済み。残るのは、別形式（RFC 8414）も併せて出すかどうか</t>
  </si>
  <si>
    <t>通行証を検証するための鍵情報の窓口（JWKS）は公開必須で決定済み。AWS の API 入口の標準検証機能がインターネット側から取りに来るため、接続元を絞れない点をどう扱うか</t>
  </si>
  <si>
    <t>旧来方式（SAML）の接続情報が要るのは顧客のID基盤との接続だけで、アプリと基盤の間は OIDC。残るのは、顧客IdPの接続情報を自動で取り込み更新する機能が製品にあるか（無ければ運用で代替）</t>
  </si>
  <si>
    <t>利用者が作られた等の出来事をアプリへ自動で通知する必要があるか。通知するなら作り込みが必要なため、アプリ側が必要なときに取りに来る方式（非同期の取得）で代替できないかも併せて判断する</t>
  </si>
  <si>
    <t>外部から設定や利用者を操作する API をどこまで公開するか。方式は決定済みで、顧客ID基盤側に置く専用アプリでラップして公開する。そのアプリを誰が作るかが未定</t>
  </si>
  <si>
    <t>操作記録をセキュリティ監視製品（SIEM）へ送る必要があるか。送付先は設けない方針で決定済み</t>
  </si>
  <si>
    <t>設定を手作業ではなくコードで管理する方針は採用。決めるのは、どの範囲までをコード管理の対象にするか</t>
  </si>
  <si>
    <t>利用者を削除せず一時停止できる状態を用意するか。停止は無効化フラグで行い、復旧は同じフラグを戻すだけとする想定</t>
  </si>
  <si>
    <t>「この書類はこの人だけ」といった個別データ単位の細かい権限は、基盤では扱わず各アプリの判断に委ねる方針。決めるのは、その線引きをアプリ側とどう合意するか</t>
  </si>
  <si>
    <t>部署や職位などの属性を組み合わせてその場で権限を決める仕組みも、基盤では扱わずアプリの判断に委ねる方針。決めるのは、その線引きをアプリ側とどう合意するか</t>
  </si>
  <si>
    <t>通行証の検証はアプリ側だけで完結し基盤に問い合わせないため、基盤の処理能力の目標にはならない。基盤側で決めるのは鍵情報の公開窓口（JWKS）の応答目標のみ</t>
  </si>
  <si>
    <t>検証用の鍵情報を各アプリが何分間覚えておくか。ただし「鍵の入れ替え時に並走させる期間」が「全アプリの最長の記憶時間」より長いことが必須条件で、記憶時間を自分で変えられないアプリ（AWSの標準機能は最大2時間）を含めて満たす必要がある</t>
  </si>
  <si>
    <t>データベースの応答時間を独立した目標として置くか、通行証発行の応答時間の中に含めてしまうか</t>
  </si>
  <si>
    <t>データベースの拡張余地をどこまで確保するか。実規模での実測が難しいため、見積もり値で置く</t>
  </si>
  <si>
    <t>不正アクセスを入口で遮る仕組み（WAF）を適用するか。適用は必須で決定済み。設定はネットワーク監査アカウント側が管理する</t>
  </si>
  <si>
    <t>管理画面に誰がどこからアクセスできるようにするか。方針は、管理者向けの入口をインターネットから遮断し、踏み台サーバー経由に限定する</t>
  </si>
  <si>
    <t>海外展開に伴う規制対応が必要か。現時点は不要の認識だが、顧客に改めて確認する</t>
  </si>
  <si>
    <t>情報セキュリティの認証（ISMS等）の取得が必要か。不要と確認済み</t>
  </si>
  <si>
    <t>データを日本国内に限定する必要があるか。国内限定が前提だが、ROSA HCP の管理部分は Red Hat 側にあるため、これが国内限定の対象に含まれるかが別論点として残る</t>
  </si>
  <si>
    <t>誰がいつ何を見たかを後から追える状態をどこまで作るか。Keycloak の出来事を AWS 側へ運ぶ作り込みが要り、運び方によっては費用が大きく膨らむため、記録する範囲をどこまで絞るかを併せて決める</t>
  </si>
  <si>
    <t>暗号鍵をどの頻度で入れ替えるか。対象は ①通行証の署名鍵 ②保存データの暗号鍵（KMS） の2種類あり、それぞれ別に決める</t>
  </si>
  <si>
    <t>初期構築費をいくらと見るか。金額は WBS の積み上げ工数を根拠とする（基本設計の工数枠とは別枠）</t>
  </si>
  <si>
    <t>毎月の設備費をいくらまでとするか。AWS のリソースごとに ROSA 前提で詳細見積もりを作って積み上げる</t>
  </si>
  <si>
    <t>上位プランを使う場合の追加費用をどう見るか。Keycloak 採用（前提P-01）により、Cognito の上位プランを前提とした本項は不要になる可能性が高い</t>
  </si>
  <si>
    <t>災害対策のために毎月いくら追加でかけるか。設備費（NFR-COST-002）の詳細見積もりを作るときに一緒に算出する</t>
  </si>
  <si>
    <t>運用担当の人件費をいくらと見込むか。ADR-040 の運用者10名体制を金額に換算して置く</t>
  </si>
  <si>
    <t>製品サポート契約の費用をどう扱うか。固定の設備費に合算して計上する方針で、単価が未定</t>
  </si>
  <si>
    <t>何人以上の規模なら自前で構築するほうが有利になるか。概算はこの行で持ち、細かい計算はコスト見積もりシートで行う</t>
  </si>
  <si>
    <t>上位プランと比べた場合に有利になる規模の境目をどこに置くか。細かい計算はコスト見積もりシートで行う</t>
  </si>
  <si>
    <t>10万人規模で3年間の総額をいくらと見るか。Keycloak 採用により Cognito 比較を前提とした本項は不要になる可能性が高い</t>
  </si>
  <si>
    <t>50万人規模で3年間の総額をいくらと見るか。Keycloak 採用により Cognito 比較を前提とした本項は不要になる可能性が高い</t>
  </si>
  <si>
    <t>自分たちのデータをいつでも取り出せる手段を用意するか。Realm 全体の書き出しは禁止（禁則K-1）のため、単位を区切った取り出し方式を定義する必要がある</t>
  </si>
  <si>
    <t>新旧を並行稼働させて少しずつ移す方針で決定済み。顧客テナント単位で順次移していく。決めるのは並行期間の長さ</t>
  </si>
  <si>
    <t>「なぜ許可したか・なぜ拒否したか」の判断記録を、どこに・何を・どこまで細かく残すか。記録先はブランド管理APIが出力しログ3層（すぐ検索できる90日／1年／書き換え不能な7年）へ。記録内容は 対象利用者の内部番号・操作した人・対象と操作・許可か拒否か・理由・使ったルールの版。決めるのは細かさ（拒否は全件、一般の閲覧は集約 など）</t>
  </si>
  <si>
    <t>金融機関のように特に厳しい安全基準を求める顧客が来た場合に、ログイン要求の受け渡し方をより厳格な方式へ切り替える必要があるか。具体策は ①ログイン要求をURLに載せず事前にサーバー間で預ける ②ログイン要求に電子署名を付ける ③通行証を特定の端末に結びつけ盗まれても使えなくする の3つ</t>
  </si>
  <si>
    <t>企業向けID連携の新しい業界標準（OpenID IPSIE）に沿っていることを、顧客の調達条件として求められる見込みがあるか。この標準は ①1回のログインで複数サービス ②利用者の登録・削除 ③権限 ④不審な兆候の通知 ⑤ログアウト の5分野の「安全な既定値」をまとめたもの</t>
  </si>
  <si>
    <t>AIエージェントのように、人ではないが人の代理で動く主体を想定するかどうか。想定する場合、それをどのIDとして発行し、誰の権限の範囲で動かすかを決める。まず「想定する／しない」を選択肢として提示して判断する</t>
  </si>
  <si>
    <t>機械同士の通信（APIからAPIの呼び出しなど）に使うアカウントを、基盤とアプリのどちらが管理するか。現時点の想定はアプリ側管理。基盤で持つ場合は責任者を必ず登録しないと、使われていないアカウントの検知が働かない</t>
  </si>
  <si>
    <t>利用者の属性を渡すこと・国外へ出ること・利用目的について、本人の同意をどこまで形式的に管理するか。認証基盤とアプリのどちらが持つかを先に決める。基盤で持つ場合は同意の記録保存と取り消し導線が必要</t>
  </si>
  <si>
    <t>通行証を取り消しても、受け取り側のアプリに届くまで最大30分は使えてしまう。この残り時間を数秒に縮める仕組み（セッション状態の即時通知）を、どのアプリまで適用するか</t>
  </si>
  <si>
    <t>過剰な権限や、使われないまま残った権限を定期的に洗い直す枠組みを、誰が・どの頻度で回すか。対象は基盤側の利用者（Keycloak上）に限り、アプリ内部の権限はアプリ側で実施する想定</t>
  </si>
  <si>
    <t>一部の顧客の急増が他の顧客に波及しないための上限値をいくつにするか。原則は論理的な分離とし、それで足りない場合に設備そのものを分ける（物理分離）へ移す判断基準を決める。物理分離が実際に可能であることの確認を含む</t>
  </si>
  <si>
    <t>管理操作（書き込み・削除・権限変更）の記録を、ブランドごとに持つか中央の監査アカウントへ集約するか。当面は1ブランドのためブランド単位で持つ想定。保持年数を併せて決める</t>
  </si>
  <si>
    <t>盗んだパスワードで攻撃者が先に自分の認証器を登録し、正規の利用者を締め出す手口への対策をどこまでやるか。現時点は「追加認証を実装する」ことしか決まっておらず、こうした個別の攻撃手口への対策が他にもないかを洗い出す必要がある</t>
  </si>
  <si>
    <t>メールによる追加確認を採用しないため、メール経由でのリセット経路が存在しない。この状態で本人が復旧する手段を何にするか。あわせて、そもそもメールによる追加確認で良いのかも顧客に確認する</t>
  </si>
  <si>
    <t>海外の保守要員がデータを閲覧しうる点について、法令上の扱いを整理し合意する。ROSA を使う前提での論点のため、製品選定が覆ると再検討が必要</t>
  </si>
  <si>
    <t>顧客のID基盤を1000件つないでも実際に耐えられるかを、動かして測る。実測が難しいため仮定値で設計を進め、後から検証する</t>
  </si>
  <si>
    <t>設備をいくつのAWSアカウントに分けるか。業務アプリを同じアカウントに置かない方針は決定済み。残るのは、顧客ID基盤側のKeycloakをどう配置するか</t>
  </si>
  <si>
    <t>何人規模の利用を想定して設備の大きさを決めるか。初回リリース時は100〜500万人、最終的には1,000万人規模を見込む。設備の上限設計は1,000万人で行い、初期の実配備は100〜500万人相当に絞る</t>
  </si>
  <si>
    <t>大きな障害からの復旧をどのやり方で行い、何日で元に戻すか。現行は「大阪に平時は設備を置かず、被災時にその都度作り直す（手動・約14日）」。ただし設計側の復旧目標（1日・3日）とは開きが大きく、方式そのものを顧客の許容時間に合わせて選び直す必要がある</t>
  </si>
  <si>
    <t>⚠ 要ヒアリング：現行方式（手動・約14日）は設計想定の復旧目標と不整合。顧客回答で方式を再選定するまで確定扱いにしない</t>
  </si>
  <si>
    <t>大きな障害が起きたときの切替方式と復旧目標を、顧客・関係組織と合意する。切替を手動とする点は設計側の想定として置いているが、合意する数値（復旧時間・データ喪失量）はNFR-DR-001/002のヒアリング回答が入らないと固まらない</t>
  </si>
  <si>
    <t>災害対策をコールド化する方向で、ADR-051の全面改訂・大阪の常時費用の削除・復旧手順書の改訂を行う</t>
  </si>
  <si>
    <t>着手前にNFR-DR-001/002/003とP-05の顧客回答を待つ。回答次第でコールド化そのものが覆るため、先行着手すると手戻りになる</t>
  </si>
  <si>
    <t>⚠ 要ヒアリング：タスクの前提（コールド化）自体が顧客回答で覆る可能性。8人日の着手判断を保留</t>
  </si>
  <si>
    <t>【なぜ聞くか】アプリ間で通行証を引き換える仕組みは、必要な用途がなければ攻撃面を増やすだけになるため、実際の用途の有無を先に確認する
【資料に載せる内容】あるシステム向けの通行証を別システム向けに引き換える仕組みの用途（サービス間連携で利用者の権限を保ったまま下流APIを呼ぶ）と、使わない場合の代替（各APIに直接権限を渡す）の比較
【質問】システム間で利用者の文脈を引き継いで別APIを呼ぶ場面はありますか
【選択肢】
① ある（引き換えの仕組みが必要）
② ない（不要）
③ 将来的にありそう</t>
  </si>
  <si>
    <t>【なぜ聞くか】世代数だけパスワード履歴を保存する必要があり、保存方式と件数がデータベース設計に直結するため
【質問】過去のパスワードの再利用を禁止しますか。禁止する場合、何世代さかのぼりますか。
【選択肢】
① 禁止しない
② 直近3世代
③ 直近5世代（推奨・現行設計値）
④ 直近10世代以上
【補足】世代数を増やすほど利用者の負担が増えます。多要素認証を必須化すればこの要件の重要度は下がります</t>
  </si>
  <si>
    <t>【なぜ聞くか】停止の回数と解除時間は、正規利用者を締め出す事故と、総当たり攻撃への耐性の板挟みになる。業務影響を知らないと決められないため
【質問】ログイン失敗が続いたときアカウントを一時停止しますか。何回で止め、何分で自動解除しますか。
【選択肢】
回数=① 3回
② 5回（推奨・現行設計値）
③ 10回
解除=① 15分
② 30分（推奨）
③ 手動解除のみ
【補足】恒久ロックは攻撃者による意図的なサービス妨害を招くため採用していません</t>
  </si>
  <si>
    <t>【なぜ聞くか】定期変更は現在は非推奨とされる一方、社内規程で義務づけられている企業が多い。規程の有無で結論が反転するため
【質問】パスワードに有効期限を設けて定期変更を求めますか。
【選択肢】
① 設けない（推奨。多要素認証の必須化で代替）
② 90日
③ 180日
④ 365日
【補足】国際的なガイドラインは定期変更を非推奨としています。社内規程で必須の場合のみ設定します</t>
  </si>
  <si>
    <t>【なぜ聞くか】自己再設定を許すと問い合わせは激減するが、本人確認の方法によっては乗っ取りの入口になる。許容できる本人確認水準を確認する必要があるため
【質問】利用者が自分でパスワードを再設定できるようにしますか。本人確認の方法は何にしますか。
【選択肢】
① 提供しない（管理者リセットのみ）
② メール送付リンク
③ 予備コード
④ 登録済みの認証手段による再認証（推奨）
【補足】メールを持たない利用者がいるため
②単独では全員をカバーできません</t>
  </si>
  <si>
    <t>【なぜ聞くか】初回変更を強制すると初期パスワードの配布事故を防げるが、大量移行時は利用者全員に変更作業が発生する。移行方式と併せて決める必要があるため
【質問】初回ログイン時にパスワードの変更を強制しますか。
【選択肢】
① 強制する（推奨・現行設計値）
② 強制しない
③ 一定期間の猶予を設ける
【補足】強制する対象は自社側で管理する利用者に限られます。顧客側ID基盤を使う利用者は対象外です</t>
  </si>
  <si>
    <t>【なぜ聞くか】既存サービスとの併存が必要なら移行期間中は二重構成になり、費用と工数が増える。現在の利用状況を確認する必要があるため
【質問】既存の認証サービス（Auth0）と連携する必要はありますか。
【選択肢】
① 必要（現在利用中のため継続）
② 不要（他方式へ移行）
③ 移行期間のみ必要
【補足】検証では接続確認済みです。継続する場合は費用と契約の扱いも確認が必要です</t>
  </si>
  <si>
    <t>【なぜ聞くか】対象顧客の割合が接続数の見積りを左右し、設備規模と接続作業の工数に直結するため
【質問】顧客が使っているMicrosoftのID基盤と連携しますか。対象となる顧客はどの程度の割合ですか。
【選択肢】
① 必要（多数）
② 必要（一部のみ）
③ 不要
【補足】最優先の確認事項です。実機での差分検証には試用環境の確保が必要で、着手時期に影響します</t>
  </si>
  <si>
    <t>【なぜ聞くか】接続する製品ごとに属性の持ち方と設定手順が異なり、検証工数が積み上がるため
【質問】顧客が使っているOktaと連携しますか。
【選択肢】
① 必要
② 不要
③ 将来的に必要
【補足】接続の仕組みはMicrosoftと共通ですが、受け取る情報の書式に差があるため実機検証が別途必要です</t>
  </si>
  <si>
    <t>【なぜ聞くか】個人向けアカウントを許すかどうかは、退職者の遮断が顧客側で効かなくなる論点を含むため
【質問】Google Workspaceのアカウントでログインできるようにしますか。
【選択肢】
① 必要
② 不要
③ 将来的に必要
【補足】共通の接続規約でカバーできる見込みで、個別の作り込みは想定していません</t>
  </si>
  <si>
    <t>【なぜ聞くか】顧客側が旧来方式しか対応していない場合、こちらの受け入れ構成が変わり工数が増える。分布を把握する必要があるため
【資料に載せる内容】旧来方式（SAML）と新方式（OIDC）の違い、顧客側ID基盤が旧来方式のみ対応の場合の受け入れ方
【質問】顧客のID基盤で旧来方式しか対応していないものはありますか。何社程度ですか
【選択肢】
① ある（受け入れ必須）
② ない
③ 不明（調査が必要）
【補足】受け入れる場合、接続設定の雛形づくりが追加で必要です</t>
  </si>
  <si>
    <t>【なぜ聞くか】こちらが旧来方式の提供元として振る舞う構成は追加開発を伴うため、必要性の有無で工数が大きく変わるため
【資料に載せる内容】こちらが旧来方式のID提供元として振る舞う構成（業務システム側が旧来方式しか対応していない場合に必要）と、対象となるシステムの例
【質問】旧来方式でのみ接続できる業務システムはありますか
【選択肢】
① ある（対応必須。既に業務システム連携で想定済み）
② ない
③ 不明</t>
  </si>
  <si>
    <t>【なぜ聞くか】顧客ごとに項目の対応づけが異なると設定を個別に持つ必要があり、接続作業の自動化可否が変わるため
【質問】顧客側のID基盤から受け取る項目を、こちらのどの項目に対応づけますか。顧客ごとに違いますか。
【選択肢】
① 標準の対応表で統一
② 顧客ごとに個別定義（運用負荷増）
③ 標準＋例外のみ個別（推奨）
【補足】受け取る項目は素通しせず、こちらの正しい形に変換してからアプリへ渡す方針です</t>
  </si>
  <si>
    <t>【なぜ聞くか】開通までの許容日数が、外部通信の許可申請を都度行うか事前一括にするかの方式選択を決めるため
【質問】新しい顧客を追加するときの申請から開通までの手順と、許容できる所要日数はどの程度ですか。
【選択肢】
① 翌営業日以内（現行設計値）
② 3営業日以内
③ 1週間以内
【補足】自社側の作業は2〜3時間で完了しますが、外部通信の許可申請を他組織へ都度依頼する場合はその応答時間が律速になります</t>
  </si>
  <si>
    <t>【なぜ聞くか】所属の判定方式によってログイン画面の作りが変わり、顧客ごとの画面が必要かどうかも決まるため
【質問】ログイン画面で所属を利用者に選ばせますか、それともメールアドレスやIDから自動判定しますか。
【選択肢】
① 自動判定のみ（推奨・現行設計値）
② 選択させる
③ 自動判定＋失敗時のみ選択
【補足】接続先が1000件を超えるため一覧表示は性能上成立しません。自動判定が前提です</t>
  </si>
  <si>
    <t>【なぜ聞くか】顧客別ドメインを許すと証明書の管理が顧客数だけ増え、運用負荷と費用が跳ね上がるため
【質問】顧客ごとの独自ドメイン名でログイン画面を出す必要はありますか。
【選択肢】
① 不要（共通ドメイン・現行設計値）
② 必要（顧客ごとに独自ドメイン）
③ 一部の大口顧客のみ
【補足】必要な場合は証明書の管理と画面の出し分けが追加で発生します</t>
  </si>
  <si>
    <t>【なぜ聞くか】認証アプリを用意しない場合、残る手段がSMSかメールになり費用と安全性の前提が変わるため
【質問】スマホの認証アプリによる追加確認を用意しますか。
【選択肢】
① 用意する（推奨・現行設計値）
② 用意しない
③ 特定の利用者のみ
【補足】指紋・顔認証が使えない場合の代替手段として位置づけています</t>
  </si>
  <si>
    <t>【なぜ聞くか】パスワード不要のログインは対応端末が限られる。全利用者に必須化できるかは端末の普及状況次第のため
【質問】指紋・顔認証やセキュリティキーを使ったパスワード不要のログインを用意しますか。
【選択肢】
① 全利用者に提供（推奨）
② 管理者のみ必須
③ 用意しない
【補足】現行設計では管理者は必須です。フィッシング攻撃に耐えられる唯一の方式です</t>
  </si>
  <si>
    <t>【なぜ聞くか】SMSは1通ごとに費用が発生し、1000万人規模では金額が大きい。また安全性も他方式に劣るため
【質問】SMSによる追加確認を用意しますか。
【選択肢】
① 用意しない（推奨・現行設計値）
② 用意する（費用と安全性の低下を許容）
【補足】国際的に非推奨の方式で、電話番号という個人情報の保有も発生します。送信費用も利用者数に比例します</t>
  </si>
  <si>
    <t>【なぜ聞くか】本基盤は業務用メールを持たない利用者を正式な前提としており、メール方式を採ると届かない層が生じるため
【質問】メールによる追加確認を用意しますか。
【選択肢】
① 用意しない（現行設計値）
② 用意する
【補足】メールアドレスを持たない利用者を受け入れる前提と矛盾します。用意する場合はその前提の見直しが必要です</t>
  </si>
  <si>
    <t>【なぜ聞くか】予備コードがないと端末紛失時の復旧が管理者対応のみになり、問い合わせ件数と運用工数が跳ね上がるため
【質問】端末を失くしたとき用の予備コードを発行しますか。
【選択肢】
① 発行する（推奨・現行設計値）
② 発行せず管理者リセットのみ
【補足】メールによる復旧を採用しない場合、予備コードが唯一の自己救済手段になります</t>
  </si>
  <si>
    <t>【なぜ聞くか】記憶期間が長いほど利用者は楽になるが、端末が共用の場合は他人がそのまま入れてしまうため
【質問】一度確認した端末を記憶して次回以降の追加確認を省きますか。記憶期間は何日にしますか。
【選択肢】
① 記憶しない（毎回確認）
② 30日
③ 90日
【補足】利便性は上がりますが、端末が盗まれた場合の露出期間が伸びます。共用端末では有効にすべきではありません</t>
  </si>
  <si>
    <t>【なぜ聞くか】顧客側ID基盤を経由する場合、こちら側だけでは状態を制御できず、実現できる範囲が変わるため
【質問】顧客側のID基盤を経由した場合も、一度のログインで複数アプリを使い回せるようにしますか。
【選択肢】
① する（推奨・現行設計値）
② しない（アプリごとにログイン）
【補足】使い回しの有効期間は無操作1時間・最長24時間が現行設計値です</t>
  </si>
  <si>
    <t>【なぜ聞くか】アプリ内だけのログアウトを用意しないと、共用端末で前の利用者の状態が残る事故につながるため
【質問】ログアウト操作でアプリ内の状態だけを消す動作を用意しますか。
【選択肢】
① 用意する（必須・現行設計値）
② 用意しない
【補足】全アプリに実装を義務付ける項目です。アプリ開発者への周知が必要です</t>
  </si>
  <si>
    <t>【なぜ聞くか】基盤側の状態を消さないと、ログアウトしたつもりでも再度アプリを開くと入れてしまうため
【質問】ログアウト時に認証基盤側のログイン状態も併せて消しますか。
【選択肢】
① 消す（推奨・現行設計値）
② 消さない
【補足】消さない場合、ログアウト後に再度アクセスすると自動的に再ログインされ、利用者に「ログアウトできていない」と受け取られます</t>
  </si>
  <si>
    <t>【なぜ聞くか】顧客側ID基盤まで連動させるには相手側の対応が必要で、こちらだけでは完結しないため
【質問】ログアウト時に顧客側のID基盤のログイン状態まで消しますか。どこまで連動させますか。
【選択肢】
① 連動しない（顧客側は維持・現行の既定値）
② 連動する（顧客ごとに選択可）
③ 全顧客で連動
【補足】連動すると顧客の他システムからも一斉にログアウトされるため、顧客側の合意が必要です</t>
  </si>
  <si>
    <t>【なぜ聞くか】ブラウザ経由の一斉ログアウトは成功率が環境に左右される。確実性を求める場合はアプリ側の実装が必要になるため
【資料に載せる内容】ブラウザ経由の一斉ログアウトと、サーバー間通信での通知の違い（成功率・実装負荷・アプリ側の要件）
【質問】ブラウザ経由の方式を使いますか
【選択肢】
① 使わない（現行設計値。サーバー間通信で代替）
② 使う
【補足】ブラウザ経由は1つのアプリが応答しないと連鎖が壊れるため採用していません</t>
  </si>
  <si>
    <t>【なぜ聞くか】サーバー間通知はアプリ側に受信窓口の実装を求めるため、アプリチームの工数に直結するため
【資料に載せる内容】サーバー間通信でのログアウト通知の仕組みと、アプリ側に必要な実装（受信窓口の用意）
【質問】各アプリに受信窓口の実装を求めてよいですか
【選択肢】
① 求める（現行設計値。全アプリ必須）
② 画面だけのアプリは免除（最大30分の遅れを許容）
③ 求めない
【補足】画面だけの構成のアプリは技術的に受信できません</t>
  </si>
  <si>
    <t>【なぜ聞くか】無操作時間の設定は業務実態（席を離れる頻度・共用端末の有無）で適切値が変わるため
【資料に載せる内容】無操作での自動ログアウト時間の設定値と、業務実態への影響（席を離れる頻度・共用端末の有無）
【質問】無操作何分で自動ログアウトしますか。最長の連続利用は何時間まで許容しますか
【選択肢】
無操作=① 30分
② 1時間（現行設計値）
③ 8時間
最長=① 8時間
② 24時間（現行設計値）</t>
  </si>
  <si>
    <t>【なぜ聞くか】取り消しても受け取り側に届くまで最大30分残る。この限界を許容できるかで追加実装の要否が決まるため
【資料に載せる内容】発行済みの通行証を有効期限前に取り消す仕組みの限界（受け取り側がオフラインで検証するため最大30分の遅れが残る）と、その緩和策
【質問】退職者の即時遮断はどの程度の速さが必要ですか
【選択肢】
① 数分以内（追加の仕組みが必要）
② 30分以内（現行設計値）
③ 翌営業日まで許容</t>
  </si>
  <si>
    <t>【なぜ聞くか】強制ログアウトの粒度によって管理画面の作りと承認フローが変わるため
【資料に載せる内容】管理者による強制ログアウトの3つの粒度（個別・顧客単位・全体）と、それぞれの操作画面と承認フロー
【質問】どの粒度を誰が実行できるようにしますか
【選択肢】
① 個別のみ顧客管理者、他は自社（現行設計値）
② 顧客単位も顧客管理者に開放
③ すべて自社のみ</t>
  </si>
  <si>
    <t>【なぜ聞くか】通行証に載せる方式は肥大化を招き、API照会方式は応答時間を増やす。どちらを許容するかで設計が分かれるため
【資料に載せる内容】役割情報を通行証に載せる方式とAPI照会で配る方式の比較（通行証の肥大化・剥奪の即時性・アプリ側の実装負荷）
【質問】役割情報を通行証に載せますか
【選択肢】
① 載せない（推奨・現行設計値。API照会で配る）
② 管理系のみ載せる（現行設計値）
③ 全アプリに載せる</t>
  </si>
  <si>
    <t>【なぜ聞くか】役割に上下関係を持たせると設計が複雑になる。持たせない運用で足りるかを確認する必要があるため
【資料に載せる内容】役割に上下関係を持たせる場合の設計例と、持たせない場合の運用（役割を個別に割り当てる）の比較
【質問】役割に上下関係（上位が下位を兼ねる）が必要ですか
【選択肢】
① 不要（個別割当で運用）
② 必要（階層を定義）
③ 一部の役割のみ</t>
  </si>
  <si>
    <t>【なぜ聞くか】顧客固有の項目を通行証に載せると個人情報の残留リスクとサイズ上限の問題が生じるため
【資料に載せる内容】顧客固有の項目を通行証に追加する場合の規約（命名・個人情報の審査・サイズ上限）と、追加しない場合の代替（API照会）
【質問】顧客固有の項目を通行証に載せる必要はありますか
【選択肢】
① 不要（API照会で対応）
② 必要（審査のうえ個別に許可・現行設計値）
③ 自由に追加可（非推奨）</t>
  </si>
  <si>
    <t>【なぜ聞くか】独自項目は事前宣言が必要で、宣言外の項目は保存されない。顧客が持ち込む項目を把握しないと設計できないため
【資料に載せる内容】標準で用意される利用者項目の一覧と、独自項目を追加する際の制約（事前宣言が必要・宣言外は保存不可）
【質問】標準項目以外に持たせたい項目は何ですか
【選択肢】
① 現行の宣言済み項目で足りる
② 追加が必要（項目名を指定）
③ 顧客ごとに異なる（拡張枠で受ける）</t>
  </si>
  <si>
    <t>【なぜ聞くか】削除の段階と法令上の保持義務が衝突するため、どこまで消してどこを残すかの境界を合意する必要があるため
【資料に載せる内容】退職・解約時の削除の3段階（認証遮断・停止処理・完全削除）と、法令上の保持義務との関係
【質問】退職・解約時に利用者情報と関連データをどこまで消しますか。保存期間は何年ですか
【選択肢】
① 停止処理のみで完全削除しない（現行設計値）
② 一定期間後に完全削除（年数を指定）
③ 即時完全削除
【補足】監査記録は法令上の根拠により7年保持する設計です</t>
  </si>
  <si>
    <t>【なぜ聞くか】権限の分け方を細かくしすぎると定義が破綻する。実際に必要な粒度を確認する必要があるため
【資料に載せる内容】管理画面の操作権限の分け方（対象×操作の2軸）と、1件単位の指定を許さない理由（権限定義が爆発する）
【質問】管理画面の操作権限をどこまで細かく分ける必要がありますか
【選択肢】
① 対象×操作の2軸まで（現行設計値）
② 部署単位の制限も必要
③ 1件単位の指定も必要（別方式が必要）</t>
  </si>
  <si>
    <t>【なぜ聞くか】顧客に見せる範囲を決めないと、他社の情報が見えてしまう事故につながるため
【資料に載せる内容】操作記録の閲覧画面の例と、顧客に見せる範囲（自社テナント分のみ・マスキング済み）の考え方
【質問】誰がどの画面で操作記録を見られるようにしますか。保持期間は何年ですか
【選択肢】
閲覧=① 顧客管理者は自テナント分のみ（現行設計値）
② 自社運用のみ
保持=① 1年（現行設計値）
② 3年
③ 7年</t>
  </si>
  <si>
    <t>【なぜ聞くか】記録範囲によってログ量と費用が変わり、構成のずれ検知の精度も変わるため
【資料に載せる内容】設定変更履歴の記録範囲（誰が・いつ・何を・変更前後）と、構成のずれ検知との関係
【質問】設定変更の履歴をどこまで残し、いつまで保存しますか
【選択肢】
① 全変更を7年（現行設計値）
② 主要な変更のみ1年
③ 規定なし</t>
  </si>
  <si>
    <t>【なぜ聞くか】役割分担と一時昇格の仕組みは、運用体制の人数と当番設計に直結するため
【資料に載せる内容】運用担当者の役割分担の例（閲覧のみ・変更可・緊急対応）と、一時昇格の仕組み
【質問】運用担当者側の役割をどう分けますか。何名体制ですか
【選択肢】
① 3段階（閲覧・変更・緊急）＋一時昇格（現行設計値）
② 2段階
③ 分けない
【補足】人数と体制は運用工数の見積りに直結します</t>
  </si>
  <si>
    <t>【なぜ聞くか】顧客自身にどこまで任せるかで、管理画面の作り込み量と問い合わせ件数が大きく変わるため
【資料に載せる内容】顧客自身に利用者管理を任せる範囲の選択肢（利用者の追加削除のみ・権限付与も・接続設定も）と、それぞれのリスク
【質問】顧客に自社の利用者管理をどこまで任せますか
【選択肢】
① 利用者の追加削除と権限付与まで（現行設計値）
② 追加削除のみ
③ 任せない（すべて自社で代行）</t>
  </si>
  <si>
    <t>【なぜ聞くか】ブランディング方式によって顧客ごとの設定管理と証明書運用の負荷が変わるため
【資料に載せる内容】ログイン画面のブランディングの3方式（統一テーマ・顧客別テーマ・顧客別ドメイン）と、それぞれの実現時期と制約
【質問】ログイン画面を顧客ごとに変える必要はありますか
【選択肢】
① 統一テーマ1本（現行設計値。顧客名のみテキスト表示）
② 顧客別のロゴと配色
③ 顧客別の独自ドメイン
【補足】最初の画面は顧客が未確定のため、原理的に顧客別の表示ができません</t>
  </si>
  <si>
    <t>【なぜ聞くか】通知を作り込むかアプリ側が取りに来るかで、開発量と運用の複雑さが大きく変わるため
【資料に載せる内容】出来事通知の仕組み（配信7種・署名・再送・待避）と、アプリ側に必要な受信実装。同期取得との比較
【質問】認証基盤からアプリへの通知は必要ですか。それともアプリ側から取りに来る形でよいですか
【選択肢】
① 通知が必要（受信実装をアプリに求める）
② アプリから取りに来る（通知不要）
③ 両方用意
【補足】通知を選ぶ場合、アプリ側の実装と運用（署名検証・重複排除）が発生します</t>
  </si>
  <si>
    <t>【なぜ聞くか】目標値を厳しくするほど設備規模と費用が増える。体感上どこまで必要かを確認する必要があるため
【資料に載せる内容】ログイン応答時間の目標値の考え方（利用者の体感・SLA・設備規模との関係）と、測定方法
【質問】ログインが何秒以内に返れば合格としますか
【選択肢】
① 0.5秒以内（現行設計値）
② 1秒以内
③ 2秒以内
【補足】目標を短くするほど設備規模と費用が増えます</t>
  </si>
  <si>
    <t>【なぜ聞くか】同時ログイン数の想定が設備の台数を直接決めるため
【資料に載せる内容】同時ログイン数の想定の立て方（利用者数×同時利用率×ピーク係数）と、現行の試算前提
【質問】同時に何件のログインまで耐える必要がありますか
【選択肢】
① 毎秒500件
② 毎秒1000件（現行設計の前提）
③ 毎秒3000件
【補足】朝の始業時に集中する業務形態かどうかで大きく変わります</t>
  </si>
  <si>
    <t>【なぜ聞くか】入口の上限値は、一部の顧客の急増が他社に波及するのを防ぐ仕組み。上限に達したときの挙動を合意しておく必要があるため
【資料に載せる内容】入口での受付上限（流量制限）の目的（一部の顧客の急増が他に波及するのを防ぐ）と、上限に達したときの挙動
【質問】入口での受付上限をいくつにしますか
【選択肢】
① 顧客ごとに5分あたり2000件（現行の要求値）
② 全体で毎秒1000件
③ 制限しない（非推奨）</t>
  </si>
  <si>
    <t>【なぜ聞くか】山のパターン（始業時・月初・締め日）が分かれば、自動増減を予兆型にできて費用を抑えられるため
【資料に載せる内容】混み合う時間帯の想定パターン（始業時・月初・締め日）と、山を吸収する手段（自動増減・予兆による事前増設）
【質問】ログインが集中する時間帯と、その倍率はどの程度ですか
【選択肢】
① 始業時に平常の5倍
② 10倍
③ 特に集中しない
【補足】自社側の受け皿は起動が遅いため、予兆による事前増設が必要です</t>
  </si>
  <si>
    <t>【なぜ聞くか】想定人数が設備の上限設計を決め、後から広げるのが難しい部分があるため
【質問】利用者数の上限をいくらと想定して設計しますか。現在の実績と3年後の見込みを教えてください。
【選択肢】
① 100万人以下
② 100〜500万人
③ 500〜1000万人（現行設計の上限）
【補足】最重要の確認事項です。この値で設備規模と費用が決まります。上限を大きく取ると初期費用が増えます</t>
  </si>
  <si>
    <t>【なぜ聞くか】同時ログイン状態の人数がキャッシュ容量とデータベース規模を決めるため
【資料に載せる内容】同時ログイン状態の人数の見積り方と、キャッシュ容量・設備規模への影響
【質問】同時にログイン状態になる人数を最大いくらと見込みますか
【選択肢】
① 利用者数の5%
② 10%
③ 20%
【補足】現行はキャッシュを10万件で初期設定しています</t>
  </si>
  <si>
    <t>【なぜ聞くか】接続する顧客ID基盤が1000件を超えると一覧表示が成立しなくなるなど、設計上の分岐点があるため
【資料に載せる内容】接続する顧客ID基盤の数が性能に与える影響（1000件超で一覧表示が不成立・キャッシュ設計が変わる）と、必須対策7点
【質問】接続する顧客の数を最大いくらと見込みますか
【選択肢】
① 100社以下
② 500社
③ 1000社（現行設計の前提）
④ 2000社以上
【補足】この数で設計の前提が大きく変わります</t>
  </si>
  <si>
    <t>【なぜ聞くか】開通までの日数が、外部通信の許可申請を都度行うか事前一括にするかを決めるため
【質問】新しい顧客の接続を、依頼から何日で開通させる必要がありますか。
【選択肢】
① 翌営業日以内（現行設計値）
② 3営業日以内
③ 1週間以内
【補足】外部通信の許可運用を自社に委任してもらえれば翌営業日は成立します。都度申請方式では成立しません</t>
  </si>
  <si>
    <t>【なぜ聞くか】約束する稼働率によって冗長構成の段数と監視体制が変わり、費用が段階的に増えるため
【質問】何％の稼働率を顧客に約束しますか。約束を下回ったときの扱いはどうしますか。
【選択肢】
稼働率=① 99.5%
② 99.9%（現行設計値）
③ 99.95%
下回った場合=① 返金
② 報告のみ
③ 規定なし
【補足】最重要の確認事項です。律速はインターネット出入口を管理する他組織側で、その可用性が上限になります</t>
  </si>
  <si>
    <t>【なぜ聞くか】計画停止の窓が取れないと、無停止で当てられない製品更新が実施できなくなるため
【質問】計画的な停止作業をいつ・どのくらいの頻度で行いますか。事前通知はいつ出しますか。
【選択肢】
頻度=① 月1回（現行設計値）
② 四半期1回
時間帯=① 深夜2〜4時（現行設計値）
② 土日
通知=① 7日前（現行設計値）
② 14日前
【補足】停止時間は稼働率の計算から除外する前提です</t>
  </si>
  <si>
    <t>【なぜ聞くか】保持日数が現行の仕組みの上限（35日）を超えると、別方式の追加が必要になり費用が増えるため
【質問】バックアップを何日分保持しますか。
【選択肢】
① 7日
② 35日（現行の仕組みの上限）
③ それ以上（別方式が必要）
【補足】35日を超える保持は定期取得の控えを別に保管する方式になり、費用が追加で発生します</t>
  </si>
  <si>
    <t>【なぜ聞くか】遡れる範囲は保管費用に比例する。どこまで必要かを確認する必要があるため
【質問】任意の時点まで巻き戻せる仕組みを用意しますか。遡れる範囲は何日にしますか。
【選択肢】
① 用意する・7日
② 用意する・35日（推奨・現行設計値）
③ 用意しない
【補足】誤削除やランサム被害からの復旧の主たる手段です。ただしこの仕組み自体は攻撃者に消される可能性があるため、変更不能な控えを併設します</t>
  </si>
  <si>
    <t>【なぜ聞くか】別地域への複製は災害対策の前提だが、複製の頻度がそのままデータ喪失量になるため
【質問】バックアップを別の地域にも複製しますか。
【選択肢】
① する（推奨・現行設計値）
② しない
【補足】地域全体の災害時に復旧できるかを左右します。複製しない場合、その地域の障害でデータを失います</t>
  </si>
  <si>
    <t>【なぜ聞くか】訓練の頻度と参加者が運用体制の工数に直結するため
【質問】復旧手順の訓練をどの頻度で行いますか。誰が参加しますか。
【選択肢】
頻度=① 年2回（推奨・現行設計値）
② 年1回
③ 実施しない
参加=① 自社のみ
② 自社＋他組織（推奨）
③ 顧客も含む
【補足】復旧目標を実証するには他組織の参加が必要です。参加の合意が取れないと目標を証明できません</t>
  </si>
  <si>
    <t>【なぜ聞くか】地域切替でログイン状態を維持するには常時複製が必要になり、費用が大きく増えるため
【質問】地域切替のとき、利用者のログイン状態を維持しますか、再ログインを求めますか。
【選択肢】
① 再ログインを求める（現行設計値）
② 維持する（実現には常時待機が必要で費用が大幅増）
【補足】現行の手動復旧方式では維持できません。「再ログインだけで業務再開できる」ことを説明線としています</t>
  </si>
  <si>
    <t>【なぜ聞くか】署名方式によって鍵の長さ・検証速度・アプリ側の互換性が変わり、後から変えるのが難しいため
【資料に載せる内容】通行証の署名方式の選択肢（楕円曲線・RSA）と、鍵の長さ・検証速度・互換性の比較
【質問】署名方式に指定はありますか
【選択肢】
① 楕円曲線ES256（推奨・現行設計値）
② RSA（旧来のアプリとの互換性重視）
③ 指定なし</t>
  </si>
  <si>
    <t>【なぜ聞くか】有効時間を短くすると取り消し漏れの時間は縮むが、発行回数が増えて負荷が上がるため
【資料に載せる内容】通行証の有効時間を短くする効果（取り消し漏れ時間の縮小）と長くする効果（負荷の軽減）のトレードオフ
【質問】通行証の有効時間を何分にしますか
【選択肢】
① 15分
② 30分（現行設計値）
③ 60分
【補足】短くすると更新の頻度が上がり、認証基盤への負荷が増えます</t>
  </si>
  <si>
    <t>【なぜ聞くか】「30日」は設定上限であって実際に30日使い続けられる意味ではない。認識を合わせないと期待違いが生じるため
【資料に載せる内容】再ログインなしで使い続けられる期間の設計と、「30日」という表現の実際の意味（設定上限であり実効は最長24時間）
【質問】再ログインなしで使い続けられる期間を何日にしますか
【選択肢】
① 1日（現行の実効値）
② 7日
③ 30日（別方式が必要）
【補足】要件文の「30日」は設定可能上限の意味で、実効値と乖離しています。文面の整理が必要です</t>
  </si>
  <si>
    <t>【なぜ聞くか】本人確認情報の有効時間は通行証と別物で、アプリ側の実装に影響するため
【資料に載せる内容】本人確認情報の有効時間と、通行証との違い（アプリが本人を識別するための情報）
【質問】本人確認情報の有効時間を何分にしますか
【選択肢】
① 通行証と同じ30分（現行設計値）
② 5分（受け渡し直後のみ有効）
③ 60分</t>
  </si>
  <si>
    <t>【なぜ聞くか】引換券を毎回作り替える方式は盗難検知ができる反面、通信断で正規利用者が締め出される場合があるため
【資料に載せる内容】更新のたびに引換券を作り替える方式の効果（盗まれた引換券の再利用を検知して一族ごと停止できる）と、実装上の注意
【質問】この方式を採用しますか
【選択肢】
① 採用する（推奨・現行設計値）
② 採用しない
【補足】採用しない場合、引換券が盗まれても検知できません</t>
  </si>
  <si>
    <t>【なぜ聞くか】取り消しても受け取り側に伝播するまで最大30分残る。この限界を許容できるかで追加実装の要否が決まるため
【資料に載せる内容】発行済みの通行証を取り消す仕組みの3粒度と、受け取り側に伝播しない限界（最大30分）
【質問】取り消しの仕組みを用意しますか。即時性はどこまで必要ですか
【選択肢】
① 用意する・30分の遅れを許容（現行設計値）
② 用意する・数秒を求める（追加の仕組みが必要）
③ 不要</t>
  </si>
  <si>
    <t>【なぜ聞くか】パスワード保管の強度設定を上げるほど安全だが、ログイン応答時間が延びて設備も増えるため
【資料に載せる内容】パスワード保管方式の比較（計算コストと安全性）と、強度設定値が応答時間に与える影響
【質問】保管方式と強度に指定はありますか
【選択肢】
① 製品の既定値（現行設計値）
② より高強度（応答時間が伸びる）
③ 社内規程に準拠（規程を提示）</t>
  </si>
  <si>
    <t>【なぜ聞くか】総当たり対策の方式ごとに副作用が異なり、正規利用者を巻き込む度合いが変わるため
【資料に載せる内容】総当たり攻撃への対処方式の選択肢（回数制限・遅延挿入・IP単位の制限）と、それぞれの副作用
【質問】どの方式を採用しますか
【選択肢】
① 回数制限＋一時ロック（現行設計値）
② 遅延挿入
③ 併用
【補足】アカウントの存在を推測されない工夫（応答の均一化）も併せて必要です</t>
  </si>
  <si>
    <t>【なぜ聞くか】漏えいパスワードの照合は外部サービスへの問い合わせを伴う。平文は送らない仕組みだが、外部通信の可否を確認する必要があるため
【資料に載せる内容】世の中に漏れているパスワードを拒否する仕組み（先頭数桁のみ送信する照合方式で平文は送らない）と、外部サービス障害時の挙動
【質問】この仕組みを採用しますか
【選択肢】
① 採用する（推奨・現行設計値）
② 採用しない
【補足】外部サービスの障害時は照合をスキップしてログイン可用性を優先する設計です</t>
  </si>
  <si>
    <t>【なぜ聞くか】疑似攻撃検査は外部委託が前提で、対象範囲と頻度がそのまま費用になるため
【資料に載せる内容】疑似攻撃検査の実施方式（外部ベンダー委託）と、対象範囲・頻度・費用の目安
【質問】疑似攻撃検査を行いますか。頻度と実施者はどうしますか
【選択肢】
頻度=① 年1回
② リリース前のみ
③ 実施しない
実施者=① 外部ベンダー（推奨）
② 社内
【補足】費用とスケジュールが別途必要で、テスト工程の15人日に含まれます</t>
  </si>
  <si>
    <t>【なぜ聞くか】検査頻度と合格基準が運用の当番設計と対処期限に直結するため
【資料に載せる内容】弱点の自動検査の頻度と合格基準（重大は24時間・高は7日で対処）
【質問】自動検査の頻度と合格基準をどうしますか
【選択肢】
頻度=① 毎日
② 毎週
③ リリース時のみ
基準=① 重大24時間・高7日（現行設計値）
② より緩やか</t>
  </si>
  <si>
    <t>【なぜ聞くか】どこまでを自社が担い、どこから顧客側の責任かの線引きを決めないと、漏えい時の報告手順が定まらないため
【資料に載せる内容】個人情報保護法への対応範囲（漏えい報告の手順・委託先の監督・保有項目の最小化）と、こちらと顧客の責任分担
【質問】対応範囲と責任分担をどう設定しますか
【選択肢】
① こちらが取扱事業者として全面対応
② 顧客が主体でこちらは委託先
③ 共同で対応
【補足】立場によって報告義務の所在が変わります</t>
  </si>
  <si>
    <t>【なぜ聞くか】対象地域があると、その地域の規制に応じてデータの置き場所と同意の取り方が変わるため
【質問】海外展開に伴う規制対応は必要ですか。対象となる地域はどこですか。
【選択肢】
① 不要（国内のみ）
② 必要（対象地域を指定）
③ 将来的に必要
【補足】必要な場合、データの保管場所と越境の扱いに追加の制約が生じ、設計に影響します</t>
  </si>
  <si>
    <t>【なぜ聞くか】監査報告書の取得は期間と費用が大きく、必要なら早期に着手する必要があるため
【質問】第三者による内部統制の証明（監査報告書）は必要ですか。
【選択肢】
① 不要
② 必要（取得時期を指定）
③ 顧客からの要求次第
【補足】必要な場合、取得のための証跡整備と外部監査費用が別途発生します</t>
  </si>
  <si>
    <t>【なぜ聞くか】カード規格の対応が必要になると、防御装置の要件と監査範囲が大きく広がるため
【質問】クレジットカード関連の規格対応は必要ですか。
【選択肢】
① 不要（現行の暫定判断）
② 必要
【補足】現時点では対象外として設計を進めています。必要になるとセキュリティ要件が大幅に増え、設計の見直しが発生します</t>
  </si>
  <si>
    <t>【なぜ聞くか】暗号方式の認定が必要になると、使える製品と構成が限定され、費用と工数が増えるため
【質問】米国政府が認定した暗号方式は必要ですか。
【選択肢】
① 不要（現行の暫定判断）
② 必要
【補足】最重要の確認事項です。前提側では「不要」で暫定確定していますが顧客確認は未了です。必要な場合、製品と基盤の選定自体に影響します</t>
  </si>
  <si>
    <t>【なぜ聞くか】保存年数がログの3層構成の各層の期間と保管費用を決めるため
【質問】法令や社内規程上、操作記録を何年保存する必要がありますか。
【選択肢】
① 1年
② 3年
③ 7年（現行設計値）
④ それ以上
【補足】保存年数に比例して保管費用が増えます。現行は改ざん不能な形で7年保管する設計です</t>
  </si>
  <si>
    <t>【なぜ聞くか】削除要求の期限が運用の当番設計と自動化の要否を決めるため
【質問】利用者からの削除要求に、どの手順で何日以内に応じますか。
【選択肢】
期限=① 14日
② 30日
③ 規定なし
手順=① 顧客管理者経由（現行設計値）
② 本人から直接受付
【補足】完全削除ではなく停止処理と記録の仮名化で応じる方針です。監査記録は法令上の根拠により保持します</t>
  </si>
  <si>
    <t>【なぜ聞くか】閲覧記録まで取るか変更記録のみかで、記録量と費用が桁違いに変わるため
【資料に載せる内容】誰がいつ何を見たかを追跡する範囲（閲覧記録まで取るか、変更記録のみか）と、記録量・費用への影響
【質問】追跡をどこまで作りますか
【選択肢】
① 変更操作のみ（現行設計値）
② 閲覧も含む（記録量が大幅増）
③ 高権限の閲覧のみ</t>
  </si>
  <si>
    <t>【なぜ聞くか】監視項目と閾値は接続先の件数に応じた相対値にする必要があり、想定件数が分からないと設定できないため
【資料に載せる内容】監視項目の一覧と、異常とみなす閾値の考え方（接続先件数に応じた相対値）
【質問】監視項目と閾値に指定はありますか
【選択肢】
① 提案どおり（基準値比+10%で警戒・現行設計値）
② 絶対値で指定（値を提示）
③ 顧客側の監視製品に合わせる</t>
  </si>
  <si>
    <t>【なぜ聞くか】通知経路と夜間休日の体制が、運用要員の人数と人件費を直接決めるため
【資料に載せる内容】通知の経路（メール・チャット・電話呼出）と夜間休日の対応体制の選択肢、それぞれの人員コスト
【質問】誰にどの経路で通知しますか。夜間・休日の対応はどうしますか
【選択肢】
① 業務時間内のみ（現行の初期設計）
② 重大障害のみ時間外呼出
③ 24時間365日
【補足】24時間体制は人員確保が前提で人件費に直結します</t>
  </si>
  <si>
    <t>【なぜ聞くか】3層それぞれの保持期間が保管費用を決め、長期層は改ざん不能ストレージで単価が高いため
【資料に載せる内容】ログの3層保管（即時参照・検索用・長期改ざん不能）と、それぞれの保持期間と費用
【質問】各層の保持期間をどうしますか
【選択肢】
① 90日
1年
7年（現行設計値）
② 30日
6ヶ月
3年
③ 法令の最低限のみ</t>
  </si>
  <si>
    <t>【なぜ聞くか】原因到達までの目標時間によって、検索基盤を用意するかどうかが変わり費用が大きく動くため
【資料に載せる内容】障害時のログ検索の想定（どの程度の時間で原因に到達したいか）と、そのための仕組み（検索基盤の規模）
【質問】障害時にログをどれだけ速く探せる状態にしますか
【選択肢】
① 数分以内に検索可能（検索基盤が必要・現行設計値）
② 数時間許容（アーカイブからの取り出し）
③ 規定なし</t>
  </si>
  <si>
    <t>【なぜ聞くか】更新を遅らせると脆弱性が残る一方、頻繁だと停止調整の負荷が増えるため
【資料に載せる内容】製品更新の頻度と手順（無停止で当てられるものと計画停止が必要なもの）、更新を遅らせた場合の脆弱性リスク
【質問】製品の更新をどの頻度・どの手順で当てますか
【選択肢】
① 年1〜2回の定例＋随時の修正版（現行設計値）
② 四半期ごと
③ 脆弱性対応のみ</t>
  </si>
  <si>
    <t>【なぜ聞くか】対処期限が当番体制（平日日中か24時間365日か）を決め、人員コストに直結するため
【質問】脆弱性が公表されたとき、何日以内に対処しますか。
【選択肢】
重大=① 24時間以内（現行設計値）
② 3日以内
高=① 7日以内（現行設計値）
② 14日以内
【補足】短くするほど計画停止の頻度と運用負荷が上がります</t>
  </si>
  <si>
    <t>【なぜ聞くか】申請から適用までを誰が回すかで、管理画面に承認機能が必要かどうかが変わるため
【質問】設定変更の申請・承認・適用の流れは誰がどう回しますか。
【選択肢】
① 自社完結（現行設計値）
② 顧客の承認を要する
③ 変更管理委員会の承認を要する
【補足】顧客の承認が必要な場合、開通までの所要日数に影響します</t>
  </si>
  <si>
    <t>【なぜ聞くか】対応時間帯の選択が運用要員10名体制の内訳と人件費を決めるため
【質問】障害時の連絡体制と役割分担をどう組みますか。対応時間帯はどうしますか。
【選択肢】
① 業務時間内のみ（現行の初期設計）
② 24時間365日
③ 重大障害のみ時間外対応
【補足】24時間体制は運用人員の確保が前提で、人件費に直結します</t>
  </si>
  <si>
    <t>【なぜ聞くか】必要な役割と工数の内訳が、運用費用の見積り（NFR-COST-005）の根拠になるため
【資料に載せる内容】運用に必要な役割と工数の内訳（監視・障害対応・顧客追加・変更管理）と、体制案
【質問】運用に何人月を想定しますか。誰が担当しますか
【選択肢】
① 自社運用（体制案を提示）
② 一部を委託
③ 全面委託
【補足】別文書では構築フェーズ16〜22人月、運用体制10名の想定があります</t>
  </si>
  <si>
    <t>【なぜ聞くか】自動化しない場合の作業時間と人的ミスの発生率が、自動化への投資判断の根拠になるため
【資料に載せる内容】更新作業の自動化の範囲（設定・アプリ・製品本体）と、自動化しない場合の作業時間と人的ミスのリスク
【質問】自動化をどこまで行いますか
【選択肢】
① 全面自動化＋本番のみ手動承認（現行設計値）
② 主要部分のみ
③ 手動運用</t>
  </si>
  <si>
    <t>【なぜ聞くか】顧客追加の所要時間は外部通信の許可申請が律速になる構図があり、他組織との合意が必要なため
【資料に載せる内容】顧客追加の6ステップの内訳と所要時間、外部通信の許可申請が律速になる構図
【質問】顧客追加を何営業日で完了させると約束しますか
【選択肢】
① 翌営業日以内（現行設計値・条件付き）
② 3営業日以内
③ 1週間以内
【補足】外部通信の許可運用を自社に委任してもらえるかで成立可否が変わります</t>
  </si>
  <si>
    <t>【なぜ聞くか】対策の強度によって追加確認の登録手順が変わり、利用者の手間と実装量が増減するため
【資料に載せる内容】盗んだパスワードで攻撃者が自分の認証器を登録し正規利用者を締め出す手口の説明と、対策の強度別の利便性への影響
【質問】2台目以降の認証手段を登録する際、どこまでの再確認を求めますか
【選択肢】
① 既存の認証手段による再認証を必須（推奨・現行設計値）
② 予備コードでも可
③ パスワードのみで可（非推奨）</t>
  </si>
  <si>
    <t>【なぜ聞くか】メール方式を採らないため復旧手段が限られる。どれを用意するかで管理者の問い合わせ負荷が変わるため
【資料に載せる内容】メールによる追加確認を採用しない場合に残る復旧手段（予備コード・管理者リセット・2台目の事前登録）と、それぞれの限界
【質問】認証器を紛失した利用者の復旧を誰がどう行いますか
【選択肢】
① 顧客側の管理者がリセット（現行設計値）
② 自社の運用でリセット
③ 予備コードのみで自己解決させる
【補足】永久的な締め出しを避けるため、いずれかの管理者経路は必須です</t>
  </si>
  <si>
    <t>【なぜ聞くか】取り消しの遅れを縮めるにはアプリ側の受信実装が必要で、アプリチームの工数に直結するため
【資料に載せる内容】取り消しの遅れを数秒に縮める標準的な仕組み（失効イベントの配信）の3段階の導入計画と、アプリ側に必要な受信実装
【質問】顧客側のID基盤は失効イベントを送信できますか。受信部品をアプリへ配布できますか
【選択肢】
① 送信可・全アプリへ配布
② 送信不可・高価値アプリのみ配布（現行想定）
③ 当面は不要</t>
  </si>
  <si>
    <t>【なぜ聞くか】同時セッション数を制限すると乗っ取り検知に有効な反面、複数端末での業務が阻害されるため
【資料に載せる内容】同時セッション数を制限する理由（失効時の影響範囲の縮小・乗っ取りの検知）と、業務への影響
【質問】管理者が同時に有効にできるセッション数の上限をいくつにしますか
【選択肢】
① 1（厳格）
② 3（推奨）
③ 5
④ 制限しない
【補足】一般利用者は制限しない方針です</t>
  </si>
  <si>
    <t>【なぜ聞くか】自己失効の画面を用意しないと、端末紛失時の問い合わせがすべて管理者に集中するため
【資料に載せる内容】利用者が自分のセッションと端末を確認・失効できる画面の例と、提供しない場合の問い合わせ負荷
【質問】この画面を今回提供しますか
【選択肢】
① 今回提供する
② 次段階へ先送り
③ 提供しない
【補足】顧客側ID基盤を使う利用者については、こちらのセッションのみが対象です</t>
  </si>
  <si>
    <t>【なぜ聞くか】自動エージェントを想定するかどうかで、IDの発行体系と権限の考え方そのものが変わるため
【資料に載せる内容】人ではないが人の代理で動く主体（自動エージェント）をどのIDとして扱うかの選択肢と、権限の委譲の記録方法
【質問】自動エージェントによる代理実行を想定しますか
【選択肢】
① 想定しない（今回は対象外・現行方針）
② 想定する（機械アカウントの台帳で受ける）
③ 将来的に想定
【補足】想定する場合、委譲の記録と権限範囲の縮小の仕組みが必要です</t>
  </si>
  <si>
    <t>【なぜ聞くか】署名鍵の入れ替えは検証側に影響しうる。事前通知の要否で運用手順が変わるため
【質問】署名鍵を入れ替える際、事前にご連絡いただけますか。
【選択肢】
① 事前通知する（何日前かを指定）
② 自動更新の仕組みに任せる
③ 通知の体制がない
【補足】③の場合、鍵の入れ替え時に接続が切れる可能性があります。接続先が1000件を超えるため、手作業での追随は困難です</t>
  </si>
  <si>
    <t>【なぜ聞くか】顧客専用鍵にすると鍵の本数が顧客数だけ増え、管理費用と運用負荷が上がるため
【質問】暗号鍵を貴社専用に分けることを求めますか。
【選択肢】
① 共通鍵で問題ない（現行設計）
② 専用鍵を求める
③ 将来的に必要になる可能性がある
【補足】専用鍵にすると鍵の管理費用と運用負荷が顧客数に比例して増えます。一方で将来の完全削除は容易になります</t>
  </si>
  <si>
    <t>【なぜ聞くか】法令の解釈次第で同意取得の要否が変わり、アプリ側の画面改修まで波及するため
【質問】本基盤は委託先の適用特例に該当するという整理で進めてよいですか。それとも規則の公布を待って再評価しますか。
【選択肢】
① いま法務確認して結論を出す
② 規則公布後に再評価（推奨）
③ 未定
【補足】該当すれば開示等請求への対応負担が大きく減りますが、本基盤の自律的な機能から該当性は微妙です。いずれにせよ漏えい報告体制は変わりません</t>
  </si>
  <si>
    <t>【なぜ聞くか】契約で地理制限を求められると、海外の保守要員が入れなくなり製品のサポート体制に影響するため
【質問】保守要員の所在地域を契約で国内等に限定することを求めますか。
【選択肢】
① 契約で地理制限を求める（不可なら基盤の見直し）
② 相当措置（記録取得・監査権）で許容する
③ 制限を求めない
【補足】実質的な残ブロッカーです。①を選び保証が得られない場合、基盤の選定自体を再検討することになります</t>
  </si>
  <si>
    <t>【なぜ聞くか】削除要求と7年間の改ざん不能な監査記録は正面から衝突する。境界を決めないと法令違反か記録欠損のどちらかになるため
【資料に載せる内容】削除要求と7年間の改ざん不能な監査記録の衝突の構図と、境界の引き方（個人データ本体は消去・監査記録の識別子は仮名化して保持）
【質問】この境界でよいですか
【選択肢】
① 提案どおり（現行設計値）
② 監査記録も削除する（法令上の保持義務との整合を要確認）
③ 個別判断
【補足】都度判断にすると運用が破綻するため、境界を契約に明記する方針です</t>
  </si>
  <si>
    <t>【なぜ聞くか】アプリ側でマスキングされていないと、認証情報がログに残り漏えい経路になるため
【質問】各アプリのログで、通行証や認証情報のマスキングは実施されていますか。
【選択肢】
① 実施済み
② 未実施（是正が必要）
③ 把握していない
【補足】基盤側は2段構えで対策していますが、アプリ側で平文が残ると全体として意味がなくなります</t>
  </si>
  <si>
    <t>【なぜ聞くか】検証環境に本番相当の個人情報を置けるかで、環境設計と費用が大きく変わるため
【資料に載せる内容】検証環境に本番相当の個人情報を置かないための2方式（不可逆マスキング・合成データ生成）の比較と、それぞれの準備工数
【質問】どちらの方式を採用しますか。適用範囲はどこまでですか
【選択肢】
① 合成データ生成（推奨。本番データを一切持ち込まない）
② 不可逆マスキング
③ 併用
【補足】1000万規模の実データの非本番露出は法令上の重大な責任です</t>
  </si>
  <si>
    <t>【なぜ聞くか】監査ログの持ち方と保持年数が、保管費用と法令対応の両方に影響するため
-</t>
  </si>
  <si>
    <t>【なぜ聞くか】利用者を一意に見分ける番号の付け方は後から変更できず、顧客側に既存番号があれば移行方式そのものが変わるため
【質問】利用者を一意に見分けるための番号の付け方はどうしますか。顧客側に既存の社員番号などはありますか。
【選択肢】
① 顧客の既存IDを使う（推奨・現行設計値）
② こちらで新規発番
③ 併用
【補足】既存IDを使う場合、その値が変更されない保証が必要です。変更されると履歴の紐付けが切れます</t>
  </si>
  <si>
    <t>【なぜ聞くか】有効時間の設定は安全性と利便性のトレードオフで、業務実態を知らないと適切値が決められないため
【資料に載せる内容】通行証の有効時間と再ログインまでの期間の設定値、短くする場合と長くする場合のトレードオフ（安全性と利便性）
【質問】通行証の有効時間と、再ログインなしで使い続けられる期間をどうしますか
【選択肢】
通行証=① 15分
② 30分（現行設計値）
③ 60分
継続=① 8時間
② 24時間（現行設計値）
③ 30日（別方式が必要）</t>
  </si>
  <si>
    <t>【なぜ聞くか】通行証に個人情報を載せるとログやキャッシュに残留する。載せない前提で足りるかを確認する必要があるため
【資料に載せる内容】通行証に載せる情報の一覧（最小構成）と、個人情報を載せない理由（ログ・キャッシュへの残留リスク）
【質問】通行証に個人情報を載せない方針でよいですか。アプリが氏名等を必要とする場合の取得方法は別途API照会でよいですか
【選択肢】
① 載せない（推奨・現行設計値）
② 一部載せる（審査のうえ）
③ 載せる</t>
  </si>
  <si>
    <t>【なぜ聞くか】顧客側の本人確認をどこまで信用するかで、こちら側で再確認する仕組みの要否が決まるため
【資料に載せる内容】顧客側の本人確認の結果をどこまで信用するかの3段階（完全信用・記録のみ・こちらで再確認）と、規制業種での扱い
【質問】顧客側ID基盤の本人確認結果を完全に信用してよいですか
【選択肢】
① 完全に信用（現行の既定値）
② 記録して監視するが遮断しない
③ こちらで再確認を求める（顧客の追加確認と二重になる）</t>
  </si>
  <si>
    <t>【なぜ聞くか】新規と既存で標準方式を分けると、当面は二重の接続方式を維持することになり運用負荷が増えるため
【質問】新しいアプリと既存アプリで、それぞれどの接続方式を標準としますか。
【選択肢】
新規=① 新しい方式（推奨・現行設計値）
② 旧来方式
既存=① 旧来方式を継続（現行設計値）
② 新方式へ移行
【補足】旧来方式は画面ログインのみ対応で、その先のAPI呼び出しには使えません</t>
  </si>
  <si>
    <t>【なぜ聞くか】インターネット出入口は他組織の管理下にあり、要求が満たされない場合の代替策を先に用意する必要があるため
【資料に載せる内容】インターネット出入口の管理主体（他組織）と、こちらから出す要求仕様の一覧、要求が満たされない場合の代替
【質問】出入口の管理主体と要求内容の合意はどう進めますか
【選択肢】
① 要求仕様書を発行して協議（現行方針）
② こちらで管理する形に変更
③ 現状のまま個別調整
【補足】自管理側だけで最低防御線が成立する設計にしていますが、稼働率の律速は他組織側です</t>
  </si>
  <si>
    <t>【なぜ聞くか】約束する稼働率が冗長構成の段数と監視体制を決め、費用が段階的に増えるため
【質問】顧客に約束する稼働率を何％にしますか。
【選択肢】
① 99.5%
② 99.9%（現行設計値）
③ 99.95%
【補足】要件側（稼働率SLA）と同じ論点です。基盤自体は99.95%ですが、他組織管理の出入口が律速になります</t>
  </si>
  <si>
    <t>【なぜ聞くか】許可運用の方式が、新規顧客の開通までの日数（NFR-FED-011）を直接決めるため
【資料に載せる内容】外部通信の許可運用の3方式（自社へ委任・都度申請・全面事前登録）の比較と、顧客追加のリードタイムへの影響
【質問】どの方式で合意しますか
【選択肢】
① 枠を事前合意し中身の更新を自社に委任（第一希望）
② 都度申請（応答4営業時間以内の合意が必要）
③ 合意できない場合は要件自体を緩和
【補足】
②で応答が1営業日を超えると「翌営業日以内」が成立しません</t>
  </si>
  <si>
    <t>【なぜ聞くか】海外の保守要員が閲覧しうる点は法令上の論点で、整理を誤ると製品選定（ROSA）自体が覆るため
【質問】海外の保守要員がデータを閲覧する可能性について、法令上の扱いをどう整理し合意しますか。
【選択肢】
① 契約条項＋アクセス記録の取得で許容（現行の交渉方向）
② 越境閲覧を完全に禁止（製品の保守形態の見直しが必要）
③ 国内要員限定の契約に変更
【補足】実質的な残ブロッカーの1つです。
②を選ぶと基盤の選定自体を再検討する必要があります</t>
  </si>
  <si>
    <t>【なぜ聞くか】自動切替は予備環境を常時動かしておくことが前提となり、平時の費用が大きく増えるため
【質問】予備環境への切替は自動で行う必要がありますか。
【選択肢】
① 自動切替が必要
② 人の判断による手動切替でよい
【補足】NFR-DR-001（許容できる停止時間）と一体で決まります。</t>
  </si>
  <si>
    <t>【なぜ聞くか】想定人数が設備の上限設計を決め、後から広げるのが難しい部分があるため
【質問】3年後の想定利用者数はどの程度ですか。
【選択肢】
① 〜100万
② 100万〜500万
③ 500万〜1000万
④ 1000万超
【補足】初回リリースは100〜500万、上限設計は1,000万で進めています。</t>
  </si>
  <si>
    <t>【なぜ聞くか】国外の利用者が含まれると、データの保管場所と本人からの請求への対応方法が変わるため
【質問】拠点・利用者の所在はどこですか。
【選択肢】
① 国内のみ
② 一部国外
③ 国外中心
【補足】現行は東京常用・大阪災害時のみで、国外には置かない前提です。</t>
  </si>
  <si>
    <t>【なぜ聞くか】追加の頻度が高いほど、新規接続作業の自動化に先に投資する必要があるため
【質問】新規のお客様企業を追加する頻度はどの程度ですか。
【選択肢】
① 月1社未満
② 月1〜5社
③ 月5〜20社
④ 月20社超
【補足】現行の開通目標は次営業日以内です。</t>
  </si>
  <si>
    <t>【なぜ聞くか】画面のない機器やコマンド操作からのログインは製品としては対応可能だが、有効にすると入口が1つ増え検証と運用の対象も増える。対象アプリが存在しなければ有効化しない方が安全なため
【質問】テレビ・プリンタ・計測機器のように文字入力が難しい端末や、コマンド操作のツールから本基盤へログインする想定はありますか。
【選択肢】
① 想定なし（Phase 1では有効化しない）
② 想定あり（対象アプリ名をご記入ください）
③ 現時点で不明・将来的に発生しうる
【補足】聞く相手はアプリチーム。②の場合はU5に起票し、Phase 1で有効化するか判断します。</t>
  </si>
  <si>
    <t>【なぜ聞くか】本基盤の顧客企業どうしの分離は、設備を分けるのではなく1つの基盤の中で論理的に分ける方式。資源や障害が自動的に分離されるわけではないため、その前提を契約に明記しておかないと障害時の責任範囲でもめるため
【質問】お客様企業どうしの分離について、契約上どのように明記しますか。また、論理分離では足りず設備そのものを分ける（物理分離）ことを求められる可能性はありますか。
【選択肢】
① 論理分離で合意し、その旨を契約に明記する（現行方針）
② 一部の顧客には物理分離を提供する前提で条件を定める
③ 全顧客に物理分離を求められる可能性がある
【補足】①でも流量上限は設けます。②③は顧客ごとに設備が増え費用が大きく変わります。</t>
  </si>
  <si>
    <t>想定規模。設計上の天井は1,000万利用者で据え置き（2026-07-23凍結）。初回リリース時の実利用は100〜500万、最終的に1,000万を見込む2段構え（2026-08-16 Git反映、commit 9a594fa）。天井を変えないため設計のやり直しは発生せず、影響は初期設備と初年度コストの再算定のみ</t>
  </si>
  <si>
    <t>アプリが受け取る通行証の発行元をいくつにするか。Phase 1 は Broker の1か所だけで、顧客のID基盤は「外部の入口」として扱う。ブランドごとに発行元を分ける案（DU-U2-09）との関係は2026-08-15に整理済みで、単一発行元の前提と衝突しないことが確認されている</t>
  </si>
  <si>
    <t>通行証の発行元が複数あっても、アプリ側が正しく見分けて受け入れられること。Phase 1の発行元はBroker KCのbroker Realm 1つのみで、IdP-KCはBrokerから見ると顧客IdPの一つとして扱われ、アプリが受け取る通行証は必ずBrokerが再発行したものになる。要件表の「4イシュア」はPoC環境の記述でPhase 1設計とは別。ブランド=Realm案（DU-U2-09）との衝突は2026-08-15に解消済み（2026-08-16 Git訂正、commit 9a594fa。前回記載していた「U2/U6着手前の方式確定が必要」は誤り）</t>
  </si>
  <si>
    <t>なし（決着済み）。要件表の「4イシュア」記述をPhase 1の単一発行元に合わせて是正する</t>
  </si>
  <si>
    <t>障害時にどこまでのデータ喪失を許容するか。希望値は5分だが暫定。障害の場所で達成可否が分かれる — 東京リージョン内でデータが壊れた場合は1秒単位で巻き戻せるため5分は達成済み。一方、東京が地域ごと落ちて大阪へ退避する場合、巻き戻し用の記録は別リージョンへ複製できない仕様のため5分は不可能で、大阪へ運べるのは最短1時間おきの写しのみ</t>
  </si>
  <si>
    <t>失ってよいデータ量の目標。希望値はRPO 5分（2026-08-16 Git反映、commit 9a594fa）だが暫定。東京リージョン内の論理破壊は任意時点復元で5分未満が成立する。リージョン災害時は巻き戻し用の記録がリージョン間複製の対象外（AWS公式仕様）のため成立せず、大阪へ運べるのは最短1時間間隔のスナップショットに限られる。大阪で5分以下を実現するには平常時から大阪へデータを流し続ける構成が必要で費用が発生する</t>
  </si>
  <si>
    <t>DR 3択（下記の選択肢）で顧客に確認する。※「RPO 5分」を単独の約束として提示しないこと。場面によって守れない</t>
  </si>
  <si>
    <t>⚠ 要ヒアリング：東京内は5分達成済み／大阪退避時は最短1時間間隔で不成立。単独での5分約束は不可（Git 2026-08-16連絡）</t>
  </si>
  <si>
    <t>予備側への切替を自動で行うか、人の判断で行うか。手動でGit側と一致しており確定。ただしDR方式の3択（P-05）の結論次第では見直しになる</t>
  </si>
  <si>
    <t>なし（確定）。P-05のDR 3択で②③が選ばれた場合のみ再検討する</t>
  </si>
  <si>
    <t>△ 条件付き：Gitと一致で確定。ただしP-05のDR 3択の結論次第で変わりうる</t>
  </si>
  <si>
    <t>大きな障害からどれだけの時間で復旧させるか。希望値は通常1日・障害時3日だが暫定で、現行の設計値14日とは未達。復旧の速さは平常時に大阪へどれだけ設備とデータを置くかと直結し費用に跳ね返るため、DR方式の3択と一体で確認する</t>
  </si>
  <si>
    <t>【なぜ聞くか】災害対策の方式は月額費用の大きな部分を占め、復旧の速さと費用が正面から釣り合う。一度決めると構成の作り直しになるため先に方式を選ぶ必要があるため
【質問】災害対策の方式はどれを想定しますか。
【選択肢】
① コールド（現行）… 平常時は大阪に何も置かない。復旧まで約14日。平時費用ゼロ
② 複製だけ常時（推奨）… データだけ大阪へ流し続け、設備は被災時に構築。復旧まで数日。データ喪失は1分未満
③ 設備も常時… 大阪に設備も常時置く。復旧1日以下。費用が最も大きい
【補足】「復旧1日／データ喪失5分」を両立させるには③が必要です。②なら大阪でもデータ喪失を1分未満にできますが復旧には数日かかります。①のままだと復旧14日・大阪へ運べるのは最短1時間おきの写しのみです。</t>
  </si>
  <si>
    <t>【なぜ聞くか】東京内の障害と大阪へ退避する災害では達成できる水準が異なり、全障害で5分を求めると平常時から大阪へデータを流し続ける構成が必要になり費用が発生するため
【質問】障害時、どこまでのデータ喪失を許容できますか。また「東京内の障害」と「大阪へ退避する災害」で基準を分けてよいですか。
【選択肢】
① 5分以内
② 1時間以内
③ 1日以内
④ 直近のバックアップ時点まで可
【補足】東京内でデータが壊れた場合は1秒単位で巻き戻せるため5分は達成済みです。東京が地域ごと落ちた場合、巻き戻し用の記録は別リージョンへ複製できない仕様のため、大阪へ運べるのは最短1時間おきの写しのみとなります。大阪で5分以下にするには平常時からデータを流し続ける必要があり費用が発生します（P-05の②または③）。</t>
  </si>
  <si>
    <t>【なぜ聞くか】復旧の速さは平常時に大阪へどれだけ設備を置くかと直結し、月額費用に跳ね返るため
【質問】大きな障害が起きたとき、サービス停止をどれだけ許容できますか。
【選択肢】
① 1日以内
② 3日以内
③ 1週間以内
④ 2週間程度でも可
【補足】現行の設計値は約14日です。①にはP-05の③（設備も常時）が、②にはP-05の②（複製だけ常時）が必要になります。</t>
  </si>
  <si>
    <t>本Excel発（Git起票中）</t>
  </si>
  <si>
    <t>△ Git未登録：ExcelにのみあるID。メモの「一旦1ブランドごとで良い」をGit側にhearing項目として起票中（2026-08-16連絡）</t>
  </si>
  <si>
    <t>社内のディレクトリサーバー（LDAP/AD）との直接連携は不要で確定（更新メモ 2026-08-16）。この判断は他の決定とも整合しており、旧ゲートG-LDAP（A-4／B-SCIM-13）は2026-07-30に廃止済み、C-8でLDAP経路の対象外化（削除ではなく降格、provisioned_by=ldapは将来用に予約）が起票済み。顧客のID基盤との接続はSAML／OIDCのフェデレーションで行う</t>
  </si>
  <si>
    <t>顧客のID基盤からの自動同期はSCIMとJITの併用で決定（更新メモ 2026-08-16）。SCIMは自作Facade（D3-11）で実装し、規格適合と規模の実測はゲートG-SCIM／A-3（20人日）で検証する。JITは初回ログイン時の自動作成を担い、自作の登録制御部品（Custom Authenticator SPI案B）を3系統のログイン処理すべてに配置する（PoC V1〜V3''で検証済み）</t>
  </si>
  <si>
    <t>情報セキュリティの認証（ISO 27001／ISMS）の取得は不要と確認済み（更新メモ 2026-08-16）。基盤側で認証取得の対応工数・費用は見込まない</t>
  </si>
  <si>
    <t>なし（確定）。要件表を「不要」で確定させる</t>
  </si>
  <si>
    <t>Must｜Keycloak=Realm Login Page。PoC検証済</t>
  </si>
  <si>
    <t>Must｜Keycloak=Service Account。PoC未検証</t>
  </si>
  <si>
    <t>TBD｜Keycloakネイティブ。★Keycloak必須要因。ヒアリング優先度2</t>
  </si>
  <si>
    <t>Won't｜不採用で決定。Keycloak対応だが非推奨</t>
  </si>
  <si>
    <t>Must｜Keycloak Realm Policy</t>
  </si>
  <si>
    <t>Should｜Keycloak対応</t>
  </si>
  <si>
    <t>PoC Phase 7検証済</t>
  </si>
  <si>
    <t>Should｜Keycloak設定可。PoC未検証</t>
  </si>
  <si>
    <t>優先度—｜Keycloak対応。PoC Phase 2,7検証済</t>
  </si>
  <si>
    <t>Must｜Keycloak対応だがPoCはAuth0で代替。★ヒアリング最優先(優先度1)：実接続検証が未了</t>
  </si>
  <si>
    <t>Should｜Keycloak対応。未検証・要ヒアリング</t>
  </si>
  <si>
    <t>Could｜Keycloak対応。未検証・要ヒアリング</t>
  </si>
  <si>
    <t>TBD｜Keycloak対応。★Keycloak必須要因。ヒアリング優先度2</t>
  </si>
  <si>
    <t>Must｜Keycloak=IdP Mapper。PoC Phase 8検証済</t>
  </si>
  <si>
    <t>Must｜Keycloak=Realmに複数登録。PoC Phase 4,5検証済</t>
  </si>
  <si>
    <t>Must｜Keycloak設計可（手動/IaC）。PoCは概念設計のみ</t>
  </si>
  <si>
    <t>Must｜Keycloak=Conditional OTP。PoC Phase 7（Keycloakのみ）。MFA責務は外部IdP側に寄せる方針(ADR-009)</t>
  </si>
  <si>
    <t>Should｜Keycloak=ボタン自動表示。PoC Phase 7検証済</t>
  </si>
  <si>
    <t>Should｜Keycloak=Hostname設定。PoC未検証</t>
  </si>
  <si>
    <t>Must｜Keycloak対応。PoC Phase 1,7検証済</t>
  </si>
  <si>
    <t>Should｜Keycloak対応。PoC未検証。ヒアリング優先度5</t>
  </si>
  <si>
    <t>Could｜Keycloak=プラグイン。未検証</t>
  </si>
  <si>
    <t>Could｜Keycloak対応。未検証</t>
  </si>
  <si>
    <t>Should｜Keycloak対応。未検証</t>
  </si>
  <si>
    <t>PoC Phase 7（Keycloak）</t>
  </si>
  <si>
    <t>Must｜Keycloak=Flow単位制御可。PoC Phase 7検証済</t>
  </si>
  <si>
    <t>Could｜Keycloak=設定要。未検証</t>
  </si>
  <si>
    <t>Must｜Keycloak対応。PoC未検証</t>
  </si>
  <si>
    <t>Must｜Keycloak対応。PoC Phase 2,7検証済</t>
  </si>
  <si>
    <t>Must｜Keycloak対応。PoC検証済</t>
  </si>
  <si>
    <t>Should｜Keycloak=対応。PoC Phase 2,5検証済</t>
  </si>
  <si>
    <t>Should｜Keycloak対応。PoC未検証</t>
  </si>
  <si>
    <t>Should｜Keycloakネイティブ。★Keycloak必須要因。PoC Phase 7（Keycloak）</t>
  </si>
  <si>
    <t>Must｜Keycloak対応。PoCはデフォルトのみ</t>
  </si>
  <si>
    <t>Should｜Keycloak=Token Revocation。未検証</t>
  </si>
  <si>
    <t>Must｜Keycloak=Admin Console。PoC未検証</t>
  </si>
  <si>
    <t>Must｜Keycloak対応。PoC Phase 3,8,9検証済</t>
  </si>
  <si>
    <t>Must｜Keycloak=Protocol Mapper。PoC Phase 8/9検証済</t>
  </si>
  <si>
    <t>Must｜Keycloak=Protocol Mapper（Realm Role）。PoC Phase 8/9検証済</t>
  </si>
  <si>
    <t>Should｜Keycloak=Composite Role。PoC Phase 8（アプリ側）</t>
  </si>
  <si>
    <t>Must｜Keycloak=Client Scope。PoC未検証</t>
  </si>
  <si>
    <t>Must｜Keycloak=Protocol Mapper（宣言的）。PoC Phase 8/9検証済</t>
  </si>
  <si>
    <t>Must｜Keycloak対応。PoC Phase 3 / VPC版Phase 9検証済</t>
  </si>
  <si>
    <t>Could｜Keycloak=Authorization Services。★Keycloak必須要因。ヒアリング優先度4</t>
  </si>
  <si>
    <t>Could｜Keycloak=Policy Enforcer。ヒアリング優先度4</t>
  </si>
  <si>
    <t>Must｜Keycloak=User Attributes（無制限）。PoC Phase 8検証済</t>
  </si>
  <si>
    <t>Should｜Keycloak Realm Groups。PoCは概念のみ</t>
  </si>
  <si>
    <t>Must｜Keycloak=Realm Role Assignment。PoC Phase 8検証済</t>
  </si>
  <si>
    <t>Should｜Keycloak=Cascade Delete。PoC未検証。【2026-08 決定を反映】削除の伝播は取りこぼし防止方式で必達（ADR-064、D-DEPROV-1）。再有効化も対称に扱う</t>
  </si>
  <si>
    <t>Must｜Keycloak=Admin Console。PoC Phase 6検証済</t>
  </si>
  <si>
    <t>Could｜Keycloak=Authorization Services。未検証</t>
  </si>
  <si>
    <t>Must｜Keycloak=Event Listener。PoCは設定要</t>
  </si>
  <si>
    <t>Should｜Keycloak=Admin Events。PoC未検証</t>
  </si>
  <si>
    <t>Must｜Keycloak=Realm Admin Roles。PoCはデフォルト</t>
  </si>
  <si>
    <t>Should｜Keycloak=Realm-level Admin。未検証</t>
  </si>
  <si>
    <t>基本設計はブランディングA方針</t>
  </si>
  <si>
    <t>ヒアリング優先度6。基本設計はWebhook(HMAC+DLQ)方針</t>
  </si>
  <si>
    <t>Must｜Keycloak対応。PoC Phase 3検証済</t>
  </si>
  <si>
    <t>PoCはデフォルト</t>
  </si>
  <si>
    <t>Could｜Keycloak=ログ転送設計要。未検証</t>
  </si>
  <si>
    <t>(D)P95&lt;1s, P99&lt;2s｜Keycloak=ECSスペック次第（PoC:数百ms観測）</t>
  </si>
  <si>
    <t>(TBD) N req/s｜Keycloak=ECS Auto Scaling設計。★MAUから逆算</t>
  </si>
  <si>
    <t>(D)キャッシュHIT&lt;10ms / MISS&lt;100ms｜PoC Phase 3計測 15-60ms。Keycloak同Lambdaで同性能</t>
  </si>
  <si>
    <t>(D)始業時N倍想定｜Keycloak=ECS事前スケールアウト設計</t>
  </si>
  <si>
    <t>(TBD) 1年後/3年後｜★最重要：コスト損益分岐175,000 MAU(ADR-006)の判断材料。Keycloak=HA設計次第</t>
  </si>
  <si>
    <t>(TBD)｜Keycloak=Sticky Session不要だがECS Task数に依存</t>
  </si>
  <si>
    <t>(TBD) N顧客/年｜Keycloak複数IdP対応。基本設計側は1000+ IdPを条件付き成立（必須対策7点）と評価</t>
  </si>
  <si>
    <t>(D)必須（負荷に応じて）｜Keycloak=ECS Auto Scaling設計要</t>
  </si>
  <si>
    <t>(TBD) 99.9%/99.95%/99.99%｜Keycloak=自前HA設計</t>
  </si>
  <si>
    <t>(TBD) 月N時間｜Keycloak=Realm設定変更時の制約あり</t>
  </si>
  <si>
    <t>(D)必須｜Keycloak=ECS Multi-AZ+Aurora Multi-AZ設計要</t>
  </si>
  <si>
    <t>(D)必須｜Keycloak=ECS Service Auto Heal。PoC検証済</t>
  </si>
  <si>
    <t>(D)必須｜Keycloak=RDS/ALB冗長化要</t>
  </si>
  <si>
    <t>(D)ゼロダウン（Blue/Green）｜Keycloak=Rolling Update設計</t>
  </si>
  <si>
    <t>(D)30日｜Keycloak=RDS Automated Backup</t>
  </si>
  <si>
    <t>(D)5分粒度/35日｜Keycloak対応（Keycloak=Aurora PITR）</t>
  </si>
  <si>
    <t>(D)必須｜Keycloak=Aurora Cross-Region Replica。基本設計でRealm Export全廃→復元2経路に変更</t>
  </si>
  <si>
    <t>(D)可能ならベスト｜Keycloak=別検証</t>
  </si>
  <si>
    <t>(D)TLS 1.2+｜Keycloak=ACM+ALB設定要</t>
  </si>
  <si>
    <t>(D)AES-256（KMS）｜Keycloak=RDS storage_encrypted=true。基本設計はKMS 3階層6Acct写像</t>
  </si>
  <si>
    <t>(D)RS256｜Keycloak対応（KeycloakはES256も可）。基本設計でJWT署名=Realm Key 90日に確定</t>
  </si>
  <si>
    <t>(D)15〜60分｜Keycloak設定可。基本設計でAT 30分に最終決定（U5）</t>
  </si>
  <si>
    <t>(D)30日｜Keycloak設定可。基本設計U5でTTL最終決定済</t>
  </si>
  <si>
    <t>(D)15分｜Keycloak設定可。基本設計U5でTTL最終決定済</t>
  </si>
  <si>
    <t>(D)有効化｜Keycloak=デフォルトON</t>
  </si>
  <si>
    <t>(D)対応必須｜Keycloak=Token Revocation。基本設計でRevocation/ITDR L4連携方針</t>
  </si>
  <si>
    <t>(D)PBKDF2/bcrypt/Argon2｜Keycloak=PBKDF2-SHA512（デフォルト）</t>
  </si>
  <si>
    <t>(D)AWS WAF（CloudFront）｜Keycloak=ADR-013で計画</t>
  </si>
  <si>
    <t>(D)AWS Secrets Manager｜Keycloak対応</t>
  </si>
  <si>
    <t>(D)必須｜Keycloak=Option B移行済</t>
  </si>
  <si>
    <t>(D)公開+WAFレート制限｜Keycloak=ADR-012で対応</t>
  </si>
  <si>
    <t>(D)VPC内完結｜Keycloak=Internal ALB（ADR-012）</t>
  </si>
  <si>
    <t>(D)必須｜Keycloak対応</t>
  </si>
  <si>
    <t>(TBD)｜Keycloak対応。基本設計はDSAR Phase 1手動対応</t>
  </si>
  <si>
    <t>(TBD)｜Keycloak=自前運用責任</t>
  </si>
  <si>
    <t>(TBD)｜Keycloak=自前。基本設計でPCIギャップ3点を特定済</t>
  </si>
  <si>
    <t>(TBD)｜★最重要：RHBK必須要因。Keycloak=RHBK必須。NFR-COST-006とセット。【要確認】前提 P-03 で「不要」と暫定確定しているが、顧客への確認は未了。要件側（本行）と前提側（P-03）で状況が食い違っているため、確認後に両方を揃える必要がある。【2026-08-15 更新】要件名を FIPS 140-2 → 140-3 に変更。米国の暗号モジュール検証制度が2026-09-21に140-2の認証を過去扱いへ移行し新規採用を非推奨とするため。要否の結論「不要」は不変。製品側の「140-2対応」表記（Red Hat／AWS の公式表記）は据え置き</t>
  </si>
  <si>
    <t>(TBD)｜Keycloak=Cascade Delete。基本設計は3段階削除。【2026-08 決定を反映】削除の伝播は取りこぼし防止方式で必達（ADR-064、D-DEPROV-1）。再有効化も対称に扱う</t>
  </si>
  <si>
    <t>(D)全認証イベント記録｜Keycloak=Event Listener</t>
  </si>
  <si>
    <t>(D)CloudWatch Metrics+Dashboard｜Keycloak対応。基本設計はOTel+IdP数関数監視・SLO/Burn Rate</t>
  </si>
  <si>
    <t>(D)CloudWatch Alarm+SNS｜Keycloak対応</t>
  </si>
  <si>
    <t>(D)CloudWatch Insights / S3+Athena｜Keycloak=Event Listener自前</t>
  </si>
  <si>
    <t>(TBD) Nヶ月毎/LTSのみ｜★重要：Keycloak運用負荷に直結。Keycloak=手動（Docker image更新）</t>
  </si>
  <si>
    <t>(D)緊急N日以内、定例N週間以内｜Keycloak=手動（CVE監視+Image更新）</t>
  </si>
  <si>
    <t>(TBD) 24/7 or 営業時間のみ｜★RHBK採用判断(ADR-015)の決め手。Keycloak=自前 or RHBK Premium</t>
  </si>
  <si>
    <t>(D)Keycloak:21時間/月（ADR-006）</t>
  </si>
  <si>
    <t>(TBD) N営業日以内｜Keycloak対応可。SLA値の確定が必要</t>
  </si>
  <si>
    <t>初期構築費。P-01でROSA HCP + RHBK Operatorが確定し、Stage AのTerraform全面書き換え（6〜8週、ADR-056採用条件③）が加わったため前提が変わっている</t>
  </si>
  <si>
    <t>3年総保有コスト（10万利用者想定）。P-02で1,000万利用者上限に凍結したため想定規模の前提が変わった</t>
  </si>
  <si>
    <t>(TBD)｜Keycloak=Realm Import/SPI。基本設計は移行4集団を定義</t>
  </si>
  <si>
    <t>(D)OIDC標準準拠｜Keycloak=OSS・移行可能</t>
  </si>
  <si>
    <t>Must｜Keycloak Public Client対応。PoC Phase 1,4,5,6,7で検証済</t>
  </si>
  <si>
    <t>Must｜Keycloak Confidential Client対応。PoC未検証のため承認要</t>
  </si>
  <si>
    <t>Must｜Keycloak Forgot Password対応。PoC未検証</t>
  </si>
  <si>
    <t>Should｜Keycloak Required Action対応。PoC未検証</t>
  </si>
  <si>
    <t>(D)&lt;1営業日｜Keycloak Console/IaC対応。基本設計にIdPオンボーディング6ステップあり</t>
  </si>
  <si>
    <t>(D)Shield Standard｜Keycloak AWS標準で対応</t>
  </si>
  <si>
    <t>(TBD) 業種次第（〜10年）｜Keycloak S3ライフサイクルで対応。NFR-OPS-003と連動</t>
  </si>
  <si>
    <t>入口での受付上限（流量制限）の値。顧客別に設けるか全体で設けるかが未決。決定D-U6-14でお客様企業別の流量上限を設ける方針は確定しているが、具体値は未設定。上限に達したときの挙動（拒否か待たせるか）と顧客への通知方法も併せて決める</t>
  </si>
  <si>
    <t>総当たり攻撃への対処方式。Keycloakの標準機能（Brute Force Detection）で回数制限と一時ロックが可能。方式の選択肢は ①回数制限 ②遅延挿入 ③IP単位の制限 の3つで、それぞれ正規利用者を巻き込む度合いが異なる。E-8（1人日）で戦略を選定し、利用者存在の推測対策と併せて明文化する</t>
  </si>
  <si>
    <t>世の中に漏えいしたパスワードの拒否。Keycloakはプラグインでの対応となり自作または既存プラグインの採用が必要。照合は先頭数桁のみを送る方式で平文は送らないが、外部サービスへの通信が発生するため許可の可否を確認する必要がある</t>
  </si>
  <si>
    <t>上位プランを使う場合の追加費用。P-01でKeycloak／ROSA採用が確定したため、Cognitoの上位プランを前提とした本項は対象外。削除ではなく凍結扱いとし、ADR-016は履歴として保持する</t>
  </si>
  <si>
    <t>【なぜ聞くか】初回ログインで自動作成された利用者に最初からアクセス権を与えるかどうかで、安全側に倒すか利便側に倒すかが決まる。業界の推奨は「明示的に付与されるまでアクセス不可」だが、その場合は入社初日に何も使えない状態になり運用手当が必要になるため
【質問】お客様のID基盤から初めてログインしてきた方に、最初からどこまでのアクセス権を与えますか。
【選択肢】
① 権限なしで作成し、管理者が付与するまで何も使えない（推奨・最も安全）
② 全員共通の最低限の権限を自動で付与する
③ お客様のID基盤から受け取った所属・職位に応じて自動で付与する
【補足】③は属性の対応づけ（FR-FED-009）が前提になります。既存のB-401-2で確認中の論点です。</t>
  </si>
  <si>
    <t>【なぜ聞くか】記録の方式（何をどこにどこまで残すか）は決定済みだが、その記録をお客様へどの頻度でお渡しするかによって、出力の自動化が必要か都度対応でよいかが変わるため
【質問】許可・拒否の判断記録を、お客様へどの頻度でご提供しますか。
【選択肢】
① 提供しない（監査時に依頼ベースで都度対応）
② 月次で定期提供
③ お客様自身が管理画面からいつでも参照できるようにする
【補足】記録の中身は 対象利用者の内部番号・操作した人・対象と操作・許可か拒否か・理由・使ったルールの版 で、氏名等は含みません。③は管理画面の作り込みが増えます。</t>
  </si>
  <si>
    <t>管理者が利用者のパスワードを強制的にリセットできるようにするか。機能の提供は確定済み（Admin API + idm-api #2）。未決なのは、リセットを依頼してきた人が本人であることをどう確かめるかの手順</t>
  </si>
  <si>
    <t>質問状Q35で本人確認の手順を確認し、運用手順書へ反映する。機能側の追加作業はない</t>
  </si>
  <si>
    <t>【なぜ聞くか】パスワードのリセットは乗っ取りの典型的な入口で、依頼者の本人確認が甘いと第三者に他人のパスワードを変えられてしまう。一方で確認を厳しくすると復旧に時間がかかり、業務が止まるため
【質問】パスワードのリセットを依頼された際、依頼者が本人であることをどう確認しますか。
【選択肢】
① 上長の承認を必須とする
② 登録済みの電話番号へ折り返し確認する
③ 対面または社内システム上での本人確認
④ 事前に登録した秘密の質問で確認する
【補足】本基盤は業務用メールを持たない利用者を前提としているため、メールによる確認は使えません。既存のB-IDM-6で確認中の論点です。</t>
  </si>
  <si>
    <t>△ Git是正要：Gitは確定（コールド案と整合）だが、合意すべき数値がNFR-DR-001/002/003とP-05の回答待ちで着手できない。確定でフィルタすると漏れるためExcel側は外部待ちに変更（2026-08-16 ユーザー指示）。質問はDR各行に相乗りのためJ列は空</t>
  </si>
  <si>
    <t>旧システムのパスワードを、利用者に再設定させずに引き継げるか。引き継ぎは可能で、条件は2つ — ①アプリ側が SCIM ではなく Keycloak の管理API（idm-api）を使って投入すること ②旧システムのハッシュ方式が PBKDF2-SHA256／PBKDF2-SHA512／Argon2id のいずれかであること。この2条件を満たせば再設定は不要</t>
  </si>
  <si>
    <t>旧システムのパスワードの引き継ぎ。Keycloakの管理APIはハッシュを直接投入できるため、上記2条件を満たせば利用者への再設定要求は不要（2026-08-17 Git訂正、commit 9670918。前回の「アプリ移行では引き継げず全員再設定」は誤り）。旧方式が bcrypt 等の場合のみ自作の変換処理が必要で、DU-U10-11（8人日、条件付き）として計上。SCIM経由ではパスワードを運べない点が最大の制約</t>
  </si>
  <si>
    <t>アプリチームへ ①移行時は SCIM ではなく Keycloak の管理API（idm-api）を使うこと ②現在のハッシュ方式を調べること を伝える。bcrypt 等だった場合は変換部品の開発が必要で追加費用が発生する旨も併せて通知する</t>
  </si>
  <si>
    <t>【なぜ聞くか】旧システムのハッシュ方式によって、利用者にパスワードの再設定を求めずに済むか、弊社側で変換部品を作る追加開発が必要になるかが分かれるため
【質問】現在お使いのシステムでは、パスワードをどの方式で保存していますか。また移行時のデータ投入に Keycloak の管理API（idm-api）を使えますか。
【選択肢】
ハッシュ方式=① PBKDF2-SHA256 ② PBKDF2-SHA512 ③ Argon2id ④ bcrypt ⑤ その他・不明
投入経路=① 管理API（idm-api）を使える ② SCIM しか使えない
【補足】①〜③かつ管理API利用なら再設定は不要です。④⑤の場合は変換部品の開発（DU-U10-11 / 8人日）が必要で追加費用が発生します。SCIM 経由ではパスワードを運べません。</t>
  </si>
  <si>
    <t>2026-08-17 Git訂正を反映（前回の「引き継ぎ不可」は誤り）</t>
  </si>
  <si>
    <t>現行システムのハッシュ方式の確認</t>
  </si>
  <si>
    <t>旧システムがパスワードをどの方式で保存しているか</t>
  </si>
  <si>
    <t>現行のパスワード保存方式の確認。DU-U10-11（自作の変換処理、8人日）を作る必要があるかを決める鍵となる項目。PBKDF2-SHA256／PBKDF2-SHA512／Argon2id なら変換不要、bcrypt 等なら変換部品が必要（2026-08-17 Git連絡、commit 9670918）</t>
  </si>
  <si>
    <t>【なぜ聞くか】方式が分からないとDU-U10-11（変換部品8人日）を計上すべきか判断できず、追加費用の見積りも出せないため
【質問】現行システムのパスワード保存方式を教えてください。
【選択肢】
① PBKDF2-SHA256
② PBKDF2-SHA512
③ Argon2id
④ bcrypt
⑤ その他・不明
【補足】①〜③なら変換不要です。④⑤の場合のみ変換部品の開発が必要になり追加費用が発生します。</t>
  </si>
  <si>
    <t>移行方式</t>
  </si>
  <si>
    <t>B-MIG-1</t>
  </si>
  <si>
    <t>2026-08-17 Git連絡で追加</t>
  </si>
  <si>
    <t>doc/basic-design/research（commit 9670918）</t>
  </si>
  <si>
    <t>移行時のパスワード再設定の要否</t>
  </si>
  <si>
    <t>利用者にパスワードを再設定させずに移行できるか</t>
  </si>
  <si>
    <t>移行時のパスワード持ち越しの可否。前回「不要」と判断したのは誤りで撤回し、優先度🔴で確認対象に戻す（2026-08-17 Git訂正、commit 9670918）。Keycloakの管理APIはハッシュを投入できるため、①管理API経由 ②ハッシュ方式がPBKDF2-SHA256／SHA512／Argon2id のいずれか の2条件を満たせば再設定は不要</t>
  </si>
  <si>
    <t>【なぜ聞くか】利用者全員にパスワードの再設定を求めると移行時の問い合わせが集中し、移行そのものが失敗しやすくなる。再設定を避けられるかは移行計画の成否に直結するため
【質問】旧システムからの移し替え時に、利用者にパスワードを変更させずに済ませる必要がありますか。
【選択肢】
① 変更させずに移行したい（再設定は避けたい）
② 移行を機に全員再設定でよい
③ 一部の利用者のみ再設定でよい
【補足】①はハッシュ方式が PBKDF2-SHA256／SHA512／Argon2id のいずれかで、かつ管理API経由で投入できる場合に可能です。質問状Q68に対応します。</t>
  </si>
  <si>
    <t>B-MIG-10</t>
  </si>
  <si>
    <t>2026-08-17 Git訂正で不要を撤回・優先度🔴</t>
  </si>
  <si>
    <t>§10.4.2 / commit 9670918</t>
  </si>
  <si>
    <t>顧客ヒアリング→アプリ確認</t>
  </si>
  <si>
    <t>画面のない機器・コマンド操作向けのログイン方式（Device Code Flow）。製品としては対応可（P-01 Keycloak）だが、2026-08-16に「不要」で対象外と決定。Phase 1では有効化しない。将来対象アプリが現れた場合はU5に起票して再評価する</t>
  </si>
  <si>
    <t>なし（対象外）。将来対象アプリが出た場合のみU5に起票する</t>
  </si>
  <si>
    <t>Q番号</t>
  </si>
  <si>
    <t>質問（質問状）</t>
  </si>
  <si>
    <t>選択肢（質問状）</t>
  </si>
  <si>
    <t>NFR-SCL-001a</t>
  </si>
  <si>
    <t>受け入れる利用者数の上限</t>
  </si>
  <si>
    <t>Q01</t>
  </si>
  <si>
    <t>利用者数の増え方</t>
  </si>
  <si>
    <t>NFR-SCL-001b</t>
  </si>
  <si>
    <t>Q02</t>
  </si>
  <si>
    <t>NFR-AVL-001a</t>
  </si>
  <si>
    <t>お約束する稼働率の数値</t>
  </si>
  <si>
    <t>Q03</t>
  </si>
  <si>
    <t>稼働率の測り方（責任の範囲）</t>
  </si>
  <si>
    <t>NFR-AVL-001b</t>
  </si>
  <si>
    <t>Q08</t>
  </si>
  <si>
    <t>NFR-AVL-002a</t>
  </si>
  <si>
    <t>計画停止の頻度と時間帯</t>
  </si>
  <si>
    <t>Q09</t>
  </si>
  <si>
    <t>計画停止の事前通知</t>
  </si>
  <si>
    <t>NFR-AVL-002b</t>
  </si>
  <si>
    <t>Q13</t>
  </si>
  <si>
    <t>FR-FED-013a</t>
  </si>
  <si>
    <t>ログイン画面に接続先の一覧を出さない方式のご了承</t>
  </si>
  <si>
    <t>Q18</t>
  </si>
  <si>
    <t>利用者に入力していただくIDの形</t>
  </si>
  <si>
    <t>FR-FED-013b</t>
  </si>
  <si>
    <t>Q19</t>
  </si>
  <si>
    <t>FR-FED-009a</t>
  </si>
  <si>
    <t>お客様から受け取る利用者情報のそろえ方</t>
  </si>
  <si>
    <t>Q21</t>
  </si>
  <si>
    <t>お客様固有の追加項目を受け取る必要の有無</t>
  </si>
  <si>
    <t>FR-FED-009b</t>
  </si>
  <si>
    <t>Q22</t>
  </si>
  <si>
    <t>FR-FED-014a</t>
  </si>
  <si>
    <t>ログイン画面のURLを全社共通にしてよいか</t>
  </si>
  <si>
    <t>Q24</t>
  </si>
  <si>
    <t>ログイン画面のデザインを全社共通にしてよいか</t>
  </si>
  <si>
    <t>FR-FED-014b</t>
  </si>
  <si>
    <t>Q25</t>
  </si>
  <si>
    <t>FR-SSO-003a</t>
  </si>
  <si>
    <t>ログアウトしたときにどこまで切るか</t>
  </si>
  <si>
    <t>Q27</t>
  </si>
  <si>
    <t>サーバー側処理を持たない画面だけのアプリの有無</t>
  </si>
  <si>
    <t>FR-SSO-003b</t>
  </si>
  <si>
    <t>Q28</t>
  </si>
  <si>
    <t>FR-AUTH-011a</t>
  </si>
  <si>
    <t>何回間違えたらロックするか</t>
  </si>
  <si>
    <t>Q32</t>
  </si>
  <si>
    <t>ロックをどう解除するか</t>
  </si>
  <si>
    <t>FR-AUTH-011b</t>
  </si>
  <si>
    <t>Q42</t>
  </si>
  <si>
    <t>FR-AUTH-013a</t>
  </si>
  <si>
    <t>パスワードを忘れたときの再設定方法</t>
  </si>
  <si>
    <t>Q34</t>
  </si>
  <si>
    <t>管理者がリセットするときの本人確認</t>
  </si>
  <si>
    <t>FR-AUTH-013b</t>
  </si>
  <si>
    <t>Q35</t>
  </si>
  <si>
    <t>FR-MFA-005a</t>
  </si>
  <si>
    <t>予備コードを配るか</t>
  </si>
  <si>
    <t>Q40</t>
  </si>
  <si>
    <t>予備コードを使い切ったときの再発行</t>
  </si>
  <si>
    <t>FR-MFA-005b</t>
  </si>
  <si>
    <t>Q44</t>
  </si>
  <si>
    <t>FR-MFA-008a</t>
  </si>
  <si>
    <t>一度確認した端末を覚える機能を使うか</t>
  </si>
  <si>
    <t>Q41</t>
  </si>
  <si>
    <t>確認を省略できる期間</t>
  </si>
  <si>
    <t>FR-MFA-008b</t>
  </si>
  <si>
    <t>Q45</t>
  </si>
  <si>
    <t>NFR-COMP-007a</t>
  </si>
  <si>
    <t>記録（監査ログ）を残す期間</t>
  </si>
  <si>
    <t>Q54</t>
  </si>
  <si>
    <t>「7年」という年数の根拠</t>
  </si>
  <si>
    <t>NFR-COMP-007b</t>
  </si>
  <si>
    <t>Q47</t>
  </si>
  <si>
    <t>NFR-OPS-008a</t>
  </si>
  <si>
    <t>障害対応の受付時間帯と、24時間365日体制に移る時期</t>
  </si>
  <si>
    <t>Q48</t>
  </si>
  <si>
    <t>基盤ベンダーの有償サポート契約の要否</t>
  </si>
  <si>
    <t>NFR-OPS-008b</t>
  </si>
  <si>
    <t>Q61</t>
  </si>
  <si>
    <t>P-08a</t>
  </si>
  <si>
    <t>顧客が使っている独自のIDをそのまま使うか</t>
  </si>
  <si>
    <t>Q62</t>
  </si>
  <si>
    <t>各アプリ側が利用者を管理する番号の統一</t>
  </si>
  <si>
    <t>P-08b</t>
  </si>
  <si>
    <t>Q49</t>
  </si>
  <si>
    <t>G-DPA-a</t>
  </si>
  <si>
    <t>基盤ベンダーの保守要員が海外から関与することの可否</t>
  </si>
  <si>
    <t>Q50</t>
  </si>
  <si>
    <t>公表文書に書く「関係する外国の名称」の書き方</t>
  </si>
  <si>
    <t>G-DPA-b</t>
  </si>
  <si>
    <t>Q63</t>
  </si>
  <si>
    <t>顧客企業との「委託に関する取り決め」への記載事項</t>
  </si>
  <si>
    <t>G-DPA-c</t>
  </si>
  <si>
    <t>Q64</t>
  </si>
  <si>
    <t>NFR-COMP-005a</t>
  </si>
  <si>
    <t>カード決済業界の規格への対応（確定内容の再確認）</t>
  </si>
  <si>
    <t>Q65</t>
  </si>
  <si>
    <t>カード決済に関わるアプリを将来つなぐ見込み</t>
  </si>
  <si>
    <t>NFR-COMP-005b</t>
  </si>
  <si>
    <t>Q52</t>
  </si>
  <si>
    <t>NFR-COMP-006a</t>
  </si>
  <si>
    <t>米国政府が認定した暗号方式（確定内容の再確認）</t>
  </si>
  <si>
    <t>Q66</t>
  </si>
  <si>
    <t>将来、認定暗号方式を求める顧客が現れる見込み</t>
  </si>
  <si>
    <t>NFR-COMP-006b</t>
  </si>
  <si>
    <t>Q53</t>
  </si>
  <si>
    <t>NFR-COMP-009a</t>
  </si>
  <si>
    <t>本人からの開示・削除などの請求への対応要否</t>
  </si>
  <si>
    <t>Q55</t>
  </si>
  <si>
    <t>「消してほしい」と「記録は残す」の境界</t>
  </si>
  <si>
    <t>NFR-COMP-009b</t>
  </si>
  <si>
    <t>Q56</t>
  </si>
  <si>
    <t>NFR-OPS-006a</t>
  </si>
  <si>
    <t>緊急の脆弱性が見つかったときの修正期限</t>
  </si>
  <si>
    <t>Q57</t>
  </si>
  <si>
    <t>緊急でない更新をまとめて当てる頻度</t>
  </si>
  <si>
    <t>NFR-OPS-006b</t>
  </si>
  <si>
    <t>Q58</t>
  </si>
  <si>
    <t>NFR-OPS-007a</t>
  </si>
  <si>
    <t>設定変更の申請・承認の流れと所要日数</t>
  </si>
  <si>
    <t>Q59</t>
  </si>
  <si>
    <t>緊急時に手順を飛ばして変更する場合の扱い</t>
  </si>
  <si>
    <t>NFR-OPS-007b</t>
  </si>
  <si>
    <t>Q60</t>
  </si>
  <si>
    <t>Q04</t>
  </si>
  <si>
    <t>Q05</t>
  </si>
  <si>
    <t>Q06</t>
  </si>
  <si>
    <t>Q07</t>
  </si>
  <si>
    <t>Q10</t>
  </si>
  <si>
    <t>Q11</t>
  </si>
  <si>
    <t>Q12</t>
  </si>
  <si>
    <t>Q14</t>
  </si>
  <si>
    <t>Q15</t>
  </si>
  <si>
    <t>Q16</t>
  </si>
  <si>
    <t>Q17</t>
  </si>
  <si>
    <t>Q20</t>
  </si>
  <si>
    <t>Q23</t>
  </si>
  <si>
    <t>Q26</t>
  </si>
  <si>
    <t>Q29</t>
  </si>
  <si>
    <t>Q30</t>
  </si>
  <si>
    <t>Q31</t>
  </si>
  <si>
    <t>Q33</t>
  </si>
  <si>
    <t>Q36</t>
  </si>
  <si>
    <t>Q37</t>
  </si>
  <si>
    <t>Q38</t>
  </si>
  <si>
    <t>Q39</t>
  </si>
  <si>
    <t>Q43</t>
  </si>
  <si>
    <t>Q46</t>
  </si>
  <si>
    <t>Q51</t>
  </si>
  <si>
    <t>Q68</t>
  </si>
  <si>
    <t>Q67</t>
  </si>
  <si>
    <t>Q04（参照）</t>
  </si>
  <si>
    <t>Q68（参照）</t>
  </si>
  <si>
    <t>Q72（参照）</t>
  </si>
  <si>
    <t>Q73（参照）</t>
  </si>
  <si>
    <t>Q80（参照）</t>
  </si>
  <si>
    <t>2028年ごろ施行見込みの法改正で、本基盤が「代行する立場」に該当するか</t>
  </si>
  <si>
    <t>NFR-COMP-009c</t>
  </si>
  <si>
    <t>Q67（参照）</t>
  </si>
  <si>
    <t>優先度（質問状）</t>
  </si>
  <si>
    <t>最優先</t>
  </si>
  <si>
    <t>通常</t>
  </si>
  <si>
    <t>後回し可</t>
  </si>
  <si>
    <t>Q69</t>
  </si>
  <si>
    <t>Q70</t>
  </si>
  <si>
    <t>Q71</t>
  </si>
  <si>
    <t>Q72</t>
  </si>
  <si>
    <t>Q73</t>
  </si>
  <si>
    <t>Q74</t>
  </si>
  <si>
    <t>Q75</t>
  </si>
  <si>
    <t>Q76</t>
  </si>
  <si>
    <t>Q77</t>
  </si>
  <si>
    <t>Q78</t>
  </si>
  <si>
    <t>Q79</t>
  </si>
  <si>
    <t>Q80</t>
  </si>
  <si>
    <t>Q81</t>
  </si>
  <si>
    <t>Q82</t>
  </si>
  <si>
    <t>Q83</t>
  </si>
  <si>
    <t>Q84</t>
  </si>
  <si>
    <t>暗号モジュール認定（FIPS 140-3）の要否。設計側は「必須ではない」と判断し不要前提で継続しているが、顧客確認が未了のため確定にはできない（2026-08-17 Git格下げ）。2026-08-15に要件名をFIPS 140-2から140-3へ更新済み（140-2は2026-09-21に認定一覧から移行）。要件NFR-COMP-006と同一論点</t>
  </si>
  <si>
    <t>質問状Q66で顧客確認する。回答が「不要」なら確定へ戻す。設計は不要前提のまま継続してよく、ブロッカーではない</t>
  </si>
  <si>
    <t>アカウントとクラスタ構成。2026-08-17に凍結解除され、2クラスタ構成そのものが再検討対象になった（Git格下げ）。旧記述「同一アカウントのアプリからの利用者CRUDを想定」は2026-08-06のE判断（ADR-063、パスワード保存の影響範囲を隔離するため業務アプリを同居させない）で是正済み。1クラスタ化するとADR-033の2層分離とパスワード保存の隔離設計に波及する</t>
  </si>
  <si>
    <t>アプリ自身の身元を電子証明書で証明させる方式（mTLS）。不要で対象外（2026-08-17 Git確定）。削除ではなく凍結扱い。決定D-U7-10bの「証明書方式はPhase 3条件付き」は、条件が成立した場合にのみ検討する意味であり、Phase 1〜2で実装する予定はない。Phase 1は合言葉方式（client_secret_post）＋Secrets Manager 90日自動ローテ＋2世代並走で成立</t>
  </si>
  <si>
    <t>要件表に「対象外（凍結）」と明記し、D-U7-10bに条件成立時のみ読む旨を追記する</t>
  </si>
  <si>
    <t>設定をコードで管理する方式（IaC）。方式そのものは決定済み（D-U9-12＝CI:GitHub Actions／CD:OpenShift GitOps／Registry:ECR／Secret:ESO、禁則K-5＝管理画面からの直接変更禁止、禁則K-9＝1つのTerraform管理単位に1000件規模を置かない）だが、どこまでをコード管理の対象にするかの適用範囲が未確定のため検討中へ格下げ（2026-08-17 Git）</t>
  </si>
  <si>
    <t>適用範囲（顧客IdP設定・アプリ登録・権限定義のどこまでをコード管理にするか）をU9で詰める</t>
  </si>
  <si>
    <t>弱点の自動検査の頻度と合格基準。ROSAのworkerノード（EC2）の脆弱性検査とパッチ適用の責任分界が未定のため検討中（2026-08-17 Git）。ノードOSの更新はRed Hat SREの管理領域にあり、ADR-056の責任分界表に記載がない。ADR-056の残TBD⓪として新設済み。顧客監査で必ず問われる論点</t>
  </si>
  <si>
    <t>Red Hatへ照会する（B-SRE-LOG-1/2と同じ照会枠に載せる）。回答を得てADR-056の責任分界表に行を追加し、検査頻度と合格基準を確定する</t>
  </si>
  <si>
    <t>過剰な権限や使われていない権限の定期棚卸し。対象外ではなく範囲限定で方向性確定（2026-08-17 Git訂正）。ADR-067の棚卸し対象を「本基盤が保持するIDと権限」に限定する。Keycloak上の利用者・権限は対象内で、アプリ内部の権限はアプリ側の責任範囲。残る未決は実施頻度と実施主体の2点のみ</t>
  </si>
  <si>
    <t>棚卸しの頻度と実施主体を決める。B-NHI-1・B-CONSENT-1と同じ「基盤かアプリか」の構造のため、3件まとめて責任分界の説明資料1枚で扱うのが効率的</t>
  </si>
  <si>
    <t>本基盤が受け入れる利用者数の上限を「月に一度でも使う利用者が最大1,000万人」として設計を進めてよいでしょうか。</t>
  </si>
  <si>
    <t>A) 1,000万人を上限として設計する【弊社の推奨・現行の暫定値（前提P-02、2026-07-23凍結）】
B) これより小さい上限でよい（想定人数をご記入ください）
C) 1,000万人を超える見込みがある（想定人数をご記入ください）</t>
  </si>
  <si>
    <t>開始時・1年後・3年後に、月に一度でも使う利用者が何人になる見込みかを教えてください。</t>
  </si>
  <si>
    <t>A) 実数をご記入いただく（開始時◯万人／1年後◯万人／3年後◯万人）【弊社の推奨。現行は実数が未確定のため、上限1,000万人のみを凍結して設計中】
B) 実数は出せないので、上限1,000万人の前提だけで設計を進めてよい
C) 段階的に増設する前提とし、増設の判断時期だけ後日決める</t>
  </si>
  <si>
    <t>本基盤の稼働率の目標を 99.9% / 99.95% / 99.99% のどれにしますか。</t>
  </si>
  <si>
    <t>A) 99.9%（1か月あたり止まってよい時間 約43.8分）【弊社の推奨・現行の暫定値（前提P-04）】
B) 99.95%（約21.9分）
C) 99.99%（約4.4分）</t>
  </si>
  <si>
    <t>予備拠点へ切り替えた際に、全利用者がもう一度ログインし直す（ログイン中の状態は引き継がれない）ことを許容いただけますか。</t>
  </si>
  <si>
    <t>A) 許容する（再ログインだけで業務を再開できればよい）【弊社の推奨・現行の暫定値（U8 D-U8-10、製品仕様として明文化する方針）】
B) 条件付きで許容（条件をご記入ください）
C) 許容できない（切り替え後もログイン状態の維持が必要）</t>
  </si>
  <si>
    <t>稼働率99.9%を、社内の管理目標に留めるのではなく、契約書に明記した「お約束」として扱いますか。</t>
  </si>
  <si>
    <t>A) 契約に明記してお約束する【弊社の推奨・現行の暫定値（前提P-04、2026-07-23凍結）】
B) 社内の管理目標に留め、契約には書かない</t>
  </si>
  <si>
    <t>他組織が管理するインターネットの入口（防御装置・配信網）が原因の停止を、本基盤の稼働率の計算に含めますか。</t>
  </si>
  <si>
    <t>A) 含めない（別枠に区分して集計し、協議事項として扱う）【弊社の推奨・現行の暫定値】
B) 含める（入口を含めた全体で稼働率をお約束する）</t>
  </si>
  <si>
    <t>計画的な停止を「月1回・深夜2〜4時（最大2時間）」で実施することを許容いただけますか。</t>
  </si>
  <si>
    <t>A) 月1回・深夜2〜4時【弊社の推奨・現行の暫定値】
B) 頻度・時間帯を変更したい（ご希望をご記入ください）
C) 計画停止は一切不可</t>
  </si>
  <si>
    <t>日々取得するバックアップを何日分保存しますか。</t>
  </si>
  <si>
    <t>A) 30日分【弊社の推奨・現行の暫定値】
B) 90日分
C) 年単位でさらに長期（法令・業界規則の根拠をご記入ください）</t>
  </si>
  <si>
    <t>誤操作やデータ破壊が起きたとき、過去のどの時点まで戻せる必要がありますか。</t>
  </si>
  <si>
    <t>A) 直近35日以内の任意の時点へ戻せる【弊社の推奨・現行の暫定値。要件書の目安は「5分刻み・35日」、基本設計では実力として「1秒単位の精度・最大35日」（U8 D-U8-14）】
B) もっと短くてよい（費用を下げたい。日数をご記入ください）
C) 35日より長い期間の任意時点まで戻したい</t>
  </si>
  <si>
    <t>予備拠点への切り替え訓練を年に何回実施しますか。</t>
  </si>
  <si>
    <t>A) 年2回（上期＝大阪を一から作り直す訓練、下期＝データ復元の訓練）【弊社の推奨・現行の暫定値（U8 D-U8-13）】
B) 年1回
C) それ以上（回数をご指定ください）</t>
  </si>
  <si>
    <t>計画停止の事前通知を7日前とすることでよいですか。</t>
  </si>
  <si>
    <t>A) 7日前【弊社の推奨・現行の暫定値】
B) 14日前以上が必要
C) 前日〜即日でよい</t>
  </si>
  <si>
    <t>お客様企業のうち、社員がログインする仕組みとしてAuth0をお使いの会社はどのくらいありますか。</t>
  </si>
  <si>
    <t>A) なし
B) 数社（1〜9社）
C) 数十社
D) 100社以上
E) 不明・これから調査
※弊社の推奨値は設定しません。現行は「接続対象に含む前提」で設計しており、社数の暫定値は未確定です。</t>
  </si>
  <si>
    <t>お客様企業のうち、MicrosoftのEntra ID（旧Azure AD）をお使いの会社はどのくらいありますか。</t>
  </si>
  <si>
    <t>A) なし
B) 数社（1〜9社）
C) 数十社
D) 100社以上
E) 不明・これから調査
※弊社の現行の暫定値：「必ず対応する」前提で設計中。社数は未確定。</t>
  </si>
  <si>
    <t>お客様企業のうち、Oktaをお使いの会社はどのくらいありますか。</t>
  </si>
  <si>
    <t>A) なし
B) 数社（1〜9社）
C) 数十社
D) 100社以上
E) 不明・これから調査
※弊社の現行の暫定値：「対応が望ましい」位置付け。社数は未確定。</t>
  </si>
  <si>
    <t>お客様企業のうち、Google Workspaceをお使いの会社はどのくらいありますか。</t>
  </si>
  <si>
    <t>A) なし
B) 数社（1〜9社）
C) 数十社
D) 100社以上
E) 不明・これから調査
※弊社の現行の暫定値：「対応できればよい」位置付け。社数は未確定。</t>
  </si>
  <si>
    <t>ログイン画面に接続先企業の一覧（ボタン列）を出さず、IDまたはメールアドレスを入力していただいて自動で振り分ける方式でご了承いただけますか。</t>
  </si>
  <si>
    <t>A) 了承（入力していただいて自動振り分け）【弊社の推奨・現行の暫定値。1000社超では一覧表示は性能上そもそも成立しません】
B) 一覧から選ばせたい
C) 未定</t>
  </si>
  <si>
    <t>利用者に入力していただく文字として「会社コード-利用者ID」（例: acme-001234）とメールアドレスの両方を受け付ける形でよろしいですか。</t>
  </si>
  <si>
    <t>A) 両方受け付ける（会社ごとにどちらをご案内するかは指定可）【弊社の推奨・現行の暫定値】
B) 「会社コード-利用者ID」のみ
C) メールアドレスのみ
D) 未定</t>
  </si>
  <si>
    <t>今後新しく作るアプリの連携方式は「新しい方式」に統一し、既に連携済みの既存システムは「従来方式」のまま据え置く方針でよろしいですか。</t>
  </si>
  <si>
    <t>A) 新規は新しい方式／既存の連携済みシステムは従来方式のまま【弊社の推奨・現行の暫定値】
B) 既存システムも含めてすべて新しい方式へ移行する
C) 新規でも従来方式を許容する
D) 未定</t>
  </si>
  <si>
    <t>各アプリへお渡しする利用者情報を、弊社が定めた共通の項目一式にそろえてお渡しする方式でよろしいですか。</t>
  </si>
  <si>
    <t>A) 共通の項目一式にそろえてお渡しする（お客様ごとの生の項目はアプリに渡さない）【弊社の推奨・現行の暫定値】
B) お客様ごとの項目名・内容をそのままアプリに渡す
C) 未定</t>
  </si>
  <si>
    <t>弊社の共通の項目一式に含まれない、お客様固有の追加項目を受け取ってアプリへ渡す必要はありますか。</t>
  </si>
  <si>
    <t>A) 不要
B) 必要（必要な項目名の一覧をご提示ください）
C) 未定
※現行は未確定 — 追加項目の受入枠を設けるかどうかは弊社内でも未決事項です。</t>
  </si>
  <si>
    <t>新しいお客様企業を本サービスに接続する設定作業は、どなたが実施する想定ですか。</t>
  </si>
  <si>
    <t>A) 弊社の運用チームが実施（お客様からは申請のみ）【弊社の推奨・現行の暫定値】
B) お客様ご自身が設定できる画面を用意する（セルフサービス）
C) 併用（基本は弊社、一部の大口のお客様のみセルフサービス）</t>
  </si>
  <si>
    <t>ログイン画面のURLは全社共通で1本（例: auth.example.com）としてよろしいですか。</t>
  </si>
  <si>
    <t>A) 全社共通1本【弊社の推奨・現行の暫定値】
B) お客様ごとの専用URL（例: acme.auth.example.com）も用意したい
C) 未定</t>
  </si>
  <si>
    <t>ログイン画面のデザインは全社共通の1種類（お客様ごとのロゴ・配色なし）でよろしいですか。</t>
  </si>
  <si>
    <t>A) 全社共通1種類【弊社の推奨・現行の暫定値】
B) お客様ごとにロゴ・配色を変えたい
C) 未定</t>
  </si>
  <si>
    <t>お客様企業のログイン基盤で既にログイン済みの利用者が本サービスに来たとき、あらためて入力を求めずそのまま通してよろしいですか。</t>
  </si>
  <si>
    <t>A) そのまま通す（お客様側のログイン結果を全面的に信頼する）【弊社の推奨・現行の暫定値】
B) 重要なアプリのみ、あらためて本人確認を求める
C) 毎回あらためて入力を求める
D) 未定</t>
  </si>
  <si>
    <t>利用者がログアウトを押したとき、既定では本サービス上の全アプリをまとめてログアウトさせる形でよろしいですか。</t>
  </si>
  <si>
    <t>A) 本サービス上の全アプリをまとめてログアウト【弊社の推奨・現行の暫定値】
B) 押したアプリだけログアウト
C) アプリごとに選べるようにする
D) 未定</t>
  </si>
  <si>
    <t>貴社のアプリの中に、サーバー側の処理を持たない「ブラウザの画面だけで動くアプリ」はありますか。</t>
  </si>
  <si>
    <t>A) ない
B) ある（アプリ名と本数をご提示ください）
C) 未定
※現行は未確定 — 該当がある場合にサーバー側の受け皿を追加するか、取り残しを許容するかはアプリごとの判断としています。</t>
  </si>
  <si>
    <t>ログアウト後に利用者を戻す画面のURLを、事前に登録したものだけに限定する方式でよろしいですか。</t>
  </si>
  <si>
    <t>A) 事前に登録したURLのみ許可（アプリごとに登録）【弊社の推奨・現行の暫定値】
B) アプリ側が自由に指定できるようにする
C) 未定</t>
  </si>
  <si>
    <t>本サービスからログアウトしたとき、お客様企業のログイン基盤側のログイン状態まで一緒に解除しますか。</t>
  </si>
  <si>
    <t>A) 解除しない（既定はオフ。ご希望のお客様のみ個別に有効化）【弊社の推奨・現行の暫定値】
B) 全お客様で常に解除する
C) 未定</t>
  </si>
  <si>
    <t>過去に使ったパスワードの再利用を禁止する世代数は、直近5回分でよろしいでしょうか。</t>
  </si>
  <si>
    <t>A) 直近5回分【弊社の推奨・現行の暫定値】
B) 直近3回分
C) 直近10回分以上（具体的な数をご指定ください）
D) 制限しない</t>
  </si>
  <si>
    <t>パスワードを何回続けて間違えたら、そのアカウントを一時的に使えなくしますか。</t>
  </si>
  <si>
    <t>A) 5回【弊社の推奨・現行の暫定値】
B) 3回
C) 10回
D) 回数によるロックはしない</t>
  </si>
  <si>
    <t>パスワードを一定期間ごとに変更させる必要はありますか。</t>
  </si>
  <si>
    <t>A) 定期的な変更は求めない【弊社の推奨】
B) 90日ごとに変更
C) 180日ごとに変更
D) その他（日数をご指定ください）</t>
  </si>
  <si>
    <t>利用者がパスワードを忘れたとき、どの方法で再設定できるようにしますか。</t>
  </si>
  <si>
    <t>A) あらかじめ配った予備コードで本人確認したうえで、本人が再設定する【弊社の推奨】
B) 御社の管理者が仮のパスワードを発行する
C) AとBの両方を用意する
D) メールで再設定用のリンクを送る</t>
  </si>
  <si>
    <t>管理者がパスワードや追加の本人確認をリセットする際、依頼してきた人が本人であることをどの方法で確認しますか。</t>
  </si>
  <si>
    <t>A) 対面など、顔が分かる経路で確認する【弊社の推奨・現行の暫定値】
B) 上長の承認をもって本人と認める
C) 社員番号など本人しか知らない情報を照合する
D) 御社で既に定めている規程に従う（内容をご提示ください）</t>
  </si>
  <si>
    <t>端末に保存する鍵（指紋・顔認証・セキュリティキー）が使えない利用者向けの代わりの手段として、認証アプリの6桁コードを許可しますか。</t>
  </si>
  <si>
    <t>A) 許可する【弊社の推奨・現行の暫定値】
B) 許可しない（端末に保存する鍵のみ）
C) 追加の本人確認そのものを行わない</t>
  </si>
  <si>
    <t>追加の本人確認の第一の手段を、端末に保存する鍵（指紋・顔認証・セキュリティキー）とすることでよろしいでしょうか。</t>
  </si>
  <si>
    <t>A) 第一の手段とする【弊社の推奨・現行の暫定値】
B) 認証アプリの6桁コードを第一の手段とする
C) 決めていない（弊社の推奨に従う）</t>
  </si>
  <si>
    <t>SMSで送る確認コードを、追加の本人確認の手段として使う必要はありますか。</t>
  </si>
  <si>
    <t>A) 不要（使わない）【弊社の推奨・不採用の方針】
B) 必要（対象となる利用者層をご提示ください）</t>
  </si>
  <si>
    <t>追加の本人確認にメールで送る確認コードを使わない方針で、ご了承いただけますでしょうか。</t>
  </si>
  <si>
    <t>A) 了承する（使わない）【弊社の推奨・決定済み】
B) 使いたい（用途をご提示ください）</t>
  </si>
  <si>
    <t>端末を紛失したときに備えて、印刷や書き写しで保管する予備コードを利用者に配布しますか。</t>
  </si>
  <si>
    <t>A) 配布する【弊社の推奨・現行の暫定値】
B) 配布しない（管理者によるリセットのみ）</t>
  </si>
  <si>
    <t>一度追加の本人確認を済ませた端末では、次回以降しばらく確認を省略する機能を使いますか。</t>
  </si>
  <si>
    <t>A) 使う（対象は個人に割り当てた業務端末のみ）【弊社の推奨。ただし基本設計では採否を未確定としています】
B) 使わない（毎回確認する）
C) 決めていない（弊社の推奨に従う）</t>
  </si>
  <si>
    <t>一時的に使えなくなったアカウントは、何分後に自動で使えるようになればよいでしょうか。</t>
  </si>
  <si>
    <t>A) 30分後に自動で解除【弊社の推奨・現行の暫定値】
B) 15分後に自動で解除
C) 60分後に自動で解除
D) 自動では解除せず、管理者の解除操作のみとする</t>
  </si>
  <si>
    <t>管理者が発行した最初のパスワードは、初回ログイン時に必ず変更させる方式でよろしいでしょうか。</t>
  </si>
  <si>
    <t>A) 必ず変更させる【弊社の推奨・現行の暫定値】
B) 変更をおすすめするが、変えなくても使い続けられる
C) 変更させない</t>
  </si>
  <si>
    <t>予備コードを使い切った、または紛失した利用者への再発行は、誰が行いますか。</t>
  </si>
  <si>
    <t>A) ログインできている間は本人が再発行し、ログインできない場合は御社の管理者がリセットする【弊社の推奨・現行の暫定値】
B) 常に御社の管理者が実施する
C) 常に弊社の運用担当が申請を受けて実施する</t>
  </si>
  <si>
    <t>端末を覚えて追加の本人確認を省略する期間は、何日にしますか。</t>
  </si>
  <si>
    <t>A) 30日【弊社の推奨・現行の暫定値】
B) 7日
C) 90日
D) 0日（省略しない）</t>
  </si>
  <si>
    <t>(a) 現在お使いのシステムは、利用者のパスワードをどの方式で保管していますか。／(b) 上記がC/D/Eだった場合、該当する利用者に一斉にパスワードを設定し直していただくことは許容できますか。／(c) 一斉に設定し直す場合、新しいパスワードや案内をどうやって利用者に届けますか。／(d) 対象人数（お客様側にログインの仕組みが無く、パスワードを弊社でお預かりする利用者の数）をお知らせください。</t>
  </si>
  <si>
    <t>【(a) 保管方式】A) PBKDF2（SHA-256またはSHA-512）　B) Argon2（Argon2id）　C) bcrypt　D) その他（方式名をご記入ください）　E) 不明・これから調査
【(b) 一斉再設定の可否】A) 許容できる（配布手段は(c)で指定）　B) 許容できない（パスワードを変えずに移したい）　C) 未確定
【(c) 配布手段】A) 管理者が対面や社内便など、メール以外の経路で配る【弊社の推奨】　B) あらかじめ配ってある予備コードを使って本人に設定し直してもらう　C) その他（方法をご記入ください）　D) 未確定</t>
  </si>
  <si>
    <t>（Q68の(b)(c)に対応）一斉にパスワードを設定し直していただくことは許容できますか。許容する場合、新しいパスワードや案内をどうやって利用者に届けますか。</t>
  </si>
  <si>
    <t>【一斉再設定の可否】A) 許容できる　B) 許容できない（パスワードを変えずに移したい）　C) 未確定
【配布手段】A) 管理者が対面や社内便など、メール以外の経路で配る【弊社の推奨】　B) あらかじめ配ってある予備コードを使って本人に設定し直してもらう　C) その他　D) 未確定
※設問本体はB-MIG-1（Q68）に記載</t>
  </si>
  <si>
    <t>現在または今後接続する予定のアプリの中に、SAML 2.0でしか認証連携できないものはありますか。</t>
  </si>
  <si>
    <t>A) ない（すべてOIDCで接続可能）【弊社の推奨・現行の暫定値（前提P-14: 新規=OIDC／既存SP=SAML）】
B) ある（アプリ名と本数をご記入ください）
C) 未確定</t>
  </si>
  <si>
    <t>アクセストークンの有効期限30分、リフレッシュトークン30日（ローテーションあり・絶対上限24時間・無操作1時間で失効）で、アプリ側の実装に支障はありませんか。</t>
  </si>
  <si>
    <t>A) 支障なし【弊社の推奨・現行の暫定値（前提P-09）】
B) アクセストークンをもっと長くしてほしい（希望値と理由をご記入ください）
C) もっと短くしたい（希望値と理由をご記入ください）
D) 未確定</t>
  </si>
  <si>
    <t>利用者を無効化・退職処理した後も、すでに発行済みのアクセストークンは最大30分間そのまま使えます。この状態を許容できますか。</t>
  </si>
  <si>
    <t>A) 許容する（30分以内に失効すればよい）【弊社の推奨・現行の暫定値】
B) 許容できない — 即時に遮断したい（対象アプリ名をご記入ください）
C) 未確定</t>
  </si>
  <si>
    <t>利用者がログアウトしたとき、アプリ側でセッションを破棄するための通知をどの方式で受け取りますか。</t>
  </si>
  <si>
    <t>A) Back-Channel Logout（サーバー同士の直接通知。POST /backchannel-logout を実装）【弊社の推奨・現行の暫定値】
B) Front-Channel Logout（ブラウザ経由で各アプリへ通知）
C) 受け取らない（アプリ側のセッションは自然失効に任せる）
D) 未確定</t>
  </si>
  <si>
    <t>アプリが認可判断に使う情報を、通行証（JWT）に載せるか、基盤のAPIに問い合わせるか、どちらにしますか。</t>
  </si>
  <si>
    <t>A) APIに問い合わせる（/api/me/context を呼ぶ。通行証には最小限の情報のみ）【弊社の推奨・現行の暫定値（前提P-10）】
B) 通行証にロール情報を載せる（rolesクレーム）
C) 併用（アプリごとに選択）
D) 未確定</t>
  </si>
  <si>
    <t>あるアプリが別のアプリのAPIを、利用者の代理として呼び出す場面はありますか（Token Exchange / RFC 8693）。</t>
  </si>
  <si>
    <t>A) ない【現行は未確定 — 要件表でTBDのまま】
B) ある（呼び出し元と呼び出し先のアプリ名をご記入ください）
C) 未確定</t>
  </si>
  <si>
    <t>「管理者は一般利用者の権限もすべて持つ」のようなロールの継承関係を、基盤側で表現する必要がありますか。</t>
  </si>
  <si>
    <t>A) 不要（アプリ側で判断する）【弊社の推奨・現行の暫定値】
B) 必要（想定する階層をご記入ください）
C) 未確定</t>
  </si>
  <si>
    <t>アプリが必要とする利用者の情報のうち、基盤側で保持してほしい項目はありますか。</t>
  </si>
  <si>
    <t>A) ない（アプリ側のデータベースで持つ）【弊社の推奨・現行の暫定値】
B) ある（項目名と用途をご記入ください）
C) 未確定</t>
  </si>
  <si>
    <t>利用者が作成・無効化・削除されたとき、基盤からアプリへ能動的に通知する必要はありますか。それともアプリ側が必要なときに取りに来る形でよいですか。</t>
  </si>
  <si>
    <t>A) アプリが取りに来る（基盤はAPIを提供するのみ。通知は行わない）【弊社の推奨・現行の暫定値】
B) 基盤から通知してほしい（対象イベントと対象アプリをご記入ください）
C) 未確定</t>
  </si>
  <si>
    <t>基盤で利用者を削除したとき、アプリ側が保持している当該利用者のデータはどう扱いますか。</t>
  </si>
  <si>
    <t>A) アプリ側で個別に判断・実施する（基盤は通知しない）【弊社の推奨・現行の暫定値】
B) 基盤からの通知を受けてアプリ側で削除する（Q77のBとセット）
C) 未確定</t>
  </si>
  <si>
    <t>ログイン処理の応答時間として、95%が1秒以内・99%が2秒以内で支障ありませんか。</t>
  </si>
  <si>
    <t>A) 支障なし【弊社の推奨・現行の暫定値】
B) もっと速くしてほしい（希望値と、その根拠となる業務をご記入ください）
C) 未確定</t>
  </si>
  <si>
    <t>アプリの利用パターンとして、同時ログインが集中する時間帯と、そのときの想定リクエスト数を教えてください。</t>
  </si>
  <si>
    <t>A) 始業時（8:30〜9:30）に集中。平常時のN倍（Nをご記入ください）【弊社の現行の暫定値: 始業時に集中する想定】
B) 特定の時間帯への集中はない（終日ほぼ均等）
C) 上記以外のパターン（内容をご記入ください）
D) 未確定</t>
  </si>
  <si>
    <t>アプリのログに、通行証・認可コード・パスワード・セッション識別子などがそのまま出力されていないか確認いただけますか。</t>
  </si>
  <si>
    <t>A) 出力していない（マスキング実施済み）【あるべき状態】
B) 出力している可能性がある（調査します）
C) 未確認</t>
  </si>
  <si>
    <t>お客様企業のログイン基盤で認証された結果を、アプリ側でも追加確認なしに受け入れてよろしいですか。</t>
  </si>
  <si>
    <t>A) 受け入れる（追加確認なし）【弊社の推奨・現行の暫定値（前提P-11）】
B) 特定のアプリ・操作でのみ追加の本人確認を求めたい（対象をご記入ください）
C) 未確定</t>
  </si>
  <si>
    <t>管理者が特定の利用者の全セッションを強制的に破棄する機能は必要ですか。</t>
  </si>
  <si>
    <t>A) 必要【弊社の推奨・現行の暫定値】（インシデント対応で使う）
B) 不要
C) 未確定</t>
  </si>
  <si>
    <t>無操作が続いたときにログイン状態を切る時間として、1時間で支障ありませんか（絶対上限は24時間）。</t>
  </si>
  <si>
    <t>A) 支障なし【弊社の推奨・現行の暫定値（前提P-09）】
B) 変更したい（希望値と理由をご記入ください）
C) 未確定</t>
  </si>
  <si>
    <t>（Q72の対象）ログアウト通知の受け取り方式。設問本体はFR-SSO-006（Q72）に記載</t>
  </si>
  <si>
    <t>（Q73の対象）アプリが必要とする権限情報。設問本体はFR-AUTHZ-003（Q73）に記載</t>
  </si>
  <si>
    <t>（Q80の対象）同時利用の規模とピーク時間帯。設問本体はNFR-PERF-002（Q80）に記載</t>
  </si>
  <si>
    <t>本基盤を使う利用者（貴社の顧客企業の従業員等）の中に、日本国外に住んでいる方が含まれる見込みはありますか。</t>
  </si>
  <si>
    <t>A) 含まれない（国内在住の利用者のみ）【弊社の推奨・現行の暫定値】— データの保管場所は東京・大阪の2か所のみで設計中（前提P-15）
B) 現時点では含まれないが、将来含まれる見込み（時期をご記入ください）
C) すでに含まれる（対象の国・地域名をご記入ください。例: 欧州、米国カリフォルニア州）
D) 未確定</t>
  </si>
  <si>
    <t>記録を7年残す根拠は、法令で保存が義務づけられているためですか、契約上の取り決めのためですか、それ以外ですか。</t>
  </si>
  <si>
    <t>A) 法令上の保存義務（該当する法令名をご記入ください）
B) 顧客との契約上の義務
C) それ以外（社内方針・業界慣行・請求権が消滅するまでの期間など）
D) 未確定【現状。従来の根拠だったカード決済業界の規格を対象外にしたため、根拠が空白になっています】（U10-OP-9）</t>
  </si>
  <si>
    <t>障害発生時の対応受付は、リリース時点から24時間365日にしますか、それとも平日日中から始めて後で移行しますか。</t>
  </si>
  <si>
    <t>A) 2段階：リリース時は平日9〜18時（祝日除く）、リリース6か月後以降に24時間365日へ移行【弊社の推奨・現行の暫定値】（ADR-040 §I）
B) リリース時点から24時間365日
C) 平日日中のみ（24時間化の予定なし）
D) 未確定</t>
  </si>
  <si>
    <t>本基盤につながる各アプリに対して、「利用者を指す番号は基盤が発番する内部番号を使うこと」を共通ルールとして守っていただけますか。</t>
  </si>
  <si>
    <t>A) 共通ルールとして全アプリに適用する【弊社の推奨・現行の暫定値】（U3のアプリID設計標準）
B) 新規アプリのみ適用し、既存アプリは現状の番号のままで、基盤側に対応表を持つ
C) アプリごとの判断に任せる
D) 未確定</t>
  </si>
  <si>
    <t>基盤ソフトウェアの提供元（Red Hat社）の保守要員が、海外の拠点から本基盤の管理部分に関与することを、貴社として許容できますか。</t>
  </si>
  <si>
    <t>A) 許容する（提供元との取り決めで、閲覧記録の取得と監査の権利を確保することが条件）【弊社の推奨・現行の暫定値】— 現行のクラウド構成を維持
B) 許容できない → 管理部分も自社の環境内に置く構成に変更する
C) 一切許容できない → 基盤ソフトウェアをすべて自前で運用する構成に変更する
D) 未確定（法務確認中）</t>
  </si>
  <si>
    <t>貴社の顧客企業から、本基盤について第三者による監査の証明書（第三者機関が発行する監査報告書・認証書）の提出を求められる見込みはありますか。</t>
  </si>
  <si>
    <t>A) 求められない見込み。Phase 1は弊社作成の説明資料（設計概要・責任分担表・インシデント対応手順）で対応し、証明書の取得はリリース6か月後以降に事業判断【弊社の推奨・現行の暫定値】（ADR-036）
B) 求められる（必要な証明書の種類と、必要になる時期をご記入ください）
C) 未確定</t>
  </si>
  <si>
    <t>本基盤に接続するアプリの中に、将来クレジットカード情報を扱うものが出てくる見込みはありますか。</t>
  </si>
  <si>
    <t>A) 見込みなし【弊社の推奨・現行の暫定値】
B) 見込みあり（時期・アプリ名をご記入ください）
C) 未確定</t>
  </si>
  <si>
    <t>貴社の顧客企業の中に、将来「米国政府が認定した暗号方式」の使用を条件として求めてくる先（官公庁・防衛・米国政府調達に関わる企業など）が現れる見込みはありますか。</t>
  </si>
  <si>
    <t>A) 見込みなし【弊社の推奨・現行の暫定値】
B) 見込みあり（想定業種・時期をご記入ください）
C) 未確定</t>
  </si>
  <si>
    <t>誰がいつログインしたか・誰が設定を変更したかの記録を、何年間残す必要がありますか。</t>
  </si>
  <si>
    <t>A) 3段階で保持：すぐ検索できる状態で90日／1年／書き換え不能な形で7年【弊社の推奨・現行の暫定値】（U7 §7.7.1、U9 §9.3.1）
B) 1年
C) 3年
D) 6年
E) 10年
F) 未確定</t>
  </si>
  <si>
    <t>利用者本人から「自分のデータを見せてほしい・消してほしい」といった請求を受け付ける仕組みは必要ですか。</t>
  </si>
  <si>
    <t>A) 必要。ただしPhase 1は手動運用（申請はメール・問い合わせ窓口で受け、運用担当が手順書に沿って抽出・停止処理を行う）【弊社の推奨・現行の暫定値】（U10 §10.5、月10件を超えたら自動化を前倒し）
B) 必要。Phase 1から利用者本人が画面から申請できる仕組みが要る
C) 不要
D) 未確定</t>
  </si>
  <si>
    <t>利用者から削除の請求があった場合、どこまで消して、どこから先は記録として残すかの線引きを、契約書にあらかじめ明記しますか。</t>
  </si>
  <si>
    <t>A) 契約書に明記する（本人の情報は使えない状態にしたうえで表示名などを伏せ字化し、記録の中の本人を指す番号は残す）【弊社の推奨・現行の暫定値】（U10 D-U10-13b）
B) 記録の保持を優先する旨だけ明記し、細部は都度判断
C) 都度判断（明文化しない）
D) 未確定</t>
  </si>
  <si>
    <t>深刻な脆弱性が見つかったとき、何日以内に修正を適用する取り決めにしますか。</t>
  </si>
  <si>
    <t>A) 最も深刻なもの: 24時間以内／次に深刻なもの: 7日以内【弊社の推奨・現行の暫定値】（ADR-046 §C.3、Runbook RB-PLT-01）
B) 最も深刻なもの: 3営業日以内／次に深刻なもの: 2週間以内
C) 顧客との契約で定める期限に合わせる（期限をご記入ください）
D) 未確定</t>
  </si>
  <si>
    <t>緊急でない更新（重要度が中〜低の修正）は、どの頻度でまとめて適用しますか。</t>
  </si>
  <si>
    <t>A) 重要度「中」は30日以内／「低」は90日以内、適用は月1回・深夜2〜4時の作業枠で実施し7日前に事前通知【弊社の推奨・現行の暫定値】（ADR-046 §C.3、Runbook RB-PLT-03）
B) 四半期に1回まとめて適用
C) 未確定</t>
  </si>
  <si>
    <t>本基盤の設定を変更するとき（アプリの追加、顧客のログイン先の追加、動作設定の変更など）の申請・承認の流れと、変更完了までの所要日数はどうしますか。</t>
  </si>
  <si>
    <t>A) すべての変更は設定をコードで管理する方式（変更内容をコードの変更として提出→レビュー→自動適用）に統一。管理画面からの直接変更は禁止し、顧客のログイン先追加のみ専用の受付窓口を通す【弊社の推奨・現行の暫定値】（U9 §9.5、禁則K-5）
B) 変更の種類ごとに承認者と日数を分ける（種類別の一覧をご記入ください）
C) 未確定</t>
  </si>
  <si>
    <t>障害時など、通常の申請・承認を待てない場合に手順を飛ばして直接変更することを認めますか。</t>
  </si>
  <si>
    <t>A) 認める。ただし発動そのものをインシデントとして扱い、役員2名の承認と、事後にコードへ反映することを必須とする【弊社の推奨・現行の暫定値】（U9 禁則K-5、ADR-040 §C）
B) 認めない（緊急時も通常の承認を通す）
C) 未確定</t>
  </si>
  <si>
    <t>基盤ソフトウェアやクラウドの提供元との有償サポート契約は、どの水準で結びますか。</t>
  </si>
  <si>
    <t>A) 基盤ソフトウェアのサポートは利用料に含まれるため追加契約不要。クラウド側のサポート水準のみ別途決定【弊社の推奨・現行の暫定値】（ADR-056／前提P-01）
B) 上位のサポート契約を追加で結ぶ（対象と水準をご記入ください）
C) 未確定</t>
  </si>
  <si>
    <t>顧客企業が現在使っている独自のID（社員番号・学籍番号・技能者IDなど）を、本基盤でも利用者を指す番号として使いますか。</t>
  </si>
  <si>
    <t>A) 3層に分けて持つ：①基盤が発番する内部番号（変わらない・すべての記録の紐付けに使う）②顧客の独自ID（画面表示・検索用、変更あり得る）③顧客のログインシステム側の番号（突き合わせ用）【弊社の推奨・現行の暫定値】（前提P-08、ADR-018）
B) 顧客の独自IDをそのまま基盤の主番号として使う
C) メールアドレスを主番号として使う
D) 未確定</t>
  </si>
  <si>
    <t>利用者向けの公表文書（個人情報保護方針など）に、関係する外国の名称をどう記載しますか。</t>
  </si>
  <si>
    <t>A) 具体的な国名を列挙する（クラウド提供元の所在国＋保守要員の所在国の候補を列挙）
B) 保守要員の所在国は「特定できない旨＋その理由＋候補となる外国の名称」として記載する【弊社の推奨・現行の暫定値】— 保守が地球を回るシフト制で常時特定できないため（U7 D-U7-24）
C) 未確定（法務確認中）</t>
  </si>
  <si>
    <t>貴社の顧客企業と結ぶ契約に、本基盤の責任範囲と漏えい時の通知に関する条項を、どこまで明記しますか。</t>
  </si>
  <si>
    <t>A) 契約書の本文に明記する：①責任分担表（どこまでが弊社責任か）②漏えい時に3〜5日以内に顧客へ通知する義務 ③顧客のログインシステム側で多要素認証を実施する責任【弊社の推奨・現行の暫定値】（U7 §7.7.4）
B) 契約書には概要のみ記載し、詳細は別の説明サイトに掲載する
C) 未確定</t>
  </si>
  <si>
    <t>「カード決済業界の規格（PCI DSS）への対応は不要」という2026-07-30のご判断は、現在も変わりありませんか。</t>
  </si>
  <si>
    <t>A) 変わりない（対応不要のまま）【弊社の推奨・現行の暫定値】（B-PCI-1、2026-07-30確定）
B) 変わった（対応が必要になった。時期・対象範囲をご記入ください）</t>
  </si>
  <si>
    <t>「米国政府が認定した暗号方式（FIPS）は不要」という2026-07-30のご判断は、現在も変わりありませんか。</t>
  </si>
  <si>
    <t>A) 変わりない（不要のまま）【弊社の推奨・現行の暫定値】（前提P-03、C-201回答済み）
B) 変わった（必要になった。求める相手・根拠をご記入ください）</t>
  </si>
  <si>
    <t>2026年7月に公布された個人情報保護法の改正（施行は2028年ごろ見込み）で新設される「委託を受けた事業者への特例」に、本基盤が当てはまるかどうかを、いま法務で確認しますか。</t>
  </si>
  <si>
    <t>A) いま確認する（当てはまれば、本人からの開示・削除請求への対応義務が大きく軽くなる可能性がある）
B) 細則が公表されてから確認する【弊社の推奨・現行の暫定値】— Phase 1は現行法どおりの設計を維持（U7 D-U7-23）
C) 未確定</t>
  </si>
  <si>
    <t>（Q67の対象）2028年ごろ施行見込みの法改正で本基盤が「代行する立場」に該当するか。設問本体はNFR-COMP-009c（Q67）に記載</t>
  </si>
  <si>
    <t>ブランドユニットの前提。ADR-063でbrand=Realmに確定（2026-08-15ユーザー承認）。Git側にP-19として正式採番されたため、本行のIDを仮採番のP-BRAND-1からP-19へ置換し、出自を前提Pに変更（2026-08-17）</t>
  </si>
  <si>
    <t>なし（確定）。Baselineの前提表P-19として管理する</t>
  </si>
  <si>
    <t>P-19</t>
  </si>
  <si>
    <t>2026-08-17 Gitで P-19 として正式採番（旧: P-BRAND-1 本Excel仮採番）</t>
  </si>
  <si>
    <t>Q23（統合）</t>
  </si>
  <si>
    <t>（Q23に統合）新しいお客様企業を本サービスに接続する設定作業は、どなたが実施する想定ですか。設問本体はFR-FED-011（Q23）に記載</t>
  </si>
  <si>
    <t>他組織ヒアリング（要求仕様）</t>
  </si>
  <si>
    <t>インターネットの出入口（防御装置・配信網）は他組織の管理下にあり、こちらから要求仕様を出して合意する必要がある。本行は REQ-IN-01〜13（受信要件13件）／REQ-OUT-01〜06（送信要件6件）／REQ-DR-05まで（災害対策要件5件）の計24件 の代表行で、24件は個別行として本シートに存在しない。全件未回答。要求仕様書v1（00a B-1、12人日）で発行する</t>
  </si>
  <si>
    <t>⚠ 不可視の依存24件：REQ-IN-01〜13／REQ-OUT-01〜06／REQ-DR-01〜05 が本シートに個別行として存在しない。本行が代表。個別行の追加は要判断（2026-08-17）</t>
  </si>
  <si>
    <t>外部通信の許可（Egress）の追加運用方式。他組織が管理するため、こちらの一存では決まらない。選択肢は ①自社へ委任 ②都度申請 ③全面事前登録 の3方式。NFR-SCL-004（新規顧客の接続を次営業日以内）の成立条件になっている。REQ-IN-01〜13（受信要件13件）／REQ-OUT-01〜06（送信要件6件）／REQ-DR-05まで（災害対策要件5件）の計24件 と同じ要求仕様書v1（00a B-1）で扱う</t>
  </si>
  <si>
    <t>⚠ 他組織依存：NFR-SCL-004（次営業日以内）の成立条件。P-18とあわせてREQ 24件の回収が前提（2026-08-17）</t>
  </si>
  <si>
    <t>⚠ 他組織依存：1営業日以内の成立にはG-EGRESSの許可運用方式（①委任 または ③事前一括）の合意が前提。未合意のままでは目標値の見直しが必要</t>
  </si>
  <si>
    <t>管理コントロールプレーンの実行形態</t>
  </si>
  <si>
    <t>管理API（idm-api）をどの形で動かすか。プラットフォーム前提（P-01）と同格の構成前提として扱う</t>
  </si>
  <si>
    <t>管理コントロールプレーン（idm-api）の実行形態はLambdaで確定（ADR-062）。ブランド側#2が主役という位置づけはADR-063で確定済み。2026-08-17にGit側でP-20として正式採番（旧O-9は未決トラッカーの番号で解消時に消えるため、恒久参照される前提をP系へ移した）。残るのは00a D-5（内部ルートとサービス間の認可、3人日）のみ</t>
  </si>
  <si>
    <t>P-20</t>
  </si>
  <si>
    <t>2026-08-17 GitでP-20として正式採番（旧: D-IDMAPI-1 本Excel仮採番／Git旧O-9）</t>
  </si>
  <si>
    <t>ADR-062 / ADR-063 / Baseline P-20</t>
  </si>
  <si>
    <t>退職者の遮断と削除の伝播。ADR-064のoutbox方式で確定。設計全体を縛る前提ではなく機構の設計判断のため、前提P系へは載せず仮採番のまま管理する（2026-08-17 Git判断）。退職者遮断バッチはD-U9-17（クラスタ内CronJob）で決定済み。作業単位はDU-U3-05（削除伝播）とDU-U3-09（再有効化の対称伝播、9人日）</t>
  </si>
  <si>
    <t>2026-08-17 仮採番のまま維持と決定。出典をADR-064に固定して追跡</t>
  </si>
  <si>
    <t>管理画面の操作権限をどこまで分ける必要があるか。細かくしすぎると権限定義が破綻するため、実際に必要な粒度を確認する</t>
  </si>
  <si>
    <t>Q85</t>
  </si>
  <si>
    <t>顧客ヒアリング（アプリチーム）</t>
  </si>
  <si>
    <t>新規作成時のデフォルト権限</t>
  </si>
  <si>
    <t>お客様のログイン基盤から初回ログインした人を自動登録（JIT）するとき、最初にどの権限を与えるか</t>
  </si>
  <si>
    <t>自動登録された利用者の初期権限。FR-FED-008（JIT採用）の残論点として Git のヒアリング一覧に登録済みだが、本Excelには行がなかったため新規起票（2026-08-17）。業界推奨は最小権限＝明示的に付与されるまでアクセス不可。設定は自動登録・自動同期・一括登録のすべてに共通で適用し、経路によって変えない</t>
  </si>
  <si>
    <t>質問状Q86で確認する。回答を受けてFR-FED-008の初期権限を確定する</t>
  </si>
  <si>
    <t>【なぜ聞くか】自動登録は人手の確認を挟まずに利用者が増える仕組み。初期権限を広めにすると、退職者情報が古いお客様の場合に本来アクセスできない人が入れてしまうため
【質問】お客様のログイン基盤から初めてログインしてきた人を自動登録するとき、その人に最初どの権限を与えますか。
【選択肢】
① 何も与えない（明示的に権限を付けるまで、どのアプリも使えない）【弊社の推奨・業界標準】
② 全員に共通の基本権限を与える
③ お客様企業ごとに指定していただく
④ 未確定</t>
  </si>
  <si>
    <t>Q86</t>
  </si>
  <si>
    <t>お客様のログイン基盤から初めてログインしてきた人を自動登録するとき、その人に最初どの権限を与えますか。</t>
  </si>
  <si>
    <t>A) 何も与えない（明示的に権限を付けるまで、どのアプリも使えない）【弊社の推奨・業界標準】
B) 全員に共通の基本権限を与える（ログインすれば最低限の画面は見られる）
C) お客様企業ごとに指定していただく
D) 未確定</t>
  </si>
  <si>
    <t>B-401-2</t>
  </si>
  <si>
    <t>2026-08-17 Git連絡で新規起票（Excelに行が無かった）</t>
  </si>
  <si>
    <t>hearing-checklist.md / questionnaire-94q-part6.tsv</t>
  </si>
  <si>
    <t>(a) 1社の利用が集中したときに他社へ影響が出ないよう、お客様企業ごとに1秒あたりの上限を設けます。ログイン処理の上限値をどうしますか。／(b) どういう条件を満たしたお客様を、共有環境から切り離して別環境に移すことにしますか。</t>
  </si>
  <si>
    <t>【(a) 上限値】A) 弊社が規模に応じて自動で設定する（お客様ごとの契約人数から算出）【弊社の推奨・現行の暫定値】　B) 契約ごとに個別に取り決める（大口のお客様のみ引き上げ）　C) 上限を設けない　D) 未確定
【(b) 切り離し基準】A) 利用規模が一定を超えた場合と、規制業種で物理的な分離を求められた場合の2条件【弊社の推奨・現行の暫定値】　B) 契約金額で判断する　C) 切り離しは行わない（全社共有のまま）　D) 未確定</t>
  </si>
  <si>
    <t>Q87</t>
  </si>
  <si>
    <t>お客様企業のログイン基盤が署名に使う鍵を入れ替えるとき、事前にご連絡いただく取り決めを契約に入れますか。</t>
  </si>
  <si>
    <t>A) 入れる（入れ替えの2週間前までにご連絡いただく）【弊社の推奨・現行の暫定値】
B) 入れない（弊社側で自動追従できる範囲で対応する）
C) 未確定</t>
  </si>
  <si>
    <t>Q88</t>
  </si>
  <si>
    <t>利用者がパスワードを設定するとき、過去に世の中へ流出したパスワードでないか照合して、該当したら拒否する機能を入れますか。</t>
  </si>
  <si>
    <t>A) 入れる（外部の照合サービスを利用）【弊社の推奨】
B) 入れない（文字数と文字種のルールのみで判定）【現行の暫定値 — 要件表では未確定】
C) 未確定</t>
  </si>
  <si>
    <t>Q89</t>
  </si>
  <si>
    <t>「誰がいつ、どの設定を変更したか」の履歴を、お客様企業の管理者が自分で閲覧できるようにしますか。</t>
  </si>
  <si>
    <t>A) 自社に関する変更のみ閲覧できる（他社の変更は見えない）【弊社の推奨・現行の暫定値】
B) 閲覧できない（ご要望があれば弊社が抽出してお渡しする）
C) 未確定</t>
  </si>
  <si>
    <t>Q90</t>
  </si>
  <si>
    <t>お客様企業の管理者の権限を、役割ごとに細かく分ける必要はありますか（例: 利用者の追加はできるが削除はできない）。</t>
  </si>
  <si>
    <t>Q91</t>
  </si>
  <si>
    <t>監査を受ける際、「誰がどの操作を許可されたか・拒否されたか」の記録として、どこまでの細かさを求められる見込みですか。</t>
  </si>
  <si>
    <t>A) 拒否は全件、重要な操作の許可は全件、通常の閲覧はまとめて記録【弊社の推奨・現行の暫定値】
B) すべての操作を1件ずつ記録
C) 記録は不要（誰がログインしたかの記録だけで足りる）
D) 未確定</t>
  </si>
  <si>
    <t>Q92</t>
  </si>
  <si>
    <t>データの暗号化に使う鍵を、お客様企業ごとに別々に用意する必要はありますか。</t>
  </si>
  <si>
    <t>A) 不要（本サービス全体で共通の鍵を使う。鍵はAWSの鍵管理サービスで保護）【弊社の推奨・現行の暫定値】
B) 必要（対象となるお客様と、その理由をご記入ください）
C) 未確定</t>
  </si>
  <si>
    <t>Q93</t>
  </si>
  <si>
    <t>外部の専門業者による疑似的な攻撃の検査を、どの頻度で実施しますか。</t>
  </si>
  <si>
    <t>A) リリース前に1回＋以降は年1回【弊社の推奨】
B) リリース前に1回のみ（以降は大きな変更時）
C) 年2回以上（頻度をご記入ください）
D) 実施しない
E) 未確定</t>
  </si>
  <si>
    <t>Q94</t>
  </si>
  <si>
    <t>本サービスの運用に必要な人手を、どの規模で見込みますか。</t>
  </si>
  <si>
    <t>A) 運用者10名体制（リード3名＋各系統の担当＋緊急時の鍵管理者2名）【弊社の推奨・現行の暫定値】
B) これより小さい規模で始めたい（想定人数をご記入ください）
C) 未確定</t>
  </si>
  <si>
    <t>Q85（参照）</t>
  </si>
  <si>
    <t>（Q85の(b)に対応）どういう条件を満たしたお客様を、共有環境から切り離して別環境に移すことにしますか。設問本体はNFR-PERF-006（Q85）に記載</t>
  </si>
  <si>
    <t>Q07（参照）</t>
  </si>
  <si>
    <t>（Q07の小問(b)に対応）新規のお客様企業を月平均何社追加しますか。設問本体はNFR-SCL-004（Q07）に記載</t>
  </si>
  <si>
    <t>（Q07に対応）テナント追加の運用SLA。設問本体はNFR-SCL-004（Q07）に記載</t>
  </si>
  <si>
    <t>Q14（参照）</t>
  </si>
  <si>
    <t>（Q14〜Q17の追加小問に対応）お客様のログイン基盤との接続方式はSAMLかOIDCか。設問本体はFR-FED-001（Q14）ほかに記載</t>
  </si>
  <si>
    <t>（Q14〜Q17の追加小問に対応）接続する顧客企業の総数。設問本体はFR-FED-001（Q14）ほかに記載</t>
  </si>
  <si>
    <t>Q02（参照）</t>
  </si>
  <si>
    <t>（Q02に対応）3年後の想定利用者数。設問本体はNFR-SCL-001b（Q02）に記載</t>
  </si>
  <si>
    <t>Q46（参照）</t>
  </si>
  <si>
    <t>（Q46に対応）拠点・利用者の地理分布。設問本体はNFR-COMP-002（Q46）に記載</t>
  </si>
  <si>
    <t>Q35（参照）</t>
  </si>
  <si>
    <t>（Q35に対応）リセット依頼者の本人確認。設問本体はFR-AUTH-013b（Q35）に記載</t>
  </si>
  <si>
    <t>Q50（参照）</t>
  </si>
  <si>
    <t>（Q50に対応）保守要員の地理制限。設問本体はG-DPA-a（Q50）に記載</t>
  </si>
  <si>
    <t>Q25（参照）</t>
  </si>
  <si>
    <t>（Q25に対応）ログイン画面のカスタマイズ可否。設問本体はFR-FED-014b（Q25）に記載</t>
  </si>
  <si>
    <t>B-TAP-1で回収</t>
  </si>
  <si>
    <t>△ 重複：B-TAP-1（管理画面の必要性）と同一論点。質問状には単独で載せない（2026-08-17 Git仕分け）</t>
  </si>
  <si>
    <t>説明資料</t>
  </si>
  <si>
    <t>Q86（参照）</t>
  </si>
  <si>
    <t>（Q86に対応）自動登録された利用者の初期権限。JIT採用自体は確定済みで、残論点はB-401-2（Q86）。設問本体はB-401-2に記載</t>
  </si>
  <si>
    <t>要件表を「不要」で確定させ、LDAP経路の対象外化（C-8、1人日 — 削除ではなく降格し provisioned_by=ldap は将来用に予約）を実施する</t>
  </si>
  <si>
    <t>SCIMとJITのどちらを主とし、競合したときどちらを優先するかの規約をU3で定める。自作SCIM Facadeの規格適合と規模の実測（A-3、20人日）の結果を待って応答目標を確定する</t>
  </si>
  <si>
    <t>禁則K-1（Realm全体の取り込み・書き出しの全面禁止）との矛盾を解消し、投入経路を ①SCIM受信 ②JIT任せ ③自作の一括投入API の3案から選ぶ。既存利用者の投入方式に関する顧客ヒアリング（B-403）の回答が入力になる。決裁＝設計リード＋移行担当</t>
  </si>
  <si>
    <t>メール送信基盤を設計する（D-6＝基本設計3人日／DU-U6-12＝詳細設計・構築6人日。送信元ドメインの認証設定、サンドボックス解除、Realm単位の設定管理）。あわせて業務用メールを持たない利用者向けの代替（管理者による直接配布）をU4に起票する。決裁＝設計リード</t>
  </si>
  <si>
    <t>外部通信の許可運用（G-EGRESS）を、他組織向け要求仕様書v1（B-1、12人日）に載せて正式合意する。決裁＝他組織（外部）</t>
  </si>
  <si>
    <t>管理API周辺5点の設計（D-9、5人日 — 権限台帳×アプリ台帳のスキーマ統合／監査の二重書き／承認画面の共用／外形監視の範囲／目標値の境界）を実施する。決裁＝設計リード（U10×U9合同）</t>
  </si>
  <si>
    <t>管理API周辺5点の設計（D-9、5人日）で権限台帳のスキーマを確定し、あわせて棚卸しの頻度と実施主体（B-IGA-REC-1）を決める。決裁＝設計リード＋運用リード</t>
  </si>
  <si>
    <t>小粒の実機確認4点セット（A-11、2人日 — 複数クラスタ版数／ROSAの署名情報／Red Hat文書の本文確認／別形式の接続情報配布の提供有無）を実施し、結果を接続情報の配布規約（決定D-U5-15）へ反映する</t>
  </si>
  <si>
    <t>SAML接続情報の自動更新機能の実機確認（A-9、2人日 — 文書と実装の乖離疑い、Discussion #27828未解決）を実施し、結果をIdP証明書の更新運用設計（D-12、3人日）へ反映する</t>
  </si>
  <si>
    <t>管理APIの内部ルートとサービス間の認可（D-5、3人日）を先に確定する。決裁＝設計リード</t>
  </si>
  <si>
    <t>U9で「データベース応答を独立した測定対象にするか」を判断し、内部目標表（決定D-U9-04。現在はログイン／通行証発行／管理／JWKS／管理画面／権限確認の6行のみ）にデータベースの行を足すか、要件を取り下げるかを決める</t>
  </si>
  <si>
    <t>サイジング是正（C-1、4人日 — Pod数の不整合是正、少数大型Podへの設計判断、接続数の予算規約追加）を実施する。1000/2000社規模の実測PoC（A-1、25人日）の結果が入れば確度は上がるが、A-1は後追い検証に格下げ済みのため仮定値で先に確定してよい。決裁＝設計リード</t>
  </si>
  <si>
    <t>要件表の「年1回以上」を、署名鍵90日ごと交換・30日並走（決定D-U7-03）に合わせて是正する。ADR反映残の一括処理（C-3、4人日）に含める</t>
  </si>
  <si>
    <t>継続的なコスト管理の設計（E-3＝FinOps、4人日 — タグ戦略・予算アラート・テナント別原価・3年見積回収）、またはADR-056の採用条件②である3年契約見積の取得と合わせて再算定する。基本設計244人日には含まれない別枠</t>
  </si>
  <si>
    <t>2クラスタ構成（P-17）＋コールドDR（P-05）＋フェデ:IdP-KC 50:50比率を反映して再算定する。継続的なコスト管理の設計（E-3、4人日）で扱う。決裁＝設計リード＋事業側</t>
  </si>
  <si>
    <t>コールドDR転換（P-05）に合わせて再算定する。継続的なコスト管理の設計（E-3、4人日）に含める。決裁＝設計リード</t>
  </si>
  <si>
    <t>要件表を「追加費用なし（ROSAに内包）」へ是正する。ADR反映残の一括処理（C-3、4人日）に含める</t>
  </si>
  <si>
    <t>想定規模をP-02（初回100〜500万／天井1,000万）に合わせて見直すか、要件自体を月額固定インフラ費（NFR-COST-002）へ統合するかを決める。継続的なコスト管理の設計（E-3、4人日）で扱う</t>
  </si>
  <si>
    <t>なし（確定）。並行稼働の詳細手順はServiceNowの移行・並走・削除連鎖の設計詰め（D-16、4人日）で作成する</t>
  </si>
  <si>
    <t>質問状Q07で新規顧客の追加頻度を回収する。頻度が高い場合は新規接続パイプライン（DU-U9O-04、新規接続6ステップの自動化）の優先度を上げる</t>
  </si>
  <si>
    <t>記録先・記録内容・粒度は決定済み（D-U9-20＝拒否は全件、高権限操作の許可は全件、一般の閲覧は集約）のため、残るのは顧客への提供頻度の確認のみ。質問状Q91で回収する</t>
  </si>
  <si>
    <t>アプリチームに現行のパスワード保管方式を調査依頼する。結果で、旧ハッシュを変換する自作部品（DU-U10-11、8人日）が必要かどうかと追加費用の有無が確定する</t>
  </si>
  <si>
    <t>質問状Q68（③章・最優先）で一斉再設定の可否と配布手段を確認する。現行ハッシュ方式（B-MIG-1）の回答と併せて、旧ハッシュ変換部品（DU-U10-11、8人日）の要否を確定する</t>
  </si>
  <si>
    <t>削除伝播（DU-U3-05）と再有効化の対称伝播（DU-U3-09、9人日）を、詳細設計＋構築の枠で実施する</t>
  </si>
  <si>
    <t>管理APIの内部ルートとサービス間の認可（D-5、3人日）を実施して確定する</t>
  </si>
  <si>
    <t>サイジング是正（C-1、4人日）と継続的なコスト管理の設計（E-3、4人日）の前提になるため早期に決着させる。あわせてBaseline §1.1のP-17本文を、業務アプリを同居させない方針（2026-08-06のE判断／ADR-063）に合わせて更新する（前提の整合作業C-2に4点目として追加）</t>
  </si>
  <si>
    <t>他組織向け要求仕様書v1（B-1、12人日）を発行し、REQ 24件の回答を回収する。壁時計の律速は工数ではなく先方のリードタイムのため、W0で最優先に投げる</t>
  </si>
  <si>
    <t>初期設備の台数と初年度コストを100〜500万規模で再算定する。継続的なコスト管理の設計（E-3、4人日）で扱う。天井1,000万の設計値は変更しない</t>
  </si>
  <si>
    <t>NFR-DR-001/002/003の顧客回答を待って方式を確定する。確定後にADR-051を改訂し、災害対策のコールド化とデータ保全の改訂（D-18、8人日 — ADR-051全面改訂＋大阪常時コスト削除＋復旧手順書改訂）とコスト見積もりを作り直す</t>
  </si>
  <si>
    <t>自作SCIM Facadeの規格適合と規模の実測（A-3、20人日）を実施する。W1の技術ゲート群に含まれ、他ゲートと並走可。決裁＝設計リード（実施判断は済み）</t>
  </si>
  <si>
    <t>他組織向け要求仕様書v1（B-1、12人日）で許可運用の方式を合意する。①自社へ委任 または ③全面事前登録 でないと、新規顧客接続の1営業日以内（NFR-SCL-004）は保証できない</t>
  </si>
  <si>
    <t>1000/2000社規模の実測PoC（A-1、25人日）はW1以降で実施する。仮定値（1000/2000 IdP、フェデ:IdP-KC 50:50）のまま詳細設計へ進んでよい。決裁＝済（2026-07-30）</t>
  </si>
  <si>
    <t>NFR-DR-001/002/003の顧客回答を待ってから、他組織向け要求仕様書v1（B-1、12人日）に復旧時間とデータ喪失量の数値を載せて関係組織と合意する</t>
  </si>
  <si>
    <t>着手可（依存なし）。結果はSAML IdPの設定ひな形作成（D-11、2人日）の入力になる</t>
  </si>
  <si>
    <t>SAML経由の自動登録の検証（A-5、4人日）の後に着手を推奨。商用IdP（Entra ID／Okta）の試用環境確保が前提で外部リードタイムがある</t>
  </si>
  <si>
    <t>SAML経由の自動登録の検証（A-5、4人日 — 名前識別子の扱いの差を確認）の結果待ち</t>
  </si>
  <si>
    <t>ADR-040／036の別スレッド完了後の統合（F-4、2人日）待ち。※ADR-040は2026-07-23にPhase 1実装対象へ格上げ済みのため、前提が変わっていないか要確認</t>
  </si>
  <si>
    <t>自作SCIM Facadeの規格適合と規模の実測（A-3、20人日）が入力。※ADR-062でidm-apiはLambdaと確定済みのため、Facadeも同じ判断枠に載るか要確認</t>
  </si>
  <si>
    <t>着手可（依存なし）。機能が存在しない場合は、IdP証明書の更新運用設計（D-12、3人日）で運用による代替を設計する</t>
  </si>
  <si>
    <t>他組織向け要求仕様書v1（B-1、12人日）と同時に発行する</t>
  </si>
  <si>
    <t>他組織向け要求仕様書v1（B-1、12人日）の発行後に着手。※G-PCI-WAFは2026-07-30に廃止、G-EDGE-DRも転換済みで実質1ゲート（G-EGRESS）のみ。タスク内容の見直しが必要</t>
  </si>
  <si>
    <t>他組織向け要求仕様書v1（B-1、12人日）の追補として発行する</t>
  </si>
  <si>
    <t>負荷試験の一元計画書（E-2、4人日）を先に作ってから着手する。着手可（環境費のみ）</t>
  </si>
  <si>
    <t>1000/2000社規模の実測PoC（A-1、25人日）の環境に相乗りして実施する</t>
  </si>
  <si>
    <t>1000/2000社規模の実測PoC（A-1、25人日）の環境に相乗りして実施する。イベント送出の流量が通行証発行の応答時間に与える遅延（決定D-U7-04a）の妥当性検証を兼ねる</t>
  </si>
  <si>
    <t>即着手可。1000/2000社規模の実測PoC（A-1、25人日）のクリティカルパス上流にあたるためW0で着手する</t>
  </si>
  <si>
    <t>SAML接続情報の自動更新機能の実機確認（A-9、2人日）の結果待ち</t>
  </si>
  <si>
    <t>着手可（依存なし）。結果は接続情報の配布規約（決定D-U5-15）ほかへ反映する</t>
  </si>
  <si>
    <t>即着手可。招待メール送信（FR-USER-012）の前提。※SES基盤の構築（DU-U6-12、6人日）は同じ題材だが工程が違う（D-6＝基本設計244人日枠／DU-U6-12＝詳細設計+構築1,030人日枠）ため二重計上ではない</t>
  </si>
  <si>
    <t>即着手可。小粒の実機確認4点セット（A-11、2人日）と連動する</t>
  </si>
  <si>
    <t>即着手可。ADR-051の改訂は、災害対策のコールド化とデータ保全の改訂（D-18、8人日）と一体で実施すること</t>
  </si>
  <si>
    <t>Q66（参照）</t>
  </si>
  <si>
    <t>（Q66に対応）米国政府が認定した暗号方式の要否。設問本体はNFR-COMP-006a（Q66）に記載</t>
  </si>
  <si>
    <t>（Q46に対応）国外に住む利用者の有無とデータ保管場所。設問本体はNFR-COMP-002（Q46）に記載</t>
  </si>
  <si>
    <t>（Q04に対応）災害時の復旧目標。合意する数値の設問本体はNFR-DR-001（Q04）に記載</t>
  </si>
  <si>
    <t>Q91（参照）</t>
  </si>
  <si>
    <t>（Q91に対応）棚卸しの頻度と実施主体。関連する設問本体はB-AUTHZLOG-1（Q91）に記載。責任分界の説明資料1枚で B-NHI-1・B-CONSENT-1 と併せて扱う</t>
  </si>
  <si>
    <t>B-TAP-1/B-TAP-3で回収</t>
  </si>
  <si>
    <t>（Excelに独立行なし）テナント管理者にどこまで操作を任せるかの責任分界。Gitのヒアリング項目 B-TAP-1（管理画面の必要性）／B-TAP-3（機能範囲）で回収する</t>
  </si>
  <si>
    <t>△ 回収先がExcelに無い：Gitのヒアリング一覧にのみ存在する項目で回収する。独立行として起票するかは要判断（2026-08-17）</t>
  </si>
  <si>
    <t>B-402で回収</t>
  </si>
  <si>
    <t>（Excelに独立行なし）利用者本人が自分で編集できる範囲。Gitのヒアリング項目 B-402（セルフサービス機能の範囲）で回収する</t>
  </si>
  <si>
    <t>B-TENANT-EXIT-1で回収</t>
  </si>
  <si>
    <t>（Excelに独立行なし）お客様企業の追加・削除の実施主体と離脱時の扱い。Gitのヒアリング項目 B-TENANT-EXIT-1 で回収する</t>
  </si>
  <si>
    <t>B-TAP-3で回収</t>
  </si>
  <si>
    <t>（Excelに独立行なし）ロール定義を誰が管理するか。Gitのヒアリング項目 B-TAP-3（機能範囲）で回収する。ADR-038の3層スコープと連動</t>
  </si>
  <si>
    <t>B-403/B-TAP-7で回収</t>
  </si>
  <si>
    <t>（Excelに独立行なし）既存利用者の一括投入の経路と上限件数。Gitのヒアリング項目 B-403（既存利用者の投入方式）／B-TAP-7 で回収する</t>
  </si>
  <si>
    <t>△ 区分是正：次のアクションはメール送信基盤の設計そのもので、顧客に聞く事項ではない。顧客の運用方針が要る場合はB-402側で回収する（2026-08-17 整合性監査）</t>
  </si>
  <si>
    <t>△ 区分是正：次のアクションは管理API周辺5点の設計（D-9）で、社内の設計作業。アプリ側への確認事項は含まれない（2026-08-17 整合性監査）</t>
  </si>
  <si>
    <t>△ 区分是正：次のアクションは内部ルートとサービス間の認可（D-5）の確定で、社内の設計作業。ラッパーの実装主体はD-5の中で決める（2026-08-17 整合性監査）</t>
  </si>
  <si>
    <t>△ 区分是正：回答は質問状ではなく営業・調達情報からの見込み判断。顧客に設問として投げるものではない（2026-08-17 整合性監査）</t>
  </si>
  <si>
    <t>△ 区分是正：調達要件になる見込みが立った時点でADR-065と合わせて再評価する社内判断。顧客への設問ではない（2026-08-17 整合性監査）</t>
  </si>
  <si>
    <t>ログイン時にセッション識別子を作り替える（セッション固定攻撃対策）。Keycloakの標準動作で対応でき、実装の既定値として有効。顧客が選ぶ性質のものではないため顧客確認は不要と決定（2026-08-17 Git仕分け）。応答の均一化とアカウントの存在を返さない対策も決定済み</t>
  </si>
  <si>
    <t>なし（確定）。要件表を「必須・製品標準機能で対応」で確定させ、顧客説明資料には「対策済み」として記載する</t>
  </si>
  <si>
    <t>△ 状況是正：外部待ち→確定。顧客ヒアリング不要と決定済みなのに状況が旧いままだった（2026-08-17 整合性監査）</t>
  </si>
  <si>
    <t>更新作業の自動化の範囲。CI＝GitHub Actions／CD＝OpenShift GitOps／Registry＝ECR／Secret＝ESO（決定D-U9-12）で方式は決定済み。顧客が選ぶ性質ではなく社内の実装方式のため顧客確認は不要（2026-08-17 Git仕分け）。残るのは、設定・アプリ・製品本体のどこまでを自動化の対象にするかの範囲決め</t>
  </si>
  <si>
    <t>自動化の適用範囲をU9で決める。自動化しない場合の作業時間と人的ミスの発生率を出して投資判断の材料にする</t>
  </si>
  <si>
    <t>△ 状況是正：外部待ち→検討中。顧客ヒアリング不要と決定済みだが範囲の詰めが残るため（2026-08-17 整合性監査）</t>
  </si>
  <si>
    <t>他組織向け要求仕様書v1を発行する（12人日）。REQ-IN-01〜13／REQ-OUT-01〜06／REQ-DR-01〜05の計24件は全件未回答。即発行可で、壁時計の律速は先方の回答リードタイムのためW0で最優先に投げる</t>
  </si>
  <si>
    <t>△ 状況是正：外部待ち→検討中。本行は「要求仕様書を作って出す」自社タスクで、着手を妨げるものはない。回答待ちの状態はP-18・G-EGRESS側で管理する（2026-08-17 整合性監査）</t>
  </si>
  <si>
    <t>IPアドレス帯の台帳を凍結する（2人日）。構築後に変更できないため構築前に必須。社内ネットワークチームへ一覧を依頼する。W0で着手</t>
  </si>
  <si>
    <t>△ 状況是正：外部待ち→検討中。依頼先は社内ネットワークチームで、外部組織の回答待ちではない（2026-08-17 整合性監査）</t>
  </si>
  <si>
    <t>ADR-040／036の別スレッド完了後の統合（2人日）。別スレッドの完了を確認してから着手する。※ADR-040は2026-07-23にPhase 1実装対象へ格上げ済みのため、「対象外の残存参照を整理する」というタスク説明自体が古い可能性がある</t>
  </si>
  <si>
    <t>△ 状況是正：外部待ち→検討中。待っているのは社内の別スレッドで、外部組織・顧客の回答待ちではない（2026-08-17 整合性監査）</t>
  </si>
  <si>
    <t>法務系の起票と追撃（2人日）。基盤ベンダーとのデータ取扱い契約・鍵管理者合意・報告雛形・契約テンプレを最優先で起票する。実質残ブロッカーの1つ（保守要員の海外からの閲覧）で、質問状Q50と連動する</t>
  </si>
  <si>
    <t>△ 状況是正：外部待ち→検討中。起票そのものは自社作業で着手を妨げるものはない。回答待ちはQ50（G-DPA-a）側で管理する（2026-08-17 整合性監査）</t>
  </si>
  <si>
    <t>○ 妥当：外部待ちのまま。質問状の回答回収が着手条件のため（2026-08-17 整合性監査で確認）</t>
  </si>
  <si>
    <t>属性の受け渡し・越境・利用目的に対する同意を、認証基盤とアプリのどちらが管理するか。「アプリか認証基盤かわからない」は判断の保留であって対象外ではない（2026-08-17 Git是正）。B-NHI-1・B-IGA-REC-1と同じ「基盤かアプリか」の構造のため、3件まとめて責任分界の説明資料1枚で扱う</t>
  </si>
  <si>
    <t>責任分界の説明資料1枚をB-NHI-1・B-IGA-REC-1と併せて作成し、基盤とアプリのどちらが同意を管理するかを決める</t>
  </si>
  <si>
    <t>複数の地域で同時に稼働させる必要があるか。更新メモの「必須で確定」は前提P-15（東京常用・大阪は災害時のみ）と矛盾していた。実際は災害対策の方式（Q04の3択）に従属する論点で、②複製だけ常時／③設備も常時 を選んだ場合にのみ大阪を平常時から動かすことになる（2026-08-17 Git是正）</t>
  </si>
  <si>
    <t>災害対策の方式（Q04）の回答を待って確定する。①コールドなら同時稼働なし、②③なら大阪を平常時から動かす構成になる</t>
  </si>
  <si>
    <t>（Q04に対応）複数地域での同時稼働の要否。災害対策の方式に従属する。設問本体はNFR-DR-001（Q04）に記載</t>
  </si>
  <si>
    <t>A) 3段階（弊社の運用者／お客様の管理者／参照のみ）【弊社の推奨・現行の暫定値】
B) 5段階（上記＋利用者管理のみ／設定変更のみ に分割）
C) 操作単位で個別に割り当て（利用者の追加・削除・権限変更・設定変更・記録閲覧をそれぞれ許可／不許可で指定）
D) 分けない（管理者は全操作可能）
E) 未確定</t>
  </si>
  <si>
    <t>Q90（参照）</t>
  </si>
  <si>
    <t>（Q90に対応）管理画面の操作権限をどこまで細かく分けるか。設問本体はFR-ADMIN-010（Q90）に記載</t>
  </si>
  <si>
    <t>大阪で復旧するまでにかかってよい時間と、失ってよいデータ量の組み合わせを、次の3つからお選びください。／この場面での「失ってよいデータ量」は5分以内でよろしいですか。
※ご希望値（復旧1日／データ5分）は③が必要で、年440万円の追加になります。①→②の差は月1万円弱で「失うデータが数時間→1分未満」に変わり、②→③の差は月36万円（年440万円）で買えるのは「復旧が数日→1日以下」だけです。お金がかかるのは早く復旧することで、データを失わないこと自体は安価です。</t>
    <phoneticPr fontId="2"/>
  </si>
  <si>
    <t>【案の比較】
① コールド（現行の設計）… 大阪に平常時は何も置かない
　復旧まで 約14日／失うデータ 数時間ぶん／大阪の追加費用 約0.9万円（100万人）・約8万円（1,000万人）
　内訳：控えの複製・変更不能な保管・復元用の鍵 のみ（4項目）
② 複製のみ（弊社の推奨）… データの複製だけ常時流す
　復旧まで 数日／失うデータ 1分未満／大阪の追加費用 約1.7万円（100万人）・約16万円（1,000万人）
　内訳：①＋データベースの常時複製ほか（計10項目）
③ 常時稼働… 設備も平常時から動かしておく
　復旧まで 1日以下／失うデータ 1分未満／大阪の追加費用 約38万円（100万人）・約53万円（1,000万人）
　内訳：②＋サーバー群・データベースの待機機・通信装置（計20項目）
【方式の選択】A) ①　B) ②【弊社の推奨】　C) ③　D) 未確定
【データ喪失の許容】A) 5分以内【弊社の推奨・現行設計で達成済み】　B) それより短くしたい（希望値をご記入ください）　C) もっと長くてよい</t>
    <phoneticPr fontId="2"/>
  </si>
  <si>
    <t>質問状Q04（金額入り3択）で顧客に確認する。①→②の差額は月1万円弱、②→③の差額は月36万円（年440万円）。ご希望値（復旧1日／データ5分）は③が必要である点を明示して再考いただく</t>
  </si>
  <si>
    <t>(a) 新しいお客様企業のログイン連携を、お申し込みから何日で使える状態にする必要がありますか。／(b) 新しいお客様企業を、月平均で何社追加する見込みですか。</t>
    <phoneticPr fontId="2"/>
  </si>
  <si>
    <t>【(a) 所要日数】A) 1営業日以内【弊社の推奨・現行の暫定値】　B) 3〜5営業日でよい　C) 数時間以内（即日）が必要
【(b) 追加頻度】A) 具体的な社数をご記入ください（例: 月5社）　B) 概算（〜5社／〜20社／〜50社／それ以上）　C) 未確定</t>
    <phoneticPr fontId="2"/>
  </si>
  <si>
    <t>（Q04の対象）失ってよいデータ量。①数時間ぶん／②③1分未満。設問本体はNFR-DR-001（Q04）に記載</t>
  </si>
  <si>
    <t>（Q04の対象）バックアップの別地域への複製。②③では常時複製になる。設問本体はNFR-DR-001（Q04）に記載</t>
  </si>
  <si>
    <t>（Q04に対応）災害対策の方式。①約0.9万円／②約1.7万円／③約38万円（いずれも月額・100万人規模）。設問本体はNFR-DR-001（Q04）に記載</t>
  </si>
  <si>
    <t>https://aws.amazon.com/jp/ec2/pricing/on-demand/</t>
  </si>
  <si>
    <t>c7g.xlarge（D-U6-04）</t>
  </si>
  <si>
    <t>c7g.large（default/infra Pool）</t>
  </si>
  <si>
    <t>https://aws.amazon.com/jp/rosa/pricing/</t>
  </si>
  <si>
    <t>取得済（変更なし）</t>
  </si>
  <si>
    <t>https://aws.amazon.com/jp/ebs/pricing/</t>
  </si>
  <si>
    <t>https://aws.amazon.com/jp/rds/aurora/pricing/</t>
  </si>
  <si>
    <t>db.r7g.xlarge 標準ストレージ構成</t>
  </si>
  <si>
    <t>1人あたり約2KB＋索引</t>
  </si>
  <si>
    <t>I/O 件</t>
  </si>
  <si>
    <t>※単位を「100万リクエスト」から「I/O 件」へ是正。件数×単価で計算する</t>
  </si>
  <si>
    <t>※DR案②③でのみ発生。案①では0</t>
  </si>
  <si>
    <t>https://aws.amazon.com/jp/elasticloadbalancing/pricing/</t>
  </si>
  <si>
    <t>別途 LCU 0.006/時</t>
  </si>
  <si>
    <t>別途 LCU</t>
  </si>
  <si>
    <t>https://aws.amazon.com/jp/cloudfront/pricing/</t>
  </si>
  <si>
    <t>日本向け転送。別途リクエスト 0.0000012/件</t>
  </si>
  <si>
    <t>https://aws.amazon.com/jp/waf/pricing/</t>
  </si>
  <si>
    <t>0.0000006/件×100万。別途 Rule 1.0/月</t>
  </si>
  <si>
    <t>https://aws.amazon.com/jp/privatelink/pricing/</t>
  </si>
  <si>
    <t>クエリ</t>
  </si>
  <si>
    <t>https://aws.amazon.com/jp/route53/pricing/</t>
  </si>
  <si>
    <t>※単位を「100万クエリ」から「クエリ」へ是正。別途ゾーン 0.50/月</t>
  </si>
  <si>
    <t>東京→大阪</t>
  </si>
  <si>
    <t>CloudFront経由のため直接転送は限定的</t>
  </si>
  <si>
    <t>リクエスト</t>
  </si>
  <si>
    <t>https://aws.amazon.com/jp/lambda/pricing/</t>
  </si>
  <si>
    <t>※単位を「100万リクエスト」から「リクエスト」へ是正。別途 GB秒 0.0000166667</t>
  </si>
  <si>
    <t>※単位を「100万リクエスト」から「リクエスト」へ是正。別途 GB秒</t>
  </si>
  <si>
    <t>https://aws.amazon.com/jp/api-gateway/pricing/</t>
  </si>
  <si>
    <t>※単位を「100万リクエスト」から「リクエスト」へ是正。HTTP API</t>
  </si>
  <si>
    <t>イベント</t>
  </si>
  <si>
    <t>https://aws.amazon.com/jp/eventbridge/pricing/</t>
  </si>
  <si>
    <t>※単位を「100万イベント」から「イベント」へ是正。8Kチャンク</t>
  </si>
  <si>
    <t>書込単位</t>
  </si>
  <si>
    <t>https://aws.amazon.com/jp/dynamodb/pricing/</t>
  </si>
  <si>
    <t>※単位を「100万リクエスト」から「書込単位」へ是正。オンデマンド</t>
  </si>
  <si>
    <t>https://aws.amazon.com/jp/kms/pricing/</t>
  </si>
  <si>
    <t>別途 API 0.000003/件</t>
  </si>
  <si>
    <t>https://aws.amazon.com/jp/secrets-manager/pricing/</t>
  </si>
  <si>
    <t>https://aws.amazon.com/jp/private-ca/pricing/</t>
  </si>
  <si>
    <t>https://aws.amazon.com/jp/backup/pricing/</t>
  </si>
  <si>
    <t>https://aws.amazon.com/jp/cloudwatch/pricing/</t>
  </si>
  <si>
    <t>取り込み。別途保管 0.033/GB-月</t>
  </si>
  <si>
    <t>https://aws.amazon.com/jp/opensearch-service/pricing/</t>
  </si>
  <si>
    <t>m6g.large.search 想定</t>
  </si>
  <si>
    <t>https://aws.amazon.com/jp/s3/glacier/pricing/</t>
  </si>
  <si>
    <t>Deep Archive</t>
  </si>
  <si>
    <t>通</t>
  </si>
  <si>
    <t>https://aws.amazon.com/jp/ses/pricing/</t>
  </si>
  <si>
    <t>※単位を「1000通」から「通」へ是正</t>
  </si>
  <si>
    <t>3系統</t>
  </si>
  <si>
    <t>災害対策（DR）案別 追加コスト内訳 — 予備地域（大阪）分のみ</t>
  </si>
  <si>
    <t>出典: doc/basic-design/research/dr-cost-breakdown-2026-08-17.tsv（AWS Price List Bulk API より 2026-08-17 取得）／質問状Q04と連動</t>
  </si>
  <si>
    <t>○=その案で発生する費用／—=発生しない。東京側の費用は含まない（コスト見積もりシートを参照）</t>
  </si>
  <si>
    <t>案①コールド</t>
  </si>
  <si>
    <t>案②複製のみ</t>
  </si>
  <si>
    <t>案③常時稼働</t>
  </si>
  <si>
    <t>スナップショットのクロスリージョンコピー</t>
  </si>
  <si>
    <t>D-U8-14のL2。定期取得の控えを予備地域へ複製</t>
  </si>
  <si>
    <t>東京側Auroraデータ量と同程度×世代分</t>
  </si>
  <si>
    <t>○</t>
  </si>
  <si>
    <t>変更不能な控え（Backup Vault Lock・予備地域）</t>
  </si>
  <si>
    <t>D-U8-14のL3。攻撃者にも消せない最後の砦</t>
  </si>
  <si>
    <t>上記と同量。クロスリージョン保管単価</t>
  </si>
  <si>
    <t>暗号鍵の予備地域レプリカ（KMS MRK）</t>
  </si>
  <si>
    <t>ADR-045／U7 D-U7-01。復元時に鍵が無いと開けない</t>
  </si>
  <si>
    <t>Aurora・監査ログ系の鍵のみ</t>
  </si>
  <si>
    <t>データ転送（東京→大阪・複製分）</t>
  </si>
  <si>
    <t>スナップショット複製に伴う拠点間転送</t>
  </si>
  <si>
    <t>月次の増分データ量</t>
  </si>
  <si>
    <t>Aurora Global Database 副系ストレージ（認証用）</t>
  </si>
  <si>
    <t>D-U8-14のL1。計算資源ゼロでデータ層のみ維持。RPO&lt;1分の唯一の手段</t>
  </si>
  <si>
    <t>東京側Auroraストレージと同量</t>
  </si>
  <si>
    <t>Aurora Global Database 副系ストレージ（権限系）</t>
  </si>
  <si>
    <t>同上。ブランド側 authz/idmap/projection（DU-U8-10）</t>
  </si>
  <si>
    <t>権限系ストレージと同量</t>
  </si>
  <si>
    <t>Aurora Global Database 複製 I/O</t>
  </si>
  <si>
    <t>副系への継続レプリケーション。書込量に比例</t>
  </si>
  <si>
    <t>東京側Aurora書込I/O件数</t>
  </si>
  <si>
    <t>DynamoDB Global Tables（予備地域）</t>
  </si>
  <si>
    <t>ADR-051 §B.2。ITDR/Adaptive/テナント監査/DSAR</t>
  </si>
  <si>
    <t>複製書込単位の件数</t>
  </si>
  <si>
    <t>複製書込単位</t>
  </si>
  <si>
    <t>S3 クロスリージョンレプリケーション</t>
  </si>
  <si>
    <t>ADR-051 §B.3。監査ログ・SPA・DSARエクスポート</t>
  </si>
  <si>
    <t>予備地域側の保管量</t>
  </si>
  <si>
    <t>https://aws.amazon.com/jp/s3/pricing/</t>
  </si>
  <si>
    <t>ECR クロスリージョンレプリケーション</t>
  </si>
  <si>
    <t>D-U8-14。SPI・コンテナ像。無いと再構築が始められない</t>
  </si>
  <si>
    <t>イメージ総量（規模非依存）</t>
  </si>
  <si>
    <t>https://aws.amazon.com/jp/ecr/pricing/</t>
  </si>
  <si>
    <t>ROSA 制御部分（予備地域）×2クラスタ</t>
  </si>
  <si>
    <t>案③のみ。クラスタを平時から維持</t>
  </si>
  <si>
    <t>2クラスタ×730時間</t>
  </si>
  <si>
    <t>ROSA 計算ノード（予備地域・縮小構成）</t>
  </si>
  <si>
    <t>案③のみ。m5.xlarge相当。被災時に増設</t>
  </si>
  <si>
    <t>2台×2クラスタ×730時間</t>
  </si>
  <si>
    <t>ROSA サービス料（予備地域ワーカー）</t>
  </si>
  <si>
    <t>案③のみ。ノードvCPU総数に比例</t>
  </si>
  <si>
    <t>ノード合計vCPU÷4×730時間</t>
  </si>
  <si>
    <t>EBS（予備地域ノード用・gp3）</t>
  </si>
  <si>
    <t>案③のみ。待機ノードのOS・作業領域</t>
  </si>
  <si>
    <t>1台100GB×4台</t>
  </si>
  <si>
    <t>Aurora 読取インスタンス（予備地域・認証用）</t>
  </si>
  <si>
    <t>案③のみ。副系に計算資源を置き昇格を数分で完了させる</t>
  </si>
  <si>
    <t>db.r7g.xlarge 1台×730時間</t>
  </si>
  <si>
    <t>Aurora 読取インスタンス（予備地域・権限系）</t>
  </si>
  <si>
    <t>案③のみ。同上</t>
  </si>
  <si>
    <t>内部接続点（内部NLB・予備地域）×2</t>
  </si>
  <si>
    <t>案③のみ。管理APIへの到達経路を平時から用意</t>
  </si>
  <si>
    <t>2台×730時間</t>
  </si>
  <si>
    <t>負荷分散装置（ALB・予備地域）</t>
  </si>
  <si>
    <t>案③のみ。3層防御の生命線を予備地域にも</t>
  </si>
  <si>
    <t>1台×730時間</t>
  </si>
  <si>
    <t>接続点群（VPCエンドポイント・予備地域）</t>
  </si>
  <si>
    <t>案③のみ。ゼロegress構成の維持</t>
  </si>
  <si>
    <t>10個×730時間</t>
  </si>
  <si>
    <t>外形監視（予備地域 Canary）</t>
  </si>
  <si>
    <t>案③のみ。待機系が生きているかの常時確認</t>
  </si>
  <si>
    <t>1分間隔×730時間</t>
  </si>
  <si>
    <t>案</t>
  </si>
  <si>
    <t>① コールド（現行の設計）</t>
  </si>
  <si>
    <t>約14日</t>
  </si>
  <si>
    <t>数時間ぶん</t>
  </si>
  <si>
    <t>② 複製のみ（弊社の推奨）</t>
  </si>
  <si>
    <t>数日</t>
  </si>
  <si>
    <t>1分未満</t>
  </si>
  <si>
    <t>③ 常時稼働</t>
  </si>
  <si>
    <t>1日以下</t>
  </si>
  <si>
    <t>■ 円換算（為替はコスト見積もりシートB9を参照）</t>
  </si>
  <si>
    <t>月額 100万人(円)</t>
  </si>
  <si>
    <t>月額 500万人(円)</t>
  </si>
  <si>
    <t>月額 1000万人(円)</t>
  </si>
  <si>
    <t>■ 差額（顧客説明の要点）</t>
  </si>
  <si>
    <t>→ お金がかかるのは「早く復旧すること」で、「データを失わないこと」自体は安価。ご希望値（復旧1日／データ5分）は案③が必要</t>
  </si>
  <si>
    <t>■ 2026-08-17 単価取得後の是正メモ</t>
  </si>
  <si>
    <t>① Aurora I/O（34行）: 単位表記が「100万リクエスト」だったが数量は件数のため「I/O 件」へ是正。単価0.00000024 USD/件を件数に直接掛ける。100万件単位で掛けると100万倍ずれる</t>
  </si>
  <si>
    <t>② 同様の単位是正: Route 53（43行）／関数実行2件（46・47行）／API入口（48行）／イベントバス（49行）／DynamoDB（50行）／メール送信（58行）も「100万〜」「1000通」表記を実数単位へ是正済み</t>
  </si>
  <si>
    <t>④ 未反映の割引: ROSAの1年契約（33%）／3年契約（55%）は未適用。適用すれば計算区分が下がる</t>
  </si>
  <si>
    <t>⑤ Private CA（53行）: 400 USD/月は汎用モードの単価。短期証明書モードなら 50 USD/月で、年420万円の差になる</t>
  </si>
  <si>
    <t>⑥ 予備地域（大阪）の費用は本シートに含まない。別シート「DR案別コスト」を参照（案①0.9万円／案②1.7万円／案③38万円・月額100万人規模）</t>
  </si>
  <si>
    <t>Secrets Manager レプリカシークレット（予備地域）</t>
  </si>
  <si>
    <t>D-U8-15。事前設定必須。無いと切替時にDB接続情報もclient_secretも無く起動できない</t>
  </si>
  <si>
    <t>シークレット30個</t>
  </si>
  <si>
    <t>ACM Private CA（予備地域・待機系の内部TLS用）</t>
    <phoneticPr fontId="2"/>
  </si>
  <si>
    <t>D-U8-15。案③は待機系が常時TLSを張るため事前作成が必須。案①②は被災時に新規作成（信頼ストア再配布が必要）</t>
    <phoneticPr fontId="2"/>
  </si>
  <si>
    <t>CA 1台</t>
    <phoneticPr fontId="2"/>
  </si>
  <si>
    <t>CA・月</t>
    <phoneticPr fontId="2"/>
  </si>
  <si>
    <t>APP</t>
    <phoneticPr fontId="2"/>
  </si>
  <si>
    <t>EventBridge カスタムバス＋イベント複製（予備地域）</t>
    <phoneticPr fontId="2"/>
  </si>
  <si>
    <t>D-U8-15。Global Endpointsは両リージョンに同名バスの事前作成が前提。バス自体とGlobal Endpointsは無料、複製のみ課金</t>
    <phoneticPr fontId="2"/>
  </si>
  <si>
    <t>複製イベント件数</t>
    <phoneticPr fontId="2"/>
  </si>
  <si>
    <t>イベント</t>
    <phoneticPr fontId="2"/>
  </si>
  <si>
    <t>アプリ層・基盤層サービスの災害対策</t>
  </si>
  <si>
    <t>予備地域の切替時に必要な設定を平常時からどこまで用意しておくか</t>
  </si>
  <si>
    <t>アプリ層・基盤層サービス7件（秘密情報の保管／自社認証局／イベントバス／メール送信ほか）の災害対策を確定。特に秘密情報の保管は予備地域へのレプリカ作成が事前必須で、無いと切替時にデータベース接続情報もアプリの合言葉も無く起動できない。イベントバスのGlobal Endpointsは両地域に同名バスの事前作成が前提</t>
  </si>
  <si>
    <t>DR案別コストシートに反映済み（秘密情報30件は全案で必要、自社認証局は案③のみ、イベント複製は案②③）。切替手順書へ事前設定項目として明記する</t>
  </si>
  <si>
    <t>設計の全量突合（2026-08-18）</t>
  </si>
  <si>
    <t>D-U8-15</t>
  </si>
  <si>
    <t>設計書</t>
  </si>
  <si>
    <t>2026-08-18 設計全量突合で新規追加</t>
  </si>
  <si>
    <t>U8 §8.3 / DR案別コストシート</t>
  </si>
  <si>
    <t>監視対象の網羅性是正</t>
  </si>
  <si>
    <t>監視の抜けをどう塞ぐか</t>
  </si>
  <si>
    <t>監視対象に抜けがあったため是正。証明書の期限／バックアップの成否／ディスクの空き／メール送信の到達率／名前解決の健全性を追加</t>
  </si>
  <si>
    <t>監視設定に5項目を追加し、閾値と通知先を運用手順書へ反映する</t>
  </si>
  <si>
    <t>D-U9-21</t>
  </si>
  <si>
    <t>U9 §9.3</t>
  </si>
  <si>
    <t>監視観点の8分類</t>
  </si>
  <si>
    <t>何を監視すべきかの分類軸をどう定めるか</t>
  </si>
  <si>
    <t>監視の観点を8分類に整理して確定（飽和／枯渇／期限／停止／滞留／逸脱／品質／沈黙）。項目を思いつきで並べるのではなく、この8分類で網羅性を点検する方式</t>
  </si>
  <si>
    <t>既存の監視項目を8分類にマッピングし、空欄の分類がないか点検する</t>
  </si>
  <si>
    <t>D-U9-22</t>
  </si>
  <si>
    <t>AWSサービスクォータの使用率監視</t>
  </si>
  <si>
    <t>上限に当たる前にどう気づくか</t>
  </si>
  <si>
    <t>AWSサービスクォータの使用率を監視し、70%で警告・85%で重大とすることを確定。上限に当たってから引き上げ申請しても数営業日かかり間に合わないため、事前に検知する</t>
  </si>
  <si>
    <t>監視設定にクォータ使用率を追加する。あわせて引き上げ申請の手順書化（RB-PLT系）を新規タスクとして起票済み</t>
  </si>
  <si>
    <t>D-U9-23</t>
  </si>
  <si>
    <t>内部TLSのPKIと接続点の追加</t>
  </si>
  <si>
    <t>クラスタ内部の通信をどう暗号化するか</t>
  </si>
  <si>
    <t>内部通信のTLSに使う証明書基盤（ACM Private CA）と、必要な接続点（VPCエンドポイント）の追加を確定。短期証明書モードを第一候補とする（汎用モードとの差は年420万円）</t>
  </si>
  <si>
    <t>短期証明書モードの有効期間が自動更新の運用に耐えるかを検証する。コスト見積もりの自社認証局の単価（400→50 USD）を切り替え判断後に更新する</t>
  </si>
  <si>
    <t>D-U6-15</t>
  </si>
  <si>
    <t>U6 §6.x / コスト見積もりシート53行</t>
  </si>
  <si>
    <t>ノードのディスク種別と容量</t>
  </si>
  <si>
    <t>各ノードにどれだけのディスクを持たせるか</t>
  </si>
  <si>
    <t>ディスクはgp3で統一し、容量を確定。認証製品用のノードは120GB（ログバッファ30GBを明示的に確保）、管理系ノードは100GB</t>
  </si>
  <si>
    <t>コスト見積もりのディスク数量を100GB前提から120GB前提へ更新する（1000万人規模で月額約30 USD増）</t>
  </si>
  <si>
    <t>D-U6-16</t>
  </si>
  <si>
    <t>U6 §6.x / コスト見積もりシート30行</t>
  </si>
  <si>
    <t>クォータ引き上げ申請の手順書化</t>
  </si>
  <si>
    <t>上限引き上げをどの手順で申請するか</t>
  </si>
  <si>
    <t>AWSサービスクォータの引き上げ申請を手順書（RB-PLT系）に追加する。申請は数営業日かかるため、上限に当たってからでは間に合わない。D-U9-23の監視で70%を超えた時点で発動する運用</t>
  </si>
  <si>
    <t>RB-PLT系の手順書に申請フローを追記する（対象クォータの一覧・申請窓口・想定日数を含む）</t>
  </si>
  <si>
    <t>RB-PLT-QUOTA</t>
  </si>
  <si>
    <t>禁則の逆参照6件の整備</t>
  </si>
  <si>
    <t>禁則が各単元のどこで守られているかをどう追跡するか</t>
  </si>
  <si>
    <t>禁則K-2／K-3／K-4／K-7／K-8／K-11について、各単元側からの逆参照が無い状態。各単元の改訂機会に随時追記する方針で確定（一括対応はしない）</t>
  </si>
  <si>
    <t>各単元を改訂する際に、該当する禁則への参照を本文へ追記する。専用の工数は設けない</t>
  </si>
  <si>
    <t>K-XREF-6</t>
  </si>
  <si>
    <t>設計書 禁則一覧</t>
  </si>
  <si>
    <t>認証製品用ノード120GB＋管理系ノード100GB（D-U6-16）。100万=KC6台+管理6台／500万=KC15台+管理6台／1000万=KC27台+管理6台</t>
  </si>
  <si>
    <t>D-U6-16でgp3・KC Pool 120GB（ログバッファ30GB明示）・infra Pool 100GBに確定。旧値は一律100GB前提</t>
  </si>
  <si>
    <t>汎用モード400 USD/月。D-U6-15で短期証明書モード（50 USD/月）を第一候補に決定。切替可否は有効期間の検証待ち。差は年420万円</t>
  </si>
  <si>
    <t>Superseded</t>
  </si>
  <si>
    <t>2026-08-18: 前提P-07の転換により置き換え（Superseded）。削除せず記録として保持</t>
  </si>
  <si>
    <t>2026-08-18: ADR-033の2層分離（2-tier）で置き換え（Superseded）。削除せず記録として保持</t>
  </si>
  <si>
    <t>2026-06-24縮小: 認証APIのみ。その他はAPIプラットフォーム側／※2026-08-18 二重定義に注意: 認証フローのレート制限はD-U6-14が正。本ADRの方式は管理APIにのみ適用する</t>
  </si>
  <si>
    <t>★ADR-061は2026-08-18にGit側の索引（00-index.md）へ登録済み（APIプラットフォーム側のスコープ）。本表では実ファイルから収録している</t>
  </si>
  <si>
    <t>RH番号</t>
  </si>
  <si>
    <t>優先度</t>
  </si>
  <si>
    <t>質問（先方提示用）</t>
  </si>
  <si>
    <t>補足（先方提示用）</t>
  </si>
  <si>
    <t>回答</t>
  </si>
  <si>
    <t>回答日</t>
  </si>
  <si>
    <t>回答者</t>
  </si>
  <si>
    <t>follow-up要否</t>
  </si>
  <si>
    <t>設計ID</t>
  </si>
  <si>
    <t>なぜ聞くか</t>
  </si>
  <si>
    <t>回答が無いとどうなるか</t>
  </si>
  <si>
    <t>RH-A-01</t>
  </si>
  <si>
    <t>A 契約・サポート</t>
  </si>
  <si>
    <t>ROSA の 3 年契約を結んだ場合、ワーカーノードのサービス料はいくらになりますか。見積書をいただけますか。</t>
  </si>
  <si>
    <t>公開情報では従量課金に対し 1 年契約で 33%、3 年契約で 55% の割引と理解しています。ただし管理コンソールからは 3 年契約を選べないため、貴社パートナーチーム経由での見積が必要と認識しています。東京・大阪の 2 リージョン × 2 クラスタ構成を前提にお願いします。</t>
  </si>
  <si>
    <t>ADR-056 採用条件2 / 残TBD②</t>
  </si>
  <si>
    <t>3 年契約の実額が無いと総保有コストが確定せず、経営判断に上げられない</t>
  </si>
  <si>
    <t>基盤採用の最終承認が出せない。ADR-056 が「条件付き」のまま外れない</t>
  </si>
  <si>
    <t>ADR-056 §採用条件2</t>
  </si>
  <si>
    <t>RH-A-02</t>
  </si>
  <si>
    <t>クラスタの制御部分の料金（1 クラスタあたり月 182.5 ドル）に、契約による割引はありますか。</t>
  </si>
  <si>
    <t>2 クラスタ構成のため月 365 ドル・年 4,380 ドルが固定で発生します。ワーカー側と同様の契約割引が適用できるかを知りたいです。</t>
  </si>
  <si>
    <t>ADR-056 残TBD②</t>
  </si>
  <si>
    <t>2 クラスタ前提のため固定費が二重に効く</t>
  </si>
  <si>
    <t>コスト見積りの固定費部分が確定しない</t>
  </si>
  <si>
    <t>ADR-056 §残TBD</t>
  </si>
  <si>
    <t>RH-A-03</t>
  </si>
  <si>
    <t>ROSA を契約すると、Keycloak 製品（RHBK）の利用権と OpenJDK・Quarkus の利用権はすべて含まれますか。追加購入が必要なものはありますか。</t>
  </si>
  <si>
    <t>公開ナレッジ（KB 7044244）から「ROSA に内包され追加サブスクリプション不要」と読み取っていますが、書面での確認をいただきたいです。将来 Keycloak 以外の製品を載せる場合の扱いも合わせて教えてください。</t>
  </si>
  <si>
    <t>ADR-056 / NFR-COST-006 / 旧Q7,Q8,Q10</t>
  </si>
  <si>
    <t>要件表に「$5,000〜30,000/年/ノード」と誤った値が入っていた経緯があり、書面で確定させたい</t>
  </si>
  <si>
    <t>費用構造の根幹が口頭情報のままになる</t>
  </si>
  <si>
    <t>ADR-056 §Decision</t>
  </si>
  <si>
    <t>RH-A-04</t>
  </si>
  <si>
    <t>障害が起きたとき、どこまでが貴社の対応範囲で、どこからが弊社の対応範囲になりますか。書面でいただけますか。</t>
  </si>
  <si>
    <t>現在の理解: クラスタ基盤（制御部分・ノード OS・OpenShift）= 貴社 / Keycloak の設定・データベース・アップグレード = 弊社（貴社サポート付き） / 弊社が自作する拡張部品（SPI）= 弊社責任。この線引きで正しいか、また自作部品が原因でない Keycloak 本体の障害はサポート対象という理解でよいかを確認したいです。</t>
  </si>
  <si>
    <t>ADR-056 §Decision（サポート責任分界）</t>
  </si>
  <si>
    <t>顧客との契約に責任分担表を添付する必要があり、その根拠になる</t>
  </si>
  <si>
    <t>顧客向けの責任分担表が書けない</t>
  </si>
  <si>
    <t>RH-A-05</t>
  </si>
  <si>
    <t>サポートの受付時間帯と応答目標を教えてください。日本語での対応は可能ですか。</t>
  </si>
  <si>
    <t>弊社はリリース時点で平日日中、6 か月後に 24 時間 365 日対応へ移行する計画です。貴社側が 24 時間対応でないと、弊社が顧客へ 24 時間を約束できません。</t>
  </si>
  <si>
    <t>NFR-OPS-008 / ADR-040 §I</t>
  </si>
  <si>
    <t>弊社の運用体制（Phase 1 α/β）の成立条件</t>
  </si>
  <si>
    <t>24 時間対応の顧客契約が結べるか判断できない</t>
  </si>
  <si>
    <t>ADR-040 §I</t>
  </si>
  <si>
    <t>RH-A-06</t>
  </si>
  <si>
    <t>現在のバージョン系列（26.0.x）の保守終了時期と、26.4.x への移行手順を教えてください。長期サポート版はありますか。</t>
  </si>
  <si>
    <t>バージョンを固定して運用する方針のため、いつまで使えるかと次の系列への移行にどれだけかかるかを計画に織り込む必要があります。</t>
  </si>
  <si>
    <t>旧Q9 / U2 §2.7.1 / E-5</t>
  </si>
  <si>
    <t>バージョン固定方針（禁則 K-11）の前提</t>
  </si>
  <si>
    <t>アップグレード計画が立たない</t>
  </si>
  <si>
    <t>00a E-5</t>
  </si>
  <si>
    <t>RH-A-07</t>
  </si>
  <si>
    <t>データ保護に関する契約（DPA）で、保守にあたる方の所在地域を限定していただくことは可能ですか。</t>
  </si>
  <si>
    <t>日本の個人情報保護法では、外国にある third party がデータを取り扱う場合に事前の本人同意等が必要です。保守要員が地球を回るシフト制で常時特定できないと理解しており、地域を限定できるか、できない場合に何を公表すべきかを確認したいです。</t>
  </si>
  <si>
    <t>B-DPA-2 / G-DPA / D-U7-24</t>
  </si>
  <si>
    <t>APPI 28 条対応。公表文書の文面が決まらない</t>
  </si>
  <si>
    <t>顧客向け公表文書が書けない。法務確認も進まない</t>
  </si>
  <si>
    <t>hearing B-DPA-2</t>
  </si>
  <si>
    <t>RH-B-01</t>
  </si>
  <si>
    <t>B RHBK本体・SPI</t>
  </si>
  <si>
    <t>貴社ビルドの Keycloak（RHBK 26.4）で、コミュニティ版 26.x 向けに作った拡張部品はそのまま動きますか。</t>
  </si>
  <si>
    <t>弊社は認証の振り分け・利用者の自動登録・イベント送出など 4 種類の拡張部品（SPI）を自作します。検証はコミュニティ版 26.6 で実施済みですが、貴社ビルドでの動作は未確認です。特に AuthenticationFlowContext と OrganizationProvider の API 互換性を知りたいです。</t>
  </si>
  <si>
    <t>G-SPI-Compat / ADR-056 残TBD③ / 00a A-2</t>
  </si>
  <si>
    <t>残ブロッカー 2 件のうちの 1 件。動かなければ実装方式ごと見直し</t>
  </si>
  <si>
    <t>Phase 1 の実装に着手できない</t>
  </si>
  <si>
    <t>U2 §2.8.4</t>
  </si>
  <si>
    <t>RH-B-02</t>
  </si>
  <si>
    <t>自作の拡張部品を組み込んだコンテナイメージを使う運用は、サポート対象ですか。</t>
  </si>
  <si>
    <t>Operator が提供する標準イメージに自作部品を追加した独自イメージで運用する想定です。この形態がサポート対象から外れないかを確認したいです。外れる場合、どこまでが対象かを教えてください。</t>
  </si>
  <si>
    <t>ADR-055 §A.6/A.7 / G-SPI-Compat</t>
  </si>
  <si>
    <t>サポート対象外だと商用サポートを付ける意味が薄れる</t>
  </si>
  <si>
    <t>ROSA + RHBK を選ぶ前提が崩れる</t>
  </si>
  <si>
    <t>ADR-055 §A.6</t>
  </si>
  <si>
    <t>RH-B-03</t>
  </si>
  <si>
    <t>Operator の自動更新を止めて手動承認にする運用は推奨されますか。その場合、緊急の修正はどう配布されますか。</t>
  </si>
  <si>
    <t>1,000 社超の接続を抱えるため、検証なしの自動更新は受け入れられません。手動承認に固定したうえで、重大な脆弱性が出たときの配布方法と推奨手順を知りたいです。</t>
  </si>
  <si>
    <t>K-11 / U2 §2.7.1 / D-U8-04</t>
  </si>
  <si>
    <t>バージョン固定方針の実現性</t>
  </si>
  <si>
    <t>緊急パッチの適用手順が設計できない</t>
  </si>
  <si>
    <t>RH-B-04</t>
  </si>
  <si>
    <t>長期サポート（EUS）のチャネルはありますか。ある場合、提供期間と対象バージョンを教えてください。</t>
  </si>
  <si>
    <t>公開文書が参照できず（アクセス制限）、社内で判断できていません。</t>
  </si>
  <si>
    <t>00a A-11 / E-5</t>
  </si>
  <si>
    <t>アップグレード頻度が決まらない</t>
  </si>
  <si>
    <t>年間の更新計画が立たない</t>
  </si>
  <si>
    <t>00a A-11</t>
  </si>
  <si>
    <t>RH-B-05</t>
  </si>
  <si>
    <t>アップグレード前に互換性を機械判定する仕組み（update-compatibility check）は貴社ビルドでも使えますか。</t>
  </si>
  <si>
    <t>無停止更新が可能かを事前に判定し、CI に組み込みたいと考えています。データベースやキャッシュに変更が入る場合は全停止になると理解しており、その判別を自動化したいです。</t>
  </si>
  <si>
    <t>00a E-5 / D-U8-04</t>
  </si>
  <si>
    <t>無停止更新の可否判定を自動化できるか</t>
  </si>
  <si>
    <t>メンテナンス窓の設計が経験則頼みになる</t>
  </si>
  <si>
    <t>RH-B-06</t>
  </si>
  <si>
    <t>外部の認証基盤（SAML）の接続情報を自動で取り込み直す機能は、実際に動きますか。</t>
  </si>
  <si>
    <t>公式文書には「メタデータの URL と更新間隔を指定できる」とありますが、コミュニティの議論（Discussion #27828）では動作しないという指摘があり未解決です。1,000 社超の証明書更新運用の前提になるため、実機での動作可否を確認したいです。</t>
  </si>
  <si>
    <t>00a A-9 / D-12</t>
  </si>
  <si>
    <t>動かなければ 1000 社分の証明書更新を手作業で回すことになる</t>
  </si>
  <si>
    <t>運用が破綻するか、代替手段の設計が必要</t>
  </si>
  <si>
    <t>00a A-9</t>
  </si>
  <si>
    <t>RH-B-07</t>
  </si>
  <si>
    <t>接続情報の配布に、RFC 8414 形式のパスは提供されますか。</t>
  </si>
  <si>
    <t>一部の連携先ライブラリが RFC 8414 形式のパスを前提にしており、提供の有無で案内文が変わります（kc#45271）。</t>
  </si>
  <si>
    <t>00a A-11 / D-U5-15</t>
  </si>
  <si>
    <t>アプリ向けの案内規約が確定しない</t>
  </si>
  <si>
    <t>一部ライブラリで疎通不良が起きうる</t>
  </si>
  <si>
    <t>U5 §5.6.3b</t>
  </si>
  <si>
    <t>RH-B-08</t>
  </si>
  <si>
    <t>コミュニティ提供の拡張（リスクベース認証など）を使った場合、サポートはどうなりますか。</t>
  </si>
  <si>
    <t>将来的に不審なログインの検知を強化したいと考えていますが、サポート対象から外れるなら Phase 1 では採用しません。境界を知りたいです。</t>
  </si>
  <si>
    <t>U2 §2.5 / ADR-034</t>
  </si>
  <si>
    <t>将来機能の採用判断</t>
  </si>
  <si>
    <t>段階的な機能追加の計画が立たない</t>
  </si>
  <si>
    <t>U2 §2.5</t>
  </si>
  <si>
    <t>RH-C-01</t>
  </si>
  <si>
    <t>C インフラ</t>
  </si>
  <si>
    <t>大阪リージョンで、Graviton 系（c7g）のインスタンスは十分に確保できますか。上限の引き上げは可能ですか。</t>
  </si>
  <si>
    <t>災害時に大阪でクラスタを一から構築する方式を採っており、そのとき在庫が無いと復旧できません。平常時は使わないため事前確保もしていません。在庫の見通しと、上限引き上げの申請方法・所要日数を知りたいです。</t>
  </si>
  <si>
    <t>ADR-056 残TBD① / G-OSAKA / 00a A-7（G-OSAKA）</t>
  </si>
  <si>
    <t>災害復旧の成立条件そのもの</t>
  </si>
  <si>
    <t>災害時に復旧できない可能性が残る</t>
  </si>
  <si>
    <t>RH-C-02</t>
  </si>
  <si>
    <t>Graviton（arm64）のノードは、Keycloak 製品と Operator の両方で正式にサポートされますか。</t>
  </si>
  <si>
    <t>2026-07 時点の調査では対応済みと理解していますが、貴社ビルドの Keycloak が arm64 で正式サポートされるかを確認したいです。対応しない場合は Intel 系（c7i）へ変更します。</t>
  </si>
  <si>
    <t>D-U6-04 / ADR-056</t>
  </si>
  <si>
    <t>インスタンス種別が変わると単価もサイジングも変わる</t>
  </si>
  <si>
    <t>コスト見積りとサイジングをやり直すことになる</t>
  </si>
  <si>
    <t>U6 §6.2.2</t>
  </si>
  <si>
    <t>RH-C-03</t>
  </si>
  <si>
    <t>インターネットへの出口を持たない構成（egress zero）を採る場合、必要なミラー設定と制約を教えてください。</t>
  </si>
  <si>
    <t>zero_egress:true の指定で構築できると理解しています。イメージやカタログをどこにミラーする必要があるか、運用上の制約（更新時の手順など）を知りたいです。</t>
  </si>
  <si>
    <t>O-10 / D-U7-16 / U6 §6.7.3</t>
  </si>
  <si>
    <t>ゼロ egress はセキュリティ設計の前提</t>
  </si>
  <si>
    <t>出口制御の方式が確定しない</t>
  </si>
  <si>
    <t>U6 §6.7.3</t>
  </si>
  <si>
    <t>RH-C-04</t>
  </si>
  <si>
    <t>ログ収集の仕組みを自前で入れる場合、必要な権限（SCC）の付与は許容されますか。</t>
  </si>
  <si>
    <t>個人情報のマスキングをログの出力元で行う必要があり、標準の仕組みでは足りない可能性があります。自前のログ収集を動かすための権限付与が、サポート上問題ないかを確認したいです。</t>
  </si>
  <si>
    <t>U7 §7.3.1 / K-13 / DU-U7-16</t>
  </si>
  <si>
    <t>マスキングの実装方式が決まらない</t>
  </si>
  <si>
    <t>個人情報がマスク前で保存されるリスクが残る</t>
  </si>
  <si>
    <t>U7 §7.3.1</t>
  </si>
  <si>
    <t>RH-C-05</t>
  </si>
  <si>
    <t>ノードのディスク（種別・容量）は指定できますか。構築後に変更できますか。</t>
  </si>
  <si>
    <t>gp3 の 120GB を想定しています。コンテナログの滞留とイメージ蓄積で枯渇することを懸念しており、後から拡張できるかを知りたいです。</t>
  </si>
  <si>
    <t>D-U6-16 / D-U9-21</t>
  </si>
  <si>
    <t>ディスク枯渇は典型的な障害原因</t>
  </si>
  <si>
    <t>容量設計が確定しない</t>
  </si>
  <si>
    <t>U6 §6.2.2a</t>
  </si>
  <si>
    <t>RH-C-06</t>
  </si>
  <si>
    <t>構築時に指定する IP アドレス帯は、後から変更できませんか。変更が必要になった場合の手順はありますか。</t>
  </si>
  <si>
    <t>構築後は変更不可と理解しており、社内・他組織・顧客の IP 帯との衝突を事前に洗い出しています。もし変更手段があるなら知りたいです。</t>
  </si>
  <si>
    <t>A6a-5 / 00a B-3</t>
  </si>
  <si>
    <t>IP 帯の凍結は構築前の必須作業</t>
  </si>
  <si>
    <t>衝突が判明した場合に作り直しになる</t>
  </si>
  <si>
    <t>06a §A.5</t>
  </si>
  <si>
    <t>RH-D-01</t>
  </si>
  <si>
    <t>D セキュリティ</t>
  </si>
  <si>
    <t>貴社の保守要員が、稼働中のシステムのログを直接参照できる経路について教えてください。Approved Access を有効にすると、どこまでが承認制になりますか。</t>
  </si>
  <si>
    <t>oc logs や oc debug node は、ワーカーノード上の生のログを読む経路と理解しています。承認制の仕組み（Approved Access）は既定で無効で、有効化には申請が必要とも聞いています。緊急時のみが対象か、通常の保守作業も含むのかを明確にしたいです。</t>
  </si>
  <si>
    <t>B-SRE-LOG-1 / G-SRE-LogVis / ADR-056 L7</t>
  </si>
  <si>
    <t>残ブロッカー G-DPA の技術的裏付け。APPI 28 条の判断根拠</t>
  </si>
  <si>
    <t>基盤構成そのものを再検討することになりうる</t>
  </si>
  <si>
    <t>ADR-056 §L7</t>
  </si>
  <si>
    <t>RH-D-02</t>
  </si>
  <si>
    <t>保守要員がログを参照した記録は、弊社が取得できる監査ログに残りますか。</t>
  </si>
  <si>
    <t>顧客監査で「誰がいつデータを見たか」を示す必要があります。弊社側で取得・保全できる形で残るか、残る場合はどの仕組み（Cluster Logging 等）で取得できるかを知りたいです。</t>
  </si>
  <si>
    <t>B-SRE-LOG-2 / G-SRE-LogVis</t>
  </si>
  <si>
    <t>顧客への説明責任が果たせるかが決まる</t>
  </si>
  <si>
    <t>顧客監査に応えられない</t>
  </si>
  <si>
    <t>hearing B-SRE-LOG-2</t>
  </si>
  <si>
    <t>RH-D-03</t>
  </si>
  <si>
    <t>ワーカーノード（EC2）の脆弱性対応は、どこまでが貴社の責任範囲ですか。弊社が検査ツールを入れることは可能ですか。</t>
  </si>
  <si>
    <t>ノードの OS 更新は貴社の管理領域と理解していますが、顧客監査では「脆弱性をどう管理しているか」を必ず問われます。Amazon Inspector 等を入れられるか、入れるべきか、検出された場合に誰が是正するかを整理したいです。</t>
  </si>
  <si>
    <t>ADR-056 残TBD⓪ / NFR-SEC-014</t>
  </si>
  <si>
    <t>顧客監査で必ず問われる論点</t>
  </si>
  <si>
    <t>責任分担表に穴が残る</t>
  </si>
  <si>
    <t>RH-D-04</t>
  </si>
  <si>
    <t>クラスタの監査ログの詳細度を既定のまま（メタデータのみ）に固定したいのですが、貴社の運用に支障はありますか。</t>
  </si>
  <si>
    <t>詳細度を上げるとリクエストの中身（シークレット等）が貴社の管理領域に流れるため、既定のまま固定する方針です（弊社の禁則 K-12）。障害調査で詳細度を上げる必要が生じた場合の手順も知りたいです。</t>
  </si>
  <si>
    <t>K-12 / ADR-056 L6</t>
  </si>
  <si>
    <t>個人情報の越境を構造的に防ぐ設計の前提</t>
  </si>
  <si>
    <t>障害調査時の手順が決まらない</t>
  </si>
  <si>
    <t>U9 §9.5</t>
  </si>
  <si>
    <t>RH-D-05</t>
  </si>
  <si>
    <t>クラスタが発行する署名情報（SA issuer の JWKS）は、どの経路で参照できますか。</t>
  </si>
  <si>
    <t>弊社の Keycloak から参照する必要があり、VPC 内から到達できるのか、インターネット上の URL になるのかで経路設計が変わります。</t>
  </si>
  <si>
    <t>O-U7-8 / D-U7-09 / ADR-041</t>
  </si>
  <si>
    <t>ワークロード認証の経路設計</t>
  </si>
  <si>
    <t>ゼロ egress 構成と両立するか判断できない</t>
  </si>
  <si>
    <t>U7 §7.5</t>
  </si>
  <si>
    <t>RH-D-06</t>
  </si>
  <si>
    <t>Kubernetes のシークレットは、貴社側でどう暗号化されていますか。弊社の鍵（BYOK）を使えますか。</t>
  </si>
  <si>
    <t>署名鍵などがシークレットに載るため、暗号化の方式と鍵の所有者を確認したいです。弊社管理の鍵を使えるかも知りたいです。</t>
  </si>
  <si>
    <t>ADR-056 §採用時のコンプラ追加要件/3.7 / D-U7-01</t>
  </si>
  <si>
    <t>個人情報・鍵の保護水準の証明</t>
  </si>
  <si>
    <t>顧客への説明材料が不足する</t>
  </si>
  <si>
    <t>ADR-056 §170</t>
  </si>
  <si>
    <t>RH-D-07</t>
  </si>
  <si>
    <t>緊急対応（break-glass）で保守要員が権限昇格する際の手続きを教えてください。</t>
  </si>
  <si>
    <t>昇格が起きたことを弊社が把握できるか、事後に記録が残るかを確認したいです。</t>
  </si>
  <si>
    <t>ADR-056 L7 / U6 §6.6.1</t>
  </si>
  <si>
    <t>緊急時の可視性</t>
  </si>
  <si>
    <t>インシデント対応の手順が完成しない</t>
  </si>
  <si>
    <t>U6 §6.6.1</t>
  </si>
  <si>
    <t>RH-E-01</t>
  </si>
  <si>
    <t>E 可用性・DR</t>
  </si>
  <si>
    <t>複数拠点構成（multi-cluster v2）は、貴社ビルドのどのバージョンからサポートされますか。</t>
  </si>
  <si>
    <t>外部キャッシュ（Infinispan）を別途立てずに済む構成と理解しています。サポート対象外の場合、コミュニティ手順を使うとサポートがどう切り分けられるかも知りたいです。</t>
  </si>
  <si>
    <t>O-U8-6 / ADR-051</t>
  </si>
  <si>
    <t>DR 構成の実装方式が決まらない</t>
  </si>
  <si>
    <t>災害復旧の設計が確定しない</t>
  </si>
  <si>
    <t>U8 §8.9</t>
  </si>
  <si>
    <t>RH-E-02</t>
  </si>
  <si>
    <t>データベースは Aurora PostgreSQL の何バージョンまで対応しますか。17.x の正式対応時期を教えてください。</t>
  </si>
  <si>
    <t>現在 15〜17 が複数拠点構成の対応データベースと理解しています。</t>
  </si>
  <si>
    <t>旧Q3 / D-U6-07</t>
  </si>
  <si>
    <t>データベースのバージョン選定</t>
  </si>
  <si>
    <t>構築時のバージョンが確定しない</t>
  </si>
  <si>
    <t>RH-E-03</t>
  </si>
  <si>
    <t>複数拠点構成で Aurora が必須とされる根拠を教えてください。通常の RDS では代替できませんか。</t>
  </si>
  <si>
    <t>コスト面で RDS も検討したいのですが、必須である技術的理由を知ったうえで判断したいです。</t>
  </si>
  <si>
    <t>旧Q4 / D-U6-07</t>
  </si>
  <si>
    <t>データベース選定とコスト</t>
  </si>
  <si>
    <t>代替案の検討ができない</t>
  </si>
  <si>
    <t>RH-E-04</t>
  </si>
  <si>
    <t>災害時に別リージョンでクラスタを一から構築する場合、実績としてどれくらいの時間がかかりますか。</t>
  </si>
  <si>
    <t>弊社は約 14 日と見積もっていますが、根拠が積み上げのみです。実績値をご存じであれば教えてください。</t>
  </si>
  <si>
    <t>D-U8-14 / NFR-DR-001</t>
  </si>
  <si>
    <t>復旧目標の妥当性検証</t>
  </si>
  <si>
    <t>顧客への復旧時間の説明が推定のままになる</t>
  </si>
  <si>
    <t>U8 §8.4.3</t>
  </si>
  <si>
    <t>RH-E-05</t>
  </si>
  <si>
    <t>貴社が定義する Hot DR / Warm DR の境界（切替時間・自動化の有無）を教えてください。</t>
  </si>
  <si>
    <t>弊社の 3 案（何も置かない / データ複製のみ / 設備も常時稼働）を、貴社の用語に対応づけたいです。</t>
  </si>
  <si>
    <t>旧Q6 / U8 §8.2.1</t>
  </si>
  <si>
    <t>用語のすり合わせ</t>
  </si>
  <si>
    <t>サポート範囲の認識齟齬が起きうる</t>
  </si>
  <si>
    <t>U8 §8.2.1</t>
  </si>
  <si>
    <t>RH-F-01</t>
  </si>
  <si>
    <t>F 運用・監視</t>
  </si>
  <si>
    <t>クラスタのログを、別の AWS アカウントの CloudWatch へ直接転送できますか。</t>
  </si>
  <si>
    <t>監査ログを別アカウントに集約する設計です。直接転送が非対応の場合、推奨される中継方法を教えてください。</t>
  </si>
  <si>
    <t>00a E-7 / D-U9-01/05</t>
  </si>
  <si>
    <t>監査ログの集約方式が決まらない</t>
  </si>
  <si>
    <t>ログ集約の設計が確定しない</t>
  </si>
  <si>
    <t>00a E-7</t>
  </si>
  <si>
    <t>RH-F-02</t>
  </si>
  <si>
    <t>4.17.2 以降で認証関連のログが増える事象があると聞いています。回避策や設定はありますか。</t>
  </si>
  <si>
    <t>ログ量がコストと保管設計に直結するため、想定量を知りたいです。</t>
  </si>
  <si>
    <t>ログ保管コストの見積り</t>
  </si>
  <si>
    <t>ログ量が読めずコストがぶれる</t>
  </si>
  <si>
    <t>RH-F-03</t>
  </si>
  <si>
    <t>ROSA 固有の上限値（クラスタあたりのノード数・Machine Pool 数など）と、引き上げの可否を教えてください。</t>
  </si>
  <si>
    <t>1,000 社超・最大 1,000 万利用者を想定しており、上限に当たる可能性があります。引き上げの申請方法と所要日数も知りたいです。</t>
  </si>
  <si>
    <t>D-U9-23 / P-16 / P-02</t>
  </si>
  <si>
    <t>規模の上限が設計の成立条件</t>
  </si>
  <si>
    <t>スケールの上限が読めない</t>
  </si>
  <si>
    <t>U9 §9.1.2c</t>
  </si>
  <si>
    <t>RH-F-04</t>
  </si>
  <si>
    <t>アップグレード作業の所要時間と、その間のサービス影響を教えてください。</t>
  </si>
  <si>
    <t>月 1 回・深夜 2〜4 時のメンテナンス枠を顧客に提示する予定です。この枠に収まるかを確認したいです。</t>
  </si>
  <si>
    <t>D-U8-04 / NFR-AVL-002</t>
  </si>
  <si>
    <t>顧客に提示するメンテナンス枠の妥当性</t>
  </si>
  <si>
    <t>顧客との約束が守れない可能性</t>
  </si>
  <si>
    <t>U8 §8.1.4</t>
  </si>
  <si>
    <t>質問</t>
  </si>
  <si>
    <t>補足</t>
  </si>
  <si>
    <t>面談順</t>
  </si>
  <si>
    <t>RH-G-01</t>
  </si>
  <si>
    <t>G 事例・構成レビュー</t>
  </si>
  <si>
    <t>私たちの構成をご覧いただき、無理がある点や、よくある失敗があれば指摘していただけますか。</t>
  </si>
  <si>
    <t>概要: 認証を2段構えにしています。①仲介役のKeycloak（全社共通・1つ）が、お客様企業のログイン基盤とつなぎ、利用者番号の発番とログイン画面を担当。②自社ログイン基盤のKeycloak（別クラスタ・別AWSアカウント）が、自前のログイン基盤を持たないお客様の利用者とパスワードを預かる。②を①から見ると「お客様のログイン基盤の1つ」に見えます。拡張部品（SPI）は3つのJAR・4機能で、①の通常ログイン・初回連携・連携後の3か所に配置します。管理用APIと非同期処理はLambda（クラスタ外）に置き、Keycloakの管理APIへは内部の負荷分散装置経由で入ります。退職者の遮断バッチだけはクラスタ内のCronJobです。この構成で無理がある点、他社でよくある失敗があれば教えてください。</t>
  </si>
  <si>
    <t>ADR-033 / ADR-062 / ADR-063 / D-U9-17 / U2 §2.4.1</t>
  </si>
  <si>
    <t>構成の妥当性を第三者に見てもらう唯一の機会。設計は社内レビューしか通っていない</t>
  </si>
  <si>
    <t>構造的な問題に気づかないまま構築に入る</t>
  </si>
  <si>
    <t>U2 §2.4.1 / ADR-063</t>
  </si>
  <si>
    <t>RH-G-02</t>
  </si>
  <si>
    <t>定期実行の処理は、クラスタ内のジョブと、クラスタ外から呼び出す方式のどちらが推奨されますか。</t>
  </si>
  <si>
    <t>現在は退職者の遮断バッチだけをクラスタ内のジョブとして動かし、他の非同期処理はLambda（クラスタ外）に寄せています。この使い分けが妥当か、あるいはすべてクラスタ外に寄せるべきかをご意見いただきたいです。気にしているのは、①クラスタのアップグレード中にジョブが動いてしまう ②ジョブの失敗に気づきにくい ③クラスタ内だとKeycloakと同じ障害に巻き込まれる、の3点です。</t>
  </si>
  <si>
    <t>D-U9-17 / DU-U9I-03 / ADR-062</t>
  </si>
  <si>
    <t>設計内で判断が割れている（バッチはCron、他はLambda）。統一すべきか確認したい</t>
  </si>
  <si>
    <t>アップグレード窓との競合を運用手順で回避し続けることになる</t>
  </si>
  <si>
    <t>U9 §9.5.4</t>
  </si>
  <si>
    <t>RH-G-03</t>
  </si>
  <si>
    <t>日本の個人情報保護法との関係で、海外から保守が入ることをどう整理されているお客様が多いですか。事例を教えてください。</t>
  </si>
  <si>
    <t>日本の法律では、外国にある事業者が個人データを取り扱う場合、事前の本人同意か相当措置の継続的な確保が必要です。私たちが特に知りたいのは、他社が「同意を取る」「契約で措置を担保する」のどちらを選んでいるか、そして公表文書に国名をどう書いているかです。保守が地球を回るシフト制で国を特定できない場合の書き方に悩んでいます。差し支えない範囲で構いません。</t>
  </si>
  <si>
    <t>G-DPA / B-DPA-2 / D-U7-24</t>
  </si>
  <si>
    <t>残ブロッカーの解き方の相場観が無い。自社だけで解釈すると過剰にも過少にもなる</t>
  </si>
  <si>
    <t>法務判断が長引き、公表文書が書けない</t>
  </si>
  <si>
    <t>U7 §7.7.9</t>
  </si>
  <si>
    <t>RH-G-04</t>
  </si>
  <si>
    <t>金融機関のお客様では、上記の法律解釈をどう整理されている例が多いですか。</t>
  </si>
  <si>
    <t>私たちのお客様には金融・医療などの規制業種が含まれる見込みです。一般企業より厳しい解釈を求められると想定しており、規制業種のお客様が実際にどこまで求めているかを知りたいです。専用環境への分離を求められるのか、契約と記録で足りているのかという観点でお願いします。差し支えない範囲で構いません。</t>
  </si>
  <si>
    <t>B-KMS-3 / B-TENANT-ISO-1 / Q85</t>
  </si>
  <si>
    <t>規制業種を受け入れられるかの判断材料。分離要求の相場観が無い</t>
  </si>
  <si>
    <t>規制業種の顧客獲得時に想定外の要求が出る</t>
  </si>
  <si>
    <t>U6 §6.6.3</t>
  </si>
  <si>
    <t>RH-G-05</t>
  </si>
  <si>
    <t>災害対策の構成例を教えてください。実際にどれくらいの規模のお客様が、どの方式を採っていますか。</t>
  </si>
  <si>
    <t>私たちは3案（平常時は何も置かない／データ複製のみ／設備も常時稼働）で検討中です。他社がどれを選ぶことが多いか、また別リージョンでクラスタを一から構築した実績時間をご存じであれば教えてください。私たちの見積りは約14日ですが、積み上げのみで実績値がありません。</t>
  </si>
  <si>
    <t>P-05 / D-U8-14 / NFR-DR-001 / Q04</t>
  </si>
  <si>
    <t>復旧時間の妥当性を検証する外部データが無い</t>
  </si>
  <si>
    <t>RH-G-06</t>
  </si>
  <si>
    <t>HCP 方式を実際に運用されているお客様は、日々どのような作業が発生していますか。</t>
  </si>
  <si>
    <t>制御部分を貴社に運用いただく方式のため、私たちの側に残る日常運用を具体的に把握したいです。特に、①アップグレードの通知から適用までの流れ（こちらが承認するのか、勝手に進むのか）②貴社側のメンテナンスで影響が出る頻度 ③問い合わせが必要になる場面（自分たちでは解決できない典型例）を知りたいです。運用者10名体制で足りるかの判断材料にします。</t>
  </si>
  <si>
    <t>NFR-OPS-009 / ADR-040 §I / D-U8-04</t>
  </si>
  <si>
    <t>運用体制の人数見積りの根拠が社内推定のみ</t>
  </si>
  <si>
    <t>運用者の必要人数が読めず、24時間対応の可否も判断できない</t>
  </si>
  <si>
    <t>Red Hat 照会事項 一覧（全 43 問）</t>
  </si>
  <si>
    <t>出典: doc/requirements/redhat-inquiry/redhat-inquiry-43q.tsv（2026-08-18）／★K〜N列は社内用。先方提示・印刷時は必ず折りたたむこと（印刷範囲はJ列まで）。特にG群は社内事情が濃く入っています</t>
  </si>
  <si>
    <t>面談用の18問を抜くには: 面談順（A列）が空でない行でフィルタし、昇順に並べる ／ 書面で足りる25問: 面談順が空の行</t>
  </si>
  <si>
    <t>※本シートは先方へ添付する版です。社内用の記述は含みません。</t>
  </si>
  <si>
    <t>権限の紐づけ方式 検討用 確認事項（全 7 件）— 案Y の成立条件を確認するもの</t>
  </si>
  <si>
    <t>出典: doc/requirements/qa-binding-2026-08-19.tsv（2026-08-19）／★J〜M列は社内用。先方提示・印刷時は必ず折りたたむこと（印刷範囲はI列まで）</t>
  </si>
  <si>
    <t>位置づけ: 質問状（Q01〜Q94）と RH照会 は確定版だが、本シートは方式が固まるまでの検討用。混同しないこと。判定列（I列）に「採用／現行維持／保留」を記入して結論とする</t>
  </si>
  <si>
    <t>経緯: 現行=初回ログイン時に認証基盤から権限DBへ書き込む（アカウント間通信1回）／案Y=事前登録し初回アクセス時に紐づける（通信0回・突合キー必要・アプリ依存あり）／案X=不採用の方向（通信2回に倍増）</t>
  </si>
  <si>
    <t>QA番号</t>
  </si>
  <si>
    <t>宛先</t>
  </si>
  <si>
    <t>判定（採用・現行維持・保留）</t>
  </si>
  <si>
    <t>この案が成立しない条件</t>
  </si>
  <si>
    <t>QA-BIND-01</t>
  </si>
  <si>
    <t>アプリチーム</t>
  </si>
  <si>
    <t>ログイン直後に、権限を取得する API（/api/me/context）を必ず呼んでいただけますか。呼べないアプリはありますか。</t>
  </si>
  <si>
    <t>新しい方式では、この API の初回呼び出しをきっかけに利用者と権限を結びつけます。呼ばれないと権限が付かないため、全アプリで必須にしたいと考えています。画面を持たないバッチ的なアプリなど、呼ばない可能性のあるものがあれば教えてください。</t>
  </si>
  <si>
    <t>研究ノート §8.1b / D3-16 / Q73</t>
  </si>
  <si>
    <t>新方式の成立条件そのもの。1本でも呼ばないアプリがあると、そのアプリの利用者だけ権限が付かない</t>
  </si>
  <si>
    <t>新方式を採れず、現行のEventBridge方式に戻る</t>
  </si>
  <si>
    <t>呼ばないアプリが1本でもある場合（例外扱いにできるかも含めて判断）</t>
  </si>
  <si>
    <t>QA-BIND-02</t>
  </si>
  <si>
    <t>通行証（JWT）に「所属企業の識別子」と「利用者の識別子」を追加します。アプリ側で支障はありますか。</t>
  </si>
  <si>
    <t>現在の通行証は利用者の内部番号（sub）のみです。新方式では事前登録した権限と結びつけるため、tenant_id と user_name を追加します。user_name はメールアドレスではなく社員番号などの内部IDを想定しています（個人情報を通行証に載せない方針のため）。サイズ増加やログ出力の観点で支障があれば教えてください。</t>
  </si>
  <si>
    <t>ADR-030 Stage 1 / P-10 / 研究ノート §8.1b</t>
  </si>
  <si>
    <t>クレーム追加はADR-030（最小クレーム設計）の変更を伴う。アプリ側の受入可否が前提</t>
  </si>
  <si>
    <t>クレームを追加できず、突合キーが無いため新方式が成立しない</t>
  </si>
  <si>
    <t>アプリがクレーム追加を受け入れられない場合、または user_name にメールしか使えない場合</t>
  </si>
  <si>
    <t>QA-BIND-03</t>
  </si>
  <si>
    <t>事前登録されていない方がログインしてきた場合、アプリはどう振る舞いますか。</t>
  </si>
  <si>
    <t>新方式では管理者が事前に登録した人だけが権限を持ちます。登録されていない人がログインすると権限ゼロの状態になります。この場合にアプリが ①エラー画面を出す ②権限申請の案内を出す ③そもそもログインさせない のどれを想定されますか。</t>
  </si>
  <si>
    <t>Q86 / 研究ノート §8.1b</t>
  </si>
  <si>
    <t>「ログインできたのに使えない」問い合わせの受け皿を誰が持つかが決まらない</t>
  </si>
  <si>
    <t>利用者が行き止まりになり問い合わせが弊社に集中する</t>
  </si>
  <si>
    <t>—（成立条件ではないが運用設計に必要）</t>
  </si>
  <si>
    <t>QA-BIND-04</t>
  </si>
  <si>
    <t>アプリ側で利用者を特定するとき、内部番号（sub）以外を使っている箇所はありますか。</t>
  </si>
  <si>
    <t>新方式では初回の1回だけ利用者の識別子で突合し、以降は内部番号（sub）で引きます。アプリ側が社員番号やメールアドレスで利用者を特定している箇所があると、改名や再入社のときに不整合が起きます。</t>
  </si>
  <si>
    <t>P-08 / ADR-018 / Q49</t>
  </si>
  <si>
    <t>アプリ側に可変キー依存が残っていると、改名時に権限や履歴が切れる</t>
  </si>
  <si>
    <t>改名・再入社のたびに個別対応が発生する</t>
  </si>
  <si>
    <t>—（新方式に限らず現行でも問題になる）</t>
  </si>
  <si>
    <t>QA-BIND-05</t>
  </si>
  <si>
    <t>事業側</t>
  </si>
  <si>
    <t>利用者の識別子（社員番号など）を、退職者の分も含めて二度と使い回さないことを、お客様との契約に明記できますか。</t>
  </si>
  <si>
    <t>新方式ではこの識別子で事前登録と実際のログインを突き合わせます。過去に退職した方の識別子が新入社員に再割当されると、前任者の権限をそのまま引き継いでしまいます。記録は7年保持し物理削除もしないため、「削除すれば衝突しない」という解決はできません。契約で義務付けたうえで、弊社側でも使用済みの識別子を記録し再登録を拒否する仕組みを入れる想定です。</t>
  </si>
  <si>
    <t>ADR-018 / NFR-COMP-007 / jit-scim §10.4.K / Q56</t>
  </si>
  <si>
    <t>再割当は「正規のログインなのに他人の権限が付く」事故で、しかも気づきにくい</t>
  </si>
  <si>
    <t>新方式のリスクが受容できず、現行方式に戻る</t>
  </si>
  <si>
    <t>契約で義務付けられない場合（拒否機構だけでは顧客側の運用を止められない）</t>
  </si>
  <si>
    <t>QA-BIND-06</t>
  </si>
  <si>
    <t>利用者の追加は、テナント管理者が管理画面から登録する運用を標準にできますか。</t>
  </si>
  <si>
    <t>新方式はログインより先に管理画面で利用者を登録しておくことが前提です。テナント管理者が画面から追加していく運用なら、最初の1人を除いて全員この形に乗ります（名簿や自動同期は不要）。一方、「ログイン基盤にいる人は全員そのまま入れてよい」という運用を望まれるお客様には向きません。どちらを標準とするか、またお客様ごとに選べるようにすべきかをご判断ください。／※質問状Q86（自動登録された利用者の初期権限）と統合を検討中。顧客へ出す際はどちらか一方にしてください。</t>
  </si>
  <si>
    <t>研究ノート §8.1b / FR-FED-008 / B-403 / ★Q86と重複</t>
  </si>
  <si>
    <t>Q86（自動登録時の初期権限）と実質同じ判断。権限を個別に付ける運用なら事前登録は追加負担ゼロ（どのみち付与操作が要る）だが、全員一律アクセスの運用なら純増になる</t>
  </si>
  <si>
    <t>標準の運用が決まらず、両方式の作り込みが必要かの判断ができない</t>
  </si>
  <si>
    <t>「IdPにいる人は全員入れてよい」を望む顧客が一定数いる場合（テナント別の選択にできれば併存は弱点でなく選択肢になる）</t>
  </si>
  <si>
    <t>QA-BIND-07</t>
  </si>
  <si>
    <t>お客様の最初の管理者は、どのように登録しますか。</t>
  </si>
  <si>
    <t>事前登録の運用では、最初の1人を登録する人がまだ存在しないという順序の問題があります。弊社が手作業でデータベースに登録する想定ですが、誰が・どの承認を経て・どう記録に残すかを決める必要があります。</t>
  </si>
  <si>
    <t>研究ノート §8.1b / RB-TEN-01</t>
  </si>
  <si>
    <t>初期構築の手順に穴がある。手作業は監査で必ず問われる</t>
  </si>
  <si>
    <t>テナント開始の手順が完成しない</t>
  </si>
  <si>
    <t>—（どちらの方式でも必要）</t>
  </si>
  <si>
    <t>△ 重複検討中：QA(方式検討)シートのQA-BIND-06（管理画面からの事前登録を標準にできるか）と実質同じ判断（テナントが権限を個別管理するか／全員一律アクセスか）。顧客へ出す際はQ86とQA-BIND-06のどちらか一方にすること（2026-08-19）</t>
  </si>
  <si>
    <t>転記状況</t>
  </si>
  <si>
    <t>進捗一覧のID</t>
  </si>
  <si>
    <t>権限取得APIの必須化（全アプリ）</t>
  </si>
  <si>
    <t>ログイン直後に権限取得API（/api/me/context）を全アプリが必ず呼ぶことにできるか</t>
  </si>
  <si>
    <t>案Y（事前登録して初回アクセス時に紐づける方式）の成立条件そのもの。このAPIの初回呼び出しをきっかけに利用者と権限を結びつけるため、呼ばないアプリが1本でもあると、そのアプリの利用者だけ権限が付かない。画面を持たないバッチ的なアプリが該当しうる</t>
  </si>
  <si>
    <t>アプリチームに全アプリでの必須化の可否を確認する。呼ばないアプリがある場合は例外扱いにできるかも併せて判断し、不可なら現行のEventBridge方式に戻す</t>
  </si>
  <si>
    <t>【なぜ聞くか】案Yの成立条件そのもの。1本でも呼ばないアプリがあると、そのアプリの利用者だけ権限が付かないため
【質問】ログイン直後に、権限を取得するAPI（/api/me/context）を必ず呼んでいただけますか。呼べないアプリはありますか。
【選択肢】
① 全アプリで必ず呼べる
② 呼べないアプリがある（アプリ名と本数をご記入ください）
③ 未確定</t>
  </si>
  <si>
    <t>権限の紐づけ方式（案Y）の成立条件</t>
  </si>
  <si>
    <t>2026-08-19 QA(方式検討)から転記。判定はQAシートのI列で管理</t>
  </si>
  <si>
    <t>QA方式検討</t>
  </si>
  <si>
    <t>doc/requirements/qa-binding-2026-08-19.tsv</t>
  </si>
  <si>
    <t>通行証への識別子2つの追加</t>
  </si>
  <si>
    <t>通行証（JWT）に所属企業の識別子と利用者の識別子を追加できるか</t>
  </si>
  <si>
    <t>案Yでは事前登録した権限と結びつけるため tenant_id と user_name を通行証に追加する。user_name はメールアドレスではなく社員番号などの内部ID（個人情報を通行証に載せない方針のため）。ADR-030（最小クレーム設計）の変更を伴う</t>
  </si>
  <si>
    <t>アプリチームにサイズ増加とログ出力の観点で支障がないか確認する。受け入れられない場合、またはuser_nameにメールしか使えない場合は突合キーが無く案Yが成立しない</t>
  </si>
  <si>
    <t>【なぜ聞くか】クレーム追加はADR-030（最小クレーム設計）の変更を伴い、アプリ側の受入可否が前提になるため
【質問】通行証（JWT）に「所属企業の識別子」と「利用者の識別子」を追加します。アプリ側で支障はありますか。
【選択肢】
① 支障なし
② 支障あり（内容をご記入ください）
③ user_nameにメールアドレスしか使えない
④ 未確定</t>
  </si>
  <si>
    <t>未登録者がログインしたときのアプリの振る舞い</t>
  </si>
  <si>
    <t>事前登録されていない人がログインしたとき、アプリ側でどう振る舞うか</t>
  </si>
  <si>
    <t>案Yでは管理者が事前に登録した人だけが権限を持つため、未登録者は権限ゼロの状態になる。①エラー画面 ②権限申請の案内 ③そもそもログインさせない のいずれを想定するかで、問い合わせの受け皿を誰が持つかが決まる。※方式の判定に関係なく運用設計に必要</t>
  </si>
  <si>
    <t>アプリチームに想定する振る舞いを確認し、運用手順書と案内文へ反映する</t>
  </si>
  <si>
    <t>【なぜ聞くか】「ログインできたのに使えない」問い合わせの受け皿を誰が持つかが決まらないため
【質問】事前登録されていない方がログインしてきた場合、アプリはどう振る舞いますか。
【選択肢】
① エラー画面を出す
② 権限申請の案内を出す
③ そもそもログインさせない
④ 未確定</t>
  </si>
  <si>
    <t>2026-08-19 QA(方式検討)から転記。方式の判定に関係なく必要</t>
  </si>
  <si>
    <t>アプリ側での利用者特定キー</t>
  </si>
  <si>
    <t>アプリ側が内部番号（sub）以外で利用者を特定している箇所があるか</t>
  </si>
  <si>
    <t>案Yでは初回の1回だけ利用者の識別子で突合し、以降は内部番号（sub）で引く。アプリ側が社員番号やメールアドレスで利用者を特定している箇所があると、改名や再入社のときに権限や履歴が切れる。※案Yに限らず現行方式でも問題になる</t>
  </si>
  <si>
    <t>アプリチームに可変キーへの依存箇所を洗い出してもらう。該当があれば内部番号（sub）への移行を計画する</t>
  </si>
  <si>
    <t>【なぜ聞くか】アプリ側に可変キー依存が残っていると、改名時に権限や履歴が切れるため
【質問】アプリ側で利用者を特定するとき、内部番号（sub）以外を使っている箇所はありますか。
【選択肢】
① ない（すべてsubで特定）
② ある（箇所と使用しているキーをご記入ください）
③ 未確定</t>
  </si>
  <si>
    <t>利用者識別子の使い回し禁止の契約明記</t>
  </si>
  <si>
    <t>社員番号などの識別子を、退職者の分も含めて二度と使い回さないことを契約に明記できるか</t>
  </si>
  <si>
    <t>案Yではこの識別子で事前登録と実際のログインを突き合わせる。退職者の識別子が新入社員に再割当されると前任者の権限をそのまま引き継いでしまう。記録は7年保持し物理削除もしないため「削除すれば衝突しない」という解決はできない。契約で義務付けたうえで、基盤側でも使用済み識別子を記録して再登録を拒否する仕組みを入れる想定</t>
  </si>
  <si>
    <t>事業側に契約への明記可否を確認する。義務付けられない場合は拒否機構だけでは顧客側の運用を止められず、案Yのリスクが受容できないため現行方式に戻す</t>
  </si>
  <si>
    <t>【なぜ聞くか】識別子の再割当は「正規のログインなのに他人の権限が付く」事故で、しかも気づきにくいため
【質問】利用者の識別子（社員番号など）を、退職者の分も含めて二度と使い回さないことを、お客様との契約に明記できますか。
【選択肢】
① 明記できる
② 努力義務としてなら書ける
③ 明記できない
④ 未確定
【補足】記録は7年保持し物理削除もしないため、削除による衝突回避はできません。</t>
  </si>
  <si>
    <t>2026-08-19 QA(方式検討)から転記。方式の判定に関係なく契約条項として必要</t>
  </si>
  <si>
    <t>管理画面からの事前登録を標準運用にできるか</t>
  </si>
  <si>
    <t>利用者の追加を、テナント管理者が管理画面から登録する運用を標準にできるか</t>
  </si>
  <si>
    <t>案Yはログインより先に管理画面で利用者を登録しておくことが前提。テナント管理者が画面から追加する運用なら最初の1人を除いて全員この形に乗る（名簿や自動同期は不要）。一方「ログイン基盤にいる人は全員そのまま入れてよい」という運用を望む顧客には向かない。テナント別に選べるようにすれば併存は弱点ではなく選択肢になる</t>
  </si>
  <si>
    <t>事業側にどちらを標準とするか、顧客ごとに選べるようにすべきかを確認する。※質問状Q86（自動登録された利用者の初期権限）と実質同じ判断のため、顧客へ出す際はQ86とどちらか一方にすること</t>
  </si>
  <si>
    <t>【なぜ聞くか】権限を個別に付ける運用なら事前登録は追加負担ゼロだが、全員一律アクセスの運用なら純増になるため
【質問】利用者の追加は、テナント管理者が管理画面から登録する運用を標準にできますか。
【選択肢】
① 事前登録を標準にする
② ログイン基盤にいる人は全員入れてよい（自動登録を標準にする）
③ お客様ごとに選べるようにする
④ 未確定
【補足】質問状Q86と統合を検討中。顧客へ出す際はどちらか一方にしてください。</t>
  </si>
  <si>
    <t>2026-08-19 QA(方式検討)から転記。Q86と統合を検討中</t>
  </si>
  <si>
    <t>△ 重複検討中：質問状Q86（B-401-2／自動登録された利用者の初期権限）と実質同じ判断。顧客へ出す際はどちらか一方にすること（2026-08-19）</t>
  </si>
  <si>
    <t>テナント最初の管理者の登録手順</t>
  </si>
  <si>
    <t>お客様の最初の管理者をどのように登録するか</t>
  </si>
  <si>
    <t>事前登録の運用では、最初の1人を登録する人がまだ存在しないという順序の問題がある。基盤側が手作業でデータベースに登録する想定だが、誰が・どの承認を経て・どう記録に残すかを決める必要がある。手作業は監査で必ず問われる。※方式の判定に関係なくどちらの方式でも必要</t>
  </si>
  <si>
    <t>事業側と運用リードで承認フローと記録方法を決め、テナント開始手順書（RB-TEN-01）に反映する</t>
  </si>
  <si>
    <t>【なぜ聞くか】初期構築の手順に穴があり、手作業は監査で必ず問われるため
【質問】お客様の最初の管理者は、どのように登録しますか。
【選択肢】
① 弊社が手作業で登録（承認者と記録方法をご指定ください）
② お客様側で初期登録できる仕組みを用意する
③ 未確定</t>
  </si>
  <si>
    <t>転記済み</t>
  </si>
  <si>
    <t>転記運用: 本シートの7件はすべて進捗一覧へ転記済み（同一IDで参照）。判定（I列）を確定させたら、進捗一覧側の状況と決定内容も更新すること</t>
  </si>
  <si>
    <t>G-SRE-LogVis: 保守要員のログ閲覧対策の実機確認</t>
  </si>
  <si>
    <t>Red Hat保守要員のログ閲覧経路（Approved Access）を有効化し、閲覧の記録を自社側で取得できることを実機で確認する</t>
  </si>
  <si>
    <t>ADR-056の採用条件④（Approved Access有効化と保守要員のログ閲覧対策の実機確認）。残ブロッカーG-DPAの技術的裏付けで、質問状Q50・RH照会RH-D-01/RH-D-02と連動する。確認できなければ基盤構成そのものの再検討になりうる</t>
  </si>
  <si>
    <t>Red Hat照会（RH-D-01: 閲覧経路とApproved Accessの範囲／RH-D-02: 閲覧記録が自社取得できる監査ログに残るか）の回答を受けて実機確認を計画する</t>
  </si>
  <si>
    <t>ADR-056 採用条件④</t>
  </si>
  <si>
    <t>G-SRE-LogVis</t>
  </si>
  <si>
    <t>2026-08-19 00a v2指示で行として追加（従前は言及のみで独立行なし）</t>
  </si>
  <si>
    <t>ADR-056 §L7 / RH照会 RH-D-01・RH-D-02</t>
  </si>
  <si>
    <t>B-SRE-LOG-1: 保守要員が生ログを読む経路の確認</t>
  </si>
  <si>
    <t>oc logs / oc debug node など、Red Hat保守要員がワーカーノード上の生ログへ到達できる経路がどこまであるか</t>
  </si>
  <si>
    <t>APPI 28条（外国第三者提供）の判断根拠。緊急時のみか通常保守も含むのかで、公表文書と契約の書き方が変わる。RH照会RH-D-01として先方へ提示済み</t>
  </si>
  <si>
    <t>RH照会（RH-D-01）の回答を待つ。回答を受けてG-DPAの法務判断とU7 §7.7の公表文書文面に反映する</t>
  </si>
  <si>
    <t>hearing B-SRE-LOG</t>
  </si>
  <si>
    <t>B-SRE-LOG-1</t>
  </si>
  <si>
    <t>2026-08-19 00a v2指示で行として追加</t>
  </si>
  <si>
    <t>hearing-checklist / RH照会 RH-D-01</t>
  </si>
  <si>
    <t>B-SRE-LOG-2: 保守要員のログ参照記録の取得可否</t>
  </si>
  <si>
    <t>保守要員がログを参照した記録が、自社で取得・保全できる監査ログに残るか</t>
  </si>
  <si>
    <t>顧客監査で「誰がいつデータを見たか」を示す必要があり、これが取得できないと顧客監査に応えられない。RH照会RH-D-02として先方へ提示済み</t>
  </si>
  <si>
    <t>RH照会（RH-D-02）の回答を待つ。取得できる場合はどの仕組み（Cluster Logging等）かを確認し、監査ログの集約設計（D-U9-01/05）へ反映する</t>
  </si>
  <si>
    <t>B-SRE-LOG-2</t>
  </si>
  <si>
    <t>hearing-checklist / RH照会 RH-D-02</t>
  </si>
  <si>
    <t>G-SSF: 失効イベント配信（SSF/CAEP）の検証ゲート</t>
  </si>
  <si>
    <t>通行証の取り消しを受け取り側へ数秒で伝える標準の仕組み（Shared Signals Framework / CAEP）を、どの段階でどこまで検証するか</t>
  </si>
  <si>
    <t>従前は「旧ゲート。B-CAEP-1へ統合済み」と記録されていたが、00a v2の指示で独立行として再掲。失効の残余時間（最大30分）を縮める3段階の導入計画（ADR-065）と連動する</t>
  </si>
  <si>
    <t>00a v2の§2該当節が取得でき次第、定義と人日を差し替える。当面はB-CAEP-1（顧客への説明資料）と対で管理する</t>
  </si>
  <si>
    <t>ADR-065 / B-CAEP-1</t>
  </si>
  <si>
    <t>2026-08-19 00a v2指示で行として追加（旧ゲート・B-CAEP-1統合済みの扱いから再掲）</t>
  </si>
  <si>
    <t>ADR-065 / U5</t>
  </si>
  <si>
    <t>△ 定義確認要：00a v2が未取得のため、本行の定義・人日はv2到着後に差し替えること（2026-08-19）</t>
  </si>
  <si>
    <t>2026-08-19 00a v2で解消（完了）</t>
  </si>
  <si>
    <t>依存</t>
  </si>
  <si>
    <t>A-1.1</t>
  </si>
  <si>
    <t>E-2 計画</t>
  </si>
  <si>
    <t>A-1.2</t>
  </si>
  <si>
    <t>A-1.3</t>
  </si>
  <si>
    <t>A-1.4</t>
  </si>
  <si>
    <t>A-1.5</t>
  </si>
  <si>
    <t>A-1.6</t>
  </si>
  <si>
    <t>A-1.2〜4</t>
  </si>
  <si>
    <t>A-1.7</t>
  </si>
  <si>
    <t>A-1.2〜6</t>
  </si>
  <si>
    <t>A-2.1</t>
  </si>
  <si>
    <t>RHBK環境</t>
  </si>
  <si>
    <t>A-2.2</t>
  </si>
  <si>
    <t>A-2.3</t>
  </si>
  <si>
    <t>A-2.4</t>
  </si>
  <si>
    <t>A-2.5</t>
  </si>
  <si>
    <t>A-3.1</t>
  </si>
  <si>
    <t>A-3.2</t>
  </si>
  <si>
    <t>A-3.3</t>
  </si>
  <si>
    <t>A-3.4</t>
  </si>
  <si>
    <t>A-3.5</t>
  </si>
  <si>
    <t>A-3.6</t>
  </si>
  <si>
    <t>廃止</t>
  </si>
  <si>
    <t>A-5.1</t>
  </si>
  <si>
    <t>A-5.2</t>
  </si>
  <si>
    <t>A-5.3</t>
  </si>
  <si>
    <t>A-6.1</t>
  </si>
  <si>
    <t>A-5後推奨</t>
  </si>
  <si>
    <t>A-6.2</t>
  </si>
  <si>
    <t>A-6.3</t>
  </si>
  <si>
    <t>A-6.4</t>
  </si>
  <si>
    <t>A-7.1</t>
  </si>
  <si>
    <t>A-7.2</t>
  </si>
  <si>
    <t>Argon2idスループット実測</t>
  </si>
  <si>
    <t>A-1環境相乗り</t>
  </si>
  <si>
    <t>SAMLメタデータ自動更新の実機確認</t>
  </si>
  <si>
    <t>A-10.1</t>
  </si>
  <si>
    <t>A-10.2</t>
  </si>
  <si>
    <t>小粒実機確認バンドル（4点×0.5）</t>
  </si>
  <si>
    <t>A-12.1</t>
  </si>
  <si>
    <t>A-12.2</t>
  </si>
  <si>
    <t>A-12.3</t>
  </si>
  <si>
    <t>A-13</t>
  </si>
  <si>
    <t>G-UProfile-Email 実機（新規・2026-08-03ゲート）</t>
  </si>
  <si>
    <t>A-2環境相乗り</t>
  </si>
  <si>
    <t>A-14</t>
  </si>
  <si>
    <t>G-SSF 実機（新規・2026-08-12ゲート）</t>
  </si>
  <si>
    <t>A-15</t>
  </si>
  <si>
    <t>G-SRE-LogVis 実機（新規・2026-08-14ゲート）</t>
  </si>
  <si>
    <t>D-20 方式</t>
  </si>
  <si>
    <t>B-1.1</t>
  </si>
  <si>
    <t>要求仕様書v1 体裁化・発行</t>
  </si>
  <si>
    <t>DR系のみ D-18.2</t>
  </si>
  <si>
    <t>B-1.2</t>
  </si>
  <si>
    <t>先方QA対応</t>
  </si>
  <si>
    <t>B-1.3</t>
  </si>
  <si>
    <t>回答反映（期待経路）</t>
  </si>
  <si>
    <t>B-2.1</t>
  </si>
  <si>
    <t>CF→エッジLB到達方式の技術詰め</t>
  </si>
  <si>
    <t>B-2.2</t>
  </si>
  <si>
    <t>協議資料化</t>
  </si>
  <si>
    <t>CIDR台帳の凍結</t>
  </si>
  <si>
    <t>社内NW</t>
  </si>
  <si>
    <t>B-4.1</t>
  </si>
  <si>
    <t>G-EGRESS 合意資料</t>
  </si>
  <si>
    <t>B-4.2</t>
  </si>
  <si>
    <t>G-EDGE-DR 合意資料</t>
  </si>
  <si>
    <t>D-18.2</t>
  </si>
  <si>
    <t>Canary Bot除外合意</t>
  </si>
  <si>
    <t>C-1.1</t>
  </si>
  <si>
    <t>C-1.2</t>
  </si>
  <si>
    <t>C-1.3</t>
  </si>
  <si>
    <t>Baseline整合3点（各0.5〜1）</t>
  </si>
  <si>
    <t>ADR反映残の一括処理（7本×0.5）</t>
  </si>
  <si>
    <t>小粒登録4点</t>
  </si>
  <si>
    <t>宙に浮いた参照8件の解消</t>
  </si>
  <si>
    <t>research波及文書修正</t>
  </si>
  <si>
    <t>LDAP経路の対象外化</t>
  </si>
  <si>
    <t>C-9</t>
  </si>
  <si>
    <t>U6 §6.2 の2-VPC分離（B案）本文再編（新規）</t>
  </si>
  <si>
    <t>D-19</t>
  </si>
  <si>
    <t>C-10</t>
  </si>
  <si>
    <t>06a §A.6 の2-VPC反映（新規）</t>
  </si>
  <si>
    <t>idp_priority + Orgセレクター表示順</t>
  </si>
  <si>
    <t>AAL2/AAL3要求操作一覧</t>
  </si>
  <si>
    <t>B-APP-STEPUP-1暫定可</t>
  </si>
  <si>
    <t>完了（解消）</t>
  </si>
  <si>
    <t>SCIM Facade実行形態</t>
  </si>
  <si>
    <t>idm-api S2S認可の残分</t>
  </si>
  <si>
    <t>SES/メール送信設計</t>
  </si>
  <si>
    <t>ITDR DynamoDB大阪 + Break-Glass大阪実体</t>
  </si>
  <si>
    <t>D3-17 portal値 + ext_受入枠 + app 90日オプトイン</t>
  </si>
  <si>
    <t>D-9.1</t>
  </si>
  <si>
    <t>エンタイトルメント×App Registryスキーマ統合</t>
  </si>
  <si>
    <t>D-9.2</t>
  </si>
  <si>
    <t>管理操作監査ログの配置（per-brand vs 中央）</t>
  </si>
  <si>
    <t>D-9.3</t>
  </si>
  <si>
    <t>承認UI共用 + canaryスコープ + SLO境界</t>
  </si>
  <si>
    <t>IdP証明書ローテーション運用設計</t>
  </si>
  <si>
    <t>D-16.1</t>
  </si>
  <si>
    <t>B-SN暫定可</t>
  </si>
  <si>
    <t>D-16.2</t>
  </si>
  <si>
    <t>D-16.3</t>
  </si>
  <si>
    <t>D-17.1</t>
  </si>
  <si>
    <t>D-17.2</t>
  </si>
  <si>
    <t>D-17.3</t>
  </si>
  <si>
    <t>D-17.4</t>
  </si>
  <si>
    <t>D-17.5</t>
  </si>
  <si>
    <t>D-17.1〜4</t>
  </si>
  <si>
    <t>D-18.1</t>
  </si>
  <si>
    <t>D-18.3</t>
  </si>
  <si>
    <t>D-18.4</t>
  </si>
  <si>
    <t>P-17クラスタトポロジ再検討（新規・凍結解除）</t>
  </si>
  <si>
    <t>D-20</t>
  </si>
  <si>
    <t>SRE stdoutマスキング方式設計（新規）</t>
  </si>
  <si>
    <t>E-1.1</t>
  </si>
  <si>
    <t>E-1.2</t>
  </si>
  <si>
    <t>E-1.3</t>
  </si>
  <si>
    <t>負荷試験一元計画書</t>
  </si>
  <si>
    <t>FinOps/継続コスト管理</t>
  </si>
  <si>
    <t>KC本番設定の詰め漏れ反映（5項目×1）</t>
  </si>
  <si>
    <t>アップグレード運用の精密化</t>
  </si>
  <si>
    <t>Aurora接続の公式部品採否</t>
  </si>
  <si>
    <t>ROSA監査ログの中央集約制約</t>
  </si>
  <si>
    <t>brute force戦略 + アカウント列挙対策</t>
  </si>
  <si>
    <t>ヒアリング質問状のパッケージ化</t>
  </si>
  <si>
    <t>法務・Red Hat照会の起票と追撃</t>
  </si>
  <si>
    <t>ADR-040/036別スレッド完了後の統合</t>
  </si>
  <si>
    <t>G-1.1</t>
  </si>
  <si>
    <t>G-1.2</t>
  </si>
  <si>
    <t>G-1.3</t>
  </si>
  <si>
    <t>G-1.4</t>
  </si>
  <si>
    <t>G-1.5</t>
  </si>
  <si>
    <t>G-1.6</t>
  </si>
  <si>
    <t>G-1.7</t>
  </si>
  <si>
    <t>G-1.8</t>
  </si>
  <si>
    <t>G-1.9</t>
  </si>
  <si>
    <t>G-1.10</t>
  </si>
  <si>
    <t>G-1.11</t>
  </si>
  <si>
    <t>オンコール/アラートRouting実体</t>
  </si>
  <si>
    <t>G-4.1</t>
  </si>
  <si>
    <t>G-4.2</t>
  </si>
  <si>
    <t>分岐ID</t>
  </si>
  <si>
    <t>トリガー（〜の状態で〜の場合）</t>
  </si>
  <si>
    <t>追加作業</t>
  </si>
  <si>
    <t>C-A1</t>
  </si>
  <si>
    <t>A-1実測でp99がベースライン比 +10%を超過した場合</t>
  </si>
  <si>
    <t>キャッシュ増強・構成見直しの対策設計 + 再実測</t>
  </si>
  <si>
    <t>C-A2</t>
  </si>
  <si>
    <t>A-2でRHBK互換FAILの場合</t>
  </si>
  <si>
    <t>upstream KC継続判断 or SPI改修方針の再設計（P-01影響評価込み）</t>
  </si>
  <si>
    <t>C-A3</t>
  </si>
  <si>
    <t>A-3でValidator不合格項目が出た場合</t>
  </si>
  <si>
    <t>写像・スキーマ再設計 + 再検証</t>
  </si>
  <si>
    <t>C-A6</t>
  </si>
  <si>
    <t>A-6で実IdPにてSPI不発火ケースを発見した場合</t>
  </si>
  <si>
    <t>Flow配置再設計 + 回帰</t>
  </si>
  <si>
    <t>C-A9</t>
  </si>
  <si>
    <t>A-9で自動更新機能が実在しない場合</t>
  </si>
  <si>
    <t>D-12で運用代替（手動ローテ+監視）設計</t>
  </si>
  <si>
    <t>C-A10</t>
  </si>
  <si>
    <t>A-10.2で同期emitがp99を悪化させる場合</t>
  </si>
  <si>
    <t>非同期化（buffer/バッチ）再設計</t>
  </si>
  <si>
    <t>C-A12</t>
  </si>
  <si>
    <t>B-SN-3回答がパターン②以外の場合</t>
  </si>
  <si>
    <t>該当パターンでA-12再検証 + U10改訂</t>
  </si>
  <si>
    <t>C-B1</t>
  </si>
  <si>
    <t>他組織回答が要求と乖離した場合（In-B不可・NFW例外不可・ヘッダ挿入不可等）</t>
  </si>
  <si>
    <t>該当箇所の設計再検討 + REQ再発行</t>
  </si>
  <si>
    <t>C-B2</t>
  </si>
  <si>
    <t>zero-egressのTGW接続不可（O-10）の場合</t>
  </si>
  <si>
    <t>案A（NAT GW→NFW）へのegress再設計</t>
  </si>
  <si>
    <t>C-B3</t>
  </si>
  <si>
    <t>VPC origins不可の場合</t>
  </si>
  <si>
    <t>custom origin前提のSG/prefix list設計へ切替</t>
  </si>
  <si>
    <t>C-B4</t>
  </si>
  <si>
    <t>B-3でCIDR衝突が発覚した場合</t>
  </si>
  <si>
    <t>C-D18</t>
  </si>
  <si>
    <t>D-18.2で部分ウォーム復活を決定した場合</t>
  </si>
  <si>
    <t>U6常時コスト・大阪常設構成・C-1コストの再設計</t>
  </si>
  <si>
    <t>C-D19</t>
  </si>
  <si>
    <t>D-19で2クラスタ構成を変更する決定の場合</t>
  </si>
  <si>
    <t>U6/06a/CIDR/ADR-033/062/063の波及改訂 + 2-VPC設計（C-9/C-10）の手戻り</t>
  </si>
  <si>
    <t>C-F1</t>
  </si>
  <si>
    <t>U7 FIPS 140-3対応設計（暗号モジュール・ROSA FIPSモード・影響全単元）</t>
  </si>
  <si>
    <t>C-F3</t>
  </si>
  <si>
    <t>識別子/UX系（B-IDM/B-62x）で特殊要望が出た場合</t>
  </si>
  <si>
    <t>HRD文言・識別子体系の部分再設計</t>
  </si>
  <si>
    <t>C-F4</t>
  </si>
  <si>
    <t>B-MIG系で移行方式変更（一括→段階等）が出た場合</t>
  </si>
  <si>
    <t>U10 §10.4 移行設計の再構成</t>
  </si>
  <si>
    <t>未顕在</t>
  </si>
  <si>
    <t>④テストは各DUに割らず、単元行と横断行で持つ。PoCゲート（①の269人日に含まれる98人日）と重複しないよう調整済み</t>
  </si>
  <si>
    <t>①基本設計269人日（00a v2）はDUに配分しない横断作業で、大半が進行中または完了。②〜④が新規に発生する工数。条件付きプール+65はベース外で上限1,741</t>
  </si>
  <si>
    <t>D-U9-21/22/23</t>
  </si>
  <si>
    <t>出典の小計</t>
  </si>
  <si>
    <t>積み上げ</t>
  </si>
  <si>
    <t>H-B 機能設計</t>
  </si>
  <si>
    <t>H-C 画面設計</t>
  </si>
  <si>
    <t>H-D データ設計</t>
  </si>
  <si>
    <t>H-E IF設計</t>
  </si>
  <si>
    <t>H-F バッチ設計</t>
  </si>
  <si>
    <t>H-G 権限・監査</t>
  </si>
  <si>
    <t>H-H 運用補完</t>
  </si>
  <si>
    <t>H-I レビュー・合意</t>
  </si>
  <si>
    <t>トリガー（〜の場合）</t>
  </si>
  <si>
    <t>増分人日</t>
  </si>
  <si>
    <t>CH-1</t>
  </si>
  <si>
    <t>顧客/ステークホルダーレビューで大幅な指摘が出た場合</t>
  </si>
  <si>
    <t>設計書の再構成 + 再レビュー</t>
  </si>
  <si>
    <t>CH-2</t>
  </si>
  <si>
    <t>CH-3</t>
  </si>
  <si>
    <t>管理SPAの詳細化で画面数が増加した場合（32→50）</t>
  </si>
  <si>
    <t>画面仕様書の追加（18画面×0.5）</t>
  </si>
  <si>
    <t>CH-4</t>
  </si>
  <si>
    <t>要件定義の追加要求で機能追加が発生した場合</t>
  </si>
  <si>
    <t>機能・画面・IFの追加設計</t>
  </si>
  <si>
    <t>CH-5</t>
  </si>
  <si>
    <t>既存10冊を正式成果物として全面清書する方針になった場合</t>
  </si>
  <si>
    <t>体裁統一・章立て再編・図版差替</t>
  </si>
  <si>
    <t>内訳（work item × 人日）</t>
  </si>
  <si>
    <t>DU-U6-14</t>
  </si>
  <si>
    <t>2-VPC分離（B案）のVPC-M構築</t>
  </si>
  <si>
    <t>🟡 P-17確定待ち</t>
  </si>
  <si>
    <t>v2.1（2026-08-26 新規）</t>
  </si>
  <si>
    <t>topology note 2026-08-18</t>
  </si>
  <si>
    <t>VPC-M構築(Lambda/Endpoint/Auroraサブネット×3AZ) 4; IF Endpoint群配置(events/Secrets/KMS/Logs等) 2; CGNAT/ルート設計適用(TGW非attach) 2</t>
  </si>
  <si>
    <t>Realm/Org IaC 2; Org attribute定義 1; 再現検証 1</t>
  </si>
  <si>
    <t>client/scope/mapper定義 3; PrivateLink経由疎通 3; storeToken=false×id_token_hint検証 2; TTL整合 2</t>
  </si>
  <si>
    <t>browser-std 2; HRD flow 2; first-broker 2; post-broker 2; formsサブフロー 1; Flow回帰ハーネス 2</t>
  </si>
  <si>
    <t>HRD Authenticator実装 6; JIT制御(案B) 6; Re-Activation 4; mfa_indicator/emit 3; ビルド・署名・SBOMハーネス 3; 単体テスト固定 2</t>
  </si>
  <si>
    <t>Mapper定義 2; syncMode=IMPORT保護検証 1; PII非搭載チェック 1</t>
  </si>
  <si>
    <t>User Profile宣言 3; 3経路完走検証 4; 検証失敗UX例外系 2</t>
  </si>
  <si>
    <t>SAML Clientテンプレ 2; NameID/署名検証 1; Mapper 1</t>
  </si>
  <si>
    <t>キャッシュ設定 3; 接続予算適用 2; HRD前提設定 2; 1000IdP合成回帰のCI組込 3; 監視閾値 2</t>
  </si>
  <si>
    <t>BCL連鎖 3; TTL共通変数 2; acr/prompt/max_age転送 3; login_hint書式契約 2</t>
  </si>
  <si>
    <t>authz系スキーマDDL 4; brand_id一級キー/不変条件の制約実装 3; マイグレーション+単体 3</t>
  </si>
  <si>
    <t>判定1-3実装 4; Case 1-6テーブル 3; 安全側拒否+単体固定 4</t>
  </si>
  <si>
    <t>受信API/認証 5; フィルタ/ページング 3; 属性正準化写像 4; DELETE→Soft Delete写像 3; テナント二重照合 3; Validator回帰 4</t>
  </si>
  <si>
    <t>projectionストア設計実装 4; 3書込フィード(冪等upsert) 6; /api/me/context read 4; version/最新勝ち 3; 読取性能チューニング 5</t>
  </si>
  <si>
    <t>outbox DDL+1Tx書込 4; リレーLambda(必達/再送/DLQ) 4; shadow制御連携(冪等) 2; 数分リコンサイル 2</t>
  </si>
  <si>
    <t>状態機械S1-S10実装 4; 3段階削除(遮断/Soft/物理準備) 3; deprovisioned_at起算+単体 3</t>
  </si>
  <si>
    <t>Re-Activation判定(同一Tx) 4; SCIM除外条件 3; 誤発火シナリオ単体固定 4</t>
  </si>
  <si>
    <t>CronJob実装 4; jitのみ対象/idpkc%除外 3; 10M分割実行+実測 5</t>
  </si>
  <si>
    <t>reactivated outbox 3; shadow enable側(冪等) 3; 削除との対称性検証 3</t>
  </si>
  <si>
    <t>sub通知受信ハンドラ 3; authzスタブ生成+バックフィル 3; 順序/冪等検証 3</t>
  </si>
  <si>
    <t>sourceレジストリ格納 3; Mapper/User Profile生成連動 3</t>
  </si>
  <si>
    <t>画面1 Theme 4; HRD降格UX 3; 応答同一化検証 3</t>
  </si>
  <si>
    <t>ニュートラルテーマ 3; messages集約 1; CSRF hidden不改変検査 1</t>
  </si>
  <si>
    <t>WebAuthnエンロール 4; TOTP(QR/手動キー) 3; ケースA-D UX 3; フォールバックリンク 2</t>
  </si>
  <si>
    <t>launchpad SPA 6; /api/me/apps連携 3; 直叩き着地制御 3</t>
  </si>
  <si>
    <t>Sorry SPA 3; 表示6/禁止5検証 2</t>
  </si>
  <si>
    <t>A11y実装対応 6; CI自動検査 2; 手動/当事者テスト準備 2</t>
  </si>
  <si>
    <t>messages分離+決定明文化 3</t>
  </si>
  <si>
    <t>Forgot Password画面 2; 本人確認方式実装 2</t>
  </si>
  <si>
    <t>セッション一覧 3; 自己失効 2</t>
  </si>
  <si>
    <t>2台目step-up必須化 3; 拒否UX 1</t>
  </si>
  <si>
    <t>メール非依存リカバリ導線 3; Recovery Code UX 1</t>
  </si>
  <si>
    <t>クレーム/TTL Config 3; PIIチェック3箇所組込 2</t>
  </si>
  <si>
    <t>TEクライアント設定 4; 監査ログ 2; 境界テスト 2</t>
  </si>
  <si>
    <t>not-before push 3; 一斉revoke 3; BCL 4; L4 Runbook連動 2</t>
  </si>
  <si>
    <t>idm:*スコープセット 3; CC開放+物理削除非定義検証 2</t>
  </si>
  <si>
    <t>RPガイド完全版 6; Sorry規約 2; 契約文言化 2</t>
  </si>
  <si>
    <t>SETエミッタ(outbox起点) 6; SSF Stream管理 4; RP receiver SDK 6; opt-in配信+検証 4</t>
  </si>
  <si>
    <t>at+jwt 7点検証 3; RFC 9470 step-up 3; 同時セッションSPI 2; TE act/may_act 2</t>
  </si>
  <si>
    <t>DPoPサイジング入力 2; Phase2トリガー明文化 2</t>
  </si>
  <si>
    <t>Org/Acct IaC 5; EventBridge越境経路+resource policy 4; IAM相互信頼なし検証 3</t>
  </si>
  <si>
    <t>ROSA HCP×2プロビIaC 8; Machine Pool 2系統 4; サイジング適用(P-02初回値) 4; HPA/テイント 4; G-IdP-Scaleデータセット併走整備 4</t>
  </si>
  <si>
    <t>identity Aurora 4; authz系Aurora 4; CMK/SG/ロール分離検証 4</t>
  </si>
  <si>
    <t>auth/idp Ingress(NFW→TGW→ALB) 5; api(API GW) 4; SPA(OAC) 2; REQ-IN-12/13準拠検証 2</t>
  </si>
  <si>
    <t>kc-admin内部NLB 4; EPS-Admin/EPS-OIDC Endpoint Service化(2-VPC反映) 4; フェデbackchannel IF Endpoint+PHZ 4</t>
  </si>
  <si>
    <t>Lambda実行基盤(VPC-Mアタッチに変更) 4; API GW JWT L1 3; 専用サブネット/SG 3</t>
  </si>
  <si>
    <t>VPC Endpoint群 4; Egressルールグループ要求(B部) 4; 1000+ FQDN申請フロー 4</t>
  </si>
  <si>
    <t>L2 403+SGエッジ限定 3; hostname-admin分離 2</t>
  </si>
  <si>
    <t>CIDR台帳IaC化 3; 衝突検査CI 2</t>
  </si>
  <si>
    <t>per-tenantレート制限 4; tenant_id一貫強制 3; realm分離基準 2</t>
  </si>
  <si>
    <t>ACM Private CA 4; 証明書自動ローテ 3; NetworkPolicy 3</t>
  </si>
  <si>
    <t>SES(sandbox解除/SPF/DKIM/DMARC) 4; VPCE+バウンス 2</t>
  </si>
  <si>
    <t>Public Zone+PHZ 3; クロスアカウントRAM 2; Resolverルール(REQ-OUT-04) 3</t>
  </si>
  <si>
    <t>CMK設計IaC 5; Key Policy 3ロール 4; 削除/変更即時通知 3</t>
  </si>
  <si>
    <t>Realm Key 90日+30日並走CronJob 4; 失敗時手動手順 2</t>
  </si>
  <si>
    <t>Event Listener 5; EventBridge→Risk Engine基盤 5; Golden 4シグナル実装 8; Phase 1a通知 4</t>
  </si>
  <si>
    <t>辞書M-1〜14実装 5; Aggregator集中適用 4; 週1監査スキャン 3</t>
  </si>
  <si>
    <t>Pod Identity/IRSA 3; SA最小権限検証 2</t>
  </si>
  <si>
    <t>AWS IIC構成 6; Session Manager/踏み台 5; Break-Glass実装 5; 訓練手順+監査 6</t>
  </si>
  <si>
    <t>4軸分離IaC 5; SCP(両方に届く単一ロール禁止) 3; 検証 2</t>
  </si>
  <si>
    <t>PWポリシー 2; WebAuthn/TOTP Policy両Realm 3</t>
  </si>
  <si>
    <t>REQ-IN-01明細要求 3; KC Brute Force/列挙対策 4; Turnstileトリガー定義 2</t>
  </si>
  <si>
    <t>NHI台帳 4; 孤立検知CronJob 3; 失効伝播(ADR-064機構) 3</t>
  </si>
  <si>
    <t>同意記録+撤回 3; レシート 2</t>
  </si>
  <si>
    <t>ローテLambda 5; KC 2世代並走 3; 直書き禁止CI lint 2</t>
  </si>
  <si>
    <t>ミラー同期検証ゲート(Trivy+Cosign) 5; Critical CVE緊急同期Runbook 2; 検証 2</t>
  </si>
  <si>
    <t>SOP実体文書 4; Tabletop 3; DPA追跡機械化 2</t>
  </si>
  <si>
    <t>service-account client分離 4; NLB SG最小化 3; 全操作監査+mTLS検討 3</t>
  </si>
  <si>
    <t>SLO Recording Rules 4; Multi-burn-rate Alert 4; ダッシュボード 2</t>
  </si>
  <si>
    <t>再構築パイプラインIaC 6; 発動判断組込 3; 方式確定反映(D-18.2) 3</t>
  </si>
  <si>
    <t>Aurora Global 4; PITR/定期SS 4; Vault Lock(削除権限分離) 4</t>
  </si>
  <si>
    <t>RB-DR Runbook実体 6; Game Day H1準備 4; 実施+AAR 5</t>
  </si>
  <si>
    <t>IaC再適用経路 3; Aurora Global経路+Realm Export全廃検証 2</t>
  </si>
  <si>
    <t>min3/PDB/topologySpread 3; /health/ready+HPA 2</t>
  </si>
  <si>
    <t>JDBC timeout/Agroal調整 4; Writerフェイルオーバー実測+Proxy要否 4</t>
  </si>
  <si>
    <t>ローリング戦略実装 4; Staging 1000IdP回帰枠 4</t>
  </si>
  <si>
    <t>SLA/RPO文言 3; Failover後WAF/ITDR強化 3</t>
  </si>
  <si>
    <t>ブランド系DR編入IaC 5; 大阪projection再構築 3; SSOT表 2</t>
  </si>
  <si>
    <t>Promote後outbox必達 4; 二重送信防止+Game Day項目化 4</t>
  </si>
  <si>
    <t>ADR-051反映 3</t>
  </si>
  <si>
    <t>モジュール分割設計 6; stateマトリクス 4; 基盤層実装 6; テナント層+日次ドリフト検知 6</t>
  </si>
  <si>
    <t>GH Actions 5; ArgoCD/GitOps 5; ECRミラー+SLSA 4</t>
  </si>
  <si>
    <t>別WF+ECRコンテナLambda 5; SAM/CDK 2アカウント 4; EventBridge Schedulerバッチ枠 3</t>
  </si>
  <si>
    <t>OTel Collector 5; Micrometer統合 4; Cardinality/Trace Sampling 4</t>
  </si>
  <si>
    <t>Hot/Cold層IaC 5; SIEM相関 4; 監査スキャン 4</t>
  </si>
  <si>
    <t>Runbook残22冊(必須13は00a G-1) 12; 禁則K-1〜13 CI機械強制 5; ゲートG-*運用組込 4; 体系整備 4</t>
  </si>
  <si>
    <t>オンボーディングAPI 6; メタデータ自動更新組込(A-9結果) 3; 証明書ローテ運用 3</t>
  </si>
  <si>
    <t>Canary実装 5; App/OpenAPI Registry連携 4; 監査Acct集約 2</t>
  </si>
  <si>
    <t>決定ログ実装 4; サンプリング 2; recertキャンペーン 4</t>
  </si>
  <si>
    <t>合成データ/マスキング 3; 機械検査 2</t>
  </si>
  <si>
    <t>X-Ray/CWアラーム 4; AMGダッシュボード+Runbook紐付け 4</t>
  </si>
  <si>
    <t>per-brand確定済(B-AUDITLOG-BRAND-1) → per-brandログ経路実装 3; WORM 7年整合 2</t>
  </si>
  <si>
    <t>SAML Client CL-SN-01実装 5; パターン②統合 5; Matching Field突合+検証 4</t>
  </si>
  <si>
    <t>OpenAPI定義 4; CRUD実装 6; 権限/authz実装 5; projection read 3; /api/me/* 3; CC経路 3</t>
  </si>
  <si>
    <t>HMAC署名 3; DLQ/再送8回 4; 配信7種 3; ±5分リプレイ防止 2</t>
  </si>
  <si>
    <t>DSAR SOP 3; 応答期限契約化 2</t>
  </si>
  <si>
    <t>遮断連鎖T-1〜5 4; 残余時間契約明示 2</t>
  </si>
  <si>
    <t>RTBF境界文書 2; 決定ログsub仮名化 2</t>
  </si>
  <si>
    <t>M0-M3テナント別Runbook 5; 重複sys_user統合スクリプト 4; 受入T-1〜5 3</t>
  </si>
  <si>
    <t>Break Glass構成 3; SIEM通知+四半期テスト 2</t>
  </si>
  <si>
    <t>SN OAuthクライアント(CC) 3; 他アプリOIDC RP登録+サイレント発行検証 3</t>
  </si>
  <si>
    <t>2026-08-15に方式確定で18→8へ縮小（§8のstale値を是正）</t>
  </si>
  <si>
    <t>🚫 対象外（2026-08-17、移行はアプリ側）。§8の14計上を除外是正。行は残す</t>
  </si>
  <si>
    <t>🟡 条件付（B-MIG-1回答次第）→ 分岐プールCB-4へ移動（-8）。行は残す</t>
  </si>
  <si>
    <t>🚫 対象外</t>
  </si>
  <si>
    <t>🟡 条件付（CB-4）</t>
  </si>
  <si>
    <t>DU-U7-16</t>
  </si>
  <si>
    <t>SREライブログ対策（stdout PIIマスキング）</t>
  </si>
  <si>
    <t>2026-08-14 起票（§8集計に不在→v2.1で+10是正）</t>
  </si>
  <si>
    <t>research/rosa-sre-live-log-visibility-2026-08-14</t>
  </si>
  <si>
    <t>stdout PIIマスキング実装(禁則K-13) 4; Approved Access有効化 2; SREアクセス監査保全(CLO→CW) 4</t>
  </si>
  <si>
    <t>別シート「WBS(テスト)」に明細50項目。区分I（共有基盤）・J（異常系）を新設し363→421に精緻化</t>
  </si>
  <si>
    <t>CB-1</t>
  </si>
  <si>
    <t>CB-2</t>
  </si>
  <si>
    <t>CB-3</t>
  </si>
  <si>
    <t>CB-4</t>
  </si>
  <si>
    <t>CB-5</t>
  </si>
  <si>
    <t>CB-6</t>
  </si>
  <si>
    <t>内訳（テストケース × 人日）</t>
  </si>
  <si>
    <t>内部NLB疎通 2; server-TLS/CA検証 2; 最小権限client×2アカ 2</t>
  </si>
  <si>
    <t>属性写像 2; 正準化 2; Soft Delete写像 2</t>
  </si>
  <si>
    <t>1Tx保証 2; 必達/再送/DLQ 2; 冪等+リコンサイル 2</t>
  </si>
  <si>
    <t>越境bus→bus 2; at-least-once/重複 2; resource policy 1</t>
  </si>
  <si>
    <t>3書込フィード 2; 冪等upsert 2; version/最新勝ち 1</t>
  </si>
  <si>
    <t>PrivateLink疎通 2; JWKS/userinfo 2; BCL連鎖 2</t>
  </si>
  <si>
    <t>brand_id一貫 2; cross-brand join不能検証 2</t>
  </si>
  <si>
    <t>ローカル(P-1/P-4) 2; HRD識別子先行(email非保有含む) 3; HRD降格/フォールバック 2; first-broker(JIT生成) 2; post-broker 1; step-up 2</t>
  </si>
  <si>
    <t>TOTP 2; WebAuthn 2; passkey-only 2; Recovery Code 2; email非保有リカバリ 1; 登録ATO(2台目step-up) 1</t>
  </si>
  <si>
    <t>JIT 3系統 3; SCIM D1 2; SCIM D2 2; 属性正準化 2; mixed Case1-6 3</t>
  </si>
  <si>
    <t>Soft Delete 2; reactivation対称 2; 受動デプロビ(信号なし→自然失敗) 2; 90日バッチ 2; 3段階削除 2</t>
  </si>
  <si>
    <t>AT/RT rotation 3; BCL 2; 失効3粒度 3; TE 2; CAEP 2</t>
  </si>
  <si>
    <t>/api/me/context 2; エンタイトルメント 2; 機能ロール 2; テナント分離(越境拒否) 2</t>
  </si>
  <si>
    <t>CRUD 3; 権限編集 2; 招待 2; PWリセット 2; 監査 2; 3層スコープ(越権拒否) 1</t>
  </si>
  <si>
    <t>識別子先行UX 2; フォールバック降格 2; ブランド別テーマ/多言語 2</t>
  </si>
  <si>
    <t>launchpad 2; 403→Sorry 2; 権限不足画面 1</t>
  </si>
  <si>
    <t>Entra接続構成 3; SAML 3; OIDC 2; claims/iss/nonce/証明書 2</t>
  </si>
  <si>
    <t>Okta接続構成 3; 差分洗い出し 3; 反映 2</t>
  </si>
  <si>
    <t>SAML JIT 3; sys_id保全 3; 削除連鎖 2; OIDC貫通 2; Break Glass 2</t>
  </si>
  <si>
    <t>Entra SCIM Push 3; Okta SCIM Push 3; Validator 2</t>
  </si>
  <si>
    <t>シナリオ設計 3; 初回リリース基準(100〜500万MAU)実測 5; 上限10M実測 5; トークン検証p99 3; フェデ比率50:50(B-BROK-1暫定) 2</t>
  </si>
  <si>
    <t>1000 IdP実測 5; 2000 IdP実測 4; キャッシュ/メモリ 3; 再起動ウォームアップ 2</t>
  </si>
  <si>
    <t>externalId検索p99 4; バルク5万件 4; 読取p99 4</t>
  </si>
  <si>
    <t>pool予算検証 3; Writer負荷 3; 接続飽和 2</t>
  </si>
  <si>
    <t>SPI 4機能耐久 4; HRD高頻度 2</t>
  </si>
  <si>
    <t>90日バッチ(10M) 4; 一括投入 2</t>
  </si>
  <si>
    <t>再構築手順実証 5; RTO実測（方式はD-18.2確定値） 4; 成立条件5点 3</t>
  </si>
  <si>
    <t>PITR 3; 論理破壊シナリオ 3; 不変SS/Vault Lock 2</t>
  </si>
  <si>
    <t>Aurora failover&lt;1分 3; Pod drain/PDB 3; ローリング 2</t>
  </si>
  <si>
    <t>exactly-once 3; 未送信Promote 3</t>
  </si>
  <si>
    <t>authz/idmap PITR 3; projection再構築 3</t>
  </si>
  <si>
    <t>ベンダー調整/scope定義 3; 実施立会 5; 指摘トリアージ 4; 再テスト 3</t>
  </si>
  <si>
    <t>Golden G-1〜6発火 4; HIBP 2; Brute Force 2</t>
  </si>
  <si>
    <t>KMS SoD 2; 署名鍵ローテ 2; client_secretローテ+Break Glass 2</t>
  </si>
  <si>
    <t>Trivy/Cosign/SBOM 3; 未検証イメージ遮断 2</t>
  </si>
  <si>
    <t>CSRF 2; トークン境界/DPoP準備 2</t>
  </si>
  <si>
    <t>SLO/Burn Rate 3; Lambda群監視 3; ダッシュボード/系列数 4</t>
  </si>
  <si>
    <t>必須13冊の手順実証 8; 禁則機械強制検証 4</t>
  </si>
  <si>
    <t>顧客追加6ステップ 4; 証明書ローテ 2; Egress申請 2</t>
  </si>
  <si>
    <t>3層/マスキング 2; SIEM/監査スキャン 2; 認可判定ログ 2</t>
  </si>
  <si>
    <t>シナリオ準備 3; 実施 3; 指摘反映 2</t>
  </si>
  <si>
    <t>シナリオ準備 2; 実施 2; 指摘反映 2</t>
  </si>
  <si>
    <t>代表テナント調整 3; 実施 3; 指摘反映 2</t>
  </si>
  <si>
    <t>TE-01/TE-02（環境・データ基盤）の完了が前提。フェデ比率は50:50（B-BROK-1暫定、旧70/30は誤り）。規模は初回100〜500万MAU + 上限10Mの2段で実測（P-02の時点分離）</t>
  </si>
  <si>
    <t>IT-08</t>
  </si>
  <si>
    <t>2-VPC PrivateLink 疎通（2026-08-18 B案採用）</t>
  </si>
  <si>
    <t>U6 / DU-U6-05 / DU-U6-14</t>
  </si>
  <si>
    <t>DU-U6-14（VPC-M構築）とDU-U6-05（EPS化）の完了。P-17確定（00a D-19）後</t>
  </si>
  <si>
    <t>EPS-Admin経路 2; EPS-OIDC経路 2; 単方向性（provider→consumer不可）検証 1</t>
  </si>
  <si>
    <t>IT-09</t>
  </si>
  <si>
    <t>brand=Realm / issuer 規律（2026-08-15 確定）</t>
  </si>
  <si>
    <t>U2 / DU-U2-09</t>
  </si>
  <si>
    <t>DU-U2-09（Realm IaCモジュール化）の完了</t>
  </si>
  <si>
    <t>RPがissuerをブランド設定から解決 2; ハードコード検出 1; 将来N Realmテンプレ派生の検証 1</t>
  </si>
  <si>
    <t>SEC-06</t>
  </si>
  <si>
    <t>SRE ライブログ可視性（G-SRE-LogVis / ADR-056 L7）</t>
  </si>
  <si>
    <t>U7 / DU-U7-16</t>
  </si>
  <si>
    <t>DU-U7-16（stdout PIIマスキング）の完了。A-15（G-SRE-LogVis実機）の結果</t>
  </si>
  <si>
    <t>oc logs にPII非出力の実機確認 2; 本番ログレベル固定（禁則K-13）検証 1; Approved Access承認フロー/監査保全 2</t>
  </si>
  <si>
    <t>I 共有基盤</t>
  </si>
  <si>
    <t>TE-01</t>
  </si>
  <si>
    <t>テスト環境構築（共有・一時費用の労務。従来「環境費別」で労務が無計上）</t>
  </si>
  <si>
    <t>00a E-1（dev/stg方針）と連動。D負荷・E DRの前提</t>
  </si>
  <si>
    <t>ROSAテストクラスタ 5; 2-VPC/PrivateLink/Endpoint構成 3; dev/stg連携(00a E-1連動) 2; 環境維持/払い出し運用 2</t>
  </si>
  <si>
    <t>TE-02</t>
  </si>
  <si>
    <t>テストデータ生成基盤</t>
  </si>
  <si>
    <t>D負荷（PT-01/02/06）の前提</t>
  </si>
  <si>
    <t>合成データ生成器 4; 10Mユーザ/1000-2000 IdPデータセット 4; 本番PII非使用の機械検査（D-U9-19準拠） 2</t>
  </si>
  <si>
    <t>TE-03</t>
  </si>
  <si>
    <t>回帰テスト自動化スイート</t>
  </si>
  <si>
    <t>CI/CD（DU-U9I-02）の完了</t>
  </si>
  <si>
    <t>自動化フレーム整備 5; CI組込（PR/nightly） 4; 欠陥→再テストのサイクル基盤 3</t>
  </si>
  <si>
    <t>J 異常系</t>
  </si>
  <si>
    <t>AB-01</t>
  </si>
  <si>
    <t>異常系・障害注入テスト（現行43項目に皆無）</t>
  </si>
  <si>
    <t>TE-01（環境）とTE-03（自動化）の完了</t>
  </si>
  <si>
    <t>顧客IdPダウン時のフォールバック/UX 3; Aurora failover中の認証継続 2; EventBridge遅延/重複時の整合 2; 部分障害（Lambda/NLB/Endpoint単体） 2; タイムアウト/リトライ境界 1</t>
  </si>
  <si>
    <t>WBS ④ テスト — ベース 421 人日（50項目・v2.1 精緻化版。区分I 共有基盤／J 異常系 を新設、内訳列Hを追加）</t>
  </si>
  <si>
    <t>出典: doc/basic-design/research/wbs-test-refinement-2026-08-26.md §3〜§6（旧: gap-audit §10 の43項目363人日）。数値のSSOTは出典側</t>
  </si>
  <si>
    <t>★従来「30項目」という記載は誤り（実数43→新規7追加で50項目）。スコープ＝フルスコープ（結合・E2E・実機・負荷・DR・セキュリティ・運用・受入・共有基盤・異常系）</t>
  </si>
  <si>
    <t>■ 区分別 小計</t>
  </si>
  <si>
    <t>■ テスト側 分岐プール CT-* — 出典: wbs-test-refinement §5。トリガー顕在時のみベースへ繰入れる。ベース421には含めない</t>
  </si>
  <si>
    <t>★設計 C-*／構築 CB-* とは別枠の三分割。二重計上しない</t>
  </si>
  <si>
    <t>CT-1</t>
  </si>
  <si>
    <t>pen test（SEC-01）でHigh以上の指摘が出た場合</t>
  </si>
  <si>
    <t>是正実装の再テスト + 再監査</t>
  </si>
  <si>
    <t>CT-2</t>
  </si>
  <si>
    <t>負荷試験（PT-01/02）で合格基準未達の場合</t>
  </si>
  <si>
    <t>チューニング後の再実測サイクル（2巡想定）</t>
  </si>
  <si>
    <t>CT-3</t>
  </si>
  <si>
    <t>D-18.2 で部分ウォームDRを決定した場合</t>
  </si>
  <si>
    <t>DR-01のシナリオ差替 + 常設構成の追加検証</t>
  </si>
  <si>
    <t>CT-4</t>
  </si>
  <si>
    <t>商用IdP／ServiceNow 実機環境が確保できない場合</t>
  </si>
  <si>
    <t>モック代替の構築 + 本番前の追い検証</t>
  </si>
  <si>
    <t>CT-5</t>
  </si>
  <si>
    <t>UATで業務要件の齟齬が判明した場合</t>
  </si>
  <si>
    <t>シナリオ再設計 + 追加受入</t>
  </si>
  <si>
    <t>CT-6</t>
  </si>
  <si>
    <t>P-17トポロジ変更が決定した場合（00a C-D19／構築CB-2 のテスト側）</t>
  </si>
  <si>
    <t>IT-08/DR系の再設計・再実施</t>
  </si>
  <si>
    <t>テスト側 条件付きプール 合計</t>
  </si>
  <si>
    <t>ベース421 + テスト側条件付き</t>
  </si>
  <si>
    <t>別シート「WBS(テスト)」に明細50項目。test-refinement で区分I 共有基盤／J 異常系 を新設し 363→421 に精緻化</t>
  </si>
  <si>
    <t>HA-01</t>
  </si>
  <si>
    <t>H. 設計成果物（基本設計書の執筆）</t>
  </si>
  <si>
    <t>HA-02</t>
  </si>
  <si>
    <t>HA-03</t>
  </si>
  <si>
    <t>HA-04</t>
  </si>
  <si>
    <t>HA-05</t>
  </si>
  <si>
    <t>HA-06</t>
  </si>
  <si>
    <t>HA-07</t>
  </si>
  <si>
    <t>HA-08</t>
  </si>
  <si>
    <t>HA-09</t>
  </si>
  <si>
    <t>HA-10</t>
  </si>
  <si>
    <t>HA-11</t>
  </si>
  <si>
    <t>HA-12</t>
  </si>
  <si>
    <t>HA-13</t>
  </si>
  <si>
    <t>HA-14</t>
  </si>
  <si>
    <t>HA-15</t>
  </si>
  <si>
    <t>HA-16</t>
  </si>
  <si>
    <t>HA-17</t>
  </si>
  <si>
    <t>HA-18</t>
  </si>
  <si>
    <t>HA-19</t>
  </si>
  <si>
    <t>HA-20</t>
  </si>
  <si>
    <t>HA-21</t>
  </si>
  <si>
    <t>HA-22</t>
  </si>
  <si>
    <t>HA-23</t>
  </si>
  <si>
    <t>HA-24</t>
  </si>
  <si>
    <t>HA-25</t>
  </si>
  <si>
    <t>HA-26</t>
  </si>
  <si>
    <t>HA-27</t>
  </si>
  <si>
    <t>HB-01</t>
  </si>
  <si>
    <t>HB-02</t>
  </si>
  <si>
    <t>HB-03</t>
  </si>
  <si>
    <t>HB-04</t>
  </si>
  <si>
    <t>HB-05</t>
  </si>
  <si>
    <t>HB-06</t>
  </si>
  <si>
    <t>HB-07</t>
  </si>
  <si>
    <t>HB-08</t>
  </si>
  <si>
    <t>HB-09</t>
  </si>
  <si>
    <t>HB-10</t>
  </si>
  <si>
    <t>HB-11</t>
  </si>
  <si>
    <t>HB-12</t>
  </si>
  <si>
    <t>HB-13</t>
  </si>
  <si>
    <t>HB-14</t>
  </si>
  <si>
    <t>HB-15</t>
  </si>
  <si>
    <t>HB-16</t>
  </si>
  <si>
    <t>HB-17</t>
  </si>
  <si>
    <t>HB-18</t>
  </si>
  <si>
    <t>HB-19</t>
  </si>
  <si>
    <t>HB-20</t>
  </si>
  <si>
    <t>HB-21</t>
  </si>
  <si>
    <t>HB-22</t>
  </si>
  <si>
    <t>HC-01</t>
  </si>
  <si>
    <t>HC-02</t>
  </si>
  <si>
    <t>HC-03</t>
  </si>
  <si>
    <t>HC-04</t>
  </si>
  <si>
    <t>HC-05</t>
  </si>
  <si>
    <t>HC-06</t>
  </si>
  <si>
    <t>HC-07</t>
  </si>
  <si>
    <t>HC-08</t>
  </si>
  <si>
    <t>HC-09</t>
  </si>
  <si>
    <t>HC-10</t>
  </si>
  <si>
    <t>HC-11</t>
  </si>
  <si>
    <t>HD-01</t>
  </si>
  <si>
    <t>HD-02</t>
  </si>
  <si>
    <t>HD-03</t>
  </si>
  <si>
    <t>HD-04</t>
  </si>
  <si>
    <t>HD-05</t>
  </si>
  <si>
    <t>HD-06</t>
  </si>
  <si>
    <t>HD-07</t>
  </si>
  <si>
    <t>HD-08</t>
  </si>
  <si>
    <t>HD-09</t>
  </si>
  <si>
    <t>HD-10</t>
  </si>
  <si>
    <t>HD-11</t>
  </si>
  <si>
    <t>HD-12</t>
  </si>
  <si>
    <t>HD-13</t>
  </si>
  <si>
    <t>HD-14</t>
  </si>
  <si>
    <t>HE-01</t>
  </si>
  <si>
    <t>HE-02</t>
  </si>
  <si>
    <t>HE-03</t>
  </si>
  <si>
    <t>HE-04</t>
  </si>
  <si>
    <t>HE-05</t>
  </si>
  <si>
    <t>HE-06</t>
  </si>
  <si>
    <t>HE-07</t>
  </si>
  <si>
    <t>HE-08</t>
  </si>
  <si>
    <t>HE-09</t>
  </si>
  <si>
    <t>HE-10</t>
  </si>
  <si>
    <t>HE-11</t>
  </si>
  <si>
    <t>HE-12</t>
  </si>
  <si>
    <t>HE-13</t>
  </si>
  <si>
    <t>HE-14</t>
  </si>
  <si>
    <t>HE-15</t>
  </si>
  <si>
    <t>HE-16</t>
  </si>
  <si>
    <t>HE-17</t>
  </si>
  <si>
    <t>HE-18</t>
  </si>
  <si>
    <t>HE-19</t>
  </si>
  <si>
    <t>HE-20</t>
  </si>
  <si>
    <t>HF-01</t>
  </si>
  <si>
    <t>HF-02</t>
  </si>
  <si>
    <t>HF-03</t>
  </si>
  <si>
    <t>HF-04</t>
  </si>
  <si>
    <t>HF-05</t>
  </si>
  <si>
    <t>HF-06</t>
  </si>
  <si>
    <t>HF-07</t>
  </si>
  <si>
    <t>HG-01</t>
  </si>
  <si>
    <t>HG-02</t>
  </si>
  <si>
    <t>HG-03</t>
  </si>
  <si>
    <t>HG-04</t>
  </si>
  <si>
    <t>HG-05</t>
  </si>
  <si>
    <t>HG-06</t>
  </si>
  <si>
    <t>HG-07</t>
  </si>
  <si>
    <t>HG-08</t>
  </si>
  <si>
    <t>HH-01</t>
  </si>
  <si>
    <t>HH-02</t>
  </si>
  <si>
    <t>HH-03</t>
  </si>
  <si>
    <t>HH-01/02</t>
  </si>
  <si>
    <t>HH-04</t>
  </si>
  <si>
    <t>HH-05</t>
  </si>
  <si>
    <t>HI-01</t>
  </si>
  <si>
    <t>HA〜HK</t>
  </si>
  <si>
    <t>HI-02</t>
  </si>
  <si>
    <t>HI-03</t>
  </si>
  <si>
    <t>HI-04</t>
  </si>
  <si>
    <t>HI-05</t>
  </si>
  <si>
    <t>HI-06</t>
  </si>
  <si>
    <t>HJ-01</t>
  </si>
  <si>
    <t>HJ-02</t>
  </si>
  <si>
    <t>HJ-03</t>
  </si>
  <si>
    <t>HJ-04</t>
  </si>
  <si>
    <t>HJ-05</t>
  </si>
  <si>
    <t>HJ-06</t>
  </si>
  <si>
    <t>HJ-03〜05</t>
  </si>
  <si>
    <t>HJ-07</t>
  </si>
  <si>
    <t>HJ-08</t>
  </si>
  <si>
    <t>HJ-09</t>
  </si>
  <si>
    <t>HJ-10</t>
  </si>
  <si>
    <t>HJ-11</t>
  </si>
  <si>
    <t>HJ-12</t>
  </si>
  <si>
    <t>HJ-13</t>
  </si>
  <si>
    <t>HJ-14</t>
  </si>
  <si>
    <t>A-5 / A-6</t>
  </si>
  <si>
    <t>HJ-15</t>
  </si>
  <si>
    <t>HJ-16</t>
  </si>
  <si>
    <t>HJ-17</t>
  </si>
  <si>
    <t>HJ-18</t>
  </si>
  <si>
    <t>HJ-19</t>
  </si>
  <si>
    <t>A-15 / F-3</t>
  </si>
  <si>
    <t>HK-01</t>
  </si>
  <si>
    <t>HK-02</t>
  </si>
  <si>
    <t>HK-03</t>
  </si>
  <si>
    <t>HE-04〜08</t>
  </si>
  <si>
    <t>HK-04</t>
  </si>
  <si>
    <t>HK-05</t>
  </si>
  <si>
    <t>HK-06</t>
  </si>
  <si>
    <t>HK-07</t>
  </si>
  <si>
    <t>HK-08</t>
  </si>
  <si>
    <t>HK-09</t>
  </si>
  <si>
    <t>H-A 全体・方式設計</t>
  </si>
  <si>
    <t>H-J プロダクト固有設計</t>
  </si>
  <si>
    <t>H-K 契約・顧客提供成果物</t>
  </si>
  <si>
    <t>出典: 00a v2.3 §2C（C-*）／deliverables v3 §4（CH-*）／wbs-build-refinement §4（CB-*）／wbs-test-refinement §5（CT-*）</t>
  </si>
  <si>
    <t>★運用ルール②: C-F2 と C-D18 は同一実体のため二重計上禁止（本表ではC-F2を計上していない）</t>
  </si>
  <si>
    <t>① 設計</t>
  </si>
  <si>
    <t>CGNAT退避の適用設計</t>
  </si>
  <si>
    <t>FIPS（C-201）が「必要」と回答された場合</t>
  </si>
  <si>
    <t>① 設計(H)</t>
  </si>
  <si>
    <t>③ 構築</t>
  </si>
  <si>
    <t>A-2（G-SPI-Compat）でRHBK互換FAILの場合</t>
  </si>
  <si>
    <t>SPI実装方式の作り替え + 再検証（DU-U2-04系の手戻り）</t>
  </si>
  <si>
    <t>D-19でクラスタトポロジ変更を決定した場合</t>
  </si>
  <si>
    <t>U6系DUの再実装（VPC/EPS/Route53/TGWの作り替え）</t>
  </si>
  <si>
    <t>D-18.2で部分ウォームDRを決定した場合</t>
  </si>
  <si>
    <t>大阪常設構成の構築（Aurora Global常設 + IaC分岐）</t>
  </si>
  <si>
    <t>A-3（G-SCIM）でValidator不合格の場合</t>
  </si>
  <si>
    <t>SCIM Facadeの写像・スキーマ作り替え</t>
  </si>
  <si>
    <t>P-17トポロジ変更が決定した場合（C-D19／CB-2 のテスト側）</t>
  </si>
  <si>
    <t>■ 工程別 小計</t>
  </si>
  <si>
    <t>① 設計（C-* 16件）</t>
  </si>
  <si>
    <t>① 設計(H)（CH-* 5件）</t>
  </si>
  <si>
    <t>④ テスト（CT-* 6件）</t>
  </si>
  <si>
    <t>★体制目安: 2名で約16ヶ月 ／ 3名で約11ヶ月 ／ 4名で約8.5ヶ月。A系（調査）とH系（設計書執筆）の2系統並走が最も効く</t>
  </si>
  <si>
    <t>00a v2.3 §1（A〜G 269 = 調査108＋検討161）+ 設計成果物H 424（deliverables v3、148項目）。別シート「WBS(基本設計)」に原子タスク267行。DUに配分しない横断作業</t>
  </si>
  <si>
    <t>★④テストは単元別に按分せず、別シート「WBS(テスト)」で50項目・421人日として管理する。§9の単元別④（合計200）は精緻化前の値のため参照しない</t>
  </si>
  <si>
    <t>DU-U9O-10</t>
  </si>
  <si>
    <t>デプロイ検知の pull 型統一</t>
  </si>
  <si>
    <t>v2.3（2026-08-26 ADR突合）</t>
  </si>
  <si>
    <t>pull型収集の設計 3; ArgoCD連携 2; 既存push経路の廃止 2; 検証 1</t>
  </si>
  <si>
    <t>DU-U7-18</t>
  </si>
  <si>
    <t>攻撃経路33の対応確認・トレース表</t>
  </si>
  <si>
    <t>U7系DU全般</t>
  </si>
  <si>
    <t>経路×対策のマトリクス作成 3; 各DUへの紐づけ確認 2; 証跡化 1</t>
  </si>
  <si>
    <t>BX-01</t>
  </si>
  <si>
    <t>BX 横断・共通</t>
  </si>
  <si>
    <t>開発環境構築</t>
  </si>
  <si>
    <t>v2.3（2026-08-26 横断追加）</t>
  </si>
  <si>
    <t>build-refinement §7</t>
  </si>
  <si>
    <t>ローカル環境 4; 共有dev環境 4; オンボ手順 2</t>
  </si>
  <si>
    <t>BX-02</t>
  </si>
  <si>
    <t>共通ライブラリ・実装標準・サンプル</t>
  </si>
  <si>
    <t>共通ライブラリ 5; 実装標準 4; サンプル実装 3</t>
  </si>
  <si>
    <t>BX-03</t>
  </si>
  <si>
    <t>コードレビュー（全DU横断）</t>
  </si>
  <si>
    <t>全DUのPRレビュー 25</t>
  </si>
  <si>
    <t>BX-04</t>
  </si>
  <si>
    <t>バグ修正・手戻り（単体〜結合前）</t>
  </si>
  <si>
    <t>単体〜結合前の手戻り 30</t>
  </si>
  <si>
    <t>BX-05</t>
  </si>
  <si>
    <t>静的解析・脆弱性の是正対応</t>
  </si>
  <si>
    <t>静的解析指摘の是正 5; 脆弱性の是正 5</t>
  </si>
  <si>
    <t>BX-06</t>
  </si>
  <si>
    <t>実装ドキュメント</t>
  </si>
  <si>
    <t>README/構成図 4; 引き継ぎ資料 4</t>
  </si>
  <si>
    <t>BX-07</t>
  </si>
  <si>
    <t>リリース準備（切替手順/判定/切戻し）</t>
  </si>
  <si>
    <t>切替手順 4; 判定基準 3; 切戻し手順 3</t>
  </si>
  <si>
    <t>BX-08</t>
  </si>
  <si>
    <t>進捗・課題管理（構築フェーズ）</t>
  </si>
  <si>
    <t>進捗管理 6; 課題管理・報告 6</t>
  </si>
  <si>
    <t>■ Phase 1 対象外の明示（「未検討」ではなく「意図的に対象外」）</t>
  </si>
  <si>
    <t>ADR</t>
  </si>
  <si>
    <t>扱い</t>
  </si>
  <si>
    <t>モバイルSDK</t>
  </si>
  <si>
    <t>Phase 2。ネイティブアプリ向けSDKは初回リリース範囲外</t>
  </si>
  <si>
    <t>PQC（耐量子暗号）</t>
  </si>
  <si>
    <t>Phase 3。現時点は「姿勢のみ」表明で実装しない</t>
  </si>
  <si>
    <t>Turnstile（Bot対策）導入</t>
  </si>
  <si>
    <t>Phase 2。初回はWAFのBot Controlで代替</t>
  </si>
  <si>
    <t>TPRM（第三者リスク管理）</t>
  </si>
  <si>
    <t>契約・運用側で対応（00a クラスタF）。製造側のDUは持たない</t>
  </si>
  <si>
    <t>一式</t>
  </si>
  <si>
    <t>内部モジュール I/F 設計</t>
  </si>
  <si>
    <t>D-18.2で部分ウォームDR復活を決定した場合</t>
  </si>
  <si>
    <t>B-MIG-1で旧ハッシュがKeycloakネイティブ外と回答された場合</t>
  </si>
  <si>
    <t>独自パスワード方式変換部品の実装（DU-U10-11）</t>
  </si>
  <si>
    <t>他組織回答が要求と乖離した場合</t>
  </si>
  <si>
    <t>該当箇所の再実装（NW経路・ヘッダ・egress）</t>
  </si>
  <si>
    <t>CB-7</t>
  </si>
  <si>
    <t>ADR-034 Adaptive Auth が Phase 1 スコープと確定した場合</t>
  </si>
  <si>
    <t>リスクベース認証の実装（ITDR=U7-03の検知とは別機能。現状DU皆無）</t>
  </si>
  <si>
    <t>CB-8</t>
  </si>
  <si>
    <t>ADR-036 顧客監査支援／Trust Center を実装する場合</t>
  </si>
  <si>
    <t>監査支援機能・Trust Center の実装（B-PCI-7未回答。現状は都度メール対応に縮小中）</t>
  </si>
  <si>
    <t>③ 構築（CB-* 8件）</t>
  </si>
  <si>
    <t>条件付きプール（分岐）一覧 — 合計 300 人日（設計152 ／ 構築98 ／ テスト50）</t>
  </si>
  <si>
    <t>★運用ルール④: CB-2／CB-3 は設計側の C-D19／C-D18 と対になる（設計の手戻り＋構築の手戻りで別計上。二重計上ではない）</t>
  </si>
  <si>
    <t>ゲート G-IdP-Scale、合成データセット、テスト環境／TE-01（テスト環境）・TE-02（データ生成基盤）の完了が前提</t>
  </si>
  <si>
    <t>ゲート G-SCIM、同一データセットでの併走／TE-01（テスト環境）・TE-02（データ生成基盤）の完了が前提</t>
  </si>
  <si>
    <t>テスト環境。PT-01と相乗り可／TE-01（テスト環境）・TE-02（データ生成基盤）の完了が前提</t>
  </si>
  <si>
    <t>ゲート G-SPI-Compat の通過後。PT-01環境に相乗り可／TE-01（テスト環境）・TE-02（データ生成基盤）の完了が前提</t>
  </si>
  <si>
    <t>テスト環境、合成データ／TE-01（テスト環境）・TE-02（データ生成基盤）の完了が前提</t>
  </si>
  <si>
    <t>DR方式の確定（00a D-18.2）が前提。P-05再オープン中のため、RTOは確定値で実測する／TE-01（テスト環境）・TE-02（データ生成基盤）の完了が前提</t>
  </si>
  <si>
    <t>時点復元と変更不能な控えの環境／TE-01（テスト環境）・TE-02（データ生成基盤）の完了が前提</t>
  </si>
  <si>
    <t>テスト環境／TE-01（テスト環境）・TE-02（データ生成基盤）の完了が前提</t>
  </si>
  <si>
    <t>DU-U8-11 の完了、切替可能な環境／TE-01（テスト環境）・TE-02（データ生成基盤）の完了が前提</t>
  </si>
  <si>
    <t>DU-U8-10 の完了／TE-01（テスト環境）・TE-02（データ生成基盤）の完了が前提</t>
  </si>
  <si>
    <t>DU 626（1,044×60%）＋ 横断BX 117（開発環境・共通ライブラリ・コードレビュー・手戻り・脆弱性是正・実装ドキュメント・リリース準備・進捗管理）</t>
  </si>
  <si>
    <t>DU 626（1,044×60%）＋ 横断BX 117（開発環境・共通ライブラリ・レビュー・手戻り・脆弱性是正・実装ドキュメント・リリース準備・進捗管理）</t>
  </si>
  <si>
    <t>本表のDUベース1,044人日は「詳細設計＋構築（DU分）」。③構築は横断BX 117を加えて743。00a §6の325〜455人日は「構築＋テスト」で詳細設計を含まないため単純比較・合算はできない</t>
  </si>
  <si>
    <t>A. PoC・技術ゲート実測（調査98人日／39件）</t>
  </si>
  <si>
    <t>B. 他組織・エッジ連携確定（検討23人日／9件）</t>
  </si>
  <si>
    <t>D. 未確定設計の合同確定（検討56人日／31件）</t>
  </si>
  <si>
    <t>E. 新規検討領域（調査10+検討23人日／10件）</t>
  </si>
  <si>
    <t>F. ヒアリング・契約・法務（検討15人日／4件）</t>
  </si>
  <si>
    <t>G. 運用実体化（検討22人日／14件）</t>
  </si>
  <si>
    <t>HA-01〜HK-09</t>
    <phoneticPr fontId="2"/>
  </si>
  <si>
    <t>人日（WBS基本設計）</t>
  </si>
  <si>
    <t>件数（WBS基本設計）</t>
  </si>
  <si>
    <t>設計タスク 小計（WBS基本設計の実体）</t>
  </si>
  <si>
    <t>設計タスク（進捗一覧の論点行）</t>
  </si>
  <si>
    <t>※WBS(基本設計)の実体は267件693人日（A〜H）。進捗一覧は論点単位のため件数が異なる</t>
  </si>
  <si>
    <t>★設計タスクの件数の違い: 上表①「設計タスク」= 進捗一覧の論点行（決めること単位）。下表②のA〜H = WBS(基本設計)の作業単位（原子タスク267行・693人日）。粒度が違うため一致しない</t>
  </si>
  <si>
    <t>DDA-01</t>
  </si>
  <si>
    <t>DD-A 共通・方式の詳細化</t>
  </si>
  <si>
    <t>例外・エラーハンドリング実装仕様</t>
  </si>
  <si>
    <t>エラーコード→実装マッピング</t>
  </si>
  <si>
    <t>DDA-02</t>
  </si>
  <si>
    <t>ログ出力実装仕様</t>
  </si>
  <si>
    <t>構造化スキーマ・マスキング実装点 M-1〜14</t>
  </si>
  <si>
    <t>DDA-03</t>
  </si>
  <si>
    <t>トランザクション実装仕様</t>
  </si>
  <si>
    <t>outbox 1Txの具体・リトライ</t>
  </si>
  <si>
    <t>DDA-04</t>
  </si>
  <si>
    <t>排他制御実装仕様</t>
  </si>
  <si>
    <t>分散ロック・楽観ロック列</t>
  </si>
  <si>
    <t>DDA-05</t>
  </si>
  <si>
    <t>キャッシュ実装仕様</t>
  </si>
  <si>
    <t>キー設計・TTL・無効化イベント</t>
  </si>
  <si>
    <t>DDA-06</t>
  </si>
  <si>
    <t>採番実装仕様</t>
  </si>
  <si>
    <t>sub／&lt;tenant&gt;-&lt;userid&gt;／external_id</t>
  </si>
  <si>
    <t>DDA-07</t>
  </si>
  <si>
    <t>共通部品仕様（新規）</t>
  </si>
  <si>
    <t>認可クライアント・HTTPクライアント・リトライ</t>
  </si>
  <si>
    <t>DDA-08</t>
  </si>
  <si>
    <t>設定管理・環境変数仕様（新規）</t>
  </si>
  <si>
    <t>DDA-09</t>
  </si>
  <si>
    <t>秘密情報の取得方式（新規）</t>
  </si>
  <si>
    <t>Secrets Manager・キャッシュ・ローテ追随</t>
  </si>
  <si>
    <t>DDA-10</t>
  </si>
  <si>
    <t>性能チューニングパラメータ詳細</t>
  </si>
  <si>
    <t>プール/スレッド/タイムアウト</t>
  </si>
  <si>
    <t>DDB-01</t>
  </si>
  <si>
    <t>DD-B 機能詳細設計</t>
  </si>
  <si>
    <t>DDB-02</t>
  </si>
  <si>
    <t>U3 ID・プロビ</t>
  </si>
  <si>
    <t>DDB-03</t>
  </si>
  <si>
    <t>U4 UX</t>
  </si>
  <si>
    <t>DDB-04</t>
  </si>
  <si>
    <t>DDB-05</t>
  </si>
  <si>
    <t>U6 インフラ</t>
  </si>
  <si>
    <t>DDB-06</t>
  </si>
  <si>
    <t>DDB-07</t>
  </si>
  <si>
    <t>DDB-08</t>
  </si>
  <si>
    <t>DDB-09</t>
  </si>
  <si>
    <t>U10 連携</t>
  </si>
  <si>
    <t>DDC-01</t>
  </si>
  <si>
    <t>DD-C 画面詳細設計</t>
  </si>
  <si>
    <t>画面別詳細 エンドユーザー系</t>
  </si>
  <si>
    <t>12画面×0.6。イベント・バリデーション</t>
  </si>
  <si>
    <t>DDC-02</t>
  </si>
  <si>
    <t>画面別詳細 管理SPA系</t>
  </si>
  <si>
    <t>20画面×0.6</t>
  </si>
  <si>
    <t>DDC-03</t>
  </si>
  <si>
    <t>SPAコンポーネント構成・状態管理設計</t>
  </si>
  <si>
    <t>DDC-04</t>
  </si>
  <si>
    <t>API呼び出しシーケンス・エラー表示仕様</t>
  </si>
  <si>
    <t>DDC-05</t>
  </si>
  <si>
    <t>i18nメッセージファイル構造・A11y実装仕様</t>
  </si>
  <si>
    <t>DDD-01</t>
  </si>
  <si>
    <t>DD-D データ詳細設計</t>
  </si>
  <si>
    <t>DDL（authz系8テーブル）</t>
  </si>
  <si>
    <t>8テーブル</t>
  </si>
  <si>
    <t>DDD-02</t>
  </si>
  <si>
    <t>DDL（idmap / projection 6テーブル）</t>
  </si>
  <si>
    <t>6テーブル</t>
  </si>
  <si>
    <t>DDD-03</t>
  </si>
  <si>
    <t>DDL（outbox / 監査 / NHI 6テーブル）</t>
  </si>
  <si>
    <t>DDD-04</t>
  </si>
  <si>
    <t>インデックス設計</t>
  </si>
  <si>
    <t>実行計画検証込み</t>
  </si>
  <si>
    <t>DDD-05</t>
  </si>
  <si>
    <t>パーティション設計</t>
  </si>
  <si>
    <t>DDD-06</t>
  </si>
  <si>
    <t>マイグレーション設計（新規）</t>
  </si>
  <si>
    <t>Flyway等・ロールバック</t>
  </si>
  <si>
    <t>DDD-07</t>
  </si>
  <si>
    <t>初期データ投入設計（新規）</t>
  </si>
  <si>
    <t>DDD-08</t>
  </si>
  <si>
    <t>Keycloak標準スキーマとの関係整理</t>
  </si>
  <si>
    <t>触らない範囲の明示</t>
  </si>
  <si>
    <t>DDE-01</t>
  </si>
  <si>
    <t>DD-E IF詳細設計</t>
  </si>
  <si>
    <t>OpenAPI実装レベル定義</t>
  </si>
  <si>
    <t>スキーマ・バリデーション・約45EP</t>
  </si>
  <si>
    <t>DDE-02</t>
  </si>
  <si>
    <t>SCIM実装仕様</t>
  </si>
  <si>
    <t>属性写像・フィルタ・ページング実装</t>
  </si>
  <si>
    <t>DDE-03</t>
  </si>
  <si>
    <t>EventBridgeイベントスキーマ詳細</t>
  </si>
  <si>
    <t>越境2本</t>
  </si>
  <si>
    <t>DDE-04</t>
  </si>
  <si>
    <t>Webhookペイロード・署名・再送実装仕様</t>
  </si>
  <si>
    <t>7種</t>
  </si>
  <si>
    <t>DDE-05</t>
  </si>
  <si>
    <t>DDE-06</t>
  </si>
  <si>
    <t>認証プロトコル実装仕様</t>
  </si>
  <si>
    <t>OIDC/SAMLの設定値詳細</t>
  </si>
  <si>
    <t>DDF-01</t>
  </si>
  <si>
    <t>DD-F バッチ詳細設計</t>
  </si>
  <si>
    <t>バッチ別 処理フロー詳細</t>
  </si>
  <si>
    <t>8本</t>
  </si>
  <si>
    <t>DDF-02</t>
  </si>
  <si>
    <t>リカバリ・リラン仕様</t>
  </si>
  <si>
    <t>DDF-03</t>
  </si>
  <si>
    <t>分散ロック・多重起動制御の実装</t>
  </si>
  <si>
    <t>DDG-01</t>
  </si>
  <si>
    <t>DD-G IaC詳細設計（新規）</t>
  </si>
  <si>
    <t>Terraformモジュール構造設計</t>
  </si>
  <si>
    <t>基盤層/テナント層の分割</t>
  </si>
  <si>
    <t>DDG-02</t>
  </si>
  <si>
    <t>state分割設計</t>
  </si>
  <si>
    <t>マトリクス・ロック戦略</t>
  </si>
  <si>
    <t>DDG-03</t>
  </si>
  <si>
    <t>変数・環境差分設計</t>
  </si>
  <si>
    <t>本番 / stg / dev</t>
  </si>
  <si>
    <t>DDG-04</t>
  </si>
  <si>
    <t>ArgoCD Application / GitOps構成設計</t>
  </si>
  <si>
    <t>DDG-05</t>
  </si>
  <si>
    <t>Helm / Kustomize構成設計</t>
  </si>
  <si>
    <t>DDG-06</t>
  </si>
  <si>
    <t>ROSA Operator CR / Machine Pool詳細</t>
  </si>
  <si>
    <t>DDH-01</t>
  </si>
  <si>
    <t>DD-H Custom SPI詳細設計（新規）</t>
  </si>
  <si>
    <t>HRD Authenticatorクラス設計</t>
  </si>
  <si>
    <t>DDH-02</t>
  </si>
  <si>
    <t>JIT制御・Re-Activationクラス設計</t>
  </si>
  <si>
    <t>DDH-03</t>
  </si>
  <si>
    <t>Event Listener・mfa_indicatorクラス設計</t>
  </si>
  <si>
    <t>DDH-04</t>
  </si>
  <si>
    <t>Flowとの結合仕様</t>
  </si>
  <si>
    <t>配置・発火条件の実装</t>
  </si>
  <si>
    <t>DDH-05</t>
  </si>
  <si>
    <t>ビルド・パッケージング・版数管理仕様</t>
  </si>
  <si>
    <t>DDI-01</t>
  </si>
  <si>
    <t>DD-I 単体テスト仕様</t>
  </si>
  <si>
    <t>単体テスト方針・カバレッジ基準</t>
  </si>
  <si>
    <t>DDI-02</t>
  </si>
  <si>
    <t>単体テスト仕様書 U2/U3</t>
  </si>
  <si>
    <t>21DU</t>
  </si>
  <si>
    <t>DDI-03</t>
  </si>
  <si>
    <t>単体テスト仕様書 U4/U5</t>
  </si>
  <si>
    <t>19DU</t>
  </si>
  <si>
    <t>DDI-04</t>
  </si>
  <si>
    <t>単体テスト仕様書 U6/U7</t>
  </si>
  <si>
    <t>32DU</t>
  </si>
  <si>
    <t>DDI-05</t>
  </si>
  <si>
    <t>単体テスト仕様書 U8/U9/U10</t>
  </si>
  <si>
    <t>35DU</t>
  </si>
  <si>
    <t>DDI-06</t>
  </si>
  <si>
    <t>モック・スタブ設計（新規）</t>
  </si>
  <si>
    <t>Keycloak / 外部IdP / SCIM</t>
  </si>
  <si>
    <t>DDJ-01</t>
  </si>
  <si>
    <t>DD-J レビュー・整合</t>
  </si>
  <si>
    <t>詳細設計レビュー（第1回）</t>
  </si>
  <si>
    <t>DDJ-02</t>
  </si>
  <si>
    <t>指摘対応・改訂（第1回）</t>
  </si>
  <si>
    <t>DDJ-03</t>
  </si>
  <si>
    <t>詳細設計レビュー（第2回）</t>
  </si>
  <si>
    <t>DDJ-04</t>
  </si>
  <si>
    <t>指摘対応・改訂（第2回）</t>
  </si>
  <si>
    <t>DDJ-05</t>
  </si>
  <si>
    <t>基本設計とのトレーサビリティ更新</t>
  </si>
  <si>
    <t>HA-24の維持</t>
  </si>
  <si>
    <t>DDJ-06</t>
  </si>
  <si>
    <t>詳細設計フェーズの進捗・課題管理（新規）</t>
  </si>
  <si>
    <t>③BX-08の②版。DU按分外</t>
  </si>
  <si>
    <t>・基本設計クラスタH（148項目）の全11群に受け先がある。HK 契約・顧客提供（9項目）のみ意図的に詳細設計では受けない（基本設計で完結。実装ガイドは③BX-06）</t>
  </si>
  <si>
    <t>・②詳細設計＝「どう実装するか」、①基本設計 H-J＝「何を設定するか」で重複なし</t>
  </si>
  <si>
    <t>ボトムアップ 64項目（本シート下部のブロックA、DD-A〜DD-J）。★「1,044×40%=418」の按分は廃止。按分では23人日不足（DD-G IaC詳細26・DDJ-06 進捗管理8がDU按分外）</t>
  </si>
  <si>
    <t>—（②は按分を使わない）</t>
  </si>
  <si>
    <t>ボトムアップ 64項目（DD-A〜DD-J）。★「1,044×40%=418」の按分は廃止。按分では23人日不足（DD-G IaC詳細26・DDJ-06進捗管理8がDU按分外）。DD-I単体テスト仕様72は②に計上（④の421とは別物）</t>
  </si>
  <si>
    <t>ブロックA（WBS(詳細設計_製造)の下部）に64項目の明細</t>
  </si>
  <si>
    <t>DU 105行（103 + 新規DU 2件）+ 横断BX 8行 = 113行。③のみ「DU人日1,044×60%＝626」の按分を維持</t>
  </si>
  <si>
    <t>★② 詳細設計 固有の分岐は現時点で不要。CB-1（SPI FAIL）・CB-2（トポロジ変更）は構築側の手戻りであり、設計側の手戻りは ①C-A2／C-D19 に計上済みのため（2026-08-26 判断）</t>
  </si>
  <si>
    <t>グループ</t>
  </si>
  <si>
    <t>内容・完了定義</t>
  </si>
  <si>
    <t>依存・着手条件</t>
  </si>
  <si>
    <t>備考（PoCゲート／工数バンド）</t>
  </si>
  <si>
    <t>v2.3（2026-08-26）</t>
  </si>
  <si>
    <t>wbs-detailed-design-refinement §3</t>
  </si>
  <si>
    <t>③ 構築（DU）</t>
  </si>
  <si>
    <t>broker/idp の2領域＋所属単位の定義（1顧客=1所属）／DoD: 両領域がコード管理で再現でき、所属の属性は表示名と判定方式のみ</t>
  </si>
  <si>
    <t>／工数バンド: S</t>
  </si>
  <si>
    <t>接続枠・属性グループ・変換定義／DoD: 仲介側から自社受け皿への認可コード／鍵情報／利用者情報の取得が私設経路で成立。【2026-08-12 監査で追記】ログアウト連鎖時の本人確認情報の受け渡しを明示（§2.2.5）</t>
  </si>
  <si>
    <t>PoCゲート: G-SPI-Compat／工数バンド: M</t>
  </si>
  <si>
    <t>ログイン／所属判定／初回連携／連携後／フォームの各フロー／DoD: 3系統に独自機能を配置し、全経路で初回自動作成が発火する</t>
  </si>
  <si>
    <t>所属判定／再有効化／作成経路の記録／計測の各拡張／DoD: 製品の対象版で4機能が動作し、フロー配置で発火。単体テストで固定</t>
  </si>
  <si>
    <t>PoCゲート: G-SPI-Compat／工数バンド: L</t>
  </si>
  <si>
    <t>持つ項目の明示宣言（メールは任意）／DoD: 新規・初回自動作成・管理者作成の3経路で、メール非保有の利用者が完走</t>
  </si>
  <si>
    <t>PoCゲート: G-UProfile-Email／工数バンド: M</t>
  </si>
  <si>
    <t>接続定義の雛形（識別名・署名方式）／DoD: 業務システム等に対してID提供元として振る舞える。変換定義も確定</t>
  </si>
  <si>
    <t>必須対策7点（キャッシュ・所属判定・接続予算ほか）／DoD: 実測ゲートの合格基準（基準値比+10%以内）を満たす</t>
  </si>
  <si>
    <t>PoCゲート: G-IdP-Scale／工数バンド: M</t>
  </si>
  <si>
    <t>ブランドごとに領域を分ける方式の設計／DoD: ★着手前の先行判断が必要。現行の単一領域・単一発行元の前提と正面衝突する</t>
  </si>
  <si>
    <t>／工数バンド: L</t>
  </si>
  <si>
    <t>ログアウト連鎖・有効時間・強度・入力補助値の整合（5つの課題）／DoD: 2層をまたいでセッションの状態と強度が矛盾なく伝わる</t>
  </si>
  <si>
    <t>／工数バンド: M</t>
  </si>
  <si>
    <t>権限系データベースのスキーマ／DoD: ブランド識別子を一級キーとし、ブランド跨ぎの結合が構造的に不能。不変条件4点を制約で担保</t>
  </si>
  <si>
    <t>初回自動作成と自動同期の判別（判定1〜3、6ケース）／DoD: 自動同期フラグが最優先、除外条件と安全側拒否が単体テストで固定</t>
  </si>
  <si>
    <t>受信用の関数（2方向）＋属性の正準化／DoD: 各社の検証ツールに合格、削除要求を停止処理へ写像、顧客の二重照合</t>
  </si>
  <si>
    <t>PoCゲート: G-SCIM／工数バンド: L</t>
  </si>
  <si>
    <t>読み取り専用ストア＋3つの書込経路／DoD: 本人向けの文脈取得が1回の読み取りで完結し越境ゼロ、読取性能がゲート合格</t>
  </si>
  <si>
    <t>取りこぼし防止の中継関数＋中央の影ユーザ制御関数／DoD: 停止処理と送信記録を1トランザクションで書き、必達送信・冪等・数分で突合</t>
  </si>
  <si>
    <t>4状態の遷移＋遮断・停止・物理削除／DoD: 停止日時を必ず記録し、それを起算とする。影ユーザは対象外</t>
  </si>
  <si>
    <t>同一トランザクションでの判定／DoD: 誤発火シナリオを単体テストで固定し、再有効化を監査記録</t>
  </si>
  <si>
    <t>クラスタ内の定期ジョブ（関数実行は不採用）／DoD: 初回自動作成分のみ対象、影ユーザ除外、1000万規模で完走</t>
  </si>
  <si>
    <t>自社受け皿側で復活したとき仲介側の影ユーザも有効化する／DoD: 停止と復活の双方向が同じ確実さで伝播する</t>
  </si>
  <si>
    <t>顧客側ID基盤経由の利用者の初回識別子をブランド側へ通知／DoD: 越境は書込時のみ・冪等・取りこぼしなし</t>
  </si>
  <si>
    <t>顧客×属性ごとに正となる供給元を定義／DoD: 顧客写像・基盤付与・不要の3ケースが全属性で決まっている</t>
  </si>
  <si>
    <t>ログイン画面（接続先一覧非表示）＋判定失敗時の降格／DoD: 応答の同一化・書式ヒント・パスワード画面への降格が全応答で貫徹</t>
  </si>
  <si>
    <t>中立テーマ（文言集約、直書き禁止）／DoD: 改ざん防止の隠しフィールドを変更しないことをレビュー必須項目に。【2026-08-12 監査で追記】外部連携利用者向けのテーマ上書きを明示</t>
  </si>
  <si>
    <t>パスキー／認証アプリの登録画面／DoD: 4区分の利用者すべてでUXが完走し、代替手段への導線が成立。【2026-08-12 監査で追記】操作単位の再認証の専用文言を含める</t>
  </si>
  <si>
    <t>タイル表示の独立アプリ／DoD: 直接URLからのみ着地し、利用可能アプリ一覧APIで表示判定</t>
  </si>
  <si>
    <t>表示必須6項目・表示禁止5項目／DoD: アプリ側からの誘導規約と実装義務が契約に反映される</t>
  </si>
  <si>
    <t>準拠＋自動検査＋手動・当事者テスト／DoD: ★要件化またはレベル決定を着手前に行う（監査で要件不在と判明）。全10画面準拠</t>
  </si>
  <si>
    <t>文言集約＋「今回は日本語のみ」の決定／DoD: 将来の多言語化の余地を確認し、決定を明文化</t>
  </si>
  <si>
    <t>再設定画面／DoD: 自社受け皿収容の利用者が自己再設定を完走（本人確認方式の決定が前提）</t>
  </si>
  <si>
    <t>自分のセッション一覧＋自己失効／DoD: 利用者が自分の端末を失効でき、本基盤のセッションのみが対象</t>
  </si>
  <si>
    <t>2台目・再登録時の再確認を必須化／DoD: 第1要素だけでの追加登録を拒否する</t>
  </si>
  <si>
    <t>2台目の事前登録推奨＋強度を下げない復旧経路／DoD: 永久的な締め出しが起きない</t>
  </si>
  <si>
    <t>最小構成の項目＋通行証30分・引換券の更新方式／DoD: 個人情報非搭載の検証7項目が3箇所（レビュー・自動検査・四半期監査）で回る</t>
  </si>
  <si>
    <t>引き換え用の登録枠設定／DoD: 委譲となりすましの境界が権限範囲で表現され、監査記録が必須</t>
  </si>
  <si>
    <t>一括無効化＋強制失効＋サーバ間ログアウト通知／DoD: 3粒度の強制ログアウトが成立し、取り消し漏れ時間30分以内、緊急手順と連動</t>
  </si>
  <si>
    <t>操作範囲セット（対象×操作の2軸）／DoD: 読取・書込・停止などが機械認証で開放され、物理削除の範囲は定義しない</t>
  </si>
  <si>
    <t>構成規約＋権限不足時の規約＋残余リスクの契約明示／DoD: アプリ開発者の実装義務（画面誘導、画面だけの構成の限界）が契約とガイドに落ちる</t>
  </si>
  <si>
    <t>自前のイベント送出＋配信ストリーム管理＋受信部品／DoD: 今回は暫定のつなぎ＋希望する受け取り側へ失効を配信し、高価値経路で数秒化</t>
  </si>
  <si>
    <t>PoCゲート: G-SSF／工数バンド: L</t>
  </si>
  <si>
    <t>検証7点／API層の再認証要求／同時セッション上限／引き換えの委譲制御／DoD: 7点検証＋重要APIのチャレンジ＋管理系のセッション上限が成立</t>
  </si>
  <si>
    <t>使い捨て値の提供と再生防止キャッシュの容量設計／DoD: 1000万規模での容量と応答時間の見積りが出ている</t>
  </si>
  <si>
    <t>組織・アカウント構成＋アカウント跨ぎのイベント連携／DoD: 越境はイベント8経路と私設接続のみ。権限の相互信頼を作らない</t>
  </si>
  <si>
    <t>DU-U9I-01／着手条件: P-17確定（00a D-19）後</t>
  </si>
  <si>
    <t>仲介側と自社受け皿側のクラスタ（2系統のノード群・サイジング）／DoD: 少数大型構成、接続予算の規約、規模検証用データセットと併走可能</t>
  </si>
  <si>
    <t>DU-U6-01／着手条件: P-17確定（00a D-19）後</t>
  </si>
  <si>
    <t>PoCゲート: G-IdP-Scale／工数バンド: L</t>
  </si>
  <si>
    <t>認証用と権限用を別鍵・別権限・別通信許可で分離／DoD: 両方に届く単一の権限や通信許可が存在しない。読み取り複製の余地も確保。【2026-08-12 監査で追記】接続プールの等値化を含める</t>
  </si>
  <si>
    <t>DU-U6-01, DU-U7-01／着手条件: P-17確定（00a D-19）後</t>
  </si>
  <si>
    <t>認証用／API用／画面配信用の各経路／DoD: 要求仕様に準拠し、API用は防御装置の経路外で成立。他組織へ要求仕様を発行</t>
  </si>
  <si>
    <t>PoCゲート: G-EGRESS／工数バンド: M</t>
  </si>
  <si>
    <t>管理用の内部限定の接続点＋2層間の裏側通信／DoD: 管理APIはインターネット非露出。通信許可を関数のみに限定し通信も暗号化。【2026-08-12 監査で追記】仲介側の影ユーザ制御も内部接続点経由であることを明示</t>
  </si>
  <si>
    <t>DU-U6-02／着手条件: P-17確定（00a D-19）後</t>
  </si>
  <si>
    <t>関数実行＋API入口（通行証の一次検証）＋専用サブネット／DoD: 別の障害ドメインに分離し、起動遅延を許容する設計</t>
  </si>
  <si>
    <t>DU-U6-01, DU-U6-04／着手条件: P-17確定（00a D-19）後</t>
  </si>
  <si>
    <t>接続点群＋外部通信の許可ルール要求（他組織向け）／DoD: 顧客のID基盤1000件超の許可申請フローが成立。旧方式の撤去も反映</t>
  </si>
  <si>
    <t>負荷分散装置での拒否＋通信許可の限定＋ホスト名分離／DoD: 一般利用者の経路では管理画面が拒否され、専用経路のみ到達可能</t>
  </si>
  <si>
    <t>DU-U6-04／着手条件: P-17確定（00a D-19）後</t>
  </si>
  <si>
    <t>番号台帳（自社4系統＋他組織＋顧客）／DoD: ★構築後は変更不可のため構築前に凍結。重複がないことを確認済み</t>
  </si>
  <si>
    <t>認証フローの顧客別レート制限＋所属情報の一貫強制＋領域分離の基準／DoD: 1顧客の急増が他を枯渇させない。分離への脱出条件を明文化</t>
  </si>
  <si>
    <t>DU-U6-02, DU-U6-04／着手条件: P-17確定（00a D-19）後</t>
  </si>
  <si>
    <t>自社認証局・私設DNS・信頼設定＋通信制御／DoD: 管理APIへの経路が証明書で保護され、通信元も限定される</t>
  </si>
  <si>
    <t>DU-U6-05／着手条件: P-17確定（00a D-19）後</t>
  </si>
  <si>
    <t>送信ドメイン認証3種＋接続点／DoD: なりすまし対策が有効化され、通知メールが届く</t>
  </si>
  <si>
    <t>内外で解決結果を分ける構成＋共有・転送／DoD: 内部名は外部から引けず、必要な経路だけ解決できる</t>
  </si>
  <si>
    <t>VPC-M（Lambda/Endpoint/Auroraサブネット×3AZ）+ IF Endpoint群 + CGNAT/ルート／DoD: VPC-Mが構築され、TGW非attachのままLambda・Endpoint・Auroraが疎通する</t>
  </si>
  <si>
    <t>鍵の命名と鍵ポリシー3ロール（管理・利用・監査）／DoD: 職務分離が成立し、利用は実行環境の権限のみ。削除・変更は即時通知</t>
  </si>
  <si>
    <t>90日周期＋旧鍵30日並走の定期ジョブ／DoD: 入れ替えを監視し、失敗時の手動手順と受け取り側の追随を確認</t>
  </si>
  <si>
    <t>イベント送出→判定エンジン（4シグナル）／DoD: 漏洩パスワード照合と総当たり検知が動作。当初は通知のみ</t>
  </si>
  <si>
    <t>集約役でのマスキング集中適用（14項目）／DoD: 全ソースがマスキング通過後に保存され、平文が残らない</t>
  </si>
  <si>
    <t>実行主体ごとの権限と信頼設定／DoD: 人間への鍵付与を禁止し、実行主体単位で最小権限</t>
  </si>
  <si>
    <t>権限管理サービス＋セッション管理＋緊急経路／DoD: 初期フェーズの実装10項目、役員承認、監査記録、訓練手順</t>
  </si>
  <si>
    <t>データベース・鍵・権限・通信許可の4軸で分離／DoD: 橋渡しコンポーネントを最小権限とし、将来の2アカウント分割の条件を維持</t>
  </si>
  <si>
    <t>12文字・履歴5世代・初回強制・パスキー・認証アプリ（メールは除外）／DoD: 決定を反映。顧客側ID基盤の利用者は対象外。両領域にポリシー適用</t>
  </si>
  <si>
    <t>他組織への要求明細＋自社側の最低防御線／DoD: 他組織側が不成立でも最低限の防御が成立。次段階への移行条件も定義</t>
  </si>
  <si>
    <t>台帳＋命名規約＋孤立検知の定期ジョブ＋失効伝播／DoD: 責任者を必須とし、90日で孤立を検知。失効は既存の伝播機構を再利用</t>
  </si>
  <si>
    <t>同意の記録＋撤回＋レシート／DoD: 越境・第三者提供が絡む顧客で記録と撤回ができる</t>
  </si>
  <si>
    <t>2世代並走での無停止入れ替え／DoD: 期限超過がなくなり、入れ替え中もサービスが止まらない</t>
  </si>
  <si>
    <t>イメージ置き場と製品配布に脆弱性検査と署名検証を組み込む／DoD: 未検証のイメージがクラスタに到達する経路が構造的に消える</t>
  </si>
  <si>
    <t>報告7ステップ＋海外委託先の監督／DoD: 期限内の報告が回り、越境の扱いが契約で担保される</t>
  </si>
  <si>
    <t>権限を絞ったクライアント＋ブランド側の堅牢化／DoD: 橋渡しコンポーネントが乗っ取られても影響が限定される</t>
  </si>
  <si>
    <t>stdout PIIマスキング実装 + Approved Access有効化 + SREアクセス監査保全／DoD: oc logs にPIIが出ないこと・Approved Accessの承認記録が弊社側に保全されること</t>
  </si>
  <si>
    <t>PoCゲート: G-SRE-LogVis／工数バンド: M</t>
  </si>
  <si>
    <t>攻撃経路33本に対する対策の突合と証跡化（ADR-060）／DoD: 33経路すべてに対策DUが紐づき、未対応が0件であることを表で示せる</t>
  </si>
  <si>
    <t>4サービスの内部目標＋消費速度による多段警報／DoD: 記録ルールと警報を実装。性能目標（応答時間・処理能力）も反映</t>
  </si>
  <si>
    <t>予備地域のオンデマンド再構築／DoD: 2つの障害シナリオを区別。エッジの自動切替は撤回</t>
  </si>
  <si>
    <t>DU-U6-02／着手条件: DR方式確定（00a D-18.2）後</t>
  </si>
  <si>
    <t>PoCゲート: G-EDGE-DR／工数バンド: M</t>
  </si>
  <si>
    <t>継続複製＋時点復元＋変更不能な控え／DoD: 3層が並立し、控えは別地域へ複製される</t>
  </si>
  <si>
    <t>DU-U6-03／着手条件: DR方式確定（00a D-18.2）後</t>
  </si>
  <si>
    <t>再構築・復元の手順書＋復旧訓練／DoD: 復旧目標を演習で実証。切り戻しは計画切替（喪失ゼロ）。【2026-08-12 監査で追記】論理破壊シナリオの訓練を下期に実施</t>
  </si>
  <si>
    <t>DU-U8-02, DU-U8-03／着手条件: DR方式確定（00a D-18.2）後</t>
  </si>
  <si>
    <t>コード再適用＋継続複製（一括書き出しは全廃）／DoD: 両経路が独立に成立し、設定投入ツール不採用と整合</t>
  </si>
  <si>
    <t>最小3台・同時停止許容・分散配置・自動増減・死活確認／DoD: 1拠点障害でサービスが継続する</t>
  </si>
  <si>
    <t>切替時間の短縮と接続の早期再確立／DoD: 1分未満で自動切替が完了する</t>
  </si>
  <si>
    <t>製品更新・管理ソフト・独自機能の差し替え手順／DoD: 設定変更と修正版が無停止で当たる</t>
  </si>
  <si>
    <t>切替時は再認証となることの契約明記／DoD: 顧客との取り決めに残余の影響が書かれている</t>
  </si>
  <si>
    <t>権限系データベースの時点復元と予備地域への保全／DoD: ブランド側のデータも復旧対象に含まれる</t>
  </si>
  <si>
    <t>切替時に重複も欠落もなく1回だけ処理される／DoD: 切替をまたいでも停止処理が確実に1回伝播する</t>
  </si>
  <si>
    <t>手動復旧への転換を決定記録に反映／DoD: 記録と設計書の記述が一致する</t>
  </si>
  <si>
    <t>モジュール分割＋管理単位のマトリクス／DoD: 基盤層とテナント層が分離され、日次でずれを検知</t>
  </si>
  <si>
    <t>自動化サービス＋コードからの同期＋イメージ置き場／DoD: 版数固定、供給網対応、秘密情報の直書きを自動検査で拒否</t>
  </si>
  <si>
    <t>2アカウント向けの検証・本番パイプライン／DoD: 認証製品とは別系統で配信でき、障害範囲が分離される</t>
  </si>
  <si>
    <t>収集役＋計装／DoD: 接続先追加の前後を比較でき、系列数の規約と抽出率も定義</t>
  </si>
  <si>
    <t>即時参照90日／長期7年（変更不能）／相関／DoD: 全ソースがマスキング後に保存され、予備地域にも配備。週1で監査スキャン</t>
  </si>
  <si>
    <t>手順書35冊（必須13冊）＋禁則11項目／DoD: 禁則が自動検査とレビューで機械強制される。【2026-08-12 監査で追記】社内ネットワーク経路との切替手順を含める</t>
  </si>
  <si>
    <t>6ステップの自動化（自作API）／DoD: 接続情報の自動更新を実機確認し、証明書の入れ替え運用も確立</t>
  </si>
  <si>
    <t>外形監視＋認証実装漏れの検知／DoD: 自社の監査アカウントに集約し、アプリ台帳と連携</t>
  </si>
  <si>
    <t>決定ログ（サンプリング）＋3層の定期棚卸し／DoD: 拒否と高権限は全件記録。棚卸しの完了記録を残す</t>
  </si>
  <si>
    <t>関数群の計測と警報／DoD: 糊付け部分の異常が検知できる</t>
  </si>
  <si>
    <t>ブランド別か中央かの決定／DoD: ★決定が先行。配置と保持年数が確定している</t>
  </si>
  <si>
    <t>ArgoCD 由来のデプロイイベントを pull 型に統一（ADR-061）／DoD: デプロイ検知が pull 型で一元化され、push 型の抜けが無い</t>
  </si>
  <si>
    <t>接続定義＋自動同期から旧来方式への連携／DoD: 突合項目の一致、基盤起点の遷移を無効化、実機検証を実施</t>
  </si>
  <si>
    <t>管理API の関数実行＋仕様定義2本＋本人向けAPI／DoD: 作成・変更・権限・射影の実体。利用者経路と機械経路で認可を差し替え。【2026-08-12 監査で追記】顧客開示用の監査ログ射影を含める</t>
  </si>
  <si>
    <t>署名＋待避キュー＋再送8回24時間＋保管14日／DoD: 配信7種、個人情報非搭載、冪等、リプレイ防止</t>
  </si>
  <si>
    <t>パスワード方式の判定＋旧ID対応＋引き当て／DoD: 突合項目の選定、内部IDの保全、集団別の移行手順</t>
  </si>
  <si>
    <t>消去要求対応の手順書（仮名化＋7年保管、応答期限の決定）／DoD: 物理削除しない方針。応答日数を契約で確定</t>
  </si>
  <si>
    <t>遮断連鎖＋一括ログアウト＋残余時間の契約明示／DoD: 業務システム側の利用者を残置しつつ認証チェーンで遮断。残余30分を契約化</t>
  </si>
  <si>
    <t>消去対象と仮名化保持の境界＋決定ログの仮名化／DoD: 都度判断ではなく境界を契約に明記</t>
  </si>
  <si>
    <t>準備・試行・全社・パスワード無効化の手順書／DoD: 各段階の巻き戻し手段まで手順化されている</t>
  </si>
  <si>
    <t>2〜3名分の緊急経路と統制／DoD: 本基盤の障害時も業務システムに入れる</t>
  </si>
  <si>
    <t>機械認証での通行証取得と画面遷移の2フロー／DoD: 業務システムの先のAPIと画面に再ログインなしで到達できる</t>
  </si>
  <si>
    <t>旧方式を維持する場合のみ追加。旧ハッシュがPBKDF2-SHA256／SHA512／Argon2idなら不要、bcrypt等の場合のみ必要／DoD: 旧方式の利用者が再設定なしで移行できる。※管理API（idm-api）経由での投入が前提。SCIM経由ではパスワードを運べない</t>
  </si>
  <si>
    <t>③ 構築（横断BX）</t>
  </si>
  <si>
    <t>ローカル開発環境・共有dev環境・オンボーディング手順／DoD: 新規参画者が手順書だけで開発を開始できる</t>
  </si>
  <si>
    <t>共通部品・コーディング標準・リファレンス実装／DoD: 全DUが同じ土台で実装でき、規約逸脱が静的解析で検出される</t>
  </si>
  <si>
    <t>全DUのコードレビュー（実装618の約4%）／DoD: 全PRが2名以上のレビューを通過し、指摘がクローズされている</t>
  </si>
  <si>
    <t>実装中に発生する手戻り（実装618の約5%）／DoD: 結合テスト開始時点で単体起因の既知不具合が残っていない</t>
  </si>
  <si>
    <t>検出された指摘の是正（検出基盤の構築はDU-U7-13）／DoD: Critical/High が0件、Medium が許容基準内</t>
  </si>
  <si>
    <t>README・構成図・運用引き継ぎ資料（設計書とは別）／DoD: 運用チームが自力でデプロイ・調査できる</t>
  </si>
  <si>
    <t>リリース手順・判定基準・切戻し手順／DoD: リリース判定会で使える資料が揃い、切戻しが実証されている</t>
  </si>
  <si>
    <t>構築フェーズの進捗管理・課題管理・報告／DoD: 週次で進捗と課題が可視化され、遅延が早期に検知される</t>
  </si>
  <si>
    <t>WBS ②詳細設計 441 ＋ ③構築 743 — 全量 179行（② DD 64項目 ／ ③ DU 107行=1,044×60%→626 ／ ③ 横断BX 8行=117）</t>
  </si>
  <si>
    <t>出典: wbs-detailed-design-refinement-2026-08-26.md §3（②）／wbs-build-refinement-2026-08-26.md §3・§7（③）。数値のSSOTは出典側</t>
  </si>
  <si>
    <t>★②は「DU人日×40%」の按分を廃止しボトムアップ441を正とする（按分418では23人日不足。DD-G IaC詳細26・DDJ-06進捗管理8がDU按分外）。③のみ「DU人日1,044×60%＝626」の按分を維持し、横断BX 117を加えて743</t>
  </si>
  <si>
    <t>■ 備考</t>
  </si>
  <si>
    <t>・DD-G（IaC詳細26）と DD-H（Custom SPI詳細15）は2026-08-26のADR突合で「受け皿がどこにも無い」と判明し新設。根拠 = ADR-056（Operator CR / Machine Pool）、ADR-055（SPIクラス設計）</t>
  </si>
  <si>
    <t>・DD-G と DDJ-06 は DU按分に含まれない横断作業。per-DU按分（×40%）を適用せず実額をそのまま使う</t>
  </si>
  <si>
    <t>・DD-B は単元別9行（U2〜U10）。DUごとの行ではないため、③のDU 107行と行数が違うのは正しい</t>
  </si>
  <si>
    <t>・横断BX-01は「開発」環境。TE-01（テスト環境、④側）とは別物のため二重計上ではない</t>
  </si>
  <si>
    <t>・構築分岐 CB-1〜8（98人日）は別シート「分岐プール」に集約。②詳細設計固有の分岐は不要（設計側の手戻りは①C-A2／C-D19に計上済み）</t>
  </si>
  <si>
    <t>群／サブグループ</t>
  </si>
  <si>
    <t>項目（サブタスク）</t>
  </si>
  <si>
    <t>A-1 G-IdP-Scale</t>
  </si>
  <si>
    <t>環境+データセット</t>
  </si>
  <si>
    <t>認証実測</t>
  </si>
  <si>
    <t>Admin/オンボーディング実測</t>
  </si>
  <si>
    <t>キャッシュ/メモリ実測</t>
  </si>
  <si>
    <t>パッチ回帰</t>
  </si>
  <si>
    <t>infra Pool/監視入力</t>
  </si>
  <si>
    <t>設計反映</t>
  </si>
  <si>
    <t>A-2 G-SPI-Compat</t>
  </si>
  <si>
    <t>環境</t>
  </si>
  <si>
    <t>SPI×4 個別互換</t>
  </si>
  <si>
    <t>Flow配置発火</t>
  </si>
  <si>
    <t>周辺互換</t>
  </si>
  <si>
    <t>Micrometer計装</t>
  </si>
  <si>
    <t>A-3 G-SCIM</t>
  </si>
  <si>
    <t>Facadeプロトタイプ</t>
  </si>
  <si>
    <t>Validator準拠</t>
  </si>
  <si>
    <t>D1/D2 E2E</t>
  </si>
  <si>
    <t>テナントスケール</t>
  </si>
  <si>
    <t>バルク+流量</t>
  </si>
  <si>
    <t>射影読取+反映</t>
  </si>
  <si>
    <t>A-5 SAML経由JIT</t>
  </si>
  <si>
    <t>モック環境</t>
  </si>
  <si>
    <t>NameID差検証</t>
  </si>
  <si>
    <t>D-11入力整理</t>
  </si>
  <si>
    <t>A-6 実IdP</t>
  </si>
  <si>
    <t>Entra ID trial</t>
  </si>
  <si>
    <t>Okta trial</t>
  </si>
  <si>
    <t>SPI発火+mfa_indicator</t>
  </si>
  <si>
    <t>A-7 G-OSAKA</t>
  </si>
  <si>
    <t>在庫・クォータ照会</t>
  </si>
  <si>
    <t>arm64対応確認</t>
  </si>
  <si>
    <t>A-10 SPI負荷</t>
  </si>
  <si>
    <t>debounce</t>
  </si>
  <si>
    <t>Event Listener emit</t>
  </si>
  <si>
    <t>A-12 SN実機</t>
  </si>
  <si>
    <t>SAML Client</t>
  </si>
  <si>
    <t>パターン②統合</t>
  </si>
  <si>
    <t>突合+Webhook</t>
  </si>
  <si>
    <t>C-1 U6是正</t>
  </si>
  <si>
    <t>Podモデル</t>
  </si>
  <si>
    <t>接続予算</t>
  </si>
  <si>
    <t>再計算</t>
  </si>
  <si>
    <t>D-16 SN移行</t>
  </si>
  <si>
    <t>M0〜M3詳細手順</t>
  </si>
  <si>
    <t>削除連鎖 + Break Glass実体</t>
  </si>
  <si>
    <t>SN-onlyユーザ移行/PW移行判定</t>
  </si>
  <si>
    <t>D-17 identity改訂</t>
  </si>
  <si>
    <t>U2 Browser Flow</t>
  </si>
  <si>
    <t>U3プロビ経路表</t>
  </si>
  <si>
    <t>U4 MFA UX</t>
  </si>
  <si>
    <t>U7 MFA責任分界</t>
  </si>
  <si>
    <t>整合レビュー</t>
  </si>
  <si>
    <t>D-18 DR再判断</t>
  </si>
  <si>
    <t>成立性分析（P-05再オープン）</t>
  </si>
  <si>
    <t>方式決定</t>
  </si>
  <si>
    <t>D-18 DR改訂</t>
  </si>
  <si>
    <t>U8/U6/ADR-051反映</t>
  </si>
  <si>
    <t>Runbook骨子</t>
  </si>
  <si>
    <t>E-1 dev/stg</t>
  </si>
  <si>
    <t>Acct/クラスタ方針</t>
  </si>
  <si>
    <t>テストデータ + コスト</t>
  </si>
  <si>
    <t>G-1 Runbook</t>
  </si>
  <si>
    <t>TEN-01（テナント追加）</t>
  </si>
  <si>
    <t>TEN-03（テナント離脱）</t>
  </si>
  <si>
    <t>SEC-01（インシデント初動）</t>
  </si>
  <si>
    <t>SEC-02（漏えい報告SOP実体）</t>
  </si>
  <si>
    <t>SEC-04（緊急鍵ローテ）</t>
  </si>
  <si>
    <t>SEC-05（Break-Glass）</t>
  </si>
  <si>
    <t>SEC-06（強制ログアウト3粒度）</t>
  </si>
  <si>
    <t>DR-00（発動判断）</t>
  </si>
  <si>
    <t>DR-01〜02（大阪再構築）</t>
  </si>
  <si>
    <t>DR-03〜04（リストア）</t>
  </si>
  <si>
    <t>DR-05（切戻し）</t>
  </si>
  <si>
    <t>G-4 drawio清書</t>
  </si>
  <si>
    <t>overview</t>
  </si>
  <si>
    <t>network-detail</t>
  </si>
  <si>
    <t>設計書 総則（目的・範囲・読み方）</t>
  </si>
  <si>
    <t>前提条件一覧（P-01〜20の設計反映）</t>
  </si>
  <si>
    <t>用語集・略語集</t>
  </si>
  <si>
    <t>全体構成図（論理）</t>
  </si>
  <si>
    <t>全体構成図（物理）</t>
  </si>
  <si>
    <t>エラー処理方式設計</t>
  </si>
  <si>
    <t>ログ出力方式設計（レベル/フォーマット/ローテーション）</t>
  </si>
  <si>
    <t>トランザクション・整合性方式設計</t>
  </si>
  <si>
    <t>排他制御・同時実行設計（新規）</t>
  </si>
  <si>
    <t>セッション管理方式設計</t>
  </si>
  <si>
    <t>文字コード・日時・タイムゾーン方式</t>
  </si>
  <si>
    <t>多言語・i18n方式設計</t>
  </si>
  <si>
    <t>キャッシュ方式設計（Infinispan/realm/projection）（新規）</t>
  </si>
  <si>
    <t>採番設計（ID採番方式・重複回避）（新規）</t>
  </si>
  <si>
    <t>APIバージョニング・廃止ポリシー（新規）</t>
  </si>
  <si>
    <t>命名規約（リソース/API/DB）</t>
  </si>
  <si>
    <t>IaC設計規約</t>
  </si>
  <si>
    <t>API設計規約</t>
  </si>
  <si>
    <t>画面設計規約</t>
  </si>
  <si>
    <t>非機能要件→設計対応表</t>
  </si>
  <si>
    <t>性能設計書（目標値・処理方式・チューニング方針）（新規）</t>
  </si>
  <si>
    <t>キャパシティ・データ量見積（テーブル別・増加率・5年後）（新規）</t>
  </si>
  <si>
    <t>サポートブラウザ・デバイス対応方針（新規）</t>
  </si>
  <si>
    <t>トレーサビリティマトリクス（要件→機能→設計→テスト）</t>
  </si>
  <si>
    <t>トレーサビリティ維持運用ルール</t>
  </si>
  <si>
    <t>鍵管理設計書（KMS 3階層・暗号化境界、ADR-045）（新規v3）</t>
  </si>
  <si>
    <t>NHI（非人間ID）台帳設計（ADR-066）（新規v3）</t>
  </si>
  <si>
    <t>機能ID体系・階層設計</t>
  </si>
  <si>
    <t>機能一覧 洗い出し（認証系15）</t>
  </si>
  <si>
    <t>機能一覧 洗い出し（プロビ系12）</t>
  </si>
  <si>
    <t>機能一覧 洗い出し（管理CP系18）</t>
  </si>
  <si>
    <t>機能一覧 洗い出し（認可系8）</t>
  </si>
  <si>
    <t>機能一覧 洗い出し（連携系10）</t>
  </si>
  <si>
    <t>機能一覧 洗い出し（バッチ系8）</t>
  </si>
  <si>
    <t>既存決定との突合・抜け確認</t>
  </si>
  <si>
    <t>機能仕様書 認証系（15機能×0.6）</t>
  </si>
  <si>
    <t>機能仕様書 プロビ系（12機能×0.6）</t>
  </si>
  <si>
    <t>機能仕様書 管理CP系（18機能×0.6）</t>
  </si>
  <si>
    <t>機能仕様書 認可系（8機能×0.6）</t>
  </si>
  <si>
    <t>機能仕様書 連携系（10機能×0.6）</t>
  </si>
  <si>
    <t>機能仕様書 バッチ系（8機能×0.5）</t>
  </si>
  <si>
    <t>業務フロー（エンドユーザー系6シナリオ）</t>
  </si>
  <si>
    <t>業務フロー（管理者系5シナリオ）</t>
  </si>
  <si>
    <t>業務フロー（連携系4シナリオ）</t>
  </si>
  <si>
    <t>状態遷移設計（ユーザーライフサイクル S1-S10）</t>
  </si>
  <si>
    <t>状態遷移設計（トークン/セッション状態）</t>
  </si>
  <si>
    <t>検索・一覧表示設計（検索条件/ページング/ソート）（新規）</t>
  </si>
  <si>
    <t>ファイル入出力設計（CSV一括登録/エクスポート）（新規）</t>
  </si>
  <si>
    <t>レポート/エクスポート設計（監査レポート・利用統計）（新規）</t>
  </si>
  <si>
    <t>画面一覧・画面ID体系（約32画面）</t>
  </si>
  <si>
    <t>画面遷移図（エンドユーザー系）</t>
  </si>
  <si>
    <t>画面遷移図（管理SPA系）</t>
  </si>
  <si>
    <t>画面仕様書 エンドユーザー系（12画面×0.5）</t>
  </si>
  <si>
    <t>画面仕様書 管理SPA系（20画面×0.5）</t>
  </si>
  <si>
    <t>共通レイアウト・部品設計</t>
  </si>
  <si>
    <t>A11y設計基準（WCAG 2.2 AAの設計反映）</t>
  </si>
  <si>
    <t>画面メッセージ一覧</t>
  </si>
  <si>
    <t>APIエラーコード体系</t>
  </si>
  <si>
    <t>ログメッセージ一覧</t>
  </si>
  <si>
    <t>メール・通知テンプレート一覧（招待/PW/MFA/侵害通知）（新規）</t>
  </si>
  <si>
    <t>論理ER図</t>
  </si>
  <si>
    <t>物理ER図（identity / authz / projection）</t>
  </si>
  <si>
    <t>テーブル定義書 authz系（8テーブル）</t>
  </si>
  <si>
    <t>テーブル定義書 idmap / projection系（6テーブル）</t>
  </si>
  <si>
    <t>テーブル定義書 outbox / 監査 / NHI系（6テーブル）</t>
  </si>
  <si>
    <t>属性辞書（ユーザー属性定義）</t>
  </si>
  <si>
    <t>正準化sourceレジストリ統合（D3-15）</t>
  </si>
  <si>
    <t>コード体系（識別子3階層）</t>
  </si>
  <si>
    <t>コード体系（tenant_id / brand_id）</t>
  </si>
  <si>
    <t>コード体系（provisioned_by 6値・状態コード）</t>
  </si>
  <si>
    <t>CRUD図（機能×テーブル）</t>
  </si>
  <si>
    <t>CRUD図と権限マトリクスの突合</t>
  </si>
  <si>
    <t>データ保持・アーカイブ設計（7年/3段階削除/物理削除）（新規）</t>
  </si>
  <si>
    <t>インデックス・パーティション設計（新規）</t>
  </si>
  <si>
    <t>IF一覧（内部・同期）</t>
  </si>
  <si>
    <t>IF一覧（内部・非同期）</t>
  </si>
  <si>
    <t>IF一覧（外部）</t>
  </si>
  <si>
    <t>API仕様書 idm-api ユーザー系（12EP）</t>
  </si>
  <si>
    <t>API仕様書 idm-api 権限/認可系（10EP）</t>
  </si>
  <si>
    <t>API仕様書 idm-api 参照系（/api/me/* ほか8EP）</t>
  </si>
  <si>
    <t>API認可スコープ対応表（idm:*）</t>
  </si>
  <si>
    <t>API共通規約（エラー/ページング/冪等）</t>
  </si>
  <si>
    <t>SCIM IF仕様（エンドポイント・属性写像・フィルタ）</t>
  </si>
  <si>
    <t>SCIM Soft Delete写像仕様</t>
  </si>
  <si>
    <t>イベントIF（EventBridgeスキーマ2本）</t>
  </si>
  <si>
    <t>イベントIF（outbox仕様）</t>
  </si>
  <si>
    <t>Webhook仕様（7種・署名・再送）</t>
  </si>
  <si>
    <t>認証プロトコルIF（OIDCエンドポイント・クレーム）</t>
  </si>
  <si>
    <t>認証プロトコルIF（SAMLメタデータ・Assertion）</t>
  </si>
  <si>
    <t>外部IF ServiceNow</t>
  </si>
  <si>
    <t>外部IF 顧客IdP（SAML/OIDC差分）</t>
  </si>
  <si>
    <t>外部IF HIBP / SES</t>
  </si>
  <si>
    <t>証明書・鍵の一覧と管理設計（SAML/TLS/mTLS/PCA/JWT）（新規）</t>
  </si>
  <si>
    <t>FQDN・DNS一覧（公開 + 内部PHZ）（新規）</t>
  </si>
  <si>
    <t>バッチ一覧（8本）</t>
  </si>
  <si>
    <t>バッチ実行基盤整理（CronJob / EventBridge Scheduler）</t>
  </si>
  <si>
    <t>バッチ仕様書（90日休眠・物理削除準備）</t>
  </si>
  <si>
    <t>バッチ仕様書（リコンサイル3種）</t>
  </si>
  <si>
    <t>バッチ仕様書（証明書ローテ・NHI孤立・recert）</t>
  </si>
  <si>
    <t>ジョブスケジュール・依存関係設計</t>
  </si>
  <si>
    <t>多重起動制御・リラン設計</t>
  </si>
  <si>
    <t>ロール定義（3層スコープ）</t>
  </si>
  <si>
    <t>権限マトリクス（ロール×機能）</t>
  </si>
  <si>
    <t>権限マトリクス（ロール×データ×テナントスコープ）</t>
  </si>
  <si>
    <t>監査ログ イベント一覧</t>
  </si>
  <si>
    <t>監査ログ 取得項目・保持年数表</t>
  </si>
  <si>
    <t>認可判定ログ統合（ADR-067）</t>
  </si>
  <si>
    <t>ITDR検知ルール / Goldenシグナル定義（G-1〜6、ADR-035/060）（新規v3）</t>
  </si>
  <si>
    <t>攻撃経路対応表（33経路×対策、ADR-060）（新規v3）</t>
  </si>
  <si>
    <t>監視項目一覧（メトリクス）</t>
  </si>
  <si>
    <t>監視項目一覧（ログ・合成監視）</t>
  </si>
  <si>
    <t>閾値・通知先設計</t>
  </si>
  <si>
    <t>テナントオンボーディング設計（設計面。Runbookとは別）（新規）</t>
  </si>
  <si>
    <t>環境設計書（本番 / stg / dev の構成差分）（新規）</t>
  </si>
  <si>
    <t>単元間 整合性レビュー（第1回）</t>
  </si>
  <si>
    <t>単元間 整合性レビュー（第2回）</t>
  </si>
  <si>
    <t>ステークホルダー説明資料 作成</t>
  </si>
  <si>
    <t>説明会 実施・指摘対応</t>
  </si>
  <si>
    <t>Realm / Organizations 構成設計書（ADR-017 / 02 §2.1）</t>
  </si>
  <si>
    <t>Authentication Flow 設計書（5系統のFlow木）（02 §2.3）</t>
  </si>
  <si>
    <t>Custom SPI 仕様書（HRD Authenticator）</t>
  </si>
  <si>
    <t>Custom SPI 仕様書（JIT制御・Re-Activation）</t>
  </si>
  <si>
    <t>Custom SPI 仕様書（Event Listener・mfa_indicator）</t>
  </si>
  <si>
    <t>SPI配置・ビルド・版数管理設計</t>
  </si>
  <si>
    <t>Protocol Mapper / Client Scope 定義書（ADR-030）</t>
  </si>
  <si>
    <t>User Profile 宣言設計（email非保有対応）</t>
  </si>
  <si>
    <t>Client 登録テンプレート（アプリオンボーディング標準）</t>
  </si>
  <si>
    <t>Keycloak Realm パラメータ設計書（TTL/brute force/PW/キャッシュ設定値）</t>
  </si>
  <si>
    <t>2-tier フェデレーション設計書（Broker↔IdP-KC、ADR-033/02a）</t>
  </si>
  <si>
    <t>ブランドユニット設計書（brand=Realm・issuer規律、ADR-063）</t>
  </si>
  <si>
    <t>Broker shadow ライフサイクル設計（ADR-064）</t>
  </si>
  <si>
    <t>IdP接続仕様テンプレート（SAML / OIDC別）（1000+ IdPの標準化）</t>
  </si>
  <si>
    <t>IdP属性マッピング設計（IdP Mapper写像規則）</t>
  </si>
  <si>
    <t>HRD解決ロジック設計書（識別子先行の判定・降格、ADR-055）</t>
  </si>
  <si>
    <t>ROSAクラスタ構成設計書（Machine Pool / taint / HPA、ADR-056）</t>
  </si>
  <si>
    <t>RHBK Operator / CR 設計（版数・更新戦略）</t>
  </si>
  <si>
    <t>ROSA運用境界・責任分界（Red Hat SREとの分担、L1-L7）</t>
  </si>
  <si>
    <t>Shared Responsibility Matrix（責任分界表）（ADR-037）／渡す相手: 全顧客（契約添付）</t>
  </si>
  <si>
    <t>SLA / SLO 定義書（顧客向け）／渡す相手: 全顧客（契約添付）</t>
  </si>
  <si>
    <t>RP実装ガイド（アプリ開発者向け）（U5 §5.6 / ADR-057）／渡す相手: 接続アプリ開発者</t>
  </si>
  <si>
    <t>テナント管理者ガイド（ADR-038）／渡す相手: テナント管理者</t>
  </si>
  <si>
    <t>顧客IdP接続ガイド（顧客IT部門向け）／渡す相手: 顧客IT部門</t>
  </si>
  <si>
    <t>Trust Center / 顧客監査対応資料（ADR-036）／渡す相手: 監査要求のある顧客</t>
  </si>
  <si>
    <t>DSAR対応手順（顧客向け、ADR-048）／渡す相手: 全顧客</t>
  </si>
  <si>
    <t>テナントオンボーディング案内テンプレート／渡す相手: 新規テナント</t>
  </si>
  <si>
    <t>サービス仕様書・制約事項一覧（ゾンビ窓/ログアウト限界/再認証の明示）／渡す相手: 全顧客</t>
  </si>
  <si>
    <t>マスキングまたは合成データ＋平文非着地の機械検査／DoD: 非本番に本番の個人情報が入らない。負荷試験データも合成</t>
    <phoneticPr fontId="2"/>
  </si>
  <si>
    <t>部（ガイド章立て）</t>
  </si>
  <si>
    <t>廃止（→ H-Lへ全面展開）</t>
  </si>
  <si>
    <t>GD-01</t>
  </si>
  <si>
    <t>H-L 認証実装ガイド</t>
  </si>
  <si>
    <t>本ガイドについて</t>
  </si>
  <si>
    <t>第1部 導入・計画</t>
  </si>
  <si>
    <t>GD-02</t>
  </si>
  <si>
    <t>本基盤の全体像</t>
  </si>
  <si>
    <t>GD-03</t>
  </si>
  <si>
    <t>用語集</t>
  </si>
  <si>
    <t>GD-04</t>
  </si>
  <si>
    <t>統合前に決めること</t>
  </si>
  <si>
    <t>P1</t>
  </si>
  <si>
    <t>GD-05</t>
  </si>
  <si>
    <t>クライアント登録の申請プロセス</t>
  </si>
  <si>
    <t>第2部 オンボーディング</t>
  </si>
  <si>
    <t>GD-06</t>
  </si>
  <si>
    <t>環境と接続情報</t>
  </si>
  <si>
    <t>GD-07</t>
  </si>
  <si>
    <t>Discovery / エンドポイント案内</t>
  </si>
  <si>
    <t>P0</t>
  </si>
  <si>
    <t>GD-08</t>
  </si>
  <si>
    <t>クレデンシャル管理</t>
  </si>
  <si>
    <t>GD-09</t>
  </si>
  <si>
    <t>Webアプリ（BFF / SSR）</t>
  </si>
  <si>
    <t>第3部 アプリ種別別 実装</t>
  </si>
  <si>
    <t>GD-10</t>
  </si>
  <si>
    <t>SPA（ブラウザ）</t>
  </si>
  <si>
    <t>GD-11</t>
  </si>
  <si>
    <t>ネイティブ / モバイル</t>
  </si>
  <si>
    <t>P2</t>
  </si>
  <si>
    <t>GD-12</t>
  </si>
  <si>
    <t>サーバ間（M2M）</t>
  </si>
  <si>
    <t>GD-13</t>
  </si>
  <si>
    <t>既存 SAML SP 向け</t>
  </si>
  <si>
    <t>GD-14</t>
  </si>
  <si>
    <t>認可リクエスト</t>
  </si>
  <si>
    <t>第4部 コア実装（全種別共通）</t>
  </si>
  <si>
    <t>GD-15</t>
  </si>
  <si>
    <t>トークン取得・保存</t>
  </si>
  <si>
    <t>GD-16</t>
  </si>
  <si>
    <t>アクセストークン検証（RS必須7点）</t>
  </si>
  <si>
    <t>GD-17</t>
  </si>
  <si>
    <t>ID Token検証</t>
  </si>
  <si>
    <t>GD-18</t>
  </si>
  <si>
    <t>JWKS取得・鍵ローテ追随</t>
  </si>
  <si>
    <t>GD-19</t>
  </si>
  <si>
    <t>テナント検証と越境防止</t>
  </si>
  <si>
    <t>GD-20</t>
  </si>
  <si>
    <t>認可情報の取得</t>
  </si>
  <si>
    <t>GD-21</t>
  </si>
  <si>
    <t>GD-22</t>
  </si>
  <si>
    <t>ログアウト3方式の使い分け</t>
  </si>
  <si>
    <t>GD-23</t>
  </si>
  <si>
    <t>Back-Channel Logout受信実装</t>
  </si>
  <si>
    <t>GD-24</t>
  </si>
  <si>
    <t>リフレッシュトークン</t>
  </si>
  <si>
    <t>GD-25</t>
  </si>
  <si>
    <t>step-up認証</t>
  </si>
  <si>
    <t>GD-26</t>
  </si>
  <si>
    <t>必須セキュリティ要件チェックリスト</t>
  </si>
  <si>
    <t>第5部 セキュリティ要件</t>
  </si>
  <si>
    <t>GD-27</t>
  </si>
  <si>
    <t>CORS / SameSite / CSP</t>
  </si>
  <si>
    <t>GD-28</t>
  </si>
  <si>
    <t>禁止事項・アンチパターン集</t>
  </si>
  <si>
    <t>GD-29</t>
  </si>
  <si>
    <t>ログ・監査</t>
  </si>
  <si>
    <t>GD-30</t>
  </si>
  <si>
    <t>エラーコード一覧と期待動作</t>
  </si>
  <si>
    <t>第6部 エラー処理・UX</t>
  </si>
  <si>
    <t>GD-31</t>
  </si>
  <si>
    <t>403 → Sorry誘導規約</t>
  </si>
  <si>
    <t>GD-32</t>
  </si>
  <si>
    <t>認証失敗・再認証のUX</t>
  </si>
  <si>
    <t>GD-33</t>
  </si>
  <si>
    <t>ブランド・ログインボタン</t>
  </si>
  <si>
    <t>GD-34</t>
  </si>
  <si>
    <t>Token Exchange</t>
  </si>
  <si>
    <t>第7部 連携・拡張</t>
  </si>
  <si>
    <t>GD-35</t>
  </si>
  <si>
    <t>Webhook受信</t>
  </si>
  <si>
    <t>GD-36</t>
  </si>
  <si>
    <t>CAEP receiver</t>
  </si>
  <si>
    <t>GD-37</t>
  </si>
  <si>
    <t>レート制限と作法</t>
  </si>
  <si>
    <t>第8部 運用</t>
  </si>
  <si>
    <t>GD-38</t>
  </si>
  <si>
    <t>障害時の挙動</t>
  </si>
  <si>
    <t>GD-39</t>
  </si>
  <si>
    <t>監視・可観測性</t>
  </si>
  <si>
    <t>GD-40</t>
  </si>
  <si>
    <t>SLA・制約事項</t>
  </si>
  <si>
    <t>GD-41</t>
  </si>
  <si>
    <t>バージョニング・廃止ポリシー</t>
  </si>
  <si>
    <t>GD-42</t>
  </si>
  <si>
    <t>サンドボックス・テスト方法</t>
  </si>
  <si>
    <t>第9部 テスト・移行</t>
  </si>
  <si>
    <t>GD-43</t>
  </si>
  <si>
    <t>本番移行チェックリスト・ゲート</t>
  </si>
  <si>
    <t>GD-44</t>
  </si>
  <si>
    <t>ローンチ後の変更手順</t>
  </si>
  <si>
    <t>GD-45</t>
  </si>
  <si>
    <t>移行ガイド</t>
  </si>
  <si>
    <t>GD-46</t>
  </si>
  <si>
    <t>エンドポイント・リファレンス</t>
  </si>
  <si>
    <t>第10部 リファレンス・サポート</t>
  </si>
  <si>
    <t>GD-47</t>
  </si>
  <si>
    <t>クレーム辞書・スコープ一覧</t>
  </si>
  <si>
    <t>GD-48</t>
  </si>
  <si>
    <t>推奨ライブラリ</t>
  </si>
  <si>
    <t>GD-49</t>
  </si>
  <si>
    <t>サポート窓口・FAQ</t>
  </si>
  <si>
    <t>GD-50</t>
  </si>
  <si>
    <t>ドキュメント変更履歴</t>
  </si>
  <si>
    <t>GD-51</t>
  </si>
  <si>
    <t>シーケンス図・構成図（主要8フロー）</t>
  </si>
  <si>
    <t>GD-52</t>
  </si>
  <si>
    <t>全体レビュー・整合性確認</t>
  </si>
  <si>
    <t>GD-53</t>
  </si>
  <si>
    <t>アプリチーム向け説明会・フィードバック反映</t>
  </si>
  <si>
    <t>C-11</t>
  </si>
  <si>
    <t>C-11 標準仕様の参照是正</t>
  </si>
  <si>
    <t>IETF draft表記のRFC化対応</t>
  </si>
  <si>
    <t>横断</t>
    <phoneticPr fontId="2"/>
  </si>
  <si>
    <t>載せる項目の辞書（最小構成、個人情報非搭載）／DoD: 辞書どおりに搭載され、保護対象の属性が上書きされない／★audがRS識別子になること（accountでない）を検証</t>
  </si>
  <si>
    <t>C. 設計是正・文書整合（検討23人日／13件）</t>
  </si>
  <si>
    <t>機能一覧 — 91機能（認証22／プロビ17／管理22／認可9／連携12／バッチ9）</t>
  </si>
  <si>
    <t>出典: doc/basic-design/research/function-list-2026-08-26.md §2。従来「70機能」は推定値で中身が無く、設計書10冊+ADRから実列挙して91と判明（+21）</t>
  </si>
  <si>
    <t>★P2の3機能（F-PROV-07 SCIMグループ／F-INT-12 CAEP送信／F-BAT-09 物理削除バッチ）も仕様書化の対象。「Phase 1 対象外」の宣言自体が成果物のため</t>
  </si>
  <si>
    <t>★要件側の機能要件は99件（FR-AUTH 16／FED 17／MFA 11／SSO 11／AUTHZ 10／USER 12／ADMIN 12／INT 10）。1要件=1機能ではないが桁として整合し、列挙漏れは大きくないと判断できる。トレーサビリティはHA-24で取る</t>
  </si>
  <si>
    <t>機能ID</t>
  </si>
  <si>
    <t>機能名</t>
  </si>
  <si>
    <t>主な出典</t>
  </si>
  <si>
    <t>Phase</t>
  </si>
  <si>
    <t>中核</t>
  </si>
  <si>
    <t>対応WBS</t>
  </si>
  <si>
    <t>F-AUTH-01</t>
  </si>
  <si>
    <t>認証系</t>
  </si>
  <si>
    <t>ローカルログイン（ID/PW）</t>
  </si>
  <si>
    <t>U2 §2.3、P-07</t>
  </si>
  <si>
    <t>🔴</t>
  </si>
  <si>
    <t>HB-09a</t>
  </si>
  <si>
    <t>F-AUTH-02</t>
  </si>
  <si>
    <t>HRD（識別子先行によるIdP解決）</t>
  </si>
  <si>
    <t>ADR-055、U4 §4.1</t>
  </si>
  <si>
    <t>F-AUTH-03</t>
  </si>
  <si>
    <t>HRDフォールバック（降格→PWフォーム）</t>
  </si>
  <si>
    <t>U4 §4.1.3</t>
  </si>
  <si>
    <t>F-AUTH-04</t>
  </si>
  <si>
    <t>Organizationセレクター（同一Org複数IdP）</t>
  </si>
  <si>
    <t>U2 §2.3、U4</t>
  </si>
  <si>
    <t>F-AUTH-05</t>
  </si>
  <si>
    <t>フェデレーションログイン（OIDC）</t>
  </si>
  <si>
    <t>ADR-033、U2 §2.2</t>
  </si>
  <si>
    <t>HB-09b</t>
  </si>
  <si>
    <t>F-AUTH-06</t>
  </si>
  <si>
    <t>フェデレーションログイン（SAML）</t>
  </si>
  <si>
    <t>ADR-031、U2 §2.7</t>
  </si>
  <si>
    <t>F-AUTH-07</t>
  </si>
  <si>
    <t>First Broker Login（shadow生成）</t>
  </si>
  <si>
    <t>ADR-064、U3 D3-04</t>
  </si>
  <si>
    <t>F-AUTH-08</t>
  </si>
  <si>
    <t>Post Broker Login</t>
  </si>
  <si>
    <t>U2 §2.3</t>
  </si>
  <si>
    <t>F-AUTH-09</t>
  </si>
  <si>
    <t>2-tierフェデ（Broker → IdP-KC）</t>
  </si>
  <si>
    <t>ADR-033、02a</t>
  </si>
  <si>
    <t>F-AUTH-10</t>
  </si>
  <si>
    <t>MFA認証（TOTP）</t>
  </si>
  <si>
    <t>U7 D-U7-14</t>
  </si>
  <si>
    <t>HB-09c</t>
  </si>
  <si>
    <t>F-AUTH-11</t>
  </si>
  <si>
    <t>MFA認証（WebAuthn / パスキー）</t>
  </si>
  <si>
    <t>F-AUTH-12</t>
  </si>
  <si>
    <t>MFAエンロール（TOTP）</t>
  </si>
  <si>
    <t>U4 §4.4.2</t>
  </si>
  <si>
    <t>F-AUTH-13</t>
  </si>
  <si>
    <t>MFAエンロール（WebAuthn）</t>
  </si>
  <si>
    <t>F-AUTH-14</t>
  </si>
  <si>
    <t>セキュアエンロール（2台目step-up必須）</t>
  </si>
  <si>
    <t>F-AUTH-15</t>
  </si>
  <si>
    <t>Recovery Code発行・利用</t>
  </si>
  <si>
    <t>HB-09d</t>
  </si>
  <si>
    <t>F-AUTH-16</t>
  </si>
  <si>
    <t>email非保有リカバリ（管理者JIT承認）</t>
  </si>
  <si>
    <t>F-AUTH-17</t>
  </si>
  <si>
    <t>ステップアップ認証</t>
  </si>
  <si>
    <t>ADR-026、U5 §5.10</t>
  </si>
  <si>
    <t>F-AUTH-18</t>
  </si>
  <si>
    <t>セルフサービスPWリセット</t>
  </si>
  <si>
    <t>F-AUTH-19</t>
  </si>
  <si>
    <t>PW変更 / 初回強制変更</t>
  </si>
  <si>
    <t>F-AUTH-20</t>
  </si>
  <si>
    <t>Brute Force検知・ロックアウト</t>
  </si>
  <si>
    <t>U7 §7.2</t>
  </si>
  <si>
    <t>HB-09e</t>
  </si>
  <si>
    <t>F-AUTH-21</t>
  </si>
  <si>
    <t>アカウント列挙対策（応答同一化）</t>
  </si>
  <si>
    <t>U4 §4.1.3、U7</t>
  </si>
  <si>
    <t>F-AUTH-22</t>
  </si>
  <si>
    <t>漏洩PW検知（HIBP連携）</t>
  </si>
  <si>
    <t>F-PROV-01</t>
  </si>
  <si>
    <t>プロビジョニング系</t>
  </si>
  <si>
    <t>JITユーザ作成（フェデ初回）</t>
  </si>
  <si>
    <t>U3 D3-04 ①、PoC V3''</t>
  </si>
  <si>
    <t>HB-10a</t>
  </si>
  <si>
    <t>F-PROV-02</t>
  </si>
  <si>
    <t>JIT属性更新（per-Mapper syncMode）</t>
  </si>
  <si>
    <t>U3 §3.3</t>
  </si>
  <si>
    <t>F-PROV-03</t>
  </si>
  <si>
    <t>SCIM受信: ユーザ作成</t>
  </si>
  <si>
    <t>ADR-025、U3 §3.5</t>
  </si>
  <si>
    <t>HB-10b</t>
  </si>
  <si>
    <t>F-PROV-04</t>
  </si>
  <si>
    <t>SCIM受信: ユーザ更新</t>
  </si>
  <si>
    <t>U3 §3.5</t>
  </si>
  <si>
    <t>F-PROV-05</t>
  </si>
  <si>
    <t>SCIM受信: ユーザ削除（Soft Delete写像）</t>
  </si>
  <si>
    <t>U3 §3.5、G-SCIM</t>
  </si>
  <si>
    <t>F-PROV-06</t>
  </si>
  <si>
    <t>SCIM受信: 検索・フィルタ・ページング</t>
  </si>
  <si>
    <t>F-PROV-07</t>
  </si>
  <si>
    <t>SCIMグループ連携</t>
  </si>
  <si>
    <t>F-PROV-08</t>
  </si>
  <si>
    <t>属性正準化（sourceレジストリ）</t>
  </si>
  <si>
    <t>HB-10c</t>
  </si>
  <si>
    <t>F-PROV-09</t>
  </si>
  <si>
    <t>provisioned_by判別（6値・Case 1-6）</t>
  </si>
  <si>
    <t>F-PROV-10</t>
  </si>
  <si>
    <t>Soft Delete（無効化 + deprovisioned_at）</t>
  </si>
  <si>
    <t>D3-09、jit-scim §10.4.K</t>
  </si>
  <si>
    <t>HB-10d</t>
  </si>
  <si>
    <t>F-PROV-11</t>
  </si>
  <si>
    <t>Re-Activation（再有効化）</t>
  </si>
  <si>
    <t>ADR-064、U3 D3-12</t>
  </si>
  <si>
    <t>F-PROV-12</t>
  </si>
  <si>
    <t>削除伝播（outbox → shadow制御）</t>
  </si>
  <si>
    <t>F-PROV-13</t>
  </si>
  <si>
    <t>F-PROV-14</t>
  </si>
  <si>
    <t>初回sub通知（Broker → ブランド）</t>
  </si>
  <si>
    <t>ADR-063、D3-16</t>
  </si>
  <si>
    <t>HB-10e</t>
  </si>
  <si>
    <t>F-PROV-15</t>
  </si>
  <si>
    <t>authzスタブ行生成（federated用）</t>
  </si>
  <si>
    <t>F-PROV-16</t>
  </si>
  <si>
    <t>idmap登録・更新</t>
  </si>
  <si>
    <t>ADR-054、U3 §3.2</t>
  </si>
  <si>
    <t>F-PROV-17</t>
  </si>
  <si>
    <t>統合射影の更新（3書込フィード）</t>
  </si>
  <si>
    <t>D3-14、DU-U3-04</t>
  </si>
  <si>
    <t>F-ADM-01</t>
  </si>
  <si>
    <t>管理コントロールプレーン系</t>
  </si>
  <si>
    <t>ユーザ検索・一覧（テナントスコープ）</t>
  </si>
  <si>
    <t>HB-11a</t>
  </si>
  <si>
    <t>F-ADM-02</t>
  </si>
  <si>
    <t>ユーザ詳細参照</t>
  </si>
  <si>
    <t>F-ADM-03</t>
  </si>
  <si>
    <t>ユーザ作成</t>
  </si>
  <si>
    <t>ADR-038、U3 D3-17</t>
  </si>
  <si>
    <t>F-ADM-04</t>
  </si>
  <si>
    <t>ユーザ更新</t>
  </si>
  <si>
    <t>F-ADM-05</t>
  </si>
  <si>
    <t>ユーザ無効化 / 有効化</t>
  </si>
  <si>
    <t>F-ADM-06</t>
  </si>
  <si>
    <t>ユーザ削除（Soft Delete）</t>
  </si>
  <si>
    <t>F-ADM-07</t>
  </si>
  <si>
    <t>PWリセット（管理者操作）</t>
  </si>
  <si>
    <t>HB-11b</t>
  </si>
  <si>
    <t>F-ADM-08</t>
  </si>
  <si>
    <t>ユーザ招待</t>
  </si>
  <si>
    <t>ADR-038 §C</t>
  </si>
  <si>
    <t>F-ADM-09</t>
  </si>
  <si>
    <t>MFAリセット（管理者操作）</t>
  </si>
  <si>
    <t>F-ADM-10</t>
  </si>
  <si>
    <t>セッション強制ログアウト（3粒度）</t>
  </si>
  <si>
    <t>U5 §5.4</t>
  </si>
  <si>
    <t>F-ADM-11</t>
  </si>
  <si>
    <t>エンタイトルメント（アプリ割当）編集</t>
  </si>
  <si>
    <t>ADR-038、D3-14</t>
  </si>
  <si>
    <t>HB-11c</t>
  </si>
  <si>
    <t>F-ADM-12</t>
  </si>
  <si>
    <t>機能ロール割当編集</t>
  </si>
  <si>
    <t>ADR-038 AZB-3</t>
  </si>
  <si>
    <t>F-ADM-13</t>
  </si>
  <si>
    <t>組織属性編集</t>
  </si>
  <si>
    <t>F-ADM-14</t>
  </si>
  <si>
    <t>テナント（Organization）作成</t>
  </si>
  <si>
    <t>HB-11d</t>
  </si>
  <si>
    <t>F-ADM-15</t>
  </si>
  <si>
    <t>テナント設定編集（hrd_mode等）</t>
  </si>
  <si>
    <t>F-ADM-16</t>
  </si>
  <si>
    <t>IdP接続 登録（オンボーディング6ステップ）</t>
  </si>
  <si>
    <t>F-ADM-17</t>
  </si>
  <si>
    <t>IdP接続 編集・証明書更新</t>
  </si>
  <si>
    <t>D-12、A-9</t>
  </si>
  <si>
    <t>F-ADM-18</t>
  </si>
  <si>
    <t>監査ログ照会</t>
  </si>
  <si>
    <t>ADR-036、D-U9-06</t>
  </si>
  <si>
    <t>HB-11e</t>
  </si>
  <si>
    <t>F-ADM-19</t>
  </si>
  <si>
    <t>アクセス再認証（recert）キャンペーン</t>
  </si>
  <si>
    <t>F-ADM-20</t>
  </si>
  <si>
    <t>CSV一括登録</t>
  </si>
  <si>
    <t>HB-21（新規）</t>
  </si>
  <si>
    <t>F-ADM-21</t>
  </si>
  <si>
    <t>CSV / 監査ログ エクスポート</t>
  </si>
  <si>
    <t>HB-22、ADR-036</t>
  </si>
  <si>
    <t>F-ADM-22</t>
  </si>
  <si>
    <t>NHI（サービスアカウント）台帳管理</t>
  </si>
  <si>
    <t>F-AZ-01</t>
  </si>
  <si>
    <t>認可系</t>
  </si>
  <si>
    <t>/api/me/context 提供（ブランドローカルread）</t>
  </si>
  <si>
    <t>ADR-063、D3-14</t>
  </si>
  <si>
    <t>HB-12a</t>
  </si>
  <si>
    <t>F-AZ-02</t>
  </si>
  <si>
    <t>/api/me/apps 提供（launchpad用）</t>
  </si>
  <si>
    <t>F-AZ-03</t>
  </si>
  <si>
    <t>エンタイトルメント判定</t>
  </si>
  <si>
    <t>F-AZ-04</t>
  </si>
  <si>
    <t>機能ロール解決（opaque per-app）</t>
  </si>
  <si>
    <t>AZB-3</t>
  </si>
  <si>
    <t>F-AZ-05</t>
  </si>
  <si>
    <t>テナントスコープ強制（IDOR防御）</t>
  </si>
  <si>
    <t>U5 §5.6.3 #6</t>
  </si>
  <si>
    <t>HB-12b</t>
  </si>
  <si>
    <t>F-AZ-06</t>
  </si>
  <si>
    <t>3層スコープ検証（管理API）</t>
  </si>
  <si>
    <t>F-AZ-07</t>
  </si>
  <si>
    <t>CCトークン発行（idm:*スコープ）</t>
  </si>
  <si>
    <t>U5 §5.8</t>
  </si>
  <si>
    <t>F-AZ-08</t>
  </si>
  <si>
    <t>Token Exchange（Pattern 2/3）</t>
  </si>
  <si>
    <t>U5 §5.3</t>
  </si>
  <si>
    <t>F-AZ-09</t>
  </si>
  <si>
    <t>認可判定ログ記録</t>
  </si>
  <si>
    <t>F-INT-01</t>
  </si>
  <si>
    <t>連携系</t>
  </si>
  <si>
    <t>ServiceNow SAML SSO（IdPとして）</t>
  </si>
  <si>
    <t>HB-13a</t>
  </si>
  <si>
    <t>F-INT-02</t>
  </si>
  <si>
    <t>ServiceNow L2 SAML JIT</t>
  </si>
  <si>
    <t>ADR-023 §L</t>
  </si>
  <si>
    <t>F-INT-03</t>
  </si>
  <si>
    <t>SN → 他アプリ OIDC貫通</t>
  </si>
  <si>
    <t>F-INT-04</t>
  </si>
  <si>
    <t>Webhook配信（7種・HMAC・再送）</t>
  </si>
  <si>
    <t>HB-13b</t>
  </si>
  <si>
    <t>F-INT-05</t>
  </si>
  <si>
    <t>EventBridge越境: 削除イベント</t>
  </si>
  <si>
    <t>F-INT-06</t>
  </si>
  <si>
    <t>EventBridge越境: 初回sub通知</t>
  </si>
  <si>
    <t>F-INT-07</t>
  </si>
  <si>
    <t>SESメール送信（招待/PW/MFA/通知）</t>
  </si>
  <si>
    <t>A6a-1、DU-U6-12</t>
  </si>
  <si>
    <t>HB-13c</t>
  </si>
  <si>
    <t>F-INT-08</t>
  </si>
  <si>
    <t>ITDR検知（GoldenシグナルG-1〜6）</t>
  </si>
  <si>
    <t>ADR-035/060</t>
  </si>
  <si>
    <t>F-INT-09</t>
  </si>
  <si>
    <t>Central Canary（認証外形監視）</t>
  </si>
  <si>
    <t>F-INT-10</t>
  </si>
  <si>
    <t>デプロイ検知（pull型巡回）</t>
  </si>
  <si>
    <t>F-INT-11</t>
  </si>
  <si>
    <t>IdPメタデータ自動更新</t>
  </si>
  <si>
    <t>A-9、D-12</t>
  </si>
  <si>
    <t>F-INT-12</t>
  </si>
  <si>
    <t>CAEP / SSF送信（session-revoked）</t>
  </si>
  <si>
    <t>ADR-065、G-SSF</t>
  </si>
  <si>
    <t>F-BAT-01</t>
  </si>
  <si>
    <t>バッチ系</t>
  </si>
  <si>
    <t>90日休眠バッチ（jitのみ・idpkc%除外）</t>
  </si>
  <si>
    <t>D3-09、DU-U3-08</t>
  </si>
  <si>
    <t>HB-14a</t>
  </si>
  <si>
    <t>F-BAT-02</t>
  </si>
  <si>
    <t>削除伝播リコンサイル（数分）</t>
  </si>
  <si>
    <t>F-BAT-03</t>
  </si>
  <si>
    <t>日次リコンサイル（整合突合）</t>
  </si>
  <si>
    <t>RB-USR-06</t>
  </si>
  <si>
    <t>F-BAT-04</t>
  </si>
  <si>
    <t>JWT署名鍵ローテ（90日 + 30日並走）</t>
  </si>
  <si>
    <t>ADR-045、DU-U7-02</t>
  </si>
  <si>
    <t>HB-14b</t>
  </si>
  <si>
    <t>F-BAT-05</t>
  </si>
  <si>
    <t>client_secretローテ（90日・2世代並走）</t>
  </si>
  <si>
    <t>D-U7-10b、DU-U7-12</t>
  </si>
  <si>
    <t>F-BAT-06</t>
  </si>
  <si>
    <t>NHI孤立検知（90日）</t>
  </si>
  <si>
    <t>F-BAT-07</t>
  </si>
  <si>
    <t>証明書期限監視・通知</t>
  </si>
  <si>
    <t>F-BAT-08</t>
  </si>
  <si>
    <t>recertキャンペーン起動</t>
  </si>
  <si>
    <t>F-BAT-09</t>
  </si>
  <si>
    <t>物理削除バッチ</t>
  </si>
  <si>
    <t>jit-scim §10.4.K.6</t>
  </si>
  <si>
    <t>HB-01 / HB-08</t>
  </si>
  <si>
    <t>F-ADM-01〜06</t>
    <phoneticPr fontId="2"/>
  </si>
  <si>
    <t>F-BAT-04〜08</t>
    <phoneticPr fontId="2"/>
  </si>
  <si>
    <t>機能数が120を超過した場合（2026-08-26に実列挙で91と判明しベースに+15済み。旧トリガー「想定70・100超」は前提が変わり陳腐化）</t>
  </si>
  <si>
    <t>機能仕様書の追加執筆（さらに30機能増えた場合の想定。30機能×0.6）</t>
  </si>
  <si>
    <t>★運用ルール①: ベース合計（2,417人日）には足さない。顕在化した時点でベースへ繰入れ、各WBSの行とダッシュボードのサマリーを更新する</t>
  </si>
  <si>
    <t>★運用ルール③: 予算上は「ベース 2,417 + リスク引当 300 = 上限 2,717 人日」と読む</t>
  </si>
  <si>
    <t>ベース 2,417 + 条件付き 300 = 上限 2,717 人日</t>
  </si>
  <si>
    <t>★分岐（条件付きプール）は別シート「分岐プール」に集約。設計152／構築98／テスト50 = 合計300。予算上は ベース 2,417 + リスク引当 300 = 上限 2,717 人日</t>
  </si>
  <si>
    <t>★条件付きプール 300（設計152 = C-* 65 + CH-* 87 ／ 構築98 ／ テスト50）はベース外。予算上は ベース 2,417 + リスク引当 300 = 上限 2,717 人日。明細は別シート「分岐プール」</t>
  </si>
  <si>
    <t>★注意: 00a §6「構築+テスト 325〜455人日」は詳細設計を含まない旧値。上記の2,417人日とは別系統のため単純合算しないこと</t>
  </si>
  <si>
    <t>✓ 一致（① 812 ＋ ② 441 ＋ ③ 743 ＋ ④ 421）</t>
  </si>
  <si>
    <t>機能ID</t>
    <phoneticPr fontId="2"/>
  </si>
  <si>
    <t>中核／Phase</t>
  </si>
  <si>
    <t>主な出典（ADR・設計書）</t>
  </si>
  <si>
    <t>廃止（→ HB-F-* へ1機能1行で展開）</t>
  </si>
  <si>
    <t>HB-F-AUTH-01</t>
  </si>
  <si>
    <t>機能仕様書: ローカルログイン（ID/PW）</t>
  </si>
  <si>
    <t>🔴 P1</t>
  </si>
  <si>
    <t>HB-F-AUTH-02</t>
  </si>
  <si>
    <t>機能仕様書: HRD（識別子先行によるIdP解決）</t>
  </si>
  <si>
    <t>HB-F-AUTH-03</t>
  </si>
  <si>
    <t>機能仕様書: HRDフォールバック（降格→PWフォーム）</t>
  </si>
  <si>
    <t>HB-F-AUTH-04</t>
  </si>
  <si>
    <t>機能仕様書: Organizationセレクター</t>
  </si>
  <si>
    <t>HB-F-AUTH-05</t>
  </si>
  <si>
    <t>機能仕様書: フェデレーションログイン（OIDC）</t>
  </si>
  <si>
    <t>HB-F-AUTH-06</t>
  </si>
  <si>
    <t>機能仕様書: フェデレーションログイン（SAML）</t>
  </si>
  <si>
    <t>HB-F-AUTH-07</t>
  </si>
  <si>
    <t>機能仕様書: First Broker Login（shadow生成）</t>
  </si>
  <si>
    <t>HB-F-AUTH-08</t>
  </si>
  <si>
    <t>機能仕様書: Post Broker Login</t>
  </si>
  <si>
    <t>HB-F-AUTH-09</t>
  </si>
  <si>
    <t>機能仕様書: 2-tierフェデ（Broker→IdP-KC）</t>
  </si>
  <si>
    <t>HB-F-AUTH-10</t>
  </si>
  <si>
    <t>機能仕様書: MFA認証（TOTP）</t>
  </si>
  <si>
    <t>HB-F-AUTH-11</t>
  </si>
  <si>
    <t>機能仕様書: MFA認証（WebAuthn/パスキー）</t>
  </si>
  <si>
    <t>HB-F-AUTH-12</t>
  </si>
  <si>
    <t>機能仕様書: MFAエンロール（TOTP）</t>
  </si>
  <si>
    <t>HB-F-AUTH-13</t>
  </si>
  <si>
    <t>機能仕様書: MFAエンロール（WebAuthn）</t>
  </si>
  <si>
    <t>HB-F-AUTH-14</t>
  </si>
  <si>
    <t>機能仕様書: セキュアエンロール（2台目step-up）</t>
  </si>
  <si>
    <t>HB-F-AUTH-15</t>
  </si>
  <si>
    <t>機能仕様書: Recovery Code発行・利用</t>
  </si>
  <si>
    <t>HB-F-AUTH-16</t>
  </si>
  <si>
    <t>機能仕様書: email非保有リカバリ</t>
  </si>
  <si>
    <t>HB-F-AUTH-17</t>
  </si>
  <si>
    <t>機能仕様書: ステップアップ認証</t>
  </si>
  <si>
    <t>HB-F-AUTH-18</t>
  </si>
  <si>
    <t>機能仕様書: セルフサービスPWリセット</t>
  </si>
  <si>
    <t>HB-F-AUTH-19</t>
  </si>
  <si>
    <t>機能仕様書: PW変更/初回強制変更</t>
  </si>
  <si>
    <t>HB-F-AUTH-20</t>
  </si>
  <si>
    <t>機能仕様書: Brute Force検知・ロックアウト</t>
  </si>
  <si>
    <t>HB-F-AUTH-21</t>
  </si>
  <si>
    <t>機能仕様書: アカウント列挙対策（応答同一化）</t>
  </si>
  <si>
    <t>HB-F-AUTH-22</t>
  </si>
  <si>
    <t>機能仕様書: 漏洩PW検知（HIBP）</t>
  </si>
  <si>
    <t>HB-F-PROV-01</t>
  </si>
  <si>
    <t>機能仕様書: JITユーザ作成（フェデ初回）</t>
  </si>
  <si>
    <t>HB-F-PROV-02</t>
  </si>
  <si>
    <t>機能仕様書: JIT属性更新（syncMode）</t>
  </si>
  <si>
    <t>HB-F-PROV-03</t>
  </si>
  <si>
    <t>機能仕様書: SCIM受信: ユーザ作成</t>
  </si>
  <si>
    <t>HB-F-PROV-04</t>
  </si>
  <si>
    <t>機能仕様書: SCIM受信: ユーザ更新</t>
  </si>
  <si>
    <t>HB-F-PROV-05</t>
  </si>
  <si>
    <t>機能仕様書: SCIM受信: ユーザ削除（Soft Delete写像）</t>
  </si>
  <si>
    <t>HB-F-PROV-06</t>
  </si>
  <si>
    <t>機能仕様書: SCIM受信: 検索・フィルタ</t>
  </si>
  <si>
    <t>HB-F-PROV-07</t>
  </si>
  <si>
    <t>機能仕様書: SCIMグループ連携</t>
  </si>
  <si>
    <t>HB-F-PROV-08</t>
  </si>
  <si>
    <t>機能仕様書: 属性正準化（sourceレジストリ）</t>
  </si>
  <si>
    <t>HB-F-PROV-09</t>
  </si>
  <si>
    <t>機能仕様書: provisioned_by判別（6値・Case1-6）</t>
  </si>
  <si>
    <t>HB-F-PROV-10</t>
  </si>
  <si>
    <t>機能仕様書: Soft Delete（deprovisioned_at）</t>
  </si>
  <si>
    <t>HB-F-PROV-11</t>
  </si>
  <si>
    <t>機能仕様書: Re-Activation（再有効化）</t>
  </si>
  <si>
    <t>HB-F-PROV-12</t>
  </si>
  <si>
    <t>機能仕様書: 削除伝播（outbox→shadow制御）</t>
  </si>
  <si>
    <t>HB-F-PROV-13</t>
  </si>
  <si>
    <t>機能仕様書: 再有効化の対称伝播</t>
  </si>
  <si>
    <t>HB-F-PROV-14</t>
  </si>
  <si>
    <t>機能仕様書: 初回sub通知（Broker→ブランド）</t>
  </si>
  <si>
    <t>HB-F-PROV-15</t>
  </si>
  <si>
    <t>機能仕様書: authzスタブ行生成</t>
  </si>
  <si>
    <t>HB-F-PROV-16</t>
  </si>
  <si>
    <t>機能仕様書: idmap登録・更新</t>
  </si>
  <si>
    <t>HB-F-PROV-17</t>
  </si>
  <si>
    <t>機能仕様書: 統合射影の更新（3書込）</t>
  </si>
  <si>
    <t>HB-F-ADM-01</t>
  </si>
  <si>
    <t>機能仕様書: ユーザ検索・一覧</t>
  </si>
  <si>
    <t>管理CP系</t>
  </si>
  <si>
    <t>HB-F-ADM-02</t>
  </si>
  <si>
    <t>機能仕様書: ユーザ詳細参照</t>
  </si>
  <si>
    <t>HB-F-ADM-03</t>
  </si>
  <si>
    <t>機能仕様書: ユーザ作成</t>
  </si>
  <si>
    <t>HB-F-ADM-04</t>
  </si>
  <si>
    <t>機能仕様書: ユーザ更新</t>
  </si>
  <si>
    <t>HB-F-ADM-05</t>
  </si>
  <si>
    <t>機能仕様書: ユーザ無効化/有効化</t>
  </si>
  <si>
    <t>HB-F-ADM-06</t>
  </si>
  <si>
    <t>機能仕様書: ユーザ削除（Soft Delete）</t>
  </si>
  <si>
    <t>HB-F-ADM-07</t>
  </si>
  <si>
    <t>機能仕様書: PWリセット（管理者）</t>
  </si>
  <si>
    <t>HB-F-ADM-08</t>
  </si>
  <si>
    <t>機能仕様書: ユーザ招待</t>
  </si>
  <si>
    <t>HB-F-ADM-09</t>
  </si>
  <si>
    <t>機能仕様書: MFAリセット（管理者）</t>
  </si>
  <si>
    <t>HB-F-ADM-10</t>
  </si>
  <si>
    <t>機能仕様書: セッション強制ログアウト（3粒度）</t>
  </si>
  <si>
    <t>HB-F-ADM-11</t>
  </si>
  <si>
    <t>機能仕様書: エンタイトルメント編集</t>
  </si>
  <si>
    <t>HB-F-ADM-12</t>
  </si>
  <si>
    <t>機能仕様書: 機能ロール割当編集</t>
  </si>
  <si>
    <t>HB-F-ADM-13</t>
  </si>
  <si>
    <t>機能仕様書: 組織属性編集</t>
  </si>
  <si>
    <t>HB-F-ADM-14</t>
  </si>
  <si>
    <t>機能仕様書: テナント（Organization）作成</t>
  </si>
  <si>
    <t>HB-F-ADM-15</t>
  </si>
  <si>
    <t>機能仕様書: テナント設定編集</t>
  </si>
  <si>
    <t>HB-F-ADM-16</t>
  </si>
  <si>
    <t>機能仕様書: IdP接続 登録（6ステップ）</t>
  </si>
  <si>
    <t>HB-F-ADM-17</t>
  </si>
  <si>
    <t>機能仕様書: IdP接続 編集・証明書更新</t>
  </si>
  <si>
    <t>HB-F-ADM-18</t>
  </si>
  <si>
    <t>機能仕様書: 監査ログ照会</t>
  </si>
  <si>
    <t>HB-F-ADM-19</t>
  </si>
  <si>
    <t>機能仕様書: recertキャンペーン</t>
  </si>
  <si>
    <t>HB-F-ADM-20</t>
  </si>
  <si>
    <t>機能仕様書: CSV一括登録</t>
  </si>
  <si>
    <t>HB-F-ADM-21</t>
  </si>
  <si>
    <t>機能仕様書: CSV/監査ログ エクスポート</t>
  </si>
  <si>
    <t>HB-F-ADM-22</t>
  </si>
  <si>
    <t>機能仕様書: NHI台帳管理</t>
  </si>
  <si>
    <t>HB-F-AZ-01</t>
  </si>
  <si>
    <t>機能仕様書: /api/me/context 提供</t>
  </si>
  <si>
    <t>HB-F-AZ-02</t>
  </si>
  <si>
    <t>機能仕様書: /api/me/apps 提供</t>
  </si>
  <si>
    <t>HB-F-AZ-03</t>
  </si>
  <si>
    <t>機能仕様書: エンタイトルメント判定</t>
  </si>
  <si>
    <t>HB-F-AZ-04</t>
  </si>
  <si>
    <t>機能仕様書: 機能ロール解決</t>
  </si>
  <si>
    <t>HB-F-AZ-05</t>
  </si>
  <si>
    <t>機能仕様書: テナントスコープ強制（IDOR防御）</t>
  </si>
  <si>
    <t>HB-F-AZ-06</t>
  </si>
  <si>
    <t>機能仕様書: 3層スコープ検証（管理API）</t>
  </si>
  <si>
    <t>HB-F-AZ-07</t>
  </si>
  <si>
    <t>機能仕様書: CCトークン発行（idm:*）</t>
  </si>
  <si>
    <t>HB-F-AZ-08</t>
  </si>
  <si>
    <t>機能仕様書: Token Exchange（Pattern 2/3）</t>
  </si>
  <si>
    <t>HB-F-AZ-09</t>
  </si>
  <si>
    <t>機能仕様書: 認可判定ログ記録</t>
  </si>
  <si>
    <t>HB-F-INT-01</t>
  </si>
  <si>
    <t>機能仕様書: ServiceNow SAML SSO</t>
  </si>
  <si>
    <t>HB-F-INT-02</t>
  </si>
  <si>
    <t>機能仕様書: ServiceNow L2 SAML JIT</t>
  </si>
  <si>
    <t>HB-F-INT-03</t>
  </si>
  <si>
    <t>機能仕様書: SN→他アプリOIDC貫通</t>
  </si>
  <si>
    <t>HB-F-INT-04</t>
  </si>
  <si>
    <t>機能仕様書: Webhook配信（7種・HMAC）</t>
  </si>
  <si>
    <t>HB-F-INT-05</t>
  </si>
  <si>
    <t>機能仕様書: EventBridge越境: 削除</t>
  </si>
  <si>
    <t>HB-F-INT-06</t>
  </si>
  <si>
    <t>機能仕様書: EventBridge越境: 初回sub通知</t>
  </si>
  <si>
    <t>HB-F-INT-07</t>
  </si>
  <si>
    <t>機能仕様書: SESメール送信</t>
  </si>
  <si>
    <t>HB-F-INT-08</t>
  </si>
  <si>
    <t>機能仕様書: ITDR検知（Golden G-1〜6）</t>
  </si>
  <si>
    <t>HB-F-INT-09</t>
  </si>
  <si>
    <t>機能仕様書: Central Canary（外形監視）</t>
  </si>
  <si>
    <t>HB-F-INT-10</t>
  </si>
  <si>
    <t>機能仕様書: デプロイ検知（pull型）</t>
  </si>
  <si>
    <t>HB-F-INT-11</t>
  </si>
  <si>
    <t>機能仕様書: IdPメタデータ自動更新</t>
  </si>
  <si>
    <t>HB-F-INT-12</t>
  </si>
  <si>
    <t>機能仕様書: CAEP/SSF送信</t>
  </si>
  <si>
    <t>HB-F-BAT-01</t>
  </si>
  <si>
    <t>機能仕様書: 90日休眠バッチ</t>
  </si>
  <si>
    <t>HB-F-BAT-02</t>
  </si>
  <si>
    <t>機能仕様書: 削除伝播リコンサイル（数分）</t>
  </si>
  <si>
    <t>HB-F-BAT-03</t>
  </si>
  <si>
    <t>機能仕様書: 日次リコンサイル</t>
  </si>
  <si>
    <t>HB-F-BAT-04</t>
  </si>
  <si>
    <t>機能仕様書: JWT署名鍵ローテ</t>
  </si>
  <si>
    <t>HB-F-BAT-05</t>
  </si>
  <si>
    <t>機能仕様書: client_secretローテ</t>
  </si>
  <si>
    <t>HB-F-BAT-06</t>
  </si>
  <si>
    <t>機能仕様書: NHI孤立検知</t>
  </si>
  <si>
    <t>HB-F-BAT-07</t>
  </si>
  <si>
    <t>機能仕様書: 証明書期限監視・通知</t>
  </si>
  <si>
    <t>HB-F-BAT-08</t>
  </si>
  <si>
    <t>機能仕様書: recertキャンペーン起動</t>
  </si>
  <si>
    <t>HB-F-BAT-09</t>
  </si>
  <si>
    <t>機能仕様書: 物理削除バッチ</t>
  </si>
  <si>
    <t>WBS ① 基本設計クローズ — ベース 812 人日／全量 412行（A〜G 120行=270 ／ H 設計成果物 292行=542。うち機能仕様書は1機能1行で91行=57）</t>
  </si>
  <si>
    <t>出典: 00a v2.3（A〜G）+ basic-design-deliverables v3 §3（H-A〜H-K）+ rp-integration-guide-toc §3（H-L）+ function-list-2026-08-26.md §3（HB-F-* 91行・1機能1行）</t>
  </si>
  <si>
    <t>★1シート1テーブル。中間の集約行は置かず、K〜N列（機能ID／系統／中核・Phase／主な出典）でフィルタして絞る運用。系統→中核🔴→Phase の3軸で「今どこを書くか」を選べる</t>
  </si>
  <si>
    <t>00a v2.3（A〜G 270。C-11 +1含む）+ 設計成果物H 542（292行。うち機能仕様書HB-F-* 91行=57／認証実装ガイドH-L 53行=108）。別シート「WBS(基本設計)」に412行の明細</t>
  </si>
  <si>
    <t>★①812の内訳: 調査 108（PoCゲート A系）＋ 検討 704（うち設計成果物H 542。そのうち認証実装ガイドH-L 108・機能仕様書HB-F-* 57）。※出典の811はC-11（+1）を含まない値</t>
  </si>
  <si>
    <t>H. 設計成果物の執筆（検討542人日／292行）</t>
  </si>
  <si>
    <t>内訳: HA 56／HB 93.5／HC 40／HD 42／HE 53／HF 13.5／HG 21／HH 12／HI 22／HJ 56／HK 25／HL 108。★H-Bは行数113（機能仕様書91行 + その他13行 + 廃止9行）だが、群小計の管理単位は38項目/93.5人日とする</t>
  </si>
  <si>
    <t>★位置づけ: WBS(基本設計) の HB-F-* 91行がマスタ。本シートは参照ビュー（系統・出典の一覧性を保つため残置）。人日はWBS側のみで管理する</t>
  </si>
  <si>
    <t>★HB-F-*は【外部設計】＝「外から見た振る舞い」を確定する。内部の処理フロー・クラス設計は②詳細設計 DD-B が受ける（境界を明確化）。人日配分: A=1.0（11機能・中核かつ複雑）／B=0.75（24機能・中核🔴）／C=0.5（56機能・通常）</t>
  </si>
  <si>
    <t>Realm/Flow/Mapper/User Profileの実装仕様（10DU）／★内部設計に限定（外から見た振る舞いは①基本設計 HB-F-* が確定済み）。初期作業として「機能(91)→DU(103) マッピング表」を作成する</t>
  </si>
  <si>
    <t>SCIM Facade/射影/outbox/状態機械（11DU）／★内部設計に限定（外から見た振る舞いは①基本設計 HB-F-* が確定済み）。初期作業として「機能(91)→DU(103) マッピング表」を作成する</t>
  </si>
  <si>
    <t>Theme/SPA/リカバリ導線（11DU）／★内部設計に限定（外から見た振る舞いは①基本設計 HB-F-* が確定済み）。初期作業として「機能(91)→DU(103) マッピング表」を作成する</t>
  </si>
  <si>
    <t>クレーム/TTL/revoke/CAEP（8DU）／★内部設計に限定（外から見た振る舞いは①基本設計 HB-F-* が確定済み）。初期作業として「機能(91)→DU(103) マッピング表」を作成する</t>
  </si>
  <si>
    <t>VPC/NLB/PrivateLink/Lambda配置（14DU）／★内部設計に限定（外から見た振る舞いは①基本設計 HB-F-* が確定済み）。初期作業として「機能(91)→DU(103) マッピング表」を作成する</t>
  </si>
  <si>
    <t>KMS/ITDR/PAM/マスキング/NHI（18DU）／★内部設計に限定（外から見た振る舞いは①基本設計 HB-F-* が確定済み）。初期作業として「機能(91)→DU(103) マッピング表」を作成する</t>
  </si>
  <si>
    <t>SLO/再構築/データ保全（12DU）／★内部設計に限定（外から見た振る舞いは①基本設計 HB-F-* が確定済み）。初期作業として「機能(91)→DU(103) マッピング表」を作成する</t>
  </si>
  <si>
    <t>OTel/ログ3層/Runbook連動/オンボAPI（12DU）／★内部設計に限定（外から見た振る舞いは①基本設計 HB-F-* が確定済み）。初期作業として「機能(91)→DU(103) マッピング表」を作成する</t>
  </si>
  <si>
    <t>idm-api/Webhook/SN/DSAR（11DU）／★内部設計に限定（外から見た振る舞いは①基本設計 HB-F-* が確定済み）。初期作業として「機能(91)→DU(103) マッピング表」を作成する</t>
  </si>
  <si>
    <t>★1シート1テーブル。工程列でフィルタすれば②③を分けて見られ、そのままピボットできる。DD-I 単体テスト仕様72は②に計上（WBS(テスト)の421＝結合以降とは別物）。★DD-Bは内部設計に限定 — 外部設計（機能の振る舞い）は①基本設計のHB-F-* 91行が担当し、初期作業として「機能(91)→DU(103) マッピング表」を作る</t>
  </si>
  <si>
    <t>成果物と完了条件</t>
  </si>
  <si>
    <t>（廃止）旧来の接続方式の検証。対象顧客がいないため実施しない</t>
    <phoneticPr fontId="2"/>
  </si>
  <si>
    <t>作業なし</t>
    <phoneticPr fontId="2"/>
  </si>
  <si>
    <t>（解消済み）識別子の対応づけデータの置き場所の検討。別の判断で決着したため不要</t>
    <phoneticPr fontId="2"/>
  </si>
  <si>
    <t>作業なし。決着内容は他の設計書に反映済み</t>
    <phoneticPr fontId="2"/>
  </si>
  <si>
    <t>（解消済み）利用者情報の受け取り窓口の実行方式の検討。別の判断で決着したため不要</t>
    <phoneticPr fontId="2"/>
  </si>
  <si>
    <t>（廃止）旧来の接続方式向けの追加設計。対象顧客がいないため実施しない</t>
    <phoneticPr fontId="2"/>
  </si>
  <si>
    <t>機能に付ける番号の体系と、大中小の階層の決め方を定める</t>
    <phoneticPr fontId="2"/>
  </si>
  <si>
    <t>体系定義。すべての機能に一意の番号が付けられる規則が定まっている</t>
    <phoneticPr fontId="2"/>
  </si>
  <si>
    <t>ログインや追加認証に関する機能を洗い出す</t>
    <phoneticPr fontId="2"/>
  </si>
  <si>
    <t>機能一覧（認証系 22 件）。番号が付き、重複や抜けがない</t>
    <phoneticPr fontId="2"/>
  </si>
  <si>
    <t>利用者情報の取り込みや削除に関する機能を洗い出す</t>
    <phoneticPr fontId="2"/>
  </si>
  <si>
    <t>機能一覧（プロビジョニング系 17 件）</t>
    <phoneticPr fontId="2"/>
  </si>
  <si>
    <t>管理者が使う機能を洗い出す</t>
    <phoneticPr fontId="2"/>
  </si>
  <si>
    <t>機能一覧（管理系 22 件）</t>
    <phoneticPr fontId="2"/>
  </si>
  <si>
    <t>権限判定に関する機能を洗い出す</t>
    <phoneticPr fontId="2"/>
  </si>
  <si>
    <t>機能一覧（認可系 9 件）</t>
    <phoneticPr fontId="2"/>
  </si>
  <si>
    <t>外部システムとの連携に関する機能を洗い出す</t>
    <phoneticPr fontId="2"/>
  </si>
  <si>
    <t>機能一覧（連携系 12 件）</t>
    <phoneticPr fontId="2"/>
  </si>
  <si>
    <t>定期実行する処理を洗い出す</t>
    <phoneticPr fontId="2"/>
  </si>
  <si>
    <t>機能一覧（バッチ系 9 件）</t>
    <phoneticPr fontId="2"/>
  </si>
  <si>
    <t>洗い出した機能が、これまでの決定事項と食い違っていないかを突き合わせる</t>
    <phoneticPr fontId="2"/>
  </si>
  <si>
    <t>突合結果。抜けや重複がないことが確認されている</t>
    <phoneticPr fontId="2"/>
  </si>
  <si>
    <t>（廃止）認証系の機能仕様書。1 機能 1 行に分割したため、この行では作業しない</t>
    <phoneticPr fontId="2"/>
  </si>
  <si>
    <t>作業なし。分割先の各行で実施する</t>
    <phoneticPr fontId="2"/>
  </si>
  <si>
    <t>（廃止）プロビジョニング系の機能仕様書。1 機能 1 行に分割したため、この行では作業しない</t>
    <phoneticPr fontId="2"/>
  </si>
  <si>
    <t>（廃止）管理系の機能仕様書。1 機能 1 行に分割したため、この行では作業しない</t>
    <phoneticPr fontId="2"/>
  </si>
  <si>
    <t>（廃止）認可系の機能仕様書。1 機能 1 行に分割したため、この行では作業しない</t>
    <phoneticPr fontId="2"/>
  </si>
  <si>
    <t>（廃止）連携系の機能仕様書。1 機能 1 行に分割したため、この行では作業しない</t>
    <phoneticPr fontId="2"/>
  </si>
  <si>
    <t>（廃止）バッチ系の機能仕様書。1 機能 1 行に分割したため、この行では作業しない</t>
    <phoneticPr fontId="2"/>
  </si>
  <si>
    <t>利用者から見た業務の流れを、代表的な 6 場面について図にする</t>
    <phoneticPr fontId="2"/>
  </si>
  <si>
    <t>業務フロー 6 本。利用者とシステムのやり取りが追える</t>
    <phoneticPr fontId="2"/>
  </si>
  <si>
    <t>管理者から見た業務の流れを、代表的な 5 場面について図にする</t>
    <phoneticPr fontId="2"/>
  </si>
  <si>
    <t>業務フロー 5 本</t>
    <phoneticPr fontId="2"/>
  </si>
  <si>
    <t>外部システムとの連携の流れを、代表的な 4 場面について図にする</t>
    <phoneticPr fontId="2"/>
  </si>
  <si>
    <t>業務フロー 4 本</t>
    <phoneticPr fontId="2"/>
  </si>
  <si>
    <t>利用者が登録されてから使えなくなるまでの状態の移り変わりを図にする</t>
    <phoneticPr fontId="2"/>
  </si>
  <si>
    <t>状態遷移図。すべての状態と移り変わりの条件が定まっている</t>
    <phoneticPr fontId="2"/>
  </si>
  <si>
    <t>通行証とログイン状態の移り変わりを図にする</t>
    <phoneticPr fontId="2"/>
  </si>
  <si>
    <t>状態遷移図。有効期限切れや強制終了の扱いが示されている</t>
    <phoneticPr fontId="2"/>
  </si>
  <si>
    <t>一覧画面での検索条件・並び順・件数の区切り方を決める</t>
    <phoneticPr fontId="2"/>
  </si>
  <si>
    <t>設計。大量データでも実用的な速さで返る条件が定まっている</t>
    <phoneticPr fontId="2"/>
  </si>
  <si>
    <t>まとめて登録するためのファイルの形式と取り込み方を決める</t>
    <phoneticPr fontId="2"/>
  </si>
  <si>
    <t>設計。形式・上限件数・一部が失敗した場合の扱いが定まっている</t>
    <phoneticPr fontId="2"/>
  </si>
  <si>
    <t>一覧や記録をファイルとして出力する機能の設計</t>
    <phoneticPr fontId="2"/>
  </si>
  <si>
    <t>設計。出力項目と、個人情報の扱いの注意が定まっている</t>
    <phoneticPr fontId="2"/>
  </si>
  <si>
    <t>（廃止）アプリ開発者向けの実装ガイド。章ごとに分割したため、この行では作業しない</t>
    <phoneticPr fontId="2"/>
  </si>
  <si>
    <t>作業なし。分割先の各章で実施する</t>
    <phoneticPr fontId="2"/>
  </si>
  <si>
    <t>このガイドの目的・想定読者・読み進め方をまとめた導入。改訂の方針もここに書く</t>
    <phoneticPr fontId="2"/>
  </si>
  <si>
    <t>ガイド 1 章。対象読者と前提知識が明示され、どの章から読めばよいかの案内がある</t>
    <phoneticPr fontId="2"/>
  </si>
  <si>
    <t>本基盤がどんな仕組みで、どこまでを引き受け、どこからがアプリ側の責任かを示す全体像</t>
    <phoneticPr fontId="2"/>
  </si>
  <si>
    <t>ガイド 1 章。提供する範囲と提供しない範囲が対比で示されている</t>
    <phoneticPr fontId="2"/>
  </si>
  <si>
    <t>このガイドで使う言葉の意味を揃える用語集</t>
    <phoneticPr fontId="2"/>
  </si>
  <si>
    <t>ガイド 1 章。本文で使う用語が漏れなく定義され、本文からリンクされている</t>
    <phoneticPr fontId="2"/>
  </si>
  <si>
    <t>接続作業を始める前にアプリ側で決めておくべきことを一覧にした章。アプリの種類・認証の強さ・情報の保持方法など</t>
    <phoneticPr fontId="2"/>
  </si>
  <si>
    <t>ガイド 1 章。決定事項が選択肢つきで列挙され、決めないと先に進めない項目が明示されている</t>
    <phoneticPr fontId="2"/>
  </si>
  <si>
    <t>接続の申請手続きと、申請から利用開始までにかかる期間の案内</t>
    <phoneticPr fontId="2"/>
  </si>
  <si>
    <t>ガイド 1 章。申請様式・審査観点・標準的な所要日数が示されている</t>
    <phoneticPr fontId="2"/>
  </si>
  <si>
    <t>開発・検証・本番それぞれの接続先情報の受け取り方と、環境ごとの違い</t>
    <phoneticPr fontId="2"/>
  </si>
  <si>
    <t>ガイド 1 章。接続先はアプリ内に直接書かず設定から読む方式であることが明記されている</t>
    <phoneticPr fontId="2"/>
  </si>
  <si>
    <t>接続に必要な情報を自動取得する仕組みと、その入口となるアドレスの案内</t>
    <phoneticPr fontId="2"/>
  </si>
  <si>
    <t>ガイド 1 章。取得すべき入口が 1 つに定まり、個別のアドレスを直接書かない原則が明記されている</t>
    <phoneticPr fontId="2"/>
  </si>
  <si>
    <t>アプリに配る接続用パスワードの管理方法と、定期的な入れ替えへの追随方法</t>
    <phoneticPr fontId="2"/>
  </si>
  <si>
    <t>ガイド 1 章。入れ替え時に接続が切れないための実装要件が示されている</t>
    <phoneticPr fontId="2"/>
  </si>
  <si>
    <t>サーバー側で処理を受け持つ形式のアプリ向けの実装手順。本基盤の推奨形式</t>
    <phoneticPr fontId="2"/>
  </si>
  <si>
    <t>ガイド 1 章。推奨する理由と、この形式でしか使えない機能が明示されている</t>
    <phoneticPr fontId="2"/>
  </si>
  <si>
    <t>ブラウザだけで動く形式のアプリ向けの実装手順と、認める条件</t>
    <phoneticPr fontId="2"/>
  </si>
  <si>
    <t>ガイド 1 章。通行証をブラウザに保存してはいけない範囲と、使えない機能の制約が明示されている</t>
    <phoneticPr fontId="2"/>
  </si>
  <si>
    <t>スマートフォンアプリ向けの実装方針。初期リリースでは対象外</t>
    <phoneticPr fontId="2"/>
  </si>
  <si>
    <t>ガイド 1 章。対象外である旨と、将来対応時の前提が示されている</t>
    <phoneticPr fontId="2"/>
  </si>
  <si>
    <t>画面を持たないシステム同士の連携で通行証を得る方法</t>
    <phoneticPr fontId="2"/>
  </si>
  <si>
    <t>ガイド 1 章。必要最小限の権限だけを申請する原則が示されている</t>
    <phoneticPr fontId="2"/>
  </si>
  <si>
    <t>旧来の方式で接続している既存システム向けの実装要件</t>
    <phoneticPr fontId="2"/>
  </si>
  <si>
    <t>ガイド 1 章。検証必須項目と、証明書入れ替え時の対応手順が示されている</t>
    <phoneticPr fontId="2"/>
  </si>
  <si>
    <t>ログインを開始するときにアプリが必ず付ける情報と、やってはいけない古い方式</t>
    <phoneticPr fontId="2"/>
  </si>
  <si>
    <t>ガイド 1 章。必須パラメータと禁止事項が判定可能な形で列挙されている</t>
    <phoneticPr fontId="2"/>
  </si>
  <si>
    <t>受け取った通行証をどこに保存してよいか・いけないかの方針</t>
    <phoneticPr fontId="2"/>
  </si>
  <si>
    <t>ガイド 1 章。保存場所ごとの可否と理由が示されている</t>
    <phoneticPr fontId="2"/>
  </si>
  <si>
    <t>アプリが受け取った通行証を検証するときの必須チェック項目。設定を誤ると検証が素通りする落とし穴の警告を含む</t>
    <phoneticPr fontId="2"/>
  </si>
  <si>
    <t>ガイド 1 章。7 つの検証項目と、宛先の設定漏れで検証が無効化される罠の警告が示されている</t>
    <phoneticPr fontId="2"/>
  </si>
  <si>
    <t>ログインした本人を表す情報を検証する手順</t>
    <phoneticPr fontId="2"/>
  </si>
  <si>
    <t>ガイド 1 章。必須の検証項目と、追加情報を問い合わせた場合の突き合わせ要件が示されている</t>
    <phoneticPr fontId="2"/>
  </si>
  <si>
    <t>署名の検証に使う鍵の取得方法と、鍵が入れ替わっても止まらないための保持方法。鍵をアプリ内に直接書くことは禁止</t>
    <phoneticPr fontId="2"/>
  </si>
  <si>
    <t>ガイド 1 章。取得の頻度・保持期間・未知の鍵が来た場合の動き・取得できないときの継続方法が数値で示されている</t>
    <phoneticPr fontId="2"/>
  </si>
  <si>
    <t>他のテナントのデータに触れないようにするための実装要件</t>
    <phoneticPr fontId="2"/>
  </si>
  <si>
    <t>ガイド 1 章。ログイン情報を要求内容より優先する原則と、データ 1 件ごとの確認が必要な理由が示されている</t>
    <phoneticPr fontId="2"/>
  </si>
  <si>
    <t>アプリが「この利用者は何ができるか」を取得する方法。通行証には権限が入っていないことの説明を含む</t>
    <phoneticPr fontId="2"/>
  </si>
  <si>
    <t>ガイド 1 章。取得の入口と、結果を保持してよい時間の考え方が示されている</t>
    <phoneticPr fontId="2"/>
  </si>
  <si>
    <t>ログイン状態がどれくらい続くのか、いつ切れるのかの説明</t>
    <phoneticPr fontId="2"/>
  </si>
  <si>
    <t>ガイド 1 章。有効期間の一覧と、切れたときのアプリ側の動きが示されている</t>
    <phoneticPr fontId="2"/>
  </si>
  <si>
    <t>ログアウトの 3 つの方式の違いと、どれをいつ使うかの整理。1 つ実装すれば全アプリで切れる、という誤解を正す</t>
    <phoneticPr fontId="2"/>
  </si>
  <si>
    <t>ガイド 1 章。3 方式の関係と責任分界が図で示されている</t>
    <phoneticPr fontId="2"/>
  </si>
  <si>
    <t>他のアプリでのログアウトを受け取って自分のセッションも切る実装。受け取った通知の検証項目を含む</t>
    <phoneticPr fontId="2"/>
  </si>
  <si>
    <t>ガイド 1 章。8 つの検証項目が列挙され、検証を省くと強制ログアウトの悪用が可能になる旨が警告されている</t>
    <phoneticPr fontId="2"/>
  </si>
  <si>
    <t>通行証を延長するための仕組みと、不正利用が疑われた場合の挙動</t>
    <phoneticPr fontId="2"/>
  </si>
  <si>
    <t>ガイド 1 章。延長時の入れ替え要件と、失効したときのアプリ側の動きが示されている</t>
    <phoneticPr fontId="2"/>
  </si>
  <si>
    <t>重要操作のときに追加認証を求められた場合のアプリ側の対応方法</t>
    <phoneticPr fontId="2"/>
  </si>
  <si>
    <t>ガイド 1 章。追加認証を求める応答の読み取り方と、再ログイン要求の組み立て方が示されている</t>
    <phoneticPr fontId="2"/>
  </si>
  <si>
    <t>接続前に満たすべきセキュリティ要件を、確認できる形にまとめた一覧</t>
    <phoneticPr fontId="2"/>
  </si>
  <si>
    <t>ガイド 1 章。各項目が満たす／満たさないで判定でき、受入審査に使える</t>
    <phoneticPr fontId="2"/>
  </si>
  <si>
    <t>ブラウザからの通信を安全にするための設定要件</t>
    <phoneticPr fontId="2"/>
  </si>
  <si>
    <t>ガイド 1 章。許可する接続元の指定方法と、緩めてはいけない設定が示されている</t>
    <phoneticPr fontId="2"/>
  </si>
  <si>
    <t>やってはいけない実装をまとめた一覧。実際に事故につながる 23 項目</t>
    <phoneticPr fontId="2"/>
  </si>
  <si>
    <t>ガイド 1 章。各項目に「何が起きるか」が併記され、レビュー時のチェックに使える</t>
    <phoneticPr fontId="2"/>
  </si>
  <si>
    <t>記録に残してよい情報・いけない情報と、問い合わせ調査のための共通の目印</t>
    <phoneticPr fontId="2"/>
  </si>
  <si>
    <t>ガイド 1 章。通行証を記録に残さない原則と、調査用の目印の付け方が示されている</t>
    <phoneticPr fontId="2"/>
  </si>
  <si>
    <t>エラーが返ったときにアプリが取るべき動作の一覧。すぐ再試行すれば成功するものをエラー画面にしない注意を含む</t>
    <phoneticPr fontId="2"/>
  </si>
  <si>
    <t>ガイド 1 章。主要なエラーごとに期待動作が定義され、再試行で回復するものが明示されている</t>
    <phoneticPr fontId="2"/>
  </si>
  <si>
    <t>権限が足りない場合に共通の案内画面へ誘導する決まり</t>
    <phoneticPr fontId="2"/>
  </si>
  <si>
    <t>ガイド 1 章。誘導先と、渡してよい理由コードが限定列挙されている</t>
    <phoneticPr fontId="2"/>
  </si>
  <si>
    <t>ログインできなかったときに利用者へ見せる案内の考え方</t>
    <phoneticPr fontId="2"/>
  </si>
  <si>
    <t>ガイド 1 章。再ログインへの誘導方法と、原因を詳しく出しすぎない方針が示されている</t>
    <phoneticPr fontId="2"/>
  </si>
  <si>
    <t>ログインボタンの表記やロゴの使い方の決まり</t>
    <phoneticPr fontId="2"/>
  </si>
  <si>
    <t>ガイド 1 章。表記の統一ルールと、使用可能な素材が示されている</t>
    <phoneticPr fontId="2"/>
  </si>
  <si>
    <t>あるアプリ向けの通行証を別のアプリ向けに交換する仕組みの使い方</t>
    <phoneticPr fontId="2"/>
  </si>
  <si>
    <t>ガイド 1 章。交換を許す条件と、権限を広げてはいけない原則が示されている</t>
    <phoneticPr fontId="2"/>
  </si>
  <si>
    <t>利用者の変更通知を受け取るアプリ側の実装要件。同じ通知が二重に来ても大丈夫にする方法を含む</t>
    <phoneticPr fontId="2"/>
  </si>
  <si>
    <t>ガイド 1 章。署名の確認・重複排除・順序が保証されない前提での作り方が示されている</t>
    <phoneticPr fontId="2"/>
  </si>
  <si>
    <t>利用者の状態変化を即時に受け取る新方式の姿勢。初期リリースでは対象外</t>
    <phoneticPr fontId="2"/>
  </si>
  <si>
    <t>ガイド 1 章。対象外である旨と、当面の代替手段が示されている</t>
    <phoneticPr fontId="2"/>
  </si>
  <si>
    <t>呼び出し回数の上限と、上限に達したときの正しい待ち方</t>
    <phoneticPr fontId="2"/>
  </si>
  <si>
    <t>ガイド 1 章。応答に含まれる待ち時間の読み方と、自己流の待ち方をしない旨が示されている</t>
    <phoneticPr fontId="2"/>
  </si>
  <si>
    <t>基盤側で障害が起きたときにアプリ側で何が起きるか、どこまで動き続けるかの説明</t>
    <phoneticPr fontId="2"/>
  </si>
  <si>
    <t>ガイド 1 章。止まる範囲・動き続ける範囲と、復旧時に再ログインが必要になる条件が示されている</t>
    <phoneticPr fontId="2"/>
  </si>
  <si>
    <t>アプリ側で持つべき監視の観点と、基盤側の定期確認への協力事項</t>
    <phoneticPr fontId="2"/>
  </si>
  <si>
    <t>ガイド 1 章。調査用の目印の連携方法と、確認用の入口の扱いが示されている</t>
    <phoneticPr fontId="2"/>
  </si>
  <si>
    <t>契約上アプリ側に理解してもらう必要がある制約の一覧。止めてから完全に切れるまでの時間差など</t>
    <phoneticPr fontId="2"/>
  </si>
  <si>
    <t>ガイド 1 章。制約が具体的な時間・条件つきで列挙され、契約文書と対応づいている</t>
    <phoneticPr fontId="2"/>
  </si>
  <si>
    <t>接続仕様が変わるときの通知方法と、移行にかけられる期間の約束</t>
    <phoneticPr fontId="2"/>
  </si>
  <si>
    <t>ガイド 1 章。事前通知の期間と、通知の届く手段が示されている</t>
    <phoneticPr fontId="2"/>
  </si>
  <si>
    <t>本番につなぐ前に試せる環境と、確認しておくべき項目</t>
    <phoneticPr fontId="2"/>
  </si>
  <si>
    <t>ガイド 1 章。検証環境の入手方法と、試験用の利用者の扱いが示されている</t>
    <phoneticPr fontId="2"/>
  </si>
  <si>
    <t>本番接続の前に満たす条件をまとめたチェックリスト</t>
    <phoneticPr fontId="2"/>
  </si>
  <si>
    <t>ガイド 1 章。判定可能な項目で構成され、外部の適合性試験の推奨も含まれている</t>
    <phoneticPr fontId="2"/>
  </si>
  <si>
    <t>本番稼働後に設定を変えたくなったときの手続き</t>
    <phoneticPr fontId="2"/>
  </si>
  <si>
    <t>ガイド 1 章。変更できる項目ごとの申請方法と所要期間が示されている</t>
    <phoneticPr fontId="2"/>
  </si>
  <si>
    <t>旧来のやり方から本基盤へ切り替える場合の移行手順</t>
    <phoneticPr fontId="2"/>
  </si>
  <si>
    <t>ガイド 1 章。切り替え時の並行運用の考え方と、注意点が示されている</t>
    <phoneticPr fontId="2"/>
  </si>
  <si>
    <t>接続に使う各種アドレスの一覧</t>
    <phoneticPr fontId="2"/>
  </si>
  <si>
    <t>ガイド 1 章。用途ごとに整理され、直接書かずに取得する方針と矛盾しない形で示されている</t>
    <phoneticPr fontId="2"/>
  </si>
  <si>
    <t>通行証に入っている情報と、申請できる権限の一覧</t>
    <phoneticPr fontId="2"/>
  </si>
  <si>
    <t>ガイド 1 章。各項目の意味と、権限を認可判断に使ってよい／いけない区別が示されている</t>
    <phoneticPr fontId="2"/>
  </si>
  <si>
    <t>使ってよい実装ライブラリの方針。特定製品専用の古い部品は使わせない</t>
    <phoneticPr fontId="2"/>
  </si>
  <si>
    <t>ガイド 1 章。推奨するライブラリの条件と、使用を認めない部品が明示されている</t>
    <phoneticPr fontId="2"/>
  </si>
  <si>
    <t>困ったときの問い合わせ先と、よくある質問</t>
    <phoneticPr fontId="2"/>
  </si>
  <si>
    <t>ガイド 1 章。緊急度別の連絡先と、回答の目安時間が示されている</t>
    <phoneticPr fontId="2"/>
  </si>
  <si>
    <t>このガイド自体の改訂履歴と、更新の知らせ方</t>
    <phoneticPr fontId="2"/>
  </si>
  <si>
    <t>ガイド 1 章。改訂の記録様式と、読者への通知方法が定義されている</t>
    <phoneticPr fontId="2"/>
  </si>
  <si>
    <t>ガイド内で使う処理の流れ図の作成</t>
    <phoneticPr fontId="2"/>
  </si>
  <si>
    <t>主要 8 パターンの流れ図。各章から参照され、文章と図の内容が一致している</t>
    <phoneticPr fontId="2"/>
  </si>
  <si>
    <t>ガイド全体を通しての整合性の確認と、設計書との突き合わせ</t>
    <phoneticPr fontId="2"/>
  </si>
  <si>
    <t>レビュー記録。設計書の決定と食い違う記述がないことが確認されている</t>
    <phoneticPr fontId="2"/>
  </si>
  <si>
    <t>アプリ開発チームへの説明会と、そこで出た指摘の反映</t>
    <phoneticPr fontId="2"/>
  </si>
  <si>
    <t>説明会の実施記録と改訂版ガイド。参加チームからの指摘が反映されている</t>
    <phoneticPr fontId="2"/>
  </si>
  <si>
    <t>利用者 ID とパスワードで直接ログインする機能。顧客側に認証システムがないテナントの利用者と、基盤の運用担当者が使う</t>
    <phoneticPr fontId="2"/>
  </si>
  <si>
    <t>機能仕様書 1 本。パスワード桁数・履歴・初回変更の扱いと、失敗時に利用者へ返す内容が定義されレビュー承認済み</t>
    <phoneticPr fontId="2"/>
  </si>
  <si>
    <t>ログイン画面で入力された ID から、その人がどの接続先（顧客の認証システム）の利用者かを判定し、自動で振り分ける。接続先の一覧を画面に出さずに済ませるための仕組み</t>
    <phoneticPr fontId="2"/>
  </si>
  <si>
    <t>機能仕様書 1 本。ID の書式から接続先を決める判定ルールと、判定できなかった場合の扱いが定義されレビュー承認済み</t>
    <phoneticPr fontId="2"/>
  </si>
  <si>
    <t>接続先を判定できなかったときに、パスワード入力欄に切り替えて処理を続ける動き。どのテナントか分からない状態でも利用者を止めないための逃げ道</t>
    <phoneticPr fontId="2"/>
  </si>
  <si>
    <t>機能仕様書 1 本。切り替わる条件と、利用者に見せる案内文の方針が定義されレビュー承認済み</t>
    <phoneticPr fontId="2"/>
  </si>
  <si>
    <t>1 つのテナントに接続先が複数ある場合に、利用者にどれを使うか選ばせる画面の動き</t>
    <phoneticPr fontId="2"/>
  </si>
  <si>
    <t>機能仕様書 1 本。選択肢の並び順の決め方と、そのテナント以外の接続先を見せない条件が定義されレビュー承認済み</t>
    <phoneticPr fontId="2"/>
  </si>
  <si>
    <t>顧客が持っている認証システムに認証を委ね、その結果を受け取ってログインさせる機能（標準的な連携方式）</t>
    <phoneticPr fontId="2"/>
  </si>
  <si>
    <t>機能仕様書 1 本。委譲時に渡す情報・受け取る情報と、拒否された場合の扱いが定義されレビュー承認済み</t>
    <phoneticPr fontId="2"/>
  </si>
  <si>
    <t>顧客が持っている認証システムのうち、旧来の方式で連携する場合のログイン機能</t>
    <phoneticPr fontId="2"/>
  </si>
  <si>
    <t>機能仕様書 1 本。旧方式特有の識別子の扱いと、標準方式との差分が定義されレビュー承認済み</t>
    <phoneticPr fontId="2"/>
  </si>
  <si>
    <t>顧客の認証システムで認証された人が初めてログインしたとき、基盤側に利用者の控えを自動で作る機能</t>
    <phoneticPr fontId="2"/>
  </si>
  <si>
    <t>機能仕様書 1 本。控えを作る条件・作らない条件と、既存の人と重なった場合の扱いが定義されレビュー承認済み</t>
    <phoneticPr fontId="2"/>
  </si>
  <si>
    <t>初回登録の後に毎回通る処理。属性の取り込みや必須項目の確認を行う</t>
    <phoneticPr fontId="2"/>
  </si>
  <si>
    <t>機能仕様書 1 本。毎回上書きする項目と保護する項目の区別が定義されレビュー承認済み</t>
    <phoneticPr fontId="2"/>
  </si>
  <si>
    <t>基盤内部で 2 段構えになっている認証システム同士の連携。利用者から見えない内部のログイン委譲</t>
    <phoneticPr fontId="2"/>
  </si>
  <si>
    <t>機能仕様書 1 本。内部連携で渡す情報と、片方が停止した場合の見え方が定義されレビュー承認済み</t>
    <phoneticPr fontId="2"/>
  </si>
  <si>
    <t>スマートフォンアプリで生成する 6 桁の数字による追加認証</t>
    <phoneticPr fontId="2"/>
  </si>
  <si>
    <t>機能仕様書 1 本。桁ずれの許容範囲と、連続失敗時の扱いが定義されレビュー承認済み</t>
    <phoneticPr fontId="2"/>
  </si>
  <si>
    <t>端末の生体認証やセキュリティキーを使った追加認証。本基盤の推奨方式</t>
    <phoneticPr fontId="2"/>
  </si>
  <si>
    <t>機能仕様書 1 本。利用できる認証器の条件と、登録済み端末が使えない場合の代替経路が定義されレビュー承認済み</t>
    <phoneticPr fontId="2"/>
  </si>
  <si>
    <t>スマートフォンアプリの追加認証を初めて登録する画面の流れ</t>
    <phoneticPr fontId="2"/>
  </si>
  <si>
    <t>機能仕様書 1 本。QR と手入力の両方を用意し、登録完了を確認してから有効化する手順が定義されレビュー承認済み</t>
    <phoneticPr fontId="2"/>
  </si>
  <si>
    <t>生体認証やセキュリティキーを初めて登録する画面の流れ</t>
    <phoneticPr fontId="2"/>
  </si>
  <si>
    <t>機能仕様書 1 本。登録時に確認する条件と、登録失敗時の案内が定義されレビュー承認済み</t>
    <phoneticPr fontId="2"/>
  </si>
  <si>
    <t>2 台目以降の認証器を登録するときに、追加認証をもう一度求める仕組み。乗っ取られた状態で勝手に端末を増やされるのを防ぐ</t>
    <phoneticPr fontId="2"/>
  </si>
  <si>
    <t>機能仕様書 1 本。追加認証を必須とする操作の一覧が定義されレビュー承認済み</t>
    <phoneticPr fontId="2"/>
  </si>
  <si>
    <t>端末を失くしたときに使う一度きりのコードを発行し、利用させる機能</t>
    <phoneticPr fontId="2"/>
  </si>
  <si>
    <t>機能仕様書 1 本。発行枚数・再発行条件・使用後の無効化が定義されレビュー承認済み</t>
    <phoneticPr fontId="2"/>
  </si>
  <si>
    <t>メールアドレスを持たない利用者が端末を失くした場合の復旧手段。管理者の承認を経て復旧する</t>
    <phoneticPr fontId="2"/>
  </si>
  <si>
    <t>機能仕様書 1 本。メールに依存しない復旧経路と、承認者の条件が定義されレビュー承認済み</t>
    <phoneticPr fontId="2"/>
  </si>
  <si>
    <t>重要な操作をするときだけ、その場で追加の認証を求める仕組み</t>
    <phoneticPr fontId="2"/>
  </si>
  <si>
    <t>機能仕様書 1 本。追加認証を求める操作の一覧と、断られた場合の扱いが定義されレビュー承認済み</t>
    <phoneticPr fontId="2"/>
  </si>
  <si>
    <t>利用者が自分でパスワードを再設定する機能</t>
    <phoneticPr fontId="2"/>
  </si>
  <si>
    <t>機能仕様書 1 本。本人確認の方法と、メールを持たない利用者の扱いが定義されレビュー承認済み</t>
    <phoneticPr fontId="2"/>
  </si>
  <si>
    <t>パスワードの変更と、初回ログイン時に変更を強制する動き</t>
    <phoneticPr fontId="2"/>
  </si>
  <si>
    <t>機能仕様書 1 本。強制する条件と、変更するまで他の操作をさせない範囲が定義されレビュー承認済み</t>
    <phoneticPr fontId="2"/>
  </si>
  <si>
    <t>パスワードの連続失敗を検知して一時的に受け付けなくする機能</t>
    <phoneticPr fontId="2"/>
  </si>
  <si>
    <t>機能仕様書 1 本。失敗回数・待ち時間・解除条件が定義されレビュー承認済み</t>
    <phoneticPr fontId="2"/>
  </si>
  <si>
    <t>「その ID は存在しない」と分かってしまう応答の違いをなくし、利用者一覧を推測されないようにする対策</t>
    <phoneticPr fontId="2"/>
  </si>
  <si>
    <t>機能仕様書 1 本。存在有無で応答・時間差が変わらないことの確認方法が定義されレビュー承認済み</t>
    <phoneticPr fontId="2"/>
  </si>
  <si>
    <t>過去に流出したパスワードが使われていないか外部サービスに照会する機能</t>
    <phoneticPr fontId="2"/>
  </si>
  <si>
    <t>機能仕様書 1 本。照会のタイミングと、一致した場合の利用者への扱いが定義されレビュー承認済み</t>
    <phoneticPr fontId="2"/>
  </si>
  <si>
    <t>顧客の認証システム経由で初めてログインした人を、その場で利用者として登録する機能</t>
    <phoneticPr fontId="2"/>
  </si>
  <si>
    <t>機能仕様書 1 本。登録時に設定する項目と、登録しない条件が定義されレビュー承認済み</t>
    <phoneticPr fontId="2"/>
  </si>
  <si>
    <t>2 回目以降のログイン時に、顧客側の最新情報で属性を更新する機能</t>
    <phoneticPr fontId="2"/>
  </si>
  <si>
    <t>機能仕様書 1 本。上書きする項目と、基盤側で保護して上書きさせない項目の区別が定義されレビュー承認済み</t>
    <phoneticPr fontId="2"/>
  </si>
  <si>
    <t>顧客の人事システムなどから利用者の新規登録を受け取る機能</t>
    <phoneticPr fontId="2"/>
  </si>
  <si>
    <t>機能仕様書 1 本。受け取る項目・必須条件と、重複時の扱いが定義されレビュー承認済み</t>
    <phoneticPr fontId="2"/>
  </si>
  <si>
    <t>顧客側からの利用者情報の変更を受け取って反映する機能</t>
    <phoneticPr fontId="2"/>
  </si>
  <si>
    <t>機能仕様書 1 本。反映対象の項目と、反映しない項目が定義されレビュー承認済み</t>
    <phoneticPr fontId="2"/>
  </si>
  <si>
    <t>顧客側からの削除通知を受け取り、基盤側では消さずに使えない状態にする機能</t>
    <phoneticPr fontId="2"/>
  </si>
  <si>
    <t>機能仕様書 1 本。削除通知を無効化に読み替える規則と、記録に残す項目が定義されレビュー承認済み</t>
    <phoneticPr fontId="2"/>
  </si>
  <si>
    <t>顧客側から利用者を検索・絞り込みで問い合わせられるようにする機能</t>
    <phoneticPr fontId="2"/>
  </si>
  <si>
    <t>機能仕様書 1 本。検索できる項目と、他テナントの情報が出ないことの担保が定義されレビュー承認済み</t>
    <phoneticPr fontId="2"/>
  </si>
  <si>
    <t>顧客側のグループ情報を受け取る機能。初期リリースでは対象外</t>
    <phoneticPr fontId="2"/>
  </si>
  <si>
    <t>機能仕様書 1 本（対象外の宣言を含む）。将来対応する場合の前提と、当面受け取らない旨が明記されレビュー承認済み</t>
    <phoneticPr fontId="2"/>
  </si>
  <si>
    <t>顧客ごとにバラバラな項目名を、基盤内の共通の呼び方に変換して取り込む仕組み</t>
    <phoneticPr fontId="2"/>
  </si>
  <si>
    <t>機能仕様書 1 本。変換の対応表をどこで管理するかと、対応がない項目の扱いが定義されレビュー承認済み</t>
    <phoneticPr fontId="2"/>
  </si>
  <si>
    <t>その利用者がどの経路で登録されたかを区別し、後の自動処理の対象を判断できるようにする仕組み</t>
    <phoneticPr fontId="2"/>
  </si>
  <si>
    <t>機能仕様書 1 本。区分の一覧と、経路が重なった場合にどれを優先するかが定義されレビュー承認済み</t>
    <phoneticPr fontId="2"/>
  </si>
  <si>
    <t>利用者を削除せず使えない状態にし、いつ止めたかを記録する機能</t>
    <phoneticPr fontId="2"/>
  </si>
  <si>
    <t>機能仕様書 1 本。止める操作の入口と、記録する日時項目が定義されレビュー承認済み</t>
    <phoneticPr fontId="2"/>
  </si>
  <si>
    <t>一度止めた利用者を再び使えるようにする機能。誤って復活させない条件を含む</t>
    <phoneticPr fontId="2"/>
  </si>
  <si>
    <t>機能仕様書 1 本。復活させてよい条件・させてはいけない条件が定義されレビュー承認済み</t>
    <phoneticPr fontId="2"/>
  </si>
  <si>
    <t>片方のシステムで利用者を止めたとき、その事実をもう一方にも必ず伝えて確実に遮断する仕組み</t>
    <phoneticPr fontId="2"/>
  </si>
  <si>
    <t>機能仕様書 1 本。伝わらなかった場合の再送と、遅れた場合の最大の待ち時間が定義されレビュー承認済み</t>
    <phoneticPr fontId="2"/>
  </si>
  <si>
    <t>再び使えるようにした場合も、止めたときと同じ経路でもう一方に伝える仕組み</t>
    <phoneticPr fontId="2"/>
  </si>
  <si>
    <t>機能仕様書 1 本。止める側と戻す側で扱いが対称であることが定義されレビュー承認済み</t>
    <phoneticPr fontId="2"/>
  </si>
  <si>
    <t>初めてログインした人の識別子を、権限を管理する側へ知らせる仕組み</t>
    <phoneticPr fontId="2"/>
  </si>
  <si>
    <t>機能仕様書 1 本。通知する内容と、二重に届いた場合の扱いが定義されレビュー承認済み</t>
    <phoneticPr fontId="2"/>
  </si>
  <si>
    <t>権限管理側で、まだ権限が設定されていない利用者の受け皿となる行を作る機能</t>
    <phoneticPr fontId="2"/>
  </si>
  <si>
    <t>機能仕様書 1 本。作成する条件と、テナントをまたいで混ざらない担保が定義されレビュー承認済み</t>
    <phoneticPr fontId="2"/>
  </si>
  <si>
    <t>顧客側の利用者番号と基盤側の識別子を対応づけて管理する機能</t>
    <phoneticPr fontId="2"/>
  </si>
  <si>
    <t>機能仕様書 1 本。対応づけの登録・更新の経路と、番号が変わった場合の扱いが定義されレビュー承認済み</t>
    <phoneticPr fontId="2"/>
  </si>
  <si>
    <t>アプリが 1 回の問い合わせで必要な情報を得られるよう、複数の情報源をまとめた参照用データを最新に保つ仕組み</t>
    <phoneticPr fontId="2"/>
  </si>
  <si>
    <t>機能仕様書 1 本。更新の入力元と、同じ更新が二重に来た場合の扱いが定義されレビュー承認済み</t>
    <phoneticPr fontId="2"/>
  </si>
  <si>
    <t>管理者が自分のテナントの利用者を検索・一覧表示する機能</t>
    <phoneticPr fontId="2"/>
  </si>
  <si>
    <t>機能仕様書 1 本。検索条件・並び順・件数の上限と、他テナントが出ないことの担保が定義されレビュー承認済み</t>
    <phoneticPr fontId="2"/>
  </si>
  <si>
    <t>利用者 1 人の詳細情報を表示する機能</t>
    <phoneticPr fontId="2"/>
  </si>
  <si>
    <t>機能仕様書 1 本。表示する項目と、権限によって見せない項目が定義されレビュー承認済み</t>
    <phoneticPr fontId="2"/>
  </si>
  <si>
    <t>管理者が利用者を新規に登録する機能</t>
    <phoneticPr fontId="2"/>
  </si>
  <si>
    <t>機能仕様書 1 本。入力必須項目と、登録できない条件が定義されレビュー承認済み</t>
    <phoneticPr fontId="2"/>
  </si>
  <si>
    <t>管理者が利用者の情報を変更する機能</t>
    <phoneticPr fontId="2"/>
  </si>
  <si>
    <t>機能仕様書 1 本。変更できる項目と、顧客側から同期される項目の扱いの違いが定義されレビュー承認済み</t>
    <phoneticPr fontId="2"/>
  </si>
  <si>
    <t>管理者が利用者を一時的に使えなくする／戻す機能</t>
    <phoneticPr fontId="2"/>
  </si>
  <si>
    <t>機能仕様書 1 本。操作の即時性と、利用中のログイン状態への影響が定義されレビュー承認済み</t>
    <phoneticPr fontId="2"/>
  </si>
  <si>
    <t>管理者が利用者を削除する機能。実際には消さずに使えない状態にする</t>
    <phoneticPr fontId="2"/>
  </si>
  <si>
    <t>機能仕様書 1 本。削除操作の入口と、取り消せない旨の確認方法が定義されレビュー承認済み</t>
    <phoneticPr fontId="2"/>
  </si>
  <si>
    <t>管理者が利用者のパスワードを初期化する機能</t>
    <phoneticPr fontId="2"/>
  </si>
  <si>
    <t>機能仕様書 1 本。初期化後の受け渡し方法と、次回ログイン時の強制変更が定義されレビュー承認済み</t>
    <phoneticPr fontId="2"/>
  </si>
  <si>
    <t>新しい利用者に招待を送り、本人に初期設定させる機能</t>
    <phoneticPr fontId="2"/>
  </si>
  <si>
    <t>機能仕様書 1 本。招待の有効期限・再送・失効の扱いが定義されレビュー承認済み</t>
    <phoneticPr fontId="2"/>
  </si>
  <si>
    <t>管理者が利用者の追加認証の登録を解除する機能。端末紛失時の復旧に使う</t>
    <phoneticPr fontId="2"/>
  </si>
  <si>
    <t>機能仕様書 1 本。解除できる条件と、承認・記録の要否が定義されレビュー承認済み</t>
    <phoneticPr fontId="2"/>
  </si>
  <si>
    <t>管理者が利用者のログイン状態を強制的に終了させる機能。個別・テナント単位・全体の 3 段階</t>
    <phoneticPr fontId="2"/>
  </si>
  <si>
    <t>機能仕様書 1 本。3 つの範囲それぞれの適用条件と、影響範囲が定義されレビュー承認済み</t>
    <phoneticPr fontId="2"/>
  </si>
  <si>
    <t>どの利用者にどのアプリを使わせるかを設定する機能</t>
    <phoneticPr fontId="2"/>
  </si>
  <si>
    <t>機能仕様書 1 本。設定の単位と、設定変更がアプリ側に反映されるまでの考え方が定義されレビュー承認済み</t>
    <phoneticPr fontId="2"/>
  </si>
  <si>
    <t>アプリごとの役割（ロール）を利用者に割り当てる機能</t>
    <phoneticPr fontId="2"/>
  </si>
  <si>
    <t>機能仕様書 1 本。役割の値をアプリ側が自由に決められる範囲が定義されレビュー承認済み</t>
    <phoneticPr fontId="2"/>
  </si>
  <si>
    <t>利用者が所属する組織の情報を編集する機能</t>
    <phoneticPr fontId="2"/>
  </si>
  <si>
    <t>機能仕様書 1 本。編集できる属性と、アプリ側へ渡る範囲が定義されレビュー承認済み</t>
    <phoneticPr fontId="2"/>
  </si>
  <si>
    <t>新しい顧客テナントを作成する機能</t>
    <phoneticPr fontId="2"/>
  </si>
  <si>
    <t>機能仕様書 1 本。作成時に必要な情報と、初期状態の設定が定義されレビュー承認済み</t>
    <phoneticPr fontId="2"/>
  </si>
  <si>
    <t>テナントごとの設定（ログイン方式の切り替えなど）を編集する機能</t>
    <phoneticPr fontId="2"/>
  </si>
  <si>
    <t>機能仕様書 1 本。設定できる項目と、変更が利用者に及ぼす影響が定義されレビュー承認済み</t>
    <phoneticPr fontId="2"/>
  </si>
  <si>
    <t>顧客の認証システムを基盤に接続する登録作業を行う機能</t>
    <phoneticPr fontId="2"/>
  </si>
  <si>
    <t>機能仕様書 1 本。登録に必要な情報と、接続確認が取れるまでの手順が定義されレビュー承認済み</t>
    <phoneticPr fontId="2"/>
  </si>
  <si>
    <t>接続済みの認証システムの設定変更と、期限が来る証明書の入れ替えを行う機能</t>
    <phoneticPr fontId="2"/>
  </si>
  <si>
    <t>機能仕様書 1 本。無停止で入れ替える手順と、期限切れ前の通知が定義されレビュー承認済み</t>
    <phoneticPr fontId="2"/>
  </si>
  <si>
    <t>管理操作やログインの記録を、管理者が検索・閲覧する機能</t>
    <phoneticPr fontId="2"/>
  </si>
  <si>
    <t>機能仕様書 1 本。閲覧できる範囲・期間と、他テナントが見えないことの担保が定義されレビュー承認済み</t>
    <phoneticPr fontId="2"/>
  </si>
  <si>
    <t>権限が今も妥当かを定期的に見直させる機能</t>
    <phoneticPr fontId="2"/>
  </si>
  <si>
    <t>機能仕様書 1 本。見直しの周期・対象・未対応時の扱いが定義されレビュー承認済み</t>
    <phoneticPr fontId="2"/>
  </si>
  <si>
    <t>利用者をまとめて登録するためのファイル取り込み機能</t>
    <phoneticPr fontId="2"/>
  </si>
  <si>
    <t>機能仕様書 1 本。ファイル形式・件数上限・一部が失敗した場合の扱いが定義されレビュー承認済み</t>
    <phoneticPr fontId="2"/>
  </si>
  <si>
    <t>利用者一覧や操作記録をファイルとして出力する機能</t>
    <phoneticPr fontId="2"/>
  </si>
  <si>
    <t>機能仕様書 1 本。出力できる項目・件数上限と、個人情報の取り扱い注意が定義されレビュー承認済み</t>
    <phoneticPr fontId="2"/>
  </si>
  <si>
    <t>人ではないシステム用のアカウントを台帳で管理する機能</t>
    <phoneticPr fontId="2"/>
  </si>
  <si>
    <t>機能仕様書 1 本。登録必須項目（管理責任者など）と、使われていないものの検出方針が定義されレビュー承認済み</t>
    <phoneticPr fontId="2"/>
  </si>
  <si>
    <t>アプリが「この利用者は何ができるか」を 1 回の問い合わせで取得できるようにする機能</t>
    <phoneticPr fontId="2"/>
  </si>
  <si>
    <t>機能仕様書 1 本。返す情報の構成と、アプリ側で結果を保持してよい時間の考え方が定義されレビュー承認済み</t>
    <phoneticPr fontId="2"/>
  </si>
  <si>
    <t>ログイン後の入口画面に表示する「使えるアプリの一覧」を返す機能</t>
    <phoneticPr fontId="2"/>
  </si>
  <si>
    <t>機能仕様書 1 本。一覧に出す条件と、権限がないアプリを出さない扱いが定義されレビュー承認済み</t>
    <phoneticPr fontId="2"/>
  </si>
  <si>
    <t>利用者がそのアプリを使ってよいかを判定する処理</t>
    <phoneticPr fontId="2"/>
  </si>
  <si>
    <t>機能仕様書 1 本。判定の入力と結果の種類、判定できない場合の扱いが定義されレビュー承認済み</t>
    <phoneticPr fontId="2"/>
  </si>
  <si>
    <t>アプリごとの役割の値を解決して返す処理</t>
    <phoneticPr fontId="2"/>
  </si>
  <si>
    <t>機能仕様書 1 本。値の受け渡し方式と、アプリ側の解釈に委ねる範囲が定義されレビュー承認済み</t>
    <phoneticPr fontId="2"/>
  </si>
  <si>
    <t>利用者が自分のテナント以外のデータに触れないよう強制する仕組み</t>
    <phoneticPr fontId="2"/>
  </si>
  <si>
    <t>機能仕様書 1 本。要求内容よりログイン情報を優先する原則と、違反時の応答が定義されレビュー承認済み</t>
    <phoneticPr fontId="2"/>
  </si>
  <si>
    <t>管理画面の操作について、テナント・役割・対象の 3 つの観点で権限を確認する仕組み</t>
    <phoneticPr fontId="2"/>
  </si>
  <si>
    <t>機能仕様書 1 本。3 段階それぞれの確認内容と、いずれか失敗時の応答が定義されレビュー承認済み</t>
    <phoneticPr fontId="2"/>
  </si>
  <si>
    <t>アプリやバッチがシステムとして API を呼ぶための通行証を発行する機能</t>
    <phoneticPr fontId="2"/>
  </si>
  <si>
    <t>機能仕様書 1 本。発行できる権限の種類と、最小限に絞る原則が定義されレビュー承認済み</t>
    <phoneticPr fontId="2"/>
  </si>
  <si>
    <t>あるアプリ向けの通行証を、別のアプリ向けに交換する機能</t>
    <phoneticPr fontId="2"/>
  </si>
  <si>
    <t>機能仕様書 1 本。交換を許す組み合わせと、権限を広げない原則が定義されレビュー承認済み</t>
    <phoneticPr fontId="2"/>
  </si>
  <si>
    <t>誰が何を許可・拒否されたかを記録する機能</t>
    <phoneticPr fontId="2"/>
  </si>
  <si>
    <t>機能仕様書 1 本。記録する項目と、量を抑えるための記録対象の絞り方が定義されレビュー承認済み</t>
    <phoneticPr fontId="2"/>
  </si>
  <si>
    <t>業務システムに対して、本基盤が認証の提供元として振る舞う連携機能</t>
    <phoneticPr fontId="2"/>
  </si>
  <si>
    <t>機能仕様書 1 本。連携で渡す識別子と、受け側の設定要件が定義されレビュー承認済み</t>
    <phoneticPr fontId="2"/>
  </si>
  <si>
    <t>業務システム側で、初回ログイン時に利用者を自動作成させる連携</t>
    <phoneticPr fontId="2"/>
  </si>
  <si>
    <t>機能仕様書 1 本。突合に使う項目と、既存利用者と重なった場合の扱いが定義されレビュー承認済み</t>
    <phoneticPr fontId="2"/>
  </si>
  <si>
    <t>業務システムにログインした状態から、他のアプリの API を呼べるようにする連携</t>
    <phoneticPr fontId="2"/>
  </si>
  <si>
    <t>機能仕様書 1 本。通行証の受け渡し経路と、対象アプリの条件が定義されレビュー承認済み</t>
    <phoneticPr fontId="2"/>
  </si>
  <si>
    <t>利用者の変更をアプリ側へ通知する仕組み。届かなかった場合の再送を含む</t>
    <phoneticPr fontId="2"/>
  </si>
  <si>
    <t>機能仕様書 1 本。通知の種類・再送回数・受信側の実装要件が定義されレビュー承認済み</t>
    <phoneticPr fontId="2"/>
  </si>
  <si>
    <t>利用者を止めた事実を、アカウントをまたいで別システムへ伝える連携</t>
    <phoneticPr fontId="2"/>
  </si>
  <si>
    <t>機能仕様書 1 本。伝える内容と、二重に届いた場合の扱いが定義されレビュー承認済み</t>
    <phoneticPr fontId="2"/>
  </si>
  <si>
    <t>初回ログインした人の識別子を、アカウントをまたいで権限管理側へ伝える連携</t>
    <phoneticPr fontId="2"/>
  </si>
  <si>
    <t>機能仕様書 1 本。伝える内容と、順序が入れ替わった場合の扱いが定義されレビュー承認済み</t>
    <phoneticPr fontId="2"/>
  </si>
  <si>
    <t>招待・パスワード再設定・注意喚起などのメールを送る機能</t>
    <phoneticPr fontId="2"/>
  </si>
  <si>
    <t>機能仕様書 1 本。送信する種類と、届かなかった場合の扱いが定義されレビュー承認済み</t>
    <phoneticPr fontId="2"/>
  </si>
  <si>
    <t>不正なログインの兆候を検知して通知する機能</t>
    <phoneticPr fontId="2"/>
  </si>
  <si>
    <t>機能仕様書 1 本。検知する事象の種類と、検知後に何をするかが定義されレビュー承認済み</t>
    <phoneticPr fontId="2"/>
  </si>
  <si>
    <t>本物の利用者を模した定期的なログイン試行で、障害を利用者より先に見つける機能</t>
    <phoneticPr fontId="2"/>
  </si>
  <si>
    <t>機能仕様書 1 本。試行の頻度・対象と、失敗時の通知先が定義されレビュー承認済み</t>
    <phoneticPr fontId="2"/>
  </si>
  <si>
    <t>アプリ側の設置状況を基盤側から定期的に見に行き、設定漏れを見つける機能</t>
    <phoneticPr fontId="2"/>
  </si>
  <si>
    <t>機能仕様書 1 本。巡回の対象と、差分が見つかった場合の扱いが定義されレビュー承認済み</t>
    <phoneticPr fontId="2"/>
  </si>
  <si>
    <t>顧客の認証システムの接続情報を定期的に取り直し、証明書の入れ替えに自動追随する機能</t>
    <phoneticPr fontId="2"/>
  </si>
  <si>
    <t>機能仕様書 1 本。取得の頻度と、取得できなかった場合の代替手順が定義されレビュー承認済み</t>
    <phoneticPr fontId="2"/>
  </si>
  <si>
    <t>利用者の状態変化をアプリ側へ即時に伝える新方式。初期リリースでは対象外</t>
    <phoneticPr fontId="2"/>
  </si>
  <si>
    <t>機能仕様書 1 本（対象外の宣言を含む）。将来導入する場合の前提と、当面は代替手段で運用する旨が明記されレビュー承認済み</t>
    <phoneticPr fontId="2"/>
  </si>
  <si>
    <t>長期間ログインのない利用者を自動で使えない状態にする定期処理</t>
    <phoneticPr fontId="2"/>
  </si>
  <si>
    <t>機能仕様書 1 本。対象とする利用者の条件・除外条件と、実行頻度が定義されレビュー承認済み</t>
    <phoneticPr fontId="2"/>
  </si>
  <si>
    <t>止めた事実が確実に伝わったかを短い間隔で突き合わせ、漏れを直す処理</t>
    <phoneticPr fontId="2"/>
  </si>
  <si>
    <t>機能仕様書 1 本。突き合わせの間隔と、ずれを見つけた場合の直し方が定義されレビュー承認済み</t>
    <phoneticPr fontId="2"/>
  </si>
  <si>
    <t>システム間の情報のずれを 1 日 1 回突き合わせる処理</t>
    <phoneticPr fontId="2"/>
  </si>
  <si>
    <t>機能仕様書 1 本。突き合わせる対象と、差分の報告先が定義されレビュー承認済み</t>
    <phoneticPr fontId="2"/>
  </si>
  <si>
    <t>通行証の署名に使う鍵を定期的に入れ替える処理。切り替え中も止めないための並走期間を含む</t>
    <phoneticPr fontId="2"/>
  </si>
  <si>
    <t>機能仕様書 1 本。入れ替え周期・並走期間と、失敗時の手動手順が定義されレビュー承認済み</t>
    <phoneticPr fontId="2"/>
  </si>
  <si>
    <t>アプリごとの接続用パスワードを定期的に入れ替える処理</t>
    <phoneticPr fontId="2"/>
  </si>
  <si>
    <t>機能仕様書 1 本。入れ替え周期と、切り替え中に接続が切れないための扱いが定義されレビュー承認済み</t>
    <phoneticPr fontId="2"/>
  </si>
  <si>
    <t>使われなくなったシステム用アカウントを検出して通知する処理</t>
    <phoneticPr fontId="2"/>
  </si>
  <si>
    <t>機能仕様書 1 本。未使用と判断する条件と、通知先・対応期限が定義されレビュー承認済み</t>
    <phoneticPr fontId="2"/>
  </si>
  <si>
    <t>証明書の期限切れが近いものを検出して通知する処理</t>
    <phoneticPr fontId="2"/>
  </si>
  <si>
    <t>機能仕様書 1 本。通知するタイミングと、通知先が定義されレビュー承認済み</t>
    <phoneticPr fontId="2"/>
  </si>
  <si>
    <t>権限の見直し依頼を定期的に開始する処理</t>
    <phoneticPr fontId="2"/>
  </si>
  <si>
    <t>機能仕様書 1 本。開始の周期・対象範囲と、未対応時の扱いが定義されレビュー承認済み</t>
    <phoneticPr fontId="2"/>
  </si>
  <si>
    <t>保存期限を過ぎたデータを実際に消去する処理。初期リリースでは準備のみ</t>
    <phoneticPr fontId="2"/>
  </si>
  <si>
    <t>機能仕様書 1 本（準備範囲の宣言を含む）。起算日の考え方と、初期リリースでは実行しない旨が明記されレビュー承認済み</t>
    <phoneticPr fontId="2"/>
  </si>
  <si>
    <t>設計書全体の入口となる章。目的・扱う範囲・読み方をまとめる</t>
    <phoneticPr fontId="2"/>
  </si>
  <si>
    <t>総則の章。範囲外の事項も明示されている</t>
    <phoneticPr fontId="2"/>
  </si>
  <si>
    <t>設計の土台となる前提条件を一覧にし、変わった場合にどこへ影響するかを示す</t>
    <phoneticPr fontId="2"/>
  </si>
  <si>
    <t>前提一覧。各前提に影響範囲が紐づいている</t>
    <phoneticPr fontId="2"/>
  </si>
  <si>
    <t>設計書で使う言葉の意味を統一する</t>
    <phoneticPr fontId="2"/>
  </si>
  <si>
    <t>用語集。本文で使う用語が漏れなく定義されている</t>
    <phoneticPr fontId="2"/>
  </si>
  <si>
    <t>システム全体の構成を、機能のまとまりで表した図</t>
    <phoneticPr fontId="2"/>
  </si>
  <si>
    <t>論理構成図。主要な構成要素と関係が 1 枚で分かる</t>
    <phoneticPr fontId="2"/>
  </si>
  <si>
    <t>システム全体の構成を、実際の設備配置で表した図</t>
    <phoneticPr fontId="2"/>
  </si>
  <si>
    <t>物理構成図。設備の配置と接続経路が示されている</t>
    <phoneticPr fontId="2"/>
  </si>
  <si>
    <t>異常が起きたときの扱い方を全体で統一する方式</t>
    <phoneticPr fontId="2"/>
  </si>
  <si>
    <t>方式設計。異常の分類と、それぞれの扱いが定まっている</t>
    <phoneticPr fontId="2"/>
  </si>
  <si>
    <t>記録の出し方を全体で統一する方式</t>
    <phoneticPr fontId="2"/>
  </si>
  <si>
    <t>方式設計。出力の粒度・形式・保存期間が定まっている</t>
    <phoneticPr fontId="2"/>
  </si>
  <si>
    <t>複数の処理をまとめて確定させる／取り消す仕組みの方針</t>
    <phoneticPr fontId="2"/>
  </si>
  <si>
    <t>方式設計。まとめる単位と、失敗時の戻し方が定まっている</t>
    <phoneticPr fontId="2"/>
  </si>
  <si>
    <t>同じデータを同時に触ったときの競合の防ぎ方</t>
    <phoneticPr fontId="2"/>
  </si>
  <si>
    <t>方式設計。競合の検出方法と、後勝ち／先勝ちの決めが定まっている</t>
    <phoneticPr fontId="2"/>
  </si>
  <si>
    <t>ログイン状態をどう保持するかの全体方針</t>
    <phoneticPr fontId="2"/>
  </si>
  <si>
    <t>方式設計。保持する場所と有効期間の考え方が定まっている</t>
    <phoneticPr fontId="2"/>
  </si>
  <si>
    <t>文字の扱い・日時の扱い・時差の扱いを統一する方針</t>
    <phoneticPr fontId="2"/>
  </si>
  <si>
    <t>方式設計。保存時と表示時の扱いが定まっている</t>
    <phoneticPr fontId="2"/>
  </si>
  <si>
    <t>画面や通知を複数の言語で出せるようにするための作り方の方針。初期リリースでどこまで対応するかを含む</t>
    <phoneticPr fontId="2"/>
  </si>
  <si>
    <t>方式設計。初期リリースの対応言語と、将来増やす際の作りが定まっている</t>
    <phoneticPr fontId="2"/>
  </si>
  <si>
    <t>よく使うデータを一時的に手元に置く仕組みの方針</t>
    <phoneticPr fontId="2"/>
  </si>
  <si>
    <t>方式設計。置く対象・保持時間・古くなった際の捨て方が定まっている</t>
    <phoneticPr fontId="2"/>
  </si>
  <si>
    <t>各種の識別番号を誰がどう採番するかの方針</t>
    <phoneticPr fontId="2"/>
  </si>
  <si>
    <t>方式設計。重複しない仕組みと、採番の責任者が定まっている</t>
    <phoneticPr fontId="2"/>
  </si>
  <si>
    <t>接続仕様を変えるときの版の付け方と、古い版をいつまで残すかの方針</t>
    <phoneticPr fontId="2"/>
  </si>
  <si>
    <t>方式設計。事前通知期間と移行猶予が定まっている</t>
    <phoneticPr fontId="2"/>
  </si>
  <si>
    <t>設備・接続先・データの名前の付け方の決まり</t>
    <phoneticPr fontId="2"/>
  </si>
  <si>
    <t>命名規約。名前から用途と所属が分かる形になっている</t>
    <phoneticPr fontId="2"/>
  </si>
  <si>
    <t>設備を設定ファイルで管理する際の書き方の決まり</t>
    <phoneticPr fontId="2"/>
  </si>
  <si>
    <t>規約。書き方の統一と、レビュー観点が定まっている</t>
    <phoneticPr fontId="2"/>
  </si>
  <si>
    <t>接続仕様（API）を設計するときに全体で守る決まり。名前の付け方・エラーの返し方・件数の区切り方など</t>
    <phoneticPr fontId="2"/>
  </si>
  <si>
    <t>規約。作り方の統一と、守るべき最低条件が定まっている</t>
    <phoneticPr fontId="2"/>
  </si>
  <si>
    <t>画面を設計するときに全体で守る決まり。共通部品の使い方・入力チェックの書き方・権限による出し分けの表現など</t>
    <phoneticPr fontId="2"/>
  </si>
  <si>
    <t>規約。共通部品の使い方と守るべき条件が定まっている</t>
    <phoneticPr fontId="2"/>
  </si>
  <si>
    <t>性能や可用性などの目標値が、設計のどこで実現されるかを対応づけた表</t>
    <phoneticPr fontId="2"/>
  </si>
  <si>
    <t>対応表。すべての目標値に実現手段が紐づいている</t>
    <phoneticPr fontId="2"/>
  </si>
  <si>
    <t>性能の目標値と、それを達成するための考え方をまとめた設計書</t>
    <phoneticPr fontId="2"/>
  </si>
  <si>
    <t>性能設計書。目標値・処理方式・調整の余地が示されている</t>
    <phoneticPr fontId="2"/>
  </si>
  <si>
    <t>保管するデータがどれくらいの量になり、5 年後どこまで増えるかの見積もり</t>
    <phoneticPr fontId="2"/>
  </si>
  <si>
    <t>見積書。表ごとの件数と増加率、必要な容量が数値で示されている</t>
    <phoneticPr fontId="2"/>
  </si>
  <si>
    <t>対応するブラウザや端末の範囲を決める</t>
    <phoneticPr fontId="2"/>
  </si>
  <si>
    <t>方針書。対応範囲と、対象外の環境での挙動が定まっている</t>
    <phoneticPr fontId="2"/>
  </si>
  <si>
    <t>要件・機能・設計・試験の対応関係を一覧にした表</t>
    <phoneticPr fontId="2"/>
  </si>
  <si>
    <t>対応表。要件から試験まで追跡でき、抜けが検出できる</t>
    <phoneticPr fontId="2"/>
  </si>
  <si>
    <t>上記の対応表を、変更が入っても維持し続けるための運用ルール</t>
    <phoneticPr fontId="2"/>
  </si>
  <si>
    <t>運用ルール。更新の責任者とタイミングが定まっている</t>
    <phoneticPr fontId="2"/>
  </si>
  <si>
    <t>暗号化に使う鍵を、種類ごとにどう管理するかの設計</t>
    <phoneticPr fontId="2"/>
  </si>
  <si>
    <t>鍵管理設計書。鍵の種類・保管場所・入れ替え周期が定まっている</t>
    <phoneticPr fontId="2"/>
  </si>
  <si>
    <t>人ではないシステム用アカウントを台帳で管理する設計</t>
    <phoneticPr fontId="2"/>
  </si>
  <si>
    <t>台帳設計。登録必須項目と、放置されたものの検出方法が定まっている</t>
    <phoneticPr fontId="2"/>
  </si>
  <si>
    <t>システム全体でどんな画面があるかを一覧にし、番号を付ける</t>
    <phoneticPr fontId="2"/>
  </si>
  <si>
    <t>画面一覧。約 32 画面に番号が付き、重複や抜けがない</t>
    <phoneticPr fontId="2"/>
  </si>
  <si>
    <t>利用者が使う画面の遷移関係を図にする</t>
    <phoneticPr fontId="2"/>
  </si>
  <si>
    <t>遷移図。ログインから各機能までの経路が追える</t>
    <phoneticPr fontId="2"/>
  </si>
  <si>
    <t>管理者が使う画面の遷移関係を図にする</t>
    <phoneticPr fontId="2"/>
  </si>
  <si>
    <t>遷移図。管理操作の経路が追える</t>
    <phoneticPr fontId="2"/>
  </si>
  <si>
    <t>利用者が使う 12 画面それぞれの項目・入力チェック・動作を決める</t>
    <phoneticPr fontId="2"/>
  </si>
  <si>
    <t>画面仕様書 12 本。画面一覧と 1 対 1 で対応している</t>
    <phoneticPr fontId="2"/>
  </si>
  <si>
    <t>管理者が使う 20 画面それぞれの項目・入力チェック・権限による表示差を決める</t>
    <phoneticPr fontId="2"/>
  </si>
  <si>
    <t>画面仕様書 20 本。権限別の表示差が明記されている</t>
    <phoneticPr fontId="2"/>
  </si>
  <si>
    <t>全画面で共通に使うレイアウトと部品を決める</t>
    <phoneticPr fontId="2"/>
  </si>
  <si>
    <t>共通設計。部品の一覧と使い方が定まっている</t>
    <phoneticPr fontId="2"/>
  </si>
  <si>
    <t>身体的な制約がある人でも使えるようにするための設計基準</t>
    <phoneticPr fontId="2"/>
  </si>
  <si>
    <t>設計基準。守るべき項目と確認方法が定まっている</t>
    <phoneticPr fontId="2"/>
  </si>
  <si>
    <t>画面に表示する案内文・警告文を一覧にする</t>
    <phoneticPr fontId="2"/>
  </si>
  <si>
    <t>メッセージ一覧。文言が統一され、画面仕様から参照できる</t>
    <phoneticPr fontId="2"/>
  </si>
  <si>
    <t>接続仕様が返すエラーの種類と番号の体系を決める</t>
    <phoneticPr fontId="2"/>
  </si>
  <si>
    <t>エラーコード体系。番号の付け方と、意味の一覧が定まっている</t>
    <phoneticPr fontId="2"/>
  </si>
  <si>
    <t>記録に出力するメッセージの一覧</t>
    <phoneticPr fontId="2"/>
  </si>
  <si>
    <t>メッセージ一覧。調査時に検索できる形になっている</t>
    <phoneticPr fontId="2"/>
  </si>
  <si>
    <t>送信するメールの種類ごとの文面のひな形</t>
    <phoneticPr fontId="2"/>
  </si>
  <si>
    <t>テンプレート一覧。種類ごとの文面と差し込み項目が定まっている</t>
    <phoneticPr fontId="2"/>
  </si>
  <si>
    <t>データの構造を、業務の意味に沿って図にする</t>
    <phoneticPr fontId="2"/>
  </si>
  <si>
    <t>論理データ構造図。主要な情報とその関係が示されている</t>
    <phoneticPr fontId="2"/>
  </si>
  <si>
    <t>データの構造を、実際の保管場所ごとに図にする</t>
    <phoneticPr fontId="2"/>
  </si>
  <si>
    <t>物理データ構造図。3 つの保管先それぞれの構造が示されている</t>
    <phoneticPr fontId="2"/>
  </si>
  <si>
    <t>権限を管理するデータの表の定義</t>
    <phoneticPr fontId="2"/>
  </si>
  <si>
    <t>表定義 8 本。項目・型・制約が定まっている</t>
    <phoneticPr fontId="2"/>
  </si>
  <si>
    <t>識別子の対応づけと、参照用データの表の定義</t>
    <phoneticPr fontId="2"/>
  </si>
  <si>
    <t>表定義 6 本</t>
    <phoneticPr fontId="2"/>
  </si>
  <si>
    <t>送信予定・操作記録・システム用アカウントの表の定義</t>
    <phoneticPr fontId="2"/>
  </si>
  <si>
    <t>利用者の属性項目の意味を統一する辞書</t>
    <phoneticPr fontId="2"/>
  </si>
  <si>
    <t>属性辞書。各項目の意味・型・必須かどうかが定まっている</t>
    <phoneticPr fontId="2"/>
  </si>
  <si>
    <t>顧客ごとにバラバラな項目名の変換表を、どこで一元管理するかの設計</t>
    <phoneticPr fontId="2"/>
  </si>
  <si>
    <t>管理方式の設計。変換表の置き場所と更新方法が定まっている</t>
    <phoneticPr fontId="2"/>
  </si>
  <si>
    <t>利用者を識別する 3 段階の番号体系を決める</t>
    <phoneticPr fontId="2"/>
  </si>
  <si>
    <t>体系設計。3 段階それぞれの用途と作り方が定まっている</t>
    <phoneticPr fontId="2"/>
  </si>
  <si>
    <t>テナントとブランドを識別する番号体系を決める</t>
    <phoneticPr fontId="2"/>
  </si>
  <si>
    <t>体系設計。付け方と、重複しない仕組みが定まっている</t>
    <phoneticPr fontId="2"/>
  </si>
  <si>
    <t>登録経路の区分と状態を表す値の一覧を決める</t>
    <phoneticPr fontId="2"/>
  </si>
  <si>
    <t>値の一覧。取りうる値がすべて列挙されている</t>
    <phoneticPr fontId="2"/>
  </si>
  <si>
    <t>どの機能がどの表を作成・参照・更新・削除するかの対応表</t>
    <phoneticPr fontId="2"/>
  </si>
  <si>
    <t>対応表。すべての表に少なくとも 1 つの機能が紐づいている</t>
    <phoneticPr fontId="2"/>
  </si>
  <si>
    <t>上記の対応表と、権限の設計に食い違いがないかを突き合わせる</t>
    <phoneticPr fontId="2"/>
  </si>
  <si>
    <t>突合結果。矛盾がないことが確認されている</t>
    <phoneticPr fontId="2"/>
  </si>
  <si>
    <t>データを何年保ち、いつ消すかの設計</t>
    <phoneticPr fontId="2"/>
  </si>
  <si>
    <t>保持設計。保存年数・消去の起算日・消去方法が定まっている</t>
    <phoneticPr fontId="2"/>
  </si>
  <si>
    <t>検索を速くするための索引と、大きな表の分割方法の設計</t>
    <phoneticPr fontId="2"/>
  </si>
  <si>
    <t>索引・分割設計。想定する検索が目標時間内に収まる根拠がある</t>
    <phoneticPr fontId="2"/>
  </si>
  <si>
    <t>システム内部で即時に呼び合う接続の一覧</t>
    <phoneticPr fontId="2"/>
  </si>
  <si>
    <t>接続一覧。呼び出し元・先・目的が整理されている</t>
    <phoneticPr fontId="2"/>
  </si>
  <si>
    <t>システム内部で時間差を許して伝える接続の一覧</t>
    <phoneticPr fontId="2"/>
  </si>
  <si>
    <t>接続一覧。伝達経路と遅れの許容範囲が整理されている</t>
    <phoneticPr fontId="2"/>
  </si>
  <si>
    <t>外部システムとの接続の一覧</t>
    <phoneticPr fontId="2"/>
  </si>
  <si>
    <t>接続一覧。相手先・方式・データの向きが整理されている</t>
    <phoneticPr fontId="2"/>
  </si>
  <si>
    <t>管理画面から利用者を操作するための接続仕様</t>
    <phoneticPr fontId="2"/>
  </si>
  <si>
    <t>仕様書。約 12 種の操作それぞれの入出力が定まっている</t>
    <phoneticPr fontId="2"/>
  </si>
  <si>
    <t>権限を設定するための接続仕様</t>
    <phoneticPr fontId="2"/>
  </si>
  <si>
    <t>仕様書。約 10 種の操作それぞれの入出力が定まっている</t>
    <phoneticPr fontId="2"/>
  </si>
  <si>
    <t>アプリが利用者の権限情報を取得するための接続仕様</t>
    <phoneticPr fontId="2"/>
  </si>
  <si>
    <t>仕様書。取得できる情報と、呼び出し頻度の目安が定まっている</t>
    <phoneticPr fontId="2"/>
  </si>
  <si>
    <t>接続ごとに必要な権限の対応表</t>
    <phoneticPr fontId="2"/>
  </si>
  <si>
    <t>対応表。すべての接続に必要権限が紐づいている</t>
    <phoneticPr fontId="2"/>
  </si>
  <si>
    <t>接続仕様に共通する決まり（エラーの返し方・件数の区切り方など）</t>
    <phoneticPr fontId="2"/>
  </si>
  <si>
    <t>共通規約。全接続で統一された扱いが定まっている</t>
    <phoneticPr fontId="2"/>
  </si>
  <si>
    <t>顧客システムから利用者情報を受け取る接続の仕様</t>
    <phoneticPr fontId="2"/>
  </si>
  <si>
    <t>仕様書。受け取れる項目と検索の方法が定まっている</t>
    <phoneticPr fontId="2"/>
  </si>
  <si>
    <t>削除通知を「消さずに止める」に読み替える仕様</t>
    <phoneticPr fontId="2"/>
  </si>
  <si>
    <t>仕様書。読み替えの規則が明記されている</t>
    <phoneticPr fontId="2"/>
  </si>
  <si>
    <t>アカウントをまたいで伝えるイベントの中身の定義</t>
    <phoneticPr fontId="2"/>
  </si>
  <si>
    <t>イベント定義。2 種類それぞれの項目が定まっている</t>
    <phoneticPr fontId="2"/>
  </si>
  <si>
    <t>送信予定を記録しておく仕組みのデータ仕様</t>
    <phoneticPr fontId="2"/>
  </si>
  <si>
    <t>仕様書。記録する項目と送信済みの判定方法が定まっている</t>
    <phoneticPr fontId="2"/>
  </si>
  <si>
    <t>アプリへ変更を通知する仕組みの仕様</t>
    <phoneticPr fontId="2"/>
  </si>
  <si>
    <t>仕様書。7 種類の通知内容・署名・再送条件が定まっている</t>
    <phoneticPr fontId="2"/>
  </si>
  <si>
    <t>標準方式の認証連携で、やり取りする情報の仕様</t>
    <phoneticPr fontId="2"/>
  </si>
  <si>
    <t>仕様書。接続先の情報と、渡す項目が定まっている</t>
    <phoneticPr fontId="2"/>
  </si>
  <si>
    <t>旧方式の認証連携で、やり取りする情報の仕様</t>
    <phoneticPr fontId="2"/>
  </si>
  <si>
    <t>仕様書。接続情報の受け渡し方と項目が定まっている</t>
    <phoneticPr fontId="2"/>
  </si>
  <si>
    <t>業務システムとの接続仕様</t>
    <phoneticPr fontId="2"/>
  </si>
  <si>
    <t>仕様書。相手側の設定要件が明記されている</t>
    <phoneticPr fontId="2"/>
  </si>
  <si>
    <t>顧客の認証システムごとの接続仕様の差分整理</t>
    <phoneticPr fontId="2"/>
  </si>
  <si>
    <t>差分表。製品ごとの違いが一覧化されている</t>
    <phoneticPr fontId="2"/>
  </si>
  <si>
    <t>外部サービス（メール送信・流出確認）との接続仕様</t>
    <phoneticPr fontId="2"/>
  </si>
  <si>
    <t>仕様書。呼び出し条件と失敗時の扱いが定まっている</t>
    <phoneticPr fontId="2"/>
  </si>
  <si>
    <t>使用する証明書と鍵の一覧、および期限管理の方法</t>
    <phoneticPr fontId="2"/>
  </si>
  <si>
    <t>一覧と管理設計。すべての証明書に期限と更新責任者が紐づいている</t>
    <phoneticPr fontId="2"/>
  </si>
  <si>
    <t>使用するアドレス名の一覧と、内外での解決方法の違い</t>
    <phoneticPr fontId="2"/>
  </si>
  <si>
    <t>一覧。用途ごとに整理され、内部と外部での違いが示されている</t>
    <phoneticPr fontId="2"/>
  </si>
  <si>
    <t>定期的に自動実行する処理が全部でいくつあり、それぞれ何のために動くのかを一覧にする</t>
    <phoneticPr fontId="2"/>
  </si>
  <si>
    <t>一覧。8 本それぞれの目的と実行タイミングが整理されている</t>
    <phoneticPr fontId="2"/>
  </si>
  <si>
    <t>定期処理をどの仕組みで動かすかの整理</t>
    <phoneticPr fontId="2"/>
  </si>
  <si>
    <t>方式整理。処理ごとの実行基盤が定まっている</t>
    <phoneticPr fontId="2"/>
  </si>
  <si>
    <t>利用者の整理に関する定期処理の仕様</t>
    <phoneticPr fontId="2"/>
  </si>
  <si>
    <t>仕様書 2 本。対象条件と除外条件が定まっている</t>
    <phoneticPr fontId="2"/>
  </si>
  <si>
    <t>システム間のずれを直す定期処理の仕様</t>
    <phoneticPr fontId="2"/>
  </si>
  <si>
    <t>仕様書 3 本。突き合わせる対象と直し方が定まっている</t>
    <phoneticPr fontId="2"/>
  </si>
  <si>
    <t>鍵・証明書・権限見直しに関する定期処理の仕様</t>
    <phoneticPr fontId="2"/>
  </si>
  <si>
    <t>仕様書 5 本。実行周期と通知先が定まっている</t>
    <phoneticPr fontId="2"/>
  </si>
  <si>
    <t>定期処理の実行時刻と、前後関係の設計</t>
    <phoneticPr fontId="2"/>
  </si>
  <si>
    <t>スケジュール設計。処理の順序と重なりが整理されている</t>
    <phoneticPr fontId="2"/>
  </si>
  <si>
    <t>定期処理が二重に動かないようにする方法と、失敗時のやり直し方</t>
    <phoneticPr fontId="2"/>
  </si>
  <si>
    <t>設計。重複起動の防止方法と再実行の手順が定まっている</t>
    <phoneticPr fontId="2"/>
  </si>
  <si>
    <t>管理操作を行う人の役割を定義する。どの範囲まで操作できるかを 3 段階で分ける</t>
    <phoneticPr fontId="2"/>
  </si>
  <si>
    <t>役割定義。3 段階の権限範囲が定まっている</t>
    <phoneticPr fontId="2"/>
  </si>
  <si>
    <t>役割ごとにどの機能を使えるかの対応表</t>
    <phoneticPr fontId="2"/>
  </si>
  <si>
    <t>権限表。すべての機能に使える役割が紐づいている</t>
    <phoneticPr fontId="2"/>
  </si>
  <si>
    <t>役割ごとにどのデータを見られるかの対応表</t>
    <phoneticPr fontId="2"/>
  </si>
  <si>
    <t>権限表。テナントをまたいだ参照ができないことが示されている</t>
    <phoneticPr fontId="2"/>
  </si>
  <si>
    <t>あとから追跡できるよう記録に残しておく操作を洗い出して一覧にする</t>
    <phoneticPr fontId="2"/>
  </si>
  <si>
    <t>イベント一覧。監査で必要な操作が漏れなく含まれている</t>
    <phoneticPr fontId="2"/>
  </si>
  <si>
    <t>記録に残す項目と、何年保つかの表</t>
    <phoneticPr fontId="2"/>
  </si>
  <si>
    <t>項目表。すべての記録に保存年数が紐づいている</t>
    <phoneticPr fontId="2"/>
  </si>
  <si>
    <t>権限の判定結果をどこまで記録するかの設計</t>
    <phoneticPr fontId="2"/>
  </si>
  <si>
    <t>記録設計。記録する範囲と量を抑える方法が定まっている</t>
    <phoneticPr fontId="2"/>
  </si>
  <si>
    <t>不正の兆候を判定する条件の一覧</t>
    <phoneticPr fontId="2"/>
  </si>
  <si>
    <t>条件一覧。検知する事象と閾値が定まっている</t>
    <phoneticPr fontId="2"/>
  </si>
  <si>
    <t>想定される攻撃の経路と、それぞれへの対策の対応表</t>
    <phoneticPr fontId="2"/>
  </si>
  <si>
    <t>対応表。すべての経路に対策が紐づいている</t>
    <phoneticPr fontId="2"/>
  </si>
  <si>
    <t>システムが正常に動いているか判断するために監視する数値を洗い出して一覧にする</t>
    <phoneticPr fontId="2"/>
  </si>
  <si>
    <t>項目一覧。取得元と用途が整理されている</t>
    <phoneticPr fontId="2"/>
  </si>
  <si>
    <t>監視する記録と、外形からの確認項目の一覧</t>
    <phoneticPr fontId="2"/>
  </si>
  <si>
    <t>項目一覧。確認の頻度が定まっている</t>
    <phoneticPr fontId="2"/>
  </si>
  <si>
    <t>異常と判断する基準値と、誰に知らせるかの設計</t>
    <phoneticPr fontId="2"/>
  </si>
  <si>
    <t>閾値設計。すべての監視項目に基準値と通知先が紐づいている</t>
    <phoneticPr fontId="2"/>
  </si>
  <si>
    <t>新しい顧客を受け入れる際の設計面の整理</t>
    <phoneticPr fontId="2"/>
  </si>
  <si>
    <t>設計。受け入れに必要な設定項目と順序が定まっている</t>
    <phoneticPr fontId="2"/>
  </si>
  <si>
    <t>本番・検証・開発の各環境の違いをまとめた設計書</t>
    <phoneticPr fontId="2"/>
  </si>
  <si>
    <t>環境設計書。環境ごとの差分が一覧化されている</t>
    <phoneticPr fontId="2"/>
  </si>
  <si>
    <t>設計書間で矛盾がないかを通しで確認する（1 回目）</t>
    <phoneticPr fontId="2"/>
  </si>
  <si>
    <t>レビュー記録。指摘が一覧化されている</t>
    <phoneticPr fontId="2"/>
  </si>
  <si>
    <t>1 回目の指摘に対応して設計書を直す</t>
    <phoneticPr fontId="2"/>
  </si>
  <si>
    <t>改訂済みの設計書。指摘がすべて処理されている</t>
    <phoneticPr fontId="2"/>
  </si>
  <si>
    <t>設計書間で矛盾がないかを通しで確認する（2 回目）</t>
    <phoneticPr fontId="2"/>
  </si>
  <si>
    <t>レビュー記録。1 回目の指摘が解消されている</t>
    <phoneticPr fontId="2"/>
  </si>
  <si>
    <t>2 回目の指摘に対応して設計書を直す</t>
    <phoneticPr fontId="2"/>
  </si>
  <si>
    <t>改訂済みの設計書。残課題が明示されている</t>
    <phoneticPr fontId="2"/>
  </si>
  <si>
    <t>関係者へ説明するための資料を作る</t>
    <phoneticPr fontId="2"/>
  </si>
  <si>
    <t>説明資料。専門用語を使わずに全体像が伝わる</t>
    <phoneticPr fontId="2"/>
  </si>
  <si>
    <t>説明会を開き、出た指摘を反映する</t>
    <phoneticPr fontId="2"/>
  </si>
  <si>
    <t>実施記録と改訂版。指摘の処理状況が追える</t>
    <phoneticPr fontId="2"/>
  </si>
  <si>
    <t>認証システム内部の区画と、顧客ごとのまとまりの構成設計</t>
    <phoneticPr fontId="2"/>
  </si>
  <si>
    <t>構成設計書。区画の分け方と顧客の収容方法が定まっている</t>
    <phoneticPr fontId="2"/>
  </si>
  <si>
    <t>ログイン処理をどんな順序で組み立てるかの設計。5 系統ぶん</t>
    <phoneticPr fontId="2"/>
  </si>
  <si>
    <t>処理順序の設計書。5 系統それぞれの分岐が図で示されている</t>
    <phoneticPr fontId="2"/>
  </si>
  <si>
    <t>接続先を判定する拡張機能の入出力と動作条件の仕様</t>
    <phoneticPr fontId="2"/>
  </si>
  <si>
    <t>仕様書。入力・出力・判定できない場合の動きが定まっている</t>
    <phoneticPr fontId="2"/>
  </si>
  <si>
    <t>初回登録と再有効化を制御する拡張機能の仕様</t>
    <phoneticPr fontId="2"/>
  </si>
  <si>
    <t>仕様書。動作条件と、誤って動かさないための条件が定まっている</t>
    <phoneticPr fontId="2"/>
  </si>
  <si>
    <t>利用状況を外部へ知らせる拡張機能の仕様</t>
    <phoneticPr fontId="2"/>
  </si>
  <si>
    <t>仕様書。送る内容と送信頻度が定まっている</t>
    <phoneticPr fontId="2"/>
  </si>
  <si>
    <t>拡張機能をどこに配置し、どう版を管理するかの設計</t>
    <phoneticPr fontId="2"/>
  </si>
  <si>
    <t>配置設計。組み込み方法と版の管理方法が定まっている</t>
    <phoneticPr fontId="2"/>
  </si>
  <si>
    <t>通行証に載せる情報の生成規則の定義</t>
    <phoneticPr fontId="2"/>
  </si>
  <si>
    <t>定義書。載せる項目と、載せない項目の区別が明確</t>
    <phoneticPr fontId="2"/>
  </si>
  <si>
    <t>利用者の属性項目をどう宣言するかの設計。メールを持たない人への対応を含む</t>
    <phoneticPr fontId="2"/>
  </si>
  <si>
    <t>宣言設計。必須と任意の区別が定まっている</t>
    <phoneticPr fontId="2"/>
  </si>
  <si>
    <t>新しいアプリを接続するときの登録内容のひな形</t>
    <phoneticPr fontId="2"/>
  </si>
  <si>
    <t>ひな形。必要な設定が漏れなく含まれ、宛先の設定漏れを防ぐ仕組みがある</t>
    <phoneticPr fontId="2"/>
  </si>
  <si>
    <t>認証システムの各種設定値の一覧</t>
    <phoneticPr fontId="2"/>
  </si>
  <si>
    <t>設定値一覧。有効期間・回数制限・保持時間などが数値で定まっている</t>
    <phoneticPr fontId="2"/>
  </si>
  <si>
    <t>内部で 2 段構えになっている認証システム同士の連携設計</t>
    <phoneticPr fontId="2"/>
  </si>
  <si>
    <t>連携設計書。やり取りする情報と経路が定まっている</t>
    <phoneticPr fontId="2"/>
  </si>
  <si>
    <t>将来ブランドを増やす場合の区画の分け方の設計</t>
    <phoneticPr fontId="2"/>
  </si>
  <si>
    <t>設計書。増やすときの手順と、今のうちに守る決まりが定まっている</t>
    <phoneticPr fontId="2"/>
  </si>
  <si>
    <t>利用者の控えが作られてから消えるまでの一生の設計</t>
    <phoneticPr fontId="2"/>
  </si>
  <si>
    <t>ライフサイクル設計。作成・停止・再開の条件が定まっている</t>
    <phoneticPr fontId="2"/>
  </si>
  <si>
    <t>顧客の認証システムを接続するときの設定項目のひな形</t>
    <phoneticPr fontId="2"/>
  </si>
  <si>
    <t>ひな形。方式ごとに必要な項目が整理されている</t>
    <phoneticPr fontId="2"/>
  </si>
  <si>
    <t>顧客側の項目名を基盤側の呼び方へ変換する規則の設計</t>
    <phoneticPr fontId="2"/>
  </si>
  <si>
    <t>変換規則の設計。対応がない場合の扱いも定まっている</t>
    <phoneticPr fontId="2"/>
  </si>
  <si>
    <t>入力された ID から接続先を判定するロジックの設計</t>
    <phoneticPr fontId="2"/>
  </si>
  <si>
    <t>ロジック設計。判定の順序と、判定できない場合の動きが定まっている</t>
    <phoneticPr fontId="2"/>
  </si>
  <si>
    <t>実行基盤の構成設計。サーバーの種類・台数・役割分担</t>
    <phoneticPr fontId="2"/>
  </si>
  <si>
    <t>構成設計書。役割ごとの分離と増減の考え方が定まっている</t>
    <phoneticPr fontId="2"/>
  </si>
  <si>
    <t>製品の管理部品の版と更新方針の設計</t>
    <phoneticPr fontId="2"/>
  </si>
  <si>
    <t>設計書。版の固定方法と更新の承認手順が定まっている</t>
    <phoneticPr fontId="2"/>
  </si>
  <si>
    <t>実行基盤の運用について、委託先と自社の分担を整理する</t>
    <phoneticPr fontId="2"/>
  </si>
  <si>
    <t>分担表。どちらが何をするかが明確になっている</t>
    <phoneticPr fontId="2"/>
  </si>
  <si>
    <t>顧客と本基盤のどちらが何に責任を持つかを示す表</t>
    <phoneticPr fontId="2"/>
  </si>
  <si>
    <t>責任分界表。契約に添付できる粒度で整理されている</t>
    <phoneticPr fontId="2"/>
  </si>
  <si>
    <t>顧客に約束する稼働率と復旧目標をまとめた文書</t>
    <phoneticPr fontId="2"/>
  </si>
  <si>
    <t>定義書。数値と、達成できなかった場合の扱いが定まっている</t>
    <phoneticPr fontId="2"/>
  </si>
  <si>
    <t>テナント管理者向けの操作説明書</t>
    <phoneticPr fontId="2"/>
  </si>
  <si>
    <t>操作ガイド。管理画面の全機能が手順つきで説明されている</t>
    <phoneticPr fontId="2"/>
  </si>
  <si>
    <t>顧客の情報システム部門向けの接続手順書</t>
    <phoneticPr fontId="2"/>
  </si>
  <si>
    <t>接続ガイド。準備するものと手順、確認方法が示されている</t>
    <phoneticPr fontId="2"/>
  </si>
  <si>
    <t>顧客の監査対応に使う説明資料</t>
    <phoneticPr fontId="2"/>
  </si>
  <si>
    <t>説明資料。よく聞かれる質問に答えられる内容になっている</t>
    <phoneticPr fontId="2"/>
  </si>
  <si>
    <t>利用者本人からのデータ開示・削除依頼への対応手順</t>
    <phoneticPr fontId="2"/>
  </si>
  <si>
    <t>対応手順書。受付から回答までの流れと期限が定まっている</t>
    <phoneticPr fontId="2"/>
  </si>
  <si>
    <t>新しい顧客を迎えるときの案内文のひな形</t>
    <phoneticPr fontId="2"/>
  </si>
  <si>
    <t>案内テンプレート。必要な連絡事項が漏れなく含まれている</t>
    <phoneticPr fontId="2"/>
  </si>
  <si>
    <t>サービスの仕様と、利用上の制約をまとめた文書</t>
    <phoneticPr fontId="2"/>
  </si>
  <si>
    <t>仕様書。止めてから完全に切れるまでの時間差など、注意すべき制約が明記されている</t>
    <phoneticPr fontId="2"/>
  </si>
  <si>
    <t>接続先が 1000 社規模になったときの性能を測るための試験環境と試験データを用意する</t>
    <phoneticPr fontId="2"/>
  </si>
  <si>
    <t>試験環境と生成スクリプト。1000/2000 件の接続先と組織を投入でき、繰り返し実行できる</t>
    <phoneticPr fontId="2"/>
  </si>
  <si>
    <t>接続先が大量にある状態で、ログインの待ち時間が実用の範囲に収まるかを実測する</t>
    <phoneticPr fontId="2"/>
  </si>
  <si>
    <t>測定レポート。応答時間が基準比 +10% 以内であることを数値で示す。超過時は A-1.7 で対策</t>
    <phoneticPr fontId="2"/>
  </si>
  <si>
    <t>接続先を追加する管理操作が、件数が増えても現実的な時間で終わるかを実測する</t>
    <phoneticPr fontId="2"/>
  </si>
  <si>
    <t>測定レポート。追加操作と一覧表示の所要時間、および設定投入を分割すべき件数の目安が出ている</t>
    <phoneticPr fontId="2"/>
  </si>
  <si>
    <t>大量の接続先を保持したときのメモリ使用量と、再起動後に性能が戻るまでの時間を測る</t>
    <phoneticPr fontId="2"/>
  </si>
  <si>
    <t>測定レポート。必要メモリ量と、再起動後に通常性能へ戻るまでの時間が数値で出ている</t>
    <phoneticPr fontId="2"/>
  </si>
  <si>
    <t>接続先が大量にある状態で、修正版の適用が問題なく行えるかを確認する</t>
    <phoneticPr fontId="2"/>
  </si>
  <si>
    <t>確認記録。適用中も停止せず、適用後に機能が壊れていないことが確認されている</t>
    <phoneticPr fontId="2"/>
  </si>
  <si>
    <t>測定結果を、監視設計とサーバー台数の設計にそのまま使える形に整理する</t>
    <phoneticPr fontId="2"/>
  </si>
  <si>
    <t>整理表。監視項目の数と必要な処理能力の見積もりに使える数値が揃っている</t>
    <phoneticPr fontId="2"/>
  </si>
  <si>
    <t>測定結果を設計書に反映し、性能面の前提が確定したことを記録する</t>
    <phoneticPr fontId="2"/>
  </si>
  <si>
    <t>改訂済みの設計記述と判定記録。前提が「暫定」から「確定」に変わっている</t>
    <phoneticPr fontId="2"/>
  </si>
  <si>
    <t>商用版の製品で自社の拡張機能を動かすための検証環境を用意する</t>
    <phoneticPr fontId="2"/>
  </si>
  <si>
    <t>検証環境。自社拡張を組み込んだ状態で起動でき、繰り返し試験できる</t>
    <phoneticPr fontId="2"/>
  </si>
  <si>
    <t>自社で作った 4 つの拡張機能が、商用版でも同じように動くかを確かめる</t>
    <phoneticPr fontId="2"/>
  </si>
  <si>
    <t>検証結果表。4 機能すべての可否と、動かない場合の代替方針が決まっている</t>
    <phoneticPr fontId="2"/>
  </si>
  <si>
    <t>拡張機能がログインの各経路で確実に呼び出されるかを確かめる</t>
    <phoneticPr fontId="2"/>
  </si>
  <si>
    <t>検証結果。3 系統すべての経路で呼び出されることが確認されている</t>
    <phoneticPr fontId="2"/>
  </si>
  <si>
    <t>拡張機能の周辺で、製品の仕様変更や既知の不具合の影響がないかを確かめる</t>
    <phoneticPr fontId="2"/>
  </si>
  <si>
    <t>検証結果。影響の有無と、回避が必要な場合の方法が記録されている</t>
    <phoneticPr fontId="2"/>
  </si>
  <si>
    <t>拡張機能から性能情報を取り出す仕組みが商用版でも動くかを確かめる</t>
    <phoneticPr fontId="2"/>
  </si>
  <si>
    <t>検証結果。取得できる情報と、取得できない場合の代替が記録されている</t>
    <phoneticPr fontId="2"/>
  </si>
  <si>
    <t>顧客システムから利用者情報を受け取る窓口の試作品を作る</t>
    <phoneticPr fontId="2"/>
  </si>
  <si>
    <t>試作品。基本的な受け取り・認証・振り分けが動作する</t>
    <phoneticPr fontId="2"/>
  </si>
  <si>
    <t>作った窓口が業界標準に沿っているかを、公開されている検査ツールで確認する</t>
    <phoneticPr fontId="2"/>
  </si>
  <si>
    <t>検査結果。不合格項目がゼロ、または不合格項目と対応方針が記録されている</t>
    <phoneticPr fontId="2"/>
  </si>
  <si>
    <t>登録・変更・削除の一連の流れが端から端まで通ることを確認する</t>
    <phoneticPr fontId="2"/>
  </si>
  <si>
    <t>検証結果。削除通知が「消さずに止める」動作に正しく変換されることが確認されている</t>
    <phoneticPr fontId="2"/>
  </si>
  <si>
    <t>顧客が 500〜1000 社になったときに、利用者の検索が現実的な速さで返るかを測る</t>
    <phoneticPr fontId="2"/>
  </si>
  <si>
    <t>測定レポート。検索の応答時間が目標内であることが数値で示されている</t>
    <phoneticPr fontId="2"/>
  </si>
  <si>
    <t>大量の一括登録が、他の顧客の処理を遅くしないかを測る</t>
    <phoneticPr fontId="2"/>
  </si>
  <si>
    <t>測定レポート。一括処理中の他テナントへの影響が数値で示されている</t>
    <phoneticPr fontId="2"/>
  </si>
  <si>
    <t>アプリ向けの参照用データの読み取り速度を測り、設計に反映する</t>
    <phoneticPr fontId="2"/>
  </si>
  <si>
    <t>測定レポートと改訂済み設計記述。読み取り速度が目標内である</t>
    <phoneticPr fontId="2"/>
  </si>
  <si>
    <t>旧方式の接続先を模した試験用の環境を用意する</t>
    <phoneticPr fontId="2"/>
  </si>
  <si>
    <t>試験用の模擬環境。旧方式でのログインを再現できる</t>
    <phoneticPr fontId="2"/>
  </si>
  <si>
    <t>旧方式では利用者の識別子の渡され方が異なるため、その差で自動登録が正しく動くかを確かめる</t>
    <phoneticPr fontId="2"/>
  </si>
  <si>
    <t>検証結果。識別子の型ごとの動作差が記録されている</t>
    <phoneticPr fontId="2"/>
  </si>
  <si>
    <t>検証で分かった差分を、接続設定のひな形づくりに引き渡せる形に整理する</t>
    <phoneticPr fontId="2"/>
  </si>
  <si>
    <t>整理メモ。ひな形設計に必要な差分が列挙されている</t>
    <phoneticPr fontId="2"/>
  </si>
  <si>
    <t>実際の商用サービスを 1 つ契約し、本番同様の接続で動作差を確認する</t>
    <phoneticPr fontId="2"/>
  </si>
  <si>
    <t>検証結果。渡ってくる情報の実際の中身と、想定との差が記録されている</t>
    <phoneticPr fontId="2"/>
  </si>
  <si>
    <t>もう 1 つ別の商用サービスでも同様に確認し、製品ごとの差を洗い出す</t>
    <phoneticPr fontId="2"/>
  </si>
  <si>
    <t>検証結果。2 製品間の差分が一覧化されている</t>
    <phoneticPr fontId="2"/>
  </si>
  <si>
    <t>実サービス接続時に自社の拡張機能が正しく動くかを確認する</t>
    <phoneticPr fontId="2"/>
  </si>
  <si>
    <t>検証結果。拡張機能の動作と、追加認証の情報が正しく渡ることが確認されている</t>
    <phoneticPr fontId="2"/>
  </si>
  <si>
    <t>確認で分かった差分を設計書に反映する</t>
    <phoneticPr fontId="2"/>
  </si>
  <si>
    <t>改訂済みの設計記述。製品ごとの差が設定で吸収できる形になっている</t>
    <phoneticPr fontId="2"/>
  </si>
  <si>
    <t>災害時の切り替え先となる地域で、必要な機材が確保できるかを確認する</t>
    <phoneticPr fontId="2"/>
  </si>
  <si>
    <t>確認結果。必要な種類・台数が確保可能か、上限の引き上げが必要かが分かっている</t>
    <phoneticPr fontId="2"/>
  </si>
  <si>
    <t>切り替え先の地域で、省電力型の機材が使えるかを確認し設計に反映する</t>
    <phoneticPr fontId="2"/>
  </si>
  <si>
    <t>確認結果と改訂済み設計記述。使える／使えないが確定している</t>
    <phoneticPr fontId="2"/>
  </si>
  <si>
    <t>パスワードの安全な保管方式が、1 秒あたり何件処理できるかを実測してサーバー台数の根拠にする</t>
    <phoneticPr fontId="2"/>
  </si>
  <si>
    <t>測定レポート。処理能力の数値が出て、台数見積もりに反映されている</t>
    <phoneticPr fontId="2"/>
  </si>
  <si>
    <t>接続先の証明書入れ替えに自動追随する機能が実在し、実際に動くかを確認する</t>
    <phoneticPr fontId="2"/>
  </si>
  <si>
    <t>確認結果。機能の有無が確定し、無い場合の代替運用の必要性が判断できている</t>
    <phoneticPr fontId="2"/>
  </si>
  <si>
    <t>利用状況の記録を高頻度で書き込んだときの、データベースへの負荷を測る</t>
    <phoneticPr fontId="2"/>
  </si>
  <si>
    <t>測定レポート。負荷が許容範囲か、対策が必要かが判断できている</t>
    <phoneticPr fontId="2"/>
  </si>
  <si>
    <t>検知用の情報を送る処理が、ログインの応答時間を悪化させないかを測る</t>
    <phoneticPr fontId="2"/>
  </si>
  <si>
    <t>測定レポート。応答時間への影響が数値で示され、対策要否が判断できている</t>
    <phoneticPr fontId="2"/>
  </si>
  <si>
    <t>単独では小さい実機確認 4 件をまとめて片付ける</t>
    <phoneticPr fontId="2"/>
  </si>
  <si>
    <t>確認結果 4 件。各項目の可否が確定している</t>
    <phoneticPr fontId="2"/>
  </si>
  <si>
    <t>業務システムとの接続設定を実機で作り、ログインが通ることを確認する</t>
    <phoneticPr fontId="2"/>
  </si>
  <si>
    <t>確認結果。接続設定が完成し、実際にログインできている</t>
    <phoneticPr fontId="2"/>
  </si>
  <si>
    <t>利用者情報の同期とログインを組み合わせた一連の流れを実機で確認する</t>
    <phoneticPr fontId="2"/>
  </si>
  <si>
    <t>確認結果。想定した組み合わせで端から端まで動作している</t>
    <phoneticPr fontId="2"/>
  </si>
  <si>
    <t>利用者の突き合わせに使う項目と、変更通知の受け渡しを実機で確認する</t>
    <phoneticPr fontId="2"/>
  </si>
  <si>
    <t>確認結果。突き合わせが正しく動き、通知が届いている</t>
    <phoneticPr fontId="2"/>
  </si>
  <si>
    <t>メールアドレスを持たない利用者が、登録・ログイン・更新の 3 経路すべてを完走できるかを実機で確認する</t>
    <phoneticPr fontId="2"/>
  </si>
  <si>
    <t>確認結果。3 経路すべてで完走でき、製品の既知不具合を回避できている</t>
    <phoneticPr fontId="2"/>
  </si>
  <si>
    <t>利用者の状態変化を即時に伝える新方式が、現行製品でどこまで使えるかを確認する</t>
    <phoneticPr fontId="2"/>
  </si>
  <si>
    <t>確認結果。使える範囲と、自作が必要な部分の切り分けができている</t>
    <phoneticPr fontId="2"/>
  </si>
  <si>
    <t>運用委託先の担当者が、記録に残る利用者情報をどこまで見られるかを実機で確認する</t>
    <phoneticPr fontId="2"/>
  </si>
  <si>
    <t>確認結果。個人情報が見えないことが確認され、見えてしまう場合の対策が決まっている</t>
    <phoneticPr fontId="2"/>
  </si>
  <si>
    <t>インターネットの出入口を管理する別組織へ出す要求仕様書を作って発行する</t>
    <phoneticPr fontId="2"/>
  </si>
  <si>
    <t>要求仕様書 v1。全要求項目が漏れなく記載され、発行済み</t>
    <phoneticPr fontId="2"/>
  </si>
  <si>
    <t>先方からの質問に回答し、認識のずれを解消する</t>
    <phoneticPr fontId="2"/>
  </si>
  <si>
    <t>質疑応答記録。主要な論点が合意または保留として整理されている</t>
    <phoneticPr fontId="2"/>
  </si>
  <si>
    <t>回答内容を各設計書に反映する</t>
    <phoneticPr fontId="2"/>
  </si>
  <si>
    <t>改訂済みの設計記述。回答と設計が一致している</t>
    <phoneticPr fontId="2"/>
  </si>
  <si>
    <t>入口の機器をどう経由させるかについて、方式の候補を技術的に詰める</t>
    <phoneticPr fontId="2"/>
  </si>
  <si>
    <t>比較検討結果。方式ごとの可否と制約が整理されている</t>
    <phoneticPr fontId="2"/>
  </si>
  <si>
    <t>先方と協議するための資料を作る</t>
    <phoneticPr fontId="2"/>
  </si>
  <si>
    <t>協議資料。選択肢と各案の影響が先方にも分かる形で書かれている</t>
    <phoneticPr fontId="2"/>
  </si>
  <si>
    <t>社内・他組織・顧客のネットワーク番号帯を集め、重複がないことを確認して確定する</t>
    <phoneticPr fontId="2"/>
  </si>
  <si>
    <t>確定した番号帯の台帳。重複がないことが確認されている（構築開始後は変更できないため必須）</t>
    <phoneticPr fontId="2"/>
  </si>
  <si>
    <t>外部への通信許可の申請方式について、合意用の資料を作る</t>
    <phoneticPr fontId="2"/>
  </si>
  <si>
    <t>合意資料。申請の流れと所要日数が示されている</t>
    <phoneticPr fontId="2"/>
  </si>
  <si>
    <t>災害復旧の方式について、決定内容を反映した合意用の資料を作る</t>
    <phoneticPr fontId="2"/>
  </si>
  <si>
    <t>合意資料。決定した復旧方式に沿った要求内容になっている</t>
    <phoneticPr fontId="2"/>
  </si>
  <si>
    <t>定期確認の通信が誤って遮断されないよう、除外設定を要求に追加する</t>
    <phoneticPr fontId="2"/>
  </si>
  <si>
    <t>要求の追補。除外対象と条件が明記されている</t>
    <phoneticPr fontId="2"/>
  </si>
  <si>
    <t>設計書内でサーバー構成の記述が食い違っているので、正しい考え方に統一する</t>
    <phoneticPr fontId="2"/>
  </si>
  <si>
    <t>是正済みの設計記述。台数の根拠が 1 つに揃っている</t>
    <phoneticPr fontId="2"/>
  </si>
  <si>
    <t>データベースへの同時接続数の上限を、設計の決まりごととして明文化する</t>
    <phoneticPr fontId="2"/>
  </si>
  <si>
    <t>追記済みの設計記述。上限と配分の考え方が明記されている</t>
    <phoneticPr fontId="2"/>
  </si>
  <si>
    <t>利用者数の想定が初期と最大で分かれたことを受け、初期の設備量とコストを計算し直す</t>
    <phoneticPr fontId="2"/>
  </si>
  <si>
    <t>再計算結果。初期リリース時点の必要量と費用が示されている</t>
    <phoneticPr fontId="2"/>
  </si>
  <si>
    <t>設計書間で食い違っている 3 点を突き合わせて直す</t>
    <phoneticPr fontId="2"/>
  </si>
  <si>
    <t>是正済みの記述 3 点。相互に矛盾がない</t>
    <phoneticPr fontId="2"/>
  </si>
  <si>
    <t>各設計書で確定済みの内容を、判断記録の文書側にも反映する</t>
    <phoneticPr fontId="2"/>
  </si>
  <si>
    <t>改訂済みの判断記録 7 本。設計書と内容が一致している</t>
    <phoneticPr fontId="2"/>
  </si>
  <si>
    <t>登録漏れになっている小さな項目 4 件を追記する</t>
    <phoneticPr fontId="2"/>
  </si>
  <si>
    <t>追記済みの記述 4 件</t>
    <phoneticPr fontId="2"/>
  </si>
  <si>
    <t>行き先が決まっていない参照 8 件について、担当と行き先を確定する</t>
    <phoneticPr fontId="2"/>
  </si>
  <si>
    <t>整理表。8 件すべての行き先が決まり、追跡対象に登録されている</t>
    <phoneticPr fontId="2"/>
  </si>
  <si>
    <t>調査メモ側の古くなった記述を現行に合わせる</t>
    <phoneticPr fontId="2"/>
  </si>
  <si>
    <t>改訂済みの調査メモ</t>
    <phoneticPr fontId="2"/>
  </si>
  <si>
    <t>対応不要となった規制対応の記述を、削除せず「当面対象外」に格下げする</t>
    <phoneticPr fontId="2"/>
  </si>
  <si>
    <t>格下げ済みの記述。将来再開できる形で残っている</t>
    <phoneticPr fontId="2"/>
  </si>
  <si>
    <t>対象外となった接続方式の記述を「当面対象外」に格下げする</t>
    <phoneticPr fontId="2"/>
  </si>
  <si>
    <t>格下げ済みの記述。将来用の区分は予約されている</t>
    <phoneticPr fontId="2"/>
  </si>
  <si>
    <t>ネットワークの区画を 2 つに分ける決定を、設計書の本文として書き直す</t>
    <phoneticPr fontId="2"/>
  </si>
  <si>
    <t>全面改訂された設計記述。区画の分け方と接続方法が本文として成立している</t>
    <phoneticPr fontId="2"/>
  </si>
  <si>
    <t>ネットワーク構成図と割り当て表を、2 区画の構成に更新する</t>
    <phoneticPr fontId="2"/>
  </si>
  <si>
    <t>更新済みの構成図と割り当て表。本文と図が一致している</t>
    <phoneticPr fontId="2"/>
  </si>
  <si>
    <t>参照している業界標準が正式版になったため、記述を最新の名称と強度に直す</t>
    <phoneticPr fontId="2"/>
  </si>
  <si>
    <t>改訂済みの記述。名称が最新になり、禁止事項の強さも最新に合っている</t>
    <phoneticPr fontId="2"/>
  </si>
  <si>
    <t>接続先が複数あるときの表示順の決め方を、画面側と設定側で合わせて決める</t>
    <phoneticPr fontId="2"/>
  </si>
  <si>
    <t>決定記録と設計反映。並び順の決め方が 1 つに定まっている</t>
    <phoneticPr fontId="2"/>
  </si>
  <si>
    <t>どの操作のときに追加認証を求めるかの一覧を、アプリとの取り決めとして先に確定する</t>
    <phoneticPr fontId="2"/>
  </si>
  <si>
    <t>操作一覧。アプリ側が実装できる粒度で列挙されている</t>
    <phoneticPr fontId="2"/>
  </si>
  <si>
    <t>システム同士が呼び合うときの権限確認の具体を決める</t>
    <phoneticPr fontId="2"/>
  </si>
  <si>
    <t>決定記録。呼び出す側と受ける側の確認内容が定まっている</t>
    <phoneticPr fontId="2"/>
  </si>
  <si>
    <t>通知メールを送るための送信基盤の設定方針を決める</t>
    <phoneticPr fontId="2"/>
  </si>
  <si>
    <t>決定記録。送信元の設定・なりすまし対策・送信できなかった場合の扱いが定まっている</t>
    <phoneticPr fontId="2"/>
  </si>
  <si>
    <t>不正検知の情報を災害時にどう引き継ぐか、緊急時の管理者用経路をどう用意するかを決める</t>
    <phoneticPr fontId="2"/>
  </si>
  <si>
    <t>決定記録。復旧方式と整合している</t>
    <phoneticPr fontId="2"/>
  </si>
  <si>
    <t>登録経路の区分に新しい値を足すか、拡張項目の受け入れ枠をどうするかを決める</t>
    <phoneticPr fontId="2"/>
  </si>
  <si>
    <t>決定記録。区分の一覧が確定している</t>
    <phoneticPr fontId="2"/>
  </si>
  <si>
    <t>利用できるアプリの情報を、どの台帳で一元管理するかを決める</t>
    <phoneticPr fontId="2"/>
  </si>
  <si>
    <t>決定記録。管理場所と更新経路が定まっている</t>
    <phoneticPr fontId="2"/>
  </si>
  <si>
    <t>管理操作の記録をどこに置き、何年保つかを決める</t>
    <phoneticPr fontId="2"/>
  </si>
  <si>
    <t>決定記録。置き場所と保存年数が契約に書ける形で定まっている</t>
    <phoneticPr fontId="2"/>
  </si>
  <si>
    <t>承認画面の共用範囲・定期確認の対象範囲・目標値の境界を決める</t>
    <phoneticPr fontId="2"/>
  </si>
  <si>
    <t>決定記録 3 件</t>
    <phoneticPr fontId="2"/>
  </si>
  <si>
    <t>旧方式の接続先を登録するときのひな形を作る</t>
    <phoneticPr fontId="2"/>
  </si>
  <si>
    <t>ひな形定義。項目の対応づけが定まっている</t>
    <phoneticPr fontId="2"/>
  </si>
  <si>
    <t>接続先の証明書を止めずに入れ替えるための運用手順を決める</t>
    <phoneticPr fontId="2"/>
  </si>
  <si>
    <t>決定記録。自動追随が使えない場合の手動手順も含む</t>
    <phoneticPr fontId="2"/>
  </si>
  <si>
    <t>連続失敗による締め出しと、危険度の判定をどう組み合わせるかを決める</t>
    <phoneticPr fontId="2"/>
  </si>
  <si>
    <t>決定記録。二重に締め出さない条件が定まっている</t>
    <phoneticPr fontId="2"/>
  </si>
  <si>
    <t>入口の防御に必要な情報の受け渡しと、判定できないときの案内文を確定する</t>
    <phoneticPr fontId="2"/>
  </si>
  <si>
    <t>決定記録と文言案</t>
    <phoneticPr fontId="2"/>
  </si>
  <si>
    <t>一時的に強い権限を出す機能をどこに置くかを決める</t>
    <phoneticPr fontId="2"/>
  </si>
  <si>
    <t>決定記録</t>
    <phoneticPr fontId="2"/>
  </si>
  <si>
    <t>業務システムへの移行を 4 段階で進める詳細手順を決める</t>
    <phoneticPr fontId="2"/>
  </si>
  <si>
    <t>段階別の手順書。各段階で元に戻せることが示されている</t>
    <phoneticPr fontId="2"/>
  </si>
  <si>
    <t>利用者を止めたときに業務システム側でも使えなくなる連鎖の仕組みを決める</t>
    <phoneticPr fontId="2"/>
  </si>
  <si>
    <t>決定記録。業務履歴を残しつつ利用を止められる方式が定まっている</t>
    <phoneticPr fontId="2"/>
  </si>
  <si>
    <t>業務システムにしかいない利用者の移行方針を決める</t>
    <phoneticPr fontId="2"/>
  </si>
  <si>
    <t>決定記録。対象者の扱いが定まっている</t>
    <phoneticPr fontId="2"/>
  </si>
  <si>
    <t>全利用者を顧客の認証システム経由に統一する方針に合わせ、ログイン処理の流れを書き直す</t>
    <phoneticPr fontId="2"/>
  </si>
  <si>
    <t>改訂済みの設計記述</t>
    <phoneticPr fontId="2"/>
  </si>
  <si>
    <t>利用者がどの経路で登録されたかの区分を、新方針に合わせて整理し直す</t>
    <phoneticPr fontId="2"/>
  </si>
  <si>
    <t>改訂済みの経路表。区分が重複しない</t>
    <phoneticPr fontId="2"/>
  </si>
  <si>
    <t>追加認証の画面の流れを、新方針での利用者区分に合わせて見直す</t>
    <phoneticPr fontId="2"/>
  </si>
  <si>
    <t>追加認証の実施責任が顧客側に移る部分を、設計書に明記する</t>
    <phoneticPr fontId="2"/>
  </si>
  <si>
    <t>改訂済みの設計記述。責任の所在が明確になっている</t>
    <phoneticPr fontId="2"/>
  </si>
  <si>
    <t>書き直した 4 つの設計書の間で矛盾がないかを突き合わせる</t>
    <phoneticPr fontId="2"/>
  </si>
  <si>
    <t>顧客の希望する復旧時間と、現在の方式で実現できる時間の差を数値で明らかにする</t>
    <phoneticPr fontId="2"/>
  </si>
  <si>
    <t>分析結果。差分と、その原因となる制約が数値で示されている</t>
    <phoneticPr fontId="2"/>
  </si>
  <si>
    <t>分析を踏まえ、復旧方式をどうするかを決める</t>
    <phoneticPr fontId="2"/>
  </si>
  <si>
    <t>決定記録。方式が 1 つに確定している</t>
    <phoneticPr fontId="2"/>
  </si>
  <si>
    <t>決めた復旧方式を関連する設計書に反映する</t>
    <phoneticPr fontId="2"/>
  </si>
  <si>
    <t>改訂済みの設計記述 3 冊</t>
    <phoneticPr fontId="2"/>
  </si>
  <si>
    <t>復旧作業の手順書の骨子を作る</t>
    <phoneticPr fontId="2"/>
  </si>
  <si>
    <t>手順書の骨子。実際の作業順序が追える</t>
    <phoneticPr fontId="2"/>
  </si>
  <si>
    <t>認証システムをいくつのまとまりで構成するかを再検討して決める</t>
    <phoneticPr fontId="2"/>
  </si>
  <si>
    <t>決定記録。構成が確定し、ネットワーク設計の前提が定まる</t>
    <phoneticPr fontId="2"/>
  </si>
  <si>
    <t>運用委託先から個人情報が見えないよう、記録の出し方の方式を決める</t>
    <phoneticPr fontId="2"/>
  </si>
  <si>
    <t>決定記録。出力内容の伏せ方と、設定を固定する方法が定まっている</t>
    <phoneticPr fontId="2"/>
  </si>
  <si>
    <t>開発用・検証用の環境について、他社事例や費用面を調べる</t>
    <phoneticPr fontId="2"/>
  </si>
  <si>
    <t>調査結果。選択肢と概算費用が整理されている</t>
    <phoneticPr fontId="2"/>
  </si>
  <si>
    <t>開発用・検証用の環境をどう構成するかを決める</t>
    <phoneticPr fontId="2"/>
  </si>
  <si>
    <t>決定記録。環境の数と共用範囲が定まっている</t>
    <phoneticPr fontId="2"/>
  </si>
  <si>
    <t>試験用データの作り方と、環境の維持費用を決める</t>
    <phoneticPr fontId="2"/>
  </si>
  <si>
    <t>決定記録。本番の個人情報を使わない方針が定まっている</t>
    <phoneticPr fontId="2"/>
  </si>
  <si>
    <t>性能試験の進め方を 1 冊にまとめる</t>
    <phoneticPr fontId="2"/>
  </si>
  <si>
    <t>試験計画書。試験項目・合格基準・実施順序が定まっている</t>
    <phoneticPr fontId="2"/>
  </si>
  <si>
    <t>運用開始後の費用管理の仕組みを決める</t>
    <phoneticPr fontId="2"/>
  </si>
  <si>
    <t>決定記録。費用の見える化と超過時の警告の仕組みが定まっている</t>
    <phoneticPr fontId="2"/>
  </si>
  <si>
    <t>本番運用で必要な製品設定のうち、抜けていた 5 項目を調べて設計に反映する</t>
    <phoneticPr fontId="2"/>
  </si>
  <si>
    <t>改訂済みの設計記述。5 項目すべてが反映されている</t>
    <phoneticPr fontId="2"/>
  </si>
  <si>
    <t>製品の更新作業をどう安全に行うかを詰める</t>
    <phoneticPr fontId="2"/>
  </si>
  <si>
    <t>決定記録。停止が必要な更新の見分け方と作業時間帯の設計が定まっている</t>
    <phoneticPr fontId="2"/>
  </si>
  <si>
    <t>データベース接続に公式部品を使うかどうかを決める</t>
    <phoneticPr fontId="2"/>
  </si>
  <si>
    <t>決定記録。採否とその理由が定まっている</t>
    <phoneticPr fontId="2"/>
  </si>
  <si>
    <t>運用記録を中央に集める際の製品側の制約を確認し、設計と整合させる</t>
    <phoneticPr fontId="2"/>
  </si>
  <si>
    <t>確認結果と改訂済み設計記述</t>
    <phoneticPr fontId="2"/>
  </si>
  <si>
    <t>連続失敗への対処方式を選び、利用者一覧を推測されない対策と併せて明文化する</t>
    <phoneticPr fontId="2"/>
  </si>
  <si>
    <t>決定記録。方式が 1 つに定まり、推測対策と両立している</t>
    <phoneticPr fontId="2"/>
  </si>
  <si>
    <t>顧客への質問状を、優先度をつけて 1 つのパッケージにまとめる</t>
    <phoneticPr fontId="2"/>
  </si>
  <si>
    <t>質問状パッケージ。優先度順に整理され、発行できる状態</t>
    <phoneticPr fontId="2"/>
  </si>
  <si>
    <t>顧客からの回答を受けて、前提と各設計書を更新する</t>
    <phoneticPr fontId="2"/>
  </si>
  <si>
    <t>更新済みの前提表と設計記述。回答と設計が一致している</t>
    <phoneticPr fontId="2"/>
  </si>
  <si>
    <t>法務確認と製品ベンダーへの照会を起票し、回答を追いかける</t>
    <phoneticPr fontId="2"/>
  </si>
  <si>
    <t>起票記録と回答。契約前に確認が必要な項目が追跡できている</t>
    <phoneticPr fontId="2"/>
  </si>
  <si>
    <t>別の作業で進んでいる 2 件の判断記録が完了した後、残っている参照を整理する</t>
    <phoneticPr fontId="2"/>
  </si>
  <si>
    <t>整理済みの参照。矛盾する記述が残っていない</t>
    <phoneticPr fontId="2"/>
  </si>
  <si>
    <t>顧客テナントを新しく追加するときの作業手順書を作る</t>
    <phoneticPr fontId="2"/>
  </si>
  <si>
    <t>手順書 1 冊。担当者が手順どおりに実施できる粒度</t>
    <phoneticPr fontId="2"/>
  </si>
  <si>
    <t>顧客がサービスを離れるときの段階的な手順書を作る</t>
    <phoneticPr fontId="2"/>
  </si>
  <si>
    <t>手順書 1 冊。猶予期間とデータの引き渡しが手順化されている</t>
    <phoneticPr fontId="2"/>
  </si>
  <si>
    <t>不正の兆候を検知したときの初動手順書を作る</t>
    <phoneticPr fontId="2"/>
  </si>
  <si>
    <t>手順書 1 冊。報告期限に間に合う初動が手順化されている</t>
    <phoneticPr fontId="2"/>
  </si>
  <si>
    <t>情報漏えいが疑われる場合の届出手順書を作る</t>
    <phoneticPr fontId="2"/>
  </si>
  <si>
    <t>手順書 1 冊。法定の期限に沿った作業順序になっている</t>
    <phoneticPr fontId="2"/>
  </si>
  <si>
    <t>緊急で鍵を入れ替えるときの手順書を作る</t>
    <phoneticPr fontId="2"/>
  </si>
  <si>
    <t>手順書 1 冊。停止時間を最小にする順序で書かれている</t>
    <phoneticPr fontId="2"/>
  </si>
  <si>
    <t>通常経路が使えないときの緊急用アクセス手順書を作る</t>
    <phoneticPr fontId="2"/>
  </si>
  <si>
    <t>手順書 1 冊。承認・使用・事後処理が含まれている</t>
    <phoneticPr fontId="2"/>
  </si>
  <si>
    <t>利用者を強制的にログアウトさせる 3 段階の手順書を作る</t>
    <phoneticPr fontId="2"/>
  </si>
  <si>
    <t>手順書 1 冊。範囲ごとの影響が明記されている</t>
    <phoneticPr fontId="2"/>
  </si>
  <si>
    <t>災害復旧を発動するかどうかの判断手順書を作る</t>
    <phoneticPr fontId="2"/>
  </si>
  <si>
    <t>手順書 1 冊。判断基準が明確で迷わない</t>
    <phoneticPr fontId="2"/>
  </si>
  <si>
    <t>切り替え先の地域でシステムを作り直す手順書を作る</t>
    <phoneticPr fontId="2"/>
  </si>
  <si>
    <t>手順書 1 冊。決定した復旧方式に沿っている</t>
    <phoneticPr fontId="2"/>
  </si>
  <si>
    <t>データを過去の時点に戻す手順書を作る</t>
    <phoneticPr fontId="2"/>
  </si>
  <si>
    <t>手順書 1 冊。復元できる時点と所要時間が明記されている</t>
    <phoneticPr fontId="2"/>
  </si>
  <si>
    <t>復旧後に元の地域へ戻す手順書を作る</t>
    <phoneticPr fontId="2"/>
  </si>
  <si>
    <t>手順書 1 冊。戻す際の確認項目が含まれている</t>
    <phoneticPr fontId="2"/>
  </si>
  <si>
    <t>障害時の連絡体制と当番の仕組みを整える</t>
    <phoneticPr fontId="2"/>
  </si>
  <si>
    <t>体制の定義。連絡先と交代の仕組みが定まっている</t>
    <phoneticPr fontId="2"/>
  </si>
  <si>
    <t>全体構成図を正式な清書版にする</t>
    <phoneticPr fontId="2"/>
  </si>
  <si>
    <t>清書版の全体構成図。最新の構成を反映している</t>
    <phoneticPr fontId="2"/>
  </si>
  <si>
    <t>ネットワーク詳細図を正式な清書版にする</t>
    <phoneticPr fontId="2"/>
  </si>
  <si>
    <t>清書版のネットワーク図。最新の経路を反映している</t>
    <phoneticPr fontId="2"/>
  </si>
  <si>
    <t>機能名</t>
    <phoneticPr fontId="2"/>
  </si>
  <si>
    <t>該当なし（廃止）</t>
    <phoneticPr fontId="2"/>
  </si>
  <si>
    <t>該当なし</t>
    <phoneticPr fontId="2"/>
  </si>
  <si>
    <t>横断（全機能共通）</t>
    <phoneticPr fontId="2"/>
  </si>
  <si>
    <t>該当なし（1機能1行へ分割済み）</t>
    <phoneticPr fontId="2"/>
  </si>
  <si>
    <t>横断（代表シナリオ）</t>
    <phoneticPr fontId="2"/>
  </si>
  <si>
    <t>F-PROV-10, F-PROV-11</t>
    <phoneticPr fontId="2"/>
  </si>
  <si>
    <t>利用者の停止／利用者の再開</t>
    <phoneticPr fontId="2"/>
  </si>
  <si>
    <t>F-AZ-05</t>
    <phoneticPr fontId="2"/>
  </si>
  <si>
    <t>テナント越境の防止</t>
    <phoneticPr fontId="2"/>
  </si>
  <si>
    <t>F-ADM-01</t>
    <phoneticPr fontId="2"/>
  </si>
  <si>
    <t>利用者の検索・一覧</t>
    <phoneticPr fontId="2"/>
  </si>
  <si>
    <t>F-ADM-20</t>
    <phoneticPr fontId="2"/>
  </si>
  <si>
    <t>利用者の一括登録</t>
    <phoneticPr fontId="2"/>
  </si>
  <si>
    <t>F-ADM-21</t>
    <phoneticPr fontId="2"/>
  </si>
  <si>
    <t>一覧・記録のファイル出力</t>
    <phoneticPr fontId="2"/>
  </si>
  <si>
    <t>該当なし（章ごとに分割済み）</t>
    <phoneticPr fontId="2"/>
  </si>
  <si>
    <t>F-AUTH-05</t>
    <phoneticPr fontId="2"/>
  </si>
  <si>
    <t>顧客認証システムへのログイン委譲</t>
    <phoneticPr fontId="2"/>
  </si>
  <si>
    <t>該当なし（対象外）</t>
    <phoneticPr fontId="2"/>
  </si>
  <si>
    <t>F-AZ-07</t>
    <phoneticPr fontId="2"/>
  </si>
  <si>
    <t>システム間連携用の通行証発行</t>
    <phoneticPr fontId="2"/>
  </si>
  <si>
    <t>F-INT-01</t>
    <phoneticPr fontId="2"/>
  </si>
  <si>
    <t>業務システムへの認証提供</t>
    <phoneticPr fontId="2"/>
  </si>
  <si>
    <t>F-AZ-01</t>
    <phoneticPr fontId="2"/>
  </si>
  <si>
    <t>権限情報の一括取得</t>
    <phoneticPr fontId="2"/>
  </si>
  <si>
    <t>顧客認証システムへのログイン委譲（ログアウト連携）</t>
    <phoneticPr fontId="2"/>
  </si>
  <si>
    <t>F-AUTH-17</t>
    <phoneticPr fontId="2"/>
  </si>
  <si>
    <t>重要操作時の追加認証</t>
    <phoneticPr fontId="2"/>
  </si>
  <si>
    <t>F-AZ-08</t>
    <phoneticPr fontId="2"/>
  </si>
  <si>
    <t>通行証の交換</t>
    <phoneticPr fontId="2"/>
  </si>
  <si>
    <t>F-INT-04</t>
    <phoneticPr fontId="2"/>
  </si>
  <si>
    <t>アプリへの変更通知</t>
    <phoneticPr fontId="2"/>
  </si>
  <si>
    <t>F-INT-12</t>
    <phoneticPr fontId="2"/>
  </si>
  <si>
    <t>状態変化の即時通知</t>
    <phoneticPr fontId="2"/>
  </si>
  <si>
    <t>F-AUTH-01</t>
    <phoneticPr fontId="2"/>
  </si>
  <si>
    <t>ローカルログイン</t>
    <phoneticPr fontId="2"/>
  </si>
  <si>
    <t>F-AUTH-02</t>
    <phoneticPr fontId="2"/>
  </si>
  <si>
    <t>接続先の自動振り分け</t>
    <phoneticPr fontId="2"/>
  </si>
  <si>
    <t>F-AUTH-03</t>
    <phoneticPr fontId="2"/>
  </si>
  <si>
    <t>振り分け失敗時のパスワード入力への切替</t>
    <phoneticPr fontId="2"/>
  </si>
  <si>
    <t>F-AUTH-04</t>
    <phoneticPr fontId="2"/>
  </si>
  <si>
    <t>接続先の選択画面</t>
    <phoneticPr fontId="2"/>
  </si>
  <si>
    <t>F-AUTH-06</t>
    <phoneticPr fontId="2"/>
  </si>
  <si>
    <t>顧客認証システムへのログイン委譲（旧方式）</t>
    <phoneticPr fontId="2"/>
  </si>
  <si>
    <t>F-AUTH-07</t>
    <phoneticPr fontId="2"/>
  </si>
  <si>
    <t>初回ログイン時の利用者控え作成</t>
    <phoneticPr fontId="2"/>
  </si>
  <si>
    <t>F-AUTH-08</t>
    <phoneticPr fontId="2"/>
  </si>
  <si>
    <t>ログイン後の属性取り込み</t>
    <phoneticPr fontId="2"/>
  </si>
  <si>
    <t>F-AUTH-09</t>
    <phoneticPr fontId="2"/>
  </si>
  <si>
    <t>内部2段構えの認証連携</t>
    <phoneticPr fontId="2"/>
  </si>
  <si>
    <t>F-AUTH-10</t>
    <phoneticPr fontId="2"/>
  </si>
  <si>
    <t>追加認証（数字コード）</t>
    <phoneticPr fontId="2"/>
  </si>
  <si>
    <t>F-AUTH-11</t>
    <phoneticPr fontId="2"/>
  </si>
  <si>
    <t>追加認証（生体・セキュリティキー）</t>
    <phoneticPr fontId="2"/>
  </si>
  <si>
    <t>F-AUTH-12</t>
    <phoneticPr fontId="2"/>
  </si>
  <si>
    <t>追加認証の登録（数字コード）</t>
    <phoneticPr fontId="2"/>
  </si>
  <si>
    <t>F-AUTH-13</t>
    <phoneticPr fontId="2"/>
  </si>
  <si>
    <t>追加認証の登録（生体・セキュリティキー）</t>
    <phoneticPr fontId="2"/>
  </si>
  <si>
    <t>F-AUTH-14</t>
    <phoneticPr fontId="2"/>
  </si>
  <si>
    <t>2台目登録時の再認証</t>
    <phoneticPr fontId="2"/>
  </si>
  <si>
    <t>F-AUTH-15</t>
    <phoneticPr fontId="2"/>
  </si>
  <si>
    <t>復旧用コードの発行・利用</t>
    <phoneticPr fontId="2"/>
  </si>
  <si>
    <t>F-AUTH-16</t>
    <phoneticPr fontId="2"/>
  </si>
  <si>
    <t>メールを持たない人の復旧</t>
    <phoneticPr fontId="2"/>
  </si>
  <si>
    <t>F-AUTH-18</t>
    <phoneticPr fontId="2"/>
  </si>
  <si>
    <t>パスワードの自己再設定</t>
    <phoneticPr fontId="2"/>
  </si>
  <si>
    <t>F-AUTH-19</t>
    <phoneticPr fontId="2"/>
  </si>
  <si>
    <t>パスワード変更・初回強制変更</t>
    <phoneticPr fontId="2"/>
  </si>
  <si>
    <t>F-AUTH-20</t>
    <phoneticPr fontId="2"/>
  </si>
  <si>
    <t>連続失敗時の一時締め出し</t>
    <phoneticPr fontId="2"/>
  </si>
  <si>
    <t>F-AUTH-21</t>
    <phoneticPr fontId="2"/>
  </si>
  <si>
    <t>利用者一覧の推測防止</t>
    <phoneticPr fontId="2"/>
  </si>
  <si>
    <t>F-AUTH-22</t>
    <phoneticPr fontId="2"/>
  </si>
  <si>
    <t>流出パスワードの照会</t>
    <phoneticPr fontId="2"/>
  </si>
  <si>
    <t>F-PROV-01</t>
    <phoneticPr fontId="2"/>
  </si>
  <si>
    <t>初回ログイン時の自動登録</t>
    <phoneticPr fontId="2"/>
  </si>
  <si>
    <t>F-PROV-02</t>
    <phoneticPr fontId="2"/>
  </si>
  <si>
    <t>ログイン時の属性更新</t>
    <phoneticPr fontId="2"/>
  </si>
  <si>
    <t>F-PROV-03</t>
    <phoneticPr fontId="2"/>
  </si>
  <si>
    <t>顧客システムからの利用者登録</t>
    <phoneticPr fontId="2"/>
  </si>
  <si>
    <t>F-PROV-04</t>
    <phoneticPr fontId="2"/>
  </si>
  <si>
    <t>顧客システムからの利用者更新</t>
    <phoneticPr fontId="2"/>
  </si>
  <si>
    <t>F-PROV-05</t>
    <phoneticPr fontId="2"/>
  </si>
  <si>
    <t>顧客システムからの削除通知</t>
    <phoneticPr fontId="2"/>
  </si>
  <si>
    <t>F-PROV-06</t>
    <phoneticPr fontId="2"/>
  </si>
  <si>
    <t>顧客システムからの利用者検索</t>
    <phoneticPr fontId="2"/>
  </si>
  <si>
    <t>F-PROV-07</t>
    <phoneticPr fontId="2"/>
  </si>
  <si>
    <t>顧客システムからのグループ連携</t>
    <phoneticPr fontId="2"/>
  </si>
  <si>
    <t>F-PROV-08</t>
    <phoneticPr fontId="2"/>
  </si>
  <si>
    <t>項目名の変換・統一</t>
    <phoneticPr fontId="2"/>
  </si>
  <si>
    <t>F-PROV-09</t>
    <phoneticPr fontId="2"/>
  </si>
  <si>
    <t>登録経路の区分判定</t>
    <phoneticPr fontId="2"/>
  </si>
  <si>
    <t>F-PROV-10</t>
    <phoneticPr fontId="2"/>
  </si>
  <si>
    <t>利用者の停止（消さずに無効化）</t>
    <phoneticPr fontId="2"/>
  </si>
  <si>
    <t>F-PROV-11</t>
    <phoneticPr fontId="2"/>
  </si>
  <si>
    <t>利用者の再開</t>
    <phoneticPr fontId="2"/>
  </si>
  <si>
    <t>F-PROV-12</t>
    <phoneticPr fontId="2"/>
  </si>
  <si>
    <t>停止の確実な伝播</t>
    <phoneticPr fontId="2"/>
  </si>
  <si>
    <t>F-PROV-13</t>
    <phoneticPr fontId="2"/>
  </si>
  <si>
    <t>再開の確実な伝播</t>
    <phoneticPr fontId="2"/>
  </si>
  <si>
    <t>F-PROV-14</t>
    <phoneticPr fontId="2"/>
  </si>
  <si>
    <t>初回ログイン者の識別子通知</t>
    <phoneticPr fontId="2"/>
  </si>
  <si>
    <t>F-PROV-15</t>
    <phoneticPr fontId="2"/>
  </si>
  <si>
    <t>権限管理側の受け皿作成</t>
    <phoneticPr fontId="2"/>
  </si>
  <si>
    <t>F-PROV-16</t>
    <phoneticPr fontId="2"/>
  </si>
  <si>
    <t>顧客番号と基盤識別子の対応づけ</t>
    <phoneticPr fontId="2"/>
  </si>
  <si>
    <t>F-PROV-17</t>
    <phoneticPr fontId="2"/>
  </si>
  <si>
    <t>参照用データの更新</t>
    <phoneticPr fontId="2"/>
  </si>
  <si>
    <t>F-ADM-02</t>
    <phoneticPr fontId="2"/>
  </si>
  <si>
    <t>利用者の詳細参照</t>
    <phoneticPr fontId="2"/>
  </si>
  <si>
    <t>F-ADM-03</t>
    <phoneticPr fontId="2"/>
  </si>
  <si>
    <t>利用者の登録</t>
    <phoneticPr fontId="2"/>
  </si>
  <si>
    <t>F-ADM-04</t>
    <phoneticPr fontId="2"/>
  </si>
  <si>
    <t>利用者の変更</t>
    <phoneticPr fontId="2"/>
  </si>
  <si>
    <t>F-ADM-05</t>
    <phoneticPr fontId="2"/>
  </si>
  <si>
    <t>利用者の停止・再開</t>
    <phoneticPr fontId="2"/>
  </si>
  <si>
    <t>F-ADM-06</t>
    <phoneticPr fontId="2"/>
  </si>
  <si>
    <t>利用者の削除</t>
    <phoneticPr fontId="2"/>
  </si>
  <si>
    <t>F-ADM-07</t>
    <phoneticPr fontId="2"/>
  </si>
  <si>
    <t>パスワード初期化（管理者）</t>
    <phoneticPr fontId="2"/>
  </si>
  <si>
    <t>F-ADM-08</t>
    <phoneticPr fontId="2"/>
  </si>
  <si>
    <t>利用者の招待</t>
    <phoneticPr fontId="2"/>
  </si>
  <si>
    <t>F-ADM-09</t>
    <phoneticPr fontId="2"/>
  </si>
  <si>
    <t>追加認証の解除（管理者）</t>
    <phoneticPr fontId="2"/>
  </si>
  <si>
    <t>F-ADM-10</t>
    <phoneticPr fontId="2"/>
  </si>
  <si>
    <t>強制ログアウト</t>
    <phoneticPr fontId="2"/>
  </si>
  <si>
    <t>F-ADM-11</t>
    <phoneticPr fontId="2"/>
  </si>
  <si>
    <t>使えるアプリの設定</t>
    <phoneticPr fontId="2"/>
  </si>
  <si>
    <t>F-ADM-12</t>
    <phoneticPr fontId="2"/>
  </si>
  <si>
    <t>アプリ内の役割の設定</t>
    <phoneticPr fontId="2"/>
  </si>
  <si>
    <t>F-ADM-13</t>
    <phoneticPr fontId="2"/>
  </si>
  <si>
    <t>組織情報の編集</t>
    <phoneticPr fontId="2"/>
  </si>
  <si>
    <t>F-ADM-14</t>
    <phoneticPr fontId="2"/>
  </si>
  <si>
    <t>テナントの作成</t>
    <phoneticPr fontId="2"/>
  </si>
  <si>
    <t>F-ADM-15</t>
    <phoneticPr fontId="2"/>
  </si>
  <si>
    <t>テナント設定の編集</t>
    <phoneticPr fontId="2"/>
  </si>
  <si>
    <t>F-ADM-16</t>
    <phoneticPr fontId="2"/>
  </si>
  <si>
    <t>顧客認証システムの接続登録</t>
    <phoneticPr fontId="2"/>
  </si>
  <si>
    <t>F-ADM-17</t>
    <phoneticPr fontId="2"/>
  </si>
  <si>
    <t>接続設定の変更・証明書更新</t>
    <phoneticPr fontId="2"/>
  </si>
  <si>
    <t>F-ADM-18</t>
    <phoneticPr fontId="2"/>
  </si>
  <si>
    <t>操作記録の照会</t>
    <phoneticPr fontId="2"/>
  </si>
  <si>
    <t>F-ADM-19</t>
    <phoneticPr fontId="2"/>
  </si>
  <si>
    <t>権限の定期見直し</t>
    <phoneticPr fontId="2"/>
  </si>
  <si>
    <t>F-ADM-22</t>
    <phoneticPr fontId="2"/>
  </si>
  <si>
    <t>システム用アカウントの台帳管理</t>
    <phoneticPr fontId="2"/>
  </si>
  <si>
    <t>F-AZ-02</t>
    <phoneticPr fontId="2"/>
  </si>
  <si>
    <t>使えるアプリ一覧の取得</t>
    <phoneticPr fontId="2"/>
  </si>
  <si>
    <t>F-AZ-03</t>
    <phoneticPr fontId="2"/>
  </si>
  <si>
    <t>アプリ利用可否の判定</t>
    <phoneticPr fontId="2"/>
  </si>
  <si>
    <t>F-AZ-04</t>
    <phoneticPr fontId="2"/>
  </si>
  <si>
    <t>アプリ内の役割の解決</t>
    <phoneticPr fontId="2"/>
  </si>
  <si>
    <t>F-AZ-06</t>
    <phoneticPr fontId="2"/>
  </si>
  <si>
    <t>管理操作の3段階権限確認</t>
    <phoneticPr fontId="2"/>
  </si>
  <si>
    <t>F-AZ-09</t>
    <phoneticPr fontId="2"/>
  </si>
  <si>
    <t>権限判定の記録</t>
    <phoneticPr fontId="2"/>
  </si>
  <si>
    <t>F-INT-02</t>
    <phoneticPr fontId="2"/>
  </si>
  <si>
    <t>業務システム側の利用者自動作成</t>
    <phoneticPr fontId="2"/>
  </si>
  <si>
    <t>F-INT-03</t>
    <phoneticPr fontId="2"/>
  </si>
  <si>
    <t>業務システムから他アプリへの連携</t>
    <phoneticPr fontId="2"/>
  </si>
  <si>
    <t>F-INT-05</t>
    <phoneticPr fontId="2"/>
  </si>
  <si>
    <t>停止イベントのアカウント間伝達</t>
    <phoneticPr fontId="2"/>
  </si>
  <si>
    <t>F-INT-06</t>
    <phoneticPr fontId="2"/>
  </si>
  <si>
    <t>識別子のアカウント間伝達</t>
    <phoneticPr fontId="2"/>
  </si>
  <si>
    <t>F-INT-07</t>
    <phoneticPr fontId="2"/>
  </si>
  <si>
    <t>通知メールの送信</t>
    <phoneticPr fontId="2"/>
  </si>
  <si>
    <t>F-INT-08</t>
    <phoneticPr fontId="2"/>
  </si>
  <si>
    <t>不正兆候の検知</t>
    <phoneticPr fontId="2"/>
  </si>
  <si>
    <t>F-INT-09</t>
    <phoneticPr fontId="2"/>
  </si>
  <si>
    <t>定期的な擬似ログインによる障害検知</t>
    <phoneticPr fontId="2"/>
  </si>
  <si>
    <t>F-INT-10</t>
    <phoneticPr fontId="2"/>
  </si>
  <si>
    <t>アプリ設置状況の巡回確認</t>
    <phoneticPr fontId="2"/>
  </si>
  <si>
    <t>F-INT-11</t>
    <phoneticPr fontId="2"/>
  </si>
  <si>
    <t>接続情報の自動追随</t>
    <phoneticPr fontId="2"/>
  </si>
  <si>
    <t>F-BAT-01</t>
    <phoneticPr fontId="2"/>
  </si>
  <si>
    <t>長期未使用者の自動停止</t>
    <phoneticPr fontId="2"/>
  </si>
  <si>
    <t>F-BAT-02</t>
    <phoneticPr fontId="2"/>
  </si>
  <si>
    <t>停止伝播の突合（短間隔）</t>
    <phoneticPr fontId="2"/>
  </si>
  <si>
    <t>F-BAT-03</t>
    <phoneticPr fontId="2"/>
  </si>
  <si>
    <t>日次の整合突合</t>
    <phoneticPr fontId="2"/>
  </si>
  <si>
    <t>F-BAT-04</t>
    <phoneticPr fontId="2"/>
  </si>
  <si>
    <t>署名鍵の定期入れ替え</t>
    <phoneticPr fontId="2"/>
  </si>
  <si>
    <t>F-BAT-05</t>
    <phoneticPr fontId="2"/>
  </si>
  <si>
    <t>接続用パスワードの定期入れ替え</t>
    <phoneticPr fontId="2"/>
  </si>
  <si>
    <t>F-BAT-06</t>
    <phoneticPr fontId="2"/>
  </si>
  <si>
    <t>未使用アカウントの検出</t>
    <phoneticPr fontId="2"/>
  </si>
  <si>
    <t>F-BAT-07</t>
    <phoneticPr fontId="2"/>
  </si>
  <si>
    <t>証明書期限の監視</t>
    <phoneticPr fontId="2"/>
  </si>
  <si>
    <t>F-BAT-08</t>
    <phoneticPr fontId="2"/>
  </si>
  <si>
    <t>権限見直しの定期開始</t>
    <phoneticPr fontId="2"/>
  </si>
  <si>
    <t>F-BAT-09</t>
    <phoneticPr fontId="2"/>
  </si>
  <si>
    <t>保存期限切れデータの消去</t>
    <phoneticPr fontId="2"/>
  </si>
  <si>
    <t>F-ADM-04, F-BAT-*</t>
    <phoneticPr fontId="2"/>
  </si>
  <si>
    <t>利用者の変更／定期実行処理全般</t>
    <phoneticPr fontId="2"/>
  </si>
  <si>
    <t>F-AUTH-01〜19</t>
    <phoneticPr fontId="2"/>
  </si>
  <si>
    <t>利用者向けログイン機能全般</t>
    <phoneticPr fontId="2"/>
  </si>
  <si>
    <t>F-ADM-01〜22</t>
    <phoneticPr fontId="2"/>
  </si>
  <si>
    <t>管理画面の機能全般</t>
    <phoneticPr fontId="2"/>
  </si>
  <si>
    <t>F-ADM-08, F-AUTH-18, F-INT-07</t>
    <phoneticPr fontId="2"/>
  </si>
  <si>
    <t>利用者の招待／パスワードの自己再設定／通知メールの送信</t>
    <phoneticPr fontId="2"/>
  </si>
  <si>
    <t>利用者の登録・変更・削除</t>
    <phoneticPr fontId="2"/>
  </si>
  <si>
    <t>F-ADM-11, F-ADM-12, F-AZ-03</t>
    <phoneticPr fontId="2"/>
  </si>
  <si>
    <t>使えるアプリの設定／アプリ内の役割の設定／アプリ利用可否の判定</t>
    <phoneticPr fontId="2"/>
  </si>
  <si>
    <t>F-AZ-01, F-AZ-02</t>
    <phoneticPr fontId="2"/>
  </si>
  <si>
    <t>権限情報の一括取得／使えるアプリ一覧の取得</t>
    <phoneticPr fontId="2"/>
  </si>
  <si>
    <t>F-PROV-03〜06</t>
    <phoneticPr fontId="2"/>
  </si>
  <si>
    <t>顧客システムからの利用者情報受け取り</t>
    <phoneticPr fontId="2"/>
  </si>
  <si>
    <t>F-INT-05, F-INT-06</t>
    <phoneticPr fontId="2"/>
  </si>
  <si>
    <t>停止イベントのアカウント間伝達／識別子のアカウント間伝達</t>
    <phoneticPr fontId="2"/>
  </si>
  <si>
    <t>F-INT-07, F-AUTH-22</t>
    <phoneticPr fontId="2"/>
  </si>
  <si>
    <t>通知メールの送信／流出パスワードの照会</t>
    <phoneticPr fontId="2"/>
  </si>
  <si>
    <t>F-BAT-*</t>
    <phoneticPr fontId="2"/>
  </si>
  <si>
    <t>定期実行処理全般</t>
    <phoneticPr fontId="2"/>
  </si>
  <si>
    <t>横断（定期処理共通）</t>
    <phoneticPr fontId="2"/>
  </si>
  <si>
    <t>F-BAT-01, F-BAT-09</t>
    <phoneticPr fontId="2"/>
  </si>
  <si>
    <t>長期未使用者の自動停止／保存期限切れデータの消去</t>
    <phoneticPr fontId="2"/>
  </si>
  <si>
    <t>F-BAT-02, F-BAT-03</t>
    <phoneticPr fontId="2"/>
  </si>
  <si>
    <t>停止伝播の突合／日次の整合突合</t>
    <phoneticPr fontId="2"/>
  </si>
  <si>
    <t>鍵・証明書・権限見直しの定期処理</t>
    <phoneticPr fontId="2"/>
  </si>
  <si>
    <t>F-AZ-05, F-AZ-06</t>
    <phoneticPr fontId="2"/>
  </si>
  <si>
    <t>テナント越境の防止／管理操作の3段階権限確認</t>
    <phoneticPr fontId="2"/>
  </si>
  <si>
    <t>F-AUTH-01〜09</t>
    <phoneticPr fontId="2"/>
  </si>
  <si>
    <t>ログイン処理全般</t>
    <phoneticPr fontId="2"/>
  </si>
  <si>
    <t>F-PROV-01, F-PROV-11</t>
    <phoneticPr fontId="2"/>
  </si>
  <si>
    <t>初回ログイン時の自動登録／利用者の再開</t>
    <phoneticPr fontId="2"/>
  </si>
  <si>
    <t>F-PROV-01, F-AUTH-16</t>
    <phoneticPr fontId="2"/>
  </si>
  <si>
    <t>初回ログイン時の自動登録／メールを持たない人の復旧</t>
    <phoneticPr fontId="2"/>
  </si>
  <si>
    <t>F-AUTH-02, F-AUTH-05</t>
    <phoneticPr fontId="2"/>
  </si>
  <si>
    <t>接続先の自動振り分け／顧客認証システムへのログイン委譲</t>
    <phoneticPr fontId="2"/>
  </si>
  <si>
    <t>F-AUTH-02, F-PROV-01, F-PROV-11</t>
    <phoneticPr fontId="2"/>
  </si>
  <si>
    <t>接続先の自動振り分け／初回ログイン時の自動登録／利用者の再開</t>
    <phoneticPr fontId="2"/>
  </si>
  <si>
    <t>F-PROV-03〜06, F-PROV-17</t>
    <phoneticPr fontId="2"/>
  </si>
  <si>
    <t>顧客システムからの利用者情報受け取り／参照用データの更新</t>
    <phoneticPr fontId="2"/>
  </si>
  <si>
    <t>F-AUTH-06, F-PROV-01</t>
    <phoneticPr fontId="2"/>
  </si>
  <si>
    <t>顧客認証システムへのログイン委譲（旧方式）／初回ログイン時の自動登録</t>
    <phoneticPr fontId="2"/>
  </si>
  <si>
    <t>F-AUTH-05, F-AUTH-06</t>
    <phoneticPr fontId="2"/>
  </si>
  <si>
    <t>顧客認証システムへのログイン委譲（標準・旧方式）</t>
    <phoneticPr fontId="2"/>
  </si>
  <si>
    <t>F-PROV-09, F-INT-08</t>
    <phoneticPr fontId="2"/>
  </si>
  <si>
    <t>登録経路の区分判定／不正兆候の検知</t>
    <phoneticPr fontId="2"/>
  </si>
  <si>
    <t>F-INT-01, F-INT-02</t>
    <phoneticPr fontId="2"/>
  </si>
  <si>
    <t>業務システムへの認証提供／業務システム側の利用者自動作成</t>
    <phoneticPr fontId="2"/>
  </si>
  <si>
    <t>F-AUTH-01, F-AUTH-02</t>
    <phoneticPr fontId="2"/>
  </si>
  <si>
    <t>ローカルログイン／接続先の自動振り分け</t>
    <phoneticPr fontId="2"/>
  </si>
  <si>
    <t>F-INT-11, F-BAT-07</t>
    <phoneticPr fontId="2"/>
  </si>
  <si>
    <t>接続情報の自動追随／証明書期限の監視</t>
    <phoneticPr fontId="2"/>
  </si>
  <si>
    <t>F-AUTH-02, F-AUTH-03</t>
    <phoneticPr fontId="2"/>
  </si>
  <si>
    <t>接続先の自動振り分け／振り分け失敗時のパスワード入力への切替</t>
    <phoneticPr fontId="2"/>
  </si>
  <si>
    <t>F-AUTH-01, F-PROV-01</t>
    <phoneticPr fontId="2"/>
  </si>
  <si>
    <t>ローカルログイン／初回ログイン時の自動登録</t>
    <phoneticPr fontId="2"/>
  </si>
  <si>
    <t>F-AUTH-20, F-AUTH-21</t>
    <phoneticPr fontId="2"/>
  </si>
  <si>
    <t>連続失敗時の一時締め出し／利用者一覧の推測防止</t>
    <phoneticPr fontId="2"/>
  </si>
  <si>
    <t>F-ADM-14, F-ADM-16</t>
    <phoneticPr fontId="2"/>
  </si>
  <si>
    <t>テナントの作成／顧客認証システムの接続登録</t>
    <phoneticPr fontId="2"/>
  </si>
</sst>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8">
    <numFmt numFmtId="176" formatCode="0.0%"/>
    <numFmt numFmtId="181" formatCode="#,##0.0"/>
    <numFmt numFmtId="186" formatCode="#,##0.0000"/>
    <numFmt numFmtId="187" formatCode="#,##0.###"/>
    <numFmt numFmtId="188" formatCode="\¥#,##0"/>
    <numFmt numFmtId="189" formatCode="\¥#,##0.00"/>
    <numFmt numFmtId="190" formatCode="0.00000000"/>
    <numFmt numFmtId="191" formatCode="0.0#"/>
  </numFmts>
  <fonts count="76">
    <font>
      <sz val="12"/>
      <color theme="1"/>
      <name val="游ゴシック"/>
      <family val="2"/>
      <charset val="128"/>
      <scheme val="minor"/>
    </font>
    <font>
      <b/>
      <sz val="12"/>
      <color theme="1"/>
      <name val="游ゴシック"/>
      <family val="2"/>
      <charset val="128"/>
      <scheme val="minor"/>
    </font>
    <font>
      <sz val="6"/>
      <name val="游ゴシック"/>
      <family val="2"/>
      <charset val="128"/>
      <scheme val="minor"/>
    </font>
    <font>
      <sz val="9"/>
      <color theme="1"/>
      <name val="游ゴシック"/>
      <family val="2"/>
      <charset val="128"/>
      <scheme val="minor"/>
    </font>
    <font>
      <b/>
      <sz val="9"/>
      <color theme="1"/>
      <name val="游ゴシック"/>
      <family val="2"/>
      <charset val="128"/>
      <scheme val="minor"/>
    </font>
    <font>
      <sz val="9"/>
      <color rgb="FF008000"/>
      <name val="游ゴシック"/>
      <family val="2"/>
      <charset val="128"/>
      <scheme val="minor"/>
    </font>
    <font>
      <b/>
      <sz val="9"/>
      <color rgb="FFFFFFFF"/>
      <name val="游ゴシック"/>
      <family val="2"/>
      <charset val="128"/>
      <scheme val="minor"/>
    </font>
    <font>
      <b/>
      <sz val="12"/>
      <color rgb="FFFFFFFF"/>
      <name val="游ゴシック"/>
      <family val="2"/>
      <charset val="128"/>
      <scheme val="minor"/>
    </font>
    <font>
      <b/>
      <sz val="10"/>
      <color rgb="FFFFFFFF"/>
      <name val="游ゴシック"/>
      <family val="2"/>
      <charset val="128"/>
      <scheme val="minor"/>
    </font>
    <font>
      <sz val="8"/>
      <color rgb="FF008000"/>
      <name val="游ゴシック"/>
      <family val="2"/>
      <charset val="128"/>
      <scheme val="minor"/>
    </font>
    <font>
      <sz val="9"/>
      <color rgb="FF7F6000"/>
      <name val="游ゴシック"/>
      <family val="2"/>
      <charset val="128"/>
      <scheme val="minor"/>
    </font>
    <font>
      <sz val="9"/>
      <color rgb="FF808080"/>
      <name val="游ゴシック"/>
      <family val="2"/>
      <charset val="128"/>
      <scheme val="minor"/>
    </font>
    <font>
      <b/>
      <sz val="16"/>
      <color theme="1"/>
      <name val="Meiryo UI"/>
      <family val="2"/>
      <charset val="128"/>
    </font>
    <font>
      <sz val="12"/>
      <color theme="1"/>
      <name val="Meiryo UI"/>
      <family val="2"/>
      <charset val="128"/>
    </font>
    <font>
      <b/>
      <sz val="9"/>
      <color theme="1"/>
      <name val="Meiryo UI"/>
      <family val="2"/>
      <charset val="128"/>
    </font>
    <font>
      <sz val="9"/>
      <color rgb="FF008000"/>
      <name val="Meiryo UI"/>
      <family val="2"/>
      <charset val="128"/>
    </font>
    <font>
      <i/>
      <sz val="9"/>
      <color rgb="FFFF0000"/>
      <name val="Meiryo UI"/>
      <family val="2"/>
      <charset val="128"/>
    </font>
    <font>
      <b/>
      <sz val="10"/>
      <color rgb="FFFFFFFF"/>
      <name val="Meiryo UI"/>
      <family val="2"/>
      <charset val="128"/>
    </font>
    <font>
      <sz val="9"/>
      <color theme="1"/>
      <name val="Meiryo UI"/>
      <family val="2"/>
      <charset val="128"/>
    </font>
    <font>
      <sz val="8"/>
      <color rgb="FF008000"/>
      <name val="Meiryo UI"/>
      <family val="2"/>
      <charset val="128"/>
    </font>
    <font>
      <sz val="9"/>
      <color rgb="FF0B6B2F"/>
      <name val="Meiryo UI"/>
      <family val="2"/>
      <charset val="128"/>
    </font>
    <font>
      <sz val="9"/>
      <color rgb="FF7F6000"/>
      <name val="Meiryo UI"/>
      <family val="2"/>
      <charset val="128"/>
    </font>
    <font>
      <sz val="9"/>
      <color rgb="FF808080"/>
      <name val="Meiryo UI"/>
      <family val="2"/>
      <charset val="128"/>
    </font>
    <font>
      <sz val="8"/>
      <color rgb="FF808080"/>
      <name val="Meiryo UI"/>
      <family val="2"/>
      <charset val="128"/>
    </font>
    <font>
      <b/>
      <sz val="15"/>
      <color theme="1"/>
      <name val="游ゴシック"/>
      <family val="2"/>
      <charset val="128"/>
      <scheme val="minor"/>
    </font>
    <font>
      <sz val="9"/>
      <color rgb="FF9C0006"/>
      <name val="游ゴシック"/>
      <family val="2"/>
      <charset val="128"/>
      <scheme val="minor"/>
    </font>
    <font>
      <sz val="9"/>
      <color rgb="FF000000"/>
      <name val="游ゴシック"/>
      <family val="2"/>
      <charset val="128"/>
      <scheme val="minor"/>
    </font>
    <font>
      <sz val="12"/>
      <color rgb="FF000000"/>
      <name val="游ゴシック"/>
      <family val="2"/>
      <charset val="128"/>
      <scheme val="minor"/>
    </font>
    <font>
      <sz val="9"/>
      <color rgb="FF1F4E79"/>
      <name val="游ゴシック"/>
      <family val="2"/>
      <charset val="128"/>
      <scheme val="minor"/>
    </font>
    <font>
      <b/>
      <sz val="9"/>
      <color rgb="FFFFFFFF"/>
      <name val="Meiryo UI"/>
      <family val="2"/>
      <charset val="128"/>
    </font>
    <font>
      <b/>
      <sz val="12"/>
      <color rgb="FFFFFFFF"/>
      <name val="Meiryo UI"/>
      <family val="2"/>
      <charset val="128"/>
    </font>
    <font>
      <b/>
      <sz val="12"/>
      <color theme="1"/>
      <name val="Meiryo UI"/>
      <family val="2"/>
      <charset val="128"/>
    </font>
    <font>
      <sz val="9"/>
      <color rgb="FF9C0006"/>
      <name val="Meiryo UI"/>
      <family val="2"/>
      <charset val="128"/>
    </font>
    <font>
      <sz val="9"/>
      <color rgb="FF000000"/>
      <name val="Meiryo UI"/>
      <family val="2"/>
      <charset val="128"/>
    </font>
    <font>
      <b/>
      <sz val="10"/>
      <color theme="1"/>
      <name val="Meiryo UI"/>
      <family val="2"/>
      <charset val="128"/>
    </font>
    <font>
      <sz val="10"/>
      <color theme="1"/>
      <name val="Meiryo UI"/>
      <family val="2"/>
      <charset val="128"/>
    </font>
    <font>
      <sz val="10"/>
      <color rgb="FF008000"/>
      <name val="Meiryo UI"/>
      <family val="2"/>
      <charset val="128"/>
    </font>
    <font>
      <sz val="10"/>
      <color rgb="FF7F6000"/>
      <name val="Meiryo UI"/>
      <family val="2"/>
      <charset val="128"/>
    </font>
    <font>
      <sz val="10"/>
      <color rgb="FF808080"/>
      <name val="Meiryo UI"/>
      <family val="2"/>
      <charset val="128"/>
    </font>
    <font>
      <sz val="9"/>
      <color rgb="FF1F4E79"/>
      <name val="Meiryo UI"/>
      <family val="2"/>
      <charset val="128"/>
    </font>
    <font>
      <b/>
      <sz val="9"/>
      <color rgb="FF9C0006"/>
      <name val="Meiryo UI"/>
      <family val="2"/>
      <charset val="128"/>
    </font>
    <font>
      <b/>
      <sz val="9"/>
      <color rgb="FF1F4E79"/>
      <name val="Meiryo UI"/>
      <family val="2"/>
      <charset val="128"/>
    </font>
    <font>
      <b/>
      <sz val="9"/>
      <color rgb="FF808080"/>
      <name val="Meiryo UI"/>
      <family val="2"/>
      <charset val="128"/>
    </font>
    <font>
      <sz val="10"/>
      <color rgb="FF1F4E79"/>
      <name val="Meiryo UI"/>
      <family val="2"/>
      <charset val="128"/>
    </font>
    <font>
      <b/>
      <sz val="20"/>
      <color theme="1"/>
      <name val="游ゴシック"/>
      <family val="2"/>
      <charset val="128"/>
      <scheme val="minor"/>
    </font>
    <font>
      <b/>
      <sz val="13"/>
      <color rgb="FF0B6B2F"/>
      <name val="游ゴシック"/>
      <family val="2"/>
      <charset val="128"/>
      <scheme val="minor"/>
    </font>
    <font>
      <b/>
      <sz val="13"/>
      <color rgb="FF7F6000"/>
      <name val="游ゴシック"/>
      <family val="2"/>
      <charset val="128"/>
      <scheme val="minor"/>
    </font>
    <font>
      <b/>
      <sz val="13"/>
      <color rgb="FF843C0C"/>
      <name val="游ゴシック"/>
      <family val="2"/>
      <charset val="128"/>
      <scheme val="minor"/>
    </font>
    <font>
      <b/>
      <sz val="36"/>
      <color rgb="FF0B6B2F"/>
      <name val="游ゴシック"/>
      <family val="2"/>
      <charset val="128"/>
      <scheme val="minor"/>
    </font>
    <font>
      <b/>
      <sz val="36"/>
      <color rgb="FF7F6000"/>
      <name val="游ゴシック"/>
      <family val="2"/>
      <charset val="128"/>
      <scheme val="minor"/>
    </font>
    <font>
      <b/>
      <sz val="36"/>
      <color rgb="FF843C0C"/>
      <name val="游ゴシック"/>
      <family val="2"/>
      <charset val="128"/>
      <scheme val="minor"/>
    </font>
    <font>
      <sz val="9"/>
      <color rgb="FF595959"/>
      <name val="游ゴシック"/>
      <family val="2"/>
      <charset val="128"/>
      <scheme val="minor"/>
    </font>
    <font>
      <b/>
      <sz val="28"/>
      <color rgb="FFC00000"/>
      <name val="游ゴシック"/>
      <family val="2"/>
      <charset val="128"/>
      <scheme val="minor"/>
    </font>
    <font>
      <sz val="8"/>
      <color rgb="FF843C0C"/>
      <name val="游ゴシック"/>
      <family val="2"/>
      <charset val="128"/>
      <scheme val="minor"/>
    </font>
    <font>
      <b/>
      <sz val="10"/>
      <color rgb="FF000000"/>
      <name val="Meiryo UI"/>
      <family val="2"/>
      <charset val="128"/>
    </font>
    <font>
      <b/>
      <sz val="9"/>
      <color rgb="FF0B6B2F"/>
      <name val="游ゴシック"/>
      <family val="2"/>
      <charset val="128"/>
      <scheme val="minor"/>
    </font>
    <font>
      <b/>
      <sz val="11"/>
      <color rgb="FFFFFFFF"/>
      <name val="游ゴシック"/>
      <family val="2"/>
      <charset val="128"/>
      <scheme val="minor"/>
    </font>
    <font>
      <b/>
      <sz val="11"/>
      <color theme="1"/>
      <name val="游ゴシック"/>
      <family val="2"/>
      <charset val="128"/>
      <scheme val="minor"/>
    </font>
    <font>
      <sz val="8"/>
      <color theme="1"/>
      <name val="游ゴシック"/>
      <family val="2"/>
      <charset val="128"/>
      <scheme val="minor"/>
    </font>
    <font>
      <sz val="8"/>
      <color rgb="FF595959"/>
      <name val="游ゴシック"/>
      <family val="2"/>
      <charset val="128"/>
      <scheme val="minor"/>
    </font>
    <font>
      <b/>
      <i/>
      <sz val="9"/>
      <color rgb="FF7030A0"/>
      <name val="游ゴシック"/>
      <family val="2"/>
      <charset val="128"/>
      <scheme val="minor"/>
    </font>
    <font>
      <sz val="9"/>
      <color theme="1"/>
      <name val="Consolas"/>
      <family val="2"/>
    </font>
    <font>
      <sz val="8"/>
      <color theme="1"/>
      <name val="Consolas"/>
      <family val="2"/>
    </font>
    <font>
      <sz val="8"/>
      <color theme="1"/>
      <name val="MS Mincho"/>
      <family val="2"/>
      <charset val="128"/>
    </font>
    <font>
      <b/>
      <sz val="9"/>
      <color rgb="FF0000FF"/>
      <name val="游ゴシック"/>
      <family val="2"/>
      <charset val="128"/>
      <scheme val="minor"/>
    </font>
    <font>
      <b/>
      <sz val="14"/>
      <color theme="1"/>
      <name val="Meiryo UI"/>
      <family val="2"/>
      <charset val="128"/>
    </font>
    <font>
      <b/>
      <sz val="11"/>
      <color theme="1"/>
      <name val="Meiryo UI"/>
      <family val="2"/>
      <charset val="128"/>
    </font>
    <font>
      <sz val="9"/>
      <color rgb="FFC00000"/>
      <name val="游ゴシック"/>
      <family val="2"/>
      <charset val="128"/>
      <scheme val="minor"/>
    </font>
    <font>
      <sz val="9"/>
      <color rgb="FFC00000"/>
      <name val="Meiryo UI"/>
      <family val="2"/>
      <charset val="128"/>
    </font>
    <font>
      <sz val="9"/>
      <color rgb="FF375623"/>
      <name val="Meiryo UI"/>
      <family val="2"/>
      <charset val="128"/>
    </font>
    <font>
      <b/>
      <sz val="11"/>
      <color rgb="FF9C0006"/>
      <name val="Meiryo UI"/>
      <family val="2"/>
      <charset val="128"/>
    </font>
    <font>
      <sz val="9"/>
      <color rgb="FF375623"/>
      <name val="游ゴシック"/>
      <family val="2"/>
      <charset val="128"/>
      <scheme val="minor"/>
    </font>
    <font>
      <b/>
      <sz val="13"/>
      <color theme="1"/>
      <name val="Meiryo UI"/>
      <family val="2"/>
      <charset val="128"/>
    </font>
    <font>
      <sz val="10"/>
      <color theme="1"/>
      <name val="游ゴシック"/>
      <family val="2"/>
      <charset val="128"/>
      <scheme val="minor"/>
    </font>
    <font>
      <sz val="10"/>
      <color rgb="FFC00000"/>
      <name val="Meiryo UI"/>
      <family val="2"/>
      <charset val="128"/>
    </font>
    <font>
      <sz val="10"/>
      <color rgb="FF000000"/>
      <name val="游ゴシック"/>
      <family val="2"/>
      <charset val="128"/>
      <scheme val="minor"/>
    </font>
  </fonts>
  <fills count="17">
    <fill>
      <patternFill patternType="none"/>
    </fill>
    <fill>
      <patternFill patternType="gray125"/>
    </fill>
    <fill>
      <patternFill patternType="solid">
        <fgColor rgb="FF1F3864"/>
        <bgColor indexed="64"/>
      </patternFill>
    </fill>
    <fill>
      <patternFill patternType="solid">
        <fgColor rgb="FFF2F2F2"/>
        <bgColor indexed="64"/>
      </patternFill>
    </fill>
    <fill>
      <patternFill patternType="solid">
        <fgColor rgb="FFFFF2CC"/>
        <bgColor indexed="64"/>
      </patternFill>
    </fill>
    <fill>
      <patternFill patternType="solid">
        <fgColor rgb="FFDDEBF7"/>
        <bgColor indexed="64"/>
      </patternFill>
    </fill>
    <fill>
      <patternFill patternType="solid">
        <fgColor rgb="FF375623"/>
        <bgColor indexed="64"/>
      </patternFill>
    </fill>
    <fill>
      <patternFill patternType="solid">
        <fgColor rgb="FFFCE4D6"/>
        <bgColor indexed="64"/>
      </patternFill>
    </fill>
    <fill>
      <patternFill patternType="solid">
        <fgColor rgb="FFE2EFDA"/>
        <bgColor indexed="64"/>
      </patternFill>
    </fill>
    <fill>
      <patternFill patternType="solid">
        <fgColor rgb="FF7030A0"/>
        <bgColor indexed="64"/>
      </patternFill>
    </fill>
    <fill>
      <patternFill patternType="solid">
        <fgColor rgb="FFFFF9E6"/>
        <bgColor indexed="64"/>
      </patternFill>
    </fill>
    <fill>
      <patternFill patternType="solid">
        <fgColor theme="9" tint="-0.249977111117893"/>
        <bgColor indexed="64"/>
      </patternFill>
    </fill>
    <fill>
      <patternFill patternType="solid">
        <fgColor rgb="FF7F6000"/>
        <bgColor indexed="64"/>
      </patternFill>
    </fill>
    <fill>
      <patternFill patternType="solid">
        <fgColor rgb="FFE4DFEC"/>
        <bgColor indexed="64"/>
      </patternFill>
    </fill>
    <fill>
      <patternFill patternType="solid">
        <fgColor rgb="FF9C0006"/>
        <bgColor indexed="64"/>
      </patternFill>
    </fill>
    <fill>
      <patternFill patternType="solid">
        <fgColor rgb="FF2E5C8A"/>
        <bgColor indexed="64"/>
      </patternFill>
    </fill>
    <fill>
      <patternFill patternType="solid">
        <fgColor rgb="FFEDF7EE"/>
        <bgColor indexed="64"/>
      </patternFill>
    </fill>
  </fills>
  <borders count="27">
    <border>
      <left/>
      <right/>
      <top/>
      <bottom/>
      <diagonal/>
    </border>
    <border>
      <left style="thin">
        <color rgb="FFD9D9D9"/>
      </left>
      <right style="thin">
        <color rgb="FFD9D9D9"/>
      </right>
      <top/>
      <bottom style="thin">
        <color rgb="FFD9D9D9"/>
      </bottom>
      <diagonal/>
    </border>
    <border>
      <left style="thin">
        <color rgb="FFD9D9D9"/>
      </left>
      <right/>
      <top/>
      <bottom style="thin">
        <color rgb="FFD9D9D9"/>
      </bottom>
      <diagonal/>
    </border>
    <border>
      <left/>
      <right style="thin">
        <color rgb="FFD9D9D9"/>
      </right>
      <top style="thin">
        <color rgb="FFD9D9D9"/>
      </top>
      <bottom style="thin">
        <color rgb="FFD9D9D9"/>
      </bottom>
      <diagonal/>
    </border>
    <border>
      <left style="thin">
        <color rgb="FFD9D9D9"/>
      </left>
      <right style="thin">
        <color rgb="FFD9D9D9"/>
      </right>
      <top style="thin">
        <color rgb="FFD9D9D9"/>
      </top>
      <bottom style="thin">
        <color rgb="FFD9D9D9"/>
      </bottom>
      <diagonal/>
    </border>
    <border>
      <left style="thin">
        <color rgb="FFD9D9D9"/>
      </left>
      <right/>
      <top style="thin">
        <color rgb="FFD9D9D9"/>
      </top>
      <bottom style="thin">
        <color rgb="FFD9D9D9"/>
      </bottom>
      <diagonal/>
    </border>
    <border>
      <left/>
      <right style="thin">
        <color rgb="FFD9D9D9"/>
      </right>
      <top style="thin">
        <color rgb="FFD9D9D9"/>
      </top>
      <bottom/>
      <diagonal/>
    </border>
    <border>
      <left/>
      <right style="thin">
        <color rgb="FFD9D9D9"/>
      </right>
      <top style="thin">
        <color rgb="FFD9D9D9"/>
      </top>
      <bottom style="thin">
        <color auto="1"/>
      </bottom>
      <diagonal/>
    </border>
    <border>
      <left style="thin">
        <color rgb="FFD9D9D9"/>
      </left>
      <right style="thin">
        <color rgb="FFD9D9D9"/>
      </right>
      <top style="thin">
        <color rgb="FFD9D9D9"/>
      </top>
      <bottom style="thin">
        <color auto="1"/>
      </bottom>
      <diagonal/>
    </border>
    <border>
      <left style="thin">
        <color rgb="FFD9D9D9"/>
      </left>
      <right/>
      <top style="thin">
        <color rgb="FFD9D9D9"/>
      </top>
      <bottom style="thin">
        <color auto="1"/>
      </bottom>
      <diagonal/>
    </border>
    <border>
      <left/>
      <right style="thin">
        <color rgb="FFD9D9D9"/>
      </right>
      <top style="thin">
        <color auto="1"/>
      </top>
      <bottom style="thin">
        <color rgb="FFD9D9D9"/>
      </bottom>
      <diagonal/>
    </border>
    <border>
      <left style="thin">
        <color rgb="FFD9D9D9"/>
      </left>
      <right style="thin">
        <color rgb="FFD9D9D9"/>
      </right>
      <top style="thin">
        <color auto="1"/>
      </top>
      <bottom style="thin">
        <color rgb="FFD9D9D9"/>
      </bottom>
      <diagonal/>
    </border>
    <border>
      <left style="thin">
        <color rgb="FFD9D9D9"/>
      </left>
      <right/>
      <top style="thin">
        <color auto="1"/>
      </top>
      <bottom style="thin">
        <color rgb="FFD9D9D9"/>
      </bottom>
      <diagonal/>
    </border>
    <border>
      <left style="thin">
        <color auto="1"/>
      </left>
      <right/>
      <top style="thin">
        <color auto="1"/>
      </top>
      <bottom style="thin">
        <color auto="1"/>
      </bottom>
      <diagonal/>
    </border>
    <border>
      <left style="thin">
        <color auto="1"/>
      </left>
      <right style="thin">
        <color rgb="FFD9D9D9"/>
      </right>
      <top style="thin">
        <color auto="1"/>
      </top>
      <bottom style="thin">
        <color rgb="FFD9D9D9"/>
      </bottom>
      <diagonal/>
    </border>
    <border>
      <left style="thin">
        <color auto="1"/>
      </left>
      <right style="thin">
        <color rgb="FFD9D9D9"/>
      </right>
      <top style="thin">
        <color rgb="FFD9D9D9"/>
      </top>
      <bottom style="thin">
        <color rgb="FFD9D9D9"/>
      </bottom>
      <diagonal/>
    </border>
    <border>
      <left style="thin">
        <color auto="1"/>
      </left>
      <right style="thin">
        <color rgb="FFD9D9D9"/>
      </right>
      <top style="thin">
        <color rgb="FFD9D9D9"/>
      </top>
      <bottom style="thin">
        <color auto="1"/>
      </bottom>
      <diagonal/>
    </border>
    <border>
      <left style="thin">
        <color auto="1"/>
      </left>
      <right style="thin">
        <color auto="1"/>
      </right>
      <top style="thin">
        <color auto="1"/>
      </top>
      <bottom style="thin">
        <color auto="1"/>
      </bottom>
      <diagonal/>
    </border>
    <border>
      <left style="thin">
        <color rgb="FFD9D9D9"/>
      </left>
      <right/>
      <top/>
      <bottom/>
      <diagonal/>
    </border>
    <border>
      <left style="thin">
        <color auto="1"/>
      </left>
      <right/>
      <top style="thin">
        <color auto="1"/>
      </top>
      <bottom/>
      <diagonal/>
    </border>
    <border>
      <left/>
      <right style="thin">
        <color auto="1"/>
      </right>
      <top/>
      <bottom style="thin">
        <color auto="1"/>
      </bottom>
      <diagonal/>
    </border>
    <border>
      <left style="thin">
        <color auto="1"/>
      </left>
      <right style="thin">
        <color auto="1"/>
      </right>
      <top/>
      <bottom style="thin">
        <color auto="1"/>
      </bottom>
      <diagonal/>
    </border>
    <border>
      <left style="thin">
        <color auto="1"/>
      </left>
      <right/>
      <top/>
      <bottom style="thin">
        <color auto="1"/>
      </bottom>
      <diagonal/>
    </border>
    <border>
      <left/>
      <right style="thin">
        <color auto="1"/>
      </right>
      <top style="thin">
        <color auto="1"/>
      </top>
      <bottom style="thin">
        <color auto="1"/>
      </bottom>
      <diagonal/>
    </border>
    <border>
      <left/>
      <right style="thin">
        <color auto="1"/>
      </right>
      <top style="thin">
        <color auto="1"/>
      </top>
      <bottom/>
      <diagonal/>
    </border>
    <border>
      <left style="thin">
        <color auto="1"/>
      </left>
      <right style="thin">
        <color auto="1"/>
      </right>
      <top style="thin">
        <color auto="1"/>
      </top>
      <bottom/>
      <diagonal/>
    </border>
    <border>
      <left/>
      <right style="thin">
        <color rgb="FFD9D9D9"/>
      </right>
      <top/>
      <bottom/>
      <diagonal/>
    </border>
  </borders>
  <cellStyleXfs count="1">
    <xf numFmtId="0" fontId="0" fillId="0" borderId="0">
      <alignment vertical="center"/>
    </xf>
  </cellStyleXfs>
  <cellXfs count="395">
    <xf numFmtId="0" fontId="0" fillId="0" borderId="0" xfId="0">
      <alignment vertical="center"/>
    </xf>
    <xf numFmtId="0" fontId="3" fillId="0" borderId="0" xfId="0" applyFont="1">
      <alignment vertical="center"/>
    </xf>
    <xf numFmtId="0" fontId="4" fillId="0" borderId="0" xfId="0" applyFont="1">
      <alignment vertical="center"/>
    </xf>
    <xf numFmtId="0" fontId="5" fillId="0" borderId="0" xfId="0" applyFont="1">
      <alignment vertical="center"/>
    </xf>
    <xf numFmtId="0" fontId="1" fillId="0" borderId="0" xfId="0" applyFont="1">
      <alignment vertical="center"/>
    </xf>
    <xf numFmtId="0" fontId="3" fillId="0" borderId="3" xfId="0" applyFont="1" applyBorder="1" applyAlignment="1">
      <alignment vertical="top"/>
    </xf>
    <xf numFmtId="0" fontId="3" fillId="0" borderId="4" xfId="0" applyFont="1" applyBorder="1" applyAlignment="1">
      <alignment vertical="top"/>
    </xf>
    <xf numFmtId="0" fontId="3" fillId="0" borderId="7" xfId="0" applyFont="1" applyBorder="1" applyAlignment="1">
      <alignment vertical="top"/>
    </xf>
    <xf numFmtId="0" fontId="3" fillId="0" borderId="8" xfId="0" applyFont="1" applyBorder="1" applyAlignment="1">
      <alignment vertical="top"/>
    </xf>
    <xf numFmtId="0" fontId="6" fillId="2" borderId="10" xfId="0" applyFont="1" applyFill="1" applyBorder="1" applyAlignment="1">
      <alignment horizontal="center" vertical="top"/>
    </xf>
    <xf numFmtId="0" fontId="6" fillId="2" borderId="11" xfId="0" applyFont="1" applyFill="1" applyBorder="1" applyAlignment="1">
      <alignment horizontal="center" vertical="top"/>
    </xf>
    <xf numFmtId="0" fontId="6" fillId="2" borderId="12" xfId="0" applyFont="1" applyFill="1" applyBorder="1" applyAlignment="1">
      <alignment horizontal="center" vertical="top"/>
    </xf>
    <xf numFmtId="0" fontId="3" fillId="0" borderId="4" xfId="0" applyFont="1" applyBorder="1" applyAlignment="1">
      <alignment horizontal="center" vertical="top"/>
    </xf>
    <xf numFmtId="0" fontId="3" fillId="0" borderId="8" xfId="0" applyFont="1" applyBorder="1" applyAlignment="1">
      <alignment horizontal="center" vertical="top"/>
    </xf>
    <xf numFmtId="0" fontId="9" fillId="0" borderId="5" xfId="0" applyFont="1" applyBorder="1" applyAlignment="1">
      <alignment vertical="top"/>
    </xf>
    <xf numFmtId="0" fontId="7" fillId="2" borderId="10" xfId="0" applyFont="1" applyFill="1" applyBorder="1" applyAlignment="1">
      <alignment horizontal="center" vertical="center"/>
    </xf>
    <xf numFmtId="0" fontId="7" fillId="2" borderId="11" xfId="0" applyFont="1" applyFill="1" applyBorder="1" applyAlignment="1">
      <alignment horizontal="center" vertical="center"/>
    </xf>
    <xf numFmtId="0" fontId="7" fillId="2" borderId="12" xfId="0" applyFont="1" applyFill="1" applyBorder="1" applyAlignment="1">
      <alignment horizontal="center" vertical="center"/>
    </xf>
    <xf numFmtId="0" fontId="6" fillId="2" borderId="10" xfId="0" applyFont="1" applyFill="1" applyBorder="1" applyAlignment="1">
      <alignment horizontal="center" vertical="center"/>
    </xf>
    <xf numFmtId="0" fontId="6" fillId="2" borderId="11" xfId="0" applyFont="1" applyFill="1" applyBorder="1" applyAlignment="1">
      <alignment horizontal="center" vertical="center"/>
    </xf>
    <xf numFmtId="0" fontId="6" fillId="2" borderId="12" xfId="0" applyFont="1" applyFill="1" applyBorder="1" applyAlignment="1">
      <alignment horizontal="center" vertical="center"/>
    </xf>
    <xf numFmtId="0" fontId="3" fillId="0" borderId="3" xfId="0" applyFont="1" applyBorder="1">
      <alignment vertical="center"/>
    </xf>
    <xf numFmtId="0" fontId="3" fillId="0" borderId="4" xfId="0" applyFont="1" applyBorder="1">
      <alignment vertical="center"/>
    </xf>
    <xf numFmtId="0" fontId="4" fillId="0" borderId="7" xfId="0" applyFont="1" applyBorder="1">
      <alignment vertical="center"/>
    </xf>
    <xf numFmtId="0" fontId="4" fillId="0" borderId="8" xfId="0" applyFont="1" applyBorder="1">
      <alignment vertical="center"/>
    </xf>
    <xf numFmtId="0" fontId="3" fillId="0" borderId="7" xfId="0" applyFont="1" applyBorder="1">
      <alignment vertical="center"/>
    </xf>
    <xf numFmtId="0" fontId="3" fillId="0" borderId="8" xfId="0" applyFont="1" applyBorder="1">
      <alignment vertical="center"/>
    </xf>
    <xf numFmtId="0" fontId="3" fillId="0" borderId="5" xfId="0" applyFont="1" applyBorder="1">
      <alignment vertical="center"/>
    </xf>
    <xf numFmtId="0" fontId="3" fillId="0" borderId="9" xfId="0" applyFont="1" applyBorder="1">
      <alignment vertical="center"/>
    </xf>
    <xf numFmtId="0" fontId="3" fillId="0" borderId="4" xfId="0" applyFont="1" applyBorder="1" applyAlignment="1">
      <alignment horizontal="center" vertical="center"/>
    </xf>
    <xf numFmtId="0" fontId="4" fillId="0" borderId="8" xfId="0" applyFont="1" applyBorder="1" applyAlignment="1">
      <alignment horizontal="center" vertical="center"/>
    </xf>
    <xf numFmtId="0" fontId="12" fillId="0" borderId="0" xfId="0" applyFont="1">
      <alignment vertical="center"/>
    </xf>
    <xf numFmtId="0" fontId="13" fillId="0" borderId="0" xfId="0" applyFont="1">
      <alignment vertical="center"/>
    </xf>
    <xf numFmtId="0" fontId="14" fillId="0" borderId="0" xfId="0" applyFont="1">
      <alignment vertical="center"/>
    </xf>
    <xf numFmtId="0" fontId="15" fillId="0" borderId="0" xfId="0" applyFont="1">
      <alignment vertical="center"/>
    </xf>
    <xf numFmtId="0" fontId="16" fillId="0" borderId="0" xfId="0" applyFont="1">
      <alignment vertical="center"/>
    </xf>
    <xf numFmtId="0" fontId="17" fillId="2" borderId="10" xfId="0" applyFont="1" applyFill="1" applyBorder="1" applyAlignment="1">
      <alignment horizontal="center" vertical="center"/>
    </xf>
    <xf numFmtId="0" fontId="17" fillId="2" borderId="11" xfId="0" applyFont="1" applyFill="1" applyBorder="1" applyAlignment="1">
      <alignment horizontal="center" vertical="center"/>
    </xf>
    <xf numFmtId="0" fontId="17" fillId="2" borderId="12" xfId="0" applyFont="1" applyFill="1" applyBorder="1" applyAlignment="1">
      <alignment horizontal="center" vertical="center"/>
    </xf>
    <xf numFmtId="0" fontId="18" fillId="0" borderId="4" xfId="0" applyFont="1" applyBorder="1" applyAlignment="1">
      <alignment vertical="top"/>
    </xf>
    <xf numFmtId="0" fontId="18" fillId="0" borderId="4" xfId="0" applyFont="1" applyBorder="1" applyAlignment="1">
      <alignment horizontal="left" vertical="top"/>
    </xf>
    <xf numFmtId="0" fontId="18" fillId="0" borderId="4" xfId="0" applyFont="1" applyBorder="1" applyAlignment="1">
      <alignment horizontal="center" vertical="top"/>
    </xf>
    <xf numFmtId="0" fontId="19" fillId="0" borderId="5" xfId="0" applyFont="1" applyBorder="1" applyAlignment="1">
      <alignment vertical="top"/>
    </xf>
    <xf numFmtId="0" fontId="18" fillId="0" borderId="8" xfId="0" applyFont="1" applyBorder="1" applyAlignment="1">
      <alignment vertical="top"/>
    </xf>
    <xf numFmtId="0" fontId="18" fillId="0" borderId="8" xfId="0" applyFont="1" applyBorder="1" applyAlignment="1">
      <alignment horizontal="left" vertical="top"/>
    </xf>
    <xf numFmtId="0" fontId="18" fillId="0" borderId="8" xfId="0" applyFont="1" applyBorder="1" applyAlignment="1">
      <alignment horizontal="center" vertical="top"/>
    </xf>
    <xf numFmtId="0" fontId="19" fillId="0" borderId="9" xfId="0" applyFont="1" applyBorder="1" applyAlignment="1">
      <alignment vertical="top"/>
    </xf>
    <xf numFmtId="0" fontId="24" fillId="0" borderId="0" xfId="0" applyFont="1">
      <alignment vertical="center"/>
    </xf>
    <xf numFmtId="0" fontId="11" fillId="0" borderId="0" xfId="0" applyFont="1">
      <alignment vertical="center"/>
    </xf>
    <xf numFmtId="0" fontId="4" fillId="0" borderId="3" xfId="0" applyFont="1" applyBorder="1" applyAlignment="1">
      <alignment vertical="top"/>
    </xf>
    <xf numFmtId="0" fontId="4" fillId="0" borderId="7" xfId="0" applyFont="1" applyBorder="1" applyAlignment="1">
      <alignment vertical="top"/>
    </xf>
    <xf numFmtId="0" fontId="3" fillId="0" borderId="4" xfId="0" applyFont="1" applyBorder="1" applyAlignment="1">
      <alignment vertical="top" wrapText="1"/>
    </xf>
    <xf numFmtId="0" fontId="3" fillId="0" borderId="8" xfId="0" applyFont="1" applyBorder="1" applyAlignment="1">
      <alignment vertical="top" wrapText="1"/>
    </xf>
    <xf numFmtId="0" fontId="3" fillId="0" borderId="0" xfId="0" applyFont="1" applyFill="1" applyBorder="1">
      <alignment vertical="center"/>
    </xf>
    <xf numFmtId="0" fontId="25" fillId="0" borderId="0" xfId="0" applyFont="1">
      <alignment vertical="center"/>
    </xf>
    <xf numFmtId="0" fontId="10" fillId="0" borderId="0" xfId="0" applyFont="1">
      <alignment vertical="center"/>
    </xf>
    <xf numFmtId="0" fontId="4" fillId="0" borderId="0" xfId="0" applyFont="1" applyAlignment="1">
      <alignment vertical="top"/>
    </xf>
    <xf numFmtId="0" fontId="3" fillId="0" borderId="0" xfId="0" applyFont="1" applyAlignment="1">
      <alignment vertical="top" wrapText="1"/>
    </xf>
    <xf numFmtId="0" fontId="29" fillId="2" borderId="10" xfId="0" applyFont="1" applyFill="1" applyBorder="1" applyAlignment="1">
      <alignment horizontal="center" vertical="center"/>
    </xf>
    <xf numFmtId="0" fontId="29" fillId="2" borderId="11" xfId="0" applyFont="1" applyFill="1" applyBorder="1" applyAlignment="1">
      <alignment horizontal="center" vertical="center"/>
    </xf>
    <xf numFmtId="0" fontId="29" fillId="2" borderId="12" xfId="0" applyFont="1" applyFill="1" applyBorder="1" applyAlignment="1">
      <alignment horizontal="center" vertical="center"/>
    </xf>
    <xf numFmtId="0" fontId="22" fillId="0" borderId="0" xfId="0" applyFont="1">
      <alignment vertical="center"/>
    </xf>
    <xf numFmtId="0" fontId="34" fillId="0" borderId="0" xfId="0" applyFont="1">
      <alignment vertical="center"/>
    </xf>
    <xf numFmtId="0" fontId="35" fillId="0" borderId="0" xfId="0" applyFont="1">
      <alignment vertical="center"/>
    </xf>
    <xf numFmtId="0" fontId="36" fillId="0" borderId="0" xfId="0" applyFont="1">
      <alignment vertical="center"/>
    </xf>
    <xf numFmtId="0" fontId="35" fillId="0" borderId="3" xfId="0" applyFont="1" applyBorder="1" applyAlignment="1">
      <alignment vertical="top"/>
    </xf>
    <xf numFmtId="0" fontId="35" fillId="0" borderId="4" xfId="0" applyFont="1" applyBorder="1" applyAlignment="1">
      <alignment vertical="top"/>
    </xf>
    <xf numFmtId="0" fontId="35" fillId="0" borderId="4" xfId="0" applyFont="1" applyBorder="1" applyAlignment="1">
      <alignment vertical="top" wrapText="1"/>
    </xf>
    <xf numFmtId="0" fontId="35" fillId="0" borderId="4" xfId="0" applyFont="1" applyBorder="1" applyAlignment="1">
      <alignment horizontal="center" vertical="top"/>
    </xf>
    <xf numFmtId="0" fontId="35" fillId="0" borderId="7" xfId="0" applyFont="1" applyBorder="1" applyAlignment="1">
      <alignment vertical="top"/>
    </xf>
    <xf numFmtId="0" fontId="35" fillId="0" borderId="8" xfId="0" applyFont="1" applyBorder="1" applyAlignment="1">
      <alignment vertical="top"/>
    </xf>
    <xf numFmtId="0" fontId="35" fillId="0" borderId="8" xfId="0" applyFont="1" applyBorder="1" applyAlignment="1">
      <alignment vertical="top" wrapText="1"/>
    </xf>
    <xf numFmtId="0" fontId="35" fillId="0" borderId="8" xfId="0" applyFont="1" applyBorder="1" applyAlignment="1">
      <alignment horizontal="center" vertical="top"/>
    </xf>
    <xf numFmtId="0" fontId="34" fillId="0" borderId="3" xfId="0" applyFont="1" applyBorder="1" applyAlignment="1">
      <alignment vertical="top"/>
    </xf>
    <xf numFmtId="0" fontId="34" fillId="0" borderId="7" xfId="0" applyFont="1" applyBorder="1" applyAlignment="1">
      <alignment vertical="top"/>
    </xf>
    <xf numFmtId="0" fontId="38" fillId="0" borderId="0" xfId="0" applyFont="1">
      <alignment vertical="center"/>
    </xf>
    <xf numFmtId="0" fontId="35" fillId="0" borderId="5" xfId="0" applyFont="1" applyBorder="1" applyAlignment="1">
      <alignment vertical="top"/>
    </xf>
    <xf numFmtId="0" fontId="35" fillId="0" borderId="9" xfId="0" applyFont="1" applyBorder="1" applyAlignment="1">
      <alignment vertical="top"/>
    </xf>
    <xf numFmtId="0" fontId="21" fillId="0" borderId="0" xfId="0" applyFont="1">
      <alignment vertical="center"/>
    </xf>
    <xf numFmtId="0" fontId="29" fillId="2" borderId="11" xfId="0" applyFont="1" applyFill="1" applyBorder="1" applyAlignment="1">
      <alignment horizontal="center" vertical="top"/>
    </xf>
    <xf numFmtId="0" fontId="37" fillId="0" borderId="0" xfId="0" applyFont="1">
      <alignment vertical="center"/>
    </xf>
    <xf numFmtId="0" fontId="17" fillId="2" borderId="10" xfId="0" applyFont="1" applyFill="1" applyBorder="1" applyAlignment="1">
      <alignment horizontal="center" vertical="top"/>
    </xf>
    <xf numFmtId="0" fontId="17" fillId="2" borderId="11" xfId="0" applyFont="1" applyFill="1" applyBorder="1" applyAlignment="1">
      <alignment horizontal="center" vertical="top"/>
    </xf>
    <xf numFmtId="0" fontId="17" fillId="2" borderId="12" xfId="0" applyFont="1" applyFill="1" applyBorder="1" applyAlignment="1">
      <alignment horizontal="center" vertical="top"/>
    </xf>
    <xf numFmtId="0" fontId="31" fillId="0" borderId="0" xfId="0" applyFont="1">
      <alignment vertical="center"/>
    </xf>
    <xf numFmtId="0" fontId="18" fillId="0" borderId="3" xfId="0" applyFont="1" applyBorder="1">
      <alignment vertical="center"/>
    </xf>
    <xf numFmtId="0" fontId="18" fillId="0" borderId="4" xfId="0" applyFont="1" applyBorder="1" applyAlignment="1">
      <alignment horizontal="center" vertical="center"/>
    </xf>
    <xf numFmtId="0" fontId="14" fillId="0" borderId="7" xfId="0" applyFont="1" applyBorder="1">
      <alignment vertical="center"/>
    </xf>
    <xf numFmtId="0" fontId="14" fillId="0" borderId="8" xfId="0" applyFont="1" applyBorder="1" applyAlignment="1">
      <alignment horizontal="center" vertical="center"/>
    </xf>
    <xf numFmtId="0" fontId="18" fillId="0" borderId="4" xfId="0" applyFont="1" applyBorder="1">
      <alignment vertical="center"/>
    </xf>
    <xf numFmtId="1" fontId="18" fillId="0" borderId="4" xfId="0" applyNumberFormat="1" applyFont="1" applyBorder="1" applyAlignment="1">
      <alignment horizontal="center" vertical="center"/>
    </xf>
    <xf numFmtId="0" fontId="18" fillId="0" borderId="7" xfId="0" applyFont="1" applyBorder="1">
      <alignment vertical="center"/>
    </xf>
    <xf numFmtId="0" fontId="18" fillId="0" borderId="8" xfId="0" applyFont="1" applyBorder="1">
      <alignment vertical="center"/>
    </xf>
    <xf numFmtId="1" fontId="18" fillId="0" borderId="8" xfId="0" applyNumberFormat="1" applyFont="1" applyBorder="1" applyAlignment="1">
      <alignment horizontal="center" vertical="center"/>
    </xf>
    <xf numFmtId="0" fontId="18" fillId="0" borderId="5" xfId="0" applyFont="1" applyBorder="1">
      <alignment vertical="center"/>
    </xf>
    <xf numFmtId="0" fontId="18" fillId="0" borderId="9" xfId="0" applyFont="1" applyBorder="1">
      <alignment vertical="center"/>
    </xf>
    <xf numFmtId="0" fontId="31" fillId="0" borderId="0" xfId="0" applyFont="1" applyFill="1" applyBorder="1">
      <alignment vertical="center"/>
    </xf>
    <xf numFmtId="176" fontId="18" fillId="0" borderId="4" xfId="0" applyNumberFormat="1" applyFont="1" applyBorder="1" applyAlignment="1">
      <alignment horizontal="center" vertical="center"/>
    </xf>
    <xf numFmtId="0" fontId="32" fillId="0" borderId="5" xfId="0" applyFont="1" applyBorder="1">
      <alignment vertical="center"/>
    </xf>
    <xf numFmtId="0" fontId="21" fillId="0" borderId="5" xfId="0" applyFont="1" applyBorder="1">
      <alignment vertical="center"/>
    </xf>
    <xf numFmtId="176" fontId="14" fillId="0" borderId="8" xfId="0" applyNumberFormat="1" applyFont="1" applyBorder="1" applyAlignment="1">
      <alignment horizontal="center" vertical="center"/>
    </xf>
    <xf numFmtId="0" fontId="39" fillId="0" borderId="5" xfId="0" applyFont="1" applyBorder="1">
      <alignment vertical="center"/>
    </xf>
    <xf numFmtId="0" fontId="31" fillId="0" borderId="0" xfId="0" applyFont="1" applyFill="1" applyBorder="1" applyAlignment="1">
      <alignment vertical="top"/>
    </xf>
    <xf numFmtId="0" fontId="13" fillId="0" borderId="0" xfId="0" applyFont="1" applyAlignment="1">
      <alignment vertical="top"/>
    </xf>
    <xf numFmtId="0" fontId="14" fillId="0" borderId="0" xfId="0" applyFont="1" applyAlignment="1">
      <alignment vertical="top"/>
    </xf>
    <xf numFmtId="0" fontId="18" fillId="0" borderId="0" xfId="0" applyFont="1" applyAlignment="1">
      <alignment vertical="top" wrapText="1"/>
    </xf>
    <xf numFmtId="0" fontId="20" fillId="0" borderId="0" xfId="0" applyFont="1" applyAlignment="1">
      <alignment vertical="top" wrapText="1"/>
    </xf>
    <xf numFmtId="0" fontId="14" fillId="0" borderId="0" xfId="0" applyFont="1" applyFill="1" applyBorder="1" applyAlignment="1">
      <alignment vertical="top"/>
    </xf>
    <xf numFmtId="0" fontId="21" fillId="0" borderId="0" xfId="0" applyFont="1" applyAlignment="1">
      <alignment vertical="top" wrapText="1"/>
    </xf>
    <xf numFmtId="0" fontId="6" fillId="2" borderId="10" xfId="0" applyFont="1" applyFill="1" applyBorder="1" applyAlignment="1">
      <alignment horizontal="center" vertical="top" wrapText="1"/>
    </xf>
    <xf numFmtId="0" fontId="6" fillId="2" borderId="11" xfId="0" applyFont="1" applyFill="1" applyBorder="1" applyAlignment="1">
      <alignment horizontal="center" vertical="top" wrapText="1"/>
    </xf>
    <xf numFmtId="0" fontId="6" fillId="2" borderId="12" xfId="0" applyFont="1" applyFill="1" applyBorder="1" applyAlignment="1">
      <alignment horizontal="center" vertical="top" wrapText="1"/>
    </xf>
    <xf numFmtId="0" fontId="4" fillId="0" borderId="3" xfId="0" applyFont="1" applyBorder="1" applyAlignment="1">
      <alignment vertical="top" wrapText="1"/>
    </xf>
    <xf numFmtId="0" fontId="4" fillId="0" borderId="7" xfId="0" applyFont="1" applyBorder="1" applyAlignment="1">
      <alignment vertical="top" wrapText="1"/>
    </xf>
    <xf numFmtId="0" fontId="18" fillId="0" borderId="6" xfId="0" applyFont="1" applyBorder="1">
      <alignment vertical="center"/>
    </xf>
    <xf numFmtId="176" fontId="13" fillId="0" borderId="0" xfId="0" applyNumberFormat="1" applyFont="1">
      <alignment vertical="center"/>
    </xf>
    <xf numFmtId="0" fontId="18" fillId="0" borderId="0" xfId="0" applyFont="1">
      <alignment vertical="center"/>
    </xf>
    <xf numFmtId="0" fontId="44" fillId="0" borderId="0" xfId="0" applyFont="1">
      <alignment vertical="center"/>
    </xf>
    <xf numFmtId="0" fontId="45" fillId="0" borderId="0" xfId="0" applyFont="1">
      <alignment vertical="center"/>
    </xf>
    <xf numFmtId="0" fontId="46" fillId="0" borderId="0" xfId="0" applyFont="1">
      <alignment vertical="center"/>
    </xf>
    <xf numFmtId="0" fontId="47" fillId="0" borderId="0" xfId="0" applyFont="1">
      <alignment vertical="center"/>
    </xf>
    <xf numFmtId="0" fontId="48" fillId="0" borderId="0" xfId="0" applyFont="1">
      <alignment vertical="center"/>
    </xf>
    <xf numFmtId="0" fontId="49" fillId="0" borderId="0" xfId="0" applyFont="1">
      <alignment vertical="center"/>
    </xf>
    <xf numFmtId="0" fontId="50" fillId="0" borderId="0" xfId="0" applyFont="1">
      <alignment vertical="center"/>
    </xf>
    <xf numFmtId="0" fontId="51" fillId="0" borderId="0" xfId="0" applyFont="1">
      <alignment vertical="center"/>
    </xf>
    <xf numFmtId="0" fontId="52" fillId="0" borderId="0" xfId="0" applyFont="1">
      <alignment vertical="center"/>
    </xf>
    <xf numFmtId="0" fontId="3" fillId="0" borderId="8" xfId="0" applyFont="1" applyBorder="1" applyAlignment="1">
      <alignment horizontal="center" vertical="center"/>
    </xf>
    <xf numFmtId="0" fontId="53" fillId="0" borderId="5" xfId="0" applyFont="1" applyBorder="1">
      <alignment vertical="center"/>
    </xf>
    <xf numFmtId="0" fontId="54" fillId="0" borderId="3" xfId="0" applyFont="1" applyBorder="1" applyAlignment="1">
      <alignment vertical="top"/>
    </xf>
    <xf numFmtId="0" fontId="54" fillId="0" borderId="7" xfId="0" applyFont="1" applyBorder="1" applyAlignment="1">
      <alignment vertical="top"/>
    </xf>
    <xf numFmtId="0" fontId="54" fillId="0" borderId="0" xfId="0" applyFont="1">
      <alignment vertical="center"/>
    </xf>
    <xf numFmtId="0" fontId="23" fillId="0" borderId="4" xfId="0" applyFont="1" applyBorder="1" applyAlignment="1">
      <alignment horizontal="left" vertical="top"/>
    </xf>
    <xf numFmtId="0" fontId="23" fillId="0" borderId="8" xfId="0" applyFont="1" applyBorder="1" applyAlignment="1">
      <alignment horizontal="left" vertical="top"/>
    </xf>
    <xf numFmtId="0" fontId="23" fillId="0" borderId="0" xfId="0" applyFont="1" applyAlignment="1">
      <alignment horizontal="left" vertical="center"/>
    </xf>
    <xf numFmtId="0" fontId="19" fillId="0" borderId="0" xfId="0" applyFont="1">
      <alignment vertical="center"/>
    </xf>
    <xf numFmtId="0" fontId="35" fillId="0" borderId="17" xfId="0" applyFont="1" applyBorder="1" applyAlignment="1">
      <alignment vertical="top" wrapText="1"/>
    </xf>
    <xf numFmtId="0" fontId="18" fillId="0" borderId="17" xfId="0" applyFont="1" applyBorder="1" applyAlignment="1">
      <alignment vertical="top"/>
    </xf>
    <xf numFmtId="0" fontId="18" fillId="0" borderId="17" xfId="0" applyFont="1" applyBorder="1" applyAlignment="1">
      <alignment horizontal="center" vertical="top"/>
    </xf>
    <xf numFmtId="0" fontId="29" fillId="2" borderId="14" xfId="0" applyFont="1" applyFill="1" applyBorder="1" applyAlignment="1">
      <alignment horizontal="center" vertical="top"/>
    </xf>
    <xf numFmtId="0" fontId="15" fillId="0" borderId="4" xfId="0" applyFont="1" applyBorder="1" applyAlignment="1">
      <alignment vertical="top"/>
    </xf>
    <xf numFmtId="0" fontId="15" fillId="0" borderId="8" xfId="0" applyFont="1" applyBorder="1" applyAlignment="1">
      <alignment vertical="top"/>
    </xf>
    <xf numFmtId="0" fontId="19" fillId="0" borderId="4" xfId="0" applyFont="1" applyBorder="1" applyAlignment="1">
      <alignment vertical="top"/>
    </xf>
    <xf numFmtId="0" fontId="19" fillId="0" borderId="8" xfId="0" applyFont="1" applyBorder="1" applyAlignment="1">
      <alignment vertical="top"/>
    </xf>
    <xf numFmtId="0" fontId="30" fillId="2" borderId="0" xfId="0" applyFont="1" applyFill="1">
      <alignment vertical="center"/>
    </xf>
    <xf numFmtId="176" fontId="18" fillId="0" borderId="5" xfId="0" applyNumberFormat="1" applyFont="1" applyBorder="1" applyAlignment="1">
      <alignment horizontal="center" vertical="center"/>
    </xf>
    <xf numFmtId="176" fontId="14" fillId="0" borderId="9" xfId="0" applyNumberFormat="1" applyFont="1" applyBorder="1" applyAlignment="1">
      <alignment horizontal="center" vertical="center"/>
    </xf>
    <xf numFmtId="0" fontId="42" fillId="0" borderId="0" xfId="0" applyFont="1" applyAlignment="1">
      <alignment horizontal="center" vertical="center"/>
    </xf>
    <xf numFmtId="0" fontId="29" fillId="2" borderId="0" xfId="0" applyFont="1" applyFill="1" applyAlignment="1">
      <alignment horizontal="center" vertical="center"/>
    </xf>
    <xf numFmtId="0" fontId="18" fillId="0" borderId="0" xfId="0" applyFont="1" applyAlignment="1">
      <alignment horizontal="center" vertical="center"/>
    </xf>
    <xf numFmtId="0" fontId="14" fillId="0" borderId="0" xfId="0" applyFont="1" applyAlignment="1">
      <alignment horizontal="center" vertical="center"/>
    </xf>
    <xf numFmtId="176" fontId="14" fillId="0" borderId="0" xfId="0" applyNumberFormat="1" applyFont="1" applyAlignment="1">
      <alignment horizontal="center" vertical="center"/>
    </xf>
    <xf numFmtId="1" fontId="29" fillId="2" borderId="4" xfId="0" applyNumberFormat="1" applyFont="1" applyFill="1" applyBorder="1" applyAlignment="1">
      <alignment horizontal="center" vertical="center"/>
    </xf>
    <xf numFmtId="0" fontId="29" fillId="2" borderId="4" xfId="0" applyFont="1" applyFill="1" applyBorder="1" applyAlignment="1">
      <alignment horizontal="center" vertical="center"/>
    </xf>
    <xf numFmtId="1" fontId="29" fillId="2" borderId="5" xfId="0" applyNumberFormat="1" applyFont="1" applyFill="1" applyBorder="1" applyAlignment="1">
      <alignment horizontal="center" vertical="center"/>
    </xf>
    <xf numFmtId="1" fontId="18" fillId="0" borderId="5" xfId="0" applyNumberFormat="1" applyFont="1" applyBorder="1" applyAlignment="1">
      <alignment horizontal="center" vertical="center"/>
    </xf>
    <xf numFmtId="1" fontId="18" fillId="0" borderId="9" xfId="0" applyNumberFormat="1" applyFont="1" applyBorder="1" applyAlignment="1">
      <alignment horizontal="center" vertical="center"/>
    </xf>
    <xf numFmtId="1" fontId="18" fillId="0" borderId="0" xfId="0" applyNumberFormat="1" applyFont="1" applyAlignment="1">
      <alignment horizontal="center" vertical="center"/>
    </xf>
    <xf numFmtId="0" fontId="56" fillId="2" borderId="0" xfId="0" applyFont="1" applyFill="1" applyBorder="1" applyAlignment="1">
      <alignment horizontal="center" vertical="top"/>
    </xf>
    <xf numFmtId="0" fontId="3" fillId="0" borderId="5" xfId="0" applyFont="1" applyBorder="1" applyAlignment="1">
      <alignment horizontal="center" vertical="center"/>
    </xf>
    <xf numFmtId="0" fontId="4" fillId="0" borderId="9" xfId="0" applyFont="1" applyBorder="1" applyAlignment="1">
      <alignment horizontal="center" vertical="center"/>
    </xf>
    <xf numFmtId="0" fontId="18" fillId="0" borderId="0" xfId="0" applyFont="1" applyAlignment="1">
      <alignment horizontal="center" vertical="top"/>
    </xf>
    <xf numFmtId="0" fontId="14" fillId="0" borderId="0" xfId="0" applyFont="1" applyAlignment="1">
      <alignment horizontal="center" vertical="top"/>
    </xf>
    <xf numFmtId="0" fontId="4" fillId="0" borderId="4" xfId="0" applyFont="1" applyBorder="1" applyAlignment="1">
      <alignment horizontal="center" vertical="center"/>
    </xf>
    <xf numFmtId="0" fontId="3" fillId="0" borderId="1" xfId="0" applyFont="1" applyBorder="1" applyAlignment="1">
      <alignment horizontal="center" vertical="center"/>
    </xf>
    <xf numFmtId="0" fontId="53" fillId="0" borderId="2" xfId="0" applyFont="1" applyBorder="1">
      <alignment vertical="center"/>
    </xf>
    <xf numFmtId="0" fontId="4" fillId="0" borderId="4" xfId="0" applyFont="1" applyBorder="1" applyAlignment="1">
      <alignment horizontal="center" vertical="top"/>
    </xf>
    <xf numFmtId="0" fontId="4" fillId="0" borderId="8" xfId="0" applyFont="1" applyBorder="1" applyAlignment="1">
      <alignment horizontal="center" vertical="top"/>
    </xf>
    <xf numFmtId="0" fontId="57" fillId="0" borderId="0" xfId="0" applyFont="1">
      <alignment vertical="center"/>
    </xf>
    <xf numFmtId="0" fontId="4" fillId="0" borderId="3" xfId="0" applyFont="1" applyBorder="1">
      <alignment vertical="center"/>
    </xf>
    <xf numFmtId="0" fontId="4" fillId="0" borderId="5" xfId="0" applyFont="1" applyBorder="1">
      <alignment vertical="center"/>
    </xf>
    <xf numFmtId="0" fontId="3" fillId="0" borderId="10" xfId="0" applyFont="1" applyBorder="1">
      <alignment vertical="center"/>
    </xf>
    <xf numFmtId="0" fontId="3" fillId="0" borderId="11" xfId="0" applyFont="1" applyBorder="1">
      <alignment vertical="center"/>
    </xf>
    <xf numFmtId="0" fontId="3" fillId="0" borderId="12" xfId="0" applyFont="1" applyBorder="1">
      <alignment vertical="center"/>
    </xf>
    <xf numFmtId="0" fontId="4" fillId="0" borderId="9" xfId="0" applyFont="1" applyBorder="1">
      <alignment vertical="center"/>
    </xf>
    <xf numFmtId="0" fontId="59" fillId="0" borderId="5" xfId="0" applyFont="1" applyBorder="1" applyAlignment="1">
      <alignment vertical="top"/>
    </xf>
    <xf numFmtId="0" fontId="59" fillId="0" borderId="9" xfId="0" applyFont="1" applyBorder="1" applyAlignment="1">
      <alignment vertical="top"/>
    </xf>
    <xf numFmtId="49" fontId="58" fillId="0" borderId="4" xfId="0" applyNumberFormat="1" applyFont="1" applyBorder="1" applyAlignment="1">
      <alignment horizontal="center" vertical="top"/>
    </xf>
    <xf numFmtId="49" fontId="58" fillId="0" borderId="8" xfId="0" applyNumberFormat="1" applyFont="1" applyBorder="1" applyAlignment="1">
      <alignment horizontal="center" vertical="top"/>
    </xf>
    <xf numFmtId="0" fontId="4" fillId="0" borderId="4" xfId="0" applyFont="1" applyBorder="1" applyAlignment="1">
      <alignment vertical="top"/>
    </xf>
    <xf numFmtId="0" fontId="4" fillId="0" borderId="8" xfId="0" applyFont="1" applyBorder="1" applyAlignment="1">
      <alignment vertical="top"/>
    </xf>
    <xf numFmtId="0" fontId="59" fillId="0" borderId="4" xfId="0" applyFont="1" applyBorder="1" applyAlignment="1">
      <alignment vertical="top"/>
    </xf>
    <xf numFmtId="0" fontId="59" fillId="0" borderId="8" xfId="0" applyFont="1" applyBorder="1" applyAlignment="1">
      <alignment vertical="top"/>
    </xf>
    <xf numFmtId="0" fontId="6" fillId="6" borderId="10" xfId="0" applyFont="1" applyFill="1" applyBorder="1" applyAlignment="1">
      <alignment horizontal="center" vertical="center"/>
    </xf>
    <xf numFmtId="0" fontId="6" fillId="6" borderId="11" xfId="0" applyFont="1" applyFill="1" applyBorder="1" applyAlignment="1">
      <alignment horizontal="center" vertical="center"/>
    </xf>
    <xf numFmtId="0" fontId="6" fillId="6" borderId="12" xfId="0" applyFont="1" applyFill="1" applyBorder="1" applyAlignment="1">
      <alignment horizontal="center" vertical="center"/>
    </xf>
    <xf numFmtId="0" fontId="6" fillId="9" borderId="10" xfId="0" applyFont="1" applyFill="1" applyBorder="1" applyAlignment="1">
      <alignment horizontal="center" vertical="top"/>
    </xf>
    <xf numFmtId="0" fontId="6" fillId="9" borderId="11" xfId="0" applyFont="1" applyFill="1" applyBorder="1" applyAlignment="1">
      <alignment horizontal="center" vertical="top"/>
    </xf>
    <xf numFmtId="0" fontId="6" fillId="9" borderId="12" xfId="0" applyFont="1" applyFill="1" applyBorder="1" applyAlignment="1">
      <alignment horizontal="center" vertical="top"/>
    </xf>
    <xf numFmtId="0" fontId="3" fillId="0" borderId="5" xfId="0" applyFont="1" applyBorder="1" applyAlignment="1">
      <alignment horizontal="center" vertical="top"/>
    </xf>
    <xf numFmtId="0" fontId="3" fillId="0" borderId="9" xfId="0" applyFont="1" applyBorder="1" applyAlignment="1">
      <alignment horizontal="center" vertical="top"/>
    </xf>
    <xf numFmtId="0" fontId="60" fillId="2" borderId="18" xfId="0" applyFont="1" applyFill="1" applyBorder="1" applyAlignment="1">
      <alignment horizontal="center" vertical="center"/>
    </xf>
    <xf numFmtId="181" fontId="3" fillId="0" borderId="4" xfId="0" applyNumberFormat="1" applyFont="1" applyBorder="1" applyAlignment="1">
      <alignment horizontal="center" vertical="center"/>
    </xf>
    <xf numFmtId="181" fontId="4" fillId="0" borderId="4" xfId="0" applyNumberFormat="1" applyFont="1" applyBorder="1" applyAlignment="1">
      <alignment horizontal="center" vertical="center"/>
    </xf>
    <xf numFmtId="0" fontId="4" fillId="0" borderId="4" xfId="0" applyFont="1" applyBorder="1">
      <alignment vertical="center"/>
    </xf>
    <xf numFmtId="181" fontId="4" fillId="0" borderId="8" xfId="0" applyNumberFormat="1" applyFont="1" applyBorder="1" applyAlignment="1">
      <alignment horizontal="center" vertical="center"/>
    </xf>
    <xf numFmtId="0" fontId="59" fillId="0" borderId="4" xfId="0" applyFont="1" applyBorder="1" applyAlignment="1">
      <alignment horizontal="center" vertical="top"/>
    </xf>
    <xf numFmtId="0" fontId="59" fillId="0" borderId="8" xfId="0" applyFont="1" applyBorder="1" applyAlignment="1">
      <alignment horizontal="center" vertical="top"/>
    </xf>
    <xf numFmtId="0" fontId="35" fillId="0" borderId="0" xfId="0" applyFont="1" applyAlignment="1">
      <alignment horizontal="left" vertical="center"/>
    </xf>
    <xf numFmtId="0" fontId="35" fillId="0" borderId="0" xfId="0" applyFont="1" applyAlignment="1">
      <alignment vertical="center"/>
    </xf>
    <xf numFmtId="0" fontId="18" fillId="0" borderId="4" xfId="0" applyFont="1" applyBorder="1" applyAlignment="1">
      <alignment horizontal="left" vertical="top" wrapText="1"/>
    </xf>
    <xf numFmtId="0" fontId="18" fillId="10" borderId="4" xfId="0" applyFont="1" applyFill="1" applyBorder="1" applyAlignment="1">
      <alignment vertical="top"/>
    </xf>
    <xf numFmtId="0" fontId="18" fillId="10" borderId="8" xfId="0" applyFont="1" applyFill="1" applyBorder="1" applyAlignment="1">
      <alignment vertical="top"/>
    </xf>
    <xf numFmtId="0" fontId="3" fillId="0" borderId="4" xfId="0" applyFont="1" applyBorder="1" applyAlignment="1">
      <alignment horizontal="center" vertical="top" wrapText="1"/>
    </xf>
    <xf numFmtId="0" fontId="3" fillId="0" borderId="8" xfId="0" applyFont="1" applyBorder="1" applyAlignment="1">
      <alignment horizontal="center" vertical="top" wrapText="1"/>
    </xf>
    <xf numFmtId="0" fontId="62" fillId="0" borderId="5" xfId="0" applyFont="1" applyBorder="1" applyAlignment="1">
      <alignment vertical="top" wrapText="1"/>
    </xf>
    <xf numFmtId="0" fontId="62" fillId="0" borderId="9" xfId="0" applyFont="1" applyBorder="1" applyAlignment="1">
      <alignment vertical="top" wrapText="1"/>
    </xf>
    <xf numFmtId="0" fontId="4" fillId="0" borderId="9" xfId="0" applyFont="1" applyBorder="1" applyAlignment="1">
      <alignment vertical="top"/>
    </xf>
    <xf numFmtId="187" fontId="3" fillId="0" borderId="4" xfId="0" applyNumberFormat="1" applyFont="1" applyBorder="1" applyAlignment="1">
      <alignment horizontal="right" vertical="top"/>
    </xf>
    <xf numFmtId="0" fontId="4" fillId="0" borderId="8" xfId="0" applyFont="1" applyBorder="1" applyAlignment="1">
      <alignment horizontal="right" vertical="top"/>
    </xf>
    <xf numFmtId="186" fontId="64" fillId="0" borderId="4" xfId="0" applyNumberFormat="1" applyFont="1" applyBorder="1" applyAlignment="1">
      <alignment horizontal="right" vertical="top"/>
    </xf>
    <xf numFmtId="4" fontId="3" fillId="0" borderId="4" xfId="0" applyNumberFormat="1" applyFont="1" applyBorder="1" applyAlignment="1">
      <alignment horizontal="right" vertical="top"/>
    </xf>
    <xf numFmtId="4" fontId="4" fillId="0" borderId="8" xfId="0" applyNumberFormat="1" applyFont="1" applyBorder="1" applyAlignment="1">
      <alignment horizontal="right" vertical="top"/>
    </xf>
    <xf numFmtId="0" fontId="4" fillId="0" borderId="3" xfId="0" applyFont="1" applyBorder="1" applyAlignment="1">
      <alignment horizontal="center" vertical="top"/>
    </xf>
    <xf numFmtId="0" fontId="3" fillId="0" borderId="4" xfId="0" applyFont="1" applyBorder="1" applyAlignment="1">
      <alignment horizontal="right" vertical="center"/>
    </xf>
    <xf numFmtId="4" fontId="3" fillId="0" borderId="4" xfId="0" applyNumberFormat="1" applyFont="1" applyBorder="1" applyAlignment="1">
      <alignment horizontal="right" vertical="center"/>
    </xf>
    <xf numFmtId="4" fontId="3" fillId="0" borderId="5" xfId="0" applyNumberFormat="1" applyFont="1" applyBorder="1" applyAlignment="1">
      <alignment horizontal="right" vertical="center"/>
    </xf>
    <xf numFmtId="0" fontId="4" fillId="0" borderId="8" xfId="0" applyFont="1" applyBorder="1" applyAlignment="1">
      <alignment horizontal="right" vertical="center"/>
    </xf>
    <xf numFmtId="4" fontId="4" fillId="0" borderId="8" xfId="0" applyNumberFormat="1" applyFont="1" applyBorder="1" applyAlignment="1">
      <alignment horizontal="right" vertical="center"/>
    </xf>
    <xf numFmtId="4" fontId="4" fillId="0" borderId="9" xfId="0" applyNumberFormat="1" applyFont="1" applyBorder="1" applyAlignment="1">
      <alignment horizontal="right" vertical="center"/>
    </xf>
    <xf numFmtId="188" fontId="3" fillId="0" borderId="4" xfId="0" applyNumberFormat="1" applyFont="1" applyBorder="1" applyAlignment="1">
      <alignment horizontal="right" vertical="center"/>
    </xf>
    <xf numFmtId="3" fontId="3" fillId="0" borderId="4" xfId="0" applyNumberFormat="1" applyFont="1" applyBorder="1" applyAlignment="1">
      <alignment horizontal="right" vertical="center"/>
    </xf>
    <xf numFmtId="189" fontId="3" fillId="0" borderId="4" xfId="0" applyNumberFormat="1" applyFont="1" applyBorder="1" applyAlignment="1">
      <alignment horizontal="right" vertical="center"/>
    </xf>
    <xf numFmtId="3" fontId="3" fillId="0" borderId="8" xfId="0" applyNumberFormat="1" applyFont="1" applyBorder="1" applyAlignment="1">
      <alignment horizontal="right" vertical="center"/>
    </xf>
    <xf numFmtId="0" fontId="64" fillId="0" borderId="4" xfId="0" applyFont="1" applyBorder="1">
      <alignment vertical="center"/>
    </xf>
    <xf numFmtId="0" fontId="64" fillId="0" borderId="8" xfId="0" applyFont="1" applyBorder="1">
      <alignment vertical="center"/>
    </xf>
    <xf numFmtId="0" fontId="55" fillId="0" borderId="4" xfId="0" applyFont="1" applyBorder="1">
      <alignment vertical="center"/>
    </xf>
    <xf numFmtId="0" fontId="55" fillId="0" borderId="8" xfId="0" applyFont="1" applyBorder="1">
      <alignment vertical="center"/>
    </xf>
    <xf numFmtId="0" fontId="0" fillId="4" borderId="0" xfId="0" applyFill="1">
      <alignment vertical="center"/>
    </xf>
    <xf numFmtId="0" fontId="14" fillId="0" borderId="4" xfId="0" applyFont="1" applyBorder="1" applyAlignment="1">
      <alignment horizontal="center" vertical="top"/>
    </xf>
    <xf numFmtId="0" fontId="14" fillId="0" borderId="8" xfId="0" applyFont="1" applyBorder="1" applyAlignment="1">
      <alignment horizontal="center" vertical="top"/>
    </xf>
    <xf numFmtId="0" fontId="18" fillId="0" borderId="15" xfId="0" applyFont="1" applyBorder="1" applyAlignment="1">
      <alignment horizontal="center" vertical="top"/>
    </xf>
    <xf numFmtId="0" fontId="18" fillId="0" borderId="16" xfId="0" applyFont="1" applyBorder="1" applyAlignment="1">
      <alignment horizontal="center" vertical="top"/>
    </xf>
    <xf numFmtId="0" fontId="33" fillId="0" borderId="4" xfId="0" applyFont="1" applyFill="1" applyBorder="1" applyAlignment="1">
      <alignment horizontal="left" vertical="top" wrapText="1"/>
    </xf>
    <xf numFmtId="0" fontId="33" fillId="0" borderId="8" xfId="0" applyFont="1" applyFill="1" applyBorder="1" applyAlignment="1">
      <alignment horizontal="left" vertical="top" wrapText="1"/>
    </xf>
    <xf numFmtId="0" fontId="0" fillId="3" borderId="0" xfId="0" applyFill="1">
      <alignment vertical="center"/>
    </xf>
    <xf numFmtId="0" fontId="18" fillId="10" borderId="4" xfId="0" applyFont="1" applyFill="1" applyBorder="1" applyAlignment="1">
      <alignment vertical="top" wrapText="1"/>
    </xf>
    <xf numFmtId="0" fontId="65" fillId="0" borderId="0" xfId="0" applyFont="1">
      <alignment vertical="center"/>
    </xf>
    <xf numFmtId="0" fontId="61" fillId="0" borderId="0" xfId="0" applyFont="1">
      <alignment vertical="center"/>
    </xf>
    <xf numFmtId="0" fontId="61" fillId="0" borderId="0" xfId="0" applyFont="1" applyAlignment="1">
      <alignment horizontal="left" vertical="center"/>
    </xf>
    <xf numFmtId="0" fontId="14" fillId="0" borderId="0" xfId="0" applyFont="1" applyAlignment="1">
      <alignment horizontal="left" vertical="center"/>
    </xf>
    <xf numFmtId="0" fontId="18" fillId="0" borderId="0" xfId="0" applyFont="1" applyAlignment="1">
      <alignment horizontal="left" vertical="top" wrapText="1"/>
    </xf>
    <xf numFmtId="0" fontId="40" fillId="0" borderId="4" xfId="0" applyFont="1" applyFill="1" applyBorder="1" applyAlignment="1">
      <alignment horizontal="left" vertical="top"/>
    </xf>
    <xf numFmtId="0" fontId="40" fillId="0" borderId="8" xfId="0" applyFont="1" applyFill="1" applyBorder="1" applyAlignment="1">
      <alignment horizontal="left" vertical="top"/>
    </xf>
    <xf numFmtId="0" fontId="39" fillId="0" borderId="4" xfId="0" applyFont="1" applyBorder="1" applyAlignment="1">
      <alignment vertical="top" wrapText="1"/>
    </xf>
    <xf numFmtId="0" fontId="18" fillId="0" borderId="8" xfId="0" applyFont="1" applyBorder="1" applyAlignment="1">
      <alignment horizontal="left" vertical="top" wrapText="1"/>
    </xf>
    <xf numFmtId="0" fontId="39" fillId="0" borderId="8" xfId="0" applyFont="1" applyBorder="1" applyAlignment="1">
      <alignment vertical="top" wrapText="1"/>
    </xf>
    <xf numFmtId="0" fontId="33" fillId="0" borderId="4" xfId="0" applyFont="1" applyBorder="1" applyAlignment="1">
      <alignment horizontal="center" vertical="top"/>
    </xf>
    <xf numFmtId="0" fontId="33" fillId="0" borderId="8" xfId="0" applyFont="1" applyBorder="1" applyAlignment="1">
      <alignment horizontal="center" vertical="top"/>
    </xf>
    <xf numFmtId="0" fontId="29" fillId="11" borderId="11" xfId="0" applyFont="1" applyFill="1" applyBorder="1" applyAlignment="1">
      <alignment horizontal="center" vertical="top"/>
    </xf>
    <xf numFmtId="0" fontId="17" fillId="11" borderId="11" xfId="0" applyFont="1" applyFill="1" applyBorder="1" applyAlignment="1">
      <alignment horizontal="center" vertical="center"/>
    </xf>
    <xf numFmtId="0" fontId="6" fillId="2" borderId="18" xfId="0" applyFont="1" applyFill="1" applyBorder="1" applyAlignment="1">
      <alignment horizontal="center" vertical="top"/>
    </xf>
    <xf numFmtId="0" fontId="66" fillId="0" borderId="0" xfId="0" applyFont="1">
      <alignment vertical="center"/>
    </xf>
    <xf numFmtId="4" fontId="13" fillId="0" borderId="0" xfId="0" applyNumberFormat="1" applyFont="1">
      <alignment vertical="center"/>
    </xf>
    <xf numFmtId="188" fontId="13" fillId="0" borderId="0" xfId="0" applyNumberFormat="1" applyFont="1">
      <alignment vertical="center"/>
    </xf>
    <xf numFmtId="0" fontId="29" fillId="2" borderId="20" xfId="0" applyFont="1" applyFill="1" applyBorder="1">
      <alignment vertical="center"/>
    </xf>
    <xf numFmtId="0" fontId="29" fillId="2" borderId="21" xfId="0" applyFont="1" applyFill="1" applyBorder="1">
      <alignment vertical="center"/>
    </xf>
    <xf numFmtId="0" fontId="29" fillId="2" borderId="22" xfId="0" applyFont="1" applyFill="1" applyBorder="1">
      <alignment vertical="center"/>
    </xf>
    <xf numFmtId="0" fontId="18" fillId="0" borderId="23" xfId="0" applyFont="1" applyBorder="1">
      <alignment vertical="center"/>
    </xf>
    <xf numFmtId="0" fontId="18" fillId="0" borderId="17" xfId="0" applyFont="1" applyBorder="1">
      <alignment vertical="center"/>
    </xf>
    <xf numFmtId="3" fontId="18" fillId="0" borderId="17" xfId="0" applyNumberFormat="1" applyFont="1" applyBorder="1">
      <alignment vertical="center"/>
    </xf>
    <xf numFmtId="190" fontId="18" fillId="0" borderId="17" xfId="0" applyNumberFormat="1" applyFont="1" applyBorder="1">
      <alignment vertical="center"/>
    </xf>
    <xf numFmtId="4" fontId="18" fillId="0" borderId="17" xfId="0" applyNumberFormat="1" applyFont="1" applyBorder="1">
      <alignment vertical="center"/>
    </xf>
    <xf numFmtId="0" fontId="18" fillId="0" borderId="17" xfId="0" applyFont="1" applyBorder="1" applyAlignment="1">
      <alignment horizontal="center" vertical="center"/>
    </xf>
    <xf numFmtId="0" fontId="18" fillId="0" borderId="13" xfId="0" applyFont="1" applyBorder="1" applyAlignment="1">
      <alignment horizontal="center" vertical="center"/>
    </xf>
    <xf numFmtId="0" fontId="18" fillId="0" borderId="24" xfId="0" applyFont="1" applyBorder="1">
      <alignment vertical="center"/>
    </xf>
    <xf numFmtId="0" fontId="18" fillId="0" borderId="25" xfId="0" applyFont="1" applyBorder="1">
      <alignment vertical="center"/>
    </xf>
    <xf numFmtId="3" fontId="18" fillId="0" borderId="25" xfId="0" applyNumberFormat="1" applyFont="1" applyBorder="1">
      <alignment vertical="center"/>
    </xf>
    <xf numFmtId="190" fontId="18" fillId="0" borderId="25" xfId="0" applyNumberFormat="1" applyFont="1" applyBorder="1">
      <alignment vertical="center"/>
    </xf>
    <xf numFmtId="4" fontId="18" fillId="0" borderId="25" xfId="0" applyNumberFormat="1" applyFont="1" applyBorder="1">
      <alignment vertical="center"/>
    </xf>
    <xf numFmtId="0" fontId="18" fillId="0" borderId="25" xfId="0" applyFont="1" applyBorder="1" applyAlignment="1">
      <alignment horizontal="center" vertical="center"/>
    </xf>
    <xf numFmtId="0" fontId="18" fillId="0" borderId="19" xfId="0" applyFont="1" applyBorder="1" applyAlignment="1">
      <alignment horizontal="center" vertical="center"/>
    </xf>
    <xf numFmtId="0" fontId="14" fillId="0" borderId="0" xfId="0" applyFont="1" applyFill="1" applyBorder="1">
      <alignment vertical="center"/>
    </xf>
    <xf numFmtId="0" fontId="18" fillId="0" borderId="0" xfId="0" applyFont="1" applyFill="1" applyBorder="1">
      <alignment vertical="center"/>
    </xf>
    <xf numFmtId="0" fontId="4" fillId="4" borderId="3" xfId="0" applyFont="1" applyFill="1" applyBorder="1" applyAlignment="1">
      <alignment horizontal="center" vertical="top"/>
    </xf>
    <xf numFmtId="0" fontId="3" fillId="4" borderId="4" xfId="0" applyFont="1" applyFill="1" applyBorder="1" applyAlignment="1">
      <alignment vertical="top"/>
    </xf>
    <xf numFmtId="0" fontId="59" fillId="4" borderId="4" xfId="0" applyFont="1" applyFill="1" applyBorder="1" applyAlignment="1">
      <alignment vertical="top"/>
    </xf>
    <xf numFmtId="187" fontId="3" fillId="4" borderId="4" xfId="0" applyNumberFormat="1" applyFont="1" applyFill="1" applyBorder="1" applyAlignment="1">
      <alignment horizontal="right" vertical="top"/>
    </xf>
    <xf numFmtId="0" fontId="3" fillId="4" borderId="4" xfId="0" applyFont="1" applyFill="1" applyBorder="1" applyAlignment="1">
      <alignment horizontal="center" vertical="top"/>
    </xf>
    <xf numFmtId="186" fontId="64" fillId="4" borderId="4" xfId="0" applyNumberFormat="1" applyFont="1" applyFill="1" applyBorder="1" applyAlignment="1">
      <alignment horizontal="right" vertical="top"/>
    </xf>
    <xf numFmtId="4" fontId="3" fillId="4" borderId="4" xfId="0" applyNumberFormat="1" applyFont="1" applyFill="1" applyBorder="1" applyAlignment="1">
      <alignment horizontal="right" vertical="top"/>
    </xf>
    <xf numFmtId="0" fontId="9" fillId="4" borderId="5" xfId="0" applyFont="1" applyFill="1" applyBorder="1" applyAlignment="1">
      <alignment vertical="top"/>
    </xf>
    <xf numFmtId="0" fontId="4" fillId="3" borderId="3" xfId="0" applyFont="1" applyFill="1" applyBorder="1" applyAlignment="1">
      <alignment vertical="top"/>
    </xf>
    <xf numFmtId="0" fontId="3" fillId="3" borderId="4" xfId="0" applyFont="1" applyFill="1" applyBorder="1" applyAlignment="1">
      <alignment vertical="top"/>
    </xf>
    <xf numFmtId="0" fontId="3" fillId="3" borderId="4" xfId="0" applyFont="1" applyFill="1" applyBorder="1" applyAlignment="1">
      <alignment horizontal="center" vertical="top"/>
    </xf>
    <xf numFmtId="49" fontId="58" fillId="3" borderId="4" xfId="0" applyNumberFormat="1" applyFont="1" applyFill="1" applyBorder="1" applyAlignment="1">
      <alignment horizontal="center" vertical="top"/>
    </xf>
    <xf numFmtId="0" fontId="59" fillId="3" borderId="5" xfId="0" applyFont="1" applyFill="1" applyBorder="1" applyAlignment="1">
      <alignment vertical="top"/>
    </xf>
    <xf numFmtId="0" fontId="4" fillId="4" borderId="3" xfId="0" applyFont="1" applyFill="1" applyBorder="1" applyAlignment="1">
      <alignment vertical="top"/>
    </xf>
    <xf numFmtId="49" fontId="58" fillId="4" borderId="4" xfId="0" applyNumberFormat="1" applyFont="1" applyFill="1" applyBorder="1" applyAlignment="1">
      <alignment horizontal="center" vertical="top"/>
    </xf>
    <xf numFmtId="0" fontId="59" fillId="4" borderId="5" xfId="0" applyFont="1" applyFill="1" applyBorder="1" applyAlignment="1">
      <alignment vertical="top"/>
    </xf>
    <xf numFmtId="0" fontId="67" fillId="0" borderId="0" xfId="0" applyFont="1">
      <alignment vertical="center"/>
    </xf>
    <xf numFmtId="0" fontId="68" fillId="0" borderId="0" xfId="0" applyFont="1">
      <alignment vertical="center"/>
    </xf>
    <xf numFmtId="0" fontId="30" fillId="2" borderId="20" xfId="0" applyFont="1" applyFill="1" applyBorder="1">
      <alignment vertical="center"/>
    </xf>
    <xf numFmtId="0" fontId="30" fillId="2" borderId="21" xfId="0" applyFont="1" applyFill="1" applyBorder="1">
      <alignment vertical="center"/>
    </xf>
    <xf numFmtId="0" fontId="30" fillId="6" borderId="21" xfId="0" applyFont="1" applyFill="1" applyBorder="1">
      <alignment vertical="center"/>
    </xf>
    <xf numFmtId="0" fontId="30" fillId="12" borderId="21" xfId="0" applyFont="1" applyFill="1" applyBorder="1">
      <alignment vertical="center"/>
    </xf>
    <xf numFmtId="0" fontId="30" fillId="12" borderId="22" xfId="0" applyFont="1" applyFill="1" applyBorder="1">
      <alignment vertical="center"/>
    </xf>
    <xf numFmtId="0" fontId="18" fillId="0" borderId="17" xfId="0" applyFont="1" applyBorder="1" applyAlignment="1">
      <alignment vertical="top" wrapText="1"/>
    </xf>
    <xf numFmtId="0" fontId="18" fillId="0" borderId="17" xfId="0" applyFont="1" applyBorder="1" applyAlignment="1">
      <alignment horizontal="center" vertical="top" wrapText="1"/>
    </xf>
    <xf numFmtId="0" fontId="18" fillId="0" borderId="13" xfId="0" applyFont="1" applyBorder="1" applyAlignment="1">
      <alignment vertical="top" wrapText="1"/>
    </xf>
    <xf numFmtId="0" fontId="18" fillId="0" borderId="25" xfId="0" applyFont="1" applyBorder="1" applyAlignment="1">
      <alignment vertical="top" wrapText="1"/>
    </xf>
    <xf numFmtId="0" fontId="18" fillId="0" borderId="25" xfId="0" applyFont="1" applyBorder="1" applyAlignment="1">
      <alignment horizontal="center" vertical="top" wrapText="1"/>
    </xf>
    <xf numFmtId="0" fontId="18" fillId="0" borderId="19" xfId="0" applyFont="1" applyBorder="1" applyAlignment="1">
      <alignment vertical="top" wrapText="1"/>
    </xf>
    <xf numFmtId="0" fontId="30" fillId="2" borderId="22" xfId="0" applyFont="1" applyFill="1" applyBorder="1">
      <alignment vertical="center"/>
    </xf>
    <xf numFmtId="0" fontId="35" fillId="0" borderId="13" xfId="0" applyFont="1" applyBorder="1" applyAlignment="1">
      <alignment vertical="top" wrapText="1"/>
    </xf>
    <xf numFmtId="0" fontId="39" fillId="0" borderId="0" xfId="0" applyFont="1">
      <alignment vertical="center"/>
    </xf>
    <xf numFmtId="0" fontId="18" fillId="0" borderId="23" xfId="0" applyFont="1" applyBorder="1" applyAlignment="1">
      <alignment horizontal="center" vertical="top" wrapText="1"/>
    </xf>
    <xf numFmtId="0" fontId="18" fillId="0" borderId="24" xfId="0" applyFont="1" applyBorder="1" applyAlignment="1">
      <alignment horizontal="center" vertical="top" wrapText="1"/>
    </xf>
    <xf numFmtId="0" fontId="34" fillId="0" borderId="23" xfId="0" applyFont="1" applyBorder="1" applyAlignment="1">
      <alignment vertical="top" wrapText="1"/>
    </xf>
    <xf numFmtId="0" fontId="30" fillId="14" borderId="22" xfId="0" applyFont="1" applyFill="1" applyBorder="1">
      <alignment vertical="center"/>
    </xf>
    <xf numFmtId="0" fontId="7" fillId="15" borderId="0" xfId="0" applyFont="1" applyFill="1">
      <alignment vertical="center"/>
    </xf>
    <xf numFmtId="0" fontId="69" fillId="0" borderId="0" xfId="0" applyFont="1">
      <alignment vertical="center"/>
    </xf>
    <xf numFmtId="0" fontId="18" fillId="0" borderId="13" xfId="0" applyFont="1" applyBorder="1" applyAlignment="1">
      <alignment horizontal="center" vertical="top"/>
    </xf>
    <xf numFmtId="0" fontId="18" fillId="0" borderId="25" xfId="0" applyFont="1" applyBorder="1" applyAlignment="1">
      <alignment vertical="top"/>
    </xf>
    <xf numFmtId="0" fontId="18" fillId="0" borderId="25" xfId="0" applyFont="1" applyBorder="1" applyAlignment="1">
      <alignment horizontal="center" vertical="top"/>
    </xf>
    <xf numFmtId="0" fontId="18" fillId="0" borderId="19" xfId="0" applyFont="1" applyBorder="1" applyAlignment="1">
      <alignment horizontal="center" vertical="top"/>
    </xf>
    <xf numFmtId="0" fontId="13" fillId="0" borderId="23" xfId="0" applyFont="1" applyBorder="1">
      <alignment vertical="center"/>
    </xf>
    <xf numFmtId="0" fontId="13" fillId="0" borderId="17" xfId="0" applyFont="1" applyBorder="1">
      <alignment vertical="center"/>
    </xf>
    <xf numFmtId="0" fontId="13" fillId="0" borderId="13" xfId="0" applyFont="1" applyBorder="1">
      <alignment vertical="center"/>
    </xf>
    <xf numFmtId="0" fontId="18" fillId="0" borderId="13" xfId="0" applyFont="1" applyBorder="1">
      <alignment vertical="center"/>
    </xf>
    <xf numFmtId="0" fontId="18" fillId="0" borderId="19" xfId="0" applyFont="1" applyBorder="1">
      <alignment vertical="center"/>
    </xf>
    <xf numFmtId="0" fontId="18" fillId="0" borderId="13" xfId="0" applyFont="1" applyBorder="1" applyAlignment="1">
      <alignment vertical="top"/>
    </xf>
    <xf numFmtId="0" fontId="18" fillId="0" borderId="19" xfId="0" applyFont="1" applyBorder="1" applyAlignment="1">
      <alignment vertical="top"/>
    </xf>
    <xf numFmtId="0" fontId="3" fillId="13" borderId="4" xfId="0" applyFont="1" applyFill="1" applyBorder="1" applyAlignment="1">
      <alignment vertical="top"/>
    </xf>
    <xf numFmtId="0" fontId="7" fillId="2" borderId="20" xfId="0" applyFont="1" applyFill="1" applyBorder="1">
      <alignment vertical="center"/>
    </xf>
    <xf numFmtId="0" fontId="7" fillId="2" borderId="21" xfId="0" applyFont="1" applyFill="1" applyBorder="1">
      <alignment vertical="center"/>
    </xf>
    <xf numFmtId="0" fontId="7" fillId="2" borderId="22" xfId="0" applyFont="1" applyFill="1" applyBorder="1">
      <alignment vertical="center"/>
    </xf>
    <xf numFmtId="0" fontId="0" fillId="0" borderId="23" xfId="0" applyBorder="1">
      <alignment vertical="center"/>
    </xf>
    <xf numFmtId="0" fontId="0" fillId="0" borderId="17" xfId="0" applyBorder="1">
      <alignment vertical="center"/>
    </xf>
    <xf numFmtId="0" fontId="0" fillId="0" borderId="13" xfId="0" applyBorder="1">
      <alignment vertical="center"/>
    </xf>
    <xf numFmtId="0" fontId="1" fillId="4" borderId="23" xfId="0" applyFont="1" applyFill="1" applyBorder="1">
      <alignment vertical="center"/>
    </xf>
    <xf numFmtId="0" fontId="1" fillId="4" borderId="17" xfId="0" applyFont="1" applyFill="1" applyBorder="1">
      <alignment vertical="center"/>
    </xf>
    <xf numFmtId="0" fontId="1" fillId="4" borderId="13" xfId="0" applyFont="1" applyFill="1" applyBorder="1">
      <alignment vertical="center"/>
    </xf>
    <xf numFmtId="0" fontId="1" fillId="7" borderId="24" xfId="0" applyFont="1" applyFill="1" applyBorder="1">
      <alignment vertical="center"/>
    </xf>
    <xf numFmtId="0" fontId="1" fillId="7" borderId="25" xfId="0" applyFont="1" applyFill="1" applyBorder="1">
      <alignment vertical="center"/>
    </xf>
    <xf numFmtId="0" fontId="1" fillId="7" borderId="19" xfId="0" applyFont="1" applyFill="1" applyBorder="1">
      <alignment vertical="center"/>
    </xf>
    <xf numFmtId="0" fontId="0" fillId="0" borderId="17" xfId="0" applyBorder="1" applyAlignment="1">
      <alignment vertical="center" wrapText="1"/>
    </xf>
    <xf numFmtId="0" fontId="3" fillId="13" borderId="3" xfId="0" applyFont="1" applyFill="1" applyBorder="1" applyAlignment="1">
      <alignment vertical="top"/>
    </xf>
    <xf numFmtId="0" fontId="4" fillId="13" borderId="4" xfId="0" applyFont="1" applyFill="1" applyBorder="1" applyAlignment="1">
      <alignment vertical="top"/>
    </xf>
    <xf numFmtId="0" fontId="59" fillId="13" borderId="4" xfId="0" applyFont="1" applyFill="1" applyBorder="1" applyAlignment="1">
      <alignment horizontal="center" vertical="top"/>
    </xf>
    <xf numFmtId="0" fontId="4" fillId="13" borderId="4" xfId="0" applyFont="1" applyFill="1" applyBorder="1" applyAlignment="1">
      <alignment horizontal="center" vertical="top"/>
    </xf>
    <xf numFmtId="0" fontId="59" fillId="13" borderId="4" xfId="0" applyFont="1" applyFill="1" applyBorder="1" applyAlignment="1">
      <alignment vertical="top"/>
    </xf>
    <xf numFmtId="0" fontId="3" fillId="13" borderId="5" xfId="0" applyFont="1" applyFill="1" applyBorder="1" applyAlignment="1">
      <alignment horizontal="center" vertical="top"/>
    </xf>
    <xf numFmtId="0" fontId="3" fillId="8" borderId="7" xfId="0" applyFont="1" applyFill="1" applyBorder="1" applyAlignment="1">
      <alignment vertical="top"/>
    </xf>
    <xf numFmtId="0" fontId="4" fillId="8" borderId="8" xfId="0" applyFont="1" applyFill="1" applyBorder="1" applyAlignment="1">
      <alignment vertical="top"/>
    </xf>
    <xf numFmtId="0" fontId="3" fillId="8" borderId="8" xfId="0" applyFont="1" applyFill="1" applyBorder="1" applyAlignment="1">
      <alignment vertical="top"/>
    </xf>
    <xf numFmtId="0" fontId="59" fillId="8" borderId="8" xfId="0" applyFont="1" applyFill="1" applyBorder="1" applyAlignment="1">
      <alignment horizontal="center" vertical="top"/>
    </xf>
    <xf numFmtId="0" fontId="4" fillId="8" borderId="8" xfId="0" applyFont="1" applyFill="1" applyBorder="1" applyAlignment="1">
      <alignment horizontal="center" vertical="top"/>
    </xf>
    <xf numFmtId="0" fontId="59" fillId="8" borderId="8" xfId="0" applyFont="1" applyFill="1" applyBorder="1" applyAlignment="1">
      <alignment vertical="top"/>
    </xf>
    <xf numFmtId="0" fontId="3" fillId="8" borderId="9" xfId="0" applyFont="1" applyFill="1" applyBorder="1" applyAlignment="1">
      <alignment horizontal="center" vertical="top"/>
    </xf>
    <xf numFmtId="0" fontId="6" fillId="6" borderId="18" xfId="0" applyFont="1" applyFill="1" applyBorder="1" applyAlignment="1">
      <alignment horizontal="center" vertical="top"/>
    </xf>
    <xf numFmtId="0" fontId="3" fillId="13" borderId="0" xfId="0" applyFont="1" applyFill="1" applyAlignment="1">
      <alignment vertical="top" wrapText="1"/>
    </xf>
    <xf numFmtId="0" fontId="3" fillId="8" borderId="0" xfId="0" applyFont="1" applyFill="1" applyAlignment="1">
      <alignment vertical="top" wrapText="1"/>
    </xf>
    <xf numFmtId="0" fontId="1" fillId="5" borderId="24" xfId="0" applyFont="1" applyFill="1" applyBorder="1">
      <alignment vertical="center"/>
    </xf>
    <xf numFmtId="0" fontId="1" fillId="5" borderId="25" xfId="0" applyFont="1" applyFill="1" applyBorder="1">
      <alignment vertical="center"/>
    </xf>
    <xf numFmtId="0" fontId="1" fillId="5" borderId="19" xfId="0" applyFont="1" applyFill="1" applyBorder="1">
      <alignment vertical="center"/>
    </xf>
    <xf numFmtId="0" fontId="7" fillId="2" borderId="0" xfId="0" applyFont="1" applyFill="1" applyBorder="1">
      <alignment vertical="center"/>
    </xf>
    <xf numFmtId="0" fontId="18" fillId="0" borderId="23" xfId="0" applyFont="1" applyBorder="1" applyAlignment="1">
      <alignment horizontal="center" vertical="top"/>
    </xf>
    <xf numFmtId="0" fontId="18" fillId="0" borderId="24" xfId="0" applyFont="1" applyBorder="1" applyAlignment="1">
      <alignment horizontal="center" vertical="top"/>
    </xf>
    <xf numFmtId="0" fontId="31" fillId="7" borderId="24" xfId="0" applyFont="1" applyFill="1" applyBorder="1">
      <alignment vertical="center"/>
    </xf>
    <xf numFmtId="0" fontId="31" fillId="7" borderId="25" xfId="0" applyFont="1" applyFill="1" applyBorder="1">
      <alignment vertical="center"/>
    </xf>
    <xf numFmtId="0" fontId="31" fillId="7" borderId="19" xfId="0" applyFont="1" applyFill="1" applyBorder="1">
      <alignment vertical="center"/>
    </xf>
    <xf numFmtId="0" fontId="70" fillId="0" borderId="0" xfId="0" applyFont="1">
      <alignment vertical="center"/>
    </xf>
    <xf numFmtId="0" fontId="28" fillId="0" borderId="26" xfId="0" applyFont="1" applyFill="1" applyBorder="1">
      <alignment vertical="center"/>
    </xf>
    <xf numFmtId="0" fontId="71" fillId="0" borderId="0" xfId="0" applyFont="1">
      <alignment vertical="center"/>
    </xf>
    <xf numFmtId="0" fontId="18" fillId="16" borderId="7" xfId="0" applyFont="1" applyFill="1" applyBorder="1">
      <alignment vertical="center"/>
    </xf>
    <xf numFmtId="0" fontId="18" fillId="16" borderId="0" xfId="0" applyFont="1" applyFill="1">
      <alignment vertical="center"/>
    </xf>
    <xf numFmtId="1" fontId="18" fillId="16" borderId="0" xfId="0" applyNumberFormat="1" applyFont="1" applyFill="1" applyAlignment="1">
      <alignment horizontal="center" vertical="center"/>
    </xf>
    <xf numFmtId="0" fontId="41" fillId="2" borderId="10" xfId="0" applyFont="1" applyFill="1" applyBorder="1" applyAlignment="1">
      <alignment horizontal="center" vertical="center"/>
    </xf>
    <xf numFmtId="0" fontId="39" fillId="0" borderId="0" xfId="0" applyFont="1" applyFill="1" applyBorder="1">
      <alignment vertical="center"/>
    </xf>
    <xf numFmtId="0" fontId="72" fillId="0" borderId="0" xfId="0" applyFont="1">
      <alignment vertical="center"/>
    </xf>
    <xf numFmtId="0" fontId="14" fillId="0" borderId="0" xfId="0" applyFont="1" applyFill="1" applyBorder="1" applyAlignment="1">
      <alignment horizontal="center" vertical="top"/>
    </xf>
    <xf numFmtId="0" fontId="73" fillId="0" borderId="0" xfId="0" applyFont="1">
      <alignment vertical="center"/>
    </xf>
    <xf numFmtId="0" fontId="43" fillId="0" borderId="0" xfId="0" applyFont="1">
      <alignment vertical="center"/>
    </xf>
    <xf numFmtId="0" fontId="74" fillId="0" borderId="0" xfId="0" applyFont="1">
      <alignment vertical="center"/>
    </xf>
    <xf numFmtId="0" fontId="17" fillId="2" borderId="20" xfId="0" applyFont="1" applyFill="1" applyBorder="1" applyAlignment="1">
      <alignment horizontal="center" vertical="center"/>
    </xf>
    <xf numFmtId="0" fontId="17" fillId="2" borderId="21" xfId="0" applyFont="1" applyFill="1" applyBorder="1" applyAlignment="1">
      <alignment horizontal="center" vertical="center"/>
    </xf>
    <xf numFmtId="0" fontId="8" fillId="2" borderId="21" xfId="0" applyFont="1" applyFill="1" applyBorder="1" applyAlignment="1">
      <alignment horizontal="center" vertical="center"/>
    </xf>
    <xf numFmtId="0" fontId="8" fillId="2" borderId="22" xfId="0" applyFont="1" applyFill="1" applyBorder="1" applyAlignment="1">
      <alignment horizontal="center" vertical="center"/>
    </xf>
    <xf numFmtId="0" fontId="8" fillId="2" borderId="0" xfId="0" applyFont="1" applyFill="1" applyAlignment="1">
      <alignment horizontal="center" vertical="center"/>
    </xf>
    <xf numFmtId="0" fontId="33" fillId="0" borderId="23" xfId="0" applyFont="1" applyFill="1" applyBorder="1" applyAlignment="1">
      <alignment horizontal="left" vertical="center"/>
    </xf>
    <xf numFmtId="0" fontId="33" fillId="0" borderId="17" xfId="0" applyFont="1" applyFill="1" applyBorder="1" applyAlignment="1">
      <alignment horizontal="left" vertical="center"/>
    </xf>
    <xf numFmtId="0" fontId="33" fillId="0" borderId="17" xfId="0" applyFont="1" applyFill="1" applyBorder="1" applyAlignment="1">
      <alignment horizontal="left" vertical="center" wrapText="1"/>
    </xf>
    <xf numFmtId="191" fontId="33" fillId="0" borderId="17" xfId="0" applyNumberFormat="1" applyFont="1" applyFill="1" applyBorder="1" applyAlignment="1">
      <alignment horizontal="left" vertical="center"/>
    </xf>
    <xf numFmtId="0" fontId="26" fillId="0" borderId="17" xfId="0" applyFont="1" applyFill="1" applyBorder="1" applyAlignment="1">
      <alignment horizontal="left" vertical="center"/>
    </xf>
    <xf numFmtId="0" fontId="26" fillId="0" borderId="13" xfId="0" applyFont="1" applyFill="1" applyBorder="1" applyAlignment="1">
      <alignment horizontal="left" vertical="center"/>
    </xf>
    <xf numFmtId="0" fontId="75" fillId="0" borderId="0" xfId="0" applyFont="1" applyFill="1" applyAlignment="1">
      <alignment horizontal="left" vertical="center"/>
    </xf>
    <xf numFmtId="0" fontId="26" fillId="0" borderId="23" xfId="0" applyFont="1" applyFill="1" applyBorder="1" applyAlignment="1">
      <alignment horizontal="left" vertical="center"/>
    </xf>
    <xf numFmtId="0" fontId="26" fillId="0" borderId="17" xfId="0" applyFont="1" applyFill="1" applyBorder="1" applyAlignment="1">
      <alignment horizontal="left" vertical="center" wrapText="1"/>
    </xf>
    <xf numFmtId="191" fontId="26" fillId="0" borderId="17" xfId="0" applyNumberFormat="1" applyFont="1" applyFill="1" applyBorder="1" applyAlignment="1">
      <alignment horizontal="left" vertical="center"/>
    </xf>
    <xf numFmtId="0" fontId="26" fillId="0" borderId="24" xfId="0" applyFont="1" applyFill="1" applyBorder="1" applyAlignment="1">
      <alignment horizontal="left" vertical="center"/>
    </xf>
    <xf numFmtId="0" fontId="26" fillId="0" borderId="25" xfId="0" applyFont="1" applyFill="1" applyBorder="1" applyAlignment="1">
      <alignment horizontal="left" vertical="center"/>
    </xf>
    <xf numFmtId="0" fontId="26" fillId="0" borderId="25" xfId="0" applyFont="1" applyFill="1" applyBorder="1" applyAlignment="1">
      <alignment horizontal="left" vertical="center" wrapText="1"/>
    </xf>
    <xf numFmtId="191" fontId="26" fillId="0" borderId="25" xfId="0" applyNumberFormat="1" applyFont="1" applyFill="1" applyBorder="1" applyAlignment="1">
      <alignment horizontal="left" vertical="center"/>
    </xf>
    <xf numFmtId="0" fontId="26" fillId="0" borderId="19" xfId="0" applyFont="1" applyFill="1" applyBorder="1" applyAlignment="1">
      <alignment horizontal="left" vertical="center"/>
    </xf>
    <xf numFmtId="0" fontId="27" fillId="0" borderId="0" xfId="0" applyFont="1" applyFill="1">
      <alignment vertical="center"/>
    </xf>
  </cellXfs>
  <cellStyles count="1">
    <cellStyle name="標準" xfId="0" builtinId="0"/>
  </cellStyles>
  <dxfs count="151">
    <dxf>
      <font>
        <b/>
        <i val="0"/>
        <color rgb="FF9C0006"/>
      </font>
      <fill>
        <patternFill patternType="solid">
          <fgColor indexed="64"/>
          <bgColor rgb="FFFFC7CE"/>
        </patternFill>
      </fill>
    </dxf>
    <dxf>
      <font>
        <b/>
        <i val="0"/>
        <color rgb="FF1F4E79"/>
      </font>
    </dxf>
    <dxf>
      <font>
        <color rgb="FFBFBFBF"/>
      </font>
    </dxf>
    <dxf>
      <font>
        <color rgb="FF7F7F7F"/>
      </font>
    </dxf>
    <dxf>
      <font>
        <color rgb="FF3F3F3F"/>
      </font>
      <fill>
        <patternFill patternType="solid">
          <fgColor indexed="64"/>
          <bgColor rgb="FFF2F2F2"/>
        </patternFill>
      </fill>
    </dxf>
    <dxf>
      <font>
        <color rgb="FF3F3F76"/>
      </font>
      <fill>
        <patternFill patternType="solid">
          <fgColor indexed="64"/>
          <bgColor rgb="FFEDEDF7"/>
        </patternFill>
      </fill>
    </dxf>
    <dxf>
      <font>
        <color rgb="FF833C0C"/>
      </font>
      <fill>
        <patternFill patternType="solid">
          <fgColor indexed="64"/>
          <bgColor rgb="FFFCE4D6"/>
        </patternFill>
      </fill>
    </dxf>
    <dxf>
      <font>
        <color rgb="FF7F6000"/>
      </font>
      <fill>
        <patternFill patternType="solid">
          <fgColor indexed="64"/>
          <bgColor rgb="FFFFF2CC"/>
        </patternFill>
      </fill>
    </dxf>
    <dxf>
      <font>
        <color rgb="FF375623"/>
      </font>
      <fill>
        <patternFill patternType="solid">
          <fgColor indexed="64"/>
          <bgColor rgb="FFE2EFDA"/>
        </patternFill>
      </fill>
    </dxf>
    <dxf>
      <font>
        <color rgb="FF1F4E79"/>
      </font>
      <fill>
        <patternFill patternType="solid">
          <fgColor indexed="64"/>
          <bgColor rgb="FFDDEBF7"/>
        </patternFill>
      </fill>
    </dxf>
    <dxf>
      <font>
        <color rgb="FF808080"/>
      </font>
    </dxf>
    <dxf>
      <font>
        <b/>
        <i val="0"/>
        <color rgb="FF1F4E79"/>
      </font>
    </dxf>
    <dxf>
      <font>
        <b/>
        <i val="0"/>
        <color rgb="FF375623"/>
      </font>
    </dxf>
    <dxf>
      <font>
        <color rgb="FF808080"/>
      </font>
      <fill>
        <patternFill patternType="solid">
          <fgColor indexed="64"/>
          <bgColor rgb="FFF2F2F2"/>
        </patternFill>
      </fill>
    </dxf>
    <dxf>
      <fill>
        <patternFill patternType="solid">
          <fgColor indexed="64"/>
          <bgColor rgb="FFDDEBF7"/>
        </patternFill>
      </fill>
    </dxf>
    <dxf>
      <fill>
        <patternFill patternType="solid">
          <fgColor indexed="64"/>
          <bgColor rgb="FFE2EFDA"/>
        </patternFill>
      </fill>
    </dxf>
    <dxf>
      <font>
        <b/>
        <i val="0"/>
      </font>
      <fill>
        <patternFill patternType="solid">
          <fgColor indexed="64"/>
          <bgColor rgb="FFEDEDED"/>
        </patternFill>
      </fill>
    </dxf>
    <dxf>
      <font>
        <b/>
        <i val="0"/>
      </font>
      <fill>
        <patternFill patternType="solid">
          <fgColor indexed="64"/>
          <bgColor rgb="FFDEEAF6"/>
        </patternFill>
      </fill>
    </dxf>
    <dxf>
      <font>
        <b/>
        <i val="0"/>
      </font>
      <fill>
        <patternFill patternType="solid">
          <fgColor indexed="64"/>
          <bgColor rgb="FFE4DFEC"/>
        </patternFill>
      </fill>
    </dxf>
    <dxf>
      <font>
        <b/>
        <i val="0"/>
      </font>
      <fill>
        <patternFill patternType="solid">
          <fgColor indexed="64"/>
          <bgColor rgb="FFFCE4D6"/>
        </patternFill>
      </fill>
    </dxf>
    <dxf>
      <font>
        <b/>
        <i val="0"/>
      </font>
      <fill>
        <patternFill patternType="solid">
          <fgColor indexed="64"/>
          <bgColor rgb="FFE2EFDA"/>
        </patternFill>
      </fill>
    </dxf>
    <dxf>
      <font>
        <b/>
        <i val="0"/>
      </font>
      <fill>
        <patternFill patternType="solid">
          <fgColor indexed="64"/>
          <bgColor rgb="FFDDEBF7"/>
        </patternFill>
      </fill>
    </dxf>
    <dxf>
      <fill>
        <patternFill patternType="solid">
          <fgColor indexed="64"/>
          <bgColor rgb="FFFFF2CC"/>
        </patternFill>
      </fill>
    </dxf>
    <dxf>
      <font>
        <b/>
        <i val="0"/>
        <color rgb="FF909090"/>
      </font>
      <fill>
        <patternFill patternType="solid">
          <fgColor indexed="64"/>
          <bgColor rgb="FFF2F2F2"/>
        </patternFill>
      </fill>
    </dxf>
    <dxf>
      <font>
        <color rgb="FF7F6000"/>
      </font>
      <fill>
        <patternFill patternType="solid">
          <fgColor indexed="64"/>
          <bgColor rgb="FFFFEB9C"/>
        </patternFill>
      </fill>
    </dxf>
    <dxf>
      <font>
        <b/>
        <i val="0"/>
        <color rgb="FF375623"/>
      </font>
      <fill>
        <patternFill patternType="solid">
          <fgColor indexed="64"/>
          <bgColor rgb="FFC6EFCE"/>
        </patternFill>
      </fill>
    </dxf>
    <dxf>
      <font>
        <b/>
        <i val="0"/>
        <color rgb="FF5B3A8E"/>
      </font>
      <fill>
        <patternFill patternType="solid">
          <fgColor indexed="64"/>
          <bgColor rgb="FFE4DFEC"/>
        </patternFill>
      </fill>
    </dxf>
    <dxf>
      <font>
        <b/>
        <i val="0"/>
        <color rgb="FF7F6000"/>
      </font>
      <fill>
        <patternFill patternType="solid">
          <fgColor indexed="64"/>
          <bgColor rgb="FFFFEB9C"/>
        </patternFill>
      </fill>
    </dxf>
    <dxf>
      <font>
        <b/>
        <i val="0"/>
        <color rgb="FF843C0C"/>
      </font>
      <fill>
        <patternFill patternType="solid">
          <fgColor indexed="64"/>
          <bgColor rgb="FFFCE4D6"/>
        </patternFill>
      </fill>
    </dxf>
    <dxf>
      <font>
        <b/>
        <i val="0"/>
        <color rgb="FF375623"/>
      </font>
      <fill>
        <patternFill patternType="solid">
          <fgColor indexed="64"/>
          <bgColor rgb="FFC6EFCE"/>
        </patternFill>
      </fill>
    </dxf>
    <dxf>
      <font>
        <color rgb="FF9C0006"/>
      </font>
      <fill>
        <patternFill patternType="solid">
          <fgColor indexed="64"/>
          <bgColor rgb="FFFFC7CE"/>
        </patternFill>
      </fill>
    </dxf>
    <dxf>
      <font>
        <b/>
        <i val="0"/>
        <color rgb="FF1F4E79"/>
      </font>
      <fill>
        <patternFill patternType="solid">
          <fgColor indexed="64"/>
          <bgColor rgb="FFDDEBF7"/>
        </patternFill>
      </fill>
    </dxf>
    <dxf>
      <font>
        <b/>
        <i val="0"/>
        <color rgb="FF00695C"/>
      </font>
      <fill>
        <patternFill patternType="solid">
          <fgColor indexed="64"/>
          <bgColor rgb="FFE2EFDA"/>
        </patternFill>
      </fill>
    </dxf>
    <dxf>
      <font>
        <b/>
        <i val="0"/>
        <color rgb="FF404040"/>
      </font>
      <fill>
        <patternFill patternType="solid">
          <fgColor indexed="64"/>
          <bgColor rgb="FFFFFFFF"/>
        </patternFill>
      </fill>
    </dxf>
    <dxf>
      <font>
        <b/>
        <i val="0"/>
        <color rgb="FFFFFFFF"/>
      </font>
      <fill>
        <patternFill patternType="solid">
          <fgColor indexed="64"/>
          <bgColor rgb="FFFF5050"/>
        </patternFill>
      </fill>
    </dxf>
    <dxf>
      <fill>
        <patternFill patternType="solid">
          <fgColor indexed="64"/>
          <bgColor rgb="FFF2F2F2"/>
        </patternFill>
      </fill>
    </dxf>
    <dxf>
      <fill>
        <patternFill patternType="solid">
          <fgColor indexed="64"/>
          <bgColor rgb="FFF2F2F2"/>
        </patternFill>
      </fill>
    </dxf>
    <dxf>
      <fill>
        <patternFill patternType="solid">
          <fgColor indexed="64"/>
          <bgColor rgb="FFF2F2F2"/>
        </patternFill>
      </fill>
    </dxf>
    <dxf>
      <font>
        <b/>
        <i val="0"/>
        <color rgb="FF5B3A8E"/>
      </font>
      <fill>
        <patternFill patternType="solid">
          <fgColor indexed="64"/>
          <bgColor rgb="FFE4DFEC"/>
        </patternFill>
      </fill>
    </dxf>
    <dxf>
      <font>
        <b/>
        <i val="0"/>
        <color rgb="FF7F6000"/>
      </font>
      <fill>
        <patternFill patternType="solid">
          <fgColor indexed="64"/>
          <bgColor rgb="FFFFF2CC"/>
        </patternFill>
      </fill>
    </dxf>
    <dxf>
      <font>
        <b/>
        <i val="0"/>
        <color rgb="FFA6A6A6"/>
      </font>
      <fill>
        <patternFill patternType="solid">
          <fgColor indexed="64"/>
          <bgColor rgb="FFF2F2F2"/>
        </patternFill>
      </fill>
    </dxf>
    <dxf>
      <font>
        <b/>
        <i val="0"/>
        <color rgb="FF404040"/>
      </font>
      <fill>
        <patternFill patternType="solid">
          <fgColor indexed="64"/>
          <bgColor rgb="FFFFFFFF"/>
        </patternFill>
      </fill>
    </dxf>
    <dxf>
      <font>
        <b/>
        <i val="0"/>
        <color rgb="FFFFFFFF"/>
      </font>
      <fill>
        <patternFill patternType="solid">
          <fgColor indexed="64"/>
          <bgColor rgb="FFFF5050"/>
        </patternFill>
      </fill>
    </dxf>
    <dxf>
      <font>
        <color rgb="FF843C0C"/>
      </font>
      <fill>
        <patternFill patternType="solid">
          <fgColor indexed="64"/>
          <bgColor rgb="FFFCE4D6"/>
        </patternFill>
      </fill>
    </dxf>
    <dxf>
      <fill>
        <patternFill patternType="solid">
          <fgColor indexed="64"/>
          <bgColor rgb="FFFFF9E6"/>
        </patternFill>
      </fill>
    </dxf>
    <dxf>
      <fill>
        <patternFill patternType="solid">
          <fgColor indexed="64"/>
          <bgColor rgb="FFEDF7EE"/>
        </patternFill>
      </fill>
    </dxf>
    <dxf>
      <fill>
        <patternFill patternType="solid">
          <fgColor indexed="64"/>
          <bgColor rgb="FFE4DFEC"/>
        </patternFill>
      </fill>
    </dxf>
    <dxf>
      <font>
        <color rgb="FF843C0C"/>
      </font>
      <fill>
        <patternFill patternType="solid">
          <fgColor indexed="64"/>
          <bgColor rgb="FFFCE4D6"/>
        </patternFill>
      </fill>
    </dxf>
    <dxf>
      <font>
        <color rgb="FF7F6000"/>
      </font>
      <fill>
        <patternFill patternType="solid">
          <fgColor indexed="64"/>
          <bgColor rgb="FFFFF2CC"/>
        </patternFill>
      </fill>
    </dxf>
    <dxf>
      <font>
        <color rgb="FF843C0C"/>
      </font>
      <fill>
        <patternFill patternType="solid">
          <fgColor indexed="64"/>
          <bgColor rgb="FFFCE4D6"/>
        </patternFill>
      </fill>
    </dxf>
    <dxf>
      <font>
        <color rgb="FF7F6000"/>
      </font>
      <fill>
        <patternFill patternType="solid">
          <fgColor indexed="64"/>
          <bgColor rgb="FFFFF2CC"/>
        </patternFill>
      </fill>
    </dxf>
    <dxf>
      <font>
        <color rgb="FF843C0C"/>
      </font>
      <fill>
        <patternFill patternType="solid">
          <fgColor indexed="64"/>
          <bgColor rgb="FFFCE4D6"/>
        </patternFill>
      </fill>
    </dxf>
    <dxf>
      <font>
        <color rgb="FF7F6000"/>
      </font>
      <fill>
        <patternFill patternType="solid">
          <fgColor indexed="64"/>
          <bgColor rgb="FFFFF2CC"/>
        </patternFill>
      </fill>
    </dxf>
    <dxf>
      <font>
        <color rgb="FFA6A6A6"/>
      </font>
    </dxf>
    <dxf>
      <fill>
        <patternFill patternType="solid">
          <fgColor indexed="64"/>
          <bgColor rgb="FFEAF3FB"/>
        </patternFill>
      </fill>
    </dxf>
    <dxf>
      <fill>
        <patternFill patternType="solid">
          <fgColor indexed="64"/>
          <bgColor rgb="FFEDF7EE"/>
        </patternFill>
      </fill>
    </dxf>
    <dxf>
      <font>
        <color rgb="FFA6A6A6"/>
      </font>
    </dxf>
    <dxf>
      <font>
        <b/>
        <i val="0"/>
        <color rgb="FF909090"/>
      </font>
      <fill>
        <patternFill patternType="solid">
          <fgColor indexed="64"/>
          <bgColor rgb="FFF2F2F2"/>
        </patternFill>
      </fill>
    </dxf>
    <dxf>
      <font>
        <b/>
        <i val="0"/>
        <color rgb="FF909090"/>
      </font>
      <fill>
        <patternFill patternType="solid">
          <fgColor indexed="64"/>
          <bgColor rgb="FFF2F2F2"/>
        </patternFill>
      </fill>
    </dxf>
    <dxf>
      <font>
        <b/>
        <i val="0"/>
        <color rgb="FF375623"/>
      </font>
      <fill>
        <patternFill patternType="solid">
          <fgColor indexed="64"/>
          <bgColor rgb="FFC6EFCE"/>
        </patternFill>
      </fill>
    </dxf>
    <dxf>
      <font>
        <b/>
        <i val="0"/>
        <color rgb="FF909090"/>
      </font>
      <fill>
        <patternFill patternType="solid">
          <fgColor indexed="64"/>
          <bgColor rgb="FFF2F2F2"/>
        </patternFill>
      </fill>
    </dxf>
    <dxf>
      <font>
        <b/>
        <i val="0"/>
        <color rgb="FF7F6000"/>
      </font>
      <fill>
        <patternFill patternType="solid">
          <fgColor indexed="64"/>
          <bgColor rgb="FFFFF2CC"/>
        </patternFill>
      </fill>
    </dxf>
    <dxf>
      <font>
        <b/>
        <i val="0"/>
        <color rgb="FFFFFFFF"/>
      </font>
      <fill>
        <patternFill patternType="solid">
          <fgColor indexed="64"/>
          <bgColor rgb="FFFF5050"/>
        </patternFill>
      </fill>
    </dxf>
    <dxf>
      <fill>
        <patternFill patternType="solid">
          <fgColor indexed="64"/>
          <bgColor rgb="FFEAF3FB"/>
        </patternFill>
      </fill>
    </dxf>
    <dxf>
      <fill>
        <patternFill patternType="solid">
          <fgColor indexed="64"/>
          <bgColor rgb="FFEDF7EE"/>
        </patternFill>
      </fill>
    </dxf>
    <dxf>
      <font>
        <color rgb="FFA6A6A6"/>
      </font>
    </dxf>
    <dxf>
      <fill>
        <patternFill patternType="solid">
          <fgColor indexed="64"/>
          <bgColor rgb="FFEDF7EE"/>
        </patternFill>
      </fill>
    </dxf>
    <dxf>
      <font>
        <color rgb="FFA6A6A6"/>
      </font>
    </dxf>
    <dxf>
      <fill>
        <patternFill patternType="solid">
          <fgColor indexed="64"/>
          <bgColor rgb="FFEDF7EE"/>
        </patternFill>
      </fill>
    </dxf>
    <dxf>
      <font>
        <b/>
        <i val="0"/>
        <color rgb="FF5B3A8E"/>
      </font>
      <fill>
        <patternFill patternType="solid">
          <fgColor indexed="64"/>
          <bgColor rgb="FFE4DFEC"/>
        </patternFill>
      </fill>
    </dxf>
    <dxf>
      <font>
        <color rgb="FFA6A6A6"/>
      </font>
    </dxf>
    <dxf>
      <font>
        <b/>
        <i val="0"/>
        <color rgb="FF909090"/>
      </font>
      <fill>
        <patternFill patternType="solid">
          <fgColor indexed="64"/>
          <bgColor rgb="FFF2F2F2"/>
        </patternFill>
      </fill>
    </dxf>
    <dxf>
      <font>
        <b/>
        <i val="0"/>
        <color rgb="FF375623"/>
      </font>
      <fill>
        <patternFill patternType="solid">
          <fgColor indexed="64"/>
          <bgColor rgb="FFC6EFCE"/>
        </patternFill>
      </fill>
    </dxf>
    <dxf>
      <fill>
        <patternFill patternType="solid">
          <fgColor indexed="64"/>
          <bgColor rgb="FFEDF7EE"/>
        </patternFill>
      </fill>
    </dxf>
    <dxf>
      <fill>
        <patternFill patternType="solid">
          <fgColor indexed="64"/>
          <bgColor rgb="FFEDF7EE"/>
        </patternFill>
      </fill>
    </dxf>
    <dxf>
      <font>
        <b/>
        <i val="0"/>
        <color rgb="FF5B3A8E"/>
      </font>
      <fill>
        <patternFill patternType="solid">
          <fgColor indexed="64"/>
          <bgColor rgb="FFE4DFEC"/>
        </patternFill>
      </fill>
    </dxf>
    <dxf>
      <font>
        <color rgb="FFA6A6A6"/>
      </font>
    </dxf>
    <dxf>
      <font>
        <b/>
        <i val="0"/>
        <color rgb="FF909090"/>
      </font>
      <fill>
        <patternFill patternType="solid">
          <fgColor indexed="64"/>
          <bgColor rgb="FFF2F2F2"/>
        </patternFill>
      </fill>
    </dxf>
    <dxf>
      <font>
        <b/>
        <i val="0"/>
        <color rgb="FF375623"/>
      </font>
      <fill>
        <patternFill patternType="solid">
          <fgColor indexed="64"/>
          <bgColor rgb="FFC6EFCE"/>
        </patternFill>
      </fill>
    </dxf>
    <dxf>
      <font>
        <b/>
        <i val="0"/>
        <color rgb="FF404040"/>
      </font>
      <fill>
        <patternFill patternType="solid">
          <fgColor indexed="64"/>
          <bgColor rgb="FFFFFFFF"/>
        </patternFill>
      </fill>
    </dxf>
    <dxf>
      <font>
        <color rgb="FF808080"/>
      </font>
      <fill>
        <patternFill patternType="solid">
          <fgColor indexed="64"/>
          <bgColor rgb="FFF2F2F2"/>
        </patternFill>
      </fill>
    </dxf>
    <dxf>
      <font>
        <color rgb="FF843C0C"/>
      </font>
      <fill>
        <patternFill patternType="solid">
          <fgColor indexed="64"/>
          <bgColor rgb="FFFCE4D6"/>
        </patternFill>
      </fill>
    </dxf>
    <dxf>
      <font>
        <color rgb="FF7F6000"/>
      </font>
      <fill>
        <patternFill patternType="solid">
          <fgColor indexed="64"/>
          <bgColor rgb="FFFFEB9C"/>
        </patternFill>
      </fill>
    </dxf>
    <dxf>
      <font>
        <color rgb="FF1F4E79"/>
      </font>
      <fill>
        <patternFill patternType="solid">
          <fgColor indexed="64"/>
          <bgColor rgb="FFDDEBF7"/>
        </patternFill>
      </fill>
    </dxf>
    <dxf>
      <font>
        <color rgb="FF0B6B2F"/>
      </font>
      <fill>
        <patternFill patternType="solid">
          <fgColor indexed="64"/>
          <bgColor rgb="FFC6EFCE"/>
        </patternFill>
      </fill>
    </dxf>
    <dxf>
      <font>
        <color rgb="FF843C0C"/>
      </font>
      <fill>
        <patternFill patternType="solid">
          <fgColor indexed="64"/>
          <bgColor rgb="FFFCE4D6"/>
        </patternFill>
      </fill>
    </dxf>
    <dxf>
      <font>
        <color rgb="FF808080"/>
      </font>
      <fill>
        <patternFill patternType="solid">
          <fgColor indexed="64"/>
          <bgColor rgb="FFF2F2F2"/>
        </patternFill>
      </fill>
    </dxf>
    <dxf>
      <font>
        <color rgb="FF7F6000"/>
      </font>
      <fill>
        <patternFill patternType="solid">
          <fgColor indexed="64"/>
          <bgColor rgb="FFFFF2CC"/>
        </patternFill>
      </fill>
    </dxf>
    <dxf>
      <font>
        <color rgb="FF0B6B2F"/>
      </font>
      <fill>
        <patternFill patternType="solid">
          <fgColor indexed="64"/>
          <bgColor rgb="FFE2EFDA"/>
        </patternFill>
      </fill>
    </dxf>
    <dxf>
      <font>
        <color rgb="FF0B6B2F"/>
      </font>
      <fill>
        <patternFill patternType="solid">
          <fgColor indexed="64"/>
          <bgColor rgb="FFE2EFDA"/>
        </patternFill>
      </fill>
    </dxf>
    <dxf>
      <font>
        <color rgb="FF0B6B2F"/>
      </font>
      <fill>
        <patternFill patternType="solid">
          <fgColor indexed="64"/>
          <bgColor rgb="FFE2EFDA"/>
        </patternFill>
      </fill>
    </dxf>
    <dxf>
      <font>
        <color rgb="FFBFBFBF"/>
      </font>
      <fill>
        <patternFill patternType="solid">
          <fgColor indexed="64"/>
          <bgColor rgb="FFF2F2F2"/>
        </patternFill>
      </fill>
    </dxf>
    <dxf>
      <font>
        <color rgb="FF808080"/>
      </font>
      <fill>
        <patternFill patternType="solid">
          <fgColor indexed="64"/>
          <bgColor rgb="FFF2F2F2"/>
        </patternFill>
      </fill>
    </dxf>
    <dxf>
      <font>
        <color rgb="FF1F4E79"/>
      </font>
      <fill>
        <patternFill patternType="solid">
          <fgColor indexed="64"/>
          <bgColor rgb="FFDDEBF7"/>
        </patternFill>
      </fill>
    </dxf>
    <dxf>
      <font>
        <color rgb="FF7F6000"/>
      </font>
      <fill>
        <patternFill patternType="solid">
          <fgColor indexed="64"/>
          <bgColor rgb="FFFFF2CC"/>
        </patternFill>
      </fill>
    </dxf>
    <dxf>
      <font>
        <color rgb="FF9C0006"/>
      </font>
      <fill>
        <patternFill patternType="solid">
          <fgColor indexed="64"/>
          <bgColor rgb="FFFFC7CE"/>
        </patternFill>
      </fill>
    </dxf>
    <dxf>
      <font>
        <color rgb="FF808080"/>
      </font>
      <fill>
        <patternFill patternType="solid">
          <fgColor indexed="64"/>
          <bgColor rgb="FFF2F2F2"/>
        </patternFill>
      </fill>
    </dxf>
    <dxf>
      <font>
        <color rgb="FF0B6B2F"/>
      </font>
      <fill>
        <patternFill patternType="solid">
          <fgColor indexed="64"/>
          <bgColor rgb="FFE8F4EA"/>
        </patternFill>
      </fill>
    </dxf>
    <dxf>
      <font>
        <color rgb="FF000000"/>
      </font>
      <fill>
        <patternFill patternType="solid">
          <fgColor indexed="64"/>
          <bgColor rgb="FFFFFFFF"/>
        </patternFill>
      </fill>
    </dxf>
    <dxf>
      <font>
        <color rgb="FF7F6000"/>
      </font>
      <fill>
        <patternFill patternType="solid">
          <fgColor indexed="64"/>
          <bgColor rgb="FFFFF2CC"/>
        </patternFill>
      </fill>
    </dxf>
    <dxf>
      <font>
        <color rgb="FF9C0006"/>
      </font>
      <fill>
        <patternFill patternType="solid">
          <fgColor indexed="64"/>
          <bgColor rgb="FFFFC7CE"/>
        </patternFill>
      </fill>
    </dxf>
    <dxf>
      <fill>
        <patternFill patternType="solid">
          <fgColor indexed="64"/>
          <bgColor rgb="FFEAF6F1"/>
        </patternFill>
      </fill>
    </dxf>
    <dxf>
      <fill>
        <patternFill patternType="solid">
          <fgColor indexed="64"/>
          <bgColor rgb="FFF7F7E8"/>
        </patternFill>
      </fill>
    </dxf>
    <dxf>
      <fill>
        <patternFill patternType="solid">
          <fgColor indexed="64"/>
          <bgColor rgb="FFF5F0FA"/>
        </patternFill>
      </fill>
    </dxf>
    <dxf>
      <fill>
        <patternFill patternType="solid">
          <fgColor indexed="64"/>
          <bgColor rgb="FFEEF6F8"/>
        </patternFill>
      </fill>
    </dxf>
    <dxf>
      <fill>
        <patternFill patternType="solid">
          <fgColor indexed="64"/>
          <bgColor rgb="FFFDECEA"/>
        </patternFill>
      </fill>
    </dxf>
    <dxf>
      <fill>
        <patternFill patternType="solid">
          <fgColor indexed="64"/>
          <bgColor rgb="FFFBEFF6"/>
        </patternFill>
      </fill>
    </dxf>
    <dxf>
      <fill>
        <patternFill patternType="solid">
          <fgColor indexed="64"/>
          <bgColor rgb="FFFDF3E7"/>
        </patternFill>
      </fill>
    </dxf>
    <dxf>
      <fill>
        <patternFill patternType="solid">
          <fgColor indexed="64"/>
          <bgColor rgb="FFF0F7EC"/>
        </patternFill>
      </fill>
    </dxf>
    <dxf>
      <fill>
        <patternFill patternType="solid">
          <fgColor indexed="64"/>
          <bgColor rgb="FFEAF1FB"/>
        </patternFill>
      </fill>
    </dxf>
    <dxf>
      <font>
        <b/>
        <i val="0"/>
        <color rgb="FFA6A6A6"/>
      </font>
      <fill>
        <patternFill patternType="solid">
          <fgColor indexed="64"/>
          <bgColor rgb="FFFFFFFF"/>
        </patternFill>
      </fill>
    </dxf>
    <dxf>
      <font>
        <b/>
        <i val="0"/>
        <color rgb="FF404040"/>
      </font>
      <fill>
        <patternFill patternType="solid">
          <fgColor indexed="64"/>
          <bgColor rgb="FFFFFFFF"/>
        </patternFill>
      </fill>
    </dxf>
    <dxf>
      <font>
        <b/>
        <i val="0"/>
        <color rgb="FFFFFFFF"/>
      </font>
      <fill>
        <patternFill patternType="solid">
          <fgColor indexed="64"/>
          <bgColor rgb="FFFF5050"/>
        </patternFill>
      </fill>
    </dxf>
    <dxf>
      <font>
        <color rgb="FF9C0006"/>
      </font>
      <fill>
        <patternFill patternType="solid">
          <fgColor indexed="64"/>
          <bgColor rgb="FFFFC7CE"/>
        </patternFill>
      </fill>
    </dxf>
    <dxf>
      <font>
        <b/>
        <i val="0"/>
        <color rgb="FF909090"/>
      </font>
    </dxf>
    <dxf>
      <font>
        <b/>
        <i val="0"/>
        <color rgb="FF375623"/>
      </font>
    </dxf>
    <dxf>
      <font>
        <b/>
        <i val="0"/>
        <color rgb="FF404040"/>
      </font>
    </dxf>
    <dxf>
      <font>
        <b/>
        <i val="0"/>
        <color rgb="FFBF8F00"/>
      </font>
    </dxf>
    <dxf>
      <font>
        <b/>
        <i val="0"/>
        <color rgb="FFC00000"/>
      </font>
    </dxf>
    <dxf>
      <font>
        <b/>
        <i val="0"/>
        <color rgb="FF7030A0"/>
      </font>
    </dxf>
    <dxf>
      <font>
        <b/>
        <i val="0"/>
        <color rgb="FF00695C"/>
      </font>
    </dxf>
    <dxf>
      <font>
        <b/>
        <i val="0"/>
        <color rgb="FF1F4E79"/>
      </font>
    </dxf>
    <dxf>
      <fill>
        <patternFill patternType="solid">
          <fgColor indexed="64"/>
          <bgColor rgb="FFF2F2F2"/>
        </patternFill>
      </fill>
    </dxf>
    <dxf>
      <fill>
        <patternFill patternType="solid">
          <fgColor indexed="64"/>
          <bgColor rgb="FFFCE4D6"/>
        </patternFill>
      </fill>
    </dxf>
    <dxf>
      <fill>
        <patternFill patternType="solid">
          <fgColor indexed="64"/>
          <bgColor rgb="FFFFEB9C"/>
        </patternFill>
      </fill>
    </dxf>
    <dxf>
      <fill>
        <patternFill patternType="solid">
          <fgColor indexed="64"/>
          <bgColor rgb="FFDDEBF7"/>
        </patternFill>
      </fill>
    </dxf>
    <dxf>
      <fill>
        <patternFill patternType="solid">
          <fgColor indexed="64"/>
          <bgColor rgb="FFC6EFCE"/>
        </patternFill>
      </fill>
    </dxf>
    <dxf>
      <fill>
        <patternFill patternType="solid">
          <fgColor indexed="64"/>
          <bgColor rgb="FFF2F2F2"/>
        </patternFill>
      </fill>
    </dxf>
    <dxf>
      <fill>
        <patternFill patternType="solid">
          <fgColor indexed="64"/>
          <bgColor rgb="FFFCE4D6"/>
        </patternFill>
      </fill>
    </dxf>
    <dxf>
      <fill>
        <patternFill patternType="solid">
          <fgColor indexed="64"/>
          <bgColor rgb="FFFFEB9C"/>
        </patternFill>
      </fill>
    </dxf>
    <dxf>
      <fill>
        <patternFill patternType="solid">
          <fgColor indexed="64"/>
          <bgColor rgb="FFDDEBF7"/>
        </patternFill>
      </fill>
    </dxf>
    <dxf>
      <fill>
        <patternFill patternType="solid">
          <fgColor indexed="64"/>
          <bgColor rgb="FFC6EFCE"/>
        </patternFill>
      </fill>
    </dxf>
    <dxf>
      <font>
        <b/>
        <i val="0"/>
        <color rgb="FF00695C"/>
      </font>
    </dxf>
    <dxf>
      <font>
        <b/>
        <i val="0"/>
        <color rgb="FFA6A6A6"/>
      </font>
      <fill>
        <patternFill patternType="solid">
          <fgColor indexed="64"/>
          <bgColor rgb="FFFFFFFF"/>
        </patternFill>
      </fill>
    </dxf>
    <dxf>
      <font>
        <b/>
        <i val="0"/>
        <color rgb="FF404040"/>
      </font>
      <fill>
        <patternFill patternType="solid">
          <fgColor indexed="64"/>
          <bgColor rgb="FFFFFFFF"/>
        </patternFill>
      </fill>
    </dxf>
    <dxf>
      <font>
        <b/>
        <i val="0"/>
        <color rgb="FFFFFFFF"/>
      </font>
      <fill>
        <patternFill patternType="solid">
          <fgColor indexed="64"/>
          <bgColor rgb="FFFF5050"/>
        </patternFill>
      </fill>
    </dxf>
    <dxf>
      <font>
        <b/>
        <i val="0"/>
        <color rgb="FFC00000"/>
      </font>
    </dxf>
    <dxf>
      <font>
        <color rgb="FF9C0006"/>
      </font>
      <fill>
        <patternFill patternType="solid">
          <fgColor indexed="64"/>
          <bgColor rgb="FFFFC7CE"/>
        </patternFill>
      </fill>
    </dxf>
    <dxf>
      <font>
        <b/>
        <i val="0"/>
        <color rgb="FF909090"/>
      </font>
    </dxf>
    <dxf>
      <font>
        <b/>
        <i val="0"/>
        <color rgb="FF375623"/>
      </font>
    </dxf>
    <dxf>
      <font>
        <b/>
        <i val="0"/>
        <color rgb="FF404040"/>
      </font>
    </dxf>
    <dxf>
      <font>
        <b/>
        <i val="0"/>
        <color rgb="FFBF8F00"/>
      </font>
    </dxf>
    <dxf>
      <font>
        <b/>
        <i val="0"/>
        <color rgb="FF2E75B6"/>
      </font>
    </dxf>
    <dxf>
      <font>
        <b/>
        <i val="0"/>
        <color rgb="FF7030A0"/>
      </font>
    </dxf>
    <dxf>
      <font>
        <b/>
        <i val="0"/>
        <color rgb="FF1F4E79"/>
      </font>
    </dxf>
    <dxf>
      <fill>
        <patternFill patternType="solid">
          <fgColor indexed="64"/>
          <bgColor rgb="FFF2F2F2"/>
        </patternFill>
      </fill>
    </dxf>
    <dxf>
      <fill>
        <patternFill patternType="solid">
          <fgColor indexed="64"/>
          <bgColor rgb="FFFCE4D6"/>
        </patternFill>
      </fill>
    </dxf>
    <dxf>
      <fill>
        <patternFill patternType="solid">
          <fgColor indexed="64"/>
          <bgColor rgb="FFFFEB9C"/>
        </patternFill>
      </fill>
    </dxf>
    <dxf>
      <fill>
        <patternFill patternType="solid">
          <fgColor indexed="64"/>
          <bgColor rgb="FFDDEBF7"/>
        </patternFill>
      </fill>
    </dxf>
    <dxf>
      <fill>
        <patternFill patternType="solid">
          <fgColor indexed="64"/>
          <bgColor rgb="FFC6EFCE"/>
        </patternFill>
      </fill>
    </dxf>
    <dxf>
      <fill>
        <patternFill patternType="solid">
          <fgColor indexed="64"/>
          <bgColor rgb="FFFFF2CC"/>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3" Type="http://schemas.openxmlformats.org/officeDocument/2006/relationships/worksheet" Target="worksheets/sheet3.xml"/><Relationship Id="rId21" Type="http://schemas.openxmlformats.org/officeDocument/2006/relationships/styles" Target="style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alcChain" Target="calcChain.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sharedStrings" Target="sharedStrings.xml"/></Relationships>
</file>

<file path=xl/theme/theme1.xml><?xml version="1.0" encoding="utf-8"?>
<a:theme xmlns:a="http://schemas.openxmlformats.org/drawingml/2006/main" name="Office テーマ">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52AE95B8-3E7C-2B4B-92E3-737870B89A92}">
  <we:reference id="wa200010725" version="1.0.0.1" store="en-US" storeType="OMEX"/>
  <we:alternateReferences>
    <we:reference id="wa200010725" version="1.0.0.1" store="" storeType="OMEX"/>
  </we:alternateReferences>
  <we:properties>
    <we:property name="claude.fileId" value="&quot;1408ed5e-f795-401a-80ba-45af577212e2&quot;"/>
  </we:properties>
  <we:bindings/>
  <we:snapshot xmlns:r="http://schemas.openxmlformats.org/officeDocument/2006/relationships"/>
</we:webextension>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33185D-05B2-F04F-8CBA-02051C59C037}">
  <dimension ref="A1:D7"/>
  <sheetViews>
    <sheetView workbookViewId="0">
      <pane ySplit="4" topLeftCell="A5" activePane="bottomLeft" state="frozen"/>
      <selection pane="bottomLeft" activeCell="D5" sqref="D5"/>
    </sheetView>
  </sheetViews>
  <sheetFormatPr baseColWidth="10" defaultRowHeight="20"/>
  <cols>
    <col min="1" max="1" width="30" customWidth="1"/>
    <col min="2" max="2" width="12.85546875" customWidth="1"/>
    <col min="3" max="3" width="48.5703125" customWidth="1"/>
    <col min="4" max="4" width="128.5703125" customWidth="1"/>
  </cols>
  <sheetData>
    <row r="1" spans="1:4" ht="25">
      <c r="A1" s="47" t="s">
        <v>3041</v>
      </c>
    </row>
    <row r="2" spans="1:4">
      <c r="A2" s="48" t="s">
        <v>3042</v>
      </c>
    </row>
    <row r="4" spans="1:4" ht="24" customHeight="1">
      <c r="A4" s="109" t="s">
        <v>3043</v>
      </c>
      <c r="B4" s="110" t="s">
        <v>3044</v>
      </c>
      <c r="C4" s="110" t="s">
        <v>3045</v>
      </c>
      <c r="D4" s="111" t="s">
        <v>3046</v>
      </c>
    </row>
    <row r="5" spans="1:4" ht="300" customHeight="1">
      <c r="A5" s="112" t="s">
        <v>3037</v>
      </c>
      <c r="B5" s="202">
        <v>57</v>
      </c>
      <c r="C5" s="51" t="s">
        <v>3047</v>
      </c>
      <c r="D5" s="204" t="s">
        <v>3051</v>
      </c>
    </row>
    <row r="6" spans="1:4" ht="300" customHeight="1">
      <c r="A6" s="112" t="s">
        <v>3036</v>
      </c>
      <c r="B6" s="202">
        <v>45</v>
      </c>
      <c r="C6" s="51" t="s">
        <v>3048</v>
      </c>
      <c r="D6" s="204" t="s">
        <v>3053</v>
      </c>
    </row>
    <row r="7" spans="1:4" ht="300" customHeight="1">
      <c r="A7" s="113" t="s">
        <v>3049</v>
      </c>
      <c r="B7" s="203">
        <v>130</v>
      </c>
      <c r="C7" s="52" t="s">
        <v>3050</v>
      </c>
      <c r="D7" s="205" t="s">
        <v>3052</v>
      </c>
    </row>
  </sheetData>
  <phoneticPr fontId="2"/>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411B8B0-C590-3C46-80D6-CB350769A192}">
  <dimension ref="A1:N88"/>
  <sheetViews>
    <sheetView workbookViewId="0">
      <pane ySplit="24" topLeftCell="A25" activePane="bottomLeft" state="frozen"/>
      <selection pane="bottomLeft" activeCell="C32" sqref="C32"/>
    </sheetView>
  </sheetViews>
  <sheetFormatPr baseColWidth="10" defaultRowHeight="20"/>
  <cols>
    <col min="1" max="1" width="17.140625" customWidth="1"/>
    <col min="2" max="2" width="47.140625" customWidth="1"/>
    <col min="3" max="4" width="48.5703125" customWidth="1"/>
    <col min="5" max="7" width="15.7109375" customWidth="1"/>
    <col min="8" max="8" width="18.5703125" customWidth="1"/>
    <col min="9" max="9" width="15.7109375" customWidth="1"/>
    <col min="10" max="12" width="17.140625" customWidth="1"/>
    <col min="13" max="13" width="47.140625" customWidth="1"/>
    <col min="14" max="14" width="32.85546875" customWidth="1"/>
  </cols>
  <sheetData>
    <row r="1" spans="1:6" ht="25">
      <c r="A1" s="47" t="s">
        <v>3054</v>
      </c>
    </row>
    <row r="2" spans="1:6">
      <c r="A2" s="3" t="s">
        <v>3055</v>
      </c>
    </row>
    <row r="3" spans="1:6">
      <c r="A3" s="54" t="s">
        <v>3056</v>
      </c>
    </row>
    <row r="5" spans="1:6">
      <c r="A5" s="4" t="s">
        <v>3057</v>
      </c>
    </row>
    <row r="6" spans="1:6">
      <c r="A6" s="18" t="s">
        <v>3058</v>
      </c>
      <c r="B6" s="19" t="s">
        <v>3059</v>
      </c>
      <c r="C6" s="19" t="s">
        <v>3060</v>
      </c>
      <c r="D6" s="20" t="s">
        <v>3061</v>
      </c>
    </row>
    <row r="7" spans="1:6">
      <c r="A7" s="21" t="s">
        <v>3062</v>
      </c>
      <c r="B7" s="223" t="s">
        <v>3063</v>
      </c>
      <c r="C7" s="22" t="s">
        <v>2236</v>
      </c>
      <c r="D7" s="27" t="s">
        <v>3064</v>
      </c>
    </row>
    <row r="8" spans="1:6">
      <c r="A8" s="21" t="s">
        <v>3065</v>
      </c>
      <c r="B8" s="223">
        <v>730</v>
      </c>
      <c r="C8" s="22" t="s">
        <v>3066</v>
      </c>
      <c r="D8" s="27" t="s">
        <v>3067</v>
      </c>
    </row>
    <row r="9" spans="1:6">
      <c r="A9" s="21" t="s">
        <v>3068</v>
      </c>
      <c r="B9" s="223">
        <v>150</v>
      </c>
      <c r="C9" s="22" t="s">
        <v>3069</v>
      </c>
      <c r="D9" s="27" t="s">
        <v>3070</v>
      </c>
    </row>
    <row r="10" spans="1:6">
      <c r="A10" s="21" t="s">
        <v>3071</v>
      </c>
      <c r="B10" s="223">
        <v>1000000</v>
      </c>
      <c r="C10" s="22" t="s">
        <v>3072</v>
      </c>
      <c r="D10" s="27" t="s">
        <v>3073</v>
      </c>
    </row>
    <row r="11" spans="1:6">
      <c r="A11" s="21" t="s">
        <v>3074</v>
      </c>
      <c r="B11" s="223">
        <v>5000000</v>
      </c>
      <c r="C11" s="22" t="s">
        <v>3072</v>
      </c>
      <c r="D11" s="27" t="s">
        <v>3075</v>
      </c>
    </row>
    <row r="12" spans="1:6">
      <c r="A12" s="25" t="s">
        <v>3076</v>
      </c>
      <c r="B12" s="224">
        <v>10000000</v>
      </c>
      <c r="C12" s="26" t="s">
        <v>3072</v>
      </c>
      <c r="D12" s="28" t="s">
        <v>3077</v>
      </c>
    </row>
    <row r="14" spans="1:6">
      <c r="A14" s="4" t="s">
        <v>3078</v>
      </c>
    </row>
    <row r="15" spans="1:6">
      <c r="A15" s="182" t="s">
        <v>1</v>
      </c>
      <c r="B15" s="183" t="s">
        <v>3058</v>
      </c>
      <c r="C15" s="183" t="s">
        <v>3079</v>
      </c>
      <c r="D15" s="183" t="s">
        <v>3060</v>
      </c>
      <c r="E15" s="183" t="s">
        <v>12</v>
      </c>
      <c r="F15" s="184" t="s">
        <v>666</v>
      </c>
    </row>
    <row r="16" spans="1:6">
      <c r="A16" s="21" t="s">
        <v>2998</v>
      </c>
      <c r="B16" s="22" t="s">
        <v>3080</v>
      </c>
      <c r="C16" s="225">
        <v>0.25</v>
      </c>
      <c r="D16" s="22" t="s">
        <v>3081</v>
      </c>
      <c r="E16" s="22" t="s">
        <v>3082</v>
      </c>
      <c r="F16" s="27" t="s">
        <v>3083</v>
      </c>
    </row>
    <row r="17" spans="1:14">
      <c r="A17" s="21" t="s">
        <v>2998</v>
      </c>
      <c r="B17" s="22" t="s">
        <v>3084</v>
      </c>
      <c r="C17" s="225">
        <v>0.17100000000000001</v>
      </c>
      <c r="D17" s="22" t="s">
        <v>3085</v>
      </c>
      <c r="E17" s="22" t="s">
        <v>3082</v>
      </c>
      <c r="F17" s="27" t="s">
        <v>3083</v>
      </c>
    </row>
    <row r="18" spans="1:14">
      <c r="A18" s="21" t="s">
        <v>2998</v>
      </c>
      <c r="B18" s="22" t="s">
        <v>3086</v>
      </c>
      <c r="C18" s="225">
        <v>1500</v>
      </c>
      <c r="D18" s="22" t="s">
        <v>3087</v>
      </c>
      <c r="E18" s="22" t="s">
        <v>3082</v>
      </c>
      <c r="F18" s="27" t="s">
        <v>3083</v>
      </c>
    </row>
    <row r="19" spans="1:14">
      <c r="A19" s="21" t="s">
        <v>2998</v>
      </c>
      <c r="B19" s="22" t="s">
        <v>3088</v>
      </c>
      <c r="C19" s="225">
        <v>1000</v>
      </c>
      <c r="D19" s="22" t="s">
        <v>3087</v>
      </c>
      <c r="E19" s="22" t="s">
        <v>3082</v>
      </c>
      <c r="F19" s="27" t="s">
        <v>3083</v>
      </c>
    </row>
    <row r="20" spans="1:14">
      <c r="A20" s="25" t="s">
        <v>2998</v>
      </c>
      <c r="B20" s="26" t="s">
        <v>3089</v>
      </c>
      <c r="C20" s="226">
        <v>667</v>
      </c>
      <c r="D20" s="26" t="s">
        <v>3087</v>
      </c>
      <c r="E20" s="26" t="s">
        <v>3082</v>
      </c>
      <c r="F20" s="28" t="s">
        <v>3083</v>
      </c>
    </row>
    <row r="21" spans="1:14">
      <c r="A21" s="124" t="s">
        <v>3090</v>
      </c>
    </row>
    <row r="23" spans="1:14">
      <c r="A23" s="4" t="s">
        <v>3091</v>
      </c>
    </row>
    <row r="24" spans="1:14" ht="30" customHeight="1">
      <c r="A24" s="9" t="s">
        <v>1</v>
      </c>
      <c r="B24" s="10" t="s">
        <v>3092</v>
      </c>
      <c r="C24" s="10" t="s">
        <v>3093</v>
      </c>
      <c r="D24" s="10" t="s">
        <v>3094</v>
      </c>
      <c r="E24" s="10" t="s">
        <v>3095</v>
      </c>
      <c r="F24" s="10" t="s">
        <v>3096</v>
      </c>
      <c r="G24" s="10" t="s">
        <v>3097</v>
      </c>
      <c r="H24" s="10" t="s">
        <v>3060</v>
      </c>
      <c r="I24" s="10" t="s">
        <v>3098</v>
      </c>
      <c r="J24" s="10" t="s">
        <v>3099</v>
      </c>
      <c r="K24" s="10" t="s">
        <v>3100</v>
      </c>
      <c r="L24" s="10" t="s">
        <v>3101</v>
      </c>
      <c r="M24" s="11" t="s">
        <v>3102</v>
      </c>
      <c r="N24" s="250" t="s">
        <v>3061</v>
      </c>
    </row>
    <row r="25" spans="1:14">
      <c r="A25" s="212" t="s">
        <v>3103</v>
      </c>
      <c r="B25" s="6" t="s">
        <v>3104</v>
      </c>
      <c r="C25" s="180" t="s">
        <v>3105</v>
      </c>
      <c r="D25" s="180" t="s">
        <v>3106</v>
      </c>
      <c r="E25" s="207">
        <v>2190</v>
      </c>
      <c r="F25" s="207">
        <v>4380</v>
      </c>
      <c r="G25" s="207">
        <v>6570</v>
      </c>
      <c r="H25" s="12" t="s">
        <v>3107</v>
      </c>
      <c r="I25" s="209">
        <v>0.18190000000000001</v>
      </c>
      <c r="J25" s="210">
        <f>E25*$I25</f>
        <v>398.36099999999999</v>
      </c>
      <c r="K25" s="210">
        <f>F25*$I25</f>
        <v>796.72199999999998</v>
      </c>
      <c r="L25" s="210">
        <f>G25*$I25</f>
        <v>1195.0830000000001</v>
      </c>
      <c r="M25" s="14" t="s">
        <v>4664</v>
      </c>
      <c r="N25" t="s">
        <v>4665</v>
      </c>
    </row>
    <row r="26" spans="1:14">
      <c r="A26" s="212" t="s">
        <v>3103</v>
      </c>
      <c r="B26" s="6" t="s">
        <v>3108</v>
      </c>
      <c r="C26" s="180" t="s">
        <v>3109</v>
      </c>
      <c r="D26" s="180" t="s">
        <v>3110</v>
      </c>
      <c r="E26" s="207">
        <v>2190</v>
      </c>
      <c r="F26" s="207">
        <v>6570</v>
      </c>
      <c r="G26" s="207">
        <v>13140</v>
      </c>
      <c r="H26" s="12" t="s">
        <v>3107</v>
      </c>
      <c r="I26" s="209">
        <v>0.18190000000000001</v>
      </c>
      <c r="J26" s="210">
        <f>E26*$I26</f>
        <v>398.36099999999999</v>
      </c>
      <c r="K26" s="210">
        <f>F26*$I26</f>
        <v>1195.0830000000001</v>
      </c>
      <c r="L26" s="210">
        <f>G26*$I26</f>
        <v>2390.1660000000002</v>
      </c>
      <c r="M26" s="14" t="s">
        <v>4664</v>
      </c>
      <c r="N26" t="s">
        <v>4665</v>
      </c>
    </row>
    <row r="27" spans="1:14">
      <c r="A27" s="212" t="s">
        <v>3103</v>
      </c>
      <c r="B27" s="6" t="s">
        <v>3111</v>
      </c>
      <c r="C27" s="180" t="s">
        <v>3112</v>
      </c>
      <c r="D27" s="180" t="s">
        <v>3113</v>
      </c>
      <c r="E27" s="207">
        <v>4380</v>
      </c>
      <c r="F27" s="207">
        <v>4380</v>
      </c>
      <c r="G27" s="207">
        <v>4380</v>
      </c>
      <c r="H27" s="12" t="s">
        <v>3107</v>
      </c>
      <c r="I27" s="209">
        <v>9.0999999999999998E-2</v>
      </c>
      <c r="J27" s="210">
        <f>E27*$I27</f>
        <v>398.58</v>
      </c>
      <c r="K27" s="210">
        <f>F27*$I27</f>
        <v>398.58</v>
      </c>
      <c r="L27" s="210">
        <f>G27*$I27</f>
        <v>398.58</v>
      </c>
      <c r="M27" s="14" t="s">
        <v>4664</v>
      </c>
      <c r="N27" t="s">
        <v>4666</v>
      </c>
    </row>
    <row r="28" spans="1:14">
      <c r="A28" s="212" t="s">
        <v>3103</v>
      </c>
      <c r="B28" s="6" t="s">
        <v>3114</v>
      </c>
      <c r="C28" s="180" t="s">
        <v>3115</v>
      </c>
      <c r="D28" s="180" t="s">
        <v>3116</v>
      </c>
      <c r="E28" s="207">
        <v>1460</v>
      </c>
      <c r="F28" s="207">
        <v>1460</v>
      </c>
      <c r="G28" s="207">
        <v>1460</v>
      </c>
      <c r="H28" s="12" t="s">
        <v>3117</v>
      </c>
      <c r="I28" s="209">
        <v>0.25</v>
      </c>
      <c r="J28" s="210">
        <f>E28*$I28</f>
        <v>365</v>
      </c>
      <c r="K28" s="210">
        <f>F28*$I28</f>
        <v>365</v>
      </c>
      <c r="L28" s="210">
        <f>G28*$I28</f>
        <v>365</v>
      </c>
      <c r="M28" s="14" t="s">
        <v>4667</v>
      </c>
      <c r="N28" t="s">
        <v>4668</v>
      </c>
    </row>
    <row r="29" spans="1:14">
      <c r="A29" s="212" t="s">
        <v>3103</v>
      </c>
      <c r="B29" s="6" t="s">
        <v>3118</v>
      </c>
      <c r="C29" s="180" t="s">
        <v>3119</v>
      </c>
      <c r="D29" s="180" t="s">
        <v>3120</v>
      </c>
      <c r="E29" s="207">
        <v>1642</v>
      </c>
      <c r="F29" s="207">
        <v>3103</v>
      </c>
      <c r="G29" s="207">
        <v>5658</v>
      </c>
      <c r="H29" s="12" t="s">
        <v>3121</v>
      </c>
      <c r="I29" s="209">
        <v>0.17100000000000001</v>
      </c>
      <c r="J29" s="210">
        <f>E29*$I29</f>
        <v>280.78200000000004</v>
      </c>
      <c r="K29" s="210">
        <f>F29*$I29</f>
        <v>530.61300000000006</v>
      </c>
      <c r="L29" s="210">
        <f>G29*$I29</f>
        <v>967.51800000000003</v>
      </c>
      <c r="M29" s="14" t="s">
        <v>4667</v>
      </c>
      <c r="N29" t="s">
        <v>4668</v>
      </c>
    </row>
    <row r="30" spans="1:14">
      <c r="A30" s="273" t="s">
        <v>3103</v>
      </c>
      <c r="B30" s="274" t="s">
        <v>3122</v>
      </c>
      <c r="C30" s="275" t="s">
        <v>3123</v>
      </c>
      <c r="D30" s="275" t="s">
        <v>4866</v>
      </c>
      <c r="E30" s="276">
        <v>1320</v>
      </c>
      <c r="F30" s="276">
        <v>2400</v>
      </c>
      <c r="G30" s="276">
        <v>3840</v>
      </c>
      <c r="H30" s="277" t="s">
        <v>3124</v>
      </c>
      <c r="I30" s="278">
        <v>9.6000000000000002E-2</v>
      </c>
      <c r="J30" s="279">
        <f>E30*$I30</f>
        <v>126.72</v>
      </c>
      <c r="K30" s="279">
        <f>F30*$I30</f>
        <v>230.4</v>
      </c>
      <c r="L30" s="279">
        <f>G30*$I30</f>
        <v>368.64</v>
      </c>
      <c r="M30" s="280" t="s">
        <v>4669</v>
      </c>
      <c r="N30" s="227" t="s">
        <v>4867</v>
      </c>
    </row>
    <row r="31" spans="1:14">
      <c r="A31" s="212" t="s">
        <v>3125</v>
      </c>
      <c r="B31" s="6" t="s">
        <v>3126</v>
      </c>
      <c r="C31" s="180" t="s">
        <v>3127</v>
      </c>
      <c r="D31" s="180" t="s">
        <v>3128</v>
      </c>
      <c r="E31" s="207">
        <v>2190</v>
      </c>
      <c r="F31" s="207">
        <v>2190</v>
      </c>
      <c r="G31" s="207">
        <v>2190</v>
      </c>
      <c r="H31" s="12" t="s">
        <v>3107</v>
      </c>
      <c r="I31" s="209">
        <v>0.66500000000000004</v>
      </c>
      <c r="J31" s="210">
        <f>E31*$I31</f>
        <v>1456.3500000000001</v>
      </c>
      <c r="K31" s="210">
        <f>F31*$I31</f>
        <v>1456.3500000000001</v>
      </c>
      <c r="L31" s="210">
        <f>G31*$I31</f>
        <v>1456.3500000000001</v>
      </c>
      <c r="M31" s="14" t="s">
        <v>4670</v>
      </c>
      <c r="N31" t="s">
        <v>4671</v>
      </c>
    </row>
    <row r="32" spans="1:14">
      <c r="A32" s="212" t="s">
        <v>3125</v>
      </c>
      <c r="B32" s="6" t="s">
        <v>3129</v>
      </c>
      <c r="C32" s="180" t="s">
        <v>3130</v>
      </c>
      <c r="D32" s="180" t="s">
        <v>3128</v>
      </c>
      <c r="E32" s="207">
        <v>2190</v>
      </c>
      <c r="F32" s="207">
        <v>2190</v>
      </c>
      <c r="G32" s="207">
        <v>2190</v>
      </c>
      <c r="H32" s="12" t="s">
        <v>3107</v>
      </c>
      <c r="I32" s="209">
        <v>0.66500000000000004</v>
      </c>
      <c r="J32" s="210">
        <f>E32*$I32</f>
        <v>1456.3500000000001</v>
      </c>
      <c r="K32" s="210">
        <f>F32*$I32</f>
        <v>1456.3500000000001</v>
      </c>
      <c r="L32" s="210">
        <f>G32*$I32</f>
        <v>1456.3500000000001</v>
      </c>
      <c r="M32" s="14" t="s">
        <v>4670</v>
      </c>
      <c r="N32" t="s">
        <v>4671</v>
      </c>
    </row>
    <row r="33" spans="1:14">
      <c r="A33" s="212" t="s">
        <v>3125</v>
      </c>
      <c r="B33" s="6" t="s">
        <v>3131</v>
      </c>
      <c r="C33" s="180" t="s">
        <v>3132</v>
      </c>
      <c r="D33" s="180" t="s">
        <v>3133</v>
      </c>
      <c r="E33" s="207">
        <v>200</v>
      </c>
      <c r="F33" s="207">
        <v>1000</v>
      </c>
      <c r="G33" s="207">
        <v>2000</v>
      </c>
      <c r="H33" s="12" t="s">
        <v>3124</v>
      </c>
      <c r="I33" s="209">
        <v>0.12</v>
      </c>
      <c r="J33" s="210">
        <f>E33*$I33</f>
        <v>24</v>
      </c>
      <c r="K33" s="210">
        <f>F33*$I33</f>
        <v>120</v>
      </c>
      <c r="L33" s="210">
        <f>G33*$I33</f>
        <v>240</v>
      </c>
      <c r="M33" s="14" t="s">
        <v>4670</v>
      </c>
      <c r="N33" t="s">
        <v>4672</v>
      </c>
    </row>
    <row r="34" spans="1:14">
      <c r="A34" s="273" t="s">
        <v>3125</v>
      </c>
      <c r="B34" s="274" t="s">
        <v>3134</v>
      </c>
      <c r="C34" s="275" t="s">
        <v>3135</v>
      </c>
      <c r="D34" s="275" t="s">
        <v>3136</v>
      </c>
      <c r="E34" s="276">
        <v>50000000</v>
      </c>
      <c r="F34" s="276">
        <v>250000000</v>
      </c>
      <c r="G34" s="276">
        <v>500000000</v>
      </c>
      <c r="H34" s="277" t="s">
        <v>4673</v>
      </c>
      <c r="I34" s="278">
        <v>2.3999999999999998E-7</v>
      </c>
      <c r="J34" s="279">
        <f>E34*$I34</f>
        <v>11.999999999999998</v>
      </c>
      <c r="K34" s="279">
        <f>F34*$I34</f>
        <v>59.999999999999993</v>
      </c>
      <c r="L34" s="279">
        <f>G34*$I34</f>
        <v>119.99999999999999</v>
      </c>
      <c r="M34" s="280" t="s">
        <v>4670</v>
      </c>
      <c r="N34" s="227" t="s">
        <v>4674</v>
      </c>
    </row>
    <row r="35" spans="1:14">
      <c r="A35" s="212" t="s">
        <v>3125</v>
      </c>
      <c r="B35" s="6" t="s">
        <v>3138</v>
      </c>
      <c r="C35" s="180" t="s">
        <v>3139</v>
      </c>
      <c r="D35" s="180" t="s">
        <v>3140</v>
      </c>
      <c r="E35" s="207">
        <v>400</v>
      </c>
      <c r="F35" s="207">
        <v>2000</v>
      </c>
      <c r="G35" s="207">
        <v>4000</v>
      </c>
      <c r="H35" s="12" t="s">
        <v>3124</v>
      </c>
      <c r="I35" s="209">
        <v>2.3E-2</v>
      </c>
      <c r="J35" s="210">
        <f>E35*$I35</f>
        <v>9.1999999999999993</v>
      </c>
      <c r="K35" s="210">
        <f>F35*$I35</f>
        <v>46</v>
      </c>
      <c r="L35" s="210">
        <f>G35*$I35</f>
        <v>92</v>
      </c>
      <c r="M35" s="14" t="s">
        <v>4670</v>
      </c>
    </row>
    <row r="36" spans="1:14">
      <c r="A36" s="212" t="s">
        <v>3125</v>
      </c>
      <c r="B36" s="6" t="s">
        <v>3141</v>
      </c>
      <c r="C36" s="180" t="s">
        <v>3142</v>
      </c>
      <c r="D36" s="180" t="s">
        <v>3143</v>
      </c>
      <c r="E36" s="207">
        <v>200</v>
      </c>
      <c r="F36" s="207">
        <v>1000</v>
      </c>
      <c r="G36" s="207">
        <v>2000</v>
      </c>
      <c r="H36" s="12" t="s">
        <v>3124</v>
      </c>
      <c r="I36" s="209">
        <v>0.12</v>
      </c>
      <c r="J36" s="210">
        <f>E36*$I36</f>
        <v>24</v>
      </c>
      <c r="K36" s="210">
        <f>F36*$I36</f>
        <v>120</v>
      </c>
      <c r="L36" s="210">
        <f>G36*$I36</f>
        <v>240</v>
      </c>
      <c r="M36" s="14" t="s">
        <v>4670</v>
      </c>
      <c r="N36" t="s">
        <v>4675</v>
      </c>
    </row>
    <row r="37" spans="1:14">
      <c r="A37" s="212" t="s">
        <v>3144</v>
      </c>
      <c r="B37" s="6" t="s">
        <v>3145</v>
      </c>
      <c r="C37" s="180" t="s">
        <v>3146</v>
      </c>
      <c r="D37" s="180" t="s">
        <v>3147</v>
      </c>
      <c r="E37" s="207">
        <v>1460</v>
      </c>
      <c r="F37" s="207">
        <v>1460</v>
      </c>
      <c r="G37" s="207">
        <v>1460</v>
      </c>
      <c r="H37" s="12" t="s">
        <v>3148</v>
      </c>
      <c r="I37" s="209">
        <v>2.4299999999999999E-2</v>
      </c>
      <c r="J37" s="210">
        <f>E37*$I37</f>
        <v>35.478000000000002</v>
      </c>
      <c r="K37" s="210">
        <f>F37*$I37</f>
        <v>35.478000000000002</v>
      </c>
      <c r="L37" s="210">
        <f>G37*$I37</f>
        <v>35.478000000000002</v>
      </c>
      <c r="M37" s="14" t="s">
        <v>4676</v>
      </c>
      <c r="N37" t="s">
        <v>4677</v>
      </c>
    </row>
    <row r="38" spans="1:14">
      <c r="A38" s="212" t="s">
        <v>3144</v>
      </c>
      <c r="B38" s="6" t="s">
        <v>3149</v>
      </c>
      <c r="C38" s="180" t="s">
        <v>3150</v>
      </c>
      <c r="D38" s="180" t="s">
        <v>3151</v>
      </c>
      <c r="E38" s="207">
        <v>730</v>
      </c>
      <c r="F38" s="207">
        <v>730</v>
      </c>
      <c r="G38" s="207">
        <v>730</v>
      </c>
      <c r="H38" s="12" t="s">
        <v>3152</v>
      </c>
      <c r="I38" s="209">
        <v>2.4299999999999999E-2</v>
      </c>
      <c r="J38" s="210">
        <f>E38*$I38</f>
        <v>17.739000000000001</v>
      </c>
      <c r="K38" s="210">
        <f>F38*$I38</f>
        <v>17.739000000000001</v>
      </c>
      <c r="L38" s="210">
        <f>G38*$I38</f>
        <v>17.739000000000001</v>
      </c>
      <c r="M38" s="14" t="s">
        <v>4676</v>
      </c>
      <c r="N38" t="s">
        <v>4678</v>
      </c>
    </row>
    <row r="39" spans="1:14">
      <c r="A39" s="212" t="s">
        <v>3144</v>
      </c>
      <c r="B39" s="6" t="s">
        <v>3153</v>
      </c>
      <c r="C39" s="180" t="s">
        <v>3154</v>
      </c>
      <c r="D39" s="180" t="s">
        <v>3155</v>
      </c>
      <c r="E39" s="207">
        <v>500</v>
      </c>
      <c r="F39" s="207">
        <v>2500</v>
      </c>
      <c r="G39" s="207">
        <v>5000</v>
      </c>
      <c r="H39" s="12" t="s">
        <v>3156</v>
      </c>
      <c r="I39" s="209">
        <v>0.114</v>
      </c>
      <c r="J39" s="210">
        <f>E39*$I39</f>
        <v>57</v>
      </c>
      <c r="K39" s="210">
        <f>F39*$I39</f>
        <v>285</v>
      </c>
      <c r="L39" s="210">
        <f>G39*$I39</f>
        <v>570</v>
      </c>
      <c r="M39" s="14" t="s">
        <v>4679</v>
      </c>
      <c r="N39" t="s">
        <v>4680</v>
      </c>
    </row>
    <row r="40" spans="1:14">
      <c r="A40" s="212" t="s">
        <v>3144</v>
      </c>
      <c r="B40" s="6" t="s">
        <v>3157</v>
      </c>
      <c r="C40" s="180" t="s">
        <v>3158</v>
      </c>
      <c r="D40" s="180" t="s">
        <v>3159</v>
      </c>
      <c r="E40" s="207">
        <v>10</v>
      </c>
      <c r="F40" s="207">
        <v>50</v>
      </c>
      <c r="G40" s="207">
        <v>100</v>
      </c>
      <c r="H40" s="12" t="s">
        <v>3137</v>
      </c>
      <c r="I40" s="209">
        <v>0.6</v>
      </c>
      <c r="J40" s="210">
        <f>E40*$I40</f>
        <v>6</v>
      </c>
      <c r="K40" s="210">
        <f>F40*$I40</f>
        <v>30</v>
      </c>
      <c r="L40" s="210">
        <f>G40*$I40</f>
        <v>60</v>
      </c>
      <c r="M40" s="14" t="s">
        <v>4681</v>
      </c>
      <c r="N40" t="s">
        <v>4682</v>
      </c>
    </row>
    <row r="41" spans="1:14">
      <c r="A41" s="212" t="s">
        <v>3144</v>
      </c>
      <c r="B41" s="6" t="s">
        <v>3160</v>
      </c>
      <c r="C41" s="180" t="s">
        <v>3161</v>
      </c>
      <c r="D41" s="180" t="s">
        <v>3162</v>
      </c>
      <c r="E41" s="207">
        <v>1460</v>
      </c>
      <c r="F41" s="207">
        <v>1460</v>
      </c>
      <c r="G41" s="207">
        <v>1460</v>
      </c>
      <c r="H41" s="12" t="s">
        <v>3163</v>
      </c>
      <c r="I41" s="209">
        <v>1.4E-2</v>
      </c>
      <c r="J41" s="210">
        <f>E41*$I41</f>
        <v>20.440000000000001</v>
      </c>
      <c r="K41" s="210">
        <f>F41*$I41</f>
        <v>20.440000000000001</v>
      </c>
      <c r="L41" s="210">
        <f>G41*$I41</f>
        <v>20.440000000000001</v>
      </c>
      <c r="M41" s="14" t="s">
        <v>4683</v>
      </c>
    </row>
    <row r="42" spans="1:14">
      <c r="A42" s="212" t="s">
        <v>3144</v>
      </c>
      <c r="B42" s="6" t="s">
        <v>3164</v>
      </c>
      <c r="C42" s="180" t="s">
        <v>3165</v>
      </c>
      <c r="D42" s="180" t="s">
        <v>3166</v>
      </c>
      <c r="E42" s="207">
        <v>7300</v>
      </c>
      <c r="F42" s="207">
        <v>7300</v>
      </c>
      <c r="G42" s="207">
        <v>7300</v>
      </c>
      <c r="H42" s="12" t="s">
        <v>3163</v>
      </c>
      <c r="I42" s="209">
        <v>1.4E-2</v>
      </c>
      <c r="J42" s="210">
        <f>E42*$I42</f>
        <v>102.2</v>
      </c>
      <c r="K42" s="210">
        <f>F42*$I42</f>
        <v>102.2</v>
      </c>
      <c r="L42" s="210">
        <f>G42*$I42</f>
        <v>102.2</v>
      </c>
      <c r="M42" s="14" t="s">
        <v>4683</v>
      </c>
    </row>
    <row r="43" spans="1:14">
      <c r="A43" s="212" t="s">
        <v>3144</v>
      </c>
      <c r="B43" s="6" t="s">
        <v>3167</v>
      </c>
      <c r="C43" s="180" t="s">
        <v>3168</v>
      </c>
      <c r="D43" s="180" t="s">
        <v>3169</v>
      </c>
      <c r="E43" s="207">
        <v>10000000</v>
      </c>
      <c r="F43" s="207">
        <v>50000000</v>
      </c>
      <c r="G43" s="207">
        <v>100000000</v>
      </c>
      <c r="H43" s="12" t="s">
        <v>4684</v>
      </c>
      <c r="I43" s="209">
        <v>3.9999999999999998E-7</v>
      </c>
      <c r="J43" s="210">
        <f>E43*$I43</f>
        <v>4</v>
      </c>
      <c r="K43" s="210">
        <f>F43*$I43</f>
        <v>20</v>
      </c>
      <c r="L43" s="210">
        <f>G43*$I43</f>
        <v>40</v>
      </c>
      <c r="M43" s="14" t="s">
        <v>4685</v>
      </c>
      <c r="N43" t="s">
        <v>4686</v>
      </c>
    </row>
    <row r="44" spans="1:14">
      <c r="A44" s="212" t="s">
        <v>3144</v>
      </c>
      <c r="B44" s="6" t="s">
        <v>3170</v>
      </c>
      <c r="C44" s="180" t="s">
        <v>3171</v>
      </c>
      <c r="D44" s="180" t="s">
        <v>3172</v>
      </c>
      <c r="E44" s="207">
        <v>100</v>
      </c>
      <c r="F44" s="207">
        <v>500</v>
      </c>
      <c r="G44" s="207">
        <v>1000</v>
      </c>
      <c r="H44" s="12" t="s">
        <v>3156</v>
      </c>
      <c r="I44" s="209">
        <v>0.09</v>
      </c>
      <c r="J44" s="210">
        <f>E44*$I44</f>
        <v>9</v>
      </c>
      <c r="K44" s="210">
        <f>F44*$I44</f>
        <v>45</v>
      </c>
      <c r="L44" s="210">
        <f>G44*$I44</f>
        <v>90</v>
      </c>
      <c r="M44" s="14" t="s">
        <v>4664</v>
      </c>
      <c r="N44" t="s">
        <v>4687</v>
      </c>
    </row>
    <row r="45" spans="1:14">
      <c r="A45" s="212" t="s">
        <v>3144</v>
      </c>
      <c r="B45" s="6" t="s">
        <v>3173</v>
      </c>
      <c r="C45" s="180" t="s">
        <v>3174</v>
      </c>
      <c r="D45" s="180" t="s">
        <v>3175</v>
      </c>
      <c r="E45" s="207">
        <v>50</v>
      </c>
      <c r="F45" s="207">
        <v>250</v>
      </c>
      <c r="G45" s="207">
        <v>500</v>
      </c>
      <c r="H45" s="12" t="s">
        <v>3156</v>
      </c>
      <c r="I45" s="209">
        <v>0.114</v>
      </c>
      <c r="J45" s="210">
        <f>E45*$I45</f>
        <v>5.7</v>
      </c>
      <c r="K45" s="210">
        <f>F45*$I45</f>
        <v>28.5</v>
      </c>
      <c r="L45" s="210">
        <f>G45*$I45</f>
        <v>57</v>
      </c>
      <c r="M45" s="14" t="s">
        <v>4664</v>
      </c>
      <c r="N45" t="s">
        <v>4688</v>
      </c>
    </row>
    <row r="46" spans="1:14">
      <c r="A46" s="212" t="s">
        <v>3176</v>
      </c>
      <c r="B46" s="6" t="s">
        <v>3177</v>
      </c>
      <c r="C46" s="180" t="s">
        <v>3178</v>
      </c>
      <c r="D46" s="180" t="s">
        <v>3179</v>
      </c>
      <c r="E46" s="207">
        <v>10000000</v>
      </c>
      <c r="F46" s="207">
        <v>30000000</v>
      </c>
      <c r="G46" s="207">
        <v>50000000</v>
      </c>
      <c r="H46" s="12" t="s">
        <v>4689</v>
      </c>
      <c r="I46" s="209">
        <v>1.9999999999999999E-7</v>
      </c>
      <c r="J46" s="210">
        <f>E46*$I46</f>
        <v>2</v>
      </c>
      <c r="K46" s="210">
        <f>F46*$I46</f>
        <v>6</v>
      </c>
      <c r="L46" s="210">
        <f>G46*$I46</f>
        <v>10</v>
      </c>
      <c r="M46" s="14" t="s">
        <v>4690</v>
      </c>
      <c r="N46" t="s">
        <v>4691</v>
      </c>
    </row>
    <row r="47" spans="1:14">
      <c r="A47" s="212" t="s">
        <v>3176</v>
      </c>
      <c r="B47" s="6" t="s">
        <v>3180</v>
      </c>
      <c r="C47" s="180" t="s">
        <v>3181</v>
      </c>
      <c r="D47" s="180" t="s">
        <v>3182</v>
      </c>
      <c r="E47" s="207">
        <v>5000000</v>
      </c>
      <c r="F47" s="207">
        <v>15000000</v>
      </c>
      <c r="G47" s="207">
        <v>25000000</v>
      </c>
      <c r="H47" s="12" t="s">
        <v>4689</v>
      </c>
      <c r="I47" s="209">
        <v>1.9999999999999999E-7</v>
      </c>
      <c r="J47" s="210">
        <f>E47*$I47</f>
        <v>1</v>
      </c>
      <c r="K47" s="210">
        <f>F47*$I47</f>
        <v>3</v>
      </c>
      <c r="L47" s="210">
        <f>G47*$I47</f>
        <v>5</v>
      </c>
      <c r="M47" s="14" t="s">
        <v>4690</v>
      </c>
      <c r="N47" t="s">
        <v>4692</v>
      </c>
    </row>
    <row r="48" spans="1:14">
      <c r="A48" s="212" t="s">
        <v>3176</v>
      </c>
      <c r="B48" s="6" t="s">
        <v>3183</v>
      </c>
      <c r="C48" s="180" t="s">
        <v>3184</v>
      </c>
      <c r="D48" s="180" t="s">
        <v>3185</v>
      </c>
      <c r="E48" s="207">
        <v>10000000</v>
      </c>
      <c r="F48" s="207">
        <v>30000000</v>
      </c>
      <c r="G48" s="207">
        <v>50000000</v>
      </c>
      <c r="H48" s="12" t="s">
        <v>4689</v>
      </c>
      <c r="I48" s="209">
        <v>1.2899999999999999E-6</v>
      </c>
      <c r="J48" s="210">
        <f>E48*$I48</f>
        <v>12.899999999999999</v>
      </c>
      <c r="K48" s="210">
        <f>F48*$I48</f>
        <v>38.699999999999996</v>
      </c>
      <c r="L48" s="210">
        <f>G48*$I48</f>
        <v>64.5</v>
      </c>
      <c r="M48" s="14" t="s">
        <v>4693</v>
      </c>
      <c r="N48" t="s">
        <v>4694</v>
      </c>
    </row>
    <row r="49" spans="1:14">
      <c r="A49" s="212" t="s">
        <v>3176</v>
      </c>
      <c r="B49" s="6" t="s">
        <v>3186</v>
      </c>
      <c r="C49" s="180" t="s">
        <v>3187</v>
      </c>
      <c r="D49" s="180" t="s">
        <v>3188</v>
      </c>
      <c r="E49" s="207">
        <v>5000000</v>
      </c>
      <c r="F49" s="207">
        <v>15000000</v>
      </c>
      <c r="G49" s="207">
        <v>25000000</v>
      </c>
      <c r="H49" s="12" t="s">
        <v>4695</v>
      </c>
      <c r="I49" s="209">
        <v>9.9999999999999995E-8</v>
      </c>
      <c r="J49" s="210">
        <f>E49*$I49</f>
        <v>0.5</v>
      </c>
      <c r="K49" s="210">
        <f>F49*$I49</f>
        <v>1.5</v>
      </c>
      <c r="L49" s="210">
        <f>G49*$I49</f>
        <v>2.5</v>
      </c>
      <c r="M49" s="14" t="s">
        <v>4696</v>
      </c>
      <c r="N49" t="s">
        <v>4697</v>
      </c>
    </row>
    <row r="50" spans="1:14">
      <c r="A50" s="212" t="s">
        <v>3176</v>
      </c>
      <c r="B50" s="6" t="s">
        <v>3189</v>
      </c>
      <c r="C50" s="180" t="s">
        <v>3190</v>
      </c>
      <c r="D50" s="180" t="s">
        <v>3191</v>
      </c>
      <c r="E50" s="207">
        <v>5000000</v>
      </c>
      <c r="F50" s="207">
        <v>25000000</v>
      </c>
      <c r="G50" s="207">
        <v>50000000</v>
      </c>
      <c r="H50" s="12" t="s">
        <v>4698</v>
      </c>
      <c r="I50" s="209">
        <v>8.8999999999999995E-7</v>
      </c>
      <c r="J50" s="210">
        <f>E50*$I50</f>
        <v>4.45</v>
      </c>
      <c r="K50" s="210">
        <f>F50*$I50</f>
        <v>22.25</v>
      </c>
      <c r="L50" s="210">
        <f>G50*$I50</f>
        <v>44.5</v>
      </c>
      <c r="M50" s="14" t="s">
        <v>4699</v>
      </c>
      <c r="N50" t="s">
        <v>4700</v>
      </c>
    </row>
    <row r="51" spans="1:14">
      <c r="A51" s="212" t="s">
        <v>1532</v>
      </c>
      <c r="B51" s="6" t="s">
        <v>3192</v>
      </c>
      <c r="C51" s="180" t="s">
        <v>3193</v>
      </c>
      <c r="D51" s="180" t="s">
        <v>3194</v>
      </c>
      <c r="E51" s="207">
        <v>10</v>
      </c>
      <c r="F51" s="207">
        <v>10</v>
      </c>
      <c r="G51" s="207">
        <v>10</v>
      </c>
      <c r="H51" s="12" t="s">
        <v>3195</v>
      </c>
      <c r="I51" s="209">
        <v>1</v>
      </c>
      <c r="J51" s="210">
        <f>E51*$I51</f>
        <v>10</v>
      </c>
      <c r="K51" s="210">
        <f>F51*$I51</f>
        <v>10</v>
      </c>
      <c r="L51" s="210">
        <f>G51*$I51</f>
        <v>10</v>
      </c>
      <c r="M51" s="14" t="s">
        <v>4701</v>
      </c>
      <c r="N51" t="s">
        <v>4702</v>
      </c>
    </row>
    <row r="52" spans="1:14">
      <c r="A52" s="212" t="s">
        <v>1532</v>
      </c>
      <c r="B52" s="6" t="s">
        <v>3196</v>
      </c>
      <c r="C52" s="180" t="s">
        <v>3197</v>
      </c>
      <c r="D52" s="180" t="s">
        <v>3198</v>
      </c>
      <c r="E52" s="207">
        <v>30</v>
      </c>
      <c r="F52" s="207">
        <v>30</v>
      </c>
      <c r="G52" s="207">
        <v>30</v>
      </c>
      <c r="H52" s="12" t="s">
        <v>3199</v>
      </c>
      <c r="I52" s="209">
        <v>0.4</v>
      </c>
      <c r="J52" s="210">
        <f>E52*$I52</f>
        <v>12</v>
      </c>
      <c r="K52" s="210">
        <f>F52*$I52</f>
        <v>12</v>
      </c>
      <c r="L52" s="210">
        <f>G52*$I52</f>
        <v>12</v>
      </c>
      <c r="M52" s="14" t="s">
        <v>4703</v>
      </c>
    </row>
    <row r="53" spans="1:14">
      <c r="A53" s="273" t="s">
        <v>1532</v>
      </c>
      <c r="B53" s="274" t="s">
        <v>3200</v>
      </c>
      <c r="C53" s="275" t="s">
        <v>3201</v>
      </c>
      <c r="D53" s="275" t="s">
        <v>3202</v>
      </c>
      <c r="E53" s="276">
        <v>1</v>
      </c>
      <c r="F53" s="276">
        <v>1</v>
      </c>
      <c r="G53" s="276">
        <v>1</v>
      </c>
      <c r="H53" s="277" t="s">
        <v>3203</v>
      </c>
      <c r="I53" s="278">
        <v>400</v>
      </c>
      <c r="J53" s="279">
        <f>E53*$I53</f>
        <v>400</v>
      </c>
      <c r="K53" s="279">
        <f>F53*$I53</f>
        <v>400</v>
      </c>
      <c r="L53" s="279">
        <f>G53*$I53</f>
        <v>400</v>
      </c>
      <c r="M53" s="280" t="s">
        <v>4704</v>
      </c>
      <c r="N53" s="227" t="s">
        <v>4868</v>
      </c>
    </row>
    <row r="54" spans="1:14">
      <c r="A54" s="212" t="s">
        <v>1532</v>
      </c>
      <c r="B54" s="6" t="s">
        <v>3204</v>
      </c>
      <c r="C54" s="180" t="s">
        <v>3205</v>
      </c>
      <c r="D54" s="180" t="s">
        <v>3206</v>
      </c>
      <c r="E54" s="207">
        <v>400</v>
      </c>
      <c r="F54" s="207">
        <v>2000</v>
      </c>
      <c r="G54" s="207">
        <v>4000</v>
      </c>
      <c r="H54" s="12" t="s">
        <v>3124</v>
      </c>
      <c r="I54" s="209">
        <v>0.09</v>
      </c>
      <c r="J54" s="210">
        <f>E54*$I54</f>
        <v>36</v>
      </c>
      <c r="K54" s="210">
        <f>F54*$I54</f>
        <v>180</v>
      </c>
      <c r="L54" s="210">
        <f>G54*$I54</f>
        <v>360</v>
      </c>
      <c r="M54" s="14" t="s">
        <v>4705</v>
      </c>
    </row>
    <row r="55" spans="1:14">
      <c r="A55" s="212" t="s">
        <v>3207</v>
      </c>
      <c r="B55" s="6" t="s">
        <v>3208</v>
      </c>
      <c r="C55" s="180" t="s">
        <v>3209</v>
      </c>
      <c r="D55" s="180" t="s">
        <v>3210</v>
      </c>
      <c r="E55" s="207">
        <v>100</v>
      </c>
      <c r="F55" s="207">
        <v>500</v>
      </c>
      <c r="G55" s="207">
        <v>1000</v>
      </c>
      <c r="H55" s="12" t="s">
        <v>3156</v>
      </c>
      <c r="I55" s="209">
        <v>0.76</v>
      </c>
      <c r="J55" s="210">
        <f>E55*$I55</f>
        <v>76</v>
      </c>
      <c r="K55" s="210">
        <f>F55*$I55</f>
        <v>380</v>
      </c>
      <c r="L55" s="210">
        <f>G55*$I55</f>
        <v>760</v>
      </c>
      <c r="M55" s="14" t="s">
        <v>4706</v>
      </c>
      <c r="N55" t="s">
        <v>4707</v>
      </c>
    </row>
    <row r="56" spans="1:14">
      <c r="A56" s="212" t="s">
        <v>3207</v>
      </c>
      <c r="B56" s="6" t="s">
        <v>3211</v>
      </c>
      <c r="C56" s="180" t="s">
        <v>3212</v>
      </c>
      <c r="D56" s="180" t="s">
        <v>3213</v>
      </c>
      <c r="E56" s="207">
        <v>1460</v>
      </c>
      <c r="F56" s="207">
        <v>2190</v>
      </c>
      <c r="G56" s="207">
        <v>2920</v>
      </c>
      <c r="H56" s="12" t="s">
        <v>3107</v>
      </c>
      <c r="I56" s="209">
        <v>0.16400000000000001</v>
      </c>
      <c r="J56" s="210">
        <f>E56*$I56</f>
        <v>239.44</v>
      </c>
      <c r="K56" s="210">
        <f>F56*$I56</f>
        <v>359.16</v>
      </c>
      <c r="L56" s="210">
        <f>G56*$I56</f>
        <v>478.88</v>
      </c>
      <c r="M56" s="14" t="s">
        <v>4708</v>
      </c>
      <c r="N56" t="s">
        <v>4709</v>
      </c>
    </row>
    <row r="57" spans="1:14">
      <c r="A57" s="212" t="s">
        <v>3207</v>
      </c>
      <c r="B57" s="6" t="s">
        <v>3214</v>
      </c>
      <c r="C57" s="180" t="s">
        <v>3215</v>
      </c>
      <c r="D57" s="180" t="s">
        <v>3216</v>
      </c>
      <c r="E57" s="207">
        <v>5000</v>
      </c>
      <c r="F57" s="207">
        <v>25000</v>
      </c>
      <c r="G57" s="207">
        <v>50000</v>
      </c>
      <c r="H57" s="12" t="s">
        <v>3124</v>
      </c>
      <c r="I57" s="209">
        <v>2E-3</v>
      </c>
      <c r="J57" s="210">
        <f>E57*$I57</f>
        <v>10</v>
      </c>
      <c r="K57" s="210">
        <f>F57*$I57</f>
        <v>50</v>
      </c>
      <c r="L57" s="210">
        <f>G57*$I57</f>
        <v>100</v>
      </c>
      <c r="M57" s="14" t="s">
        <v>4710</v>
      </c>
      <c r="N57" t="s">
        <v>4711</v>
      </c>
    </row>
    <row r="58" spans="1:14">
      <c r="A58" s="212" t="s">
        <v>3207</v>
      </c>
      <c r="B58" s="6" t="s">
        <v>3217</v>
      </c>
      <c r="C58" s="180" t="s">
        <v>3218</v>
      </c>
      <c r="D58" s="180" t="s">
        <v>3219</v>
      </c>
      <c r="E58" s="207">
        <v>100000</v>
      </c>
      <c r="F58" s="207">
        <v>500000</v>
      </c>
      <c r="G58" s="207">
        <v>1000000</v>
      </c>
      <c r="H58" s="12" t="s">
        <v>4712</v>
      </c>
      <c r="I58" s="209">
        <v>1E-4</v>
      </c>
      <c r="J58" s="210">
        <f>E58*$I58</f>
        <v>10</v>
      </c>
      <c r="K58" s="210">
        <f>F58*$I58</f>
        <v>50</v>
      </c>
      <c r="L58" s="210">
        <f>G58*$I58</f>
        <v>100</v>
      </c>
      <c r="M58" s="14" t="s">
        <v>4713</v>
      </c>
      <c r="N58" t="s">
        <v>4714</v>
      </c>
    </row>
    <row r="59" spans="1:14">
      <c r="A59" s="212" t="s">
        <v>3207</v>
      </c>
      <c r="B59" s="6" t="s">
        <v>3220</v>
      </c>
      <c r="C59" s="180" t="s">
        <v>3221</v>
      </c>
      <c r="D59" s="180" t="s">
        <v>3222</v>
      </c>
      <c r="E59" s="207">
        <v>131400</v>
      </c>
      <c r="F59" s="207">
        <v>131400</v>
      </c>
      <c r="G59" s="207">
        <v>131400</v>
      </c>
      <c r="H59" s="12" t="s">
        <v>3223</v>
      </c>
      <c r="I59" s="209">
        <v>1.9E-3</v>
      </c>
      <c r="J59" s="210">
        <f>E59*$I59</f>
        <v>249.66</v>
      </c>
      <c r="K59" s="210">
        <f>F59*$I59</f>
        <v>249.66</v>
      </c>
      <c r="L59" s="210">
        <f>G59*$I59</f>
        <v>249.66</v>
      </c>
      <c r="M59" s="14" t="s">
        <v>4706</v>
      </c>
      <c r="N59" t="s">
        <v>4715</v>
      </c>
    </row>
    <row r="60" spans="1:14">
      <c r="A60" s="50" t="s">
        <v>3224</v>
      </c>
      <c r="B60" s="179"/>
      <c r="C60" s="179"/>
      <c r="D60" s="179"/>
      <c r="E60" s="208"/>
      <c r="F60" s="208"/>
      <c r="G60" s="208"/>
      <c r="H60" s="208"/>
      <c r="I60" s="208"/>
      <c r="J60" s="211">
        <f>SUM(J25:J59)</f>
        <v>6271.2109999999975</v>
      </c>
      <c r="K60" s="211">
        <f>SUM(K25:K59)</f>
        <v>9121.7249999999985</v>
      </c>
      <c r="L60" s="211">
        <f>SUM(L25:L59)</f>
        <v>12879.583999999999</v>
      </c>
      <c r="M60" s="206"/>
      <c r="N60" t="str">
        <f>IF(COUNTBLANK($I$25:$I$59)&gt;0,"⚠ 単価未入力 "&amp;COUNTBLANK($I$25:$I$59)&amp;"件（青字セル）","✓ 全単価が入力済み")</f>
        <v>✓ 全単価が入力済み</v>
      </c>
    </row>
    <row r="62" spans="1:14">
      <c r="A62" s="4" t="s">
        <v>3225</v>
      </c>
    </row>
    <row r="63" spans="1:14">
      <c r="A63" s="18" t="s">
        <v>1</v>
      </c>
      <c r="B63" s="19" t="s">
        <v>2763</v>
      </c>
      <c r="C63" s="19" t="s">
        <v>3099</v>
      </c>
      <c r="D63" s="19" t="s">
        <v>3100</v>
      </c>
      <c r="E63" s="20" t="s">
        <v>3101</v>
      </c>
    </row>
    <row r="64" spans="1:14">
      <c r="A64" s="21" t="s">
        <v>3103</v>
      </c>
      <c r="B64" s="213">
        <f>COUNTIF($A$25:$A$59,$A64)</f>
        <v>6</v>
      </c>
      <c r="C64" s="214">
        <f>SUMIF($A$25:$A$59,$A64,$J$25:$J$59)</f>
        <v>1967.8039999999999</v>
      </c>
      <c r="D64" s="214">
        <f>SUMIF($A$25:$A$59,$A64,$K$25:$K$59)</f>
        <v>3516.3980000000006</v>
      </c>
      <c r="E64" s="215">
        <f>SUMIF($A$25:$A$59,$A64,$L$25:$L$59)</f>
        <v>5684.9870000000001</v>
      </c>
    </row>
    <row r="65" spans="1:6">
      <c r="A65" s="21" t="s">
        <v>3125</v>
      </c>
      <c r="B65" s="213">
        <f>COUNTIF($A$25:$A$59,$A65)</f>
        <v>6</v>
      </c>
      <c r="C65" s="214">
        <f>SUMIF($A$25:$A$59,$A65,$J$25:$J$59)</f>
        <v>2981.9</v>
      </c>
      <c r="D65" s="214">
        <f>SUMIF($A$25:$A$59,$A65,$K$25:$K$59)</f>
        <v>3258.7000000000003</v>
      </c>
      <c r="E65" s="215">
        <f>SUMIF($A$25:$A$59,$A65,$L$25:$L$59)</f>
        <v>3604.7000000000003</v>
      </c>
    </row>
    <row r="66" spans="1:6">
      <c r="A66" s="21" t="s">
        <v>3144</v>
      </c>
      <c r="B66" s="213">
        <f>COUNTIF($A$25:$A$59,$A66)</f>
        <v>9</v>
      </c>
      <c r="C66" s="214">
        <f>SUMIF($A$25:$A$59,$A66,$J$25:$J$59)</f>
        <v>257.55700000000002</v>
      </c>
      <c r="D66" s="214">
        <f>SUMIF($A$25:$A$59,$A66,$K$25:$K$59)</f>
        <v>584.35699999999997</v>
      </c>
      <c r="E66" s="215">
        <f>SUMIF($A$25:$A$59,$A66,$L$25:$L$59)</f>
        <v>992.85700000000008</v>
      </c>
    </row>
    <row r="67" spans="1:6">
      <c r="A67" s="21" t="s">
        <v>3176</v>
      </c>
      <c r="B67" s="213">
        <f>COUNTIF($A$25:$A$59,$A67)</f>
        <v>5</v>
      </c>
      <c r="C67" s="214">
        <f>SUMIF($A$25:$A$59,$A67,$J$25:$J$59)</f>
        <v>20.849999999999998</v>
      </c>
      <c r="D67" s="214">
        <f>SUMIF($A$25:$A$59,$A67,$K$25:$K$59)</f>
        <v>71.449999999999989</v>
      </c>
      <c r="E67" s="215">
        <f>SUMIF($A$25:$A$59,$A67,$L$25:$L$59)</f>
        <v>126.5</v>
      </c>
    </row>
    <row r="68" spans="1:6">
      <c r="A68" s="21" t="s">
        <v>1532</v>
      </c>
      <c r="B68" s="213">
        <f>COUNTIF($A$25:$A$59,$A68)</f>
        <v>4</v>
      </c>
      <c r="C68" s="214">
        <f>SUMIF($A$25:$A$59,$A68,$J$25:$J$59)</f>
        <v>458</v>
      </c>
      <c r="D68" s="214">
        <f>SUMIF($A$25:$A$59,$A68,$K$25:$K$59)</f>
        <v>602</v>
      </c>
      <c r="E68" s="215">
        <f>SUMIF($A$25:$A$59,$A68,$L$25:$L$59)</f>
        <v>782</v>
      </c>
    </row>
    <row r="69" spans="1:6">
      <c r="A69" s="21" t="s">
        <v>3207</v>
      </c>
      <c r="B69" s="213">
        <f>COUNTIF($A$25:$A$59,$A69)</f>
        <v>5</v>
      </c>
      <c r="C69" s="214">
        <f>SUMIF($A$25:$A$59,$A69,$J$25:$J$59)</f>
        <v>585.1</v>
      </c>
      <c r="D69" s="214">
        <f>SUMIF($A$25:$A$59,$A69,$K$25:$K$59)</f>
        <v>1088.8200000000002</v>
      </c>
      <c r="E69" s="215">
        <f>SUMIF($A$25:$A$59,$A69,$L$25:$L$59)</f>
        <v>1688.5400000000002</v>
      </c>
    </row>
    <row r="70" spans="1:6">
      <c r="A70" s="23" t="s">
        <v>7</v>
      </c>
      <c r="B70" s="216">
        <f>SUM(B64:B69)</f>
        <v>35</v>
      </c>
      <c r="C70" s="217">
        <f>SUM(C64:C69)</f>
        <v>6271.2110000000002</v>
      </c>
      <c r="D70" s="217">
        <f>SUM(D64:D69)</f>
        <v>9121.7250000000004</v>
      </c>
      <c r="E70" s="218">
        <f>SUM(E64:E69)</f>
        <v>12879.584000000001</v>
      </c>
      <c r="F70" s="4" t="str">
        <f>IF(B70=COUNTA($B$25:$B$59),"✓ 明細行数と一致","⚠ 不一致")</f>
        <v>✓ 明細行数と一致</v>
      </c>
    </row>
    <row r="72" spans="1:6">
      <c r="A72" s="4" t="s">
        <v>3226</v>
      </c>
    </row>
    <row r="73" spans="1:6">
      <c r="A73" s="18" t="s">
        <v>3058</v>
      </c>
      <c r="B73" s="19" t="s">
        <v>3227</v>
      </c>
      <c r="C73" s="19" t="s">
        <v>3228</v>
      </c>
      <c r="D73" s="19" t="s">
        <v>3229</v>
      </c>
      <c r="E73" s="20" t="s">
        <v>3061</v>
      </c>
    </row>
    <row r="74" spans="1:6">
      <c r="A74" s="21" t="s">
        <v>3230</v>
      </c>
      <c r="B74" s="214">
        <f>J60</f>
        <v>6271.2109999999975</v>
      </c>
      <c r="C74" s="214">
        <f>K60</f>
        <v>9121.7249999999985</v>
      </c>
      <c r="D74" s="214">
        <f>L60</f>
        <v>12879.583999999999</v>
      </c>
      <c r="E74" s="27" t="s">
        <v>3231</v>
      </c>
    </row>
    <row r="75" spans="1:6">
      <c r="A75" s="21" t="s">
        <v>3232</v>
      </c>
      <c r="B75" s="219">
        <f>B74*$B$9</f>
        <v>940681.64999999967</v>
      </c>
      <c r="C75" s="219">
        <f>C74*$B$9</f>
        <v>1368258.7499999998</v>
      </c>
      <c r="D75" s="219">
        <f>D74*$B$9</f>
        <v>1931937.5999999999</v>
      </c>
      <c r="E75" s="27" t="s">
        <v>3233</v>
      </c>
    </row>
    <row r="76" spans="1:6">
      <c r="A76" s="21" t="s">
        <v>3234</v>
      </c>
      <c r="B76" s="220">
        <f>B74*12</f>
        <v>75254.531999999977</v>
      </c>
      <c r="C76" s="220">
        <f>C74*12</f>
        <v>109460.69999999998</v>
      </c>
      <c r="D76" s="220">
        <f>D74*12</f>
        <v>154555.00799999997</v>
      </c>
      <c r="E76" s="27" t="s">
        <v>3235</v>
      </c>
    </row>
    <row r="77" spans="1:6">
      <c r="A77" s="21" t="s">
        <v>3236</v>
      </c>
      <c r="B77" s="220">
        <f>B76*3</f>
        <v>225763.59599999993</v>
      </c>
      <c r="C77" s="220">
        <f>C76*3</f>
        <v>328382.09999999998</v>
      </c>
      <c r="D77" s="220">
        <f>D76*3</f>
        <v>463665.02399999992</v>
      </c>
      <c r="E77" s="27" t="s">
        <v>3237</v>
      </c>
    </row>
    <row r="78" spans="1:6">
      <c r="A78" s="21" t="s">
        <v>3238</v>
      </c>
      <c r="B78" s="219">
        <f>B77*$B$9</f>
        <v>33864539.399999991</v>
      </c>
      <c r="C78" s="219">
        <f>C77*$B$9</f>
        <v>49257315</v>
      </c>
      <c r="D78" s="219">
        <f>D77*$B$9</f>
        <v>69549753.599999994</v>
      </c>
      <c r="E78" s="27"/>
    </row>
    <row r="79" spans="1:6">
      <c r="A79" s="21" t="s">
        <v>3239</v>
      </c>
      <c r="B79" s="221">
        <f>IFERROR(B75/$B$10,0)</f>
        <v>0.9406816499999997</v>
      </c>
      <c r="C79" s="221">
        <f>IFERROR(C75/$B$11,0)</f>
        <v>0.27365174999999997</v>
      </c>
      <c r="D79" s="221">
        <f>IFERROR(D75/$B$12,0)</f>
        <v>0.19319375999999999</v>
      </c>
      <c r="E79" s="27" t="s">
        <v>3240</v>
      </c>
    </row>
    <row r="80" spans="1:6">
      <c r="A80" s="25" t="s">
        <v>3241</v>
      </c>
      <c r="B80" s="222">
        <v>2032</v>
      </c>
      <c r="C80" s="222">
        <v>2032</v>
      </c>
      <c r="D80" s="222">
        <v>2032</v>
      </c>
      <c r="E80" s="28" t="s">
        <v>3242</v>
      </c>
    </row>
    <row r="82" spans="1:1">
      <c r="A82" s="271" t="s">
        <v>4800</v>
      </c>
    </row>
    <row r="83" spans="1:1">
      <c r="A83" s="272" t="s">
        <v>4801</v>
      </c>
    </row>
    <row r="84" spans="1:1">
      <c r="A84" s="272" t="s">
        <v>4802</v>
      </c>
    </row>
    <row r="85" spans="1:1">
      <c r="A85" s="116" t="str">
        <f>"③ 総括の開き: 設計書の概算 2,032 USD に対し、今回の積み上げは "&amp;TEXT(SUM(J25:J59),"#,##0")&amp;" USD（100万人）で約3倍。主因は Aurora インスタンス2系統×3台（"&amp;TEXT(J31+J32,"#,##0")&amp;" USD）。どちらが正か要精査"</f>
        <v>③ 総括の開き: 設計書の概算 2,032 USD に対し、今回の積み上げは 6,271 USD（100万人）で約3倍。主因は Aurora インスタンス2系統×3台（2,913 USD）。どちらが正か要精査</v>
      </c>
    </row>
    <row r="86" spans="1:1">
      <c r="A86" s="116" t="s">
        <v>4803</v>
      </c>
    </row>
    <row r="87" spans="1:1">
      <c r="A87" s="116" t="s">
        <v>4804</v>
      </c>
    </row>
    <row r="88" spans="1:1">
      <c r="A88" s="116" t="s">
        <v>4805</v>
      </c>
    </row>
  </sheetData>
  <autoFilter ref="A24:M59" xr:uid="{B411B8B0-C590-3C46-80D6-CB350769A192}"/>
  <phoneticPr fontId="2"/>
  <conditionalFormatting sqref="A25:M59">
    <cfRule type="expression" dxfId="150" priority="1">
      <formula>ISBLANK($I25)</formula>
    </cfRule>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CE067C-A024-AB42-817F-B05E028019B1}">
  <dimension ref="A1:N47"/>
  <sheetViews>
    <sheetView workbookViewId="0"/>
  </sheetViews>
  <sheetFormatPr baseColWidth="10" defaultRowHeight="20"/>
  <cols>
    <col min="1" max="1" width="31.42578125" customWidth="1"/>
    <col min="2" max="2" width="57.140625" customWidth="1"/>
    <col min="3" max="3" width="8.5703125" customWidth="1"/>
    <col min="4" max="4" width="4.28515625" customWidth="1"/>
    <col min="5" max="5" width="32.85546875" customWidth="1"/>
    <col min="6" max="6" width="8.5703125" customWidth="1"/>
    <col min="7" max="7" width="14.28515625" customWidth="1"/>
    <col min="8" max="8" width="60" customWidth="1"/>
    <col min="9" max="9" width="32.85546875" customWidth="1"/>
    <col min="10" max="10" width="21.42578125" customWidth="1"/>
    <col min="11" max="11" width="10" customWidth="1"/>
    <col min="12" max="12" width="24.28515625" customWidth="1"/>
    <col min="13" max="13" width="68.5703125" customWidth="1"/>
    <col min="14" max="14" width="24.28515625" customWidth="1"/>
  </cols>
  <sheetData>
    <row r="1" spans="1:13" ht="33">
      <c r="A1" s="117" t="s">
        <v>3567</v>
      </c>
    </row>
    <row r="2" spans="1:13">
      <c r="A2" s="48" t="s">
        <v>3568</v>
      </c>
    </row>
    <row r="4" spans="1:13" ht="23">
      <c r="A4" s="118" t="s">
        <v>3569</v>
      </c>
      <c r="E4" s="119" t="s">
        <v>3570</v>
      </c>
      <c r="I4" s="120" t="s">
        <v>3571</v>
      </c>
    </row>
    <row r="5" spans="1:13" ht="61">
      <c r="A5" s="121">
        <f>COUNTIF(進捗一覧!$H$4:$H$337,"確定")+COUNTIF(進捗一覧!$H$4:$H$337,"方向性確定（条件付き）")</f>
        <v>78</v>
      </c>
      <c r="B5" t="s">
        <v>3572</v>
      </c>
      <c r="E5" s="122">
        <f>COUNTIF(進捗一覧!$H$4:$H$337,"検討中")</f>
        <v>75</v>
      </c>
      <c r="F5" t="s">
        <v>3572</v>
      </c>
      <c r="I5" s="123">
        <f>COUNTIF(進捗一覧!$H$4:$H$337,"外部待ち")</f>
        <v>166</v>
      </c>
      <c r="J5" t="s">
        <v>3572</v>
      </c>
    </row>
    <row r="6" spans="1:13">
      <c r="A6" s="124" t="str">
        <f>"うち完全に確定 "&amp;COUNTIF(進捗一覧!$H$4:$H$337,"確定")&amp;"件／推奨値ありで承認待ち "&amp;COUNTIF(進捗一覧!$H$4:$H$337,"方向性確定（条件付き）")&amp;"件"</f>
        <v>うち完全に確定 74件／推奨値ありで承認待ち 4件</v>
      </c>
      <c r="E6" s="124" t="s">
        <v>3573</v>
      </c>
      <c r="I6" s="124" t="s">
        <v>3574</v>
      </c>
    </row>
    <row r="8" spans="1:13">
      <c r="A8" s="4" t="s">
        <v>3575</v>
      </c>
      <c r="E8" s="4" t="s">
        <v>3576</v>
      </c>
    </row>
    <row r="9" spans="1:13" ht="47">
      <c r="A9" s="125">
        <f>COUNTIF(進捗一覧!$H$4:$H$337,"検討中")+COUNTIF(進捗一覧!$H$4:$H$337,"外部待ち")</f>
        <v>241</v>
      </c>
      <c r="B9" s="124" t="str">
        <f>"件（要件定義 "&amp;COUNTIFS(進捗一覧!$A$4:$A$337,"要件定義",進捗一覧!$H$4:$H$337,"検討中")+COUNTIFS(進捗一覧!$A$4:$A$337,"要件定義",進捗一覧!$H$4:$H$337,"外部待ち")&amp;" ＋ 基本設計 "&amp;COUNTIFS(進捗一覧!$A$4:$A$337,"基本設計",進捗一覧!$H$4:$H$337,"検討中")+COUNTIFS(進捗一覧!$A$4:$A$337,"基本設計",進捗一覧!$H$4:$H$337,"外部待ち")&amp;"）／ 全"&amp;COUNTA(進捗一覧!$P$4:$P$337)&amp;"件中"</f>
        <v>件（要件定義 165 ＋ 基本設計 76）／ 全334件中</v>
      </c>
      <c r="E9" s="15" t="s">
        <v>3577</v>
      </c>
      <c r="F9" s="16" t="s">
        <v>3578</v>
      </c>
      <c r="G9" s="16" t="s">
        <v>3579</v>
      </c>
      <c r="H9" s="17" t="s">
        <v>2441</v>
      </c>
    </row>
    <row r="10" spans="1:13">
      <c r="E10" s="21" t="s">
        <v>3580</v>
      </c>
      <c r="F10" s="29">
        <f>COUNTIFS(進捗一覧!$B$4:$B$337,"検証ゲート",進捗一覧!$H$4:$H$337,"検討中")</f>
        <v>3</v>
      </c>
      <c r="G10" s="29" t="str">
        <f>IF(F10=0,"● 充足",IF(F10&lt;=5,"▲ あと少し","× 未充足"))</f>
        <v>▲ あと少し</v>
      </c>
      <c r="H10" s="27" t="s">
        <v>3581</v>
      </c>
    </row>
    <row r="11" spans="1:13">
      <c r="E11" s="21" t="s">
        <v>3582</v>
      </c>
      <c r="F11" s="29">
        <f>COUNTIFS(進捗一覧!$B$4:$B$337,"設計タスク",進捗一覧!$H$4:$H$337,"外部待ち")</f>
        <v>1</v>
      </c>
      <c r="G11" s="29" t="str">
        <f>IF(F11=0,"● 充足",IF(F11&lt;=5,"▲ あと少し","× 未充足"))</f>
        <v>▲ あと少し</v>
      </c>
      <c r="H11" s="27" t="s">
        <v>3583</v>
      </c>
    </row>
    <row r="12" spans="1:13">
      <c r="E12" s="25" t="s">
        <v>3584</v>
      </c>
      <c r="F12" s="126">
        <f>COUNTIFS(進捗一覧!$B$4:$B$337,"顧客確認",進捗一覧!$H$4:$H$337,"外部待ち")+COUNTIFS(進捗一覧!$B$4:$B$337,"機能要件",進捗一覧!$H$4:$H$337,"外部待ち")+COUNTIFS(進捗一覧!$B$4:$B$337,"非機能要件",進捗一覧!$H$4:$H$337,"外部待ち")</f>
        <v>147</v>
      </c>
      <c r="G12" s="126" t="str">
        <f>IF(F12=0,"● 充足",IF(F12&lt;=5,"▲ あと少し","× 未充足"))</f>
        <v>× 未充足</v>
      </c>
      <c r="H12" s="28" t="s">
        <v>3585</v>
      </c>
    </row>
    <row r="14" spans="1:13">
      <c r="A14" s="4" t="s">
        <v>3586</v>
      </c>
      <c r="J14" s="4" t="s">
        <v>3587</v>
      </c>
    </row>
    <row r="15" spans="1:13">
      <c r="A15" s="18" t="s">
        <v>3588</v>
      </c>
      <c r="B15" s="19" t="s">
        <v>2198</v>
      </c>
      <c r="C15" s="19" t="s">
        <v>2199</v>
      </c>
      <c r="D15" s="20" t="s">
        <v>2200</v>
      </c>
      <c r="J15" s="18" t="s">
        <v>2439</v>
      </c>
      <c r="K15" s="19" t="s">
        <v>2198</v>
      </c>
      <c r="L15" s="19" t="s">
        <v>2440</v>
      </c>
      <c r="M15" s="20" t="s">
        <v>2441</v>
      </c>
    </row>
    <row r="16" spans="1:13">
      <c r="A16" s="21" t="s">
        <v>3453</v>
      </c>
      <c r="B16" s="29">
        <f>COUNTIF(進捗一覧!$C$4:$C$337,$A16)</f>
        <v>18</v>
      </c>
      <c r="C16" s="29">
        <f>COUNTIFS(進捗一覧!$C$4:$C$337,$A16,進捗一覧!$H$4:$H$337,"確定")</f>
        <v>5</v>
      </c>
      <c r="D16" s="158">
        <f>COUNTIFS(進捗一覧!$C$4:$C$337,$A16,進捗一覧!$H$4:$H$337,"方向性確定（条件付き）")</f>
        <v>0</v>
      </c>
      <c r="E16">
        <f>COUNTIFS(進捗一覧!$C$4:$C$337,$A16,進捗一覧!$H$4:$H$337,"検討中")</f>
        <v>2</v>
      </c>
      <c r="F16">
        <f>COUNTIFS(進捗一覧!$C$4:$C$337,$A16,進捗一覧!$H$4:$H$337,"外部待ち")</f>
        <v>8</v>
      </c>
      <c r="G16">
        <f>COUNTIFS(進捗一覧!$C$4:$C$337,$A16,進捗一覧!$H$4:$H$337,"対象外")</f>
        <v>3</v>
      </c>
      <c r="J16" s="21" t="s">
        <v>3452</v>
      </c>
      <c r="K16" s="29">
        <f>COUNTIF(進捗一覧!$A$4:$A$337,$J16)</f>
        <v>232</v>
      </c>
      <c r="L16" s="29">
        <f>COUNTIFS(進捗一覧!$A$4:$A$337,$J16,進捗一覧!$H$4:$H$337,"検討中")+COUNTIFS(進捗一覧!$A$4:$A$337,$J16,進捗一覧!$H$4:$H$337,"外部待ち")</f>
        <v>165</v>
      </c>
      <c r="M16" s="27" t="s">
        <v>3589</v>
      </c>
    </row>
    <row r="17" spans="1:14">
      <c r="A17" s="21" t="s">
        <v>3456</v>
      </c>
      <c r="B17" s="29">
        <f>COUNTIF(進捗一覧!$C$4:$C$337,$A17)</f>
        <v>25</v>
      </c>
      <c r="C17" s="29">
        <f>COUNTIFS(進捗一覧!$C$4:$C$337,$A17,進捗一覧!$H$4:$H$337,"確定")</f>
        <v>3</v>
      </c>
      <c r="D17" s="158">
        <f>COUNTIFS(進捗一覧!$C$4:$C$337,$A17,進捗一覧!$H$4:$H$337,"方向性確定（条件付き）")</f>
        <v>0</v>
      </c>
      <c r="E17">
        <f>COUNTIFS(進捗一覧!$C$4:$C$337,$A17,進捗一覧!$H$4:$H$337,"検討中")</f>
        <v>5</v>
      </c>
      <c r="F17">
        <f>COUNTIFS(進捗一覧!$C$4:$C$337,$A17,進捗一覧!$H$4:$H$337,"外部待ち")</f>
        <v>15</v>
      </c>
      <c r="G17">
        <f>COUNTIFS(進捗一覧!$C$4:$C$337,$A17,進捗一覧!$H$4:$H$337,"対象外")</f>
        <v>2</v>
      </c>
      <c r="J17" s="21" t="s">
        <v>3472</v>
      </c>
      <c r="K17" s="29">
        <f>COUNTIF(進捗一覧!$A$4:$A$337,$J17)</f>
        <v>102</v>
      </c>
      <c r="L17" s="29">
        <f>COUNTIFS(進捗一覧!$A$4:$A$337,$J17,進捗一覧!$H$4:$H$337,"検討中")+COUNTIFS(進捗一覧!$A$4:$A$337,$J17,進捗一覧!$H$4:$H$337,"外部待ち")</f>
        <v>76</v>
      </c>
      <c r="M17" s="27" t="s">
        <v>3590</v>
      </c>
    </row>
    <row r="18" spans="1:14">
      <c r="A18" s="21" t="s">
        <v>3458</v>
      </c>
      <c r="B18" s="29">
        <f>COUNTIF(進捗一覧!$C$4:$C$337,$A18)</f>
        <v>14</v>
      </c>
      <c r="C18" s="29">
        <f>COUNTIFS(進捗一覧!$C$4:$C$337,$A18,進捗一覧!$H$4:$H$337,"確定")</f>
        <v>3</v>
      </c>
      <c r="D18" s="158">
        <f>COUNTIFS(進捗一覧!$C$4:$C$337,$A18,進捗一覧!$H$4:$H$337,"方向性確定（条件付き）")</f>
        <v>0</v>
      </c>
      <c r="E18">
        <f>COUNTIFS(進捗一覧!$C$4:$C$337,$A18,進捗一覧!$H$4:$H$337,"検討中")</f>
        <v>1</v>
      </c>
      <c r="F18">
        <f>COUNTIFS(進捗一覧!$C$4:$C$337,$A18,進捗一覧!$H$4:$H$337,"外部待ち")</f>
        <v>10</v>
      </c>
      <c r="G18">
        <f>COUNTIFS(進捗一覧!$C$4:$C$337,$A18,進捗一覧!$H$4:$H$337,"対象外")</f>
        <v>0</v>
      </c>
      <c r="J18" s="23" t="s">
        <v>3486</v>
      </c>
      <c r="K18" s="30">
        <f>SUM(K16:K17)</f>
        <v>334</v>
      </c>
      <c r="L18" s="30">
        <f>SUM(L16:L17)</f>
        <v>241</v>
      </c>
      <c r="M18" s="173"/>
      <c r="N18" s="48" t="str">
        <f>IF(K18=COUNTA(進捗一覧!$P$4:$P$337),"✓ 明細行数と一致","⚠ 不一致")</f>
        <v>✓ 明細行数と一致</v>
      </c>
    </row>
    <row r="19" spans="1:14">
      <c r="A19" s="21" t="s">
        <v>3459</v>
      </c>
      <c r="B19" s="29">
        <f>COUNTIF(進捗一覧!$C$4:$C$337,$A19)</f>
        <v>17</v>
      </c>
      <c r="C19" s="29">
        <f>COUNTIFS(進捗一覧!$C$4:$C$337,$A19,進捗一覧!$H$4:$H$337,"確定")</f>
        <v>1</v>
      </c>
      <c r="D19" s="29">
        <f>COUNTIFS(進捗一覧!$C$4:$C$337,$A19,進捗一覧!$H$4:$H$337,"方向性確定（条件付き）")</f>
        <v>0</v>
      </c>
      <c r="E19" s="163">
        <f>COUNTIFS(進捗一覧!$C$4:$C$337,$A19,進捗一覧!$H$4:$H$337,"検討中")</f>
        <v>1</v>
      </c>
      <c r="F19" s="163">
        <f>COUNTIFS(進捗一覧!$C$4:$C$337,$A19,進捗一覧!$H$4:$H$337,"外部待ち")</f>
        <v>15</v>
      </c>
      <c r="G19" s="163">
        <f>COUNTIFS(進捗一覧!$C$4:$C$337,$A19,進捗一覧!$H$4:$H$337,"対象外")</f>
        <v>0</v>
      </c>
      <c r="H19" s="164"/>
    </row>
    <row r="20" spans="1:14">
      <c r="A20" s="21" t="s">
        <v>3455</v>
      </c>
      <c r="B20" s="29">
        <f>COUNTIF(進捗一覧!$C$4:$C$337,$A20)</f>
        <v>18</v>
      </c>
      <c r="C20" s="29">
        <f>COUNTIFS(進捗一覧!$C$4:$C$337,$A20,進捗一覧!$H$4:$H$337,"確定")</f>
        <v>4</v>
      </c>
      <c r="D20" s="29">
        <f>COUNTIFS(進捗一覧!$C$4:$C$337,$A20,進捗一覧!$H$4:$H$337,"方向性確定（条件付き）")</f>
        <v>0</v>
      </c>
      <c r="E20" s="29">
        <f>COUNTIFS(進捗一覧!$C$4:$C$337,$A20,進捗一覧!$H$4:$H$337,"検討中")</f>
        <v>1</v>
      </c>
      <c r="F20" s="29">
        <f>COUNTIFS(進捗一覧!$C$4:$C$337,$A20,進捗一覧!$H$4:$H$337,"外部待ち")</f>
        <v>9</v>
      </c>
      <c r="G20" s="29">
        <f>COUNTIFS(進捗一覧!$C$4:$C$337,$A20,進捗一覧!$H$4:$H$337,"対象外")</f>
        <v>4</v>
      </c>
      <c r="H20" s="127"/>
    </row>
    <row r="21" spans="1:14">
      <c r="A21" s="21" t="s">
        <v>3460</v>
      </c>
      <c r="B21" s="29">
        <f>COUNTIF(進捗一覧!$C$4:$C$337,$A21)</f>
        <v>27</v>
      </c>
      <c r="C21" s="29">
        <f>COUNTIFS(進捗一覧!$C$4:$C$337,$A21,進捗一覧!$H$4:$H$337,"確定")</f>
        <v>10</v>
      </c>
      <c r="D21" s="29">
        <f>COUNTIFS(進捗一覧!$C$4:$C$337,$A21,進捗一覧!$H$4:$H$337,"方向性確定（条件付き）")</f>
        <v>0</v>
      </c>
      <c r="E21" s="29">
        <f>COUNTIFS(進捗一覧!$C$4:$C$337,$A21,進捗一覧!$H$4:$H$337,"検討中")</f>
        <v>6</v>
      </c>
      <c r="F21" s="29">
        <f>COUNTIFS(進捗一覧!$C$4:$C$337,$A21,進捗一覧!$H$4:$H$337,"外部待ち")</f>
        <v>11</v>
      </c>
      <c r="G21" s="29">
        <f>COUNTIFS(進捗一覧!$C$4:$C$337,$A21,進捗一覧!$H$4:$H$337,"対象外")</f>
        <v>0</v>
      </c>
      <c r="H21" s="127"/>
    </row>
    <row r="22" spans="1:14">
      <c r="A22" s="21" t="s">
        <v>3454</v>
      </c>
      <c r="B22" s="29">
        <f>COUNTIF(進捗一覧!$C$4:$C$337,$A22)</f>
        <v>13</v>
      </c>
      <c r="C22" s="29">
        <f>COUNTIFS(進捗一覧!$C$4:$C$337,$A22,進捗一覧!$H$4:$H$337,"確定")</f>
        <v>3</v>
      </c>
      <c r="D22" s="29">
        <f>COUNTIFS(進捗一覧!$C$4:$C$337,$A22,進捗一覧!$H$4:$H$337,"方向性確定（条件付き）")</f>
        <v>0</v>
      </c>
      <c r="E22" s="29">
        <f>COUNTIFS(進捗一覧!$C$4:$C$337,$A22,進捗一覧!$H$4:$H$337,"検討中")</f>
        <v>1</v>
      </c>
      <c r="F22" s="29">
        <f>COUNTIFS(進捗一覧!$C$4:$C$337,$A22,進捗一覧!$H$4:$H$337,"外部待ち")</f>
        <v>9</v>
      </c>
      <c r="G22" s="29">
        <f>COUNTIFS(進捗一覧!$C$4:$C$337,$A22,進捗一覧!$H$4:$H$337,"対象外")</f>
        <v>0</v>
      </c>
      <c r="H22" s="127"/>
    </row>
    <row r="23" spans="1:14">
      <c r="A23" s="21" t="s">
        <v>3457</v>
      </c>
      <c r="B23" s="29">
        <f>COUNTIF(進捗一覧!$C$4:$C$337,$A23)</f>
        <v>19</v>
      </c>
      <c r="C23" s="29">
        <f>COUNTIFS(進捗一覧!$C$4:$C$337,$A23,進捗一覧!$H$4:$H$337,"確定")</f>
        <v>8</v>
      </c>
      <c r="D23" s="29">
        <f>COUNTIFS(進捗一覧!$C$4:$C$337,$A23,進捗一覧!$H$4:$H$337,"方向性確定（条件付き）")</f>
        <v>1</v>
      </c>
      <c r="E23" s="29">
        <f>COUNTIFS(進捗一覧!$C$4:$C$337,$A23,進捗一覧!$H$4:$H$337,"検討中")</f>
        <v>8</v>
      </c>
      <c r="F23" s="29">
        <f>COUNTIFS(進捗一覧!$C$4:$C$337,$A23,進捗一覧!$H$4:$H$337,"外部待ち")</f>
        <v>2</v>
      </c>
      <c r="G23" s="29">
        <f>COUNTIFS(進捗一覧!$C$4:$C$337,$A23,進捗一覧!$H$4:$H$337,"対象外")</f>
        <v>0</v>
      </c>
      <c r="H23" s="127"/>
    </row>
    <row r="24" spans="1:14">
      <c r="A24" s="21" t="s">
        <v>3474</v>
      </c>
      <c r="B24" s="29">
        <f>COUNTIF(進捗一覧!$C$4:$C$337,$A24)</f>
        <v>13</v>
      </c>
      <c r="C24" s="29">
        <f>COUNTIFS(進捗一覧!$C$4:$C$337,$A24,進捗一覧!$H$4:$H$337,"確定")</f>
        <v>3</v>
      </c>
      <c r="D24" s="29">
        <f>COUNTIFS(進捗一覧!$C$4:$C$337,$A24,進捗一覧!$H$4:$H$337,"方向性確定（条件付き）")</f>
        <v>1</v>
      </c>
      <c r="E24" s="29">
        <f>COUNTIFS(進捗一覧!$C$4:$C$337,$A24,進捗一覧!$H$4:$H$337,"検討中")</f>
        <v>7</v>
      </c>
      <c r="F24" s="29">
        <f>COUNTIFS(進捗一覧!$C$4:$C$337,$A24,進捗一覧!$H$4:$H$337,"外部待ち")</f>
        <v>2</v>
      </c>
      <c r="G24" s="29">
        <f>COUNTIFS(進捗一覧!$C$4:$C$337,$A24,進捗一覧!$H$4:$H$337,"対象外")</f>
        <v>0</v>
      </c>
      <c r="H24" s="127"/>
    </row>
    <row r="25" spans="1:14">
      <c r="A25" s="21" t="s">
        <v>3470</v>
      </c>
      <c r="B25" s="29">
        <f>COUNTIF(進捗一覧!$C$4:$C$337,$A25)</f>
        <v>26</v>
      </c>
      <c r="C25" s="29">
        <f>COUNTIFS(進捗一覧!$C$4:$C$337,$A25,進捗一覧!$H$4:$H$337,"確定")</f>
        <v>4</v>
      </c>
      <c r="D25" s="29">
        <f>COUNTIFS(進捗一覧!$C$4:$C$337,$A25,進捗一覧!$H$4:$H$337,"方向性確定（条件付き）")</f>
        <v>2</v>
      </c>
      <c r="E25" s="29">
        <f>COUNTIFS(進捗一覧!$C$4:$C$337,$A25,進捗一覧!$H$4:$H$337,"検討中")</f>
        <v>8</v>
      </c>
      <c r="F25" s="29">
        <f>COUNTIFS(進捗一覧!$C$4:$C$337,$A25,進捗一覧!$H$4:$H$337,"外部待ち")</f>
        <v>11</v>
      </c>
      <c r="G25" s="29">
        <f>COUNTIFS(進捗一覧!$C$4:$C$337,$A25,進捗一覧!$H$4:$H$337,"対象外")</f>
        <v>1</v>
      </c>
      <c r="H25" s="127" t="s">
        <v>3591</v>
      </c>
    </row>
    <row r="26" spans="1:14">
      <c r="A26" s="21" t="s">
        <v>3465</v>
      </c>
      <c r="B26" s="29">
        <f>COUNTIF(進捗一覧!$C$4:$C$337,$A26)</f>
        <v>23</v>
      </c>
      <c r="C26" s="29">
        <f>COUNTIFS(進捗一覧!$C$4:$C$337,$A26,進捗一覧!$H$4:$H$337,"確定")</f>
        <v>7</v>
      </c>
      <c r="D26" s="29">
        <f>COUNTIFS(進捗一覧!$C$4:$C$337,$A26,進捗一覧!$H$4:$H$337,"方向性確定（条件付き）")</f>
        <v>0</v>
      </c>
      <c r="E26" s="29">
        <f>COUNTIFS(進捗一覧!$C$4:$C$337,$A26,進捗一覧!$H$4:$H$337,"検討中")</f>
        <v>2</v>
      </c>
      <c r="F26" s="29">
        <f>COUNTIFS(進捗一覧!$C$4:$C$337,$A26,進捗一覧!$H$4:$H$337,"外部待ち")</f>
        <v>14</v>
      </c>
      <c r="G26" s="29">
        <f>COUNTIFS(進捗一覧!$C$4:$C$337,$A26,進捗一覧!$H$4:$H$337,"対象外")</f>
        <v>0</v>
      </c>
      <c r="H26" s="127" t="s">
        <v>3592</v>
      </c>
    </row>
    <row r="27" spans="1:14">
      <c r="A27" s="21" t="s">
        <v>3461</v>
      </c>
      <c r="B27" s="29">
        <f>COUNTIF(進捗一覧!$C$4:$C$337,$A27)</f>
        <v>34</v>
      </c>
      <c r="C27" s="29">
        <f>COUNTIFS(進捗一覧!$C$4:$C$337,$A27,進捗一覧!$H$4:$H$337,"確定")</f>
        <v>10</v>
      </c>
      <c r="D27" s="29">
        <f>COUNTIFS(進捗一覧!$C$4:$C$337,$A27,進捗一覧!$H$4:$H$337,"方向性確定（条件付き）")</f>
        <v>0</v>
      </c>
      <c r="E27" s="29">
        <f>COUNTIFS(進捗一覧!$C$4:$C$337,$A27,進捗一覧!$H$4:$H$337,"検討中")</f>
        <v>7</v>
      </c>
      <c r="F27" s="29">
        <f>COUNTIFS(進捗一覧!$C$4:$C$337,$A27,進捗一覧!$H$4:$H$337,"外部待ち")</f>
        <v>16</v>
      </c>
      <c r="G27" s="29">
        <f>COUNTIFS(進捗一覧!$C$4:$C$337,$A27,進捗一覧!$H$4:$H$337,"対象外")</f>
        <v>1</v>
      </c>
      <c r="H27" s="127"/>
    </row>
    <row r="28" spans="1:14">
      <c r="A28" s="21" t="s">
        <v>3467</v>
      </c>
      <c r="B28" s="29">
        <f>COUNTIF(進捗一覧!$C$4:$C$337,$A28)</f>
        <v>29</v>
      </c>
      <c r="C28" s="29">
        <f>COUNTIFS(進捗一覧!$C$4:$C$337,$A28,進捗一覧!$H$4:$H$337,"確定")</f>
        <v>2</v>
      </c>
      <c r="D28" s="29">
        <f>COUNTIFS(進捗一覧!$C$4:$C$337,$A28,進捗一覧!$H$4:$H$337,"方向性確定（条件付き）")</f>
        <v>0</v>
      </c>
      <c r="E28" s="29">
        <f>COUNTIFS(進捗一覧!$C$4:$C$337,$A28,進捗一覧!$H$4:$H$337,"検討中")</f>
        <v>3</v>
      </c>
      <c r="F28" s="29">
        <f>COUNTIFS(進捗一覧!$C$4:$C$337,$A28,進捗一覧!$H$4:$H$337,"外部待ち")</f>
        <v>23</v>
      </c>
      <c r="G28" s="29">
        <f>COUNTIFS(進捗一覧!$C$4:$C$337,$A28,進捗一覧!$H$4:$H$337,"対象外")</f>
        <v>1</v>
      </c>
      <c r="H28" s="127" t="s">
        <v>3593</v>
      </c>
    </row>
    <row r="29" spans="1:14">
      <c r="A29" s="21" t="s">
        <v>3469</v>
      </c>
      <c r="B29" s="29">
        <f>COUNTIF(進捗一覧!$C$4:$C$337,$A29)</f>
        <v>30</v>
      </c>
      <c r="C29" s="29">
        <f>COUNTIFS(進捗一覧!$C$4:$C$337,$A29,進捗一覧!$H$4:$H$337,"確定")</f>
        <v>4</v>
      </c>
      <c r="D29" s="29">
        <f>COUNTIFS(進捗一覧!$C$4:$C$337,$A29,進捗一覧!$H$4:$H$337,"方向性確定（条件付き）")</f>
        <v>0</v>
      </c>
      <c r="E29" s="29">
        <f>COUNTIFS(進捗一覧!$C$4:$C$337,$A29,進捗一覧!$H$4:$H$337,"検討中")</f>
        <v>8</v>
      </c>
      <c r="F29" s="29">
        <f>COUNTIFS(進捗一覧!$C$4:$C$337,$A29,進捗一覧!$H$4:$H$337,"外部待ち")</f>
        <v>17</v>
      </c>
      <c r="G29" s="29">
        <f>COUNTIFS(進捗一覧!$C$4:$C$337,$A29,進捗一覧!$H$4:$H$337,"対象外")</f>
        <v>1</v>
      </c>
      <c r="H29" s="127" t="s">
        <v>3594</v>
      </c>
    </row>
    <row r="30" spans="1:14">
      <c r="A30" s="21" t="s">
        <v>3462</v>
      </c>
      <c r="B30" s="29">
        <f>COUNTIF(進捗一覧!$C$4:$C$337,$A30)</f>
        <v>12</v>
      </c>
      <c r="C30" s="29">
        <f>COUNTIFS(進捗一覧!$C$4:$C$337,$A30,進捗一覧!$H$4:$H$337,"確定")</f>
        <v>4</v>
      </c>
      <c r="D30" s="29">
        <f>COUNTIFS(進捗一覧!$C$4:$C$337,$A30,進捗一覧!$H$4:$H$337,"方向性確定（条件付き）")</f>
        <v>0</v>
      </c>
      <c r="E30" s="29">
        <f>COUNTIFS(進捗一覧!$C$4:$C$337,$A30,進捗一覧!$H$4:$H$337,"検討中")</f>
        <v>7</v>
      </c>
      <c r="F30" s="29">
        <f>COUNTIFS(進捗一覧!$C$4:$C$337,$A30,進捗一覧!$H$4:$H$337,"外部待ち")</f>
        <v>0</v>
      </c>
      <c r="G30" s="29">
        <f>COUNTIFS(進捗一覧!$C$4:$C$337,$A30,進捗一覧!$H$4:$H$337,"対象外")</f>
        <v>1</v>
      </c>
      <c r="H30" s="127" t="s">
        <v>3595</v>
      </c>
    </row>
    <row r="31" spans="1:14">
      <c r="A31" s="21" t="s">
        <v>3464</v>
      </c>
      <c r="B31" s="29">
        <f>COUNTIF(進捗一覧!$C$4:$C$337,$A31)</f>
        <v>7</v>
      </c>
      <c r="C31" s="29">
        <f>COUNTIFS(進捗一覧!$C$4:$C$337,$A31,進捗一覧!$H$4:$H$337,"確定")</f>
        <v>2</v>
      </c>
      <c r="D31" s="29">
        <f>COUNTIFS(進捗一覧!$C$4:$C$337,$A31,進捗一覧!$H$4:$H$337,"方向性確定（条件付き）")</f>
        <v>0</v>
      </c>
      <c r="E31" s="29">
        <f>COUNTIFS(進捗一覧!$C$4:$C$337,$A31,進捗一覧!$H$4:$H$337,"検討中")</f>
        <v>1</v>
      </c>
      <c r="F31" s="29">
        <f>COUNTIFS(進捗一覧!$C$4:$C$337,$A31,進捗一覧!$H$4:$H$337,"外部待ち")</f>
        <v>3</v>
      </c>
      <c r="G31" s="29">
        <f>COUNTIFS(進捗一覧!$C$4:$C$337,$A31,進捗一覧!$H$4:$H$337,"対象外")</f>
        <v>1</v>
      </c>
      <c r="H31" s="127" t="s">
        <v>3596</v>
      </c>
    </row>
    <row r="32" spans="1:14">
      <c r="A32" s="21" t="s">
        <v>3477</v>
      </c>
      <c r="B32" s="29">
        <f>COUNTIF(進捗一覧!$C$4:$C$337,$A32)</f>
        <v>9</v>
      </c>
      <c r="C32" s="29">
        <f>COUNTIFS(進捗一覧!$C$4:$C$337,$A32,進捗一覧!$H$4:$H$337,"確定")</f>
        <v>1</v>
      </c>
      <c r="D32" s="29">
        <f>COUNTIFS(進捗一覧!$C$4:$C$337,$A32,進捗一覧!$H$4:$H$337,"方向性確定（条件付き）")</f>
        <v>0</v>
      </c>
      <c r="E32" s="29">
        <f>COUNTIFS(進捗一覧!$C$4:$C$337,$A32,進捗一覧!$H$4:$H$337,"検討中")</f>
        <v>7</v>
      </c>
      <c r="F32" s="29">
        <f>COUNTIFS(進捗一覧!$C$4:$C$337,$A32,進捗一覧!$H$4:$H$337,"外部待ち")</f>
        <v>1</v>
      </c>
      <c r="G32" s="29">
        <f>COUNTIFS(進捗一覧!$C$4:$C$337,$A32,進捗一覧!$H$4:$H$337,"対象外")</f>
        <v>0</v>
      </c>
      <c r="H32" s="127" t="s">
        <v>3597</v>
      </c>
    </row>
    <row r="33" spans="1:8">
      <c r="A33" s="23" t="s">
        <v>3486</v>
      </c>
      <c r="B33" s="30">
        <f>SUM(B16:B32)</f>
        <v>334</v>
      </c>
      <c r="C33" s="30">
        <f>SUM(C16:C32)</f>
        <v>74</v>
      </c>
      <c r="D33" s="30">
        <f>SUM(D16:D32)</f>
        <v>4</v>
      </c>
      <c r="E33" s="30">
        <f>SUM(E16:E32)</f>
        <v>75</v>
      </c>
      <c r="F33" s="30">
        <f>SUM(F16:F32)</f>
        <v>166</v>
      </c>
      <c r="G33" s="30">
        <f>SUM(G16:G32)</f>
        <v>15</v>
      </c>
      <c r="H33" s="28"/>
    </row>
    <row r="36" spans="1:8">
      <c r="A36" s="4" t="s">
        <v>3598</v>
      </c>
    </row>
    <row r="37" spans="1:8">
      <c r="A37" s="18" t="s">
        <v>3599</v>
      </c>
      <c r="B37" s="19" t="s">
        <v>3600</v>
      </c>
      <c r="C37" s="19" t="s">
        <v>3601</v>
      </c>
      <c r="D37" s="19" t="s">
        <v>3533</v>
      </c>
      <c r="E37" s="20" t="s">
        <v>3602</v>
      </c>
    </row>
    <row r="38" spans="1:8">
      <c r="A38" s="21" t="s">
        <v>3603</v>
      </c>
      <c r="B38" s="191">
        <v>812</v>
      </c>
      <c r="C38" s="22" t="s">
        <v>3604</v>
      </c>
      <c r="D38" s="29">
        <v>412</v>
      </c>
      <c r="E38" s="27" t="s">
        <v>7196</v>
      </c>
    </row>
    <row r="39" spans="1:8">
      <c r="A39" s="21" t="s">
        <v>3605</v>
      </c>
      <c r="B39" s="191">
        <v>441</v>
      </c>
      <c r="C39" s="22" t="s">
        <v>3606</v>
      </c>
      <c r="D39" s="29">
        <v>64</v>
      </c>
      <c r="E39" s="27" t="s">
        <v>6214</v>
      </c>
      <c r="F39" s="53" t="s">
        <v>6215</v>
      </c>
    </row>
    <row r="40" spans="1:8">
      <c r="A40" s="21" t="s">
        <v>3607</v>
      </c>
      <c r="B40" s="191">
        <v>743</v>
      </c>
      <c r="C40" s="22" t="s">
        <v>3606</v>
      </c>
      <c r="D40" s="29">
        <v>113</v>
      </c>
      <c r="E40" s="27" t="s">
        <v>6029</v>
      </c>
      <c r="F40" s="53" t="s">
        <v>6216</v>
      </c>
    </row>
    <row r="41" spans="1:8">
      <c r="A41" s="21" t="s">
        <v>3608</v>
      </c>
      <c r="B41" s="191">
        <v>421</v>
      </c>
      <c r="C41" s="22" t="s">
        <v>3609</v>
      </c>
      <c r="D41" s="29">
        <v>50</v>
      </c>
      <c r="E41" s="27" t="s">
        <v>5775</v>
      </c>
    </row>
    <row r="42" spans="1:8">
      <c r="A42" s="168" t="s">
        <v>3610</v>
      </c>
      <c r="B42" s="192">
        <f>B39+B40+B41</f>
        <v>1605</v>
      </c>
      <c r="C42" s="193" t="s">
        <v>3611</v>
      </c>
      <c r="D42" s="162"/>
      <c r="E42" s="169"/>
    </row>
    <row r="43" spans="1:8">
      <c r="A43" s="23" t="s">
        <v>3612</v>
      </c>
      <c r="B43" s="194">
        <v>2417</v>
      </c>
      <c r="C43" s="24" t="s">
        <v>3611</v>
      </c>
      <c r="D43" s="30"/>
      <c r="E43" s="173"/>
      <c r="F43" s="48" t="s">
        <v>7004</v>
      </c>
    </row>
    <row r="44" spans="1:8">
      <c r="A44" s="362" t="s">
        <v>7197</v>
      </c>
    </row>
    <row r="45" spans="1:8">
      <c r="A45" s="289" t="s">
        <v>7002</v>
      </c>
    </row>
    <row r="46" spans="1:8">
      <c r="A46" s="363" t="s">
        <v>5954</v>
      </c>
    </row>
    <row r="47" spans="1:8">
      <c r="A47" s="48" t="s">
        <v>7003</v>
      </c>
    </row>
  </sheetData>
  <phoneticPr fontId="2"/>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BFC191-A146-6648-A191-216A723F89D0}">
  <dimension ref="A1:K81"/>
  <sheetViews>
    <sheetView topLeftCell="A61" zoomScale="132" workbookViewId="0">
      <selection activeCell="B31" sqref="B31"/>
    </sheetView>
  </sheetViews>
  <sheetFormatPr baseColWidth="10" defaultRowHeight="18"/>
  <cols>
    <col min="1" max="1" width="38.5703125" style="32" customWidth="1"/>
    <col min="2" max="2" width="24.28515625" style="32" customWidth="1"/>
    <col min="3" max="3" width="74.28515625" style="32" customWidth="1"/>
    <col min="4" max="4" width="24.28515625" style="32" customWidth="1"/>
    <col min="5" max="5" width="10.7109375" style="32"/>
    <col min="6" max="7" width="11.42578125" style="32" customWidth="1"/>
    <col min="8" max="16384" width="10.7109375" style="32"/>
  </cols>
  <sheetData>
    <row r="1" spans="1:10" ht="22">
      <c r="A1" s="31" t="s">
        <v>3482</v>
      </c>
    </row>
    <row r="2" spans="1:10">
      <c r="A2" s="34" t="s">
        <v>3483</v>
      </c>
    </row>
    <row r="3" spans="1:10">
      <c r="A3" s="35" t="s">
        <v>3484</v>
      </c>
    </row>
    <row r="5" spans="1:10">
      <c r="A5" s="84" t="s">
        <v>3485</v>
      </c>
    </row>
    <row r="6" spans="1:10">
      <c r="A6" s="58" t="s">
        <v>2204</v>
      </c>
      <c r="B6" s="59" t="s">
        <v>2198</v>
      </c>
      <c r="C6" s="59" t="s">
        <v>2199</v>
      </c>
      <c r="D6" s="59" t="s">
        <v>2200</v>
      </c>
      <c r="E6" s="59" t="s">
        <v>2201</v>
      </c>
      <c r="F6" s="60" t="s">
        <v>2202</v>
      </c>
      <c r="G6" s="147" t="s">
        <v>1072</v>
      </c>
    </row>
    <row r="7" spans="1:10">
      <c r="A7" s="85" t="s">
        <v>2195</v>
      </c>
      <c r="B7" s="86">
        <f>COUNTIF(進捗一覧!$B$4:$B$337,$A7)</f>
        <v>99</v>
      </c>
      <c r="C7" s="86">
        <f>COUNTIFS(進捗一覧!$B$4:$B$337,$A7,進捗一覧!$H$4:$H$337,"確定")</f>
        <v>28</v>
      </c>
      <c r="D7" s="86">
        <f>COUNTIFS(進捗一覧!$B$4:$B$337,$A7,進捗一覧!$H$4:$H$337,"方向性確定（条件付き）")</f>
        <v>1</v>
      </c>
      <c r="E7" s="86">
        <f>COUNTIFS(進捗一覧!$B$4:$B$337,$A7,進捗一覧!$H$4:$H$337,"検討中")</f>
        <v>4</v>
      </c>
      <c r="F7" s="144">
        <f>COUNTIFS(進捗一覧!$B$4:$B$337,$A7,進捗一覧!$H$4:$H$337,"外部待ち")</f>
        <v>59</v>
      </c>
      <c r="G7" s="148">
        <f>COUNTIFS(進捗一覧!$B$4:$B$337,$A7,進捗一覧!$H$4:$H$337,"対象外")</f>
        <v>7</v>
      </c>
    </row>
    <row r="8" spans="1:10">
      <c r="A8" s="85" t="s">
        <v>2196</v>
      </c>
      <c r="B8" s="86">
        <f>COUNTIF(進捗一覧!$B$4:$B$337,$A8)</f>
        <v>99</v>
      </c>
      <c r="C8" s="86">
        <f>COUNTIFS(進捗一覧!$B$4:$B$337,$A8,進捗一覧!$H$4:$H$337,"確定")</f>
        <v>26</v>
      </c>
      <c r="D8" s="86">
        <f>COUNTIFS(進捗一覧!$B$4:$B$337,$A8,進捗一覧!$H$4:$H$337,"方向性確定（条件付き）")</f>
        <v>0</v>
      </c>
      <c r="E8" s="86">
        <f>COUNTIFS(進捗一覧!$B$4:$B$337,$A8,進捗一覧!$H$4:$H$337,"検討中")</f>
        <v>11</v>
      </c>
      <c r="F8" s="144">
        <f>COUNTIFS(進捗一覧!$B$4:$B$337,$A8,進捗一覧!$H$4:$H$337,"外部待ち")</f>
        <v>59</v>
      </c>
      <c r="G8" s="148">
        <f>COUNTIFS(進捗一覧!$B$4:$B$337,$A8,進捗一覧!$H$4:$H$337,"対象外")</f>
        <v>3</v>
      </c>
    </row>
    <row r="9" spans="1:10">
      <c r="A9" s="85" t="s">
        <v>3473</v>
      </c>
      <c r="B9" s="86">
        <f>COUNTIF(進捗一覧!$B$4:$B$337,$A9)</f>
        <v>22</v>
      </c>
      <c r="C9" s="86">
        <f>COUNTIFS(進捗一覧!$B$4:$B$337,$A9,進捗一覧!$H$4:$H$337,"確定")</f>
        <v>9</v>
      </c>
      <c r="D9" s="86">
        <f>COUNTIFS(進捗一覧!$B$4:$B$337,$A9,進捗一覧!$H$4:$H$337,"方向性確定（条件付き）")</f>
        <v>2</v>
      </c>
      <c r="E9" s="86">
        <f>COUNTIFS(進捗一覧!$B$4:$B$337,$A9,進捗一覧!$H$4:$H$337,"検討中")</f>
        <v>1</v>
      </c>
      <c r="F9" s="144">
        <f>COUNTIFS(進捗一覧!$B$4:$B$337,$A9,進捗一覧!$H$4:$H$337,"外部待ち")</f>
        <v>10</v>
      </c>
      <c r="G9" s="148">
        <f>COUNTIFS(進捗一覧!$B$4:$B$337,$A9,進捗一覧!$H$4:$H$337,"対象外")</f>
        <v>0</v>
      </c>
    </row>
    <row r="10" spans="1:10">
      <c r="A10" s="85" t="s">
        <v>3475</v>
      </c>
      <c r="B10" s="86">
        <f>COUNTIF(進捗一覧!$B$4:$B$337,$A10)</f>
        <v>13</v>
      </c>
      <c r="C10" s="86">
        <f>COUNTIFS(進捗一覧!$B$4:$B$337,$A10,進捗一覧!$H$4:$H$337,"確定")</f>
        <v>0</v>
      </c>
      <c r="D10" s="86">
        <f>COUNTIFS(進捗一覧!$B$4:$B$337,$A10,進捗一覧!$H$4:$H$337,"方向性確定（条件付き）")</f>
        <v>1</v>
      </c>
      <c r="E10" s="86">
        <f>COUNTIFS(進捗一覧!$B$4:$B$337,$A10,進捗一覧!$H$4:$H$337,"検討中")</f>
        <v>3</v>
      </c>
      <c r="F10" s="144">
        <f>COUNTIFS(進捗一覧!$B$4:$B$337,$A10,進捗一覧!$H$4:$H$337,"外部待ち")</f>
        <v>8</v>
      </c>
      <c r="G10" s="148">
        <f>COUNTIFS(進捗一覧!$B$4:$B$337,$A10,進捗一覧!$H$4:$H$337,"対象外")</f>
        <v>1</v>
      </c>
    </row>
    <row r="11" spans="1:10">
      <c r="A11" s="85" t="s">
        <v>6042</v>
      </c>
      <c r="B11" s="86">
        <f>COUNTIF(進捗一覧!$B$4:$B$337,$A11)</f>
        <v>0</v>
      </c>
      <c r="C11" s="86">
        <f>COUNTIFS(進捗一覧!$B$4:$B$337,$A11,進捗一覧!$H$4:$H$337,"確定")</f>
        <v>0</v>
      </c>
      <c r="D11" s="86">
        <f>COUNTIFS(進捗一覧!$B$4:$B$337,$A11,進捗一覧!$H$4:$H$337,"方向性確定（条件付き）")</f>
        <v>0</v>
      </c>
      <c r="E11" s="86">
        <f>COUNTIFS(進捗一覧!$B$4:$B$337,$A11,進捗一覧!$H$4:$H$337,"検討中")</f>
        <v>0</v>
      </c>
      <c r="F11" s="144">
        <f>COUNTIFS(進捗一覧!$B$4:$B$337,$A11,進捗一覧!$H$4:$H$337,"外部待ち")</f>
        <v>0</v>
      </c>
      <c r="G11" s="148">
        <f>COUNTIFS(進捗一覧!$B$4:$B$337,$A11,進捗一覧!$H$4:$H$337,"対象外")</f>
        <v>0</v>
      </c>
      <c r="H11" s="290" t="s">
        <v>6043</v>
      </c>
    </row>
    <row r="12" spans="1:10">
      <c r="A12" s="114" t="s">
        <v>3471</v>
      </c>
      <c r="B12" s="88">
        <f>COUNTIF(進捗一覧!$B$4:$B$337,$A12)</f>
        <v>34</v>
      </c>
      <c r="C12" s="88">
        <f>COUNTIFS(進捗一覧!$B$4:$B$337,$A12,進捗一覧!$H$4:$H$337,"確定")</f>
        <v>1</v>
      </c>
      <c r="D12" s="88">
        <f>COUNTIFS(進捗一覧!$B$4:$B$337,$A12,進捗一覧!$H$4:$H$337,"方向性確定（条件付き）")</f>
        <v>0</v>
      </c>
      <c r="E12" s="88">
        <f>COUNTIFS(進捗一覧!$B$4:$B$337,$A12,進捗一覧!$H$4:$H$337,"検討中")</f>
        <v>3</v>
      </c>
      <c r="F12" s="145">
        <f>COUNTIFS(進捗一覧!$B$4:$B$337,$A12,進捗一覧!$H$4:$H$337,"外部待ち")</f>
        <v>29</v>
      </c>
      <c r="G12" s="146">
        <f>COUNTIFS(進捗一覧!$B$4:$B$337,$A12,進捗一覧!$H$4:$H$337,"対象外")</f>
        <v>1</v>
      </c>
    </row>
    <row r="13" spans="1:10">
      <c r="A13" s="87" t="s">
        <v>3486</v>
      </c>
      <c r="B13" s="149">
        <f>SUM(B7:B12)</f>
        <v>267</v>
      </c>
      <c r="C13" s="149">
        <f>SUM(C7:C12)</f>
        <v>64</v>
      </c>
      <c r="D13" s="149">
        <f>SUM(D7:D12)</f>
        <v>4</v>
      </c>
      <c r="E13" s="149">
        <f>SUM(E7:E12)</f>
        <v>22</v>
      </c>
      <c r="F13" s="150">
        <f>SUM(F7:F12)</f>
        <v>165</v>
      </c>
      <c r="G13" s="149">
        <f>SUM(G7:G12)</f>
        <v>12</v>
      </c>
      <c r="H13" s="61" t="str">
        <f>IF(B13=COUNTA(進捗一覧!$P$4:$P$337),"✓ 明細行数と一致","⚠ 不一致")</f>
        <v>⚠ 不一致</v>
      </c>
    </row>
    <row r="15" spans="1:10">
      <c r="A15" s="84" t="s">
        <v>3487</v>
      </c>
      <c r="B15" s="59" t="s">
        <v>3488</v>
      </c>
      <c r="C15" s="59" t="s">
        <v>2205</v>
      </c>
      <c r="D15" s="59" t="s">
        <v>2198</v>
      </c>
      <c r="E15" s="59" t="s">
        <v>2199</v>
      </c>
      <c r="F15" s="59" t="s">
        <v>2200</v>
      </c>
      <c r="G15" s="59" t="s">
        <v>2201</v>
      </c>
      <c r="H15" s="60" t="s">
        <v>2202</v>
      </c>
    </row>
    <row r="16" spans="1:10">
      <c r="A16" s="58" t="s">
        <v>3489</v>
      </c>
      <c r="B16" s="152" t="s">
        <v>2204</v>
      </c>
      <c r="C16" s="152" t="s">
        <v>2205</v>
      </c>
      <c r="D16" s="151" t="s">
        <v>2198</v>
      </c>
      <c r="E16" s="151" t="s">
        <v>2199</v>
      </c>
      <c r="F16" s="151" t="s">
        <v>2200</v>
      </c>
      <c r="G16" s="151" t="s">
        <v>2201</v>
      </c>
      <c r="H16" s="153" t="s">
        <v>2202</v>
      </c>
      <c r="I16" s="32" t="s">
        <v>6039</v>
      </c>
      <c r="J16" s="32" t="s">
        <v>6040</v>
      </c>
    </row>
    <row r="17" spans="1:8">
      <c r="A17" s="85" t="s">
        <v>3490</v>
      </c>
      <c r="B17" s="89" t="s">
        <v>2195</v>
      </c>
      <c r="C17" s="89" t="s">
        <v>2206</v>
      </c>
      <c r="D17" s="90">
        <f>COUNTIFS(進捗一覧!$B$4:$B$337,$B17,進捗一覧!$P$4:$P$337,$C17)</f>
        <v>16</v>
      </c>
      <c r="E17" s="90">
        <f>COUNTIFS(進捗一覧!$B$4:$B$337,$B17,進捗一覧!$P$4:$P$337,$C17,進捗一覧!$H$4:$H$337,"確定")</f>
        <v>5</v>
      </c>
      <c r="F17" s="90">
        <f>COUNTIFS(進捗一覧!$B$4:$B$337,$B17,進捗一覧!$P$4:$P$337,$C17,進捗一覧!$H$4:$H$337,"方向性確定（条件付き）")</f>
        <v>0</v>
      </c>
      <c r="G17" s="90">
        <f>COUNTIFS(進捗一覧!$B$4:$B$337,$B17,進捗一覧!$P$4:$P$337,$C17,進捗一覧!$H$4:$H$337,"検討中")</f>
        <v>0</v>
      </c>
      <c r="H17" s="154">
        <f>COUNTIFS(進捗一覧!$B$4:$B$337,$B17,進捗一覧!$P$4:$P$337,$C17,進捗一覧!$H$4:$H$337,"外部待ち")</f>
        <v>8</v>
      </c>
    </row>
    <row r="18" spans="1:8">
      <c r="A18" s="85" t="s">
        <v>3491</v>
      </c>
      <c r="B18" s="89" t="s">
        <v>2195</v>
      </c>
      <c r="C18" s="89" t="s">
        <v>2207</v>
      </c>
      <c r="D18" s="90">
        <f>COUNTIFS(進捗一覧!$B$4:$B$337,$B18,進捗一覧!$P$4:$P$337,$C18)</f>
        <v>17</v>
      </c>
      <c r="E18" s="90">
        <f>COUNTIFS(進捗一覧!$B$4:$B$337,$B18,進捗一覧!$P$4:$P$337,$C18,進捗一覧!$H$4:$H$337,"確定")</f>
        <v>3</v>
      </c>
      <c r="F18" s="90">
        <f>COUNTIFS(進捗一覧!$B$4:$B$337,$B18,進捗一覧!$P$4:$P$337,$C18,進捗一覧!$H$4:$H$337,"方向性確定（条件付き）")</f>
        <v>0</v>
      </c>
      <c r="G18" s="90">
        <f>COUNTIFS(進捗一覧!$B$4:$B$337,$B18,進捗一覧!$P$4:$P$337,$C18,進捗一覧!$H$4:$H$337,"検討中")</f>
        <v>0</v>
      </c>
      <c r="H18" s="154">
        <f>COUNTIFS(進捗一覧!$B$4:$B$337,$B18,進捗一覧!$P$4:$P$337,$C18,進捗一覧!$H$4:$H$337,"外部待ち")</f>
        <v>14</v>
      </c>
    </row>
    <row r="19" spans="1:8">
      <c r="A19" s="85" t="s">
        <v>3492</v>
      </c>
      <c r="B19" s="89" t="s">
        <v>2195</v>
      </c>
      <c r="C19" s="89" t="s">
        <v>2208</v>
      </c>
      <c r="D19" s="90">
        <f>COUNTIFS(進捗一覧!$B$4:$B$337,$B19,進捗一覧!$P$4:$P$337,$C19)</f>
        <v>11</v>
      </c>
      <c r="E19" s="90">
        <f>COUNTIFS(進捗一覧!$B$4:$B$337,$B19,進捗一覧!$P$4:$P$337,$C19,進捗一覧!$H$4:$H$337,"確定")</f>
        <v>3</v>
      </c>
      <c r="F19" s="90">
        <f>COUNTIFS(進捗一覧!$B$4:$B$337,$B19,進捗一覧!$P$4:$P$337,$C19,進捗一覧!$H$4:$H$337,"方向性確定（条件付き）")</f>
        <v>0</v>
      </c>
      <c r="G19" s="90">
        <f>COUNTIFS(進捗一覧!$B$4:$B$337,$B19,進捗一覧!$P$4:$P$337,$C19,進捗一覧!$H$4:$H$337,"検討中")</f>
        <v>0</v>
      </c>
      <c r="H19" s="154">
        <f>COUNTIFS(進捗一覧!$B$4:$B$337,$B19,進捗一覧!$P$4:$P$337,$C19,進捗一覧!$H$4:$H$337,"外部待ち")</f>
        <v>8</v>
      </c>
    </row>
    <row r="20" spans="1:8">
      <c r="A20" s="85" t="s">
        <v>3493</v>
      </c>
      <c r="B20" s="89" t="s">
        <v>2195</v>
      </c>
      <c r="C20" s="89" t="s">
        <v>2209</v>
      </c>
      <c r="D20" s="90">
        <f>COUNTIFS(進捗一覧!$B$4:$B$337,$B20,進捗一覧!$P$4:$P$337,$C20)</f>
        <v>11</v>
      </c>
      <c r="E20" s="90">
        <f>COUNTIFS(進捗一覧!$B$4:$B$337,$B20,進捗一覧!$P$4:$P$337,$C20,進捗一覧!$H$4:$H$337,"確定")</f>
        <v>1</v>
      </c>
      <c r="F20" s="90">
        <f>COUNTIFS(進捗一覧!$B$4:$B$337,$B20,進捗一覧!$P$4:$P$337,$C20,進捗一覧!$H$4:$H$337,"方向性確定（条件付き）")</f>
        <v>0</v>
      </c>
      <c r="G20" s="90">
        <f>COUNTIFS(進捗一覧!$B$4:$B$337,$B20,進捗一覧!$P$4:$P$337,$C20,進捗一覧!$H$4:$H$337,"検討中")</f>
        <v>0</v>
      </c>
      <c r="H20" s="154">
        <f>COUNTIFS(進捗一覧!$B$4:$B$337,$B20,進捗一覧!$P$4:$P$337,$C20,進捗一覧!$H$4:$H$337,"外部待ち")</f>
        <v>10</v>
      </c>
    </row>
    <row r="21" spans="1:8">
      <c r="A21" s="85" t="s">
        <v>3494</v>
      </c>
      <c r="B21" s="89" t="s">
        <v>2195</v>
      </c>
      <c r="C21" s="89" t="s">
        <v>2210</v>
      </c>
      <c r="D21" s="90">
        <f>COUNTIFS(進捗一覧!$B$4:$B$337,$B21,進捗一覧!$P$4:$P$337,$C21)</f>
        <v>10</v>
      </c>
      <c r="E21" s="90">
        <f>COUNTIFS(進捗一覧!$B$4:$B$337,$B21,進捗一覧!$P$4:$P$337,$C21,進捗一覧!$H$4:$H$337,"確定")</f>
        <v>3</v>
      </c>
      <c r="F21" s="90">
        <f>COUNTIFS(進捗一覧!$B$4:$B$337,$B21,進捗一覧!$P$4:$P$337,$C21,進捗一覧!$H$4:$H$337,"方向性確定（条件付き）")</f>
        <v>0</v>
      </c>
      <c r="G21" s="90">
        <f>COUNTIFS(進捗一覧!$B$4:$B$337,$B21,進捗一覧!$P$4:$P$337,$C21,進捗一覧!$H$4:$H$337,"検討中")</f>
        <v>0</v>
      </c>
      <c r="H21" s="154">
        <f>COUNTIFS(進捗一覧!$B$4:$B$337,$B21,進捗一覧!$P$4:$P$337,$C21,進捗一覧!$H$4:$H$337,"外部待ち")</f>
        <v>3</v>
      </c>
    </row>
    <row r="22" spans="1:8">
      <c r="A22" s="85" t="s">
        <v>3495</v>
      </c>
      <c r="B22" s="89" t="s">
        <v>2195</v>
      </c>
      <c r="C22" s="89" t="s">
        <v>2211</v>
      </c>
      <c r="D22" s="90">
        <f>COUNTIFS(進捗一覧!$B$4:$B$337,$B22,進捗一覧!$P$4:$P$337,$C22)</f>
        <v>12</v>
      </c>
      <c r="E22" s="90">
        <f>COUNTIFS(進捗一覧!$B$4:$B$337,$B22,進捗一覧!$P$4:$P$337,$C22,進捗一覧!$H$4:$H$337,"確定")</f>
        <v>5</v>
      </c>
      <c r="F22" s="90">
        <f>COUNTIFS(進捗一覧!$B$4:$B$337,$B22,進捗一覧!$P$4:$P$337,$C22,進捗一覧!$H$4:$H$337,"方向性確定（条件付き）")</f>
        <v>0</v>
      </c>
      <c r="G22" s="90">
        <f>COUNTIFS(進捗一覧!$B$4:$B$337,$B22,進捗一覧!$P$4:$P$337,$C22,進捗一覧!$H$4:$H$337,"検討中")</f>
        <v>1</v>
      </c>
      <c r="H22" s="154">
        <f>COUNTIFS(進捗一覧!$B$4:$B$337,$B22,進捗一覧!$P$4:$P$337,$C22,進捗一覧!$H$4:$H$337,"外部待ち")</f>
        <v>6</v>
      </c>
    </row>
    <row r="23" spans="1:8">
      <c r="A23" s="85" t="s">
        <v>3496</v>
      </c>
      <c r="B23" s="89" t="s">
        <v>2195</v>
      </c>
      <c r="C23" s="89" t="s">
        <v>2212</v>
      </c>
      <c r="D23" s="90">
        <f>COUNTIFS(進捗一覧!$B$4:$B$337,$B23,進捗一覧!$P$4:$P$337,$C23)</f>
        <v>12</v>
      </c>
      <c r="E23" s="90">
        <f>COUNTIFS(進捗一覧!$B$4:$B$337,$B23,進捗一覧!$P$4:$P$337,$C23,進捗一覧!$H$4:$H$337,"確定")</f>
        <v>2</v>
      </c>
      <c r="F23" s="90">
        <f>COUNTIFS(進捗一覧!$B$4:$B$337,$B23,進捗一覧!$P$4:$P$337,$C23,進捗一覧!$H$4:$H$337,"方向性確定（条件付き）")</f>
        <v>0</v>
      </c>
      <c r="G23" s="90">
        <f>COUNTIFS(進捗一覧!$B$4:$B$337,$B23,進捗一覧!$P$4:$P$337,$C23,進捗一覧!$H$4:$H$337,"検討中")</f>
        <v>1</v>
      </c>
      <c r="H23" s="154">
        <f>COUNTIFS(進捗一覧!$B$4:$B$337,$B23,進捗一覧!$P$4:$P$337,$C23,進捗一覧!$H$4:$H$337,"外部待ち")</f>
        <v>9</v>
      </c>
    </row>
    <row r="24" spans="1:8">
      <c r="A24" s="85" t="s">
        <v>3497</v>
      </c>
      <c r="B24" s="89" t="s">
        <v>2195</v>
      </c>
      <c r="C24" s="89" t="s">
        <v>2213</v>
      </c>
      <c r="D24" s="90">
        <f>COUNTIFS(進捗一覧!$B$4:$B$337,$B24,進捗一覧!$P$4:$P$337,$C24)</f>
        <v>10</v>
      </c>
      <c r="E24" s="90">
        <f>COUNTIFS(進捗一覧!$B$4:$B$337,$B24,進捗一覧!$P$4:$P$337,$C24,進捗一覧!$H$4:$H$337,"確定")</f>
        <v>6</v>
      </c>
      <c r="F24" s="90">
        <f>COUNTIFS(進捗一覧!$B$4:$B$337,$B24,進捗一覧!$P$4:$P$337,$C24,進捗一覧!$H$4:$H$337,"方向性確定（条件付き）")</f>
        <v>1</v>
      </c>
      <c r="G24" s="90">
        <f>COUNTIFS(進捗一覧!$B$4:$B$337,$B24,進捗一覧!$P$4:$P$337,$C24,進捗一覧!$H$4:$H$337,"検討中")</f>
        <v>2</v>
      </c>
      <c r="H24" s="154">
        <f>COUNTIFS(進捗一覧!$B$4:$B$337,$B24,進捗一覧!$P$4:$P$337,$C24,進捗一覧!$H$4:$H$337,"外部待ち")</f>
        <v>1</v>
      </c>
    </row>
    <row r="25" spans="1:8">
      <c r="A25" s="85" t="s">
        <v>3466</v>
      </c>
      <c r="B25" s="89" t="s">
        <v>2196</v>
      </c>
      <c r="C25" s="89" t="s">
        <v>2214</v>
      </c>
      <c r="D25" s="90">
        <f>COUNTIFS(進捗一覧!$B$4:$B$337,$B25,進捗一覧!$P$4:$P$337,$C25)</f>
        <v>8</v>
      </c>
      <c r="E25" s="90">
        <f>COUNTIFS(進捗一覧!$B$4:$B$337,$B25,進捗一覧!$P$4:$P$337,$C25,進捗一覧!$H$4:$H$337,"確定")</f>
        <v>4</v>
      </c>
      <c r="F25" s="90">
        <f>COUNTIFS(進捗一覧!$B$4:$B$337,$B25,進捗一覧!$P$4:$P$337,$C25,進捗一覧!$H$4:$H$337,"方向性確定（条件付き）")</f>
        <v>0</v>
      </c>
      <c r="G25" s="90">
        <f>COUNTIFS(進捗一覧!$B$4:$B$337,$B25,進捗一覧!$P$4:$P$337,$C25,進捗一覧!$H$4:$H$337,"検討中")</f>
        <v>0</v>
      </c>
      <c r="H25" s="154">
        <f>COUNTIFS(進捗一覧!$B$4:$B$337,$B25,進捗一覧!$P$4:$P$337,$C25,進捗一覧!$H$4:$H$337,"外部待ち")</f>
        <v>4</v>
      </c>
    </row>
    <row r="26" spans="1:8">
      <c r="A26" s="85" t="s">
        <v>3498</v>
      </c>
      <c r="B26" s="89" t="s">
        <v>2196</v>
      </c>
      <c r="C26" s="89" t="s">
        <v>2215</v>
      </c>
      <c r="D26" s="90">
        <f>COUNTIFS(進捗一覧!$B$4:$B$337,$B26,進捗一覧!$P$4:$P$337,$C26)</f>
        <v>8</v>
      </c>
      <c r="E26" s="90">
        <f>COUNTIFS(進捗一覧!$B$4:$B$337,$B26,進捗一覧!$P$4:$P$337,$C26,進捗一覧!$H$4:$H$337,"確定")</f>
        <v>2</v>
      </c>
      <c r="F26" s="90">
        <f>COUNTIFS(進捗一覧!$B$4:$B$337,$B26,進捗一覧!$P$4:$P$337,$C26,進捗一覧!$H$4:$H$337,"方向性確定（条件付き）")</f>
        <v>0</v>
      </c>
      <c r="G26" s="90">
        <f>COUNTIFS(進捗一覧!$B$4:$B$337,$B26,進捗一覧!$P$4:$P$337,$C26,進捗一覧!$H$4:$H$337,"検討中")</f>
        <v>1</v>
      </c>
      <c r="H26" s="154">
        <f>COUNTIFS(進捗一覧!$B$4:$B$337,$B26,進捗一覧!$P$4:$P$337,$C26,進捗一覧!$H$4:$H$337,"外部待ち")</f>
        <v>4</v>
      </c>
    </row>
    <row r="27" spans="1:8">
      <c r="A27" s="85" t="s">
        <v>3499</v>
      </c>
      <c r="B27" s="89" t="s">
        <v>2196</v>
      </c>
      <c r="C27" s="89" t="s">
        <v>2216</v>
      </c>
      <c r="D27" s="90">
        <f>COUNTIFS(進捗一覧!$B$4:$B$337,$B27,進捗一覧!$P$4:$P$337,$C27)</f>
        <v>8</v>
      </c>
      <c r="E27" s="90">
        <f>COUNTIFS(進捗一覧!$B$4:$B$337,$B27,進捗一覧!$P$4:$P$337,$C27,進捗一覧!$H$4:$H$337,"確定")</f>
        <v>1</v>
      </c>
      <c r="F27" s="90">
        <f>COUNTIFS(進捗一覧!$B$4:$B$337,$B27,進捗一覧!$P$4:$P$337,$C27,進捗一覧!$H$4:$H$337,"方向性確定（条件付き）")</f>
        <v>0</v>
      </c>
      <c r="G27" s="90">
        <f>COUNTIFS(進捗一覧!$B$4:$B$337,$B27,進捗一覧!$P$4:$P$337,$C27,進捗一覧!$H$4:$H$337,"検討中")</f>
        <v>1</v>
      </c>
      <c r="H27" s="154">
        <f>COUNTIFS(進捗一覧!$B$4:$B$337,$B27,進捗一覧!$P$4:$P$337,$C27,進捗一覧!$H$4:$H$337,"外部待ち")</f>
        <v>6</v>
      </c>
    </row>
    <row r="28" spans="1:8">
      <c r="A28" s="85" t="s">
        <v>3500</v>
      </c>
      <c r="B28" s="89" t="s">
        <v>2196</v>
      </c>
      <c r="C28" s="89" t="s">
        <v>2217</v>
      </c>
      <c r="D28" s="90">
        <f>COUNTIFS(進捗一覧!$B$4:$B$337,$B28,進捗一覧!$P$4:$P$337,$C28)</f>
        <v>21</v>
      </c>
      <c r="E28" s="90">
        <f>COUNTIFS(進捗一覧!$B$4:$B$337,$B28,進捗一覧!$P$4:$P$337,$C28,進捗一覧!$H$4:$H$337,"確定")</f>
        <v>10</v>
      </c>
      <c r="F28" s="90">
        <f>COUNTIFS(進捗一覧!$B$4:$B$337,$B28,進捗一覧!$P$4:$P$337,$C28,進捗一覧!$H$4:$H$337,"方向性確定（条件付き）")</f>
        <v>0</v>
      </c>
      <c r="G28" s="90">
        <f>COUNTIFS(進捗一覧!$B$4:$B$337,$B28,進捗一覧!$P$4:$P$337,$C28,進捗一覧!$H$4:$H$337,"検討中")</f>
        <v>1</v>
      </c>
      <c r="H28" s="154">
        <f>COUNTIFS(進捗一覧!$B$4:$B$337,$B28,進捗一覧!$P$4:$P$337,$C28,進捗一覧!$H$4:$H$337,"外部待ち")</f>
        <v>10</v>
      </c>
    </row>
    <row r="29" spans="1:8">
      <c r="A29" s="85" t="s">
        <v>3468</v>
      </c>
      <c r="B29" s="89" t="s">
        <v>2196</v>
      </c>
      <c r="C29" s="89" t="s">
        <v>2218</v>
      </c>
      <c r="D29" s="90">
        <f>COUNTIFS(進捗一覧!$B$4:$B$337,$B29,進捗一覧!$P$4:$P$337,$C29)</f>
        <v>8</v>
      </c>
      <c r="E29" s="90">
        <f>COUNTIFS(進捗一覧!$B$4:$B$337,$B29,進捗一覧!$P$4:$P$337,$C29,進捗一覧!$H$4:$H$337,"確定")</f>
        <v>1</v>
      </c>
      <c r="F29" s="90">
        <f>COUNTIFS(進捗一覧!$B$4:$B$337,$B29,進捗一覧!$P$4:$P$337,$C29,進捗一覧!$H$4:$H$337,"方向性確定（条件付き）")</f>
        <v>0</v>
      </c>
      <c r="G29" s="90">
        <f>COUNTIFS(進捗一覧!$B$4:$B$337,$B29,進捗一覧!$P$4:$P$337,$C29,進捗一覧!$H$4:$H$337,"検討中")</f>
        <v>0</v>
      </c>
      <c r="H29" s="154">
        <f>COUNTIFS(進捗一覧!$B$4:$B$337,$B29,進捗一覧!$P$4:$P$337,$C29,進捗一覧!$H$4:$H$337,"外部待ち")</f>
        <v>7</v>
      </c>
    </row>
    <row r="30" spans="1:8">
      <c r="A30" s="85" t="s">
        <v>3501</v>
      </c>
      <c r="B30" s="89" t="s">
        <v>2196</v>
      </c>
      <c r="C30" s="89" t="s">
        <v>2219</v>
      </c>
      <c r="D30" s="90">
        <f>COUNTIFS(進捗一覧!$B$4:$B$337,$B30,進捗一覧!$P$4:$P$337,$C30)</f>
        <v>14</v>
      </c>
      <c r="E30" s="90">
        <f>COUNTIFS(進捗一覧!$B$4:$B$337,$B30,進捗一覧!$P$4:$P$337,$C30,進捗一覧!$H$4:$H$337,"確定")</f>
        <v>0</v>
      </c>
      <c r="F30" s="90">
        <f>COUNTIFS(進捗一覧!$B$4:$B$337,$B30,進捗一覧!$P$4:$P$337,$C30,進捗一覧!$H$4:$H$337,"方向性確定（条件付き）")</f>
        <v>0</v>
      </c>
      <c r="G30" s="90">
        <f>COUNTIFS(進捗一覧!$B$4:$B$337,$B30,進捗一覧!$P$4:$P$337,$C30,進捗一覧!$H$4:$H$337,"検討中")</f>
        <v>1</v>
      </c>
      <c r="H30" s="154">
        <f>COUNTIFS(進捗一覧!$B$4:$B$337,$B30,進捗一覧!$P$4:$P$337,$C30,進捗一覧!$H$4:$H$337,"外部待ち")</f>
        <v>13</v>
      </c>
    </row>
    <row r="31" spans="1:8">
      <c r="A31" s="85" t="s">
        <v>3502</v>
      </c>
      <c r="B31" s="89" t="s">
        <v>2196</v>
      </c>
      <c r="C31" s="89" t="s">
        <v>2220</v>
      </c>
      <c r="D31" s="90">
        <f>COUNTIFS(進捗一覧!$B$4:$B$337,$B31,進捗一覧!$P$4:$P$337,$C31)</f>
        <v>16</v>
      </c>
      <c r="E31" s="90">
        <f>COUNTIFS(進捗一覧!$B$4:$B$337,$B31,進捗一覧!$P$4:$P$337,$C31,進捗一覧!$H$4:$H$337,"確定")</f>
        <v>2</v>
      </c>
      <c r="F31" s="90">
        <f>COUNTIFS(進捗一覧!$B$4:$B$337,$B31,進捗一覧!$P$4:$P$337,$C31,進捗一覧!$H$4:$H$337,"方向性確定（条件付き）")</f>
        <v>0</v>
      </c>
      <c r="G31" s="90">
        <f>COUNTIFS(進捗一覧!$B$4:$B$337,$B31,進捗一覧!$P$4:$P$337,$C31,進捗一覧!$H$4:$H$337,"検討中")</f>
        <v>0</v>
      </c>
      <c r="H31" s="154">
        <f>COUNTIFS(進捗一覧!$B$4:$B$337,$B31,進捗一覧!$P$4:$P$337,$C31,進捗一覧!$H$4:$H$337,"外部待ち")</f>
        <v>14</v>
      </c>
    </row>
    <row r="32" spans="1:8">
      <c r="A32" s="85" t="s">
        <v>3463</v>
      </c>
      <c r="B32" s="89" t="s">
        <v>2196</v>
      </c>
      <c r="C32" s="89" t="s">
        <v>2221</v>
      </c>
      <c r="D32" s="90">
        <f>COUNTIFS(進捗一覧!$B$4:$B$337,$B32,進捗一覧!$P$4:$P$337,$C32)</f>
        <v>11</v>
      </c>
      <c r="E32" s="90">
        <f>COUNTIFS(進捗一覧!$B$4:$B$337,$B32,進捗一覧!$P$4:$P$337,$C32,進捗一覧!$H$4:$H$337,"確定")</f>
        <v>4</v>
      </c>
      <c r="F32" s="90">
        <f>COUNTIFS(進捗一覧!$B$4:$B$337,$B32,進捗一覧!$P$4:$P$337,$C32,進捗一覧!$H$4:$H$337,"方向性確定（条件付き）")</f>
        <v>0</v>
      </c>
      <c r="G32" s="90">
        <f>COUNTIFS(進捗一覧!$B$4:$B$337,$B32,進捗一覧!$P$4:$P$337,$C32,進捗一覧!$H$4:$H$337,"検討中")</f>
        <v>6</v>
      </c>
      <c r="H32" s="154">
        <f>COUNTIFS(進捗一覧!$B$4:$B$337,$B32,進捗一覧!$P$4:$P$337,$C32,進捗一覧!$H$4:$H$337,"外部待ち")</f>
        <v>0</v>
      </c>
    </row>
    <row r="33" spans="1:11">
      <c r="A33" s="85" t="s">
        <v>3503</v>
      </c>
      <c r="B33" s="89" t="s">
        <v>2196</v>
      </c>
      <c r="C33" s="89" t="s">
        <v>2222</v>
      </c>
      <c r="D33" s="90">
        <f>COUNTIFS(進捗一覧!$B$4:$B$337,$B33,進捗一覧!$P$4:$P$337,$C33)</f>
        <v>5</v>
      </c>
      <c r="E33" s="90">
        <f>COUNTIFS(進捗一覧!$B$4:$B$337,$B33,進捗一覧!$P$4:$P$337,$C33,進捗一覧!$H$4:$H$337,"確定")</f>
        <v>2</v>
      </c>
      <c r="F33" s="90">
        <f>COUNTIFS(進捗一覧!$B$4:$B$337,$B33,進捗一覧!$P$4:$P$337,$C33,進捗一覧!$H$4:$H$337,"方向性確定（条件付き）")</f>
        <v>0</v>
      </c>
      <c r="G33" s="90">
        <f>COUNTIFS(進捗一覧!$B$4:$B$337,$B33,進捗一覧!$P$4:$P$337,$C33,進捗一覧!$H$4:$H$337,"検討中")</f>
        <v>1</v>
      </c>
      <c r="H33" s="154">
        <f>COUNTIFS(進捗一覧!$B$4:$B$337,$B33,進捗一覧!$P$4:$P$337,$C33,進捗一覧!$H$4:$H$337,"外部待ち")</f>
        <v>1</v>
      </c>
    </row>
    <row r="34" spans="1:11">
      <c r="A34" s="85" t="s">
        <v>6032</v>
      </c>
      <c r="B34" s="89" t="s">
        <v>2197</v>
      </c>
      <c r="C34" s="89" t="s">
        <v>2223</v>
      </c>
      <c r="D34" s="90">
        <f>COUNTIFS(進捗一覧!$B$4:$B$337,$B34,進捗一覧!$P$4:$P$337,$C34)</f>
        <v>12</v>
      </c>
      <c r="E34" s="90">
        <f>COUNTIFS(進捗一覧!$B$4:$B$337,$B34,進捗一覧!$P$4:$P$337,$C34,進捗一覧!$H$4:$H$337,"確定")</f>
        <v>0</v>
      </c>
      <c r="F34" s="90">
        <f>COUNTIFS(進捗一覧!$B$4:$B$337,$B34,進捗一覧!$P$4:$P$337,$C34,進捗一覧!$H$4:$H$337,"方向性確定（条件付き）")</f>
        <v>0</v>
      </c>
      <c r="G34" s="90">
        <f>COUNTIFS(進捗一覧!$B$4:$B$337,$B34,進捗一覧!$P$4:$P$337,$C34,進捗一覧!$H$4:$H$337,"検討中")</f>
        <v>11</v>
      </c>
      <c r="H34" s="154">
        <f>COUNTIFS(進捗一覧!$B$4:$B$337,$B34,進捗一覧!$P$4:$P$337,$C34,進捗一覧!$H$4:$H$337,"外部待ち")</f>
        <v>0</v>
      </c>
      <c r="I34" s="32">
        <v>98</v>
      </c>
      <c r="J34" s="32">
        <v>39</v>
      </c>
    </row>
    <row r="35" spans="1:11">
      <c r="A35" s="85" t="s">
        <v>6033</v>
      </c>
      <c r="B35" s="89" t="s">
        <v>2197</v>
      </c>
      <c r="C35" s="89" t="s">
        <v>2224</v>
      </c>
      <c r="D35" s="90">
        <f>COUNTIFS(進捗一覧!$B$4:$B$337,$B35,進捗一覧!$P$4:$P$337,$C35)</f>
        <v>5</v>
      </c>
      <c r="E35" s="90">
        <f>COUNTIFS(進捗一覧!$B$4:$B$337,$B35,進捗一覧!$P$4:$P$337,$C35,進捗一覧!$H$4:$H$337,"確定")</f>
        <v>0</v>
      </c>
      <c r="F35" s="90">
        <f>COUNTIFS(進捗一覧!$B$4:$B$337,$B35,進捗一覧!$P$4:$P$337,$C35,進捗一覧!$H$4:$H$337,"方向性確定（条件付き）")</f>
        <v>0</v>
      </c>
      <c r="G35" s="90">
        <f>COUNTIFS(進捗一覧!$B$4:$B$337,$B35,進捗一覧!$P$4:$P$337,$C35,進捗一覧!$H$4:$H$337,"検討中")</f>
        <v>5</v>
      </c>
      <c r="H35" s="154">
        <f>COUNTIFS(進捗一覧!$B$4:$B$337,$B35,進捗一覧!$P$4:$P$337,$C35,進捗一覧!$H$4:$H$337,"外部待ち")</f>
        <v>0</v>
      </c>
      <c r="I35" s="32">
        <v>23</v>
      </c>
      <c r="J35" s="32">
        <v>9</v>
      </c>
    </row>
    <row r="36" spans="1:11">
      <c r="A36" s="85" t="s">
        <v>6724</v>
      </c>
      <c r="B36" s="89" t="s">
        <v>2197</v>
      </c>
      <c r="C36" s="89" t="s">
        <v>2225</v>
      </c>
      <c r="D36" s="90">
        <f>COUNTIFS(進捗一覧!$B$4:$B$337,$B36,進捗一覧!$P$4:$P$337,$C36)</f>
        <v>8</v>
      </c>
      <c r="E36" s="90">
        <f>COUNTIFS(進捗一覧!$B$4:$B$337,$B36,進捗一覧!$P$4:$P$337,$C36,進捗一覧!$H$4:$H$337,"確定")</f>
        <v>0</v>
      </c>
      <c r="F36" s="90">
        <f>COUNTIFS(進捗一覧!$B$4:$B$337,$B36,進捗一覧!$P$4:$P$337,$C36,進捗一覧!$H$4:$H$337,"方向性確定（条件付き）")</f>
        <v>0</v>
      </c>
      <c r="G36" s="90">
        <f>COUNTIFS(進捗一覧!$B$4:$B$337,$B36,進捗一覧!$P$4:$P$337,$C36,進捗一覧!$H$4:$H$337,"検討中")</f>
        <v>8</v>
      </c>
      <c r="H36" s="154">
        <f>COUNTIFS(進捗一覧!$B$4:$B$337,$B36,進捗一覧!$P$4:$P$337,$C36,進捗一覧!$H$4:$H$337,"外部待ち")</f>
        <v>0</v>
      </c>
      <c r="I36" s="32">
        <v>23</v>
      </c>
      <c r="J36" s="32">
        <v>13</v>
      </c>
    </row>
    <row r="37" spans="1:11">
      <c r="A37" s="85" t="s">
        <v>6034</v>
      </c>
      <c r="B37" s="89" t="s">
        <v>2197</v>
      </c>
      <c r="C37" s="89" t="s">
        <v>2226</v>
      </c>
      <c r="D37" s="90">
        <f>COUNTIFS(進捗一覧!$B$4:$B$337,$B37,進捗一覧!$P$4:$P$337,$C37)</f>
        <v>24</v>
      </c>
      <c r="E37" s="90">
        <f>COUNTIFS(進捗一覧!$B$4:$B$337,$B37,進捗一覧!$P$4:$P$337,$C37,進捗一覧!$H$4:$H$337,"確定")</f>
        <v>8</v>
      </c>
      <c r="F37" s="90">
        <f>COUNTIFS(進捗一覧!$B$4:$B$337,$B37,進捗一覧!$P$4:$P$337,$C37,進捗一覧!$H$4:$H$337,"方向性確定（条件付き）")</f>
        <v>0</v>
      </c>
      <c r="G37" s="90">
        <f>COUNTIFS(進捗一覧!$B$4:$B$337,$B37,進捗一覧!$P$4:$P$337,$C37,進捗一覧!$H$4:$H$337,"検討中")</f>
        <v>15</v>
      </c>
      <c r="H37" s="154">
        <f>COUNTIFS(進捗一覧!$B$4:$B$337,$B37,進捗一覧!$P$4:$P$337,$C37,進捗一覧!$H$4:$H$337,"外部待ち")</f>
        <v>0</v>
      </c>
      <c r="I37" s="32">
        <v>56</v>
      </c>
      <c r="J37" s="32">
        <v>31</v>
      </c>
    </row>
    <row r="38" spans="1:11">
      <c r="A38" s="85" t="s">
        <v>6035</v>
      </c>
      <c r="B38" s="89" t="s">
        <v>2197</v>
      </c>
      <c r="C38" s="89" t="s">
        <v>2227</v>
      </c>
      <c r="D38" s="90">
        <f>COUNTIFS(進捗一覧!$B$4:$B$337,$B38,進捗一覧!$P$4:$P$337,$C38)</f>
        <v>8</v>
      </c>
      <c r="E38" s="90">
        <f>COUNTIFS(進捗一覧!$B$4:$B$337,$B38,進捗一覧!$P$4:$P$337,$C38,進捗一覧!$H$4:$H$337,"確定")</f>
        <v>0</v>
      </c>
      <c r="F38" s="90">
        <f>COUNTIFS(進捗一覧!$B$4:$B$337,$B38,進捗一覧!$P$4:$P$337,$C38,進捗一覧!$H$4:$H$337,"方向性確定（条件付き）")</f>
        <v>0</v>
      </c>
      <c r="G38" s="90">
        <f>COUNTIFS(進捗一覧!$B$4:$B$337,$B38,進捗一覧!$P$4:$P$337,$C38,進捗一覧!$H$4:$H$337,"検討中")</f>
        <v>8</v>
      </c>
      <c r="H38" s="154">
        <f>COUNTIFS(進捗一覧!$B$4:$B$337,$B38,進捗一覧!$P$4:$P$337,$C38,進捗一覧!$H$4:$H$337,"外部待ち")</f>
        <v>0</v>
      </c>
      <c r="I38" s="32">
        <v>33</v>
      </c>
      <c r="J38" s="32">
        <v>10</v>
      </c>
    </row>
    <row r="39" spans="1:11">
      <c r="A39" s="85" t="s">
        <v>6036</v>
      </c>
      <c r="B39" s="92" t="s">
        <v>2197</v>
      </c>
      <c r="C39" s="92" t="s">
        <v>2228</v>
      </c>
      <c r="D39" s="93">
        <f>COUNTIFS(進捗一覧!$B$4:$B$337,$B39,進捗一覧!$P$4:$P$337,$C39)</f>
        <v>4</v>
      </c>
      <c r="E39" s="93">
        <f>COUNTIFS(進捗一覧!$B$4:$B$337,$B39,進捗一覧!$P$4:$P$337,$C39,進捗一覧!$H$4:$H$337,"確定")</f>
        <v>0</v>
      </c>
      <c r="F39" s="93">
        <f>COUNTIFS(進捗一覧!$B$4:$B$337,$B39,進捗一覧!$P$4:$P$337,$C39,進捗一覧!$H$4:$H$337,"方向性確定（条件付き）")</f>
        <v>0</v>
      </c>
      <c r="G39" s="93">
        <f>COUNTIFS(進捗一覧!$B$4:$B$337,$B39,進捗一覧!$P$4:$P$337,$C39,進捗一覧!$H$4:$H$337,"検討中")</f>
        <v>3</v>
      </c>
      <c r="H39" s="155">
        <f>COUNTIFS(進捗一覧!$B$4:$B$337,$B39,進捗一覧!$P$4:$P$337,$C39,進捗一覧!$H$4:$H$337,"外部待ち")</f>
        <v>1</v>
      </c>
      <c r="I39" s="32">
        <v>15</v>
      </c>
      <c r="J39" s="32">
        <v>4</v>
      </c>
    </row>
    <row r="40" spans="1:11">
      <c r="A40" s="91" t="s">
        <v>6037</v>
      </c>
      <c r="B40" s="116" t="s">
        <v>2197</v>
      </c>
      <c r="C40" s="116" t="s">
        <v>2229</v>
      </c>
      <c r="D40" s="156">
        <f>COUNTIFS(進捗一覧!$B$4:$B$337,$B40,進捗一覧!$P$4:$P$337,$C40)</f>
        <v>4</v>
      </c>
      <c r="E40" s="156">
        <f>COUNTIFS(進捗一覧!$B$4:$B$337,$B40,進捗一覧!$P$4:$P$337,$C40,進捗一覧!$H$4:$H$337,"確定")</f>
        <v>0</v>
      </c>
      <c r="F40" s="156">
        <f>COUNTIFS(進捗一覧!$B$4:$B$337,$B40,進捗一覧!$P$4:$P$337,$C40,進捗一覧!$H$4:$H$337,"方向性確定（条件付き）")</f>
        <v>0</v>
      </c>
      <c r="G40" s="156">
        <f>COUNTIFS(進捗一覧!$B$4:$B$337,$B40,進捗一覧!$P$4:$P$337,$C40,進捗一覧!$H$4:$H$337,"検討中")</f>
        <v>3</v>
      </c>
      <c r="H40" s="156">
        <f>COUNTIFS(進捗一覧!$B$4:$B$337,$B40,進捗一覧!$P$4:$P$337,$C40,進捗一覧!$H$4:$H$337,"外部待ち")</f>
        <v>0</v>
      </c>
      <c r="I40" s="32">
        <v>22</v>
      </c>
      <c r="J40" s="32">
        <v>14</v>
      </c>
    </row>
    <row r="41" spans="1:11">
      <c r="A41" s="364" t="s">
        <v>7198</v>
      </c>
      <c r="B41" s="365" t="s">
        <v>2197</v>
      </c>
      <c r="C41" s="365" t="s">
        <v>6038</v>
      </c>
      <c r="D41" s="366">
        <v>148</v>
      </c>
      <c r="E41" s="366"/>
      <c r="F41" s="366"/>
      <c r="G41" s="366"/>
      <c r="H41" s="366"/>
      <c r="I41" s="32">
        <v>542</v>
      </c>
      <c r="J41" s="32">
        <v>292</v>
      </c>
      <c r="K41" s="32" t="s">
        <v>7199</v>
      </c>
    </row>
    <row r="42" spans="1:11">
      <c r="A42" s="32" t="s">
        <v>6041</v>
      </c>
      <c r="I42" s="32">
        <f>SUM(I34:I41)</f>
        <v>812</v>
      </c>
      <c r="J42" s="32">
        <f>SUM(J34:J41)</f>
        <v>412</v>
      </c>
    </row>
    <row r="43" spans="1:11">
      <c r="A43" s="84" t="s">
        <v>3504</v>
      </c>
      <c r="B43" s="59" t="s">
        <v>3505</v>
      </c>
      <c r="C43" s="59" t="s">
        <v>3506</v>
      </c>
      <c r="D43" s="60" t="s">
        <v>2445</v>
      </c>
    </row>
    <row r="44" spans="1:11">
      <c r="A44" s="367" t="s">
        <v>6044</v>
      </c>
      <c r="B44" s="89" t="s">
        <v>3507</v>
      </c>
      <c r="C44" s="89" t="s">
        <v>3508</v>
      </c>
      <c r="D44" s="94" t="s">
        <v>3509</v>
      </c>
    </row>
    <row r="45" spans="1:11">
      <c r="A45" s="85" t="s">
        <v>3510</v>
      </c>
      <c r="B45" s="89" t="s">
        <v>3511</v>
      </c>
      <c r="C45" s="89" t="s">
        <v>3512</v>
      </c>
      <c r="D45" s="94" t="s">
        <v>3513</v>
      </c>
    </row>
    <row r="46" spans="1:11">
      <c r="A46" s="85" t="s">
        <v>3514</v>
      </c>
      <c r="B46" s="89" t="s">
        <v>3480</v>
      </c>
      <c r="C46" s="89" t="s">
        <v>3515</v>
      </c>
      <c r="D46" s="94" t="s">
        <v>3516</v>
      </c>
    </row>
    <row r="47" spans="1:11">
      <c r="A47" s="85" t="s">
        <v>3517</v>
      </c>
      <c r="B47" s="89" t="s">
        <v>3476</v>
      </c>
      <c r="C47" s="89" t="s">
        <v>3518</v>
      </c>
      <c r="D47" s="94" t="s">
        <v>3516</v>
      </c>
    </row>
    <row r="48" spans="1:11">
      <c r="A48" s="85" t="s">
        <v>3517</v>
      </c>
      <c r="B48" s="89" t="s">
        <v>3481</v>
      </c>
      <c r="C48" s="89" t="s">
        <v>3519</v>
      </c>
      <c r="D48" s="94" t="s">
        <v>3513</v>
      </c>
    </row>
    <row r="49" spans="1:5">
      <c r="A49" s="85" t="s">
        <v>3517</v>
      </c>
      <c r="B49" s="89" t="s">
        <v>3520</v>
      </c>
      <c r="C49" s="89" t="s">
        <v>3521</v>
      </c>
      <c r="D49" s="94" t="s">
        <v>3516</v>
      </c>
    </row>
    <row r="50" spans="1:5">
      <c r="A50" s="85" t="s">
        <v>3522</v>
      </c>
      <c r="B50" s="89" t="s">
        <v>3478</v>
      </c>
      <c r="C50" s="89" t="s">
        <v>3523</v>
      </c>
      <c r="D50" s="94" t="s">
        <v>3516</v>
      </c>
    </row>
    <row r="51" spans="1:5">
      <c r="A51" s="85" t="s">
        <v>3524</v>
      </c>
      <c r="B51" s="89" t="s">
        <v>3479</v>
      </c>
      <c r="C51" s="89" t="s">
        <v>3525</v>
      </c>
      <c r="D51" s="94" t="s">
        <v>3516</v>
      </c>
    </row>
    <row r="52" spans="1:5">
      <c r="A52" s="85" t="s">
        <v>3524</v>
      </c>
      <c r="B52" s="89" t="s">
        <v>3526</v>
      </c>
      <c r="C52" s="89" t="s">
        <v>3527</v>
      </c>
      <c r="D52" s="94" t="s">
        <v>3528</v>
      </c>
    </row>
    <row r="53" spans="1:5">
      <c r="A53" s="85" t="s">
        <v>3529</v>
      </c>
      <c r="B53" s="92" t="s">
        <v>3530</v>
      </c>
      <c r="C53" s="92" t="s">
        <v>3531</v>
      </c>
      <c r="D53" s="95" t="s">
        <v>3528</v>
      </c>
    </row>
    <row r="54" spans="1:5">
      <c r="A54" s="91" t="s">
        <v>3529</v>
      </c>
    </row>
    <row r="56" spans="1:5">
      <c r="A56" s="96" t="s">
        <v>3532</v>
      </c>
      <c r="B56" s="59" t="s">
        <v>3533</v>
      </c>
      <c r="C56" s="59" t="s">
        <v>3534</v>
      </c>
      <c r="D56" s="60" t="s">
        <v>3535</v>
      </c>
    </row>
    <row r="57" spans="1:5">
      <c r="A57" s="58" t="s">
        <v>3536</v>
      </c>
      <c r="B57" s="86"/>
      <c r="C57" s="97"/>
      <c r="D57" s="94" t="s">
        <v>3537</v>
      </c>
    </row>
    <row r="58" spans="1:5">
      <c r="A58" s="85" t="s">
        <v>1065</v>
      </c>
      <c r="B58" s="86">
        <f>COUNTIF(要件→設計!$G$5:$G$183,$A58)</f>
        <v>114</v>
      </c>
      <c r="C58" s="97">
        <f>IFERROR(B58/$B$63,"-")</f>
        <v>0.63687150837988826</v>
      </c>
      <c r="D58" s="94" t="s">
        <v>3538</v>
      </c>
    </row>
    <row r="59" spans="1:5">
      <c r="A59" s="85" t="s">
        <v>1057</v>
      </c>
      <c r="B59" s="86">
        <f>COUNTIF(要件→設計!$G$5:$G$183,$A59)</f>
        <v>47</v>
      </c>
      <c r="C59" s="97">
        <f>IFERROR(B59/$B$63,"-")</f>
        <v>0.26256983240223464</v>
      </c>
      <c r="D59" s="98" t="s">
        <v>3539</v>
      </c>
    </row>
    <row r="60" spans="1:5">
      <c r="A60" s="85" t="s">
        <v>1060</v>
      </c>
      <c r="B60" s="86">
        <f>COUNTIF(要件→設計!$G$5:$G$183,$A60)</f>
        <v>1</v>
      </c>
      <c r="C60" s="97">
        <f>IFERROR(B60/$B$63,"-")</f>
        <v>5.5865921787709499E-3</v>
      </c>
      <c r="D60" s="94" t="s">
        <v>3540</v>
      </c>
    </row>
    <row r="61" spans="1:5">
      <c r="A61" s="85" t="s">
        <v>1072</v>
      </c>
      <c r="B61" s="86">
        <f>COUNTIF(要件→設計!$G$5:$G$183,$A61)</f>
        <v>17</v>
      </c>
      <c r="C61" s="97">
        <f>IFERROR(B61/$B$63,"-")</f>
        <v>9.4972067039106142E-2</v>
      </c>
      <c r="D61" s="99" t="s">
        <v>3541</v>
      </c>
    </row>
    <row r="62" spans="1:5">
      <c r="A62" s="85" t="s">
        <v>3542</v>
      </c>
      <c r="B62" s="88">
        <f>COUNTIF(要件→設計!$G$5:$G$183,$A62)</f>
        <v>0</v>
      </c>
      <c r="C62" s="100">
        <f>IFERROR(B62/$B$63,"-")</f>
        <v>0</v>
      </c>
      <c r="D62" s="95"/>
      <c r="E62" s="61"/>
    </row>
    <row r="63" spans="1:5">
      <c r="A63" s="87" t="s">
        <v>3486</v>
      </c>
      <c r="B63" s="32">
        <f>SUM(B58:B62)</f>
        <v>179</v>
      </c>
      <c r="C63" s="115">
        <f>IFERROR(B63/B63,"-")</f>
        <v>1</v>
      </c>
      <c r="E63" s="32" t="str">
        <f>IF(B63=COUNTA(要件→設計!$A$5:$A$183),"✓ マッピング行数と一致","⚠ 不一致")</f>
        <v>✓ マッピング行数と一致</v>
      </c>
    </row>
    <row r="66" spans="1:5">
      <c r="A66" s="84" t="s">
        <v>3543</v>
      </c>
      <c r="B66" s="59" t="s">
        <v>3533</v>
      </c>
      <c r="C66" s="59" t="s">
        <v>3534</v>
      </c>
      <c r="D66" s="60" t="s">
        <v>3544</v>
      </c>
    </row>
    <row r="67" spans="1:5">
      <c r="A67" s="58" t="s">
        <v>2444</v>
      </c>
      <c r="B67" s="86"/>
      <c r="C67" s="97"/>
      <c r="D67" s="94" t="s">
        <v>3545</v>
      </c>
    </row>
    <row r="68" spans="1:5">
      <c r="A68" s="85" t="s">
        <v>3546</v>
      </c>
      <c r="B68" s="86">
        <f>COUNTA(設計決定一覧!$A$5:$A$189)-COUNTA(設計→要件!$A$6:$A$55)</f>
        <v>135</v>
      </c>
      <c r="C68" s="97">
        <f>IFERROR(B68/$B$74,"-")</f>
        <v>0.72972972972972971</v>
      </c>
      <c r="D68" s="98" t="s">
        <v>3547</v>
      </c>
    </row>
    <row r="69" spans="1:5">
      <c r="A69" s="85" t="s">
        <v>3548</v>
      </c>
      <c r="B69" s="86">
        <f>COUNTIF(設計→要件!$D$6:$D$55,$A69)</f>
        <v>11</v>
      </c>
      <c r="C69" s="97">
        <f>IFERROR(B69/$B$74,"-")</f>
        <v>5.9459459459459463E-2</v>
      </c>
      <c r="D69" s="99" t="s">
        <v>3549</v>
      </c>
    </row>
    <row r="70" spans="1:5">
      <c r="A70" s="85" t="s">
        <v>3550</v>
      </c>
      <c r="B70" s="86">
        <f>COUNTIF(設計→要件!$D$6:$D$55,$A70)</f>
        <v>14</v>
      </c>
      <c r="C70" s="97">
        <f>IFERROR(B70/$B$74,"-")</f>
        <v>7.567567567567568E-2</v>
      </c>
      <c r="D70" s="101" t="s">
        <v>3551</v>
      </c>
    </row>
    <row r="71" spans="1:5">
      <c r="A71" s="85" t="s">
        <v>3552</v>
      </c>
      <c r="B71" s="86">
        <f>COUNTIF(設計→要件!$D$6:$D$55,$A71)</f>
        <v>1</v>
      </c>
      <c r="C71" s="97">
        <f>IFERROR(B71/$B$74,"-")</f>
        <v>5.4054054054054057E-3</v>
      </c>
      <c r="D71" s="94" t="s">
        <v>3553</v>
      </c>
    </row>
    <row r="72" spans="1:5">
      <c r="A72" s="85" t="s">
        <v>3554</v>
      </c>
      <c r="B72" s="86">
        <f>COUNTIF(設計→要件!$D$6:$D$55,$A72)</f>
        <v>23</v>
      </c>
      <c r="C72" s="97">
        <f>IFERROR(B72/$B$74,"-")</f>
        <v>0.12432432432432433</v>
      </c>
      <c r="D72" s="94" t="s">
        <v>3555</v>
      </c>
    </row>
    <row r="73" spans="1:5">
      <c r="A73" s="85" t="s">
        <v>3556</v>
      </c>
      <c r="B73" s="88">
        <f>COUNTIF(設計→要件!$D$6:$D$55,$A73)</f>
        <v>1</v>
      </c>
      <c r="C73" s="100">
        <f>IFERROR(B73/$B$74,"-")</f>
        <v>5.4054054054054057E-3</v>
      </c>
      <c r="D73" s="95"/>
      <c r="E73" s="61"/>
    </row>
    <row r="74" spans="1:5">
      <c r="A74" s="87" t="s">
        <v>3486</v>
      </c>
      <c r="B74" s="32">
        <f>SUM(B68:B73)</f>
        <v>185</v>
      </c>
      <c r="C74" s="115">
        <f>IFERROR(B74/$B$74,"-")</f>
        <v>1</v>
      </c>
      <c r="E74" s="32" t="str">
        <f>IF(B74=COUNTA(設計決定一覧!$A$5:$A$189),"✓ 設計決定の総数と一致","⚠ 不一致")</f>
        <v>✓ 設計決定の総数と一致</v>
      </c>
    </row>
    <row r="75" spans="1:5">
      <c r="B75" s="103"/>
    </row>
    <row r="76" spans="1:5" ht="75">
      <c r="A76" s="102" t="s">
        <v>3557</v>
      </c>
      <c r="B76" s="105" t="s">
        <v>3558</v>
      </c>
    </row>
    <row r="77" spans="1:5" ht="60">
      <c r="A77" s="104" t="s">
        <v>3473</v>
      </c>
      <c r="B77" s="106" t="s">
        <v>3559</v>
      </c>
    </row>
    <row r="78" spans="1:5" ht="60">
      <c r="A78" s="104" t="s">
        <v>3560</v>
      </c>
      <c r="B78" s="105" t="s">
        <v>3561</v>
      </c>
    </row>
    <row r="79" spans="1:5" ht="60">
      <c r="A79" s="107" t="s">
        <v>3562</v>
      </c>
      <c r="B79" s="105" t="s">
        <v>3563</v>
      </c>
    </row>
    <row r="80" spans="1:5" ht="75">
      <c r="A80" s="107" t="s">
        <v>3564</v>
      </c>
      <c r="B80" s="108" t="s">
        <v>3565</v>
      </c>
    </row>
    <row r="81" spans="1:1">
      <c r="A81" s="107" t="s">
        <v>3566</v>
      </c>
    </row>
  </sheetData>
  <phoneticPr fontId="2"/>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F6F187A-C144-EF41-838F-8FD30632C19C}">
  <dimension ref="A1:T337"/>
  <sheetViews>
    <sheetView zoomScale="125" workbookViewId="0">
      <pane ySplit="3" topLeftCell="A165" activePane="bottomLeft" state="frozen"/>
      <selection activeCell="D1" sqref="D1"/>
      <selection pane="bottomLeft" activeCell="E171" sqref="E171"/>
    </sheetView>
  </sheetViews>
  <sheetFormatPr baseColWidth="10" defaultRowHeight="15"/>
  <cols>
    <col min="1" max="1" width="13.5703125" style="63" customWidth="1"/>
    <col min="2" max="2" width="14.28515625" style="63" customWidth="1"/>
    <col min="3" max="3" width="21.42578125" style="63" customWidth="1"/>
    <col min="4" max="4" width="40" style="63" customWidth="1"/>
    <col min="5" max="5" width="57.140625" style="63" customWidth="1"/>
    <col min="6" max="6" width="68.5703125" style="197" customWidth="1"/>
    <col min="7" max="7" width="42.85546875" style="63" customWidth="1"/>
    <col min="8" max="8" width="20" style="63" customWidth="1"/>
    <col min="9" max="9" width="25.7109375" style="63" customWidth="1"/>
    <col min="10" max="10" width="61.42578125" style="63" customWidth="1"/>
    <col min="11" max="11" width="8.5703125" style="63" customWidth="1"/>
    <col min="12" max="13" width="60" style="63" customWidth="1"/>
    <col min="14" max="14" width="11.42578125" style="63" customWidth="1"/>
    <col min="15" max="15" width="27.140625" style="63" customWidth="1"/>
    <col min="16" max="16" width="15" style="63" customWidth="1"/>
    <col min="17" max="17" width="18.5703125" style="63" customWidth="1"/>
    <col min="18" max="18" width="48.5703125" style="198" customWidth="1"/>
    <col min="19" max="19" width="31.42578125" style="63" customWidth="1"/>
    <col min="20" max="20" width="25" style="63" customWidth="1"/>
    <col min="21" max="16384" width="10.7109375" style="63"/>
  </cols>
  <sheetData>
    <row r="1" spans="1:20">
      <c r="A1" s="62" t="s">
        <v>0</v>
      </c>
      <c r="C1" s="62"/>
    </row>
    <row r="3" spans="1:20" ht="26" customHeight="1">
      <c r="A3" s="138" t="s">
        <v>2436</v>
      </c>
      <c r="B3" s="79" t="s">
        <v>1543</v>
      </c>
      <c r="C3" s="79" t="s">
        <v>1542</v>
      </c>
      <c r="D3" s="79" t="s">
        <v>10</v>
      </c>
      <c r="E3" s="79" t="s">
        <v>667</v>
      </c>
      <c r="F3" s="79" t="s">
        <v>11</v>
      </c>
      <c r="G3" s="79" t="s">
        <v>3033</v>
      </c>
      <c r="H3" s="79" t="s">
        <v>1544</v>
      </c>
      <c r="I3" s="79" t="s">
        <v>3039</v>
      </c>
      <c r="J3" s="79" t="s">
        <v>3040</v>
      </c>
      <c r="K3" s="79" t="s">
        <v>4116</v>
      </c>
      <c r="L3" s="79" t="s">
        <v>4117</v>
      </c>
      <c r="M3" s="79" t="s">
        <v>4118</v>
      </c>
      <c r="N3" s="79" t="s">
        <v>4277</v>
      </c>
      <c r="O3" s="248" t="s">
        <v>8</v>
      </c>
      <c r="P3" s="248" t="s">
        <v>9</v>
      </c>
      <c r="Q3" s="249" t="s">
        <v>3244</v>
      </c>
      <c r="R3" s="248" t="s">
        <v>2936</v>
      </c>
      <c r="S3" s="248" t="s">
        <v>12</v>
      </c>
      <c r="T3" s="248" t="s">
        <v>3613</v>
      </c>
    </row>
    <row r="4" spans="1:20" ht="58" customHeight="1">
      <c r="A4" s="230" t="s">
        <v>2437</v>
      </c>
      <c r="B4" s="41" t="s">
        <v>5</v>
      </c>
      <c r="C4" s="40" t="s">
        <v>1520</v>
      </c>
      <c r="D4" s="40" t="s">
        <v>15</v>
      </c>
      <c r="E4" s="199" t="s">
        <v>2937</v>
      </c>
      <c r="F4" s="199" t="s">
        <v>3965</v>
      </c>
      <c r="G4" s="243" t="s">
        <v>3026</v>
      </c>
      <c r="H4" s="41" t="s">
        <v>2</v>
      </c>
      <c r="I4" s="246" t="s">
        <v>3034</v>
      </c>
      <c r="J4" s="232" t="s">
        <v>3243</v>
      </c>
      <c r="K4" s="161"/>
      <c r="L4" s="240"/>
      <c r="M4" s="240"/>
      <c r="N4" s="160"/>
      <c r="O4" s="139" t="s">
        <v>13</v>
      </c>
      <c r="P4" s="39" t="s">
        <v>14</v>
      </c>
      <c r="Q4" s="228" t="s">
        <v>3245</v>
      </c>
      <c r="R4" s="200" t="s">
        <v>2938</v>
      </c>
      <c r="S4" s="141" t="s">
        <v>16</v>
      </c>
      <c r="T4" s="241"/>
    </row>
    <row r="5" spans="1:20" ht="58" customHeight="1">
      <c r="A5" s="230" t="s">
        <v>2437</v>
      </c>
      <c r="B5" s="41" t="s">
        <v>5</v>
      </c>
      <c r="C5" s="40" t="s">
        <v>1520</v>
      </c>
      <c r="D5" s="40" t="s">
        <v>18</v>
      </c>
      <c r="E5" s="199" t="s">
        <v>668</v>
      </c>
      <c r="F5" s="199" t="s">
        <v>4076</v>
      </c>
      <c r="G5" s="243" t="s">
        <v>3026</v>
      </c>
      <c r="H5" s="41" t="s">
        <v>2</v>
      </c>
      <c r="I5" s="246" t="s">
        <v>3034</v>
      </c>
      <c r="J5" s="232" t="s">
        <v>3243</v>
      </c>
      <c r="K5" s="161"/>
      <c r="L5" s="240"/>
      <c r="M5" s="240"/>
      <c r="N5" s="160"/>
      <c r="O5" s="139" t="s">
        <v>13</v>
      </c>
      <c r="P5" s="39" t="s">
        <v>17</v>
      </c>
      <c r="Q5" s="228" t="s">
        <v>3245</v>
      </c>
      <c r="R5" s="200" t="s">
        <v>2938</v>
      </c>
      <c r="S5" s="141" t="s">
        <v>16</v>
      </c>
      <c r="T5" s="241"/>
    </row>
    <row r="6" spans="1:20" ht="58" customHeight="1">
      <c r="A6" s="230" t="s">
        <v>2437</v>
      </c>
      <c r="B6" s="41" t="s">
        <v>5</v>
      </c>
      <c r="C6" s="40" t="s">
        <v>1520</v>
      </c>
      <c r="D6" s="40" t="s">
        <v>20</v>
      </c>
      <c r="E6" s="199" t="s">
        <v>669</v>
      </c>
      <c r="F6" s="199" t="s">
        <v>4077</v>
      </c>
      <c r="G6" s="243" t="s">
        <v>3026</v>
      </c>
      <c r="H6" s="41" t="s">
        <v>2</v>
      </c>
      <c r="I6" s="246" t="s">
        <v>3034</v>
      </c>
      <c r="J6" s="232" t="s">
        <v>3243</v>
      </c>
      <c r="K6" s="161"/>
      <c r="L6" s="240"/>
      <c r="M6" s="240"/>
      <c r="N6" s="160"/>
      <c r="O6" s="139" t="s">
        <v>13</v>
      </c>
      <c r="P6" s="39" t="s">
        <v>19</v>
      </c>
      <c r="Q6" s="228" t="s">
        <v>3245</v>
      </c>
      <c r="R6" s="200" t="s">
        <v>2939</v>
      </c>
      <c r="S6" s="141" t="s">
        <v>16</v>
      </c>
      <c r="T6" s="241"/>
    </row>
    <row r="7" spans="1:20" ht="58" customHeight="1">
      <c r="A7" s="230" t="s">
        <v>2437</v>
      </c>
      <c r="B7" s="41" t="s">
        <v>5</v>
      </c>
      <c r="C7" s="40" t="s">
        <v>1520</v>
      </c>
      <c r="D7" s="40" t="s">
        <v>22</v>
      </c>
      <c r="E7" s="199" t="s">
        <v>670</v>
      </c>
      <c r="F7" s="199" t="s">
        <v>3966</v>
      </c>
      <c r="G7" s="243" t="s">
        <v>3027</v>
      </c>
      <c r="H7" s="41" t="s">
        <v>958</v>
      </c>
      <c r="I7" s="246" t="s">
        <v>3035</v>
      </c>
      <c r="J7" s="232" t="s">
        <v>3243</v>
      </c>
      <c r="K7" s="161"/>
      <c r="L7" s="240"/>
      <c r="M7" s="240"/>
      <c r="N7" s="160"/>
      <c r="O7" s="139" t="s">
        <v>13</v>
      </c>
      <c r="P7" s="39" t="s">
        <v>21</v>
      </c>
      <c r="Q7" s="228" t="s">
        <v>3245</v>
      </c>
      <c r="R7" s="200" t="s">
        <v>2940</v>
      </c>
      <c r="S7" s="141" t="s">
        <v>16</v>
      </c>
      <c r="T7" s="241"/>
    </row>
    <row r="8" spans="1:20" ht="58" customHeight="1">
      <c r="A8" s="230" t="s">
        <v>2437</v>
      </c>
      <c r="B8" s="41" t="s">
        <v>5</v>
      </c>
      <c r="C8" s="40" t="s">
        <v>1520</v>
      </c>
      <c r="D8" s="40" t="s">
        <v>24</v>
      </c>
      <c r="E8" s="199" t="s">
        <v>671</v>
      </c>
      <c r="F8" s="199" t="s">
        <v>3967</v>
      </c>
      <c r="G8" s="243" t="s">
        <v>3028</v>
      </c>
      <c r="H8" s="41" t="s">
        <v>1522</v>
      </c>
      <c r="I8" s="246" t="s">
        <v>4500</v>
      </c>
      <c r="J8" s="232" t="s">
        <v>3827</v>
      </c>
      <c r="K8" s="161" t="s">
        <v>4286</v>
      </c>
      <c r="L8" s="240" t="s">
        <v>4408</v>
      </c>
      <c r="M8" s="240" t="s">
        <v>4409</v>
      </c>
      <c r="N8" s="160" t="s">
        <v>4279</v>
      </c>
      <c r="O8" s="139" t="s">
        <v>13</v>
      </c>
      <c r="P8" s="39" t="s">
        <v>23</v>
      </c>
      <c r="Q8" s="228" t="s">
        <v>3245</v>
      </c>
      <c r="R8" s="200" t="s">
        <v>2941</v>
      </c>
      <c r="S8" s="141" t="s">
        <v>16</v>
      </c>
      <c r="T8" s="241"/>
    </row>
    <row r="9" spans="1:20" ht="58" customHeight="1">
      <c r="A9" s="230" t="s">
        <v>2437</v>
      </c>
      <c r="B9" s="41" t="s">
        <v>5</v>
      </c>
      <c r="C9" s="40" t="s">
        <v>1520</v>
      </c>
      <c r="D9" s="40" t="s">
        <v>26</v>
      </c>
      <c r="E9" s="199" t="s">
        <v>672</v>
      </c>
      <c r="F9" s="199" t="s">
        <v>4114</v>
      </c>
      <c r="G9" s="243" t="s">
        <v>4115</v>
      </c>
      <c r="H9" s="41" t="s">
        <v>958</v>
      </c>
      <c r="I9" s="246" t="s">
        <v>3035</v>
      </c>
      <c r="J9" s="232" t="s">
        <v>3942</v>
      </c>
      <c r="K9" s="161" t="s">
        <v>958</v>
      </c>
      <c r="L9" s="240"/>
      <c r="M9" s="240"/>
      <c r="N9" s="160"/>
      <c r="O9" s="139" t="s">
        <v>13</v>
      </c>
      <c r="P9" s="39" t="s">
        <v>25</v>
      </c>
      <c r="Q9" s="228" t="s">
        <v>3245</v>
      </c>
      <c r="R9" s="200" t="s">
        <v>446</v>
      </c>
      <c r="S9" s="141" t="s">
        <v>16</v>
      </c>
      <c r="T9" s="241"/>
    </row>
    <row r="10" spans="1:20" ht="58" customHeight="1">
      <c r="A10" s="230" t="s">
        <v>2437</v>
      </c>
      <c r="B10" s="41" t="s">
        <v>5</v>
      </c>
      <c r="C10" s="40" t="s">
        <v>1520</v>
      </c>
      <c r="D10" s="40" t="s">
        <v>28</v>
      </c>
      <c r="E10" s="199" t="s">
        <v>673</v>
      </c>
      <c r="F10" s="199" t="s">
        <v>4300</v>
      </c>
      <c r="G10" s="243" t="s">
        <v>4301</v>
      </c>
      <c r="H10" s="41" t="s">
        <v>958</v>
      </c>
      <c r="I10" s="246" t="s">
        <v>3035</v>
      </c>
      <c r="J10" s="232" t="s">
        <v>3243</v>
      </c>
      <c r="K10" s="161"/>
      <c r="L10" s="240"/>
      <c r="M10" s="240"/>
      <c r="N10" s="160"/>
      <c r="O10" s="139" t="s">
        <v>13</v>
      </c>
      <c r="P10" s="39" t="s">
        <v>27</v>
      </c>
      <c r="Q10" s="228" t="s">
        <v>3245</v>
      </c>
      <c r="R10" s="200" t="s">
        <v>446</v>
      </c>
      <c r="S10" s="141" t="s">
        <v>16</v>
      </c>
      <c r="T10" s="241"/>
    </row>
    <row r="11" spans="1:20" ht="58" customHeight="1">
      <c r="A11" s="230" t="s">
        <v>2437</v>
      </c>
      <c r="B11" s="41" t="s">
        <v>5</v>
      </c>
      <c r="C11" s="40" t="s">
        <v>1520</v>
      </c>
      <c r="D11" s="40" t="s">
        <v>30</v>
      </c>
      <c r="E11" s="199" t="s">
        <v>674</v>
      </c>
      <c r="F11" s="199" t="s">
        <v>3968</v>
      </c>
      <c r="G11" s="243" t="s">
        <v>3026</v>
      </c>
      <c r="H11" s="41" t="s">
        <v>2</v>
      </c>
      <c r="I11" s="246" t="s">
        <v>3034</v>
      </c>
      <c r="J11" s="232" t="s">
        <v>3243</v>
      </c>
      <c r="K11" s="161"/>
      <c r="L11" s="240"/>
      <c r="M11" s="240"/>
      <c r="N11" s="160"/>
      <c r="O11" s="139" t="s">
        <v>13</v>
      </c>
      <c r="P11" s="39" t="s">
        <v>29</v>
      </c>
      <c r="Q11" s="228" t="s">
        <v>3245</v>
      </c>
      <c r="R11" s="200" t="s">
        <v>2938</v>
      </c>
      <c r="S11" s="141" t="s">
        <v>16</v>
      </c>
      <c r="T11" s="241"/>
    </row>
    <row r="12" spans="1:20" ht="58" customHeight="1">
      <c r="A12" s="230" t="s">
        <v>2437</v>
      </c>
      <c r="B12" s="41" t="s">
        <v>5</v>
      </c>
      <c r="C12" s="40" t="s">
        <v>1520</v>
      </c>
      <c r="D12" s="40" t="s">
        <v>33</v>
      </c>
      <c r="E12" s="199" t="s">
        <v>675</v>
      </c>
      <c r="F12" s="199" t="s">
        <v>3969</v>
      </c>
      <c r="G12" s="243" t="s">
        <v>3026</v>
      </c>
      <c r="H12" s="41" t="s">
        <v>2</v>
      </c>
      <c r="I12" s="246" t="s">
        <v>3034</v>
      </c>
      <c r="J12" s="232" t="s">
        <v>3243</v>
      </c>
      <c r="K12" s="161"/>
      <c r="L12" s="240"/>
      <c r="M12" s="240"/>
      <c r="N12" s="160"/>
      <c r="O12" s="139" t="s">
        <v>31</v>
      </c>
      <c r="P12" s="39" t="s">
        <v>32</v>
      </c>
      <c r="Q12" s="228" t="s">
        <v>3245</v>
      </c>
      <c r="R12" s="200" t="s">
        <v>2942</v>
      </c>
      <c r="S12" s="141" t="s">
        <v>34</v>
      </c>
      <c r="T12" s="241"/>
    </row>
    <row r="13" spans="1:20" ht="58" customHeight="1">
      <c r="A13" s="230" t="s">
        <v>2437</v>
      </c>
      <c r="B13" s="41" t="s">
        <v>5</v>
      </c>
      <c r="C13" s="40" t="s">
        <v>1520</v>
      </c>
      <c r="D13" s="40" t="s">
        <v>36</v>
      </c>
      <c r="E13" s="199" t="s">
        <v>676</v>
      </c>
      <c r="F13" s="199" t="s">
        <v>3970</v>
      </c>
      <c r="G13" s="243" t="s">
        <v>3029</v>
      </c>
      <c r="H13" s="41" t="s">
        <v>1522</v>
      </c>
      <c r="I13" s="246" t="s">
        <v>3036</v>
      </c>
      <c r="J13" s="232" t="s">
        <v>3828</v>
      </c>
      <c r="K13" s="161" t="s">
        <v>4258</v>
      </c>
      <c r="L13" s="240" t="s">
        <v>4364</v>
      </c>
      <c r="M13" s="240" t="s">
        <v>4365</v>
      </c>
      <c r="N13" s="160" t="s">
        <v>4279</v>
      </c>
      <c r="O13" s="139" t="s">
        <v>31</v>
      </c>
      <c r="P13" s="39" t="s">
        <v>35</v>
      </c>
      <c r="Q13" s="228" t="s">
        <v>3245</v>
      </c>
      <c r="R13" s="200" t="s">
        <v>2943</v>
      </c>
      <c r="S13" s="141" t="s">
        <v>34</v>
      </c>
      <c r="T13" s="241"/>
    </row>
    <row r="14" spans="1:20" ht="58" customHeight="1">
      <c r="A14" s="230" t="s">
        <v>2437</v>
      </c>
      <c r="B14" s="41" t="s">
        <v>5</v>
      </c>
      <c r="C14" s="40" t="s">
        <v>1520</v>
      </c>
      <c r="D14" s="40" t="s">
        <v>4162</v>
      </c>
      <c r="E14" s="199" t="s">
        <v>677</v>
      </c>
      <c r="F14" s="199" t="s">
        <v>3971</v>
      </c>
      <c r="G14" s="243" t="s">
        <v>3029</v>
      </c>
      <c r="H14" s="41" t="s">
        <v>1522</v>
      </c>
      <c r="I14" s="246" t="s">
        <v>3036</v>
      </c>
      <c r="J14" s="232" t="s">
        <v>3829</v>
      </c>
      <c r="K14" s="161" t="s">
        <v>4163</v>
      </c>
      <c r="L14" s="240" t="s">
        <v>4366</v>
      </c>
      <c r="M14" s="240" t="s">
        <v>4367</v>
      </c>
      <c r="N14" s="160" t="s">
        <v>4279</v>
      </c>
      <c r="O14" s="139" t="s">
        <v>31</v>
      </c>
      <c r="P14" s="39" t="s">
        <v>4161</v>
      </c>
      <c r="Q14" s="228" t="s">
        <v>3245</v>
      </c>
      <c r="R14" s="200" t="s">
        <v>2943</v>
      </c>
      <c r="S14" s="141" t="s">
        <v>34</v>
      </c>
      <c r="T14" s="241"/>
    </row>
    <row r="15" spans="1:20" ht="58" customHeight="1">
      <c r="A15" s="230" t="s">
        <v>2437</v>
      </c>
      <c r="B15" s="41" t="s">
        <v>5</v>
      </c>
      <c r="C15" s="40" t="s">
        <v>1520</v>
      </c>
      <c r="D15" s="40" t="s">
        <v>4164</v>
      </c>
      <c r="E15" s="199" t="s">
        <v>677</v>
      </c>
      <c r="F15" s="199" t="s">
        <v>3971</v>
      </c>
      <c r="G15" s="243" t="s">
        <v>3029</v>
      </c>
      <c r="H15" s="41" t="s">
        <v>1522</v>
      </c>
      <c r="I15" s="246" t="s">
        <v>3036</v>
      </c>
      <c r="J15" s="232" t="s">
        <v>3829</v>
      </c>
      <c r="K15" s="161" t="s">
        <v>4166</v>
      </c>
      <c r="L15" s="240" t="s">
        <v>4386</v>
      </c>
      <c r="M15" s="240" t="s">
        <v>4387</v>
      </c>
      <c r="N15" s="160" t="s">
        <v>4280</v>
      </c>
      <c r="O15" s="139" t="s">
        <v>31</v>
      </c>
      <c r="P15" s="39" t="s">
        <v>4165</v>
      </c>
      <c r="Q15" s="228" t="s">
        <v>3245</v>
      </c>
      <c r="R15" s="200" t="s">
        <v>2943</v>
      </c>
      <c r="S15" s="141" t="s">
        <v>34</v>
      </c>
      <c r="T15" s="241"/>
    </row>
    <row r="16" spans="1:20" ht="58" customHeight="1">
      <c r="A16" s="230" t="s">
        <v>2437</v>
      </c>
      <c r="B16" s="41" t="s">
        <v>5</v>
      </c>
      <c r="C16" s="40" t="s">
        <v>1520</v>
      </c>
      <c r="D16" s="40" t="s">
        <v>39</v>
      </c>
      <c r="E16" s="199" t="s">
        <v>678</v>
      </c>
      <c r="F16" s="199" t="s">
        <v>3972</v>
      </c>
      <c r="G16" s="243" t="s">
        <v>3029</v>
      </c>
      <c r="H16" s="41" t="s">
        <v>1522</v>
      </c>
      <c r="I16" s="246" t="s">
        <v>3036</v>
      </c>
      <c r="J16" s="232" t="s">
        <v>3830</v>
      </c>
      <c r="K16" s="161" t="s">
        <v>4259</v>
      </c>
      <c r="L16" s="240" t="s">
        <v>4368</v>
      </c>
      <c r="M16" s="240" t="s">
        <v>4369</v>
      </c>
      <c r="N16" s="160" t="s">
        <v>4279</v>
      </c>
      <c r="O16" s="139" t="s">
        <v>31</v>
      </c>
      <c r="P16" s="39" t="s">
        <v>38</v>
      </c>
      <c r="Q16" s="228" t="s">
        <v>3245</v>
      </c>
      <c r="R16" s="200" t="s">
        <v>2943</v>
      </c>
      <c r="S16" s="141" t="s">
        <v>34</v>
      </c>
      <c r="T16" s="241"/>
    </row>
    <row r="17" spans="1:20" ht="58" customHeight="1">
      <c r="A17" s="230" t="s">
        <v>2437</v>
      </c>
      <c r="B17" s="41" t="s">
        <v>5</v>
      </c>
      <c r="C17" s="40" t="s">
        <v>1520</v>
      </c>
      <c r="D17" s="40" t="s">
        <v>4168</v>
      </c>
      <c r="E17" s="199" t="s">
        <v>679</v>
      </c>
      <c r="F17" s="199" t="s">
        <v>4078</v>
      </c>
      <c r="G17" s="243" t="s">
        <v>3029</v>
      </c>
      <c r="H17" s="41" t="s">
        <v>1522</v>
      </c>
      <c r="I17" s="246" t="s">
        <v>3036</v>
      </c>
      <c r="J17" s="232" t="s">
        <v>3831</v>
      </c>
      <c r="K17" s="161" t="s">
        <v>4169</v>
      </c>
      <c r="L17" s="240" t="s">
        <v>4370</v>
      </c>
      <c r="M17" s="240" t="s">
        <v>4371</v>
      </c>
      <c r="N17" s="160" t="s">
        <v>4279</v>
      </c>
      <c r="O17" s="139" t="s">
        <v>31</v>
      </c>
      <c r="P17" s="39" t="s">
        <v>4167</v>
      </c>
      <c r="Q17" s="228" t="s">
        <v>3245</v>
      </c>
      <c r="R17" s="200" t="s">
        <v>2943</v>
      </c>
      <c r="S17" s="141" t="s">
        <v>34</v>
      </c>
      <c r="T17" s="241"/>
    </row>
    <row r="18" spans="1:20" ht="58" customHeight="1">
      <c r="A18" s="230" t="s">
        <v>2437</v>
      </c>
      <c r="B18" s="41" t="s">
        <v>5</v>
      </c>
      <c r="C18" s="40" t="s">
        <v>1520</v>
      </c>
      <c r="D18" s="40" t="s">
        <v>4170</v>
      </c>
      <c r="E18" s="199" t="s">
        <v>679</v>
      </c>
      <c r="F18" s="199" t="s">
        <v>4078</v>
      </c>
      <c r="G18" s="243" t="s">
        <v>3029</v>
      </c>
      <c r="H18" s="41" t="s">
        <v>1522</v>
      </c>
      <c r="I18" s="246" t="s">
        <v>3036</v>
      </c>
      <c r="J18" s="232" t="s">
        <v>3831</v>
      </c>
      <c r="K18" s="161" t="s">
        <v>4172</v>
      </c>
      <c r="L18" s="240" t="s">
        <v>4372</v>
      </c>
      <c r="M18" s="240" t="s">
        <v>4373</v>
      </c>
      <c r="N18" s="160" t="s">
        <v>4279</v>
      </c>
      <c r="O18" s="139" t="s">
        <v>31</v>
      </c>
      <c r="P18" s="39" t="s">
        <v>4171</v>
      </c>
      <c r="Q18" s="228" t="s">
        <v>3245</v>
      </c>
      <c r="R18" s="200" t="s">
        <v>2943</v>
      </c>
      <c r="S18" s="141" t="s">
        <v>34</v>
      </c>
      <c r="T18" s="241"/>
    </row>
    <row r="19" spans="1:20" ht="58" customHeight="1">
      <c r="A19" s="230" t="s">
        <v>2437</v>
      </c>
      <c r="B19" s="41" t="s">
        <v>5</v>
      </c>
      <c r="C19" s="40" t="s">
        <v>1520</v>
      </c>
      <c r="D19" s="40" t="s">
        <v>42</v>
      </c>
      <c r="E19" s="199" t="s">
        <v>680</v>
      </c>
      <c r="F19" s="199" t="s">
        <v>4079</v>
      </c>
      <c r="G19" s="243" t="s">
        <v>3029</v>
      </c>
      <c r="H19" s="41" t="s">
        <v>1522</v>
      </c>
      <c r="I19" s="246" t="s">
        <v>3036</v>
      </c>
      <c r="J19" s="232" t="s">
        <v>3832</v>
      </c>
      <c r="K19" s="161" t="s">
        <v>4264</v>
      </c>
      <c r="L19" s="240" t="s">
        <v>4388</v>
      </c>
      <c r="M19" s="240" t="s">
        <v>4389</v>
      </c>
      <c r="N19" s="160" t="s">
        <v>4280</v>
      </c>
      <c r="O19" s="139" t="s">
        <v>31</v>
      </c>
      <c r="P19" s="39" t="s">
        <v>41</v>
      </c>
      <c r="Q19" s="228" t="s">
        <v>3245</v>
      </c>
      <c r="R19" s="200" t="s">
        <v>2943</v>
      </c>
      <c r="S19" s="141" t="s">
        <v>34</v>
      </c>
      <c r="T19" s="241"/>
    </row>
    <row r="20" spans="1:20" ht="58" customHeight="1">
      <c r="A20" s="230" t="s">
        <v>2437</v>
      </c>
      <c r="B20" s="41" t="s">
        <v>5</v>
      </c>
      <c r="C20" s="40" t="s">
        <v>1523</v>
      </c>
      <c r="D20" s="40" t="s">
        <v>45</v>
      </c>
      <c r="E20" s="199" t="s">
        <v>681</v>
      </c>
      <c r="F20" s="199" t="s">
        <v>3973</v>
      </c>
      <c r="G20" s="243" t="s">
        <v>3029</v>
      </c>
      <c r="H20" s="41" t="s">
        <v>1522</v>
      </c>
      <c r="I20" s="246" t="s">
        <v>3036</v>
      </c>
      <c r="J20" s="232" t="s">
        <v>3833</v>
      </c>
      <c r="K20" s="161" t="s">
        <v>4249</v>
      </c>
      <c r="L20" s="240" t="s">
        <v>4330</v>
      </c>
      <c r="M20" s="240" t="s">
        <v>4331</v>
      </c>
      <c r="N20" s="160" t="s">
        <v>4278</v>
      </c>
      <c r="O20" s="139" t="s">
        <v>43</v>
      </c>
      <c r="P20" s="39" t="s">
        <v>44</v>
      </c>
      <c r="Q20" s="228" t="s">
        <v>3245</v>
      </c>
      <c r="R20" s="200" t="s">
        <v>2943</v>
      </c>
      <c r="S20" s="141" t="s">
        <v>46</v>
      </c>
      <c r="T20" s="241"/>
    </row>
    <row r="21" spans="1:20" ht="58" customHeight="1">
      <c r="A21" s="230" t="s">
        <v>2437</v>
      </c>
      <c r="B21" s="41" t="s">
        <v>5</v>
      </c>
      <c r="C21" s="40" t="s">
        <v>1523</v>
      </c>
      <c r="D21" s="40" t="s">
        <v>48</v>
      </c>
      <c r="E21" s="199" t="s">
        <v>682</v>
      </c>
      <c r="F21" s="199" t="s">
        <v>3974</v>
      </c>
      <c r="G21" s="243" t="s">
        <v>3029</v>
      </c>
      <c r="H21" s="41" t="s">
        <v>1522</v>
      </c>
      <c r="I21" s="246" t="s">
        <v>3036</v>
      </c>
      <c r="J21" s="232" t="s">
        <v>3834</v>
      </c>
      <c r="K21" s="161" t="s">
        <v>4250</v>
      </c>
      <c r="L21" s="240" t="s">
        <v>4332</v>
      </c>
      <c r="M21" s="240" t="s">
        <v>4333</v>
      </c>
      <c r="N21" s="160" t="s">
        <v>4278</v>
      </c>
      <c r="O21" s="139" t="s">
        <v>43</v>
      </c>
      <c r="P21" s="39" t="s">
        <v>47</v>
      </c>
      <c r="Q21" s="228" t="s">
        <v>3245</v>
      </c>
      <c r="R21" s="200" t="s">
        <v>2943</v>
      </c>
      <c r="S21" s="141" t="s">
        <v>46</v>
      </c>
      <c r="T21" s="241"/>
    </row>
    <row r="22" spans="1:20" ht="58" customHeight="1">
      <c r="A22" s="230" t="s">
        <v>2437</v>
      </c>
      <c r="B22" s="41" t="s">
        <v>5</v>
      </c>
      <c r="C22" s="40" t="s">
        <v>1523</v>
      </c>
      <c r="D22" s="40" t="s">
        <v>50</v>
      </c>
      <c r="E22" s="199" t="s">
        <v>683</v>
      </c>
      <c r="F22" s="199" t="s">
        <v>3975</v>
      </c>
      <c r="G22" s="243" t="s">
        <v>3029</v>
      </c>
      <c r="H22" s="41" t="s">
        <v>1522</v>
      </c>
      <c r="I22" s="246" t="s">
        <v>3036</v>
      </c>
      <c r="J22" s="232" t="s">
        <v>3835</v>
      </c>
      <c r="K22" s="161" t="s">
        <v>4251</v>
      </c>
      <c r="L22" s="240" t="s">
        <v>4334</v>
      </c>
      <c r="M22" s="240" t="s">
        <v>4335</v>
      </c>
      <c r="N22" s="160" t="s">
        <v>4278</v>
      </c>
      <c r="O22" s="139" t="s">
        <v>43</v>
      </c>
      <c r="P22" s="39" t="s">
        <v>49</v>
      </c>
      <c r="Q22" s="228" t="s">
        <v>3245</v>
      </c>
      <c r="R22" s="200" t="s">
        <v>2943</v>
      </c>
      <c r="S22" s="141" t="s">
        <v>46</v>
      </c>
      <c r="T22" s="241"/>
    </row>
    <row r="23" spans="1:20" ht="58" customHeight="1">
      <c r="A23" s="230" t="s">
        <v>2437</v>
      </c>
      <c r="B23" s="41" t="s">
        <v>5</v>
      </c>
      <c r="C23" s="40" t="s">
        <v>1523</v>
      </c>
      <c r="D23" s="40" t="s">
        <v>52</v>
      </c>
      <c r="E23" s="199" t="s">
        <v>684</v>
      </c>
      <c r="F23" s="199" t="s">
        <v>3976</v>
      </c>
      <c r="G23" s="243" t="s">
        <v>3029</v>
      </c>
      <c r="H23" s="41" t="s">
        <v>1522</v>
      </c>
      <c r="I23" s="246" t="s">
        <v>3036</v>
      </c>
      <c r="J23" s="232" t="s">
        <v>3836</v>
      </c>
      <c r="K23" s="161" t="s">
        <v>4252</v>
      </c>
      <c r="L23" s="240" t="s">
        <v>4336</v>
      </c>
      <c r="M23" s="240" t="s">
        <v>4337</v>
      </c>
      <c r="N23" s="160" t="s">
        <v>4278</v>
      </c>
      <c r="O23" s="139" t="s">
        <v>43</v>
      </c>
      <c r="P23" s="39" t="s">
        <v>51</v>
      </c>
      <c r="Q23" s="228" t="s">
        <v>3245</v>
      </c>
      <c r="R23" s="200" t="s">
        <v>2943</v>
      </c>
      <c r="S23" s="141" t="s">
        <v>46</v>
      </c>
      <c r="T23" s="241"/>
    </row>
    <row r="24" spans="1:20" ht="58" customHeight="1">
      <c r="A24" s="230" t="s">
        <v>2437</v>
      </c>
      <c r="B24" s="41" t="s">
        <v>5</v>
      </c>
      <c r="C24" s="40" t="s">
        <v>1523</v>
      </c>
      <c r="D24" s="40" t="s">
        <v>54</v>
      </c>
      <c r="E24" s="199" t="s">
        <v>685</v>
      </c>
      <c r="F24" s="199" t="s">
        <v>3975</v>
      </c>
      <c r="G24" s="243" t="s">
        <v>3028</v>
      </c>
      <c r="H24" s="41" t="s">
        <v>1522</v>
      </c>
      <c r="I24" s="246" t="s">
        <v>3036</v>
      </c>
      <c r="J24" s="232" t="s">
        <v>3837</v>
      </c>
      <c r="K24" s="161" t="s">
        <v>4542</v>
      </c>
      <c r="L24" s="240" t="s">
        <v>4543</v>
      </c>
      <c r="M24" s="240"/>
      <c r="N24" s="160" t="s">
        <v>4278</v>
      </c>
      <c r="O24" s="139" t="s">
        <v>43</v>
      </c>
      <c r="P24" s="39" t="s">
        <v>53</v>
      </c>
      <c r="Q24" s="228" t="s">
        <v>3245</v>
      </c>
      <c r="R24" s="200" t="s">
        <v>2985</v>
      </c>
      <c r="S24" s="141" t="s">
        <v>46</v>
      </c>
      <c r="T24" s="241"/>
    </row>
    <row r="25" spans="1:20" ht="58" customHeight="1">
      <c r="A25" s="230" t="s">
        <v>2437</v>
      </c>
      <c r="B25" s="41" t="s">
        <v>5</v>
      </c>
      <c r="C25" s="40" t="s">
        <v>1523</v>
      </c>
      <c r="D25" s="40" t="s">
        <v>56</v>
      </c>
      <c r="E25" s="199" t="s">
        <v>686</v>
      </c>
      <c r="F25" s="199" t="s">
        <v>3977</v>
      </c>
      <c r="G25" s="243" t="s">
        <v>3028</v>
      </c>
      <c r="H25" s="41" t="s">
        <v>1522</v>
      </c>
      <c r="I25" s="246" t="s">
        <v>4500</v>
      </c>
      <c r="J25" s="232" t="s">
        <v>3838</v>
      </c>
      <c r="K25" s="161" t="s">
        <v>4281</v>
      </c>
      <c r="L25" s="240" t="s">
        <v>4398</v>
      </c>
      <c r="M25" s="240" t="s">
        <v>4399</v>
      </c>
      <c r="N25" s="160" t="s">
        <v>4278</v>
      </c>
      <c r="O25" s="139" t="s">
        <v>43</v>
      </c>
      <c r="P25" s="39" t="s">
        <v>55</v>
      </c>
      <c r="Q25" s="228" t="s">
        <v>3245</v>
      </c>
      <c r="R25" s="200" t="s">
        <v>2985</v>
      </c>
      <c r="S25" s="141" t="s">
        <v>46</v>
      </c>
      <c r="T25" s="241"/>
    </row>
    <row r="26" spans="1:20" ht="58" customHeight="1">
      <c r="A26" s="230" t="s">
        <v>2437</v>
      </c>
      <c r="B26" s="41" t="s">
        <v>5</v>
      </c>
      <c r="C26" s="40" t="s">
        <v>1523</v>
      </c>
      <c r="D26" s="40" t="s">
        <v>58</v>
      </c>
      <c r="E26" s="199" t="s">
        <v>687</v>
      </c>
      <c r="F26" s="199" t="s">
        <v>3961</v>
      </c>
      <c r="G26" s="243" t="s">
        <v>4560</v>
      </c>
      <c r="H26" s="41" t="s">
        <v>2</v>
      </c>
      <c r="I26" s="246" t="s">
        <v>3034</v>
      </c>
      <c r="J26" s="232" t="s">
        <v>3243</v>
      </c>
      <c r="K26" s="161"/>
      <c r="L26" s="240"/>
      <c r="M26" s="240"/>
      <c r="N26" s="160"/>
      <c r="O26" s="139" t="s">
        <v>43</v>
      </c>
      <c r="P26" s="39" t="s">
        <v>57</v>
      </c>
      <c r="Q26" s="228" t="s">
        <v>3245</v>
      </c>
      <c r="R26" s="200" t="s">
        <v>2945</v>
      </c>
      <c r="S26" s="141" t="s">
        <v>46</v>
      </c>
      <c r="T26" s="241"/>
    </row>
    <row r="27" spans="1:20" ht="58" customHeight="1">
      <c r="A27" s="230" t="s">
        <v>2437</v>
      </c>
      <c r="B27" s="41" t="s">
        <v>5</v>
      </c>
      <c r="C27" s="40" t="s">
        <v>1523</v>
      </c>
      <c r="D27" s="40" t="s">
        <v>62</v>
      </c>
      <c r="E27" s="199" t="s">
        <v>3767</v>
      </c>
      <c r="F27" s="199" t="s">
        <v>3352</v>
      </c>
      <c r="G27" s="243" t="s">
        <v>3353</v>
      </c>
      <c r="H27" s="41" t="s">
        <v>1522</v>
      </c>
      <c r="I27" s="246" t="s">
        <v>3036</v>
      </c>
      <c r="J27" s="232" t="s">
        <v>4087</v>
      </c>
      <c r="K27" s="161" t="s">
        <v>4558</v>
      </c>
      <c r="L27" s="240" t="s">
        <v>4559</v>
      </c>
      <c r="M27" s="240"/>
      <c r="N27" s="160" t="s">
        <v>4278</v>
      </c>
      <c r="O27" s="139" t="s">
        <v>60</v>
      </c>
      <c r="P27" s="39" t="s">
        <v>61</v>
      </c>
      <c r="Q27" s="228" t="s">
        <v>3245</v>
      </c>
      <c r="R27" s="200" t="s">
        <v>2946</v>
      </c>
      <c r="S27" s="141" t="s">
        <v>63</v>
      </c>
      <c r="T27" s="241"/>
    </row>
    <row r="28" spans="1:20" ht="58" customHeight="1">
      <c r="A28" s="230" t="s">
        <v>2437</v>
      </c>
      <c r="B28" s="41" t="s">
        <v>5</v>
      </c>
      <c r="C28" s="40" t="s">
        <v>1523</v>
      </c>
      <c r="D28" s="40" t="s">
        <v>4144</v>
      </c>
      <c r="E28" s="199" t="s">
        <v>3769</v>
      </c>
      <c r="F28" s="199" t="s">
        <v>3978</v>
      </c>
      <c r="G28" s="243" t="s">
        <v>3029</v>
      </c>
      <c r="H28" s="41" t="s">
        <v>1522</v>
      </c>
      <c r="I28" s="246" t="s">
        <v>4113</v>
      </c>
      <c r="J28" s="232" t="s">
        <v>3839</v>
      </c>
      <c r="K28" s="161" t="s">
        <v>4145</v>
      </c>
      <c r="L28" s="240" t="s">
        <v>4344</v>
      </c>
      <c r="M28" s="240" t="s">
        <v>4345</v>
      </c>
      <c r="N28" s="160" t="s">
        <v>4279</v>
      </c>
      <c r="O28" s="139" t="s">
        <v>60</v>
      </c>
      <c r="P28" s="39" t="s">
        <v>4143</v>
      </c>
      <c r="Q28" s="228" t="s">
        <v>3245</v>
      </c>
      <c r="R28" s="200" t="s">
        <v>2947</v>
      </c>
      <c r="S28" s="141" t="s">
        <v>63</v>
      </c>
      <c r="T28" s="241"/>
    </row>
    <row r="29" spans="1:20" ht="58" customHeight="1">
      <c r="A29" s="230" t="s">
        <v>2437</v>
      </c>
      <c r="B29" s="41" t="s">
        <v>5</v>
      </c>
      <c r="C29" s="40" t="s">
        <v>1523</v>
      </c>
      <c r="D29" s="40" t="s">
        <v>4146</v>
      </c>
      <c r="E29" s="199" t="s">
        <v>3769</v>
      </c>
      <c r="F29" s="199" t="s">
        <v>3978</v>
      </c>
      <c r="G29" s="243" t="s">
        <v>3029</v>
      </c>
      <c r="H29" s="41" t="s">
        <v>1522</v>
      </c>
      <c r="I29" s="246" t="s">
        <v>4113</v>
      </c>
      <c r="J29" s="232" t="s">
        <v>3839</v>
      </c>
      <c r="K29" s="161" t="s">
        <v>4148</v>
      </c>
      <c r="L29" s="240" t="s">
        <v>4346</v>
      </c>
      <c r="M29" s="240" t="s">
        <v>4347</v>
      </c>
      <c r="N29" s="160" t="s">
        <v>4279</v>
      </c>
      <c r="O29" s="139" t="s">
        <v>60</v>
      </c>
      <c r="P29" s="39" t="s">
        <v>4147</v>
      </c>
      <c r="Q29" s="228" t="s">
        <v>3245</v>
      </c>
      <c r="R29" s="200" t="s">
        <v>2947</v>
      </c>
      <c r="S29" s="141" t="s">
        <v>63</v>
      </c>
      <c r="T29" s="241"/>
    </row>
    <row r="30" spans="1:20" ht="58" customHeight="1">
      <c r="A30" s="230" t="s">
        <v>2437</v>
      </c>
      <c r="B30" s="41" t="s">
        <v>5</v>
      </c>
      <c r="C30" s="40" t="s">
        <v>1523</v>
      </c>
      <c r="D30" s="40" t="s">
        <v>69</v>
      </c>
      <c r="E30" s="199" t="s">
        <v>690</v>
      </c>
      <c r="F30" s="199" t="s">
        <v>3979</v>
      </c>
      <c r="G30" s="243" t="s">
        <v>3026</v>
      </c>
      <c r="H30" s="41" t="s">
        <v>2</v>
      </c>
      <c r="I30" s="246" t="s">
        <v>3034</v>
      </c>
      <c r="J30" s="232" t="s">
        <v>3243</v>
      </c>
      <c r="K30" s="161"/>
      <c r="L30" s="240"/>
      <c r="M30" s="240"/>
      <c r="N30" s="160"/>
      <c r="O30" s="139" t="s">
        <v>67</v>
      </c>
      <c r="P30" s="39" t="s">
        <v>68</v>
      </c>
      <c r="Q30" s="228" t="s">
        <v>3245</v>
      </c>
      <c r="R30" s="200" t="s">
        <v>2948</v>
      </c>
      <c r="S30" s="141" t="s">
        <v>70</v>
      </c>
      <c r="T30" s="241"/>
    </row>
    <row r="31" spans="1:20" ht="58" customHeight="1">
      <c r="A31" s="230" t="s">
        <v>2437</v>
      </c>
      <c r="B31" s="41" t="s">
        <v>5</v>
      </c>
      <c r="C31" s="40" t="s">
        <v>1523</v>
      </c>
      <c r="D31" s="40" t="s">
        <v>72</v>
      </c>
      <c r="E31" s="199" t="s">
        <v>691</v>
      </c>
      <c r="F31" s="199" t="s">
        <v>3980</v>
      </c>
      <c r="G31" s="243" t="s">
        <v>3029</v>
      </c>
      <c r="H31" s="41" t="s">
        <v>1522</v>
      </c>
      <c r="I31" s="246" t="s">
        <v>3036</v>
      </c>
      <c r="J31" s="232" t="s">
        <v>3840</v>
      </c>
      <c r="K31" s="161" t="s">
        <v>4254</v>
      </c>
      <c r="L31" s="240" t="s">
        <v>4348</v>
      </c>
      <c r="M31" s="240" t="s">
        <v>4349</v>
      </c>
      <c r="N31" s="160" t="s">
        <v>4279</v>
      </c>
      <c r="O31" s="139" t="s">
        <v>67</v>
      </c>
      <c r="P31" s="39" t="s">
        <v>71</v>
      </c>
      <c r="Q31" s="228" t="s">
        <v>3245</v>
      </c>
      <c r="R31" s="200" t="s">
        <v>2943</v>
      </c>
      <c r="S31" s="141" t="s">
        <v>70</v>
      </c>
      <c r="T31" s="241"/>
    </row>
    <row r="32" spans="1:20" ht="58" customHeight="1">
      <c r="A32" s="230" t="s">
        <v>2437</v>
      </c>
      <c r="B32" s="41" t="s">
        <v>5</v>
      </c>
      <c r="C32" s="40" t="s">
        <v>1523</v>
      </c>
      <c r="D32" s="40" t="s">
        <v>66</v>
      </c>
      <c r="E32" s="199" t="s">
        <v>689</v>
      </c>
      <c r="F32" s="199" t="s">
        <v>3981</v>
      </c>
      <c r="G32" s="243" t="s">
        <v>3026</v>
      </c>
      <c r="H32" s="41" t="s">
        <v>2</v>
      </c>
      <c r="I32" s="246" t="s">
        <v>3034</v>
      </c>
      <c r="J32" s="232" t="s">
        <v>3243</v>
      </c>
      <c r="K32" s="161"/>
      <c r="L32" s="240"/>
      <c r="M32" s="240"/>
      <c r="N32" s="160"/>
      <c r="O32" s="139" t="s">
        <v>60</v>
      </c>
      <c r="P32" s="39" t="s">
        <v>65</v>
      </c>
      <c r="Q32" s="228" t="s">
        <v>3245</v>
      </c>
      <c r="R32" s="200" t="s">
        <v>2948</v>
      </c>
      <c r="S32" s="141" t="s">
        <v>63</v>
      </c>
      <c r="T32" s="241"/>
    </row>
    <row r="33" spans="1:20" ht="58" customHeight="1">
      <c r="A33" s="230" t="s">
        <v>2437</v>
      </c>
      <c r="B33" s="41" t="s">
        <v>5</v>
      </c>
      <c r="C33" s="40" t="s">
        <v>1523</v>
      </c>
      <c r="D33" s="40" t="s">
        <v>4138</v>
      </c>
      <c r="E33" s="199" t="s">
        <v>692</v>
      </c>
      <c r="F33" s="199" t="s">
        <v>3982</v>
      </c>
      <c r="G33" s="243" t="s">
        <v>3029</v>
      </c>
      <c r="H33" s="41" t="s">
        <v>1522</v>
      </c>
      <c r="I33" s="246" t="s">
        <v>4113</v>
      </c>
      <c r="J33" s="232" t="s">
        <v>3841</v>
      </c>
      <c r="K33" s="161" t="s">
        <v>4139</v>
      </c>
      <c r="L33" s="240" t="s">
        <v>4338</v>
      </c>
      <c r="M33" s="240" t="s">
        <v>4339</v>
      </c>
      <c r="N33" s="160" t="s">
        <v>4278</v>
      </c>
      <c r="O33" s="139" t="s">
        <v>67</v>
      </c>
      <c r="P33" s="39" t="s">
        <v>4137</v>
      </c>
      <c r="Q33" s="228" t="s">
        <v>3245</v>
      </c>
      <c r="R33" s="200" t="s">
        <v>2943</v>
      </c>
      <c r="S33" s="141" t="s">
        <v>70</v>
      </c>
      <c r="T33" s="241"/>
    </row>
    <row r="34" spans="1:20" ht="58" customHeight="1">
      <c r="A34" s="230" t="s">
        <v>2437</v>
      </c>
      <c r="B34" s="41" t="s">
        <v>5</v>
      </c>
      <c r="C34" s="40" t="s">
        <v>1523</v>
      </c>
      <c r="D34" s="40" t="s">
        <v>4140</v>
      </c>
      <c r="E34" s="199" t="s">
        <v>692</v>
      </c>
      <c r="F34" s="199" t="s">
        <v>3982</v>
      </c>
      <c r="G34" s="243" t="s">
        <v>3029</v>
      </c>
      <c r="H34" s="41" t="s">
        <v>1522</v>
      </c>
      <c r="I34" s="246" t="s">
        <v>4113</v>
      </c>
      <c r="J34" s="232" t="s">
        <v>3841</v>
      </c>
      <c r="K34" s="161" t="s">
        <v>4142</v>
      </c>
      <c r="L34" s="240" t="s">
        <v>4340</v>
      </c>
      <c r="M34" s="240" t="s">
        <v>4341</v>
      </c>
      <c r="N34" s="160" t="s">
        <v>4278</v>
      </c>
      <c r="O34" s="139" t="s">
        <v>67</v>
      </c>
      <c r="P34" s="39" t="s">
        <v>4141</v>
      </c>
      <c r="Q34" s="228" t="s">
        <v>3245</v>
      </c>
      <c r="R34" s="200" t="s">
        <v>2943</v>
      </c>
      <c r="S34" s="141" t="s">
        <v>70</v>
      </c>
      <c r="T34" s="241"/>
    </row>
    <row r="35" spans="1:20" ht="58" customHeight="1">
      <c r="A35" s="230" t="s">
        <v>2437</v>
      </c>
      <c r="B35" s="41" t="s">
        <v>5</v>
      </c>
      <c r="C35" s="40" t="s">
        <v>1523</v>
      </c>
      <c r="D35" s="40" t="s">
        <v>4150</v>
      </c>
      <c r="E35" s="199" t="s">
        <v>688</v>
      </c>
      <c r="F35" s="199" t="s">
        <v>3983</v>
      </c>
      <c r="G35" s="243" t="s">
        <v>3029</v>
      </c>
      <c r="H35" s="41" t="s">
        <v>1522</v>
      </c>
      <c r="I35" s="246" t="s">
        <v>3036</v>
      </c>
      <c r="J35" s="232" t="s">
        <v>3842</v>
      </c>
      <c r="K35" s="161" t="s">
        <v>4151</v>
      </c>
      <c r="L35" s="240" t="s">
        <v>4350</v>
      </c>
      <c r="M35" s="240" t="s">
        <v>4351</v>
      </c>
      <c r="N35" s="160" t="s">
        <v>4279</v>
      </c>
      <c r="O35" s="139" t="s">
        <v>43</v>
      </c>
      <c r="P35" s="39" t="s">
        <v>4149</v>
      </c>
      <c r="Q35" s="228" t="s">
        <v>3245</v>
      </c>
      <c r="R35" s="200" t="s">
        <v>2943</v>
      </c>
      <c r="S35" s="141" t="s">
        <v>46</v>
      </c>
      <c r="T35" s="241"/>
    </row>
    <row r="36" spans="1:20" ht="58" customHeight="1">
      <c r="A36" s="230" t="s">
        <v>2437</v>
      </c>
      <c r="B36" s="41" t="s">
        <v>5</v>
      </c>
      <c r="C36" s="40" t="s">
        <v>1523</v>
      </c>
      <c r="D36" s="40" t="s">
        <v>4152</v>
      </c>
      <c r="E36" s="199" t="s">
        <v>688</v>
      </c>
      <c r="F36" s="199" t="s">
        <v>3983</v>
      </c>
      <c r="G36" s="243" t="s">
        <v>3029</v>
      </c>
      <c r="H36" s="41" t="s">
        <v>1522</v>
      </c>
      <c r="I36" s="246" t="s">
        <v>3036</v>
      </c>
      <c r="J36" s="232" t="s">
        <v>3842</v>
      </c>
      <c r="K36" s="161" t="s">
        <v>4154</v>
      </c>
      <c r="L36" s="240" t="s">
        <v>4352</v>
      </c>
      <c r="M36" s="240" t="s">
        <v>4353</v>
      </c>
      <c r="N36" s="160" t="s">
        <v>4279</v>
      </c>
      <c r="O36" s="139" t="s">
        <v>43</v>
      </c>
      <c r="P36" s="39" t="s">
        <v>4153</v>
      </c>
      <c r="Q36" s="228" t="s">
        <v>3245</v>
      </c>
      <c r="R36" s="200" t="s">
        <v>2943</v>
      </c>
      <c r="S36" s="141" t="s">
        <v>46</v>
      </c>
      <c r="T36" s="241"/>
    </row>
    <row r="37" spans="1:20" ht="58" customHeight="1">
      <c r="A37" s="230" t="s">
        <v>2437</v>
      </c>
      <c r="B37" s="41" t="s">
        <v>5</v>
      </c>
      <c r="C37" s="40" t="s">
        <v>1524</v>
      </c>
      <c r="D37" s="40" t="s">
        <v>76</v>
      </c>
      <c r="E37" s="199" t="s">
        <v>693</v>
      </c>
      <c r="F37" s="199" t="s">
        <v>3984</v>
      </c>
      <c r="G37" s="243" t="s">
        <v>3029</v>
      </c>
      <c r="H37" s="41" t="s">
        <v>1522</v>
      </c>
      <c r="I37" s="246" t="s">
        <v>3036</v>
      </c>
      <c r="J37" s="232" t="s">
        <v>3843</v>
      </c>
      <c r="K37" s="161" t="s">
        <v>4260</v>
      </c>
      <c r="L37" s="240" t="s">
        <v>4374</v>
      </c>
      <c r="M37" s="240" t="s">
        <v>4375</v>
      </c>
      <c r="N37" s="160" t="s">
        <v>4279</v>
      </c>
      <c r="O37" s="139" t="s">
        <v>74</v>
      </c>
      <c r="P37" s="39" t="s">
        <v>75</v>
      </c>
      <c r="Q37" s="228" t="s">
        <v>3245</v>
      </c>
      <c r="R37" s="200" t="s">
        <v>2943</v>
      </c>
      <c r="S37" s="141" t="s">
        <v>77</v>
      </c>
      <c r="T37" s="241"/>
    </row>
    <row r="38" spans="1:20" ht="58" customHeight="1">
      <c r="A38" s="230" t="s">
        <v>2437</v>
      </c>
      <c r="B38" s="41" t="s">
        <v>5</v>
      </c>
      <c r="C38" s="40" t="s">
        <v>1524</v>
      </c>
      <c r="D38" s="40" t="s">
        <v>79</v>
      </c>
      <c r="E38" s="199" t="s">
        <v>694</v>
      </c>
      <c r="F38" s="199" t="s">
        <v>3985</v>
      </c>
      <c r="G38" s="243" t="s">
        <v>3029</v>
      </c>
      <c r="H38" s="41" t="s">
        <v>1522</v>
      </c>
      <c r="I38" s="246" t="s">
        <v>3036</v>
      </c>
      <c r="J38" s="232" t="s">
        <v>3844</v>
      </c>
      <c r="K38" s="161" t="s">
        <v>4261</v>
      </c>
      <c r="L38" s="240" t="s">
        <v>4376</v>
      </c>
      <c r="M38" s="240" t="s">
        <v>4377</v>
      </c>
      <c r="N38" s="160" t="s">
        <v>4279</v>
      </c>
      <c r="O38" s="139" t="s">
        <v>74</v>
      </c>
      <c r="P38" s="39" t="s">
        <v>78</v>
      </c>
      <c r="Q38" s="228" t="s">
        <v>3245</v>
      </c>
      <c r="R38" s="200" t="s">
        <v>2943</v>
      </c>
      <c r="S38" s="141" t="s">
        <v>77</v>
      </c>
      <c r="T38" s="241"/>
    </row>
    <row r="39" spans="1:20" ht="58" customHeight="1">
      <c r="A39" s="230" t="s">
        <v>2437</v>
      </c>
      <c r="B39" s="41" t="s">
        <v>5</v>
      </c>
      <c r="C39" s="40" t="s">
        <v>1524</v>
      </c>
      <c r="D39" s="40" t="s">
        <v>81</v>
      </c>
      <c r="E39" s="199" t="s">
        <v>695</v>
      </c>
      <c r="F39" s="199" t="s">
        <v>3986</v>
      </c>
      <c r="G39" s="243" t="s">
        <v>3029</v>
      </c>
      <c r="H39" s="41" t="s">
        <v>1522</v>
      </c>
      <c r="I39" s="246" t="s">
        <v>3036</v>
      </c>
      <c r="J39" s="232" t="s">
        <v>3845</v>
      </c>
      <c r="K39" s="161" t="s">
        <v>4262</v>
      </c>
      <c r="L39" s="240" t="s">
        <v>4378</v>
      </c>
      <c r="M39" s="240" t="s">
        <v>4379</v>
      </c>
      <c r="N39" s="160" t="s">
        <v>4279</v>
      </c>
      <c r="O39" s="139" t="s">
        <v>74</v>
      </c>
      <c r="P39" s="39" t="s">
        <v>80</v>
      </c>
      <c r="Q39" s="228" t="s">
        <v>3245</v>
      </c>
      <c r="R39" s="200" t="s">
        <v>2943</v>
      </c>
      <c r="S39" s="141" t="s">
        <v>77</v>
      </c>
      <c r="T39" s="241"/>
    </row>
    <row r="40" spans="1:20" ht="58" customHeight="1">
      <c r="A40" s="230" t="s">
        <v>2437</v>
      </c>
      <c r="B40" s="41" t="s">
        <v>5</v>
      </c>
      <c r="C40" s="40" t="s">
        <v>1524</v>
      </c>
      <c r="D40" s="40" t="s">
        <v>83</v>
      </c>
      <c r="E40" s="199" t="s">
        <v>696</v>
      </c>
      <c r="F40" s="199" t="s">
        <v>3987</v>
      </c>
      <c r="G40" s="243" t="s">
        <v>3029</v>
      </c>
      <c r="H40" s="41" t="s">
        <v>1522</v>
      </c>
      <c r="I40" s="246" t="s">
        <v>3036</v>
      </c>
      <c r="J40" s="232" t="s">
        <v>3846</v>
      </c>
      <c r="K40" s="161" t="s">
        <v>4263</v>
      </c>
      <c r="L40" s="240" t="s">
        <v>4380</v>
      </c>
      <c r="M40" s="240" t="s">
        <v>4381</v>
      </c>
      <c r="N40" s="160" t="s">
        <v>4279</v>
      </c>
      <c r="O40" s="139" t="s">
        <v>74</v>
      </c>
      <c r="P40" s="39" t="s">
        <v>82</v>
      </c>
      <c r="Q40" s="228" t="s">
        <v>3245</v>
      </c>
      <c r="R40" s="200" t="s">
        <v>2943</v>
      </c>
      <c r="S40" s="141" t="s">
        <v>77</v>
      </c>
      <c r="T40" s="241"/>
    </row>
    <row r="41" spans="1:20" ht="58" customHeight="1">
      <c r="A41" s="230" t="s">
        <v>2437</v>
      </c>
      <c r="B41" s="41" t="s">
        <v>5</v>
      </c>
      <c r="C41" s="40" t="s">
        <v>1524</v>
      </c>
      <c r="D41" s="40" t="s">
        <v>4174</v>
      </c>
      <c r="E41" s="199" t="s">
        <v>697</v>
      </c>
      <c r="F41" s="199" t="s">
        <v>3988</v>
      </c>
      <c r="G41" s="243" t="s">
        <v>3029</v>
      </c>
      <c r="H41" s="41" t="s">
        <v>1522</v>
      </c>
      <c r="I41" s="246" t="s">
        <v>3036</v>
      </c>
      <c r="J41" s="232" t="s">
        <v>3847</v>
      </c>
      <c r="K41" s="161" t="s">
        <v>4175</v>
      </c>
      <c r="L41" s="240" t="s">
        <v>4382</v>
      </c>
      <c r="M41" s="240" t="s">
        <v>4383</v>
      </c>
      <c r="N41" s="160" t="s">
        <v>4279</v>
      </c>
      <c r="O41" s="139" t="s">
        <v>74</v>
      </c>
      <c r="P41" s="39" t="s">
        <v>4173</v>
      </c>
      <c r="Q41" s="228" t="s">
        <v>3245</v>
      </c>
      <c r="R41" s="200" t="s">
        <v>2943</v>
      </c>
      <c r="S41" s="141" t="s">
        <v>77</v>
      </c>
      <c r="T41" s="241"/>
    </row>
    <row r="42" spans="1:20" ht="58" customHeight="1">
      <c r="A42" s="230" t="s">
        <v>2437</v>
      </c>
      <c r="B42" s="41" t="s">
        <v>5</v>
      </c>
      <c r="C42" s="40" t="s">
        <v>1524</v>
      </c>
      <c r="D42" s="40" t="s">
        <v>4176</v>
      </c>
      <c r="E42" s="199" t="s">
        <v>697</v>
      </c>
      <c r="F42" s="199" t="s">
        <v>3988</v>
      </c>
      <c r="G42" s="243" t="s">
        <v>3029</v>
      </c>
      <c r="H42" s="41" t="s">
        <v>1522</v>
      </c>
      <c r="I42" s="246" t="s">
        <v>3036</v>
      </c>
      <c r="J42" s="232" t="s">
        <v>3847</v>
      </c>
      <c r="K42" s="161" t="s">
        <v>4178</v>
      </c>
      <c r="L42" s="240" t="s">
        <v>4390</v>
      </c>
      <c r="M42" s="240" t="s">
        <v>4391</v>
      </c>
      <c r="N42" s="160" t="s">
        <v>4280</v>
      </c>
      <c r="O42" s="139" t="s">
        <v>74</v>
      </c>
      <c r="P42" s="39" t="s">
        <v>4177</v>
      </c>
      <c r="Q42" s="228" t="s">
        <v>3245</v>
      </c>
      <c r="R42" s="200" t="s">
        <v>2943</v>
      </c>
      <c r="S42" s="141" t="s">
        <v>77</v>
      </c>
      <c r="T42" s="241"/>
    </row>
    <row r="43" spans="1:20" ht="58" customHeight="1">
      <c r="A43" s="230" t="s">
        <v>2437</v>
      </c>
      <c r="B43" s="41" t="s">
        <v>5</v>
      </c>
      <c r="C43" s="40" t="s">
        <v>1524</v>
      </c>
      <c r="D43" s="40" t="s">
        <v>87</v>
      </c>
      <c r="E43" s="199" t="s">
        <v>698</v>
      </c>
      <c r="F43" s="199" t="s">
        <v>3989</v>
      </c>
      <c r="G43" s="243" t="s">
        <v>3026</v>
      </c>
      <c r="H43" s="41" t="s">
        <v>2</v>
      </c>
      <c r="I43" s="246" t="s">
        <v>3034</v>
      </c>
      <c r="J43" s="232" t="s">
        <v>3243</v>
      </c>
      <c r="K43" s="161"/>
      <c r="L43" s="240"/>
      <c r="M43" s="240"/>
      <c r="N43" s="160"/>
      <c r="O43" s="139" t="s">
        <v>85</v>
      </c>
      <c r="P43" s="39" t="s">
        <v>86</v>
      </c>
      <c r="Q43" s="228" t="s">
        <v>3245</v>
      </c>
      <c r="R43" s="200" t="s">
        <v>2945</v>
      </c>
      <c r="S43" s="141" t="s">
        <v>88</v>
      </c>
      <c r="T43" s="241"/>
    </row>
    <row r="44" spans="1:20" ht="58" customHeight="1">
      <c r="A44" s="230" t="s">
        <v>2437</v>
      </c>
      <c r="B44" s="41" t="s">
        <v>5</v>
      </c>
      <c r="C44" s="40" t="s">
        <v>1524</v>
      </c>
      <c r="D44" s="40" t="s">
        <v>90</v>
      </c>
      <c r="E44" s="199" t="s">
        <v>699</v>
      </c>
      <c r="F44" s="199" t="s">
        <v>3990</v>
      </c>
      <c r="G44" s="243" t="s">
        <v>3026</v>
      </c>
      <c r="H44" s="41" t="s">
        <v>2</v>
      </c>
      <c r="I44" s="246" t="s">
        <v>3034</v>
      </c>
      <c r="J44" s="232" t="s">
        <v>3243</v>
      </c>
      <c r="K44" s="161"/>
      <c r="L44" s="240"/>
      <c r="M44" s="240"/>
      <c r="N44" s="160"/>
      <c r="O44" s="139" t="s">
        <v>85</v>
      </c>
      <c r="P44" s="39" t="s">
        <v>89</v>
      </c>
      <c r="Q44" s="228" t="s">
        <v>3245</v>
      </c>
      <c r="R44" s="200" t="s">
        <v>2945</v>
      </c>
      <c r="S44" s="141" t="s">
        <v>88</v>
      </c>
      <c r="T44" s="241"/>
    </row>
    <row r="45" spans="1:20" ht="58" customHeight="1">
      <c r="A45" s="230" t="s">
        <v>2437</v>
      </c>
      <c r="B45" s="41" t="s">
        <v>5</v>
      </c>
      <c r="C45" s="40" t="s">
        <v>1524</v>
      </c>
      <c r="D45" s="40" t="s">
        <v>4180</v>
      </c>
      <c r="E45" s="199" t="s">
        <v>700</v>
      </c>
      <c r="F45" s="199" t="s">
        <v>3991</v>
      </c>
      <c r="G45" s="243" t="s">
        <v>3029</v>
      </c>
      <c r="H45" s="41" t="s">
        <v>1522</v>
      </c>
      <c r="I45" s="246" t="s">
        <v>3036</v>
      </c>
      <c r="J45" s="232" t="s">
        <v>3848</v>
      </c>
      <c r="K45" s="161" t="s">
        <v>4181</v>
      </c>
      <c r="L45" s="240" t="s">
        <v>4384</v>
      </c>
      <c r="M45" s="240" t="s">
        <v>4385</v>
      </c>
      <c r="N45" s="160" t="s">
        <v>4279</v>
      </c>
      <c r="O45" s="139" t="s">
        <v>85</v>
      </c>
      <c r="P45" s="39" t="s">
        <v>4179</v>
      </c>
      <c r="Q45" s="228" t="s">
        <v>3245</v>
      </c>
      <c r="R45" s="200" t="s">
        <v>2943</v>
      </c>
      <c r="S45" s="141" t="s">
        <v>88</v>
      </c>
      <c r="T45" s="241"/>
    </row>
    <row r="46" spans="1:20" ht="58" customHeight="1">
      <c r="A46" s="230" t="s">
        <v>2437</v>
      </c>
      <c r="B46" s="41" t="s">
        <v>5</v>
      </c>
      <c r="C46" s="40" t="s">
        <v>1524</v>
      </c>
      <c r="D46" s="40" t="s">
        <v>4182</v>
      </c>
      <c r="E46" s="199" t="s">
        <v>700</v>
      </c>
      <c r="F46" s="199" t="s">
        <v>3991</v>
      </c>
      <c r="G46" s="243" t="s">
        <v>3029</v>
      </c>
      <c r="H46" s="41" t="s">
        <v>1522</v>
      </c>
      <c r="I46" s="246" t="s">
        <v>3036</v>
      </c>
      <c r="J46" s="232" t="s">
        <v>3848</v>
      </c>
      <c r="K46" s="161" t="s">
        <v>4184</v>
      </c>
      <c r="L46" s="240" t="s">
        <v>4392</v>
      </c>
      <c r="M46" s="240" t="s">
        <v>4393</v>
      </c>
      <c r="N46" s="160" t="s">
        <v>4280</v>
      </c>
      <c r="O46" s="139" t="s">
        <v>85</v>
      </c>
      <c r="P46" s="39" t="s">
        <v>4183</v>
      </c>
      <c r="Q46" s="228" t="s">
        <v>3245</v>
      </c>
      <c r="R46" s="200" t="s">
        <v>2943</v>
      </c>
      <c r="S46" s="141" t="s">
        <v>88</v>
      </c>
      <c r="T46" s="241"/>
    </row>
    <row r="47" spans="1:20" ht="58" customHeight="1">
      <c r="A47" s="230" t="s">
        <v>2437</v>
      </c>
      <c r="B47" s="41" t="s">
        <v>5</v>
      </c>
      <c r="C47" s="40" t="s">
        <v>1524</v>
      </c>
      <c r="D47" s="40" t="s">
        <v>93</v>
      </c>
      <c r="E47" s="199" t="s">
        <v>701</v>
      </c>
      <c r="F47" s="199" t="s">
        <v>3992</v>
      </c>
      <c r="G47" s="243" t="s">
        <v>3026</v>
      </c>
      <c r="H47" s="41" t="s">
        <v>2</v>
      </c>
      <c r="I47" s="246" t="s">
        <v>3034</v>
      </c>
      <c r="J47" s="232" t="s">
        <v>3243</v>
      </c>
      <c r="K47" s="161"/>
      <c r="L47" s="240"/>
      <c r="M47" s="240"/>
      <c r="N47" s="160"/>
      <c r="O47" s="139" t="s">
        <v>85</v>
      </c>
      <c r="P47" s="39" t="s">
        <v>92</v>
      </c>
      <c r="Q47" s="228" t="s">
        <v>3245</v>
      </c>
      <c r="R47" s="200" t="s">
        <v>2945</v>
      </c>
      <c r="S47" s="141" t="s">
        <v>88</v>
      </c>
      <c r="T47" s="241"/>
    </row>
    <row r="48" spans="1:20" ht="58" customHeight="1">
      <c r="A48" s="230" t="s">
        <v>2437</v>
      </c>
      <c r="B48" s="41" t="s">
        <v>5</v>
      </c>
      <c r="C48" s="40" t="s">
        <v>1525</v>
      </c>
      <c r="D48" s="40" t="s">
        <v>96</v>
      </c>
      <c r="E48" s="199" t="s">
        <v>702</v>
      </c>
      <c r="F48" s="199" t="s">
        <v>3287</v>
      </c>
      <c r="G48" s="243" t="s">
        <v>3288</v>
      </c>
      <c r="H48" s="41" t="s">
        <v>2</v>
      </c>
      <c r="I48" s="246" t="s">
        <v>3034</v>
      </c>
      <c r="J48" s="232" t="s">
        <v>3243</v>
      </c>
      <c r="K48" s="161"/>
      <c r="L48" s="240"/>
      <c r="M48" s="240"/>
      <c r="N48" s="160"/>
      <c r="O48" s="139" t="s">
        <v>94</v>
      </c>
      <c r="P48" s="39" t="s">
        <v>95</v>
      </c>
      <c r="Q48" s="228" t="s">
        <v>3245</v>
      </c>
      <c r="R48" s="200" t="s">
        <v>2949</v>
      </c>
      <c r="S48" s="141" t="s">
        <v>97</v>
      </c>
      <c r="T48" s="241"/>
    </row>
    <row r="49" spans="1:20" ht="58" customHeight="1">
      <c r="A49" s="230" t="s">
        <v>2437</v>
      </c>
      <c r="B49" s="41" t="s">
        <v>5</v>
      </c>
      <c r="C49" s="40" t="s">
        <v>1525</v>
      </c>
      <c r="D49" s="40" t="s">
        <v>99</v>
      </c>
      <c r="E49" s="199" t="s">
        <v>703</v>
      </c>
      <c r="F49" s="199" t="s">
        <v>3993</v>
      </c>
      <c r="G49" s="243" t="s">
        <v>3029</v>
      </c>
      <c r="H49" s="41" t="s">
        <v>1522</v>
      </c>
      <c r="I49" s="246" t="s">
        <v>4113</v>
      </c>
      <c r="J49" s="232" t="s">
        <v>3849</v>
      </c>
      <c r="K49" s="161" t="s">
        <v>4255</v>
      </c>
      <c r="L49" s="240" t="s">
        <v>4354</v>
      </c>
      <c r="M49" s="240" t="s">
        <v>4355</v>
      </c>
      <c r="N49" s="160" t="s">
        <v>4279</v>
      </c>
      <c r="O49" s="139" t="s">
        <v>94</v>
      </c>
      <c r="P49" s="39" t="s">
        <v>98</v>
      </c>
      <c r="Q49" s="228" t="s">
        <v>3245</v>
      </c>
      <c r="R49" s="200" t="s">
        <v>2943</v>
      </c>
      <c r="S49" s="141" t="s">
        <v>97</v>
      </c>
      <c r="T49" s="241"/>
    </row>
    <row r="50" spans="1:20" ht="58" customHeight="1">
      <c r="A50" s="230" t="s">
        <v>2437</v>
      </c>
      <c r="B50" s="41" t="s">
        <v>5</v>
      </c>
      <c r="C50" s="40" t="s">
        <v>1525</v>
      </c>
      <c r="D50" s="40" t="s">
        <v>4156</v>
      </c>
      <c r="E50" s="199" t="s">
        <v>704</v>
      </c>
      <c r="F50" s="199" t="s">
        <v>3994</v>
      </c>
      <c r="G50" s="243" t="s">
        <v>3029</v>
      </c>
      <c r="H50" s="41" t="s">
        <v>1522</v>
      </c>
      <c r="I50" s="246" t="s">
        <v>4113</v>
      </c>
      <c r="J50" s="232" t="s">
        <v>3850</v>
      </c>
      <c r="K50" s="161" t="s">
        <v>4157</v>
      </c>
      <c r="L50" s="240" t="s">
        <v>4356</v>
      </c>
      <c r="M50" s="240" t="s">
        <v>4357</v>
      </c>
      <c r="N50" s="160" t="s">
        <v>4279</v>
      </c>
      <c r="O50" s="139" t="s">
        <v>100</v>
      </c>
      <c r="P50" s="39" t="s">
        <v>4155</v>
      </c>
      <c r="Q50" s="228" t="s">
        <v>3245</v>
      </c>
      <c r="R50" s="200" t="s">
        <v>2943</v>
      </c>
      <c r="S50" s="141" t="s">
        <v>102</v>
      </c>
      <c r="T50" s="241"/>
    </row>
    <row r="51" spans="1:20" ht="58" customHeight="1">
      <c r="A51" s="230" t="s">
        <v>2437</v>
      </c>
      <c r="B51" s="41" t="s">
        <v>5</v>
      </c>
      <c r="C51" s="40" t="s">
        <v>1525</v>
      </c>
      <c r="D51" s="40" t="s">
        <v>4158</v>
      </c>
      <c r="E51" s="199" t="s">
        <v>704</v>
      </c>
      <c r="F51" s="199" t="s">
        <v>3994</v>
      </c>
      <c r="G51" s="243" t="s">
        <v>3029</v>
      </c>
      <c r="H51" s="41" t="s">
        <v>1522</v>
      </c>
      <c r="I51" s="246" t="s">
        <v>4113</v>
      </c>
      <c r="J51" s="232" t="s">
        <v>3850</v>
      </c>
      <c r="K51" s="161" t="s">
        <v>4160</v>
      </c>
      <c r="L51" s="240" t="s">
        <v>4358</v>
      </c>
      <c r="M51" s="240" t="s">
        <v>4359</v>
      </c>
      <c r="N51" s="160" t="s">
        <v>4279</v>
      </c>
      <c r="O51" s="139" t="s">
        <v>100</v>
      </c>
      <c r="P51" s="39" t="s">
        <v>4159</v>
      </c>
      <c r="Q51" s="228" t="s">
        <v>3245</v>
      </c>
      <c r="R51" s="200" t="s">
        <v>2943</v>
      </c>
      <c r="S51" s="141" t="s">
        <v>102</v>
      </c>
      <c r="T51" s="241"/>
    </row>
    <row r="52" spans="1:20" ht="58" customHeight="1">
      <c r="A52" s="230" t="s">
        <v>2437</v>
      </c>
      <c r="B52" s="41" t="s">
        <v>5</v>
      </c>
      <c r="C52" s="40" t="s">
        <v>1525</v>
      </c>
      <c r="D52" s="40" t="s">
        <v>104</v>
      </c>
      <c r="E52" s="199" t="s">
        <v>705</v>
      </c>
      <c r="F52" s="199" t="s">
        <v>3994</v>
      </c>
      <c r="G52" s="243" t="s">
        <v>3029</v>
      </c>
      <c r="H52" s="41" t="s">
        <v>1522</v>
      </c>
      <c r="I52" s="246" t="s">
        <v>4500</v>
      </c>
      <c r="J52" s="232" t="s">
        <v>3851</v>
      </c>
      <c r="K52" s="161" t="s">
        <v>4256</v>
      </c>
      <c r="L52" s="240" t="s">
        <v>4360</v>
      </c>
      <c r="M52" s="240" t="s">
        <v>4361</v>
      </c>
      <c r="N52" s="160" t="s">
        <v>4279</v>
      </c>
      <c r="O52" s="139" t="s">
        <v>100</v>
      </c>
      <c r="P52" s="39" t="s">
        <v>103</v>
      </c>
      <c r="Q52" s="228" t="s">
        <v>3245</v>
      </c>
      <c r="R52" s="200" t="s">
        <v>2943</v>
      </c>
      <c r="S52" s="141" t="s">
        <v>102</v>
      </c>
      <c r="T52" s="241"/>
    </row>
    <row r="53" spans="1:20" ht="58" customHeight="1">
      <c r="A53" s="230" t="s">
        <v>2437</v>
      </c>
      <c r="B53" s="41" t="s">
        <v>5</v>
      </c>
      <c r="C53" s="40" t="s">
        <v>1525</v>
      </c>
      <c r="D53" s="40" t="s">
        <v>106</v>
      </c>
      <c r="E53" s="199" t="s">
        <v>706</v>
      </c>
      <c r="F53" s="199" t="s">
        <v>3995</v>
      </c>
      <c r="G53" s="243" t="s">
        <v>3029</v>
      </c>
      <c r="H53" s="41" t="s">
        <v>1522</v>
      </c>
      <c r="I53" s="246" t="s">
        <v>3036</v>
      </c>
      <c r="J53" s="232" t="s">
        <v>3852</v>
      </c>
      <c r="K53" s="161" t="s">
        <v>4257</v>
      </c>
      <c r="L53" s="240" t="s">
        <v>4362</v>
      </c>
      <c r="M53" s="240" t="s">
        <v>4363</v>
      </c>
      <c r="N53" s="160" t="s">
        <v>4279</v>
      </c>
      <c r="O53" s="139" t="s">
        <v>100</v>
      </c>
      <c r="P53" s="39" t="s">
        <v>105</v>
      </c>
      <c r="Q53" s="228" t="s">
        <v>3245</v>
      </c>
      <c r="R53" s="200" t="s">
        <v>2943</v>
      </c>
      <c r="S53" s="141" t="s">
        <v>102</v>
      </c>
      <c r="T53" s="241"/>
    </row>
    <row r="54" spans="1:20" ht="58" customHeight="1">
      <c r="A54" s="230" t="s">
        <v>2437</v>
      </c>
      <c r="B54" s="41" t="s">
        <v>5</v>
      </c>
      <c r="C54" s="40" t="s">
        <v>1525</v>
      </c>
      <c r="D54" s="40" t="s">
        <v>108</v>
      </c>
      <c r="E54" s="199" t="s">
        <v>707</v>
      </c>
      <c r="F54" s="199" t="s">
        <v>3996</v>
      </c>
      <c r="G54" s="243" t="s">
        <v>3030</v>
      </c>
      <c r="H54" s="41" t="s">
        <v>1522</v>
      </c>
      <c r="I54" s="246" t="s">
        <v>4500</v>
      </c>
      <c r="J54" s="232" t="s">
        <v>3853</v>
      </c>
      <c r="K54" s="161" t="s">
        <v>4284</v>
      </c>
      <c r="L54" s="240" t="s">
        <v>4404</v>
      </c>
      <c r="M54" s="240" t="s">
        <v>4405</v>
      </c>
      <c r="N54" s="160" t="s">
        <v>4278</v>
      </c>
      <c r="O54" s="139" t="s">
        <v>100</v>
      </c>
      <c r="P54" s="39" t="s">
        <v>107</v>
      </c>
      <c r="Q54" s="228" t="s">
        <v>3245</v>
      </c>
      <c r="R54" s="200" t="s">
        <v>2944</v>
      </c>
      <c r="S54" s="141" t="s">
        <v>102</v>
      </c>
      <c r="T54" s="241"/>
    </row>
    <row r="55" spans="1:20" ht="58" customHeight="1">
      <c r="A55" s="230" t="s">
        <v>2437</v>
      </c>
      <c r="B55" s="41" t="s">
        <v>5</v>
      </c>
      <c r="C55" s="40" t="s">
        <v>1525</v>
      </c>
      <c r="D55" s="40" t="s">
        <v>110</v>
      </c>
      <c r="E55" s="199" t="s">
        <v>708</v>
      </c>
      <c r="F55" s="199" t="s">
        <v>3997</v>
      </c>
      <c r="G55" s="243" t="s">
        <v>3030</v>
      </c>
      <c r="H55" s="41" t="s">
        <v>1522</v>
      </c>
      <c r="I55" s="246" t="s">
        <v>4500</v>
      </c>
      <c r="J55" s="232" t="s">
        <v>3854</v>
      </c>
      <c r="K55" s="161" t="s">
        <v>4271</v>
      </c>
      <c r="L55" s="240" t="s">
        <v>4430</v>
      </c>
      <c r="M55" s="240"/>
      <c r="N55" s="160" t="s">
        <v>4278</v>
      </c>
      <c r="O55" s="139" t="s">
        <v>100</v>
      </c>
      <c r="P55" s="39" t="s">
        <v>109</v>
      </c>
      <c r="Q55" s="228" t="s">
        <v>3245</v>
      </c>
      <c r="R55" s="200" t="s">
        <v>2944</v>
      </c>
      <c r="S55" s="141" t="s">
        <v>102</v>
      </c>
      <c r="T55" s="241"/>
    </row>
    <row r="56" spans="1:20" ht="58" customHeight="1">
      <c r="A56" s="230" t="s">
        <v>2437</v>
      </c>
      <c r="B56" s="41" t="s">
        <v>5</v>
      </c>
      <c r="C56" s="40" t="s">
        <v>1525</v>
      </c>
      <c r="D56" s="40" t="s">
        <v>113</v>
      </c>
      <c r="E56" s="199" t="s">
        <v>709</v>
      </c>
      <c r="F56" s="199" t="s">
        <v>3998</v>
      </c>
      <c r="G56" s="243" t="s">
        <v>3030</v>
      </c>
      <c r="H56" s="41" t="s">
        <v>1522</v>
      </c>
      <c r="I56" s="246" t="s">
        <v>4113</v>
      </c>
      <c r="J56" s="232" t="s">
        <v>3855</v>
      </c>
      <c r="K56" s="161" t="s">
        <v>4296</v>
      </c>
      <c r="L56" s="240" t="s">
        <v>4428</v>
      </c>
      <c r="M56" s="240" t="s">
        <v>4429</v>
      </c>
      <c r="N56" s="160" t="s">
        <v>4280</v>
      </c>
      <c r="O56" s="139" t="s">
        <v>111</v>
      </c>
      <c r="P56" s="39" t="s">
        <v>112</v>
      </c>
      <c r="Q56" s="228" t="s">
        <v>3245</v>
      </c>
      <c r="R56" s="200" t="s">
        <v>2944</v>
      </c>
      <c r="S56" s="141" t="s">
        <v>114</v>
      </c>
      <c r="T56" s="241"/>
    </row>
    <row r="57" spans="1:20" ht="58" customHeight="1">
      <c r="A57" s="230" t="s">
        <v>2437</v>
      </c>
      <c r="B57" s="41" t="s">
        <v>5</v>
      </c>
      <c r="C57" s="40" t="s">
        <v>1525</v>
      </c>
      <c r="D57" s="40" t="s">
        <v>116</v>
      </c>
      <c r="E57" s="199" t="s">
        <v>710</v>
      </c>
      <c r="F57" s="199" t="s">
        <v>3999</v>
      </c>
      <c r="G57" s="243" t="s">
        <v>3030</v>
      </c>
      <c r="H57" s="41" t="s">
        <v>1522</v>
      </c>
      <c r="I57" s="246" t="s">
        <v>4500</v>
      </c>
      <c r="J57" s="232" t="s">
        <v>3856</v>
      </c>
      <c r="K57" s="161" t="s">
        <v>4283</v>
      </c>
      <c r="L57" s="240" t="s">
        <v>4402</v>
      </c>
      <c r="M57" s="240" t="s">
        <v>4403</v>
      </c>
      <c r="N57" s="160" t="s">
        <v>4278</v>
      </c>
      <c r="O57" s="139" t="s">
        <v>111</v>
      </c>
      <c r="P57" s="39" t="s">
        <v>115</v>
      </c>
      <c r="Q57" s="228" t="s">
        <v>3245</v>
      </c>
      <c r="R57" s="200" t="s">
        <v>2944</v>
      </c>
      <c r="S57" s="141" t="s">
        <v>114</v>
      </c>
      <c r="T57" s="241"/>
    </row>
    <row r="58" spans="1:20" ht="58" customHeight="1">
      <c r="A58" s="230" t="s">
        <v>2437</v>
      </c>
      <c r="B58" s="41" t="s">
        <v>5</v>
      </c>
      <c r="C58" s="40" t="s">
        <v>1525</v>
      </c>
      <c r="D58" s="40" t="s">
        <v>118</v>
      </c>
      <c r="E58" s="199" t="s">
        <v>711</v>
      </c>
      <c r="F58" s="199" t="s">
        <v>4000</v>
      </c>
      <c r="G58" s="243" t="s">
        <v>3030</v>
      </c>
      <c r="H58" s="41" t="s">
        <v>1522</v>
      </c>
      <c r="I58" s="246" t="s">
        <v>4113</v>
      </c>
      <c r="J58" s="232" t="s">
        <v>3857</v>
      </c>
      <c r="K58" s="161" t="s">
        <v>4295</v>
      </c>
      <c r="L58" s="240" t="s">
        <v>4426</v>
      </c>
      <c r="M58" s="240" t="s">
        <v>4427</v>
      </c>
      <c r="N58" s="160" t="s">
        <v>4280</v>
      </c>
      <c r="O58" s="139" t="s">
        <v>111</v>
      </c>
      <c r="P58" s="39" t="s">
        <v>117</v>
      </c>
      <c r="Q58" s="228" t="s">
        <v>3245</v>
      </c>
      <c r="R58" s="200" t="s">
        <v>2944</v>
      </c>
      <c r="S58" s="141" t="s">
        <v>114</v>
      </c>
      <c r="T58" s="241"/>
    </row>
    <row r="59" spans="1:20" ht="58" customHeight="1">
      <c r="A59" s="230" t="s">
        <v>2437</v>
      </c>
      <c r="B59" s="41" t="s">
        <v>5</v>
      </c>
      <c r="C59" s="40" t="s">
        <v>1526</v>
      </c>
      <c r="D59" s="40" t="s">
        <v>121</v>
      </c>
      <c r="E59" s="199" t="s">
        <v>712</v>
      </c>
      <c r="F59" s="199" t="s">
        <v>4001</v>
      </c>
      <c r="G59" s="243" t="s">
        <v>3026</v>
      </c>
      <c r="H59" s="41" t="s">
        <v>2</v>
      </c>
      <c r="I59" s="246" t="s">
        <v>3034</v>
      </c>
      <c r="J59" s="232" t="s">
        <v>3243</v>
      </c>
      <c r="K59" s="161"/>
      <c r="L59" s="240"/>
      <c r="M59" s="240"/>
      <c r="N59" s="160"/>
      <c r="O59" s="139" t="s">
        <v>119</v>
      </c>
      <c r="P59" s="39" t="s">
        <v>120</v>
      </c>
      <c r="Q59" s="228" t="s">
        <v>3245</v>
      </c>
      <c r="R59" s="200" t="s">
        <v>2</v>
      </c>
      <c r="S59" s="141" t="s">
        <v>122</v>
      </c>
      <c r="T59" s="241"/>
    </row>
    <row r="60" spans="1:20" ht="58" customHeight="1">
      <c r="A60" s="230" t="s">
        <v>2437</v>
      </c>
      <c r="B60" s="41" t="s">
        <v>5</v>
      </c>
      <c r="C60" s="40" t="s">
        <v>1526</v>
      </c>
      <c r="D60" s="40" t="s">
        <v>124</v>
      </c>
      <c r="E60" s="199" t="s">
        <v>713</v>
      </c>
      <c r="F60" s="199" t="s">
        <v>4002</v>
      </c>
      <c r="G60" s="243" t="s">
        <v>3026</v>
      </c>
      <c r="H60" s="41" t="s">
        <v>2</v>
      </c>
      <c r="I60" s="246" t="s">
        <v>3034</v>
      </c>
      <c r="J60" s="232" t="s">
        <v>3243</v>
      </c>
      <c r="K60" s="161"/>
      <c r="L60" s="240"/>
      <c r="M60" s="240"/>
      <c r="N60" s="160"/>
      <c r="O60" s="139" t="s">
        <v>119</v>
      </c>
      <c r="P60" s="39" t="s">
        <v>123</v>
      </c>
      <c r="Q60" s="228" t="s">
        <v>3245</v>
      </c>
      <c r="R60" s="200" t="s">
        <v>2</v>
      </c>
      <c r="S60" s="141" t="s">
        <v>122</v>
      </c>
      <c r="T60" s="241"/>
    </row>
    <row r="61" spans="1:20" ht="58" customHeight="1">
      <c r="A61" s="230" t="s">
        <v>2437</v>
      </c>
      <c r="B61" s="41" t="s">
        <v>5</v>
      </c>
      <c r="C61" s="40" t="s">
        <v>1526</v>
      </c>
      <c r="D61" s="40" t="s">
        <v>126</v>
      </c>
      <c r="E61" s="199" t="s">
        <v>714</v>
      </c>
      <c r="F61" s="199" t="s">
        <v>4003</v>
      </c>
      <c r="G61" s="243" t="s">
        <v>3030</v>
      </c>
      <c r="H61" s="41" t="s">
        <v>1522</v>
      </c>
      <c r="I61" s="246" t="s">
        <v>4500</v>
      </c>
      <c r="J61" s="232" t="s">
        <v>3858</v>
      </c>
      <c r="K61" s="161" t="s">
        <v>4285</v>
      </c>
      <c r="L61" s="240" t="s">
        <v>4406</v>
      </c>
      <c r="M61" s="240" t="s">
        <v>4407</v>
      </c>
      <c r="N61" s="160" t="s">
        <v>4278</v>
      </c>
      <c r="O61" s="139" t="s">
        <v>119</v>
      </c>
      <c r="P61" s="39" t="s">
        <v>125</v>
      </c>
      <c r="Q61" s="228" t="s">
        <v>3245</v>
      </c>
      <c r="R61" s="200" t="s">
        <v>2944</v>
      </c>
      <c r="S61" s="141" t="s">
        <v>122</v>
      </c>
      <c r="T61" s="241"/>
    </row>
    <row r="62" spans="1:20" ht="58" customHeight="1">
      <c r="A62" s="230" t="s">
        <v>2437</v>
      </c>
      <c r="B62" s="41" t="s">
        <v>5</v>
      </c>
      <c r="C62" s="40" t="s">
        <v>1526</v>
      </c>
      <c r="D62" s="40" t="s">
        <v>128</v>
      </c>
      <c r="E62" s="199" t="s">
        <v>715</v>
      </c>
      <c r="F62" s="199" t="s">
        <v>4004</v>
      </c>
      <c r="G62" s="243" t="s">
        <v>3030</v>
      </c>
      <c r="H62" s="41" t="s">
        <v>1522</v>
      </c>
      <c r="I62" s="246" t="s">
        <v>4500</v>
      </c>
      <c r="J62" s="232" t="s">
        <v>3859</v>
      </c>
      <c r="K62" s="161" t="s">
        <v>4287</v>
      </c>
      <c r="L62" s="240" t="s">
        <v>4410</v>
      </c>
      <c r="M62" s="240" t="s">
        <v>4411</v>
      </c>
      <c r="N62" s="160" t="s">
        <v>4279</v>
      </c>
      <c r="O62" s="139" t="s">
        <v>119</v>
      </c>
      <c r="P62" s="39" t="s">
        <v>127</v>
      </c>
      <c r="Q62" s="228" t="s">
        <v>3245</v>
      </c>
      <c r="R62" s="200" t="s">
        <v>2944</v>
      </c>
      <c r="S62" s="141" t="s">
        <v>122</v>
      </c>
      <c r="T62" s="241"/>
    </row>
    <row r="63" spans="1:20" ht="58" customHeight="1">
      <c r="A63" s="230" t="s">
        <v>2437</v>
      </c>
      <c r="B63" s="41" t="s">
        <v>5</v>
      </c>
      <c r="C63" s="40" t="s">
        <v>1526</v>
      </c>
      <c r="D63" s="40" t="s">
        <v>130</v>
      </c>
      <c r="E63" s="199" t="s">
        <v>716</v>
      </c>
      <c r="F63" s="199" t="s">
        <v>4005</v>
      </c>
      <c r="G63" s="243" t="s">
        <v>3027</v>
      </c>
      <c r="H63" s="41" t="s">
        <v>958</v>
      </c>
      <c r="I63" s="246" t="s">
        <v>3035</v>
      </c>
      <c r="J63" s="232" t="s">
        <v>3243</v>
      </c>
      <c r="K63" s="161"/>
      <c r="L63" s="240"/>
      <c r="M63" s="240"/>
      <c r="N63" s="160"/>
      <c r="O63" s="139" t="s">
        <v>119</v>
      </c>
      <c r="P63" s="39" t="s">
        <v>129</v>
      </c>
      <c r="Q63" s="228" t="s">
        <v>3245</v>
      </c>
      <c r="R63" s="200" t="s">
        <v>2940</v>
      </c>
      <c r="S63" s="141" t="s">
        <v>122</v>
      </c>
      <c r="T63" s="241"/>
    </row>
    <row r="64" spans="1:20" ht="58" customHeight="1">
      <c r="A64" s="230" t="s">
        <v>2437</v>
      </c>
      <c r="B64" s="41" t="s">
        <v>5</v>
      </c>
      <c r="C64" s="40" t="s">
        <v>1526</v>
      </c>
      <c r="D64" s="40" t="s">
        <v>132</v>
      </c>
      <c r="E64" s="199" t="s">
        <v>717</v>
      </c>
      <c r="F64" s="199" t="s">
        <v>4006</v>
      </c>
      <c r="G64" s="243" t="s">
        <v>3030</v>
      </c>
      <c r="H64" s="41" t="s">
        <v>1522</v>
      </c>
      <c r="I64" s="246" t="s">
        <v>4500</v>
      </c>
      <c r="J64" s="232" t="s">
        <v>3860</v>
      </c>
      <c r="K64" s="161" t="s">
        <v>4272</v>
      </c>
      <c r="L64" s="240" t="s">
        <v>4431</v>
      </c>
      <c r="M64" s="240"/>
      <c r="N64" s="160" t="s">
        <v>4278</v>
      </c>
      <c r="O64" s="139" t="s">
        <v>119</v>
      </c>
      <c r="P64" s="39" t="s">
        <v>131</v>
      </c>
      <c r="Q64" s="228" t="s">
        <v>3245</v>
      </c>
      <c r="R64" s="200" t="s">
        <v>2944</v>
      </c>
      <c r="S64" s="141" t="s">
        <v>122</v>
      </c>
      <c r="T64" s="241"/>
    </row>
    <row r="65" spans="1:20" ht="58" customHeight="1">
      <c r="A65" s="230" t="s">
        <v>2437</v>
      </c>
      <c r="B65" s="41" t="s">
        <v>5</v>
      </c>
      <c r="C65" s="40" t="s">
        <v>1526</v>
      </c>
      <c r="D65" s="40" t="s">
        <v>134</v>
      </c>
      <c r="E65" s="199" t="s">
        <v>718</v>
      </c>
      <c r="F65" s="199" t="s">
        <v>4007</v>
      </c>
      <c r="G65" s="243" t="s">
        <v>3027</v>
      </c>
      <c r="H65" s="41" t="s">
        <v>958</v>
      </c>
      <c r="I65" s="246" t="s">
        <v>3035</v>
      </c>
      <c r="J65" s="232" t="s">
        <v>3243</v>
      </c>
      <c r="K65" s="161"/>
      <c r="L65" s="240"/>
      <c r="M65" s="240"/>
      <c r="N65" s="160"/>
      <c r="O65" s="139" t="s">
        <v>119</v>
      </c>
      <c r="P65" s="39" t="s">
        <v>133</v>
      </c>
      <c r="Q65" s="228" t="s">
        <v>3245</v>
      </c>
      <c r="R65" s="200" t="s">
        <v>2940</v>
      </c>
      <c r="S65" s="141" t="s">
        <v>122</v>
      </c>
      <c r="T65" s="241"/>
    </row>
    <row r="66" spans="1:20" ht="58" customHeight="1">
      <c r="A66" s="230" t="s">
        <v>2437</v>
      </c>
      <c r="B66" s="41" t="s">
        <v>5</v>
      </c>
      <c r="C66" s="40" t="s">
        <v>1526</v>
      </c>
      <c r="D66" s="40" t="s">
        <v>136</v>
      </c>
      <c r="E66" s="199" t="s">
        <v>3945</v>
      </c>
      <c r="F66" s="199" t="s">
        <v>3946</v>
      </c>
      <c r="G66" s="243" t="s">
        <v>3947</v>
      </c>
      <c r="H66" s="41" t="s">
        <v>2</v>
      </c>
      <c r="I66" s="246" t="s">
        <v>3034</v>
      </c>
      <c r="J66" s="232" t="s">
        <v>3243</v>
      </c>
      <c r="K66" s="161"/>
      <c r="L66" s="240"/>
      <c r="M66" s="240"/>
      <c r="N66" s="160"/>
      <c r="O66" s="139" t="s">
        <v>119</v>
      </c>
      <c r="P66" s="39" t="s">
        <v>135</v>
      </c>
      <c r="Q66" s="228" t="s">
        <v>3245</v>
      </c>
      <c r="R66" s="200" t="s">
        <v>2950</v>
      </c>
      <c r="S66" s="141" t="s">
        <v>122</v>
      </c>
      <c r="T66" s="241"/>
    </row>
    <row r="67" spans="1:20" ht="58" customHeight="1">
      <c r="A67" s="230" t="s">
        <v>2437</v>
      </c>
      <c r="B67" s="41" t="s">
        <v>5</v>
      </c>
      <c r="C67" s="40" t="s">
        <v>1526</v>
      </c>
      <c r="D67" s="40" t="s">
        <v>139</v>
      </c>
      <c r="E67" s="199" t="s">
        <v>3780</v>
      </c>
      <c r="F67" s="199" t="s">
        <v>4008</v>
      </c>
      <c r="G67" s="243" t="s">
        <v>3027</v>
      </c>
      <c r="H67" s="41" t="s">
        <v>958</v>
      </c>
      <c r="I67" s="246" t="s">
        <v>3035</v>
      </c>
      <c r="J67" s="232" t="s">
        <v>3243</v>
      </c>
      <c r="K67" s="161"/>
      <c r="L67" s="240"/>
      <c r="M67" s="240"/>
      <c r="N67" s="160"/>
      <c r="O67" s="139" t="s">
        <v>137</v>
      </c>
      <c r="P67" s="39" t="s">
        <v>138</v>
      </c>
      <c r="Q67" s="228" t="s">
        <v>3245</v>
      </c>
      <c r="R67" s="200" t="s">
        <v>2951</v>
      </c>
      <c r="S67" s="141" t="s">
        <v>140</v>
      </c>
      <c r="T67" s="241"/>
    </row>
    <row r="68" spans="1:20" ht="58" customHeight="1">
      <c r="A68" s="230" t="s">
        <v>2437</v>
      </c>
      <c r="B68" s="41" t="s">
        <v>5</v>
      </c>
      <c r="C68" s="40" t="s">
        <v>1526</v>
      </c>
      <c r="D68" s="40" t="s">
        <v>142</v>
      </c>
      <c r="E68" s="199" t="s">
        <v>3781</v>
      </c>
      <c r="F68" s="199" t="s">
        <v>4009</v>
      </c>
      <c r="G68" s="243" t="s">
        <v>3027</v>
      </c>
      <c r="H68" s="41" t="s">
        <v>958</v>
      </c>
      <c r="I68" s="246" t="s">
        <v>3035</v>
      </c>
      <c r="J68" s="232" t="s">
        <v>3243</v>
      </c>
      <c r="K68" s="161"/>
      <c r="L68" s="240"/>
      <c r="M68" s="240"/>
      <c r="N68" s="160"/>
      <c r="O68" s="139" t="s">
        <v>137</v>
      </c>
      <c r="P68" s="39" t="s">
        <v>141</v>
      </c>
      <c r="Q68" s="228" t="s">
        <v>3245</v>
      </c>
      <c r="R68" s="200" t="s">
        <v>2951</v>
      </c>
      <c r="S68" s="141" t="s">
        <v>140</v>
      </c>
      <c r="T68" s="241"/>
    </row>
    <row r="69" spans="1:20" ht="58" customHeight="1">
      <c r="A69" s="230" t="s">
        <v>2437</v>
      </c>
      <c r="B69" s="41" t="s">
        <v>5</v>
      </c>
      <c r="C69" s="40" t="s">
        <v>1527</v>
      </c>
      <c r="D69" s="40" t="s">
        <v>145</v>
      </c>
      <c r="E69" s="199" t="s">
        <v>719</v>
      </c>
      <c r="F69" s="199" t="s">
        <v>3318</v>
      </c>
      <c r="G69" s="243" t="s">
        <v>3319</v>
      </c>
      <c r="H69" s="41" t="s">
        <v>1522</v>
      </c>
      <c r="I69" s="246" t="s">
        <v>3036</v>
      </c>
      <c r="J69" s="232" t="s">
        <v>3243</v>
      </c>
      <c r="K69" s="161" t="s">
        <v>4617</v>
      </c>
      <c r="L69" s="240" t="s">
        <v>4618</v>
      </c>
      <c r="M69" s="240"/>
      <c r="N69" s="160"/>
      <c r="O69" s="139" t="s">
        <v>143</v>
      </c>
      <c r="P69" s="39" t="s">
        <v>144</v>
      </c>
      <c r="Q69" s="228" t="s">
        <v>3245</v>
      </c>
      <c r="R69" s="200" t="s">
        <v>2952</v>
      </c>
      <c r="S69" s="141" t="s">
        <v>146</v>
      </c>
      <c r="T69" s="241" t="s">
        <v>4619</v>
      </c>
    </row>
    <row r="70" spans="1:20" ht="58" customHeight="1">
      <c r="A70" s="230" t="s">
        <v>2437</v>
      </c>
      <c r="B70" s="41" t="s">
        <v>5</v>
      </c>
      <c r="C70" s="40" t="s">
        <v>1527</v>
      </c>
      <c r="D70" s="40" t="s">
        <v>155</v>
      </c>
      <c r="E70" s="199" t="s">
        <v>722</v>
      </c>
      <c r="F70" s="199" t="s">
        <v>4010</v>
      </c>
      <c r="G70" s="243" t="s">
        <v>3030</v>
      </c>
      <c r="H70" s="41" t="s">
        <v>1522</v>
      </c>
      <c r="I70" s="246" t="s">
        <v>4500</v>
      </c>
      <c r="J70" s="232" t="s">
        <v>3861</v>
      </c>
      <c r="K70" s="161" t="s">
        <v>4288</v>
      </c>
      <c r="L70" s="240" t="s">
        <v>4412</v>
      </c>
      <c r="M70" s="240" t="s">
        <v>4413</v>
      </c>
      <c r="N70" s="160" t="s">
        <v>4279</v>
      </c>
      <c r="O70" s="139" t="s">
        <v>153</v>
      </c>
      <c r="P70" s="39" t="s">
        <v>154</v>
      </c>
      <c r="Q70" s="228" t="s">
        <v>3245</v>
      </c>
      <c r="R70" s="200" t="s">
        <v>2944</v>
      </c>
      <c r="S70" s="141" t="s">
        <v>156</v>
      </c>
      <c r="T70" s="241"/>
    </row>
    <row r="71" spans="1:20" ht="58" customHeight="1">
      <c r="A71" s="230" t="s">
        <v>2437</v>
      </c>
      <c r="B71" s="41" t="s">
        <v>5</v>
      </c>
      <c r="C71" s="40" t="s">
        <v>1527</v>
      </c>
      <c r="D71" s="40" t="s">
        <v>169</v>
      </c>
      <c r="E71" s="199" t="s">
        <v>3768</v>
      </c>
      <c r="F71" s="199" t="s">
        <v>3962</v>
      </c>
      <c r="G71" s="243" t="s">
        <v>4561</v>
      </c>
      <c r="H71" s="41" t="s">
        <v>2</v>
      </c>
      <c r="I71" s="246" t="s">
        <v>3034</v>
      </c>
      <c r="J71" s="232" t="s">
        <v>3243</v>
      </c>
      <c r="K71" s="161"/>
      <c r="L71" s="240"/>
      <c r="M71" s="240"/>
      <c r="N71" s="160"/>
      <c r="O71" s="139" t="s">
        <v>167</v>
      </c>
      <c r="P71" s="39" t="s">
        <v>168</v>
      </c>
      <c r="Q71" s="228" t="s">
        <v>3245</v>
      </c>
      <c r="R71" s="200" t="s">
        <v>2955</v>
      </c>
      <c r="S71" s="141" t="s">
        <v>170</v>
      </c>
      <c r="T71" s="241"/>
    </row>
    <row r="72" spans="1:20" ht="58" customHeight="1">
      <c r="A72" s="230" t="s">
        <v>2437</v>
      </c>
      <c r="B72" s="41" t="s">
        <v>5</v>
      </c>
      <c r="C72" s="40" t="s">
        <v>1527</v>
      </c>
      <c r="D72" s="40" t="s">
        <v>163</v>
      </c>
      <c r="E72" s="199" t="s">
        <v>725</v>
      </c>
      <c r="F72" s="199" t="s">
        <v>3320</v>
      </c>
      <c r="G72" s="243" t="s">
        <v>3321</v>
      </c>
      <c r="H72" s="41" t="s">
        <v>1522</v>
      </c>
      <c r="I72" s="246" t="s">
        <v>3036</v>
      </c>
      <c r="J72" s="232" t="s">
        <v>3243</v>
      </c>
      <c r="K72" s="161" t="s">
        <v>4620</v>
      </c>
      <c r="L72" s="240" t="s">
        <v>4621</v>
      </c>
      <c r="M72" s="240"/>
      <c r="N72" s="160"/>
      <c r="O72" s="139" t="s">
        <v>161</v>
      </c>
      <c r="P72" s="39" t="s">
        <v>162</v>
      </c>
      <c r="Q72" s="228" t="s">
        <v>3245</v>
      </c>
      <c r="R72" s="200" t="s">
        <v>2952</v>
      </c>
      <c r="S72" s="141" t="s">
        <v>164</v>
      </c>
      <c r="T72" s="241" t="s">
        <v>4619</v>
      </c>
    </row>
    <row r="73" spans="1:20" ht="58" customHeight="1">
      <c r="A73" s="230" t="s">
        <v>2437</v>
      </c>
      <c r="B73" s="41" t="s">
        <v>5</v>
      </c>
      <c r="C73" s="40" t="s">
        <v>1527</v>
      </c>
      <c r="D73" s="40" t="s">
        <v>148</v>
      </c>
      <c r="E73" s="199" t="s">
        <v>720</v>
      </c>
      <c r="F73" s="199" t="s">
        <v>3322</v>
      </c>
      <c r="G73" s="243" t="s">
        <v>3297</v>
      </c>
      <c r="H73" s="41" t="s">
        <v>2</v>
      </c>
      <c r="I73" s="246" t="s">
        <v>3034</v>
      </c>
      <c r="J73" s="232" t="s">
        <v>3243</v>
      </c>
      <c r="K73" s="161"/>
      <c r="L73" s="240"/>
      <c r="M73" s="240"/>
      <c r="N73" s="160"/>
      <c r="O73" s="139" t="s">
        <v>143</v>
      </c>
      <c r="P73" s="39" t="s">
        <v>147</v>
      </c>
      <c r="Q73" s="228" t="s">
        <v>3245</v>
      </c>
      <c r="R73" s="200" t="s">
        <v>2952</v>
      </c>
      <c r="S73" s="141" t="s">
        <v>146</v>
      </c>
      <c r="T73" s="241"/>
    </row>
    <row r="74" spans="1:20" ht="58" customHeight="1">
      <c r="A74" s="230" t="s">
        <v>2437</v>
      </c>
      <c r="B74" s="41" t="s">
        <v>5</v>
      </c>
      <c r="C74" s="40" t="s">
        <v>1527</v>
      </c>
      <c r="D74" s="40" t="s">
        <v>150</v>
      </c>
      <c r="E74" s="199" t="s">
        <v>3779</v>
      </c>
      <c r="F74" s="199" t="s">
        <v>3291</v>
      </c>
      <c r="G74" s="243" t="s">
        <v>3292</v>
      </c>
      <c r="H74" s="41" t="s">
        <v>2</v>
      </c>
      <c r="I74" s="246" t="s">
        <v>3034</v>
      </c>
      <c r="J74" s="232" t="s">
        <v>3243</v>
      </c>
      <c r="K74" s="161"/>
      <c r="L74" s="240"/>
      <c r="M74" s="240"/>
      <c r="N74" s="160"/>
      <c r="O74" s="139" t="s">
        <v>143</v>
      </c>
      <c r="P74" s="39" t="s">
        <v>149</v>
      </c>
      <c r="Q74" s="228" t="s">
        <v>3245</v>
      </c>
      <c r="R74" s="200" t="s">
        <v>2953</v>
      </c>
      <c r="S74" s="141" t="s">
        <v>146</v>
      </c>
      <c r="T74" s="241"/>
    </row>
    <row r="75" spans="1:20" ht="58" customHeight="1">
      <c r="A75" s="230" t="s">
        <v>2437</v>
      </c>
      <c r="B75" s="41" t="s">
        <v>5</v>
      </c>
      <c r="C75" s="40" t="s">
        <v>1527</v>
      </c>
      <c r="D75" s="40" t="s">
        <v>158</v>
      </c>
      <c r="E75" s="199" t="s">
        <v>723</v>
      </c>
      <c r="F75" s="199" t="s">
        <v>4011</v>
      </c>
      <c r="G75" s="243" t="s">
        <v>3026</v>
      </c>
      <c r="H75" s="41" t="s">
        <v>2</v>
      </c>
      <c r="I75" s="246" t="s">
        <v>3034</v>
      </c>
      <c r="J75" s="232" t="s">
        <v>3243</v>
      </c>
      <c r="K75" s="161"/>
      <c r="L75" s="240"/>
      <c r="M75" s="240"/>
      <c r="N75" s="160"/>
      <c r="O75" s="139" t="s">
        <v>153</v>
      </c>
      <c r="P75" s="39" t="s">
        <v>157</v>
      </c>
      <c r="Q75" s="228" t="s">
        <v>3245</v>
      </c>
      <c r="R75" s="200" t="s">
        <v>2954</v>
      </c>
      <c r="S75" s="141" t="s">
        <v>156</v>
      </c>
      <c r="T75" s="241"/>
    </row>
    <row r="76" spans="1:20" ht="58" customHeight="1">
      <c r="A76" s="230" t="s">
        <v>2437</v>
      </c>
      <c r="B76" s="41" t="s">
        <v>5</v>
      </c>
      <c r="C76" s="40" t="s">
        <v>1527</v>
      </c>
      <c r="D76" s="40" t="s">
        <v>160</v>
      </c>
      <c r="E76" s="199" t="s">
        <v>724</v>
      </c>
      <c r="F76" s="199" t="s">
        <v>4012</v>
      </c>
      <c r="G76" s="243" t="s">
        <v>3026</v>
      </c>
      <c r="H76" s="41" t="s">
        <v>2</v>
      </c>
      <c r="I76" s="246" t="s">
        <v>3034</v>
      </c>
      <c r="J76" s="232" t="s">
        <v>3243</v>
      </c>
      <c r="K76" s="161"/>
      <c r="L76" s="240"/>
      <c r="M76" s="240"/>
      <c r="N76" s="160"/>
      <c r="O76" s="139" t="s">
        <v>153</v>
      </c>
      <c r="P76" s="39" t="s">
        <v>159</v>
      </c>
      <c r="Q76" s="228" t="s">
        <v>3245</v>
      </c>
      <c r="R76" s="200" t="s">
        <v>2954</v>
      </c>
      <c r="S76" s="141" t="s">
        <v>156</v>
      </c>
      <c r="T76" s="241"/>
    </row>
    <row r="77" spans="1:20" ht="58" customHeight="1">
      <c r="A77" s="230" t="s">
        <v>2437</v>
      </c>
      <c r="B77" s="41" t="s">
        <v>5</v>
      </c>
      <c r="C77" s="40" t="s">
        <v>1527</v>
      </c>
      <c r="D77" s="40" t="s">
        <v>172</v>
      </c>
      <c r="E77" s="199" t="s">
        <v>727</v>
      </c>
      <c r="F77" s="199" t="s">
        <v>3323</v>
      </c>
      <c r="G77" s="243" t="s">
        <v>4562</v>
      </c>
      <c r="H77" s="41" t="s">
        <v>1522</v>
      </c>
      <c r="I77" s="246" t="s">
        <v>4500</v>
      </c>
      <c r="J77" s="232" t="s">
        <v>3243</v>
      </c>
      <c r="K77" s="161" t="s">
        <v>4626</v>
      </c>
      <c r="L77" s="240" t="s">
        <v>4627</v>
      </c>
      <c r="M77" s="240"/>
      <c r="N77" s="160"/>
      <c r="O77" s="139" t="s">
        <v>167</v>
      </c>
      <c r="P77" s="39" t="s">
        <v>171</v>
      </c>
      <c r="Q77" s="228" t="s">
        <v>3245</v>
      </c>
      <c r="R77" s="200" t="s">
        <v>2952</v>
      </c>
      <c r="S77" s="141" t="s">
        <v>170</v>
      </c>
      <c r="T77" s="241" t="s">
        <v>4619</v>
      </c>
    </row>
    <row r="78" spans="1:20" ht="58" customHeight="1">
      <c r="A78" s="230" t="s">
        <v>2437</v>
      </c>
      <c r="B78" s="41" t="s">
        <v>5</v>
      </c>
      <c r="C78" s="40" t="s">
        <v>1527</v>
      </c>
      <c r="D78" s="40" t="s">
        <v>174</v>
      </c>
      <c r="E78" s="199" t="s">
        <v>4089</v>
      </c>
      <c r="F78" s="199" t="s">
        <v>3324</v>
      </c>
      <c r="G78" s="243" t="s">
        <v>4090</v>
      </c>
      <c r="H78" s="41" t="s">
        <v>1522</v>
      </c>
      <c r="I78" s="246" t="s">
        <v>3036</v>
      </c>
      <c r="J78" s="232" t="s">
        <v>4091</v>
      </c>
      <c r="K78" s="161" t="s">
        <v>4549</v>
      </c>
      <c r="L78" s="240" t="s">
        <v>4550</v>
      </c>
      <c r="M78" s="240"/>
      <c r="N78" s="160" t="s">
        <v>4279</v>
      </c>
      <c r="O78" s="139" t="s">
        <v>167</v>
      </c>
      <c r="P78" s="39" t="s">
        <v>173</v>
      </c>
      <c r="Q78" s="228" t="s">
        <v>3245</v>
      </c>
      <c r="R78" s="200" t="s">
        <v>2952</v>
      </c>
      <c r="S78" s="141" t="s">
        <v>170</v>
      </c>
      <c r="T78" s="241"/>
    </row>
    <row r="79" spans="1:20" ht="58" customHeight="1">
      <c r="A79" s="230" t="s">
        <v>2437</v>
      </c>
      <c r="B79" s="41" t="s">
        <v>5</v>
      </c>
      <c r="C79" s="40" t="s">
        <v>1527</v>
      </c>
      <c r="D79" s="40" t="s">
        <v>152</v>
      </c>
      <c r="E79" s="199" t="s">
        <v>721</v>
      </c>
      <c r="F79" s="199" t="s">
        <v>4013</v>
      </c>
      <c r="G79" s="243" t="s">
        <v>3030</v>
      </c>
      <c r="H79" s="41" t="s">
        <v>1522</v>
      </c>
      <c r="I79" s="246" t="s">
        <v>4500</v>
      </c>
      <c r="J79" s="232" t="s">
        <v>3862</v>
      </c>
      <c r="K79" s="161" t="s">
        <v>4290</v>
      </c>
      <c r="L79" s="240" t="s">
        <v>4416</v>
      </c>
      <c r="M79" s="240" t="s">
        <v>4417</v>
      </c>
      <c r="N79" s="160" t="s">
        <v>4279</v>
      </c>
      <c r="O79" s="139" t="s">
        <v>143</v>
      </c>
      <c r="P79" s="39" t="s">
        <v>151</v>
      </c>
      <c r="Q79" s="228" t="s">
        <v>3245</v>
      </c>
      <c r="R79" s="200" t="s">
        <v>2944</v>
      </c>
      <c r="S79" s="141" t="s">
        <v>146</v>
      </c>
      <c r="T79" s="241"/>
    </row>
    <row r="80" spans="1:20" ht="58" customHeight="1">
      <c r="A80" s="230" t="s">
        <v>2437</v>
      </c>
      <c r="B80" s="41" t="s">
        <v>5</v>
      </c>
      <c r="C80" s="40" t="s">
        <v>1527</v>
      </c>
      <c r="D80" s="40" t="s">
        <v>166</v>
      </c>
      <c r="E80" s="199" t="s">
        <v>726</v>
      </c>
      <c r="F80" s="199" t="s">
        <v>3325</v>
      </c>
      <c r="G80" s="243" t="s">
        <v>4563</v>
      </c>
      <c r="H80" s="41" t="s">
        <v>3</v>
      </c>
      <c r="I80" s="246" t="s">
        <v>1539</v>
      </c>
      <c r="J80" s="232" t="s">
        <v>3243</v>
      </c>
      <c r="K80" s="161" t="s">
        <v>958</v>
      </c>
      <c r="L80" s="240"/>
      <c r="M80" s="240"/>
      <c r="N80" s="160"/>
      <c r="O80" s="139" t="s">
        <v>161</v>
      </c>
      <c r="P80" s="39" t="s">
        <v>165</v>
      </c>
      <c r="Q80" s="228" t="s">
        <v>3245</v>
      </c>
      <c r="R80" s="200" t="s">
        <v>2952</v>
      </c>
      <c r="S80" s="141" t="s">
        <v>164</v>
      </c>
      <c r="T80" s="241" t="s">
        <v>4628</v>
      </c>
    </row>
    <row r="81" spans="1:20" ht="58" customHeight="1">
      <c r="A81" s="230" t="s">
        <v>2437</v>
      </c>
      <c r="B81" s="41" t="s">
        <v>5</v>
      </c>
      <c r="C81" s="40" t="s">
        <v>1528</v>
      </c>
      <c r="D81" s="40" t="s">
        <v>177</v>
      </c>
      <c r="E81" s="199" t="s">
        <v>728</v>
      </c>
      <c r="F81" s="199" t="s">
        <v>4014</v>
      </c>
      <c r="G81" s="243" t="s">
        <v>3026</v>
      </c>
      <c r="H81" s="41" t="s">
        <v>2</v>
      </c>
      <c r="I81" s="246" t="s">
        <v>3034</v>
      </c>
      <c r="J81" s="232" t="s">
        <v>3243</v>
      </c>
      <c r="K81" s="161"/>
      <c r="L81" s="240"/>
      <c r="M81" s="240"/>
      <c r="N81" s="160"/>
      <c r="O81" s="139" t="s">
        <v>175</v>
      </c>
      <c r="P81" s="39" t="s">
        <v>176</v>
      </c>
      <c r="Q81" s="228" t="s">
        <v>3245</v>
      </c>
      <c r="R81" s="200" t="s">
        <v>2956</v>
      </c>
      <c r="S81" s="141" t="s">
        <v>178</v>
      </c>
      <c r="T81" s="241"/>
    </row>
    <row r="82" spans="1:20" ht="58" customHeight="1">
      <c r="A82" s="230" t="s">
        <v>2437</v>
      </c>
      <c r="B82" s="41" t="s">
        <v>5</v>
      </c>
      <c r="C82" s="40" t="s">
        <v>1528</v>
      </c>
      <c r="D82" s="40" t="s">
        <v>180</v>
      </c>
      <c r="E82" s="199" t="s">
        <v>729</v>
      </c>
      <c r="F82" s="199" t="s">
        <v>3326</v>
      </c>
      <c r="G82" s="243" t="s">
        <v>3327</v>
      </c>
      <c r="H82" s="41" t="s">
        <v>1522</v>
      </c>
      <c r="I82" s="246" t="s">
        <v>3036</v>
      </c>
      <c r="J82" s="232" t="s">
        <v>3243</v>
      </c>
      <c r="K82" s="161" t="s">
        <v>4622</v>
      </c>
      <c r="L82" s="240" t="s">
        <v>4623</v>
      </c>
      <c r="M82" s="240"/>
      <c r="N82" s="160"/>
      <c r="O82" s="139" t="s">
        <v>175</v>
      </c>
      <c r="P82" s="39" t="s">
        <v>179</v>
      </c>
      <c r="Q82" s="228" t="s">
        <v>3245</v>
      </c>
      <c r="R82" s="200" t="s">
        <v>2952</v>
      </c>
      <c r="S82" s="141" t="s">
        <v>178</v>
      </c>
      <c r="T82" s="241" t="s">
        <v>4619</v>
      </c>
    </row>
    <row r="83" spans="1:20" ht="58" customHeight="1">
      <c r="A83" s="230" t="s">
        <v>2437</v>
      </c>
      <c r="B83" s="41" t="s">
        <v>5</v>
      </c>
      <c r="C83" s="40" t="s">
        <v>1528</v>
      </c>
      <c r="D83" s="40" t="s">
        <v>182</v>
      </c>
      <c r="E83" s="199" t="s">
        <v>730</v>
      </c>
      <c r="F83" s="199" t="s">
        <v>3328</v>
      </c>
      <c r="G83" s="243" t="s">
        <v>4564</v>
      </c>
      <c r="H83" s="41" t="s">
        <v>1522</v>
      </c>
      <c r="I83" s="246" t="s">
        <v>3036</v>
      </c>
      <c r="J83" s="232" t="s">
        <v>3243</v>
      </c>
      <c r="K83" s="161" t="s">
        <v>4482</v>
      </c>
      <c r="L83" s="240" t="s">
        <v>4483</v>
      </c>
      <c r="M83" s="240"/>
      <c r="N83" s="160"/>
      <c r="O83" s="139" t="s">
        <v>175</v>
      </c>
      <c r="P83" s="39" t="s">
        <v>181</v>
      </c>
      <c r="Q83" s="228" t="s">
        <v>3245</v>
      </c>
      <c r="R83" s="200" t="s">
        <v>2952</v>
      </c>
      <c r="S83" s="141" t="s">
        <v>178</v>
      </c>
      <c r="T83" s="241"/>
    </row>
    <row r="84" spans="1:20" ht="58" customHeight="1">
      <c r="A84" s="230" t="s">
        <v>2437</v>
      </c>
      <c r="B84" s="41" t="s">
        <v>5</v>
      </c>
      <c r="C84" s="40" t="s">
        <v>1528</v>
      </c>
      <c r="D84" s="40" t="s">
        <v>184</v>
      </c>
      <c r="E84" s="199" t="s">
        <v>731</v>
      </c>
      <c r="F84" s="199" t="s">
        <v>3329</v>
      </c>
      <c r="G84" s="243" t="s">
        <v>4565</v>
      </c>
      <c r="H84" s="41" t="s">
        <v>3</v>
      </c>
      <c r="I84" s="246" t="s">
        <v>1539</v>
      </c>
      <c r="J84" s="232" t="s">
        <v>3243</v>
      </c>
      <c r="K84" s="161" t="s">
        <v>958</v>
      </c>
      <c r="L84" s="240"/>
      <c r="M84" s="240"/>
      <c r="N84" s="160"/>
      <c r="O84" s="139" t="s">
        <v>175</v>
      </c>
      <c r="P84" s="39" t="s">
        <v>183</v>
      </c>
      <c r="Q84" s="228" t="s">
        <v>3245</v>
      </c>
      <c r="R84" s="200" t="s">
        <v>2952</v>
      </c>
      <c r="S84" s="141" t="s">
        <v>178</v>
      </c>
      <c r="T84" s="241" t="s">
        <v>4629</v>
      </c>
    </row>
    <row r="85" spans="1:20" ht="58" customHeight="1">
      <c r="A85" s="230" t="s">
        <v>2437</v>
      </c>
      <c r="B85" s="41" t="s">
        <v>5</v>
      </c>
      <c r="C85" s="40" t="s">
        <v>1528</v>
      </c>
      <c r="D85" s="40" t="s">
        <v>186</v>
      </c>
      <c r="E85" s="199" t="s">
        <v>732</v>
      </c>
      <c r="F85" s="199" t="s">
        <v>3330</v>
      </c>
      <c r="G85" s="243" t="s">
        <v>4566</v>
      </c>
      <c r="H85" s="41" t="s">
        <v>1522</v>
      </c>
      <c r="I85" s="246" t="s">
        <v>3036</v>
      </c>
      <c r="J85" s="232" t="s">
        <v>3243</v>
      </c>
      <c r="K85" s="161" t="s">
        <v>4624</v>
      </c>
      <c r="L85" s="240" t="s">
        <v>4625</v>
      </c>
      <c r="M85" s="240"/>
      <c r="N85" s="160"/>
      <c r="O85" s="139" t="s">
        <v>175</v>
      </c>
      <c r="P85" s="39" t="s">
        <v>185</v>
      </c>
      <c r="Q85" s="228" t="s">
        <v>3245</v>
      </c>
      <c r="R85" s="200" t="s">
        <v>2952</v>
      </c>
      <c r="S85" s="141" t="s">
        <v>178</v>
      </c>
      <c r="T85" s="241" t="s">
        <v>4619</v>
      </c>
    </row>
    <row r="86" spans="1:20" ht="58" customHeight="1">
      <c r="A86" s="230" t="s">
        <v>2437</v>
      </c>
      <c r="B86" s="41" t="s">
        <v>5</v>
      </c>
      <c r="C86" s="40" t="s">
        <v>1528</v>
      </c>
      <c r="D86" s="40" t="s">
        <v>197</v>
      </c>
      <c r="E86" s="199" t="s">
        <v>4498</v>
      </c>
      <c r="F86" s="199" t="s">
        <v>4015</v>
      </c>
      <c r="G86" s="243" t="s">
        <v>3031</v>
      </c>
      <c r="H86" s="41" t="s">
        <v>1522</v>
      </c>
      <c r="I86" s="246" t="s">
        <v>3036</v>
      </c>
      <c r="J86" s="232" t="s">
        <v>3863</v>
      </c>
      <c r="K86" s="161" t="s">
        <v>4654</v>
      </c>
      <c r="L86" s="240" t="s">
        <v>4655</v>
      </c>
      <c r="M86" s="240"/>
      <c r="N86" s="160" t="s">
        <v>4279</v>
      </c>
      <c r="O86" s="139" t="s">
        <v>195</v>
      </c>
      <c r="P86" s="39" t="s">
        <v>196</v>
      </c>
      <c r="Q86" s="228" t="s">
        <v>3245</v>
      </c>
      <c r="R86" s="200" t="s">
        <v>2986</v>
      </c>
      <c r="S86" s="141" t="s">
        <v>198</v>
      </c>
      <c r="T86" s="241"/>
    </row>
    <row r="87" spans="1:20" ht="58" customHeight="1">
      <c r="A87" s="230" t="s">
        <v>2437</v>
      </c>
      <c r="B87" s="41" t="s">
        <v>5</v>
      </c>
      <c r="C87" s="40" t="s">
        <v>1528</v>
      </c>
      <c r="D87" s="40" t="s">
        <v>191</v>
      </c>
      <c r="E87" s="199" t="s">
        <v>733</v>
      </c>
      <c r="F87" s="199" t="s">
        <v>4016</v>
      </c>
      <c r="G87" s="243" t="s">
        <v>3030</v>
      </c>
      <c r="H87" s="41" t="s">
        <v>1522</v>
      </c>
      <c r="I87" s="246" t="s">
        <v>3036</v>
      </c>
      <c r="J87" s="232" t="s">
        <v>3864</v>
      </c>
      <c r="K87" s="161" t="s">
        <v>4557</v>
      </c>
      <c r="L87" s="240"/>
      <c r="M87" s="240"/>
      <c r="N87" s="160"/>
      <c r="O87" s="139" t="s">
        <v>189</v>
      </c>
      <c r="P87" s="39" t="s">
        <v>190</v>
      </c>
      <c r="Q87" s="228" t="s">
        <v>3245</v>
      </c>
      <c r="R87" s="200" t="s">
        <v>2944</v>
      </c>
      <c r="S87" s="141" t="s">
        <v>192</v>
      </c>
      <c r="T87" s="241"/>
    </row>
    <row r="88" spans="1:20" ht="58" customHeight="1">
      <c r="A88" s="230" t="s">
        <v>2437</v>
      </c>
      <c r="B88" s="41" t="s">
        <v>5</v>
      </c>
      <c r="C88" s="40" t="s">
        <v>1528</v>
      </c>
      <c r="D88" s="40" t="s">
        <v>194</v>
      </c>
      <c r="E88" s="199" t="s">
        <v>734</v>
      </c>
      <c r="F88" s="199" t="s">
        <v>4017</v>
      </c>
      <c r="G88" s="243" t="s">
        <v>3030</v>
      </c>
      <c r="H88" s="41" t="s">
        <v>1522</v>
      </c>
      <c r="I88" s="246" t="s">
        <v>3036</v>
      </c>
      <c r="J88" s="232" t="s">
        <v>3865</v>
      </c>
      <c r="K88" s="161" t="s">
        <v>4520</v>
      </c>
      <c r="L88" s="240" t="s">
        <v>4521</v>
      </c>
      <c r="M88" s="240" t="s">
        <v>4522</v>
      </c>
      <c r="N88" s="160" t="s">
        <v>4279</v>
      </c>
      <c r="O88" s="139" t="s">
        <v>189</v>
      </c>
      <c r="P88" s="39" t="s">
        <v>193</v>
      </c>
      <c r="Q88" s="228" t="s">
        <v>3245</v>
      </c>
      <c r="R88" s="200" t="s">
        <v>2944</v>
      </c>
      <c r="S88" s="141" t="s">
        <v>192</v>
      </c>
      <c r="T88" s="241"/>
    </row>
    <row r="89" spans="1:20" ht="58" customHeight="1">
      <c r="A89" s="230" t="s">
        <v>2437</v>
      </c>
      <c r="B89" s="41" t="s">
        <v>5</v>
      </c>
      <c r="C89" s="40" t="s">
        <v>1528</v>
      </c>
      <c r="D89" s="40" t="s">
        <v>188</v>
      </c>
      <c r="E89" s="199" t="s">
        <v>3770</v>
      </c>
      <c r="F89" s="199" t="s">
        <v>3293</v>
      </c>
      <c r="G89" s="243" t="s">
        <v>3294</v>
      </c>
      <c r="H89" s="41" t="s">
        <v>2</v>
      </c>
      <c r="I89" s="246" t="s">
        <v>3034</v>
      </c>
      <c r="J89" s="232" t="s">
        <v>3243</v>
      </c>
      <c r="K89" s="161"/>
      <c r="L89" s="240"/>
      <c r="M89" s="240"/>
      <c r="N89" s="160"/>
      <c r="O89" s="139" t="s">
        <v>175</v>
      </c>
      <c r="P89" s="39" t="s">
        <v>187</v>
      </c>
      <c r="Q89" s="228" t="s">
        <v>3245</v>
      </c>
      <c r="R89" s="200" t="s">
        <v>2957</v>
      </c>
      <c r="S89" s="141" t="s">
        <v>178</v>
      </c>
      <c r="T89" s="241"/>
    </row>
    <row r="90" spans="1:20" ht="58" customHeight="1">
      <c r="A90" s="230" t="s">
        <v>2437</v>
      </c>
      <c r="B90" s="41" t="s">
        <v>5</v>
      </c>
      <c r="C90" s="40" t="s">
        <v>1528</v>
      </c>
      <c r="D90" s="40" t="s">
        <v>200</v>
      </c>
      <c r="E90" s="199" t="s">
        <v>735</v>
      </c>
      <c r="F90" s="199" t="s">
        <v>4018</v>
      </c>
      <c r="G90" s="243" t="s">
        <v>3030</v>
      </c>
      <c r="H90" s="41" t="s">
        <v>1522</v>
      </c>
      <c r="I90" s="246" t="s">
        <v>3036</v>
      </c>
      <c r="J90" s="232" t="s">
        <v>3866</v>
      </c>
      <c r="K90" s="161" t="s">
        <v>4523</v>
      </c>
      <c r="L90" s="240" t="s">
        <v>4524</v>
      </c>
      <c r="M90" s="240" t="s">
        <v>4653</v>
      </c>
      <c r="N90" s="160" t="s">
        <v>4279</v>
      </c>
      <c r="O90" s="139" t="s">
        <v>195</v>
      </c>
      <c r="P90" s="39" t="s">
        <v>199</v>
      </c>
      <c r="Q90" s="228" t="s">
        <v>3245</v>
      </c>
      <c r="R90" s="200" t="s">
        <v>2944</v>
      </c>
      <c r="S90" s="141" t="s">
        <v>198</v>
      </c>
      <c r="T90" s="241"/>
    </row>
    <row r="91" spans="1:20" ht="58" customHeight="1">
      <c r="A91" s="230" t="s">
        <v>2437</v>
      </c>
      <c r="B91" s="41" t="s">
        <v>5</v>
      </c>
      <c r="C91" s="40" t="s">
        <v>1528</v>
      </c>
      <c r="D91" s="40" t="s">
        <v>202</v>
      </c>
      <c r="E91" s="199" t="s">
        <v>736</v>
      </c>
      <c r="F91" s="199" t="s">
        <v>4019</v>
      </c>
      <c r="G91" s="243" t="s">
        <v>3030</v>
      </c>
      <c r="H91" s="41" t="s">
        <v>1522</v>
      </c>
      <c r="I91" s="246" t="s">
        <v>3036</v>
      </c>
      <c r="J91" s="232" t="s">
        <v>3867</v>
      </c>
      <c r="K91" s="161" t="s">
        <v>4555</v>
      </c>
      <c r="L91" s="240"/>
      <c r="M91" s="240"/>
      <c r="N91" s="160"/>
      <c r="O91" s="139" t="s">
        <v>195</v>
      </c>
      <c r="P91" s="39" t="s">
        <v>201</v>
      </c>
      <c r="Q91" s="228" t="s">
        <v>3245</v>
      </c>
      <c r="R91" s="200" t="s">
        <v>2944</v>
      </c>
      <c r="S91" s="141" t="s">
        <v>198</v>
      </c>
      <c r="T91" s="241" t="s">
        <v>4556</v>
      </c>
    </row>
    <row r="92" spans="1:20" ht="58" customHeight="1">
      <c r="A92" s="230" t="s">
        <v>2437</v>
      </c>
      <c r="B92" s="41" t="s">
        <v>5</v>
      </c>
      <c r="C92" s="40" t="s">
        <v>1528</v>
      </c>
      <c r="D92" s="40" t="s">
        <v>204</v>
      </c>
      <c r="E92" s="199" t="s">
        <v>737</v>
      </c>
      <c r="F92" s="199" t="s">
        <v>4020</v>
      </c>
      <c r="G92" s="243" t="s">
        <v>3030</v>
      </c>
      <c r="H92" s="41" t="s">
        <v>1522</v>
      </c>
      <c r="I92" s="246" t="s">
        <v>3036</v>
      </c>
      <c r="J92" s="232" t="s">
        <v>3868</v>
      </c>
      <c r="K92" s="161" t="s">
        <v>4553</v>
      </c>
      <c r="L92" s="240" t="s">
        <v>4554</v>
      </c>
      <c r="M92" s="240"/>
      <c r="N92" s="160" t="s">
        <v>4279</v>
      </c>
      <c r="O92" s="139" t="s">
        <v>195</v>
      </c>
      <c r="P92" s="39" t="s">
        <v>203</v>
      </c>
      <c r="Q92" s="228" t="s">
        <v>3245</v>
      </c>
      <c r="R92" s="200" t="s">
        <v>2944</v>
      </c>
      <c r="S92" s="141" t="s">
        <v>198</v>
      </c>
      <c r="T92" s="241"/>
    </row>
    <row r="93" spans="1:20" ht="58" customHeight="1">
      <c r="A93" s="230" t="s">
        <v>2437</v>
      </c>
      <c r="B93" s="41" t="s">
        <v>5</v>
      </c>
      <c r="C93" s="40" t="s">
        <v>1529</v>
      </c>
      <c r="D93" s="40" t="s">
        <v>207</v>
      </c>
      <c r="E93" s="199" t="s">
        <v>3771</v>
      </c>
      <c r="F93" s="199" t="s">
        <v>3994</v>
      </c>
      <c r="G93" s="243" t="s">
        <v>3026</v>
      </c>
      <c r="H93" s="41" t="s">
        <v>2</v>
      </c>
      <c r="I93" s="246" t="s">
        <v>3034</v>
      </c>
      <c r="J93" s="232" t="s">
        <v>3243</v>
      </c>
      <c r="K93" s="161"/>
      <c r="L93" s="240"/>
      <c r="M93" s="240"/>
      <c r="N93" s="160"/>
      <c r="O93" s="139" t="s">
        <v>205</v>
      </c>
      <c r="P93" s="39" t="s">
        <v>206</v>
      </c>
      <c r="Q93" s="228" t="s">
        <v>3245</v>
      </c>
      <c r="R93" s="200" t="s">
        <v>2958</v>
      </c>
      <c r="S93" s="141" t="s">
        <v>208</v>
      </c>
      <c r="T93" s="241"/>
    </row>
    <row r="94" spans="1:20" ht="58" customHeight="1">
      <c r="A94" s="230" t="s">
        <v>2437</v>
      </c>
      <c r="B94" s="41" t="s">
        <v>5</v>
      </c>
      <c r="C94" s="40" t="s">
        <v>1529</v>
      </c>
      <c r="D94" s="40" t="s">
        <v>210</v>
      </c>
      <c r="E94" s="199" t="s">
        <v>3772</v>
      </c>
      <c r="F94" s="199" t="s">
        <v>3295</v>
      </c>
      <c r="G94" s="243" t="s">
        <v>4567</v>
      </c>
      <c r="H94" s="41" t="s">
        <v>2</v>
      </c>
      <c r="I94" s="246" t="s">
        <v>3034</v>
      </c>
      <c r="J94" s="232" t="s">
        <v>3243</v>
      </c>
      <c r="K94" s="161"/>
      <c r="L94" s="240"/>
      <c r="M94" s="240"/>
      <c r="N94" s="160"/>
      <c r="O94" s="139" t="s">
        <v>205</v>
      </c>
      <c r="P94" s="39" t="s">
        <v>209</v>
      </c>
      <c r="Q94" s="228" t="s">
        <v>3245</v>
      </c>
      <c r="R94" s="200" t="s">
        <v>2959</v>
      </c>
      <c r="S94" s="141" t="s">
        <v>208</v>
      </c>
      <c r="T94" s="241"/>
    </row>
    <row r="95" spans="1:20" ht="58" customHeight="1">
      <c r="A95" s="230" t="s">
        <v>2437</v>
      </c>
      <c r="B95" s="41" t="s">
        <v>5</v>
      </c>
      <c r="C95" s="40" t="s">
        <v>1529</v>
      </c>
      <c r="D95" s="40" t="s">
        <v>212</v>
      </c>
      <c r="E95" s="199" t="s">
        <v>3773</v>
      </c>
      <c r="F95" s="199" t="s">
        <v>3296</v>
      </c>
      <c r="G95" s="243" t="s">
        <v>3297</v>
      </c>
      <c r="H95" s="41" t="s">
        <v>2</v>
      </c>
      <c r="I95" s="246" t="s">
        <v>3034</v>
      </c>
      <c r="J95" s="232" t="s">
        <v>3243</v>
      </c>
      <c r="K95" s="161"/>
      <c r="L95" s="240"/>
      <c r="M95" s="240"/>
      <c r="N95" s="160"/>
      <c r="O95" s="139" t="s">
        <v>205</v>
      </c>
      <c r="P95" s="39" t="s">
        <v>211</v>
      </c>
      <c r="Q95" s="228" t="s">
        <v>3245</v>
      </c>
      <c r="R95" s="200" t="s">
        <v>2976</v>
      </c>
      <c r="S95" s="141" t="s">
        <v>208</v>
      </c>
      <c r="T95" s="241"/>
    </row>
    <row r="96" spans="1:20" ht="58" customHeight="1">
      <c r="A96" s="230" t="s">
        <v>2437</v>
      </c>
      <c r="B96" s="41" t="s">
        <v>5</v>
      </c>
      <c r="C96" s="40" t="s">
        <v>1529</v>
      </c>
      <c r="D96" s="40" t="s">
        <v>214</v>
      </c>
      <c r="E96" s="199" t="s">
        <v>3774</v>
      </c>
      <c r="F96" s="199" t="s">
        <v>3298</v>
      </c>
      <c r="G96" s="243" t="s">
        <v>4568</v>
      </c>
      <c r="H96" s="41" t="s">
        <v>3</v>
      </c>
      <c r="I96" s="246" t="s">
        <v>1539</v>
      </c>
      <c r="J96" s="232" t="s">
        <v>3243</v>
      </c>
      <c r="K96" s="161"/>
      <c r="L96" s="240"/>
      <c r="M96" s="240"/>
      <c r="N96" s="160"/>
      <c r="O96" s="139" t="s">
        <v>205</v>
      </c>
      <c r="P96" s="39" t="s">
        <v>213</v>
      </c>
      <c r="Q96" s="228" t="s">
        <v>3245</v>
      </c>
      <c r="R96" s="200" t="s">
        <v>2960</v>
      </c>
      <c r="S96" s="141" t="s">
        <v>208</v>
      </c>
      <c r="T96" s="241"/>
    </row>
    <row r="97" spans="1:20" ht="58" customHeight="1">
      <c r="A97" s="230" t="s">
        <v>2437</v>
      </c>
      <c r="B97" s="41" t="s">
        <v>5</v>
      </c>
      <c r="C97" s="40" t="s">
        <v>1529</v>
      </c>
      <c r="D97" s="40" t="s">
        <v>225</v>
      </c>
      <c r="E97" s="199" t="s">
        <v>3775</v>
      </c>
      <c r="F97" s="199" t="s">
        <v>4021</v>
      </c>
      <c r="G97" s="243" t="s">
        <v>3030</v>
      </c>
      <c r="H97" s="41" t="s">
        <v>1522</v>
      </c>
      <c r="I97" s="246" t="s">
        <v>4500</v>
      </c>
      <c r="J97" s="232" t="s">
        <v>3869</v>
      </c>
      <c r="K97" s="161" t="s">
        <v>4289</v>
      </c>
      <c r="L97" s="240" t="s">
        <v>4414</v>
      </c>
      <c r="M97" s="240" t="s">
        <v>4415</v>
      </c>
      <c r="N97" s="160" t="s">
        <v>4279</v>
      </c>
      <c r="O97" s="139" t="s">
        <v>223</v>
      </c>
      <c r="P97" s="39" t="s">
        <v>224</v>
      </c>
      <c r="Q97" s="228" t="s">
        <v>3245</v>
      </c>
      <c r="R97" s="235" t="s">
        <v>2977</v>
      </c>
      <c r="S97" s="141" t="s">
        <v>226</v>
      </c>
      <c r="T97" s="241"/>
    </row>
    <row r="98" spans="1:20" ht="58" customHeight="1">
      <c r="A98" s="230" t="s">
        <v>2437</v>
      </c>
      <c r="B98" s="41" t="s">
        <v>5</v>
      </c>
      <c r="C98" s="40" t="s">
        <v>1529</v>
      </c>
      <c r="D98" s="40" t="s">
        <v>228</v>
      </c>
      <c r="E98" s="199" t="s">
        <v>3776</v>
      </c>
      <c r="F98" s="199" t="s">
        <v>3331</v>
      </c>
      <c r="G98" s="243" t="s">
        <v>4569</v>
      </c>
      <c r="H98" s="41" t="s">
        <v>1521</v>
      </c>
      <c r="I98" s="246" t="s">
        <v>1539</v>
      </c>
      <c r="J98" s="232" t="s">
        <v>3243</v>
      </c>
      <c r="K98" s="161" t="s">
        <v>958</v>
      </c>
      <c r="L98" s="240"/>
      <c r="M98" s="240"/>
      <c r="N98" s="160"/>
      <c r="O98" s="139" t="s">
        <v>223</v>
      </c>
      <c r="P98" s="39" t="s">
        <v>227</v>
      </c>
      <c r="Q98" s="228" t="s">
        <v>3245</v>
      </c>
      <c r="R98" s="200" t="s">
        <v>2964</v>
      </c>
      <c r="S98" s="141" t="s">
        <v>226</v>
      </c>
      <c r="T98" s="241" t="s">
        <v>4630</v>
      </c>
    </row>
    <row r="99" spans="1:20" ht="58" customHeight="1">
      <c r="A99" s="230" t="s">
        <v>2437</v>
      </c>
      <c r="B99" s="41" t="s">
        <v>5</v>
      </c>
      <c r="C99" s="40" t="s">
        <v>1529</v>
      </c>
      <c r="D99" s="40" t="s">
        <v>216</v>
      </c>
      <c r="E99" s="199" t="s">
        <v>738</v>
      </c>
      <c r="F99" s="199" t="s">
        <v>4022</v>
      </c>
      <c r="G99" s="243" t="s">
        <v>3026</v>
      </c>
      <c r="H99" s="41" t="s">
        <v>2</v>
      </c>
      <c r="I99" s="246" t="s">
        <v>3034</v>
      </c>
      <c r="J99" s="232" t="s">
        <v>3243</v>
      </c>
      <c r="K99" s="161"/>
      <c r="L99" s="240"/>
      <c r="M99" s="240"/>
      <c r="N99" s="160"/>
      <c r="O99" s="139" t="s">
        <v>205</v>
      </c>
      <c r="P99" s="39" t="s">
        <v>215</v>
      </c>
      <c r="Q99" s="228" t="s">
        <v>3245</v>
      </c>
      <c r="R99" s="200" t="s">
        <v>2961</v>
      </c>
      <c r="S99" s="141" t="s">
        <v>208</v>
      </c>
      <c r="T99" s="241"/>
    </row>
    <row r="100" spans="1:20" ht="58" customHeight="1">
      <c r="A100" s="230" t="s">
        <v>2437</v>
      </c>
      <c r="B100" s="41" t="s">
        <v>5</v>
      </c>
      <c r="C100" s="40" t="s">
        <v>1529</v>
      </c>
      <c r="D100" s="40" t="s">
        <v>219</v>
      </c>
      <c r="E100" s="199" t="s">
        <v>739</v>
      </c>
      <c r="F100" s="199" t="s">
        <v>4023</v>
      </c>
      <c r="G100" s="243" t="s">
        <v>3026</v>
      </c>
      <c r="H100" s="41" t="s">
        <v>2</v>
      </c>
      <c r="I100" s="246" t="s">
        <v>3034</v>
      </c>
      <c r="J100" s="232" t="s">
        <v>3243</v>
      </c>
      <c r="K100" s="161"/>
      <c r="L100" s="240"/>
      <c r="M100" s="240"/>
      <c r="N100" s="160"/>
      <c r="O100" s="139" t="s">
        <v>217</v>
      </c>
      <c r="P100" s="39" t="s">
        <v>218</v>
      </c>
      <c r="Q100" s="228" t="s">
        <v>3245</v>
      </c>
      <c r="R100" s="200" t="s">
        <v>2963</v>
      </c>
      <c r="S100" s="141" t="s">
        <v>220</v>
      </c>
      <c r="T100" s="241"/>
    </row>
    <row r="101" spans="1:20" ht="58" customHeight="1">
      <c r="A101" s="230" t="s">
        <v>2437</v>
      </c>
      <c r="B101" s="41" t="s">
        <v>5</v>
      </c>
      <c r="C101" s="40" t="s">
        <v>1529</v>
      </c>
      <c r="D101" s="40" t="s">
        <v>222</v>
      </c>
      <c r="E101" s="199" t="s">
        <v>3777</v>
      </c>
      <c r="F101" s="199" t="s">
        <v>4024</v>
      </c>
      <c r="G101" s="243" t="s">
        <v>3026</v>
      </c>
      <c r="H101" s="41" t="s">
        <v>2</v>
      </c>
      <c r="I101" s="246" t="s">
        <v>3034</v>
      </c>
      <c r="J101" s="232" t="s">
        <v>3243</v>
      </c>
      <c r="K101" s="161"/>
      <c r="L101" s="240"/>
      <c r="M101" s="240"/>
      <c r="N101" s="160"/>
      <c r="O101" s="139" t="s">
        <v>217</v>
      </c>
      <c r="P101" s="39" t="s">
        <v>221</v>
      </c>
      <c r="Q101" s="228" t="s">
        <v>3245</v>
      </c>
      <c r="R101" s="200" t="s">
        <v>2962</v>
      </c>
      <c r="S101" s="141" t="s">
        <v>220</v>
      </c>
      <c r="T101" s="241"/>
    </row>
    <row r="102" spans="1:20" ht="58" customHeight="1">
      <c r="A102" s="230" t="s">
        <v>2437</v>
      </c>
      <c r="B102" s="41" t="s">
        <v>5</v>
      </c>
      <c r="C102" s="40" t="s">
        <v>1529</v>
      </c>
      <c r="D102" s="40" t="s">
        <v>230</v>
      </c>
      <c r="E102" s="199" t="s">
        <v>3778</v>
      </c>
      <c r="F102" s="199" t="s">
        <v>4302</v>
      </c>
      <c r="G102" s="243" t="s">
        <v>4303</v>
      </c>
      <c r="H102" s="41" t="s">
        <v>3</v>
      </c>
      <c r="I102" s="246" t="s">
        <v>1539</v>
      </c>
      <c r="J102" s="232" t="s">
        <v>3243</v>
      </c>
      <c r="K102" s="161"/>
      <c r="L102" s="240"/>
      <c r="M102" s="240"/>
      <c r="N102" s="160"/>
      <c r="O102" s="139" t="s">
        <v>223</v>
      </c>
      <c r="P102" s="39" t="s">
        <v>229</v>
      </c>
      <c r="Q102" s="228" t="s">
        <v>3245</v>
      </c>
      <c r="R102" s="200" t="s">
        <v>2965</v>
      </c>
      <c r="S102" s="141" t="s">
        <v>226</v>
      </c>
      <c r="T102" s="241"/>
    </row>
    <row r="103" spans="1:20" ht="58" customHeight="1">
      <c r="A103" s="230" t="s">
        <v>2437</v>
      </c>
      <c r="B103" s="41" t="s">
        <v>6</v>
      </c>
      <c r="C103" s="40" t="s">
        <v>1531</v>
      </c>
      <c r="D103" s="40" t="s">
        <v>245</v>
      </c>
      <c r="E103" s="199" t="s">
        <v>746</v>
      </c>
      <c r="F103" s="199" t="s">
        <v>4025</v>
      </c>
      <c r="G103" s="243" t="s">
        <v>3030</v>
      </c>
      <c r="H103" s="41" t="s">
        <v>1522</v>
      </c>
      <c r="I103" s="246" t="s">
        <v>4113</v>
      </c>
      <c r="J103" s="232" t="s">
        <v>3870</v>
      </c>
      <c r="K103" s="161" t="s">
        <v>4291</v>
      </c>
      <c r="L103" s="240" t="s">
        <v>4418</v>
      </c>
      <c r="M103" s="240" t="s">
        <v>4419</v>
      </c>
      <c r="N103" s="160" t="s">
        <v>4279</v>
      </c>
      <c r="O103" s="139" t="s">
        <v>243</v>
      </c>
      <c r="P103" s="39" t="s">
        <v>244</v>
      </c>
      <c r="Q103" s="228" t="s">
        <v>3245</v>
      </c>
      <c r="R103" s="200" t="s">
        <v>2978</v>
      </c>
      <c r="S103" s="141" t="s">
        <v>246</v>
      </c>
      <c r="T103" s="241"/>
    </row>
    <row r="104" spans="1:20" ht="58" customHeight="1">
      <c r="A104" s="230" t="s">
        <v>2437</v>
      </c>
      <c r="B104" s="41" t="s">
        <v>6</v>
      </c>
      <c r="C104" s="40" t="s">
        <v>1531</v>
      </c>
      <c r="D104" s="40" t="s">
        <v>257</v>
      </c>
      <c r="E104" s="199" t="s">
        <v>748</v>
      </c>
      <c r="F104" s="199" t="s">
        <v>4026</v>
      </c>
      <c r="G104" s="243" t="s">
        <v>3030</v>
      </c>
      <c r="H104" s="41" t="s">
        <v>1522</v>
      </c>
      <c r="I104" s="246" t="s">
        <v>4500</v>
      </c>
      <c r="J104" s="232" t="s">
        <v>3871</v>
      </c>
      <c r="K104" s="161" t="s">
        <v>4292</v>
      </c>
      <c r="L104" s="240" t="s">
        <v>4420</v>
      </c>
      <c r="M104" s="240" t="s">
        <v>4421</v>
      </c>
      <c r="N104" s="160" t="s">
        <v>4279</v>
      </c>
      <c r="O104" s="139" t="s">
        <v>255</v>
      </c>
      <c r="P104" s="39" t="s">
        <v>256</v>
      </c>
      <c r="Q104" s="228" t="s">
        <v>3245</v>
      </c>
      <c r="R104" s="200" t="s">
        <v>2944</v>
      </c>
      <c r="S104" s="141" t="s">
        <v>258</v>
      </c>
      <c r="T104" s="241"/>
    </row>
    <row r="105" spans="1:20" ht="58" customHeight="1">
      <c r="A105" s="230" t="s">
        <v>2437</v>
      </c>
      <c r="B105" s="41" t="s">
        <v>6</v>
      </c>
      <c r="C105" s="40" t="s">
        <v>1531</v>
      </c>
      <c r="D105" s="40" t="s">
        <v>248</v>
      </c>
      <c r="E105" s="199" t="s">
        <v>747</v>
      </c>
      <c r="F105" s="199" t="s">
        <v>4027</v>
      </c>
      <c r="G105" s="243" t="s">
        <v>3027</v>
      </c>
      <c r="H105" s="41" t="s">
        <v>958</v>
      </c>
      <c r="I105" s="246" t="s">
        <v>3035</v>
      </c>
      <c r="J105" s="232" t="s">
        <v>3243</v>
      </c>
      <c r="K105" s="161"/>
      <c r="L105" s="240"/>
      <c r="M105" s="240"/>
      <c r="N105" s="160"/>
      <c r="O105" s="139" t="s">
        <v>243</v>
      </c>
      <c r="P105" s="39" t="s">
        <v>247</v>
      </c>
      <c r="Q105" s="228" t="s">
        <v>3245</v>
      </c>
      <c r="R105" s="200" t="s">
        <v>2940</v>
      </c>
      <c r="S105" s="141" t="s">
        <v>246</v>
      </c>
      <c r="T105" s="241"/>
    </row>
    <row r="106" spans="1:20" ht="58" customHeight="1">
      <c r="A106" s="230" t="s">
        <v>2437</v>
      </c>
      <c r="B106" s="41" t="s">
        <v>6</v>
      </c>
      <c r="C106" s="40" t="s">
        <v>1531</v>
      </c>
      <c r="D106" s="40" t="s">
        <v>250</v>
      </c>
      <c r="E106" s="199" t="s">
        <v>3782</v>
      </c>
      <c r="F106" s="199" t="s">
        <v>3299</v>
      </c>
      <c r="G106" s="243" t="s">
        <v>3300</v>
      </c>
      <c r="H106" s="41" t="s">
        <v>2</v>
      </c>
      <c r="I106" s="246" t="s">
        <v>3034</v>
      </c>
      <c r="J106" s="232" t="s">
        <v>3243</v>
      </c>
      <c r="K106" s="161"/>
      <c r="L106" s="240"/>
      <c r="M106" s="240"/>
      <c r="N106" s="160"/>
      <c r="O106" s="139" t="s">
        <v>243</v>
      </c>
      <c r="P106" s="39" t="s">
        <v>249</v>
      </c>
      <c r="Q106" s="228" t="s">
        <v>3245</v>
      </c>
      <c r="R106" s="200" t="s">
        <v>2966</v>
      </c>
      <c r="S106" s="141" t="s">
        <v>246</v>
      </c>
      <c r="T106" s="241"/>
    </row>
    <row r="107" spans="1:20" ht="58" customHeight="1">
      <c r="A107" s="230" t="s">
        <v>2437</v>
      </c>
      <c r="B107" s="41" t="s">
        <v>6</v>
      </c>
      <c r="C107" s="40" t="s">
        <v>1531</v>
      </c>
      <c r="D107" s="40" t="s">
        <v>252</v>
      </c>
      <c r="E107" s="199" t="s">
        <v>3783</v>
      </c>
      <c r="F107" s="199" t="s">
        <v>3301</v>
      </c>
      <c r="G107" s="243" t="s">
        <v>3302</v>
      </c>
      <c r="H107" s="41" t="s">
        <v>2</v>
      </c>
      <c r="I107" s="246" t="s">
        <v>3034</v>
      </c>
      <c r="J107" s="232" t="s">
        <v>3243</v>
      </c>
      <c r="K107" s="161"/>
      <c r="L107" s="240"/>
      <c r="M107" s="240"/>
      <c r="N107" s="160"/>
      <c r="O107" s="139" t="s">
        <v>243</v>
      </c>
      <c r="P107" s="39" t="s">
        <v>251</v>
      </c>
      <c r="Q107" s="228" t="s">
        <v>3245</v>
      </c>
      <c r="R107" s="200" t="s">
        <v>2966</v>
      </c>
      <c r="S107" s="141" t="s">
        <v>246</v>
      </c>
      <c r="T107" s="241"/>
    </row>
    <row r="108" spans="1:20" ht="58" customHeight="1">
      <c r="A108" s="230" t="s">
        <v>2437</v>
      </c>
      <c r="B108" s="41" t="s">
        <v>6</v>
      </c>
      <c r="C108" s="40" t="s">
        <v>1531</v>
      </c>
      <c r="D108" s="40" t="s">
        <v>260</v>
      </c>
      <c r="E108" s="199" t="s">
        <v>749</v>
      </c>
      <c r="F108" s="199" t="s">
        <v>4083</v>
      </c>
      <c r="G108" s="243" t="s">
        <v>3030</v>
      </c>
      <c r="H108" s="41" t="s">
        <v>1522</v>
      </c>
      <c r="I108" s="246" t="s">
        <v>3036</v>
      </c>
      <c r="J108" s="232" t="s">
        <v>3872</v>
      </c>
      <c r="K108" s="161" t="s">
        <v>4499</v>
      </c>
      <c r="L108" s="240" t="s">
        <v>4512</v>
      </c>
      <c r="M108" s="240" t="s">
        <v>4513</v>
      </c>
      <c r="N108" s="160" t="s">
        <v>4278</v>
      </c>
      <c r="O108" s="139" t="s">
        <v>255</v>
      </c>
      <c r="P108" s="39" t="s">
        <v>259</v>
      </c>
      <c r="Q108" s="228" t="s">
        <v>3245</v>
      </c>
      <c r="R108" s="200" t="s">
        <v>2944</v>
      </c>
      <c r="S108" s="141" t="s">
        <v>258</v>
      </c>
      <c r="T108" s="241"/>
    </row>
    <row r="109" spans="1:20" ht="58" customHeight="1">
      <c r="A109" s="230" t="s">
        <v>2437</v>
      </c>
      <c r="B109" s="41" t="s">
        <v>6</v>
      </c>
      <c r="C109" s="40" t="s">
        <v>1531</v>
      </c>
      <c r="D109" s="40" t="s">
        <v>262</v>
      </c>
      <c r="E109" s="199" t="s">
        <v>750</v>
      </c>
      <c r="F109" s="199" t="s">
        <v>4028</v>
      </c>
      <c r="G109" s="243" t="s">
        <v>3030</v>
      </c>
      <c r="H109" s="41" t="s">
        <v>1522</v>
      </c>
      <c r="I109" s="246" t="s">
        <v>4500</v>
      </c>
      <c r="J109" s="232" t="s">
        <v>3873</v>
      </c>
      <c r="K109" s="161" t="s">
        <v>4273</v>
      </c>
      <c r="L109" s="240" t="s">
        <v>4432</v>
      </c>
      <c r="M109" s="240"/>
      <c r="N109" s="160" t="s">
        <v>4279</v>
      </c>
      <c r="O109" s="139" t="s">
        <v>255</v>
      </c>
      <c r="P109" s="39" t="s">
        <v>261</v>
      </c>
      <c r="Q109" s="228" t="s">
        <v>3245</v>
      </c>
      <c r="R109" s="200" t="s">
        <v>2944</v>
      </c>
      <c r="S109" s="141" t="s">
        <v>258</v>
      </c>
      <c r="T109" s="241"/>
    </row>
    <row r="110" spans="1:20" ht="58" customHeight="1">
      <c r="A110" s="230" t="s">
        <v>2437</v>
      </c>
      <c r="B110" s="41" t="s">
        <v>6</v>
      </c>
      <c r="C110" s="40" t="s">
        <v>1531</v>
      </c>
      <c r="D110" s="40" t="s">
        <v>254</v>
      </c>
      <c r="E110" s="199" t="s">
        <v>3784</v>
      </c>
      <c r="F110" s="199" t="s">
        <v>3303</v>
      </c>
      <c r="G110" s="243" t="s">
        <v>4570</v>
      </c>
      <c r="H110" s="41" t="s">
        <v>3</v>
      </c>
      <c r="I110" s="246" t="s">
        <v>3038</v>
      </c>
      <c r="J110" s="232" t="s">
        <v>3243</v>
      </c>
      <c r="K110" s="161"/>
      <c r="L110" s="240"/>
      <c r="M110" s="240"/>
      <c r="N110" s="160"/>
      <c r="O110" s="139" t="s">
        <v>243</v>
      </c>
      <c r="P110" s="39" t="s">
        <v>253</v>
      </c>
      <c r="Q110" s="228" t="s">
        <v>3245</v>
      </c>
      <c r="R110" s="200" t="s">
        <v>2966</v>
      </c>
      <c r="S110" s="141" t="s">
        <v>246</v>
      </c>
      <c r="T110" s="241"/>
    </row>
    <row r="111" spans="1:20" ht="58" customHeight="1">
      <c r="A111" s="230" t="s">
        <v>2437</v>
      </c>
      <c r="B111" s="41" t="s">
        <v>6</v>
      </c>
      <c r="C111" s="40" t="s">
        <v>1531</v>
      </c>
      <c r="D111" s="40" t="s">
        <v>4120</v>
      </c>
      <c r="E111" s="199" t="s">
        <v>751</v>
      </c>
      <c r="F111" s="199" t="s">
        <v>4029</v>
      </c>
      <c r="G111" s="243" t="s">
        <v>3029</v>
      </c>
      <c r="H111" s="41" t="s">
        <v>1522</v>
      </c>
      <c r="I111" s="246" t="s">
        <v>3036</v>
      </c>
      <c r="J111" s="232" t="s">
        <v>3874</v>
      </c>
      <c r="K111" s="161" t="s">
        <v>4121</v>
      </c>
      <c r="L111" s="240" t="s">
        <v>4308</v>
      </c>
      <c r="M111" s="240" t="s">
        <v>4309</v>
      </c>
      <c r="N111" s="160" t="s">
        <v>4278</v>
      </c>
      <c r="O111" s="139" t="s">
        <v>263</v>
      </c>
      <c r="P111" s="39" t="s">
        <v>4119</v>
      </c>
      <c r="Q111" s="228" t="s">
        <v>3245</v>
      </c>
      <c r="R111" s="200" t="s">
        <v>2943</v>
      </c>
      <c r="S111" s="141" t="s">
        <v>265</v>
      </c>
      <c r="T111" s="241"/>
    </row>
    <row r="112" spans="1:20" ht="58" customHeight="1">
      <c r="A112" s="230" t="s">
        <v>2437</v>
      </c>
      <c r="B112" s="41" t="s">
        <v>6</v>
      </c>
      <c r="C112" s="40" t="s">
        <v>1531</v>
      </c>
      <c r="D112" s="40" t="s">
        <v>4122</v>
      </c>
      <c r="E112" s="199" t="s">
        <v>751</v>
      </c>
      <c r="F112" s="199" t="s">
        <v>4029</v>
      </c>
      <c r="G112" s="243" t="s">
        <v>3029</v>
      </c>
      <c r="H112" s="41" t="s">
        <v>1522</v>
      </c>
      <c r="I112" s="246" t="s">
        <v>3036</v>
      </c>
      <c r="J112" s="232" t="s">
        <v>3874</v>
      </c>
      <c r="K112" s="161" t="s">
        <v>4124</v>
      </c>
      <c r="L112" s="240" t="s">
        <v>4310</v>
      </c>
      <c r="M112" s="240" t="s">
        <v>4311</v>
      </c>
      <c r="N112" s="160" t="s">
        <v>4278</v>
      </c>
      <c r="O112" s="139" t="s">
        <v>263</v>
      </c>
      <c r="P112" s="39" t="s">
        <v>4123</v>
      </c>
      <c r="Q112" s="228" t="s">
        <v>3245</v>
      </c>
      <c r="R112" s="200" t="s">
        <v>2943</v>
      </c>
      <c r="S112" s="141" t="s">
        <v>265</v>
      </c>
      <c r="T112" s="241"/>
    </row>
    <row r="113" spans="1:20" ht="58" customHeight="1">
      <c r="A113" s="230" t="s">
        <v>2437</v>
      </c>
      <c r="B113" s="41" t="s">
        <v>6</v>
      </c>
      <c r="C113" s="40" t="s">
        <v>1531</v>
      </c>
      <c r="D113" s="40" t="s">
        <v>267</v>
      </c>
      <c r="E113" s="199" t="s">
        <v>752</v>
      </c>
      <c r="F113" s="199" t="s">
        <v>4030</v>
      </c>
      <c r="G113" s="243" t="s">
        <v>3030</v>
      </c>
      <c r="H113" s="41" t="s">
        <v>1522</v>
      </c>
      <c r="I113" s="246" t="s">
        <v>3036</v>
      </c>
      <c r="J113" s="232" t="s">
        <v>3875</v>
      </c>
      <c r="K113" s="161" t="s">
        <v>4557</v>
      </c>
      <c r="L113" s="240"/>
      <c r="M113" s="240"/>
      <c r="N113" s="160"/>
      <c r="O113" s="139" t="s">
        <v>263</v>
      </c>
      <c r="P113" s="39" t="s">
        <v>266</v>
      </c>
      <c r="Q113" s="228" t="s">
        <v>3245</v>
      </c>
      <c r="R113" s="200" t="s">
        <v>2944</v>
      </c>
      <c r="S113" s="141" t="s">
        <v>265</v>
      </c>
      <c r="T113" s="241"/>
    </row>
    <row r="114" spans="1:20" ht="58" customHeight="1">
      <c r="A114" s="230" t="s">
        <v>2437</v>
      </c>
      <c r="B114" s="41" t="s">
        <v>6</v>
      </c>
      <c r="C114" s="40" t="s">
        <v>1531</v>
      </c>
      <c r="D114" s="40" t="s">
        <v>269</v>
      </c>
      <c r="E114" s="199" t="s">
        <v>753</v>
      </c>
      <c r="F114" s="199" t="s">
        <v>4031</v>
      </c>
      <c r="G114" s="243" t="s">
        <v>3030</v>
      </c>
      <c r="H114" s="41" t="s">
        <v>1522</v>
      </c>
      <c r="I114" s="246" t="s">
        <v>3036</v>
      </c>
      <c r="J114" s="232" t="s">
        <v>3876</v>
      </c>
      <c r="K114" s="161" t="s">
        <v>4542</v>
      </c>
      <c r="L114" s="240" t="s">
        <v>4544</v>
      </c>
      <c r="M114" s="240"/>
      <c r="N114" s="160" t="s">
        <v>4278</v>
      </c>
      <c r="O114" s="139" t="s">
        <v>263</v>
      </c>
      <c r="P114" s="39" t="s">
        <v>268</v>
      </c>
      <c r="Q114" s="228" t="s">
        <v>3245</v>
      </c>
      <c r="R114" s="200" t="s">
        <v>2944</v>
      </c>
      <c r="S114" s="141" t="s">
        <v>265</v>
      </c>
      <c r="T114" s="241"/>
    </row>
    <row r="115" spans="1:20" ht="58" customHeight="1">
      <c r="A115" s="230" t="s">
        <v>2437</v>
      </c>
      <c r="B115" s="41" t="s">
        <v>6</v>
      </c>
      <c r="C115" s="40" t="s">
        <v>1531</v>
      </c>
      <c r="D115" s="40" t="s">
        <v>271</v>
      </c>
      <c r="E115" s="199" t="s">
        <v>754</v>
      </c>
      <c r="F115" s="199" t="s">
        <v>4080</v>
      </c>
      <c r="G115" s="243" t="s">
        <v>3029</v>
      </c>
      <c r="H115" s="41" t="s">
        <v>1522</v>
      </c>
      <c r="I115" s="246" t="s">
        <v>3036</v>
      </c>
      <c r="J115" s="232" t="s">
        <v>3877</v>
      </c>
      <c r="K115" s="161" t="s">
        <v>4245</v>
      </c>
      <c r="L115" s="240" t="s">
        <v>4659</v>
      </c>
      <c r="M115" s="240" t="s">
        <v>4660</v>
      </c>
      <c r="N115" s="160" t="s">
        <v>4279</v>
      </c>
      <c r="O115" s="139" t="s">
        <v>263</v>
      </c>
      <c r="P115" s="39" t="s">
        <v>270</v>
      </c>
      <c r="Q115" s="228" t="s">
        <v>3245</v>
      </c>
      <c r="R115" s="200" t="s">
        <v>2943</v>
      </c>
      <c r="S115" s="141" t="s">
        <v>265</v>
      </c>
      <c r="T115" s="241" t="s">
        <v>4489</v>
      </c>
    </row>
    <row r="116" spans="1:20" ht="58" customHeight="1">
      <c r="A116" s="230" t="s">
        <v>2437</v>
      </c>
      <c r="B116" s="41" t="s">
        <v>6</v>
      </c>
      <c r="C116" s="40" t="s">
        <v>1531</v>
      </c>
      <c r="D116" s="40" t="s">
        <v>273</v>
      </c>
      <c r="E116" s="199" t="s">
        <v>755</v>
      </c>
      <c r="F116" s="199" t="s">
        <v>4032</v>
      </c>
      <c r="G116" s="243" t="s">
        <v>3026</v>
      </c>
      <c r="H116" s="41" t="s">
        <v>2</v>
      </c>
      <c r="I116" s="246" t="s">
        <v>3034</v>
      </c>
      <c r="J116" s="232" t="s">
        <v>3243</v>
      </c>
      <c r="K116" s="161"/>
      <c r="L116" s="240"/>
      <c r="M116" s="240"/>
      <c r="N116" s="160"/>
      <c r="O116" s="139" t="s">
        <v>263</v>
      </c>
      <c r="P116" s="39" t="s">
        <v>272</v>
      </c>
      <c r="Q116" s="228" t="s">
        <v>3245</v>
      </c>
      <c r="R116" s="200" t="s">
        <v>2963</v>
      </c>
      <c r="S116" s="141" t="s">
        <v>265</v>
      </c>
      <c r="T116" s="241"/>
    </row>
    <row r="117" spans="1:20" ht="58" customHeight="1">
      <c r="A117" s="230" t="s">
        <v>2437</v>
      </c>
      <c r="B117" s="41" t="s">
        <v>6</v>
      </c>
      <c r="C117" s="40" t="s">
        <v>1531</v>
      </c>
      <c r="D117" s="40" t="s">
        <v>275</v>
      </c>
      <c r="E117" s="199" t="s">
        <v>756</v>
      </c>
      <c r="F117" s="199" t="s">
        <v>4650</v>
      </c>
      <c r="G117" s="243" t="s">
        <v>4651</v>
      </c>
      <c r="H117" s="41" t="s">
        <v>1522</v>
      </c>
      <c r="I117" s="246" t="s">
        <v>3036</v>
      </c>
      <c r="J117" s="232" t="s">
        <v>3243</v>
      </c>
      <c r="K117" s="161" t="s">
        <v>4269</v>
      </c>
      <c r="L117" s="240" t="s">
        <v>4652</v>
      </c>
      <c r="M117" s="240"/>
      <c r="N117" s="160" t="s">
        <v>4278</v>
      </c>
      <c r="O117" s="139" t="s">
        <v>263</v>
      </c>
      <c r="P117" s="39" t="s">
        <v>274</v>
      </c>
      <c r="Q117" s="228" t="s">
        <v>3245</v>
      </c>
      <c r="R117" s="200" t="s">
        <v>2963</v>
      </c>
      <c r="S117" s="141" t="s">
        <v>265</v>
      </c>
      <c r="T117" s="241"/>
    </row>
    <row r="118" spans="1:20" ht="58" customHeight="1">
      <c r="A118" s="230" t="s">
        <v>2437</v>
      </c>
      <c r="B118" s="41" t="s">
        <v>6</v>
      </c>
      <c r="C118" s="40" t="s">
        <v>1531</v>
      </c>
      <c r="D118" s="40" t="s">
        <v>277</v>
      </c>
      <c r="E118" s="199" t="s">
        <v>3785</v>
      </c>
      <c r="F118" s="199" t="s">
        <v>3332</v>
      </c>
      <c r="G118" s="243" t="s">
        <v>4571</v>
      </c>
      <c r="H118" s="41" t="s">
        <v>3</v>
      </c>
      <c r="I118" s="246" t="s">
        <v>3038</v>
      </c>
      <c r="J118" s="232" t="s">
        <v>3243</v>
      </c>
      <c r="K118" s="161"/>
      <c r="L118" s="240"/>
      <c r="M118" s="240"/>
      <c r="N118" s="160"/>
      <c r="O118" s="139" t="s">
        <v>263</v>
      </c>
      <c r="P118" s="39" t="s">
        <v>276</v>
      </c>
      <c r="Q118" s="228" t="s">
        <v>3245</v>
      </c>
      <c r="R118" s="200" t="s">
        <v>2979</v>
      </c>
      <c r="S118" s="141" t="s">
        <v>265</v>
      </c>
      <c r="T118" s="241"/>
    </row>
    <row r="119" spans="1:20" ht="58" customHeight="1">
      <c r="A119" s="230" t="s">
        <v>2437</v>
      </c>
      <c r="B119" s="41" t="s">
        <v>6</v>
      </c>
      <c r="C119" s="40" t="s">
        <v>1530</v>
      </c>
      <c r="D119" s="40" t="s">
        <v>4126</v>
      </c>
      <c r="E119" s="199" t="s">
        <v>740</v>
      </c>
      <c r="F119" s="199" t="s">
        <v>4033</v>
      </c>
      <c r="G119" s="243" t="s">
        <v>3029</v>
      </c>
      <c r="H119" s="41" t="s">
        <v>1522</v>
      </c>
      <c r="I119" s="246" t="s">
        <v>3036</v>
      </c>
      <c r="J119" s="232" t="s">
        <v>3878</v>
      </c>
      <c r="K119" s="161" t="s">
        <v>4127</v>
      </c>
      <c r="L119" s="240" t="s">
        <v>4312</v>
      </c>
      <c r="M119" s="240" t="s">
        <v>4313</v>
      </c>
      <c r="N119" s="160" t="s">
        <v>4278</v>
      </c>
      <c r="O119" s="139" t="s">
        <v>231</v>
      </c>
      <c r="P119" s="39" t="s">
        <v>4125</v>
      </c>
      <c r="Q119" s="228" t="s">
        <v>3245</v>
      </c>
      <c r="R119" s="200" t="s">
        <v>2943</v>
      </c>
      <c r="S119" s="141" t="s">
        <v>233</v>
      </c>
      <c r="T119" s="241"/>
    </row>
    <row r="120" spans="1:20" ht="58" customHeight="1">
      <c r="A120" s="230" t="s">
        <v>2437</v>
      </c>
      <c r="B120" s="41" t="s">
        <v>6</v>
      </c>
      <c r="C120" s="40" t="s">
        <v>1530</v>
      </c>
      <c r="D120" s="40" t="s">
        <v>4128</v>
      </c>
      <c r="E120" s="199" t="s">
        <v>740</v>
      </c>
      <c r="F120" s="199" t="s">
        <v>4033</v>
      </c>
      <c r="G120" s="243" t="s">
        <v>3029</v>
      </c>
      <c r="H120" s="41" t="s">
        <v>1522</v>
      </c>
      <c r="I120" s="246" t="s">
        <v>3036</v>
      </c>
      <c r="J120" s="232" t="s">
        <v>3878</v>
      </c>
      <c r="K120" s="161" t="s">
        <v>4130</v>
      </c>
      <c r="L120" s="240" t="s">
        <v>4318</v>
      </c>
      <c r="M120" s="240" t="s">
        <v>4319</v>
      </c>
      <c r="N120" s="160" t="s">
        <v>4279</v>
      </c>
      <c r="O120" s="139" t="s">
        <v>231</v>
      </c>
      <c r="P120" s="39" t="s">
        <v>4129</v>
      </c>
      <c r="Q120" s="228" t="s">
        <v>3245</v>
      </c>
      <c r="R120" s="200" t="s">
        <v>2943</v>
      </c>
      <c r="S120" s="141" t="s">
        <v>233</v>
      </c>
      <c r="T120" s="241"/>
    </row>
    <row r="121" spans="1:20" ht="58" customHeight="1">
      <c r="A121" s="230" t="s">
        <v>2437</v>
      </c>
      <c r="B121" s="41" t="s">
        <v>6</v>
      </c>
      <c r="C121" s="40" t="s">
        <v>1530</v>
      </c>
      <c r="D121" s="40" t="s">
        <v>4132</v>
      </c>
      <c r="E121" s="199" t="s">
        <v>741</v>
      </c>
      <c r="F121" s="199" t="s">
        <v>4034</v>
      </c>
      <c r="G121" s="243" t="s">
        <v>3029</v>
      </c>
      <c r="H121" s="41" t="s">
        <v>1522</v>
      </c>
      <c r="I121" s="246" t="s">
        <v>4113</v>
      </c>
      <c r="J121" s="232" t="s">
        <v>3879</v>
      </c>
      <c r="K121" s="161" t="s">
        <v>4133</v>
      </c>
      <c r="L121" s="240" t="s">
        <v>4320</v>
      </c>
      <c r="M121" s="240" t="s">
        <v>4321</v>
      </c>
      <c r="N121" s="160" t="s">
        <v>4279</v>
      </c>
      <c r="O121" s="139" t="s">
        <v>231</v>
      </c>
      <c r="P121" s="39" t="s">
        <v>4131</v>
      </c>
      <c r="Q121" s="228" t="s">
        <v>3245</v>
      </c>
      <c r="R121" s="200" t="s">
        <v>2943</v>
      </c>
      <c r="S121" s="141" t="s">
        <v>233</v>
      </c>
      <c r="T121" s="241"/>
    </row>
    <row r="122" spans="1:20" ht="58" customHeight="1">
      <c r="A122" s="230" t="s">
        <v>2437</v>
      </c>
      <c r="B122" s="41" t="s">
        <v>6</v>
      </c>
      <c r="C122" s="40" t="s">
        <v>1530</v>
      </c>
      <c r="D122" s="40" t="s">
        <v>4134</v>
      </c>
      <c r="E122" s="199" t="s">
        <v>741</v>
      </c>
      <c r="F122" s="199" t="s">
        <v>4034</v>
      </c>
      <c r="G122" s="243" t="s">
        <v>3029</v>
      </c>
      <c r="H122" s="41" t="s">
        <v>1522</v>
      </c>
      <c r="I122" s="246" t="s">
        <v>4113</v>
      </c>
      <c r="J122" s="232" t="s">
        <v>3879</v>
      </c>
      <c r="K122" s="161" t="s">
        <v>4136</v>
      </c>
      <c r="L122" s="240" t="s">
        <v>4328</v>
      </c>
      <c r="M122" s="240" t="s">
        <v>4329</v>
      </c>
      <c r="N122" s="160" t="s">
        <v>4280</v>
      </c>
      <c r="O122" s="139" t="s">
        <v>231</v>
      </c>
      <c r="P122" s="39" t="s">
        <v>4135</v>
      </c>
      <c r="Q122" s="228" t="s">
        <v>3245</v>
      </c>
      <c r="R122" s="200" t="s">
        <v>2943</v>
      </c>
      <c r="S122" s="141" t="s">
        <v>233</v>
      </c>
      <c r="T122" s="241"/>
    </row>
    <row r="123" spans="1:20" ht="58" customHeight="1">
      <c r="A123" s="230" t="s">
        <v>2437</v>
      </c>
      <c r="B123" s="41" t="s">
        <v>6</v>
      </c>
      <c r="C123" s="40" t="s">
        <v>1530</v>
      </c>
      <c r="D123" s="40" t="s">
        <v>236</v>
      </c>
      <c r="E123" s="199" t="s">
        <v>742</v>
      </c>
      <c r="F123" s="199" t="s">
        <v>4035</v>
      </c>
      <c r="G123" s="243" t="s">
        <v>3026</v>
      </c>
      <c r="H123" s="41" t="s">
        <v>2</v>
      </c>
      <c r="I123" s="246" t="s">
        <v>3034</v>
      </c>
      <c r="J123" s="232" t="s">
        <v>3243</v>
      </c>
      <c r="K123" s="161"/>
      <c r="L123" s="240"/>
      <c r="M123" s="240"/>
      <c r="N123" s="160"/>
      <c r="O123" s="139" t="s">
        <v>231</v>
      </c>
      <c r="P123" s="39" t="s">
        <v>235</v>
      </c>
      <c r="Q123" s="228" t="s">
        <v>3245</v>
      </c>
      <c r="R123" s="200" t="s">
        <v>2963</v>
      </c>
      <c r="S123" s="141" t="s">
        <v>233</v>
      </c>
      <c r="T123" s="241"/>
    </row>
    <row r="124" spans="1:20" ht="58" customHeight="1">
      <c r="A124" s="230" t="s">
        <v>2437</v>
      </c>
      <c r="B124" s="41" t="s">
        <v>6</v>
      </c>
      <c r="C124" s="40" t="s">
        <v>1530</v>
      </c>
      <c r="D124" s="40" t="s">
        <v>238</v>
      </c>
      <c r="E124" s="199" t="s">
        <v>743</v>
      </c>
      <c r="F124" s="199" t="s">
        <v>4036</v>
      </c>
      <c r="G124" s="243" t="s">
        <v>3026</v>
      </c>
      <c r="H124" s="41" t="s">
        <v>2</v>
      </c>
      <c r="I124" s="246" t="s">
        <v>3034</v>
      </c>
      <c r="J124" s="232" t="s">
        <v>3243</v>
      </c>
      <c r="K124" s="161"/>
      <c r="L124" s="240"/>
      <c r="M124" s="240"/>
      <c r="N124" s="160"/>
      <c r="O124" s="139" t="s">
        <v>231</v>
      </c>
      <c r="P124" s="39" t="s">
        <v>237</v>
      </c>
      <c r="Q124" s="228" t="s">
        <v>3245</v>
      </c>
      <c r="R124" s="200" t="s">
        <v>2963</v>
      </c>
      <c r="S124" s="141" t="s">
        <v>233</v>
      </c>
      <c r="T124" s="241"/>
    </row>
    <row r="125" spans="1:20" ht="58" customHeight="1">
      <c r="A125" s="230" t="s">
        <v>2437</v>
      </c>
      <c r="B125" s="41" t="s">
        <v>6</v>
      </c>
      <c r="C125" s="40" t="s">
        <v>1530</v>
      </c>
      <c r="D125" s="40" t="s">
        <v>240</v>
      </c>
      <c r="E125" s="199" t="s">
        <v>744</v>
      </c>
      <c r="F125" s="199" t="s">
        <v>4037</v>
      </c>
      <c r="G125" s="243" t="s">
        <v>3026</v>
      </c>
      <c r="H125" s="41" t="s">
        <v>2</v>
      </c>
      <c r="I125" s="246" t="s">
        <v>3034</v>
      </c>
      <c r="J125" s="232" t="s">
        <v>3243</v>
      </c>
      <c r="K125" s="161"/>
      <c r="L125" s="240"/>
      <c r="M125" s="240"/>
      <c r="N125" s="160"/>
      <c r="O125" s="139" t="s">
        <v>231</v>
      </c>
      <c r="P125" s="39" t="s">
        <v>239</v>
      </c>
      <c r="Q125" s="228" t="s">
        <v>3245</v>
      </c>
      <c r="R125" s="200" t="s">
        <v>2963</v>
      </c>
      <c r="S125" s="141" t="s">
        <v>233</v>
      </c>
      <c r="T125" s="241"/>
    </row>
    <row r="126" spans="1:20" ht="58" customHeight="1">
      <c r="A126" s="230" t="s">
        <v>2437</v>
      </c>
      <c r="B126" s="41" t="s">
        <v>6</v>
      </c>
      <c r="C126" s="40" t="s">
        <v>1530</v>
      </c>
      <c r="D126" s="40" t="s">
        <v>242</v>
      </c>
      <c r="E126" s="199" t="s">
        <v>745</v>
      </c>
      <c r="F126" s="199" t="s">
        <v>4038</v>
      </c>
      <c r="G126" s="243" t="s">
        <v>3026</v>
      </c>
      <c r="H126" s="41" t="s">
        <v>2</v>
      </c>
      <c r="I126" s="246" t="s">
        <v>3034</v>
      </c>
      <c r="J126" s="232" t="s">
        <v>3243</v>
      </c>
      <c r="K126" s="161"/>
      <c r="L126" s="240"/>
      <c r="M126" s="240"/>
      <c r="N126" s="160"/>
      <c r="O126" s="139" t="s">
        <v>231</v>
      </c>
      <c r="P126" s="39" t="s">
        <v>241</v>
      </c>
      <c r="Q126" s="228" t="s">
        <v>3245</v>
      </c>
      <c r="R126" s="200" t="s">
        <v>2963</v>
      </c>
      <c r="S126" s="141" t="s">
        <v>233</v>
      </c>
      <c r="T126" s="241"/>
    </row>
    <row r="127" spans="1:20" ht="58" customHeight="1">
      <c r="A127" s="230" t="s">
        <v>2437</v>
      </c>
      <c r="B127" s="41" t="s">
        <v>6</v>
      </c>
      <c r="C127" s="40" t="s">
        <v>1530</v>
      </c>
      <c r="D127" s="40" t="s">
        <v>331</v>
      </c>
      <c r="E127" s="199" t="s">
        <v>3955</v>
      </c>
      <c r="F127" s="199" t="s">
        <v>3304</v>
      </c>
      <c r="G127" s="243" t="s">
        <v>4658</v>
      </c>
      <c r="H127" s="41" t="s">
        <v>1522</v>
      </c>
      <c r="I127" s="246" t="s">
        <v>3036</v>
      </c>
      <c r="J127" s="232" t="s">
        <v>3958</v>
      </c>
      <c r="K127" s="161" t="s">
        <v>4242</v>
      </c>
      <c r="L127" s="240" t="s">
        <v>4656</v>
      </c>
      <c r="M127" s="240" t="s">
        <v>4657</v>
      </c>
      <c r="N127" s="160" t="s">
        <v>4278</v>
      </c>
      <c r="O127" s="139" t="s">
        <v>329</v>
      </c>
      <c r="P127" s="39" t="s">
        <v>330</v>
      </c>
      <c r="Q127" s="228" t="s">
        <v>3245</v>
      </c>
      <c r="R127" s="200" t="s">
        <v>2983</v>
      </c>
      <c r="S127" s="141" t="s">
        <v>332</v>
      </c>
      <c r="T127" s="241"/>
    </row>
    <row r="128" spans="1:20" ht="58" customHeight="1">
      <c r="A128" s="230" t="s">
        <v>2437</v>
      </c>
      <c r="B128" s="41" t="s">
        <v>6</v>
      </c>
      <c r="C128" s="40" t="s">
        <v>1530</v>
      </c>
      <c r="D128" s="40" t="s">
        <v>334</v>
      </c>
      <c r="E128" s="199" t="s">
        <v>3948</v>
      </c>
      <c r="F128" s="199" t="s">
        <v>3949</v>
      </c>
      <c r="G128" s="243" t="s">
        <v>3950</v>
      </c>
      <c r="H128" s="41" t="s">
        <v>1522</v>
      </c>
      <c r="I128" s="246" t="s">
        <v>3036</v>
      </c>
      <c r="J128" s="232" t="s">
        <v>3957</v>
      </c>
      <c r="K128" s="161" t="s">
        <v>4269</v>
      </c>
      <c r="L128" s="240" t="s">
        <v>4661</v>
      </c>
      <c r="M128" s="240"/>
      <c r="N128" s="160" t="s">
        <v>4278</v>
      </c>
      <c r="O128" s="139" t="s">
        <v>329</v>
      </c>
      <c r="P128" s="39" t="s">
        <v>333</v>
      </c>
      <c r="Q128" s="228" t="s">
        <v>3245</v>
      </c>
      <c r="R128" s="200" t="s">
        <v>2982</v>
      </c>
      <c r="S128" s="141" t="s">
        <v>332</v>
      </c>
      <c r="T128" s="241" t="s">
        <v>3951</v>
      </c>
    </row>
    <row r="129" spans="1:20" ht="58" customHeight="1">
      <c r="A129" s="230" t="s">
        <v>2437</v>
      </c>
      <c r="B129" s="41" t="s">
        <v>6</v>
      </c>
      <c r="C129" s="40" t="s">
        <v>1530</v>
      </c>
      <c r="D129" s="40" t="s">
        <v>336</v>
      </c>
      <c r="E129" s="199" t="s">
        <v>3952</v>
      </c>
      <c r="F129" s="199" t="s">
        <v>3305</v>
      </c>
      <c r="G129" s="243" t="s">
        <v>3953</v>
      </c>
      <c r="H129" s="41" t="s">
        <v>2</v>
      </c>
      <c r="I129" s="246" t="s">
        <v>3034</v>
      </c>
      <c r="J129" s="232" t="s">
        <v>3938</v>
      </c>
      <c r="K129" s="161" t="s">
        <v>958</v>
      </c>
      <c r="L129" s="240"/>
      <c r="M129" s="240"/>
      <c r="N129" s="160"/>
      <c r="O129" s="139" t="s">
        <v>329</v>
      </c>
      <c r="P129" s="39" t="s">
        <v>335</v>
      </c>
      <c r="Q129" s="228" t="s">
        <v>3245</v>
      </c>
      <c r="R129" s="200" t="s">
        <v>2984</v>
      </c>
      <c r="S129" s="141" t="s">
        <v>332</v>
      </c>
      <c r="T129" s="241" t="s">
        <v>3954</v>
      </c>
    </row>
    <row r="130" spans="1:20" ht="58" customHeight="1">
      <c r="A130" s="230" t="s">
        <v>2437</v>
      </c>
      <c r="B130" s="41" t="s">
        <v>6</v>
      </c>
      <c r="C130" s="40" t="s">
        <v>1530</v>
      </c>
      <c r="D130" s="40" t="s">
        <v>338</v>
      </c>
      <c r="E130" s="199" t="s">
        <v>776</v>
      </c>
      <c r="F130" s="199" t="s">
        <v>4039</v>
      </c>
      <c r="G130" s="243" t="s">
        <v>3029</v>
      </c>
      <c r="H130" s="41" t="s">
        <v>1522</v>
      </c>
      <c r="I130" s="246" t="s">
        <v>3036</v>
      </c>
      <c r="J130" s="232" t="s">
        <v>3880</v>
      </c>
      <c r="K130" s="161" t="s">
        <v>4246</v>
      </c>
      <c r="L130" s="240" t="s">
        <v>4322</v>
      </c>
      <c r="M130" s="240" t="s">
        <v>4323</v>
      </c>
      <c r="N130" s="160" t="s">
        <v>4279</v>
      </c>
      <c r="O130" s="139" t="s">
        <v>329</v>
      </c>
      <c r="P130" s="39" t="s">
        <v>337</v>
      </c>
      <c r="Q130" s="228" t="s">
        <v>3245</v>
      </c>
      <c r="R130" s="200" t="s">
        <v>2943</v>
      </c>
      <c r="S130" s="141" t="s">
        <v>332</v>
      </c>
      <c r="T130" s="241"/>
    </row>
    <row r="131" spans="1:20" ht="58" customHeight="1">
      <c r="A131" s="230" t="s">
        <v>2437</v>
      </c>
      <c r="B131" s="41" t="s">
        <v>6</v>
      </c>
      <c r="C131" s="40" t="s">
        <v>1530</v>
      </c>
      <c r="D131" s="40" t="s">
        <v>340</v>
      </c>
      <c r="E131" s="199" t="s">
        <v>777</v>
      </c>
      <c r="F131" s="199" t="s">
        <v>4040</v>
      </c>
      <c r="G131" s="243" t="s">
        <v>3029</v>
      </c>
      <c r="H131" s="41" t="s">
        <v>1522</v>
      </c>
      <c r="I131" s="246" t="s">
        <v>3036</v>
      </c>
      <c r="J131" s="232" t="s">
        <v>3881</v>
      </c>
      <c r="K131" s="161" t="s">
        <v>4247</v>
      </c>
      <c r="L131" s="240" t="s">
        <v>4324</v>
      </c>
      <c r="M131" s="240" t="s">
        <v>4325</v>
      </c>
      <c r="N131" s="160" t="s">
        <v>4279</v>
      </c>
      <c r="O131" s="139" t="s">
        <v>329</v>
      </c>
      <c r="P131" s="39" t="s">
        <v>339</v>
      </c>
      <c r="Q131" s="228" t="s">
        <v>3245</v>
      </c>
      <c r="R131" s="200" t="s">
        <v>2943</v>
      </c>
      <c r="S131" s="141" t="s">
        <v>332</v>
      </c>
      <c r="T131" s="241"/>
    </row>
    <row r="132" spans="1:20" ht="58" customHeight="1">
      <c r="A132" s="230" t="s">
        <v>2437</v>
      </c>
      <c r="B132" s="41" t="s">
        <v>6</v>
      </c>
      <c r="C132" s="40" t="s">
        <v>1530</v>
      </c>
      <c r="D132" s="40" t="s">
        <v>342</v>
      </c>
      <c r="E132" s="199" t="s">
        <v>778</v>
      </c>
      <c r="F132" s="199" t="s">
        <v>4041</v>
      </c>
      <c r="G132" s="243" t="s">
        <v>3029</v>
      </c>
      <c r="H132" s="41" t="s">
        <v>1522</v>
      </c>
      <c r="I132" s="246" t="s">
        <v>3036</v>
      </c>
      <c r="J132" s="232" t="s">
        <v>3882</v>
      </c>
      <c r="K132" s="161" t="s">
        <v>4269</v>
      </c>
      <c r="L132" s="240" t="s">
        <v>4662</v>
      </c>
      <c r="M132" s="240"/>
      <c r="N132" s="160" t="s">
        <v>4278</v>
      </c>
      <c r="O132" s="139" t="s">
        <v>329</v>
      </c>
      <c r="P132" s="39" t="s">
        <v>341</v>
      </c>
      <c r="Q132" s="228" t="s">
        <v>3245</v>
      </c>
      <c r="R132" s="200" t="s">
        <v>2943</v>
      </c>
      <c r="S132" s="141" t="s">
        <v>332</v>
      </c>
      <c r="T132" s="241"/>
    </row>
    <row r="133" spans="1:20" ht="58" customHeight="1">
      <c r="A133" s="230" t="s">
        <v>2437</v>
      </c>
      <c r="B133" s="41" t="s">
        <v>6</v>
      </c>
      <c r="C133" s="40" t="s">
        <v>1530</v>
      </c>
      <c r="D133" s="40" t="s">
        <v>344</v>
      </c>
      <c r="E133" s="199" t="s">
        <v>779</v>
      </c>
      <c r="F133" s="199" t="s">
        <v>345</v>
      </c>
      <c r="G133" s="243" t="s">
        <v>3029</v>
      </c>
      <c r="H133" s="41" t="s">
        <v>1522</v>
      </c>
      <c r="I133" s="246" t="s">
        <v>4113</v>
      </c>
      <c r="J133" s="232" t="s">
        <v>3883</v>
      </c>
      <c r="K133" s="161" t="s">
        <v>4248</v>
      </c>
      <c r="L133" s="240" t="s">
        <v>4326</v>
      </c>
      <c r="M133" s="240" t="s">
        <v>4327</v>
      </c>
      <c r="N133" s="160" t="s">
        <v>4279</v>
      </c>
      <c r="O133" s="139" t="s">
        <v>329</v>
      </c>
      <c r="P133" s="39" t="s">
        <v>343</v>
      </c>
      <c r="Q133" s="228" t="s">
        <v>3245</v>
      </c>
      <c r="R133" s="200" t="s">
        <v>2943</v>
      </c>
      <c r="S133" s="141" t="s">
        <v>332</v>
      </c>
      <c r="T133" s="241"/>
    </row>
    <row r="134" spans="1:20" ht="58" customHeight="1">
      <c r="A134" s="230" t="s">
        <v>2437</v>
      </c>
      <c r="B134" s="41" t="s">
        <v>6</v>
      </c>
      <c r="C134" s="40" t="s">
        <v>1530</v>
      </c>
      <c r="D134" s="40" t="s">
        <v>347</v>
      </c>
      <c r="E134" s="199" t="s">
        <v>780</v>
      </c>
      <c r="F134" s="199" t="s">
        <v>4042</v>
      </c>
      <c r="G134" s="243" t="s">
        <v>3029</v>
      </c>
      <c r="H134" s="41" t="s">
        <v>1522</v>
      </c>
      <c r="I134" s="246" t="s">
        <v>4113</v>
      </c>
      <c r="J134" s="232" t="s">
        <v>3884</v>
      </c>
      <c r="K134" s="161" t="s">
        <v>4243</v>
      </c>
      <c r="L134" s="240" t="s">
        <v>4314</v>
      </c>
      <c r="M134" s="240" t="s">
        <v>4315</v>
      </c>
      <c r="N134" s="160" t="s">
        <v>4278</v>
      </c>
      <c r="O134" s="139" t="s">
        <v>329</v>
      </c>
      <c r="P134" s="39" t="s">
        <v>346</v>
      </c>
      <c r="Q134" s="228" t="s">
        <v>3245</v>
      </c>
      <c r="R134" s="200" t="s">
        <v>2943</v>
      </c>
      <c r="S134" s="141" t="s">
        <v>332</v>
      </c>
      <c r="T134" s="241"/>
    </row>
    <row r="135" spans="1:20" ht="58" customHeight="1">
      <c r="A135" s="230" t="s">
        <v>2437</v>
      </c>
      <c r="B135" s="41" t="s">
        <v>6</v>
      </c>
      <c r="C135" s="40" t="s">
        <v>1532</v>
      </c>
      <c r="D135" s="40" t="s">
        <v>280</v>
      </c>
      <c r="E135" s="199" t="s">
        <v>757</v>
      </c>
      <c r="F135" s="199" t="s">
        <v>4043</v>
      </c>
      <c r="G135" s="243" t="s">
        <v>3026</v>
      </c>
      <c r="H135" s="41" t="s">
        <v>2</v>
      </c>
      <c r="I135" s="246" t="s">
        <v>3034</v>
      </c>
      <c r="J135" s="232" t="s">
        <v>3243</v>
      </c>
      <c r="K135" s="161"/>
      <c r="L135" s="240"/>
      <c r="M135" s="240"/>
      <c r="N135" s="160"/>
      <c r="O135" s="139" t="s">
        <v>278</v>
      </c>
      <c r="P135" s="39" t="s">
        <v>279</v>
      </c>
      <c r="Q135" s="228" t="s">
        <v>3245</v>
      </c>
      <c r="R135" s="200" t="s">
        <v>2963</v>
      </c>
      <c r="S135" s="141" t="s">
        <v>281</v>
      </c>
      <c r="T135" s="241"/>
    </row>
    <row r="136" spans="1:20" ht="58" customHeight="1">
      <c r="A136" s="230" t="s">
        <v>2437</v>
      </c>
      <c r="B136" s="41" t="s">
        <v>6</v>
      </c>
      <c r="C136" s="40" t="s">
        <v>1532</v>
      </c>
      <c r="D136" s="40" t="s">
        <v>283</v>
      </c>
      <c r="E136" s="199" t="s">
        <v>758</v>
      </c>
      <c r="F136" s="199" t="s">
        <v>4044</v>
      </c>
      <c r="G136" s="243" t="s">
        <v>3026</v>
      </c>
      <c r="H136" s="41" t="s">
        <v>2</v>
      </c>
      <c r="I136" s="246" t="s">
        <v>3034</v>
      </c>
      <c r="J136" s="232" t="s">
        <v>3243</v>
      </c>
      <c r="K136" s="161"/>
      <c r="L136" s="240"/>
      <c r="M136" s="240"/>
      <c r="N136" s="160"/>
      <c r="O136" s="139" t="s">
        <v>278</v>
      </c>
      <c r="P136" s="39" t="s">
        <v>282</v>
      </c>
      <c r="Q136" s="228" t="s">
        <v>3245</v>
      </c>
      <c r="R136" s="200" t="s">
        <v>2963</v>
      </c>
      <c r="S136" s="141" t="s">
        <v>281</v>
      </c>
      <c r="T136" s="241"/>
    </row>
    <row r="137" spans="1:20" ht="58" customHeight="1">
      <c r="A137" s="230" t="s">
        <v>2437</v>
      </c>
      <c r="B137" s="41" t="s">
        <v>6</v>
      </c>
      <c r="C137" s="40" t="s">
        <v>1532</v>
      </c>
      <c r="D137" s="40" t="s">
        <v>285</v>
      </c>
      <c r="E137" s="199" t="s">
        <v>759</v>
      </c>
      <c r="F137" s="199" t="s">
        <v>4045</v>
      </c>
      <c r="G137" s="243" t="s">
        <v>3030</v>
      </c>
      <c r="H137" s="41" t="s">
        <v>1522</v>
      </c>
      <c r="I137" s="246" t="s">
        <v>3036</v>
      </c>
      <c r="J137" s="232" t="s">
        <v>3885</v>
      </c>
      <c r="K137" s="161" t="s">
        <v>4557</v>
      </c>
      <c r="L137" s="240"/>
      <c r="M137" s="240"/>
      <c r="N137" s="160"/>
      <c r="O137" s="139" t="s">
        <v>278</v>
      </c>
      <c r="P137" s="39" t="s">
        <v>284</v>
      </c>
      <c r="Q137" s="228" t="s">
        <v>3245</v>
      </c>
      <c r="R137" s="200" t="s">
        <v>2944</v>
      </c>
      <c r="S137" s="141" t="s">
        <v>281</v>
      </c>
      <c r="T137" s="241"/>
    </row>
    <row r="138" spans="1:20" ht="58" customHeight="1">
      <c r="A138" s="230" t="s">
        <v>2437</v>
      </c>
      <c r="B138" s="41" t="s">
        <v>6</v>
      </c>
      <c r="C138" s="40" t="s">
        <v>1532</v>
      </c>
      <c r="D138" s="40" t="s">
        <v>292</v>
      </c>
      <c r="E138" s="199" t="s">
        <v>762</v>
      </c>
      <c r="F138" s="199" t="s">
        <v>4046</v>
      </c>
      <c r="G138" s="243" t="s">
        <v>3030</v>
      </c>
      <c r="H138" s="41" t="s">
        <v>1522</v>
      </c>
      <c r="I138" s="246" t="s">
        <v>3036</v>
      </c>
      <c r="J138" s="232" t="s">
        <v>3886</v>
      </c>
      <c r="K138" s="161" t="s">
        <v>4557</v>
      </c>
      <c r="L138" s="240"/>
      <c r="M138" s="240"/>
      <c r="N138" s="160"/>
      <c r="O138" s="139" t="s">
        <v>290</v>
      </c>
      <c r="P138" s="39" t="s">
        <v>291</v>
      </c>
      <c r="Q138" s="228" t="s">
        <v>3245</v>
      </c>
      <c r="R138" s="200" t="s">
        <v>2944</v>
      </c>
      <c r="S138" s="141" t="s">
        <v>293</v>
      </c>
      <c r="T138" s="241"/>
    </row>
    <row r="139" spans="1:20" ht="58" customHeight="1">
      <c r="A139" s="230" t="s">
        <v>2437</v>
      </c>
      <c r="B139" s="41" t="s">
        <v>6</v>
      </c>
      <c r="C139" s="40" t="s">
        <v>1532</v>
      </c>
      <c r="D139" s="40" t="s">
        <v>295</v>
      </c>
      <c r="E139" s="199" t="s">
        <v>763</v>
      </c>
      <c r="F139" s="199" t="s">
        <v>4047</v>
      </c>
      <c r="G139" s="243" t="s">
        <v>3030</v>
      </c>
      <c r="H139" s="41" t="s">
        <v>1522</v>
      </c>
      <c r="I139" s="246" t="s">
        <v>3036</v>
      </c>
      <c r="J139" s="232" t="s">
        <v>3887</v>
      </c>
      <c r="K139" s="161" t="s">
        <v>4557</v>
      </c>
      <c r="L139" s="240"/>
      <c r="M139" s="240"/>
      <c r="N139" s="160"/>
      <c r="O139" s="139" t="s">
        <v>290</v>
      </c>
      <c r="P139" s="39" t="s">
        <v>294</v>
      </c>
      <c r="Q139" s="228" t="s">
        <v>3245</v>
      </c>
      <c r="R139" s="200" t="s">
        <v>2944</v>
      </c>
      <c r="S139" s="141" t="s">
        <v>293</v>
      </c>
      <c r="T139" s="241"/>
    </row>
    <row r="140" spans="1:20" ht="58" customHeight="1">
      <c r="A140" s="230" t="s">
        <v>2437</v>
      </c>
      <c r="B140" s="41" t="s">
        <v>6</v>
      </c>
      <c r="C140" s="40" t="s">
        <v>1532</v>
      </c>
      <c r="D140" s="40" t="s">
        <v>297</v>
      </c>
      <c r="E140" s="199" t="s">
        <v>764</v>
      </c>
      <c r="F140" s="199" t="s">
        <v>4048</v>
      </c>
      <c r="G140" s="243" t="s">
        <v>3030</v>
      </c>
      <c r="H140" s="41" t="s">
        <v>1522</v>
      </c>
      <c r="I140" s="246" t="s">
        <v>3036</v>
      </c>
      <c r="J140" s="232" t="s">
        <v>3888</v>
      </c>
      <c r="K140" s="161" t="s">
        <v>4557</v>
      </c>
      <c r="L140" s="240"/>
      <c r="M140" s="240"/>
      <c r="N140" s="160"/>
      <c r="O140" s="139" t="s">
        <v>290</v>
      </c>
      <c r="P140" s="39" t="s">
        <v>296</v>
      </c>
      <c r="Q140" s="228" t="s">
        <v>3245</v>
      </c>
      <c r="R140" s="200" t="s">
        <v>2944</v>
      </c>
      <c r="S140" s="141" t="s">
        <v>293</v>
      </c>
      <c r="T140" s="241"/>
    </row>
    <row r="141" spans="1:20" ht="58" customHeight="1">
      <c r="A141" s="230" t="s">
        <v>2437</v>
      </c>
      <c r="B141" s="41" t="s">
        <v>6</v>
      </c>
      <c r="C141" s="40" t="s">
        <v>1532</v>
      </c>
      <c r="D141" s="40" t="s">
        <v>299</v>
      </c>
      <c r="E141" s="199" t="s">
        <v>765</v>
      </c>
      <c r="F141" s="199" t="s">
        <v>4049</v>
      </c>
      <c r="G141" s="243" t="s">
        <v>3030</v>
      </c>
      <c r="H141" s="41" t="s">
        <v>1522</v>
      </c>
      <c r="I141" s="246" t="s">
        <v>3036</v>
      </c>
      <c r="J141" s="232" t="s">
        <v>3889</v>
      </c>
      <c r="K141" s="161" t="s">
        <v>4557</v>
      </c>
      <c r="L141" s="240"/>
      <c r="M141" s="240"/>
      <c r="N141" s="160"/>
      <c r="O141" s="139" t="s">
        <v>290</v>
      </c>
      <c r="P141" s="39" t="s">
        <v>298</v>
      </c>
      <c r="Q141" s="228" t="s">
        <v>3245</v>
      </c>
      <c r="R141" s="200" t="s">
        <v>2944</v>
      </c>
      <c r="S141" s="141" t="s">
        <v>293</v>
      </c>
      <c r="T141" s="241"/>
    </row>
    <row r="142" spans="1:20" ht="58" customHeight="1">
      <c r="A142" s="230" t="s">
        <v>2437</v>
      </c>
      <c r="B142" s="41" t="s">
        <v>6</v>
      </c>
      <c r="C142" s="40" t="s">
        <v>1532</v>
      </c>
      <c r="D142" s="40" t="s">
        <v>301</v>
      </c>
      <c r="E142" s="199" t="s">
        <v>766</v>
      </c>
      <c r="F142" s="199" t="s">
        <v>4050</v>
      </c>
      <c r="G142" s="243" t="s">
        <v>3030</v>
      </c>
      <c r="H142" s="41" t="s">
        <v>1522</v>
      </c>
      <c r="I142" s="246" t="s">
        <v>3036</v>
      </c>
      <c r="J142" s="232" t="s">
        <v>3890</v>
      </c>
      <c r="K142" s="161" t="s">
        <v>4557</v>
      </c>
      <c r="L142" s="240"/>
      <c r="M142" s="240"/>
      <c r="N142" s="160"/>
      <c r="O142" s="139" t="s">
        <v>290</v>
      </c>
      <c r="P142" s="39" t="s">
        <v>300</v>
      </c>
      <c r="Q142" s="228" t="s">
        <v>3245</v>
      </c>
      <c r="R142" s="200" t="s">
        <v>2944</v>
      </c>
      <c r="S142" s="141" t="s">
        <v>293</v>
      </c>
      <c r="T142" s="241"/>
    </row>
    <row r="143" spans="1:20" ht="58" customHeight="1">
      <c r="A143" s="230" t="s">
        <v>2437</v>
      </c>
      <c r="B143" s="41" t="s">
        <v>6</v>
      </c>
      <c r="C143" s="40" t="s">
        <v>1532</v>
      </c>
      <c r="D143" s="40" t="s">
        <v>287</v>
      </c>
      <c r="E143" s="199" t="s">
        <v>760</v>
      </c>
      <c r="F143" s="199" t="s">
        <v>4051</v>
      </c>
      <c r="G143" s="243" t="s">
        <v>3030</v>
      </c>
      <c r="H143" s="41" t="s">
        <v>1522</v>
      </c>
      <c r="I143" s="246" t="s">
        <v>3036</v>
      </c>
      <c r="J143" s="232" t="s">
        <v>3891</v>
      </c>
      <c r="K143" s="161" t="s">
        <v>4557</v>
      </c>
      <c r="L143" s="240"/>
      <c r="M143" s="240"/>
      <c r="N143" s="160"/>
      <c r="O143" s="139" t="s">
        <v>278</v>
      </c>
      <c r="P143" s="39" t="s">
        <v>286</v>
      </c>
      <c r="Q143" s="228" t="s">
        <v>3245</v>
      </c>
      <c r="R143" s="200" t="s">
        <v>2944</v>
      </c>
      <c r="S143" s="141" t="s">
        <v>281</v>
      </c>
      <c r="T143" s="241"/>
    </row>
    <row r="144" spans="1:20" ht="58" customHeight="1">
      <c r="A144" s="230" t="s">
        <v>2437</v>
      </c>
      <c r="B144" s="41" t="s">
        <v>6</v>
      </c>
      <c r="C144" s="40" t="s">
        <v>1532</v>
      </c>
      <c r="D144" s="40" t="s">
        <v>306</v>
      </c>
      <c r="E144" s="199" t="s">
        <v>768</v>
      </c>
      <c r="F144" s="199" t="s">
        <v>4084</v>
      </c>
      <c r="G144" s="243" t="s">
        <v>3030</v>
      </c>
      <c r="H144" s="41" t="s">
        <v>1522</v>
      </c>
      <c r="I144" s="246" t="s">
        <v>3036</v>
      </c>
      <c r="J144" s="232" t="s">
        <v>3892</v>
      </c>
      <c r="K144" s="161" t="s">
        <v>4557</v>
      </c>
      <c r="L144" s="240"/>
      <c r="M144" s="240"/>
      <c r="N144" s="160"/>
      <c r="O144" s="139" t="s">
        <v>304</v>
      </c>
      <c r="P144" s="39" t="s">
        <v>305</v>
      </c>
      <c r="Q144" s="228" t="s">
        <v>3245</v>
      </c>
      <c r="R144" s="200" t="s">
        <v>2944</v>
      </c>
      <c r="S144" s="141" t="s">
        <v>307</v>
      </c>
      <c r="T144" s="241"/>
    </row>
    <row r="145" spans="1:20" ht="58" customHeight="1">
      <c r="A145" s="230" t="s">
        <v>2437</v>
      </c>
      <c r="B145" s="41" t="s">
        <v>6</v>
      </c>
      <c r="C145" s="40" t="s">
        <v>1532</v>
      </c>
      <c r="D145" s="40" t="s">
        <v>309</v>
      </c>
      <c r="E145" s="199" t="s">
        <v>769</v>
      </c>
      <c r="F145" s="199" t="s">
        <v>4085</v>
      </c>
      <c r="G145" s="243" t="s">
        <v>3030</v>
      </c>
      <c r="H145" s="41" t="s">
        <v>1522</v>
      </c>
      <c r="I145" s="246" t="s">
        <v>3036</v>
      </c>
      <c r="J145" s="232" t="s">
        <v>3893</v>
      </c>
      <c r="K145" s="161" t="s">
        <v>4517</v>
      </c>
      <c r="L145" s="240" t="s">
        <v>4518</v>
      </c>
      <c r="M145" s="240" t="s">
        <v>4519</v>
      </c>
      <c r="N145" s="160" t="s">
        <v>4279</v>
      </c>
      <c r="O145" s="139" t="s">
        <v>304</v>
      </c>
      <c r="P145" s="39" t="s">
        <v>308</v>
      </c>
      <c r="Q145" s="228" t="s">
        <v>3245</v>
      </c>
      <c r="R145" s="200" t="s">
        <v>2944</v>
      </c>
      <c r="S145" s="141" t="s">
        <v>307</v>
      </c>
      <c r="T145" s="241"/>
    </row>
    <row r="146" spans="1:20" ht="58" customHeight="1">
      <c r="A146" s="230" t="s">
        <v>2437</v>
      </c>
      <c r="B146" s="41" t="s">
        <v>6</v>
      </c>
      <c r="C146" s="40" t="s">
        <v>1532</v>
      </c>
      <c r="D146" s="40" t="s">
        <v>319</v>
      </c>
      <c r="E146" s="199" t="s">
        <v>3786</v>
      </c>
      <c r="F146" s="199" t="s">
        <v>4052</v>
      </c>
      <c r="G146" s="243" t="s">
        <v>3026</v>
      </c>
      <c r="H146" s="41" t="s">
        <v>2</v>
      </c>
      <c r="I146" s="246" t="s">
        <v>3034</v>
      </c>
      <c r="J146" s="232" t="s">
        <v>3243</v>
      </c>
      <c r="K146" s="161"/>
      <c r="L146" s="240"/>
      <c r="M146" s="240"/>
      <c r="N146" s="160"/>
      <c r="O146" s="139" t="s">
        <v>317</v>
      </c>
      <c r="P146" s="39" t="s">
        <v>318</v>
      </c>
      <c r="Q146" s="228" t="s">
        <v>3245</v>
      </c>
      <c r="R146" s="200" t="s">
        <v>2967</v>
      </c>
      <c r="S146" s="141" t="s">
        <v>320</v>
      </c>
      <c r="T146" s="241"/>
    </row>
    <row r="147" spans="1:20" ht="58" customHeight="1">
      <c r="A147" s="230" t="s">
        <v>2437</v>
      </c>
      <c r="B147" s="41" t="s">
        <v>6</v>
      </c>
      <c r="C147" s="40" t="s">
        <v>1532</v>
      </c>
      <c r="D147" s="40" t="s">
        <v>311</v>
      </c>
      <c r="E147" s="199" t="s">
        <v>770</v>
      </c>
      <c r="F147" s="199" t="s">
        <v>4081</v>
      </c>
      <c r="G147" s="243" t="s">
        <v>3026</v>
      </c>
      <c r="H147" s="41" t="s">
        <v>2</v>
      </c>
      <c r="I147" s="246" t="s">
        <v>3034</v>
      </c>
      <c r="J147" s="232" t="s">
        <v>3243</v>
      </c>
      <c r="K147" s="161"/>
      <c r="L147" s="240"/>
      <c r="M147" s="240"/>
      <c r="N147" s="160"/>
      <c r="O147" s="139" t="s">
        <v>304</v>
      </c>
      <c r="P147" s="39" t="s">
        <v>310</v>
      </c>
      <c r="Q147" s="228" t="s">
        <v>3245</v>
      </c>
      <c r="R147" s="200" t="s">
        <v>2963</v>
      </c>
      <c r="S147" s="141" t="s">
        <v>307</v>
      </c>
      <c r="T147" s="241"/>
    </row>
    <row r="148" spans="1:20" ht="58" customHeight="1">
      <c r="A148" s="230" t="s">
        <v>2437</v>
      </c>
      <c r="B148" s="41" t="s">
        <v>6</v>
      </c>
      <c r="C148" s="40" t="s">
        <v>1532</v>
      </c>
      <c r="D148" s="40" t="s">
        <v>313</v>
      </c>
      <c r="E148" s="199" t="s">
        <v>771</v>
      </c>
      <c r="F148" s="199" t="s">
        <v>314</v>
      </c>
      <c r="G148" s="243" t="s">
        <v>3030</v>
      </c>
      <c r="H148" s="41" t="s">
        <v>1522</v>
      </c>
      <c r="I148" s="246" t="s">
        <v>3036</v>
      </c>
      <c r="J148" s="232" t="s">
        <v>3894</v>
      </c>
      <c r="K148" s="161" t="s">
        <v>4531</v>
      </c>
      <c r="L148" s="240" t="s">
        <v>4532</v>
      </c>
      <c r="M148" s="240" t="s">
        <v>4533</v>
      </c>
      <c r="N148" s="160" t="s">
        <v>4279</v>
      </c>
      <c r="O148" s="139" t="s">
        <v>304</v>
      </c>
      <c r="P148" s="39" t="s">
        <v>312</v>
      </c>
      <c r="Q148" s="228" t="s">
        <v>3245</v>
      </c>
      <c r="R148" s="200" t="s">
        <v>2944</v>
      </c>
      <c r="S148" s="141" t="s">
        <v>307</v>
      </c>
      <c r="T148" s="241"/>
    </row>
    <row r="149" spans="1:20" ht="58" customHeight="1">
      <c r="A149" s="230" t="s">
        <v>2437</v>
      </c>
      <c r="B149" s="41" t="s">
        <v>6</v>
      </c>
      <c r="C149" s="40" t="s">
        <v>1532</v>
      </c>
      <c r="D149" s="40" t="s">
        <v>316</v>
      </c>
      <c r="E149" s="199" t="s">
        <v>772</v>
      </c>
      <c r="F149" s="199" t="s">
        <v>4304</v>
      </c>
      <c r="G149" s="243" t="s">
        <v>4305</v>
      </c>
      <c r="H149" s="41" t="s">
        <v>3</v>
      </c>
      <c r="I149" s="246" t="s">
        <v>3038</v>
      </c>
      <c r="J149" s="232" t="s">
        <v>3895</v>
      </c>
      <c r="K149" s="161" t="s">
        <v>958</v>
      </c>
      <c r="L149" s="240"/>
      <c r="M149" s="240"/>
      <c r="N149" s="160"/>
      <c r="O149" s="139" t="s">
        <v>304</v>
      </c>
      <c r="P149" s="39" t="s">
        <v>315</v>
      </c>
      <c r="Q149" s="228" t="s">
        <v>3245</v>
      </c>
      <c r="R149" s="200" t="s">
        <v>2980</v>
      </c>
      <c r="S149" s="141" t="s">
        <v>307</v>
      </c>
      <c r="T149" s="241"/>
    </row>
    <row r="150" spans="1:20" ht="58" customHeight="1">
      <c r="A150" s="230" t="s">
        <v>2437</v>
      </c>
      <c r="B150" s="41" t="s">
        <v>6</v>
      </c>
      <c r="C150" s="40" t="s">
        <v>1532</v>
      </c>
      <c r="D150" s="40" t="s">
        <v>289</v>
      </c>
      <c r="E150" s="199" t="s">
        <v>761</v>
      </c>
      <c r="F150" s="199" t="s">
        <v>4053</v>
      </c>
      <c r="G150" s="243" t="s">
        <v>3026</v>
      </c>
      <c r="H150" s="41" t="s">
        <v>2</v>
      </c>
      <c r="I150" s="246" t="s">
        <v>3034</v>
      </c>
      <c r="J150" s="232" t="s">
        <v>3243</v>
      </c>
      <c r="K150" s="161"/>
      <c r="L150" s="240"/>
      <c r="M150" s="240"/>
      <c r="N150" s="160"/>
      <c r="O150" s="139" t="s">
        <v>278</v>
      </c>
      <c r="P150" s="39" t="s">
        <v>288</v>
      </c>
      <c r="Q150" s="228" t="s">
        <v>3245</v>
      </c>
      <c r="R150" s="200" t="s">
        <v>2963</v>
      </c>
      <c r="S150" s="141" t="s">
        <v>281</v>
      </c>
      <c r="T150" s="241"/>
    </row>
    <row r="151" spans="1:20" ht="58" customHeight="1">
      <c r="A151" s="230" t="s">
        <v>2437</v>
      </c>
      <c r="B151" s="41" t="s">
        <v>6</v>
      </c>
      <c r="C151" s="40" t="s">
        <v>1532</v>
      </c>
      <c r="D151" s="40" t="s">
        <v>322</v>
      </c>
      <c r="E151" s="199" t="s">
        <v>773</v>
      </c>
      <c r="F151" s="199" t="s">
        <v>4054</v>
      </c>
      <c r="G151" s="243" t="s">
        <v>3026</v>
      </c>
      <c r="H151" s="41" t="s">
        <v>2</v>
      </c>
      <c r="I151" s="246" t="s">
        <v>3034</v>
      </c>
      <c r="J151" s="232" t="s">
        <v>3243</v>
      </c>
      <c r="K151" s="161"/>
      <c r="L151" s="240"/>
      <c r="M151" s="240"/>
      <c r="N151" s="160"/>
      <c r="O151" s="139" t="s">
        <v>317</v>
      </c>
      <c r="P151" s="39" t="s">
        <v>321</v>
      </c>
      <c r="Q151" s="228" t="s">
        <v>3245</v>
      </c>
      <c r="R151" s="200" t="s">
        <v>2963</v>
      </c>
      <c r="S151" s="141" t="s">
        <v>320</v>
      </c>
      <c r="T151" s="241"/>
    </row>
    <row r="152" spans="1:20" ht="58" customHeight="1">
      <c r="A152" s="230" t="s">
        <v>2437</v>
      </c>
      <c r="B152" s="41" t="s">
        <v>6</v>
      </c>
      <c r="C152" s="40" t="s">
        <v>1532</v>
      </c>
      <c r="D152" s="40" t="s">
        <v>324</v>
      </c>
      <c r="E152" s="199" t="s">
        <v>3787</v>
      </c>
      <c r="F152" s="199" t="s">
        <v>3306</v>
      </c>
      <c r="G152" s="243" t="s">
        <v>3297</v>
      </c>
      <c r="H152" s="41" t="s">
        <v>2</v>
      </c>
      <c r="I152" s="246" t="s">
        <v>3034</v>
      </c>
      <c r="J152" s="232" t="s">
        <v>3243</v>
      </c>
      <c r="K152" s="161"/>
      <c r="L152" s="240"/>
      <c r="M152" s="240"/>
      <c r="N152" s="160"/>
      <c r="O152" s="139" t="s">
        <v>317</v>
      </c>
      <c r="P152" s="39" t="s">
        <v>323</v>
      </c>
      <c r="Q152" s="228" t="s">
        <v>3245</v>
      </c>
      <c r="R152" s="200" t="s">
        <v>2981</v>
      </c>
      <c r="S152" s="141" t="s">
        <v>320</v>
      </c>
      <c r="T152" s="241"/>
    </row>
    <row r="153" spans="1:20" ht="58" customHeight="1">
      <c r="A153" s="230" t="s">
        <v>2437</v>
      </c>
      <c r="B153" s="41" t="s">
        <v>6</v>
      </c>
      <c r="C153" s="40" t="s">
        <v>1532</v>
      </c>
      <c r="D153" s="40" t="s">
        <v>326</v>
      </c>
      <c r="E153" s="199" t="s">
        <v>774</v>
      </c>
      <c r="F153" s="199" t="s">
        <v>4055</v>
      </c>
      <c r="G153" s="243" t="s">
        <v>3026</v>
      </c>
      <c r="H153" s="41" t="s">
        <v>2</v>
      </c>
      <c r="I153" s="246" t="s">
        <v>3034</v>
      </c>
      <c r="J153" s="232" t="s">
        <v>3243</v>
      </c>
      <c r="K153" s="161"/>
      <c r="L153" s="240"/>
      <c r="M153" s="240"/>
      <c r="N153" s="160"/>
      <c r="O153" s="139" t="s">
        <v>317</v>
      </c>
      <c r="P153" s="39" t="s">
        <v>325</v>
      </c>
      <c r="Q153" s="228" t="s">
        <v>3245</v>
      </c>
      <c r="R153" s="200" t="s">
        <v>2968</v>
      </c>
      <c r="S153" s="141" t="s">
        <v>320</v>
      </c>
      <c r="T153" s="241"/>
    </row>
    <row r="154" spans="1:20" ht="58" customHeight="1">
      <c r="A154" s="230" t="s">
        <v>2437</v>
      </c>
      <c r="B154" s="41" t="s">
        <v>6</v>
      </c>
      <c r="C154" s="40" t="s">
        <v>1532</v>
      </c>
      <c r="D154" s="40" t="s">
        <v>328</v>
      </c>
      <c r="E154" s="199" t="s">
        <v>775</v>
      </c>
      <c r="F154" s="199" t="s">
        <v>4056</v>
      </c>
      <c r="G154" s="243" t="s">
        <v>3026</v>
      </c>
      <c r="H154" s="41" t="s">
        <v>2</v>
      </c>
      <c r="I154" s="246" t="s">
        <v>3034</v>
      </c>
      <c r="J154" s="232" t="s">
        <v>3243</v>
      </c>
      <c r="K154" s="161"/>
      <c r="L154" s="240"/>
      <c r="M154" s="240"/>
      <c r="N154" s="160"/>
      <c r="O154" s="139" t="s">
        <v>317</v>
      </c>
      <c r="P154" s="39" t="s">
        <v>327</v>
      </c>
      <c r="Q154" s="228" t="s">
        <v>3245</v>
      </c>
      <c r="R154" s="200" t="s">
        <v>2968</v>
      </c>
      <c r="S154" s="141" t="s">
        <v>320</v>
      </c>
      <c r="T154" s="241"/>
    </row>
    <row r="155" spans="1:20" ht="58" customHeight="1">
      <c r="A155" s="230" t="s">
        <v>2437</v>
      </c>
      <c r="B155" s="41" t="s">
        <v>6</v>
      </c>
      <c r="C155" s="40" t="s">
        <v>1532</v>
      </c>
      <c r="D155" s="40" t="s">
        <v>303</v>
      </c>
      <c r="E155" s="199" t="s">
        <v>767</v>
      </c>
      <c r="F155" s="199" t="s">
        <v>4633</v>
      </c>
      <c r="G155" s="243" t="s">
        <v>4634</v>
      </c>
      <c r="H155" s="41" t="s">
        <v>2</v>
      </c>
      <c r="I155" s="246" t="s">
        <v>3034</v>
      </c>
      <c r="J155" s="232" t="s">
        <v>3243</v>
      </c>
      <c r="K155" s="161" t="s">
        <v>958</v>
      </c>
      <c r="L155" s="240"/>
      <c r="M155" s="240"/>
      <c r="N155" s="160"/>
      <c r="O155" s="139" t="s">
        <v>290</v>
      </c>
      <c r="P155" s="39" t="s">
        <v>302</v>
      </c>
      <c r="Q155" s="228" t="s">
        <v>3245</v>
      </c>
      <c r="R155" s="200" t="s">
        <v>2944</v>
      </c>
      <c r="S155" s="141" t="s">
        <v>293</v>
      </c>
      <c r="T155" s="241" t="s">
        <v>4635</v>
      </c>
    </row>
    <row r="156" spans="1:20" ht="58" customHeight="1">
      <c r="A156" s="230" t="s">
        <v>2437</v>
      </c>
      <c r="B156" s="41" t="s">
        <v>6</v>
      </c>
      <c r="C156" s="40" t="s">
        <v>1534</v>
      </c>
      <c r="D156" s="40" t="s">
        <v>377</v>
      </c>
      <c r="E156" s="199" t="s">
        <v>791</v>
      </c>
      <c r="F156" s="199" t="s">
        <v>4057</v>
      </c>
      <c r="G156" s="243" t="s">
        <v>3030</v>
      </c>
      <c r="H156" s="41" t="s">
        <v>1522</v>
      </c>
      <c r="I156" s="246" t="s">
        <v>3036</v>
      </c>
      <c r="J156" s="232" t="s">
        <v>3896</v>
      </c>
      <c r="K156" s="161" t="s">
        <v>4557</v>
      </c>
      <c r="L156" s="240"/>
      <c r="M156" s="240"/>
      <c r="N156" s="160"/>
      <c r="O156" s="139" t="s">
        <v>375</v>
      </c>
      <c r="P156" s="39" t="s">
        <v>376</v>
      </c>
      <c r="Q156" s="228" t="s">
        <v>3245</v>
      </c>
      <c r="R156" s="200" t="s">
        <v>2970</v>
      </c>
      <c r="S156" s="141" t="s">
        <v>378</v>
      </c>
      <c r="T156" s="241"/>
    </row>
    <row r="157" spans="1:20" ht="58" customHeight="1">
      <c r="A157" s="230" t="s">
        <v>2437</v>
      </c>
      <c r="B157" s="41" t="s">
        <v>6</v>
      </c>
      <c r="C157" s="40" t="s">
        <v>1534</v>
      </c>
      <c r="D157" s="40" t="s">
        <v>380</v>
      </c>
      <c r="E157" s="199" t="s">
        <v>3788</v>
      </c>
      <c r="F157" s="199" t="s">
        <v>4058</v>
      </c>
      <c r="G157" s="243" t="s">
        <v>3029</v>
      </c>
      <c r="H157" s="41" t="s">
        <v>1522</v>
      </c>
      <c r="I157" s="246" t="s">
        <v>3036</v>
      </c>
      <c r="J157" s="232" t="s">
        <v>3897</v>
      </c>
      <c r="K157" s="161" t="s">
        <v>4265</v>
      </c>
      <c r="L157" s="240" t="s">
        <v>4433</v>
      </c>
      <c r="M157" s="240" t="s">
        <v>4434</v>
      </c>
      <c r="N157" s="160" t="s">
        <v>4278</v>
      </c>
      <c r="O157" s="139" t="s">
        <v>375</v>
      </c>
      <c r="P157" s="39" t="s">
        <v>379</v>
      </c>
      <c r="Q157" s="228" t="s">
        <v>3245</v>
      </c>
      <c r="R157" s="200" t="s">
        <v>2971</v>
      </c>
      <c r="S157" s="141" t="s">
        <v>378</v>
      </c>
      <c r="T157" s="241"/>
    </row>
    <row r="158" spans="1:20" ht="58" customHeight="1">
      <c r="A158" s="230" t="s">
        <v>2437</v>
      </c>
      <c r="B158" s="41" t="s">
        <v>6</v>
      </c>
      <c r="C158" s="40" t="s">
        <v>1534</v>
      </c>
      <c r="D158" s="40" t="s">
        <v>385</v>
      </c>
      <c r="E158" s="199" t="s">
        <v>792</v>
      </c>
      <c r="F158" s="199" t="s">
        <v>4059</v>
      </c>
      <c r="G158" s="243" t="s">
        <v>3029</v>
      </c>
      <c r="H158" s="41" t="s">
        <v>1522</v>
      </c>
      <c r="I158" s="246" t="s">
        <v>3036</v>
      </c>
      <c r="J158" s="232" t="s">
        <v>3898</v>
      </c>
      <c r="K158" s="161" t="s">
        <v>4266</v>
      </c>
      <c r="L158" s="240" t="s">
        <v>4443</v>
      </c>
      <c r="M158" s="240" t="s">
        <v>4444</v>
      </c>
      <c r="N158" s="160" t="s">
        <v>4279</v>
      </c>
      <c r="O158" s="139" t="s">
        <v>383</v>
      </c>
      <c r="P158" s="39" t="s">
        <v>384</v>
      </c>
      <c r="Q158" s="228" t="s">
        <v>3245</v>
      </c>
      <c r="R158" s="200" t="s">
        <v>2943</v>
      </c>
      <c r="S158" s="141" t="s">
        <v>386</v>
      </c>
      <c r="T158" s="241"/>
    </row>
    <row r="159" spans="1:20" ht="58" customHeight="1">
      <c r="A159" s="230" t="s">
        <v>2437</v>
      </c>
      <c r="B159" s="41" t="s">
        <v>6</v>
      </c>
      <c r="C159" s="40" t="s">
        <v>1534</v>
      </c>
      <c r="D159" s="40" t="s">
        <v>388</v>
      </c>
      <c r="E159" s="199" t="s">
        <v>3789</v>
      </c>
      <c r="F159" s="199" t="s">
        <v>3963</v>
      </c>
      <c r="G159" s="243" t="s">
        <v>3964</v>
      </c>
      <c r="H159" s="41" t="s">
        <v>2</v>
      </c>
      <c r="I159" s="246" t="s">
        <v>3034</v>
      </c>
      <c r="J159" s="232" t="s">
        <v>3243</v>
      </c>
      <c r="K159" s="161"/>
      <c r="L159" s="240"/>
      <c r="M159" s="240"/>
      <c r="N159" s="160"/>
      <c r="O159" s="139" t="s">
        <v>383</v>
      </c>
      <c r="P159" s="39" t="s">
        <v>387</v>
      </c>
      <c r="Q159" s="228" t="s">
        <v>3245</v>
      </c>
      <c r="R159" s="200" t="s">
        <v>2973</v>
      </c>
      <c r="S159" s="141" t="s">
        <v>386</v>
      </c>
      <c r="T159" s="241"/>
    </row>
    <row r="160" spans="1:20" ht="58" customHeight="1">
      <c r="A160" s="230" t="s">
        <v>2437</v>
      </c>
      <c r="B160" s="41" t="s">
        <v>6</v>
      </c>
      <c r="C160" s="40" t="s">
        <v>1534</v>
      </c>
      <c r="D160" s="40" t="s">
        <v>4213</v>
      </c>
      <c r="E160" s="199" t="s">
        <v>793</v>
      </c>
      <c r="F160" s="199" t="s">
        <v>4060</v>
      </c>
      <c r="G160" s="243" t="s">
        <v>3029</v>
      </c>
      <c r="H160" s="41" t="s">
        <v>1522</v>
      </c>
      <c r="I160" s="246" t="s">
        <v>4113</v>
      </c>
      <c r="J160" s="232" t="s">
        <v>3899</v>
      </c>
      <c r="K160" s="161" t="s">
        <v>4214</v>
      </c>
      <c r="L160" s="240" t="s">
        <v>4471</v>
      </c>
      <c r="M160" s="240" t="s">
        <v>4472</v>
      </c>
      <c r="N160" s="160" t="s">
        <v>4280</v>
      </c>
      <c r="O160" s="139" t="s">
        <v>383</v>
      </c>
      <c r="P160" s="39" t="s">
        <v>4212</v>
      </c>
      <c r="Q160" s="228" t="s">
        <v>3245</v>
      </c>
      <c r="R160" s="200" t="s">
        <v>2943</v>
      </c>
      <c r="S160" s="141" t="s">
        <v>386</v>
      </c>
      <c r="T160" s="241"/>
    </row>
    <row r="161" spans="1:20" ht="58" customHeight="1">
      <c r="A161" s="230" t="s">
        <v>2437</v>
      </c>
      <c r="B161" s="41" t="s">
        <v>6</v>
      </c>
      <c r="C161" s="40" t="s">
        <v>1534</v>
      </c>
      <c r="D161" s="40" t="s">
        <v>4215</v>
      </c>
      <c r="E161" s="199" t="s">
        <v>793</v>
      </c>
      <c r="F161" s="199" t="s">
        <v>4060</v>
      </c>
      <c r="G161" s="243" t="s">
        <v>3029</v>
      </c>
      <c r="H161" s="41" t="s">
        <v>1522</v>
      </c>
      <c r="I161" s="246" t="s">
        <v>4113</v>
      </c>
      <c r="J161" s="232" t="s">
        <v>3899</v>
      </c>
      <c r="K161" s="161" t="s">
        <v>4217</v>
      </c>
      <c r="L161" s="240" t="s">
        <v>4445</v>
      </c>
      <c r="M161" s="240" t="s">
        <v>4446</v>
      </c>
      <c r="N161" s="160" t="s">
        <v>4279</v>
      </c>
      <c r="O161" s="139" t="s">
        <v>383</v>
      </c>
      <c r="P161" s="39" t="s">
        <v>4216</v>
      </c>
      <c r="Q161" s="228" t="s">
        <v>3245</v>
      </c>
      <c r="R161" s="200" t="s">
        <v>2943</v>
      </c>
      <c r="S161" s="141" t="s">
        <v>386</v>
      </c>
      <c r="T161" s="241"/>
    </row>
    <row r="162" spans="1:20" ht="58" customHeight="1">
      <c r="A162" s="230" t="s">
        <v>2437</v>
      </c>
      <c r="B162" s="41" t="s">
        <v>6</v>
      </c>
      <c r="C162" s="40" t="s">
        <v>1534</v>
      </c>
      <c r="D162" s="40" t="s">
        <v>4219</v>
      </c>
      <c r="E162" s="199" t="s">
        <v>3251</v>
      </c>
      <c r="F162" s="199" t="s">
        <v>4061</v>
      </c>
      <c r="G162" s="243" t="s">
        <v>3029</v>
      </c>
      <c r="H162" s="41" t="s">
        <v>1522</v>
      </c>
      <c r="I162" s="246" t="s">
        <v>3036</v>
      </c>
      <c r="J162" s="232" t="s">
        <v>3900</v>
      </c>
      <c r="K162" s="161" t="s">
        <v>4220</v>
      </c>
      <c r="L162" s="240" t="s">
        <v>4473</v>
      </c>
      <c r="M162" s="240" t="s">
        <v>4474</v>
      </c>
      <c r="N162" s="160" t="s">
        <v>4280</v>
      </c>
      <c r="O162" s="139" t="s">
        <v>383</v>
      </c>
      <c r="P162" s="39" t="s">
        <v>4218</v>
      </c>
      <c r="Q162" s="228" t="s">
        <v>3245</v>
      </c>
      <c r="R162" s="200" t="s">
        <v>3024</v>
      </c>
      <c r="S162" s="141" t="s">
        <v>386</v>
      </c>
      <c r="T162" s="241"/>
    </row>
    <row r="163" spans="1:20" ht="58" customHeight="1">
      <c r="A163" s="230" t="s">
        <v>2437</v>
      </c>
      <c r="B163" s="41" t="s">
        <v>6</v>
      </c>
      <c r="C163" s="40" t="s">
        <v>1534</v>
      </c>
      <c r="D163" s="40" t="s">
        <v>4221</v>
      </c>
      <c r="E163" s="199" t="s">
        <v>3251</v>
      </c>
      <c r="F163" s="199" t="s">
        <v>4061</v>
      </c>
      <c r="G163" s="243" t="s">
        <v>3029</v>
      </c>
      <c r="H163" s="41" t="s">
        <v>1522</v>
      </c>
      <c r="I163" s="246" t="s">
        <v>3036</v>
      </c>
      <c r="J163" s="232" t="s">
        <v>3900</v>
      </c>
      <c r="K163" s="161" t="s">
        <v>4223</v>
      </c>
      <c r="L163" s="240" t="s">
        <v>4447</v>
      </c>
      <c r="M163" s="240" t="s">
        <v>4448</v>
      </c>
      <c r="N163" s="160" t="s">
        <v>4279</v>
      </c>
      <c r="O163" s="139" t="s">
        <v>383</v>
      </c>
      <c r="P163" s="39" t="s">
        <v>4222</v>
      </c>
      <c r="Q163" s="228" t="s">
        <v>3245</v>
      </c>
      <c r="R163" s="200" t="s">
        <v>3024</v>
      </c>
      <c r="S163" s="141" t="s">
        <v>386</v>
      </c>
      <c r="T163" s="241"/>
    </row>
    <row r="164" spans="1:20" ht="58" customHeight="1">
      <c r="A164" s="230" t="s">
        <v>2437</v>
      </c>
      <c r="B164" s="41" t="s">
        <v>6</v>
      </c>
      <c r="C164" s="40" t="s">
        <v>1534</v>
      </c>
      <c r="D164" s="40" t="s">
        <v>4186</v>
      </c>
      <c r="E164" s="199" t="s">
        <v>794</v>
      </c>
      <c r="F164" s="199" t="s">
        <v>4082</v>
      </c>
      <c r="G164" s="243" t="s">
        <v>3029</v>
      </c>
      <c r="H164" s="41" t="s">
        <v>1522</v>
      </c>
      <c r="I164" s="246" t="s">
        <v>3036</v>
      </c>
      <c r="J164" s="232" t="s">
        <v>3901</v>
      </c>
      <c r="K164" s="161" t="s">
        <v>4187</v>
      </c>
      <c r="L164" s="240" t="s">
        <v>4449</v>
      </c>
      <c r="M164" s="240" t="s">
        <v>4450</v>
      </c>
      <c r="N164" s="160" t="s">
        <v>4279</v>
      </c>
      <c r="O164" s="139" t="s">
        <v>383</v>
      </c>
      <c r="P164" s="39" t="s">
        <v>4185</v>
      </c>
      <c r="Q164" s="228" t="s">
        <v>3245</v>
      </c>
      <c r="R164" s="200" t="s">
        <v>2943</v>
      </c>
      <c r="S164" s="141" t="s">
        <v>386</v>
      </c>
      <c r="T164" s="241"/>
    </row>
    <row r="165" spans="1:20" ht="58" customHeight="1">
      <c r="A165" s="230" t="s">
        <v>2437</v>
      </c>
      <c r="B165" s="41" t="s">
        <v>6</v>
      </c>
      <c r="C165" s="40" t="s">
        <v>1534</v>
      </c>
      <c r="D165" s="40" t="s">
        <v>4188</v>
      </c>
      <c r="E165" s="199" t="s">
        <v>794</v>
      </c>
      <c r="F165" s="199" t="s">
        <v>4082</v>
      </c>
      <c r="G165" s="243" t="s">
        <v>3029</v>
      </c>
      <c r="H165" s="41" t="s">
        <v>1522</v>
      </c>
      <c r="I165" s="246" t="s">
        <v>3036</v>
      </c>
      <c r="J165" s="232" t="s">
        <v>3901</v>
      </c>
      <c r="K165" s="161" t="s">
        <v>4190</v>
      </c>
      <c r="L165" s="240" t="s">
        <v>4435</v>
      </c>
      <c r="M165" s="240" t="s">
        <v>4436</v>
      </c>
      <c r="N165" s="160" t="s">
        <v>4278</v>
      </c>
      <c r="O165" s="139" t="s">
        <v>383</v>
      </c>
      <c r="P165" s="39" t="s">
        <v>4189</v>
      </c>
      <c r="Q165" s="228" t="s">
        <v>3245</v>
      </c>
      <c r="R165" s="200" t="s">
        <v>2943</v>
      </c>
      <c r="S165" s="141" t="s">
        <v>386</v>
      </c>
      <c r="T165" s="241"/>
    </row>
    <row r="166" spans="1:20" ht="58" customHeight="1">
      <c r="A166" s="230" t="s">
        <v>2437</v>
      </c>
      <c r="B166" s="41" t="s">
        <v>6</v>
      </c>
      <c r="C166" s="40" t="s">
        <v>1534</v>
      </c>
      <c r="D166" s="40" t="s">
        <v>382</v>
      </c>
      <c r="E166" s="199" t="s">
        <v>3790</v>
      </c>
      <c r="F166" s="199" t="s">
        <v>3307</v>
      </c>
      <c r="G166" s="243" t="s">
        <v>3308</v>
      </c>
      <c r="H166" s="41" t="s">
        <v>1522</v>
      </c>
      <c r="I166" s="246" t="s">
        <v>3036</v>
      </c>
      <c r="J166" s="232" t="s">
        <v>3243</v>
      </c>
      <c r="K166" s="161" t="s">
        <v>4547</v>
      </c>
      <c r="L166" s="240" t="s">
        <v>4613</v>
      </c>
      <c r="M166" s="240"/>
      <c r="N166" s="160" t="s">
        <v>4278</v>
      </c>
      <c r="O166" s="139" t="s">
        <v>375</v>
      </c>
      <c r="P166" s="39" t="s">
        <v>381</v>
      </c>
      <c r="Q166" s="228" t="s">
        <v>3245</v>
      </c>
      <c r="R166" s="200" t="s">
        <v>2972</v>
      </c>
      <c r="S166" s="141" t="s">
        <v>378</v>
      </c>
      <c r="T166" s="241"/>
    </row>
    <row r="167" spans="1:20" ht="58" customHeight="1">
      <c r="A167" s="230" t="s">
        <v>2437</v>
      </c>
      <c r="B167" s="41" t="s">
        <v>6</v>
      </c>
      <c r="C167" s="40" t="s">
        <v>1534</v>
      </c>
      <c r="D167" s="40" t="s">
        <v>4225</v>
      </c>
      <c r="E167" s="199" t="s">
        <v>795</v>
      </c>
      <c r="F167" s="199" t="s">
        <v>4062</v>
      </c>
      <c r="G167" s="243" t="s">
        <v>3029</v>
      </c>
      <c r="H167" s="41" t="s">
        <v>1522</v>
      </c>
      <c r="I167" s="246" t="s">
        <v>3036</v>
      </c>
      <c r="J167" s="232" t="s">
        <v>3902</v>
      </c>
      <c r="K167" s="161" t="s">
        <v>4226</v>
      </c>
      <c r="L167" s="240" t="s">
        <v>4451</v>
      </c>
      <c r="M167" s="240" t="s">
        <v>4452</v>
      </c>
      <c r="N167" s="160" t="s">
        <v>4279</v>
      </c>
      <c r="O167" s="139" t="s">
        <v>394</v>
      </c>
      <c r="P167" s="39" t="s">
        <v>4224</v>
      </c>
      <c r="Q167" s="228" t="s">
        <v>3245</v>
      </c>
      <c r="R167" s="200" t="s">
        <v>2975</v>
      </c>
      <c r="S167" s="141" t="s">
        <v>396</v>
      </c>
      <c r="T167" s="241"/>
    </row>
    <row r="168" spans="1:20" ht="58" customHeight="1">
      <c r="A168" s="230" t="s">
        <v>2437</v>
      </c>
      <c r="B168" s="41" t="s">
        <v>6</v>
      </c>
      <c r="C168" s="40" t="s">
        <v>1534</v>
      </c>
      <c r="D168" s="40" t="s">
        <v>4227</v>
      </c>
      <c r="E168" s="199" t="s">
        <v>795</v>
      </c>
      <c r="F168" s="199" t="s">
        <v>4062</v>
      </c>
      <c r="G168" s="243" t="s">
        <v>3029</v>
      </c>
      <c r="H168" s="41" t="s">
        <v>1522</v>
      </c>
      <c r="I168" s="246" t="s">
        <v>3036</v>
      </c>
      <c r="J168" s="232" t="s">
        <v>3902</v>
      </c>
      <c r="K168" s="161" t="s">
        <v>4229</v>
      </c>
      <c r="L168" s="240" t="s">
        <v>4453</v>
      </c>
      <c r="M168" s="240" t="s">
        <v>4454</v>
      </c>
      <c r="N168" s="160" t="s">
        <v>4279</v>
      </c>
      <c r="O168" s="139" t="s">
        <v>394</v>
      </c>
      <c r="P168" s="39" t="s">
        <v>4228</v>
      </c>
      <c r="Q168" s="228" t="s">
        <v>3245</v>
      </c>
      <c r="R168" s="200" t="s">
        <v>2975</v>
      </c>
      <c r="S168" s="141" t="s">
        <v>396</v>
      </c>
      <c r="T168" s="241"/>
    </row>
    <row r="169" spans="1:20" ht="58" customHeight="1">
      <c r="A169" s="230" t="s">
        <v>2437</v>
      </c>
      <c r="B169" s="41" t="s">
        <v>6</v>
      </c>
      <c r="C169" s="40" t="s">
        <v>1534</v>
      </c>
      <c r="D169" s="40" t="s">
        <v>4274</v>
      </c>
      <c r="E169" s="199" t="s">
        <v>795</v>
      </c>
      <c r="F169" s="199" t="s">
        <v>4062</v>
      </c>
      <c r="G169" s="243" t="s">
        <v>3029</v>
      </c>
      <c r="H169" s="41" t="s">
        <v>1522</v>
      </c>
      <c r="I169" s="246" t="s">
        <v>3036</v>
      </c>
      <c r="J169" s="232" t="s">
        <v>3902</v>
      </c>
      <c r="K169" s="161" t="s">
        <v>4268</v>
      </c>
      <c r="L169" s="240" t="s">
        <v>4475</v>
      </c>
      <c r="M169" s="240" t="s">
        <v>4476</v>
      </c>
      <c r="N169" s="160" t="s">
        <v>4280</v>
      </c>
      <c r="O169" s="139" t="s">
        <v>394</v>
      </c>
      <c r="P169" s="39" t="s">
        <v>4275</v>
      </c>
      <c r="Q169" s="228" t="s">
        <v>3245</v>
      </c>
      <c r="R169" s="200" t="s">
        <v>2975</v>
      </c>
      <c r="S169" s="141" t="s">
        <v>396</v>
      </c>
      <c r="T169" s="241"/>
    </row>
    <row r="170" spans="1:20" ht="58" customHeight="1">
      <c r="A170" s="230" t="s">
        <v>2437</v>
      </c>
      <c r="B170" s="41" t="s">
        <v>6</v>
      </c>
      <c r="C170" s="40" t="s">
        <v>1534</v>
      </c>
      <c r="D170" s="40" t="s">
        <v>393</v>
      </c>
      <c r="E170" s="199" t="s">
        <v>3791</v>
      </c>
      <c r="F170" s="199" t="s">
        <v>4063</v>
      </c>
      <c r="G170" s="243" t="s">
        <v>3030</v>
      </c>
      <c r="H170" s="41" t="s">
        <v>1522</v>
      </c>
      <c r="I170" s="246" t="s">
        <v>3036</v>
      </c>
      <c r="J170" s="232" t="s">
        <v>3903</v>
      </c>
      <c r="K170" s="161" t="s">
        <v>4557</v>
      </c>
      <c r="L170" s="240"/>
      <c r="M170" s="240"/>
      <c r="N170" s="160"/>
      <c r="O170" s="139" t="s">
        <v>383</v>
      </c>
      <c r="P170" s="39" t="s">
        <v>392</v>
      </c>
      <c r="Q170" s="228" t="s">
        <v>3245</v>
      </c>
      <c r="R170" s="200" t="s">
        <v>2974</v>
      </c>
      <c r="S170" s="141" t="s">
        <v>386</v>
      </c>
      <c r="T170" s="241"/>
    </row>
    <row r="171" spans="1:20" ht="58" customHeight="1">
      <c r="A171" s="230" t="s">
        <v>2437</v>
      </c>
      <c r="B171" s="41" t="s">
        <v>6</v>
      </c>
      <c r="C171" s="40" t="s">
        <v>1534</v>
      </c>
      <c r="D171" s="40" t="s">
        <v>398</v>
      </c>
      <c r="E171" s="199" t="s">
        <v>3792</v>
      </c>
      <c r="F171" s="199" t="s">
        <v>3333</v>
      </c>
      <c r="G171" s="243" t="s">
        <v>4572</v>
      </c>
      <c r="H171" s="41" t="s">
        <v>2</v>
      </c>
      <c r="I171" s="246" t="s">
        <v>3034</v>
      </c>
      <c r="J171" s="232" t="s">
        <v>3243</v>
      </c>
      <c r="K171" s="161"/>
      <c r="L171" s="240"/>
      <c r="M171" s="240"/>
      <c r="N171" s="160"/>
      <c r="O171" s="139" t="s">
        <v>394</v>
      </c>
      <c r="P171" s="39" t="s">
        <v>397</v>
      </c>
      <c r="Q171" s="228" t="s">
        <v>3245</v>
      </c>
      <c r="R171" s="200" t="s">
        <v>2987</v>
      </c>
      <c r="S171" s="141" t="s">
        <v>396</v>
      </c>
      <c r="T171" s="241"/>
    </row>
    <row r="172" spans="1:20" ht="58" customHeight="1">
      <c r="A172" s="230" t="s">
        <v>2437</v>
      </c>
      <c r="B172" s="41" t="s">
        <v>6</v>
      </c>
      <c r="C172" s="40" t="s">
        <v>1533</v>
      </c>
      <c r="D172" s="40" t="s">
        <v>350</v>
      </c>
      <c r="E172" s="199" t="s">
        <v>781</v>
      </c>
      <c r="F172" s="199" t="s">
        <v>4064</v>
      </c>
      <c r="G172" s="243" t="s">
        <v>3030</v>
      </c>
      <c r="H172" s="41" t="s">
        <v>1522</v>
      </c>
      <c r="I172" s="246" t="s">
        <v>3036</v>
      </c>
      <c r="J172" s="232" t="s">
        <v>3904</v>
      </c>
      <c r="K172" s="161" t="s">
        <v>4557</v>
      </c>
      <c r="L172" s="240"/>
      <c r="M172" s="240"/>
      <c r="N172" s="160"/>
      <c r="O172" s="139" t="s">
        <v>348</v>
      </c>
      <c r="P172" s="39" t="s">
        <v>349</v>
      </c>
      <c r="Q172" s="228" t="s">
        <v>3245</v>
      </c>
      <c r="R172" s="200" t="s">
        <v>2944</v>
      </c>
      <c r="S172" s="141" t="s">
        <v>351</v>
      </c>
      <c r="T172" s="241"/>
    </row>
    <row r="173" spans="1:20" ht="58" customHeight="1">
      <c r="A173" s="230" t="s">
        <v>2437</v>
      </c>
      <c r="B173" s="41" t="s">
        <v>6</v>
      </c>
      <c r="C173" s="40" t="s">
        <v>1533</v>
      </c>
      <c r="D173" s="40" t="s">
        <v>353</v>
      </c>
      <c r="E173" s="199" t="s">
        <v>782</v>
      </c>
      <c r="F173" s="199" t="s">
        <v>4065</v>
      </c>
      <c r="G173" s="243" t="s">
        <v>3030</v>
      </c>
      <c r="H173" s="41" t="s">
        <v>1522</v>
      </c>
      <c r="I173" s="246" t="s">
        <v>3036</v>
      </c>
      <c r="J173" s="232" t="s">
        <v>3905</v>
      </c>
      <c r="K173" s="161" t="s">
        <v>4557</v>
      </c>
      <c r="L173" s="240"/>
      <c r="M173" s="240"/>
      <c r="N173" s="160"/>
      <c r="O173" s="139" t="s">
        <v>348</v>
      </c>
      <c r="P173" s="39" t="s">
        <v>352</v>
      </c>
      <c r="Q173" s="228" t="s">
        <v>3245</v>
      </c>
      <c r="R173" s="200" t="s">
        <v>2944</v>
      </c>
      <c r="S173" s="141" t="s">
        <v>351</v>
      </c>
      <c r="T173" s="241"/>
    </row>
    <row r="174" spans="1:20" ht="58" customHeight="1">
      <c r="A174" s="230" t="s">
        <v>2437</v>
      </c>
      <c r="B174" s="41" t="s">
        <v>6</v>
      </c>
      <c r="C174" s="40" t="s">
        <v>1533</v>
      </c>
      <c r="D174" s="40" t="s">
        <v>355</v>
      </c>
      <c r="E174" s="199" t="s">
        <v>783</v>
      </c>
      <c r="F174" s="199" t="s">
        <v>356</v>
      </c>
      <c r="G174" s="243" t="s">
        <v>3030</v>
      </c>
      <c r="H174" s="41" t="s">
        <v>1522</v>
      </c>
      <c r="I174" s="246" t="s">
        <v>3036</v>
      </c>
      <c r="J174" s="232" t="s">
        <v>3906</v>
      </c>
      <c r="K174" s="161" t="s">
        <v>4557</v>
      </c>
      <c r="L174" s="240"/>
      <c r="M174" s="240"/>
      <c r="N174" s="160"/>
      <c r="O174" s="139" t="s">
        <v>348</v>
      </c>
      <c r="P174" s="39" t="s">
        <v>354</v>
      </c>
      <c r="Q174" s="228" t="s">
        <v>3245</v>
      </c>
      <c r="R174" s="200" t="s">
        <v>2944</v>
      </c>
      <c r="S174" s="141" t="s">
        <v>351</v>
      </c>
      <c r="T174" s="241"/>
    </row>
    <row r="175" spans="1:20" ht="58" customHeight="1">
      <c r="A175" s="230" t="s">
        <v>2437</v>
      </c>
      <c r="B175" s="41" t="s">
        <v>6</v>
      </c>
      <c r="C175" s="40" t="s">
        <v>1533</v>
      </c>
      <c r="D175" s="40" t="s">
        <v>358</v>
      </c>
      <c r="E175" s="199" t="s">
        <v>784</v>
      </c>
      <c r="F175" s="199" t="s">
        <v>4066</v>
      </c>
      <c r="G175" s="243" t="s">
        <v>3030</v>
      </c>
      <c r="H175" s="41" t="s">
        <v>1522</v>
      </c>
      <c r="I175" s="246" t="s">
        <v>3036</v>
      </c>
      <c r="J175" s="232" t="s">
        <v>3907</v>
      </c>
      <c r="K175" s="161" t="s">
        <v>4557</v>
      </c>
      <c r="L175" s="240"/>
      <c r="M175" s="240"/>
      <c r="N175" s="160"/>
      <c r="O175" s="139" t="s">
        <v>348</v>
      </c>
      <c r="P175" s="39" t="s">
        <v>357</v>
      </c>
      <c r="Q175" s="228" t="s">
        <v>3245</v>
      </c>
      <c r="R175" s="200" t="s">
        <v>2944</v>
      </c>
      <c r="S175" s="141" t="s">
        <v>351</v>
      </c>
      <c r="T175" s="241"/>
    </row>
    <row r="176" spans="1:20" ht="58" customHeight="1">
      <c r="A176" s="230" t="s">
        <v>2437</v>
      </c>
      <c r="B176" s="41" t="s">
        <v>6</v>
      </c>
      <c r="C176" s="40" t="s">
        <v>1533</v>
      </c>
      <c r="D176" s="40" t="s">
        <v>361</v>
      </c>
      <c r="E176" s="199" t="s">
        <v>785</v>
      </c>
      <c r="F176" s="199" t="s">
        <v>4067</v>
      </c>
      <c r="G176" s="243" t="s">
        <v>3030</v>
      </c>
      <c r="H176" s="41" t="s">
        <v>1522</v>
      </c>
      <c r="I176" s="246" t="s">
        <v>3036</v>
      </c>
      <c r="J176" s="232" t="s">
        <v>3908</v>
      </c>
      <c r="K176" s="161" t="s">
        <v>4557</v>
      </c>
      <c r="L176" s="240"/>
      <c r="M176" s="240"/>
      <c r="N176" s="160"/>
      <c r="O176" s="139" t="s">
        <v>359</v>
      </c>
      <c r="P176" s="39" t="s">
        <v>360</v>
      </c>
      <c r="Q176" s="228" t="s">
        <v>3245</v>
      </c>
      <c r="R176" s="200" t="s">
        <v>2944</v>
      </c>
      <c r="S176" s="141" t="s">
        <v>362</v>
      </c>
      <c r="T176" s="241"/>
    </row>
    <row r="177" spans="1:20" ht="58" customHeight="1">
      <c r="A177" s="230" t="s">
        <v>2437</v>
      </c>
      <c r="B177" s="41" t="s">
        <v>6</v>
      </c>
      <c r="C177" s="40" t="s">
        <v>1533</v>
      </c>
      <c r="D177" s="40" t="s">
        <v>4231</v>
      </c>
      <c r="E177" s="199" t="s">
        <v>786</v>
      </c>
      <c r="F177" s="199" t="s">
        <v>4068</v>
      </c>
      <c r="G177" s="243" t="s">
        <v>3029</v>
      </c>
      <c r="H177" s="41" t="s">
        <v>1522</v>
      </c>
      <c r="I177" s="246" t="s">
        <v>4113</v>
      </c>
      <c r="J177" s="232" t="s">
        <v>3909</v>
      </c>
      <c r="K177" s="161" t="s">
        <v>4232</v>
      </c>
      <c r="L177" s="240" t="s">
        <v>4455</v>
      </c>
      <c r="M177" s="240" t="s">
        <v>4456</v>
      </c>
      <c r="N177" s="160" t="s">
        <v>4279</v>
      </c>
      <c r="O177" s="139" t="s">
        <v>359</v>
      </c>
      <c r="P177" s="39" t="s">
        <v>4230</v>
      </c>
      <c r="Q177" s="228" t="s">
        <v>3245</v>
      </c>
      <c r="R177" s="200" t="s">
        <v>2943</v>
      </c>
      <c r="S177" s="141" t="s">
        <v>362</v>
      </c>
      <c r="T177" s="241"/>
    </row>
    <row r="178" spans="1:20" ht="58" customHeight="1">
      <c r="A178" s="230" t="s">
        <v>2437</v>
      </c>
      <c r="B178" s="41" t="s">
        <v>6</v>
      </c>
      <c r="C178" s="40" t="s">
        <v>1533</v>
      </c>
      <c r="D178" s="40" t="s">
        <v>4233</v>
      </c>
      <c r="E178" s="199" t="s">
        <v>786</v>
      </c>
      <c r="F178" s="199" t="s">
        <v>4068</v>
      </c>
      <c r="G178" s="243" t="s">
        <v>3029</v>
      </c>
      <c r="H178" s="41" t="s">
        <v>1522</v>
      </c>
      <c r="I178" s="246" t="s">
        <v>4113</v>
      </c>
      <c r="J178" s="232" t="s">
        <v>3909</v>
      </c>
      <c r="K178" s="161" t="s">
        <v>4235</v>
      </c>
      <c r="L178" s="240" t="s">
        <v>4457</v>
      </c>
      <c r="M178" s="240" t="s">
        <v>4458</v>
      </c>
      <c r="N178" s="160" t="s">
        <v>4279</v>
      </c>
      <c r="O178" s="139" t="s">
        <v>359</v>
      </c>
      <c r="P178" s="39" t="s">
        <v>4234</v>
      </c>
      <c r="Q178" s="228" t="s">
        <v>3245</v>
      </c>
      <c r="R178" s="200" t="s">
        <v>2943</v>
      </c>
      <c r="S178" s="141" t="s">
        <v>362</v>
      </c>
      <c r="T178" s="241"/>
    </row>
    <row r="179" spans="1:20" ht="58" customHeight="1">
      <c r="A179" s="230" t="s">
        <v>2437</v>
      </c>
      <c r="B179" s="41" t="s">
        <v>6</v>
      </c>
      <c r="C179" s="40" t="s">
        <v>1533</v>
      </c>
      <c r="D179" s="40" t="s">
        <v>4237</v>
      </c>
      <c r="E179" s="199" t="s">
        <v>787</v>
      </c>
      <c r="F179" s="199" t="s">
        <v>365</v>
      </c>
      <c r="G179" s="243" t="s">
        <v>3029</v>
      </c>
      <c r="H179" s="41" t="s">
        <v>1522</v>
      </c>
      <c r="I179" s="246" t="s">
        <v>4113</v>
      </c>
      <c r="J179" s="232" t="s">
        <v>3910</v>
      </c>
      <c r="K179" s="161" t="s">
        <v>4238</v>
      </c>
      <c r="L179" s="240" t="s">
        <v>4459</v>
      </c>
      <c r="M179" s="240" t="s">
        <v>4460</v>
      </c>
      <c r="N179" s="160" t="s">
        <v>4279</v>
      </c>
      <c r="O179" s="139" t="s">
        <v>359</v>
      </c>
      <c r="P179" s="39" t="s">
        <v>4236</v>
      </c>
      <c r="Q179" s="228" t="s">
        <v>3245</v>
      </c>
      <c r="R179" s="200" t="s">
        <v>2943</v>
      </c>
      <c r="S179" s="141" t="s">
        <v>362</v>
      </c>
      <c r="T179" s="241"/>
    </row>
    <row r="180" spans="1:20" ht="58" customHeight="1">
      <c r="A180" s="230" t="s">
        <v>2437</v>
      </c>
      <c r="B180" s="41" t="s">
        <v>6</v>
      </c>
      <c r="C180" s="40" t="s">
        <v>1533</v>
      </c>
      <c r="D180" s="40" t="s">
        <v>4239</v>
      </c>
      <c r="E180" s="199" t="s">
        <v>787</v>
      </c>
      <c r="F180" s="199" t="s">
        <v>365</v>
      </c>
      <c r="G180" s="243" t="s">
        <v>3029</v>
      </c>
      <c r="H180" s="41" t="s">
        <v>1522</v>
      </c>
      <c r="I180" s="246" t="s">
        <v>4113</v>
      </c>
      <c r="J180" s="232" t="s">
        <v>3910</v>
      </c>
      <c r="K180" s="161" t="s">
        <v>4241</v>
      </c>
      <c r="L180" s="240" t="s">
        <v>4461</v>
      </c>
      <c r="M180" s="240" t="s">
        <v>4462</v>
      </c>
      <c r="N180" s="160" t="s">
        <v>4279</v>
      </c>
      <c r="O180" s="139" t="s">
        <v>359</v>
      </c>
      <c r="P180" s="39" t="s">
        <v>4240</v>
      </c>
      <c r="Q180" s="228" t="s">
        <v>3245</v>
      </c>
      <c r="R180" s="200" t="s">
        <v>2943</v>
      </c>
      <c r="S180" s="141" t="s">
        <v>362</v>
      </c>
      <c r="T180" s="241"/>
    </row>
    <row r="181" spans="1:20" ht="58" customHeight="1">
      <c r="A181" s="230" t="s">
        <v>2437</v>
      </c>
      <c r="B181" s="41" t="s">
        <v>6</v>
      </c>
      <c r="C181" s="40" t="s">
        <v>1533</v>
      </c>
      <c r="D181" s="40" t="s">
        <v>4192</v>
      </c>
      <c r="E181" s="199" t="s">
        <v>789</v>
      </c>
      <c r="F181" s="199" t="s">
        <v>4069</v>
      </c>
      <c r="G181" s="243" t="s">
        <v>3029</v>
      </c>
      <c r="H181" s="41" t="s">
        <v>1522</v>
      </c>
      <c r="I181" s="246" t="s">
        <v>3036</v>
      </c>
      <c r="J181" s="232" t="s">
        <v>3911</v>
      </c>
      <c r="K181" s="161" t="s">
        <v>4193</v>
      </c>
      <c r="L181" s="240" t="s">
        <v>4437</v>
      </c>
      <c r="M181" s="240" t="s">
        <v>4438</v>
      </c>
      <c r="N181" s="160" t="s">
        <v>4278</v>
      </c>
      <c r="O181" s="139" t="s">
        <v>368</v>
      </c>
      <c r="P181" s="39" t="s">
        <v>4191</v>
      </c>
      <c r="Q181" s="228" t="s">
        <v>3245</v>
      </c>
      <c r="R181" s="200" t="s">
        <v>2943</v>
      </c>
      <c r="S181" s="141" t="s">
        <v>370</v>
      </c>
      <c r="T181" s="241"/>
    </row>
    <row r="182" spans="1:20" ht="58" customHeight="1">
      <c r="A182" s="230" t="s">
        <v>2437</v>
      </c>
      <c r="B182" s="41" t="s">
        <v>6</v>
      </c>
      <c r="C182" s="40" t="s">
        <v>1533</v>
      </c>
      <c r="D182" s="40" t="s">
        <v>4194</v>
      </c>
      <c r="E182" s="199" t="s">
        <v>789</v>
      </c>
      <c r="F182" s="199" t="s">
        <v>4069</v>
      </c>
      <c r="G182" s="243" t="s">
        <v>3029</v>
      </c>
      <c r="H182" s="41" t="s">
        <v>1522</v>
      </c>
      <c r="I182" s="246" t="s">
        <v>3036</v>
      </c>
      <c r="J182" s="232" t="s">
        <v>3911</v>
      </c>
      <c r="K182" s="161" t="s">
        <v>4196</v>
      </c>
      <c r="L182" s="240" t="s">
        <v>4463</v>
      </c>
      <c r="M182" s="240" t="s">
        <v>4464</v>
      </c>
      <c r="N182" s="160" t="s">
        <v>4279</v>
      </c>
      <c r="O182" s="139" t="s">
        <v>368</v>
      </c>
      <c r="P182" s="39" t="s">
        <v>4195</v>
      </c>
      <c r="Q182" s="228" t="s">
        <v>3245</v>
      </c>
      <c r="R182" s="200" t="s">
        <v>2943</v>
      </c>
      <c r="S182" s="141" t="s">
        <v>370</v>
      </c>
      <c r="T182" s="241"/>
    </row>
    <row r="183" spans="1:20" ht="58" customHeight="1">
      <c r="A183" s="230" t="s">
        <v>2437</v>
      </c>
      <c r="B183" s="41" t="s">
        <v>6</v>
      </c>
      <c r="C183" s="40" t="s">
        <v>1533</v>
      </c>
      <c r="D183" s="40" t="s">
        <v>372</v>
      </c>
      <c r="E183" s="199" t="s">
        <v>790</v>
      </c>
      <c r="F183" s="199" t="s">
        <v>4070</v>
      </c>
      <c r="G183" s="243" t="s">
        <v>3030</v>
      </c>
      <c r="H183" s="41" t="s">
        <v>1522</v>
      </c>
      <c r="I183" s="246" t="s">
        <v>3036</v>
      </c>
      <c r="J183" s="232" t="s">
        <v>3912</v>
      </c>
      <c r="K183" s="161" t="s">
        <v>4534</v>
      </c>
      <c r="L183" s="240" t="s">
        <v>4535</v>
      </c>
      <c r="M183" s="240" t="s">
        <v>4536</v>
      </c>
      <c r="N183" s="160" t="s">
        <v>4280</v>
      </c>
      <c r="O183" s="139" t="s">
        <v>368</v>
      </c>
      <c r="P183" s="39" t="s">
        <v>371</v>
      </c>
      <c r="Q183" s="228" t="s">
        <v>3245</v>
      </c>
      <c r="R183" s="200" t="s">
        <v>2944</v>
      </c>
      <c r="S183" s="141" t="s">
        <v>370</v>
      </c>
      <c r="T183" s="241"/>
    </row>
    <row r="184" spans="1:20" ht="58" customHeight="1">
      <c r="A184" s="230" t="s">
        <v>2437</v>
      </c>
      <c r="B184" s="41" t="s">
        <v>6</v>
      </c>
      <c r="C184" s="40" t="s">
        <v>1533</v>
      </c>
      <c r="D184" s="40" t="s">
        <v>367</v>
      </c>
      <c r="E184" s="199" t="s">
        <v>788</v>
      </c>
      <c r="F184" s="199" t="s">
        <v>4636</v>
      </c>
      <c r="G184" s="243" t="s">
        <v>4637</v>
      </c>
      <c r="H184" s="41" t="s">
        <v>3</v>
      </c>
      <c r="I184" s="246" t="s">
        <v>3038</v>
      </c>
      <c r="J184" s="232" t="s">
        <v>3913</v>
      </c>
      <c r="K184" s="161" t="s">
        <v>958</v>
      </c>
      <c r="L184" s="240"/>
      <c r="M184" s="240"/>
      <c r="N184" s="160"/>
      <c r="O184" s="139" t="s">
        <v>359</v>
      </c>
      <c r="P184" s="39" t="s">
        <v>366</v>
      </c>
      <c r="Q184" s="228" t="s">
        <v>3245</v>
      </c>
      <c r="R184" s="200" t="s">
        <v>2944</v>
      </c>
      <c r="S184" s="141" t="s">
        <v>362</v>
      </c>
      <c r="T184" s="241" t="s">
        <v>4638</v>
      </c>
    </row>
    <row r="185" spans="1:20" ht="58" customHeight="1">
      <c r="A185" s="230" t="s">
        <v>2437</v>
      </c>
      <c r="B185" s="41" t="s">
        <v>6</v>
      </c>
      <c r="C185" s="40" t="s">
        <v>1533</v>
      </c>
      <c r="D185" s="40" t="s">
        <v>374</v>
      </c>
      <c r="E185" s="199" t="s">
        <v>2969</v>
      </c>
      <c r="F185" s="199" t="s">
        <v>4071</v>
      </c>
      <c r="G185" s="243" t="s">
        <v>3030</v>
      </c>
      <c r="H185" s="41" t="s">
        <v>1522</v>
      </c>
      <c r="I185" s="246" t="s">
        <v>3036</v>
      </c>
      <c r="J185" s="232" t="s">
        <v>3914</v>
      </c>
      <c r="K185" s="161" t="s">
        <v>4539</v>
      </c>
      <c r="L185" s="240" t="s">
        <v>4541</v>
      </c>
      <c r="M185" s="240"/>
      <c r="N185" s="160" t="s">
        <v>4279</v>
      </c>
      <c r="O185" s="139" t="s">
        <v>368</v>
      </c>
      <c r="P185" s="39" t="s">
        <v>373</v>
      </c>
      <c r="Q185" s="228" t="s">
        <v>3245</v>
      </c>
      <c r="R185" s="200" t="s">
        <v>2944</v>
      </c>
      <c r="S185" s="141" t="s">
        <v>370</v>
      </c>
      <c r="T185" s="241"/>
    </row>
    <row r="186" spans="1:20" ht="58" customHeight="1">
      <c r="A186" s="230" t="s">
        <v>2437</v>
      </c>
      <c r="B186" s="41" t="s">
        <v>6</v>
      </c>
      <c r="C186" s="40" t="s">
        <v>1535</v>
      </c>
      <c r="D186" s="40" t="s">
        <v>401</v>
      </c>
      <c r="E186" s="199" t="s">
        <v>3793</v>
      </c>
      <c r="F186" s="199" t="s">
        <v>4072</v>
      </c>
      <c r="G186" s="243" t="s">
        <v>4573</v>
      </c>
      <c r="H186" s="41" t="s">
        <v>3</v>
      </c>
      <c r="I186" s="246" t="s">
        <v>1539</v>
      </c>
      <c r="J186" s="232" t="s">
        <v>3243</v>
      </c>
      <c r="K186" s="161"/>
      <c r="L186" s="240"/>
      <c r="M186" s="240"/>
      <c r="N186" s="160"/>
      <c r="O186" s="139" t="s">
        <v>399</v>
      </c>
      <c r="P186" s="39" t="s">
        <v>400</v>
      </c>
      <c r="Q186" s="228" t="s">
        <v>3245</v>
      </c>
      <c r="R186" s="200" t="s">
        <v>2989</v>
      </c>
      <c r="S186" s="141" t="s">
        <v>402</v>
      </c>
      <c r="T186" s="241"/>
    </row>
    <row r="187" spans="1:20" ht="58" customHeight="1">
      <c r="A187" s="230" t="s">
        <v>2437</v>
      </c>
      <c r="B187" s="41" t="s">
        <v>6</v>
      </c>
      <c r="C187" s="40" t="s">
        <v>1535</v>
      </c>
      <c r="D187" s="40" t="s">
        <v>404</v>
      </c>
      <c r="E187" s="199" t="s">
        <v>3794</v>
      </c>
      <c r="F187" s="199" t="s">
        <v>3334</v>
      </c>
      <c r="G187" s="243" t="s">
        <v>4574</v>
      </c>
      <c r="H187" s="41" t="s">
        <v>3</v>
      </c>
      <c r="I187" s="246" t="s">
        <v>3038</v>
      </c>
      <c r="J187" s="232" t="s">
        <v>3243</v>
      </c>
      <c r="K187" s="161"/>
      <c r="L187" s="240"/>
      <c r="M187" s="240"/>
      <c r="N187" s="160"/>
      <c r="O187" s="139" t="s">
        <v>399</v>
      </c>
      <c r="P187" s="39" t="s">
        <v>403</v>
      </c>
      <c r="Q187" s="228" t="s">
        <v>3245</v>
      </c>
      <c r="R187" s="200" t="s">
        <v>2988</v>
      </c>
      <c r="S187" s="141" t="s">
        <v>402</v>
      </c>
      <c r="T187" s="241"/>
    </row>
    <row r="188" spans="1:20" ht="58" customHeight="1">
      <c r="A188" s="230" t="s">
        <v>2437</v>
      </c>
      <c r="B188" s="41" t="s">
        <v>6</v>
      </c>
      <c r="C188" s="40" t="s">
        <v>1535</v>
      </c>
      <c r="D188" s="40" t="s">
        <v>406</v>
      </c>
      <c r="E188" s="199" t="s">
        <v>796</v>
      </c>
      <c r="F188" s="199" t="s">
        <v>3309</v>
      </c>
      <c r="G188" s="243" t="s">
        <v>3310</v>
      </c>
      <c r="H188" s="41" t="s">
        <v>2</v>
      </c>
      <c r="I188" s="246" t="s">
        <v>3034</v>
      </c>
      <c r="J188" s="232" t="s">
        <v>3243</v>
      </c>
      <c r="K188" s="161"/>
      <c r="L188" s="240"/>
      <c r="M188" s="240"/>
      <c r="N188" s="160"/>
      <c r="O188" s="139" t="s">
        <v>399</v>
      </c>
      <c r="P188" s="39" t="s">
        <v>405</v>
      </c>
      <c r="Q188" s="228" t="s">
        <v>3245</v>
      </c>
      <c r="R188" s="200" t="s">
        <v>446</v>
      </c>
      <c r="S188" s="141" t="s">
        <v>402</v>
      </c>
      <c r="T188" s="241"/>
    </row>
    <row r="189" spans="1:20" ht="58" customHeight="1">
      <c r="A189" s="230" t="s">
        <v>2437</v>
      </c>
      <c r="B189" s="41" t="s">
        <v>6</v>
      </c>
      <c r="C189" s="40" t="s">
        <v>1535</v>
      </c>
      <c r="D189" s="40" t="s">
        <v>408</v>
      </c>
      <c r="E189" s="199" t="s">
        <v>3795</v>
      </c>
      <c r="F189" s="199" t="s">
        <v>4086</v>
      </c>
      <c r="G189" s="243" t="s">
        <v>3311</v>
      </c>
      <c r="H189" s="41" t="s">
        <v>958</v>
      </c>
      <c r="I189" s="246" t="s">
        <v>3035</v>
      </c>
      <c r="J189" s="232" t="s">
        <v>3243</v>
      </c>
      <c r="K189" s="161"/>
      <c r="L189" s="240"/>
      <c r="M189" s="240"/>
      <c r="N189" s="160"/>
      <c r="O189" s="139" t="s">
        <v>399</v>
      </c>
      <c r="P189" s="39" t="s">
        <v>407</v>
      </c>
      <c r="Q189" s="228" t="s">
        <v>3245</v>
      </c>
      <c r="R189" s="200" t="s">
        <v>2990</v>
      </c>
      <c r="S189" s="141" t="s">
        <v>402</v>
      </c>
      <c r="T189" s="241"/>
    </row>
    <row r="190" spans="1:20" ht="58" customHeight="1">
      <c r="A190" s="230" t="s">
        <v>2437</v>
      </c>
      <c r="B190" s="41" t="s">
        <v>6</v>
      </c>
      <c r="C190" s="40" t="s">
        <v>1535</v>
      </c>
      <c r="D190" s="40" t="s">
        <v>410</v>
      </c>
      <c r="E190" s="199" t="s">
        <v>3796</v>
      </c>
      <c r="F190" s="199" t="s">
        <v>3335</v>
      </c>
      <c r="G190" s="243" t="s">
        <v>4575</v>
      </c>
      <c r="H190" s="41" t="s">
        <v>3</v>
      </c>
      <c r="I190" s="246" t="s">
        <v>3038</v>
      </c>
      <c r="J190" s="232" t="s">
        <v>3243</v>
      </c>
      <c r="K190" s="161"/>
      <c r="L190" s="240"/>
      <c r="M190" s="240"/>
      <c r="N190" s="160"/>
      <c r="O190" s="139" t="s">
        <v>399</v>
      </c>
      <c r="P190" s="39" t="s">
        <v>409</v>
      </c>
      <c r="Q190" s="228" t="s">
        <v>3245</v>
      </c>
      <c r="R190" s="200" t="s">
        <v>2991</v>
      </c>
      <c r="S190" s="141" t="s">
        <v>402</v>
      </c>
      <c r="T190" s="241"/>
    </row>
    <row r="191" spans="1:20" ht="58" customHeight="1">
      <c r="A191" s="230" t="s">
        <v>2437</v>
      </c>
      <c r="B191" s="41" t="s">
        <v>6</v>
      </c>
      <c r="C191" s="40" t="s">
        <v>1535</v>
      </c>
      <c r="D191" s="40" t="s">
        <v>412</v>
      </c>
      <c r="E191" s="199" t="s">
        <v>3797</v>
      </c>
      <c r="F191" s="199" t="s">
        <v>3336</v>
      </c>
      <c r="G191" s="243" t="s">
        <v>3337</v>
      </c>
      <c r="H191" s="41" t="s">
        <v>3</v>
      </c>
      <c r="I191" s="246" t="s">
        <v>3038</v>
      </c>
      <c r="J191" s="232" t="s">
        <v>3243</v>
      </c>
      <c r="K191" s="161"/>
      <c r="L191" s="240"/>
      <c r="M191" s="240"/>
      <c r="N191" s="160"/>
      <c r="O191" s="139" t="s">
        <v>399</v>
      </c>
      <c r="P191" s="39" t="s">
        <v>411</v>
      </c>
      <c r="Q191" s="228" t="s">
        <v>3245</v>
      </c>
      <c r="R191" s="200" t="s">
        <v>2992</v>
      </c>
      <c r="S191" s="141" t="s">
        <v>402</v>
      </c>
      <c r="T191" s="241"/>
    </row>
    <row r="192" spans="1:20" ht="58" customHeight="1">
      <c r="A192" s="230" t="s">
        <v>2437</v>
      </c>
      <c r="B192" s="41" t="s">
        <v>6</v>
      </c>
      <c r="C192" s="40" t="s">
        <v>1535</v>
      </c>
      <c r="D192" s="40" t="s">
        <v>414</v>
      </c>
      <c r="E192" s="199" t="s">
        <v>3798</v>
      </c>
      <c r="F192" s="199" t="s">
        <v>3312</v>
      </c>
      <c r="G192" s="243" t="s">
        <v>4576</v>
      </c>
      <c r="H192" s="41" t="s">
        <v>2</v>
      </c>
      <c r="I192" s="246" t="s">
        <v>3034</v>
      </c>
      <c r="J192" s="232" t="s">
        <v>3243</v>
      </c>
      <c r="K192" s="161"/>
      <c r="L192" s="240"/>
      <c r="M192" s="240"/>
      <c r="N192" s="160"/>
      <c r="O192" s="139" t="s">
        <v>399</v>
      </c>
      <c r="P192" s="39" t="s">
        <v>413</v>
      </c>
      <c r="Q192" s="228" t="s">
        <v>3245</v>
      </c>
      <c r="R192" s="200" t="s">
        <v>2993</v>
      </c>
      <c r="S192" s="141" t="s">
        <v>402</v>
      </c>
      <c r="T192" s="241"/>
    </row>
    <row r="193" spans="1:20" ht="58" customHeight="1">
      <c r="A193" s="230" t="s">
        <v>2437</v>
      </c>
      <c r="B193" s="41" t="s">
        <v>6</v>
      </c>
      <c r="C193" s="40" t="s">
        <v>1535</v>
      </c>
      <c r="D193" s="40" t="s">
        <v>416</v>
      </c>
      <c r="E193" s="199" t="s">
        <v>3799</v>
      </c>
      <c r="F193" s="199" t="s">
        <v>417</v>
      </c>
      <c r="G193" s="243" t="s">
        <v>3026</v>
      </c>
      <c r="H193" s="41" t="s">
        <v>2</v>
      </c>
      <c r="I193" s="246" t="s">
        <v>3034</v>
      </c>
      <c r="J193" s="232" t="s">
        <v>3243</v>
      </c>
      <c r="K193" s="161"/>
      <c r="L193" s="240"/>
      <c r="M193" s="240"/>
      <c r="N193" s="160"/>
      <c r="O193" s="139" t="s">
        <v>399</v>
      </c>
      <c r="P193" s="39" t="s">
        <v>415</v>
      </c>
      <c r="Q193" s="228" t="s">
        <v>3245</v>
      </c>
      <c r="R193" s="200" t="s">
        <v>2994</v>
      </c>
      <c r="S193" s="141" t="s">
        <v>402</v>
      </c>
      <c r="T193" s="241"/>
    </row>
    <row r="194" spans="1:20" ht="58" customHeight="1">
      <c r="A194" s="230" t="s">
        <v>2437</v>
      </c>
      <c r="B194" s="41" t="s">
        <v>6</v>
      </c>
      <c r="C194" s="40" t="s">
        <v>1535</v>
      </c>
      <c r="D194" s="40" t="s">
        <v>419</v>
      </c>
      <c r="E194" s="199" t="s">
        <v>3800</v>
      </c>
      <c r="F194" s="199" t="s">
        <v>420</v>
      </c>
      <c r="G194" s="243" t="s">
        <v>3026</v>
      </c>
      <c r="H194" s="41" t="s">
        <v>2</v>
      </c>
      <c r="I194" s="246" t="s">
        <v>3034</v>
      </c>
      <c r="J194" s="232" t="s">
        <v>3243</v>
      </c>
      <c r="K194" s="161"/>
      <c r="L194" s="240"/>
      <c r="M194" s="240"/>
      <c r="N194" s="160"/>
      <c r="O194" s="139" t="s">
        <v>399</v>
      </c>
      <c r="P194" s="39" t="s">
        <v>418</v>
      </c>
      <c r="Q194" s="228" t="s">
        <v>3245</v>
      </c>
      <c r="R194" s="200" t="s">
        <v>2994</v>
      </c>
      <c r="S194" s="141" t="s">
        <v>402</v>
      </c>
      <c r="T194" s="241"/>
    </row>
    <row r="195" spans="1:20" ht="58" customHeight="1">
      <c r="A195" s="230" t="s">
        <v>2437</v>
      </c>
      <c r="B195" s="41" t="s">
        <v>6</v>
      </c>
      <c r="C195" s="40" t="s">
        <v>1535</v>
      </c>
      <c r="D195" s="40" t="s">
        <v>422</v>
      </c>
      <c r="E195" s="199" t="s">
        <v>3801</v>
      </c>
      <c r="F195" s="199" t="s">
        <v>4073</v>
      </c>
      <c r="G195" s="243" t="s">
        <v>4577</v>
      </c>
      <c r="H195" s="41" t="s">
        <v>3</v>
      </c>
      <c r="I195" s="246" t="s">
        <v>3038</v>
      </c>
      <c r="J195" s="232" t="s">
        <v>3243</v>
      </c>
      <c r="K195" s="161"/>
      <c r="L195" s="240"/>
      <c r="M195" s="240"/>
      <c r="N195" s="160"/>
      <c r="O195" s="139" t="s">
        <v>399</v>
      </c>
      <c r="P195" s="39" t="s">
        <v>421</v>
      </c>
      <c r="Q195" s="228" t="s">
        <v>3245</v>
      </c>
      <c r="R195" s="200" t="s">
        <v>2990</v>
      </c>
      <c r="S195" s="141" t="s">
        <v>402</v>
      </c>
      <c r="T195" s="241"/>
    </row>
    <row r="196" spans="1:20" ht="58" customHeight="1">
      <c r="A196" s="230" t="s">
        <v>2437</v>
      </c>
      <c r="B196" s="41" t="s">
        <v>6</v>
      </c>
      <c r="C196" s="40" t="s">
        <v>1535</v>
      </c>
      <c r="D196" s="40" t="s">
        <v>424</v>
      </c>
      <c r="E196" s="199" t="s">
        <v>3802</v>
      </c>
      <c r="F196" s="199" t="s">
        <v>3313</v>
      </c>
      <c r="G196" s="243" t="s">
        <v>3314</v>
      </c>
      <c r="H196" s="41" t="s">
        <v>3</v>
      </c>
      <c r="I196" s="246" t="s">
        <v>3038</v>
      </c>
      <c r="J196" s="232" t="s">
        <v>3243</v>
      </c>
      <c r="K196" s="161"/>
      <c r="L196" s="240"/>
      <c r="M196" s="240"/>
      <c r="N196" s="160"/>
      <c r="O196" s="139" t="s">
        <v>399</v>
      </c>
      <c r="P196" s="39" t="s">
        <v>423</v>
      </c>
      <c r="Q196" s="228" t="s">
        <v>3245</v>
      </c>
      <c r="R196" s="200" t="s">
        <v>2990</v>
      </c>
      <c r="S196" s="141" t="s">
        <v>402</v>
      </c>
      <c r="T196" s="241"/>
    </row>
    <row r="197" spans="1:20" ht="58" customHeight="1">
      <c r="A197" s="230" t="s">
        <v>2437</v>
      </c>
      <c r="B197" s="41" t="s">
        <v>6</v>
      </c>
      <c r="C197" s="40" t="s">
        <v>1536</v>
      </c>
      <c r="D197" s="40" t="s">
        <v>427</v>
      </c>
      <c r="E197" s="199" t="s">
        <v>797</v>
      </c>
      <c r="F197" s="199" t="s">
        <v>4074</v>
      </c>
      <c r="G197" s="243" t="s">
        <v>3027</v>
      </c>
      <c r="H197" s="41" t="s">
        <v>958</v>
      </c>
      <c r="I197" s="246" t="s">
        <v>3035</v>
      </c>
      <c r="J197" s="232" t="s">
        <v>3243</v>
      </c>
      <c r="K197" s="161"/>
      <c r="L197" s="240"/>
      <c r="M197" s="240"/>
      <c r="N197" s="160"/>
      <c r="O197" s="139" t="s">
        <v>425</v>
      </c>
      <c r="P197" s="39" t="s">
        <v>426</v>
      </c>
      <c r="Q197" s="228" t="s">
        <v>3245</v>
      </c>
      <c r="R197" s="200" t="s">
        <v>2995</v>
      </c>
      <c r="S197" s="141" t="s">
        <v>428</v>
      </c>
      <c r="T197" s="241"/>
    </row>
    <row r="198" spans="1:20" ht="58" customHeight="1">
      <c r="A198" s="230" t="s">
        <v>2437</v>
      </c>
      <c r="B198" s="41" t="s">
        <v>6</v>
      </c>
      <c r="C198" s="40" t="s">
        <v>1536</v>
      </c>
      <c r="D198" s="40" t="s">
        <v>430</v>
      </c>
      <c r="E198" s="199" t="s">
        <v>4093</v>
      </c>
      <c r="F198" s="199" t="s">
        <v>4094</v>
      </c>
      <c r="G198" s="243" t="s">
        <v>4095</v>
      </c>
      <c r="H198" s="41" t="s">
        <v>1522</v>
      </c>
      <c r="I198" s="246" t="s">
        <v>4500</v>
      </c>
      <c r="J198" s="232" t="s">
        <v>4096</v>
      </c>
      <c r="K198" s="161" t="s">
        <v>958</v>
      </c>
      <c r="L198" s="240"/>
      <c r="M198" s="240"/>
      <c r="N198" s="160"/>
      <c r="O198" s="139" t="s">
        <v>425</v>
      </c>
      <c r="P198" s="39" t="s">
        <v>429</v>
      </c>
      <c r="Q198" s="228" t="s">
        <v>3245</v>
      </c>
      <c r="R198" s="200" t="s">
        <v>4097</v>
      </c>
      <c r="S198" s="141" t="s">
        <v>428</v>
      </c>
      <c r="T198" s="241"/>
    </row>
    <row r="199" spans="1:20" ht="58" customHeight="1">
      <c r="A199" s="230" t="s">
        <v>2437</v>
      </c>
      <c r="B199" s="41" t="s">
        <v>6</v>
      </c>
      <c r="C199" s="40" t="s">
        <v>1536</v>
      </c>
      <c r="D199" s="40" t="s">
        <v>432</v>
      </c>
      <c r="E199" s="199" t="s">
        <v>798</v>
      </c>
      <c r="F199" s="199" t="s">
        <v>4075</v>
      </c>
      <c r="G199" s="243" t="s">
        <v>3026</v>
      </c>
      <c r="H199" s="41" t="s">
        <v>2</v>
      </c>
      <c r="I199" s="246" t="s">
        <v>3034</v>
      </c>
      <c r="J199" s="232" t="s">
        <v>3243</v>
      </c>
      <c r="K199" s="161"/>
      <c r="L199" s="240"/>
      <c r="M199" s="240"/>
      <c r="N199" s="160"/>
      <c r="O199" s="139" t="s">
        <v>425</v>
      </c>
      <c r="P199" s="39" t="s">
        <v>431</v>
      </c>
      <c r="Q199" s="228" t="s">
        <v>3245</v>
      </c>
      <c r="R199" s="200" t="s">
        <v>2968</v>
      </c>
      <c r="S199" s="141" t="s">
        <v>428</v>
      </c>
      <c r="T199" s="241"/>
    </row>
    <row r="200" spans="1:20" ht="58" customHeight="1">
      <c r="A200" s="230" t="s">
        <v>2437</v>
      </c>
      <c r="B200" s="41" t="s">
        <v>6</v>
      </c>
      <c r="C200" s="40" t="s">
        <v>1536</v>
      </c>
      <c r="D200" s="40" t="s">
        <v>434</v>
      </c>
      <c r="E200" s="199" t="s">
        <v>3803</v>
      </c>
      <c r="F200" s="199" t="s">
        <v>3338</v>
      </c>
      <c r="G200" s="243" t="s">
        <v>3339</v>
      </c>
      <c r="H200" s="41" t="s">
        <v>3</v>
      </c>
      <c r="I200" s="246" t="s">
        <v>3038</v>
      </c>
      <c r="J200" s="232" t="s">
        <v>3243</v>
      </c>
      <c r="K200" s="161"/>
      <c r="L200" s="240"/>
      <c r="M200" s="240"/>
      <c r="N200" s="160"/>
      <c r="O200" s="139" t="s">
        <v>425</v>
      </c>
      <c r="P200" s="39" t="s">
        <v>433</v>
      </c>
      <c r="Q200" s="228" t="s">
        <v>3245</v>
      </c>
      <c r="R200" s="200" t="s">
        <v>2996</v>
      </c>
      <c r="S200" s="141" t="s">
        <v>428</v>
      </c>
      <c r="T200" s="241"/>
    </row>
    <row r="201" spans="1:20" ht="58" customHeight="1">
      <c r="A201" s="230" t="s">
        <v>2437</v>
      </c>
      <c r="B201" s="41" t="s">
        <v>6</v>
      </c>
      <c r="C201" s="40" t="s">
        <v>1536</v>
      </c>
      <c r="D201" s="40" t="s">
        <v>436</v>
      </c>
      <c r="E201" s="199" t="s">
        <v>3804</v>
      </c>
      <c r="F201" s="199" t="s">
        <v>3315</v>
      </c>
      <c r="G201" s="243" t="s">
        <v>4578</v>
      </c>
      <c r="H201" s="41" t="s">
        <v>2</v>
      </c>
      <c r="I201" s="246" t="s">
        <v>3034</v>
      </c>
      <c r="J201" s="232" t="s">
        <v>3243</v>
      </c>
      <c r="K201" s="161"/>
      <c r="L201" s="240"/>
      <c r="M201" s="240"/>
      <c r="N201" s="160"/>
      <c r="O201" s="139" t="s">
        <v>425</v>
      </c>
      <c r="P201" s="39" t="s">
        <v>435</v>
      </c>
      <c r="Q201" s="228" t="s">
        <v>3245</v>
      </c>
      <c r="R201" s="200" t="s">
        <v>2997</v>
      </c>
      <c r="S201" s="141" t="s">
        <v>428</v>
      </c>
      <c r="T201" s="241"/>
    </row>
    <row r="202" spans="1:20" ht="58" customHeight="1">
      <c r="A202" s="230" t="s">
        <v>2437</v>
      </c>
      <c r="B202" s="41" t="s">
        <v>1541</v>
      </c>
      <c r="C202" s="40" t="s">
        <v>1520</v>
      </c>
      <c r="D202" s="40" t="s">
        <v>1515</v>
      </c>
      <c r="E202" s="199" t="s">
        <v>3806</v>
      </c>
      <c r="F202" s="199" t="s">
        <v>3347</v>
      </c>
      <c r="G202" s="243" t="s">
        <v>3348</v>
      </c>
      <c r="H202" s="41" t="s">
        <v>3</v>
      </c>
      <c r="I202" s="246" t="s">
        <v>3038</v>
      </c>
      <c r="J202" s="232" t="s">
        <v>3243</v>
      </c>
      <c r="K202" s="161" t="s">
        <v>958</v>
      </c>
      <c r="L202" s="240"/>
      <c r="M202" s="240"/>
      <c r="N202" s="160"/>
      <c r="O202" s="139" t="s">
        <v>1510</v>
      </c>
      <c r="P202" s="39" t="s">
        <v>1514</v>
      </c>
      <c r="Q202" s="228" t="s">
        <v>3246</v>
      </c>
      <c r="R202" s="200" t="s">
        <v>3017</v>
      </c>
      <c r="S202" s="141" t="s">
        <v>1466</v>
      </c>
      <c r="T202" s="241" t="s">
        <v>4631</v>
      </c>
    </row>
    <row r="203" spans="1:20" ht="58" customHeight="1">
      <c r="A203" s="230" t="s">
        <v>2437</v>
      </c>
      <c r="B203" s="41" t="s">
        <v>1541</v>
      </c>
      <c r="C203" s="40" t="s">
        <v>1523</v>
      </c>
      <c r="D203" s="40" t="s">
        <v>4501</v>
      </c>
      <c r="E203" s="199" t="s">
        <v>4502</v>
      </c>
      <c r="F203" s="199" t="s">
        <v>4503</v>
      </c>
      <c r="G203" s="243" t="s">
        <v>4504</v>
      </c>
      <c r="H203" s="41" t="s">
        <v>1522</v>
      </c>
      <c r="I203" s="246" t="s">
        <v>3036</v>
      </c>
      <c r="J203" s="232" t="s">
        <v>4505</v>
      </c>
      <c r="K203" s="161" t="s">
        <v>4506</v>
      </c>
      <c r="L203" s="240" t="s">
        <v>4507</v>
      </c>
      <c r="M203" s="240" t="s">
        <v>4508</v>
      </c>
      <c r="N203" s="160" t="s">
        <v>4278</v>
      </c>
      <c r="O203" s="139" t="s">
        <v>60</v>
      </c>
      <c r="P203" s="39" t="s">
        <v>4509</v>
      </c>
      <c r="Q203" s="228" t="s">
        <v>3246</v>
      </c>
      <c r="R203" s="200" t="s">
        <v>4510</v>
      </c>
      <c r="S203" s="141" t="s">
        <v>4511</v>
      </c>
      <c r="T203" s="241" t="s">
        <v>5247</v>
      </c>
    </row>
    <row r="204" spans="1:20" ht="58" customHeight="1">
      <c r="A204" s="230" t="s">
        <v>2437</v>
      </c>
      <c r="B204" s="41" t="s">
        <v>1541</v>
      </c>
      <c r="C204" s="40" t="s">
        <v>1524</v>
      </c>
      <c r="D204" s="40" t="s">
        <v>1496</v>
      </c>
      <c r="E204" s="199" t="s">
        <v>3815</v>
      </c>
      <c r="F204" s="199" t="s">
        <v>1497</v>
      </c>
      <c r="G204" s="243" t="s">
        <v>3030</v>
      </c>
      <c r="H204" s="41" t="s">
        <v>1522</v>
      </c>
      <c r="I204" s="246" t="s">
        <v>3036</v>
      </c>
      <c r="J204" s="232" t="s">
        <v>3915</v>
      </c>
      <c r="K204" s="161" t="s">
        <v>4557</v>
      </c>
      <c r="L204" s="240"/>
      <c r="M204" s="240"/>
      <c r="N204" s="160"/>
      <c r="O204" s="139" t="s">
        <v>1494</v>
      </c>
      <c r="P204" s="39" t="s">
        <v>1495</v>
      </c>
      <c r="Q204" s="228" t="s">
        <v>3246</v>
      </c>
      <c r="R204" s="200" t="s">
        <v>3013</v>
      </c>
      <c r="S204" s="141" t="s">
        <v>1466</v>
      </c>
      <c r="T204" s="241"/>
    </row>
    <row r="205" spans="1:20" ht="58" customHeight="1">
      <c r="A205" s="230" t="s">
        <v>2437</v>
      </c>
      <c r="B205" s="41" t="s">
        <v>1541</v>
      </c>
      <c r="C205" s="40" t="s">
        <v>1524</v>
      </c>
      <c r="D205" s="40" t="s">
        <v>1500</v>
      </c>
      <c r="E205" s="199" t="s">
        <v>3816</v>
      </c>
      <c r="F205" s="199" t="s">
        <v>1501</v>
      </c>
      <c r="G205" s="243" t="s">
        <v>3030</v>
      </c>
      <c r="H205" s="41" t="s">
        <v>1522</v>
      </c>
      <c r="I205" s="246" t="s">
        <v>3036</v>
      </c>
      <c r="J205" s="232" t="s">
        <v>3916</v>
      </c>
      <c r="K205" s="161" t="s">
        <v>4557</v>
      </c>
      <c r="L205" s="240"/>
      <c r="M205" s="240"/>
      <c r="N205" s="160"/>
      <c r="O205" s="139" t="s">
        <v>1498</v>
      </c>
      <c r="P205" s="39" t="s">
        <v>1499</v>
      </c>
      <c r="Q205" s="228" t="s">
        <v>3246</v>
      </c>
      <c r="R205" s="200" t="s">
        <v>3014</v>
      </c>
      <c r="S205" s="141" t="s">
        <v>1466</v>
      </c>
      <c r="T205" s="241"/>
    </row>
    <row r="206" spans="1:20" ht="58" customHeight="1">
      <c r="A206" s="230" t="s">
        <v>2437</v>
      </c>
      <c r="B206" s="41" t="s">
        <v>1541</v>
      </c>
      <c r="C206" s="40" t="s">
        <v>1525</v>
      </c>
      <c r="D206" s="40" t="s">
        <v>1465</v>
      </c>
      <c r="E206" s="199" t="s">
        <v>3811</v>
      </c>
      <c r="F206" s="199" t="s">
        <v>3022</v>
      </c>
      <c r="G206" s="243" t="s">
        <v>3030</v>
      </c>
      <c r="H206" s="41" t="s">
        <v>1522</v>
      </c>
      <c r="I206" s="246" t="s">
        <v>3036</v>
      </c>
      <c r="J206" s="232" t="s">
        <v>3917</v>
      </c>
      <c r="K206" s="161" t="s">
        <v>4557</v>
      </c>
      <c r="L206" s="240"/>
      <c r="M206" s="240"/>
      <c r="N206" s="160"/>
      <c r="O206" s="139" t="s">
        <v>1463</v>
      </c>
      <c r="P206" s="39" t="s">
        <v>1464</v>
      </c>
      <c r="Q206" s="228" t="s">
        <v>3246</v>
      </c>
      <c r="R206" s="200" t="s">
        <v>3023</v>
      </c>
      <c r="S206" s="141" t="s">
        <v>1466</v>
      </c>
      <c r="T206" s="241"/>
    </row>
    <row r="207" spans="1:20" ht="58" customHeight="1">
      <c r="A207" s="230" t="s">
        <v>2437</v>
      </c>
      <c r="B207" s="41" t="s">
        <v>1541</v>
      </c>
      <c r="C207" s="40" t="s">
        <v>1525</v>
      </c>
      <c r="D207" s="40" t="s">
        <v>1476</v>
      </c>
      <c r="E207" s="199" t="s">
        <v>1477</v>
      </c>
      <c r="F207" s="199" t="s">
        <v>1478</v>
      </c>
      <c r="G207" s="243" t="s">
        <v>3030</v>
      </c>
      <c r="H207" s="41" t="s">
        <v>1522</v>
      </c>
      <c r="I207" s="246" t="s">
        <v>3036</v>
      </c>
      <c r="J207" s="232" t="s">
        <v>3918</v>
      </c>
      <c r="K207" s="161" t="s">
        <v>4557</v>
      </c>
      <c r="L207" s="240"/>
      <c r="M207" s="240"/>
      <c r="N207" s="160"/>
      <c r="O207" s="139" t="s">
        <v>1474</v>
      </c>
      <c r="P207" s="39" t="s">
        <v>1475</v>
      </c>
      <c r="Q207" s="228" t="s">
        <v>3246</v>
      </c>
      <c r="R207" s="200" t="s">
        <v>2944</v>
      </c>
      <c r="S207" s="141" t="s">
        <v>1466</v>
      </c>
      <c r="T207" s="241"/>
    </row>
    <row r="208" spans="1:20" ht="58" customHeight="1">
      <c r="A208" s="230" t="s">
        <v>2437</v>
      </c>
      <c r="B208" s="41" t="s">
        <v>1541</v>
      </c>
      <c r="C208" s="40" t="s">
        <v>1525</v>
      </c>
      <c r="D208" s="40" t="s">
        <v>1480</v>
      </c>
      <c r="E208" s="199" t="s">
        <v>1481</v>
      </c>
      <c r="F208" s="199" t="s">
        <v>1482</v>
      </c>
      <c r="G208" s="243" t="s">
        <v>3030</v>
      </c>
      <c r="H208" s="41" t="s">
        <v>1522</v>
      </c>
      <c r="I208" s="246" t="s">
        <v>3036</v>
      </c>
      <c r="J208" s="232" t="s">
        <v>3919</v>
      </c>
      <c r="K208" s="161" t="s">
        <v>4557</v>
      </c>
      <c r="L208" s="240"/>
      <c r="M208" s="240"/>
      <c r="N208" s="160"/>
      <c r="O208" s="139" t="s">
        <v>1474</v>
      </c>
      <c r="P208" s="39" t="s">
        <v>1479</v>
      </c>
      <c r="Q208" s="228" t="s">
        <v>3246</v>
      </c>
      <c r="R208" s="200" t="s">
        <v>2944</v>
      </c>
      <c r="S208" s="141" t="s">
        <v>1466</v>
      </c>
      <c r="T208" s="241"/>
    </row>
    <row r="209" spans="1:20" ht="58" customHeight="1">
      <c r="A209" s="230" t="s">
        <v>2437</v>
      </c>
      <c r="B209" s="41" t="s">
        <v>1541</v>
      </c>
      <c r="C209" s="40" t="s">
        <v>1526</v>
      </c>
      <c r="D209" s="40" t="s">
        <v>1490</v>
      </c>
      <c r="E209" s="199" t="s">
        <v>3812</v>
      </c>
      <c r="F209" s="199" t="s">
        <v>4306</v>
      </c>
      <c r="G209" s="243" t="s">
        <v>4307</v>
      </c>
      <c r="H209" s="41" t="s">
        <v>1522</v>
      </c>
      <c r="I209" s="246" t="s">
        <v>3036</v>
      </c>
      <c r="J209" s="232" t="s">
        <v>3243</v>
      </c>
      <c r="K209" s="161" t="s">
        <v>4615</v>
      </c>
      <c r="L209" s="240" t="s">
        <v>4616</v>
      </c>
      <c r="M209" s="240"/>
      <c r="N209" s="160" t="s">
        <v>4279</v>
      </c>
      <c r="O209" s="139" t="s">
        <v>1488</v>
      </c>
      <c r="P209" s="39" t="s">
        <v>1489</v>
      </c>
      <c r="Q209" s="228" t="s">
        <v>3246</v>
      </c>
      <c r="R209" s="200" t="s">
        <v>3011</v>
      </c>
      <c r="S209" s="141" t="s">
        <v>1466</v>
      </c>
      <c r="T209" s="241"/>
    </row>
    <row r="210" spans="1:20" ht="58" customHeight="1">
      <c r="A210" s="230" t="s">
        <v>2437</v>
      </c>
      <c r="B210" s="41" t="s">
        <v>1541</v>
      </c>
      <c r="C210" s="40" t="s">
        <v>1526</v>
      </c>
      <c r="D210" s="40" t="s">
        <v>1469</v>
      </c>
      <c r="E210" s="199" t="s">
        <v>3813</v>
      </c>
      <c r="F210" s="199" t="s">
        <v>3289</v>
      </c>
      <c r="G210" s="243" t="s">
        <v>3290</v>
      </c>
      <c r="H210" s="41" t="s">
        <v>1522</v>
      </c>
      <c r="I210" s="246" t="s">
        <v>3036</v>
      </c>
      <c r="J210" s="232" t="s">
        <v>3943</v>
      </c>
      <c r="K210" s="161" t="s">
        <v>4537</v>
      </c>
      <c r="L210" s="240" t="s">
        <v>4538</v>
      </c>
      <c r="M210" s="240"/>
      <c r="N210" s="160" t="s">
        <v>4278</v>
      </c>
      <c r="O210" s="139" t="s">
        <v>1467</v>
      </c>
      <c r="P210" s="39" t="s">
        <v>1468</v>
      </c>
      <c r="Q210" s="228" t="s">
        <v>3246</v>
      </c>
      <c r="R210" s="200" t="s">
        <v>3009</v>
      </c>
      <c r="S210" s="141" t="s">
        <v>1466</v>
      </c>
      <c r="T210" s="241"/>
    </row>
    <row r="211" spans="1:20" ht="58" customHeight="1">
      <c r="A211" s="230" t="s">
        <v>2437</v>
      </c>
      <c r="B211" s="41" t="s">
        <v>1541</v>
      </c>
      <c r="C211" s="40" t="s">
        <v>1528</v>
      </c>
      <c r="D211" s="40" t="s">
        <v>2750</v>
      </c>
      <c r="E211" s="199" t="s">
        <v>3814</v>
      </c>
      <c r="F211" s="199" t="s">
        <v>2751</v>
      </c>
      <c r="G211" s="243" t="s">
        <v>3026</v>
      </c>
      <c r="H211" s="41" t="s">
        <v>2</v>
      </c>
      <c r="I211" s="246" t="s">
        <v>3034</v>
      </c>
      <c r="J211" s="232" t="s">
        <v>3928</v>
      </c>
      <c r="K211" s="161" t="s">
        <v>958</v>
      </c>
      <c r="L211" s="240"/>
      <c r="M211" s="240"/>
      <c r="N211" s="160"/>
      <c r="O211" s="139" t="s">
        <v>2752</v>
      </c>
      <c r="P211" s="39" t="s">
        <v>2753</v>
      </c>
      <c r="Q211" s="228" t="s">
        <v>3959</v>
      </c>
      <c r="R211" s="200" t="s">
        <v>3018</v>
      </c>
      <c r="S211" s="141" t="s">
        <v>2754</v>
      </c>
      <c r="T211" s="241" t="s">
        <v>3960</v>
      </c>
    </row>
    <row r="212" spans="1:20" ht="58" customHeight="1">
      <c r="A212" s="230" t="s">
        <v>2437</v>
      </c>
      <c r="B212" s="41" t="s">
        <v>1541</v>
      </c>
      <c r="C212" s="40" t="s">
        <v>1529</v>
      </c>
      <c r="D212" s="40" t="s">
        <v>1517</v>
      </c>
      <c r="E212" s="199" t="s">
        <v>3807</v>
      </c>
      <c r="F212" s="199" t="s">
        <v>3349</v>
      </c>
      <c r="G212" s="243" t="s">
        <v>3350</v>
      </c>
      <c r="H212" s="41" t="s">
        <v>3</v>
      </c>
      <c r="I212" s="246" t="s">
        <v>3038</v>
      </c>
      <c r="J212" s="232" t="s">
        <v>3243</v>
      </c>
      <c r="K212" s="161" t="s">
        <v>958</v>
      </c>
      <c r="L212" s="240"/>
      <c r="M212" s="240"/>
      <c r="N212" s="160"/>
      <c r="O212" s="139" t="s">
        <v>1510</v>
      </c>
      <c r="P212" s="39" t="s">
        <v>1516</v>
      </c>
      <c r="Q212" s="228" t="s">
        <v>3246</v>
      </c>
      <c r="R212" s="200" t="s">
        <v>3017</v>
      </c>
      <c r="S212" s="141" t="s">
        <v>1466</v>
      </c>
      <c r="T212" s="241" t="s">
        <v>4632</v>
      </c>
    </row>
    <row r="213" spans="1:20" ht="58" customHeight="1">
      <c r="A213" s="230" t="s">
        <v>2437</v>
      </c>
      <c r="B213" s="41" t="s">
        <v>1541</v>
      </c>
      <c r="C213" s="40" t="s">
        <v>1531</v>
      </c>
      <c r="D213" s="40" t="s">
        <v>3437</v>
      </c>
      <c r="E213" s="199" t="s">
        <v>3438</v>
      </c>
      <c r="F213" s="199" t="s">
        <v>3439</v>
      </c>
      <c r="G213" s="243" t="s">
        <v>3440</v>
      </c>
      <c r="H213" s="41" t="s">
        <v>1522</v>
      </c>
      <c r="I213" s="246" t="s">
        <v>3036</v>
      </c>
      <c r="J213" s="232" t="s">
        <v>3939</v>
      </c>
      <c r="K213" s="161" t="s">
        <v>4545</v>
      </c>
      <c r="L213" s="240" t="s">
        <v>4546</v>
      </c>
      <c r="M213" s="240"/>
      <c r="N213" s="160" t="s">
        <v>4278</v>
      </c>
      <c r="O213" s="139" t="s">
        <v>3441</v>
      </c>
      <c r="P213" s="39" t="s">
        <v>531</v>
      </c>
      <c r="Q213" s="228" t="s">
        <v>3246</v>
      </c>
      <c r="R213" s="200" t="s">
        <v>3442</v>
      </c>
      <c r="S213" s="141" t="s">
        <v>3443</v>
      </c>
      <c r="T213" s="241"/>
    </row>
    <row r="214" spans="1:20" ht="58" customHeight="1">
      <c r="A214" s="230" t="s">
        <v>2437</v>
      </c>
      <c r="B214" s="41" t="s">
        <v>1541</v>
      </c>
      <c r="C214" s="40" t="s">
        <v>1532</v>
      </c>
      <c r="D214" s="40" t="s">
        <v>1512</v>
      </c>
      <c r="E214" s="199" t="s">
        <v>3808</v>
      </c>
      <c r="F214" s="199" t="s">
        <v>1513</v>
      </c>
      <c r="G214" s="243" t="s">
        <v>3030</v>
      </c>
      <c r="H214" s="41" t="s">
        <v>1522</v>
      </c>
      <c r="I214" s="246" t="s">
        <v>3036</v>
      </c>
      <c r="J214" s="232" t="s">
        <v>3920</v>
      </c>
      <c r="K214" s="161" t="s">
        <v>4557</v>
      </c>
      <c r="L214" s="240"/>
      <c r="M214" s="240"/>
      <c r="N214" s="160"/>
      <c r="O214" s="139" t="s">
        <v>1510</v>
      </c>
      <c r="P214" s="39" t="s">
        <v>1511</v>
      </c>
      <c r="Q214" s="228" t="s">
        <v>3246</v>
      </c>
      <c r="R214" s="200" t="s">
        <v>3016</v>
      </c>
      <c r="S214" s="141" t="s">
        <v>1466</v>
      </c>
      <c r="T214" s="241"/>
    </row>
    <row r="215" spans="1:20" ht="58" customHeight="1">
      <c r="A215" s="230" t="s">
        <v>2437</v>
      </c>
      <c r="B215" s="41" t="s">
        <v>1541</v>
      </c>
      <c r="C215" s="40" t="s">
        <v>1532</v>
      </c>
      <c r="D215" s="40" t="s">
        <v>3268</v>
      </c>
      <c r="E215" s="199" t="s">
        <v>3269</v>
      </c>
      <c r="F215" s="199" t="s">
        <v>3270</v>
      </c>
      <c r="G215" s="243" t="s">
        <v>3271</v>
      </c>
      <c r="H215" s="41" t="s">
        <v>1522</v>
      </c>
      <c r="I215" s="246" t="s">
        <v>3036</v>
      </c>
      <c r="J215" s="232" t="s">
        <v>3921</v>
      </c>
      <c r="K215" s="161" t="s">
        <v>4514</v>
      </c>
      <c r="L215" s="240" t="s">
        <v>4515</v>
      </c>
      <c r="M215" s="240" t="s">
        <v>4516</v>
      </c>
      <c r="N215" s="160" t="s">
        <v>4279</v>
      </c>
      <c r="O215" s="139" t="s">
        <v>3272</v>
      </c>
      <c r="P215" s="39" t="s">
        <v>3273</v>
      </c>
      <c r="Q215" s="228" t="s">
        <v>3246</v>
      </c>
      <c r="R215" s="200" t="s">
        <v>3274</v>
      </c>
      <c r="S215" s="141" t="s">
        <v>3260</v>
      </c>
      <c r="T215" s="241"/>
    </row>
    <row r="216" spans="1:20" ht="58" customHeight="1">
      <c r="A216" s="230" t="s">
        <v>2437</v>
      </c>
      <c r="B216" s="41" t="s">
        <v>1541</v>
      </c>
      <c r="C216" s="40" t="s">
        <v>1532</v>
      </c>
      <c r="D216" s="40" t="s">
        <v>3281</v>
      </c>
      <c r="E216" s="199" t="s">
        <v>3282</v>
      </c>
      <c r="F216" s="199" t="s">
        <v>3283</v>
      </c>
      <c r="G216" s="243" t="s">
        <v>3284</v>
      </c>
      <c r="H216" s="41" t="s">
        <v>1522</v>
      </c>
      <c r="I216" s="246" t="s">
        <v>3036</v>
      </c>
      <c r="J216" s="232" t="s">
        <v>3922</v>
      </c>
      <c r="K216" s="161" t="s">
        <v>4528</v>
      </c>
      <c r="L216" s="240" t="s">
        <v>4529</v>
      </c>
      <c r="M216" s="240" t="s">
        <v>4530</v>
      </c>
      <c r="N216" s="160" t="s">
        <v>4279</v>
      </c>
      <c r="O216" s="139" t="s">
        <v>3285</v>
      </c>
      <c r="P216" s="39" t="s">
        <v>3286</v>
      </c>
      <c r="Q216" s="228" t="s">
        <v>3246</v>
      </c>
      <c r="R216" s="200" t="s">
        <v>3274</v>
      </c>
      <c r="S216" s="141" t="s">
        <v>3260</v>
      </c>
      <c r="T216" s="241"/>
    </row>
    <row r="217" spans="1:20" ht="58" customHeight="1">
      <c r="A217" s="230" t="s">
        <v>2437</v>
      </c>
      <c r="B217" s="41" t="s">
        <v>1541</v>
      </c>
      <c r="C217" s="40" t="s">
        <v>1532</v>
      </c>
      <c r="D217" s="40" t="s">
        <v>1472</v>
      </c>
      <c r="E217" s="199" t="s">
        <v>3809</v>
      </c>
      <c r="F217" s="199" t="s">
        <v>1473</v>
      </c>
      <c r="G217" s="243" t="s">
        <v>3027</v>
      </c>
      <c r="H217" s="41" t="s">
        <v>958</v>
      </c>
      <c r="I217" s="246" t="s">
        <v>3035</v>
      </c>
      <c r="J217" s="232" t="s">
        <v>3243</v>
      </c>
      <c r="K217" s="161"/>
      <c r="L217" s="240"/>
      <c r="M217" s="240"/>
      <c r="N217" s="160"/>
      <c r="O217" s="139" t="s">
        <v>1470</v>
      </c>
      <c r="P217" s="39" t="s">
        <v>1471</v>
      </c>
      <c r="Q217" s="228" t="s">
        <v>3246</v>
      </c>
      <c r="R217" s="200" t="s">
        <v>3010</v>
      </c>
      <c r="S217" s="141" t="s">
        <v>1466</v>
      </c>
      <c r="T217" s="241"/>
    </row>
    <row r="218" spans="1:20" ht="58" customHeight="1">
      <c r="A218" s="230" t="s">
        <v>2437</v>
      </c>
      <c r="B218" s="41" t="s">
        <v>1541</v>
      </c>
      <c r="C218" s="40" t="s">
        <v>1534</v>
      </c>
      <c r="D218" s="40" t="s">
        <v>3445</v>
      </c>
      <c r="E218" s="199" t="s">
        <v>3446</v>
      </c>
      <c r="F218" s="199" t="s">
        <v>3447</v>
      </c>
      <c r="G218" s="243" t="s">
        <v>3448</v>
      </c>
      <c r="H218" s="41" t="s">
        <v>1522</v>
      </c>
      <c r="I218" s="246" t="s">
        <v>3036</v>
      </c>
      <c r="J218" s="232" t="s">
        <v>3940</v>
      </c>
      <c r="K218" s="161" t="s">
        <v>4547</v>
      </c>
      <c r="L218" s="240" t="s">
        <v>4548</v>
      </c>
      <c r="M218" s="240"/>
      <c r="N218" s="160" t="s">
        <v>4278</v>
      </c>
      <c r="O218" s="139" t="s">
        <v>3444</v>
      </c>
      <c r="P218" s="39" t="s">
        <v>536</v>
      </c>
      <c r="Q218" s="228" t="s">
        <v>3246</v>
      </c>
      <c r="R218" s="200" t="s">
        <v>3442</v>
      </c>
      <c r="S218" s="141" t="s">
        <v>3443</v>
      </c>
      <c r="T218" s="241"/>
    </row>
    <row r="219" spans="1:20" ht="58" customHeight="1">
      <c r="A219" s="230" t="s">
        <v>2437</v>
      </c>
      <c r="B219" s="41" t="s">
        <v>1541</v>
      </c>
      <c r="C219" s="40" t="s">
        <v>1534</v>
      </c>
      <c r="D219" s="40" t="s">
        <v>3253</v>
      </c>
      <c r="E219" s="199" t="s">
        <v>3254</v>
      </c>
      <c r="F219" s="199" t="s">
        <v>3255</v>
      </c>
      <c r="G219" s="243" t="s">
        <v>3256</v>
      </c>
      <c r="H219" s="41" t="s">
        <v>1522</v>
      </c>
      <c r="I219" s="246" t="s">
        <v>3036</v>
      </c>
      <c r="J219" s="232" t="s">
        <v>3923</v>
      </c>
      <c r="K219" s="161" t="s">
        <v>4276</v>
      </c>
      <c r="L219" s="240" t="s">
        <v>4477</v>
      </c>
      <c r="M219" s="240"/>
      <c r="N219" s="160" t="s">
        <v>4280</v>
      </c>
      <c r="O219" s="139" t="s">
        <v>3257</v>
      </c>
      <c r="P219" s="39" t="s">
        <v>3258</v>
      </c>
      <c r="Q219" s="228" t="s">
        <v>3246</v>
      </c>
      <c r="R219" s="200" t="s">
        <v>3259</v>
      </c>
      <c r="S219" s="141" t="s">
        <v>3260</v>
      </c>
      <c r="T219" s="241"/>
    </row>
    <row r="220" spans="1:20" ht="58" customHeight="1">
      <c r="A220" s="230" t="s">
        <v>2437</v>
      </c>
      <c r="B220" s="41" t="s">
        <v>1541</v>
      </c>
      <c r="C220" s="40" t="s">
        <v>1534</v>
      </c>
      <c r="D220" s="40" t="s">
        <v>1504</v>
      </c>
      <c r="E220" s="199" t="s">
        <v>3810</v>
      </c>
      <c r="F220" s="199" t="s">
        <v>4648</v>
      </c>
      <c r="G220" s="243" t="s">
        <v>4649</v>
      </c>
      <c r="H220" s="41" t="s">
        <v>3</v>
      </c>
      <c r="I220" s="246" t="s">
        <v>3038</v>
      </c>
      <c r="J220" s="232" t="s">
        <v>3243</v>
      </c>
      <c r="K220" s="161" t="s">
        <v>958</v>
      </c>
      <c r="L220" s="240"/>
      <c r="M220" s="240"/>
      <c r="N220" s="160"/>
      <c r="O220" s="139" t="s">
        <v>1502</v>
      </c>
      <c r="P220" s="39" t="s">
        <v>1503</v>
      </c>
      <c r="Q220" s="228" t="s">
        <v>3246</v>
      </c>
      <c r="R220" s="200" t="s">
        <v>3015</v>
      </c>
      <c r="S220" s="141" t="s">
        <v>1466</v>
      </c>
      <c r="T220" s="241"/>
    </row>
    <row r="221" spans="1:20" ht="58" customHeight="1">
      <c r="A221" s="230" t="s">
        <v>2437</v>
      </c>
      <c r="B221" s="41" t="s">
        <v>1541</v>
      </c>
      <c r="C221" s="40" t="s">
        <v>1534</v>
      </c>
      <c r="D221" s="40" t="s">
        <v>3261</v>
      </c>
      <c r="E221" s="199" t="s">
        <v>3262</v>
      </c>
      <c r="F221" s="199" t="s">
        <v>3263</v>
      </c>
      <c r="G221" s="243" t="s">
        <v>3264</v>
      </c>
      <c r="H221" s="41" t="s">
        <v>1522</v>
      </c>
      <c r="I221" s="246" t="s">
        <v>3036</v>
      </c>
      <c r="J221" s="232" t="s">
        <v>3924</v>
      </c>
      <c r="K221" s="161" t="s">
        <v>4551</v>
      </c>
      <c r="L221" s="240" t="s">
        <v>4552</v>
      </c>
      <c r="M221" s="240"/>
      <c r="N221" s="160" t="s">
        <v>4278</v>
      </c>
      <c r="O221" s="139" t="s">
        <v>3265</v>
      </c>
      <c r="P221" s="39" t="s">
        <v>3266</v>
      </c>
      <c r="Q221" s="228" t="s">
        <v>3246</v>
      </c>
      <c r="R221" s="200" t="s">
        <v>3267</v>
      </c>
      <c r="S221" s="141" t="s">
        <v>3260</v>
      </c>
      <c r="T221" s="241"/>
    </row>
    <row r="222" spans="1:20" ht="58" customHeight="1">
      <c r="A222" s="230" t="s">
        <v>2437</v>
      </c>
      <c r="B222" s="41" t="s">
        <v>1541</v>
      </c>
      <c r="C222" s="40" t="s">
        <v>1534</v>
      </c>
      <c r="D222" s="40" t="s">
        <v>1507</v>
      </c>
      <c r="E222" s="199" t="s">
        <v>1508</v>
      </c>
      <c r="F222" s="199" t="s">
        <v>1509</v>
      </c>
      <c r="G222" s="243" t="s">
        <v>3030</v>
      </c>
      <c r="H222" s="41" t="s">
        <v>1522</v>
      </c>
      <c r="I222" s="246" t="s">
        <v>3036</v>
      </c>
      <c r="J222" s="232" t="s">
        <v>3925</v>
      </c>
      <c r="K222" s="161" t="s">
        <v>4557</v>
      </c>
      <c r="L222" s="240"/>
      <c r="M222" s="240"/>
      <c r="N222" s="160"/>
      <c r="O222" s="139" t="s">
        <v>1505</v>
      </c>
      <c r="P222" s="39" t="s">
        <v>1506</v>
      </c>
      <c r="Q222" s="228" t="s">
        <v>3246</v>
      </c>
      <c r="R222" s="200" t="s">
        <v>2944</v>
      </c>
      <c r="S222" s="141" t="s">
        <v>1466</v>
      </c>
      <c r="T222" s="241"/>
    </row>
    <row r="223" spans="1:20" ht="58" customHeight="1">
      <c r="A223" s="230" t="s">
        <v>2437</v>
      </c>
      <c r="B223" s="41" t="s">
        <v>1541</v>
      </c>
      <c r="C223" s="40" t="s">
        <v>1533</v>
      </c>
      <c r="D223" s="40" t="s">
        <v>3449</v>
      </c>
      <c r="E223" s="199" t="s">
        <v>3450</v>
      </c>
      <c r="F223" s="199" t="s">
        <v>3451</v>
      </c>
      <c r="G223" s="243" t="s">
        <v>4579</v>
      </c>
      <c r="H223" s="41" t="s">
        <v>1522</v>
      </c>
      <c r="I223" s="246" t="s">
        <v>3036</v>
      </c>
      <c r="J223" s="232" t="s">
        <v>3941</v>
      </c>
      <c r="K223" s="161" t="s">
        <v>4539</v>
      </c>
      <c r="L223" s="240" t="s">
        <v>4540</v>
      </c>
      <c r="M223" s="240"/>
      <c r="N223" s="160" t="s">
        <v>4279</v>
      </c>
      <c r="O223" s="139" t="s">
        <v>3207</v>
      </c>
      <c r="P223" s="39" t="s">
        <v>542</v>
      </c>
      <c r="Q223" s="228" t="s">
        <v>3246</v>
      </c>
      <c r="R223" s="200" t="s">
        <v>3442</v>
      </c>
      <c r="S223" s="141" t="s">
        <v>3443</v>
      </c>
      <c r="T223" s="241"/>
    </row>
    <row r="224" spans="1:20" ht="58" customHeight="1">
      <c r="A224" s="230" t="s">
        <v>2437</v>
      </c>
      <c r="B224" s="41" t="s">
        <v>1541</v>
      </c>
      <c r="C224" s="40" t="s">
        <v>1533</v>
      </c>
      <c r="D224" s="40" t="s">
        <v>1493</v>
      </c>
      <c r="E224" s="199" t="s">
        <v>3805</v>
      </c>
      <c r="F224" s="199" t="s">
        <v>3351</v>
      </c>
      <c r="G224" s="243" t="s">
        <v>4580</v>
      </c>
      <c r="H224" s="41" t="s">
        <v>1522</v>
      </c>
      <c r="I224" s="246" t="s">
        <v>3036</v>
      </c>
      <c r="J224" s="232" t="s">
        <v>4088</v>
      </c>
      <c r="K224" s="161" t="s">
        <v>4525</v>
      </c>
      <c r="L224" s="240" t="s">
        <v>4526</v>
      </c>
      <c r="M224" s="240" t="s">
        <v>4527</v>
      </c>
      <c r="N224" s="160" t="s">
        <v>4279</v>
      </c>
      <c r="O224" s="139" t="s">
        <v>1491</v>
      </c>
      <c r="P224" s="39" t="s">
        <v>1492</v>
      </c>
      <c r="Q224" s="228" t="s">
        <v>3246</v>
      </c>
      <c r="R224" s="200" t="s">
        <v>3012</v>
      </c>
      <c r="S224" s="141" t="s">
        <v>1466</v>
      </c>
      <c r="T224" s="241"/>
    </row>
    <row r="225" spans="1:20" ht="58" customHeight="1">
      <c r="A225" s="230" t="s">
        <v>2437</v>
      </c>
      <c r="B225" s="41" t="s">
        <v>1541</v>
      </c>
      <c r="C225" s="40" t="s">
        <v>1533</v>
      </c>
      <c r="D225" s="40" t="s">
        <v>3275</v>
      </c>
      <c r="E225" s="199" t="s">
        <v>3276</v>
      </c>
      <c r="F225" s="199" t="s">
        <v>3277</v>
      </c>
      <c r="G225" s="243" t="s">
        <v>3278</v>
      </c>
      <c r="H225" s="41" t="s">
        <v>1522</v>
      </c>
      <c r="I225" s="246" t="s">
        <v>4500</v>
      </c>
      <c r="J225" s="232" t="s">
        <v>3926</v>
      </c>
      <c r="K225" s="161" t="s">
        <v>4293</v>
      </c>
      <c r="L225" s="240" t="s">
        <v>4422</v>
      </c>
      <c r="M225" s="240" t="s">
        <v>4423</v>
      </c>
      <c r="N225" s="160" t="s">
        <v>4279</v>
      </c>
      <c r="O225" s="139" t="s">
        <v>3279</v>
      </c>
      <c r="P225" s="39" t="s">
        <v>3280</v>
      </c>
      <c r="Q225" s="228" t="s">
        <v>3246</v>
      </c>
      <c r="R225" s="200" t="s">
        <v>3274</v>
      </c>
      <c r="S225" s="141" t="s">
        <v>3260</v>
      </c>
      <c r="T225" s="241"/>
    </row>
    <row r="226" spans="1:20" ht="58" customHeight="1">
      <c r="A226" s="230" t="s">
        <v>2437</v>
      </c>
      <c r="B226" s="41" t="s">
        <v>1541</v>
      </c>
      <c r="C226" s="40" t="s">
        <v>1533</v>
      </c>
      <c r="D226" s="40" t="s">
        <v>1485</v>
      </c>
      <c r="E226" s="199" t="s">
        <v>1486</v>
      </c>
      <c r="F226" s="199" t="s">
        <v>1487</v>
      </c>
      <c r="G226" s="243" t="s">
        <v>3030</v>
      </c>
      <c r="H226" s="41" t="s">
        <v>1522</v>
      </c>
      <c r="I226" s="246" t="s">
        <v>3036</v>
      </c>
      <c r="J226" s="232" t="s">
        <v>3927</v>
      </c>
      <c r="K226" s="161" t="s">
        <v>4557</v>
      </c>
      <c r="L226" s="240"/>
      <c r="M226" s="240"/>
      <c r="N226" s="160"/>
      <c r="O226" s="139" t="s">
        <v>1483</v>
      </c>
      <c r="P226" s="39" t="s">
        <v>1484</v>
      </c>
      <c r="Q226" s="228" t="s">
        <v>3246</v>
      </c>
      <c r="R226" s="200" t="s">
        <v>2944</v>
      </c>
      <c r="S226" s="141" t="s">
        <v>1466</v>
      </c>
      <c r="T226" s="241"/>
    </row>
    <row r="227" spans="1:20" ht="58" customHeight="1">
      <c r="A227" s="230" t="s">
        <v>2437</v>
      </c>
      <c r="B227" s="41" t="s">
        <v>1541</v>
      </c>
      <c r="C227" s="40" t="s">
        <v>1536</v>
      </c>
      <c r="D227" s="40" t="s">
        <v>4098</v>
      </c>
      <c r="E227" s="199" t="s">
        <v>4099</v>
      </c>
      <c r="F227" s="199" t="s">
        <v>4100</v>
      </c>
      <c r="G227" s="243" t="s">
        <v>4581</v>
      </c>
      <c r="H227" s="41" t="s">
        <v>1522</v>
      </c>
      <c r="I227" s="246" t="s">
        <v>4500</v>
      </c>
      <c r="J227" s="232" t="s">
        <v>4101</v>
      </c>
      <c r="K227" s="161" t="s">
        <v>4267</v>
      </c>
      <c r="L227" s="240" t="s">
        <v>4394</v>
      </c>
      <c r="M227" s="240" t="s">
        <v>4395</v>
      </c>
      <c r="N227" s="160" t="s">
        <v>4278</v>
      </c>
      <c r="O227" s="139" t="s">
        <v>4102</v>
      </c>
      <c r="P227" s="39" t="s">
        <v>4103</v>
      </c>
      <c r="Q227" s="228" t="s">
        <v>3246</v>
      </c>
      <c r="R227" s="200" t="s">
        <v>4104</v>
      </c>
      <c r="S227" s="141" t="s">
        <v>4105</v>
      </c>
      <c r="T227" s="241"/>
    </row>
    <row r="228" spans="1:20" ht="58" customHeight="1">
      <c r="A228" s="230" t="s">
        <v>2437</v>
      </c>
      <c r="B228" s="41" t="s">
        <v>1541</v>
      </c>
      <c r="C228" s="40" t="s">
        <v>1536</v>
      </c>
      <c r="D228" s="40" t="s">
        <v>4106</v>
      </c>
      <c r="E228" s="199" t="s">
        <v>4107</v>
      </c>
      <c r="F228" s="199" t="s">
        <v>4108</v>
      </c>
      <c r="G228" s="243" t="s">
        <v>4582</v>
      </c>
      <c r="H228" s="41" t="s">
        <v>1522</v>
      </c>
      <c r="I228" s="246" t="s">
        <v>4113</v>
      </c>
      <c r="J228" s="232" t="s">
        <v>4109</v>
      </c>
      <c r="K228" s="161" t="s">
        <v>4270</v>
      </c>
      <c r="L228" s="240" t="s">
        <v>4396</v>
      </c>
      <c r="M228" s="240" t="s">
        <v>4397</v>
      </c>
      <c r="N228" s="160" t="s">
        <v>4278</v>
      </c>
      <c r="O228" s="139" t="s">
        <v>4102</v>
      </c>
      <c r="P228" s="39" t="s">
        <v>4110</v>
      </c>
      <c r="Q228" s="228" t="s">
        <v>3246</v>
      </c>
      <c r="R228" s="200" t="s">
        <v>4111</v>
      </c>
      <c r="S228" s="141" t="s">
        <v>4105</v>
      </c>
      <c r="T228" s="241"/>
    </row>
    <row r="229" spans="1:20" ht="58" customHeight="1">
      <c r="A229" s="230" t="s">
        <v>2438</v>
      </c>
      <c r="B229" s="41" t="s">
        <v>1425</v>
      </c>
      <c r="C229" s="40" t="s">
        <v>1525</v>
      </c>
      <c r="D229" s="40" t="s">
        <v>467</v>
      </c>
      <c r="E229" s="199" t="s">
        <v>804</v>
      </c>
      <c r="F229" s="199" t="s">
        <v>468</v>
      </c>
      <c r="G229" s="243" t="s">
        <v>3030</v>
      </c>
      <c r="H229" s="41" t="s">
        <v>1522</v>
      </c>
      <c r="I229" s="246" t="s">
        <v>4113</v>
      </c>
      <c r="J229" s="232" t="s">
        <v>3930</v>
      </c>
      <c r="K229" s="161" t="s">
        <v>4282</v>
      </c>
      <c r="L229" s="240" t="s">
        <v>4400</v>
      </c>
      <c r="M229" s="240" t="s">
        <v>4401</v>
      </c>
      <c r="N229" s="160" t="s">
        <v>4278</v>
      </c>
      <c r="O229" s="139" t="s">
        <v>465</v>
      </c>
      <c r="P229" s="39" t="s">
        <v>466</v>
      </c>
      <c r="Q229" s="228" t="s">
        <v>3248</v>
      </c>
      <c r="R229" s="200" t="s">
        <v>2944</v>
      </c>
      <c r="S229" s="141" t="s">
        <v>440</v>
      </c>
      <c r="T229" s="241"/>
    </row>
    <row r="230" spans="1:20" ht="58" customHeight="1">
      <c r="A230" s="230" t="s">
        <v>2438</v>
      </c>
      <c r="B230" s="41" t="s">
        <v>1425</v>
      </c>
      <c r="C230" s="40" t="s">
        <v>1525</v>
      </c>
      <c r="D230" s="40" t="s">
        <v>475</v>
      </c>
      <c r="E230" s="199" t="s">
        <v>806</v>
      </c>
      <c r="F230" s="199" t="s">
        <v>476</v>
      </c>
      <c r="G230" s="243" t="s">
        <v>3030</v>
      </c>
      <c r="H230" s="41" t="s">
        <v>1522</v>
      </c>
      <c r="I230" s="246" t="s">
        <v>4113</v>
      </c>
      <c r="J230" s="232" t="s">
        <v>3932</v>
      </c>
      <c r="K230" s="161" t="s">
        <v>4294</v>
      </c>
      <c r="L230" s="240" t="s">
        <v>4424</v>
      </c>
      <c r="M230" s="240" t="s">
        <v>4425</v>
      </c>
      <c r="N230" s="160" t="s">
        <v>4279</v>
      </c>
      <c r="O230" s="139" t="s">
        <v>473</v>
      </c>
      <c r="P230" s="39" t="s">
        <v>474</v>
      </c>
      <c r="Q230" s="228" t="s">
        <v>3248</v>
      </c>
      <c r="R230" s="200" t="s">
        <v>2944</v>
      </c>
      <c r="S230" s="141" t="s">
        <v>440</v>
      </c>
      <c r="T230" s="241"/>
    </row>
    <row r="231" spans="1:20" ht="58" customHeight="1">
      <c r="A231" s="230" t="s">
        <v>2438</v>
      </c>
      <c r="B231" s="41" t="s">
        <v>1425</v>
      </c>
      <c r="C231" s="40" t="s">
        <v>1526</v>
      </c>
      <c r="D231" s="40" t="s">
        <v>457</v>
      </c>
      <c r="E231" s="199" t="s">
        <v>801</v>
      </c>
      <c r="F231" s="199" t="s">
        <v>458</v>
      </c>
      <c r="G231" s="243" t="s">
        <v>3026</v>
      </c>
      <c r="H231" s="41" t="s">
        <v>2</v>
      </c>
      <c r="I231" s="246" t="s">
        <v>3034</v>
      </c>
      <c r="J231" s="232" t="s">
        <v>3243</v>
      </c>
      <c r="K231" s="161"/>
      <c r="L231" s="240"/>
      <c r="M231" s="240"/>
      <c r="N231" s="160"/>
      <c r="O231" s="139" t="s">
        <v>455</v>
      </c>
      <c r="P231" s="39" t="s">
        <v>456</v>
      </c>
      <c r="Q231" s="228" t="s">
        <v>3248</v>
      </c>
      <c r="R231" s="200" t="s">
        <v>3002</v>
      </c>
      <c r="S231" s="141" t="s">
        <v>440</v>
      </c>
      <c r="T231" s="241"/>
    </row>
    <row r="232" spans="1:20" ht="58" customHeight="1">
      <c r="A232" s="230" t="s">
        <v>2438</v>
      </c>
      <c r="B232" s="41" t="s">
        <v>1425</v>
      </c>
      <c r="C232" s="40" t="s">
        <v>1526</v>
      </c>
      <c r="D232" s="40" t="s">
        <v>471</v>
      </c>
      <c r="E232" s="199" t="s">
        <v>805</v>
      </c>
      <c r="F232" s="199" t="s">
        <v>472</v>
      </c>
      <c r="G232" s="243" t="s">
        <v>3030</v>
      </c>
      <c r="H232" s="41" t="s">
        <v>1522</v>
      </c>
      <c r="I232" s="246" t="s">
        <v>3036</v>
      </c>
      <c r="J232" s="232" t="s">
        <v>3931</v>
      </c>
      <c r="K232" s="161" t="s">
        <v>4557</v>
      </c>
      <c r="L232" s="240"/>
      <c r="M232" s="240"/>
      <c r="N232" s="160"/>
      <c r="O232" s="139" t="s">
        <v>469</v>
      </c>
      <c r="P232" s="39" t="s">
        <v>470</v>
      </c>
      <c r="Q232" s="228" t="s">
        <v>3248</v>
      </c>
      <c r="R232" s="200" t="s">
        <v>2944</v>
      </c>
      <c r="S232" s="141" t="s">
        <v>440</v>
      </c>
      <c r="T232" s="241"/>
    </row>
    <row r="233" spans="1:20" ht="58" customHeight="1">
      <c r="A233" s="230" t="s">
        <v>2438</v>
      </c>
      <c r="B233" s="41" t="s">
        <v>1425</v>
      </c>
      <c r="C233" s="40" t="s">
        <v>1527</v>
      </c>
      <c r="D233" s="40" t="s">
        <v>2747</v>
      </c>
      <c r="E233" s="199" t="s">
        <v>2746</v>
      </c>
      <c r="F233" s="199" t="s">
        <v>4496</v>
      </c>
      <c r="G233" s="243" t="s">
        <v>4583</v>
      </c>
      <c r="H233" s="41" t="s">
        <v>2</v>
      </c>
      <c r="I233" s="246" t="s">
        <v>1539</v>
      </c>
      <c r="J233" s="232" t="s">
        <v>3243</v>
      </c>
      <c r="K233" s="161"/>
      <c r="L233" s="240"/>
      <c r="M233" s="240"/>
      <c r="N233" s="160"/>
      <c r="O233" s="139" t="s">
        <v>2748</v>
      </c>
      <c r="P233" s="39" t="s">
        <v>2749</v>
      </c>
      <c r="Q233" s="228" t="s">
        <v>3249</v>
      </c>
      <c r="R233" s="200" t="s">
        <v>4497</v>
      </c>
      <c r="S233" s="141" t="s">
        <v>2501</v>
      </c>
      <c r="T233" s="241"/>
    </row>
    <row r="234" spans="1:20" ht="58" customHeight="1">
      <c r="A234" s="230" t="s">
        <v>2438</v>
      </c>
      <c r="B234" s="41" t="s">
        <v>1425</v>
      </c>
      <c r="C234" s="40" t="s">
        <v>1527</v>
      </c>
      <c r="D234" s="40" t="s">
        <v>461</v>
      </c>
      <c r="E234" s="199" t="s">
        <v>802</v>
      </c>
      <c r="F234" s="199" t="s">
        <v>462</v>
      </c>
      <c r="G234" s="243" t="s">
        <v>3026</v>
      </c>
      <c r="H234" s="41" t="s">
        <v>2</v>
      </c>
      <c r="I234" s="246" t="s">
        <v>3034</v>
      </c>
      <c r="J234" s="232" t="s">
        <v>3243</v>
      </c>
      <c r="K234" s="161"/>
      <c r="L234" s="240"/>
      <c r="M234" s="240"/>
      <c r="N234" s="160"/>
      <c r="O234" s="139" t="s">
        <v>459</v>
      </c>
      <c r="P234" s="39" t="s">
        <v>460</v>
      </c>
      <c r="Q234" s="228" t="s">
        <v>3248</v>
      </c>
      <c r="R234" s="200" t="s">
        <v>3002</v>
      </c>
      <c r="S234" s="141" t="s">
        <v>447</v>
      </c>
      <c r="T234" s="241"/>
    </row>
    <row r="235" spans="1:20" ht="58" customHeight="1">
      <c r="A235" s="230" t="s">
        <v>2438</v>
      </c>
      <c r="B235" s="41" t="s">
        <v>1425</v>
      </c>
      <c r="C235" s="40" t="s">
        <v>1527</v>
      </c>
      <c r="D235" s="40" t="s">
        <v>4198</v>
      </c>
      <c r="E235" s="199" t="s">
        <v>803</v>
      </c>
      <c r="F235" s="199" t="s">
        <v>464</v>
      </c>
      <c r="G235" s="243" t="s">
        <v>3032</v>
      </c>
      <c r="H235" s="41" t="s">
        <v>1522</v>
      </c>
      <c r="I235" s="246" t="s">
        <v>4113</v>
      </c>
      <c r="J235" s="232" t="s">
        <v>3929</v>
      </c>
      <c r="K235" s="161" t="s">
        <v>4199</v>
      </c>
      <c r="L235" s="240" t="s">
        <v>4465</v>
      </c>
      <c r="M235" s="240" t="s">
        <v>4466</v>
      </c>
      <c r="N235" s="160" t="s">
        <v>4279</v>
      </c>
      <c r="O235" s="139" t="s">
        <v>463</v>
      </c>
      <c r="P235" s="39" t="s">
        <v>4197</v>
      </c>
      <c r="Q235" s="228" t="s">
        <v>3248</v>
      </c>
      <c r="R235" s="200" t="s">
        <v>3003</v>
      </c>
      <c r="S235" s="141" t="s">
        <v>440</v>
      </c>
      <c r="T235" s="241"/>
    </row>
    <row r="236" spans="1:20" ht="58" customHeight="1">
      <c r="A236" s="230" t="s">
        <v>2438</v>
      </c>
      <c r="B236" s="41" t="s">
        <v>1425</v>
      </c>
      <c r="C236" s="40" t="s">
        <v>1527</v>
      </c>
      <c r="D236" s="40" t="s">
        <v>4200</v>
      </c>
      <c r="E236" s="199" t="s">
        <v>803</v>
      </c>
      <c r="F236" s="199" t="s">
        <v>464</v>
      </c>
      <c r="G236" s="243" t="s">
        <v>3032</v>
      </c>
      <c r="H236" s="41" t="s">
        <v>1522</v>
      </c>
      <c r="I236" s="246" t="s">
        <v>4113</v>
      </c>
      <c r="J236" s="232" t="s">
        <v>3929</v>
      </c>
      <c r="K236" s="161" t="s">
        <v>4202</v>
      </c>
      <c r="L236" s="240" t="s">
        <v>4439</v>
      </c>
      <c r="M236" s="240" t="s">
        <v>4440</v>
      </c>
      <c r="N236" s="160" t="s">
        <v>4278</v>
      </c>
      <c r="O236" s="139" t="s">
        <v>463</v>
      </c>
      <c r="P236" s="39" t="s">
        <v>4201</v>
      </c>
      <c r="Q236" s="228" t="s">
        <v>3248</v>
      </c>
      <c r="R236" s="200" t="s">
        <v>3003</v>
      </c>
      <c r="S236" s="141" t="s">
        <v>440</v>
      </c>
      <c r="T236" s="241"/>
    </row>
    <row r="237" spans="1:20" ht="58" customHeight="1">
      <c r="A237" s="230" t="s">
        <v>2438</v>
      </c>
      <c r="B237" s="41" t="s">
        <v>1425</v>
      </c>
      <c r="C237" s="40" t="s">
        <v>1527</v>
      </c>
      <c r="D237" s="40" t="s">
        <v>479</v>
      </c>
      <c r="E237" s="199" t="s">
        <v>807</v>
      </c>
      <c r="F237" s="199" t="s">
        <v>480</v>
      </c>
      <c r="G237" s="243" t="s">
        <v>3026</v>
      </c>
      <c r="H237" s="41" t="s">
        <v>2</v>
      </c>
      <c r="I237" s="246" t="s">
        <v>3034</v>
      </c>
      <c r="J237" s="232" t="s">
        <v>3243</v>
      </c>
      <c r="K237" s="161"/>
      <c r="L237" s="240"/>
      <c r="M237" s="240"/>
      <c r="N237" s="160"/>
      <c r="O237" s="139" t="s">
        <v>477</v>
      </c>
      <c r="P237" s="39" t="s">
        <v>478</v>
      </c>
      <c r="Q237" s="228" t="s">
        <v>3248</v>
      </c>
      <c r="R237" s="200" t="s">
        <v>3002</v>
      </c>
      <c r="S237" s="141" t="s">
        <v>440</v>
      </c>
      <c r="T237" s="241"/>
    </row>
    <row r="238" spans="1:20" ht="58" customHeight="1">
      <c r="A238" s="230" t="s">
        <v>2438</v>
      </c>
      <c r="B238" s="41" t="s">
        <v>1425</v>
      </c>
      <c r="C238" s="40" t="s">
        <v>1529</v>
      </c>
      <c r="D238" s="40" t="s">
        <v>483</v>
      </c>
      <c r="E238" s="199" t="s">
        <v>808</v>
      </c>
      <c r="F238" s="199" t="s">
        <v>484</v>
      </c>
      <c r="G238" s="243" t="s">
        <v>3026</v>
      </c>
      <c r="H238" s="41" t="s">
        <v>2</v>
      </c>
      <c r="I238" s="246" t="s">
        <v>3034</v>
      </c>
      <c r="J238" s="232" t="s">
        <v>3243</v>
      </c>
      <c r="K238" s="161"/>
      <c r="L238" s="240"/>
      <c r="M238" s="240"/>
      <c r="N238" s="160"/>
      <c r="O238" s="139" t="s">
        <v>481</v>
      </c>
      <c r="P238" s="39" t="s">
        <v>482</v>
      </c>
      <c r="Q238" s="228" t="s">
        <v>3248</v>
      </c>
      <c r="R238" s="200" t="s">
        <v>3002</v>
      </c>
      <c r="S238" s="141" t="s">
        <v>440</v>
      </c>
      <c r="T238" s="241"/>
    </row>
    <row r="239" spans="1:20" ht="58" customHeight="1">
      <c r="A239" s="230" t="s">
        <v>2438</v>
      </c>
      <c r="B239" s="41" t="s">
        <v>1425</v>
      </c>
      <c r="C239" s="40" t="s">
        <v>1529</v>
      </c>
      <c r="D239" s="40" t="s">
        <v>487</v>
      </c>
      <c r="E239" s="199" t="s">
        <v>809</v>
      </c>
      <c r="F239" s="199" t="s">
        <v>488</v>
      </c>
      <c r="G239" s="243" t="s">
        <v>3032</v>
      </c>
      <c r="H239" s="41" t="s">
        <v>1522</v>
      </c>
      <c r="I239" s="246" t="s">
        <v>4500</v>
      </c>
      <c r="J239" s="232" t="s">
        <v>3933</v>
      </c>
      <c r="K239" s="161" t="s">
        <v>4253</v>
      </c>
      <c r="L239" s="240" t="s">
        <v>4342</v>
      </c>
      <c r="M239" s="240" t="s">
        <v>4343</v>
      </c>
      <c r="N239" s="160" t="s">
        <v>4278</v>
      </c>
      <c r="O239" s="139" t="s">
        <v>485</v>
      </c>
      <c r="P239" s="39" t="s">
        <v>486</v>
      </c>
      <c r="Q239" s="228" t="s">
        <v>3248</v>
      </c>
      <c r="R239" s="200" t="s">
        <v>3003</v>
      </c>
      <c r="S239" s="141" t="s">
        <v>440</v>
      </c>
      <c r="T239" s="241"/>
    </row>
    <row r="240" spans="1:20" ht="58" customHeight="1">
      <c r="A240" s="230" t="s">
        <v>2438</v>
      </c>
      <c r="B240" s="41" t="s">
        <v>1425</v>
      </c>
      <c r="C240" s="40" t="s">
        <v>1529</v>
      </c>
      <c r="D240" s="40" t="s">
        <v>4490</v>
      </c>
      <c r="E240" s="199" t="s">
        <v>4491</v>
      </c>
      <c r="F240" s="199" t="s">
        <v>4492</v>
      </c>
      <c r="G240" s="243" t="s">
        <v>4584</v>
      </c>
      <c r="H240" s="41" t="s">
        <v>2</v>
      </c>
      <c r="I240" s="246" t="s">
        <v>1539</v>
      </c>
      <c r="J240" s="232" t="s">
        <v>3243</v>
      </c>
      <c r="K240" s="161"/>
      <c r="L240" s="240"/>
      <c r="M240" s="240"/>
      <c r="N240" s="160"/>
      <c r="O240" s="139" t="s">
        <v>2745</v>
      </c>
      <c r="P240" s="39" t="s">
        <v>4493</v>
      </c>
      <c r="Q240" s="228" t="s">
        <v>3248</v>
      </c>
      <c r="R240" s="200" t="s">
        <v>4494</v>
      </c>
      <c r="S240" s="141" t="s">
        <v>4495</v>
      </c>
      <c r="T240" s="241"/>
    </row>
    <row r="241" spans="1:20" ht="58" customHeight="1">
      <c r="A241" s="230" t="s">
        <v>2438</v>
      </c>
      <c r="B241" s="41" t="s">
        <v>1425</v>
      </c>
      <c r="C241" s="40" t="s">
        <v>1537</v>
      </c>
      <c r="D241" s="40" t="s">
        <v>439</v>
      </c>
      <c r="E241" s="199" t="s">
        <v>799</v>
      </c>
      <c r="F241" s="199" t="s">
        <v>3316</v>
      </c>
      <c r="G241" s="243" t="s">
        <v>3317</v>
      </c>
      <c r="H241" s="41" t="s">
        <v>1521</v>
      </c>
      <c r="I241" s="246" t="s">
        <v>3038</v>
      </c>
      <c r="J241" s="232" t="s">
        <v>3243</v>
      </c>
      <c r="K241" s="161"/>
      <c r="L241" s="240"/>
      <c r="M241" s="240"/>
      <c r="N241" s="160"/>
      <c r="O241" s="139" t="s">
        <v>437</v>
      </c>
      <c r="P241" s="39" t="s">
        <v>438</v>
      </c>
      <c r="Q241" s="228" t="s">
        <v>3248</v>
      </c>
      <c r="R241" s="200" t="s">
        <v>2999</v>
      </c>
      <c r="S241" s="141" t="s">
        <v>440</v>
      </c>
      <c r="T241" s="241"/>
    </row>
    <row r="242" spans="1:20" ht="58" customHeight="1">
      <c r="A242" s="230" t="s">
        <v>2438</v>
      </c>
      <c r="B242" s="41" t="s">
        <v>1425</v>
      </c>
      <c r="C242" s="40" t="s">
        <v>1537</v>
      </c>
      <c r="D242" s="40" t="s">
        <v>498</v>
      </c>
      <c r="E242" s="199" t="s">
        <v>3819</v>
      </c>
      <c r="F242" s="199" t="s">
        <v>4299</v>
      </c>
      <c r="G242" s="243" t="s">
        <v>4585</v>
      </c>
      <c r="H242" s="41" t="s">
        <v>3</v>
      </c>
      <c r="I242" s="246" t="s">
        <v>3038</v>
      </c>
      <c r="J242" s="232" t="s">
        <v>3243</v>
      </c>
      <c r="K242" s="161"/>
      <c r="L242" s="240"/>
      <c r="M242" s="240"/>
      <c r="N242" s="160"/>
      <c r="O242" s="139" t="s">
        <v>496</v>
      </c>
      <c r="P242" s="39" t="s">
        <v>497</v>
      </c>
      <c r="Q242" s="228" t="s">
        <v>3248</v>
      </c>
      <c r="R242" s="200" t="s">
        <v>3005</v>
      </c>
      <c r="S242" s="141" t="s">
        <v>499</v>
      </c>
      <c r="T242" s="241"/>
    </row>
    <row r="243" spans="1:20" ht="58" customHeight="1">
      <c r="A243" s="230" t="s">
        <v>2438</v>
      </c>
      <c r="B243" s="41" t="s">
        <v>1425</v>
      </c>
      <c r="C243" s="40" t="s">
        <v>1537</v>
      </c>
      <c r="D243" s="40" t="s">
        <v>502</v>
      </c>
      <c r="E243" s="199" t="s">
        <v>812</v>
      </c>
      <c r="F243" s="199" t="s">
        <v>4485</v>
      </c>
      <c r="G243" s="243" t="s">
        <v>4586</v>
      </c>
      <c r="H243" s="41" t="s">
        <v>1522</v>
      </c>
      <c r="I243" s="246" t="s">
        <v>4484</v>
      </c>
      <c r="J243" s="232" t="s">
        <v>3934</v>
      </c>
      <c r="K243" s="161" t="s">
        <v>958</v>
      </c>
      <c r="L243" s="240"/>
      <c r="M243" s="240"/>
      <c r="N243" s="160"/>
      <c r="O243" s="139" t="s">
        <v>500</v>
      </c>
      <c r="P243" s="39" t="s">
        <v>501</v>
      </c>
      <c r="Q243" s="228" t="s">
        <v>3248</v>
      </c>
      <c r="R243" s="200" t="s">
        <v>2944</v>
      </c>
      <c r="S243" s="141" t="s">
        <v>440</v>
      </c>
      <c r="T243" s="241" t="s">
        <v>4486</v>
      </c>
    </row>
    <row r="244" spans="1:20" ht="58" customHeight="1">
      <c r="A244" s="230" t="s">
        <v>2438</v>
      </c>
      <c r="B244" s="41" t="s">
        <v>1425</v>
      </c>
      <c r="C244" s="40" t="s">
        <v>1537</v>
      </c>
      <c r="D244" s="40" t="s">
        <v>2742</v>
      </c>
      <c r="E244" s="199" t="s">
        <v>2741</v>
      </c>
      <c r="F244" s="199" t="s">
        <v>4478</v>
      </c>
      <c r="G244" s="243" t="s">
        <v>4479</v>
      </c>
      <c r="H244" s="41" t="s">
        <v>2</v>
      </c>
      <c r="I244" s="246" t="s">
        <v>1539</v>
      </c>
      <c r="J244" s="232" t="s">
        <v>3243</v>
      </c>
      <c r="K244" s="161"/>
      <c r="L244" s="240"/>
      <c r="M244" s="240"/>
      <c r="N244" s="160"/>
      <c r="O244" s="139" t="s">
        <v>2743</v>
      </c>
      <c r="P244" s="39" t="s">
        <v>4480</v>
      </c>
      <c r="Q244" s="228" t="s">
        <v>3248</v>
      </c>
      <c r="R244" s="200" t="s">
        <v>4481</v>
      </c>
      <c r="S244" s="141" t="s">
        <v>2744</v>
      </c>
      <c r="T244" s="241"/>
    </row>
    <row r="245" spans="1:20" ht="58" customHeight="1">
      <c r="A245" s="230" t="s">
        <v>2438</v>
      </c>
      <c r="B245" s="41" t="s">
        <v>1425</v>
      </c>
      <c r="C245" s="40" t="s">
        <v>1531</v>
      </c>
      <c r="D245" s="40" t="s">
        <v>443</v>
      </c>
      <c r="E245" s="199" t="s">
        <v>3820</v>
      </c>
      <c r="F245" s="199" t="s">
        <v>3944</v>
      </c>
      <c r="G245" s="243" t="s">
        <v>4587</v>
      </c>
      <c r="H245" s="41" t="s">
        <v>2</v>
      </c>
      <c r="I245" s="246" t="s">
        <v>3034</v>
      </c>
      <c r="J245" s="232" t="s">
        <v>3243</v>
      </c>
      <c r="K245" s="161"/>
      <c r="L245" s="240"/>
      <c r="M245" s="240"/>
      <c r="N245" s="160"/>
      <c r="O245" s="139" t="s">
        <v>441</v>
      </c>
      <c r="P245" s="39" t="s">
        <v>442</v>
      </c>
      <c r="Q245" s="228" t="s">
        <v>3248</v>
      </c>
      <c r="R245" s="200" t="s">
        <v>3000</v>
      </c>
      <c r="S245" s="141" t="s">
        <v>440</v>
      </c>
      <c r="T245" s="241"/>
    </row>
    <row r="246" spans="1:20" ht="58" customHeight="1">
      <c r="A246" s="230" t="s">
        <v>2438</v>
      </c>
      <c r="B246" s="41" t="s">
        <v>1425</v>
      </c>
      <c r="C246" s="40" t="s">
        <v>1531</v>
      </c>
      <c r="D246" s="40" t="s">
        <v>495</v>
      </c>
      <c r="E246" s="199" t="s">
        <v>811</v>
      </c>
      <c r="F246" s="199" t="s">
        <v>3345</v>
      </c>
      <c r="G246" s="243" t="s">
        <v>3346</v>
      </c>
      <c r="H246" s="41" t="s">
        <v>1521</v>
      </c>
      <c r="I246" s="246" t="s">
        <v>3038</v>
      </c>
      <c r="J246" s="232" t="s">
        <v>3243</v>
      </c>
      <c r="K246" s="161"/>
      <c r="L246" s="240"/>
      <c r="M246" s="240"/>
      <c r="N246" s="160"/>
      <c r="O246" s="139" t="s">
        <v>493</v>
      </c>
      <c r="P246" s="39" t="s">
        <v>494</v>
      </c>
      <c r="Q246" s="228" t="s">
        <v>3248</v>
      </c>
      <c r="R246" s="200" t="s">
        <v>3004</v>
      </c>
      <c r="S246" s="141" t="s">
        <v>440</v>
      </c>
      <c r="T246" s="241"/>
    </row>
    <row r="247" spans="1:20" ht="58" customHeight="1">
      <c r="A247" s="230" t="s">
        <v>2438</v>
      </c>
      <c r="B247" s="41" t="s">
        <v>1425</v>
      </c>
      <c r="C247" s="40" t="s">
        <v>1530</v>
      </c>
      <c r="D247" s="40" t="s">
        <v>450</v>
      </c>
      <c r="E247" s="199" t="s">
        <v>800</v>
      </c>
      <c r="F247" s="199" t="s">
        <v>451</v>
      </c>
      <c r="G247" s="243" t="s">
        <v>3029</v>
      </c>
      <c r="H247" s="41" t="s">
        <v>1522</v>
      </c>
      <c r="I247" s="246" t="s">
        <v>3036</v>
      </c>
      <c r="J247" s="232" t="s">
        <v>3935</v>
      </c>
      <c r="K247" s="161" t="s">
        <v>4244</v>
      </c>
      <c r="L247" s="240" t="s">
        <v>4316</v>
      </c>
      <c r="M247" s="240" t="s">
        <v>4317</v>
      </c>
      <c r="N247" s="160" t="s">
        <v>4278</v>
      </c>
      <c r="O247" s="139" t="s">
        <v>448</v>
      </c>
      <c r="P247" s="39" t="s">
        <v>449</v>
      </c>
      <c r="Q247" s="228" t="s">
        <v>3248</v>
      </c>
      <c r="R247" s="200" t="s">
        <v>2943</v>
      </c>
      <c r="S247" s="141" t="s">
        <v>440</v>
      </c>
      <c r="T247" s="241"/>
    </row>
    <row r="248" spans="1:20" ht="58" customHeight="1">
      <c r="A248" s="230" t="s">
        <v>2438</v>
      </c>
      <c r="B248" s="41" t="s">
        <v>1425</v>
      </c>
      <c r="C248" s="40" t="s">
        <v>1530</v>
      </c>
      <c r="D248" s="40" t="s">
        <v>454</v>
      </c>
      <c r="E248" s="199" t="s">
        <v>3821</v>
      </c>
      <c r="F248" s="199" t="s">
        <v>3344</v>
      </c>
      <c r="G248" s="243" t="s">
        <v>4588</v>
      </c>
      <c r="H248" s="41" t="s">
        <v>1522</v>
      </c>
      <c r="I248" s="246" t="s">
        <v>3036</v>
      </c>
      <c r="J248" s="232" t="s">
        <v>3956</v>
      </c>
      <c r="K248" s="161" t="s">
        <v>4269</v>
      </c>
      <c r="L248" s="240" t="s">
        <v>4663</v>
      </c>
      <c r="M248" s="240"/>
      <c r="N248" s="160" t="s">
        <v>4278</v>
      </c>
      <c r="O248" s="139" t="s">
        <v>452</v>
      </c>
      <c r="P248" s="39" t="s">
        <v>453</v>
      </c>
      <c r="Q248" s="228" t="s">
        <v>3248</v>
      </c>
      <c r="R248" s="200" t="s">
        <v>3001</v>
      </c>
      <c r="S248" s="141" t="s">
        <v>447</v>
      </c>
      <c r="T248" s="241" t="s">
        <v>3822</v>
      </c>
    </row>
    <row r="249" spans="1:20" ht="58" customHeight="1">
      <c r="A249" s="230" t="s">
        <v>2438</v>
      </c>
      <c r="B249" s="41" t="s">
        <v>1425</v>
      </c>
      <c r="C249" s="40" t="s">
        <v>1530</v>
      </c>
      <c r="D249" s="40" t="s">
        <v>491</v>
      </c>
      <c r="E249" s="199" t="s">
        <v>810</v>
      </c>
      <c r="F249" s="199" t="s">
        <v>492</v>
      </c>
      <c r="G249" s="243" t="s">
        <v>3026</v>
      </c>
      <c r="H249" s="41" t="s">
        <v>2</v>
      </c>
      <c r="I249" s="246" t="s">
        <v>3034</v>
      </c>
      <c r="J249" s="232" t="s">
        <v>3243</v>
      </c>
      <c r="K249" s="161"/>
      <c r="L249" s="240"/>
      <c r="M249" s="240"/>
      <c r="N249" s="160"/>
      <c r="O249" s="139" t="s">
        <v>489</v>
      </c>
      <c r="P249" s="39" t="s">
        <v>490</v>
      </c>
      <c r="Q249" s="228" t="s">
        <v>3248</v>
      </c>
      <c r="R249" s="200" t="s">
        <v>3002</v>
      </c>
      <c r="S249" s="141" t="s">
        <v>440</v>
      </c>
      <c r="T249" s="241"/>
    </row>
    <row r="250" spans="1:20" ht="58" customHeight="1">
      <c r="A250" s="230" t="s">
        <v>2438</v>
      </c>
      <c r="B250" s="41" t="s">
        <v>1425</v>
      </c>
      <c r="C250" s="40" t="s">
        <v>1534</v>
      </c>
      <c r="D250" s="40" t="s">
        <v>446</v>
      </c>
      <c r="E250" s="199" t="s">
        <v>3252</v>
      </c>
      <c r="F250" s="199" t="s">
        <v>4297</v>
      </c>
      <c r="G250" s="243" t="s">
        <v>4298</v>
      </c>
      <c r="H250" s="41" t="s">
        <v>1522</v>
      </c>
      <c r="I250" s="246" t="s">
        <v>3036</v>
      </c>
      <c r="J250" s="232" t="s">
        <v>3243</v>
      </c>
      <c r="K250" s="161" t="s">
        <v>4611</v>
      </c>
      <c r="L250" s="240" t="s">
        <v>4612</v>
      </c>
      <c r="M250" s="240"/>
      <c r="N250" s="160" t="s">
        <v>4280</v>
      </c>
      <c r="O250" s="139" t="s">
        <v>444</v>
      </c>
      <c r="P250" s="39" t="s">
        <v>445</v>
      </c>
      <c r="Q250" s="228" t="s">
        <v>3248</v>
      </c>
      <c r="R250" s="200" t="s">
        <v>3025</v>
      </c>
      <c r="S250" s="141" t="s">
        <v>447</v>
      </c>
      <c r="T250" s="241"/>
    </row>
    <row r="251" spans="1:20" ht="58" customHeight="1">
      <c r="A251" s="230" t="s">
        <v>2438</v>
      </c>
      <c r="B251" s="41" t="s">
        <v>1538</v>
      </c>
      <c r="C251" s="40" t="s">
        <v>1527</v>
      </c>
      <c r="D251" s="40" t="s">
        <v>512</v>
      </c>
      <c r="E251" s="199" t="s">
        <v>814</v>
      </c>
      <c r="F251" s="199" t="s">
        <v>3340</v>
      </c>
      <c r="G251" s="243" t="s">
        <v>4589</v>
      </c>
      <c r="H251" s="41" t="s">
        <v>3</v>
      </c>
      <c r="I251" s="246" t="s">
        <v>1539</v>
      </c>
      <c r="J251" s="232" t="s">
        <v>3243</v>
      </c>
      <c r="K251" s="161"/>
      <c r="L251" s="240"/>
      <c r="M251" s="240"/>
      <c r="N251" s="160"/>
      <c r="O251" s="139" t="s">
        <v>510</v>
      </c>
      <c r="P251" s="39" t="s">
        <v>511</v>
      </c>
      <c r="Q251" s="228" t="s">
        <v>3250</v>
      </c>
      <c r="R251" s="200" t="s">
        <v>3004</v>
      </c>
      <c r="S251" s="141" t="s">
        <v>506</v>
      </c>
      <c r="T251" s="241"/>
    </row>
    <row r="252" spans="1:20" ht="58" customHeight="1">
      <c r="A252" s="230" t="s">
        <v>2438</v>
      </c>
      <c r="B252" s="41" t="s">
        <v>1538</v>
      </c>
      <c r="C252" s="40" t="s">
        <v>1527</v>
      </c>
      <c r="D252" s="40" t="s">
        <v>509</v>
      </c>
      <c r="E252" s="199" t="s">
        <v>813</v>
      </c>
      <c r="F252" s="199" t="s">
        <v>3341</v>
      </c>
      <c r="G252" s="243" t="s">
        <v>3342</v>
      </c>
      <c r="H252" s="41" t="s">
        <v>3</v>
      </c>
      <c r="I252" s="246" t="s">
        <v>1539</v>
      </c>
      <c r="J252" s="232" t="s">
        <v>3243</v>
      </c>
      <c r="K252" s="161"/>
      <c r="L252" s="240"/>
      <c r="M252" s="240"/>
      <c r="N252" s="160"/>
      <c r="O252" s="139" t="s">
        <v>503</v>
      </c>
      <c r="P252" s="39" t="s">
        <v>508</v>
      </c>
      <c r="Q252" s="228" t="s">
        <v>3250</v>
      </c>
      <c r="R252" s="200" t="s">
        <v>3004</v>
      </c>
      <c r="S252" s="141" t="s">
        <v>506</v>
      </c>
      <c r="T252" s="241"/>
    </row>
    <row r="253" spans="1:20" ht="58" customHeight="1">
      <c r="A253" s="230" t="s">
        <v>2438</v>
      </c>
      <c r="B253" s="41" t="s">
        <v>1538</v>
      </c>
      <c r="C253" s="40" t="s">
        <v>1537</v>
      </c>
      <c r="D253" s="40" t="s">
        <v>516</v>
      </c>
      <c r="E253" s="199" t="s">
        <v>815</v>
      </c>
      <c r="F253" s="199" t="s">
        <v>4487</v>
      </c>
      <c r="G253" s="243" t="s">
        <v>4590</v>
      </c>
      <c r="H253" s="41" t="s">
        <v>1522</v>
      </c>
      <c r="I253" s="246" t="s">
        <v>4484</v>
      </c>
      <c r="J253" s="232" t="s">
        <v>3936</v>
      </c>
      <c r="K253" s="161" t="s">
        <v>958</v>
      </c>
      <c r="L253" s="240"/>
      <c r="M253" s="240"/>
      <c r="N253" s="160"/>
      <c r="O253" s="139" t="s">
        <v>514</v>
      </c>
      <c r="P253" s="39" t="s">
        <v>515</v>
      </c>
      <c r="Q253" s="228" t="s">
        <v>3250</v>
      </c>
      <c r="R253" s="200" t="s">
        <v>2944</v>
      </c>
      <c r="S253" s="141" t="s">
        <v>507</v>
      </c>
      <c r="T253" s="241" t="s">
        <v>4488</v>
      </c>
    </row>
    <row r="254" spans="1:20" ht="58" customHeight="1">
      <c r="A254" s="230" t="s">
        <v>2438</v>
      </c>
      <c r="B254" s="41" t="s">
        <v>1538</v>
      </c>
      <c r="C254" s="40" t="s">
        <v>1531</v>
      </c>
      <c r="D254" s="40" t="s">
        <v>505</v>
      </c>
      <c r="E254" s="199" t="s">
        <v>3818</v>
      </c>
      <c r="F254" s="199" t="s">
        <v>3343</v>
      </c>
      <c r="G254" s="243" t="s">
        <v>4591</v>
      </c>
      <c r="H254" s="41" t="s">
        <v>1521</v>
      </c>
      <c r="I254" s="246" t="s">
        <v>1539</v>
      </c>
      <c r="J254" s="232" t="s">
        <v>3243</v>
      </c>
      <c r="K254" s="161"/>
      <c r="L254" s="240"/>
      <c r="M254" s="240"/>
      <c r="N254" s="160"/>
      <c r="O254" s="139" t="s">
        <v>503</v>
      </c>
      <c r="P254" s="39" t="s">
        <v>504</v>
      </c>
      <c r="Q254" s="228" t="s">
        <v>3250</v>
      </c>
      <c r="R254" s="200" t="s">
        <v>3006</v>
      </c>
      <c r="S254" s="141" t="s">
        <v>506</v>
      </c>
      <c r="T254" s="241"/>
    </row>
    <row r="255" spans="1:20" ht="58" customHeight="1">
      <c r="A255" s="230" t="s">
        <v>2438</v>
      </c>
      <c r="B255" s="41" t="s">
        <v>1538</v>
      </c>
      <c r="C255" s="40" t="s">
        <v>1530</v>
      </c>
      <c r="D255" s="40" t="s">
        <v>521</v>
      </c>
      <c r="E255" s="199" t="s">
        <v>3823</v>
      </c>
      <c r="F255" s="199" t="s">
        <v>522</v>
      </c>
      <c r="G255" s="243" t="s">
        <v>4592</v>
      </c>
      <c r="H255" s="41" t="s">
        <v>1522</v>
      </c>
      <c r="I255" s="246" t="s">
        <v>3036</v>
      </c>
      <c r="J255" s="232" t="s">
        <v>3243</v>
      </c>
      <c r="K255" s="161" t="s">
        <v>4269</v>
      </c>
      <c r="L255" s="240" t="s">
        <v>4614</v>
      </c>
      <c r="M255" s="240"/>
      <c r="N255" s="160" t="s">
        <v>4278</v>
      </c>
      <c r="O255" s="139" t="s">
        <v>519</v>
      </c>
      <c r="P255" s="39" t="s">
        <v>520</v>
      </c>
      <c r="Q255" s="228" t="s">
        <v>3250</v>
      </c>
      <c r="R255" s="200" t="s">
        <v>3008</v>
      </c>
      <c r="S255" s="141" t="s">
        <v>507</v>
      </c>
      <c r="T255" s="241" t="s">
        <v>4092</v>
      </c>
    </row>
    <row r="256" spans="1:20" ht="58" customHeight="1">
      <c r="A256" s="230" t="s">
        <v>2438</v>
      </c>
      <c r="B256" s="41" t="s">
        <v>1538</v>
      </c>
      <c r="C256" s="40" t="s">
        <v>1534</v>
      </c>
      <c r="D256" s="40" t="s">
        <v>4204</v>
      </c>
      <c r="E256" s="199" t="s">
        <v>3817</v>
      </c>
      <c r="F256" s="199" t="s">
        <v>518</v>
      </c>
      <c r="G256" s="243" t="s">
        <v>3029</v>
      </c>
      <c r="H256" s="41" t="s">
        <v>1522</v>
      </c>
      <c r="I256" s="246" t="s">
        <v>3036</v>
      </c>
      <c r="J256" s="232" t="s">
        <v>3937</v>
      </c>
      <c r="K256" s="161" t="s">
        <v>4205</v>
      </c>
      <c r="L256" s="240" t="s">
        <v>4441</v>
      </c>
      <c r="M256" s="240" t="s">
        <v>4442</v>
      </c>
      <c r="N256" s="160" t="s">
        <v>4278</v>
      </c>
      <c r="O256" s="139" t="s">
        <v>517</v>
      </c>
      <c r="P256" s="39" t="s">
        <v>4203</v>
      </c>
      <c r="Q256" s="228" t="s">
        <v>3250</v>
      </c>
      <c r="R256" s="200" t="s">
        <v>3007</v>
      </c>
      <c r="S256" s="141" t="s">
        <v>507</v>
      </c>
      <c r="T256" s="241"/>
    </row>
    <row r="257" spans="1:20" ht="58" customHeight="1">
      <c r="A257" s="230" t="s">
        <v>2438</v>
      </c>
      <c r="B257" s="41" t="s">
        <v>1538</v>
      </c>
      <c r="C257" s="40" t="s">
        <v>1534</v>
      </c>
      <c r="D257" s="40" t="s">
        <v>4206</v>
      </c>
      <c r="E257" s="199" t="s">
        <v>3817</v>
      </c>
      <c r="F257" s="199" t="s">
        <v>518</v>
      </c>
      <c r="G257" s="243" t="s">
        <v>3029</v>
      </c>
      <c r="H257" s="41" t="s">
        <v>1522</v>
      </c>
      <c r="I257" s="246" t="s">
        <v>3036</v>
      </c>
      <c r="J257" s="232" t="s">
        <v>3937</v>
      </c>
      <c r="K257" s="161" t="s">
        <v>4208</v>
      </c>
      <c r="L257" s="240" t="s">
        <v>4467</v>
      </c>
      <c r="M257" s="240" t="s">
        <v>4468</v>
      </c>
      <c r="N257" s="160" t="s">
        <v>4279</v>
      </c>
      <c r="O257" s="139" t="s">
        <v>517</v>
      </c>
      <c r="P257" s="39" t="s">
        <v>4207</v>
      </c>
      <c r="Q257" s="228" t="s">
        <v>3250</v>
      </c>
      <c r="R257" s="200" t="s">
        <v>3007</v>
      </c>
      <c r="S257" s="141" t="s">
        <v>507</v>
      </c>
      <c r="T257" s="241"/>
    </row>
    <row r="258" spans="1:20" ht="58" customHeight="1">
      <c r="A258" s="230" t="s">
        <v>2438</v>
      </c>
      <c r="B258" s="41" t="s">
        <v>1538</v>
      </c>
      <c r="C258" s="40" t="s">
        <v>1534</v>
      </c>
      <c r="D258" s="40" t="s">
        <v>4209</v>
      </c>
      <c r="E258" s="199" t="s">
        <v>3817</v>
      </c>
      <c r="F258" s="199" t="s">
        <v>518</v>
      </c>
      <c r="G258" s="243" t="s">
        <v>3029</v>
      </c>
      <c r="H258" s="41" t="s">
        <v>1522</v>
      </c>
      <c r="I258" s="246" t="s">
        <v>3036</v>
      </c>
      <c r="J258" s="232" t="s">
        <v>3937</v>
      </c>
      <c r="K258" s="161" t="s">
        <v>4211</v>
      </c>
      <c r="L258" s="240" t="s">
        <v>4469</v>
      </c>
      <c r="M258" s="240" t="s">
        <v>4470</v>
      </c>
      <c r="N258" s="160" t="s">
        <v>4279</v>
      </c>
      <c r="O258" s="139" t="s">
        <v>517</v>
      </c>
      <c r="P258" s="39" t="s">
        <v>4210</v>
      </c>
      <c r="Q258" s="228" t="s">
        <v>3250</v>
      </c>
      <c r="R258" s="200" t="s">
        <v>3007</v>
      </c>
      <c r="S258" s="141" t="s">
        <v>507</v>
      </c>
      <c r="T258" s="241"/>
    </row>
    <row r="259" spans="1:20" ht="58" customHeight="1">
      <c r="A259" s="230" t="s">
        <v>2438</v>
      </c>
      <c r="B259" s="41" t="s">
        <v>1538</v>
      </c>
      <c r="C259" s="40" t="s">
        <v>1534</v>
      </c>
      <c r="D259" s="40" t="s">
        <v>525</v>
      </c>
      <c r="E259" s="199" t="s">
        <v>816</v>
      </c>
      <c r="F259" s="199" t="s">
        <v>526</v>
      </c>
      <c r="G259" s="243" t="s">
        <v>3027</v>
      </c>
      <c r="H259" s="41" t="s">
        <v>958</v>
      </c>
      <c r="I259" s="246" t="s">
        <v>3035</v>
      </c>
      <c r="J259" s="232" t="s">
        <v>3243</v>
      </c>
      <c r="K259" s="161"/>
      <c r="L259" s="240"/>
      <c r="M259" s="240"/>
      <c r="N259" s="160"/>
      <c r="O259" s="139" t="s">
        <v>523</v>
      </c>
      <c r="P259" s="39" t="s">
        <v>524</v>
      </c>
      <c r="Q259" s="228" t="s">
        <v>3250</v>
      </c>
      <c r="R259" s="200" t="s">
        <v>958</v>
      </c>
      <c r="S259" s="141" t="s">
        <v>507</v>
      </c>
      <c r="T259" s="241"/>
    </row>
    <row r="260" spans="1:20" ht="58" customHeight="1">
      <c r="A260" s="230" t="s">
        <v>2438</v>
      </c>
      <c r="B260" s="41" t="s">
        <v>1539</v>
      </c>
      <c r="C260" s="40" t="s">
        <v>1520</v>
      </c>
      <c r="D260" s="40" t="s">
        <v>532</v>
      </c>
      <c r="E260" s="199" t="s">
        <v>818</v>
      </c>
      <c r="F260" s="199" t="s">
        <v>3355</v>
      </c>
      <c r="G260" s="243" t="s">
        <v>3356</v>
      </c>
      <c r="H260" s="41" t="s">
        <v>3</v>
      </c>
      <c r="I260" s="246" t="s">
        <v>1539</v>
      </c>
      <c r="J260" s="232" t="s">
        <v>3243</v>
      </c>
      <c r="K260" s="161"/>
      <c r="L260" s="240"/>
      <c r="M260" s="240"/>
      <c r="N260" s="160"/>
      <c r="O260" s="139" t="s">
        <v>527</v>
      </c>
      <c r="P260" s="39" t="s">
        <v>531</v>
      </c>
      <c r="Q260" s="228" t="s">
        <v>3247</v>
      </c>
      <c r="R260" s="200" t="s">
        <v>3019</v>
      </c>
      <c r="S260" s="141" t="s">
        <v>533</v>
      </c>
      <c r="T260" s="241"/>
    </row>
    <row r="261" spans="1:20" ht="58" customHeight="1">
      <c r="A261" s="230" t="s">
        <v>2438</v>
      </c>
      <c r="B261" s="41" t="s">
        <v>1539</v>
      </c>
      <c r="C261" s="40" t="s">
        <v>1523</v>
      </c>
      <c r="D261" s="40" t="s">
        <v>537</v>
      </c>
      <c r="E261" s="199" t="s">
        <v>820</v>
      </c>
      <c r="F261" s="199" t="s">
        <v>3359</v>
      </c>
      <c r="G261" s="243" t="s">
        <v>3360</v>
      </c>
      <c r="H261" s="41" t="s">
        <v>958</v>
      </c>
      <c r="I261" s="246" t="s">
        <v>1539</v>
      </c>
      <c r="J261" s="232" t="s">
        <v>3243</v>
      </c>
      <c r="K261" s="161"/>
      <c r="L261" s="240"/>
      <c r="M261" s="240"/>
      <c r="N261" s="160"/>
      <c r="O261" s="139" t="s">
        <v>527</v>
      </c>
      <c r="P261" s="39" t="s">
        <v>536</v>
      </c>
      <c r="Q261" s="228" t="s">
        <v>3247</v>
      </c>
      <c r="R261" s="200" t="s">
        <v>3020</v>
      </c>
      <c r="S261" s="141" t="s">
        <v>530</v>
      </c>
      <c r="T261" s="241"/>
    </row>
    <row r="262" spans="1:20" ht="58" customHeight="1">
      <c r="A262" s="230" t="s">
        <v>2438</v>
      </c>
      <c r="B262" s="41" t="s">
        <v>1539</v>
      </c>
      <c r="C262" s="40" t="s">
        <v>1523</v>
      </c>
      <c r="D262" s="40" t="s">
        <v>539</v>
      </c>
      <c r="E262" s="199" t="s">
        <v>821</v>
      </c>
      <c r="F262" s="199" t="s">
        <v>3361</v>
      </c>
      <c r="G262" s="243" t="s">
        <v>4593</v>
      </c>
      <c r="H262" s="41" t="s">
        <v>3</v>
      </c>
      <c r="I262" s="246" t="s">
        <v>1539</v>
      </c>
      <c r="J262" s="232" t="s">
        <v>3243</v>
      </c>
      <c r="K262" s="161"/>
      <c r="L262" s="240"/>
      <c r="M262" s="240"/>
      <c r="N262" s="160"/>
      <c r="O262" s="139" t="s">
        <v>527</v>
      </c>
      <c r="P262" s="39" t="s">
        <v>538</v>
      </c>
      <c r="Q262" s="228" t="s">
        <v>3247</v>
      </c>
      <c r="R262" s="200"/>
      <c r="S262" s="141" t="s">
        <v>530</v>
      </c>
      <c r="T262" s="241"/>
    </row>
    <row r="263" spans="1:20" ht="58" customHeight="1">
      <c r="A263" s="230" t="s">
        <v>2438</v>
      </c>
      <c r="B263" s="41" t="s">
        <v>1539</v>
      </c>
      <c r="C263" s="40" t="s">
        <v>1523</v>
      </c>
      <c r="D263" s="40" t="s">
        <v>541</v>
      </c>
      <c r="E263" s="199" t="s">
        <v>822</v>
      </c>
      <c r="F263" s="199" t="s">
        <v>3362</v>
      </c>
      <c r="G263" s="243" t="s">
        <v>4594</v>
      </c>
      <c r="H263" s="41" t="s">
        <v>3</v>
      </c>
      <c r="I263" s="246" t="s">
        <v>1539</v>
      </c>
      <c r="J263" s="232" t="s">
        <v>3243</v>
      </c>
      <c r="K263" s="161"/>
      <c r="L263" s="240"/>
      <c r="M263" s="240"/>
      <c r="N263" s="160"/>
      <c r="O263" s="139" t="s">
        <v>527</v>
      </c>
      <c r="P263" s="39" t="s">
        <v>540</v>
      </c>
      <c r="Q263" s="228" t="s">
        <v>3247</v>
      </c>
      <c r="R263" s="200"/>
      <c r="S263" s="141" t="s">
        <v>530</v>
      </c>
      <c r="T263" s="241"/>
    </row>
    <row r="264" spans="1:20" ht="58" customHeight="1">
      <c r="A264" s="230" t="s">
        <v>2438</v>
      </c>
      <c r="B264" s="41" t="s">
        <v>1539</v>
      </c>
      <c r="C264" s="40" t="s">
        <v>1523</v>
      </c>
      <c r="D264" s="40" t="s">
        <v>584</v>
      </c>
      <c r="E264" s="199" t="s">
        <v>841</v>
      </c>
      <c r="F264" s="199" t="s">
        <v>3386</v>
      </c>
      <c r="G264" s="243" t="s">
        <v>3379</v>
      </c>
      <c r="H264" s="41" t="s">
        <v>3</v>
      </c>
      <c r="I264" s="246" t="s">
        <v>1539</v>
      </c>
      <c r="J264" s="232" t="s">
        <v>3243</v>
      </c>
      <c r="K264" s="161"/>
      <c r="L264" s="240"/>
      <c r="M264" s="240"/>
      <c r="N264" s="160"/>
      <c r="O264" s="139" t="s">
        <v>567</v>
      </c>
      <c r="P264" s="39" t="s">
        <v>583</v>
      </c>
      <c r="Q264" s="228" t="s">
        <v>3247</v>
      </c>
      <c r="R264" s="200"/>
      <c r="S264" s="141" t="s">
        <v>570</v>
      </c>
      <c r="T264" s="241"/>
    </row>
    <row r="265" spans="1:20" ht="58" customHeight="1">
      <c r="A265" s="230" t="s">
        <v>2438</v>
      </c>
      <c r="B265" s="41" t="s">
        <v>1539</v>
      </c>
      <c r="C265" s="40" t="s">
        <v>1523</v>
      </c>
      <c r="D265" s="40" t="s">
        <v>587</v>
      </c>
      <c r="E265" s="199" t="s">
        <v>842</v>
      </c>
      <c r="F265" s="199" t="s">
        <v>3387</v>
      </c>
      <c r="G265" s="243" t="s">
        <v>3379</v>
      </c>
      <c r="H265" s="41" t="s">
        <v>3</v>
      </c>
      <c r="I265" s="246" t="s">
        <v>1539</v>
      </c>
      <c r="J265" s="232" t="s">
        <v>3243</v>
      </c>
      <c r="K265" s="161"/>
      <c r="L265" s="240"/>
      <c r="M265" s="240"/>
      <c r="N265" s="160"/>
      <c r="O265" s="139" t="s">
        <v>585</v>
      </c>
      <c r="P265" s="39" t="s">
        <v>586</v>
      </c>
      <c r="Q265" s="228" t="s">
        <v>3247</v>
      </c>
      <c r="R265" s="200"/>
      <c r="S265" s="141" t="s">
        <v>588</v>
      </c>
      <c r="T265" s="241"/>
    </row>
    <row r="266" spans="1:20" ht="58" customHeight="1">
      <c r="A266" s="230" t="s">
        <v>2438</v>
      </c>
      <c r="B266" s="41" t="s">
        <v>1539</v>
      </c>
      <c r="C266" s="40" t="s">
        <v>1523</v>
      </c>
      <c r="D266" s="40" t="s">
        <v>606</v>
      </c>
      <c r="E266" s="199" t="s">
        <v>851</v>
      </c>
      <c r="F266" s="199" t="s">
        <v>3401</v>
      </c>
      <c r="G266" s="243" t="s">
        <v>3402</v>
      </c>
      <c r="H266" s="41" t="s">
        <v>958</v>
      </c>
      <c r="I266" s="246" t="s">
        <v>1539</v>
      </c>
      <c r="J266" s="232" t="s">
        <v>3243</v>
      </c>
      <c r="K266" s="161"/>
      <c r="L266" s="240"/>
      <c r="M266" s="240"/>
      <c r="N266" s="160"/>
      <c r="O266" s="139" t="s">
        <v>585</v>
      </c>
      <c r="P266" s="39" t="s">
        <v>605</v>
      </c>
      <c r="Q266" s="228" t="s">
        <v>3247</v>
      </c>
      <c r="R266" s="200"/>
      <c r="S266" s="141" t="s">
        <v>588</v>
      </c>
      <c r="T266" s="241"/>
    </row>
    <row r="267" spans="1:20" ht="58" customHeight="1">
      <c r="A267" s="230" t="s">
        <v>2438</v>
      </c>
      <c r="B267" s="41" t="s">
        <v>1539</v>
      </c>
      <c r="C267" s="40" t="s">
        <v>1523</v>
      </c>
      <c r="D267" s="40" t="s">
        <v>608</v>
      </c>
      <c r="E267" s="199" t="s">
        <v>852</v>
      </c>
      <c r="F267" s="199" t="s">
        <v>3403</v>
      </c>
      <c r="G267" s="243" t="s">
        <v>4595</v>
      </c>
      <c r="H267" s="41" t="s">
        <v>3</v>
      </c>
      <c r="I267" s="246" t="s">
        <v>1539</v>
      </c>
      <c r="J267" s="232" t="s">
        <v>3243</v>
      </c>
      <c r="K267" s="161"/>
      <c r="L267" s="240"/>
      <c r="M267" s="240"/>
      <c r="N267" s="160"/>
      <c r="O267" s="139" t="s">
        <v>585</v>
      </c>
      <c r="P267" s="39" t="s">
        <v>607</v>
      </c>
      <c r="Q267" s="228" t="s">
        <v>3247</v>
      </c>
      <c r="R267" s="200"/>
      <c r="S267" s="141" t="s">
        <v>588</v>
      </c>
      <c r="T267" s="241"/>
    </row>
    <row r="268" spans="1:20" ht="58" customHeight="1">
      <c r="A268" s="230" t="s">
        <v>2438</v>
      </c>
      <c r="B268" s="41" t="s">
        <v>1539</v>
      </c>
      <c r="C268" s="40" t="s">
        <v>1524</v>
      </c>
      <c r="D268" s="40" t="s">
        <v>590</v>
      </c>
      <c r="E268" s="199" t="s">
        <v>843</v>
      </c>
      <c r="F268" s="199" t="s">
        <v>3388</v>
      </c>
      <c r="G268" s="243" t="s">
        <v>3389</v>
      </c>
      <c r="H268" s="41" t="s">
        <v>3</v>
      </c>
      <c r="I268" s="246" t="s">
        <v>1539</v>
      </c>
      <c r="J268" s="232" t="s">
        <v>3243</v>
      </c>
      <c r="K268" s="161"/>
      <c r="L268" s="240"/>
      <c r="M268" s="240"/>
      <c r="N268" s="160"/>
      <c r="O268" s="139" t="s">
        <v>585</v>
      </c>
      <c r="P268" s="39" t="s">
        <v>589</v>
      </c>
      <c r="Q268" s="228" t="s">
        <v>3247</v>
      </c>
      <c r="R268" s="200"/>
      <c r="S268" s="141" t="s">
        <v>588</v>
      </c>
      <c r="T268" s="241"/>
    </row>
    <row r="269" spans="1:20" ht="58" customHeight="1">
      <c r="A269" s="230" t="s">
        <v>2438</v>
      </c>
      <c r="B269" s="41" t="s">
        <v>1539</v>
      </c>
      <c r="C269" s="40" t="s">
        <v>1526</v>
      </c>
      <c r="D269" s="40" t="s">
        <v>616</v>
      </c>
      <c r="E269" s="199" t="s">
        <v>856</v>
      </c>
      <c r="F269" s="199" t="s">
        <v>3407</v>
      </c>
      <c r="G269" s="243" t="s">
        <v>4596</v>
      </c>
      <c r="H269" s="41" t="s">
        <v>3</v>
      </c>
      <c r="I269" s="246" t="s">
        <v>1539</v>
      </c>
      <c r="J269" s="232" t="s">
        <v>3243</v>
      </c>
      <c r="K269" s="161"/>
      <c r="L269" s="240"/>
      <c r="M269" s="240"/>
      <c r="N269" s="160"/>
      <c r="O269" s="139" t="s">
        <v>585</v>
      </c>
      <c r="P269" s="39" t="s">
        <v>615</v>
      </c>
      <c r="Q269" s="228" t="s">
        <v>3247</v>
      </c>
      <c r="R269" s="200"/>
      <c r="S269" s="141" t="s">
        <v>588</v>
      </c>
      <c r="T269" s="241"/>
    </row>
    <row r="270" spans="1:20" ht="58" customHeight="1">
      <c r="A270" s="230" t="s">
        <v>2438</v>
      </c>
      <c r="B270" s="41" t="s">
        <v>1539</v>
      </c>
      <c r="C270" s="40" t="s">
        <v>1527</v>
      </c>
      <c r="D270" s="40" t="s">
        <v>535</v>
      </c>
      <c r="E270" s="199" t="s">
        <v>819</v>
      </c>
      <c r="F270" s="199" t="s">
        <v>3357</v>
      </c>
      <c r="G270" s="243" t="s">
        <v>3358</v>
      </c>
      <c r="H270" s="41" t="s">
        <v>3</v>
      </c>
      <c r="I270" s="246" t="s">
        <v>1539</v>
      </c>
      <c r="J270" s="232" t="s">
        <v>3243</v>
      </c>
      <c r="K270" s="161"/>
      <c r="L270" s="240"/>
      <c r="M270" s="240"/>
      <c r="N270" s="160"/>
      <c r="O270" s="139" t="s">
        <v>527</v>
      </c>
      <c r="P270" s="39" t="s">
        <v>534</v>
      </c>
      <c r="Q270" s="228" t="s">
        <v>3247</v>
      </c>
      <c r="R270" s="200"/>
      <c r="S270" s="141" t="s">
        <v>530</v>
      </c>
      <c r="T270" s="241"/>
    </row>
    <row r="271" spans="1:20" ht="58" customHeight="1">
      <c r="A271" s="230" t="s">
        <v>2438</v>
      </c>
      <c r="B271" s="41" t="s">
        <v>1539</v>
      </c>
      <c r="C271" s="40" t="s">
        <v>1527</v>
      </c>
      <c r="D271" s="40" t="s">
        <v>592</v>
      </c>
      <c r="E271" s="199" t="s">
        <v>844</v>
      </c>
      <c r="F271" s="199" t="s">
        <v>3390</v>
      </c>
      <c r="G271" s="243" t="s">
        <v>3379</v>
      </c>
      <c r="H271" s="41" t="s">
        <v>2</v>
      </c>
      <c r="I271" s="246" t="s">
        <v>3034</v>
      </c>
      <c r="J271" s="232" t="s">
        <v>3243</v>
      </c>
      <c r="K271" s="161"/>
      <c r="L271" s="240"/>
      <c r="M271" s="240"/>
      <c r="N271" s="160"/>
      <c r="O271" s="139" t="s">
        <v>585</v>
      </c>
      <c r="P271" s="39" t="s">
        <v>591</v>
      </c>
      <c r="Q271" s="228" t="s">
        <v>3247</v>
      </c>
      <c r="R271" s="200" t="s">
        <v>5325</v>
      </c>
      <c r="S271" s="141" t="s">
        <v>588</v>
      </c>
      <c r="T271" s="241"/>
    </row>
    <row r="272" spans="1:20" ht="58" customHeight="1">
      <c r="A272" s="230" t="s">
        <v>2438</v>
      </c>
      <c r="B272" s="41" t="s">
        <v>1539</v>
      </c>
      <c r="C272" s="40" t="s">
        <v>1527</v>
      </c>
      <c r="D272" s="40" t="s">
        <v>594</v>
      </c>
      <c r="E272" s="199" t="s">
        <v>845</v>
      </c>
      <c r="F272" s="199" t="s">
        <v>3391</v>
      </c>
      <c r="G272" s="243" t="s">
        <v>4597</v>
      </c>
      <c r="H272" s="41" t="s">
        <v>2</v>
      </c>
      <c r="I272" s="246" t="s">
        <v>3034</v>
      </c>
      <c r="J272" s="232" t="s">
        <v>3243</v>
      </c>
      <c r="K272" s="161"/>
      <c r="L272" s="240"/>
      <c r="M272" s="240"/>
      <c r="N272" s="160"/>
      <c r="O272" s="139" t="s">
        <v>585</v>
      </c>
      <c r="P272" s="39" t="s">
        <v>593</v>
      </c>
      <c r="Q272" s="228" t="s">
        <v>3247</v>
      </c>
      <c r="R272" s="200" t="s">
        <v>5325</v>
      </c>
      <c r="S272" s="141" t="s">
        <v>588</v>
      </c>
      <c r="T272" s="241"/>
    </row>
    <row r="273" spans="1:20" ht="58" customHeight="1">
      <c r="A273" s="230" t="s">
        <v>2438</v>
      </c>
      <c r="B273" s="41" t="s">
        <v>1539</v>
      </c>
      <c r="C273" s="40" t="s">
        <v>1527</v>
      </c>
      <c r="D273" s="40" t="s">
        <v>602</v>
      </c>
      <c r="E273" s="199" t="s">
        <v>849</v>
      </c>
      <c r="F273" s="199" t="s">
        <v>3397</v>
      </c>
      <c r="G273" s="243" t="s">
        <v>3398</v>
      </c>
      <c r="H273" s="41" t="s">
        <v>3</v>
      </c>
      <c r="I273" s="246" t="s">
        <v>1539</v>
      </c>
      <c r="J273" s="232" t="s">
        <v>3243</v>
      </c>
      <c r="K273" s="161"/>
      <c r="L273" s="240"/>
      <c r="M273" s="240"/>
      <c r="N273" s="160"/>
      <c r="O273" s="139" t="s">
        <v>585</v>
      </c>
      <c r="P273" s="39" t="s">
        <v>601</v>
      </c>
      <c r="Q273" s="228" t="s">
        <v>3247</v>
      </c>
      <c r="R273" s="200"/>
      <c r="S273" s="141" t="s">
        <v>588</v>
      </c>
      <c r="T273" s="241"/>
    </row>
    <row r="274" spans="1:20" ht="58" customHeight="1">
      <c r="A274" s="230" t="s">
        <v>2438</v>
      </c>
      <c r="B274" s="41" t="s">
        <v>1539</v>
      </c>
      <c r="C274" s="40" t="s">
        <v>1527</v>
      </c>
      <c r="D274" s="40" t="s">
        <v>621</v>
      </c>
      <c r="E274" s="199" t="s">
        <v>858</v>
      </c>
      <c r="F274" s="199" t="s">
        <v>3410</v>
      </c>
      <c r="G274" s="243" t="s">
        <v>3411</v>
      </c>
      <c r="H274" s="41" t="s">
        <v>3</v>
      </c>
      <c r="I274" s="246" t="s">
        <v>1539</v>
      </c>
      <c r="J274" s="232" t="s">
        <v>3243</v>
      </c>
      <c r="K274" s="161"/>
      <c r="L274" s="240"/>
      <c r="M274" s="240"/>
      <c r="N274" s="160"/>
      <c r="O274" s="139" t="s">
        <v>585</v>
      </c>
      <c r="P274" s="39" t="s">
        <v>620</v>
      </c>
      <c r="Q274" s="228" t="s">
        <v>3247</v>
      </c>
      <c r="R274" s="200"/>
      <c r="S274" s="141" t="s">
        <v>588</v>
      </c>
      <c r="T274" s="241"/>
    </row>
    <row r="275" spans="1:20" ht="58" customHeight="1">
      <c r="A275" s="230" t="s">
        <v>2438</v>
      </c>
      <c r="B275" s="41" t="s">
        <v>1539</v>
      </c>
      <c r="C275" s="40" t="s">
        <v>1529</v>
      </c>
      <c r="D275" s="40" t="s">
        <v>547</v>
      </c>
      <c r="E275" s="199" t="s">
        <v>825</v>
      </c>
      <c r="F275" s="199" t="s">
        <v>3366</v>
      </c>
      <c r="G275" s="243" t="s">
        <v>4598</v>
      </c>
      <c r="H275" s="41" t="s">
        <v>3</v>
      </c>
      <c r="I275" s="246" t="s">
        <v>1539</v>
      </c>
      <c r="J275" s="232" t="s">
        <v>3243</v>
      </c>
      <c r="K275" s="161"/>
      <c r="L275" s="240"/>
      <c r="M275" s="240"/>
      <c r="N275" s="160"/>
      <c r="O275" s="139" t="s">
        <v>527</v>
      </c>
      <c r="P275" s="39" t="s">
        <v>546</v>
      </c>
      <c r="Q275" s="228" t="s">
        <v>3247</v>
      </c>
      <c r="R275" s="200"/>
      <c r="S275" s="141" t="s">
        <v>530</v>
      </c>
      <c r="T275" s="241"/>
    </row>
    <row r="276" spans="1:20" ht="58" customHeight="1">
      <c r="A276" s="230" t="s">
        <v>2438</v>
      </c>
      <c r="B276" s="41" t="s">
        <v>1539</v>
      </c>
      <c r="C276" s="40" t="s">
        <v>1529</v>
      </c>
      <c r="D276" s="40" t="s">
        <v>553</v>
      </c>
      <c r="E276" s="199" t="s">
        <v>828</v>
      </c>
      <c r="F276" s="199" t="s">
        <v>3369</v>
      </c>
      <c r="G276" s="243" t="s">
        <v>3370</v>
      </c>
      <c r="H276" s="41" t="s">
        <v>3</v>
      </c>
      <c r="I276" s="246" t="s">
        <v>1539</v>
      </c>
      <c r="J276" s="232" t="s">
        <v>3243</v>
      </c>
      <c r="K276" s="161"/>
      <c r="L276" s="240"/>
      <c r="M276" s="240"/>
      <c r="N276" s="160"/>
      <c r="O276" s="139" t="s">
        <v>527</v>
      </c>
      <c r="P276" s="39" t="s">
        <v>552</v>
      </c>
      <c r="Q276" s="228" t="s">
        <v>3247</v>
      </c>
      <c r="R276" s="200"/>
      <c r="S276" s="141" t="s">
        <v>554</v>
      </c>
      <c r="T276" s="241"/>
    </row>
    <row r="277" spans="1:20" ht="58" customHeight="1">
      <c r="A277" s="230" t="s">
        <v>2438</v>
      </c>
      <c r="B277" s="41" t="s">
        <v>1539</v>
      </c>
      <c r="C277" s="40" t="s">
        <v>1529</v>
      </c>
      <c r="D277" s="40" t="s">
        <v>596</v>
      </c>
      <c r="E277" s="199" t="s">
        <v>846</v>
      </c>
      <c r="F277" s="199" t="s">
        <v>3392</v>
      </c>
      <c r="G277" s="243" t="s">
        <v>3393</v>
      </c>
      <c r="H277" s="41" t="s">
        <v>3</v>
      </c>
      <c r="I277" s="246" t="s">
        <v>1539</v>
      </c>
      <c r="J277" s="232" t="s">
        <v>3243</v>
      </c>
      <c r="K277" s="161"/>
      <c r="L277" s="240"/>
      <c r="M277" s="240"/>
      <c r="N277" s="160"/>
      <c r="O277" s="139" t="s">
        <v>585</v>
      </c>
      <c r="P277" s="39" t="s">
        <v>595</v>
      </c>
      <c r="Q277" s="228" t="s">
        <v>3247</v>
      </c>
      <c r="R277" s="200"/>
      <c r="S277" s="141" t="s">
        <v>588</v>
      </c>
      <c r="T277" s="241"/>
    </row>
    <row r="278" spans="1:20" ht="58" customHeight="1">
      <c r="A278" s="230" t="s">
        <v>2438</v>
      </c>
      <c r="B278" s="41" t="s">
        <v>1539</v>
      </c>
      <c r="C278" s="40" t="s">
        <v>1529</v>
      </c>
      <c r="D278" s="40" t="s">
        <v>604</v>
      </c>
      <c r="E278" s="199" t="s">
        <v>850</v>
      </c>
      <c r="F278" s="199" t="s">
        <v>3399</v>
      </c>
      <c r="G278" s="243" t="s">
        <v>3400</v>
      </c>
      <c r="H278" s="41" t="s">
        <v>3</v>
      </c>
      <c r="I278" s="246" t="s">
        <v>1539</v>
      </c>
      <c r="J278" s="232" t="s">
        <v>3243</v>
      </c>
      <c r="K278" s="161"/>
      <c r="L278" s="240"/>
      <c r="M278" s="240"/>
      <c r="N278" s="160"/>
      <c r="O278" s="139" t="s">
        <v>585</v>
      </c>
      <c r="P278" s="39" t="s">
        <v>603</v>
      </c>
      <c r="Q278" s="228" t="s">
        <v>3247</v>
      </c>
      <c r="R278" s="200"/>
      <c r="S278" s="141" t="s">
        <v>588</v>
      </c>
      <c r="T278" s="241"/>
    </row>
    <row r="279" spans="1:20" ht="58" customHeight="1">
      <c r="A279" s="230" t="s">
        <v>2438</v>
      </c>
      <c r="B279" s="41" t="s">
        <v>1539</v>
      </c>
      <c r="C279" s="40" t="s">
        <v>1529</v>
      </c>
      <c r="D279" s="40" t="s">
        <v>618</v>
      </c>
      <c r="E279" s="199" t="s">
        <v>857</v>
      </c>
      <c r="F279" s="199" t="s">
        <v>3408</v>
      </c>
      <c r="G279" s="243" t="s">
        <v>3409</v>
      </c>
      <c r="H279" s="41" t="s">
        <v>3</v>
      </c>
      <c r="I279" s="246" t="s">
        <v>1539</v>
      </c>
      <c r="J279" s="232" t="s">
        <v>3243</v>
      </c>
      <c r="K279" s="161"/>
      <c r="L279" s="240"/>
      <c r="M279" s="240"/>
      <c r="N279" s="160"/>
      <c r="O279" s="139" t="s">
        <v>585</v>
      </c>
      <c r="P279" s="39" t="s">
        <v>617</v>
      </c>
      <c r="Q279" s="228" t="s">
        <v>3247</v>
      </c>
      <c r="R279" s="200"/>
      <c r="S279" s="141" t="s">
        <v>619</v>
      </c>
      <c r="T279" s="241"/>
    </row>
    <row r="280" spans="1:20" ht="58" customHeight="1">
      <c r="A280" s="230" t="s">
        <v>2438</v>
      </c>
      <c r="B280" s="41" t="s">
        <v>1539</v>
      </c>
      <c r="C280" s="40" t="s">
        <v>1537</v>
      </c>
      <c r="D280" s="40" t="s">
        <v>557</v>
      </c>
      <c r="E280" s="199" t="s">
        <v>829</v>
      </c>
      <c r="F280" s="199" t="s">
        <v>3371</v>
      </c>
      <c r="G280" s="243" t="s">
        <v>4639</v>
      </c>
      <c r="H280" s="41" t="s">
        <v>3</v>
      </c>
      <c r="I280" s="246" t="s">
        <v>1539</v>
      </c>
      <c r="J280" s="232" t="s">
        <v>3243</v>
      </c>
      <c r="K280" s="161"/>
      <c r="L280" s="240"/>
      <c r="M280" s="240"/>
      <c r="N280" s="160"/>
      <c r="O280" s="139" t="s">
        <v>555</v>
      </c>
      <c r="P280" s="39" t="s">
        <v>556</v>
      </c>
      <c r="Q280" s="228" t="s">
        <v>3247</v>
      </c>
      <c r="R280" s="200"/>
      <c r="S280" s="141" t="s">
        <v>558</v>
      </c>
      <c r="T280" s="241" t="s">
        <v>4640</v>
      </c>
    </row>
    <row r="281" spans="1:20" ht="58" customHeight="1">
      <c r="A281" s="230" t="s">
        <v>2438</v>
      </c>
      <c r="B281" s="41" t="s">
        <v>1539</v>
      </c>
      <c r="C281" s="40" t="s">
        <v>1537</v>
      </c>
      <c r="D281" s="40" t="s">
        <v>560</v>
      </c>
      <c r="E281" s="199" t="s">
        <v>830</v>
      </c>
      <c r="F281" s="199" t="s">
        <v>3372</v>
      </c>
      <c r="G281" s="243" t="s">
        <v>4599</v>
      </c>
      <c r="H281" s="41" t="s">
        <v>3</v>
      </c>
      <c r="I281" s="246" t="s">
        <v>1539</v>
      </c>
      <c r="J281" s="232" t="s">
        <v>3243</v>
      </c>
      <c r="K281" s="161"/>
      <c r="L281" s="240"/>
      <c r="M281" s="240"/>
      <c r="N281" s="160"/>
      <c r="O281" s="139" t="s">
        <v>555</v>
      </c>
      <c r="P281" s="39" t="s">
        <v>559</v>
      </c>
      <c r="Q281" s="228" t="s">
        <v>3247</v>
      </c>
      <c r="R281" s="200"/>
      <c r="S281" s="141" t="s">
        <v>558</v>
      </c>
      <c r="T281" s="241"/>
    </row>
    <row r="282" spans="1:20" ht="58" customHeight="1">
      <c r="A282" s="230" t="s">
        <v>2438</v>
      </c>
      <c r="B282" s="41" t="s">
        <v>1539</v>
      </c>
      <c r="C282" s="40" t="s">
        <v>1537</v>
      </c>
      <c r="D282" s="40" t="s">
        <v>562</v>
      </c>
      <c r="E282" s="199" t="s">
        <v>831</v>
      </c>
      <c r="F282" s="199" t="s">
        <v>3373</v>
      </c>
      <c r="G282" s="243" t="s">
        <v>4641</v>
      </c>
      <c r="H282" s="41" t="s">
        <v>3</v>
      </c>
      <c r="I282" s="246" t="s">
        <v>1539</v>
      </c>
      <c r="J282" s="232" t="s">
        <v>3243</v>
      </c>
      <c r="K282" s="161"/>
      <c r="L282" s="240"/>
      <c r="M282" s="240"/>
      <c r="N282" s="160"/>
      <c r="O282" s="139" t="s">
        <v>555</v>
      </c>
      <c r="P282" s="39" t="s">
        <v>561</v>
      </c>
      <c r="Q282" s="228" t="s">
        <v>3247</v>
      </c>
      <c r="R282" s="200"/>
      <c r="S282" s="141" t="s">
        <v>558</v>
      </c>
      <c r="T282" s="241" t="s">
        <v>4642</v>
      </c>
    </row>
    <row r="283" spans="1:20" ht="58" customHeight="1">
      <c r="A283" s="230" t="s">
        <v>2438</v>
      </c>
      <c r="B283" s="41" t="s">
        <v>1539</v>
      </c>
      <c r="C283" s="40" t="s">
        <v>1537</v>
      </c>
      <c r="D283" s="40" t="s">
        <v>564</v>
      </c>
      <c r="E283" s="199" t="s">
        <v>832</v>
      </c>
      <c r="F283" s="199" t="s">
        <v>3374</v>
      </c>
      <c r="G283" s="243" t="s">
        <v>4600</v>
      </c>
      <c r="H283" s="41" t="s">
        <v>3</v>
      </c>
      <c r="I283" s="246" t="s">
        <v>1539</v>
      </c>
      <c r="J283" s="232" t="s">
        <v>3243</v>
      </c>
      <c r="K283" s="161"/>
      <c r="L283" s="240"/>
      <c r="M283" s="240"/>
      <c r="N283" s="160"/>
      <c r="O283" s="139" t="s">
        <v>555</v>
      </c>
      <c r="P283" s="39" t="s">
        <v>563</v>
      </c>
      <c r="Q283" s="228" t="s">
        <v>3247</v>
      </c>
      <c r="R283" s="200"/>
      <c r="S283" s="141" t="s">
        <v>558</v>
      </c>
      <c r="T283" s="241"/>
    </row>
    <row r="284" spans="1:20" ht="58" customHeight="1">
      <c r="A284" s="231" t="s">
        <v>2438</v>
      </c>
      <c r="B284" s="45" t="s">
        <v>1539</v>
      </c>
      <c r="C284" s="44" t="s">
        <v>1537</v>
      </c>
      <c r="D284" s="44" t="s">
        <v>566</v>
      </c>
      <c r="E284" s="244" t="s">
        <v>833</v>
      </c>
      <c r="F284" s="244" t="s">
        <v>3375</v>
      </c>
      <c r="G284" s="245" t="s">
        <v>4601</v>
      </c>
      <c r="H284" s="45" t="s">
        <v>3</v>
      </c>
      <c r="I284" s="247" t="s">
        <v>1539</v>
      </c>
      <c r="J284" s="233" t="s">
        <v>3243</v>
      </c>
      <c r="K284" s="161"/>
      <c r="L284" s="240"/>
      <c r="M284" s="240"/>
      <c r="N284" s="160"/>
      <c r="O284" s="140" t="s">
        <v>555</v>
      </c>
      <c r="P284" s="43" t="s">
        <v>565</v>
      </c>
      <c r="Q284" s="229" t="s">
        <v>3247</v>
      </c>
      <c r="R284" s="201"/>
      <c r="S284" s="142" t="s">
        <v>558</v>
      </c>
      <c r="T284" s="242"/>
    </row>
    <row r="285" spans="1:20" ht="58" customHeight="1">
      <c r="A285" s="231" t="s">
        <v>2438</v>
      </c>
      <c r="B285" s="45" t="s">
        <v>1539</v>
      </c>
      <c r="C285" s="44" t="s">
        <v>1537</v>
      </c>
      <c r="D285" s="44" t="s">
        <v>638</v>
      </c>
      <c r="E285" s="244" t="s">
        <v>864</v>
      </c>
      <c r="F285" s="244" t="s">
        <v>3420</v>
      </c>
      <c r="G285" s="245" t="s">
        <v>3379</v>
      </c>
      <c r="H285" s="45" t="s">
        <v>3</v>
      </c>
      <c r="I285" s="247" t="s">
        <v>1539</v>
      </c>
      <c r="J285" s="233" t="s">
        <v>3243</v>
      </c>
      <c r="K285" s="161"/>
      <c r="L285" s="240"/>
      <c r="M285" s="240"/>
      <c r="N285" s="160"/>
      <c r="O285" s="140" t="s">
        <v>624</v>
      </c>
      <c r="P285" s="43" t="s">
        <v>637</v>
      </c>
      <c r="Q285" s="229" t="s">
        <v>3247</v>
      </c>
      <c r="R285" s="201"/>
      <c r="S285" s="142" t="s">
        <v>627</v>
      </c>
      <c r="T285" s="242"/>
    </row>
    <row r="286" spans="1:20" ht="58" customHeight="1">
      <c r="A286" s="231" t="s">
        <v>2438</v>
      </c>
      <c r="B286" s="45" t="s">
        <v>1539</v>
      </c>
      <c r="C286" s="44" t="s">
        <v>1531</v>
      </c>
      <c r="D286" s="44" t="s">
        <v>529</v>
      </c>
      <c r="E286" s="244" t="s">
        <v>817</v>
      </c>
      <c r="F286" s="244" t="s">
        <v>3354</v>
      </c>
      <c r="G286" s="245" t="s">
        <v>4602</v>
      </c>
      <c r="H286" s="45" t="s">
        <v>3</v>
      </c>
      <c r="I286" s="247" t="s">
        <v>1539</v>
      </c>
      <c r="J286" s="233" t="s">
        <v>3243</v>
      </c>
      <c r="K286" s="161"/>
      <c r="L286" s="240"/>
      <c r="M286" s="240"/>
      <c r="N286" s="160"/>
      <c r="O286" s="140" t="s">
        <v>527</v>
      </c>
      <c r="P286" s="43" t="s">
        <v>528</v>
      </c>
      <c r="Q286" s="229" t="s">
        <v>3247</v>
      </c>
      <c r="R286" s="201"/>
      <c r="S286" s="142" t="s">
        <v>530</v>
      </c>
      <c r="T286" s="242"/>
    </row>
    <row r="287" spans="1:20" ht="58" customHeight="1">
      <c r="A287" s="231" t="s">
        <v>2438</v>
      </c>
      <c r="B287" s="45" t="s">
        <v>1539</v>
      </c>
      <c r="C287" s="44" t="s">
        <v>1531</v>
      </c>
      <c r="D287" s="44" t="s">
        <v>545</v>
      </c>
      <c r="E287" s="244" t="s">
        <v>824</v>
      </c>
      <c r="F287" s="244" t="s">
        <v>3365</v>
      </c>
      <c r="G287" s="245" t="s">
        <v>4603</v>
      </c>
      <c r="H287" s="45" t="s">
        <v>3</v>
      </c>
      <c r="I287" s="247" t="s">
        <v>1539</v>
      </c>
      <c r="J287" s="233" t="s">
        <v>3243</v>
      </c>
      <c r="K287" s="161"/>
      <c r="L287" s="240"/>
      <c r="M287" s="240"/>
      <c r="N287" s="160"/>
      <c r="O287" s="140" t="s">
        <v>527</v>
      </c>
      <c r="P287" s="43" t="s">
        <v>544</v>
      </c>
      <c r="Q287" s="229" t="s">
        <v>3247</v>
      </c>
      <c r="R287" s="201"/>
      <c r="S287" s="142" t="s">
        <v>530</v>
      </c>
      <c r="T287" s="242"/>
    </row>
    <row r="288" spans="1:20" ht="58" customHeight="1">
      <c r="A288" s="231" t="s">
        <v>2438</v>
      </c>
      <c r="B288" s="45" t="s">
        <v>1539</v>
      </c>
      <c r="C288" s="44" t="s">
        <v>1531</v>
      </c>
      <c r="D288" s="44" t="s">
        <v>549</v>
      </c>
      <c r="E288" s="244" t="s">
        <v>826</v>
      </c>
      <c r="F288" s="244" t="s">
        <v>3367</v>
      </c>
      <c r="G288" s="245" t="s">
        <v>4604</v>
      </c>
      <c r="H288" s="45" t="s">
        <v>3</v>
      </c>
      <c r="I288" s="247" t="s">
        <v>1539</v>
      </c>
      <c r="J288" s="233" t="s">
        <v>3243</v>
      </c>
      <c r="K288" s="161"/>
      <c r="L288" s="240"/>
      <c r="M288" s="240"/>
      <c r="N288" s="160"/>
      <c r="O288" s="140" t="s">
        <v>527</v>
      </c>
      <c r="P288" s="43" t="s">
        <v>548</v>
      </c>
      <c r="Q288" s="229" t="s">
        <v>3247</v>
      </c>
      <c r="R288" s="201"/>
      <c r="S288" s="142" t="s">
        <v>530</v>
      </c>
      <c r="T288" s="242"/>
    </row>
    <row r="289" spans="1:20" ht="58" customHeight="1">
      <c r="A289" s="231" t="s">
        <v>2438</v>
      </c>
      <c r="B289" s="45" t="s">
        <v>1539</v>
      </c>
      <c r="C289" s="44" t="s">
        <v>1531</v>
      </c>
      <c r="D289" s="44" t="s">
        <v>569</v>
      </c>
      <c r="E289" s="244" t="s">
        <v>834</v>
      </c>
      <c r="F289" s="244" t="s">
        <v>3376</v>
      </c>
      <c r="G289" s="245" t="s">
        <v>3377</v>
      </c>
      <c r="H289" s="45" t="s">
        <v>3</v>
      </c>
      <c r="I289" s="247" t="s">
        <v>1539</v>
      </c>
      <c r="J289" s="233" t="s">
        <v>3243</v>
      </c>
      <c r="K289" s="161"/>
      <c r="L289" s="240"/>
      <c r="M289" s="240"/>
      <c r="N289" s="160"/>
      <c r="O289" s="140" t="s">
        <v>567</v>
      </c>
      <c r="P289" s="43" t="s">
        <v>568</v>
      </c>
      <c r="Q289" s="229" t="s">
        <v>3247</v>
      </c>
      <c r="R289" s="201"/>
      <c r="S289" s="142" t="s">
        <v>570</v>
      </c>
      <c r="T289" s="242"/>
    </row>
    <row r="290" spans="1:20" ht="58" customHeight="1">
      <c r="A290" s="231" t="s">
        <v>2438</v>
      </c>
      <c r="B290" s="45" t="s">
        <v>1539</v>
      </c>
      <c r="C290" s="44" t="s">
        <v>1531</v>
      </c>
      <c r="D290" s="44" t="s">
        <v>629</v>
      </c>
      <c r="E290" s="244" t="s">
        <v>860</v>
      </c>
      <c r="F290" s="244" t="s">
        <v>3415</v>
      </c>
      <c r="G290" s="245" t="s">
        <v>4605</v>
      </c>
      <c r="H290" s="45" t="s">
        <v>3</v>
      </c>
      <c r="I290" s="247" t="s">
        <v>1539</v>
      </c>
      <c r="J290" s="233" t="s">
        <v>3243</v>
      </c>
      <c r="K290" s="161"/>
      <c r="L290" s="240"/>
      <c r="M290" s="240"/>
      <c r="N290" s="160"/>
      <c r="O290" s="140" t="s">
        <v>624</v>
      </c>
      <c r="P290" s="43" t="s">
        <v>628</v>
      </c>
      <c r="Q290" s="229" t="s">
        <v>3247</v>
      </c>
      <c r="R290" s="201"/>
      <c r="S290" s="142" t="s">
        <v>630</v>
      </c>
      <c r="T290" s="242"/>
    </row>
    <row r="291" spans="1:20" ht="58" customHeight="1">
      <c r="A291" s="231" t="s">
        <v>2438</v>
      </c>
      <c r="B291" s="45" t="s">
        <v>1539</v>
      </c>
      <c r="C291" s="44" t="s">
        <v>1531</v>
      </c>
      <c r="D291" s="44" t="s">
        <v>634</v>
      </c>
      <c r="E291" s="244" t="s">
        <v>862</v>
      </c>
      <c r="F291" s="244" t="s">
        <v>3418</v>
      </c>
      <c r="G291" s="245" t="s">
        <v>3379</v>
      </c>
      <c r="H291" s="45" t="s">
        <v>3</v>
      </c>
      <c r="I291" s="247" t="s">
        <v>1539</v>
      </c>
      <c r="J291" s="233" t="s">
        <v>3243</v>
      </c>
      <c r="K291" s="161"/>
      <c r="L291" s="240"/>
      <c r="M291" s="240"/>
      <c r="N291" s="160"/>
      <c r="O291" s="140" t="s">
        <v>624</v>
      </c>
      <c r="P291" s="43" t="s">
        <v>633</v>
      </c>
      <c r="Q291" s="229" t="s">
        <v>3247</v>
      </c>
      <c r="R291" s="201"/>
      <c r="S291" s="142" t="s">
        <v>627</v>
      </c>
      <c r="T291" s="242"/>
    </row>
    <row r="292" spans="1:20" ht="58" customHeight="1">
      <c r="A292" s="231" t="s">
        <v>2438</v>
      </c>
      <c r="B292" s="45" t="s">
        <v>1539</v>
      </c>
      <c r="C292" s="44" t="s">
        <v>1530</v>
      </c>
      <c r="D292" s="44" t="s">
        <v>543</v>
      </c>
      <c r="E292" s="244" t="s">
        <v>823</v>
      </c>
      <c r="F292" s="244" t="s">
        <v>3363</v>
      </c>
      <c r="G292" s="245" t="s">
        <v>3364</v>
      </c>
      <c r="H292" s="45" t="s">
        <v>3</v>
      </c>
      <c r="I292" s="247" t="s">
        <v>1539</v>
      </c>
      <c r="J292" s="233" t="s">
        <v>3243</v>
      </c>
      <c r="K292" s="161"/>
      <c r="L292" s="240"/>
      <c r="M292" s="240"/>
      <c r="N292" s="160"/>
      <c r="O292" s="140" t="s">
        <v>527</v>
      </c>
      <c r="P292" s="43" t="s">
        <v>542</v>
      </c>
      <c r="Q292" s="229" t="s">
        <v>3247</v>
      </c>
      <c r="R292" s="201" t="s">
        <v>3021</v>
      </c>
      <c r="S292" s="142" t="s">
        <v>530</v>
      </c>
      <c r="T292" s="242"/>
    </row>
    <row r="293" spans="1:20" ht="58" customHeight="1">
      <c r="A293" s="231" t="s">
        <v>2438</v>
      </c>
      <c r="B293" s="45" t="s">
        <v>1539</v>
      </c>
      <c r="C293" s="44" t="s">
        <v>1530</v>
      </c>
      <c r="D293" s="44" t="s">
        <v>623</v>
      </c>
      <c r="E293" s="244" t="s">
        <v>3824</v>
      </c>
      <c r="F293" s="244" t="s">
        <v>3412</v>
      </c>
      <c r="G293" s="245" t="s">
        <v>3825</v>
      </c>
      <c r="H293" s="45" t="s">
        <v>3</v>
      </c>
      <c r="I293" s="247" t="s">
        <v>1539</v>
      </c>
      <c r="J293" s="233" t="s">
        <v>3243</v>
      </c>
      <c r="K293" s="161"/>
      <c r="L293" s="240"/>
      <c r="M293" s="240"/>
      <c r="N293" s="160"/>
      <c r="O293" s="140" t="s">
        <v>585</v>
      </c>
      <c r="P293" s="43" t="s">
        <v>622</v>
      </c>
      <c r="Q293" s="229" t="s">
        <v>3247</v>
      </c>
      <c r="R293" s="201"/>
      <c r="S293" s="142" t="s">
        <v>588</v>
      </c>
      <c r="T293" s="242" t="s">
        <v>3826</v>
      </c>
    </row>
    <row r="294" spans="1:20" ht="58" customHeight="1">
      <c r="A294" s="231" t="s">
        <v>2438</v>
      </c>
      <c r="B294" s="45" t="s">
        <v>1539</v>
      </c>
      <c r="C294" s="44" t="s">
        <v>1532</v>
      </c>
      <c r="D294" s="44" t="s">
        <v>600</v>
      </c>
      <c r="E294" s="244" t="s">
        <v>848</v>
      </c>
      <c r="F294" s="244" t="s">
        <v>3395</v>
      </c>
      <c r="G294" s="245" t="s">
        <v>3396</v>
      </c>
      <c r="H294" s="45" t="s">
        <v>3</v>
      </c>
      <c r="I294" s="247" t="s">
        <v>1539</v>
      </c>
      <c r="J294" s="233" t="s">
        <v>3243</v>
      </c>
      <c r="K294" s="161"/>
      <c r="L294" s="240"/>
      <c r="M294" s="240"/>
      <c r="N294" s="160"/>
      <c r="O294" s="140" t="s">
        <v>585</v>
      </c>
      <c r="P294" s="43" t="s">
        <v>599</v>
      </c>
      <c r="Q294" s="229" t="s">
        <v>3247</v>
      </c>
      <c r="R294" s="201"/>
      <c r="S294" s="142" t="s">
        <v>588</v>
      </c>
      <c r="T294" s="242"/>
    </row>
    <row r="295" spans="1:20" ht="58" customHeight="1">
      <c r="A295" s="231" t="s">
        <v>2438</v>
      </c>
      <c r="B295" s="45" t="s">
        <v>1539</v>
      </c>
      <c r="C295" s="44" t="s">
        <v>1532</v>
      </c>
      <c r="D295" s="44" t="s">
        <v>610</v>
      </c>
      <c r="E295" s="244" t="s">
        <v>853</v>
      </c>
      <c r="F295" s="244" t="s">
        <v>3404</v>
      </c>
      <c r="G295" s="245" t="s">
        <v>4606</v>
      </c>
      <c r="H295" s="45" t="s">
        <v>3</v>
      </c>
      <c r="I295" s="247" t="s">
        <v>1539</v>
      </c>
      <c r="J295" s="233" t="s">
        <v>3243</v>
      </c>
      <c r="K295" s="161"/>
      <c r="L295" s="240"/>
      <c r="M295" s="240"/>
      <c r="N295" s="160"/>
      <c r="O295" s="140" t="s">
        <v>585</v>
      </c>
      <c r="P295" s="43" t="s">
        <v>609</v>
      </c>
      <c r="Q295" s="229" t="s">
        <v>3247</v>
      </c>
      <c r="R295" s="201"/>
      <c r="S295" s="142" t="s">
        <v>588</v>
      </c>
      <c r="T295" s="242"/>
    </row>
    <row r="296" spans="1:20" ht="58" customHeight="1">
      <c r="A296" s="231" t="s">
        <v>2438</v>
      </c>
      <c r="B296" s="45" t="s">
        <v>1539</v>
      </c>
      <c r="C296" s="44" t="s">
        <v>1532</v>
      </c>
      <c r="D296" s="44" t="s">
        <v>612</v>
      </c>
      <c r="E296" s="244" t="s">
        <v>854</v>
      </c>
      <c r="F296" s="244" t="s">
        <v>3405</v>
      </c>
      <c r="G296" s="245" t="s">
        <v>3379</v>
      </c>
      <c r="H296" s="45" t="s">
        <v>3</v>
      </c>
      <c r="I296" s="247" t="s">
        <v>1539</v>
      </c>
      <c r="J296" s="233" t="s">
        <v>3243</v>
      </c>
      <c r="K296" s="161"/>
      <c r="L296" s="240"/>
      <c r="M296" s="240"/>
      <c r="N296" s="160"/>
      <c r="O296" s="140" t="s">
        <v>585</v>
      </c>
      <c r="P296" s="43" t="s">
        <v>611</v>
      </c>
      <c r="Q296" s="229" t="s">
        <v>3247</v>
      </c>
      <c r="R296" s="201"/>
      <c r="S296" s="142" t="s">
        <v>588</v>
      </c>
      <c r="T296" s="242"/>
    </row>
    <row r="297" spans="1:20" ht="58" customHeight="1">
      <c r="A297" s="231" t="s">
        <v>2438</v>
      </c>
      <c r="B297" s="45" t="s">
        <v>1539</v>
      </c>
      <c r="C297" s="44" t="s">
        <v>1532</v>
      </c>
      <c r="D297" s="44" t="s">
        <v>614</v>
      </c>
      <c r="E297" s="244" t="s">
        <v>855</v>
      </c>
      <c r="F297" s="244" t="s">
        <v>3406</v>
      </c>
      <c r="G297" s="245" t="s">
        <v>3379</v>
      </c>
      <c r="H297" s="45" t="s">
        <v>3</v>
      </c>
      <c r="I297" s="247" t="s">
        <v>1539</v>
      </c>
      <c r="J297" s="233" t="s">
        <v>3243</v>
      </c>
      <c r="K297" s="161"/>
      <c r="L297" s="240"/>
      <c r="M297" s="240"/>
      <c r="N297" s="160"/>
      <c r="O297" s="140" t="s">
        <v>585</v>
      </c>
      <c r="P297" s="43" t="s">
        <v>613</v>
      </c>
      <c r="Q297" s="229" t="s">
        <v>3247</v>
      </c>
      <c r="R297" s="201"/>
      <c r="S297" s="142" t="s">
        <v>588</v>
      </c>
      <c r="T297" s="242"/>
    </row>
    <row r="298" spans="1:20" ht="58" customHeight="1">
      <c r="A298" s="231" t="s">
        <v>2438</v>
      </c>
      <c r="B298" s="45" t="s">
        <v>1539</v>
      </c>
      <c r="C298" s="44" t="s">
        <v>1532</v>
      </c>
      <c r="D298" s="44" t="s">
        <v>642</v>
      </c>
      <c r="E298" s="244" t="s">
        <v>866</v>
      </c>
      <c r="F298" s="244" t="s">
        <v>3423</v>
      </c>
      <c r="G298" s="245" t="s">
        <v>3379</v>
      </c>
      <c r="H298" s="45" t="s">
        <v>3</v>
      </c>
      <c r="I298" s="247" t="s">
        <v>1539</v>
      </c>
      <c r="J298" s="233" t="s">
        <v>3243</v>
      </c>
      <c r="K298" s="161"/>
      <c r="L298" s="240"/>
      <c r="M298" s="240"/>
      <c r="N298" s="160"/>
      <c r="O298" s="140" t="s">
        <v>624</v>
      </c>
      <c r="P298" s="43" t="s">
        <v>641</v>
      </c>
      <c r="Q298" s="229" t="s">
        <v>3247</v>
      </c>
      <c r="R298" s="201"/>
      <c r="S298" s="142" t="s">
        <v>627</v>
      </c>
      <c r="T298" s="242"/>
    </row>
    <row r="299" spans="1:20" ht="58" customHeight="1">
      <c r="A299" s="231" t="s">
        <v>2438</v>
      </c>
      <c r="B299" s="45" t="s">
        <v>1539</v>
      </c>
      <c r="C299" s="44" t="s">
        <v>1532</v>
      </c>
      <c r="D299" s="44" t="s">
        <v>654</v>
      </c>
      <c r="E299" s="244" t="s">
        <v>870</v>
      </c>
      <c r="F299" s="244" t="s">
        <v>3429</v>
      </c>
      <c r="G299" s="245" t="s">
        <v>4643</v>
      </c>
      <c r="H299" s="45" t="s">
        <v>3</v>
      </c>
      <c r="I299" s="247" t="s">
        <v>1539</v>
      </c>
      <c r="J299" s="233" t="s">
        <v>3243</v>
      </c>
      <c r="K299" s="161"/>
      <c r="L299" s="240"/>
      <c r="M299" s="240"/>
      <c r="N299" s="160"/>
      <c r="O299" s="140" t="s">
        <v>643</v>
      </c>
      <c r="P299" s="43" t="s">
        <v>653</v>
      </c>
      <c r="Q299" s="229" t="s">
        <v>3247</v>
      </c>
      <c r="R299" s="201"/>
      <c r="S299" s="142" t="s">
        <v>649</v>
      </c>
      <c r="T299" s="242" t="s">
        <v>4644</v>
      </c>
    </row>
    <row r="300" spans="1:20" ht="58" customHeight="1">
      <c r="A300" s="231" t="s">
        <v>2438</v>
      </c>
      <c r="B300" s="45" t="s">
        <v>1539</v>
      </c>
      <c r="C300" s="44" t="s">
        <v>1534</v>
      </c>
      <c r="D300" s="44" t="s">
        <v>582</v>
      </c>
      <c r="E300" s="244" t="s">
        <v>840</v>
      </c>
      <c r="F300" s="244" t="s">
        <v>3384</v>
      </c>
      <c r="G300" s="245" t="s">
        <v>3385</v>
      </c>
      <c r="H300" s="45" t="s">
        <v>3</v>
      </c>
      <c r="I300" s="247" t="s">
        <v>1539</v>
      </c>
      <c r="J300" s="233" t="s">
        <v>3243</v>
      </c>
      <c r="K300" s="161"/>
      <c r="L300" s="240"/>
      <c r="M300" s="240"/>
      <c r="N300" s="160"/>
      <c r="O300" s="140" t="s">
        <v>567</v>
      </c>
      <c r="P300" s="43" t="s">
        <v>581</v>
      </c>
      <c r="Q300" s="229" t="s">
        <v>3247</v>
      </c>
      <c r="R300" s="201"/>
      <c r="S300" s="142" t="s">
        <v>570</v>
      </c>
      <c r="T300" s="242"/>
    </row>
    <row r="301" spans="1:20" ht="58" customHeight="1">
      <c r="A301" s="231" t="s">
        <v>2438</v>
      </c>
      <c r="B301" s="45" t="s">
        <v>1539</v>
      </c>
      <c r="C301" s="44" t="s">
        <v>1534</v>
      </c>
      <c r="D301" s="44" t="s">
        <v>651</v>
      </c>
      <c r="E301" s="244" t="s">
        <v>869</v>
      </c>
      <c r="F301" s="244" t="s">
        <v>3428</v>
      </c>
      <c r="G301" s="245" t="s">
        <v>4645</v>
      </c>
      <c r="H301" s="45" t="s">
        <v>3</v>
      </c>
      <c r="I301" s="247" t="s">
        <v>1539</v>
      </c>
      <c r="J301" s="233" t="s">
        <v>3243</v>
      </c>
      <c r="K301" s="161"/>
      <c r="L301" s="240"/>
      <c r="M301" s="240"/>
      <c r="N301" s="160"/>
      <c r="O301" s="140" t="s">
        <v>643</v>
      </c>
      <c r="P301" s="43" t="s">
        <v>650</v>
      </c>
      <c r="Q301" s="229" t="s">
        <v>3247</v>
      </c>
      <c r="R301" s="201"/>
      <c r="S301" s="142" t="s">
        <v>652</v>
      </c>
      <c r="T301" s="242" t="s">
        <v>4646</v>
      </c>
    </row>
    <row r="302" spans="1:20" ht="58" customHeight="1">
      <c r="A302" s="231" t="s">
        <v>2438</v>
      </c>
      <c r="B302" s="45" t="s">
        <v>1539</v>
      </c>
      <c r="C302" s="44" t="s">
        <v>1533</v>
      </c>
      <c r="D302" s="44" t="s">
        <v>551</v>
      </c>
      <c r="E302" s="244" t="s">
        <v>827</v>
      </c>
      <c r="F302" s="244" t="s">
        <v>3368</v>
      </c>
      <c r="G302" s="245" t="s">
        <v>4607</v>
      </c>
      <c r="H302" s="45" t="s">
        <v>3</v>
      </c>
      <c r="I302" s="247" t="s">
        <v>1539</v>
      </c>
      <c r="J302" s="233" t="s">
        <v>3243</v>
      </c>
      <c r="K302" s="161"/>
      <c r="L302" s="240"/>
      <c r="M302" s="240"/>
      <c r="N302" s="160"/>
      <c r="O302" s="140" t="s">
        <v>527</v>
      </c>
      <c r="P302" s="43" t="s">
        <v>550</v>
      </c>
      <c r="Q302" s="229" t="s">
        <v>3247</v>
      </c>
      <c r="R302" s="201"/>
      <c r="S302" s="142" t="s">
        <v>530</v>
      </c>
      <c r="T302" s="242"/>
    </row>
    <row r="303" spans="1:20" ht="58" customHeight="1">
      <c r="A303" s="231" t="s">
        <v>2438</v>
      </c>
      <c r="B303" s="45" t="s">
        <v>1539</v>
      </c>
      <c r="C303" s="44" t="s">
        <v>1533</v>
      </c>
      <c r="D303" s="44" t="s">
        <v>598</v>
      </c>
      <c r="E303" s="244" t="s">
        <v>847</v>
      </c>
      <c r="F303" s="244" t="s">
        <v>3394</v>
      </c>
      <c r="G303" s="245" t="s">
        <v>4608</v>
      </c>
      <c r="H303" s="45" t="s">
        <v>3</v>
      </c>
      <c r="I303" s="247" t="s">
        <v>1539</v>
      </c>
      <c r="J303" s="233" t="s">
        <v>3243</v>
      </c>
      <c r="K303" s="161"/>
      <c r="L303" s="240"/>
      <c r="M303" s="240"/>
      <c r="N303" s="160"/>
      <c r="O303" s="140" t="s">
        <v>585</v>
      </c>
      <c r="P303" s="43" t="s">
        <v>597</v>
      </c>
      <c r="Q303" s="229" t="s">
        <v>3247</v>
      </c>
      <c r="R303" s="201"/>
      <c r="S303" s="142" t="s">
        <v>588</v>
      </c>
      <c r="T303" s="242"/>
    </row>
    <row r="304" spans="1:20" ht="58" customHeight="1">
      <c r="A304" s="231" t="s">
        <v>2438</v>
      </c>
      <c r="B304" s="45" t="s">
        <v>1539</v>
      </c>
      <c r="C304" s="44" t="s">
        <v>1533</v>
      </c>
      <c r="D304" s="44" t="s">
        <v>626</v>
      </c>
      <c r="E304" s="244" t="s">
        <v>859</v>
      </c>
      <c r="F304" s="244" t="s">
        <v>3413</v>
      </c>
      <c r="G304" s="245" t="s">
        <v>3414</v>
      </c>
      <c r="H304" s="45" t="s">
        <v>3</v>
      </c>
      <c r="I304" s="247" t="s">
        <v>1539</v>
      </c>
      <c r="J304" s="233" t="s">
        <v>3243</v>
      </c>
      <c r="K304" s="161"/>
      <c r="L304" s="240"/>
      <c r="M304" s="240"/>
      <c r="N304" s="160"/>
      <c r="O304" s="140" t="s">
        <v>624</v>
      </c>
      <c r="P304" s="43" t="s">
        <v>625</v>
      </c>
      <c r="Q304" s="229" t="s">
        <v>3247</v>
      </c>
      <c r="R304" s="201"/>
      <c r="S304" s="142" t="s">
        <v>627</v>
      </c>
      <c r="T304" s="242"/>
    </row>
    <row r="305" spans="1:20" ht="58" customHeight="1">
      <c r="A305" s="231" t="s">
        <v>2438</v>
      </c>
      <c r="B305" s="45" t="s">
        <v>1539</v>
      </c>
      <c r="C305" s="44" t="s">
        <v>1533</v>
      </c>
      <c r="D305" s="44" t="s">
        <v>636</v>
      </c>
      <c r="E305" s="244" t="s">
        <v>863</v>
      </c>
      <c r="F305" s="244" t="s">
        <v>3419</v>
      </c>
      <c r="G305" s="245" t="s">
        <v>4609</v>
      </c>
      <c r="H305" s="45" t="s">
        <v>3</v>
      </c>
      <c r="I305" s="247" t="s">
        <v>1539</v>
      </c>
      <c r="J305" s="233" t="s">
        <v>3243</v>
      </c>
      <c r="K305" s="161"/>
      <c r="L305" s="240"/>
      <c r="M305" s="240"/>
      <c r="N305" s="160"/>
      <c r="O305" s="140" t="s">
        <v>624</v>
      </c>
      <c r="P305" s="43" t="s">
        <v>635</v>
      </c>
      <c r="Q305" s="229" t="s">
        <v>3247</v>
      </c>
      <c r="R305" s="201"/>
      <c r="S305" s="142" t="s">
        <v>627</v>
      </c>
      <c r="T305" s="242"/>
    </row>
    <row r="306" spans="1:20" ht="58" customHeight="1">
      <c r="A306" s="231" t="s">
        <v>2438</v>
      </c>
      <c r="B306" s="45" t="s">
        <v>1539</v>
      </c>
      <c r="C306" s="44" t="s">
        <v>1533</v>
      </c>
      <c r="D306" s="44" t="s">
        <v>640</v>
      </c>
      <c r="E306" s="244" t="s">
        <v>865</v>
      </c>
      <c r="F306" s="244" t="s">
        <v>3421</v>
      </c>
      <c r="G306" s="245" t="s">
        <v>3422</v>
      </c>
      <c r="H306" s="45" t="s">
        <v>3</v>
      </c>
      <c r="I306" s="247" t="s">
        <v>1539</v>
      </c>
      <c r="J306" s="233" t="s">
        <v>3243</v>
      </c>
      <c r="K306" s="161"/>
      <c r="L306" s="240"/>
      <c r="M306" s="240"/>
      <c r="N306" s="160"/>
      <c r="O306" s="140" t="s">
        <v>624</v>
      </c>
      <c r="P306" s="43" t="s">
        <v>639</v>
      </c>
      <c r="Q306" s="229" t="s">
        <v>3247</v>
      </c>
      <c r="R306" s="201"/>
      <c r="S306" s="142" t="s">
        <v>627</v>
      </c>
      <c r="T306" s="242"/>
    </row>
    <row r="307" spans="1:20" ht="58" customHeight="1">
      <c r="A307" s="231" t="s">
        <v>2438</v>
      </c>
      <c r="B307" s="45" t="s">
        <v>1539</v>
      </c>
      <c r="C307" s="44" t="s">
        <v>1533</v>
      </c>
      <c r="D307" s="44" t="s">
        <v>657</v>
      </c>
      <c r="E307" s="244" t="s">
        <v>871</v>
      </c>
      <c r="F307" s="244" t="s">
        <v>3430</v>
      </c>
      <c r="G307" s="245" t="s">
        <v>3431</v>
      </c>
      <c r="H307" s="45" t="s">
        <v>3</v>
      </c>
      <c r="I307" s="247" t="s">
        <v>1539</v>
      </c>
      <c r="J307" s="233" t="s">
        <v>3243</v>
      </c>
      <c r="K307" s="161"/>
      <c r="L307" s="240"/>
      <c r="M307" s="240"/>
      <c r="N307" s="160"/>
      <c r="O307" s="140" t="s">
        <v>655</v>
      </c>
      <c r="P307" s="43" t="s">
        <v>656</v>
      </c>
      <c r="Q307" s="229" t="s">
        <v>3247</v>
      </c>
      <c r="R307" s="201"/>
      <c r="S307" s="142" t="s">
        <v>658</v>
      </c>
      <c r="T307" s="242"/>
    </row>
    <row r="308" spans="1:20" ht="58" customHeight="1">
      <c r="A308" s="231" t="s">
        <v>2438</v>
      </c>
      <c r="B308" s="45" t="s">
        <v>1539</v>
      </c>
      <c r="C308" s="44" t="s">
        <v>1533</v>
      </c>
      <c r="D308" s="44" t="s">
        <v>660</v>
      </c>
      <c r="E308" s="244" t="s">
        <v>872</v>
      </c>
      <c r="F308" s="244" t="s">
        <v>3432</v>
      </c>
      <c r="G308" s="245" t="s">
        <v>3433</v>
      </c>
      <c r="H308" s="45" t="s">
        <v>958</v>
      </c>
      <c r="I308" s="247" t="s">
        <v>1539</v>
      </c>
      <c r="J308" s="233" t="s">
        <v>3243</v>
      </c>
      <c r="K308" s="161"/>
      <c r="L308" s="240"/>
      <c r="M308" s="240"/>
      <c r="N308" s="160"/>
      <c r="O308" s="140" t="s">
        <v>655</v>
      </c>
      <c r="P308" s="43" t="s">
        <v>659</v>
      </c>
      <c r="Q308" s="229" t="s">
        <v>3247</v>
      </c>
      <c r="R308" s="201"/>
      <c r="S308" s="142" t="s">
        <v>658</v>
      </c>
      <c r="T308" s="242"/>
    </row>
    <row r="309" spans="1:20" ht="58" customHeight="1">
      <c r="A309" s="231" t="s">
        <v>2438</v>
      </c>
      <c r="B309" s="45" t="s">
        <v>1539</v>
      </c>
      <c r="C309" s="44" t="s">
        <v>1533</v>
      </c>
      <c r="D309" s="44" t="s">
        <v>662</v>
      </c>
      <c r="E309" s="244" t="s">
        <v>873</v>
      </c>
      <c r="F309" s="244" t="s">
        <v>3434</v>
      </c>
      <c r="G309" s="245" t="s">
        <v>3435</v>
      </c>
      <c r="H309" s="45" t="s">
        <v>3</v>
      </c>
      <c r="I309" s="247" t="s">
        <v>1539</v>
      </c>
      <c r="J309" s="233" t="s">
        <v>3243</v>
      </c>
      <c r="K309" s="161"/>
      <c r="L309" s="240"/>
      <c r="M309" s="240"/>
      <c r="N309" s="160"/>
      <c r="O309" s="140" t="s">
        <v>655</v>
      </c>
      <c r="P309" s="43" t="s">
        <v>661</v>
      </c>
      <c r="Q309" s="229" t="s">
        <v>3247</v>
      </c>
      <c r="R309" s="201"/>
      <c r="S309" s="142" t="s">
        <v>658</v>
      </c>
      <c r="T309" s="242"/>
    </row>
    <row r="310" spans="1:20" ht="58" customHeight="1">
      <c r="A310" s="231" t="s">
        <v>2438</v>
      </c>
      <c r="B310" s="45" t="s">
        <v>1539</v>
      </c>
      <c r="C310" s="44" t="s">
        <v>1535</v>
      </c>
      <c r="D310" s="44" t="s">
        <v>632</v>
      </c>
      <c r="E310" s="244" t="s">
        <v>861</v>
      </c>
      <c r="F310" s="244" t="s">
        <v>3416</v>
      </c>
      <c r="G310" s="245" t="s">
        <v>3417</v>
      </c>
      <c r="H310" s="45" t="s">
        <v>3</v>
      </c>
      <c r="I310" s="247" t="s">
        <v>1539</v>
      </c>
      <c r="J310" s="233" t="s">
        <v>3243</v>
      </c>
      <c r="K310" s="161"/>
      <c r="L310" s="240"/>
      <c r="M310" s="240"/>
      <c r="N310" s="160"/>
      <c r="O310" s="140" t="s">
        <v>624</v>
      </c>
      <c r="P310" s="43" t="s">
        <v>631</v>
      </c>
      <c r="Q310" s="229" t="s">
        <v>3247</v>
      </c>
      <c r="R310" s="201"/>
      <c r="S310" s="142" t="s">
        <v>627</v>
      </c>
      <c r="T310" s="242"/>
    </row>
    <row r="311" spans="1:20" ht="58" customHeight="1">
      <c r="A311" s="231" t="s">
        <v>2438</v>
      </c>
      <c r="B311" s="45" t="s">
        <v>1539</v>
      </c>
      <c r="C311" s="44" t="s">
        <v>1540</v>
      </c>
      <c r="D311" s="44" t="s">
        <v>572</v>
      </c>
      <c r="E311" s="244" t="s">
        <v>835</v>
      </c>
      <c r="F311" s="244" t="s">
        <v>3378</v>
      </c>
      <c r="G311" s="245" t="s">
        <v>3379</v>
      </c>
      <c r="H311" s="45" t="s">
        <v>3</v>
      </c>
      <c r="I311" s="247" t="s">
        <v>1539</v>
      </c>
      <c r="J311" s="233" t="s">
        <v>3243</v>
      </c>
      <c r="K311" s="161"/>
      <c r="L311" s="240"/>
      <c r="M311" s="240"/>
      <c r="N311" s="160"/>
      <c r="O311" s="140" t="s">
        <v>567</v>
      </c>
      <c r="P311" s="43" t="s">
        <v>571</v>
      </c>
      <c r="Q311" s="229" t="s">
        <v>3247</v>
      </c>
      <c r="R311" s="201"/>
      <c r="S311" s="142" t="s">
        <v>570</v>
      </c>
      <c r="T311" s="242"/>
    </row>
    <row r="312" spans="1:20" ht="58" customHeight="1">
      <c r="A312" s="231" t="s">
        <v>2438</v>
      </c>
      <c r="B312" s="45" t="s">
        <v>1539</v>
      </c>
      <c r="C312" s="44" t="s">
        <v>1540</v>
      </c>
      <c r="D312" s="44" t="s">
        <v>574</v>
      </c>
      <c r="E312" s="244" t="s">
        <v>836</v>
      </c>
      <c r="F312" s="244" t="s">
        <v>3380</v>
      </c>
      <c r="G312" s="245" t="s">
        <v>4610</v>
      </c>
      <c r="H312" s="45" t="s">
        <v>3</v>
      </c>
      <c r="I312" s="247" t="s">
        <v>1539</v>
      </c>
      <c r="J312" s="233" t="s">
        <v>3243</v>
      </c>
      <c r="K312" s="161"/>
      <c r="L312" s="240"/>
      <c r="M312" s="240"/>
      <c r="N312" s="160"/>
      <c r="O312" s="140" t="s">
        <v>567</v>
      </c>
      <c r="P312" s="43" t="s">
        <v>573</v>
      </c>
      <c r="Q312" s="229" t="s">
        <v>3247</v>
      </c>
      <c r="R312" s="201"/>
      <c r="S312" s="142" t="s">
        <v>570</v>
      </c>
      <c r="T312" s="242"/>
    </row>
    <row r="313" spans="1:20" ht="58" customHeight="1">
      <c r="A313" s="231" t="s">
        <v>2438</v>
      </c>
      <c r="B313" s="45" t="s">
        <v>1539</v>
      </c>
      <c r="C313" s="44" t="s">
        <v>1540</v>
      </c>
      <c r="D313" s="44" t="s">
        <v>576</v>
      </c>
      <c r="E313" s="244" t="s">
        <v>837</v>
      </c>
      <c r="F313" s="244" t="s">
        <v>3381</v>
      </c>
      <c r="G313" s="245" t="s">
        <v>3379</v>
      </c>
      <c r="H313" s="45" t="s">
        <v>3</v>
      </c>
      <c r="I313" s="247" t="s">
        <v>1539</v>
      </c>
      <c r="J313" s="233" t="s">
        <v>3243</v>
      </c>
      <c r="K313" s="161"/>
      <c r="L313" s="240"/>
      <c r="M313" s="240"/>
      <c r="N313" s="160"/>
      <c r="O313" s="140" t="s">
        <v>567</v>
      </c>
      <c r="P313" s="43" t="s">
        <v>575</v>
      </c>
      <c r="Q313" s="229" t="s">
        <v>3247</v>
      </c>
      <c r="R313" s="201"/>
      <c r="S313" s="142" t="s">
        <v>570</v>
      </c>
      <c r="T313" s="242"/>
    </row>
    <row r="314" spans="1:20" ht="58" customHeight="1">
      <c r="A314" s="231" t="s">
        <v>2438</v>
      </c>
      <c r="B314" s="45" t="s">
        <v>1539</v>
      </c>
      <c r="C314" s="44" t="s">
        <v>1540</v>
      </c>
      <c r="D314" s="44" t="s">
        <v>578</v>
      </c>
      <c r="E314" s="244" t="s">
        <v>838</v>
      </c>
      <c r="F314" s="244" t="s">
        <v>3382</v>
      </c>
      <c r="G314" s="245" t="s">
        <v>3379</v>
      </c>
      <c r="H314" s="45" t="s">
        <v>3</v>
      </c>
      <c r="I314" s="247" t="s">
        <v>1539</v>
      </c>
      <c r="J314" s="233" t="s">
        <v>3243</v>
      </c>
      <c r="K314" s="161"/>
      <c r="L314" s="240"/>
      <c r="M314" s="240"/>
      <c r="N314" s="160"/>
      <c r="O314" s="140" t="s">
        <v>567</v>
      </c>
      <c r="P314" s="43" t="s">
        <v>577</v>
      </c>
      <c r="Q314" s="229" t="s">
        <v>3247</v>
      </c>
      <c r="R314" s="201"/>
      <c r="S314" s="142" t="s">
        <v>570</v>
      </c>
      <c r="T314" s="242"/>
    </row>
    <row r="315" spans="1:20" ht="58" customHeight="1">
      <c r="A315" s="231" t="s">
        <v>2438</v>
      </c>
      <c r="B315" s="45" t="s">
        <v>1539</v>
      </c>
      <c r="C315" s="44" t="s">
        <v>1540</v>
      </c>
      <c r="D315" s="44" t="s">
        <v>580</v>
      </c>
      <c r="E315" s="244" t="s">
        <v>839</v>
      </c>
      <c r="F315" s="244" t="s">
        <v>3383</v>
      </c>
      <c r="G315" s="245" t="s">
        <v>3379</v>
      </c>
      <c r="H315" s="45" t="s">
        <v>3</v>
      </c>
      <c r="I315" s="247" t="s">
        <v>1539</v>
      </c>
      <c r="J315" s="233" t="s">
        <v>3243</v>
      </c>
      <c r="K315" s="161"/>
      <c r="L315" s="240"/>
      <c r="M315" s="240"/>
      <c r="N315" s="160"/>
      <c r="O315" s="140" t="s">
        <v>567</v>
      </c>
      <c r="P315" s="43" t="s">
        <v>579</v>
      </c>
      <c r="Q315" s="229" t="s">
        <v>3247</v>
      </c>
      <c r="R315" s="201"/>
      <c r="S315" s="142" t="s">
        <v>570</v>
      </c>
      <c r="T315" s="242"/>
    </row>
    <row r="316" spans="1:20" ht="58" customHeight="1">
      <c r="A316" s="231" t="s">
        <v>2438</v>
      </c>
      <c r="B316" s="45" t="s">
        <v>1539</v>
      </c>
      <c r="C316" s="44" t="s">
        <v>1540</v>
      </c>
      <c r="D316" s="44" t="s">
        <v>645</v>
      </c>
      <c r="E316" s="244" t="s">
        <v>867</v>
      </c>
      <c r="F316" s="244" t="s">
        <v>3424</v>
      </c>
      <c r="G316" s="245" t="s">
        <v>3425</v>
      </c>
      <c r="H316" s="45" t="s">
        <v>3</v>
      </c>
      <c r="I316" s="247" t="s">
        <v>1539</v>
      </c>
      <c r="J316" s="233" t="s">
        <v>3243</v>
      </c>
      <c r="K316" s="161"/>
      <c r="L316" s="240"/>
      <c r="M316" s="240"/>
      <c r="N316" s="160"/>
      <c r="O316" s="140" t="s">
        <v>643</v>
      </c>
      <c r="P316" s="43" t="s">
        <v>644</v>
      </c>
      <c r="Q316" s="229" t="s">
        <v>3247</v>
      </c>
      <c r="R316" s="201"/>
      <c r="S316" s="142" t="s">
        <v>646</v>
      </c>
      <c r="T316" s="242"/>
    </row>
    <row r="317" spans="1:20" ht="58" customHeight="1">
      <c r="A317" s="231" t="s">
        <v>2438</v>
      </c>
      <c r="B317" s="45" t="s">
        <v>1539</v>
      </c>
      <c r="C317" s="44" t="s">
        <v>1540</v>
      </c>
      <c r="D317" s="44" t="s">
        <v>648</v>
      </c>
      <c r="E317" s="244" t="s">
        <v>868</v>
      </c>
      <c r="F317" s="244" t="s">
        <v>3426</v>
      </c>
      <c r="G317" s="245" t="s">
        <v>3427</v>
      </c>
      <c r="H317" s="45" t="s">
        <v>1522</v>
      </c>
      <c r="I317" s="247" t="s">
        <v>1539</v>
      </c>
      <c r="J317" s="233" t="s">
        <v>3243</v>
      </c>
      <c r="K317" s="161"/>
      <c r="L317" s="240"/>
      <c r="M317" s="240"/>
      <c r="N317" s="160"/>
      <c r="O317" s="140" t="s">
        <v>643</v>
      </c>
      <c r="P317" s="43" t="s">
        <v>647</v>
      </c>
      <c r="Q317" s="229" t="s">
        <v>3247</v>
      </c>
      <c r="R317" s="201"/>
      <c r="S317" s="142" t="s">
        <v>649</v>
      </c>
      <c r="T317" s="242" t="s">
        <v>4647</v>
      </c>
    </row>
    <row r="318" spans="1:20" ht="58" customHeight="1">
      <c r="A318" s="231" t="s">
        <v>2438</v>
      </c>
      <c r="B318" s="45" t="s">
        <v>1539</v>
      </c>
      <c r="C318" s="44" t="s">
        <v>1540</v>
      </c>
      <c r="D318" s="44" t="s">
        <v>664</v>
      </c>
      <c r="E318" s="244" t="s">
        <v>874</v>
      </c>
      <c r="F318" s="244" t="s">
        <v>3436</v>
      </c>
      <c r="G318" s="245" t="s">
        <v>3379</v>
      </c>
      <c r="H318" s="45" t="s">
        <v>3</v>
      </c>
      <c r="I318" s="247" t="s">
        <v>1539</v>
      </c>
      <c r="J318" s="233" t="s">
        <v>3243</v>
      </c>
      <c r="K318" s="161"/>
      <c r="L318" s="240"/>
      <c r="M318" s="240"/>
      <c r="N318" s="160"/>
      <c r="O318" s="140" t="s">
        <v>655</v>
      </c>
      <c r="P318" s="43" t="s">
        <v>663</v>
      </c>
      <c r="Q318" s="229" t="s">
        <v>3247</v>
      </c>
      <c r="R318" s="201"/>
      <c r="S318" s="142" t="s">
        <v>658</v>
      </c>
      <c r="T318" s="242"/>
    </row>
    <row r="319" spans="1:20" ht="58" customHeight="1">
      <c r="A319" s="231" t="s">
        <v>2438</v>
      </c>
      <c r="B319" s="45" t="s">
        <v>1539</v>
      </c>
      <c r="C319" s="44" t="s">
        <v>1530</v>
      </c>
      <c r="D319" s="44" t="s">
        <v>4818</v>
      </c>
      <c r="E319" s="244" t="s">
        <v>4819</v>
      </c>
      <c r="F319" s="244" t="s">
        <v>4820</v>
      </c>
      <c r="G319" s="245" t="s">
        <v>4821</v>
      </c>
      <c r="H319" s="45" t="s">
        <v>2</v>
      </c>
      <c r="I319" s="247" t="s">
        <v>1539</v>
      </c>
      <c r="J319" s="233" t="s">
        <v>3243</v>
      </c>
      <c r="K319" s="161" t="s">
        <v>958</v>
      </c>
      <c r="L319" s="240"/>
      <c r="M319" s="240"/>
      <c r="N319" s="160"/>
      <c r="O319" s="140" t="s">
        <v>4822</v>
      </c>
      <c r="P319" s="43" t="s">
        <v>4823</v>
      </c>
      <c r="Q319" s="229" t="s">
        <v>4824</v>
      </c>
      <c r="R319" s="201" t="s">
        <v>4825</v>
      </c>
      <c r="S319" s="142" t="s">
        <v>4826</v>
      </c>
      <c r="T319" s="242"/>
    </row>
    <row r="320" spans="1:20" ht="58" customHeight="1">
      <c r="A320" s="231" t="s">
        <v>2438</v>
      </c>
      <c r="B320" s="45" t="s">
        <v>1539</v>
      </c>
      <c r="C320" s="44" t="s">
        <v>1533</v>
      </c>
      <c r="D320" s="44" t="s">
        <v>4827</v>
      </c>
      <c r="E320" s="244" t="s">
        <v>4828</v>
      </c>
      <c r="F320" s="244" t="s">
        <v>4829</v>
      </c>
      <c r="G320" s="245" t="s">
        <v>4830</v>
      </c>
      <c r="H320" s="45" t="s">
        <v>2</v>
      </c>
      <c r="I320" s="247" t="s">
        <v>1539</v>
      </c>
      <c r="J320" s="233" t="s">
        <v>3243</v>
      </c>
      <c r="K320" s="161" t="s">
        <v>958</v>
      </c>
      <c r="L320" s="240"/>
      <c r="M320" s="240"/>
      <c r="N320" s="160"/>
      <c r="O320" s="140" t="s">
        <v>4822</v>
      </c>
      <c r="P320" s="43" t="s">
        <v>4831</v>
      </c>
      <c r="Q320" s="229" t="s">
        <v>4824</v>
      </c>
      <c r="R320" s="201" t="s">
        <v>4825</v>
      </c>
      <c r="S320" s="142" t="s">
        <v>4832</v>
      </c>
      <c r="T320" s="242"/>
    </row>
    <row r="321" spans="1:20" ht="58" customHeight="1">
      <c r="A321" s="231" t="s">
        <v>2438</v>
      </c>
      <c r="B321" s="45" t="s">
        <v>1539</v>
      </c>
      <c r="C321" s="44" t="s">
        <v>1533</v>
      </c>
      <c r="D321" s="44" t="s">
        <v>4833</v>
      </c>
      <c r="E321" s="244" t="s">
        <v>4834</v>
      </c>
      <c r="F321" s="244" t="s">
        <v>4835</v>
      </c>
      <c r="G321" s="245" t="s">
        <v>4836</v>
      </c>
      <c r="H321" s="45" t="s">
        <v>2</v>
      </c>
      <c r="I321" s="247" t="s">
        <v>1539</v>
      </c>
      <c r="J321" s="233" t="s">
        <v>3243</v>
      </c>
      <c r="K321" s="161" t="s">
        <v>958</v>
      </c>
      <c r="L321" s="240"/>
      <c r="M321" s="240"/>
      <c r="N321" s="160"/>
      <c r="O321" s="140" t="s">
        <v>4822</v>
      </c>
      <c r="P321" s="43" t="s">
        <v>4837</v>
      </c>
      <c r="Q321" s="229" t="s">
        <v>4824</v>
      </c>
      <c r="R321" s="201" t="s">
        <v>4825</v>
      </c>
      <c r="S321" s="142" t="s">
        <v>4832</v>
      </c>
      <c r="T321" s="242"/>
    </row>
    <row r="322" spans="1:20" ht="58" customHeight="1">
      <c r="A322" s="231" t="s">
        <v>2438</v>
      </c>
      <c r="B322" s="45" t="s">
        <v>1539</v>
      </c>
      <c r="C322" s="44" t="s">
        <v>1533</v>
      </c>
      <c r="D322" s="44" t="s">
        <v>4838</v>
      </c>
      <c r="E322" s="244" t="s">
        <v>4839</v>
      </c>
      <c r="F322" s="244" t="s">
        <v>4840</v>
      </c>
      <c r="G322" s="245" t="s">
        <v>4841</v>
      </c>
      <c r="H322" s="45" t="s">
        <v>2</v>
      </c>
      <c r="I322" s="247" t="s">
        <v>1539</v>
      </c>
      <c r="J322" s="233" t="s">
        <v>3243</v>
      </c>
      <c r="K322" s="161" t="s">
        <v>958</v>
      </c>
      <c r="L322" s="240"/>
      <c r="M322" s="240"/>
      <c r="N322" s="160"/>
      <c r="O322" s="140" t="s">
        <v>4822</v>
      </c>
      <c r="P322" s="43" t="s">
        <v>4842</v>
      </c>
      <c r="Q322" s="229" t="s">
        <v>4824</v>
      </c>
      <c r="R322" s="201" t="s">
        <v>4825</v>
      </c>
      <c r="S322" s="142" t="s">
        <v>4832</v>
      </c>
      <c r="T322" s="242"/>
    </row>
    <row r="323" spans="1:20" ht="58" customHeight="1">
      <c r="A323" s="231" t="s">
        <v>2438</v>
      </c>
      <c r="B323" s="45" t="s">
        <v>1539</v>
      </c>
      <c r="C323" s="44" t="s">
        <v>1537</v>
      </c>
      <c r="D323" s="44" t="s">
        <v>4843</v>
      </c>
      <c r="E323" s="244" t="s">
        <v>4844</v>
      </c>
      <c r="F323" s="244" t="s">
        <v>4845</v>
      </c>
      <c r="G323" s="245" t="s">
        <v>4846</v>
      </c>
      <c r="H323" s="45" t="s">
        <v>2</v>
      </c>
      <c r="I323" s="247" t="s">
        <v>1539</v>
      </c>
      <c r="J323" s="233" t="s">
        <v>3243</v>
      </c>
      <c r="K323" s="161" t="s">
        <v>958</v>
      </c>
      <c r="L323" s="240"/>
      <c r="M323" s="240"/>
      <c r="N323" s="160"/>
      <c r="O323" s="140" t="s">
        <v>4822</v>
      </c>
      <c r="P323" s="43" t="s">
        <v>4847</v>
      </c>
      <c r="Q323" s="229" t="s">
        <v>4824</v>
      </c>
      <c r="R323" s="201" t="s">
        <v>4825</v>
      </c>
      <c r="S323" s="142" t="s">
        <v>4848</v>
      </c>
      <c r="T323" s="242"/>
    </row>
    <row r="324" spans="1:20" ht="58" customHeight="1">
      <c r="A324" s="231" t="s">
        <v>2438</v>
      </c>
      <c r="B324" s="45" t="s">
        <v>1539</v>
      </c>
      <c r="C324" s="44" t="s">
        <v>1537</v>
      </c>
      <c r="D324" s="44" t="s">
        <v>4849</v>
      </c>
      <c r="E324" s="244" t="s">
        <v>4850</v>
      </c>
      <c r="F324" s="244" t="s">
        <v>4851</v>
      </c>
      <c r="G324" s="245" t="s">
        <v>4852</v>
      </c>
      <c r="H324" s="45" t="s">
        <v>2</v>
      </c>
      <c r="I324" s="247" t="s">
        <v>1539</v>
      </c>
      <c r="J324" s="233" t="s">
        <v>3243</v>
      </c>
      <c r="K324" s="161" t="s">
        <v>958</v>
      </c>
      <c r="L324" s="240"/>
      <c r="M324" s="240"/>
      <c r="N324" s="160"/>
      <c r="O324" s="140" t="s">
        <v>4822</v>
      </c>
      <c r="P324" s="43" t="s">
        <v>4853</v>
      </c>
      <c r="Q324" s="229" t="s">
        <v>4824</v>
      </c>
      <c r="R324" s="201" t="s">
        <v>4825</v>
      </c>
      <c r="S324" s="142" t="s">
        <v>4854</v>
      </c>
      <c r="T324" s="242"/>
    </row>
    <row r="325" spans="1:20" ht="58" customHeight="1">
      <c r="A325" s="231" t="s">
        <v>2438</v>
      </c>
      <c r="B325" s="45" t="s">
        <v>1539</v>
      </c>
      <c r="C325" s="44" t="s">
        <v>1533</v>
      </c>
      <c r="D325" s="44" t="s">
        <v>4855</v>
      </c>
      <c r="E325" s="244" t="s">
        <v>4856</v>
      </c>
      <c r="F325" s="244" t="s">
        <v>4857</v>
      </c>
      <c r="G325" s="245" t="s">
        <v>4858</v>
      </c>
      <c r="H325" s="45" t="s">
        <v>2</v>
      </c>
      <c r="I325" s="247" t="s">
        <v>1539</v>
      </c>
      <c r="J325" s="233" t="s">
        <v>3243</v>
      </c>
      <c r="K325" s="161" t="s">
        <v>958</v>
      </c>
      <c r="L325" s="240"/>
      <c r="M325" s="240"/>
      <c r="N325" s="160"/>
      <c r="O325" s="140" t="s">
        <v>4822</v>
      </c>
      <c r="P325" s="43" t="s">
        <v>4859</v>
      </c>
      <c r="Q325" s="229" t="s">
        <v>4824</v>
      </c>
      <c r="R325" s="201" t="s">
        <v>4825</v>
      </c>
      <c r="S325" s="142" t="s">
        <v>4824</v>
      </c>
      <c r="T325" s="242"/>
    </row>
    <row r="326" spans="1:20" ht="58" customHeight="1">
      <c r="A326" s="231" t="s">
        <v>2438</v>
      </c>
      <c r="B326" s="45" t="s">
        <v>1539</v>
      </c>
      <c r="C326" s="44" t="s">
        <v>1540</v>
      </c>
      <c r="D326" s="44" t="s">
        <v>4860</v>
      </c>
      <c r="E326" s="244" t="s">
        <v>4861</v>
      </c>
      <c r="F326" s="244" t="s">
        <v>4862</v>
      </c>
      <c r="G326" s="245" t="s">
        <v>4863</v>
      </c>
      <c r="H326" s="45" t="s">
        <v>2</v>
      </c>
      <c r="I326" s="247" t="s">
        <v>1539</v>
      </c>
      <c r="J326" s="233" t="s">
        <v>3243</v>
      </c>
      <c r="K326" s="161" t="s">
        <v>958</v>
      </c>
      <c r="L326" s="240"/>
      <c r="M326" s="240"/>
      <c r="N326" s="160"/>
      <c r="O326" s="140" t="s">
        <v>4822</v>
      </c>
      <c r="P326" s="43" t="s">
        <v>4864</v>
      </c>
      <c r="Q326" s="229" t="s">
        <v>4824</v>
      </c>
      <c r="R326" s="201" t="s">
        <v>4825</v>
      </c>
      <c r="S326" s="142" t="s">
        <v>4865</v>
      </c>
      <c r="T326" s="242"/>
    </row>
    <row r="327" spans="1:20" ht="58" customHeight="1">
      <c r="A327" s="231" t="s">
        <v>2437</v>
      </c>
      <c r="B327" s="45" t="s">
        <v>1541</v>
      </c>
      <c r="C327" s="44" t="s">
        <v>1526</v>
      </c>
      <c r="D327" s="44" t="s">
        <v>5250</v>
      </c>
      <c r="E327" s="244" t="s">
        <v>5251</v>
      </c>
      <c r="F327" s="244" t="s">
        <v>5252</v>
      </c>
      <c r="G327" s="245" t="s">
        <v>5253</v>
      </c>
      <c r="H327" s="45" t="s">
        <v>1522</v>
      </c>
      <c r="I327" s="247" t="s">
        <v>4500</v>
      </c>
      <c r="J327" s="233" t="s">
        <v>5254</v>
      </c>
      <c r="K327" s="161" t="s">
        <v>5196</v>
      </c>
      <c r="L327" s="240"/>
      <c r="M327" s="240"/>
      <c r="N327" s="160" t="s">
        <v>4278</v>
      </c>
      <c r="O327" s="140" t="s">
        <v>5255</v>
      </c>
      <c r="P327" s="43" t="s">
        <v>5196</v>
      </c>
      <c r="Q327" s="229" t="s">
        <v>5257</v>
      </c>
      <c r="R327" s="201" t="s">
        <v>5256</v>
      </c>
      <c r="S327" s="142" t="s">
        <v>5258</v>
      </c>
      <c r="T327" s="242"/>
    </row>
    <row r="328" spans="1:20" ht="58" customHeight="1">
      <c r="A328" s="231" t="s">
        <v>2437</v>
      </c>
      <c r="B328" s="45" t="s">
        <v>1541</v>
      </c>
      <c r="C328" s="44" t="s">
        <v>1526</v>
      </c>
      <c r="D328" s="44" t="s">
        <v>5259</v>
      </c>
      <c r="E328" s="244" t="s">
        <v>5260</v>
      </c>
      <c r="F328" s="244" t="s">
        <v>5261</v>
      </c>
      <c r="G328" s="245" t="s">
        <v>5262</v>
      </c>
      <c r="H328" s="45" t="s">
        <v>1522</v>
      </c>
      <c r="I328" s="247" t="s">
        <v>4500</v>
      </c>
      <c r="J328" s="233" t="s">
        <v>5263</v>
      </c>
      <c r="K328" s="161" t="s">
        <v>5204</v>
      </c>
      <c r="L328" s="240"/>
      <c r="M328" s="240"/>
      <c r="N328" s="160" t="s">
        <v>4278</v>
      </c>
      <c r="O328" s="140" t="s">
        <v>5255</v>
      </c>
      <c r="P328" s="43" t="s">
        <v>5204</v>
      </c>
      <c r="Q328" s="229" t="s">
        <v>5257</v>
      </c>
      <c r="R328" s="201" t="s">
        <v>5256</v>
      </c>
      <c r="S328" s="142" t="s">
        <v>5258</v>
      </c>
      <c r="T328" s="242"/>
    </row>
    <row r="329" spans="1:20" ht="58" customHeight="1">
      <c r="A329" s="231" t="s">
        <v>2437</v>
      </c>
      <c r="B329" s="45" t="s">
        <v>1541</v>
      </c>
      <c r="C329" s="44" t="s">
        <v>1526</v>
      </c>
      <c r="D329" s="44" t="s">
        <v>5264</v>
      </c>
      <c r="E329" s="244" t="s">
        <v>5265</v>
      </c>
      <c r="F329" s="244" t="s">
        <v>5266</v>
      </c>
      <c r="G329" s="245" t="s">
        <v>5267</v>
      </c>
      <c r="H329" s="45" t="s">
        <v>1522</v>
      </c>
      <c r="I329" s="247" t="s">
        <v>4500</v>
      </c>
      <c r="J329" s="233" t="s">
        <v>5268</v>
      </c>
      <c r="K329" s="161" t="s">
        <v>5211</v>
      </c>
      <c r="L329" s="240"/>
      <c r="M329" s="240"/>
      <c r="N329" s="160" t="s">
        <v>4279</v>
      </c>
      <c r="O329" s="140" t="s">
        <v>5255</v>
      </c>
      <c r="P329" s="43" t="s">
        <v>5211</v>
      </c>
      <c r="Q329" s="229" t="s">
        <v>5257</v>
      </c>
      <c r="R329" s="201" t="s">
        <v>5269</v>
      </c>
      <c r="S329" s="142" t="s">
        <v>5258</v>
      </c>
      <c r="T329" s="242"/>
    </row>
    <row r="330" spans="1:20" ht="58" customHeight="1">
      <c r="A330" s="231" t="s">
        <v>2437</v>
      </c>
      <c r="B330" s="45" t="s">
        <v>1541</v>
      </c>
      <c r="C330" s="44" t="s">
        <v>1527</v>
      </c>
      <c r="D330" s="44" t="s">
        <v>5270</v>
      </c>
      <c r="E330" s="244" t="s">
        <v>5271</v>
      </c>
      <c r="F330" s="244" t="s">
        <v>5272</v>
      </c>
      <c r="G330" s="245" t="s">
        <v>5273</v>
      </c>
      <c r="H330" s="45" t="s">
        <v>1522</v>
      </c>
      <c r="I330" s="247" t="s">
        <v>4500</v>
      </c>
      <c r="J330" s="233" t="s">
        <v>5274</v>
      </c>
      <c r="K330" s="161" t="s">
        <v>5218</v>
      </c>
      <c r="L330" s="240"/>
      <c r="M330" s="240"/>
      <c r="N330" s="160" t="s">
        <v>4279</v>
      </c>
      <c r="O330" s="140" t="s">
        <v>5255</v>
      </c>
      <c r="P330" s="43" t="s">
        <v>5218</v>
      </c>
      <c r="Q330" s="229" t="s">
        <v>5257</v>
      </c>
      <c r="R330" s="201" t="s">
        <v>5269</v>
      </c>
      <c r="S330" s="142" t="s">
        <v>5258</v>
      </c>
      <c r="T330" s="242"/>
    </row>
    <row r="331" spans="1:20" ht="58" customHeight="1">
      <c r="A331" s="231" t="s">
        <v>2437</v>
      </c>
      <c r="B331" s="45" t="s">
        <v>1541</v>
      </c>
      <c r="C331" s="44" t="s">
        <v>1534</v>
      </c>
      <c r="D331" s="44" t="s">
        <v>5275</v>
      </c>
      <c r="E331" s="244" t="s">
        <v>5276</v>
      </c>
      <c r="F331" s="244" t="s">
        <v>5277</v>
      </c>
      <c r="G331" s="245" t="s">
        <v>5278</v>
      </c>
      <c r="H331" s="45" t="s">
        <v>1522</v>
      </c>
      <c r="I331" s="247" t="s">
        <v>3036</v>
      </c>
      <c r="J331" s="233" t="s">
        <v>5279</v>
      </c>
      <c r="K331" s="161" t="s">
        <v>5225</v>
      </c>
      <c r="L331" s="240"/>
      <c r="M331" s="240"/>
      <c r="N331" s="160" t="s">
        <v>4278</v>
      </c>
      <c r="O331" s="140" t="s">
        <v>5255</v>
      </c>
      <c r="P331" s="43" t="s">
        <v>5225</v>
      </c>
      <c r="Q331" s="229" t="s">
        <v>5257</v>
      </c>
      <c r="R331" s="201" t="s">
        <v>5280</v>
      </c>
      <c r="S331" s="142" t="s">
        <v>5258</v>
      </c>
      <c r="T331" s="242"/>
    </row>
    <row r="332" spans="1:20" ht="58" customHeight="1">
      <c r="A332" s="231" t="s">
        <v>2437</v>
      </c>
      <c r="B332" s="45" t="s">
        <v>1541</v>
      </c>
      <c r="C332" s="44" t="s">
        <v>1527</v>
      </c>
      <c r="D332" s="44" t="s">
        <v>5281</v>
      </c>
      <c r="E332" s="244" t="s">
        <v>5282</v>
      </c>
      <c r="F332" s="244" t="s">
        <v>5283</v>
      </c>
      <c r="G332" s="245" t="s">
        <v>5284</v>
      </c>
      <c r="H332" s="45" t="s">
        <v>1522</v>
      </c>
      <c r="I332" s="247" t="s">
        <v>3036</v>
      </c>
      <c r="J332" s="233" t="s">
        <v>5285</v>
      </c>
      <c r="K332" s="161" t="s">
        <v>5233</v>
      </c>
      <c r="L332" s="240"/>
      <c r="M332" s="240"/>
      <c r="N332" s="160" t="s">
        <v>4278</v>
      </c>
      <c r="O332" s="140" t="s">
        <v>5255</v>
      </c>
      <c r="P332" s="43" t="s">
        <v>5233</v>
      </c>
      <c r="Q332" s="229" t="s">
        <v>5257</v>
      </c>
      <c r="R332" s="201" t="s">
        <v>5286</v>
      </c>
      <c r="S332" s="142" t="s">
        <v>5258</v>
      </c>
      <c r="T332" s="242" t="s">
        <v>5287</v>
      </c>
    </row>
    <row r="333" spans="1:20" ht="58" customHeight="1">
      <c r="A333" s="231" t="s">
        <v>2437</v>
      </c>
      <c r="B333" s="45" t="s">
        <v>1541</v>
      </c>
      <c r="C333" s="44" t="s">
        <v>1527</v>
      </c>
      <c r="D333" s="44" t="s">
        <v>5288</v>
      </c>
      <c r="E333" s="244" t="s">
        <v>5289</v>
      </c>
      <c r="F333" s="244" t="s">
        <v>5290</v>
      </c>
      <c r="G333" s="245" t="s">
        <v>5291</v>
      </c>
      <c r="H333" s="45" t="s">
        <v>1522</v>
      </c>
      <c r="I333" s="247" t="s">
        <v>3036</v>
      </c>
      <c r="J333" s="233" t="s">
        <v>5292</v>
      </c>
      <c r="K333" s="161" t="s">
        <v>5240</v>
      </c>
      <c r="L333" s="240"/>
      <c r="M333" s="240"/>
      <c r="N333" s="160" t="s">
        <v>4279</v>
      </c>
      <c r="O333" s="140" t="s">
        <v>5255</v>
      </c>
      <c r="P333" s="43" t="s">
        <v>5240</v>
      </c>
      <c r="Q333" s="229" t="s">
        <v>5257</v>
      </c>
      <c r="R333" s="201" t="s">
        <v>5269</v>
      </c>
      <c r="S333" s="142" t="s">
        <v>5258</v>
      </c>
      <c r="T333" s="242"/>
    </row>
    <row r="334" spans="1:20" ht="58" customHeight="1">
      <c r="A334" s="231" t="s">
        <v>2438</v>
      </c>
      <c r="B334" s="45" t="s">
        <v>1538</v>
      </c>
      <c r="C334" s="44" t="s">
        <v>1532</v>
      </c>
      <c r="D334" s="44" t="s">
        <v>5295</v>
      </c>
      <c r="E334" s="244" t="s">
        <v>5296</v>
      </c>
      <c r="F334" s="244" t="s">
        <v>5297</v>
      </c>
      <c r="G334" s="245" t="s">
        <v>5298</v>
      </c>
      <c r="H334" s="45" t="s">
        <v>1522</v>
      </c>
      <c r="I334" s="247" t="s">
        <v>4484</v>
      </c>
      <c r="J334" s="233" t="s">
        <v>3243</v>
      </c>
      <c r="K334" s="161" t="s">
        <v>958</v>
      </c>
      <c r="L334" s="240"/>
      <c r="M334" s="240"/>
      <c r="N334" s="160" t="s">
        <v>4278</v>
      </c>
      <c r="O334" s="140" t="s">
        <v>5299</v>
      </c>
      <c r="P334" s="43" t="s">
        <v>5300</v>
      </c>
      <c r="Q334" s="229" t="s">
        <v>3250</v>
      </c>
      <c r="R334" s="201" t="s">
        <v>5301</v>
      </c>
      <c r="S334" s="142" t="s">
        <v>5302</v>
      </c>
      <c r="T334" s="242"/>
    </row>
    <row r="335" spans="1:20" ht="58" customHeight="1">
      <c r="A335" s="231" t="s">
        <v>2438</v>
      </c>
      <c r="B335" s="45" t="s">
        <v>1538</v>
      </c>
      <c r="C335" s="44" t="s">
        <v>1532</v>
      </c>
      <c r="D335" s="44" t="s">
        <v>5303</v>
      </c>
      <c r="E335" s="244" t="s">
        <v>5304</v>
      </c>
      <c r="F335" s="244" t="s">
        <v>5305</v>
      </c>
      <c r="G335" s="245" t="s">
        <v>5306</v>
      </c>
      <c r="H335" s="45" t="s">
        <v>1522</v>
      </c>
      <c r="I335" s="247" t="s">
        <v>4484</v>
      </c>
      <c r="J335" s="233" t="s">
        <v>3243</v>
      </c>
      <c r="K335" s="161" t="s">
        <v>958</v>
      </c>
      <c r="L335" s="240"/>
      <c r="M335" s="240"/>
      <c r="N335" s="160" t="s">
        <v>4278</v>
      </c>
      <c r="O335" s="140" t="s">
        <v>5307</v>
      </c>
      <c r="P335" s="43" t="s">
        <v>5308</v>
      </c>
      <c r="Q335" s="229" t="s">
        <v>3246</v>
      </c>
      <c r="R335" s="201" t="s">
        <v>5309</v>
      </c>
      <c r="S335" s="142" t="s">
        <v>5310</v>
      </c>
      <c r="T335" s="242"/>
    </row>
    <row r="336" spans="1:20" ht="58" customHeight="1">
      <c r="A336" s="231" t="s">
        <v>2438</v>
      </c>
      <c r="B336" s="45" t="s">
        <v>1538</v>
      </c>
      <c r="C336" s="44" t="s">
        <v>1532</v>
      </c>
      <c r="D336" s="44" t="s">
        <v>5311</v>
      </c>
      <c r="E336" s="244" t="s">
        <v>5312</v>
      </c>
      <c r="F336" s="244" t="s">
        <v>5313</v>
      </c>
      <c r="G336" s="245" t="s">
        <v>5314</v>
      </c>
      <c r="H336" s="45" t="s">
        <v>1522</v>
      </c>
      <c r="I336" s="247" t="s">
        <v>4484</v>
      </c>
      <c r="J336" s="233" t="s">
        <v>3243</v>
      </c>
      <c r="K336" s="161" t="s">
        <v>958</v>
      </c>
      <c r="L336" s="240"/>
      <c r="M336" s="240"/>
      <c r="N336" s="160" t="s">
        <v>4278</v>
      </c>
      <c r="O336" s="140" t="s">
        <v>5307</v>
      </c>
      <c r="P336" s="43" t="s">
        <v>5315</v>
      </c>
      <c r="Q336" s="229" t="s">
        <v>3246</v>
      </c>
      <c r="R336" s="201" t="s">
        <v>5309</v>
      </c>
      <c r="S336" s="142" t="s">
        <v>5316</v>
      </c>
      <c r="T336" s="242"/>
    </row>
    <row r="337" spans="1:20" ht="58" customHeight="1">
      <c r="A337" s="231" t="s">
        <v>2438</v>
      </c>
      <c r="B337" s="45" t="s">
        <v>1538</v>
      </c>
      <c r="C337" s="44" t="s">
        <v>1525</v>
      </c>
      <c r="D337" s="44" t="s">
        <v>5317</v>
      </c>
      <c r="E337" s="244" t="s">
        <v>5318</v>
      </c>
      <c r="F337" s="244" t="s">
        <v>5319</v>
      </c>
      <c r="G337" s="245" t="s">
        <v>5320</v>
      </c>
      <c r="H337" s="45" t="s">
        <v>3</v>
      </c>
      <c r="I337" s="247" t="s">
        <v>1539</v>
      </c>
      <c r="J337" s="233" t="s">
        <v>3243</v>
      </c>
      <c r="K337" s="161" t="s">
        <v>958</v>
      </c>
      <c r="L337" s="240"/>
      <c r="M337" s="240"/>
      <c r="N337" s="160" t="s">
        <v>4279</v>
      </c>
      <c r="O337" s="140" t="s">
        <v>5321</v>
      </c>
      <c r="P337" s="43" t="s">
        <v>1442</v>
      </c>
      <c r="Q337" s="229" t="s">
        <v>3250</v>
      </c>
      <c r="R337" s="201" t="s">
        <v>5322</v>
      </c>
      <c r="S337" s="142" t="s">
        <v>5323</v>
      </c>
      <c r="T337" s="242" t="s">
        <v>5324</v>
      </c>
    </row>
  </sheetData>
  <autoFilter ref="A3:T337" xr:uid="{4F6F187A-C144-EF41-838F-8FD30632C19C}"/>
  <phoneticPr fontId="2"/>
  <conditionalFormatting sqref="A4:S1000">
    <cfRule type="expression" dxfId="126" priority="1">
      <formula>AND($P4&lt;&gt;"",$H4="確定")</formula>
    </cfRule>
  </conditionalFormatting>
  <conditionalFormatting sqref="A4:S1000">
    <cfRule type="expression" dxfId="125" priority="2">
      <formula>AND($P4&lt;&gt;"",$H4="方向性確定（条件付き）")</formula>
    </cfRule>
  </conditionalFormatting>
  <conditionalFormatting sqref="A4:S1000">
    <cfRule type="expression" dxfId="124" priority="3">
      <formula>AND($P4&lt;&gt;"",$H4="検討中")</formula>
    </cfRule>
  </conditionalFormatting>
  <conditionalFormatting sqref="A4:S1000">
    <cfRule type="expression" dxfId="123" priority="4">
      <formula>AND($P4&lt;&gt;"",$H4="外部待ち")</formula>
    </cfRule>
  </conditionalFormatting>
  <conditionalFormatting sqref="A4:S1000">
    <cfRule type="expression" dxfId="122" priority="5">
      <formula>AND($P4&lt;&gt;"",$H4="対象外")</formula>
    </cfRule>
  </conditionalFormatting>
  <conditionalFormatting sqref="I4:I1000">
    <cfRule type="expression" dxfId="121" priority="6">
      <formula>$I4="顧客ヒアリング"</formula>
    </cfRule>
  </conditionalFormatting>
  <conditionalFormatting sqref="I4:I1000">
    <cfRule type="expression" dxfId="120" priority="7">
      <formula>$I4="顧客ヒアリング（アプリチーム）"</formula>
    </cfRule>
  </conditionalFormatting>
  <conditionalFormatting sqref="I4:I1000">
    <cfRule type="expression" dxfId="119" priority="8">
      <formula>$I4="顧客ヒアリング→アプリ確認"</formula>
    </cfRule>
  </conditionalFormatting>
  <conditionalFormatting sqref="I4:I1000">
    <cfRule type="expression" dxfId="118" priority="9">
      <formula>$I4="他組織ヒアリング（要求仕様）"</formula>
    </cfRule>
  </conditionalFormatting>
  <conditionalFormatting sqref="I4:I1000">
    <cfRule type="expression" dxfId="117" priority="10">
      <formula>$I4="社内判断待ち"</formula>
    </cfRule>
  </conditionalFormatting>
  <conditionalFormatting sqref="I4:I1000">
    <cfRule type="expression" dxfId="116" priority="11">
      <formula>$I4="設計タスク"</formula>
    </cfRule>
  </conditionalFormatting>
  <conditionalFormatting sqref="I4:I1000">
    <cfRule type="expression" dxfId="115" priority="12">
      <formula>$I4="確定（反映のみ）"</formula>
    </cfRule>
  </conditionalFormatting>
  <conditionalFormatting sqref="I4:I1000">
    <cfRule type="expression" dxfId="114" priority="13">
      <formula>$I4="スコープ外"</formula>
    </cfRule>
  </conditionalFormatting>
  <conditionalFormatting sqref="T4:T1000">
    <cfRule type="expression" dxfId="113" priority="14">
      <formula>$T4&lt;&gt;""</formula>
    </cfRule>
  </conditionalFormatting>
  <conditionalFormatting sqref="N4:N1000">
    <cfRule type="expression" dxfId="112" priority="15">
      <formula>$N4="最優先"</formula>
    </cfRule>
  </conditionalFormatting>
  <conditionalFormatting sqref="N4:N1000">
    <cfRule type="expression" dxfId="111" priority="16">
      <formula>$N4="通常"</formula>
    </cfRule>
  </conditionalFormatting>
  <conditionalFormatting sqref="N4:N1000">
    <cfRule type="expression" dxfId="110" priority="17">
      <formula>$N4="後回し可"</formula>
    </cfRule>
  </conditionalFormatting>
  <pageMargins left="0.7" right="0.7" top="0.75" bottom="0.75" header="0.3" footer="0.3"/>
  <pageSetup paperSize="9" orientation="portrait" horizontalDpi="0" verticalDpi="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10581F7-ECDF-C64A-A7B0-C540D55B3FA1}">
  <dimension ref="A1:E189"/>
  <sheetViews>
    <sheetView zoomScale="161" workbookViewId="0">
      <pane ySplit="4" topLeftCell="A5" activePane="bottomLeft" state="frozen"/>
      <selection pane="bottomLeft" activeCell="C27" sqref="C27"/>
    </sheetView>
  </sheetViews>
  <sheetFormatPr baseColWidth="10" defaultRowHeight="15"/>
  <cols>
    <col min="1" max="1" width="42.85546875" style="63" customWidth="1"/>
    <col min="2" max="2" width="24.28515625" style="63" customWidth="1"/>
    <col min="3" max="3" width="100" style="63" customWidth="1"/>
    <col min="4" max="4" width="18.5703125" style="63" customWidth="1"/>
    <col min="5" max="5" width="40" style="63" customWidth="1"/>
    <col min="6" max="16384" width="10.7109375" style="63"/>
  </cols>
  <sheetData>
    <row r="1" spans="1:5">
      <c r="A1" s="62" t="s">
        <v>875</v>
      </c>
    </row>
    <row r="2" spans="1:5">
      <c r="A2" s="64" t="s">
        <v>1518</v>
      </c>
    </row>
    <row r="4" spans="1:5" ht="22" customHeight="1">
      <c r="A4" s="36" t="s">
        <v>1546</v>
      </c>
      <c r="B4" s="37" t="s">
        <v>1547</v>
      </c>
      <c r="C4" s="37" t="s">
        <v>1548</v>
      </c>
      <c r="D4" s="37" t="s">
        <v>1549</v>
      </c>
      <c r="E4" s="38" t="s">
        <v>1550</v>
      </c>
    </row>
    <row r="5" spans="1:5">
      <c r="A5" s="128" t="s">
        <v>1551</v>
      </c>
      <c r="B5" s="66" t="s">
        <v>1552</v>
      </c>
      <c r="C5" s="66" t="s">
        <v>1553</v>
      </c>
      <c r="D5" s="131" t="s">
        <v>1554</v>
      </c>
      <c r="E5" s="42" t="s">
        <v>1555</v>
      </c>
    </row>
    <row r="6" spans="1:5">
      <c r="A6" s="128" t="s">
        <v>1556</v>
      </c>
      <c r="B6" s="66" t="s">
        <v>1552</v>
      </c>
      <c r="C6" s="66" t="s">
        <v>1557</v>
      </c>
      <c r="D6" s="131" t="s">
        <v>1558</v>
      </c>
      <c r="E6" s="42" t="s">
        <v>1555</v>
      </c>
    </row>
    <row r="7" spans="1:5">
      <c r="A7" s="128" t="s">
        <v>1559</v>
      </c>
      <c r="B7" s="66" t="s">
        <v>1552</v>
      </c>
      <c r="C7" s="66" t="s">
        <v>1560</v>
      </c>
      <c r="D7" s="131" t="s">
        <v>1561</v>
      </c>
      <c r="E7" s="42" t="s">
        <v>1555</v>
      </c>
    </row>
    <row r="8" spans="1:5">
      <c r="A8" s="128" t="s">
        <v>1562</v>
      </c>
      <c r="B8" s="66" t="s">
        <v>1552</v>
      </c>
      <c r="C8" s="66" t="s">
        <v>1563</v>
      </c>
      <c r="D8" s="131" t="s">
        <v>1564</v>
      </c>
      <c r="E8" s="42" t="s">
        <v>1555</v>
      </c>
    </row>
    <row r="9" spans="1:5">
      <c r="A9" s="128" t="s">
        <v>1565</v>
      </c>
      <c r="B9" s="66" t="s">
        <v>1552</v>
      </c>
      <c r="C9" s="66" t="s">
        <v>1566</v>
      </c>
      <c r="D9" s="131" t="s">
        <v>1567</v>
      </c>
      <c r="E9" s="42" t="s">
        <v>1555</v>
      </c>
    </row>
    <row r="10" spans="1:5">
      <c r="A10" s="128" t="s">
        <v>1568</v>
      </c>
      <c r="B10" s="66" t="s">
        <v>1552</v>
      </c>
      <c r="C10" s="66" t="s">
        <v>1569</v>
      </c>
      <c r="D10" s="131" t="s">
        <v>1570</v>
      </c>
      <c r="E10" s="42" t="s">
        <v>1555</v>
      </c>
    </row>
    <row r="11" spans="1:5">
      <c r="A11" s="128" t="s">
        <v>1571</v>
      </c>
      <c r="B11" s="66" t="s">
        <v>1552</v>
      </c>
      <c r="C11" s="66" t="s">
        <v>1572</v>
      </c>
      <c r="D11" s="131" t="s">
        <v>1573</v>
      </c>
      <c r="E11" s="42" t="s">
        <v>1555</v>
      </c>
    </row>
    <row r="12" spans="1:5">
      <c r="A12" s="128" t="s">
        <v>1574</v>
      </c>
      <c r="B12" s="66" t="s">
        <v>1552</v>
      </c>
      <c r="C12" s="66" t="s">
        <v>1575</v>
      </c>
      <c r="D12" s="131" t="s">
        <v>1576</v>
      </c>
      <c r="E12" s="42" t="s">
        <v>1555</v>
      </c>
    </row>
    <row r="13" spans="1:5">
      <c r="A13" s="128" t="s">
        <v>1577</v>
      </c>
      <c r="B13" s="66" t="s">
        <v>1552</v>
      </c>
      <c r="C13" s="66" t="s">
        <v>1578</v>
      </c>
      <c r="D13" s="131" t="s">
        <v>1579</v>
      </c>
      <c r="E13" s="42" t="s">
        <v>1555</v>
      </c>
    </row>
    <row r="14" spans="1:5">
      <c r="A14" s="128" t="s">
        <v>1580</v>
      </c>
      <c r="B14" s="66" t="s">
        <v>1552</v>
      </c>
      <c r="C14" s="66" t="s">
        <v>1581</v>
      </c>
      <c r="D14" s="131" t="s">
        <v>1582</v>
      </c>
      <c r="E14" s="42" t="s">
        <v>1555</v>
      </c>
    </row>
    <row r="15" spans="1:5">
      <c r="A15" s="128" t="s">
        <v>1583</v>
      </c>
      <c r="B15" s="66" t="s">
        <v>1552</v>
      </c>
      <c r="C15" s="66" t="s">
        <v>1584</v>
      </c>
      <c r="D15" s="131" t="s">
        <v>1585</v>
      </c>
      <c r="E15" s="42" t="s">
        <v>1555</v>
      </c>
    </row>
    <row r="16" spans="1:5">
      <c r="A16" s="128" t="s">
        <v>1586</v>
      </c>
      <c r="B16" s="66" t="s">
        <v>1552</v>
      </c>
      <c r="C16" s="66" t="s">
        <v>1587</v>
      </c>
      <c r="D16" s="131" t="s">
        <v>1588</v>
      </c>
      <c r="E16" s="42" t="s">
        <v>1555</v>
      </c>
    </row>
    <row r="17" spans="1:5">
      <c r="A17" s="128" t="s">
        <v>1589</v>
      </c>
      <c r="B17" s="66" t="s">
        <v>1552</v>
      </c>
      <c r="C17" s="66" t="s">
        <v>1590</v>
      </c>
      <c r="D17" s="131" t="s">
        <v>1591</v>
      </c>
      <c r="E17" s="42" t="s">
        <v>1555</v>
      </c>
    </row>
    <row r="18" spans="1:5">
      <c r="A18" s="128" t="s">
        <v>1592</v>
      </c>
      <c r="B18" s="66" t="s">
        <v>1552</v>
      </c>
      <c r="C18" s="66" t="s">
        <v>1593</v>
      </c>
      <c r="D18" s="131" t="s">
        <v>1594</v>
      </c>
      <c r="E18" s="42" t="s">
        <v>1555</v>
      </c>
    </row>
    <row r="19" spans="1:5">
      <c r="A19" s="128" t="s">
        <v>1595</v>
      </c>
      <c r="B19" s="66" t="s">
        <v>1552</v>
      </c>
      <c r="C19" s="66" t="s">
        <v>1596</v>
      </c>
      <c r="D19" s="131" t="s">
        <v>1597</v>
      </c>
      <c r="E19" s="42" t="s">
        <v>1555</v>
      </c>
    </row>
    <row r="20" spans="1:5">
      <c r="A20" s="128" t="s">
        <v>1598</v>
      </c>
      <c r="B20" s="66" t="s">
        <v>1552</v>
      </c>
      <c r="C20" s="66" t="s">
        <v>1599</v>
      </c>
      <c r="D20" s="131" t="s">
        <v>1600</v>
      </c>
      <c r="E20" s="42" t="s">
        <v>1555</v>
      </c>
    </row>
    <row r="21" spans="1:5">
      <c r="A21" s="128" t="s">
        <v>1601</v>
      </c>
      <c r="B21" s="66" t="s">
        <v>1552</v>
      </c>
      <c r="C21" s="66" t="s">
        <v>1602</v>
      </c>
      <c r="D21" s="131" t="s">
        <v>1603</v>
      </c>
      <c r="E21" s="42" t="s">
        <v>1555</v>
      </c>
    </row>
    <row r="22" spans="1:5">
      <c r="A22" s="128" t="s">
        <v>1604</v>
      </c>
      <c r="B22" s="66" t="s">
        <v>1552</v>
      </c>
      <c r="C22" s="66" t="s">
        <v>1605</v>
      </c>
      <c r="D22" s="131" t="s">
        <v>1606</v>
      </c>
      <c r="E22" s="42" t="s">
        <v>1555</v>
      </c>
    </row>
    <row r="23" spans="1:5">
      <c r="A23" s="128" t="s">
        <v>1607</v>
      </c>
      <c r="B23" s="66" t="s">
        <v>1552</v>
      </c>
      <c r="C23" s="66" t="s">
        <v>1608</v>
      </c>
      <c r="D23" s="131" t="s">
        <v>1609</v>
      </c>
      <c r="E23" s="42" t="s">
        <v>1555</v>
      </c>
    </row>
    <row r="24" spans="1:5">
      <c r="A24" s="128" t="s">
        <v>1610</v>
      </c>
      <c r="B24" s="66" t="s">
        <v>1552</v>
      </c>
      <c r="C24" s="66" t="s">
        <v>1611</v>
      </c>
      <c r="D24" s="131" t="s">
        <v>1612</v>
      </c>
      <c r="E24" s="42" t="s">
        <v>1555</v>
      </c>
    </row>
    <row r="25" spans="1:5">
      <c r="A25" s="128" t="s">
        <v>1613</v>
      </c>
      <c r="B25" s="66" t="s">
        <v>1552</v>
      </c>
      <c r="C25" s="66" t="s">
        <v>1614</v>
      </c>
      <c r="D25" s="131" t="s">
        <v>1615</v>
      </c>
      <c r="E25" s="42" t="s">
        <v>1555</v>
      </c>
    </row>
    <row r="26" spans="1:5">
      <c r="A26" s="128" t="s">
        <v>1616</v>
      </c>
      <c r="B26" s="66" t="s">
        <v>1552</v>
      </c>
      <c r="C26" s="66" t="s">
        <v>1617</v>
      </c>
      <c r="D26" s="131" t="s">
        <v>1618</v>
      </c>
      <c r="E26" s="42" t="s">
        <v>1555</v>
      </c>
    </row>
    <row r="27" spans="1:5">
      <c r="A27" s="128" t="s">
        <v>1619</v>
      </c>
      <c r="B27" s="66" t="s">
        <v>1552</v>
      </c>
      <c r="C27" s="66" t="s">
        <v>1620</v>
      </c>
      <c r="D27" s="131" t="s">
        <v>1621</v>
      </c>
      <c r="E27" s="42" t="s">
        <v>1555</v>
      </c>
    </row>
    <row r="28" spans="1:5">
      <c r="A28" s="128" t="s">
        <v>1622</v>
      </c>
      <c r="B28" s="66" t="s">
        <v>1552</v>
      </c>
      <c r="C28" s="66" t="s">
        <v>1623</v>
      </c>
      <c r="D28" s="131" t="s">
        <v>1624</v>
      </c>
      <c r="E28" s="42" t="s">
        <v>1555</v>
      </c>
    </row>
    <row r="29" spans="1:5">
      <c r="A29" s="128" t="s">
        <v>1625</v>
      </c>
      <c r="B29" s="66" t="s">
        <v>1552</v>
      </c>
      <c r="C29" s="66" t="s">
        <v>1626</v>
      </c>
      <c r="D29" s="131" t="s">
        <v>1627</v>
      </c>
      <c r="E29" s="42" t="s">
        <v>1555</v>
      </c>
    </row>
    <row r="30" spans="1:5">
      <c r="A30" s="128" t="s">
        <v>1628</v>
      </c>
      <c r="B30" s="66" t="s">
        <v>1552</v>
      </c>
      <c r="C30" s="66" t="s">
        <v>1629</v>
      </c>
      <c r="D30" s="131" t="s">
        <v>1630</v>
      </c>
      <c r="E30" s="42" t="s">
        <v>1555</v>
      </c>
    </row>
    <row r="31" spans="1:5">
      <c r="A31" s="128" t="s">
        <v>1631</v>
      </c>
      <c r="B31" s="66" t="s">
        <v>1552</v>
      </c>
      <c r="C31" s="66" t="s">
        <v>1632</v>
      </c>
      <c r="D31" s="131" t="s">
        <v>1633</v>
      </c>
      <c r="E31" s="42" t="s">
        <v>1555</v>
      </c>
    </row>
    <row r="32" spans="1:5">
      <c r="A32" s="128" t="s">
        <v>1634</v>
      </c>
      <c r="B32" s="66" t="s">
        <v>1552</v>
      </c>
      <c r="C32" s="66" t="s">
        <v>1635</v>
      </c>
      <c r="D32" s="131" t="s">
        <v>1636</v>
      </c>
      <c r="E32" s="42" t="s">
        <v>1555</v>
      </c>
    </row>
    <row r="33" spans="1:5">
      <c r="A33" s="128" t="s">
        <v>1637</v>
      </c>
      <c r="B33" s="66" t="s">
        <v>1552</v>
      </c>
      <c r="C33" s="66" t="s">
        <v>1638</v>
      </c>
      <c r="D33" s="131" t="s">
        <v>1639</v>
      </c>
      <c r="E33" s="42" t="s">
        <v>1555</v>
      </c>
    </row>
    <row r="34" spans="1:5">
      <c r="A34" s="128" t="s">
        <v>1640</v>
      </c>
      <c r="B34" s="66" t="s">
        <v>1552</v>
      </c>
      <c r="C34" s="66" t="s">
        <v>1641</v>
      </c>
      <c r="D34" s="131" t="s">
        <v>1642</v>
      </c>
      <c r="E34" s="42" t="s">
        <v>1555</v>
      </c>
    </row>
    <row r="35" spans="1:5">
      <c r="A35" s="128" t="s">
        <v>1643</v>
      </c>
      <c r="B35" s="66" t="s">
        <v>1552</v>
      </c>
      <c r="C35" s="66" t="s">
        <v>1644</v>
      </c>
      <c r="D35" s="131" t="s">
        <v>1645</v>
      </c>
      <c r="E35" s="42" t="s">
        <v>1555</v>
      </c>
    </row>
    <row r="36" spans="1:5">
      <c r="A36" s="128" t="s">
        <v>1646</v>
      </c>
      <c r="B36" s="66" t="s">
        <v>1552</v>
      </c>
      <c r="C36" s="66" t="s">
        <v>1647</v>
      </c>
      <c r="D36" s="131" t="s">
        <v>1648</v>
      </c>
      <c r="E36" s="42" t="s">
        <v>1555</v>
      </c>
    </row>
    <row r="37" spans="1:5">
      <c r="A37" s="128" t="s">
        <v>1649</v>
      </c>
      <c r="B37" s="66" t="s">
        <v>1552</v>
      </c>
      <c r="C37" s="66" t="s">
        <v>1650</v>
      </c>
      <c r="D37" s="131" t="s">
        <v>1651</v>
      </c>
      <c r="E37" s="42" t="s">
        <v>1555</v>
      </c>
    </row>
    <row r="38" spans="1:5">
      <c r="A38" s="128" t="s">
        <v>1652</v>
      </c>
      <c r="B38" s="66" t="s">
        <v>1552</v>
      </c>
      <c r="C38" s="66" t="s">
        <v>1653</v>
      </c>
      <c r="D38" s="131" t="s">
        <v>1654</v>
      </c>
      <c r="E38" s="42" t="s">
        <v>1555</v>
      </c>
    </row>
    <row r="39" spans="1:5">
      <c r="A39" s="128" t="s">
        <v>1655</v>
      </c>
      <c r="B39" s="66" t="s">
        <v>1552</v>
      </c>
      <c r="C39" s="66" t="s">
        <v>1656</v>
      </c>
      <c r="D39" s="131" t="s">
        <v>1657</v>
      </c>
      <c r="E39" s="42" t="s">
        <v>1555</v>
      </c>
    </row>
    <row r="40" spans="1:5">
      <c r="A40" s="128" t="s">
        <v>1658</v>
      </c>
      <c r="B40" s="66" t="s">
        <v>1552</v>
      </c>
      <c r="C40" s="66" t="s">
        <v>1659</v>
      </c>
      <c r="D40" s="131" t="s">
        <v>1660</v>
      </c>
      <c r="E40" s="42" t="s">
        <v>1555</v>
      </c>
    </row>
    <row r="41" spans="1:5">
      <c r="A41" s="128" t="s">
        <v>1661</v>
      </c>
      <c r="B41" s="66" t="s">
        <v>1552</v>
      </c>
      <c r="C41" s="66" t="s">
        <v>1662</v>
      </c>
      <c r="D41" s="131" t="s">
        <v>1663</v>
      </c>
      <c r="E41" s="42" t="s">
        <v>1555</v>
      </c>
    </row>
    <row r="42" spans="1:5">
      <c r="A42" s="128" t="s">
        <v>1664</v>
      </c>
      <c r="B42" s="66" t="s">
        <v>1665</v>
      </c>
      <c r="C42" s="66" t="s">
        <v>1666</v>
      </c>
      <c r="D42" s="131" t="s">
        <v>1667</v>
      </c>
      <c r="E42" s="42" t="s">
        <v>1668</v>
      </c>
    </row>
    <row r="43" spans="1:5">
      <c r="A43" s="128" t="s">
        <v>1669</v>
      </c>
      <c r="B43" s="66" t="s">
        <v>1665</v>
      </c>
      <c r="C43" s="66" t="s">
        <v>1670</v>
      </c>
      <c r="D43" s="131" t="s">
        <v>1671</v>
      </c>
      <c r="E43" s="42" t="s">
        <v>1668</v>
      </c>
    </row>
    <row r="44" spans="1:5">
      <c r="A44" s="128" t="s">
        <v>1672</v>
      </c>
      <c r="B44" s="66" t="s">
        <v>1665</v>
      </c>
      <c r="C44" s="66" t="s">
        <v>1673</v>
      </c>
      <c r="D44" s="131" t="s">
        <v>1674</v>
      </c>
      <c r="E44" s="42" t="s">
        <v>1668</v>
      </c>
    </row>
    <row r="45" spans="1:5">
      <c r="A45" s="128" t="s">
        <v>1675</v>
      </c>
      <c r="B45" s="66" t="s">
        <v>1665</v>
      </c>
      <c r="C45" s="66" t="s">
        <v>1676</v>
      </c>
      <c r="D45" s="131" t="s">
        <v>1677</v>
      </c>
      <c r="E45" s="42" t="s">
        <v>1678</v>
      </c>
    </row>
    <row r="46" spans="1:5">
      <c r="A46" s="128" t="s">
        <v>1679</v>
      </c>
      <c r="B46" s="66" t="s">
        <v>1665</v>
      </c>
      <c r="C46" s="66" t="s">
        <v>1680</v>
      </c>
      <c r="D46" s="131" t="s">
        <v>1681</v>
      </c>
      <c r="E46" s="42" t="s">
        <v>1678</v>
      </c>
    </row>
    <row r="47" spans="1:5">
      <c r="A47" s="128" t="s">
        <v>1682</v>
      </c>
      <c r="B47" s="66" t="s">
        <v>1665</v>
      </c>
      <c r="C47" s="66" t="s">
        <v>1683</v>
      </c>
      <c r="D47" s="131" t="s">
        <v>1684</v>
      </c>
      <c r="E47" s="42" t="s">
        <v>1678</v>
      </c>
    </row>
    <row r="48" spans="1:5">
      <c r="A48" s="128" t="s">
        <v>1685</v>
      </c>
      <c r="B48" s="66" t="s">
        <v>1665</v>
      </c>
      <c r="C48" s="66" t="s">
        <v>1686</v>
      </c>
      <c r="D48" s="131" t="s">
        <v>1687</v>
      </c>
      <c r="E48" s="42" t="s">
        <v>1688</v>
      </c>
    </row>
    <row r="49" spans="1:5">
      <c r="A49" s="128" t="s">
        <v>1689</v>
      </c>
      <c r="B49" s="66" t="s">
        <v>1665</v>
      </c>
      <c r="C49" s="66" t="s">
        <v>1690</v>
      </c>
      <c r="D49" s="131" t="s">
        <v>1691</v>
      </c>
      <c r="E49" s="42" t="s">
        <v>1688</v>
      </c>
    </row>
    <row r="50" spans="1:5">
      <c r="A50" s="128" t="s">
        <v>1692</v>
      </c>
      <c r="B50" s="66" t="s">
        <v>1665</v>
      </c>
      <c r="C50" s="66" t="s">
        <v>1693</v>
      </c>
      <c r="D50" s="131" t="s">
        <v>1694</v>
      </c>
      <c r="E50" s="42" t="s">
        <v>1695</v>
      </c>
    </row>
    <row r="51" spans="1:5">
      <c r="A51" s="128" t="s">
        <v>1696</v>
      </c>
      <c r="B51" s="66" t="s">
        <v>1665</v>
      </c>
      <c r="C51" s="66" t="s">
        <v>1697</v>
      </c>
      <c r="D51" s="131" t="s">
        <v>1698</v>
      </c>
      <c r="E51" s="42" t="s">
        <v>1695</v>
      </c>
    </row>
    <row r="52" spans="1:5">
      <c r="A52" s="128" t="s">
        <v>1699</v>
      </c>
      <c r="B52" s="66" t="s">
        <v>1665</v>
      </c>
      <c r="C52" s="66" t="s">
        <v>1700</v>
      </c>
      <c r="D52" s="131" t="s">
        <v>1701</v>
      </c>
      <c r="E52" s="42" t="s">
        <v>1702</v>
      </c>
    </row>
    <row r="53" spans="1:5">
      <c r="A53" s="128" t="s">
        <v>1703</v>
      </c>
      <c r="B53" s="66" t="s">
        <v>1665</v>
      </c>
      <c r="C53" s="66" t="s">
        <v>1704</v>
      </c>
      <c r="D53" s="131" t="s">
        <v>1705</v>
      </c>
      <c r="E53" s="42" t="s">
        <v>1695</v>
      </c>
    </row>
    <row r="54" spans="1:5">
      <c r="A54" s="128" t="s">
        <v>1706</v>
      </c>
      <c r="B54" s="66" t="s">
        <v>1665</v>
      </c>
      <c r="C54" s="66" t="s">
        <v>1707</v>
      </c>
      <c r="D54" s="131" t="s">
        <v>1708</v>
      </c>
      <c r="E54" s="42" t="s">
        <v>1709</v>
      </c>
    </row>
    <row r="55" spans="1:5">
      <c r="A55" s="128" t="s">
        <v>1710</v>
      </c>
      <c r="B55" s="66" t="s">
        <v>1665</v>
      </c>
      <c r="C55" s="66" t="s">
        <v>1711</v>
      </c>
      <c r="D55" s="131" t="s">
        <v>1712</v>
      </c>
      <c r="E55" s="42" t="s">
        <v>1713</v>
      </c>
    </row>
    <row r="56" spans="1:5">
      <c r="A56" s="128" t="s">
        <v>1714</v>
      </c>
      <c r="B56" s="66" t="s">
        <v>1665</v>
      </c>
      <c r="C56" s="66" t="s">
        <v>1715</v>
      </c>
      <c r="D56" s="131" t="s">
        <v>1716</v>
      </c>
      <c r="E56" s="42" t="s">
        <v>1713</v>
      </c>
    </row>
    <row r="57" spans="1:5">
      <c r="A57" s="128" t="s">
        <v>1717</v>
      </c>
      <c r="B57" s="66" t="s">
        <v>1665</v>
      </c>
      <c r="C57" s="66" t="s">
        <v>1718</v>
      </c>
      <c r="D57" s="131" t="s">
        <v>1719</v>
      </c>
      <c r="E57" s="42" t="s">
        <v>1713</v>
      </c>
    </row>
    <row r="58" spans="1:5">
      <c r="A58" s="128" t="s">
        <v>1720</v>
      </c>
      <c r="B58" s="66" t="s">
        <v>1665</v>
      </c>
      <c r="C58" s="66" t="s">
        <v>1721</v>
      </c>
      <c r="D58" s="131" t="s">
        <v>1722</v>
      </c>
      <c r="E58" s="42" t="s">
        <v>1713</v>
      </c>
    </row>
    <row r="59" spans="1:5">
      <c r="A59" s="128" t="s">
        <v>1723</v>
      </c>
      <c r="B59" s="66" t="s">
        <v>1724</v>
      </c>
      <c r="C59" s="66" t="s">
        <v>1725</v>
      </c>
      <c r="D59" s="131" t="s">
        <v>1726</v>
      </c>
      <c r="E59" s="42" t="s">
        <v>1727</v>
      </c>
    </row>
    <row r="60" spans="1:5">
      <c r="A60" s="128" t="s">
        <v>1728</v>
      </c>
      <c r="B60" s="66" t="s">
        <v>1724</v>
      </c>
      <c r="C60" s="66" t="s">
        <v>1729</v>
      </c>
      <c r="D60" s="131" t="s">
        <v>1730</v>
      </c>
      <c r="E60" s="42" t="s">
        <v>1727</v>
      </c>
    </row>
    <row r="61" spans="1:5">
      <c r="A61" s="128" t="s">
        <v>1731</v>
      </c>
      <c r="B61" s="66" t="s">
        <v>1724</v>
      </c>
      <c r="C61" s="66" t="s">
        <v>1732</v>
      </c>
      <c r="D61" s="131" t="s">
        <v>1733</v>
      </c>
      <c r="E61" s="42" t="s">
        <v>1727</v>
      </c>
    </row>
    <row r="62" spans="1:5">
      <c r="A62" s="128" t="s">
        <v>1734</v>
      </c>
      <c r="B62" s="66" t="s">
        <v>1724</v>
      </c>
      <c r="C62" s="66" t="s">
        <v>1735</v>
      </c>
      <c r="D62" s="131" t="s">
        <v>1736</v>
      </c>
      <c r="E62" s="42" t="s">
        <v>1727</v>
      </c>
    </row>
    <row r="63" spans="1:5">
      <c r="A63" s="128" t="s">
        <v>1737</v>
      </c>
      <c r="B63" s="66" t="s">
        <v>1724</v>
      </c>
      <c r="C63" s="66" t="s">
        <v>1738</v>
      </c>
      <c r="D63" s="131" t="s">
        <v>1739</v>
      </c>
      <c r="E63" s="42" t="s">
        <v>1727</v>
      </c>
    </row>
    <row r="64" spans="1:5">
      <c r="A64" s="128" t="s">
        <v>1740</v>
      </c>
      <c r="B64" s="66" t="s">
        <v>1724</v>
      </c>
      <c r="C64" s="66" t="s">
        <v>1741</v>
      </c>
      <c r="D64" s="131" t="s">
        <v>1742</v>
      </c>
      <c r="E64" s="42" t="s">
        <v>1727</v>
      </c>
    </row>
    <row r="65" spans="1:5">
      <c r="A65" s="128" t="s">
        <v>1743</v>
      </c>
      <c r="B65" s="66" t="s">
        <v>1724</v>
      </c>
      <c r="C65" s="66" t="s">
        <v>1744</v>
      </c>
      <c r="D65" s="131" t="s">
        <v>1745</v>
      </c>
      <c r="E65" s="42" t="s">
        <v>1727</v>
      </c>
    </row>
    <row r="66" spans="1:5">
      <c r="A66" s="128" t="s">
        <v>1746</v>
      </c>
      <c r="B66" s="66" t="s">
        <v>1724</v>
      </c>
      <c r="C66" s="66" t="s">
        <v>1747</v>
      </c>
      <c r="D66" s="131" t="s">
        <v>1748</v>
      </c>
      <c r="E66" s="42" t="s">
        <v>1727</v>
      </c>
    </row>
    <row r="67" spans="1:5">
      <c r="A67" s="128" t="s">
        <v>1749</v>
      </c>
      <c r="B67" s="66" t="s">
        <v>1724</v>
      </c>
      <c r="C67" s="66" t="s">
        <v>1750</v>
      </c>
      <c r="D67" s="131" t="s">
        <v>1751</v>
      </c>
      <c r="E67" s="42" t="s">
        <v>1727</v>
      </c>
    </row>
    <row r="68" spans="1:5">
      <c r="A68" s="128" t="s">
        <v>1752</v>
      </c>
      <c r="B68" s="66" t="s">
        <v>1724</v>
      </c>
      <c r="C68" s="66" t="s">
        <v>1753</v>
      </c>
      <c r="D68" s="131" t="s">
        <v>1754</v>
      </c>
      <c r="E68" s="42" t="s">
        <v>1727</v>
      </c>
    </row>
    <row r="69" spans="1:5">
      <c r="A69" s="128" t="s">
        <v>1755</v>
      </c>
      <c r="B69" s="66" t="s">
        <v>1724</v>
      </c>
      <c r="C69" s="66" t="s">
        <v>1756</v>
      </c>
      <c r="D69" s="131" t="s">
        <v>1757</v>
      </c>
      <c r="E69" s="42" t="s">
        <v>1727</v>
      </c>
    </row>
    <row r="70" spans="1:5">
      <c r="A70" s="128" t="s">
        <v>1758</v>
      </c>
      <c r="B70" s="66" t="s">
        <v>1724</v>
      </c>
      <c r="C70" s="66" t="s">
        <v>1759</v>
      </c>
      <c r="D70" s="131" t="s">
        <v>1760</v>
      </c>
      <c r="E70" s="42" t="s">
        <v>1727</v>
      </c>
    </row>
    <row r="71" spans="1:5">
      <c r="A71" s="128" t="s">
        <v>1761</v>
      </c>
      <c r="B71" s="66" t="s">
        <v>1724</v>
      </c>
      <c r="C71" s="66" t="s">
        <v>1762</v>
      </c>
      <c r="D71" s="131" t="s">
        <v>1763</v>
      </c>
      <c r="E71" s="42" t="s">
        <v>1727</v>
      </c>
    </row>
    <row r="72" spans="1:5">
      <c r="A72" s="128" t="s">
        <v>1764</v>
      </c>
      <c r="B72" s="66" t="s">
        <v>1724</v>
      </c>
      <c r="C72" s="66" t="s">
        <v>1765</v>
      </c>
      <c r="D72" s="131" t="s">
        <v>1766</v>
      </c>
      <c r="E72" s="42" t="s">
        <v>1727</v>
      </c>
    </row>
    <row r="73" spans="1:5">
      <c r="A73" s="128" t="s">
        <v>1767</v>
      </c>
      <c r="B73" s="66" t="s">
        <v>1724</v>
      </c>
      <c r="C73" s="66" t="s">
        <v>1768</v>
      </c>
      <c r="D73" s="131" t="s">
        <v>1769</v>
      </c>
      <c r="E73" s="42" t="s">
        <v>1727</v>
      </c>
    </row>
    <row r="74" spans="1:5">
      <c r="A74" s="128" t="s">
        <v>1770</v>
      </c>
      <c r="B74" s="66" t="s">
        <v>1724</v>
      </c>
      <c r="C74" s="66" t="s">
        <v>1771</v>
      </c>
      <c r="D74" s="131" t="s">
        <v>1772</v>
      </c>
      <c r="E74" s="42" t="s">
        <v>1727</v>
      </c>
    </row>
    <row r="75" spans="1:5">
      <c r="A75" s="128" t="s">
        <v>1773</v>
      </c>
      <c r="B75" s="66" t="s">
        <v>1724</v>
      </c>
      <c r="C75" s="66" t="s">
        <v>1774</v>
      </c>
      <c r="D75" s="131" t="s">
        <v>1775</v>
      </c>
      <c r="E75" s="42" t="s">
        <v>1727</v>
      </c>
    </row>
    <row r="76" spans="1:5">
      <c r="A76" s="128" t="s">
        <v>1776</v>
      </c>
      <c r="B76" s="66" t="s">
        <v>1724</v>
      </c>
      <c r="C76" s="66" t="s">
        <v>1777</v>
      </c>
      <c r="D76" s="131" t="s">
        <v>1778</v>
      </c>
      <c r="E76" s="42" t="s">
        <v>1727</v>
      </c>
    </row>
    <row r="77" spans="1:5">
      <c r="A77" s="128" t="s">
        <v>1779</v>
      </c>
      <c r="B77" s="66" t="s">
        <v>1724</v>
      </c>
      <c r="C77" s="66" t="s">
        <v>1780</v>
      </c>
      <c r="D77" s="131" t="s">
        <v>1781</v>
      </c>
      <c r="E77" s="42" t="s">
        <v>1727</v>
      </c>
    </row>
    <row r="78" spans="1:5">
      <c r="A78" s="128" t="s">
        <v>1782</v>
      </c>
      <c r="B78" s="66" t="s">
        <v>1724</v>
      </c>
      <c r="C78" s="66" t="s">
        <v>1783</v>
      </c>
      <c r="D78" s="131" t="s">
        <v>1784</v>
      </c>
      <c r="E78" s="42" t="s">
        <v>1727</v>
      </c>
    </row>
    <row r="79" spans="1:5">
      <c r="A79" s="128" t="s">
        <v>1427</v>
      </c>
      <c r="B79" s="66" t="s">
        <v>1724</v>
      </c>
      <c r="C79" s="66" t="s">
        <v>1428</v>
      </c>
      <c r="D79" s="131" t="s">
        <v>1785</v>
      </c>
      <c r="E79" s="42" t="s">
        <v>1727</v>
      </c>
    </row>
    <row r="80" spans="1:5">
      <c r="A80" s="128" t="s">
        <v>1786</v>
      </c>
      <c r="B80" s="66" t="s">
        <v>1724</v>
      </c>
      <c r="C80" s="66" t="s">
        <v>1787</v>
      </c>
      <c r="D80" s="131" t="s">
        <v>1788</v>
      </c>
      <c r="E80" s="42" t="s">
        <v>1727</v>
      </c>
    </row>
    <row r="81" spans="1:5">
      <c r="A81" s="128" t="s">
        <v>1789</v>
      </c>
      <c r="B81" s="66" t="s">
        <v>1724</v>
      </c>
      <c r="C81" s="66" t="s">
        <v>1790</v>
      </c>
      <c r="D81" s="131" t="s">
        <v>1791</v>
      </c>
      <c r="E81" s="42" t="s">
        <v>1727</v>
      </c>
    </row>
    <row r="82" spans="1:5">
      <c r="A82" s="128" t="s">
        <v>1792</v>
      </c>
      <c r="B82" s="66" t="s">
        <v>1724</v>
      </c>
      <c r="C82" s="66" t="s">
        <v>1793</v>
      </c>
      <c r="D82" s="131" t="s">
        <v>1794</v>
      </c>
      <c r="E82" s="42" t="s">
        <v>1727</v>
      </c>
    </row>
    <row r="83" spans="1:5">
      <c r="A83" s="128" t="s">
        <v>1795</v>
      </c>
      <c r="B83" s="66" t="s">
        <v>1724</v>
      </c>
      <c r="C83" s="66" t="s">
        <v>1796</v>
      </c>
      <c r="D83" s="131" t="s">
        <v>1797</v>
      </c>
      <c r="E83" s="42" t="s">
        <v>1727</v>
      </c>
    </row>
    <row r="84" spans="1:5">
      <c r="A84" s="129" t="s">
        <v>1798</v>
      </c>
      <c r="B84" s="70" t="s">
        <v>1724</v>
      </c>
      <c r="C84" s="70" t="s">
        <v>1799</v>
      </c>
      <c r="D84" s="132" t="s">
        <v>1800</v>
      </c>
      <c r="E84" s="46" t="s">
        <v>1727</v>
      </c>
    </row>
    <row r="85" spans="1:5">
      <c r="A85" s="130" t="s">
        <v>1801</v>
      </c>
      <c r="B85" s="63" t="s">
        <v>1802</v>
      </c>
      <c r="C85" s="63" t="s">
        <v>1803</v>
      </c>
      <c r="D85" s="133" t="s">
        <v>1804</v>
      </c>
      <c r="E85" s="134" t="s">
        <v>1805</v>
      </c>
    </row>
    <row r="86" spans="1:5">
      <c r="A86" s="130" t="s">
        <v>1806</v>
      </c>
      <c r="B86" s="63" t="s">
        <v>1802</v>
      </c>
      <c r="C86" s="63" t="s">
        <v>1807</v>
      </c>
      <c r="D86" s="133" t="s">
        <v>1808</v>
      </c>
      <c r="E86" s="134" t="s">
        <v>1809</v>
      </c>
    </row>
    <row r="87" spans="1:5">
      <c r="A87" s="130" t="s">
        <v>1810</v>
      </c>
      <c r="B87" s="63" t="s">
        <v>1802</v>
      </c>
      <c r="C87" s="63" t="s">
        <v>1811</v>
      </c>
      <c r="D87" s="133" t="s">
        <v>1061</v>
      </c>
      <c r="E87" s="134" t="s">
        <v>1812</v>
      </c>
    </row>
    <row r="88" spans="1:5">
      <c r="A88" s="130" t="s">
        <v>1813</v>
      </c>
      <c r="B88" s="63" t="s">
        <v>1802</v>
      </c>
      <c r="C88" s="63" t="s">
        <v>1814</v>
      </c>
      <c r="D88" s="133" t="s">
        <v>1071</v>
      </c>
      <c r="E88" s="134" t="s">
        <v>1815</v>
      </c>
    </row>
    <row r="89" spans="1:5">
      <c r="A89" s="130" t="s">
        <v>1816</v>
      </c>
      <c r="B89" s="63" t="s">
        <v>1802</v>
      </c>
      <c r="C89" s="63" t="s">
        <v>1817</v>
      </c>
      <c r="D89" s="133" t="s">
        <v>1818</v>
      </c>
      <c r="E89" s="134" t="s">
        <v>1819</v>
      </c>
    </row>
    <row r="90" spans="1:5">
      <c r="A90" s="130" t="s">
        <v>1820</v>
      </c>
      <c r="B90" s="63" t="s">
        <v>1802</v>
      </c>
      <c r="C90" s="63" t="s">
        <v>1821</v>
      </c>
      <c r="D90" s="133" t="s">
        <v>1055</v>
      </c>
      <c r="E90" s="134" t="s">
        <v>1822</v>
      </c>
    </row>
    <row r="91" spans="1:5">
      <c r="A91" s="130" t="s">
        <v>1823</v>
      </c>
      <c r="B91" s="63" t="s">
        <v>1802</v>
      </c>
      <c r="C91" s="63" t="s">
        <v>1824</v>
      </c>
      <c r="D91" s="133" t="s">
        <v>1825</v>
      </c>
      <c r="E91" s="134" t="s">
        <v>1826</v>
      </c>
    </row>
    <row r="92" spans="1:5">
      <c r="A92" s="130" t="s">
        <v>1827</v>
      </c>
      <c r="B92" s="63" t="s">
        <v>1802</v>
      </c>
      <c r="C92" s="63" t="s">
        <v>1828</v>
      </c>
      <c r="D92" s="133" t="s">
        <v>1829</v>
      </c>
      <c r="E92" s="134" t="s">
        <v>1830</v>
      </c>
    </row>
    <row r="93" spans="1:5">
      <c r="A93" s="130" t="s">
        <v>1831</v>
      </c>
      <c r="B93" s="63" t="s">
        <v>1802</v>
      </c>
      <c r="C93" s="63" t="s">
        <v>1832</v>
      </c>
      <c r="D93" s="133" t="s">
        <v>1833</v>
      </c>
      <c r="E93" s="134" t="s">
        <v>1834</v>
      </c>
    </row>
    <row r="94" spans="1:5">
      <c r="A94" s="130" t="s">
        <v>1835</v>
      </c>
      <c r="B94" s="63" t="s">
        <v>1802</v>
      </c>
      <c r="C94" s="63" t="s">
        <v>1836</v>
      </c>
      <c r="D94" s="133" t="s">
        <v>1837</v>
      </c>
      <c r="E94" s="134" t="s">
        <v>1838</v>
      </c>
    </row>
    <row r="95" spans="1:5">
      <c r="A95" s="130" t="s">
        <v>1839</v>
      </c>
      <c r="B95" s="63" t="s">
        <v>1802</v>
      </c>
      <c r="C95" s="63" t="s">
        <v>1840</v>
      </c>
      <c r="D95" s="133" t="s">
        <v>1081</v>
      </c>
      <c r="E95" s="134" t="s">
        <v>1841</v>
      </c>
    </row>
    <row r="96" spans="1:5">
      <c r="A96" s="130" t="s">
        <v>1842</v>
      </c>
      <c r="B96" s="63" t="s">
        <v>1802</v>
      </c>
      <c r="C96" s="63" t="s">
        <v>1843</v>
      </c>
      <c r="D96" s="133" t="s">
        <v>1079</v>
      </c>
      <c r="E96" s="134" t="s">
        <v>1844</v>
      </c>
    </row>
    <row r="97" spans="1:5">
      <c r="A97" s="130" t="s">
        <v>1845</v>
      </c>
      <c r="B97" s="63" t="s">
        <v>1846</v>
      </c>
      <c r="C97" s="63" t="s">
        <v>1847</v>
      </c>
      <c r="D97" s="133" t="s">
        <v>1848</v>
      </c>
      <c r="E97" s="134" t="s">
        <v>1849</v>
      </c>
    </row>
    <row r="98" spans="1:5">
      <c r="A98" s="130" t="s">
        <v>1850</v>
      </c>
      <c r="B98" s="63" t="s">
        <v>1846</v>
      </c>
      <c r="C98" s="63" t="s">
        <v>1851</v>
      </c>
      <c r="D98" s="133" t="s">
        <v>1852</v>
      </c>
      <c r="E98" s="134" t="s">
        <v>1853</v>
      </c>
    </row>
    <row r="99" spans="1:5">
      <c r="A99" s="130" t="s">
        <v>1854</v>
      </c>
      <c r="B99" s="63" t="s">
        <v>1846</v>
      </c>
      <c r="C99" s="63" t="s">
        <v>1855</v>
      </c>
      <c r="D99" s="133" t="s">
        <v>1856</v>
      </c>
      <c r="E99" s="134" t="s">
        <v>1857</v>
      </c>
    </row>
    <row r="100" spans="1:5">
      <c r="A100" s="130" t="s">
        <v>1858</v>
      </c>
      <c r="B100" s="63" t="s">
        <v>1846</v>
      </c>
      <c r="C100" s="63" t="s">
        <v>1859</v>
      </c>
      <c r="D100" s="133" t="s">
        <v>1860</v>
      </c>
      <c r="E100" s="134" t="s">
        <v>1861</v>
      </c>
    </row>
    <row r="101" spans="1:5">
      <c r="A101" s="130" t="s">
        <v>1862</v>
      </c>
      <c r="B101" s="63" t="s">
        <v>1846</v>
      </c>
      <c r="C101" s="63" t="s">
        <v>1863</v>
      </c>
      <c r="D101" s="133" t="s">
        <v>1116</v>
      </c>
      <c r="E101" s="134" t="s">
        <v>1864</v>
      </c>
    </row>
    <row r="102" spans="1:5">
      <c r="A102" s="130" t="s">
        <v>1865</v>
      </c>
      <c r="B102" s="63" t="s">
        <v>1846</v>
      </c>
      <c r="C102" s="63" t="s">
        <v>1866</v>
      </c>
      <c r="D102" s="133" t="s">
        <v>1867</v>
      </c>
      <c r="E102" s="134" t="s">
        <v>1868</v>
      </c>
    </row>
    <row r="103" spans="1:5">
      <c r="A103" s="130" t="s">
        <v>1869</v>
      </c>
      <c r="B103" s="63" t="s">
        <v>1846</v>
      </c>
      <c r="C103" s="63" t="s">
        <v>1870</v>
      </c>
      <c r="D103" s="133" t="s">
        <v>1871</v>
      </c>
      <c r="E103" s="134" t="s">
        <v>1872</v>
      </c>
    </row>
    <row r="104" spans="1:5">
      <c r="A104" s="130" t="s">
        <v>1873</v>
      </c>
      <c r="B104" s="63" t="s">
        <v>1846</v>
      </c>
      <c r="C104" s="63" t="s">
        <v>1874</v>
      </c>
      <c r="D104" s="133" t="s">
        <v>1875</v>
      </c>
      <c r="E104" s="134" t="s">
        <v>1876</v>
      </c>
    </row>
    <row r="105" spans="1:5">
      <c r="A105" s="130" t="s">
        <v>1877</v>
      </c>
      <c r="B105" s="63" t="s">
        <v>1846</v>
      </c>
      <c r="C105" s="63" t="s">
        <v>1878</v>
      </c>
      <c r="D105" s="133" t="s">
        <v>1879</v>
      </c>
      <c r="E105" s="134" t="s">
        <v>1880</v>
      </c>
    </row>
    <row r="106" spans="1:5">
      <c r="A106" s="130" t="s">
        <v>1881</v>
      </c>
      <c r="B106" s="63" t="s">
        <v>1846</v>
      </c>
      <c r="C106" s="63" t="s">
        <v>1882</v>
      </c>
      <c r="D106" s="133" t="s">
        <v>1883</v>
      </c>
      <c r="E106" s="134" t="s">
        <v>1884</v>
      </c>
    </row>
    <row r="107" spans="1:5">
      <c r="A107" s="130" t="s">
        <v>1885</v>
      </c>
      <c r="B107" s="63" t="s">
        <v>1846</v>
      </c>
      <c r="C107" s="63" t="s">
        <v>1886</v>
      </c>
      <c r="D107" s="133" t="s">
        <v>1887</v>
      </c>
      <c r="E107" s="134" t="s">
        <v>1888</v>
      </c>
    </row>
    <row r="108" spans="1:5">
      <c r="A108" s="130" t="s">
        <v>1889</v>
      </c>
      <c r="B108" s="63" t="s">
        <v>1846</v>
      </c>
      <c r="C108" s="63" t="s">
        <v>1890</v>
      </c>
      <c r="D108" s="133" t="s">
        <v>1891</v>
      </c>
      <c r="E108" s="134" t="s">
        <v>1892</v>
      </c>
    </row>
    <row r="109" spans="1:5">
      <c r="A109" s="130" t="s">
        <v>1893</v>
      </c>
      <c r="B109" s="63" t="s">
        <v>1846</v>
      </c>
      <c r="C109" s="63" t="s">
        <v>1894</v>
      </c>
      <c r="D109" s="133" t="s">
        <v>1895</v>
      </c>
      <c r="E109" s="134" t="s">
        <v>1896</v>
      </c>
    </row>
    <row r="110" spans="1:5">
      <c r="A110" s="130" t="s">
        <v>1897</v>
      </c>
      <c r="B110" s="63" t="s">
        <v>1846</v>
      </c>
      <c r="C110" s="63" t="s">
        <v>1898</v>
      </c>
      <c r="D110" s="133" t="s">
        <v>1121</v>
      </c>
      <c r="E110" s="134" t="s">
        <v>1899</v>
      </c>
    </row>
    <row r="111" spans="1:5">
      <c r="A111" s="130" t="s">
        <v>1900</v>
      </c>
      <c r="B111" s="63" t="s">
        <v>1846</v>
      </c>
      <c r="C111" s="63" t="s">
        <v>1901</v>
      </c>
      <c r="D111" s="133" t="s">
        <v>1106</v>
      </c>
      <c r="E111" s="134" t="s">
        <v>1902</v>
      </c>
    </row>
    <row r="112" spans="1:5">
      <c r="A112" s="130" t="s">
        <v>1903</v>
      </c>
      <c r="B112" s="63" t="s">
        <v>1846</v>
      </c>
      <c r="C112" s="63" t="s">
        <v>1904</v>
      </c>
      <c r="D112" s="133" t="s">
        <v>1094</v>
      </c>
      <c r="E112" s="134" t="s">
        <v>1905</v>
      </c>
    </row>
    <row r="113" spans="1:5">
      <c r="A113" s="130" t="s">
        <v>1906</v>
      </c>
      <c r="B113" s="63" t="s">
        <v>1846</v>
      </c>
      <c r="C113" s="63" t="s">
        <v>1907</v>
      </c>
      <c r="D113" s="133" t="s">
        <v>1908</v>
      </c>
      <c r="E113" s="134" t="s">
        <v>1909</v>
      </c>
    </row>
    <row r="114" spans="1:5">
      <c r="A114" s="130" t="s">
        <v>1910</v>
      </c>
      <c r="B114" s="63" t="s">
        <v>1846</v>
      </c>
      <c r="C114" s="63" t="s">
        <v>1911</v>
      </c>
      <c r="D114" s="133" t="s">
        <v>1112</v>
      </c>
      <c r="E114" s="134" t="s">
        <v>1912</v>
      </c>
    </row>
    <row r="115" spans="1:5">
      <c r="A115" s="130" t="s">
        <v>1913</v>
      </c>
      <c r="B115" s="63" t="s">
        <v>1846</v>
      </c>
      <c r="C115" s="63" t="s">
        <v>1914</v>
      </c>
      <c r="D115" s="133" t="s">
        <v>1107</v>
      </c>
      <c r="E115" s="134" t="s">
        <v>1915</v>
      </c>
    </row>
    <row r="116" spans="1:5">
      <c r="A116" s="130" t="s">
        <v>1916</v>
      </c>
      <c r="B116" s="63" t="s">
        <v>1846</v>
      </c>
      <c r="C116" s="63" t="s">
        <v>1917</v>
      </c>
      <c r="D116" s="133" t="s">
        <v>1088</v>
      </c>
      <c r="E116" s="134" t="s">
        <v>1918</v>
      </c>
    </row>
    <row r="117" spans="1:5">
      <c r="A117" s="130" t="s">
        <v>1919</v>
      </c>
      <c r="B117" s="63" t="s">
        <v>1920</v>
      </c>
      <c r="C117" s="63" t="s">
        <v>1921</v>
      </c>
      <c r="D117" s="133" t="s">
        <v>1135</v>
      </c>
      <c r="E117" s="134" t="s">
        <v>1922</v>
      </c>
    </row>
    <row r="118" spans="1:5">
      <c r="A118" s="130" t="s">
        <v>1923</v>
      </c>
      <c r="B118" s="63" t="s">
        <v>1920</v>
      </c>
      <c r="C118" s="63" t="s">
        <v>1924</v>
      </c>
      <c r="D118" s="133" t="s">
        <v>1140</v>
      </c>
      <c r="E118" s="134" t="s">
        <v>1925</v>
      </c>
    </row>
    <row r="119" spans="1:5">
      <c r="A119" s="130" t="s">
        <v>1926</v>
      </c>
      <c r="B119" s="63" t="s">
        <v>1920</v>
      </c>
      <c r="C119" s="63" t="s">
        <v>1927</v>
      </c>
      <c r="D119" s="133" t="s">
        <v>1928</v>
      </c>
      <c r="E119" s="134" t="s">
        <v>1929</v>
      </c>
    </row>
    <row r="120" spans="1:5">
      <c r="A120" s="130" t="s">
        <v>1930</v>
      </c>
      <c r="B120" s="63" t="s">
        <v>1920</v>
      </c>
      <c r="C120" s="63" t="s">
        <v>1931</v>
      </c>
      <c r="D120" s="133" t="s">
        <v>1145</v>
      </c>
      <c r="E120" s="134" t="s">
        <v>1932</v>
      </c>
    </row>
    <row r="121" spans="1:5">
      <c r="A121" s="130" t="s">
        <v>1933</v>
      </c>
      <c r="B121" s="63" t="s">
        <v>1920</v>
      </c>
      <c r="C121" s="63" t="s">
        <v>1934</v>
      </c>
      <c r="D121" s="133" t="s">
        <v>1935</v>
      </c>
      <c r="E121" s="134" t="s">
        <v>1936</v>
      </c>
    </row>
    <row r="122" spans="1:5">
      <c r="A122" s="130" t="s">
        <v>1937</v>
      </c>
      <c r="B122" s="63" t="s">
        <v>1920</v>
      </c>
      <c r="C122" s="63" t="s">
        <v>1938</v>
      </c>
      <c r="D122" s="133" t="s">
        <v>1939</v>
      </c>
      <c r="E122" s="134" t="s">
        <v>1940</v>
      </c>
    </row>
    <row r="123" spans="1:5">
      <c r="A123" s="130" t="s">
        <v>1941</v>
      </c>
      <c r="B123" s="63" t="s">
        <v>1920</v>
      </c>
      <c r="C123" s="63" t="s">
        <v>1942</v>
      </c>
      <c r="D123" s="133" t="s">
        <v>1153</v>
      </c>
      <c r="E123" s="134" t="s">
        <v>1943</v>
      </c>
    </row>
    <row r="124" spans="1:5">
      <c r="A124" s="130" t="s">
        <v>1944</v>
      </c>
      <c r="B124" s="63" t="s">
        <v>1920</v>
      </c>
      <c r="C124" s="63" t="s">
        <v>1945</v>
      </c>
      <c r="D124" s="133" t="s">
        <v>1946</v>
      </c>
      <c r="E124" s="134" t="s">
        <v>1943</v>
      </c>
    </row>
    <row r="125" spans="1:5">
      <c r="A125" s="130" t="s">
        <v>1947</v>
      </c>
      <c r="B125" s="63" t="s">
        <v>1920</v>
      </c>
      <c r="C125" s="63" t="s">
        <v>1948</v>
      </c>
      <c r="D125" s="133" t="s">
        <v>1949</v>
      </c>
      <c r="E125" s="134" t="s">
        <v>1950</v>
      </c>
    </row>
    <row r="126" spans="1:5">
      <c r="A126" s="130" t="s">
        <v>1951</v>
      </c>
      <c r="B126" s="63" t="s">
        <v>1920</v>
      </c>
      <c r="C126" s="63" t="s">
        <v>1952</v>
      </c>
      <c r="D126" s="133" t="s">
        <v>1953</v>
      </c>
      <c r="E126" s="134" t="s">
        <v>1954</v>
      </c>
    </row>
    <row r="127" spans="1:5">
      <c r="A127" s="130" t="s">
        <v>1955</v>
      </c>
      <c r="B127" s="63" t="s">
        <v>1920</v>
      </c>
      <c r="C127" s="63" t="s">
        <v>1956</v>
      </c>
      <c r="D127" s="133" t="s">
        <v>1160</v>
      </c>
      <c r="E127" s="134" t="s">
        <v>1957</v>
      </c>
    </row>
    <row r="128" spans="1:5">
      <c r="A128" s="130" t="s">
        <v>1958</v>
      </c>
      <c r="B128" s="63" t="s">
        <v>1920</v>
      </c>
      <c r="C128" s="63" t="s">
        <v>1959</v>
      </c>
      <c r="D128" s="133" t="s">
        <v>1960</v>
      </c>
      <c r="E128" s="134" t="s">
        <v>1961</v>
      </c>
    </row>
    <row r="129" spans="1:5">
      <c r="A129" s="130" t="s">
        <v>1962</v>
      </c>
      <c r="B129" s="63" t="s">
        <v>1920</v>
      </c>
      <c r="C129" s="63" t="s">
        <v>1963</v>
      </c>
      <c r="D129" s="133" t="s">
        <v>1158</v>
      </c>
      <c r="E129" s="134" t="s">
        <v>1964</v>
      </c>
    </row>
    <row r="130" spans="1:5">
      <c r="A130" s="130" t="s">
        <v>1965</v>
      </c>
      <c r="B130" s="63" t="s">
        <v>1920</v>
      </c>
      <c r="C130" s="63" t="s">
        <v>1966</v>
      </c>
      <c r="D130" s="133" t="s">
        <v>1967</v>
      </c>
      <c r="E130" s="134" t="s">
        <v>1968</v>
      </c>
    </row>
    <row r="131" spans="1:5">
      <c r="A131" s="130" t="s">
        <v>1969</v>
      </c>
      <c r="B131" s="63" t="s">
        <v>1970</v>
      </c>
      <c r="C131" s="63" t="s">
        <v>1971</v>
      </c>
      <c r="D131" s="133" t="s">
        <v>1972</v>
      </c>
      <c r="E131" s="134" t="s">
        <v>1973</v>
      </c>
    </row>
    <row r="132" spans="1:5">
      <c r="A132" s="130" t="s">
        <v>1974</v>
      </c>
      <c r="B132" s="63" t="s">
        <v>1970</v>
      </c>
      <c r="C132" s="63" t="s">
        <v>1975</v>
      </c>
      <c r="D132" s="133" t="s">
        <v>1976</v>
      </c>
      <c r="E132" s="134" t="s">
        <v>1977</v>
      </c>
    </row>
    <row r="133" spans="1:5">
      <c r="A133" s="130" t="s">
        <v>1978</v>
      </c>
      <c r="B133" s="63" t="s">
        <v>1970</v>
      </c>
      <c r="C133" s="63" t="s">
        <v>1979</v>
      </c>
      <c r="D133" s="133" t="s">
        <v>1980</v>
      </c>
      <c r="E133" s="134" t="s">
        <v>1981</v>
      </c>
    </row>
    <row r="134" spans="1:5">
      <c r="A134" s="130" t="s">
        <v>1982</v>
      </c>
      <c r="B134" s="63" t="s">
        <v>1970</v>
      </c>
      <c r="C134" s="63" t="s">
        <v>1983</v>
      </c>
      <c r="D134" s="133" t="s">
        <v>1186</v>
      </c>
      <c r="E134" s="134" t="s">
        <v>1984</v>
      </c>
    </row>
    <row r="135" spans="1:5">
      <c r="A135" s="130" t="s">
        <v>1985</v>
      </c>
      <c r="B135" s="63" t="s">
        <v>1970</v>
      </c>
      <c r="C135" s="63" t="s">
        <v>1986</v>
      </c>
      <c r="D135" s="133" t="s">
        <v>1202</v>
      </c>
      <c r="E135" s="134" t="s">
        <v>1987</v>
      </c>
    </row>
    <row r="136" spans="1:5">
      <c r="A136" s="130" t="s">
        <v>1988</v>
      </c>
      <c r="B136" s="63" t="s">
        <v>1970</v>
      </c>
      <c r="C136" s="63" t="s">
        <v>1989</v>
      </c>
      <c r="D136" s="133" t="s">
        <v>1990</v>
      </c>
      <c r="E136" s="134" t="s">
        <v>1991</v>
      </c>
    </row>
    <row r="137" spans="1:5">
      <c r="A137" s="130" t="s">
        <v>1992</v>
      </c>
      <c r="B137" s="63" t="s">
        <v>1970</v>
      </c>
      <c r="C137" s="63" t="s">
        <v>1993</v>
      </c>
      <c r="D137" s="133" t="s">
        <v>1994</v>
      </c>
      <c r="E137" s="134" t="s">
        <v>1995</v>
      </c>
    </row>
    <row r="138" spans="1:5">
      <c r="A138" s="130" t="s">
        <v>1996</v>
      </c>
      <c r="B138" s="63" t="s">
        <v>1970</v>
      </c>
      <c r="C138" s="63" t="s">
        <v>1997</v>
      </c>
      <c r="D138" s="133" t="s">
        <v>1998</v>
      </c>
      <c r="E138" s="134" t="s">
        <v>1999</v>
      </c>
    </row>
    <row r="139" spans="1:5">
      <c r="A139" s="130" t="s">
        <v>2000</v>
      </c>
      <c r="B139" s="63" t="s">
        <v>1970</v>
      </c>
      <c r="C139" s="63" t="s">
        <v>2001</v>
      </c>
      <c r="D139" s="133" t="s">
        <v>2002</v>
      </c>
      <c r="E139" s="134" t="s">
        <v>2003</v>
      </c>
    </row>
    <row r="140" spans="1:5">
      <c r="A140" s="130" t="s">
        <v>2004</v>
      </c>
      <c r="B140" s="63" t="s">
        <v>1970</v>
      </c>
      <c r="C140" s="63" t="s">
        <v>2005</v>
      </c>
      <c r="D140" s="133" t="s">
        <v>1190</v>
      </c>
      <c r="E140" s="134" t="s">
        <v>2006</v>
      </c>
    </row>
    <row r="141" spans="1:5">
      <c r="A141" s="130" t="s">
        <v>2007</v>
      </c>
      <c r="B141" s="63" t="s">
        <v>1970</v>
      </c>
      <c r="C141" s="63" t="s">
        <v>2008</v>
      </c>
      <c r="D141" s="133" t="s">
        <v>2009</v>
      </c>
      <c r="E141" s="134" t="s">
        <v>2010</v>
      </c>
    </row>
    <row r="142" spans="1:5">
      <c r="A142" s="130" t="s">
        <v>2011</v>
      </c>
      <c r="B142" s="63" t="s">
        <v>1970</v>
      </c>
      <c r="C142" s="63" t="s">
        <v>2012</v>
      </c>
      <c r="D142" s="133" t="s">
        <v>2013</v>
      </c>
      <c r="E142" s="134" t="s">
        <v>2014</v>
      </c>
    </row>
    <row r="143" spans="1:5">
      <c r="A143" s="130" t="s">
        <v>2015</v>
      </c>
      <c r="B143" s="63" t="s">
        <v>1970</v>
      </c>
      <c r="C143" s="63" t="s">
        <v>2016</v>
      </c>
      <c r="D143" s="133" t="s">
        <v>1184</v>
      </c>
      <c r="E143" s="134" t="s">
        <v>2017</v>
      </c>
    </row>
    <row r="144" spans="1:5">
      <c r="A144" s="130" t="s">
        <v>2018</v>
      </c>
      <c r="B144" s="63" t="s">
        <v>2019</v>
      </c>
      <c r="C144" s="63" t="s">
        <v>2020</v>
      </c>
      <c r="D144" s="133" t="s">
        <v>2021</v>
      </c>
      <c r="E144" s="134" t="s">
        <v>2022</v>
      </c>
    </row>
    <row r="145" spans="1:5">
      <c r="A145" s="130" t="s">
        <v>2023</v>
      </c>
      <c r="B145" s="63" t="s">
        <v>2019</v>
      </c>
      <c r="C145" s="63" t="s">
        <v>2024</v>
      </c>
      <c r="D145" s="133" t="s">
        <v>2025</v>
      </c>
      <c r="E145" s="134" t="s">
        <v>2026</v>
      </c>
    </row>
    <row r="146" spans="1:5">
      <c r="A146" s="130" t="s">
        <v>2027</v>
      </c>
      <c r="B146" s="63" t="s">
        <v>2019</v>
      </c>
      <c r="C146" s="63" t="s">
        <v>2028</v>
      </c>
      <c r="D146" s="133" t="s">
        <v>2029</v>
      </c>
      <c r="E146" s="134" t="s">
        <v>2030</v>
      </c>
    </row>
    <row r="147" spans="1:5">
      <c r="A147" s="130" t="s">
        <v>2031</v>
      </c>
      <c r="B147" s="63" t="s">
        <v>2019</v>
      </c>
      <c r="C147" s="63" t="s">
        <v>2032</v>
      </c>
      <c r="D147" s="133" t="s">
        <v>1398</v>
      </c>
      <c r="E147" s="134" t="s">
        <v>2033</v>
      </c>
    </row>
    <row r="148" spans="1:5">
      <c r="A148" s="130" t="s">
        <v>2034</v>
      </c>
      <c r="B148" s="63" t="s">
        <v>2019</v>
      </c>
      <c r="C148" s="63" t="s">
        <v>2035</v>
      </c>
      <c r="D148" s="133" t="s">
        <v>1220</v>
      </c>
      <c r="E148" s="134" t="s">
        <v>2036</v>
      </c>
    </row>
    <row r="149" spans="1:5">
      <c r="A149" s="130" t="s">
        <v>2037</v>
      </c>
      <c r="B149" s="63" t="s">
        <v>2019</v>
      </c>
      <c r="C149" s="63" t="s">
        <v>2038</v>
      </c>
      <c r="D149" s="133" t="s">
        <v>1222</v>
      </c>
      <c r="E149" s="134" t="s">
        <v>2039</v>
      </c>
    </row>
    <row r="150" spans="1:5">
      <c r="A150" s="130" t="s">
        <v>2040</v>
      </c>
      <c r="B150" s="63" t="s">
        <v>2019</v>
      </c>
      <c r="C150" s="63" t="s">
        <v>2041</v>
      </c>
      <c r="D150" s="133" t="s">
        <v>2042</v>
      </c>
      <c r="E150" s="134" t="s">
        <v>2043</v>
      </c>
    </row>
    <row r="151" spans="1:5">
      <c r="A151" s="130" t="s">
        <v>2044</v>
      </c>
      <c r="B151" s="63" t="s">
        <v>2019</v>
      </c>
      <c r="C151" s="63" t="s">
        <v>2045</v>
      </c>
      <c r="D151" s="133" t="s">
        <v>2046</v>
      </c>
      <c r="E151" s="134" t="s">
        <v>2047</v>
      </c>
    </row>
    <row r="152" spans="1:5">
      <c r="A152" s="130" t="s">
        <v>2048</v>
      </c>
      <c r="B152" s="63" t="s">
        <v>2019</v>
      </c>
      <c r="C152" s="63" t="s">
        <v>2049</v>
      </c>
      <c r="D152" s="133" t="s">
        <v>2050</v>
      </c>
      <c r="E152" s="134" t="s">
        <v>2051</v>
      </c>
    </row>
    <row r="153" spans="1:5">
      <c r="A153" s="130" t="s">
        <v>2052</v>
      </c>
      <c r="B153" s="63" t="s">
        <v>2019</v>
      </c>
      <c r="C153" s="63" t="s">
        <v>2053</v>
      </c>
      <c r="D153" s="133" t="s">
        <v>2054</v>
      </c>
      <c r="E153" s="134" t="s">
        <v>2055</v>
      </c>
    </row>
    <row r="154" spans="1:5">
      <c r="A154" s="130" t="s">
        <v>2056</v>
      </c>
      <c r="B154" s="63" t="s">
        <v>2019</v>
      </c>
      <c r="C154" s="63" t="s">
        <v>2057</v>
      </c>
      <c r="D154" s="133" t="s">
        <v>2058</v>
      </c>
      <c r="E154" s="134" t="s">
        <v>2059</v>
      </c>
    </row>
    <row r="155" spans="1:5">
      <c r="A155" s="130" t="s">
        <v>2060</v>
      </c>
      <c r="B155" s="63" t="s">
        <v>2019</v>
      </c>
      <c r="C155" s="63" t="s">
        <v>2061</v>
      </c>
      <c r="D155" s="133" t="s">
        <v>2062</v>
      </c>
      <c r="E155" s="134" t="s">
        <v>2063</v>
      </c>
    </row>
    <row r="156" spans="1:5">
      <c r="A156" s="130" t="s">
        <v>2064</v>
      </c>
      <c r="B156" s="63" t="s">
        <v>2019</v>
      </c>
      <c r="C156" s="63" t="s">
        <v>2065</v>
      </c>
      <c r="D156" s="133" t="s">
        <v>2066</v>
      </c>
      <c r="E156" s="134" t="s">
        <v>2067</v>
      </c>
    </row>
    <row r="157" spans="1:5">
      <c r="A157" s="130" t="s">
        <v>2068</v>
      </c>
      <c r="B157" s="63" t="s">
        <v>2019</v>
      </c>
      <c r="C157" s="63" t="s">
        <v>2069</v>
      </c>
      <c r="D157" s="133" t="s">
        <v>2070</v>
      </c>
      <c r="E157" s="134" t="s">
        <v>2071</v>
      </c>
    </row>
    <row r="158" spans="1:5">
      <c r="A158" s="130" t="s">
        <v>2072</v>
      </c>
      <c r="B158" s="63" t="s">
        <v>2019</v>
      </c>
      <c r="C158" s="63" t="s">
        <v>2073</v>
      </c>
      <c r="D158" s="133" t="s">
        <v>2074</v>
      </c>
      <c r="E158" s="134" t="s">
        <v>2075</v>
      </c>
    </row>
    <row r="159" spans="1:5">
      <c r="A159" s="130" t="s">
        <v>2076</v>
      </c>
      <c r="B159" s="63" t="s">
        <v>2019</v>
      </c>
      <c r="C159" s="63" t="s">
        <v>2077</v>
      </c>
      <c r="D159" s="133" t="s">
        <v>2078</v>
      </c>
      <c r="E159" s="134" t="s">
        <v>2079</v>
      </c>
    </row>
    <row r="160" spans="1:5">
      <c r="A160" s="130" t="s">
        <v>2080</v>
      </c>
      <c r="B160" s="63" t="s">
        <v>2019</v>
      </c>
      <c r="C160" s="63" t="s">
        <v>2081</v>
      </c>
      <c r="D160" s="133" t="s">
        <v>1238</v>
      </c>
      <c r="E160" s="134" t="s">
        <v>2082</v>
      </c>
    </row>
    <row r="161" spans="1:5">
      <c r="A161" s="130" t="s">
        <v>2083</v>
      </c>
      <c r="B161" s="63" t="s">
        <v>2019</v>
      </c>
      <c r="C161" s="63" t="s">
        <v>2084</v>
      </c>
      <c r="D161" s="133" t="s">
        <v>2085</v>
      </c>
      <c r="E161" s="134" t="s">
        <v>2086</v>
      </c>
    </row>
    <row r="162" spans="1:5">
      <c r="A162" s="130" t="s">
        <v>2087</v>
      </c>
      <c r="B162" s="63" t="s">
        <v>2088</v>
      </c>
      <c r="C162" s="63" t="s">
        <v>2089</v>
      </c>
      <c r="D162" s="133" t="s">
        <v>2090</v>
      </c>
      <c r="E162" s="134" t="s">
        <v>2091</v>
      </c>
    </row>
    <row r="163" spans="1:5">
      <c r="A163" s="130" t="s">
        <v>2092</v>
      </c>
      <c r="B163" s="63" t="s">
        <v>2088</v>
      </c>
      <c r="C163" s="63" t="s">
        <v>2093</v>
      </c>
      <c r="D163" s="133" t="s">
        <v>1270</v>
      </c>
      <c r="E163" s="134" t="s">
        <v>2094</v>
      </c>
    </row>
    <row r="164" spans="1:5">
      <c r="A164" s="130" t="s">
        <v>2095</v>
      </c>
      <c r="B164" s="63" t="s">
        <v>2088</v>
      </c>
      <c r="C164" s="63" t="s">
        <v>2096</v>
      </c>
      <c r="D164" s="133" t="s">
        <v>2097</v>
      </c>
      <c r="E164" s="134" t="s">
        <v>2098</v>
      </c>
    </row>
    <row r="165" spans="1:5">
      <c r="A165" s="130" t="s">
        <v>2099</v>
      </c>
      <c r="B165" s="63" t="s">
        <v>2088</v>
      </c>
      <c r="C165" s="63" t="s">
        <v>2100</v>
      </c>
      <c r="D165" s="133" t="s">
        <v>2101</v>
      </c>
      <c r="E165" s="134" t="s">
        <v>2102</v>
      </c>
    </row>
    <row r="166" spans="1:5">
      <c r="A166" s="130" t="s">
        <v>2103</v>
      </c>
      <c r="B166" s="63" t="s">
        <v>2088</v>
      </c>
      <c r="C166" s="63" t="s">
        <v>2104</v>
      </c>
      <c r="D166" s="133" t="s">
        <v>2105</v>
      </c>
      <c r="E166" s="134" t="s">
        <v>2106</v>
      </c>
    </row>
    <row r="167" spans="1:5">
      <c r="A167" s="130" t="s">
        <v>2107</v>
      </c>
      <c r="B167" s="63" t="s">
        <v>2088</v>
      </c>
      <c r="C167" s="63" t="s">
        <v>2108</v>
      </c>
      <c r="D167" s="133" t="s">
        <v>2109</v>
      </c>
      <c r="E167" s="134" t="s">
        <v>2110</v>
      </c>
    </row>
    <row r="168" spans="1:5">
      <c r="A168" s="130" t="s">
        <v>2111</v>
      </c>
      <c r="B168" s="63" t="s">
        <v>2088</v>
      </c>
      <c r="C168" s="63" t="s">
        <v>2112</v>
      </c>
      <c r="D168" s="133" t="s">
        <v>2113</v>
      </c>
      <c r="E168" s="134" t="s">
        <v>2114</v>
      </c>
    </row>
    <row r="169" spans="1:5">
      <c r="A169" s="130" t="s">
        <v>2115</v>
      </c>
      <c r="B169" s="63" t="s">
        <v>2088</v>
      </c>
      <c r="C169" s="63" t="s">
        <v>2116</v>
      </c>
      <c r="D169" s="133" t="s">
        <v>2117</v>
      </c>
      <c r="E169" s="134" t="s">
        <v>2118</v>
      </c>
    </row>
    <row r="170" spans="1:5">
      <c r="A170" s="130" t="s">
        <v>2119</v>
      </c>
      <c r="B170" s="63" t="s">
        <v>2088</v>
      </c>
      <c r="C170" s="63" t="s">
        <v>2120</v>
      </c>
      <c r="D170" s="133" t="s">
        <v>2121</v>
      </c>
      <c r="E170" s="134" t="s">
        <v>2122</v>
      </c>
    </row>
    <row r="171" spans="1:5">
      <c r="A171" s="130" t="s">
        <v>2123</v>
      </c>
      <c r="B171" s="63" t="s">
        <v>2088</v>
      </c>
      <c r="C171" s="63" t="s">
        <v>2124</v>
      </c>
      <c r="D171" s="133" t="s">
        <v>2125</v>
      </c>
      <c r="E171" s="134" t="s">
        <v>2126</v>
      </c>
    </row>
    <row r="172" spans="1:5">
      <c r="A172" s="130" t="s">
        <v>2127</v>
      </c>
      <c r="B172" s="63" t="s">
        <v>2088</v>
      </c>
      <c r="C172" s="63" t="s">
        <v>2128</v>
      </c>
      <c r="D172" s="133" t="s">
        <v>2129</v>
      </c>
      <c r="E172" s="134" t="s">
        <v>2130</v>
      </c>
    </row>
    <row r="173" spans="1:5">
      <c r="A173" s="130" t="s">
        <v>2131</v>
      </c>
      <c r="B173" s="63" t="s">
        <v>2088</v>
      </c>
      <c r="C173" s="63" t="s">
        <v>2132</v>
      </c>
      <c r="D173" s="133" t="s">
        <v>1277</v>
      </c>
      <c r="E173" s="134" t="s">
        <v>2133</v>
      </c>
    </row>
    <row r="174" spans="1:5">
      <c r="A174" s="130" t="s">
        <v>2134</v>
      </c>
      <c r="B174" s="63" t="s">
        <v>2088</v>
      </c>
      <c r="C174" s="63" t="s">
        <v>2135</v>
      </c>
      <c r="D174" s="133" t="s">
        <v>2136</v>
      </c>
      <c r="E174" s="134" t="s">
        <v>2137</v>
      </c>
    </row>
    <row r="175" spans="1:5">
      <c r="A175" s="130" t="s">
        <v>2138</v>
      </c>
      <c r="B175" s="63" t="s">
        <v>1724</v>
      </c>
      <c r="C175" s="63" t="s">
        <v>2139</v>
      </c>
      <c r="D175" s="133" t="s">
        <v>2140</v>
      </c>
      <c r="E175" s="134" t="s">
        <v>2141</v>
      </c>
    </row>
    <row r="176" spans="1:5">
      <c r="A176" s="130" t="s">
        <v>2142</v>
      </c>
      <c r="B176" s="63" t="s">
        <v>1724</v>
      </c>
      <c r="C176" s="63" t="s">
        <v>2143</v>
      </c>
      <c r="D176" s="133" t="s">
        <v>2144</v>
      </c>
      <c r="E176" s="134" t="s">
        <v>2145</v>
      </c>
    </row>
    <row r="177" spans="1:5">
      <c r="A177" s="130" t="s">
        <v>2146</v>
      </c>
      <c r="B177" s="63" t="s">
        <v>1724</v>
      </c>
      <c r="C177" s="63" t="s">
        <v>2147</v>
      </c>
      <c r="D177" s="133" t="s">
        <v>2148</v>
      </c>
      <c r="E177" s="134" t="s">
        <v>2149</v>
      </c>
    </row>
    <row r="178" spans="1:5">
      <c r="A178" s="130" t="s">
        <v>2150</v>
      </c>
      <c r="B178" s="63" t="s">
        <v>1724</v>
      </c>
      <c r="C178" s="63" t="s">
        <v>2151</v>
      </c>
      <c r="D178" s="133" t="s">
        <v>2152</v>
      </c>
      <c r="E178" s="134" t="s">
        <v>2153</v>
      </c>
    </row>
    <row r="179" spans="1:5">
      <c r="A179" s="130" t="s">
        <v>2154</v>
      </c>
      <c r="B179" s="63" t="s">
        <v>1724</v>
      </c>
      <c r="C179" s="63" t="s">
        <v>2155</v>
      </c>
      <c r="D179" s="133" t="s">
        <v>2156</v>
      </c>
      <c r="E179" s="134" t="s">
        <v>2157</v>
      </c>
    </row>
    <row r="180" spans="1:5">
      <c r="A180" s="130" t="s">
        <v>2158</v>
      </c>
      <c r="B180" s="63" t="s">
        <v>1724</v>
      </c>
      <c r="C180" s="63" t="s">
        <v>2159</v>
      </c>
      <c r="D180" s="133" t="s">
        <v>2160</v>
      </c>
      <c r="E180" s="134" t="s">
        <v>2161</v>
      </c>
    </row>
    <row r="181" spans="1:5">
      <c r="A181" s="130" t="s">
        <v>2162</v>
      </c>
      <c r="B181" s="63" t="s">
        <v>1802</v>
      </c>
      <c r="C181" s="63" t="s">
        <v>2163</v>
      </c>
      <c r="D181" s="133" t="s">
        <v>2164</v>
      </c>
      <c r="E181" s="134" t="s">
        <v>2165</v>
      </c>
    </row>
    <row r="182" spans="1:5">
      <c r="A182" s="130" t="s">
        <v>2166</v>
      </c>
      <c r="B182" s="63" t="s">
        <v>1802</v>
      </c>
      <c r="C182" s="63" t="s">
        <v>2167</v>
      </c>
      <c r="D182" s="133" t="s">
        <v>2168</v>
      </c>
      <c r="E182" s="134" t="s">
        <v>1819</v>
      </c>
    </row>
    <row r="183" spans="1:5">
      <c r="A183" s="130" t="s">
        <v>2169</v>
      </c>
      <c r="B183" s="63" t="s">
        <v>1802</v>
      </c>
      <c r="C183" s="63" t="s">
        <v>2170</v>
      </c>
      <c r="D183" s="133" t="s">
        <v>2171</v>
      </c>
      <c r="E183" s="134" t="s">
        <v>1822</v>
      </c>
    </row>
    <row r="184" spans="1:5">
      <c r="A184" s="130" t="s">
        <v>2172</v>
      </c>
      <c r="B184" s="63" t="s">
        <v>1846</v>
      </c>
      <c r="C184" s="63" t="s">
        <v>2173</v>
      </c>
      <c r="D184" s="133" t="s">
        <v>2174</v>
      </c>
      <c r="E184" s="134" t="s">
        <v>2175</v>
      </c>
    </row>
    <row r="185" spans="1:5">
      <c r="A185" s="130" t="s">
        <v>2176</v>
      </c>
      <c r="B185" s="63" t="s">
        <v>1846</v>
      </c>
      <c r="C185" s="63" t="s">
        <v>2177</v>
      </c>
      <c r="D185" s="133" t="s">
        <v>2178</v>
      </c>
      <c r="E185" s="134" t="s">
        <v>2179</v>
      </c>
    </row>
    <row r="186" spans="1:5">
      <c r="A186" s="130" t="s">
        <v>2180</v>
      </c>
      <c r="B186" s="63" t="s">
        <v>2019</v>
      </c>
      <c r="C186" s="63" t="s">
        <v>2181</v>
      </c>
      <c r="D186" s="133" t="s">
        <v>2182</v>
      </c>
      <c r="E186" s="134" t="s">
        <v>2183</v>
      </c>
    </row>
    <row r="187" spans="1:5">
      <c r="A187" s="130" t="s">
        <v>2184</v>
      </c>
      <c r="B187" s="63" t="s">
        <v>2019</v>
      </c>
      <c r="C187" s="63" t="s">
        <v>2185</v>
      </c>
      <c r="D187" s="133" t="s">
        <v>2186</v>
      </c>
      <c r="E187" s="134" t="s">
        <v>2187</v>
      </c>
    </row>
    <row r="188" spans="1:5">
      <c r="A188" s="130" t="s">
        <v>2188</v>
      </c>
      <c r="B188" s="63" t="s">
        <v>1970</v>
      </c>
      <c r="C188" s="63" t="s">
        <v>2189</v>
      </c>
      <c r="D188" s="133" t="s">
        <v>2190</v>
      </c>
      <c r="E188" s="134" t="s">
        <v>2191</v>
      </c>
    </row>
    <row r="189" spans="1:5">
      <c r="A189" s="130" t="s">
        <v>2192</v>
      </c>
      <c r="B189" s="63" t="s">
        <v>2088</v>
      </c>
      <c r="C189" s="63" t="s">
        <v>2193</v>
      </c>
      <c r="D189" s="133" t="s">
        <v>2194</v>
      </c>
      <c r="E189" s="134" t="s">
        <v>2137</v>
      </c>
    </row>
  </sheetData>
  <autoFilter ref="A4:E189" xr:uid="{310581F7-ECDF-C64A-A7B0-C540D55B3FA1}"/>
  <phoneticPr fontId="2"/>
  <conditionalFormatting sqref="A5:E189">
    <cfRule type="expression" dxfId="109" priority="1">
      <formula>$B5="U2 Keycloak論理"</formula>
    </cfRule>
  </conditionalFormatting>
  <conditionalFormatting sqref="A5:E189">
    <cfRule type="expression" dxfId="108" priority="2">
      <formula>$B5="U3 ID・プロビジョニング"</formula>
    </cfRule>
  </conditionalFormatting>
  <conditionalFormatting sqref="A5:E189">
    <cfRule type="expression" dxfId="107" priority="3">
      <formula>$B5="U5 トークン・認可"</formula>
    </cfRule>
  </conditionalFormatting>
  <conditionalFormatting sqref="A5:E189">
    <cfRule type="expression" dxfId="106" priority="4">
      <formula>$B5="U4 認証体験・UX"</formula>
    </cfRule>
  </conditionalFormatting>
  <conditionalFormatting sqref="A5:E189">
    <cfRule type="expression" dxfId="105" priority="5">
      <formula>$B5="U7 セキュリティ"</formula>
    </cfRule>
  </conditionalFormatting>
  <conditionalFormatting sqref="A5:E189">
    <cfRule type="expression" dxfId="104" priority="6">
      <formula>$B5="U8 可用性・DR"</formula>
    </cfRule>
  </conditionalFormatting>
  <conditionalFormatting sqref="A5:E189">
    <cfRule type="expression" dxfId="103" priority="7">
      <formula>$B5="U6 インフラ・NW"</formula>
    </cfRule>
  </conditionalFormatting>
  <conditionalFormatting sqref="A5:E189">
    <cfRule type="expression" dxfId="102" priority="8">
      <formula>$B5="U9 運用・監視・IaC"</formula>
    </cfRule>
  </conditionalFormatting>
  <conditionalFormatting sqref="A5:E189">
    <cfRule type="expression" dxfId="101" priority="9">
      <formula>$B5="U10 連携・移行"</formula>
    </cfRule>
  </conditionalFormatting>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6284182-FD2C-E145-9717-734327A3CD4B}">
  <dimension ref="A1:H183"/>
  <sheetViews>
    <sheetView zoomScale="125" workbookViewId="0">
      <pane ySplit="4" topLeftCell="A88" activePane="bottomLeft" state="frozen"/>
      <selection pane="bottomLeft" activeCell="C38" sqref="C38"/>
    </sheetView>
  </sheetViews>
  <sheetFormatPr baseColWidth="10" defaultRowHeight="15"/>
  <cols>
    <col min="1" max="1" width="15.7109375" style="63" customWidth="1"/>
    <col min="2" max="2" width="28.5703125" style="63" customWidth="1"/>
    <col min="3" max="3" width="61.42578125" style="63" customWidth="1"/>
    <col min="4" max="4" width="11.42578125" style="63" customWidth="1"/>
    <col min="5" max="5" width="32.85546875" style="63" customWidth="1"/>
    <col min="6" max="6" width="12.85546875" style="63" customWidth="1"/>
    <col min="7" max="7" width="14.28515625" style="63" customWidth="1"/>
    <col min="8" max="8" width="57.140625" style="63" customWidth="1"/>
    <col min="9" max="16384" width="10.7109375" style="63"/>
  </cols>
  <sheetData>
    <row r="1" spans="1:8">
      <c r="A1" s="62" t="s">
        <v>879</v>
      </c>
    </row>
    <row r="2" spans="1:8">
      <c r="A2" s="75" t="s">
        <v>880</v>
      </c>
    </row>
    <row r="4" spans="1:8" ht="22" customHeight="1">
      <c r="A4" s="36" t="s">
        <v>881</v>
      </c>
      <c r="B4" s="37" t="s">
        <v>882</v>
      </c>
      <c r="C4" s="37" t="s">
        <v>667</v>
      </c>
      <c r="D4" s="37" t="s">
        <v>2203</v>
      </c>
      <c r="E4" s="37" t="s">
        <v>883</v>
      </c>
      <c r="F4" s="37" t="s">
        <v>877</v>
      </c>
      <c r="G4" s="37" t="s">
        <v>884</v>
      </c>
      <c r="H4" s="38" t="s">
        <v>885</v>
      </c>
    </row>
    <row r="5" spans="1:8" ht="16">
      <c r="A5" s="65" t="s">
        <v>14</v>
      </c>
      <c r="B5" s="66" t="str">
        <f>IFERROR(INDEX(進捗一覧!$O:$O,MATCH($A5,進捗一覧!$P:$P,0)),"⚠未検出")</f>
        <v>FR-AUTH 認証フロー/Grant Type</v>
      </c>
      <c r="C5" s="67" t="str">
        <f>IFERROR(INDEX(進捗一覧!$E:$E,MATCH($A5,進捗一覧!$P:$P,0)),"⚠未検出")</f>
        <v>ローカルユーザーにIDとパスワードでのログインを認めるか。</v>
      </c>
      <c r="D5" s="68" t="str">
        <f>IFERROR(INDEX(進捗一覧!$H:$H,MATCH($A5,進捗一覧!$P:$P,0)),"⚠未検出")</f>
        <v>確定</v>
      </c>
      <c r="E5" s="66" t="s">
        <v>895</v>
      </c>
      <c r="F5" s="68" t="s">
        <v>937</v>
      </c>
      <c r="G5" s="68" t="s">
        <v>938</v>
      </c>
      <c r="H5" s="76" t="s">
        <v>939</v>
      </c>
    </row>
    <row r="6" spans="1:8" ht="16">
      <c r="A6" s="65" t="s">
        <v>17</v>
      </c>
      <c r="B6" s="66" t="str">
        <f>IFERROR(INDEX(進捗一覧!$O:$O,MATCH($A6,進捗一覧!$P:$P,0)),"⚠未検出")</f>
        <v>FR-AUTH 認証フロー/Grant Type</v>
      </c>
      <c r="C6" s="67" t="str">
        <f>IFERROR(INDEX(進捗一覧!$E:$E,MATCH($A6,進捗一覧!$P:$P,0)),"⚠未検出")</f>
        <v>スマホアプリや画面だけで動くWebアプリから安全にログインさせる標準方式を採用するか</v>
      </c>
      <c r="D6" s="68" t="str">
        <f>IFERROR(INDEX(進捗一覧!$H:$H,MATCH($A6,進捗一覧!$P:$P,0)),"⚠未検出")</f>
        <v>確定</v>
      </c>
      <c r="E6" s="66" t="s">
        <v>940</v>
      </c>
      <c r="F6" s="68" t="s">
        <v>941</v>
      </c>
      <c r="G6" s="68" t="s">
        <v>938</v>
      </c>
      <c r="H6" s="76" t="s">
        <v>942</v>
      </c>
    </row>
    <row r="7" spans="1:8" ht="16">
      <c r="A7" s="65" t="s">
        <v>19</v>
      </c>
      <c r="B7" s="66" t="str">
        <f>IFERROR(INDEX(進捗一覧!$O:$O,MATCH($A7,進捗一覧!$P:$P,0)),"⚠未検出")</f>
        <v>FR-AUTH 認証フロー/Grant Type</v>
      </c>
      <c r="C7" s="67" t="str">
        <f>IFERROR(INDEX(進捗一覧!$E:$E,MATCH($A7,進捗一覧!$P:$P,0)),"⚠未検出")</f>
        <v>サーバー側で画面を組み立てるWebアプリのログイン方式をどうするか</v>
      </c>
      <c r="D7" s="68" t="str">
        <f>IFERROR(INDEX(進捗一覧!$H:$H,MATCH($A7,進捗一覧!$P:$P,0)),"⚠未検出")</f>
        <v>確定</v>
      </c>
      <c r="E7" s="66" t="s">
        <v>931</v>
      </c>
      <c r="F7" s="68" t="s">
        <v>941</v>
      </c>
      <c r="G7" s="68" t="s">
        <v>938</v>
      </c>
      <c r="H7" s="76" t="s">
        <v>943</v>
      </c>
    </row>
    <row r="8" spans="1:8" ht="16">
      <c r="A8" s="65" t="s">
        <v>21</v>
      </c>
      <c r="B8" s="66" t="str">
        <f>IFERROR(INDEX(進捗一覧!$O:$O,MATCH($A8,進捗一覧!$P:$P,0)),"⚠未検出")</f>
        <v>FR-AUTH 認証フロー/Grant Type</v>
      </c>
      <c r="C8" s="67" t="str">
        <f>IFERROR(INDEX(進捗一覧!$E:$E,MATCH($A8,進捗一覧!$P:$P,0)),"⚠未検出")</f>
        <v>人を介さないシステム同士の通信で、機械が自分の身元を証明する仕組みを用意するか</v>
      </c>
      <c r="D8" s="68" t="str">
        <f>IFERROR(INDEX(進捗一覧!$H:$H,MATCH($A8,進捗一覧!$P:$P,0)),"⚠未検出")</f>
        <v>対象外</v>
      </c>
      <c r="E8" s="66" t="s">
        <v>936</v>
      </c>
      <c r="F8" s="68" t="s">
        <v>941</v>
      </c>
      <c r="G8" s="68" t="s">
        <v>938</v>
      </c>
      <c r="H8" s="76" t="s">
        <v>944</v>
      </c>
    </row>
    <row r="9" spans="1:8" ht="16">
      <c r="A9" s="65" t="s">
        <v>23</v>
      </c>
      <c r="B9" s="66" t="str">
        <f>IFERROR(INDEX(進捗一覧!$O:$O,MATCH($A9,進捗一覧!$P:$P,0)),"⚠未検出")</f>
        <v>FR-AUTH 認証フロー/Grant Type</v>
      </c>
      <c r="C9" s="67" t="str">
        <f>IFERROR(INDEX(進捗一覧!$E:$E,MATCH($A9,進捗一覧!$P:$P,0)),"⚠未検出")</f>
        <v>あるシステム向けの通行証を別システム向けに引き換える仕組みが必要か</v>
      </c>
      <c r="D9" s="68" t="str">
        <f>IFERROR(INDEX(進捗一覧!$H:$H,MATCH($A9,進捗一覧!$P:$P,0)),"⚠未検出")</f>
        <v>外部待ち</v>
      </c>
      <c r="E9" s="66" t="s">
        <v>945</v>
      </c>
      <c r="F9" s="68" t="s">
        <v>941</v>
      </c>
      <c r="G9" s="68" t="s">
        <v>938</v>
      </c>
      <c r="H9" s="76" t="s">
        <v>946</v>
      </c>
    </row>
    <row r="10" spans="1:8" ht="16">
      <c r="A10" s="65" t="s">
        <v>25</v>
      </c>
      <c r="B10" s="66" t="str">
        <f>IFERROR(INDEX(進捗一覧!$O:$O,MATCH($A10,進捗一覧!$P:$P,0)),"⚠未検出")</f>
        <v>FR-AUTH 認証フロー/Grant Type</v>
      </c>
      <c r="C10" s="67" t="str">
        <f>IFERROR(INDEX(進捗一覧!$E:$E,MATCH($A10,進捗一覧!$P:$P,0)),"⚠未検出")</f>
        <v>テレビやプリンタのように文字入力が難しい機器からログインする必要があるか</v>
      </c>
      <c r="D10" s="68" t="str">
        <f>IFERROR(INDEX(進捗一覧!$H:$H,MATCH($A10,進捗一覧!$P:$P,0)),"⚠未検出")</f>
        <v>対象外</v>
      </c>
      <c r="E10" s="66" t="s">
        <v>1059</v>
      </c>
      <c r="F10" s="68" t="s">
        <v>1401</v>
      </c>
      <c r="G10" s="68" t="s">
        <v>1060</v>
      </c>
      <c r="H10" s="76" t="s">
        <v>1402</v>
      </c>
    </row>
    <row r="11" spans="1:8" ht="16">
      <c r="A11" s="65" t="s">
        <v>27</v>
      </c>
      <c r="B11" s="66" t="str">
        <f>IFERROR(INDEX(進捗一覧!$O:$O,MATCH($A11,進捗一覧!$P:$P,0)),"⚠未検出")</f>
        <v>FR-AUTH 認証フロー/Grant Type</v>
      </c>
      <c r="C11" s="67" t="str">
        <f>IFERROR(INDEX(進捗一覧!$E:$E,MATCH($A11,進捗一覧!$P:$P,0)),"⚠未検出")</f>
        <v>電子証明書を使ってアプリ自身の身元を証明させる必要があるか</v>
      </c>
      <c r="D11" s="68" t="str">
        <f>IFERROR(INDEX(進捗一覧!$H:$H,MATCH($A11,進捗一覧!$P:$P,0)),"⚠未検出")</f>
        <v>対象外</v>
      </c>
      <c r="E11" s="66" t="s">
        <v>1443</v>
      </c>
      <c r="F11" s="68" t="s">
        <v>1444</v>
      </c>
      <c r="G11" s="68" t="s">
        <v>1057</v>
      </c>
      <c r="H11" s="76" t="s">
        <v>1445</v>
      </c>
    </row>
    <row r="12" spans="1:8" ht="16">
      <c r="A12" s="65" t="s">
        <v>29</v>
      </c>
      <c r="B12" s="66" t="str">
        <f>IFERROR(INDEX(進捗一覧!$O:$O,MATCH($A12,進捗一覧!$P:$P,0)),"⚠未検出")</f>
        <v>FR-AUTH 認証フロー/Grant Type</v>
      </c>
      <c r="C12" s="67" t="str">
        <f>IFERROR(INDEX(進捗一覧!$E:$E,MATCH($A12,進捗一覧!$P:$P,0)),"⚠未検出")</f>
        <v>IDとパスワードを直接アプリに預ける古い方式は使わない、という方針を確認する</v>
      </c>
      <c r="D12" s="68" t="str">
        <f>IFERROR(INDEX(進捗一覧!$H:$H,MATCH($A12,進捗一覧!$P:$P,0)),"⚠未検出")</f>
        <v>確定</v>
      </c>
      <c r="E12" s="66" t="s">
        <v>930</v>
      </c>
      <c r="F12" s="68" t="s">
        <v>941</v>
      </c>
      <c r="G12" s="68" t="s">
        <v>948</v>
      </c>
      <c r="H12" s="76" t="s">
        <v>949</v>
      </c>
    </row>
    <row r="13" spans="1:8" ht="16">
      <c r="A13" s="65" t="s">
        <v>32</v>
      </c>
      <c r="B13" s="66" t="str">
        <f>IFERROR(INDEX(進捗一覧!$O:$O,MATCH($A13,進捗一覧!$P:$P,0)),"⚠未検出")</f>
        <v>FR-AUTH パスワード・ローカルユーザー管理</v>
      </c>
      <c r="C13" s="67" t="str">
        <f>IFERROR(INDEX(進捗一覧!$E:$E,MATCH($A13,進捗一覧!$P:$P,0)),"⚠未検出")</f>
        <v>パスワードの最低文字数や、記号・数字を混ぜる条件をどう決めるか</v>
      </c>
      <c r="D13" s="68" t="str">
        <f>IFERROR(INDEX(進捗一覧!$H:$H,MATCH($A13,進捗一覧!$P:$P,0)),"⚠未検出")</f>
        <v>確定</v>
      </c>
      <c r="E13" s="66" t="s">
        <v>1088</v>
      </c>
      <c r="F13" s="68" t="s">
        <v>1089</v>
      </c>
      <c r="G13" s="68" t="s">
        <v>1065</v>
      </c>
      <c r="H13" s="76" t="s">
        <v>1090</v>
      </c>
    </row>
    <row r="14" spans="1:8" ht="16">
      <c r="A14" s="65" t="s">
        <v>35</v>
      </c>
      <c r="B14" s="66" t="str">
        <f>IFERROR(INDEX(進捗一覧!$O:$O,MATCH($A14,進捗一覧!$P:$P,0)),"⚠未検出")</f>
        <v>FR-AUTH パスワード・ローカルユーザー管理</v>
      </c>
      <c r="C14" s="67" t="str">
        <f>IFERROR(INDEX(進捗一覧!$E:$E,MATCH($A14,進捗一覧!$P:$P,0)),"⚠未検出")</f>
        <v>過去に使ったパスワードの再利用を禁止するか。禁止するなら何世代さかのぼるか</v>
      </c>
      <c r="D14" s="68" t="str">
        <f>IFERROR(INDEX(進捗一覧!$H:$H,MATCH($A14,進捗一覧!$P:$P,0)),"⚠未検出")</f>
        <v>外部待ち</v>
      </c>
      <c r="E14" s="66" t="s">
        <v>1088</v>
      </c>
      <c r="F14" s="68" t="s">
        <v>1089</v>
      </c>
      <c r="G14" s="68" t="s">
        <v>1065</v>
      </c>
      <c r="H14" s="76" t="s">
        <v>1395</v>
      </c>
    </row>
    <row r="15" spans="1:8" ht="16">
      <c r="A15" s="65" t="s">
        <v>37</v>
      </c>
      <c r="B15" s="66" t="str">
        <f>IFERROR(INDEX(進捗一覧!$O:$O,MATCH($A15,進捗一覧!$P:$P,0)),"⚠未検出")</f>
        <v>⚠未検出</v>
      </c>
      <c r="C15" s="67" t="str">
        <f>IFERROR(INDEX(進捗一覧!$E:$E,MATCH($A15,進捗一覧!$P:$P,0)),"⚠未検出")</f>
        <v>⚠未検出</v>
      </c>
      <c r="D15" s="68" t="str">
        <f>IFERROR(INDEX(進捗一覧!$H:$H,MATCH($A15,進捗一覧!$P:$P,0)),"⚠未検出")</f>
        <v>⚠未検出</v>
      </c>
      <c r="E15" s="66" t="s">
        <v>1091</v>
      </c>
      <c r="F15" s="68" t="s">
        <v>1092</v>
      </c>
      <c r="G15" s="68" t="s">
        <v>1065</v>
      </c>
      <c r="H15" s="76" t="s">
        <v>1093</v>
      </c>
    </row>
    <row r="16" spans="1:8" ht="16">
      <c r="A16" s="65" t="s">
        <v>38</v>
      </c>
      <c r="B16" s="66" t="str">
        <f>IFERROR(INDEX(進捗一覧!$O:$O,MATCH($A16,進捗一覧!$P:$P,0)),"⚠未検出")</f>
        <v>FR-AUTH パスワード・ローカルユーザー管理</v>
      </c>
      <c r="C16" s="67" t="str">
        <f>IFERROR(INDEX(進捗一覧!$E:$E,MATCH($A16,進捗一覧!$P:$P,0)),"⚠未検出")</f>
        <v>パスワードに有効期限を設けて定期変更を求めるか。何日で切るか</v>
      </c>
      <c r="D16" s="68" t="str">
        <f>IFERROR(INDEX(進捗一覧!$H:$H,MATCH($A16,進捗一覧!$P:$P,0)),"⚠未検出")</f>
        <v>外部待ち</v>
      </c>
      <c r="E16" s="66" t="s">
        <v>1094</v>
      </c>
      <c r="F16" s="68" t="s">
        <v>1089</v>
      </c>
      <c r="G16" s="68" t="s">
        <v>1072</v>
      </c>
      <c r="H16" s="76" t="s">
        <v>1095</v>
      </c>
    </row>
    <row r="17" spans="1:8" ht="16">
      <c r="A17" s="65" t="s">
        <v>40</v>
      </c>
      <c r="B17" s="66" t="str">
        <f>IFERROR(INDEX(進捗一覧!$O:$O,MATCH($A17,進捗一覧!$P:$P,0)),"⚠未検出")</f>
        <v>⚠未検出</v>
      </c>
      <c r="C17" s="67" t="str">
        <f>IFERROR(INDEX(進捗一覧!$E:$E,MATCH($A17,進捗一覧!$P:$P,0)),"⚠未検出")</f>
        <v>⚠未検出</v>
      </c>
      <c r="D17" s="68" t="str">
        <f>IFERROR(INDEX(進捗一覧!$H:$H,MATCH($A17,進捗一覧!$P:$P,0)),"⚠未検出")</f>
        <v>⚠未検出</v>
      </c>
      <c r="E17" s="66" t="s">
        <v>1055</v>
      </c>
      <c r="F17" s="68" t="s">
        <v>1056</v>
      </c>
      <c r="G17" s="68" t="s">
        <v>1057</v>
      </c>
      <c r="H17" s="76" t="s">
        <v>1058</v>
      </c>
    </row>
    <row r="18" spans="1:8" ht="16">
      <c r="A18" s="65" t="s">
        <v>41</v>
      </c>
      <c r="B18" s="66" t="str">
        <f>IFERROR(INDEX(進捗一覧!$O:$O,MATCH($A18,進捗一覧!$P:$P,0)),"⚠未検出")</f>
        <v>FR-AUTH パスワード・ローカルユーザー管理</v>
      </c>
      <c r="C18" s="67" t="str">
        <f>IFERROR(INDEX(進捗一覧!$E:$E,MATCH($A18,進捗一覧!$P:$P,0)),"⚠未検出")</f>
        <v>初回ログイン時にパスワードの変更を強制するか</v>
      </c>
      <c r="D18" s="68" t="str">
        <f>IFERROR(INDEX(進捗一覧!$H:$H,MATCH($A18,進捗一覧!$P:$P,0)),"⚠未検出")</f>
        <v>外部待ち</v>
      </c>
      <c r="E18" s="66" t="s">
        <v>1088</v>
      </c>
      <c r="F18" s="68" t="s">
        <v>1089</v>
      </c>
      <c r="G18" s="68" t="s">
        <v>1065</v>
      </c>
      <c r="H18" s="76" t="s">
        <v>1396</v>
      </c>
    </row>
    <row r="19" spans="1:8" ht="16">
      <c r="A19" s="65" t="s">
        <v>44</v>
      </c>
      <c r="B19" s="66" t="str">
        <f>IFERROR(INDEX(進捗一覧!$O:$O,MATCH($A19,進捗一覧!$P:$P,0)),"⚠未検出")</f>
        <v>FR-FED IdP接続種別</v>
      </c>
      <c r="C19" s="67" t="str">
        <f>IFERROR(INDEX(進捗一覧!$E:$E,MATCH($A19,進捗一覧!$P:$P,0)),"⚠未検出")</f>
        <v>既存の認証サービス（Auth0）と連携してログインさせるか</v>
      </c>
      <c r="D19" s="68" t="str">
        <f>IFERROR(INDEX(進捗一覧!$H:$H,MATCH($A19,進捗一覧!$P:$P,0)),"⚠未検出")</f>
        <v>外部待ち</v>
      </c>
      <c r="E19" s="66" t="s">
        <v>950</v>
      </c>
      <c r="F19" s="68" t="s">
        <v>937</v>
      </c>
      <c r="G19" s="68" t="s">
        <v>938</v>
      </c>
      <c r="H19" s="76" t="s">
        <v>951</v>
      </c>
    </row>
    <row r="20" spans="1:8" ht="16">
      <c r="A20" s="65" t="s">
        <v>47</v>
      </c>
      <c r="B20" s="66" t="str">
        <f>IFERROR(INDEX(進捗一覧!$O:$O,MATCH($A20,進捗一覧!$P:$P,0)),"⚠未検出")</f>
        <v>FR-FED IdP接続種別</v>
      </c>
      <c r="C20" s="67" t="str">
        <f>IFERROR(INDEX(進捗一覧!$E:$E,MATCH($A20,進捗一覧!$P:$P,0)),"⚠未検出")</f>
        <v>顧客が使っているMicrosoftのID基盤と連携するか。最優先で確認したい項目</v>
      </c>
      <c r="D20" s="68" t="str">
        <f>IFERROR(INDEX(進捗一覧!$H:$H,MATCH($A20,進捗一覧!$P:$P,0)),"⚠未検出")</f>
        <v>外部待ち</v>
      </c>
      <c r="E20" s="66" t="s">
        <v>952</v>
      </c>
      <c r="F20" s="68" t="s">
        <v>937</v>
      </c>
      <c r="G20" s="68" t="s">
        <v>948</v>
      </c>
      <c r="H20" s="76" t="s">
        <v>953</v>
      </c>
    </row>
    <row r="21" spans="1:8" ht="16">
      <c r="A21" s="65" t="s">
        <v>49</v>
      </c>
      <c r="B21" s="66" t="str">
        <f>IFERROR(INDEX(進捗一覧!$O:$O,MATCH($A21,進捗一覧!$P:$P,0)),"⚠未検出")</f>
        <v>FR-FED IdP接続種別</v>
      </c>
      <c r="C21" s="67" t="str">
        <f>IFERROR(INDEX(進捗一覧!$E:$E,MATCH($A21,進捗一覧!$P:$P,0)),"⚠未検出")</f>
        <v>顧客が使っているOktaと連携するか</v>
      </c>
      <c r="D21" s="68" t="str">
        <f>IFERROR(INDEX(進捗一覧!$H:$H,MATCH($A21,進捗一覧!$P:$P,0)),"⚠未検出")</f>
        <v>外部待ち</v>
      </c>
      <c r="E21" s="66" t="s">
        <v>952</v>
      </c>
      <c r="F21" s="68" t="s">
        <v>937</v>
      </c>
      <c r="G21" s="68" t="s">
        <v>948</v>
      </c>
      <c r="H21" s="76" t="s">
        <v>954</v>
      </c>
    </row>
    <row r="22" spans="1:8" ht="16">
      <c r="A22" s="65" t="s">
        <v>51</v>
      </c>
      <c r="B22" s="66" t="str">
        <f>IFERROR(INDEX(進捗一覧!$O:$O,MATCH($A22,進捗一覧!$P:$P,0)),"⚠未検出")</f>
        <v>FR-FED IdP接続種別</v>
      </c>
      <c r="C22" s="67" t="str">
        <f>IFERROR(INDEX(進捗一覧!$E:$E,MATCH($A22,進捗一覧!$P:$P,0)),"⚠未検出")</f>
        <v>Google Workspaceのアカウントでログインできるようにするか</v>
      </c>
      <c r="D22" s="68" t="str">
        <f>IFERROR(INDEX(進捗一覧!$H:$H,MATCH($A22,進捗一覧!$P:$P,0)),"⚠未検出")</f>
        <v>外部待ち</v>
      </c>
      <c r="E22" s="66" t="s">
        <v>896</v>
      </c>
      <c r="F22" s="68" t="s">
        <v>937</v>
      </c>
      <c r="G22" s="68" t="s">
        <v>948</v>
      </c>
      <c r="H22" s="76" t="s">
        <v>955</v>
      </c>
    </row>
    <row r="23" spans="1:8" ht="16">
      <c r="A23" s="65" t="s">
        <v>53</v>
      </c>
      <c r="B23" s="66" t="str">
        <f>IFERROR(INDEX(進捗一覧!$O:$O,MATCH($A23,進捗一覧!$P:$P,0)),"⚠未検出")</f>
        <v>FR-FED IdP接続種別</v>
      </c>
      <c r="C23" s="67" t="str">
        <f>IFERROR(INDEX(進捗一覧!$E:$E,MATCH($A23,進捗一覧!$P:$P,0)),"⚠未検出")</f>
        <v>顧客側の旧来方式（SAML）のID基盤を受け入れる必要があるか</v>
      </c>
      <c r="D23" s="68" t="str">
        <f>IFERROR(INDEX(進捗一覧!$H:$H,MATCH($A23,進捗一覧!$P:$P,0)),"⚠未検出")</f>
        <v>外部待ち</v>
      </c>
      <c r="E23" s="66" t="s">
        <v>900</v>
      </c>
      <c r="F23" s="68" t="s">
        <v>937</v>
      </c>
      <c r="G23" s="68" t="s">
        <v>948</v>
      </c>
      <c r="H23" s="76" t="s">
        <v>956</v>
      </c>
    </row>
    <row r="24" spans="1:8" ht="16">
      <c r="A24" s="65" t="s">
        <v>55</v>
      </c>
      <c r="B24" s="66" t="str">
        <f>IFERROR(INDEX(進捗一覧!$O:$O,MATCH($A24,進捗一覧!$P:$P,0)),"⚠未検出")</f>
        <v>FR-FED IdP接続種別</v>
      </c>
      <c r="C24" s="67" t="str">
        <f>IFERROR(INDEX(進捗一覧!$E:$E,MATCH($A24,進捗一覧!$P:$P,0)),"⚠未検出")</f>
        <v>自分たちが旧来方式（SAML）のID提供元として振る舞う必要があるか</v>
      </c>
      <c r="D24" s="68" t="str">
        <f>IFERROR(INDEX(進捗一覧!$H:$H,MATCH($A24,進捗一覧!$P:$P,0)),"⚠未検出")</f>
        <v>外部待ち</v>
      </c>
      <c r="E24" s="66" t="s">
        <v>1403</v>
      </c>
      <c r="F24" s="68" t="s">
        <v>1263</v>
      </c>
      <c r="G24" s="68" t="s">
        <v>1065</v>
      </c>
      <c r="H24" s="76" t="s">
        <v>1404</v>
      </c>
    </row>
    <row r="25" spans="1:8" ht="16">
      <c r="A25" s="65" t="s">
        <v>57</v>
      </c>
      <c r="B25" s="66" t="str">
        <f>IFERROR(INDEX(進捗一覧!$O:$O,MATCH($A25,進捗一覧!$P:$P,0)),"⚠未検出")</f>
        <v>FR-FED IdP接続種別</v>
      </c>
      <c r="C25" s="67" t="str">
        <f>IFERROR(INDEX(進捗一覧!$E:$E,MATCH($A25,進捗一覧!$P:$P,0)),"⚠未検出")</f>
        <v>社内のディレクトリサーバー（LDAP/AD）と直接つなぐ必要があるか</v>
      </c>
      <c r="D25" s="68" t="str">
        <f>IFERROR(INDEX(進捗一覧!$H:$H,MATCH($A25,進捗一覧!$P:$P,0)),"⚠未検出")</f>
        <v>確定</v>
      </c>
      <c r="E25" s="66" t="s">
        <v>907</v>
      </c>
      <c r="F25" s="68" t="s">
        <v>957</v>
      </c>
      <c r="G25" s="68" t="s">
        <v>958</v>
      </c>
      <c r="H25" s="76" t="s">
        <v>959</v>
      </c>
    </row>
    <row r="26" spans="1:8" ht="16">
      <c r="A26" s="65" t="s">
        <v>59</v>
      </c>
      <c r="B26" s="66" t="str">
        <f>IFERROR(INDEX(進捗一覧!$O:$O,MATCH($A26,進捗一覧!$P:$P,0)),"⚠未検出")</f>
        <v>⚠未検出</v>
      </c>
      <c r="C26" s="67" t="str">
        <f>IFERROR(INDEX(進捗一覧!$E:$E,MATCH($A26,進捗一覧!$P:$P,0)),"⚠未検出")</f>
        <v>⚠未検出</v>
      </c>
      <c r="D26" s="68" t="str">
        <f>IFERROR(INDEX(進捗一覧!$H:$H,MATCH($A26,進捗一覧!$P:$P,0)),"⚠未検出")</f>
        <v>⚠未検出</v>
      </c>
      <c r="E26" s="66" t="s">
        <v>1061</v>
      </c>
      <c r="F26" s="68" t="s">
        <v>1056</v>
      </c>
      <c r="G26" s="68" t="s">
        <v>1057</v>
      </c>
      <c r="H26" s="76" t="s">
        <v>1062</v>
      </c>
    </row>
    <row r="27" spans="1:8" ht="16">
      <c r="A27" s="65" t="s">
        <v>61</v>
      </c>
      <c r="B27" s="66" t="str">
        <f>IFERROR(INDEX(進捗一覧!$O:$O,MATCH($A27,進捗一覧!$P:$P,0)),"⚠未検出")</f>
        <v>FR-FED フェデレーションユーザー処理</v>
      </c>
      <c r="C27" s="67" t="str">
        <f>IFERROR(INDEX(進捗一覧!$E:$E,MATCH($A27,進捗一覧!$P:$P,0)),"⚠未検出")</f>
        <v>初回ログイン時に利用者を自動で作る方式（JIT）は採用で決定済み。SCIM同期と併用する前提で、自動で作る項目と、既存利用者と重複したときの突合キー・初期権限をどうするか</v>
      </c>
      <c r="D27" s="68" t="str">
        <f>IFERROR(INDEX(進捗一覧!$H:$H,MATCH($A27,進捗一覧!$P:$P,0)),"⚠未検出")</f>
        <v>外部待ち</v>
      </c>
      <c r="E27" s="66" t="s">
        <v>960</v>
      </c>
      <c r="F27" s="68" t="s">
        <v>961</v>
      </c>
      <c r="G27" s="68" t="s">
        <v>938</v>
      </c>
      <c r="H27" s="76" t="s">
        <v>962</v>
      </c>
    </row>
    <row r="28" spans="1:8" ht="16">
      <c r="A28" s="65" t="s">
        <v>64</v>
      </c>
      <c r="B28" s="66" t="str">
        <f>IFERROR(INDEX(進捗一覧!$O:$O,MATCH($A28,進捗一覧!$P:$P,0)),"⚠未検出")</f>
        <v>⚠未検出</v>
      </c>
      <c r="C28" s="67" t="str">
        <f>IFERROR(INDEX(進捗一覧!$E:$E,MATCH($A28,進捗一覧!$P:$P,0)),"⚠未検出")</f>
        <v>⚠未検出</v>
      </c>
      <c r="D28" s="68" t="str">
        <f>IFERROR(INDEX(進捗一覧!$H:$H,MATCH($A28,進捗一覧!$P:$P,0)),"⚠未検出")</f>
        <v>⚠未検出</v>
      </c>
      <c r="E28" s="66" t="s">
        <v>963</v>
      </c>
      <c r="F28" s="68" t="s">
        <v>961</v>
      </c>
      <c r="G28" s="68" t="s">
        <v>938</v>
      </c>
      <c r="H28" s="76" t="s">
        <v>964</v>
      </c>
    </row>
    <row r="29" spans="1:8" ht="16">
      <c r="A29" s="65" t="s">
        <v>65</v>
      </c>
      <c r="B29" s="66" t="str">
        <f>IFERROR(INDEX(進捗一覧!$O:$O,MATCH($A29,進捗一覧!$P:$P,0)),"⚠未検出")</f>
        <v>FR-FED フェデレーションユーザー処理</v>
      </c>
      <c r="C29" s="67" t="str">
        <f>IFERROR(INDEX(進捗一覧!$E:$E,MATCH($A29,進捗一覧!$P:$P,0)),"⚠未検出")</f>
        <v>顧客側で追加認証を済ませた利用者に、こちらで二重に求めないための条件をどうするか</v>
      </c>
      <c r="D29" s="68" t="str">
        <f>IFERROR(INDEX(進捗一覧!$H:$H,MATCH($A29,進捗一覧!$P:$P,0)),"⚠未検出")</f>
        <v>確定</v>
      </c>
      <c r="E29" s="66" t="s">
        <v>965</v>
      </c>
      <c r="F29" s="68" t="s">
        <v>937</v>
      </c>
      <c r="G29" s="68" t="s">
        <v>938</v>
      </c>
      <c r="H29" s="76" t="s">
        <v>966</v>
      </c>
    </row>
    <row r="30" spans="1:8" ht="16">
      <c r="A30" s="65" t="s">
        <v>68</v>
      </c>
      <c r="B30" s="66" t="str">
        <f>IFERROR(INDEX(進捗一覧!$O:$O,MATCH($A30,進捗一覧!$P:$P,0)),"⚠未検出")</f>
        <v>FR-FED マルチテナント運用</v>
      </c>
      <c r="C30" s="67" t="str">
        <f>IFERROR(INDEX(進捗一覧!$E:$E,MATCH($A30,進捗一覧!$P:$P,0)),"⚠未検出")</f>
        <v>複数の顧客のID基盤を同時に並行運用する前提でよいか</v>
      </c>
      <c r="D30" s="68" t="str">
        <f>IFERROR(INDEX(進捗一覧!$H:$H,MATCH($A30,進捗一覧!$P:$P,0)),"⚠未検出")</f>
        <v>確定</v>
      </c>
      <c r="E30" s="66" t="s">
        <v>967</v>
      </c>
      <c r="F30" s="68" t="s">
        <v>937</v>
      </c>
      <c r="G30" s="68" t="s">
        <v>938</v>
      </c>
      <c r="H30" s="76" t="s">
        <v>968</v>
      </c>
    </row>
    <row r="31" spans="1:8" ht="16">
      <c r="A31" s="65" t="s">
        <v>71</v>
      </c>
      <c r="B31" s="66" t="str">
        <f>IFERROR(INDEX(進捗一覧!$O:$O,MATCH($A31,進捗一覧!$P:$P,0)),"⚠未検出")</f>
        <v>FR-FED マルチテナント運用</v>
      </c>
      <c r="C31" s="67" t="str">
        <f>IFERROR(INDEX(進捗一覧!$E:$E,MATCH($A31,進捗一覧!$P:$P,0)),"⚠未検出")</f>
        <v>新しい顧客を追加するときの申請から開通までの手順と、所要日数をどうするか</v>
      </c>
      <c r="D31" s="68" t="str">
        <f>IFERROR(INDEX(進捗一覧!$H:$H,MATCH($A31,進捗一覧!$P:$P,0)),"⚠未検出")</f>
        <v>外部待ち</v>
      </c>
      <c r="E31" s="66" t="s">
        <v>904</v>
      </c>
      <c r="F31" s="68" t="s">
        <v>937</v>
      </c>
      <c r="G31" s="68" t="s">
        <v>948</v>
      </c>
      <c r="H31" s="76" t="s">
        <v>969</v>
      </c>
    </row>
    <row r="32" spans="1:8" ht="16">
      <c r="A32" s="65" t="s">
        <v>73</v>
      </c>
      <c r="B32" s="66" t="str">
        <f>IFERROR(INDEX(進捗一覧!$O:$O,MATCH($A32,進捗一覧!$P:$P,0)),"⚠未検出")</f>
        <v>⚠未検出</v>
      </c>
      <c r="C32" s="67" t="str">
        <f>IFERROR(INDEX(進捗一覧!$E:$E,MATCH($A32,進捗一覧!$P:$P,0)),"⚠未検出")</f>
        <v>⚠未検出</v>
      </c>
      <c r="D32" s="68" t="str">
        <f>IFERROR(INDEX(進捗一覧!$H:$H,MATCH($A32,進捗一覧!$P:$P,0)),"⚠未検出")</f>
        <v>⚠未検出</v>
      </c>
      <c r="E32" s="66" t="s">
        <v>1063</v>
      </c>
      <c r="F32" s="68" t="s">
        <v>1064</v>
      </c>
      <c r="G32" s="68" t="s">
        <v>1065</v>
      </c>
      <c r="H32" s="76" t="s">
        <v>1066</v>
      </c>
    </row>
    <row r="33" spans="1:8" ht="16">
      <c r="A33" s="65" t="s">
        <v>75</v>
      </c>
      <c r="B33" s="66" t="str">
        <f>IFERROR(INDEX(進捗一覧!$O:$O,MATCH($A33,進捗一覧!$P:$P,0)),"⚠未検出")</f>
        <v>FR-MFA MFA要素</v>
      </c>
      <c r="C33" s="67" t="str">
        <f>IFERROR(INDEX(進捗一覧!$E:$E,MATCH($A33,進捗一覧!$P:$P,0)),"⚠未検出")</f>
        <v>スマホの認証アプリによる追加確認を用意するか</v>
      </c>
      <c r="D33" s="68" t="str">
        <f>IFERROR(INDEX(進捗一覧!$H:$H,MATCH($A33,進捗一覧!$P:$P,0)),"⚠未検出")</f>
        <v>外部待ち</v>
      </c>
      <c r="E33" s="66" t="s">
        <v>1067</v>
      </c>
      <c r="F33" s="68" t="s">
        <v>1064</v>
      </c>
      <c r="G33" s="68" t="s">
        <v>1065</v>
      </c>
      <c r="H33" s="76" t="s">
        <v>1068</v>
      </c>
    </row>
    <row r="34" spans="1:8" ht="16">
      <c r="A34" s="65" t="s">
        <v>78</v>
      </c>
      <c r="B34" s="66" t="str">
        <f>IFERROR(INDEX(進捗一覧!$O:$O,MATCH($A34,進捗一覧!$P:$P,0)),"⚠未検出")</f>
        <v>FR-MFA MFA要素</v>
      </c>
      <c r="C34" s="67" t="str">
        <f>IFERROR(INDEX(進捗一覧!$E:$E,MATCH($A34,進捗一覧!$P:$P,0)),"⚠未検出")</f>
        <v>指紋・顔認証やセキュリティキーを使ったパスワード不要のログインを用意するか</v>
      </c>
      <c r="D34" s="68" t="str">
        <f>IFERROR(INDEX(進捗一覧!$H:$H,MATCH($A34,進捗一覧!$P:$P,0)),"⚠未検出")</f>
        <v>外部待ち</v>
      </c>
      <c r="E34" s="66" t="s">
        <v>1069</v>
      </c>
      <c r="F34" s="68" t="s">
        <v>1064</v>
      </c>
      <c r="G34" s="68" t="s">
        <v>1065</v>
      </c>
      <c r="H34" s="76" t="s">
        <v>1070</v>
      </c>
    </row>
    <row r="35" spans="1:8" ht="16">
      <c r="A35" s="65" t="s">
        <v>80</v>
      </c>
      <c r="B35" s="66" t="str">
        <f>IFERROR(INDEX(進捗一覧!$O:$O,MATCH($A35,進捗一覧!$P:$P,0)),"⚠未検出")</f>
        <v>FR-MFA MFA要素</v>
      </c>
      <c r="C35" s="67" t="str">
        <f>IFERROR(INDEX(進捗一覧!$E:$E,MATCH($A35,進捗一覧!$P:$P,0)),"⚠未検出")</f>
        <v>SMS（携帯メッセージ）による追加確認を用意するか。費用と安全性をどう見るか</v>
      </c>
      <c r="D35" s="68" t="str">
        <f>IFERROR(INDEX(進捗一覧!$H:$H,MATCH($A35,進捗一覧!$P:$P,0)),"⚠未検出")</f>
        <v>外部待ち</v>
      </c>
      <c r="E35" s="66" t="s">
        <v>1071</v>
      </c>
      <c r="F35" s="68" t="s">
        <v>1056</v>
      </c>
      <c r="G35" s="68" t="s">
        <v>1072</v>
      </c>
      <c r="H35" s="76" t="s">
        <v>1073</v>
      </c>
    </row>
    <row r="36" spans="1:8" ht="16">
      <c r="A36" s="65" t="s">
        <v>82</v>
      </c>
      <c r="B36" s="66" t="str">
        <f>IFERROR(INDEX(進捗一覧!$O:$O,MATCH($A36,進捗一覧!$P:$P,0)),"⚠未検出")</f>
        <v>FR-MFA MFA要素</v>
      </c>
      <c r="C36" s="67" t="str">
        <f>IFERROR(INDEX(進捗一覧!$E:$E,MATCH($A36,進捗一覧!$P:$P,0)),"⚠未検出")</f>
        <v>メールによる追加確認を用意するか</v>
      </c>
      <c r="D36" s="68" t="str">
        <f>IFERROR(INDEX(進捗一覧!$H:$H,MATCH($A36,進捗一覧!$P:$P,0)),"⚠未検出")</f>
        <v>外部待ち</v>
      </c>
      <c r="E36" s="66" t="s">
        <v>1094</v>
      </c>
      <c r="F36" s="68" t="s">
        <v>1089</v>
      </c>
      <c r="G36" s="68" t="s">
        <v>1072</v>
      </c>
      <c r="H36" s="76" t="s">
        <v>1397</v>
      </c>
    </row>
    <row r="37" spans="1:8" ht="16">
      <c r="A37" s="65" t="s">
        <v>84</v>
      </c>
      <c r="B37" s="66" t="str">
        <f>IFERROR(INDEX(進捗一覧!$O:$O,MATCH($A37,進捗一覧!$P:$P,0)),"⚠未検出")</f>
        <v>⚠未検出</v>
      </c>
      <c r="C37" s="67" t="str">
        <f>IFERROR(INDEX(進捗一覧!$E:$E,MATCH($A37,進捗一覧!$P:$P,0)),"⚠未検出")</f>
        <v>⚠未検出</v>
      </c>
      <c r="D37" s="68" t="str">
        <f>IFERROR(INDEX(進捗一覧!$H:$H,MATCH($A37,進捗一覧!$P:$P,0)),"⚠未検出")</f>
        <v>⚠未検出</v>
      </c>
      <c r="E37" s="66" t="s">
        <v>1055</v>
      </c>
      <c r="F37" s="68" t="s">
        <v>1056</v>
      </c>
      <c r="G37" s="68" t="s">
        <v>1065</v>
      </c>
      <c r="H37" s="76" t="s">
        <v>1074</v>
      </c>
    </row>
    <row r="38" spans="1:8" ht="16">
      <c r="A38" s="65" t="s">
        <v>86</v>
      </c>
      <c r="B38" s="66" t="str">
        <f>IFERROR(INDEX(進捗一覧!$O:$O,MATCH($A38,進捗一覧!$P:$P,0)),"⚠未検出")</f>
        <v>FR-MFA MFA適用ポリシー</v>
      </c>
      <c r="C38" s="67" t="str">
        <f>IFERROR(INDEX(進捗一覧!$E:$E,MATCH($A38,進捗一覧!$P:$P,0)),"⚠未検出")</f>
        <v>普段と違う場所や不審な状況のときだけ追加確認を求めるか。その判定基準をどうするか</v>
      </c>
      <c r="D38" s="68" t="str">
        <f>IFERROR(INDEX(進捗一覧!$H:$H,MATCH($A38,進捗一覧!$P:$P,0)),"⚠未検出")</f>
        <v>確定</v>
      </c>
      <c r="E38" s="66" t="s">
        <v>1075</v>
      </c>
      <c r="F38" s="68" t="s">
        <v>1064</v>
      </c>
      <c r="G38" s="68" t="s">
        <v>1057</v>
      </c>
      <c r="H38" s="76" t="s">
        <v>1076</v>
      </c>
    </row>
    <row r="39" spans="1:8" ht="16">
      <c r="A39" s="65" t="s">
        <v>89</v>
      </c>
      <c r="B39" s="66" t="str">
        <f>IFERROR(INDEX(進捗一覧!$O:$O,MATCH($A39,進捗一覧!$P:$P,0)),"⚠未検出")</f>
        <v>FR-MFA MFA適用ポリシー</v>
      </c>
      <c r="C39" s="67" t="str">
        <f>IFERROR(INDEX(進捗一覧!$E:$E,MATCH($A39,進捗一覧!$P:$P,0)),"⚠未検出")</f>
        <v>追加確認を全員必須にするか、役割ごとに任意とするか</v>
      </c>
      <c r="D39" s="68" t="str">
        <f>IFERROR(INDEX(進捗一覧!$H:$H,MATCH($A39,進捗一覧!$P:$P,0)),"⚠未検出")</f>
        <v>確定</v>
      </c>
      <c r="E39" s="66" t="s">
        <v>1067</v>
      </c>
      <c r="F39" s="68" t="s">
        <v>1064</v>
      </c>
      <c r="G39" s="68" t="s">
        <v>1065</v>
      </c>
      <c r="H39" s="76" t="s">
        <v>1077</v>
      </c>
    </row>
    <row r="40" spans="1:8" ht="16">
      <c r="A40" s="65" t="s">
        <v>91</v>
      </c>
      <c r="B40" s="66" t="str">
        <f>IFERROR(INDEX(進捗一覧!$O:$O,MATCH($A40,進捗一覧!$P:$P,0)),"⚠未検出")</f>
        <v>⚠未検出</v>
      </c>
      <c r="C40" s="67" t="str">
        <f>IFERROR(INDEX(進捗一覧!$E:$E,MATCH($A40,進捗一覧!$P:$P,0)),"⚠未検出")</f>
        <v>⚠未検出</v>
      </c>
      <c r="D40" s="68" t="str">
        <f>IFERROR(INDEX(進捗一覧!$H:$H,MATCH($A40,進捗一覧!$P:$P,0)),"⚠未検出")</f>
        <v>⚠未検出</v>
      </c>
      <c r="E40" s="66" t="s">
        <v>1059</v>
      </c>
      <c r="F40" s="68" t="s">
        <v>1056</v>
      </c>
      <c r="G40" s="68" t="s">
        <v>1057</v>
      </c>
      <c r="H40" s="76" t="s">
        <v>1078</v>
      </c>
    </row>
    <row r="41" spans="1:8" ht="16">
      <c r="A41" s="65" t="s">
        <v>92</v>
      </c>
      <c r="B41" s="66" t="str">
        <f>IFERROR(INDEX(進捗一覧!$O:$O,MATCH($A41,進捗一覧!$P:$P,0)),"⚠未検出")</f>
        <v>FR-MFA MFA適用ポリシー</v>
      </c>
      <c r="C41" s="67" t="str">
        <f>IFERROR(INDEX(進捗一覧!$E:$E,MATCH($A41,進捗一覧!$P:$P,0)),"⚠未検出")</f>
        <v>管理者権限を持つ人には追加確認を必須にするか</v>
      </c>
      <c r="D41" s="68" t="str">
        <f>IFERROR(INDEX(進捗一覧!$H:$H,MATCH($A41,進捗一覧!$P:$P,0)),"⚠未検出")</f>
        <v>確定</v>
      </c>
      <c r="E41" s="66" t="s">
        <v>895</v>
      </c>
      <c r="F41" s="68" t="s">
        <v>937</v>
      </c>
      <c r="G41" s="68" t="s">
        <v>938</v>
      </c>
      <c r="H41" s="76" t="s">
        <v>970</v>
      </c>
    </row>
    <row r="42" spans="1:8" ht="16">
      <c r="A42" s="65" t="s">
        <v>95</v>
      </c>
      <c r="B42" s="66" t="str">
        <f>IFERROR(INDEX(進捗一覧!$O:$O,MATCH($A42,進捗一覧!$P:$P,0)),"⚠未検出")</f>
        <v>FR-SSO SSO</v>
      </c>
      <c r="C42" s="67" t="str">
        <f>IFERROR(INDEX(進捗一覧!$E:$E,MATCH($A42,進捗一覧!$P:$P,0)),"⚠未検出")</f>
        <v>一度ログインすれば複数のアプリを使い回せる状態にするか</v>
      </c>
      <c r="D42" s="68" t="str">
        <f>IFERROR(INDEX(進捗一覧!$H:$H,MATCH($A42,進捗一覧!$P:$P,0)),"⚠未検出")</f>
        <v>確定</v>
      </c>
      <c r="E42" s="66" t="s">
        <v>920</v>
      </c>
      <c r="F42" s="68" t="s">
        <v>941</v>
      </c>
      <c r="G42" s="68" t="s">
        <v>938</v>
      </c>
      <c r="H42" s="76" t="s">
        <v>971</v>
      </c>
    </row>
    <row r="43" spans="1:8" ht="16">
      <c r="A43" s="65" t="s">
        <v>98</v>
      </c>
      <c r="B43" s="66" t="str">
        <f>IFERROR(INDEX(進捗一覧!$O:$O,MATCH($A43,進捗一覧!$P:$P,0)),"⚠未検出")</f>
        <v>FR-SSO SSO</v>
      </c>
      <c r="C43" s="67" t="str">
        <f>IFERROR(INDEX(進捗一覧!$E:$E,MATCH($A43,進捗一覧!$P:$P,0)),"⚠未検出")</f>
        <v>顧客側のID基盤を経由した場合も同じく使い回せるようにするか</v>
      </c>
      <c r="D43" s="68" t="str">
        <f>IFERROR(INDEX(進捗一覧!$H:$H,MATCH($A43,進捗一覧!$P:$P,0)),"⚠未検出")</f>
        <v>外部待ち</v>
      </c>
      <c r="E43" s="66" t="s">
        <v>972</v>
      </c>
      <c r="F43" s="68" t="s">
        <v>937</v>
      </c>
      <c r="G43" s="68" t="s">
        <v>938</v>
      </c>
      <c r="H43" s="76" t="s">
        <v>973</v>
      </c>
    </row>
    <row r="44" spans="1:8" ht="16">
      <c r="A44" s="65" t="s">
        <v>101</v>
      </c>
      <c r="B44" s="66" t="str">
        <f>IFERROR(INDEX(進捗一覧!$O:$O,MATCH($A44,進捗一覧!$P:$P,0)),"⚠未検出")</f>
        <v>⚠未検出</v>
      </c>
      <c r="C44" s="67" t="str">
        <f>IFERROR(INDEX(進捗一覧!$E:$E,MATCH($A44,進捗一覧!$P:$P,0)),"⚠未検出")</f>
        <v>⚠未検出</v>
      </c>
      <c r="D44" s="68" t="str">
        <f>IFERROR(INDEX(進捗一覧!$H:$H,MATCH($A44,進捗一覧!$P:$P,0)),"⚠未検出")</f>
        <v>⚠未検出</v>
      </c>
      <c r="E44" s="66" t="s">
        <v>927</v>
      </c>
      <c r="F44" s="68" t="s">
        <v>941</v>
      </c>
      <c r="G44" s="68" t="s">
        <v>938</v>
      </c>
      <c r="H44" s="76" t="s">
        <v>974</v>
      </c>
    </row>
    <row r="45" spans="1:8" ht="16">
      <c r="A45" s="65" t="s">
        <v>103</v>
      </c>
      <c r="B45" s="66" t="str">
        <f>IFERROR(INDEX(進捗一覧!$O:$O,MATCH($A45,進捗一覧!$P:$P,0)),"⚠未検出")</f>
        <v>FR-SSO ログアウト</v>
      </c>
      <c r="C45" s="67" t="str">
        <f>IFERROR(INDEX(進捗一覧!$E:$E,MATCH($A45,進捗一覧!$P:$P,0)),"⚠未検出")</f>
        <v>ログアウト時に認証基盤側のログイン状態も併せて消すか</v>
      </c>
      <c r="D45" s="68" t="str">
        <f>IFERROR(INDEX(進捗一覧!$H:$H,MATCH($A45,進捗一覧!$P:$P,0)),"⚠未検出")</f>
        <v>外部待ち</v>
      </c>
      <c r="E45" s="66" t="s">
        <v>927</v>
      </c>
      <c r="F45" s="68" t="s">
        <v>941</v>
      </c>
      <c r="G45" s="68" t="s">
        <v>938</v>
      </c>
      <c r="H45" s="76" t="s">
        <v>975</v>
      </c>
    </row>
    <row r="46" spans="1:8" ht="16">
      <c r="A46" s="65" t="s">
        <v>105</v>
      </c>
      <c r="B46" s="66" t="str">
        <f>IFERROR(INDEX(進捗一覧!$O:$O,MATCH($A46,進捗一覧!$P:$P,0)),"⚠未検出")</f>
        <v>FR-SSO ログアウト</v>
      </c>
      <c r="C46" s="67" t="str">
        <f>IFERROR(INDEX(進捗一覧!$E:$E,MATCH($A46,進捗一覧!$P:$P,0)),"⚠未検出")</f>
        <v>ログアウト時に顧客側のID基盤のログイン状態まで消すか。どこまで連動させるか</v>
      </c>
      <c r="D46" s="68" t="str">
        <f>IFERROR(INDEX(進捗一覧!$H:$H,MATCH($A46,進捗一覧!$P:$P,0)),"⚠未検出")</f>
        <v>外部待ち</v>
      </c>
      <c r="E46" s="66" t="s">
        <v>976</v>
      </c>
      <c r="F46" s="68" t="s">
        <v>977</v>
      </c>
      <c r="G46" s="68" t="s">
        <v>938</v>
      </c>
      <c r="H46" s="76" t="s">
        <v>978</v>
      </c>
    </row>
    <row r="47" spans="1:8" ht="16">
      <c r="A47" s="65" t="s">
        <v>107</v>
      </c>
      <c r="B47" s="66" t="str">
        <f>IFERROR(INDEX(進捗一覧!$O:$O,MATCH($A47,進捗一覧!$P:$P,0)),"⚠未検出")</f>
        <v>FR-SSO ログアウト</v>
      </c>
      <c r="C47" s="67" t="str">
        <f>IFERROR(INDEX(進捗一覧!$E:$E,MATCH($A47,進捗一覧!$P:$P,0)),"⚠未検出")</f>
        <v>利用者のブラウザ経由で各アプリに一斉ログアウトを伝える方式を使うか</v>
      </c>
      <c r="D47" s="68" t="str">
        <f>IFERROR(INDEX(進捗一覧!$H:$H,MATCH($A47,進捗一覧!$P:$P,0)),"⚠未検出")</f>
        <v>外部待ち</v>
      </c>
      <c r="E47" s="66" t="s">
        <v>927</v>
      </c>
      <c r="F47" s="68" t="s">
        <v>941</v>
      </c>
      <c r="G47" s="68" t="s">
        <v>938</v>
      </c>
      <c r="H47" s="76" t="s">
        <v>979</v>
      </c>
    </row>
    <row r="48" spans="1:8" ht="16">
      <c r="A48" s="65" t="s">
        <v>109</v>
      </c>
      <c r="B48" s="66" t="str">
        <f>IFERROR(INDEX(進捗一覧!$O:$O,MATCH($A48,進捗一覧!$P:$P,0)),"⚠未検出")</f>
        <v>FR-SSO ログアウト</v>
      </c>
      <c r="C48" s="67" t="str">
        <f>IFERROR(INDEX(進捗一覧!$E:$E,MATCH($A48,進捗一覧!$P:$P,0)),"⚠未検出")</f>
        <v>サーバー同士の通信で各アプリに確実にログアウトを伝える方式を使うか</v>
      </c>
      <c r="D48" s="68" t="str">
        <f>IFERROR(INDEX(進捗一覧!$H:$H,MATCH($A48,進捗一覧!$P:$P,0)),"⚠未検出")</f>
        <v>外部待ち</v>
      </c>
      <c r="E48" s="66" t="s">
        <v>980</v>
      </c>
      <c r="F48" s="68" t="s">
        <v>941</v>
      </c>
      <c r="G48" s="68" t="s">
        <v>938</v>
      </c>
      <c r="H48" s="76" t="s">
        <v>981</v>
      </c>
    </row>
    <row r="49" spans="1:8" ht="16">
      <c r="A49" s="65" t="s">
        <v>112</v>
      </c>
      <c r="B49" s="66" t="str">
        <f>IFERROR(INDEX(進捗一覧!$O:$O,MATCH($A49,進捗一覧!$P:$P,0)),"⚠未検出")</f>
        <v>FR-SSO セッション管理</v>
      </c>
      <c r="C49" s="67" t="str">
        <f>IFERROR(INDEX(進捗一覧!$E:$E,MATCH($A49,進捗一覧!$P:$P,0)),"⚠未検出")</f>
        <v>無操作が続いたときに自動ログアウトするまでの時間をどうするか</v>
      </c>
      <c r="D49" s="68" t="str">
        <f>IFERROR(INDEX(進捗一覧!$H:$H,MATCH($A49,進捗一覧!$P:$P,0)),"⚠未検出")</f>
        <v>外部待ち</v>
      </c>
      <c r="E49" s="66" t="s">
        <v>1446</v>
      </c>
      <c r="F49" s="68" t="s">
        <v>1447</v>
      </c>
      <c r="G49" s="68" t="s">
        <v>1065</v>
      </c>
      <c r="H49" s="76" t="s">
        <v>1448</v>
      </c>
    </row>
    <row r="50" spans="1:8" ht="16">
      <c r="A50" s="65" t="s">
        <v>115</v>
      </c>
      <c r="B50" s="66" t="str">
        <f>IFERROR(INDEX(進捗一覧!$O:$O,MATCH($A50,進捗一覧!$P:$P,0)),"⚠未検出")</f>
        <v>FR-SSO セッション管理</v>
      </c>
      <c r="C50" s="67" t="str">
        <f>IFERROR(INDEX(進捗一覧!$E:$E,MATCH($A50,進捗一覧!$P:$P,0)),"⚠未検出")</f>
        <v>発行済みの通行証を有効期限前に強制的に無効化できる必要があるか</v>
      </c>
      <c r="D50" s="68" t="str">
        <f>IFERROR(INDEX(進捗一覧!$H:$H,MATCH($A50,進捗一覧!$P:$P,0)),"⚠未検出")</f>
        <v>外部待ち</v>
      </c>
      <c r="E50" s="66" t="s">
        <v>1449</v>
      </c>
      <c r="F50" s="68" t="s">
        <v>1450</v>
      </c>
      <c r="G50" s="68" t="s">
        <v>1065</v>
      </c>
      <c r="H50" s="76" t="s">
        <v>1451</v>
      </c>
    </row>
    <row r="51" spans="1:8" ht="16">
      <c r="A51" s="65" t="s">
        <v>117</v>
      </c>
      <c r="B51" s="66" t="str">
        <f>IFERROR(INDEX(進捗一覧!$O:$O,MATCH($A51,進捗一覧!$P:$P,0)),"⚠未検出")</f>
        <v>FR-SSO セッション管理</v>
      </c>
      <c r="C51" s="67" t="str">
        <f>IFERROR(INDEX(進捗一覧!$E:$E,MATCH($A51,進捗一覧!$P:$P,0)),"⚠未検出")</f>
        <v>管理者が特定の利用者のログイン状態を一括で切断できる機能を用意するか</v>
      </c>
      <c r="D51" s="68" t="str">
        <f>IFERROR(INDEX(進捗一覧!$H:$H,MATCH($A51,進捗一覧!$P:$P,0)),"⚠未検出")</f>
        <v>外部待ち</v>
      </c>
      <c r="E51" s="66" t="s">
        <v>1452</v>
      </c>
      <c r="F51" s="68" t="s">
        <v>1453</v>
      </c>
      <c r="G51" s="68" t="s">
        <v>1065</v>
      </c>
      <c r="H51" s="76" t="s">
        <v>1454</v>
      </c>
    </row>
    <row r="52" spans="1:8" ht="16">
      <c r="A52" s="65" t="s">
        <v>120</v>
      </c>
      <c r="B52" s="66" t="str">
        <f>IFERROR(INDEX(進捗一覧!$O:$O,MATCH($A52,進捗一覧!$P:$P,0)),"⚠未検出")</f>
        <v>FR-AUTHZ クレームベース基本認可</v>
      </c>
      <c r="C52" s="67" t="str">
        <f>IFERROR(INDEX(進捗一覧!$E:$E,MATCH($A52,進捗一覧!$P:$P,0)),"⚠未検出")</f>
        <v>通行証に含まれる情報をもとに各アプリが権限を判定する方式でよいか</v>
      </c>
      <c r="D52" s="68" t="str">
        <f>IFERROR(INDEX(進捗一覧!$H:$H,MATCH($A52,進捗一覧!$P:$P,0)),"⚠未検出")</f>
        <v>確定</v>
      </c>
      <c r="E52" s="66" t="s">
        <v>982</v>
      </c>
      <c r="F52" s="68" t="s">
        <v>941</v>
      </c>
      <c r="G52" s="68" t="s">
        <v>938</v>
      </c>
      <c r="H52" s="76" t="s">
        <v>983</v>
      </c>
    </row>
    <row r="53" spans="1:8" ht="16">
      <c r="A53" s="65" t="s">
        <v>123</v>
      </c>
      <c r="B53" s="66" t="str">
        <f>IFERROR(INDEX(進捗一覧!$O:$O,MATCH($A53,進捗一覧!$P:$P,0)),"⚠未検出")</f>
        <v>FR-AUTHZ クレームベース基本認可</v>
      </c>
      <c r="C53" s="67" t="str">
        <f>IFERROR(INDEX(進捗一覧!$E:$E,MATCH($A53,進捗一覧!$P:$P,0)),"⚠未検出")</f>
        <v>顧客ごとのデータが混ざらないよう、所属情報を通行証に必ず載せるか</v>
      </c>
      <c r="D53" s="68" t="str">
        <f>IFERROR(INDEX(進捗一覧!$H:$H,MATCH($A53,進捗一覧!$P:$P,0)),"⚠未検出")</f>
        <v>確定</v>
      </c>
      <c r="E53" s="66" t="s">
        <v>984</v>
      </c>
      <c r="F53" s="68" t="s">
        <v>977</v>
      </c>
      <c r="G53" s="68" t="s">
        <v>938</v>
      </c>
      <c r="H53" s="76" t="s">
        <v>985</v>
      </c>
    </row>
    <row r="54" spans="1:8" ht="16">
      <c r="A54" s="65" t="s">
        <v>125</v>
      </c>
      <c r="B54" s="66" t="str">
        <f>IFERROR(INDEX(進捗一覧!$O:$O,MATCH($A54,進捗一覧!$P:$P,0)),"⚠未検出")</f>
        <v>FR-AUTHZ クレームベース基本認可</v>
      </c>
      <c r="C54" s="67" t="str">
        <f>IFERROR(INDEX(進捗一覧!$E:$E,MATCH($A54,進捗一覧!$P:$P,0)),"⚠未検出")</f>
        <v>役割（ロール）の情報を通行証に載せて権限判定に使うか</v>
      </c>
      <c r="D54" s="68" t="str">
        <f>IFERROR(INDEX(進捗一覧!$H:$H,MATCH($A54,進捗一覧!$P:$P,0)),"⚠未検出")</f>
        <v>外部待ち</v>
      </c>
      <c r="E54" s="66" t="s">
        <v>986</v>
      </c>
      <c r="F54" s="68" t="s">
        <v>987</v>
      </c>
      <c r="G54" s="68" t="s">
        <v>938</v>
      </c>
      <c r="H54" s="76" t="s">
        <v>988</v>
      </c>
    </row>
    <row r="55" spans="1:8" ht="16">
      <c r="A55" s="65" t="s">
        <v>127</v>
      </c>
      <c r="B55" s="66" t="str">
        <f>IFERROR(INDEX(進捗一覧!$O:$O,MATCH($A55,進捗一覧!$P:$P,0)),"⚠未検出")</f>
        <v>FR-AUTHZ クレームベース基本認可</v>
      </c>
      <c r="C55" s="67" t="str">
        <f>IFERROR(INDEX(進捗一覧!$E:$E,MATCH($A55,進捗一覧!$P:$P,0)),"⚠未検出")</f>
        <v>役割に上下関係（上位が下位を兼ねる）を持たせるか</v>
      </c>
      <c r="D55" s="68" t="str">
        <f>IFERROR(INDEX(進捗一覧!$H:$H,MATCH($A55,進捗一覧!$P:$P,0)),"⚠未検出")</f>
        <v>外部待ち</v>
      </c>
      <c r="E55" s="66" t="s">
        <v>895</v>
      </c>
      <c r="F55" s="68" t="s">
        <v>937</v>
      </c>
      <c r="G55" s="68" t="s">
        <v>948</v>
      </c>
      <c r="H55" s="76" t="s">
        <v>989</v>
      </c>
    </row>
    <row r="56" spans="1:8" ht="16">
      <c r="A56" s="65" t="s">
        <v>129</v>
      </c>
      <c r="B56" s="66" t="str">
        <f>IFERROR(INDEX(進捗一覧!$O:$O,MATCH($A56,進捗一覧!$P:$P,0)),"⚠未検出")</f>
        <v>FR-AUTHZ クレームベース基本認可</v>
      </c>
      <c r="C56" s="67" t="str">
        <f>IFERROR(INDEX(進捗一覧!$E:$E,MATCH($A56,進捗一覧!$P:$P,0)),"⚠未検出")</f>
        <v>システム同士の通信でも、呼び出せる機能の範囲を絞り込む仕組みを使うか</v>
      </c>
      <c r="D56" s="68" t="str">
        <f>IFERROR(INDEX(進捗一覧!$H:$H,MATCH($A56,進捗一覧!$P:$P,0)),"⚠未検出")</f>
        <v>対象外</v>
      </c>
      <c r="E56" s="66" t="s">
        <v>990</v>
      </c>
      <c r="F56" s="68" t="s">
        <v>941</v>
      </c>
      <c r="G56" s="68" t="s">
        <v>938</v>
      </c>
      <c r="H56" s="76" t="s">
        <v>991</v>
      </c>
    </row>
    <row r="57" spans="1:8" ht="16">
      <c r="A57" s="65" t="s">
        <v>131</v>
      </c>
      <c r="B57" s="66" t="str">
        <f>IFERROR(INDEX(進捗一覧!$O:$O,MATCH($A57,進捗一覧!$P:$P,0)),"⚠未検出")</f>
        <v>FR-AUTHZ クレームベース基本認可</v>
      </c>
      <c r="C57" s="67" t="str">
        <f>IFERROR(INDEX(進捗一覧!$E:$E,MATCH($A57,進捗一覧!$P:$P,0)),"⚠未検出")</f>
        <v>顧客固有の項目を通行証に追加できるようにするか。追加を認める範囲をどこまでにするか</v>
      </c>
      <c r="D57" s="68" t="str">
        <f>IFERROR(INDEX(進捗一覧!$H:$H,MATCH($A57,進捗一覧!$P:$P,0)),"⚠未検出")</f>
        <v>外部待ち</v>
      </c>
      <c r="E57" s="66" t="s">
        <v>918</v>
      </c>
      <c r="F57" s="68" t="s">
        <v>941</v>
      </c>
      <c r="G57" s="68" t="s">
        <v>938</v>
      </c>
      <c r="H57" s="76" t="s">
        <v>992</v>
      </c>
    </row>
    <row r="58" spans="1:8" ht="16">
      <c r="A58" s="65" t="s">
        <v>133</v>
      </c>
      <c r="B58" s="66" t="str">
        <f>IFERROR(INDEX(進捗一覧!$O:$O,MATCH($A58,進捗一覧!$P:$P,0)),"⚠未検出")</f>
        <v>FR-AUTHZ クレームベース基本認可</v>
      </c>
      <c r="C58" s="67" t="str">
        <f>IFERROR(INDEX(進捗一覧!$E:$E,MATCH($A58,進捗一覧!$P:$P,0)),"⚠未検出")</f>
        <v>AWSのAPI入口で通行証を検証する共通部品を用意するか</v>
      </c>
      <c r="D58" s="68" t="str">
        <f>IFERROR(INDEX(進捗一覧!$H:$H,MATCH($A58,進捗一覧!$P:$P,0)),"⚠未検出")</f>
        <v>対象外</v>
      </c>
      <c r="E58" s="66" t="s">
        <v>932</v>
      </c>
      <c r="F58" s="68" t="s">
        <v>941</v>
      </c>
      <c r="G58" s="68" t="s">
        <v>948</v>
      </c>
      <c r="H58" s="76" t="s">
        <v>993</v>
      </c>
    </row>
    <row r="59" spans="1:8" ht="16">
      <c r="A59" s="65" t="s">
        <v>135</v>
      </c>
      <c r="B59" s="66" t="str">
        <f>IFERROR(INDEX(進捗一覧!$O:$O,MATCH($A59,進捗一覧!$P:$P,0)),"⚠未検出")</f>
        <v>FR-AUTHZ クレームベース基本認可</v>
      </c>
      <c r="C59" s="67" t="str">
        <f>IFERROR(INDEX(進捗一覧!$E:$E,MATCH($A59,進捗一覧!$P:$P,0)),"⚠未検出")</f>
        <v>アプリが受け取る通行証の発行元をいくつにするか。Phase 1 は Broker の1か所だけで、顧客のID基盤は「外部の入口」として扱う。ブランドごとに発行元を分ける案（DU-U2-09）との関係は2026-08-15に整理済みで、単一発行元の前提と衝突しないことが確認されている</v>
      </c>
      <c r="D59" s="68" t="str">
        <f>IFERROR(INDEX(進捗一覧!$H:$H,MATCH($A59,進捗一覧!$P:$P,0)),"⚠未検出")</f>
        <v>確定</v>
      </c>
      <c r="E59" s="66" t="s">
        <v>994</v>
      </c>
      <c r="F59" s="68" t="s">
        <v>987</v>
      </c>
      <c r="G59" s="68" t="s">
        <v>938</v>
      </c>
      <c r="H59" s="76" t="s">
        <v>995</v>
      </c>
    </row>
    <row r="60" spans="1:8" ht="16">
      <c r="A60" s="65" t="s">
        <v>138</v>
      </c>
      <c r="B60" s="66" t="str">
        <f>IFERROR(INDEX(進捗一覧!$O:$O,MATCH($A60,進捗一覧!$P:$P,0)),"⚠未検出")</f>
        <v>FR-AUTHZ 細粒度認可</v>
      </c>
      <c r="C60" s="67" t="str">
        <f>IFERROR(INDEX(進捗一覧!$E:$E,MATCH($A60,進捗一覧!$P:$P,0)),"⚠未検出")</f>
        <v>「この書類はこの人だけ」といった個別データ単位の細かい権限は、基盤では扱わず各アプリの判断に委ねる方針。決めるのは、その線引きをアプリ側とどう合意するか</v>
      </c>
      <c r="D60" s="68" t="str">
        <f>IFERROR(INDEX(進捗一覧!$H:$H,MATCH($A60,進捗一覧!$P:$P,0)),"⚠未検出")</f>
        <v>対象外</v>
      </c>
      <c r="E60" s="66" t="s">
        <v>913</v>
      </c>
      <c r="F60" s="68" t="s">
        <v>957</v>
      </c>
      <c r="G60" s="68" t="s">
        <v>958</v>
      </c>
      <c r="H60" s="76" t="s">
        <v>996</v>
      </c>
    </row>
    <row r="61" spans="1:8" ht="16">
      <c r="A61" s="65" t="s">
        <v>141</v>
      </c>
      <c r="B61" s="66" t="str">
        <f>IFERROR(INDEX(進捗一覧!$O:$O,MATCH($A61,進捗一覧!$P:$P,0)),"⚠未検出")</f>
        <v>FR-AUTHZ 細粒度認可</v>
      </c>
      <c r="C61" s="67" t="str">
        <f>IFERROR(INDEX(進捗一覧!$E:$E,MATCH($A61,進捗一覧!$P:$P,0)),"⚠未検出")</f>
        <v>部署や職位などの属性を組み合わせてその場で権限を決める仕組みも、基盤では扱わずアプリの判断に委ねる方針。決めるのは、その線引きをアプリ側とどう合意するか</v>
      </c>
      <c r="D61" s="68" t="str">
        <f>IFERROR(INDEX(進捗一覧!$H:$H,MATCH($A61,進捗一覧!$P:$P,0)),"⚠未検出")</f>
        <v>対象外</v>
      </c>
      <c r="E61" s="66" t="s">
        <v>997</v>
      </c>
      <c r="F61" s="68" t="s">
        <v>957</v>
      </c>
      <c r="G61" s="68" t="s">
        <v>958</v>
      </c>
      <c r="H61" s="76" t="s">
        <v>998</v>
      </c>
    </row>
    <row r="62" spans="1:8" ht="16">
      <c r="A62" s="65" t="s">
        <v>144</v>
      </c>
      <c r="B62" s="66" t="str">
        <f>IFERROR(INDEX(進捗一覧!$O:$O,MATCH($A62,進捗一覧!$P:$P,0)),"⚠未検出")</f>
        <v>FR-USER ユーザーCRUD</v>
      </c>
      <c r="C62" s="67" t="str">
        <f>IFERROR(INDEX(進捗一覧!$E:$E,MATCH($A62,進捗一覧!$P:$P,0)),"⚠未検出")</f>
        <v>利用者情報の登録・変更・削除を、誰がどの画面やAPIから行えるようにするか</v>
      </c>
      <c r="D62" s="68" t="str">
        <f>IFERROR(INDEX(進捗一覧!$H:$H,MATCH($A62,進捗一覧!$P:$P,0)),"⚠未検出")</f>
        <v>外部待ち</v>
      </c>
      <c r="E62" s="66" t="s">
        <v>999</v>
      </c>
      <c r="F62" s="68" t="s">
        <v>1000</v>
      </c>
      <c r="G62" s="68" t="s">
        <v>938</v>
      </c>
      <c r="H62" s="76" t="s">
        <v>1001</v>
      </c>
    </row>
    <row r="63" spans="1:8" ht="16">
      <c r="A63" s="65" t="s">
        <v>147</v>
      </c>
      <c r="B63" s="66" t="str">
        <f>IFERROR(INDEX(進捗一覧!$O:$O,MATCH($A63,進捗一覧!$P:$P,0)),"⚠未検出")</f>
        <v>FR-USER ユーザーCRUD</v>
      </c>
      <c r="C63" s="67" t="str">
        <f>IFERROR(INDEX(進捗一覧!$E:$E,MATCH($A63,進捗一覧!$P:$P,0)),"⚠未検出")</f>
        <v>利用者の検索・一覧表示に必要な検索条件と表示項目をどうするか</v>
      </c>
      <c r="D63" s="68" t="str">
        <f>IFERROR(INDEX(進捗一覧!$H:$H,MATCH($A63,進捗一覧!$P:$P,0)),"⚠未検出")</f>
        <v>確定</v>
      </c>
      <c r="E63" s="66" t="s">
        <v>1255</v>
      </c>
      <c r="F63" s="68" t="s">
        <v>1256</v>
      </c>
      <c r="G63" s="68" t="s">
        <v>1065</v>
      </c>
      <c r="H63" s="76" t="s">
        <v>1257</v>
      </c>
    </row>
    <row r="64" spans="1:8" ht="16">
      <c r="A64" s="65" t="s">
        <v>149</v>
      </c>
      <c r="B64" s="66" t="str">
        <f>IFERROR(INDEX(進捗一覧!$O:$O,MATCH($A64,進捗一覧!$P:$P,0)),"⚠未検出")</f>
        <v>FR-USER ユーザーCRUD</v>
      </c>
      <c r="C64" s="67" t="str">
        <f>IFERROR(INDEX(進捗一覧!$E:$E,MATCH($A64,進捗一覧!$P:$P,0)),"⚠未検出")</f>
        <v>利用者を削除せず一時停止できる状態を用意するか。停止は無効化フラグで行い、復旧は同じフラグを戻すだけとする想定</v>
      </c>
      <c r="D64" s="68" t="str">
        <f>IFERROR(INDEX(進捗一覧!$H:$H,MATCH($A64,進捗一覧!$P:$P,0)),"⚠未検出")</f>
        <v>確定</v>
      </c>
      <c r="E64" s="66" t="s">
        <v>1002</v>
      </c>
      <c r="F64" s="68" t="s">
        <v>1000</v>
      </c>
      <c r="G64" s="68" t="s">
        <v>938</v>
      </c>
      <c r="H64" s="76" t="s">
        <v>1003</v>
      </c>
    </row>
    <row r="65" spans="1:8" ht="16">
      <c r="A65" s="65" t="s">
        <v>151</v>
      </c>
      <c r="B65" s="66" t="str">
        <f>IFERROR(INDEX(進捗一覧!$O:$O,MATCH($A65,進捗一覧!$P:$P,0)),"⚠未検出")</f>
        <v>FR-USER ユーザーCRUD</v>
      </c>
      <c r="C65" s="67" t="str">
        <f>IFERROR(INDEX(進捗一覧!$E:$E,MATCH($A65,進捗一覧!$P:$P,0)),"⚠未検出")</f>
        <v>退職・解約時に利用者情報と関連データをどこまで消すか。保存期間をどうするか</v>
      </c>
      <c r="D65" s="68" t="str">
        <f>IFERROR(INDEX(進捗一覧!$H:$H,MATCH($A65,進捗一覧!$P:$P,0)),"⚠未検出")</f>
        <v>外部待ち</v>
      </c>
      <c r="E65" s="66" t="s">
        <v>1004</v>
      </c>
      <c r="F65" s="68" t="s">
        <v>957</v>
      </c>
      <c r="G65" s="68" t="s">
        <v>938</v>
      </c>
      <c r="H65" s="76" t="s">
        <v>1005</v>
      </c>
    </row>
    <row r="66" spans="1:8" ht="16">
      <c r="A66" s="65" t="s">
        <v>154</v>
      </c>
      <c r="B66" s="66" t="str">
        <f>IFERROR(INDEX(進捗一覧!$O:$O,MATCH($A66,進捗一覧!$P:$P,0)),"⚠未検出")</f>
        <v>FR-USER 属性・ロール</v>
      </c>
      <c r="C66" s="67" t="str">
        <f>IFERROR(INDEX(進捗一覧!$E:$E,MATCH($A66,進捗一覧!$P:$P,0)),"⚠未検出")</f>
        <v>標準で用意される項目以外に、独自に持たせたい項目を何にするか</v>
      </c>
      <c r="D66" s="68" t="str">
        <f>IFERROR(INDEX(進捗一覧!$H:$H,MATCH($A66,進捗一覧!$P:$P,0)),"⚠未検出")</f>
        <v>外部待ち</v>
      </c>
      <c r="E66" s="66" t="s">
        <v>1006</v>
      </c>
      <c r="F66" s="68" t="s">
        <v>961</v>
      </c>
      <c r="G66" s="68" t="s">
        <v>938</v>
      </c>
      <c r="H66" s="76" t="s">
        <v>1007</v>
      </c>
    </row>
    <row r="67" spans="1:8" ht="16">
      <c r="A67" s="65" t="s">
        <v>157</v>
      </c>
      <c r="B67" s="66" t="str">
        <f>IFERROR(INDEX(進捗一覧!$O:$O,MATCH($A67,進捗一覧!$P:$P,0)),"⚠未検出")</f>
        <v>FR-USER 属性・ロール</v>
      </c>
      <c r="C67" s="67" t="str">
        <f>IFERROR(INDEX(進捗一覧!$E:$E,MATCH($A67,進捗一覧!$P:$P,0)),"⚠未検出")</f>
        <v>利用者をグループにまとめて管理する必要があるか</v>
      </c>
      <c r="D67" s="68" t="str">
        <f>IFERROR(INDEX(進捗一覧!$H:$H,MATCH($A67,進捗一覧!$P:$P,0)),"⚠未検出")</f>
        <v>確定</v>
      </c>
      <c r="E67" s="66" t="s">
        <v>1405</v>
      </c>
      <c r="F67" s="68" t="s">
        <v>1406</v>
      </c>
      <c r="G67" s="68" t="s">
        <v>1072</v>
      </c>
      <c r="H67" s="76" t="s">
        <v>1407</v>
      </c>
    </row>
    <row r="68" spans="1:8" ht="16">
      <c r="A68" s="65" t="s">
        <v>159</v>
      </c>
      <c r="B68" s="66" t="str">
        <f>IFERROR(INDEX(進捗一覧!$O:$O,MATCH($A68,進捗一覧!$P:$P,0)),"⚠未検出")</f>
        <v>FR-USER 属性・ロール</v>
      </c>
      <c r="C68" s="67" t="str">
        <f>IFERROR(INDEX(進捗一覧!$E:$E,MATCH($A68,進捗一覧!$P:$P,0)),"⚠未検出")</f>
        <v>誰がどの役割を割り当てられるようにするか</v>
      </c>
      <c r="D68" s="68" t="str">
        <f>IFERROR(INDEX(進捗一覧!$H:$H,MATCH($A68,進捗一覧!$P:$P,0)),"⚠未検出")</f>
        <v>確定</v>
      </c>
      <c r="E68" s="66" t="s">
        <v>1008</v>
      </c>
      <c r="F68" s="68" t="s">
        <v>1000</v>
      </c>
      <c r="G68" s="68" t="s">
        <v>938</v>
      </c>
      <c r="H68" s="76" t="s">
        <v>1009</v>
      </c>
    </row>
    <row r="69" spans="1:8" ht="16">
      <c r="A69" s="65" t="s">
        <v>162</v>
      </c>
      <c r="B69" s="66" t="str">
        <f>IFERROR(INDEX(進捗一覧!$O:$O,MATCH($A69,進捗一覧!$P:$P,0)),"⚠未検出")</f>
        <v>FR-USER セルフサービス</v>
      </c>
      <c r="C69" s="67" t="str">
        <f>IFERROR(INDEX(進捗一覧!$E:$E,MATCH($A69,進捗一覧!$P:$P,0)),"⚠未検出")</f>
        <v>利用者が自分のプロフィールを自分で編集できる範囲をどこまでにするか</v>
      </c>
      <c r="D69" s="68" t="str">
        <f>IFERROR(INDEX(進捗一覧!$H:$H,MATCH($A69,進捗一覧!$P:$P,0)),"⚠未検出")</f>
        <v>外部待ち</v>
      </c>
      <c r="E69" s="66" t="s">
        <v>1079</v>
      </c>
      <c r="F69" s="68" t="s">
        <v>1064</v>
      </c>
      <c r="G69" s="68" t="s">
        <v>1057</v>
      </c>
      <c r="H69" s="76" t="s">
        <v>1080</v>
      </c>
    </row>
    <row r="70" spans="1:8" ht="16">
      <c r="A70" s="65" t="s">
        <v>165</v>
      </c>
      <c r="B70" s="66" t="str">
        <f>IFERROR(INDEX(進捗一覧!$O:$O,MATCH($A70,進捗一覧!$P:$P,0)),"⚠未検出")</f>
        <v>FR-USER セルフサービス</v>
      </c>
      <c r="C70" s="67" t="str">
        <f>IFERROR(INDEX(進捗一覧!$E:$E,MATCH($A70,進捗一覧!$P:$P,0)),"⚠未検出")</f>
        <v>新規登録時に招待メールを送る運用にするか。文面と有効期限をどうするか</v>
      </c>
      <c r="D70" s="68" t="str">
        <f>IFERROR(INDEX(進捗一覧!$H:$H,MATCH($A70,進捗一覧!$P:$P,0)),"⚠未検出")</f>
        <v>検討中</v>
      </c>
      <c r="E70" s="66" t="s">
        <v>1259</v>
      </c>
      <c r="F70" s="68" t="s">
        <v>1260</v>
      </c>
      <c r="G70" s="68" t="s">
        <v>1057</v>
      </c>
      <c r="H70" s="76" t="s">
        <v>1261</v>
      </c>
    </row>
    <row r="71" spans="1:8" ht="16">
      <c r="A71" s="65" t="s">
        <v>168</v>
      </c>
      <c r="B71" s="66" t="str">
        <f>IFERROR(INDEX(進捗一覧!$O:$O,MATCH($A71,進捗一覧!$P:$P,0)),"⚠未検出")</f>
        <v>FR-USER プロビジョニング</v>
      </c>
      <c r="C71" s="67" t="str">
        <f>IFERROR(INDEX(進捗一覧!$E:$E,MATCH($A71,進捗一覧!$P:$P,0)),"⚠未検出")</f>
        <v>顧客のID基盤から利用者情報を自動同期する標準方式（SCIM）は採用で決定済み。初回ログイン時の自動作成（JIT）と併用する前提で、どちらを主とし、両者が食い違ったときどちらを優先するか</v>
      </c>
      <c r="D71" s="68" t="str">
        <f>IFERROR(INDEX(進捗一覧!$H:$H,MATCH($A71,進捗一覧!$P:$P,0)),"⚠未検出")</f>
        <v>確定</v>
      </c>
      <c r="E71" s="66" t="s">
        <v>1010</v>
      </c>
      <c r="F71" s="68" t="s">
        <v>957</v>
      </c>
      <c r="G71" s="68" t="s">
        <v>938</v>
      </c>
      <c r="H71" s="76" t="s">
        <v>1011</v>
      </c>
    </row>
    <row r="72" spans="1:8" ht="16">
      <c r="A72" s="65" t="s">
        <v>171</v>
      </c>
      <c r="B72" s="66" t="str">
        <f>IFERROR(INDEX(進捗一覧!$O:$O,MATCH($A72,進捗一覧!$P:$P,0)),"⚠未検出")</f>
        <v>FR-USER プロビジョニング</v>
      </c>
      <c r="C72" s="67" t="str">
        <f>IFERROR(INDEX(進捗一覧!$E:$E,MATCH($A72,進捗一覧!$P:$P,0)),"⚠未検出")</f>
        <v>表形式ファイルによる一括登録を用意するか。1回あたりの上限件数をどうするか</v>
      </c>
      <c r="D72" s="68" t="str">
        <f>IFERROR(INDEX(進捗一覧!$H:$H,MATCH($A72,進捗一覧!$P:$P,0)),"⚠未検出")</f>
        <v>外部待ち</v>
      </c>
      <c r="E72" s="66" t="s">
        <v>910</v>
      </c>
      <c r="F72" s="68" t="s">
        <v>957</v>
      </c>
      <c r="G72" s="68" t="s">
        <v>948</v>
      </c>
      <c r="H72" s="76" t="s">
        <v>1012</v>
      </c>
    </row>
    <row r="73" spans="1:8" ht="16">
      <c r="A73" s="65" t="s">
        <v>173</v>
      </c>
      <c r="B73" s="66" t="str">
        <f>IFERROR(INDEX(進捗一覧!$O:$O,MATCH($A73,進捗一覧!$P:$P,0)),"⚠未検出")</f>
        <v>FR-USER プロビジョニング</v>
      </c>
      <c r="C73" s="67" t="str">
        <f>IFERROR(INDEX(進捗一覧!$E:$E,MATCH($A73,進捗一覧!$P:$P,0)),"⚠未検出")</f>
        <v>管理者が利用者のパスワードを強制的にリセットできるようにするか。機能の提供は確定済み（Admin API + idm-api #2）。未決なのは、リセットを依頼してきた人が本人であることをどう確かめるかの手順</v>
      </c>
      <c r="D73" s="68" t="str">
        <f>IFERROR(INDEX(進捗一覧!$H:$H,MATCH($A73,進捗一覧!$P:$P,0)),"⚠未検出")</f>
        <v>外部待ち</v>
      </c>
      <c r="E73" s="66" t="s">
        <v>905</v>
      </c>
      <c r="F73" s="68" t="s">
        <v>957</v>
      </c>
      <c r="G73" s="68" t="s">
        <v>948</v>
      </c>
      <c r="H73" s="76" t="s">
        <v>1013</v>
      </c>
    </row>
    <row r="74" spans="1:8" ht="16">
      <c r="A74" s="65" t="s">
        <v>176</v>
      </c>
      <c r="B74" s="66" t="str">
        <f>IFERROR(INDEX(進捗一覧!$O:$O,MATCH($A74,進捗一覧!$P:$P,0)),"⚠未検出")</f>
        <v>FR-ADMIN 基盤設定管理</v>
      </c>
      <c r="C74" s="67" t="str">
        <f>IFERROR(INDEX(進捗一覧!$E:$E,MATCH($A74,進捗一覧!$P:$P,0)),"⚠未検出")</f>
        <v>運用担当者が使う管理画面を、どこまで自前で作るか</v>
      </c>
      <c r="D74" s="68" t="str">
        <f>IFERROR(INDEX(進捗一覧!$H:$H,MATCH($A74,進捗一覧!$P:$P,0)),"⚠未検出")</f>
        <v>確定</v>
      </c>
      <c r="E74" s="66" t="s">
        <v>1014</v>
      </c>
      <c r="F74" s="68" t="s">
        <v>957</v>
      </c>
      <c r="G74" s="68" t="s">
        <v>938</v>
      </c>
      <c r="H74" s="76" t="s">
        <v>1015</v>
      </c>
    </row>
    <row r="75" spans="1:8" ht="16">
      <c r="A75" s="65" t="s">
        <v>179</v>
      </c>
      <c r="B75" s="66" t="str">
        <f>IFERROR(INDEX(進捗一覧!$O:$O,MATCH($A75,進捗一覧!$P:$P,0)),"⚠未検出")</f>
        <v>FR-ADMIN 基盤設定管理</v>
      </c>
      <c r="C75" s="67" t="str">
        <f>IFERROR(INDEX(進捗一覧!$E:$E,MATCH($A75,進捗一覧!$P:$P,0)),"⚠未検出")</f>
        <v>顧客テナントの追加・削除を誰がどの手順で行うか</v>
      </c>
      <c r="D75" s="68" t="str">
        <f>IFERROR(INDEX(進捗一覧!$H:$H,MATCH($A75,進捗一覧!$P:$P,0)),"⚠未検出")</f>
        <v>外部待ち</v>
      </c>
      <c r="E75" s="66" t="s">
        <v>1262</v>
      </c>
      <c r="F75" s="68" t="s">
        <v>1263</v>
      </c>
      <c r="G75" s="68" t="s">
        <v>1057</v>
      </c>
      <c r="H75" s="76" t="s">
        <v>1264</v>
      </c>
    </row>
    <row r="76" spans="1:8" ht="16">
      <c r="A76" s="65" t="s">
        <v>181</v>
      </c>
      <c r="B76" s="66" t="str">
        <f>IFERROR(INDEX(進捗一覧!$O:$O,MATCH($A76,進捗一覧!$P:$P,0)),"⚠未検出")</f>
        <v>FR-ADMIN 基盤設定管理</v>
      </c>
      <c r="C76" s="67" t="str">
        <f>IFERROR(INDEX(進捗一覧!$E:$E,MATCH($A76,進捗一覧!$P:$P,0)),"⚠未検出")</f>
        <v>顧客のID基盤の登録・変更・削除を誰がどの手順で行うか</v>
      </c>
      <c r="D76" s="68" t="str">
        <f>IFERROR(INDEX(進捗一覧!$H:$H,MATCH($A76,進捗一覧!$P:$P,0)),"⚠未検出")</f>
        <v>外部待ち</v>
      </c>
      <c r="E76" s="66" t="s">
        <v>1016</v>
      </c>
      <c r="F76" s="68" t="s">
        <v>937</v>
      </c>
      <c r="G76" s="68" t="s">
        <v>938</v>
      </c>
      <c r="H76" s="76" t="s">
        <v>1017</v>
      </c>
    </row>
    <row r="77" spans="1:8" ht="16">
      <c r="A77" s="65" t="s">
        <v>183</v>
      </c>
      <c r="B77" s="66" t="str">
        <f>IFERROR(INDEX(進捗一覧!$O:$O,MATCH($A77,進捗一覧!$P:$P,0)),"⚠未検出")</f>
        <v>FR-ADMIN 基盤設定管理</v>
      </c>
      <c r="C77" s="67" t="str">
        <f>IFERROR(INDEX(進捗一覧!$E:$E,MATCH($A77,進捗一覧!$P:$P,0)),"⚠未検出")</f>
        <v>アプリの登録と設定変更を誰がどの手順で行うか</v>
      </c>
      <c r="D77" s="68" t="str">
        <f>IFERROR(INDEX(進捗一覧!$H:$H,MATCH($A77,進捗一覧!$P:$P,0)),"⚠未検出")</f>
        <v>検討中</v>
      </c>
      <c r="E77" s="66" t="s">
        <v>904</v>
      </c>
      <c r="F77" s="68" t="s">
        <v>937</v>
      </c>
      <c r="G77" s="68" t="s">
        <v>938</v>
      </c>
      <c r="H77" s="76" t="s">
        <v>1018</v>
      </c>
    </row>
    <row r="78" spans="1:8" ht="16">
      <c r="A78" s="65" t="s">
        <v>185</v>
      </c>
      <c r="B78" s="66" t="str">
        <f>IFERROR(INDEX(進捗一覧!$O:$O,MATCH($A78,進捗一覧!$P:$P,0)),"⚠未検出")</f>
        <v>FR-ADMIN 基盤設定管理</v>
      </c>
      <c r="C78" s="67" t="str">
        <f>IFERROR(INDEX(進捗一覧!$E:$E,MATCH($A78,進捗一覧!$P:$P,0)),"⚠未検出")</f>
        <v>どんな役割を用意するかの定義を、誰が管理するか</v>
      </c>
      <c r="D78" s="68" t="str">
        <f>IFERROR(INDEX(進捗一覧!$H:$H,MATCH($A78,進捗一覧!$P:$P,0)),"⚠未検出")</f>
        <v>外部待ち</v>
      </c>
      <c r="E78" s="66" t="s">
        <v>1265</v>
      </c>
      <c r="F78" s="68" t="s">
        <v>1266</v>
      </c>
      <c r="G78" s="68" t="s">
        <v>1065</v>
      </c>
      <c r="H78" s="76" t="s">
        <v>1267</v>
      </c>
    </row>
    <row r="79" spans="1:8" ht="16">
      <c r="A79" s="65" t="s">
        <v>187</v>
      </c>
      <c r="B79" s="66" t="str">
        <f>IFERROR(INDEX(進捗一覧!$O:$O,MATCH($A79,進捗一覧!$P:$P,0)),"⚠未検出")</f>
        <v>FR-ADMIN 基盤設定管理</v>
      </c>
      <c r="C79" s="67" t="str">
        <f>IFERROR(INDEX(進捗一覧!$E:$E,MATCH($A79,進捗一覧!$P:$P,0)),"⚠未検出")</f>
        <v>顧客ごとの設定が互いに見えない・触れない状態をどう担保するか。Realm は分けず Organizations で分離すると決定済み。残るのは、この論理分離で足りない場合の扱い</v>
      </c>
      <c r="D79" s="68" t="str">
        <f>IFERROR(INDEX(進捗一覧!$H:$H,MATCH($A79,進捗一覧!$P:$P,0)),"⚠未検出")</f>
        <v>確定</v>
      </c>
      <c r="E79" s="66" t="s">
        <v>1019</v>
      </c>
      <c r="F79" s="68" t="s">
        <v>987</v>
      </c>
      <c r="G79" s="68" t="s">
        <v>938</v>
      </c>
      <c r="H79" s="76" t="s">
        <v>1020</v>
      </c>
    </row>
    <row r="80" spans="1:8" ht="16">
      <c r="A80" s="65" t="s">
        <v>190</v>
      </c>
      <c r="B80" s="66" t="str">
        <f>IFERROR(INDEX(進捗一覧!$O:$O,MATCH($A80,進捗一覧!$P:$P,0)),"⚠未検出")</f>
        <v>FR-ADMIN 監査・可視性</v>
      </c>
      <c r="C80" s="67" t="str">
        <f>IFERROR(INDEX(進捗一覧!$E:$E,MATCH($A80,進捗一覧!$P:$P,0)),"⚠未検出")</f>
        <v>誰がいつ何をしたかの記録を、誰がどの画面で見られるようにするか</v>
      </c>
      <c r="D80" s="68" t="str">
        <f>IFERROR(INDEX(進捗一覧!$H:$H,MATCH($A80,進捗一覧!$P:$P,0)),"⚠未検出")</f>
        <v>外部待ち</v>
      </c>
      <c r="E80" s="66" t="s">
        <v>1214</v>
      </c>
      <c r="F80" s="68" t="s">
        <v>1215</v>
      </c>
      <c r="G80" s="68" t="s">
        <v>1065</v>
      </c>
      <c r="H80" s="76" t="s">
        <v>1216</v>
      </c>
    </row>
    <row r="81" spans="1:8" ht="16">
      <c r="A81" s="65" t="s">
        <v>193</v>
      </c>
      <c r="B81" s="66" t="str">
        <f>IFERROR(INDEX(進捗一覧!$O:$O,MATCH($A81,進捗一覧!$P:$P,0)),"⚠未検出")</f>
        <v>FR-ADMIN 監査・可視性</v>
      </c>
      <c r="C81" s="67" t="str">
        <f>IFERROR(INDEX(進捗一覧!$E:$E,MATCH($A81,進捗一覧!$P:$P,0)),"⚠未検出")</f>
        <v>設定変更の履歴をどこまで残し、いつまで保存するか</v>
      </c>
      <c r="D81" s="68" t="str">
        <f>IFERROR(INDEX(進捗一覧!$H:$H,MATCH($A81,進捗一覧!$P:$P,0)),"⚠未検出")</f>
        <v>外部待ち</v>
      </c>
      <c r="E81" s="66" t="s">
        <v>1217</v>
      </c>
      <c r="F81" s="68" t="s">
        <v>1218</v>
      </c>
      <c r="G81" s="68" t="s">
        <v>1065</v>
      </c>
      <c r="H81" s="76" t="s">
        <v>1219</v>
      </c>
    </row>
    <row r="82" spans="1:8" ht="16">
      <c r="A82" s="65" t="s">
        <v>196</v>
      </c>
      <c r="B82" s="66" t="str">
        <f>IFERROR(INDEX(進捗一覧!$O:$O,MATCH($A82,進捗一覧!$P:$P,0)),"⚠未検出")</f>
        <v>FR-ADMIN 権限委譲・カスタマイズ</v>
      </c>
      <c r="C82" s="67" t="str">
        <f>IFERROR(INDEX(進捗一覧!$E:$E,MATCH($A82,進捗一覧!$P:$P,0)),"⚠未検出")</f>
        <v>管理画面の操作権限をどこまで分ける必要があるか。細かくしすぎると権限定義が破綻するため、実際に必要な粒度を確認する</v>
      </c>
      <c r="D82" s="68" t="str">
        <f>IFERROR(INDEX(進捗一覧!$H:$H,MATCH($A82,進捗一覧!$P:$P,0)),"⚠未検出")</f>
        <v>外部待ち</v>
      </c>
      <c r="E82" s="66" t="s">
        <v>1268</v>
      </c>
      <c r="F82" s="68" t="s">
        <v>1256</v>
      </c>
      <c r="G82" s="68" t="s">
        <v>1065</v>
      </c>
      <c r="H82" s="76" t="s">
        <v>1269</v>
      </c>
    </row>
    <row r="83" spans="1:8" ht="16">
      <c r="A83" s="65" t="s">
        <v>199</v>
      </c>
      <c r="B83" s="66" t="str">
        <f>IFERROR(INDEX(進捗一覧!$O:$O,MATCH($A83,進捗一覧!$P:$P,0)),"⚠未検出")</f>
        <v>FR-ADMIN 権限委譲・カスタマイズ</v>
      </c>
      <c r="C83" s="67" t="str">
        <f>IFERROR(INDEX(進捗一覧!$E:$E,MATCH($A83,進捗一覧!$P:$P,0)),"⚠未検出")</f>
        <v>運用担当者側の役割分担（見るだけ／変更できる等）をどう分けるか</v>
      </c>
      <c r="D83" s="68" t="str">
        <f>IFERROR(INDEX(進捗一覧!$H:$H,MATCH($A83,進捗一覧!$P:$P,0)),"⚠未検出")</f>
        <v>外部待ち</v>
      </c>
      <c r="E83" s="66" t="s">
        <v>1021</v>
      </c>
      <c r="F83" s="68" t="s">
        <v>961</v>
      </c>
      <c r="G83" s="68" t="s">
        <v>948</v>
      </c>
      <c r="H83" s="76" t="s">
        <v>1022</v>
      </c>
    </row>
    <row r="84" spans="1:8" ht="16">
      <c r="A84" s="65" t="s">
        <v>201</v>
      </c>
      <c r="B84" s="66" t="str">
        <f>IFERROR(INDEX(進捗一覧!$O:$O,MATCH($A84,進捗一覧!$P:$P,0)),"⚠未検出")</f>
        <v>FR-ADMIN 権限委譲・カスタマイズ</v>
      </c>
      <c r="C84" s="67" t="str">
        <f>IFERROR(INDEX(進捗一覧!$E:$E,MATCH($A84,進捗一覧!$P:$P,0)),"⚠未検出")</f>
        <v>顧客自身に自社の利用者管理を任せるか。任せる範囲をどこまでにするか</v>
      </c>
      <c r="D84" s="68" t="str">
        <f>IFERROR(INDEX(進捗一覧!$H:$H,MATCH($A84,進捗一覧!$P:$P,0)),"⚠未検出")</f>
        <v>外部待ち</v>
      </c>
      <c r="E84" s="66" t="s">
        <v>1023</v>
      </c>
      <c r="F84" s="68" t="s">
        <v>1024</v>
      </c>
      <c r="G84" s="68" t="s">
        <v>938</v>
      </c>
      <c r="H84" s="76" t="s">
        <v>1025</v>
      </c>
    </row>
    <row r="85" spans="1:8" ht="16">
      <c r="A85" s="65" t="s">
        <v>203</v>
      </c>
      <c r="B85" s="66" t="str">
        <f>IFERROR(INDEX(進捗一覧!$O:$O,MATCH($A85,進捗一覧!$P:$P,0)),"⚠未検出")</f>
        <v>FR-ADMIN 権限委譲・カスタマイズ</v>
      </c>
      <c r="C85" s="67" t="str">
        <f>IFERROR(INDEX(進捗一覧!$E:$E,MATCH($A85,進捗一覧!$P:$P,0)),"⚠未検出")</f>
        <v>ログイン画面を顧客ごとのロゴや配色に変えられるようにするか。どこまで変えられるか</v>
      </c>
      <c r="D85" s="68" t="str">
        <f>IFERROR(INDEX(進捗一覧!$H:$H,MATCH($A85,進捗一覧!$P:$P,0)),"⚠未検出")</f>
        <v>外部待ち</v>
      </c>
      <c r="E85" s="66" t="s">
        <v>1082</v>
      </c>
      <c r="F85" s="68" t="s">
        <v>1056</v>
      </c>
      <c r="G85" s="68" t="s">
        <v>1065</v>
      </c>
      <c r="H85" s="76" t="s">
        <v>1083</v>
      </c>
    </row>
    <row r="86" spans="1:8" ht="16">
      <c r="A86" s="65" t="s">
        <v>206</v>
      </c>
      <c r="B86" s="66" t="str">
        <f>IFERROR(INDEX(進捗一覧!$O:$O,MATCH($A86,進捗一覧!$P:$P,0)),"⚠未検出")</f>
        <v>FR-INT プロトコル準拠</v>
      </c>
      <c r="C86" s="67" t="str">
        <f>IFERROR(INDEX(進捗一覧!$E:$E,MATCH($A86,進捗一覧!$P:$P,0)),"⚠未検出")</f>
        <v>業界標準の認証仕様は OIDC に準拠すると決定済み。SAML は顧客のID基盤との接続にのみ使い、アプリとの間では使わない</v>
      </c>
      <c r="D86" s="68" t="str">
        <f>IFERROR(INDEX(進捗一覧!$H:$H,MATCH($A86,進捗一覧!$P:$P,0)),"⚠未検出")</f>
        <v>確定</v>
      </c>
      <c r="E86" s="66" t="s">
        <v>1026</v>
      </c>
      <c r="F86" s="68" t="s">
        <v>941</v>
      </c>
      <c r="G86" s="68" t="s">
        <v>938</v>
      </c>
      <c r="H86" s="76" t="s">
        <v>1027</v>
      </c>
    </row>
    <row r="87" spans="1:8" ht="16">
      <c r="A87" s="65" t="s">
        <v>209</v>
      </c>
      <c r="B87" s="66" t="str">
        <f>IFERROR(INDEX(進捗一覧!$O:$O,MATCH($A87,進捗一覧!$P:$P,0)),"⚠未検出")</f>
        <v>FR-INT プロトコル準拠</v>
      </c>
      <c r="C87" s="67" t="str">
        <f>IFERROR(INDEX(進捗一覧!$E:$E,MATCH($A87,進捗一覧!$P:$P,0)),"⚠未検出")</f>
        <v>アプリが接続設定を自動取得する窓口（.well-known の OIDC Discovery）は公開で決定済み。残るのは、別形式（RFC 8414）も併せて出すかどうか</v>
      </c>
      <c r="D87" s="68" t="str">
        <f>IFERROR(INDEX(進捗一覧!$H:$H,MATCH($A87,進捗一覧!$P:$P,0)),"⚠未検出")</f>
        <v>確定</v>
      </c>
      <c r="E87" s="66" t="s">
        <v>1408</v>
      </c>
      <c r="F87" s="68" t="s">
        <v>1256</v>
      </c>
      <c r="G87" s="68" t="s">
        <v>1065</v>
      </c>
      <c r="H87" s="76" t="s">
        <v>1409</v>
      </c>
    </row>
    <row r="88" spans="1:8" ht="16">
      <c r="A88" s="65" t="s">
        <v>211</v>
      </c>
      <c r="B88" s="66" t="str">
        <f>IFERROR(INDEX(進捗一覧!$O:$O,MATCH($A88,進捗一覧!$P:$P,0)),"⚠未検出")</f>
        <v>FR-INT プロトコル準拠</v>
      </c>
      <c r="C88" s="67" t="str">
        <f>IFERROR(INDEX(進捗一覧!$E:$E,MATCH($A88,進捗一覧!$P:$P,0)),"⚠未検出")</f>
        <v>通行証を検証するための鍵情報の窓口（JWKS）は公開必須で決定済み。AWS の API 入口の標準検証機能がインターネット側から取りに来るため、接続元を絞れない点をどう扱うか</v>
      </c>
      <c r="D88" s="68" t="str">
        <f>IFERROR(INDEX(進捗一覧!$H:$H,MATCH($A88,進捗一覧!$P:$P,0)),"⚠未検出")</f>
        <v>確定</v>
      </c>
      <c r="E88" s="66" t="s">
        <v>932</v>
      </c>
      <c r="F88" s="68" t="s">
        <v>941</v>
      </c>
      <c r="G88" s="68" t="s">
        <v>938</v>
      </c>
      <c r="H88" s="76" t="s">
        <v>1028</v>
      </c>
    </row>
    <row r="89" spans="1:8" ht="16">
      <c r="A89" s="65" t="s">
        <v>213</v>
      </c>
      <c r="B89" s="66" t="str">
        <f>IFERROR(INDEX(進捗一覧!$O:$O,MATCH($A89,進捗一覧!$P:$P,0)),"⚠未検出")</f>
        <v>FR-INT プロトコル準拠</v>
      </c>
      <c r="C89" s="67" t="str">
        <f>IFERROR(INDEX(進捗一覧!$E:$E,MATCH($A89,進捗一覧!$P:$P,0)),"⚠未検出")</f>
        <v>旧来方式（SAML）の接続情報が要るのは顧客のID基盤との接続だけで、アプリと基盤の間は OIDC。残るのは、顧客IdPの接続情報を自動で取り込み更新する機能が製品にあるか（無ければ運用で代替）</v>
      </c>
      <c r="D89" s="68" t="str">
        <f>IFERROR(INDEX(進捗一覧!$H:$H,MATCH($A89,進捗一覧!$P:$P,0)),"⚠未検出")</f>
        <v>検討中</v>
      </c>
      <c r="E89" s="66" t="s">
        <v>1270</v>
      </c>
      <c r="F89" s="68" t="s">
        <v>1266</v>
      </c>
      <c r="G89" s="68" t="s">
        <v>1065</v>
      </c>
      <c r="H89" s="76" t="s">
        <v>1271</v>
      </c>
    </row>
    <row r="90" spans="1:8" ht="16">
      <c r="A90" s="65" t="s">
        <v>215</v>
      </c>
      <c r="B90" s="66" t="str">
        <f>IFERROR(INDEX(進捗一覧!$O:$O,MATCH($A90,進捗一覧!$P:$P,0)),"⚠未検出")</f>
        <v>FR-INT プロトコル準拠</v>
      </c>
      <c r="C90" s="67" t="str">
        <f>IFERROR(INDEX(進捗一覧!$E:$E,MATCH($A90,進捗一覧!$P:$P,0)),"⚠未検出")</f>
        <v>AWSのAPI入口との接続方法を標準化するか</v>
      </c>
      <c r="D90" s="68" t="str">
        <f>IFERROR(INDEX(進捗一覧!$H:$H,MATCH($A90,進捗一覧!$P:$P,0)),"⚠未検出")</f>
        <v>確定</v>
      </c>
      <c r="E90" s="66" t="s">
        <v>932</v>
      </c>
      <c r="F90" s="68" t="s">
        <v>941</v>
      </c>
      <c r="G90" s="68" t="s">
        <v>948</v>
      </c>
      <c r="H90" s="76" t="s">
        <v>993</v>
      </c>
    </row>
    <row r="91" spans="1:8" ht="16">
      <c r="A91" s="65" t="s">
        <v>218</v>
      </c>
      <c r="B91" s="66" t="str">
        <f>IFERROR(INDEX(進捗一覧!$O:$O,MATCH($A91,進捗一覧!$P:$P,0)),"⚠未検出")</f>
        <v>FR-INT ログ・監視</v>
      </c>
      <c r="C91" s="67" t="str">
        <f>IFERROR(INDEX(進捗一覧!$E:$E,MATCH($A91,進捗一覧!$P:$P,0)),"⚠未検出")</f>
        <v>操作記録を外部にどの形式・どの頻度で出すか</v>
      </c>
      <c r="D91" s="68" t="str">
        <f>IFERROR(INDEX(進捗一覧!$H:$H,MATCH($A91,進捗一覧!$P:$P,0)),"⚠未検出")</f>
        <v>確定</v>
      </c>
      <c r="E91" s="66" t="s">
        <v>1220</v>
      </c>
      <c r="F91" s="68" t="s">
        <v>1218</v>
      </c>
      <c r="G91" s="68" t="s">
        <v>1065</v>
      </c>
      <c r="H91" s="76" t="s">
        <v>1221</v>
      </c>
    </row>
    <row r="92" spans="1:8" ht="16">
      <c r="A92" s="65" t="s">
        <v>221</v>
      </c>
      <c r="B92" s="66" t="str">
        <f>IFERROR(INDEX(進捗一覧!$O:$O,MATCH($A92,進捗一覧!$P:$P,0)),"⚠未検出")</f>
        <v>FR-INT ログ・監視</v>
      </c>
      <c r="C92" s="67" t="str">
        <f>IFERROR(INDEX(進捗一覧!$E:$E,MATCH($A92,進捗一覧!$P:$P,0)),"⚠未検出")</f>
        <v>操作記録をセキュリティ監視製品（SIEM）へ送る必要があるか。送付先は設けない方針で決定済み</v>
      </c>
      <c r="D92" s="68" t="str">
        <f>IFERROR(INDEX(進捗一覧!$H:$H,MATCH($A92,進捗一覧!$P:$P,0)),"⚠未検出")</f>
        <v>確定</v>
      </c>
      <c r="E92" s="66" t="s">
        <v>1272</v>
      </c>
      <c r="F92" s="68" t="s">
        <v>1273</v>
      </c>
      <c r="G92" s="68" t="s">
        <v>1057</v>
      </c>
      <c r="H92" s="76" t="s">
        <v>1274</v>
      </c>
    </row>
    <row r="93" spans="1:8" ht="16">
      <c r="A93" s="65" t="s">
        <v>224</v>
      </c>
      <c r="B93" s="66" t="str">
        <f>IFERROR(INDEX(進捗一覧!$O:$O,MATCH($A93,進捗一覧!$P:$P,0)),"⚠未検出")</f>
        <v>FR-INT API・IaC・Webhook</v>
      </c>
      <c r="C93" s="67" t="str">
        <f>IFERROR(INDEX(進捗一覧!$E:$E,MATCH($A93,進捗一覧!$P:$P,0)),"⚠未検出")</f>
        <v>利用者が作られた等の出来事をアプリへ自動で通知する必要があるか。通知するなら作り込みが必要なため、アプリ側が必要なときに取りに来る方式（非同期の取得）で代替できないかも併せて判断する</v>
      </c>
      <c r="D93" s="68" t="str">
        <f>IFERROR(INDEX(進捗一覧!$H:$H,MATCH($A93,進捗一覧!$P:$P,0)),"⚠未検出")</f>
        <v>外部待ち</v>
      </c>
      <c r="E93" s="66" t="s">
        <v>1275</v>
      </c>
      <c r="F93" s="68" t="s">
        <v>1258</v>
      </c>
      <c r="G93" s="68" t="s">
        <v>1065</v>
      </c>
      <c r="H93" s="76" t="s">
        <v>1276</v>
      </c>
    </row>
    <row r="94" spans="1:8" ht="16">
      <c r="A94" s="65" t="s">
        <v>227</v>
      </c>
      <c r="B94" s="66" t="str">
        <f>IFERROR(INDEX(進捗一覧!$O:$O,MATCH($A94,進捗一覧!$P:$P,0)),"⚠未検出")</f>
        <v>FR-INT API・IaC・Webhook</v>
      </c>
      <c r="C94" s="67" t="str">
        <f>IFERROR(INDEX(進捗一覧!$E:$E,MATCH($A94,進捗一覧!$P:$P,0)),"⚠未検出")</f>
        <v>外部から設定や利用者を操作する API をどこまで公開するか。方式は決定済みで、顧客ID基盤側に置く専用アプリでラップして公開する。そのアプリを誰が作るかが未定</v>
      </c>
      <c r="D94" s="68" t="str">
        <f>IFERROR(INDEX(進捗一覧!$H:$H,MATCH($A94,進捗一覧!$P:$P,0)),"⚠未検出")</f>
        <v>方向性確定（条件付き）</v>
      </c>
      <c r="E94" s="66" t="s">
        <v>1029</v>
      </c>
      <c r="F94" s="68" t="s">
        <v>1024</v>
      </c>
      <c r="G94" s="68" t="s">
        <v>938</v>
      </c>
      <c r="H94" s="76" t="s">
        <v>1030</v>
      </c>
    </row>
    <row r="95" spans="1:8" ht="16">
      <c r="A95" s="65" t="s">
        <v>229</v>
      </c>
      <c r="B95" s="66" t="str">
        <f>IFERROR(INDEX(進捗一覧!$O:$O,MATCH($A95,進捗一覧!$P:$P,0)),"⚠未検出")</f>
        <v>FR-INT API・IaC・Webhook</v>
      </c>
      <c r="C95" s="67" t="str">
        <f>IFERROR(INDEX(進捗一覧!$E:$E,MATCH($A95,進捗一覧!$P:$P,0)),"⚠未検出")</f>
        <v>設定を手作業ではなくコードで管理する方針は採用。決めるのは、どの範囲までをコード管理の対象にするか</v>
      </c>
      <c r="D95" s="68" t="str">
        <f>IFERROR(INDEX(進捗一覧!$H:$H,MATCH($A95,進捗一覧!$P:$P,0)),"⚠未検出")</f>
        <v>検討中</v>
      </c>
      <c r="E95" s="66" t="s">
        <v>904</v>
      </c>
      <c r="F95" s="68" t="s">
        <v>937</v>
      </c>
      <c r="G95" s="68" t="s">
        <v>938</v>
      </c>
      <c r="H95" s="76" t="s">
        <v>1031</v>
      </c>
    </row>
    <row r="96" spans="1:8" ht="16">
      <c r="A96" s="65" t="s">
        <v>232</v>
      </c>
      <c r="B96" s="66" t="str">
        <f>IFERROR(INDEX(進捗一覧!$O:$O,MATCH($A96,進捗一覧!$P:$P,0)),"⚠未検出")</f>
        <v>⚠未検出</v>
      </c>
      <c r="C96" s="67" t="str">
        <f>IFERROR(INDEX(進捗一覧!$E:$E,MATCH($A96,進捗一覧!$P:$P,0)),"⚠未検出")</f>
        <v>⚠未検出</v>
      </c>
      <c r="D96" s="68" t="str">
        <f>IFERROR(INDEX(進捗一覧!$H:$H,MATCH($A96,進捗一覧!$P:$P,0)),"⚠未検出")</f>
        <v>⚠未検出</v>
      </c>
      <c r="E96" s="66" t="s">
        <v>1135</v>
      </c>
      <c r="F96" s="68" t="s">
        <v>1136</v>
      </c>
      <c r="G96" s="68" t="s">
        <v>1065</v>
      </c>
      <c r="H96" s="76" t="s">
        <v>1137</v>
      </c>
    </row>
    <row r="97" spans="1:8" ht="16">
      <c r="A97" s="65" t="s">
        <v>234</v>
      </c>
      <c r="B97" s="66" t="str">
        <f>IFERROR(INDEX(進捗一覧!$O:$O,MATCH($A97,進捗一覧!$P:$P,0)),"⚠未検出")</f>
        <v>⚠未検出</v>
      </c>
      <c r="C97" s="67" t="str">
        <f>IFERROR(INDEX(進捗一覧!$E:$E,MATCH($A97,進捗一覧!$P:$P,0)),"⚠未検出")</f>
        <v>⚠未検出</v>
      </c>
      <c r="D97" s="68" t="str">
        <f>IFERROR(INDEX(進捗一覧!$H:$H,MATCH($A97,進捗一覧!$P:$P,0)),"⚠未検出")</f>
        <v>⚠未検出</v>
      </c>
      <c r="E97" s="66" t="s">
        <v>1138</v>
      </c>
      <c r="F97" s="68" t="s">
        <v>1136</v>
      </c>
      <c r="G97" s="68" t="s">
        <v>1065</v>
      </c>
      <c r="H97" s="76" t="s">
        <v>1139</v>
      </c>
    </row>
    <row r="98" spans="1:8" ht="16">
      <c r="A98" s="65" t="s">
        <v>235</v>
      </c>
      <c r="B98" s="66" t="str">
        <f>IFERROR(INDEX(進捗一覧!$O:$O,MATCH($A98,進捗一覧!$P:$P,0)),"⚠未検出")</f>
        <v>NFR-AVL 可用性</v>
      </c>
      <c r="C98" s="67" t="str">
        <f>IFERROR(INDEX(進捗一覧!$E:$E,MATCH($A98,進捗一覧!$P:$P,0)),"⚠未検出")</f>
        <v>障害に備えて設備を複数の場所に分けて置くか</v>
      </c>
      <c r="D98" s="68" t="str">
        <f>IFERROR(INDEX(進捗一覧!$H:$H,MATCH($A98,進捗一覧!$P:$P,0)),"⚠未検出")</f>
        <v>確定</v>
      </c>
      <c r="E98" s="66" t="s">
        <v>1140</v>
      </c>
      <c r="F98" s="68" t="s">
        <v>1136</v>
      </c>
      <c r="G98" s="68" t="s">
        <v>1065</v>
      </c>
      <c r="H98" s="76" t="s">
        <v>1141</v>
      </c>
    </row>
    <row r="99" spans="1:8" ht="16">
      <c r="A99" s="65" t="s">
        <v>237</v>
      </c>
      <c r="B99" s="66" t="str">
        <f>IFERROR(INDEX(進捗一覧!$O:$O,MATCH($A99,進捗一覧!$P:$P,0)),"⚠未検出")</f>
        <v>NFR-AVL 可用性</v>
      </c>
      <c r="C99" s="67" t="str">
        <f>IFERROR(INDEX(進捗一覧!$E:$E,MATCH($A99,進捗一覧!$P:$P,0)),"⚠未検出")</f>
        <v>部品が落ちたときに自動で立ち上げ直す仕組みを入れるか</v>
      </c>
      <c r="D99" s="68" t="str">
        <f>IFERROR(INDEX(進捗一覧!$H:$H,MATCH($A99,進捗一覧!$P:$P,0)),"⚠未検出")</f>
        <v>確定</v>
      </c>
      <c r="E99" s="66" t="s">
        <v>1140</v>
      </c>
      <c r="F99" s="68" t="s">
        <v>1136</v>
      </c>
      <c r="G99" s="68" t="s">
        <v>1065</v>
      </c>
      <c r="H99" s="76" t="s">
        <v>1142</v>
      </c>
    </row>
    <row r="100" spans="1:8" ht="16">
      <c r="A100" s="65" t="s">
        <v>239</v>
      </c>
      <c r="B100" s="66" t="str">
        <f>IFERROR(INDEX(進捗一覧!$O:$O,MATCH($A100,進捗一覧!$P:$P,0)),"⚠未検出")</f>
        <v>NFR-AVL 可用性</v>
      </c>
      <c r="C100" s="67" t="str">
        <f>IFERROR(INDEX(進捗一覧!$E:$E,MATCH($A100,進捗一覧!$P:$P,0)),"⚠未検出")</f>
        <v>1か所壊れると全部止まる箇所をなくす方針でよいか</v>
      </c>
      <c r="D100" s="68" t="str">
        <f>IFERROR(INDEX(進捗一覧!$H:$H,MATCH($A100,進捗一覧!$P:$P,0)),"⚠未検出")</f>
        <v>確定</v>
      </c>
      <c r="E100" s="66" t="s">
        <v>1143</v>
      </c>
      <c r="F100" s="68" t="s">
        <v>1136</v>
      </c>
      <c r="G100" s="68" t="s">
        <v>1065</v>
      </c>
      <c r="H100" s="76" t="s">
        <v>1144</v>
      </c>
    </row>
    <row r="101" spans="1:8" ht="16">
      <c r="A101" s="65" t="s">
        <v>241</v>
      </c>
      <c r="B101" s="66" t="str">
        <f>IFERROR(INDEX(進捗一覧!$O:$O,MATCH($A101,進捗一覧!$P:$P,0)),"⚠未検出")</f>
        <v>NFR-AVL 可用性</v>
      </c>
      <c r="C101" s="67" t="str">
        <f>IFERROR(INDEX(進捗一覧!$E:$E,MATCH($A101,進捗一覧!$P:$P,0)),"⚠未検出")</f>
        <v>更新作業中もサービスを止めない方式にするか</v>
      </c>
      <c r="D101" s="68" t="str">
        <f>IFERROR(INDEX(進捗一覧!$H:$H,MATCH($A101,進捗一覧!$P:$P,0)),"⚠未検出")</f>
        <v>確定</v>
      </c>
      <c r="E101" s="66" t="s">
        <v>1145</v>
      </c>
      <c r="F101" s="68" t="s">
        <v>1136</v>
      </c>
      <c r="G101" s="68" t="s">
        <v>1065</v>
      </c>
      <c r="H101" s="76" t="s">
        <v>1146</v>
      </c>
    </row>
    <row r="102" spans="1:8" ht="16">
      <c r="A102" s="65" t="s">
        <v>244</v>
      </c>
      <c r="B102" s="66" t="str">
        <f>IFERROR(INDEX(進捗一覧!$O:$O,MATCH($A102,進捗一覧!$P:$P,0)),"⚠未検出")</f>
        <v>NFR-PERF 応答時間/レイテンシ</v>
      </c>
      <c r="C102" s="67" t="str">
        <f>IFERROR(INDEX(進捗一覧!$E:$E,MATCH($A102,進捗一覧!$P:$P,0)),"⚠未検出")</f>
        <v>ログインが何秒以内に返れば合格とするか</v>
      </c>
      <c r="D102" s="68" t="str">
        <f>IFERROR(INDEX(進捗一覧!$H:$H,MATCH($A102,進捗一覧!$P:$P,0)),"⚠未検出")</f>
        <v>外部待ち</v>
      </c>
      <c r="E102" s="66" t="s">
        <v>1174</v>
      </c>
      <c r="F102" s="68" t="s">
        <v>1175</v>
      </c>
      <c r="G102" s="68" t="s">
        <v>1057</v>
      </c>
      <c r="H102" s="76" t="s">
        <v>1176</v>
      </c>
    </row>
    <row r="103" spans="1:8" ht="16">
      <c r="A103" s="65" t="s">
        <v>247</v>
      </c>
      <c r="B103" s="66" t="str">
        <f>IFERROR(INDEX(進捗一覧!$O:$O,MATCH($A103,進捗一覧!$P:$P,0)),"⚠未検出")</f>
        <v>NFR-PERF 応答時間/レイテンシ</v>
      </c>
      <c r="C103" s="67" t="str">
        <f>IFERROR(INDEX(進捗一覧!$E:$E,MATCH($A103,進捗一覧!$P:$P,0)),"⚠未検出")</f>
        <v>権限チェック部分の応答時間の目標をどこに置くか</v>
      </c>
      <c r="D103" s="68" t="str">
        <f>IFERROR(INDEX(進捗一覧!$H:$H,MATCH($A103,進捗一覧!$P:$P,0)),"⚠未検出")</f>
        <v>対象外</v>
      </c>
      <c r="E103" s="66" t="s">
        <v>1398</v>
      </c>
      <c r="F103" s="68" t="s">
        <v>1218</v>
      </c>
      <c r="G103" s="68" t="s">
        <v>1057</v>
      </c>
      <c r="H103" s="76" t="s">
        <v>1399</v>
      </c>
    </row>
    <row r="104" spans="1:8" ht="16">
      <c r="A104" s="65" t="s">
        <v>249</v>
      </c>
      <c r="B104" s="66" t="str">
        <f>IFERROR(INDEX(進捗一覧!$O:$O,MATCH($A104,進捗一覧!$P:$P,0)),"⚠未検出")</f>
        <v>NFR-PERF 応答時間/レイテンシ</v>
      </c>
      <c r="C104" s="67" t="str">
        <f>IFERROR(INDEX(進捗一覧!$E:$E,MATCH($A104,進捗一覧!$P:$P,0)),"⚠未検出")</f>
        <v>通行証の検証はアプリ側だけで完結し基盤に問い合わせないため、基盤の処理能力の目標にはならない。基盤側で決めるのは鍵情報の公開窓口（JWKS）の応答目標のみ</v>
      </c>
      <c r="D104" s="68" t="str">
        <f>IFERROR(INDEX(進捗一覧!$H:$H,MATCH($A104,進捗一覧!$P:$P,0)),"⚠未検出")</f>
        <v>確定</v>
      </c>
      <c r="E104" s="66" t="s">
        <v>1398</v>
      </c>
      <c r="F104" s="68" t="s">
        <v>1218</v>
      </c>
      <c r="G104" s="68" t="s">
        <v>1057</v>
      </c>
      <c r="H104" s="76" t="s">
        <v>1400</v>
      </c>
    </row>
    <row r="105" spans="1:8" ht="16">
      <c r="A105" s="65" t="s">
        <v>251</v>
      </c>
      <c r="B105" s="66" t="str">
        <f>IFERROR(INDEX(進捗一覧!$O:$O,MATCH($A105,進捗一覧!$P:$P,0)),"⚠未検出")</f>
        <v>NFR-PERF 応答時間/レイテンシ</v>
      </c>
      <c r="C105" s="67" t="str">
        <f>IFERROR(INDEX(進捗一覧!$E:$E,MATCH($A105,進捗一覧!$P:$P,0)),"⚠未検出")</f>
        <v>検証用の鍵情報を各アプリが何分間覚えておくか。ただし「鍵の入れ替え時に並走させる期間」が「全アプリの最長の記憶時間」より長いことが必須条件で、記憶時間を自分で変えられないアプリ（AWSの標準機能は最大2時間）を含めて満たす必要がある</v>
      </c>
      <c r="D105" s="68" t="str">
        <f>IFERROR(INDEX(進捗一覧!$H:$H,MATCH($A105,進捗一覧!$P:$P,0)),"⚠未検出")</f>
        <v>確定</v>
      </c>
      <c r="E105" s="66" t="s">
        <v>1178</v>
      </c>
      <c r="F105" s="68" t="s">
        <v>1177</v>
      </c>
      <c r="G105" s="68" t="s">
        <v>1057</v>
      </c>
      <c r="H105" s="76" t="s">
        <v>1179</v>
      </c>
    </row>
    <row r="106" spans="1:8" ht="16">
      <c r="A106" s="65" t="s">
        <v>253</v>
      </c>
      <c r="B106" s="66" t="str">
        <f>IFERROR(INDEX(進捗一覧!$O:$O,MATCH($A106,進捗一覧!$P:$P,0)),"⚠未検出")</f>
        <v>NFR-PERF 応答時間/レイテンシ</v>
      </c>
      <c r="C106" s="67" t="str">
        <f>IFERROR(INDEX(進捗一覧!$E:$E,MATCH($A106,進捗一覧!$P:$P,0)),"⚠未検出")</f>
        <v>データベースの応答時間を独立した目標として置くか、通行証発行の応答時間の中に含めてしまうか</v>
      </c>
      <c r="D106" s="68" t="str">
        <f>IFERROR(INDEX(進捗一覧!$H:$H,MATCH($A106,進捗一覧!$P:$P,0)),"⚠未検出")</f>
        <v>検討中</v>
      </c>
      <c r="E106" s="66" t="s">
        <v>1180</v>
      </c>
      <c r="F106" s="68" t="s">
        <v>1175</v>
      </c>
      <c r="G106" s="68" t="s">
        <v>1057</v>
      </c>
      <c r="H106" s="76" t="s">
        <v>1181</v>
      </c>
    </row>
    <row r="107" spans="1:8" ht="16">
      <c r="A107" s="65" t="s">
        <v>256</v>
      </c>
      <c r="B107" s="66" t="str">
        <f>IFERROR(INDEX(進捗一覧!$O:$O,MATCH($A107,進捗一覧!$P:$P,0)),"⚠未検出")</f>
        <v>NFR-PERF スループット/スケール耐性</v>
      </c>
      <c r="C107" s="67" t="str">
        <f>IFERROR(INDEX(進捗一覧!$E:$E,MATCH($A107,進捗一覧!$P:$P,0)),"⚠未検出")</f>
        <v>ログインが集中したとき、同時に何件まで耐える必要があるか</v>
      </c>
      <c r="D107" s="68" t="str">
        <f>IFERROR(INDEX(進捗一覧!$H:$H,MATCH($A107,進捗一覧!$P:$P,0)),"⚠未検出")</f>
        <v>外部待ち</v>
      </c>
      <c r="E107" s="66" t="s">
        <v>1182</v>
      </c>
      <c r="F107" s="68" t="s">
        <v>1175</v>
      </c>
      <c r="G107" s="68" t="s">
        <v>1065</v>
      </c>
      <c r="H107" s="76" t="s">
        <v>1183</v>
      </c>
    </row>
    <row r="108" spans="1:8" ht="16">
      <c r="A108" s="65" t="s">
        <v>259</v>
      </c>
      <c r="B108" s="66" t="str">
        <f>IFERROR(INDEX(進捗一覧!$O:$O,MATCH($A108,進捗一覧!$P:$P,0)),"⚠未検出")</f>
        <v>NFR-PERF スループット/スケール耐性</v>
      </c>
      <c r="C108" s="67" t="str">
        <f>IFERROR(INDEX(進捗一覧!$E:$E,MATCH($A108,進捗一覧!$P:$P,0)),"⚠未検出")</f>
        <v>入口で1秒あたりの受付上限をいくつにするか</v>
      </c>
      <c r="D108" s="68" t="str">
        <f>IFERROR(INDEX(進捗一覧!$H:$H,MATCH($A108,進捗一覧!$P:$P,0)),"⚠未検出")</f>
        <v>外部待ち</v>
      </c>
      <c r="E108" s="66" t="s">
        <v>1184</v>
      </c>
      <c r="F108" s="68" t="s">
        <v>1175</v>
      </c>
      <c r="G108" s="68" t="s">
        <v>1057</v>
      </c>
      <c r="H108" s="76" t="s">
        <v>1185</v>
      </c>
    </row>
    <row r="109" spans="1:8" ht="16">
      <c r="A109" s="65" t="s">
        <v>261</v>
      </c>
      <c r="B109" s="66" t="str">
        <f>IFERROR(INDEX(進捗一覧!$O:$O,MATCH($A109,進捗一覧!$P:$P,0)),"⚠未検出")</f>
        <v>NFR-PERF スループット/スケール耐性</v>
      </c>
      <c r="C109" s="67" t="str">
        <f>IFERROR(INDEX(進捗一覧!$E:$E,MATCH($A109,進捗一覧!$P:$P,0)),"⚠未検出")</f>
        <v>始業時など混み合う時間帯の想定と、その山をどう吸収するか</v>
      </c>
      <c r="D109" s="68" t="str">
        <f>IFERROR(INDEX(進捗一覧!$H:$H,MATCH($A109,進捗一覧!$P:$P,0)),"⚠未検出")</f>
        <v>外部待ち</v>
      </c>
      <c r="E109" s="66" t="s">
        <v>1186</v>
      </c>
      <c r="F109" s="68" t="s">
        <v>1175</v>
      </c>
      <c r="G109" s="68" t="s">
        <v>1065</v>
      </c>
      <c r="H109" s="76" t="s">
        <v>1187</v>
      </c>
    </row>
    <row r="110" spans="1:8" ht="16">
      <c r="A110" s="65" t="s">
        <v>264</v>
      </c>
      <c r="B110" s="66" t="str">
        <f>IFERROR(INDEX(進捗一覧!$O:$O,MATCH($A110,進捗一覧!$P:$P,0)),"⚠未検出")</f>
        <v>⚠未検出</v>
      </c>
      <c r="C110" s="67" t="str">
        <f>IFERROR(INDEX(進捗一覧!$E:$E,MATCH($A110,進捗一覧!$P:$P,0)),"⚠未検出")</f>
        <v>⚠未検出</v>
      </c>
      <c r="D110" s="68" t="str">
        <f>IFERROR(INDEX(進捗一覧!$H:$H,MATCH($A110,進捗一覧!$P:$P,0)),"⚠未検出")</f>
        <v>⚠未検出</v>
      </c>
      <c r="E110" s="66" t="s">
        <v>1188</v>
      </c>
      <c r="F110" s="68" t="s">
        <v>1175</v>
      </c>
      <c r="G110" s="68" t="s">
        <v>1065</v>
      </c>
      <c r="H110" s="76" t="s">
        <v>1189</v>
      </c>
    </row>
    <row r="111" spans="1:8" ht="16">
      <c r="A111" s="65" t="s">
        <v>266</v>
      </c>
      <c r="B111" s="66" t="str">
        <f>IFERROR(INDEX(進捗一覧!$O:$O,MATCH($A111,進捗一覧!$P:$P,0)),"⚠未検出")</f>
        <v>NFR-SCL 拡張性</v>
      </c>
      <c r="C111" s="67" t="str">
        <f>IFERROR(INDEX(進捗一覧!$E:$E,MATCH($A111,進捗一覧!$P:$P,0)),"⚠未検出")</f>
        <v>同時にログイン状態になる人数を、最大いくらと見込むか</v>
      </c>
      <c r="D111" s="68" t="str">
        <f>IFERROR(INDEX(進捗一覧!$H:$H,MATCH($A111,進捗一覧!$P:$P,0)),"⚠未検出")</f>
        <v>外部待ち</v>
      </c>
      <c r="E111" s="66" t="s">
        <v>1190</v>
      </c>
      <c r="F111" s="68" t="s">
        <v>1175</v>
      </c>
      <c r="G111" s="68" t="s">
        <v>1057</v>
      </c>
      <c r="H111" s="76" t="s">
        <v>1191</v>
      </c>
    </row>
    <row r="112" spans="1:8" ht="16">
      <c r="A112" s="65" t="s">
        <v>268</v>
      </c>
      <c r="B112" s="66" t="str">
        <f>IFERROR(INDEX(進捗一覧!$O:$O,MATCH($A112,進捗一覧!$P:$P,0)),"⚠未検出")</f>
        <v>NFR-SCL 拡張性</v>
      </c>
      <c r="C112" s="67" t="str">
        <f>IFERROR(INDEX(進捗一覧!$E:$E,MATCH($A112,進捗一覧!$P:$P,0)),"⚠未検出")</f>
        <v>顧客の数（接続するID基盤の数）を最大いくらと見込むか</v>
      </c>
      <c r="D112" s="68" t="str">
        <f>IFERROR(INDEX(進捗一覧!$H:$H,MATCH($A112,進捗一覧!$P:$P,0)),"⚠未検出")</f>
        <v>外部待ち</v>
      </c>
      <c r="E112" s="66" t="s">
        <v>1032</v>
      </c>
      <c r="F112" s="68" t="s">
        <v>937</v>
      </c>
      <c r="G112" s="68" t="s">
        <v>938</v>
      </c>
      <c r="H112" s="76" t="s">
        <v>1033</v>
      </c>
    </row>
    <row r="113" spans="1:8" ht="16">
      <c r="A113" s="65" t="s">
        <v>270</v>
      </c>
      <c r="B113" s="66" t="str">
        <f>IFERROR(INDEX(進捗一覧!$O:$O,MATCH($A113,進捗一覧!$P:$P,0)),"⚠未検出")</f>
        <v>NFR-SCL 拡張性</v>
      </c>
      <c r="C113" s="67" t="str">
        <f>IFERROR(INDEX(進捗一覧!$E:$E,MATCH($A113,進捗一覧!$P:$P,0)),"⚠未検出")</f>
        <v>新しい顧客の接続を、依頼から何日で開通させるか</v>
      </c>
      <c r="D113" s="68" t="str">
        <f>IFERROR(INDEX(進捗一覧!$H:$H,MATCH($A113,進捗一覧!$P:$P,0)),"⚠未検出")</f>
        <v>外部待ち</v>
      </c>
      <c r="E113" s="66" t="s">
        <v>1184</v>
      </c>
      <c r="F113" s="68" t="s">
        <v>1175</v>
      </c>
      <c r="G113" s="68" t="s">
        <v>1057</v>
      </c>
      <c r="H113" s="76" t="s">
        <v>1192</v>
      </c>
    </row>
    <row r="114" spans="1:8" ht="16">
      <c r="A114" s="65" t="s">
        <v>272</v>
      </c>
      <c r="B114" s="66" t="str">
        <f>IFERROR(INDEX(進捗一覧!$O:$O,MATCH($A114,進捗一覧!$P:$P,0)),"⚠未検出")</f>
        <v>NFR-SCL 拡張性</v>
      </c>
      <c r="C114" s="67" t="str">
        <f>IFERROR(INDEX(進捗一覧!$E:$E,MATCH($A114,進捗一覧!$P:$P,0)),"⚠未検出")</f>
        <v>混雑に応じて設備を自動で増減させるか。増やす・減らす判定基準をどうするか</v>
      </c>
      <c r="D114" s="68" t="str">
        <f>IFERROR(INDEX(進捗一覧!$H:$H,MATCH($A114,進捗一覧!$P:$P,0)),"⚠未検出")</f>
        <v>確定</v>
      </c>
      <c r="E114" s="66" t="s">
        <v>1186</v>
      </c>
      <c r="F114" s="68" t="s">
        <v>1175</v>
      </c>
      <c r="G114" s="68" t="s">
        <v>1065</v>
      </c>
      <c r="H114" s="76" t="s">
        <v>1193</v>
      </c>
    </row>
    <row r="115" spans="1:8" ht="16">
      <c r="A115" s="65" t="s">
        <v>274</v>
      </c>
      <c r="B115" s="66" t="str">
        <f>IFERROR(INDEX(進捗一覧!$O:$O,MATCH($A115,進捗一覧!$P:$P,0)),"⚠未検出")</f>
        <v>NFR-SCL 拡張性</v>
      </c>
      <c r="C115" s="67" t="str">
        <f>IFERROR(INDEX(進捗一覧!$E:$E,MATCH($A115,進捗一覧!$P:$P,0)),"⚠未検出")</f>
        <v>複数の地域で同時に稼働させる必要があるか</v>
      </c>
      <c r="D115" s="68" t="str">
        <f>IFERROR(INDEX(進捗一覧!$H:$H,MATCH($A115,進捗一覧!$P:$P,0)),"⚠未検出")</f>
        <v>外部待ち</v>
      </c>
      <c r="E115" s="66" t="s">
        <v>1194</v>
      </c>
      <c r="F115" s="68" t="s">
        <v>1195</v>
      </c>
      <c r="G115" s="68" t="s">
        <v>1065</v>
      </c>
      <c r="H115" s="76" t="s">
        <v>1196</v>
      </c>
    </row>
    <row r="116" spans="1:8" ht="16">
      <c r="A116" s="65" t="s">
        <v>276</v>
      </c>
      <c r="B116" s="66" t="str">
        <f>IFERROR(INDEX(進捗一覧!$O:$O,MATCH($A116,進捗一覧!$P:$P,0)),"⚠未検出")</f>
        <v>NFR-SCL 拡張性</v>
      </c>
      <c r="C116" s="67" t="str">
        <f>IFERROR(INDEX(進捗一覧!$E:$E,MATCH($A116,進捗一覧!$P:$P,0)),"⚠未検出")</f>
        <v>データベースの拡張余地をどこまで確保するか。実規模での実測が難しいため、見積もり値で置く</v>
      </c>
      <c r="D116" s="68" t="str">
        <f>IFERROR(INDEX(進捗一覧!$H:$H,MATCH($A116,進捗一覧!$P:$P,0)),"⚠未検出")</f>
        <v>検討中</v>
      </c>
      <c r="E116" s="66" t="s">
        <v>1197</v>
      </c>
      <c r="F116" s="68" t="s">
        <v>1175</v>
      </c>
      <c r="G116" s="68" t="s">
        <v>1065</v>
      </c>
      <c r="H116" s="76" t="s">
        <v>1198</v>
      </c>
    </row>
    <row r="117" spans="1:8" ht="16">
      <c r="A117" s="65" t="s">
        <v>279</v>
      </c>
      <c r="B117" s="66" t="str">
        <f>IFERROR(INDEX(進捗一覧!$O:$O,MATCH($A117,進捗一覧!$P:$P,0)),"⚠未検出")</f>
        <v>NFR-SEC 暗号化・鍵管理</v>
      </c>
      <c r="C117" s="67" t="str">
        <f>IFERROR(INDEX(進捗一覧!$E:$E,MATCH($A117,進捗一覧!$P:$P,0)),"⚠未検出")</f>
        <v>通信の暗号化をどの水準で必須にするか</v>
      </c>
      <c r="D117" s="68" t="str">
        <f>IFERROR(INDEX(進捗一覧!$H:$H,MATCH($A117,進捗一覧!$P:$P,0)),"⚠未検出")</f>
        <v>確定</v>
      </c>
      <c r="E117" s="66" t="s">
        <v>1199</v>
      </c>
      <c r="F117" s="68" t="s">
        <v>1175</v>
      </c>
      <c r="G117" s="68" t="s">
        <v>1065</v>
      </c>
      <c r="H117" s="76" t="s">
        <v>1200</v>
      </c>
    </row>
    <row r="118" spans="1:8" ht="16">
      <c r="A118" s="65" t="s">
        <v>282</v>
      </c>
      <c r="B118" s="66" t="str">
        <f>IFERROR(INDEX(進捗一覧!$O:$O,MATCH($A118,進捗一覧!$P:$P,0)),"⚠未検出")</f>
        <v>NFR-SEC 暗号化・鍵管理</v>
      </c>
      <c r="C118" s="67" t="str">
        <f>IFERROR(INDEX(進捗一覧!$E:$E,MATCH($A118,進捗一覧!$P:$P,0)),"⚠未検出")</f>
        <v>保存データの暗号化をどこまで必須にするか。暗号鍵を誰が持つか</v>
      </c>
      <c r="D118" s="68" t="str">
        <f>IFERROR(INDEX(進捗一覧!$H:$H,MATCH($A118,進捗一覧!$P:$P,0)),"⚠未検出")</f>
        <v>確定</v>
      </c>
      <c r="E118" s="66" t="s">
        <v>1096</v>
      </c>
      <c r="F118" s="68" t="s">
        <v>1089</v>
      </c>
      <c r="G118" s="68" t="s">
        <v>1065</v>
      </c>
      <c r="H118" s="76" t="s">
        <v>1097</v>
      </c>
    </row>
    <row r="119" spans="1:8" ht="16">
      <c r="A119" s="65" t="s">
        <v>284</v>
      </c>
      <c r="B119" s="66" t="str">
        <f>IFERROR(INDEX(進捗一覧!$O:$O,MATCH($A119,進捗一覧!$P:$P,0)),"⚠未検出")</f>
        <v>NFR-SEC 暗号化・鍵管理</v>
      </c>
      <c r="C119" s="67" t="str">
        <f>IFERROR(INDEX(進捗一覧!$E:$E,MATCH($A119,進捗一覧!$P:$P,0)),"⚠未検出")</f>
        <v>通行証の署名方式に何を使うか</v>
      </c>
      <c r="D119" s="68" t="str">
        <f>IFERROR(INDEX(進捗一覧!$H:$H,MATCH($A119,進捗一覧!$P:$P,0)),"⚠未検出")</f>
        <v>外部待ち</v>
      </c>
      <c r="E119" s="66" t="s">
        <v>1098</v>
      </c>
      <c r="F119" s="68" t="s">
        <v>1099</v>
      </c>
      <c r="G119" s="68" t="s">
        <v>1065</v>
      </c>
      <c r="H119" s="76" t="s">
        <v>1100</v>
      </c>
    </row>
    <row r="120" spans="1:8" ht="16">
      <c r="A120" s="65" t="s">
        <v>286</v>
      </c>
      <c r="B120" s="66" t="str">
        <f>IFERROR(INDEX(進捗一覧!$O:$O,MATCH($A120,進捗一覧!$P:$P,0)),"⚠未検出")</f>
        <v>NFR-SEC 暗号化・鍵管理</v>
      </c>
      <c r="C120" s="67" t="str">
        <f>IFERROR(INDEX(進捗一覧!$E:$E,MATCH($A120,進捗一覧!$P:$P,0)),"⚠未検出")</f>
        <v>パスワードをどの方式で保管するか。強度の設定値をどうするか</v>
      </c>
      <c r="D120" s="68" t="str">
        <f>IFERROR(INDEX(進捗一覧!$H:$H,MATCH($A120,進捗一覧!$P:$P,0)),"⚠未検出")</f>
        <v>外部待ち</v>
      </c>
      <c r="E120" s="66" t="s">
        <v>1088</v>
      </c>
      <c r="F120" s="68" t="s">
        <v>1089</v>
      </c>
      <c r="G120" s="68" t="s">
        <v>1057</v>
      </c>
      <c r="H120" s="76" t="s">
        <v>1101</v>
      </c>
    </row>
    <row r="121" spans="1:8" ht="16">
      <c r="A121" s="65" t="s">
        <v>288</v>
      </c>
      <c r="B121" s="66" t="str">
        <f>IFERROR(INDEX(進捗一覧!$O:$O,MATCH($A121,進捗一覧!$P:$P,0)),"⚠未検出")</f>
        <v>NFR-SEC 暗号化・鍵管理</v>
      </c>
      <c r="C121" s="67" t="str">
        <f>IFERROR(INDEX(進捗一覧!$E:$E,MATCH($A121,進捗一覧!$P:$P,0)),"⚠未検出")</f>
        <v>接続用の秘密情報をどこに保管し、誰が取り出せるようにするか</v>
      </c>
      <c r="D121" s="68" t="str">
        <f>IFERROR(INDEX(進捗一覧!$H:$H,MATCH($A121,進捗一覧!$P:$P,0)),"⚠未検出")</f>
        <v>確定</v>
      </c>
      <c r="E121" s="66" t="s">
        <v>1102</v>
      </c>
      <c r="F121" s="68" t="s">
        <v>1089</v>
      </c>
      <c r="G121" s="68" t="s">
        <v>1065</v>
      </c>
      <c r="H121" s="76" t="s">
        <v>1103</v>
      </c>
    </row>
    <row r="122" spans="1:8" ht="16">
      <c r="A122" s="65" t="s">
        <v>291</v>
      </c>
      <c r="B122" s="66" t="str">
        <f>IFERROR(INDEX(進捗一覧!$O:$O,MATCH($A122,進捗一覧!$P:$P,0)),"⚠未検出")</f>
        <v>NFR-SEC トークン・セッション</v>
      </c>
      <c r="C122" s="67" t="str">
        <f>IFERROR(INDEX(進捗一覧!$E:$E,MATCH($A122,進捗一覧!$P:$P,0)),"⚠未検出")</f>
        <v>通行証の有効時間を何分にするか</v>
      </c>
      <c r="D122" s="68" t="str">
        <f>IFERROR(INDEX(進捗一覧!$H:$H,MATCH($A122,進捗一覧!$P:$P,0)),"⚠未検出")</f>
        <v>外部待ち</v>
      </c>
      <c r="E122" s="66" t="s">
        <v>1034</v>
      </c>
      <c r="F122" s="68" t="s">
        <v>941</v>
      </c>
      <c r="G122" s="68" t="s">
        <v>938</v>
      </c>
      <c r="H122" s="76" t="s">
        <v>1035</v>
      </c>
    </row>
    <row r="123" spans="1:8" ht="16">
      <c r="A123" s="65" t="s">
        <v>294</v>
      </c>
      <c r="B123" s="66" t="str">
        <f>IFERROR(INDEX(進捗一覧!$O:$O,MATCH($A123,進捗一覧!$P:$P,0)),"⚠未検出")</f>
        <v>NFR-SEC トークン・セッション</v>
      </c>
      <c r="C123" s="67" t="str">
        <f>IFERROR(INDEX(進捗一覧!$E:$E,MATCH($A123,進捗一覧!$P:$P,0)),"⚠未検出")</f>
        <v>再ログインなしで使い続けられる期間を何日にするか</v>
      </c>
      <c r="D123" s="68" t="str">
        <f>IFERROR(INDEX(進捗一覧!$H:$H,MATCH($A123,進捗一覧!$P:$P,0)),"⚠未検出")</f>
        <v>外部待ち</v>
      </c>
      <c r="E123" s="66" t="s">
        <v>1036</v>
      </c>
      <c r="F123" s="68" t="s">
        <v>941</v>
      </c>
      <c r="G123" s="68" t="s">
        <v>938</v>
      </c>
      <c r="H123" s="76" t="s">
        <v>1037</v>
      </c>
    </row>
    <row r="124" spans="1:8" ht="16">
      <c r="A124" s="65" t="s">
        <v>296</v>
      </c>
      <c r="B124" s="66" t="str">
        <f>IFERROR(INDEX(進捗一覧!$O:$O,MATCH($A124,進捗一覧!$P:$P,0)),"⚠未検出")</f>
        <v>NFR-SEC トークン・セッション</v>
      </c>
      <c r="C124" s="67" t="str">
        <f>IFERROR(INDEX(進捗一覧!$E:$E,MATCH($A124,進捗一覧!$P:$P,0)),"⚠未検出")</f>
        <v>本人確認情報の有効時間を何分にするか</v>
      </c>
      <c r="D124" s="68" t="str">
        <f>IFERROR(INDEX(進捗一覧!$H:$H,MATCH($A124,進捗一覧!$P:$P,0)),"⚠未検出")</f>
        <v>外部待ち</v>
      </c>
      <c r="E124" s="66" t="s">
        <v>1038</v>
      </c>
      <c r="F124" s="68" t="s">
        <v>941</v>
      </c>
      <c r="G124" s="68" t="s">
        <v>938</v>
      </c>
      <c r="H124" s="76" t="s">
        <v>1039</v>
      </c>
    </row>
    <row r="125" spans="1:8" ht="16">
      <c r="A125" s="65" t="s">
        <v>298</v>
      </c>
      <c r="B125" s="66" t="str">
        <f>IFERROR(INDEX(進捗一覧!$O:$O,MATCH($A125,進捗一覧!$P:$P,0)),"⚠未検出")</f>
        <v>NFR-SEC トークン・セッション</v>
      </c>
      <c r="C125" s="67" t="str">
        <f>IFERROR(INDEX(進捗一覧!$E:$E,MATCH($A125,進捗一覧!$P:$P,0)),"⚠未検出")</f>
        <v>使い回しを防ぐため、更新のたびに引換券を作り替える方式にするか</v>
      </c>
      <c r="D125" s="68" t="str">
        <f>IFERROR(INDEX(進捗一覧!$H:$H,MATCH($A125,進捗一覧!$P:$P,0)),"⚠未検出")</f>
        <v>外部待ち</v>
      </c>
      <c r="E125" s="66" t="s">
        <v>920</v>
      </c>
      <c r="F125" s="68" t="s">
        <v>941</v>
      </c>
      <c r="G125" s="68" t="s">
        <v>938</v>
      </c>
      <c r="H125" s="76" t="s">
        <v>1040</v>
      </c>
    </row>
    <row r="126" spans="1:8" ht="16">
      <c r="A126" s="65" t="s">
        <v>300</v>
      </c>
      <c r="B126" s="66" t="str">
        <f>IFERROR(INDEX(進捗一覧!$O:$O,MATCH($A126,進捗一覧!$P:$P,0)),"⚠未検出")</f>
        <v>NFR-SEC トークン・セッション</v>
      </c>
      <c r="C126" s="67" t="str">
        <f>IFERROR(INDEX(進捗一覧!$E:$E,MATCH($A126,進捗一覧!$P:$P,0)),"⚠未検出")</f>
        <v>発行済みの通行証を有効期限前に取り消せる仕組みを用意するか</v>
      </c>
      <c r="D126" s="68" t="str">
        <f>IFERROR(INDEX(進捗一覧!$H:$H,MATCH($A126,進捗一覧!$P:$P,0)),"⚠未検出")</f>
        <v>外部待ち</v>
      </c>
      <c r="E126" s="66" t="s">
        <v>1041</v>
      </c>
      <c r="F126" s="68" t="s">
        <v>941</v>
      </c>
      <c r="G126" s="68" t="s">
        <v>938</v>
      </c>
      <c r="H126" s="76" t="s">
        <v>1042</v>
      </c>
    </row>
    <row r="127" spans="1:8" ht="16">
      <c r="A127" s="65" t="s">
        <v>302</v>
      </c>
      <c r="B127" s="66" t="str">
        <f>IFERROR(INDEX(進捗一覧!$O:$O,MATCH($A127,進捗一覧!$P:$P,0)),"⚠未検出")</f>
        <v>NFR-SEC トークン・セッション</v>
      </c>
      <c r="C127" s="67" t="str">
        <f>IFERROR(INDEX(進捗一覧!$E:$E,MATCH($A127,進捗一覧!$P:$P,0)),"⚠未検出")</f>
        <v>なりすましを防ぐため、ログイン時に識別子を作り替えるか</v>
      </c>
      <c r="D127" s="68" t="str">
        <f>IFERROR(INDEX(進捗一覧!$H:$H,MATCH($A127,進捗一覧!$P:$P,0)),"⚠未検出")</f>
        <v>確定</v>
      </c>
      <c r="E127" s="66" t="s">
        <v>1088</v>
      </c>
      <c r="F127" s="68" t="s">
        <v>1089</v>
      </c>
      <c r="G127" s="68" t="s">
        <v>1057</v>
      </c>
      <c r="H127" s="76" t="s">
        <v>1115</v>
      </c>
    </row>
    <row r="128" spans="1:8" ht="16">
      <c r="A128" s="65" t="s">
        <v>305</v>
      </c>
      <c r="B128" s="66" t="str">
        <f>IFERROR(INDEX(進捗一覧!$O:$O,MATCH($A128,進捗一覧!$P:$P,0)),"⚠未検出")</f>
        <v>NFR-SEC 攻撃対策</v>
      </c>
      <c r="C128" s="67" t="str">
        <f>IFERROR(INDEX(進捗一覧!$E:$E,MATCH($A128,進捗一覧!$P:$P,0)),"⚠未検出")</f>
        <v>パスワードの総当たり攻撃への対処方式をどれにするか</v>
      </c>
      <c r="D128" s="68" t="str">
        <f>IFERROR(INDEX(進捗一覧!$H:$H,MATCH($A128,進捗一覧!$P:$P,0)),"⚠未検出")</f>
        <v>外部待ち</v>
      </c>
      <c r="E128" s="66" t="s">
        <v>1104</v>
      </c>
      <c r="F128" s="68" t="s">
        <v>1089</v>
      </c>
      <c r="G128" s="68" t="s">
        <v>1065</v>
      </c>
      <c r="H128" s="76" t="s">
        <v>1105</v>
      </c>
    </row>
    <row r="129" spans="1:8" ht="16">
      <c r="A129" s="65" t="s">
        <v>308</v>
      </c>
      <c r="B129" s="66" t="str">
        <f>IFERROR(INDEX(進捗一覧!$O:$O,MATCH($A129,進捗一覧!$P:$P,0)),"⚠未検出")</f>
        <v>NFR-SEC 攻撃対策</v>
      </c>
      <c r="C129" s="67" t="str">
        <f>IFERROR(INDEX(進捗一覧!$E:$E,MATCH($A129,進捗一覧!$P:$P,0)),"⚠未検出")</f>
        <v>世の中に漏れていると分かっているパスワードの使用を拒否するか</v>
      </c>
      <c r="D129" s="68" t="str">
        <f>IFERROR(INDEX(進捗一覧!$H:$H,MATCH($A129,進捗一覧!$P:$P,0)),"⚠未検出")</f>
        <v>外部待ち</v>
      </c>
      <c r="E129" s="66" t="s">
        <v>1116</v>
      </c>
      <c r="F129" s="68" t="s">
        <v>1089</v>
      </c>
      <c r="G129" s="68" t="s">
        <v>1065</v>
      </c>
      <c r="H129" s="76" t="s">
        <v>1117</v>
      </c>
    </row>
    <row r="130" spans="1:8" ht="16">
      <c r="A130" s="65" t="s">
        <v>310</v>
      </c>
      <c r="B130" s="66" t="str">
        <f>IFERROR(INDEX(進捗一覧!$O:$O,MATCH($A130,進捗一覧!$P:$P,0)),"⚠未検出")</f>
        <v>NFR-SEC 攻撃対策</v>
      </c>
      <c r="C130" s="67" t="str">
        <f>IFERROR(INDEX(進捗一覧!$E:$E,MATCH($A130,進捗一覧!$P:$P,0)),"⚠未検出")</f>
        <v>大量アクセス攻撃への備えをどこまで行うか。誰が担うか</v>
      </c>
      <c r="D130" s="68" t="str">
        <f>IFERROR(INDEX(進捗一覧!$H:$H,MATCH($A130,進捗一覧!$P:$P,0)),"⚠未検出")</f>
        <v>確定</v>
      </c>
      <c r="E130" s="66" t="s">
        <v>1088</v>
      </c>
      <c r="F130" s="68" t="s">
        <v>1089</v>
      </c>
      <c r="G130" s="68" t="s">
        <v>1057</v>
      </c>
      <c r="H130" s="76" t="s">
        <v>1118</v>
      </c>
    </row>
    <row r="131" spans="1:8" ht="16">
      <c r="A131" s="65" t="s">
        <v>312</v>
      </c>
      <c r="B131" s="66" t="str">
        <f>IFERROR(INDEX(進捗一覧!$O:$O,MATCH($A131,進捗一覧!$P:$P,0)),"⚠未検出")</f>
        <v>NFR-SEC 攻撃対策</v>
      </c>
      <c r="C131" s="67" t="str">
        <f>IFERROR(INDEX(進捗一覧!$E:$E,MATCH($A131,進捗一覧!$P:$P,0)),"⚠未検出")</f>
        <v>疑似攻撃による検査を行うか。頻度と実施者をどうするか</v>
      </c>
      <c r="D131" s="68" t="str">
        <f>IFERROR(INDEX(進捗一覧!$H:$H,MATCH($A131,進捗一覧!$P:$P,0)),"⚠未検出")</f>
        <v>外部待ち</v>
      </c>
      <c r="E131" s="66" t="s">
        <v>1410</v>
      </c>
      <c r="F131" s="68" t="s">
        <v>1089</v>
      </c>
      <c r="G131" s="68" t="s">
        <v>1057</v>
      </c>
      <c r="H131" s="76" t="s">
        <v>1411</v>
      </c>
    </row>
    <row r="132" spans="1:8" ht="16">
      <c r="A132" s="65" t="s">
        <v>315</v>
      </c>
      <c r="B132" s="66" t="str">
        <f>IFERROR(INDEX(進捗一覧!$O:$O,MATCH($A132,進捗一覧!$P:$P,0)),"⚠未検出")</f>
        <v>NFR-SEC 攻撃対策</v>
      </c>
      <c r="C132" s="67" t="str">
        <f>IFERROR(INDEX(進捗一覧!$E:$E,MATCH($A132,進捗一覧!$P:$P,0)),"⚠未検出")</f>
        <v>弱点の自動検査をどの頻度で行うか。何を合格とするか</v>
      </c>
      <c r="D132" s="68" t="str">
        <f>IFERROR(INDEX(進捗一覧!$H:$H,MATCH($A132,進捗一覧!$P:$P,0)),"⚠未検出")</f>
        <v>検討中</v>
      </c>
      <c r="E132" s="66" t="s">
        <v>1107</v>
      </c>
      <c r="F132" s="68" t="s">
        <v>1089</v>
      </c>
      <c r="G132" s="68" t="s">
        <v>1057</v>
      </c>
      <c r="H132" s="76" t="s">
        <v>1119</v>
      </c>
    </row>
    <row r="133" spans="1:8" ht="16">
      <c r="A133" s="65" t="s">
        <v>318</v>
      </c>
      <c r="B133" s="66" t="str">
        <f>IFERROR(INDEX(進捗一覧!$O:$O,MATCH($A133,進捗一覧!$P:$P,0)),"⚠未検出")</f>
        <v>NFR-SEC ネットワーク・境界制御</v>
      </c>
      <c r="C133" s="67" t="str">
        <f>IFERROR(INDEX(進捗一覧!$E:$E,MATCH($A133,進捗一覧!$P:$P,0)),"⚠未検出")</f>
        <v>不正アクセスを入口で遮る仕組み（WAF）を適用するか。適用は必須で決定済み。設定はネットワーク監査アカウント側が管理する</v>
      </c>
      <c r="D133" s="68" t="str">
        <f>IFERROR(INDEX(進捗一覧!$H:$H,MATCH($A133,進捗一覧!$P:$P,0)),"⚠未検出")</f>
        <v>確定</v>
      </c>
      <c r="E133" s="66" t="s">
        <v>1088</v>
      </c>
      <c r="F133" s="68" t="s">
        <v>1089</v>
      </c>
      <c r="G133" s="68" t="s">
        <v>1057</v>
      </c>
      <c r="H133" s="76" t="s">
        <v>1120</v>
      </c>
    </row>
    <row r="134" spans="1:8" ht="16">
      <c r="A134" s="65" t="s">
        <v>321</v>
      </c>
      <c r="B134" s="66" t="str">
        <f>IFERROR(INDEX(進捗一覧!$O:$O,MATCH($A134,進捗一覧!$P:$P,0)),"⚠未検出")</f>
        <v>NFR-SEC ネットワーク・境界制御</v>
      </c>
      <c r="C134" s="67" t="str">
        <f>IFERROR(INDEX(進捗一覧!$E:$E,MATCH($A134,進捗一覧!$P:$P,0)),"⚠未検出")</f>
        <v>サーバーを外部から直接触れない場所に置くか</v>
      </c>
      <c r="D134" s="68" t="str">
        <f>IFERROR(INDEX(進捗一覧!$H:$H,MATCH($A134,進捗一覧!$P:$P,0)),"⚠未検出")</f>
        <v>確定</v>
      </c>
      <c r="E134" s="66" t="s">
        <v>1393</v>
      </c>
      <c r="F134" s="68" t="s">
        <v>1201</v>
      </c>
      <c r="G134" s="68" t="s">
        <v>1065</v>
      </c>
      <c r="H134" s="76" t="s">
        <v>1394</v>
      </c>
    </row>
    <row r="135" spans="1:8" ht="16">
      <c r="A135" s="65" t="s">
        <v>323</v>
      </c>
      <c r="B135" s="66" t="str">
        <f>IFERROR(INDEX(進捗一覧!$O:$O,MATCH($A135,進捗一覧!$P:$P,0)),"⚠未検出")</f>
        <v>NFR-SEC ネットワーク・境界制御</v>
      </c>
      <c r="C135" s="67" t="str">
        <f>IFERROR(INDEX(進捗一覧!$E:$E,MATCH($A135,進捗一覧!$P:$P,0)),"⚠未検出")</f>
        <v>管理画面に誰がどこからアクセスできるようにするか。方針は、管理者向けの入口をインターネットから遮断し、踏み台サーバー経由に限定する</v>
      </c>
      <c r="D135" s="68" t="str">
        <f>IFERROR(INDEX(進捗一覧!$H:$H,MATCH($A135,進捗一覧!$P:$P,0)),"⚠未検出")</f>
        <v>確定</v>
      </c>
      <c r="E135" s="66" t="s">
        <v>1391</v>
      </c>
      <c r="F135" s="68" t="s">
        <v>1201</v>
      </c>
      <c r="G135" s="68" t="s">
        <v>1065</v>
      </c>
      <c r="H135" s="76" t="s">
        <v>1392</v>
      </c>
    </row>
    <row r="136" spans="1:8" ht="16">
      <c r="A136" s="65" t="s">
        <v>325</v>
      </c>
      <c r="B136" s="66" t="str">
        <f>IFERROR(INDEX(進捗一覧!$O:$O,MATCH($A136,進捗一覧!$P:$P,0)),"⚠未検出")</f>
        <v>NFR-SEC ネットワーク・境界制御</v>
      </c>
      <c r="C136" s="67" t="str">
        <f>IFERROR(INDEX(進捗一覧!$E:$E,MATCH($A136,進捗一覧!$P:$P,0)),"⚠未検出")</f>
        <v>鍵情報の公開窓口をどこまで守るか</v>
      </c>
      <c r="D136" s="68" t="str">
        <f>IFERROR(INDEX(進捗一覧!$H:$H,MATCH($A136,進捗一覧!$P:$P,0)),"⚠未検出")</f>
        <v>確定</v>
      </c>
      <c r="E136" s="66" t="s">
        <v>1122</v>
      </c>
      <c r="F136" s="68" t="s">
        <v>1099</v>
      </c>
      <c r="G136" s="68" t="s">
        <v>1057</v>
      </c>
      <c r="H136" s="76" t="s">
        <v>1123</v>
      </c>
    </row>
    <row r="137" spans="1:8" ht="16">
      <c r="A137" s="65" t="s">
        <v>327</v>
      </c>
      <c r="B137" s="66" t="str">
        <f>IFERROR(INDEX(進捗一覧!$O:$O,MATCH($A137,進捗一覧!$P:$P,0)),"⚠未検出")</f>
        <v>NFR-SEC ネットワーク・境界制御</v>
      </c>
      <c r="C137" s="67" t="str">
        <f>IFERROR(INDEX(進捗一覧!$E:$E,MATCH($A137,進捗一覧!$P:$P,0)),"⚠未検出")</f>
        <v>内部の部品同士の通信でも身元確認を必須にするか</v>
      </c>
      <c r="D137" s="68" t="str">
        <f>IFERROR(INDEX(進捗一覧!$H:$H,MATCH($A137,進捗一覧!$P:$P,0)),"⚠未検出")</f>
        <v>確定</v>
      </c>
      <c r="E137" s="66" t="s">
        <v>1125</v>
      </c>
      <c r="F137" s="68" t="s">
        <v>1089</v>
      </c>
      <c r="G137" s="68" t="s">
        <v>1065</v>
      </c>
      <c r="H137" s="76" t="s">
        <v>1126</v>
      </c>
    </row>
    <row r="138" spans="1:8" ht="16">
      <c r="A138" s="65" t="s">
        <v>330</v>
      </c>
      <c r="B138" s="66" t="str">
        <f>IFERROR(INDEX(進捗一覧!$O:$O,MATCH($A138,進捗一覧!$P:$P,0)),"⚠未検出")</f>
        <v>NFR-DR 災害復旧</v>
      </c>
      <c r="C138" s="67" t="str">
        <f>IFERROR(INDEX(進捗一覧!$E:$E,MATCH($A138,進捗一覧!$P:$P,0)),"⚠未検出")</f>
        <v>大きな障害からどれだけの時間で復旧させるか。希望値は通常1日・障害時3日だが暫定で、現行の設計値14日とは未達。復旧の速さは平常時に大阪へどれだけ設備とデータを置くかと直結し費用に跳ね返るため、DR方式の3択と一体で確認する</v>
      </c>
      <c r="D138" s="68" t="str">
        <f>IFERROR(INDEX(進捗一覧!$H:$H,MATCH($A138,進捗一覧!$P:$P,0)),"⚠未検出")</f>
        <v>外部待ち</v>
      </c>
      <c r="E138" s="66" t="s">
        <v>1147</v>
      </c>
      <c r="F138" s="68" t="s">
        <v>1136</v>
      </c>
      <c r="G138" s="68" t="s">
        <v>1065</v>
      </c>
      <c r="H138" s="76" t="s">
        <v>1148</v>
      </c>
    </row>
    <row r="139" spans="1:8" ht="16">
      <c r="A139" s="65" t="s">
        <v>333</v>
      </c>
      <c r="B139" s="66" t="str">
        <f>IFERROR(INDEX(進捗一覧!$O:$O,MATCH($A139,進捗一覧!$P:$P,0)),"⚠未検出")</f>
        <v>NFR-DR 災害復旧</v>
      </c>
      <c r="C139" s="67" t="str">
        <f>IFERROR(INDEX(進捗一覧!$E:$E,MATCH($A139,進捗一覧!$P:$P,0)),"⚠未検出")</f>
        <v>障害時にどこまでのデータ喪失を許容するか。希望値は5分だが暫定。障害の場所で達成可否が分かれる — 東京リージョン内でデータが壊れた場合は1秒単位で巻き戻せるため5分は達成済み。一方、東京が地域ごと落ちて大阪へ退避する場合、巻き戻し用の記録は別リージョンへ複製できない仕様のため5分は不可能で、大阪へ運べるのは最短1時間おきの写しのみ</v>
      </c>
      <c r="D139" s="68" t="str">
        <f>IFERROR(INDEX(進捗一覧!$H:$H,MATCH($A139,進捗一覧!$P:$P,0)),"⚠未検出")</f>
        <v>外部待ち</v>
      </c>
      <c r="E139" s="66" t="s">
        <v>1149</v>
      </c>
      <c r="F139" s="68" t="s">
        <v>1136</v>
      </c>
      <c r="G139" s="68" t="s">
        <v>1057</v>
      </c>
      <c r="H139" s="76" t="s">
        <v>1150</v>
      </c>
    </row>
    <row r="140" spans="1:8" ht="16">
      <c r="A140" s="65" t="s">
        <v>335</v>
      </c>
      <c r="B140" s="66" t="str">
        <f>IFERROR(INDEX(進捗一覧!$O:$O,MATCH($A140,進捗一覧!$P:$P,0)),"⚠未検出")</f>
        <v>NFR-DR 災害復旧</v>
      </c>
      <c r="C140" s="67" t="str">
        <f>IFERROR(INDEX(進捗一覧!$E:$E,MATCH($A140,進捗一覧!$P:$P,0)),"⚠未検出")</f>
        <v>予備側への切替を自動で行うか、人の判断で行うか。手動でGit側と一致しており確定。ただしDR方式の3択（P-05）の結論次第では見直しになる</v>
      </c>
      <c r="D140" s="68" t="str">
        <f>IFERROR(INDEX(進捗一覧!$H:$H,MATCH($A140,進捗一覧!$P:$P,0)),"⚠未検出")</f>
        <v>確定</v>
      </c>
      <c r="E140" s="66" t="s">
        <v>1151</v>
      </c>
      <c r="F140" s="68" t="s">
        <v>1136</v>
      </c>
      <c r="G140" s="68" t="s">
        <v>1065</v>
      </c>
      <c r="H140" s="76" t="s">
        <v>1152</v>
      </c>
    </row>
    <row r="141" spans="1:8" ht="16">
      <c r="A141" s="65" t="s">
        <v>337</v>
      </c>
      <c r="B141" s="66" t="str">
        <f>IFERROR(INDEX(進捗一覧!$O:$O,MATCH($A141,進捗一覧!$P:$P,0)),"⚠未検出")</f>
        <v>NFR-DR 災害復旧</v>
      </c>
      <c r="C141" s="67" t="str">
        <f>IFERROR(INDEX(進捗一覧!$E:$E,MATCH($A141,進捗一覧!$P:$P,0)),"⚠未検出")</f>
        <v>バックアップを何日分保持するか</v>
      </c>
      <c r="D141" s="68" t="str">
        <f>IFERROR(INDEX(進捗一覧!$H:$H,MATCH($A141,進捗一覧!$P:$P,0)),"⚠未検出")</f>
        <v>外部待ち</v>
      </c>
      <c r="E141" s="66" t="s">
        <v>1153</v>
      </c>
      <c r="F141" s="68" t="s">
        <v>1136</v>
      </c>
      <c r="G141" s="68" t="s">
        <v>1057</v>
      </c>
      <c r="H141" s="76" t="s">
        <v>1154</v>
      </c>
    </row>
    <row r="142" spans="1:8" ht="16">
      <c r="A142" s="65" t="s">
        <v>339</v>
      </c>
      <c r="B142" s="66" t="str">
        <f>IFERROR(INDEX(進捗一覧!$O:$O,MATCH($A142,進捗一覧!$P:$P,0)),"⚠未検出")</f>
        <v>NFR-DR 災害復旧</v>
      </c>
      <c r="C142" s="67" t="str">
        <f>IFERROR(INDEX(進捗一覧!$E:$E,MATCH($A142,進捗一覧!$P:$P,0)),"⚠未検出")</f>
        <v>任意の時点まで巻き戻せる仕組みを用意するか。遡れる範囲を何日にするか</v>
      </c>
      <c r="D142" s="68" t="str">
        <f>IFERROR(INDEX(進捗一覧!$H:$H,MATCH($A142,進捗一覧!$P:$P,0)),"⚠未検出")</f>
        <v>外部待ち</v>
      </c>
      <c r="E142" s="66" t="s">
        <v>1155</v>
      </c>
      <c r="F142" s="68" t="s">
        <v>1136</v>
      </c>
      <c r="G142" s="68" t="s">
        <v>1065</v>
      </c>
      <c r="H142" s="76" t="s">
        <v>1156</v>
      </c>
    </row>
    <row r="143" spans="1:8" ht="16">
      <c r="A143" s="65" t="s">
        <v>341</v>
      </c>
      <c r="B143" s="66" t="str">
        <f>IFERROR(INDEX(進捗一覧!$O:$O,MATCH($A143,進捗一覧!$P:$P,0)),"⚠未検出")</f>
        <v>NFR-DR 災害復旧</v>
      </c>
      <c r="C143" s="67" t="str">
        <f>IFERROR(INDEX(進捗一覧!$E:$E,MATCH($A143,進捗一覧!$P:$P,0)),"⚠未検出")</f>
        <v>バックアップを別の地域にも複製するか</v>
      </c>
      <c r="D143" s="68" t="str">
        <f>IFERROR(INDEX(進捗一覧!$H:$H,MATCH($A143,進捗一覧!$P:$P,0)),"⚠未検出")</f>
        <v>外部待ち</v>
      </c>
      <c r="E143" s="66" t="s">
        <v>1153</v>
      </c>
      <c r="F143" s="68" t="s">
        <v>1136</v>
      </c>
      <c r="G143" s="68" t="s">
        <v>1065</v>
      </c>
      <c r="H143" s="76" t="s">
        <v>1157</v>
      </c>
    </row>
    <row r="144" spans="1:8" ht="16">
      <c r="A144" s="65" t="s">
        <v>343</v>
      </c>
      <c r="B144" s="66" t="str">
        <f>IFERROR(INDEX(進捗一覧!$O:$O,MATCH($A144,進捗一覧!$P:$P,0)),"⚠未検出")</f>
        <v>NFR-DR 災害復旧</v>
      </c>
      <c r="C144" s="67" t="str">
        <f>IFERROR(INDEX(進捗一覧!$E:$E,MATCH($A144,進捗一覧!$P:$P,0)),"⚠未検出")</f>
        <v>復旧手順の訓練をどの頻度で行うか。誰が参加するか</v>
      </c>
      <c r="D144" s="68" t="str">
        <f>IFERROR(INDEX(進捗一覧!$H:$H,MATCH($A144,進捗一覧!$P:$P,0)),"⚠未検出")</f>
        <v>外部待ち</v>
      </c>
      <c r="E144" s="66" t="s">
        <v>1158</v>
      </c>
      <c r="F144" s="68" t="s">
        <v>1136</v>
      </c>
      <c r="G144" s="68" t="s">
        <v>1065</v>
      </c>
      <c r="H144" s="76" t="s">
        <v>1159</v>
      </c>
    </row>
    <row r="145" spans="1:8" ht="16">
      <c r="A145" s="65" t="s">
        <v>346</v>
      </c>
      <c r="B145" s="66" t="str">
        <f>IFERROR(INDEX(進捗一覧!$O:$O,MATCH($A145,進捗一覧!$P:$P,0)),"⚠未検出")</f>
        <v>NFR-DR 災害復旧</v>
      </c>
      <c r="C145" s="67" t="str">
        <f>IFERROR(INDEX(進捗一覧!$E:$E,MATCH($A145,進捗一覧!$P:$P,0)),"⚠未検出")</f>
        <v>切替時にログイン状態を維持するか、利用者に再ログインを求めるか</v>
      </c>
      <c r="D145" s="68" t="str">
        <f>IFERROR(INDEX(進捗一覧!$H:$H,MATCH($A145,進捗一覧!$P:$P,0)),"⚠未検出")</f>
        <v>外部待ち</v>
      </c>
      <c r="E145" s="66" t="s">
        <v>1160</v>
      </c>
      <c r="F145" s="68" t="s">
        <v>1136</v>
      </c>
      <c r="G145" s="68" t="s">
        <v>1065</v>
      </c>
      <c r="H145" s="76" t="s">
        <v>1161</v>
      </c>
    </row>
    <row r="146" spans="1:8" ht="16">
      <c r="A146" s="65" t="s">
        <v>349</v>
      </c>
      <c r="B146" s="66" t="str">
        <f>IFERROR(INDEX(進捗一覧!$O:$O,MATCH($A146,進捗一覧!$P:$P,0)),"⚠未検出")</f>
        <v>NFR-OPS 監視・ロギング</v>
      </c>
      <c r="C146" s="67" t="str">
        <f>IFERROR(INDEX(進捗一覧!$E:$E,MATCH($A146,進捗一覧!$P:$P,0)),"⚠未検出")</f>
        <v>何を監視項目とし、どの値を異常とみなすか</v>
      </c>
      <c r="D146" s="68" t="str">
        <f>IFERROR(INDEX(進捗一覧!$H:$H,MATCH($A146,進捗一覧!$P:$P,0)),"⚠未検出")</f>
        <v>外部待ち</v>
      </c>
      <c r="E146" s="66" t="s">
        <v>1223</v>
      </c>
      <c r="F146" s="68" t="s">
        <v>1162</v>
      </c>
      <c r="G146" s="68" t="s">
        <v>1065</v>
      </c>
      <c r="H146" s="76" t="s">
        <v>1224</v>
      </c>
    </row>
    <row r="147" spans="1:8" ht="16">
      <c r="A147" s="65" t="s">
        <v>352</v>
      </c>
      <c r="B147" s="66" t="str">
        <f>IFERROR(INDEX(進捗一覧!$O:$O,MATCH($A147,進捗一覧!$P:$P,0)),"⚠未検出")</f>
        <v>NFR-OPS 監視・ロギング</v>
      </c>
      <c r="C147" s="67" t="str">
        <f>IFERROR(INDEX(進捗一覧!$E:$E,MATCH($A147,進捗一覧!$P:$P,0)),"⚠未検出")</f>
        <v>誰にどの経路で通知するか。夜間・休日の対応をどうするか</v>
      </c>
      <c r="D147" s="68" t="str">
        <f>IFERROR(INDEX(進捗一覧!$H:$H,MATCH($A147,進捗一覧!$P:$P,0)),"⚠未検出")</f>
        <v>外部待ち</v>
      </c>
      <c r="E147" s="66" t="s">
        <v>1225</v>
      </c>
      <c r="F147" s="68" t="s">
        <v>1218</v>
      </c>
      <c r="G147" s="68" t="s">
        <v>1065</v>
      </c>
      <c r="H147" s="76" t="s">
        <v>1226</v>
      </c>
    </row>
    <row r="148" spans="1:8" ht="16">
      <c r="A148" s="65" t="s">
        <v>354</v>
      </c>
      <c r="B148" s="66" t="str">
        <f>IFERROR(INDEX(進捗一覧!$O:$O,MATCH($A148,進捗一覧!$P:$P,0)),"⚠未検出")</f>
        <v>NFR-OPS 監視・ロギング</v>
      </c>
      <c r="C148" s="67" t="str">
        <f>IFERROR(INDEX(進捗一覧!$E:$E,MATCH($A148,進捗一覧!$P:$P,0)),"⚠未検出")</f>
        <v>各種ログを何日保存するか</v>
      </c>
      <c r="D148" s="68" t="str">
        <f>IFERROR(INDEX(進捗一覧!$H:$H,MATCH($A148,進捗一覧!$P:$P,0)),"⚠未検出")</f>
        <v>外部待ち</v>
      </c>
      <c r="E148" s="66" t="s">
        <v>1108</v>
      </c>
      <c r="F148" s="68" t="s">
        <v>1109</v>
      </c>
      <c r="G148" s="68" t="s">
        <v>1065</v>
      </c>
      <c r="H148" s="76" t="s">
        <v>1110</v>
      </c>
    </row>
    <row r="149" spans="1:8" ht="16">
      <c r="A149" s="65" t="s">
        <v>357</v>
      </c>
      <c r="B149" s="66" t="str">
        <f>IFERROR(INDEX(進捗一覧!$O:$O,MATCH($A149,進捗一覧!$P:$P,0)),"⚠未検出")</f>
        <v>NFR-OPS 監視・ロギング</v>
      </c>
      <c r="C149" s="67" t="str">
        <f>IFERROR(INDEX(進捗一覧!$E:$E,MATCH($A149,進捗一覧!$P:$P,0)),"⚠未検出")</f>
        <v>障害時にログをどれだけ速く探せる状態にしておくか</v>
      </c>
      <c r="D149" s="68" t="str">
        <f>IFERROR(INDEX(進捗一覧!$H:$H,MATCH($A149,進捗一覧!$P:$P,0)),"⚠未検出")</f>
        <v>外部待ち</v>
      </c>
      <c r="E149" s="66" t="s">
        <v>1108</v>
      </c>
      <c r="F149" s="68" t="s">
        <v>1109</v>
      </c>
      <c r="G149" s="68" t="s">
        <v>1057</v>
      </c>
      <c r="H149" s="76" t="s">
        <v>1111</v>
      </c>
    </row>
    <row r="150" spans="1:8" ht="16">
      <c r="A150" s="65" t="s">
        <v>360</v>
      </c>
      <c r="B150" s="66" t="str">
        <f>IFERROR(INDEX(進捗一覧!$O:$O,MATCH($A150,進捗一覧!$P:$P,0)),"⚠未検出")</f>
        <v>NFR-OPS デプロイ・パッチ</v>
      </c>
      <c r="C150" s="67" t="str">
        <f>IFERROR(INDEX(進捗一覧!$E:$E,MATCH($A150,進捗一覧!$P:$P,0)),"⚠未検出")</f>
        <v>製品の更新をどの頻度・どの手順で当てるか</v>
      </c>
      <c r="D150" s="68" t="str">
        <f>IFERROR(INDEX(進捗一覧!$H:$H,MATCH($A150,進捗一覧!$P:$P,0)),"⚠未検出")</f>
        <v>外部待ち</v>
      </c>
      <c r="E150" s="66" t="s">
        <v>1227</v>
      </c>
      <c r="F150" s="68" t="s">
        <v>1228</v>
      </c>
      <c r="G150" s="68" t="s">
        <v>1065</v>
      </c>
      <c r="H150" s="76" t="s">
        <v>1229</v>
      </c>
    </row>
    <row r="151" spans="1:8" ht="16">
      <c r="A151" s="65" t="s">
        <v>363</v>
      </c>
      <c r="B151" s="66" t="str">
        <f>IFERROR(INDEX(進捗一覧!$O:$O,MATCH($A151,進捗一覧!$P:$P,0)),"⚠未検出")</f>
        <v>⚠未検出</v>
      </c>
      <c r="C151" s="67" t="str">
        <f>IFERROR(INDEX(進捗一覧!$E:$E,MATCH($A151,進捗一覧!$P:$P,0)),"⚠未検出")</f>
        <v>⚠未検出</v>
      </c>
      <c r="D151" s="68" t="str">
        <f>IFERROR(INDEX(進捗一覧!$H:$H,MATCH($A151,進捗一覧!$P:$P,0)),"⚠未検出")</f>
        <v>⚠未検出</v>
      </c>
      <c r="E151" s="66" t="s">
        <v>1230</v>
      </c>
      <c r="F151" s="68" t="s">
        <v>1218</v>
      </c>
      <c r="G151" s="68" t="s">
        <v>1065</v>
      </c>
      <c r="H151" s="76" t="s">
        <v>1231</v>
      </c>
    </row>
    <row r="152" spans="1:8" ht="16">
      <c r="A152" s="65" t="s">
        <v>364</v>
      </c>
      <c r="B152" s="66" t="str">
        <f>IFERROR(INDEX(進捗一覧!$O:$O,MATCH($A152,進捗一覧!$P:$P,0)),"⚠未検出")</f>
        <v>⚠未検出</v>
      </c>
      <c r="C152" s="67" t="str">
        <f>IFERROR(INDEX(進捗一覧!$E:$E,MATCH($A152,進捗一覧!$P:$P,0)),"⚠未検出")</f>
        <v>⚠未検出</v>
      </c>
      <c r="D152" s="68" t="str">
        <f>IFERROR(INDEX(進捗一覧!$H:$H,MATCH($A152,進捗一覧!$P:$P,0)),"⚠未検出")</f>
        <v>⚠未検出</v>
      </c>
      <c r="E152" s="66" t="s">
        <v>1232</v>
      </c>
      <c r="F152" s="68" t="s">
        <v>1218</v>
      </c>
      <c r="G152" s="68" t="s">
        <v>1065</v>
      </c>
      <c r="H152" s="76" t="s">
        <v>1233</v>
      </c>
    </row>
    <row r="153" spans="1:8" ht="16">
      <c r="A153" s="65" t="s">
        <v>366</v>
      </c>
      <c r="B153" s="66" t="str">
        <f>IFERROR(INDEX(進捗一覧!$O:$O,MATCH($A153,進捗一覧!$P:$P,0)),"⚠未検出")</f>
        <v>NFR-OPS デプロイ・パッチ</v>
      </c>
      <c r="C153" s="67" t="str">
        <f>IFERROR(INDEX(進捗一覧!$E:$E,MATCH($A153,進捗一覧!$P:$P,0)),"⚠未検出")</f>
        <v>更新作業の自動化をどこまで行うか</v>
      </c>
      <c r="D153" s="68" t="str">
        <f>IFERROR(INDEX(進捗一覧!$H:$H,MATCH($A153,進捗一覧!$P:$P,0)),"⚠未検出")</f>
        <v>検討中</v>
      </c>
      <c r="E153" s="66" t="s">
        <v>1234</v>
      </c>
      <c r="F153" s="68" t="s">
        <v>1218</v>
      </c>
      <c r="G153" s="68" t="s">
        <v>1065</v>
      </c>
      <c r="H153" s="76" t="s">
        <v>1235</v>
      </c>
    </row>
    <row r="154" spans="1:8" ht="16">
      <c r="A154" s="65" t="s">
        <v>369</v>
      </c>
      <c r="B154" s="66" t="str">
        <f>IFERROR(INDEX(進捗一覧!$O:$O,MATCH($A154,進捗一覧!$P:$P,0)),"⚠未検出")</f>
        <v>⚠未検出</v>
      </c>
      <c r="C154" s="67" t="str">
        <f>IFERROR(INDEX(進捗一覧!$E:$E,MATCH($A154,進捗一覧!$P:$P,0)),"⚠未検出")</f>
        <v>⚠未検出</v>
      </c>
      <c r="D154" s="68" t="str">
        <f>IFERROR(INDEX(進捗一覧!$H:$H,MATCH($A154,進捗一覧!$P:$P,0)),"⚠未検出")</f>
        <v>⚠未検出</v>
      </c>
      <c r="E154" s="66" t="s">
        <v>1236</v>
      </c>
      <c r="F154" s="68" t="s">
        <v>1218</v>
      </c>
      <c r="G154" s="68" t="s">
        <v>1057</v>
      </c>
      <c r="H154" s="76" t="s">
        <v>1237</v>
      </c>
    </row>
    <row r="155" spans="1:8" ht="16">
      <c r="A155" s="65" t="s">
        <v>371</v>
      </c>
      <c r="B155" s="66" t="str">
        <f>IFERROR(INDEX(進捗一覧!$O:$O,MATCH($A155,進捗一覧!$P:$P,0)),"⚠未検出")</f>
        <v>NFR-OPS 体制・運用SLA</v>
      </c>
      <c r="C155" s="67" t="str">
        <f>IFERROR(INDEX(進捗一覧!$E:$E,MATCH($A155,進捗一覧!$P:$P,0)),"⚠未検出")</f>
        <v>運用に何人月かかる前提とするか。誰が担当するか</v>
      </c>
      <c r="D155" s="68" t="str">
        <f>IFERROR(INDEX(進捗一覧!$H:$H,MATCH($A155,進捗一覧!$P:$P,0)),"⚠未検出")</f>
        <v>外部待ち</v>
      </c>
      <c r="E155" s="66" t="s">
        <v>1412</v>
      </c>
      <c r="F155" s="68" t="s">
        <v>1413</v>
      </c>
      <c r="G155" s="68" t="s">
        <v>1065</v>
      </c>
      <c r="H155" s="76" t="s">
        <v>1414</v>
      </c>
    </row>
    <row r="156" spans="1:8" ht="16">
      <c r="A156" s="65" t="s">
        <v>373</v>
      </c>
      <c r="B156" s="66" t="str">
        <f>IFERROR(INDEX(進捗一覧!$O:$O,MATCH($A156,進捗一覧!$P:$P,0)),"⚠未検出")</f>
        <v>NFR-OPS 体制・運用SLA</v>
      </c>
      <c r="C156" s="67" t="str">
        <f>IFERROR(INDEX(進捗一覧!$E:$E,MATCH($A156,進捗一覧!$P:$P,0)),"⚠未検出")</f>
        <v>顧客追加の作業を何営業日で完了させるか</v>
      </c>
      <c r="D156" s="68" t="str">
        <f>IFERROR(INDEX(進捗一覧!$H:$H,MATCH($A156,進捗一覧!$P:$P,0)),"⚠未検出")</f>
        <v>外部待ち</v>
      </c>
      <c r="E156" s="66" t="s">
        <v>1238</v>
      </c>
      <c r="F156" s="68" t="s">
        <v>1218</v>
      </c>
      <c r="G156" s="68" t="s">
        <v>1065</v>
      </c>
      <c r="H156" s="76" t="s">
        <v>1239</v>
      </c>
    </row>
    <row r="157" spans="1:8" ht="16">
      <c r="A157" s="65" t="s">
        <v>376</v>
      </c>
      <c r="B157" s="66" t="str">
        <f>IFERROR(INDEX(進捗一覧!$O:$O,MATCH($A157,進捗一覧!$P:$P,0)),"⚠未検出")</f>
        <v>NFR-COMP 規制・法令対応</v>
      </c>
      <c r="C157" s="67" t="str">
        <f>IFERROR(INDEX(進捗一覧!$E:$E,MATCH($A157,進捗一覧!$P:$P,0)),"⚠未検出")</f>
        <v>日本の個人情報保護法への対応範囲をどこまでにするか</v>
      </c>
      <c r="D157" s="68" t="str">
        <f>IFERROR(INDEX(進捗一覧!$H:$H,MATCH($A157,進捗一覧!$P:$P,0)),"⚠未検出")</f>
        <v>外部待ち</v>
      </c>
      <c r="E157" s="66" t="s">
        <v>1455</v>
      </c>
      <c r="F157" s="68" t="s">
        <v>1092</v>
      </c>
      <c r="G157" s="68" t="s">
        <v>1065</v>
      </c>
      <c r="H157" s="76" t="s">
        <v>1456</v>
      </c>
    </row>
    <row r="158" spans="1:8" ht="16">
      <c r="A158" s="65" t="s">
        <v>379</v>
      </c>
      <c r="B158" s="66" t="str">
        <f>IFERROR(INDEX(進捗一覧!$O:$O,MATCH($A158,進捗一覧!$P:$P,0)),"⚠未検出")</f>
        <v>NFR-COMP 規制・法令対応</v>
      </c>
      <c r="C158" s="67" t="str">
        <f>IFERROR(INDEX(進捗一覧!$E:$E,MATCH($A158,進捗一覧!$P:$P,0)),"⚠未検出")</f>
        <v>海外展開に伴う規制対応が必要か。現時点は不要の認識だが、顧客に改めて確認する</v>
      </c>
      <c r="D158" s="68" t="str">
        <f>IFERROR(INDEX(進捗一覧!$H:$H,MATCH($A158,進捗一覧!$P:$P,0)),"⚠未検出")</f>
        <v>外部待ち</v>
      </c>
      <c r="E158" s="66" t="s">
        <v>1415</v>
      </c>
      <c r="F158" s="68" t="s">
        <v>1413</v>
      </c>
      <c r="G158" s="68" t="s">
        <v>1072</v>
      </c>
      <c r="H158" s="76" t="s">
        <v>1416</v>
      </c>
    </row>
    <row r="159" spans="1:8" ht="16">
      <c r="A159" s="65" t="s">
        <v>381</v>
      </c>
      <c r="B159" s="66" t="str">
        <f>IFERROR(INDEX(進捗一覧!$O:$O,MATCH($A159,進捗一覧!$P:$P,0)),"⚠未検出")</f>
        <v>NFR-COMP 規制・法令対応</v>
      </c>
      <c r="C159" s="67" t="str">
        <f>IFERROR(INDEX(進捗一覧!$E:$E,MATCH($A159,進捗一覧!$P:$P,0)),"⚠未検出")</f>
        <v>データを日本国内に限定する必要があるか。国内限定が前提だが、ROSA HCP の管理部分は Red Hat 側にあるため、これが国内限定の対象に含まれるかが別論点として残る</v>
      </c>
      <c r="D159" s="68" t="str">
        <f>IFERROR(INDEX(進捗一覧!$H:$H,MATCH($A159,進捗一覧!$P:$P,0)),"⚠未検出")</f>
        <v>外部待ち</v>
      </c>
      <c r="E159" s="66" t="s">
        <v>1457</v>
      </c>
      <c r="F159" s="68" t="s">
        <v>1089</v>
      </c>
      <c r="G159" s="68" t="s">
        <v>1057</v>
      </c>
      <c r="H159" s="76" t="s">
        <v>1458</v>
      </c>
    </row>
    <row r="160" spans="1:8" ht="16">
      <c r="A160" s="65" t="s">
        <v>384</v>
      </c>
      <c r="B160" s="66" t="str">
        <f>IFERROR(INDEX(進捗一覧!$O:$O,MATCH($A160,進捗一覧!$P:$P,0)),"⚠未検出")</f>
        <v>NFR-COMP 業界認定・監査</v>
      </c>
      <c r="C160" s="67" t="str">
        <f>IFERROR(INDEX(進捗一覧!$E:$E,MATCH($A160,進捗一覧!$P:$P,0)),"⚠未検出")</f>
        <v>第三者による内部統制の証明が必要か</v>
      </c>
      <c r="D160" s="68" t="str">
        <f>IFERROR(INDEX(進捗一覧!$H:$H,MATCH($A160,進捗一覧!$P:$P,0)),"⚠未検出")</f>
        <v>外部待ち</v>
      </c>
      <c r="E160" s="66" t="s">
        <v>1415</v>
      </c>
      <c r="F160" s="68" t="s">
        <v>1413</v>
      </c>
      <c r="G160" s="68" t="s">
        <v>1072</v>
      </c>
      <c r="H160" s="76" t="s">
        <v>1417</v>
      </c>
    </row>
    <row r="161" spans="1:8" ht="16">
      <c r="A161" s="65" t="s">
        <v>387</v>
      </c>
      <c r="B161" s="66" t="str">
        <f>IFERROR(INDEX(進捗一覧!$O:$O,MATCH($A161,進捗一覧!$P:$P,0)),"⚠未検出")</f>
        <v>NFR-COMP 業界認定・監査</v>
      </c>
      <c r="C161" s="67" t="str">
        <f>IFERROR(INDEX(進捗一覧!$E:$E,MATCH($A161,進捗一覧!$P:$P,0)),"⚠未検出")</f>
        <v>情報セキュリティの認証（ISMS等）の取得が必要か。不要と確認済み</v>
      </c>
      <c r="D161" s="68" t="str">
        <f>IFERROR(INDEX(進捗一覧!$H:$H,MATCH($A161,進捗一覧!$P:$P,0)),"⚠未検出")</f>
        <v>確定</v>
      </c>
      <c r="E161" s="66" t="s">
        <v>1415</v>
      </c>
      <c r="F161" s="68" t="s">
        <v>1413</v>
      </c>
      <c r="G161" s="68" t="s">
        <v>1072</v>
      </c>
      <c r="H161" s="76" t="s">
        <v>1418</v>
      </c>
    </row>
    <row r="162" spans="1:8" ht="16">
      <c r="A162" s="65" t="s">
        <v>389</v>
      </c>
      <c r="B162" s="66" t="str">
        <f>IFERROR(INDEX(進捗一覧!$O:$O,MATCH($A162,進捗一覧!$P:$P,0)),"⚠未検出")</f>
        <v>⚠未検出</v>
      </c>
      <c r="C162" s="67" t="str">
        <f>IFERROR(INDEX(進捗一覧!$E:$E,MATCH($A162,進捗一覧!$P:$P,0)),"⚠未検出")</f>
        <v>⚠未検出</v>
      </c>
      <c r="D162" s="68" t="str">
        <f>IFERROR(INDEX(進捗一覧!$H:$H,MATCH($A162,進捗一覧!$P:$P,0)),"⚠未検出")</f>
        <v>⚠未検出</v>
      </c>
      <c r="E162" s="66" t="s">
        <v>1419</v>
      </c>
      <c r="F162" s="68" t="s">
        <v>1413</v>
      </c>
      <c r="G162" s="68" t="s">
        <v>1072</v>
      </c>
      <c r="H162" s="76" t="s">
        <v>1420</v>
      </c>
    </row>
    <row r="163" spans="1:8" ht="16">
      <c r="A163" s="65" t="s">
        <v>390</v>
      </c>
      <c r="B163" s="66" t="str">
        <f>IFERROR(INDEX(進捗一覧!$O:$O,MATCH($A163,進捗一覧!$P:$P,0)),"⚠未検出")</f>
        <v>⚠未検出</v>
      </c>
      <c r="C163" s="67" t="str">
        <f>IFERROR(INDEX(進捗一覧!$E:$E,MATCH($A163,進捗一覧!$P:$P,0)),"⚠未検出")</f>
        <v>⚠未検出</v>
      </c>
      <c r="D163" s="68" t="str">
        <f>IFERROR(INDEX(進捗一覧!$H:$H,MATCH($A163,進捗一覧!$P:$P,0)),"⚠未検出")</f>
        <v>⚠未検出</v>
      </c>
      <c r="E163" s="66" t="s">
        <v>1059</v>
      </c>
      <c r="F163" s="68" t="s">
        <v>1089</v>
      </c>
      <c r="G163" s="68" t="s">
        <v>1072</v>
      </c>
      <c r="H163" s="76" t="s">
        <v>1124</v>
      </c>
    </row>
    <row r="164" spans="1:8" ht="16">
      <c r="A164" s="65" t="s">
        <v>391</v>
      </c>
      <c r="B164" s="66" t="str">
        <f>IFERROR(INDEX(進捗一覧!$O:$O,MATCH($A164,進捗一覧!$P:$P,0)),"⚠未検出")</f>
        <v>⚠未検出</v>
      </c>
      <c r="C164" s="67" t="str">
        <f>IFERROR(INDEX(進捗一覧!$E:$E,MATCH($A164,進捗一覧!$P:$P,0)),"⚠未検出")</f>
        <v>⚠未検出</v>
      </c>
      <c r="D164" s="68" t="str">
        <f>IFERROR(INDEX(進捗一覧!$H:$H,MATCH($A164,進捗一覧!$P:$P,0)),"⚠未検出")</f>
        <v>⚠未検出</v>
      </c>
      <c r="E164" s="66" t="s">
        <v>1113</v>
      </c>
      <c r="F164" s="68" t="s">
        <v>1109</v>
      </c>
      <c r="G164" s="68" t="s">
        <v>1065</v>
      </c>
      <c r="H164" s="76" t="s">
        <v>1114</v>
      </c>
    </row>
    <row r="165" spans="1:8" ht="16">
      <c r="A165" s="65" t="s">
        <v>392</v>
      </c>
      <c r="B165" s="66" t="str">
        <f>IFERROR(INDEX(進捗一覧!$O:$O,MATCH($A165,進捗一覧!$P:$P,0)),"⚠未検出")</f>
        <v>NFR-COMP 業界認定・監査</v>
      </c>
      <c r="C165" s="67" t="str">
        <f>IFERROR(INDEX(進捗一覧!$E:$E,MATCH($A165,進捗一覧!$P:$P,0)),"⚠未検出")</f>
        <v>誰がいつ何を見たかを後から追える状態をどこまで作るか。Keycloak の出来事を AWS 側へ運ぶ作り込みが要り、運び方によっては費用が大きく膨らむため、記録する範囲をどこまで絞るかを併せて決める</v>
      </c>
      <c r="D165" s="68" t="str">
        <f>IFERROR(INDEX(進捗一覧!$H:$H,MATCH($A165,進捗一覧!$P:$P,0)),"⚠未検出")</f>
        <v>外部待ち</v>
      </c>
      <c r="E165" s="66" t="s">
        <v>1459</v>
      </c>
      <c r="F165" s="68" t="s">
        <v>1109</v>
      </c>
      <c r="G165" s="68" t="s">
        <v>1065</v>
      </c>
      <c r="H165" s="76" t="s">
        <v>1460</v>
      </c>
    </row>
    <row r="166" spans="1:8" ht="16">
      <c r="A166" s="65" t="s">
        <v>395</v>
      </c>
      <c r="B166" s="66" t="str">
        <f>IFERROR(INDEX(進捗一覧!$O:$O,MATCH($A166,進捗一覧!$P:$P,0)),"⚠未検出")</f>
        <v>⚠未検出</v>
      </c>
      <c r="C166" s="67" t="str">
        <f>IFERROR(INDEX(進捗一覧!$E:$E,MATCH($A166,進捗一覧!$P:$P,0)),"⚠未検出")</f>
        <v>⚠未検出</v>
      </c>
      <c r="D166" s="68" t="str">
        <f>IFERROR(INDEX(進捗一覧!$H:$H,MATCH($A166,進捗一覧!$P:$P,0)),"⚠未検出")</f>
        <v>⚠未検出</v>
      </c>
      <c r="E166" s="66" t="s">
        <v>1461</v>
      </c>
      <c r="F166" s="68" t="s">
        <v>1258</v>
      </c>
      <c r="G166" s="68" t="s">
        <v>1065</v>
      </c>
      <c r="H166" s="76" t="s">
        <v>1462</v>
      </c>
    </row>
    <row r="167" spans="1:8" ht="16">
      <c r="A167" s="65" t="s">
        <v>397</v>
      </c>
      <c r="B167" s="66" t="str">
        <f>IFERROR(INDEX(進捗一覧!$O:$O,MATCH($A167,進捗一覧!$P:$P,0)),"⚠未検出")</f>
        <v>NFR-COMP データガバナンス</v>
      </c>
      <c r="C167" s="67" t="str">
        <f>IFERROR(INDEX(進捗一覧!$E:$E,MATCH($A167,進捗一覧!$P:$P,0)),"⚠未検出")</f>
        <v>暗号鍵をどの頻度で入れ替えるか。対象は ①通行証の署名鍵 ②保存データの暗号鍵（KMS） の2種類あり、それぞれ別に決める</v>
      </c>
      <c r="D167" s="68" t="str">
        <f>IFERROR(INDEX(進捗一覧!$H:$H,MATCH($A167,進捗一覧!$P:$P,0)),"⚠未検出")</f>
        <v>確定</v>
      </c>
      <c r="E167" s="66" t="s">
        <v>1043</v>
      </c>
      <c r="F167" s="68" t="s">
        <v>1044</v>
      </c>
      <c r="G167" s="68" t="s">
        <v>948</v>
      </c>
      <c r="H167" s="76" t="s">
        <v>1045</v>
      </c>
    </row>
    <row r="168" spans="1:8" ht="16">
      <c r="A168" s="65" t="s">
        <v>400</v>
      </c>
      <c r="B168" s="66" t="str">
        <f>IFERROR(INDEX(進捗一覧!$O:$O,MATCH($A168,進捗一覧!$P:$P,0)),"⚠未検出")</f>
        <v>NFR-COST コスト</v>
      </c>
      <c r="C168" s="67" t="str">
        <f>IFERROR(INDEX(進捗一覧!$E:$E,MATCH($A168,進捗一覧!$P:$P,0)),"⚠未検出")</f>
        <v>初期構築費をいくらと見るか。金額は WBS の積み上げ工数を根拠とする（基本設計の工数枠とは別枠）</v>
      </c>
      <c r="D168" s="68" t="str">
        <f>IFERROR(INDEX(進捗一覧!$H:$H,MATCH($A168,進捗一覧!$P:$P,0)),"⚠未検出")</f>
        <v>検討中</v>
      </c>
      <c r="E168" s="66" t="s">
        <v>1421</v>
      </c>
      <c r="F168" s="68" t="s">
        <v>1413</v>
      </c>
      <c r="G168" s="68" t="s">
        <v>1072</v>
      </c>
      <c r="H168" s="76" t="s">
        <v>1422</v>
      </c>
    </row>
    <row r="169" spans="1:8" ht="16">
      <c r="A169" s="65" t="s">
        <v>403</v>
      </c>
      <c r="B169" s="66" t="str">
        <f>IFERROR(INDEX(進捗一覧!$O:$O,MATCH($A169,進捗一覧!$P:$P,0)),"⚠未検出")</f>
        <v>NFR-COST コスト</v>
      </c>
      <c r="C169" s="67" t="str">
        <f>IFERROR(INDEX(進捗一覧!$E:$E,MATCH($A169,進捗一覧!$P:$P,0)),"⚠未検出")</f>
        <v>毎月の設備費をいくらまでとするか。AWS のリソースごとに ROSA 前提で詳細見積もりを作って積み上げる</v>
      </c>
      <c r="D169" s="68" t="str">
        <f>IFERROR(INDEX(進捗一覧!$H:$H,MATCH($A169,進捗一覧!$P:$P,0)),"⚠未検出")</f>
        <v>検討中</v>
      </c>
      <c r="E169" s="66" t="s">
        <v>1202</v>
      </c>
      <c r="F169" s="68" t="s">
        <v>1175</v>
      </c>
      <c r="G169" s="68" t="s">
        <v>1057</v>
      </c>
      <c r="H169" s="76" t="s">
        <v>1203</v>
      </c>
    </row>
    <row r="170" spans="1:8" ht="16">
      <c r="A170" s="65" t="s">
        <v>405</v>
      </c>
      <c r="B170" s="66" t="str">
        <f>IFERROR(INDEX(進捗一覧!$O:$O,MATCH($A170,進捗一覧!$P:$P,0)),"⚠未検出")</f>
        <v>NFR-COST コスト</v>
      </c>
      <c r="C170" s="67" t="str">
        <f>IFERROR(INDEX(進捗一覧!$E:$E,MATCH($A170,進捗一覧!$P:$P,0)),"⚠未検出")</f>
        <v>利用者1人あたりの単価をいくらと見るか</v>
      </c>
      <c r="D170" s="68" t="str">
        <f>IFERROR(INDEX(進捗一覧!$H:$H,MATCH($A170,進捗一覧!$P:$P,0)),"⚠未検出")</f>
        <v>確定</v>
      </c>
      <c r="E170" s="66" t="s">
        <v>1421</v>
      </c>
      <c r="F170" s="68" t="s">
        <v>1413</v>
      </c>
      <c r="G170" s="68" t="s">
        <v>1072</v>
      </c>
      <c r="H170" s="76" t="s">
        <v>1423</v>
      </c>
    </row>
    <row r="171" spans="1:8" ht="16">
      <c r="A171" s="65" t="s">
        <v>407</v>
      </c>
      <c r="B171" s="66" t="str">
        <f>IFERROR(INDEX(進捗一覧!$O:$O,MATCH($A171,進捗一覧!$P:$P,0)),"⚠未検出")</f>
        <v>NFR-COST コスト</v>
      </c>
      <c r="C171" s="67" t="str">
        <f>IFERROR(INDEX(進捗一覧!$E:$E,MATCH($A171,進捗一覧!$P:$P,0)),"⚠未検出")</f>
        <v>上位プランを使う場合の追加費用をどう見るか。Keycloak 採用（前提P-01）により、Cognito の上位プランを前提とした本項は不要になる可能性が高い</v>
      </c>
      <c r="D171" s="68" t="str">
        <f>IFERROR(INDEX(進捗一覧!$H:$H,MATCH($A171,進捗一覧!$P:$P,0)),"⚠未検出")</f>
        <v>対象外</v>
      </c>
      <c r="E171" s="66" t="s">
        <v>1421</v>
      </c>
      <c r="F171" s="68" t="s">
        <v>1413</v>
      </c>
      <c r="G171" s="68" t="s">
        <v>1072</v>
      </c>
      <c r="H171" s="76" t="s">
        <v>1423</v>
      </c>
    </row>
    <row r="172" spans="1:8" ht="16">
      <c r="A172" s="65" t="s">
        <v>409</v>
      </c>
      <c r="B172" s="66" t="str">
        <f>IFERROR(INDEX(進捗一覧!$O:$O,MATCH($A172,進捗一覧!$P:$P,0)),"⚠未検出")</f>
        <v>NFR-COST コスト</v>
      </c>
      <c r="C172" s="67" t="str">
        <f>IFERROR(INDEX(進捗一覧!$E:$E,MATCH($A172,進捗一覧!$P:$P,0)),"⚠未検出")</f>
        <v>災害対策のために毎月いくら追加でかけるか。設備費（NFR-COST-002）の詳細見積もりを作るときに一緒に算出する</v>
      </c>
      <c r="D172" s="68" t="str">
        <f>IFERROR(INDEX(進捗一覧!$H:$H,MATCH($A172,進捗一覧!$P:$P,0)),"⚠未検出")</f>
        <v>検討中</v>
      </c>
      <c r="E172" s="66" t="s">
        <v>1163</v>
      </c>
      <c r="F172" s="68" t="s">
        <v>1164</v>
      </c>
      <c r="G172" s="68" t="s">
        <v>1057</v>
      </c>
      <c r="H172" s="76" t="s">
        <v>1165</v>
      </c>
    </row>
    <row r="173" spans="1:8" ht="16">
      <c r="A173" s="65" t="s">
        <v>411</v>
      </c>
      <c r="B173" s="66" t="str">
        <f>IFERROR(INDEX(進捗一覧!$O:$O,MATCH($A173,進捗一覧!$P:$P,0)),"⚠未検出")</f>
        <v>NFR-COST コスト</v>
      </c>
      <c r="C173" s="67" t="str">
        <f>IFERROR(INDEX(進捗一覧!$E:$E,MATCH($A173,進捗一覧!$P:$P,0)),"⚠未検出")</f>
        <v>運用担当の人件費をいくらと見込むか。ADR-040 の運用者10名体制を金額に換算して置く</v>
      </c>
      <c r="D173" s="68" t="str">
        <f>IFERROR(INDEX(進捗一覧!$H:$H,MATCH($A173,進捗一覧!$P:$P,0)),"⚠未検出")</f>
        <v>検討中</v>
      </c>
      <c r="E173" s="66" t="s">
        <v>1412</v>
      </c>
      <c r="F173" s="68" t="s">
        <v>1413</v>
      </c>
      <c r="G173" s="68" t="s">
        <v>1065</v>
      </c>
      <c r="H173" s="76" t="s">
        <v>1424</v>
      </c>
    </row>
    <row r="174" spans="1:8" ht="16">
      <c r="A174" s="65" t="s">
        <v>413</v>
      </c>
      <c r="B174" s="66" t="str">
        <f>IFERROR(INDEX(進捗一覧!$O:$O,MATCH($A174,進捗一覧!$P:$P,0)),"⚠未検出")</f>
        <v>NFR-COST コスト</v>
      </c>
      <c r="C174" s="67" t="str">
        <f>IFERROR(INDEX(進捗一覧!$E:$E,MATCH($A174,進捗一覧!$P:$P,0)),"⚠未検出")</f>
        <v>製品サポート契約の費用をどう扱うか。固定の設備費に合算して計上する方針で、単価が未定</v>
      </c>
      <c r="D174" s="68" t="str">
        <f>IFERROR(INDEX(進捗一覧!$H:$H,MATCH($A174,進捗一覧!$P:$P,0)),"⚠未検出")</f>
        <v>確定</v>
      </c>
      <c r="E174" s="66" t="s">
        <v>1204</v>
      </c>
      <c r="F174" s="68" t="s">
        <v>1175</v>
      </c>
      <c r="G174" s="68" t="s">
        <v>1065</v>
      </c>
      <c r="H174" s="76" t="s">
        <v>1205</v>
      </c>
    </row>
    <row r="175" spans="1:8" ht="16">
      <c r="A175" s="65" t="s">
        <v>415</v>
      </c>
      <c r="B175" s="66" t="str">
        <f>IFERROR(INDEX(進捗一覧!$O:$O,MATCH($A175,進捗一覧!$P:$P,0)),"⚠未検出")</f>
        <v>NFR-COST コスト</v>
      </c>
      <c r="C175" s="67" t="str">
        <f>IFERROR(INDEX(進捗一覧!$E:$E,MATCH($A175,進捗一覧!$P:$P,0)),"⚠未検出")</f>
        <v>何人以上の規模なら自前で構築するほうが有利になるか。概算はこの行で持ち、細かい計算はコスト見積もりシートで行う</v>
      </c>
      <c r="D175" s="68" t="str">
        <f>IFERROR(INDEX(進捗一覧!$H:$H,MATCH($A175,進捗一覧!$P:$P,0)),"⚠未検出")</f>
        <v>確定</v>
      </c>
      <c r="E175" s="66" t="s">
        <v>1421</v>
      </c>
      <c r="F175" s="68" t="s">
        <v>1413</v>
      </c>
      <c r="G175" s="68" t="s">
        <v>1072</v>
      </c>
      <c r="H175" s="76" t="s">
        <v>1423</v>
      </c>
    </row>
    <row r="176" spans="1:8" ht="16">
      <c r="A176" s="65" t="s">
        <v>418</v>
      </c>
      <c r="B176" s="66" t="str">
        <f>IFERROR(INDEX(進捗一覧!$O:$O,MATCH($A176,進捗一覧!$P:$P,0)),"⚠未検出")</f>
        <v>NFR-COST コスト</v>
      </c>
      <c r="C176" s="67" t="str">
        <f>IFERROR(INDEX(進捗一覧!$E:$E,MATCH($A176,進捗一覧!$P:$P,0)),"⚠未検出")</f>
        <v>上位プランと比べた場合に有利になる規模の境目をどこに置くか。細かい計算はコスト見積もりシートで行う</v>
      </c>
      <c r="D176" s="68" t="str">
        <f>IFERROR(INDEX(進捗一覧!$H:$H,MATCH($A176,進捗一覧!$P:$P,0)),"⚠未検出")</f>
        <v>確定</v>
      </c>
      <c r="E176" s="66" t="s">
        <v>1421</v>
      </c>
      <c r="F176" s="68" t="s">
        <v>1413</v>
      </c>
      <c r="G176" s="68" t="s">
        <v>1072</v>
      </c>
      <c r="H176" s="76" t="s">
        <v>1423</v>
      </c>
    </row>
    <row r="177" spans="1:8" ht="16">
      <c r="A177" s="65" t="s">
        <v>421</v>
      </c>
      <c r="B177" s="66" t="str">
        <f>IFERROR(INDEX(進捗一覧!$O:$O,MATCH($A177,進捗一覧!$P:$P,0)),"⚠未検出")</f>
        <v>NFR-COST コスト</v>
      </c>
      <c r="C177" s="67" t="str">
        <f>IFERROR(INDEX(進捗一覧!$E:$E,MATCH($A177,進捗一覧!$P:$P,0)),"⚠未検出")</f>
        <v>10万人規模で3年間の総額をいくらと見るか。Keycloak 採用により Cognito 比較を前提とした本項は不要になる可能性が高い</v>
      </c>
      <c r="D177" s="68" t="str">
        <f>IFERROR(INDEX(進捗一覧!$H:$H,MATCH($A177,進捗一覧!$P:$P,0)),"⚠未検出")</f>
        <v>検討中</v>
      </c>
      <c r="E177" s="66" t="s">
        <v>1202</v>
      </c>
      <c r="F177" s="68" t="s">
        <v>1175</v>
      </c>
      <c r="G177" s="68" t="s">
        <v>1057</v>
      </c>
      <c r="H177" s="76" t="s">
        <v>1206</v>
      </c>
    </row>
    <row r="178" spans="1:8" ht="16">
      <c r="A178" s="65" t="s">
        <v>423</v>
      </c>
      <c r="B178" s="66" t="str">
        <f>IFERROR(INDEX(進捗一覧!$O:$O,MATCH($A178,進捗一覧!$P:$P,0)),"⚠未検出")</f>
        <v>NFR-COST コスト</v>
      </c>
      <c r="C178" s="67" t="str">
        <f>IFERROR(INDEX(進捗一覧!$E:$E,MATCH($A178,進捗一覧!$P:$P,0)),"⚠未検出")</f>
        <v>50万人規模で3年間の総額をいくらと見るか。Keycloak 採用により Cognito 比較を前提とした本項は不要になる可能性が高い</v>
      </c>
      <c r="D178" s="68" t="str">
        <f>IFERROR(INDEX(進捗一覧!$H:$H,MATCH($A178,進捗一覧!$P:$P,0)),"⚠未検出")</f>
        <v>検討中</v>
      </c>
      <c r="E178" s="66" t="s">
        <v>1202</v>
      </c>
      <c r="F178" s="68" t="s">
        <v>1175</v>
      </c>
      <c r="G178" s="68" t="s">
        <v>1057</v>
      </c>
      <c r="H178" s="76" t="s">
        <v>1207</v>
      </c>
    </row>
    <row r="179" spans="1:8" ht="16">
      <c r="A179" s="65" t="s">
        <v>426</v>
      </c>
      <c r="B179" s="66" t="str">
        <f>IFERROR(INDEX(進捗一覧!$O:$O,MATCH($A179,進捗一覧!$P:$P,0)),"⚠未検出")</f>
        <v>NFR-MIG 移行性</v>
      </c>
      <c r="C179" s="67" t="str">
        <f>IFERROR(INDEX(進捗一覧!$E:$E,MATCH($A179,進捗一覧!$P:$P,0)),"⚠未検出")</f>
        <v>今の認証システムから利用者情報をどう移すか。件数と期間をどう見るか</v>
      </c>
      <c r="D179" s="68" t="str">
        <f>IFERROR(INDEX(進捗一覧!$H:$H,MATCH($A179,進捗一覧!$P:$P,0)),"⚠未検出")</f>
        <v>対象外</v>
      </c>
      <c r="E179" s="66" t="s">
        <v>1277</v>
      </c>
      <c r="F179" s="68" t="s">
        <v>1266</v>
      </c>
      <c r="G179" s="68" t="s">
        <v>1065</v>
      </c>
      <c r="H179" s="76" t="s">
        <v>1278</v>
      </c>
    </row>
    <row r="180" spans="1:8" ht="16">
      <c r="A180" s="65" t="s">
        <v>429</v>
      </c>
      <c r="B180" s="66" t="str">
        <f>IFERROR(INDEX(進捗一覧!$O:$O,MATCH($A180,進捗一覧!$P:$P,0)),"⚠未検出")</f>
        <v>NFR-MIG 移行性</v>
      </c>
      <c r="C180" s="67" t="str">
        <f>IFERROR(INDEX(進捗一覧!$E:$E,MATCH($A180,進捗一覧!$P:$P,0)),"⚠未検出")</f>
        <v>旧システムのパスワードを、利用者に再設定させずに引き継げるか。引き継ぎは可能で、条件は2つ — ①アプリ側が SCIM ではなく Keycloak の管理API（idm-api）を使って投入すること ②旧システムのハッシュ方式が PBKDF2-SHA256／PBKDF2-SHA512／Argon2id のいずれかであること。この2条件を満たせば再設定は不要</v>
      </c>
      <c r="D180" s="68" t="str">
        <f>IFERROR(INDEX(進捗一覧!$H:$H,MATCH($A180,進捗一覧!$P:$P,0)),"⚠未検出")</f>
        <v>外部待ち</v>
      </c>
      <c r="E180" s="66" t="s">
        <v>1277</v>
      </c>
      <c r="F180" s="68" t="s">
        <v>1266</v>
      </c>
      <c r="G180" s="68" t="s">
        <v>1065</v>
      </c>
      <c r="H180" s="76" t="s">
        <v>1279</v>
      </c>
    </row>
    <row r="181" spans="1:8" ht="16">
      <c r="A181" s="65" t="s">
        <v>431</v>
      </c>
      <c r="B181" s="66" t="str">
        <f>IFERROR(INDEX(進捗一覧!$O:$O,MATCH($A181,進捗一覧!$P:$P,0)),"⚠未検出")</f>
        <v>NFR-MIG 移行性</v>
      </c>
      <c r="C181" s="67" t="str">
        <f>IFERROR(INDEX(進捗一覧!$E:$E,MATCH($A181,進捗一覧!$P:$P,0)),"⚠未検出")</f>
        <v>将来ほかの製品に乗り換えられる状態を、どこまで保つか</v>
      </c>
      <c r="D181" s="68" t="str">
        <f>IFERROR(INDEX(進捗一覧!$H:$H,MATCH($A181,進捗一覧!$P:$P,0)),"⚠未検出")</f>
        <v>確定</v>
      </c>
      <c r="E181" s="66" t="s">
        <v>1280</v>
      </c>
      <c r="F181" s="68" t="s">
        <v>1281</v>
      </c>
      <c r="G181" s="68" t="s">
        <v>1057</v>
      </c>
      <c r="H181" s="76" t="s">
        <v>1282</v>
      </c>
    </row>
    <row r="182" spans="1:8" ht="16">
      <c r="A182" s="65" t="s">
        <v>433</v>
      </c>
      <c r="B182" s="66" t="str">
        <f>IFERROR(INDEX(進捗一覧!$O:$O,MATCH($A182,進捗一覧!$P:$P,0)),"⚠未検出")</f>
        <v>NFR-MIG 移行性</v>
      </c>
      <c r="C182" s="67" t="str">
        <f>IFERROR(INDEX(進捗一覧!$E:$E,MATCH($A182,進捗一覧!$P:$P,0)),"⚠未検出")</f>
        <v>自分たちのデータをいつでも取り出せる手段を用意するか。Realm 全体の書き出しは禁止（禁則K-1）のため、単位を区切った取り出し方式を定義する必要がある</v>
      </c>
      <c r="D182" s="68" t="str">
        <f>IFERROR(INDEX(進捗一覧!$H:$H,MATCH($A182,進捗一覧!$P:$P,0)),"⚠未検出")</f>
        <v>検討中</v>
      </c>
      <c r="E182" s="66" t="s">
        <v>1283</v>
      </c>
      <c r="F182" s="68" t="s">
        <v>1284</v>
      </c>
      <c r="G182" s="68" t="s">
        <v>1065</v>
      </c>
      <c r="H182" s="76" t="s">
        <v>1285</v>
      </c>
    </row>
    <row r="183" spans="1:8" ht="16">
      <c r="A183" s="69" t="s">
        <v>435</v>
      </c>
      <c r="B183" s="70" t="str">
        <f>IFERROR(INDEX(進捗一覧!$O:$O,MATCH($A183,進捗一覧!$P:$P,0)),"⚠未検出")</f>
        <v>NFR-MIG 移行性</v>
      </c>
      <c r="C183" s="71" t="str">
        <f>IFERROR(INDEX(進捗一覧!$E:$E,MATCH($A183,進捗一覧!$P:$P,0)),"⚠未検出")</f>
        <v>新旧を並行稼働させて少しずつ移す方針で決定済み。顧客テナント単位で順次移していく。決めるのは並行期間の長さ</v>
      </c>
      <c r="D183" s="72" t="str">
        <f>IFERROR(INDEX(進捗一覧!$H:$H,MATCH($A183,進捗一覧!$P:$P,0)),"⚠未検出")</f>
        <v>確定</v>
      </c>
      <c r="E183" s="70" t="s">
        <v>1286</v>
      </c>
      <c r="F183" s="72" t="s">
        <v>1266</v>
      </c>
      <c r="G183" s="72" t="s">
        <v>1065</v>
      </c>
      <c r="H183" s="77" t="s">
        <v>1287</v>
      </c>
    </row>
  </sheetData>
  <autoFilter ref="A4:H183" xr:uid="{F6284182-FD2C-E145-9717-734327A3CD4B}"/>
  <phoneticPr fontId="2"/>
  <conditionalFormatting sqref="A5:H183">
    <cfRule type="expression" dxfId="100" priority="1">
      <formula>$G5="未対応"</formula>
    </cfRule>
  </conditionalFormatting>
  <conditionalFormatting sqref="A5:H183">
    <cfRule type="expression" dxfId="99" priority="2">
      <formula>$G5="単元未取込"</formula>
    </cfRule>
  </conditionalFormatting>
  <conditionalFormatting sqref="A5:H183">
    <cfRule type="expression" dxfId="98" priority="3">
      <formula>$G5="部分"</formula>
    </cfRule>
  </conditionalFormatting>
  <conditionalFormatting sqref="A5:H183">
    <cfRule type="expression" dxfId="97" priority="4">
      <formula>$G5="設計済"</formula>
    </cfRule>
  </conditionalFormatting>
  <conditionalFormatting sqref="A5:H183">
    <cfRule type="expression" dxfId="96" priority="5">
      <formula>$G5="対象外"</formula>
    </cfRule>
  </conditionalFormatting>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2CA42E-305E-3549-A119-1311DF775CFA}">
  <dimension ref="A1:F55"/>
  <sheetViews>
    <sheetView zoomScale="106" workbookViewId="0">
      <pane ySplit="5" topLeftCell="A6" activePane="bottomLeft" state="frozen"/>
      <selection pane="bottomLeft" activeCell="C36" sqref="C36"/>
    </sheetView>
  </sheetViews>
  <sheetFormatPr baseColWidth="10" defaultRowHeight="15"/>
  <cols>
    <col min="1" max="1" width="17.140625" style="63" customWidth="1"/>
    <col min="2" max="2" width="24.28515625" style="63" customWidth="1"/>
    <col min="3" max="3" width="40" style="63" customWidth="1"/>
    <col min="4" max="4" width="18.5703125" style="63" customWidth="1"/>
    <col min="5" max="5" width="88.5703125" style="63" customWidth="1"/>
    <col min="6" max="6" width="32.85546875" style="63" customWidth="1"/>
    <col min="7" max="16384" width="10.7109375" style="63"/>
  </cols>
  <sheetData>
    <row r="1" spans="1:6">
      <c r="A1" s="62" t="s">
        <v>1288</v>
      </c>
    </row>
    <row r="2" spans="1:6">
      <c r="A2" s="75" t="s">
        <v>1519</v>
      </c>
    </row>
    <row r="3" spans="1:6">
      <c r="A3" s="80" t="s">
        <v>1289</v>
      </c>
    </row>
    <row r="5" spans="1:6" ht="22" customHeight="1">
      <c r="A5" s="81" t="s">
        <v>876</v>
      </c>
      <c r="B5" s="82" t="s">
        <v>877</v>
      </c>
      <c r="C5" s="82" t="s">
        <v>878</v>
      </c>
      <c r="D5" s="82" t="s">
        <v>1290</v>
      </c>
      <c r="E5" s="82" t="s">
        <v>1291</v>
      </c>
      <c r="F5" s="83" t="s">
        <v>1292</v>
      </c>
    </row>
    <row r="6" spans="1:6" ht="32">
      <c r="A6" s="73" t="s">
        <v>1053</v>
      </c>
      <c r="B6" s="66" t="s">
        <v>1047</v>
      </c>
      <c r="C6" s="66" t="s">
        <v>1054</v>
      </c>
      <c r="D6" s="68" t="s">
        <v>1293</v>
      </c>
      <c r="E6" s="67" t="s">
        <v>1294</v>
      </c>
      <c r="F6" s="76" t="s">
        <v>1295</v>
      </c>
    </row>
    <row r="7" spans="1:6" ht="32">
      <c r="A7" s="73" t="s">
        <v>1049</v>
      </c>
      <c r="B7" s="66" t="s">
        <v>1047</v>
      </c>
      <c r="C7" s="66" t="s">
        <v>1050</v>
      </c>
      <c r="D7" s="68" t="s">
        <v>1293</v>
      </c>
      <c r="E7" s="67" t="s">
        <v>1296</v>
      </c>
      <c r="F7" s="76" t="s">
        <v>1295</v>
      </c>
    </row>
    <row r="8" spans="1:6" ht="16">
      <c r="A8" s="73" t="s">
        <v>1252</v>
      </c>
      <c r="B8" s="66" t="s">
        <v>1241</v>
      </c>
      <c r="C8" s="66" t="s">
        <v>1253</v>
      </c>
      <c r="D8" s="68" t="s">
        <v>1293</v>
      </c>
      <c r="E8" s="67" t="s">
        <v>1297</v>
      </c>
      <c r="F8" s="76" t="s">
        <v>1295</v>
      </c>
    </row>
    <row r="9" spans="1:6" ht="16">
      <c r="A9" s="73" t="s">
        <v>1051</v>
      </c>
      <c r="B9" s="66" t="s">
        <v>1047</v>
      </c>
      <c r="C9" s="66" t="s">
        <v>1052</v>
      </c>
      <c r="D9" s="68" t="s">
        <v>1293</v>
      </c>
      <c r="E9" s="67" t="s">
        <v>1298</v>
      </c>
      <c r="F9" s="76" t="s">
        <v>1295</v>
      </c>
    </row>
    <row r="10" spans="1:6" ht="16">
      <c r="A10" s="73" t="s">
        <v>935</v>
      </c>
      <c r="B10" s="66" t="s">
        <v>917</v>
      </c>
      <c r="C10" s="66" t="s">
        <v>1299</v>
      </c>
      <c r="D10" s="68" t="s">
        <v>1293</v>
      </c>
      <c r="E10" s="67" t="s">
        <v>1300</v>
      </c>
      <c r="F10" s="76" t="s">
        <v>120</v>
      </c>
    </row>
    <row r="11" spans="1:6" ht="32">
      <c r="A11" s="73" t="s">
        <v>1250</v>
      </c>
      <c r="B11" s="66" t="s">
        <v>1241</v>
      </c>
      <c r="C11" s="66" t="s">
        <v>1251</v>
      </c>
      <c r="D11" s="68" t="s">
        <v>1293</v>
      </c>
      <c r="E11" s="67" t="s">
        <v>1301</v>
      </c>
      <c r="F11" s="76" t="s">
        <v>176</v>
      </c>
    </row>
    <row r="12" spans="1:6" ht="16">
      <c r="A12" s="73" t="s">
        <v>1084</v>
      </c>
      <c r="B12" s="66" t="s">
        <v>517</v>
      </c>
      <c r="C12" s="66" t="s">
        <v>1085</v>
      </c>
      <c r="D12" s="68" t="s">
        <v>1293</v>
      </c>
      <c r="E12" s="67" t="s">
        <v>1302</v>
      </c>
      <c r="F12" s="76" t="s">
        <v>1303</v>
      </c>
    </row>
    <row r="13" spans="1:6" ht="16">
      <c r="A13" s="73" t="s">
        <v>915</v>
      </c>
      <c r="B13" s="66" t="s">
        <v>510</v>
      </c>
      <c r="C13" s="66" t="s">
        <v>1304</v>
      </c>
      <c r="D13" s="68" t="s">
        <v>1293</v>
      </c>
      <c r="E13" s="67" t="s">
        <v>1305</v>
      </c>
      <c r="F13" s="76" t="s">
        <v>1295</v>
      </c>
    </row>
    <row r="14" spans="1:6" ht="16">
      <c r="A14" s="73" t="s">
        <v>1212</v>
      </c>
      <c r="B14" s="66" t="s">
        <v>1208</v>
      </c>
      <c r="C14" s="66" t="s">
        <v>1213</v>
      </c>
      <c r="D14" s="68" t="s">
        <v>1293</v>
      </c>
      <c r="E14" s="67" t="s">
        <v>1306</v>
      </c>
      <c r="F14" s="76" t="s">
        <v>349</v>
      </c>
    </row>
    <row r="15" spans="1:6" ht="16">
      <c r="A15" s="73" t="s">
        <v>1246</v>
      </c>
      <c r="B15" s="66" t="s">
        <v>1241</v>
      </c>
      <c r="C15" s="66" t="s">
        <v>1247</v>
      </c>
      <c r="D15" s="68" t="s">
        <v>1293</v>
      </c>
      <c r="E15" s="67" t="s">
        <v>1307</v>
      </c>
      <c r="F15" s="76" t="s">
        <v>1295</v>
      </c>
    </row>
    <row r="16" spans="1:6" ht="16">
      <c r="A16" s="73" t="s">
        <v>922</v>
      </c>
      <c r="B16" s="66" t="s">
        <v>917</v>
      </c>
      <c r="C16" s="66" t="s">
        <v>1308</v>
      </c>
      <c r="D16" s="68" t="s">
        <v>1293</v>
      </c>
      <c r="E16" s="67" t="s">
        <v>1309</v>
      </c>
      <c r="F16" s="76" t="s">
        <v>291</v>
      </c>
    </row>
    <row r="17" spans="1:6" ht="32">
      <c r="A17" s="73" t="s">
        <v>1240</v>
      </c>
      <c r="B17" s="66" t="s">
        <v>1241</v>
      </c>
      <c r="C17" s="66" t="s">
        <v>1242</v>
      </c>
      <c r="D17" s="68" t="s">
        <v>1310</v>
      </c>
      <c r="E17" s="67" t="s">
        <v>1311</v>
      </c>
      <c r="F17" s="76" t="s">
        <v>1312</v>
      </c>
    </row>
    <row r="18" spans="1:6" ht="16">
      <c r="A18" s="73" t="s">
        <v>1243</v>
      </c>
      <c r="B18" s="66" t="s">
        <v>1241</v>
      </c>
      <c r="C18" s="66" t="s">
        <v>1244</v>
      </c>
      <c r="D18" s="68" t="s">
        <v>1310</v>
      </c>
      <c r="E18" s="67" t="s">
        <v>1313</v>
      </c>
      <c r="F18" s="76" t="s">
        <v>1312</v>
      </c>
    </row>
    <row r="19" spans="1:6" ht="16">
      <c r="A19" s="73" t="s">
        <v>1248</v>
      </c>
      <c r="B19" s="66" t="s">
        <v>1241</v>
      </c>
      <c r="C19" s="66" t="s">
        <v>1249</v>
      </c>
      <c r="D19" s="68" t="s">
        <v>1310</v>
      </c>
      <c r="E19" s="67" t="s">
        <v>1314</v>
      </c>
      <c r="F19" s="76" t="s">
        <v>1315</v>
      </c>
    </row>
    <row r="20" spans="1:6" ht="16">
      <c r="A20" s="73" t="s">
        <v>923</v>
      </c>
      <c r="B20" s="66" t="s">
        <v>917</v>
      </c>
      <c r="C20" s="66" t="s">
        <v>1316</v>
      </c>
      <c r="D20" s="68" t="s">
        <v>1310</v>
      </c>
      <c r="E20" s="67" t="s">
        <v>1317</v>
      </c>
      <c r="F20" s="76" t="s">
        <v>1318</v>
      </c>
    </row>
    <row r="21" spans="1:6" ht="16">
      <c r="A21" s="73" t="s">
        <v>921</v>
      </c>
      <c r="B21" s="66" t="s">
        <v>917</v>
      </c>
      <c r="C21" s="66" t="s">
        <v>1319</v>
      </c>
      <c r="D21" s="68" t="s">
        <v>1310</v>
      </c>
      <c r="E21" s="67" t="s">
        <v>1320</v>
      </c>
      <c r="F21" s="76" t="s">
        <v>294</v>
      </c>
    </row>
    <row r="22" spans="1:6" ht="16">
      <c r="A22" s="73" t="s">
        <v>928</v>
      </c>
      <c r="B22" s="66" t="s">
        <v>917</v>
      </c>
      <c r="C22" s="66" t="s">
        <v>1321</v>
      </c>
      <c r="D22" s="68" t="s">
        <v>1310</v>
      </c>
      <c r="E22" s="67" t="s">
        <v>1322</v>
      </c>
      <c r="F22" s="76" t="s">
        <v>1323</v>
      </c>
    </row>
    <row r="23" spans="1:6" ht="32">
      <c r="A23" s="73" t="s">
        <v>929</v>
      </c>
      <c r="B23" s="66" t="s">
        <v>917</v>
      </c>
      <c r="C23" s="66" t="s">
        <v>1324</v>
      </c>
      <c r="D23" s="68" t="s">
        <v>1310</v>
      </c>
      <c r="E23" s="67" t="s">
        <v>1325</v>
      </c>
      <c r="F23" s="76" t="s">
        <v>109</v>
      </c>
    </row>
    <row r="24" spans="1:6" ht="16">
      <c r="A24" s="73" t="s">
        <v>926</v>
      </c>
      <c r="B24" s="66" t="s">
        <v>917</v>
      </c>
      <c r="C24" s="66" t="s">
        <v>1326</v>
      </c>
      <c r="D24" s="68" t="s">
        <v>1310</v>
      </c>
      <c r="E24" s="67" t="s">
        <v>1327</v>
      </c>
      <c r="F24" s="76" t="s">
        <v>300</v>
      </c>
    </row>
    <row r="25" spans="1:6" ht="16">
      <c r="A25" s="73" t="s">
        <v>919</v>
      </c>
      <c r="B25" s="66" t="s">
        <v>917</v>
      </c>
      <c r="C25" s="66" t="s">
        <v>1328</v>
      </c>
      <c r="D25" s="68" t="s">
        <v>1310</v>
      </c>
      <c r="E25" s="67" t="s">
        <v>1329</v>
      </c>
      <c r="F25" s="76" t="s">
        <v>1330</v>
      </c>
    </row>
    <row r="26" spans="1:6" ht="16">
      <c r="A26" s="73" t="s">
        <v>1048</v>
      </c>
      <c r="B26" s="66" t="s">
        <v>1047</v>
      </c>
      <c r="C26" s="66" t="s">
        <v>1331</v>
      </c>
      <c r="D26" s="68" t="s">
        <v>1310</v>
      </c>
      <c r="E26" s="67" t="s">
        <v>1332</v>
      </c>
      <c r="F26" s="76" t="s">
        <v>89</v>
      </c>
    </row>
    <row r="27" spans="1:6" ht="16">
      <c r="A27" s="73" t="s">
        <v>891</v>
      </c>
      <c r="B27" s="66" t="s">
        <v>503</v>
      </c>
      <c r="C27" s="66" t="s">
        <v>1333</v>
      </c>
      <c r="D27" s="68" t="s">
        <v>1310</v>
      </c>
      <c r="E27" s="67" t="s">
        <v>1334</v>
      </c>
      <c r="F27" s="76" t="s">
        <v>89</v>
      </c>
    </row>
    <row r="28" spans="1:6" ht="16">
      <c r="A28" s="73" t="s">
        <v>1133</v>
      </c>
      <c r="B28" s="66" t="s">
        <v>519</v>
      </c>
      <c r="C28" s="66" t="s">
        <v>1134</v>
      </c>
      <c r="D28" s="68" t="s">
        <v>1310</v>
      </c>
      <c r="E28" s="67" t="s">
        <v>1335</v>
      </c>
      <c r="F28" s="76" t="s">
        <v>335</v>
      </c>
    </row>
    <row r="29" spans="1:6" ht="16">
      <c r="A29" s="73" t="s">
        <v>1172</v>
      </c>
      <c r="B29" s="66" t="s">
        <v>513</v>
      </c>
      <c r="C29" s="66" t="s">
        <v>1173</v>
      </c>
      <c r="D29" s="68" t="s">
        <v>1310</v>
      </c>
      <c r="E29" s="67" t="s">
        <v>1336</v>
      </c>
      <c r="F29" s="76" t="s">
        <v>1337</v>
      </c>
    </row>
    <row r="30" spans="1:6" ht="32">
      <c r="A30" s="73" t="s">
        <v>908</v>
      </c>
      <c r="B30" s="66" t="s">
        <v>510</v>
      </c>
      <c r="C30" s="66" t="s">
        <v>1338</v>
      </c>
      <c r="D30" s="68" t="s">
        <v>1310</v>
      </c>
      <c r="E30" s="67" t="s">
        <v>1339</v>
      </c>
      <c r="F30" s="76" t="s">
        <v>1340</v>
      </c>
    </row>
    <row r="31" spans="1:6" ht="16">
      <c r="A31" s="73" t="s">
        <v>1170</v>
      </c>
      <c r="B31" s="66" t="s">
        <v>513</v>
      </c>
      <c r="C31" s="66" t="s">
        <v>1171</v>
      </c>
      <c r="D31" s="68" t="s">
        <v>1341</v>
      </c>
      <c r="E31" s="67" t="s">
        <v>1342</v>
      </c>
      <c r="F31" s="76" t="s">
        <v>1343</v>
      </c>
    </row>
    <row r="32" spans="1:6" ht="16">
      <c r="A32" s="73" t="s">
        <v>1130</v>
      </c>
      <c r="B32" s="66" t="s">
        <v>519</v>
      </c>
      <c r="C32" s="66" t="s">
        <v>1131</v>
      </c>
      <c r="D32" s="68" t="s">
        <v>1344</v>
      </c>
      <c r="E32" s="67" t="s">
        <v>1345</v>
      </c>
      <c r="F32" s="76" t="s">
        <v>330</v>
      </c>
    </row>
    <row r="33" spans="1:6" ht="16">
      <c r="A33" s="73" t="s">
        <v>887</v>
      </c>
      <c r="B33" s="66" t="s">
        <v>503</v>
      </c>
      <c r="C33" s="66" t="s">
        <v>1346</v>
      </c>
      <c r="D33" s="68" t="s">
        <v>1347</v>
      </c>
      <c r="E33" s="67" t="s">
        <v>1348</v>
      </c>
      <c r="F33" s="76" t="s">
        <v>947</v>
      </c>
    </row>
    <row r="34" spans="1:6" ht="16">
      <c r="A34" s="73" t="s">
        <v>888</v>
      </c>
      <c r="B34" s="66" t="s">
        <v>503</v>
      </c>
      <c r="C34" s="66" t="s">
        <v>1349</v>
      </c>
      <c r="D34" s="68" t="s">
        <v>1347</v>
      </c>
      <c r="E34" s="67" t="s">
        <v>1350</v>
      </c>
      <c r="F34" s="76" t="s">
        <v>947</v>
      </c>
    </row>
    <row r="35" spans="1:6" ht="16">
      <c r="A35" s="73" t="s">
        <v>889</v>
      </c>
      <c r="B35" s="66" t="s">
        <v>503</v>
      </c>
      <c r="C35" s="66" t="s">
        <v>1351</v>
      </c>
      <c r="D35" s="68" t="s">
        <v>1347</v>
      </c>
      <c r="E35" s="67" t="s">
        <v>1352</v>
      </c>
      <c r="F35" s="76" t="s">
        <v>947</v>
      </c>
    </row>
    <row r="36" spans="1:6" ht="16">
      <c r="A36" s="73" t="s">
        <v>890</v>
      </c>
      <c r="B36" s="66" t="s">
        <v>503</v>
      </c>
      <c r="C36" s="66" t="s">
        <v>1353</v>
      </c>
      <c r="D36" s="68" t="s">
        <v>1347</v>
      </c>
      <c r="E36" s="67" t="s">
        <v>1354</v>
      </c>
      <c r="F36" s="76" t="s">
        <v>947</v>
      </c>
    </row>
    <row r="37" spans="1:6" ht="16">
      <c r="A37" s="73" t="s">
        <v>892</v>
      </c>
      <c r="B37" s="66" t="s">
        <v>503</v>
      </c>
      <c r="C37" s="66" t="s">
        <v>1355</v>
      </c>
      <c r="D37" s="68" t="s">
        <v>1347</v>
      </c>
      <c r="E37" s="67" t="s">
        <v>1356</v>
      </c>
      <c r="F37" s="76" t="s">
        <v>947</v>
      </c>
    </row>
    <row r="38" spans="1:6" ht="16">
      <c r="A38" s="73" t="s">
        <v>893</v>
      </c>
      <c r="B38" s="66" t="s">
        <v>503</v>
      </c>
      <c r="C38" s="66" t="s">
        <v>1357</v>
      </c>
      <c r="D38" s="68" t="s">
        <v>1347</v>
      </c>
      <c r="E38" s="67" t="s">
        <v>1358</v>
      </c>
      <c r="F38" s="76" t="s">
        <v>947</v>
      </c>
    </row>
    <row r="39" spans="1:6" ht="16">
      <c r="A39" s="73" t="s">
        <v>894</v>
      </c>
      <c r="B39" s="66" t="s">
        <v>503</v>
      </c>
      <c r="C39" s="66" t="s">
        <v>1359</v>
      </c>
      <c r="D39" s="68" t="s">
        <v>1347</v>
      </c>
      <c r="E39" s="67" t="s">
        <v>1360</v>
      </c>
      <c r="F39" s="76" t="s">
        <v>947</v>
      </c>
    </row>
    <row r="40" spans="1:6" ht="16">
      <c r="A40" s="73" t="s">
        <v>897</v>
      </c>
      <c r="B40" s="66" t="s">
        <v>503</v>
      </c>
      <c r="C40" s="66" t="s">
        <v>1361</v>
      </c>
      <c r="D40" s="68" t="s">
        <v>1347</v>
      </c>
      <c r="E40" s="67" t="s">
        <v>1362</v>
      </c>
      <c r="F40" s="76" t="s">
        <v>947</v>
      </c>
    </row>
    <row r="41" spans="1:6" ht="16">
      <c r="A41" s="73" t="s">
        <v>898</v>
      </c>
      <c r="B41" s="66" t="s">
        <v>503</v>
      </c>
      <c r="C41" s="66" t="s">
        <v>1363</v>
      </c>
      <c r="D41" s="68" t="s">
        <v>1347</v>
      </c>
      <c r="E41" s="67" t="s">
        <v>1364</v>
      </c>
      <c r="F41" s="76" t="s">
        <v>947</v>
      </c>
    </row>
    <row r="42" spans="1:6" ht="16">
      <c r="A42" s="73" t="s">
        <v>899</v>
      </c>
      <c r="B42" s="66" t="s">
        <v>503</v>
      </c>
      <c r="C42" s="66" t="s">
        <v>1365</v>
      </c>
      <c r="D42" s="68" t="s">
        <v>1347</v>
      </c>
      <c r="E42" s="67" t="s">
        <v>1366</v>
      </c>
      <c r="F42" s="76" t="s">
        <v>947</v>
      </c>
    </row>
    <row r="43" spans="1:6" ht="16">
      <c r="A43" s="73" t="s">
        <v>901</v>
      </c>
      <c r="B43" s="66" t="s">
        <v>503</v>
      </c>
      <c r="C43" s="66" t="s">
        <v>1367</v>
      </c>
      <c r="D43" s="68" t="s">
        <v>1347</v>
      </c>
      <c r="E43" s="67" t="s">
        <v>1368</v>
      </c>
      <c r="F43" s="76" t="s">
        <v>947</v>
      </c>
    </row>
    <row r="44" spans="1:6" ht="16">
      <c r="A44" s="73" t="s">
        <v>902</v>
      </c>
      <c r="B44" s="66" t="s">
        <v>503</v>
      </c>
      <c r="C44" s="66" t="s">
        <v>1369</v>
      </c>
      <c r="D44" s="68" t="s">
        <v>1347</v>
      </c>
      <c r="E44" s="67" t="s">
        <v>1370</v>
      </c>
      <c r="F44" s="76" t="s">
        <v>947</v>
      </c>
    </row>
    <row r="45" spans="1:6" ht="16">
      <c r="A45" s="73" t="s">
        <v>924</v>
      </c>
      <c r="B45" s="66" t="s">
        <v>917</v>
      </c>
      <c r="C45" s="66" t="s">
        <v>1371</v>
      </c>
      <c r="D45" s="68" t="s">
        <v>1347</v>
      </c>
      <c r="E45" s="67" t="s">
        <v>1372</v>
      </c>
      <c r="F45" s="76" t="s">
        <v>947</v>
      </c>
    </row>
    <row r="46" spans="1:6" ht="16">
      <c r="A46" s="73" t="s">
        <v>925</v>
      </c>
      <c r="B46" s="66" t="s">
        <v>917</v>
      </c>
      <c r="C46" s="66" t="s">
        <v>1373</v>
      </c>
      <c r="D46" s="68" t="s">
        <v>1347</v>
      </c>
      <c r="E46" s="67" t="s">
        <v>1374</v>
      </c>
      <c r="F46" s="76" t="s">
        <v>947</v>
      </c>
    </row>
    <row r="47" spans="1:6" ht="16">
      <c r="A47" s="73" t="s">
        <v>933</v>
      </c>
      <c r="B47" s="66" t="s">
        <v>917</v>
      </c>
      <c r="C47" s="66" t="s">
        <v>1375</v>
      </c>
      <c r="D47" s="68" t="s">
        <v>1347</v>
      </c>
      <c r="E47" s="67" t="s">
        <v>1376</v>
      </c>
      <c r="F47" s="76" t="s">
        <v>947</v>
      </c>
    </row>
    <row r="48" spans="1:6" ht="16">
      <c r="A48" s="73" t="s">
        <v>934</v>
      </c>
      <c r="B48" s="66" t="s">
        <v>917</v>
      </c>
      <c r="C48" s="66" t="s">
        <v>1377</v>
      </c>
      <c r="D48" s="68" t="s">
        <v>1347</v>
      </c>
      <c r="E48" s="67" t="s">
        <v>1378</v>
      </c>
      <c r="F48" s="76" t="s">
        <v>947</v>
      </c>
    </row>
    <row r="49" spans="1:6" ht="16">
      <c r="A49" s="73" t="s">
        <v>906</v>
      </c>
      <c r="B49" s="66" t="s">
        <v>510</v>
      </c>
      <c r="C49" s="66" t="s">
        <v>1379</v>
      </c>
      <c r="D49" s="68" t="s">
        <v>1347</v>
      </c>
      <c r="E49" s="67" t="s">
        <v>1380</v>
      </c>
      <c r="F49" s="76" t="s">
        <v>947</v>
      </c>
    </row>
    <row r="50" spans="1:6" ht="16">
      <c r="A50" s="73" t="s">
        <v>911</v>
      </c>
      <c r="B50" s="66" t="s">
        <v>510</v>
      </c>
      <c r="C50" s="66" t="s">
        <v>1381</v>
      </c>
      <c r="D50" s="68" t="s">
        <v>1347</v>
      </c>
      <c r="E50" s="67" t="s">
        <v>1382</v>
      </c>
      <c r="F50" s="76" t="s">
        <v>947</v>
      </c>
    </row>
    <row r="51" spans="1:6" ht="16">
      <c r="A51" s="73" t="s">
        <v>912</v>
      </c>
      <c r="B51" s="66" t="s">
        <v>510</v>
      </c>
      <c r="C51" s="66" t="s">
        <v>1383</v>
      </c>
      <c r="D51" s="68" t="s">
        <v>1347</v>
      </c>
      <c r="E51" s="67" t="s">
        <v>1384</v>
      </c>
      <c r="F51" s="76" t="s">
        <v>947</v>
      </c>
    </row>
    <row r="52" spans="1:6" ht="16">
      <c r="A52" s="73" t="s">
        <v>1166</v>
      </c>
      <c r="B52" s="66" t="s">
        <v>513</v>
      </c>
      <c r="C52" s="66" t="s">
        <v>1167</v>
      </c>
      <c r="D52" s="68" t="s">
        <v>1347</v>
      </c>
      <c r="E52" s="67" t="s">
        <v>1385</v>
      </c>
      <c r="F52" s="76" t="s">
        <v>947</v>
      </c>
    </row>
    <row r="53" spans="1:6" ht="16">
      <c r="A53" s="73" t="s">
        <v>1168</v>
      </c>
      <c r="B53" s="66" t="s">
        <v>513</v>
      </c>
      <c r="C53" s="66" t="s">
        <v>1169</v>
      </c>
      <c r="D53" s="68" t="s">
        <v>1347</v>
      </c>
      <c r="E53" s="67" t="s">
        <v>1386</v>
      </c>
      <c r="F53" s="76" t="s">
        <v>947</v>
      </c>
    </row>
    <row r="54" spans="1:6" ht="16">
      <c r="A54" s="73" t="s">
        <v>1209</v>
      </c>
      <c r="B54" s="66" t="s">
        <v>1208</v>
      </c>
      <c r="C54" s="66" t="s">
        <v>1387</v>
      </c>
      <c r="D54" s="68" t="s">
        <v>1347</v>
      </c>
      <c r="E54" s="67" t="s">
        <v>1388</v>
      </c>
      <c r="F54" s="76" t="s">
        <v>947</v>
      </c>
    </row>
    <row r="55" spans="1:6" ht="16">
      <c r="A55" s="74" t="s">
        <v>1210</v>
      </c>
      <c r="B55" s="70" t="s">
        <v>1208</v>
      </c>
      <c r="C55" s="70" t="s">
        <v>1389</v>
      </c>
      <c r="D55" s="72" t="s">
        <v>1347</v>
      </c>
      <c r="E55" s="71" t="s">
        <v>1390</v>
      </c>
      <c r="F55" s="77" t="s">
        <v>947</v>
      </c>
    </row>
  </sheetData>
  <autoFilter ref="A5:F55" xr:uid="{8B2CA42E-305E-3549-A119-1311DF775CFA}"/>
  <phoneticPr fontId="2"/>
  <conditionalFormatting sqref="A6:F55">
    <cfRule type="expression" dxfId="95" priority="1">
      <formula>$D6="スコープ増"</formula>
    </cfRule>
  </conditionalFormatting>
  <conditionalFormatting sqref="A6:F55">
    <cfRule type="expression" dxfId="94" priority="2">
      <formula>$D6="要件側の書き漏れ"</formula>
    </cfRule>
  </conditionalFormatting>
  <conditionalFormatting sqref="A6:F55">
    <cfRule type="expression" dxfId="93" priority="3">
      <formula>$D6="参照漏れ"</formula>
    </cfRule>
  </conditionalFormatting>
  <conditionalFormatting sqref="A6:F55">
    <cfRule type="expression" dxfId="92" priority="4">
      <formula>$D6="内部技術判断"</formula>
    </cfRule>
  </conditionalFormatting>
  <conditionalFormatting sqref="A6:F55">
    <cfRule type="expression" dxfId="91" priority="5">
      <formula>$D6="廃止済み"</formula>
    </cfRule>
  </conditionalFormatting>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4DEADF9-EFAE-A14D-BC4F-3F04ADDCB1E4}">
  <dimension ref="A1:I72"/>
  <sheetViews>
    <sheetView workbookViewId="0">
      <pane ySplit="5" topLeftCell="A6" activePane="bottomLeft" state="frozen"/>
      <selection pane="bottomLeft" activeCell="E20" sqref="E20"/>
    </sheetView>
  </sheetViews>
  <sheetFormatPr baseColWidth="10" defaultRowHeight="20"/>
  <cols>
    <col min="1" max="1" width="13.5703125" customWidth="1"/>
    <col min="2" max="2" width="60" customWidth="1"/>
    <col min="3" max="3" width="21.42578125" customWidth="1"/>
    <col min="4" max="4" width="25.7109375" customWidth="1"/>
    <col min="5" max="5" width="88.5703125" customWidth="1"/>
    <col min="6" max="6" width="1.42578125" customWidth="1"/>
    <col min="7" max="7" width="27.140625" customWidth="1"/>
    <col min="8" max="8" width="10" customWidth="1"/>
    <col min="9" max="9" width="24.28515625" customWidth="1"/>
  </cols>
  <sheetData>
    <row r="1" spans="1:9" ht="25">
      <c r="A1" s="47" t="s">
        <v>2551</v>
      </c>
    </row>
    <row r="2" spans="1:9">
      <c r="A2" s="3" t="s">
        <v>2552</v>
      </c>
    </row>
    <row r="3" spans="1:9">
      <c r="A3" s="54" t="s">
        <v>4873</v>
      </c>
    </row>
    <row r="4" spans="1:9" ht="22" customHeight="1"/>
    <row r="5" spans="1:9" ht="22" customHeight="1">
      <c r="A5" s="9" t="s">
        <v>1433</v>
      </c>
      <c r="B5" s="10" t="s">
        <v>1434</v>
      </c>
      <c r="C5" s="10" t="s">
        <v>1435</v>
      </c>
      <c r="D5" s="10" t="s">
        <v>2553</v>
      </c>
      <c r="E5" s="11" t="s">
        <v>2554</v>
      </c>
      <c r="G5" s="157" t="s">
        <v>2720</v>
      </c>
    </row>
    <row r="6" spans="1:9">
      <c r="A6" s="49" t="s">
        <v>2555</v>
      </c>
      <c r="B6" s="6" t="s">
        <v>2556</v>
      </c>
      <c r="C6" s="12" t="s">
        <v>2557</v>
      </c>
      <c r="D6" s="176" t="s">
        <v>2721</v>
      </c>
      <c r="E6" s="174"/>
      <c r="G6" s="18" t="s">
        <v>1435</v>
      </c>
      <c r="H6" s="20" t="s">
        <v>1046</v>
      </c>
    </row>
    <row r="7" spans="1:9">
      <c r="A7" s="49" t="s">
        <v>2558</v>
      </c>
      <c r="B7" s="6" t="s">
        <v>2559</v>
      </c>
      <c r="C7" s="12" t="s">
        <v>2557</v>
      </c>
      <c r="D7" s="176" t="s">
        <v>2721</v>
      </c>
      <c r="E7" s="174"/>
      <c r="G7" s="21" t="s">
        <v>2568</v>
      </c>
      <c r="H7" s="158">
        <f>COUNTIF($C$6:$C$72,$G7)</f>
        <v>48</v>
      </c>
    </row>
    <row r="8" spans="1:9">
      <c r="A8" s="49" t="s">
        <v>2560</v>
      </c>
      <c r="B8" s="6" t="s">
        <v>2561</v>
      </c>
      <c r="C8" s="12" t="s">
        <v>2557</v>
      </c>
      <c r="D8" s="176" t="s">
        <v>2721</v>
      </c>
      <c r="E8" s="174"/>
      <c r="G8" s="21" t="s">
        <v>2557</v>
      </c>
      <c r="H8" s="158">
        <f>COUNTIF($C$6:$C$72,$G8)</f>
        <v>12</v>
      </c>
    </row>
    <row r="9" spans="1:9">
      <c r="A9" s="49" t="s">
        <v>2562</v>
      </c>
      <c r="B9" s="6" t="s">
        <v>2563</v>
      </c>
      <c r="C9" s="12" t="s">
        <v>2557</v>
      </c>
      <c r="D9" s="176" t="s">
        <v>2721</v>
      </c>
      <c r="E9" s="174"/>
      <c r="G9" s="21" t="s">
        <v>2685</v>
      </c>
      <c r="H9" s="158">
        <f>COUNTIF($C$6:$C$72,$G9)</f>
        <v>1</v>
      </c>
    </row>
    <row r="10" spans="1:9">
      <c r="A10" s="49" t="s">
        <v>2564</v>
      </c>
      <c r="B10" s="6" t="s">
        <v>2565</v>
      </c>
      <c r="C10" s="12" t="s">
        <v>2557</v>
      </c>
      <c r="D10" s="176" t="s">
        <v>2721</v>
      </c>
      <c r="E10" s="174"/>
      <c r="G10" s="21" t="s">
        <v>2689</v>
      </c>
      <c r="H10" s="158">
        <f>COUNTIF($C$6:$C$72,$G10)</f>
        <v>1</v>
      </c>
    </row>
    <row r="11" spans="1:9">
      <c r="A11" s="49" t="s">
        <v>2566</v>
      </c>
      <c r="B11" s="6" t="s">
        <v>2567</v>
      </c>
      <c r="C11" s="12" t="s">
        <v>2568</v>
      </c>
      <c r="D11" s="176" t="s">
        <v>2721</v>
      </c>
      <c r="E11" s="174"/>
      <c r="G11" s="21" t="s">
        <v>2637</v>
      </c>
      <c r="H11" s="158">
        <f>COUNTIF($C$6:$C$72,$G11)</f>
        <v>2</v>
      </c>
    </row>
    <row r="12" spans="1:9">
      <c r="A12" s="49" t="s">
        <v>2569</v>
      </c>
      <c r="B12" s="6" t="s">
        <v>2570</v>
      </c>
      <c r="C12" s="12" t="s">
        <v>2557</v>
      </c>
      <c r="D12" s="176" t="s">
        <v>2722</v>
      </c>
      <c r="E12" s="174"/>
      <c r="G12" s="21" t="s">
        <v>2649</v>
      </c>
      <c r="H12" s="158">
        <f>COUNTIF($C$6:$C$72,$G12)</f>
        <v>1</v>
      </c>
    </row>
    <row r="13" spans="1:9">
      <c r="A13" s="49" t="s">
        <v>2571</v>
      </c>
      <c r="B13" s="6" t="s">
        <v>2572</v>
      </c>
      <c r="C13" s="12" t="s">
        <v>2557</v>
      </c>
      <c r="D13" s="176" t="s">
        <v>2723</v>
      </c>
      <c r="E13" s="174"/>
      <c r="G13" s="23" t="s">
        <v>7</v>
      </c>
      <c r="H13" s="159">
        <f>SUM(H7:H12)</f>
        <v>65</v>
      </c>
      <c r="I13" s="48" t="str">
        <f>IF(H13=COUNTA($A$6:$A$72),"✓ 明細行数と一致","⚠ 不一致")</f>
        <v>⚠ 不一致</v>
      </c>
    </row>
    <row r="14" spans="1:9">
      <c r="A14" s="49" t="s">
        <v>2573</v>
      </c>
      <c r="B14" s="6" t="s">
        <v>2574</v>
      </c>
      <c r="C14" s="12" t="s">
        <v>2557</v>
      </c>
      <c r="D14" s="176" t="s">
        <v>2724</v>
      </c>
      <c r="E14" s="174"/>
    </row>
    <row r="15" spans="1:9">
      <c r="A15" s="49" t="s">
        <v>2575</v>
      </c>
      <c r="B15" s="6" t="s">
        <v>2576</v>
      </c>
      <c r="C15" s="12" t="s">
        <v>2557</v>
      </c>
      <c r="D15" s="176" t="s">
        <v>2725</v>
      </c>
      <c r="E15" s="174"/>
    </row>
    <row r="16" spans="1:9">
      <c r="A16" s="49" t="s">
        <v>2577</v>
      </c>
      <c r="B16" s="6" t="s">
        <v>2578</v>
      </c>
      <c r="C16" s="12" t="s">
        <v>2568</v>
      </c>
      <c r="D16" s="176" t="s">
        <v>2725</v>
      </c>
      <c r="E16" s="174" t="s">
        <v>2579</v>
      </c>
    </row>
    <row r="17" spans="1:5">
      <c r="A17" s="49" t="s">
        <v>2580</v>
      </c>
      <c r="B17" s="6" t="s">
        <v>2581</v>
      </c>
      <c r="C17" s="12" t="s">
        <v>2557</v>
      </c>
      <c r="D17" s="176" t="s">
        <v>2726</v>
      </c>
      <c r="E17" s="174"/>
    </row>
    <row r="18" spans="1:5">
      <c r="A18" s="49" t="s">
        <v>2582</v>
      </c>
      <c r="B18" s="6" t="s">
        <v>2583</v>
      </c>
      <c r="C18" s="12" t="s">
        <v>2568</v>
      </c>
      <c r="D18" s="176" t="s">
        <v>2727</v>
      </c>
      <c r="E18" s="174"/>
    </row>
    <row r="19" spans="1:5">
      <c r="A19" s="49" t="s">
        <v>2584</v>
      </c>
      <c r="B19" s="6" t="s">
        <v>2585</v>
      </c>
      <c r="C19" s="12" t="s">
        <v>2568</v>
      </c>
      <c r="D19" s="176" t="s">
        <v>2727</v>
      </c>
      <c r="E19" s="174"/>
    </row>
    <row r="20" spans="1:5">
      <c r="A20" s="49" t="s">
        <v>2586</v>
      </c>
      <c r="B20" s="6" t="s">
        <v>2587</v>
      </c>
      <c r="C20" s="12" t="s">
        <v>2568</v>
      </c>
      <c r="D20" s="176" t="s">
        <v>2727</v>
      </c>
      <c r="E20" s="174"/>
    </row>
    <row r="21" spans="1:5">
      <c r="A21" s="49" t="s">
        <v>2588</v>
      </c>
      <c r="B21" s="6" t="s">
        <v>2589</v>
      </c>
      <c r="C21" s="12" t="s">
        <v>2568</v>
      </c>
      <c r="D21" s="176" t="s">
        <v>2728</v>
      </c>
      <c r="E21" s="174" t="s">
        <v>2590</v>
      </c>
    </row>
    <row r="22" spans="1:5">
      <c r="A22" s="49" t="s">
        <v>2591</v>
      </c>
      <c r="B22" s="6" t="s">
        <v>2592</v>
      </c>
      <c r="C22" s="12" t="s">
        <v>2568</v>
      </c>
      <c r="D22" s="176" t="s">
        <v>2593</v>
      </c>
      <c r="E22" s="174" t="s">
        <v>2594</v>
      </c>
    </row>
    <row r="23" spans="1:5">
      <c r="A23" s="49" t="s">
        <v>2595</v>
      </c>
      <c r="B23" s="6" t="s">
        <v>2596</v>
      </c>
      <c r="C23" s="12" t="s">
        <v>2568</v>
      </c>
      <c r="D23" s="176" t="s">
        <v>2729</v>
      </c>
      <c r="E23" s="174"/>
    </row>
    <row r="24" spans="1:5">
      <c r="A24" s="49" t="s">
        <v>2597</v>
      </c>
      <c r="B24" s="6" t="s">
        <v>2598</v>
      </c>
      <c r="C24" s="12" t="s">
        <v>2568</v>
      </c>
      <c r="D24" s="176" t="s">
        <v>2729</v>
      </c>
      <c r="E24" s="174"/>
    </row>
    <row r="25" spans="1:5">
      <c r="A25" s="49" t="s">
        <v>2599</v>
      </c>
      <c r="B25" s="6" t="s">
        <v>2600</v>
      </c>
      <c r="C25" s="12" t="s">
        <v>2568</v>
      </c>
      <c r="D25" s="176" t="s">
        <v>2729</v>
      </c>
      <c r="E25" s="174"/>
    </row>
    <row r="26" spans="1:5">
      <c r="A26" s="49" t="s">
        <v>2601</v>
      </c>
      <c r="B26" s="6" t="s">
        <v>2602</v>
      </c>
      <c r="C26" s="12" t="s">
        <v>2568</v>
      </c>
      <c r="D26" s="176" t="s">
        <v>2729</v>
      </c>
      <c r="E26" s="174"/>
    </row>
    <row r="27" spans="1:5">
      <c r="A27" s="49" t="s">
        <v>2603</v>
      </c>
      <c r="B27" s="6" t="s">
        <v>2604</v>
      </c>
      <c r="C27" s="12" t="s">
        <v>2568</v>
      </c>
      <c r="D27" s="176" t="s">
        <v>2729</v>
      </c>
      <c r="E27" s="174"/>
    </row>
    <row r="28" spans="1:5">
      <c r="A28" s="49" t="s">
        <v>2605</v>
      </c>
      <c r="B28" s="6" t="s">
        <v>2606</v>
      </c>
      <c r="C28" s="12" t="s">
        <v>2568</v>
      </c>
      <c r="D28" s="176" t="s">
        <v>2730</v>
      </c>
      <c r="E28" s="174" t="s">
        <v>2607</v>
      </c>
    </row>
    <row r="29" spans="1:5">
      <c r="A29" s="49" t="s">
        <v>2608</v>
      </c>
      <c r="B29" s="6" t="s">
        <v>2609</v>
      </c>
      <c r="C29" s="12" t="s">
        <v>2568</v>
      </c>
      <c r="D29" s="176" t="s">
        <v>2730</v>
      </c>
      <c r="E29" s="174"/>
    </row>
    <row r="30" spans="1:5">
      <c r="A30" s="49" t="s">
        <v>2610</v>
      </c>
      <c r="B30" s="6" t="s">
        <v>2611</v>
      </c>
      <c r="C30" s="12" t="s">
        <v>2568</v>
      </c>
      <c r="D30" s="176" t="s">
        <v>2730</v>
      </c>
      <c r="E30" s="174" t="s">
        <v>2612</v>
      </c>
    </row>
    <row r="31" spans="1:5">
      <c r="A31" s="49" t="s">
        <v>2613</v>
      </c>
      <c r="B31" s="6" t="s">
        <v>2614</v>
      </c>
      <c r="C31" s="12" t="s">
        <v>2568</v>
      </c>
      <c r="D31" s="176" t="s">
        <v>2730</v>
      </c>
      <c r="E31" s="174"/>
    </row>
    <row r="32" spans="1:5">
      <c r="A32" s="49" t="s">
        <v>2615</v>
      </c>
      <c r="B32" s="6" t="s">
        <v>2616</v>
      </c>
      <c r="C32" s="12" t="s">
        <v>2568</v>
      </c>
      <c r="D32" s="176" t="s">
        <v>2730</v>
      </c>
      <c r="E32" s="174"/>
    </row>
    <row r="33" spans="1:9">
      <c r="A33" s="281" t="s">
        <v>2617</v>
      </c>
      <c r="B33" s="282" t="s">
        <v>2618</v>
      </c>
      <c r="C33" s="283" t="s">
        <v>4869</v>
      </c>
      <c r="D33" s="284" t="s">
        <v>2730</v>
      </c>
      <c r="E33" s="285" t="s">
        <v>4870</v>
      </c>
      <c r="F33" s="234"/>
      <c r="G33" s="234"/>
      <c r="H33" s="234"/>
      <c r="I33" s="234"/>
    </row>
    <row r="34" spans="1:9">
      <c r="A34" s="281" t="s">
        <v>2619</v>
      </c>
      <c r="B34" s="282" t="s">
        <v>2620</v>
      </c>
      <c r="C34" s="283" t="s">
        <v>4869</v>
      </c>
      <c r="D34" s="284" t="s">
        <v>2730</v>
      </c>
      <c r="E34" s="285" t="s">
        <v>4871</v>
      </c>
      <c r="F34" s="234"/>
      <c r="G34" s="234"/>
      <c r="H34" s="234"/>
      <c r="I34" s="234"/>
    </row>
    <row r="35" spans="1:9">
      <c r="A35" s="49" t="s">
        <v>2621</v>
      </c>
      <c r="B35" s="6" t="s">
        <v>2622</v>
      </c>
      <c r="C35" s="12" t="s">
        <v>2568</v>
      </c>
      <c r="D35" s="176" t="s">
        <v>2730</v>
      </c>
      <c r="E35" s="174"/>
    </row>
    <row r="36" spans="1:9">
      <c r="A36" s="49" t="s">
        <v>2623</v>
      </c>
      <c r="B36" s="6" t="s">
        <v>2624</v>
      </c>
      <c r="C36" s="12" t="s">
        <v>2568</v>
      </c>
      <c r="D36" s="176" t="s">
        <v>2730</v>
      </c>
      <c r="E36" s="174"/>
    </row>
    <row r="37" spans="1:9">
      <c r="A37" s="49" t="s">
        <v>2625</v>
      </c>
      <c r="B37" s="6" t="s">
        <v>2626</v>
      </c>
      <c r="C37" s="12" t="s">
        <v>2568</v>
      </c>
      <c r="D37" s="176" t="s">
        <v>2729</v>
      </c>
      <c r="E37" s="174"/>
    </row>
    <row r="38" spans="1:9">
      <c r="A38" s="49" t="s">
        <v>2627</v>
      </c>
      <c r="B38" s="6" t="s">
        <v>2628</v>
      </c>
      <c r="C38" s="12" t="s">
        <v>2568</v>
      </c>
      <c r="D38" s="176" t="s">
        <v>2629</v>
      </c>
      <c r="E38" s="174" t="s">
        <v>2630</v>
      </c>
    </row>
    <row r="39" spans="1:9">
      <c r="A39" s="49" t="s">
        <v>2631</v>
      </c>
      <c r="B39" s="6" t="s">
        <v>2632</v>
      </c>
      <c r="C39" s="12" t="s">
        <v>2568</v>
      </c>
      <c r="D39" s="176" t="s">
        <v>2731</v>
      </c>
      <c r="E39" s="174"/>
    </row>
    <row r="40" spans="1:9">
      <c r="A40" s="49" t="s">
        <v>2633</v>
      </c>
      <c r="B40" s="6" t="s">
        <v>2634</v>
      </c>
      <c r="C40" s="12" t="s">
        <v>2568</v>
      </c>
      <c r="D40" s="176" t="s">
        <v>2731</v>
      </c>
      <c r="E40" s="174"/>
    </row>
    <row r="41" spans="1:9">
      <c r="A41" s="49" t="s">
        <v>2635</v>
      </c>
      <c r="B41" s="6" t="s">
        <v>2636</v>
      </c>
      <c r="C41" s="12" t="s">
        <v>2637</v>
      </c>
      <c r="D41" s="176" t="s">
        <v>2731</v>
      </c>
      <c r="E41" s="174" t="s">
        <v>2638</v>
      </c>
    </row>
    <row r="42" spans="1:9">
      <c r="A42" s="49" t="s">
        <v>2639</v>
      </c>
      <c r="B42" s="6" t="s">
        <v>2640</v>
      </c>
      <c r="C42" s="12" t="s">
        <v>2568</v>
      </c>
      <c r="D42" s="176" t="s">
        <v>2731</v>
      </c>
      <c r="E42" s="174"/>
    </row>
    <row r="43" spans="1:9">
      <c r="A43" s="49" t="s">
        <v>2641</v>
      </c>
      <c r="B43" s="6" t="s">
        <v>2642</v>
      </c>
      <c r="C43" s="12" t="s">
        <v>2568</v>
      </c>
      <c r="D43" s="176" t="s">
        <v>2731</v>
      </c>
      <c r="E43" s="174"/>
    </row>
    <row r="44" spans="1:9">
      <c r="A44" s="49" t="s">
        <v>2643</v>
      </c>
      <c r="B44" s="6" t="s">
        <v>2644</v>
      </c>
      <c r="C44" s="12" t="s">
        <v>2568</v>
      </c>
      <c r="D44" s="176" t="s">
        <v>2645</v>
      </c>
      <c r="E44" s="174" t="s">
        <v>2646</v>
      </c>
    </row>
    <row r="45" spans="1:9">
      <c r="A45" s="49" t="s">
        <v>2647</v>
      </c>
      <c r="B45" s="6" t="s">
        <v>2648</v>
      </c>
      <c r="C45" s="12" t="s">
        <v>2649</v>
      </c>
      <c r="D45" s="176" t="s">
        <v>2732</v>
      </c>
      <c r="E45" s="174" t="s">
        <v>2650</v>
      </c>
    </row>
    <row r="46" spans="1:9">
      <c r="A46" s="49" t="s">
        <v>2651</v>
      </c>
      <c r="B46" s="6" t="s">
        <v>2652</v>
      </c>
      <c r="C46" s="12" t="s">
        <v>2568</v>
      </c>
      <c r="D46" s="176" t="s">
        <v>2645</v>
      </c>
      <c r="E46" s="174" t="s">
        <v>2653</v>
      </c>
    </row>
    <row r="47" spans="1:9">
      <c r="A47" s="49" t="s">
        <v>2654</v>
      </c>
      <c r="B47" s="6" t="s">
        <v>2655</v>
      </c>
      <c r="C47" s="12" t="s">
        <v>2568</v>
      </c>
      <c r="D47" s="176" t="s">
        <v>2732</v>
      </c>
      <c r="E47" s="174"/>
    </row>
    <row r="48" spans="1:9">
      <c r="A48" s="49" t="s">
        <v>2656</v>
      </c>
      <c r="B48" s="6" t="s">
        <v>2657</v>
      </c>
      <c r="C48" s="12" t="s">
        <v>2568</v>
      </c>
      <c r="D48" s="176" t="s">
        <v>2732</v>
      </c>
      <c r="E48" s="174" t="s">
        <v>2658</v>
      </c>
    </row>
    <row r="49" spans="1:9">
      <c r="A49" s="49" t="s">
        <v>2659</v>
      </c>
      <c r="B49" s="6" t="s">
        <v>2660</v>
      </c>
      <c r="C49" s="12" t="s">
        <v>2568</v>
      </c>
      <c r="D49" s="176" t="s">
        <v>2732</v>
      </c>
      <c r="E49" s="174"/>
    </row>
    <row r="50" spans="1:9">
      <c r="A50" s="49" t="s">
        <v>2661</v>
      </c>
      <c r="B50" s="6" t="s">
        <v>2662</v>
      </c>
      <c r="C50" s="12" t="s">
        <v>2568</v>
      </c>
      <c r="D50" s="176" t="s">
        <v>2732</v>
      </c>
      <c r="E50" s="174"/>
    </row>
    <row r="51" spans="1:9">
      <c r="A51" s="49" t="s">
        <v>2663</v>
      </c>
      <c r="B51" s="6" t="s">
        <v>2664</v>
      </c>
      <c r="C51" s="12" t="s">
        <v>2568</v>
      </c>
      <c r="D51" s="176" t="s">
        <v>2732</v>
      </c>
      <c r="E51" s="174"/>
    </row>
    <row r="52" spans="1:9">
      <c r="A52" s="49" t="s">
        <v>2665</v>
      </c>
      <c r="B52" s="6" t="s">
        <v>2666</v>
      </c>
      <c r="C52" s="12" t="s">
        <v>2568</v>
      </c>
      <c r="D52" s="176" t="s">
        <v>2732</v>
      </c>
      <c r="E52" s="174"/>
    </row>
    <row r="53" spans="1:9">
      <c r="A53" s="49" t="s">
        <v>2667</v>
      </c>
      <c r="B53" s="6" t="s">
        <v>2668</v>
      </c>
      <c r="C53" s="12" t="s">
        <v>2568</v>
      </c>
      <c r="D53" s="176" t="s">
        <v>2732</v>
      </c>
      <c r="E53" s="174"/>
    </row>
    <row r="54" spans="1:9">
      <c r="A54" s="49" t="s">
        <v>2669</v>
      </c>
      <c r="B54" s="6" t="s">
        <v>2670</v>
      </c>
      <c r="C54" s="12" t="s">
        <v>2568</v>
      </c>
      <c r="D54" s="176" t="s">
        <v>2732</v>
      </c>
      <c r="E54" s="174"/>
    </row>
    <row r="55" spans="1:9">
      <c r="A55" s="49" t="s">
        <v>2671</v>
      </c>
      <c r="B55" s="6" t="s">
        <v>2672</v>
      </c>
      <c r="C55" s="12" t="s">
        <v>2568</v>
      </c>
      <c r="D55" s="176" t="s">
        <v>2732</v>
      </c>
      <c r="E55" s="174"/>
    </row>
    <row r="56" spans="1:9">
      <c r="A56" s="49" t="s">
        <v>2673</v>
      </c>
      <c r="B56" s="6" t="s">
        <v>2674</v>
      </c>
      <c r="C56" s="12" t="s">
        <v>2568</v>
      </c>
      <c r="D56" s="176" t="s">
        <v>2645</v>
      </c>
      <c r="E56" s="174" t="s">
        <v>2675</v>
      </c>
    </row>
    <row r="57" spans="1:9">
      <c r="A57" s="286" t="s">
        <v>2676</v>
      </c>
      <c r="B57" s="274" t="s">
        <v>2677</v>
      </c>
      <c r="C57" s="277" t="s">
        <v>2637</v>
      </c>
      <c r="D57" s="287" t="s">
        <v>2732</v>
      </c>
      <c r="E57" s="288" t="s">
        <v>4872</v>
      </c>
      <c r="F57" s="227"/>
      <c r="G57" s="227"/>
      <c r="H57" s="227"/>
      <c r="I57" s="227"/>
    </row>
    <row r="58" spans="1:9">
      <c r="A58" s="49" t="s">
        <v>2678</v>
      </c>
      <c r="B58" s="6" t="s">
        <v>2679</v>
      </c>
      <c r="C58" s="12" t="s">
        <v>2568</v>
      </c>
      <c r="D58" s="176" t="s">
        <v>2732</v>
      </c>
      <c r="E58" s="174"/>
    </row>
    <row r="59" spans="1:9">
      <c r="A59" s="49" t="s">
        <v>2680</v>
      </c>
      <c r="B59" s="6" t="s">
        <v>2681</v>
      </c>
      <c r="C59" s="12" t="s">
        <v>2568</v>
      </c>
      <c r="D59" s="176" t="s">
        <v>2733</v>
      </c>
      <c r="E59" s="174" t="s">
        <v>2682</v>
      </c>
    </row>
    <row r="60" spans="1:9">
      <c r="A60" s="49" t="s">
        <v>2683</v>
      </c>
      <c r="B60" s="6" t="s">
        <v>2684</v>
      </c>
      <c r="C60" s="12" t="s">
        <v>2685</v>
      </c>
      <c r="D60" s="176" t="s">
        <v>2734</v>
      </c>
      <c r="E60" s="174" t="s">
        <v>2686</v>
      </c>
    </row>
    <row r="61" spans="1:9">
      <c r="A61" s="49" t="s">
        <v>2687</v>
      </c>
      <c r="B61" s="6" t="s">
        <v>2688</v>
      </c>
      <c r="C61" s="12" t="s">
        <v>2689</v>
      </c>
      <c r="D61" s="176" t="s">
        <v>2690</v>
      </c>
      <c r="E61" s="174" t="s">
        <v>2691</v>
      </c>
    </row>
    <row r="62" spans="1:9">
      <c r="A62" s="49" t="s">
        <v>2692</v>
      </c>
      <c r="B62" s="6" t="s">
        <v>2693</v>
      </c>
      <c r="C62" s="12" t="s">
        <v>2568</v>
      </c>
      <c r="D62" s="176" t="s">
        <v>2735</v>
      </c>
      <c r="E62" s="174" t="s">
        <v>2694</v>
      </c>
    </row>
    <row r="63" spans="1:9">
      <c r="A63" s="49" t="s">
        <v>2695</v>
      </c>
      <c r="B63" s="6" t="s">
        <v>2696</v>
      </c>
      <c r="C63" s="12" t="s">
        <v>2557</v>
      </c>
      <c r="D63" s="176" t="s">
        <v>2736</v>
      </c>
      <c r="E63" s="174" t="s">
        <v>2697</v>
      </c>
    </row>
    <row r="64" spans="1:9">
      <c r="A64" s="49" t="s">
        <v>2698</v>
      </c>
      <c r="B64" s="6" t="s">
        <v>2699</v>
      </c>
      <c r="C64" s="12" t="s">
        <v>2568</v>
      </c>
      <c r="D64" s="176" t="s">
        <v>2735</v>
      </c>
      <c r="E64" s="174" t="s">
        <v>2700</v>
      </c>
    </row>
    <row r="65" spans="1:5">
      <c r="A65" s="49" t="s">
        <v>2701</v>
      </c>
      <c r="B65" s="6" t="s">
        <v>2702</v>
      </c>
      <c r="C65" s="12" t="s">
        <v>2568</v>
      </c>
      <c r="D65" s="176" t="s">
        <v>2737</v>
      </c>
      <c r="E65" s="174" t="s">
        <v>2703</v>
      </c>
    </row>
    <row r="66" spans="1:5">
      <c r="A66" s="49" t="s">
        <v>2704</v>
      </c>
      <c r="B66" s="6" t="s">
        <v>2705</v>
      </c>
      <c r="C66" s="12" t="s">
        <v>2557</v>
      </c>
      <c r="D66" s="176" t="s">
        <v>2706</v>
      </c>
      <c r="E66" s="174" t="s">
        <v>2707</v>
      </c>
    </row>
    <row r="67" spans="1:5">
      <c r="A67" s="49" t="s">
        <v>2708</v>
      </c>
      <c r="B67" s="6" t="s">
        <v>2709</v>
      </c>
      <c r="C67" s="12" t="s">
        <v>2568</v>
      </c>
      <c r="D67" s="176" t="s">
        <v>2710</v>
      </c>
      <c r="E67" s="174" t="s">
        <v>2711</v>
      </c>
    </row>
    <row r="68" spans="1:5">
      <c r="A68" s="49" t="s">
        <v>2712</v>
      </c>
      <c r="B68" s="6" t="s">
        <v>2713</v>
      </c>
      <c r="C68" s="12" t="s">
        <v>2568</v>
      </c>
      <c r="D68" s="176" t="s">
        <v>2738</v>
      </c>
      <c r="E68" s="174" t="s">
        <v>2714</v>
      </c>
    </row>
    <row r="69" spans="1:5">
      <c r="A69" s="49" t="s">
        <v>2501</v>
      </c>
      <c r="B69" s="6" t="s">
        <v>2715</v>
      </c>
      <c r="C69" s="12" t="s">
        <v>2568</v>
      </c>
      <c r="D69" s="176" t="s">
        <v>2739</v>
      </c>
      <c r="E69" s="174" t="s">
        <v>2716</v>
      </c>
    </row>
    <row r="70" spans="1:5">
      <c r="A70" s="49" t="s">
        <v>1436</v>
      </c>
      <c r="B70" s="6" t="s">
        <v>1463</v>
      </c>
      <c r="C70" s="12" t="s">
        <v>2568</v>
      </c>
      <c r="D70" s="176" t="s">
        <v>2740</v>
      </c>
      <c r="E70" s="174" t="s">
        <v>2717</v>
      </c>
    </row>
    <row r="71" spans="1:5">
      <c r="A71" s="49" t="s">
        <v>1437</v>
      </c>
      <c r="B71" s="6" t="s">
        <v>1438</v>
      </c>
      <c r="C71" s="12" t="s">
        <v>2568</v>
      </c>
      <c r="D71" s="176" t="s">
        <v>2740</v>
      </c>
      <c r="E71" s="174" t="s">
        <v>2718</v>
      </c>
    </row>
    <row r="72" spans="1:5">
      <c r="A72" s="50" t="s">
        <v>1439</v>
      </c>
      <c r="B72" s="8" t="s">
        <v>1440</v>
      </c>
      <c r="C72" s="13" t="s">
        <v>2568</v>
      </c>
      <c r="D72" s="177" t="s">
        <v>2740</v>
      </c>
      <c r="E72" s="175" t="s">
        <v>2719</v>
      </c>
    </row>
  </sheetData>
  <autoFilter ref="A5:E72" xr:uid="{A4DEADF9-EFAE-A14D-BC4F-3F04ADDCB1E4}"/>
  <phoneticPr fontId="2"/>
  <conditionalFormatting sqref="A6:E72">
    <cfRule type="expression" dxfId="90" priority="1">
      <formula>$C6="Accepted"</formula>
    </cfRule>
  </conditionalFormatting>
  <conditionalFormatting sqref="A6:E72">
    <cfRule type="expression" dxfId="89" priority="2">
      <formula>$C6="Accepted (Phase 1)"</formula>
    </cfRule>
  </conditionalFormatting>
  <conditionalFormatting sqref="A6:E72">
    <cfRule type="expression" dxfId="88" priority="3">
      <formula>$C6="Accepted（条件付き）"</formula>
    </cfRule>
  </conditionalFormatting>
  <conditionalFormatting sqref="A6:E72">
    <cfRule type="expression" dxfId="87" priority="4">
      <formula>$C6="Scope Reduced"</formula>
    </cfRule>
  </conditionalFormatting>
  <conditionalFormatting sqref="A6:E72">
    <cfRule type="expression" dxfId="86" priority="5">
      <formula>$C6="Out of Scope"</formula>
    </cfRule>
  </conditionalFormatting>
  <conditionalFormatting sqref="A6:E72">
    <cfRule type="expression" dxfId="85" priority="6">
      <formula>$A6="ADR-061"</formula>
    </cfRule>
  </conditionalFormatting>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250CDA-FE4E-E74B-968F-00BE7CB94CEE}">
  <dimension ref="A1:P418"/>
  <sheetViews>
    <sheetView tabSelected="1" zoomScale="133" zoomScaleNormal="100" workbookViewId="0">
      <pane ySplit="6" topLeftCell="A7" activePane="bottomLeft" state="frozen"/>
      <selection activeCell="F1" sqref="F1"/>
      <selection pane="bottomLeft" activeCell="F15" sqref="F15"/>
    </sheetView>
  </sheetViews>
  <sheetFormatPr baseColWidth="10" defaultRowHeight="17"/>
  <cols>
    <col min="1" max="1" width="12.5703125" style="371" customWidth="1"/>
    <col min="2" max="2" width="10" style="371" customWidth="1"/>
    <col min="3" max="3" width="17.140625" style="371" customWidth="1"/>
    <col min="4" max="4" width="32.85546875" style="371" customWidth="1"/>
    <col min="5" max="6" width="47.140625" style="371" customWidth="1"/>
    <col min="7" max="7" width="7.42578125" style="371" customWidth="1"/>
    <col min="8" max="8" width="21.42578125" style="371" customWidth="1"/>
    <col min="9" max="9" width="25.7109375" style="371" customWidth="1"/>
    <col min="10" max="10" width="15.7109375" style="371" customWidth="1"/>
    <col min="11" max="11" width="10" style="371" customWidth="1"/>
    <col min="12" max="12" width="15.7109375" style="371" customWidth="1"/>
    <col min="13" max="13" width="10" style="371" customWidth="1"/>
    <col min="14" max="14" width="14.28515625" style="371" customWidth="1"/>
    <col min="15" max="15" width="12.85546875" style="371" customWidth="1"/>
    <col min="16" max="16" width="28.5703125" style="371" customWidth="1"/>
    <col min="17" max="17" width="24.28515625" style="371" customWidth="1"/>
    <col min="18" max="16384" width="10.7109375" style="371"/>
  </cols>
  <sheetData>
    <row r="1" spans="1:16">
      <c r="A1" s="62" t="s">
        <v>7193</v>
      </c>
      <c r="B1" s="63"/>
      <c r="C1" s="63"/>
      <c r="D1" s="63"/>
      <c r="E1" s="63"/>
      <c r="F1" s="63"/>
      <c r="G1" s="63"/>
      <c r="H1" s="63"/>
      <c r="I1" s="63"/>
    </row>
    <row r="2" spans="1:16">
      <c r="A2" s="75" t="s">
        <v>7194</v>
      </c>
      <c r="B2" s="63"/>
      <c r="C2" s="63"/>
      <c r="D2" s="63"/>
      <c r="E2" s="63"/>
      <c r="F2" s="63"/>
      <c r="G2" s="63"/>
      <c r="H2" s="63"/>
      <c r="I2" s="63"/>
    </row>
    <row r="3" spans="1:16">
      <c r="A3" s="372" t="s">
        <v>7195</v>
      </c>
      <c r="B3" s="63"/>
      <c r="C3" s="63"/>
      <c r="D3" s="63"/>
      <c r="E3" s="63"/>
      <c r="F3" s="63"/>
      <c r="G3" s="63"/>
      <c r="H3" s="63"/>
      <c r="I3" s="63"/>
    </row>
    <row r="4" spans="1:16">
      <c r="A4" s="373" t="s">
        <v>7001</v>
      </c>
      <c r="B4" s="63"/>
      <c r="C4" s="63"/>
      <c r="D4" s="63"/>
      <c r="E4" s="63"/>
      <c r="F4" s="63"/>
      <c r="G4" s="63"/>
      <c r="H4" s="63"/>
      <c r="I4" s="63"/>
    </row>
    <row r="5" spans="1:16">
      <c r="A5" s="80" t="s">
        <v>7201</v>
      </c>
      <c r="B5" s="63"/>
      <c r="C5" s="63"/>
      <c r="D5" s="63"/>
      <c r="E5" s="63"/>
      <c r="F5" s="63"/>
      <c r="G5" s="63"/>
      <c r="H5" s="63"/>
      <c r="I5" s="63"/>
    </row>
    <row r="6" spans="1:16">
      <c r="A6" s="374" t="s">
        <v>9</v>
      </c>
      <c r="B6" s="375" t="s">
        <v>2755</v>
      </c>
      <c r="C6" s="375" t="s">
        <v>6372</v>
      </c>
      <c r="D6" s="375" t="s">
        <v>6373</v>
      </c>
      <c r="E6" s="375" t="s">
        <v>10</v>
      </c>
      <c r="F6" s="375" t="s">
        <v>7212</v>
      </c>
      <c r="G6" s="375" t="s">
        <v>2530</v>
      </c>
      <c r="H6" s="375" t="s">
        <v>7005</v>
      </c>
      <c r="I6" s="375" t="s">
        <v>8027</v>
      </c>
      <c r="J6" s="376" t="s">
        <v>5326</v>
      </c>
      <c r="K6" s="376" t="s">
        <v>666</v>
      </c>
      <c r="L6" s="376" t="s">
        <v>6598</v>
      </c>
      <c r="M6" s="376" t="s">
        <v>4875</v>
      </c>
      <c r="N6" s="376" t="s">
        <v>665</v>
      </c>
      <c r="O6" s="377" t="s">
        <v>7006</v>
      </c>
      <c r="P6" s="378" t="s">
        <v>7007</v>
      </c>
    </row>
    <row r="7" spans="1:16" ht="42" customHeight="1">
      <c r="A7" s="379" t="s">
        <v>5327</v>
      </c>
      <c r="B7" s="380" t="s">
        <v>527</v>
      </c>
      <c r="C7" s="380" t="s">
        <v>6374</v>
      </c>
      <c r="D7" s="381" t="s">
        <v>6375</v>
      </c>
      <c r="E7" s="381" t="s">
        <v>7797</v>
      </c>
      <c r="F7" s="381" t="s">
        <v>7798</v>
      </c>
      <c r="G7" s="382">
        <v>5</v>
      </c>
      <c r="H7" s="380" t="s">
        <v>8255</v>
      </c>
      <c r="I7" s="394" t="s">
        <v>8256</v>
      </c>
      <c r="J7" s="383" t="s">
        <v>5328</v>
      </c>
      <c r="K7" s="383" t="s">
        <v>4</v>
      </c>
      <c r="L7" s="383"/>
      <c r="M7" s="383"/>
      <c r="N7" s="383"/>
      <c r="O7" s="384"/>
      <c r="P7" s="385"/>
    </row>
    <row r="8" spans="1:16" ht="42" customHeight="1">
      <c r="A8" s="379" t="s">
        <v>5329</v>
      </c>
      <c r="B8" s="380" t="s">
        <v>527</v>
      </c>
      <c r="C8" s="380" t="s">
        <v>6374</v>
      </c>
      <c r="D8" s="381" t="s">
        <v>6376</v>
      </c>
      <c r="E8" s="381" t="s">
        <v>7799</v>
      </c>
      <c r="F8" s="381" t="s">
        <v>7800</v>
      </c>
      <c r="G8" s="382">
        <v>4</v>
      </c>
      <c r="H8" s="380" t="s">
        <v>8255</v>
      </c>
      <c r="I8" s="394" t="s">
        <v>8256</v>
      </c>
      <c r="J8" s="383" t="s">
        <v>5327</v>
      </c>
      <c r="K8" s="383" t="s">
        <v>4</v>
      </c>
      <c r="L8" s="383"/>
      <c r="M8" s="383"/>
      <c r="N8" s="383"/>
      <c r="O8" s="384"/>
      <c r="P8" s="385"/>
    </row>
    <row r="9" spans="1:16" ht="42" customHeight="1">
      <c r="A9" s="379" t="s">
        <v>5330</v>
      </c>
      <c r="B9" s="380" t="s">
        <v>527</v>
      </c>
      <c r="C9" s="380" t="s">
        <v>6374</v>
      </c>
      <c r="D9" s="381" t="s">
        <v>6377</v>
      </c>
      <c r="E9" s="381" t="s">
        <v>7801</v>
      </c>
      <c r="F9" s="381" t="s">
        <v>7802</v>
      </c>
      <c r="G9" s="382">
        <v>4</v>
      </c>
      <c r="H9" s="380" t="s">
        <v>8255</v>
      </c>
      <c r="I9" s="394" t="s">
        <v>8256</v>
      </c>
      <c r="J9" s="383" t="s">
        <v>5327</v>
      </c>
      <c r="K9" s="383" t="s">
        <v>4</v>
      </c>
      <c r="L9" s="383"/>
      <c r="M9" s="383"/>
      <c r="N9" s="383"/>
      <c r="O9" s="384"/>
      <c r="P9" s="385"/>
    </row>
    <row r="10" spans="1:16" ht="42" customHeight="1">
      <c r="A10" s="379" t="s">
        <v>5331</v>
      </c>
      <c r="B10" s="380" t="s">
        <v>527</v>
      </c>
      <c r="C10" s="380" t="s">
        <v>6374</v>
      </c>
      <c r="D10" s="381" t="s">
        <v>6378</v>
      </c>
      <c r="E10" s="381" t="s">
        <v>7803</v>
      </c>
      <c r="F10" s="381" t="s">
        <v>7804</v>
      </c>
      <c r="G10" s="382">
        <v>4</v>
      </c>
      <c r="H10" s="380" t="s">
        <v>8255</v>
      </c>
      <c r="I10" s="394" t="s">
        <v>8256</v>
      </c>
      <c r="J10" s="383" t="s">
        <v>5327</v>
      </c>
      <c r="K10" s="383" t="s">
        <v>4</v>
      </c>
      <c r="L10" s="383"/>
      <c r="M10" s="383"/>
      <c r="N10" s="383"/>
      <c r="O10" s="384"/>
      <c r="P10" s="385"/>
    </row>
    <row r="11" spans="1:16" ht="42" customHeight="1">
      <c r="A11" s="379" t="s">
        <v>5332</v>
      </c>
      <c r="B11" s="380" t="s">
        <v>527</v>
      </c>
      <c r="C11" s="380" t="s">
        <v>6374</v>
      </c>
      <c r="D11" s="381" t="s">
        <v>6379</v>
      </c>
      <c r="E11" s="381" t="s">
        <v>7805</v>
      </c>
      <c r="F11" s="381" t="s">
        <v>7806</v>
      </c>
      <c r="G11" s="382">
        <v>3</v>
      </c>
      <c r="H11" s="380" t="s">
        <v>8255</v>
      </c>
      <c r="I11" s="394" t="s">
        <v>8256</v>
      </c>
      <c r="J11" s="383" t="s">
        <v>5331</v>
      </c>
      <c r="K11" s="383" t="s">
        <v>4</v>
      </c>
      <c r="L11" s="383"/>
      <c r="M11" s="383"/>
      <c r="N11" s="383"/>
      <c r="O11" s="384"/>
      <c r="P11" s="385"/>
    </row>
    <row r="12" spans="1:16" ht="42" customHeight="1">
      <c r="A12" s="379" t="s">
        <v>5333</v>
      </c>
      <c r="B12" s="380" t="s">
        <v>527</v>
      </c>
      <c r="C12" s="380" t="s">
        <v>6374</v>
      </c>
      <c r="D12" s="381" t="s">
        <v>6380</v>
      </c>
      <c r="E12" s="381" t="s">
        <v>7807</v>
      </c>
      <c r="F12" s="381" t="s">
        <v>7808</v>
      </c>
      <c r="G12" s="382">
        <v>2</v>
      </c>
      <c r="H12" s="380" t="s">
        <v>8255</v>
      </c>
      <c r="I12" s="394" t="s">
        <v>8256</v>
      </c>
      <c r="J12" s="383" t="s">
        <v>5334</v>
      </c>
      <c r="K12" s="383" t="s">
        <v>4</v>
      </c>
      <c r="L12" s="383"/>
      <c r="M12" s="383"/>
      <c r="N12" s="383"/>
      <c r="O12" s="384"/>
      <c r="P12" s="385"/>
    </row>
    <row r="13" spans="1:16" ht="42" customHeight="1">
      <c r="A13" s="379" t="s">
        <v>5335</v>
      </c>
      <c r="B13" s="380" t="s">
        <v>527</v>
      </c>
      <c r="C13" s="380" t="s">
        <v>6374</v>
      </c>
      <c r="D13" s="381" t="s">
        <v>6381</v>
      </c>
      <c r="E13" s="381" t="s">
        <v>7809</v>
      </c>
      <c r="F13" s="381" t="s">
        <v>7810</v>
      </c>
      <c r="G13" s="382">
        <v>3</v>
      </c>
      <c r="H13" s="380" t="s">
        <v>8255</v>
      </c>
      <c r="I13" s="394" t="s">
        <v>8256</v>
      </c>
      <c r="J13" s="383" t="s">
        <v>5336</v>
      </c>
      <c r="K13" s="383" t="s">
        <v>4</v>
      </c>
      <c r="L13" s="383"/>
      <c r="M13" s="383"/>
      <c r="N13" s="383"/>
      <c r="O13" s="384"/>
      <c r="P13" s="385"/>
    </row>
    <row r="14" spans="1:16" ht="42" customHeight="1">
      <c r="A14" s="379" t="s">
        <v>5337</v>
      </c>
      <c r="B14" s="380" t="s">
        <v>527</v>
      </c>
      <c r="C14" s="380" t="s">
        <v>6382</v>
      </c>
      <c r="D14" s="381" t="s">
        <v>6383</v>
      </c>
      <c r="E14" s="381" t="s">
        <v>7811</v>
      </c>
      <c r="F14" s="381" t="s">
        <v>7812</v>
      </c>
      <c r="G14" s="382">
        <v>2</v>
      </c>
      <c r="H14" s="380" t="s">
        <v>8257</v>
      </c>
      <c r="I14" s="394" t="s">
        <v>8258</v>
      </c>
      <c r="J14" s="383" t="s">
        <v>5338</v>
      </c>
      <c r="K14" s="383" t="s">
        <v>4</v>
      </c>
      <c r="L14" s="383"/>
      <c r="M14" s="383"/>
      <c r="N14" s="383"/>
      <c r="O14" s="384"/>
      <c r="P14" s="385"/>
    </row>
    <row r="15" spans="1:16" ht="42" customHeight="1">
      <c r="A15" s="379" t="s">
        <v>5339</v>
      </c>
      <c r="B15" s="380" t="s">
        <v>527</v>
      </c>
      <c r="C15" s="380" t="s">
        <v>6382</v>
      </c>
      <c r="D15" s="381" t="s">
        <v>6384</v>
      </c>
      <c r="E15" s="381" t="s">
        <v>7813</v>
      </c>
      <c r="F15" s="381" t="s">
        <v>7814</v>
      </c>
      <c r="G15" s="382">
        <v>3</v>
      </c>
      <c r="H15" s="380" t="s">
        <v>8257</v>
      </c>
      <c r="I15" s="394" t="s">
        <v>8258</v>
      </c>
      <c r="J15" s="383" t="s">
        <v>5337</v>
      </c>
      <c r="K15" s="383" t="s">
        <v>4</v>
      </c>
      <c r="L15" s="383"/>
      <c r="M15" s="383"/>
      <c r="N15" s="383"/>
      <c r="O15" s="384"/>
      <c r="P15" s="385"/>
    </row>
    <row r="16" spans="1:16" ht="42" customHeight="1">
      <c r="A16" s="379" t="s">
        <v>5340</v>
      </c>
      <c r="B16" s="380" t="s">
        <v>527</v>
      </c>
      <c r="C16" s="380" t="s">
        <v>6382</v>
      </c>
      <c r="D16" s="381" t="s">
        <v>6385</v>
      </c>
      <c r="E16" s="381" t="s">
        <v>7815</v>
      </c>
      <c r="F16" s="381" t="s">
        <v>7816</v>
      </c>
      <c r="G16" s="382">
        <v>2</v>
      </c>
      <c r="H16" s="380" t="s">
        <v>8257</v>
      </c>
      <c r="I16" s="394" t="s">
        <v>8258</v>
      </c>
      <c r="J16" s="383" t="s">
        <v>5339</v>
      </c>
      <c r="K16" s="383" t="s">
        <v>4</v>
      </c>
      <c r="L16" s="383"/>
      <c r="M16" s="383"/>
      <c r="N16" s="383"/>
      <c r="O16" s="384"/>
      <c r="P16" s="385"/>
    </row>
    <row r="17" spans="1:16" ht="42" customHeight="1">
      <c r="A17" s="379" t="s">
        <v>5341</v>
      </c>
      <c r="B17" s="380" t="s">
        <v>527</v>
      </c>
      <c r="C17" s="380" t="s">
        <v>6382</v>
      </c>
      <c r="D17" s="381" t="s">
        <v>6386</v>
      </c>
      <c r="E17" s="381" t="s">
        <v>7817</v>
      </c>
      <c r="F17" s="381" t="s">
        <v>7818</v>
      </c>
      <c r="G17" s="382">
        <v>2</v>
      </c>
      <c r="H17" s="380" t="s">
        <v>8257</v>
      </c>
      <c r="I17" s="394" t="s">
        <v>8258</v>
      </c>
      <c r="J17" s="383" t="s">
        <v>5337</v>
      </c>
      <c r="K17" s="383" t="s">
        <v>4</v>
      </c>
      <c r="L17" s="383"/>
      <c r="M17" s="383"/>
      <c r="N17" s="383"/>
      <c r="O17" s="384"/>
      <c r="P17" s="385"/>
    </row>
    <row r="18" spans="1:16" ht="42" customHeight="1">
      <c r="A18" s="379" t="s">
        <v>5342</v>
      </c>
      <c r="B18" s="380" t="s">
        <v>527</v>
      </c>
      <c r="C18" s="380" t="s">
        <v>6382</v>
      </c>
      <c r="D18" s="381" t="s">
        <v>6387</v>
      </c>
      <c r="E18" s="381" t="s">
        <v>7819</v>
      </c>
      <c r="F18" s="381" t="s">
        <v>7820</v>
      </c>
      <c r="G18" s="382">
        <v>1</v>
      </c>
      <c r="H18" s="380" t="s">
        <v>8257</v>
      </c>
      <c r="I18" s="394" t="s">
        <v>8258</v>
      </c>
      <c r="J18" s="383" t="s">
        <v>5339</v>
      </c>
      <c r="K18" s="383" t="s">
        <v>4</v>
      </c>
      <c r="L18" s="383"/>
      <c r="M18" s="383"/>
      <c r="N18" s="383"/>
      <c r="O18" s="384"/>
      <c r="P18" s="385"/>
    </row>
    <row r="19" spans="1:16" ht="42" customHeight="1">
      <c r="A19" s="379" t="s">
        <v>5343</v>
      </c>
      <c r="B19" s="380" t="s">
        <v>527</v>
      </c>
      <c r="C19" s="380" t="s">
        <v>6388</v>
      </c>
      <c r="D19" s="381" t="s">
        <v>6389</v>
      </c>
      <c r="E19" s="381" t="s">
        <v>7821</v>
      </c>
      <c r="F19" s="381" t="s">
        <v>7822</v>
      </c>
      <c r="G19" s="382">
        <v>5</v>
      </c>
      <c r="H19" s="380" t="s">
        <v>8259</v>
      </c>
      <c r="I19" s="394" t="s">
        <v>8260</v>
      </c>
      <c r="J19" s="383" t="s">
        <v>2236</v>
      </c>
      <c r="K19" s="383" t="s">
        <v>4</v>
      </c>
      <c r="L19" s="383"/>
      <c r="M19" s="383"/>
      <c r="N19" s="383"/>
      <c r="O19" s="384"/>
      <c r="P19" s="385"/>
    </row>
    <row r="20" spans="1:16" ht="42" customHeight="1">
      <c r="A20" s="379" t="s">
        <v>5344</v>
      </c>
      <c r="B20" s="380" t="s">
        <v>527</v>
      </c>
      <c r="C20" s="380" t="s">
        <v>6388</v>
      </c>
      <c r="D20" s="381" t="s">
        <v>6390</v>
      </c>
      <c r="E20" s="381" t="s">
        <v>7823</v>
      </c>
      <c r="F20" s="381" t="s">
        <v>7824</v>
      </c>
      <c r="G20" s="382">
        <v>3</v>
      </c>
      <c r="H20" s="380" t="s">
        <v>8259</v>
      </c>
      <c r="I20" s="394" t="s">
        <v>8260</v>
      </c>
      <c r="J20" s="383" t="s">
        <v>5343</v>
      </c>
      <c r="K20" s="383" t="s">
        <v>4</v>
      </c>
      <c r="L20" s="383"/>
      <c r="M20" s="383"/>
      <c r="N20" s="383"/>
      <c r="O20" s="384"/>
      <c r="P20" s="385"/>
    </row>
    <row r="21" spans="1:16" ht="42" customHeight="1">
      <c r="A21" s="379" t="s">
        <v>5345</v>
      </c>
      <c r="B21" s="380" t="s">
        <v>527</v>
      </c>
      <c r="C21" s="380" t="s">
        <v>6388</v>
      </c>
      <c r="D21" s="381" t="s">
        <v>6391</v>
      </c>
      <c r="E21" s="381" t="s">
        <v>7825</v>
      </c>
      <c r="F21" s="381" t="s">
        <v>7826</v>
      </c>
      <c r="G21" s="382">
        <v>3</v>
      </c>
      <c r="H21" s="380" t="s">
        <v>8259</v>
      </c>
      <c r="I21" s="394" t="s">
        <v>8260</v>
      </c>
      <c r="J21" s="383" t="s">
        <v>5343</v>
      </c>
      <c r="K21" s="383" t="s">
        <v>4</v>
      </c>
      <c r="L21" s="383"/>
      <c r="M21" s="383"/>
      <c r="N21" s="383"/>
      <c r="O21" s="384"/>
      <c r="P21" s="385"/>
    </row>
    <row r="22" spans="1:16" ht="42" customHeight="1">
      <c r="A22" s="379" t="s">
        <v>5346</v>
      </c>
      <c r="B22" s="380" t="s">
        <v>527</v>
      </c>
      <c r="C22" s="380" t="s">
        <v>6388</v>
      </c>
      <c r="D22" s="381" t="s">
        <v>6392</v>
      </c>
      <c r="E22" s="381" t="s">
        <v>7827</v>
      </c>
      <c r="F22" s="381" t="s">
        <v>7828</v>
      </c>
      <c r="G22" s="382">
        <v>3</v>
      </c>
      <c r="H22" s="380" t="s">
        <v>8259</v>
      </c>
      <c r="I22" s="394" t="s">
        <v>8260</v>
      </c>
      <c r="J22" s="383" t="s">
        <v>5343</v>
      </c>
      <c r="K22" s="383" t="s">
        <v>4</v>
      </c>
      <c r="L22" s="383"/>
      <c r="M22" s="383"/>
      <c r="N22" s="383"/>
      <c r="O22" s="384"/>
      <c r="P22" s="385"/>
    </row>
    <row r="23" spans="1:16" ht="42" customHeight="1">
      <c r="A23" s="379" t="s">
        <v>5347</v>
      </c>
      <c r="B23" s="380" t="s">
        <v>527</v>
      </c>
      <c r="C23" s="380" t="s">
        <v>6388</v>
      </c>
      <c r="D23" s="381" t="s">
        <v>6393</v>
      </c>
      <c r="E23" s="381" t="s">
        <v>7829</v>
      </c>
      <c r="F23" s="381" t="s">
        <v>7830</v>
      </c>
      <c r="G23" s="382">
        <v>3</v>
      </c>
      <c r="H23" s="380" t="s">
        <v>8259</v>
      </c>
      <c r="I23" s="394" t="s">
        <v>8260</v>
      </c>
      <c r="J23" s="383" t="s">
        <v>5346</v>
      </c>
      <c r="K23" s="383" t="s">
        <v>4</v>
      </c>
      <c r="L23" s="383"/>
      <c r="M23" s="383"/>
      <c r="N23" s="383"/>
      <c r="O23" s="384"/>
      <c r="P23" s="385"/>
    </row>
    <row r="24" spans="1:16" ht="42" customHeight="1">
      <c r="A24" s="379" t="s">
        <v>5348</v>
      </c>
      <c r="B24" s="380" t="s">
        <v>527</v>
      </c>
      <c r="C24" s="380" t="s">
        <v>6388</v>
      </c>
      <c r="D24" s="381" t="s">
        <v>6394</v>
      </c>
      <c r="E24" s="381" t="s">
        <v>7831</v>
      </c>
      <c r="F24" s="381" t="s">
        <v>7832</v>
      </c>
      <c r="G24" s="382">
        <v>3</v>
      </c>
      <c r="H24" s="380" t="s">
        <v>8259</v>
      </c>
      <c r="I24" s="394" t="s">
        <v>8260</v>
      </c>
      <c r="J24" s="383" t="s">
        <v>5345</v>
      </c>
      <c r="K24" s="383" t="s">
        <v>4</v>
      </c>
      <c r="L24" s="383"/>
      <c r="M24" s="383"/>
      <c r="N24" s="383"/>
      <c r="O24" s="384"/>
      <c r="P24" s="385"/>
    </row>
    <row r="25" spans="1:16" ht="42" customHeight="1">
      <c r="A25" s="379" t="s">
        <v>536</v>
      </c>
      <c r="B25" s="380" t="s">
        <v>527</v>
      </c>
      <c r="C25" s="380" t="s">
        <v>536</v>
      </c>
      <c r="D25" s="381" t="s">
        <v>537</v>
      </c>
      <c r="E25" s="381" t="s">
        <v>7213</v>
      </c>
      <c r="F25" s="381" t="s">
        <v>7214</v>
      </c>
      <c r="G25" s="382">
        <v>0</v>
      </c>
      <c r="H25" s="380" t="s">
        <v>3611</v>
      </c>
      <c r="I25" s="394" t="s">
        <v>8028</v>
      </c>
      <c r="J25" s="383" t="s">
        <v>2236</v>
      </c>
      <c r="K25" s="383" t="s">
        <v>5349</v>
      </c>
      <c r="L25" s="383"/>
      <c r="M25" s="383"/>
      <c r="N25" s="383"/>
      <c r="O25" s="384"/>
      <c r="P25" s="385"/>
    </row>
    <row r="26" spans="1:16" ht="42" customHeight="1">
      <c r="A26" s="379" t="s">
        <v>5350</v>
      </c>
      <c r="B26" s="380" t="s">
        <v>527</v>
      </c>
      <c r="C26" s="380" t="s">
        <v>6395</v>
      </c>
      <c r="D26" s="381" t="s">
        <v>6396</v>
      </c>
      <c r="E26" s="381" t="s">
        <v>7833</v>
      </c>
      <c r="F26" s="381" t="s">
        <v>7834</v>
      </c>
      <c r="G26" s="382">
        <v>1</v>
      </c>
      <c r="H26" s="380" t="s">
        <v>8261</v>
      </c>
      <c r="I26" s="394" t="s">
        <v>8262</v>
      </c>
      <c r="J26" s="383" t="s">
        <v>2236</v>
      </c>
      <c r="K26" s="383" t="s">
        <v>4</v>
      </c>
      <c r="L26" s="383"/>
      <c r="M26" s="383"/>
      <c r="N26" s="383"/>
      <c r="O26" s="384"/>
      <c r="P26" s="385"/>
    </row>
    <row r="27" spans="1:16" ht="42" customHeight="1">
      <c r="A27" s="379" t="s">
        <v>5351</v>
      </c>
      <c r="B27" s="380" t="s">
        <v>527</v>
      </c>
      <c r="C27" s="380" t="s">
        <v>6395</v>
      </c>
      <c r="D27" s="381" t="s">
        <v>6397</v>
      </c>
      <c r="E27" s="381" t="s">
        <v>7835</v>
      </c>
      <c r="F27" s="381" t="s">
        <v>7836</v>
      </c>
      <c r="G27" s="382">
        <v>2</v>
      </c>
      <c r="H27" s="380" t="s">
        <v>8261</v>
      </c>
      <c r="I27" s="394" t="s">
        <v>8262</v>
      </c>
      <c r="J27" s="383" t="s">
        <v>5350</v>
      </c>
      <c r="K27" s="383" t="s">
        <v>4</v>
      </c>
      <c r="L27" s="383"/>
      <c r="M27" s="383"/>
      <c r="N27" s="383"/>
      <c r="O27" s="384"/>
      <c r="P27" s="385"/>
    </row>
    <row r="28" spans="1:16" ht="42" customHeight="1">
      <c r="A28" s="379" t="s">
        <v>5352</v>
      </c>
      <c r="B28" s="380" t="s">
        <v>527</v>
      </c>
      <c r="C28" s="380" t="s">
        <v>6395</v>
      </c>
      <c r="D28" s="381" t="s">
        <v>6398</v>
      </c>
      <c r="E28" s="381" t="s">
        <v>7837</v>
      </c>
      <c r="F28" s="381" t="s">
        <v>7838</v>
      </c>
      <c r="G28" s="382">
        <v>1</v>
      </c>
      <c r="H28" s="380" t="s">
        <v>8261</v>
      </c>
      <c r="I28" s="394" t="s">
        <v>8262</v>
      </c>
      <c r="J28" s="383" t="s">
        <v>5351</v>
      </c>
      <c r="K28" s="383" t="s">
        <v>4</v>
      </c>
      <c r="L28" s="383"/>
      <c r="M28" s="383"/>
      <c r="N28" s="383"/>
      <c r="O28" s="384"/>
      <c r="P28" s="385"/>
    </row>
    <row r="29" spans="1:16" ht="42" customHeight="1">
      <c r="A29" s="379" t="s">
        <v>5353</v>
      </c>
      <c r="B29" s="380" t="s">
        <v>527</v>
      </c>
      <c r="C29" s="380" t="s">
        <v>6399</v>
      </c>
      <c r="D29" s="381" t="s">
        <v>6400</v>
      </c>
      <c r="E29" s="381" t="s">
        <v>7839</v>
      </c>
      <c r="F29" s="381" t="s">
        <v>7840</v>
      </c>
      <c r="G29" s="382">
        <v>3</v>
      </c>
      <c r="H29" s="380" t="s">
        <v>8263</v>
      </c>
      <c r="I29" s="394" t="s">
        <v>8264</v>
      </c>
      <c r="J29" s="383" t="s">
        <v>5354</v>
      </c>
      <c r="K29" s="383" t="s">
        <v>4</v>
      </c>
      <c r="L29" s="383"/>
      <c r="M29" s="383"/>
      <c r="N29" s="383"/>
      <c r="O29" s="384"/>
      <c r="P29" s="385"/>
    </row>
    <row r="30" spans="1:16" ht="42" customHeight="1">
      <c r="A30" s="379" t="s">
        <v>5355</v>
      </c>
      <c r="B30" s="380" t="s">
        <v>527</v>
      </c>
      <c r="C30" s="380" t="s">
        <v>6399</v>
      </c>
      <c r="D30" s="381" t="s">
        <v>6401</v>
      </c>
      <c r="E30" s="381" t="s">
        <v>7841</v>
      </c>
      <c r="F30" s="381" t="s">
        <v>7842</v>
      </c>
      <c r="G30" s="382">
        <v>2</v>
      </c>
      <c r="H30" s="380" t="s">
        <v>8263</v>
      </c>
      <c r="I30" s="394" t="s">
        <v>8264</v>
      </c>
      <c r="J30" s="383" t="s">
        <v>5353</v>
      </c>
      <c r="K30" s="383" t="s">
        <v>4</v>
      </c>
      <c r="L30" s="383"/>
      <c r="M30" s="383"/>
      <c r="N30" s="383"/>
      <c r="O30" s="384"/>
      <c r="P30" s="385"/>
    </row>
    <row r="31" spans="1:16" ht="42" customHeight="1">
      <c r="A31" s="379" t="s">
        <v>5356</v>
      </c>
      <c r="B31" s="380" t="s">
        <v>527</v>
      </c>
      <c r="C31" s="380" t="s">
        <v>6399</v>
      </c>
      <c r="D31" s="381" t="s">
        <v>6402</v>
      </c>
      <c r="E31" s="381" t="s">
        <v>7843</v>
      </c>
      <c r="F31" s="381" t="s">
        <v>7844</v>
      </c>
      <c r="G31" s="382">
        <v>2</v>
      </c>
      <c r="H31" s="380" t="s">
        <v>8263</v>
      </c>
      <c r="I31" s="394" t="s">
        <v>8264</v>
      </c>
      <c r="J31" s="383" t="s">
        <v>5353</v>
      </c>
      <c r="K31" s="383" t="s">
        <v>4</v>
      </c>
      <c r="L31" s="383"/>
      <c r="M31" s="383"/>
      <c r="N31" s="383"/>
      <c r="O31" s="384"/>
      <c r="P31" s="385"/>
    </row>
    <row r="32" spans="1:16" ht="42" customHeight="1">
      <c r="A32" s="379" t="s">
        <v>5357</v>
      </c>
      <c r="B32" s="380" t="s">
        <v>527</v>
      </c>
      <c r="C32" s="380" t="s">
        <v>6399</v>
      </c>
      <c r="D32" s="381" t="s">
        <v>6381</v>
      </c>
      <c r="E32" s="381" t="s">
        <v>7845</v>
      </c>
      <c r="F32" s="381" t="s">
        <v>7846</v>
      </c>
      <c r="G32" s="382">
        <v>1</v>
      </c>
      <c r="H32" s="380" t="s">
        <v>8263</v>
      </c>
      <c r="I32" s="394" t="s">
        <v>8264</v>
      </c>
      <c r="J32" s="383" t="s">
        <v>5356</v>
      </c>
      <c r="K32" s="383" t="s">
        <v>4</v>
      </c>
      <c r="L32" s="383"/>
      <c r="M32" s="383"/>
      <c r="N32" s="383"/>
      <c r="O32" s="384"/>
      <c r="P32" s="385"/>
    </row>
    <row r="33" spans="1:16" ht="42" customHeight="1">
      <c r="A33" s="379" t="s">
        <v>5358</v>
      </c>
      <c r="B33" s="380" t="s">
        <v>527</v>
      </c>
      <c r="C33" s="380" t="s">
        <v>6403</v>
      </c>
      <c r="D33" s="381" t="s">
        <v>6404</v>
      </c>
      <c r="E33" s="381" t="s">
        <v>7847</v>
      </c>
      <c r="F33" s="381" t="s">
        <v>7848</v>
      </c>
      <c r="G33" s="382">
        <v>1.5</v>
      </c>
      <c r="H33" s="380" t="s">
        <v>3611</v>
      </c>
      <c r="I33" s="394" t="s">
        <v>8029</v>
      </c>
      <c r="J33" s="383" t="s">
        <v>2236</v>
      </c>
      <c r="K33" s="383" t="s">
        <v>4</v>
      </c>
      <c r="L33" s="383"/>
      <c r="M33" s="383"/>
      <c r="N33" s="383"/>
      <c r="O33" s="384"/>
      <c r="P33" s="385"/>
    </row>
    <row r="34" spans="1:16" ht="42" customHeight="1">
      <c r="A34" s="379" t="s">
        <v>5359</v>
      </c>
      <c r="B34" s="380" t="s">
        <v>527</v>
      </c>
      <c r="C34" s="380" t="s">
        <v>6403</v>
      </c>
      <c r="D34" s="381" t="s">
        <v>6405</v>
      </c>
      <c r="E34" s="381" t="s">
        <v>7849</v>
      </c>
      <c r="F34" s="381" t="s">
        <v>7850</v>
      </c>
      <c r="G34" s="382">
        <v>1.5</v>
      </c>
      <c r="H34" s="380" t="s">
        <v>3611</v>
      </c>
      <c r="I34" s="394" t="s">
        <v>8029</v>
      </c>
      <c r="J34" s="383" t="s">
        <v>5358</v>
      </c>
      <c r="K34" s="383" t="s">
        <v>4</v>
      </c>
      <c r="L34" s="383"/>
      <c r="M34" s="383"/>
      <c r="N34" s="383"/>
      <c r="O34" s="384"/>
      <c r="P34" s="385"/>
    </row>
    <row r="35" spans="1:16" ht="42" customHeight="1">
      <c r="A35" s="379" t="s">
        <v>544</v>
      </c>
      <c r="B35" s="380" t="s">
        <v>527</v>
      </c>
      <c r="C35" s="380" t="s">
        <v>544</v>
      </c>
      <c r="D35" s="381" t="s">
        <v>5360</v>
      </c>
      <c r="E35" s="381" t="s">
        <v>7851</v>
      </c>
      <c r="F35" s="381" t="s">
        <v>7852</v>
      </c>
      <c r="G35" s="382">
        <v>2</v>
      </c>
      <c r="H35" s="380" t="s">
        <v>8062</v>
      </c>
      <c r="I35" s="394" t="s">
        <v>8063</v>
      </c>
      <c r="J35" s="383" t="s">
        <v>5361</v>
      </c>
      <c r="K35" s="383" t="s">
        <v>4</v>
      </c>
      <c r="L35" s="383"/>
      <c r="M35" s="383"/>
      <c r="N35" s="383"/>
      <c r="O35" s="384"/>
      <c r="P35" s="385"/>
    </row>
    <row r="36" spans="1:16" ht="42" customHeight="1">
      <c r="A36" s="379" t="s">
        <v>546</v>
      </c>
      <c r="B36" s="380" t="s">
        <v>527</v>
      </c>
      <c r="C36" s="380" t="s">
        <v>546</v>
      </c>
      <c r="D36" s="381" t="s">
        <v>5362</v>
      </c>
      <c r="E36" s="381" t="s">
        <v>7853</v>
      </c>
      <c r="F36" s="381" t="s">
        <v>7854</v>
      </c>
      <c r="G36" s="382">
        <v>2</v>
      </c>
      <c r="H36" s="380" t="s">
        <v>8200</v>
      </c>
      <c r="I36" s="394" t="s">
        <v>8201</v>
      </c>
      <c r="J36" s="383" t="s">
        <v>2236</v>
      </c>
      <c r="K36" s="383" t="s">
        <v>4</v>
      </c>
      <c r="L36" s="383"/>
      <c r="M36" s="383"/>
      <c r="N36" s="383"/>
      <c r="O36" s="384"/>
      <c r="P36" s="385"/>
    </row>
    <row r="37" spans="1:16" ht="42" customHeight="1">
      <c r="A37" s="379" t="s">
        <v>5363</v>
      </c>
      <c r="B37" s="380" t="s">
        <v>527</v>
      </c>
      <c r="C37" s="380" t="s">
        <v>6406</v>
      </c>
      <c r="D37" s="381" t="s">
        <v>6407</v>
      </c>
      <c r="E37" s="381" t="s">
        <v>7855</v>
      </c>
      <c r="F37" s="381" t="s">
        <v>7856</v>
      </c>
      <c r="G37" s="382">
        <v>3</v>
      </c>
      <c r="H37" s="380" t="s">
        <v>8265</v>
      </c>
      <c r="I37" s="394" t="s">
        <v>8266</v>
      </c>
      <c r="J37" s="383" t="s">
        <v>5361</v>
      </c>
      <c r="K37" s="383" t="s">
        <v>4</v>
      </c>
      <c r="L37" s="383"/>
      <c r="M37" s="383"/>
      <c r="N37" s="383"/>
      <c r="O37" s="384"/>
      <c r="P37" s="385"/>
    </row>
    <row r="38" spans="1:16" ht="42" customHeight="1">
      <c r="A38" s="379" t="s">
        <v>5364</v>
      </c>
      <c r="B38" s="380" t="s">
        <v>527</v>
      </c>
      <c r="C38" s="380" t="s">
        <v>6406</v>
      </c>
      <c r="D38" s="381" t="s">
        <v>6408</v>
      </c>
      <c r="E38" s="381" t="s">
        <v>7857</v>
      </c>
      <c r="F38" s="381" t="s">
        <v>7858</v>
      </c>
      <c r="G38" s="382">
        <v>3</v>
      </c>
      <c r="H38" s="380" t="s">
        <v>8265</v>
      </c>
      <c r="I38" s="394" t="s">
        <v>8266</v>
      </c>
      <c r="J38" s="383" t="s">
        <v>5363</v>
      </c>
      <c r="K38" s="383" t="s">
        <v>4</v>
      </c>
      <c r="L38" s="383"/>
      <c r="M38" s="383"/>
      <c r="N38" s="383"/>
      <c r="O38" s="384"/>
      <c r="P38" s="385"/>
    </row>
    <row r="39" spans="1:16" ht="42" customHeight="1">
      <c r="A39" s="379" t="s">
        <v>550</v>
      </c>
      <c r="B39" s="380" t="s">
        <v>527</v>
      </c>
      <c r="C39" s="380" t="s">
        <v>550</v>
      </c>
      <c r="D39" s="381" t="s">
        <v>5365</v>
      </c>
      <c r="E39" s="381" t="s">
        <v>7859</v>
      </c>
      <c r="F39" s="381" t="s">
        <v>7860</v>
      </c>
      <c r="G39" s="382">
        <v>2</v>
      </c>
      <c r="H39" s="380" t="s">
        <v>3611</v>
      </c>
      <c r="I39" s="394" t="s">
        <v>8029</v>
      </c>
      <c r="J39" s="383" t="s">
        <v>2236</v>
      </c>
      <c r="K39" s="383" t="s">
        <v>4</v>
      </c>
      <c r="L39" s="383"/>
      <c r="M39" s="383"/>
      <c r="N39" s="383"/>
      <c r="O39" s="384"/>
      <c r="P39" s="385"/>
    </row>
    <row r="40" spans="1:16" ht="42" customHeight="1">
      <c r="A40" s="379" t="s">
        <v>5366</v>
      </c>
      <c r="B40" s="380" t="s">
        <v>527</v>
      </c>
      <c r="C40" s="380" t="s">
        <v>6409</v>
      </c>
      <c r="D40" s="381" t="s">
        <v>6410</v>
      </c>
      <c r="E40" s="381" t="s">
        <v>7861</v>
      </c>
      <c r="F40" s="381" t="s">
        <v>7862</v>
      </c>
      <c r="G40" s="382">
        <v>2</v>
      </c>
      <c r="H40" s="380" t="s">
        <v>8267</v>
      </c>
      <c r="I40" s="394" t="s">
        <v>8268</v>
      </c>
      <c r="J40" s="383" t="s">
        <v>2236</v>
      </c>
      <c r="K40" s="383" t="s">
        <v>4</v>
      </c>
      <c r="L40" s="383"/>
      <c r="M40" s="383"/>
      <c r="N40" s="383"/>
      <c r="O40" s="384"/>
      <c r="P40" s="385"/>
    </row>
    <row r="41" spans="1:16" ht="42" customHeight="1">
      <c r="A41" s="379" t="s">
        <v>5367</v>
      </c>
      <c r="B41" s="380" t="s">
        <v>527</v>
      </c>
      <c r="C41" s="380" t="s">
        <v>6409</v>
      </c>
      <c r="D41" s="381" t="s">
        <v>6411</v>
      </c>
      <c r="E41" s="381" t="s">
        <v>7863</v>
      </c>
      <c r="F41" s="381" t="s">
        <v>7864</v>
      </c>
      <c r="G41" s="382">
        <v>2</v>
      </c>
      <c r="H41" s="380" t="s">
        <v>8267</v>
      </c>
      <c r="I41" s="394" t="s">
        <v>8268</v>
      </c>
      <c r="J41" s="383" t="s">
        <v>5366</v>
      </c>
      <c r="K41" s="383" t="s">
        <v>4</v>
      </c>
      <c r="L41" s="383"/>
      <c r="M41" s="383"/>
      <c r="N41" s="383"/>
      <c r="O41" s="384"/>
      <c r="P41" s="385"/>
    </row>
    <row r="42" spans="1:16" ht="42" customHeight="1">
      <c r="A42" s="379" t="s">
        <v>5368</v>
      </c>
      <c r="B42" s="380" t="s">
        <v>527</v>
      </c>
      <c r="C42" s="380" t="s">
        <v>6409</v>
      </c>
      <c r="D42" s="381" t="s">
        <v>6412</v>
      </c>
      <c r="E42" s="381" t="s">
        <v>7865</v>
      </c>
      <c r="F42" s="381" t="s">
        <v>7866</v>
      </c>
      <c r="G42" s="382">
        <v>2</v>
      </c>
      <c r="H42" s="380" t="s">
        <v>8267</v>
      </c>
      <c r="I42" s="394" t="s">
        <v>8268</v>
      </c>
      <c r="J42" s="383" t="s">
        <v>5367</v>
      </c>
      <c r="K42" s="383" t="s">
        <v>4</v>
      </c>
      <c r="L42" s="383"/>
      <c r="M42" s="383"/>
      <c r="N42" s="383"/>
      <c r="O42" s="384"/>
      <c r="P42" s="385"/>
    </row>
    <row r="43" spans="1:16" ht="42" customHeight="1">
      <c r="A43" s="379" t="s">
        <v>5369</v>
      </c>
      <c r="B43" s="380" t="s">
        <v>527</v>
      </c>
      <c r="C43" s="380" t="s">
        <v>5369</v>
      </c>
      <c r="D43" s="381" t="s">
        <v>5370</v>
      </c>
      <c r="E43" s="381" t="s">
        <v>7867</v>
      </c>
      <c r="F43" s="381" t="s">
        <v>7868</v>
      </c>
      <c r="G43" s="382">
        <v>3</v>
      </c>
      <c r="H43" s="380" t="s">
        <v>8253</v>
      </c>
      <c r="I43" s="394" t="s">
        <v>8254</v>
      </c>
      <c r="J43" s="383" t="s">
        <v>5371</v>
      </c>
      <c r="K43" s="383" t="s">
        <v>4</v>
      </c>
      <c r="L43" s="383"/>
      <c r="M43" s="383"/>
      <c r="N43" s="383"/>
      <c r="O43" s="384"/>
      <c r="P43" s="385"/>
    </row>
    <row r="44" spans="1:16" ht="42" customHeight="1">
      <c r="A44" s="379" t="s">
        <v>5372</v>
      </c>
      <c r="B44" s="380" t="s">
        <v>527</v>
      </c>
      <c r="C44" s="380" t="s">
        <v>5372</v>
      </c>
      <c r="D44" s="381" t="s">
        <v>5373</v>
      </c>
      <c r="E44" s="381" t="s">
        <v>7869</v>
      </c>
      <c r="F44" s="381" t="s">
        <v>7870</v>
      </c>
      <c r="G44" s="382">
        <v>4</v>
      </c>
      <c r="H44" s="380" t="s">
        <v>8060</v>
      </c>
      <c r="I44" s="394" t="s">
        <v>8061</v>
      </c>
      <c r="J44" s="383" t="s">
        <v>2236</v>
      </c>
      <c r="K44" s="383" t="s">
        <v>4</v>
      </c>
      <c r="L44" s="383"/>
      <c r="M44" s="383"/>
      <c r="N44" s="383"/>
      <c r="O44" s="384"/>
      <c r="P44" s="385"/>
    </row>
    <row r="45" spans="1:16" ht="42" customHeight="1">
      <c r="A45" s="379" t="s">
        <v>5374</v>
      </c>
      <c r="B45" s="380" t="s">
        <v>527</v>
      </c>
      <c r="C45" s="380" t="s">
        <v>5374</v>
      </c>
      <c r="D45" s="381" t="s">
        <v>5375</v>
      </c>
      <c r="E45" s="381" t="s">
        <v>7871</v>
      </c>
      <c r="F45" s="381" t="s">
        <v>7872</v>
      </c>
      <c r="G45" s="382">
        <v>3</v>
      </c>
      <c r="H45" s="380" t="s">
        <v>3611</v>
      </c>
      <c r="I45" s="394" t="s">
        <v>8029</v>
      </c>
      <c r="J45" s="383" t="s">
        <v>5376</v>
      </c>
      <c r="K45" s="383" t="s">
        <v>4</v>
      </c>
      <c r="L45" s="383"/>
      <c r="M45" s="383"/>
      <c r="N45" s="383"/>
      <c r="O45" s="384"/>
      <c r="P45" s="385"/>
    </row>
    <row r="46" spans="1:16" ht="42" customHeight="1">
      <c r="A46" s="379" t="s">
        <v>5377</v>
      </c>
      <c r="B46" s="380" t="s">
        <v>555</v>
      </c>
      <c r="C46" s="380" t="s">
        <v>556</v>
      </c>
      <c r="D46" s="381" t="s">
        <v>5378</v>
      </c>
      <c r="E46" s="381" t="s">
        <v>7873</v>
      </c>
      <c r="F46" s="381" t="s">
        <v>7874</v>
      </c>
      <c r="G46" s="382">
        <v>4</v>
      </c>
      <c r="H46" s="380" t="s">
        <v>3611</v>
      </c>
      <c r="I46" s="394" t="s">
        <v>8029</v>
      </c>
      <c r="J46" s="383" t="s">
        <v>5379</v>
      </c>
      <c r="K46" s="383" t="s">
        <v>4</v>
      </c>
      <c r="L46" s="383"/>
      <c r="M46" s="383"/>
      <c r="N46" s="383"/>
      <c r="O46" s="384"/>
      <c r="P46" s="385"/>
    </row>
    <row r="47" spans="1:16" ht="42" customHeight="1">
      <c r="A47" s="379" t="s">
        <v>5380</v>
      </c>
      <c r="B47" s="380" t="s">
        <v>555</v>
      </c>
      <c r="C47" s="380" t="s">
        <v>556</v>
      </c>
      <c r="D47" s="381" t="s">
        <v>5381</v>
      </c>
      <c r="E47" s="381" t="s">
        <v>7875</v>
      </c>
      <c r="F47" s="381" t="s">
        <v>7876</v>
      </c>
      <c r="G47" s="382">
        <v>3</v>
      </c>
      <c r="H47" s="380" t="s">
        <v>3611</v>
      </c>
      <c r="I47" s="394" t="s">
        <v>8029</v>
      </c>
      <c r="J47" s="383" t="s">
        <v>5377</v>
      </c>
      <c r="K47" s="383" t="s">
        <v>4</v>
      </c>
      <c r="L47" s="383"/>
      <c r="M47" s="383"/>
      <c r="N47" s="383"/>
      <c r="O47" s="384"/>
      <c r="P47" s="385"/>
    </row>
    <row r="48" spans="1:16" ht="42" customHeight="1">
      <c r="A48" s="379" t="s">
        <v>5382</v>
      </c>
      <c r="B48" s="380" t="s">
        <v>555</v>
      </c>
      <c r="C48" s="380" t="s">
        <v>556</v>
      </c>
      <c r="D48" s="381" t="s">
        <v>5383</v>
      </c>
      <c r="E48" s="381" t="s">
        <v>7877</v>
      </c>
      <c r="F48" s="381" t="s">
        <v>7878</v>
      </c>
      <c r="G48" s="382">
        <v>5</v>
      </c>
      <c r="H48" s="380" t="s">
        <v>3611</v>
      </c>
      <c r="I48" s="394" t="s">
        <v>8029</v>
      </c>
      <c r="J48" s="383" t="s">
        <v>5380</v>
      </c>
      <c r="K48" s="383" t="s">
        <v>4</v>
      </c>
      <c r="L48" s="383"/>
      <c r="M48" s="383"/>
      <c r="N48" s="383"/>
      <c r="O48" s="384"/>
      <c r="P48" s="385"/>
    </row>
    <row r="49" spans="1:16" ht="42" customHeight="1">
      <c r="A49" s="379" t="s">
        <v>5384</v>
      </c>
      <c r="B49" s="380" t="s">
        <v>555</v>
      </c>
      <c r="C49" s="380" t="s">
        <v>559</v>
      </c>
      <c r="D49" s="381" t="s">
        <v>5385</v>
      </c>
      <c r="E49" s="381" t="s">
        <v>7879</v>
      </c>
      <c r="F49" s="381" t="s">
        <v>7880</v>
      </c>
      <c r="G49" s="382">
        <v>3</v>
      </c>
      <c r="H49" s="380" t="s">
        <v>8269</v>
      </c>
      <c r="I49" s="394" t="s">
        <v>8270</v>
      </c>
      <c r="J49" s="383" t="s">
        <v>2236</v>
      </c>
      <c r="K49" s="383" t="s">
        <v>4</v>
      </c>
      <c r="L49" s="383"/>
      <c r="M49" s="383"/>
      <c r="N49" s="383"/>
      <c r="O49" s="384"/>
      <c r="P49" s="385"/>
    </row>
    <row r="50" spans="1:16" ht="42" customHeight="1">
      <c r="A50" s="379" t="s">
        <v>5386</v>
      </c>
      <c r="B50" s="380" t="s">
        <v>555</v>
      </c>
      <c r="C50" s="380" t="s">
        <v>559</v>
      </c>
      <c r="D50" s="381" t="s">
        <v>5387</v>
      </c>
      <c r="E50" s="381" t="s">
        <v>7881</v>
      </c>
      <c r="F50" s="381" t="s">
        <v>7882</v>
      </c>
      <c r="G50" s="382">
        <v>2</v>
      </c>
      <c r="H50" s="380" t="s">
        <v>8269</v>
      </c>
      <c r="I50" s="394" t="s">
        <v>8270</v>
      </c>
      <c r="J50" s="383" t="s">
        <v>5384</v>
      </c>
      <c r="K50" s="383" t="s">
        <v>4</v>
      </c>
      <c r="L50" s="383"/>
      <c r="M50" s="383"/>
      <c r="N50" s="383"/>
      <c r="O50" s="384"/>
      <c r="P50" s="385"/>
    </row>
    <row r="51" spans="1:16" ht="42" customHeight="1">
      <c r="A51" s="379" t="s">
        <v>561</v>
      </c>
      <c r="B51" s="380" t="s">
        <v>555</v>
      </c>
      <c r="C51" s="380" t="s">
        <v>561</v>
      </c>
      <c r="D51" s="381" t="s">
        <v>5388</v>
      </c>
      <c r="E51" s="381" t="s">
        <v>7883</v>
      </c>
      <c r="F51" s="381" t="s">
        <v>7884</v>
      </c>
      <c r="G51" s="382">
        <v>2</v>
      </c>
      <c r="H51" s="380" t="s">
        <v>3611</v>
      </c>
      <c r="I51" s="394" t="s">
        <v>8029</v>
      </c>
      <c r="J51" s="383" t="s">
        <v>5389</v>
      </c>
      <c r="K51" s="383" t="s">
        <v>4</v>
      </c>
      <c r="L51" s="383"/>
      <c r="M51" s="383"/>
      <c r="N51" s="383"/>
      <c r="O51" s="384"/>
      <c r="P51" s="385"/>
    </row>
    <row r="52" spans="1:16" ht="42" customHeight="1">
      <c r="A52" s="379" t="s">
        <v>5390</v>
      </c>
      <c r="B52" s="380" t="s">
        <v>555</v>
      </c>
      <c r="C52" s="380" t="s">
        <v>563</v>
      </c>
      <c r="D52" s="381" t="s">
        <v>5391</v>
      </c>
      <c r="E52" s="381" t="s">
        <v>7885</v>
      </c>
      <c r="F52" s="381" t="s">
        <v>7886</v>
      </c>
      <c r="G52" s="382">
        <v>1</v>
      </c>
      <c r="H52" s="380" t="s">
        <v>3611</v>
      </c>
      <c r="I52" s="394" t="s">
        <v>8029</v>
      </c>
      <c r="J52" s="383" t="s">
        <v>5377</v>
      </c>
      <c r="K52" s="383" t="s">
        <v>4</v>
      </c>
      <c r="L52" s="383"/>
      <c r="M52" s="383"/>
      <c r="N52" s="383"/>
      <c r="O52" s="384"/>
      <c r="P52" s="385"/>
    </row>
    <row r="53" spans="1:16" ht="42" customHeight="1">
      <c r="A53" s="379" t="s">
        <v>5392</v>
      </c>
      <c r="B53" s="380" t="s">
        <v>555</v>
      </c>
      <c r="C53" s="380" t="s">
        <v>563</v>
      </c>
      <c r="D53" s="381" t="s">
        <v>5393</v>
      </c>
      <c r="E53" s="381" t="s">
        <v>7887</v>
      </c>
      <c r="F53" s="381" t="s">
        <v>7888</v>
      </c>
      <c r="G53" s="382">
        <v>2</v>
      </c>
      <c r="H53" s="380" t="s">
        <v>3611</v>
      </c>
      <c r="I53" s="394" t="s">
        <v>8029</v>
      </c>
      <c r="J53" s="383" t="s">
        <v>5394</v>
      </c>
      <c r="K53" s="383" t="s">
        <v>4</v>
      </c>
      <c r="L53" s="383"/>
      <c r="M53" s="383"/>
      <c r="N53" s="383"/>
      <c r="O53" s="384"/>
      <c r="P53" s="385"/>
    </row>
    <row r="54" spans="1:16" ht="42" customHeight="1">
      <c r="A54" s="379" t="s">
        <v>565</v>
      </c>
      <c r="B54" s="380" t="s">
        <v>555</v>
      </c>
      <c r="C54" s="380" t="s">
        <v>565</v>
      </c>
      <c r="D54" s="381" t="s">
        <v>5395</v>
      </c>
      <c r="E54" s="381" t="s">
        <v>7889</v>
      </c>
      <c r="F54" s="381" t="s">
        <v>7890</v>
      </c>
      <c r="G54" s="382">
        <v>1</v>
      </c>
      <c r="H54" s="380" t="s">
        <v>3611</v>
      </c>
      <c r="I54" s="394" t="s">
        <v>8029</v>
      </c>
      <c r="J54" s="383" t="s">
        <v>5377</v>
      </c>
      <c r="K54" s="383" t="s">
        <v>4</v>
      </c>
      <c r="L54" s="383"/>
      <c r="M54" s="383"/>
      <c r="N54" s="383"/>
      <c r="O54" s="384"/>
      <c r="P54" s="385"/>
    </row>
    <row r="55" spans="1:16" ht="42" customHeight="1">
      <c r="A55" s="379" t="s">
        <v>5396</v>
      </c>
      <c r="B55" s="380" t="s">
        <v>567</v>
      </c>
      <c r="C55" s="380" t="s">
        <v>6413</v>
      </c>
      <c r="D55" s="381" t="s">
        <v>6414</v>
      </c>
      <c r="E55" s="381" t="s">
        <v>7891</v>
      </c>
      <c r="F55" s="381" t="s">
        <v>7892</v>
      </c>
      <c r="G55" s="382">
        <v>1.5</v>
      </c>
      <c r="H55" s="380" t="s">
        <v>6722</v>
      </c>
      <c r="I55" s="394" t="s">
        <v>8030</v>
      </c>
      <c r="J55" s="383" t="s">
        <v>2236</v>
      </c>
      <c r="K55" s="383" t="s">
        <v>4</v>
      </c>
      <c r="L55" s="383"/>
      <c r="M55" s="383"/>
      <c r="N55" s="383"/>
      <c r="O55" s="384"/>
      <c r="P55" s="385"/>
    </row>
    <row r="56" spans="1:16" ht="42" customHeight="1">
      <c r="A56" s="379" t="s">
        <v>5397</v>
      </c>
      <c r="B56" s="380" t="s">
        <v>567</v>
      </c>
      <c r="C56" s="380" t="s">
        <v>6413</v>
      </c>
      <c r="D56" s="381" t="s">
        <v>6415</v>
      </c>
      <c r="E56" s="381" t="s">
        <v>7893</v>
      </c>
      <c r="F56" s="381" t="s">
        <v>7894</v>
      </c>
      <c r="G56" s="382">
        <v>1</v>
      </c>
      <c r="H56" s="380" t="s">
        <v>6722</v>
      </c>
      <c r="I56" s="394" t="s">
        <v>8030</v>
      </c>
      <c r="J56" s="383" t="s">
        <v>2236</v>
      </c>
      <c r="K56" s="383" t="s">
        <v>4</v>
      </c>
      <c r="L56" s="383"/>
      <c r="M56" s="383"/>
      <c r="N56" s="383"/>
      <c r="O56" s="384"/>
      <c r="P56" s="385"/>
    </row>
    <row r="57" spans="1:16" ht="42" customHeight="1">
      <c r="A57" s="379" t="s">
        <v>5398</v>
      </c>
      <c r="B57" s="380" t="s">
        <v>567</v>
      </c>
      <c r="C57" s="380" t="s">
        <v>6413</v>
      </c>
      <c r="D57" s="381" t="s">
        <v>6416</v>
      </c>
      <c r="E57" s="381" t="s">
        <v>7895</v>
      </c>
      <c r="F57" s="381" t="s">
        <v>7896</v>
      </c>
      <c r="G57" s="382">
        <v>1.5</v>
      </c>
      <c r="H57" s="380" t="s">
        <v>6722</v>
      </c>
      <c r="I57" s="394" t="s">
        <v>8030</v>
      </c>
      <c r="J57" s="383" t="s">
        <v>2236</v>
      </c>
      <c r="K57" s="383" t="s">
        <v>4</v>
      </c>
      <c r="L57" s="383"/>
      <c r="M57" s="383"/>
      <c r="N57" s="383"/>
      <c r="O57" s="384"/>
      <c r="P57" s="385"/>
    </row>
    <row r="58" spans="1:16" ht="42" customHeight="1">
      <c r="A58" s="379" t="s">
        <v>571</v>
      </c>
      <c r="B58" s="380" t="s">
        <v>567</v>
      </c>
      <c r="C58" s="380" t="s">
        <v>571</v>
      </c>
      <c r="D58" s="381" t="s">
        <v>5399</v>
      </c>
      <c r="E58" s="381" t="s">
        <v>7897</v>
      </c>
      <c r="F58" s="381" t="s">
        <v>7898</v>
      </c>
      <c r="G58" s="382">
        <v>2</v>
      </c>
      <c r="H58" s="380" t="s">
        <v>3611</v>
      </c>
      <c r="I58" s="394" t="s">
        <v>8029</v>
      </c>
      <c r="J58" s="383" t="s">
        <v>2236</v>
      </c>
      <c r="K58" s="383" t="s">
        <v>4</v>
      </c>
      <c r="L58" s="383"/>
      <c r="M58" s="383"/>
      <c r="N58" s="383"/>
      <c r="O58" s="384"/>
      <c r="P58" s="385"/>
    </row>
    <row r="59" spans="1:16" ht="42" customHeight="1">
      <c r="A59" s="379" t="s">
        <v>573</v>
      </c>
      <c r="B59" s="380" t="s">
        <v>567</v>
      </c>
      <c r="C59" s="380" t="s">
        <v>573</v>
      </c>
      <c r="D59" s="381" t="s">
        <v>5400</v>
      </c>
      <c r="E59" s="381" t="s">
        <v>7899</v>
      </c>
      <c r="F59" s="381" t="s">
        <v>7900</v>
      </c>
      <c r="G59" s="382">
        <v>4</v>
      </c>
      <c r="H59" s="380" t="s">
        <v>3611</v>
      </c>
      <c r="I59" s="394" t="s">
        <v>8029</v>
      </c>
      <c r="J59" s="383" t="s">
        <v>2236</v>
      </c>
      <c r="K59" s="383" t="s">
        <v>4</v>
      </c>
      <c r="L59" s="383"/>
      <c r="M59" s="383"/>
      <c r="N59" s="383"/>
      <c r="O59" s="384"/>
      <c r="P59" s="385"/>
    </row>
    <row r="60" spans="1:16" ht="42" customHeight="1">
      <c r="A60" s="379" t="s">
        <v>575</v>
      </c>
      <c r="B60" s="380" t="s">
        <v>567</v>
      </c>
      <c r="C60" s="380" t="s">
        <v>575</v>
      </c>
      <c r="D60" s="381" t="s">
        <v>5401</v>
      </c>
      <c r="E60" s="381" t="s">
        <v>7901</v>
      </c>
      <c r="F60" s="381" t="s">
        <v>7902</v>
      </c>
      <c r="G60" s="382">
        <v>1</v>
      </c>
      <c r="H60" s="380" t="s">
        <v>3611</v>
      </c>
      <c r="I60" s="394" t="s">
        <v>8029</v>
      </c>
      <c r="J60" s="383" t="s">
        <v>2236</v>
      </c>
      <c r="K60" s="383" t="s">
        <v>4</v>
      </c>
      <c r="L60" s="383"/>
      <c r="M60" s="383"/>
      <c r="N60" s="383"/>
      <c r="O60" s="384"/>
      <c r="P60" s="385"/>
    </row>
    <row r="61" spans="1:16" ht="42" customHeight="1">
      <c r="A61" s="379" t="s">
        <v>577</v>
      </c>
      <c r="B61" s="380" t="s">
        <v>567</v>
      </c>
      <c r="C61" s="380" t="s">
        <v>577</v>
      </c>
      <c r="D61" s="381" t="s">
        <v>5402</v>
      </c>
      <c r="E61" s="381" t="s">
        <v>7903</v>
      </c>
      <c r="F61" s="381" t="s">
        <v>7904</v>
      </c>
      <c r="G61" s="382">
        <v>2</v>
      </c>
      <c r="H61" s="380" t="s">
        <v>3611</v>
      </c>
      <c r="I61" s="394" t="s">
        <v>8029</v>
      </c>
      <c r="J61" s="383" t="s">
        <v>2236</v>
      </c>
      <c r="K61" s="383" t="s">
        <v>4</v>
      </c>
      <c r="L61" s="383"/>
      <c r="M61" s="383"/>
      <c r="N61" s="383"/>
      <c r="O61" s="384"/>
      <c r="P61" s="385"/>
    </row>
    <row r="62" spans="1:16" ht="42" customHeight="1">
      <c r="A62" s="379" t="s">
        <v>579</v>
      </c>
      <c r="B62" s="380" t="s">
        <v>567</v>
      </c>
      <c r="C62" s="380" t="s">
        <v>579</v>
      </c>
      <c r="D62" s="381" t="s">
        <v>5403</v>
      </c>
      <c r="E62" s="381" t="s">
        <v>7905</v>
      </c>
      <c r="F62" s="381" t="s">
        <v>7906</v>
      </c>
      <c r="G62" s="382">
        <v>1</v>
      </c>
      <c r="H62" s="380" t="s">
        <v>3611</v>
      </c>
      <c r="I62" s="394" t="s">
        <v>8029</v>
      </c>
      <c r="J62" s="383" t="s">
        <v>2236</v>
      </c>
      <c r="K62" s="383" t="s">
        <v>4</v>
      </c>
      <c r="L62" s="383"/>
      <c r="M62" s="383"/>
      <c r="N62" s="383"/>
      <c r="O62" s="384"/>
      <c r="P62" s="385"/>
    </row>
    <row r="63" spans="1:16" ht="42" customHeight="1">
      <c r="A63" s="379" t="s">
        <v>581</v>
      </c>
      <c r="B63" s="380" t="s">
        <v>567</v>
      </c>
      <c r="C63" s="380" t="s">
        <v>581</v>
      </c>
      <c r="D63" s="381" t="s">
        <v>582</v>
      </c>
      <c r="E63" s="381" t="s">
        <v>7907</v>
      </c>
      <c r="F63" s="381" t="s">
        <v>7908</v>
      </c>
      <c r="G63" s="382">
        <v>2</v>
      </c>
      <c r="H63" s="380" t="s">
        <v>3611</v>
      </c>
      <c r="I63" s="394" t="s">
        <v>8029</v>
      </c>
      <c r="J63" s="383" t="s">
        <v>2236</v>
      </c>
      <c r="K63" s="383" t="s">
        <v>4</v>
      </c>
      <c r="L63" s="383"/>
      <c r="M63" s="383"/>
      <c r="N63" s="383"/>
      <c r="O63" s="384"/>
      <c r="P63" s="385"/>
    </row>
    <row r="64" spans="1:16" ht="42" customHeight="1">
      <c r="A64" s="379" t="s">
        <v>583</v>
      </c>
      <c r="B64" s="380" t="s">
        <v>567</v>
      </c>
      <c r="C64" s="380" t="s">
        <v>583</v>
      </c>
      <c r="D64" s="381" t="s">
        <v>5404</v>
      </c>
      <c r="E64" s="381" t="s">
        <v>7909</v>
      </c>
      <c r="F64" s="381" t="s">
        <v>7910</v>
      </c>
      <c r="G64" s="382">
        <v>1</v>
      </c>
      <c r="H64" s="380" t="s">
        <v>3611</v>
      </c>
      <c r="I64" s="394" t="s">
        <v>8029</v>
      </c>
      <c r="J64" s="383" t="s">
        <v>2236</v>
      </c>
      <c r="K64" s="383" t="s">
        <v>4</v>
      </c>
      <c r="L64" s="383"/>
      <c r="M64" s="383"/>
      <c r="N64" s="383"/>
      <c r="O64" s="384"/>
      <c r="P64" s="385"/>
    </row>
    <row r="65" spans="1:16" ht="42" customHeight="1">
      <c r="A65" s="379" t="s">
        <v>5405</v>
      </c>
      <c r="B65" s="380" t="s">
        <v>567</v>
      </c>
      <c r="C65" s="380" t="s">
        <v>5405</v>
      </c>
      <c r="D65" s="381" t="s">
        <v>5406</v>
      </c>
      <c r="E65" s="381" t="s">
        <v>7911</v>
      </c>
      <c r="F65" s="381" t="s">
        <v>7912</v>
      </c>
      <c r="G65" s="382">
        <v>3</v>
      </c>
      <c r="H65" s="380" t="s">
        <v>3611</v>
      </c>
      <c r="I65" s="394" t="s">
        <v>8029</v>
      </c>
      <c r="J65" s="383" t="s">
        <v>5407</v>
      </c>
      <c r="K65" s="383" t="s">
        <v>4</v>
      </c>
      <c r="L65" s="383"/>
      <c r="M65" s="383"/>
      <c r="N65" s="383"/>
      <c r="O65" s="384"/>
      <c r="P65" s="385"/>
    </row>
    <row r="66" spans="1:16" ht="42" customHeight="1">
      <c r="A66" s="379" t="s">
        <v>5408</v>
      </c>
      <c r="B66" s="380" t="s">
        <v>567</v>
      </c>
      <c r="C66" s="380" t="s">
        <v>5408</v>
      </c>
      <c r="D66" s="381" t="s">
        <v>5409</v>
      </c>
      <c r="E66" s="381" t="s">
        <v>7913</v>
      </c>
      <c r="F66" s="381" t="s">
        <v>7914</v>
      </c>
      <c r="G66" s="382">
        <v>2</v>
      </c>
      <c r="H66" s="380" t="s">
        <v>3611</v>
      </c>
      <c r="I66" s="394" t="s">
        <v>8029</v>
      </c>
      <c r="J66" s="383" t="s">
        <v>5405</v>
      </c>
      <c r="K66" s="383" t="s">
        <v>4</v>
      </c>
      <c r="L66" s="383"/>
      <c r="M66" s="383"/>
      <c r="N66" s="383"/>
      <c r="O66" s="384"/>
      <c r="P66" s="385"/>
    </row>
    <row r="67" spans="1:16" ht="42" customHeight="1">
      <c r="A67" s="379" t="s">
        <v>6719</v>
      </c>
      <c r="B67" s="380" t="s">
        <v>567</v>
      </c>
      <c r="C67" s="380" t="s">
        <v>6720</v>
      </c>
      <c r="D67" s="381" t="s">
        <v>6721</v>
      </c>
      <c r="E67" s="381" t="s">
        <v>7915</v>
      </c>
      <c r="F67" s="381" t="s">
        <v>7916</v>
      </c>
      <c r="G67" s="382">
        <v>1</v>
      </c>
      <c r="H67" s="380" t="s">
        <v>3611</v>
      </c>
      <c r="I67" s="394" t="s">
        <v>8029</v>
      </c>
      <c r="J67" s="383" t="s">
        <v>2236</v>
      </c>
      <c r="K67" s="383" t="s">
        <v>4</v>
      </c>
      <c r="L67" s="383"/>
      <c r="M67" s="383"/>
      <c r="N67" s="383"/>
      <c r="O67" s="384"/>
      <c r="P67" s="385"/>
    </row>
    <row r="68" spans="1:16" ht="42" customHeight="1">
      <c r="A68" s="379" t="s">
        <v>586</v>
      </c>
      <c r="B68" s="380" t="s">
        <v>585</v>
      </c>
      <c r="C68" s="380" t="s">
        <v>586</v>
      </c>
      <c r="D68" s="381" t="s">
        <v>5410</v>
      </c>
      <c r="E68" s="381" t="s">
        <v>7917</v>
      </c>
      <c r="F68" s="381" t="s">
        <v>7918</v>
      </c>
      <c r="G68" s="382">
        <v>2</v>
      </c>
      <c r="H68" s="380" t="s">
        <v>8068</v>
      </c>
      <c r="I68" s="394" t="s">
        <v>8069</v>
      </c>
      <c r="J68" s="383" t="s">
        <v>2236</v>
      </c>
      <c r="K68" s="383" t="s">
        <v>4</v>
      </c>
      <c r="L68" s="383"/>
      <c r="M68" s="383"/>
      <c r="N68" s="383"/>
      <c r="O68" s="384"/>
      <c r="P68" s="385"/>
    </row>
    <row r="69" spans="1:16" ht="42" customHeight="1">
      <c r="A69" s="379" t="s">
        <v>589</v>
      </c>
      <c r="B69" s="380" t="s">
        <v>585</v>
      </c>
      <c r="C69" s="380" t="s">
        <v>589</v>
      </c>
      <c r="D69" s="381" t="s">
        <v>5411</v>
      </c>
      <c r="E69" s="381" t="s">
        <v>7919</v>
      </c>
      <c r="F69" s="381" t="s">
        <v>7920</v>
      </c>
      <c r="G69" s="382">
        <v>3</v>
      </c>
      <c r="H69" s="380" t="s">
        <v>8054</v>
      </c>
      <c r="I69" s="394" t="s">
        <v>8055</v>
      </c>
      <c r="J69" s="383" t="s">
        <v>5412</v>
      </c>
      <c r="K69" s="383" t="s">
        <v>4</v>
      </c>
      <c r="L69" s="383"/>
      <c r="M69" s="383"/>
      <c r="N69" s="383"/>
      <c r="O69" s="384"/>
      <c r="P69" s="385"/>
    </row>
    <row r="70" spans="1:16" ht="42" customHeight="1">
      <c r="A70" s="379" t="s">
        <v>591</v>
      </c>
      <c r="B70" s="380" t="s">
        <v>585</v>
      </c>
      <c r="C70" s="380" t="s">
        <v>591</v>
      </c>
      <c r="D70" s="381" t="s">
        <v>592</v>
      </c>
      <c r="E70" s="381" t="s">
        <v>7215</v>
      </c>
      <c r="F70" s="381" t="s">
        <v>7216</v>
      </c>
      <c r="G70" s="382">
        <v>0</v>
      </c>
      <c r="H70" s="380" t="s">
        <v>3611</v>
      </c>
      <c r="I70" s="394" t="s">
        <v>8029</v>
      </c>
      <c r="J70" s="383" t="s">
        <v>2236</v>
      </c>
      <c r="K70" s="383" t="s">
        <v>5413</v>
      </c>
      <c r="L70" s="383"/>
      <c r="M70" s="383"/>
      <c r="N70" s="383"/>
      <c r="O70" s="384"/>
      <c r="P70" s="385"/>
    </row>
    <row r="71" spans="1:16" ht="42" customHeight="1">
      <c r="A71" s="379" t="s">
        <v>593</v>
      </c>
      <c r="B71" s="380" t="s">
        <v>585</v>
      </c>
      <c r="C71" s="380" t="s">
        <v>593</v>
      </c>
      <c r="D71" s="381" t="s">
        <v>5414</v>
      </c>
      <c r="E71" s="381" t="s">
        <v>7217</v>
      </c>
      <c r="F71" s="381" t="s">
        <v>7216</v>
      </c>
      <c r="G71" s="382">
        <v>0</v>
      </c>
      <c r="H71" s="380" t="s">
        <v>3611</v>
      </c>
      <c r="I71" s="394" t="s">
        <v>8029</v>
      </c>
      <c r="J71" s="383" t="s">
        <v>2236</v>
      </c>
      <c r="K71" s="383" t="s">
        <v>5413</v>
      </c>
      <c r="L71" s="383"/>
      <c r="M71" s="383"/>
      <c r="N71" s="383"/>
      <c r="O71" s="384"/>
      <c r="P71" s="385"/>
    </row>
    <row r="72" spans="1:16" ht="42" customHeight="1">
      <c r="A72" s="379" t="s">
        <v>595</v>
      </c>
      <c r="B72" s="380" t="s">
        <v>585</v>
      </c>
      <c r="C72" s="380" t="s">
        <v>595</v>
      </c>
      <c r="D72" s="381" t="s">
        <v>5415</v>
      </c>
      <c r="E72" s="381" t="s">
        <v>7921</v>
      </c>
      <c r="F72" s="381" t="s">
        <v>7922</v>
      </c>
      <c r="G72" s="382">
        <v>1</v>
      </c>
      <c r="H72" s="380" t="s">
        <v>8047</v>
      </c>
      <c r="I72" s="394" t="s">
        <v>8048</v>
      </c>
      <c r="J72" s="383" t="s">
        <v>2236</v>
      </c>
      <c r="K72" s="383" t="s">
        <v>4</v>
      </c>
      <c r="L72" s="383"/>
      <c r="M72" s="383"/>
      <c r="N72" s="383"/>
      <c r="O72" s="384"/>
      <c r="P72" s="385"/>
    </row>
    <row r="73" spans="1:16" ht="42" customHeight="1">
      <c r="A73" s="379" t="s">
        <v>597</v>
      </c>
      <c r="B73" s="380" t="s">
        <v>585</v>
      </c>
      <c r="C73" s="380" t="s">
        <v>597</v>
      </c>
      <c r="D73" s="381" t="s">
        <v>5416</v>
      </c>
      <c r="E73" s="381" t="s">
        <v>7923</v>
      </c>
      <c r="F73" s="381" t="s">
        <v>7924</v>
      </c>
      <c r="G73" s="382">
        <v>3</v>
      </c>
      <c r="H73" s="380" t="s">
        <v>8192</v>
      </c>
      <c r="I73" s="394" t="s">
        <v>8193</v>
      </c>
      <c r="J73" s="383" t="s">
        <v>2236</v>
      </c>
      <c r="K73" s="383" t="s">
        <v>4</v>
      </c>
      <c r="L73" s="383"/>
      <c r="M73" s="383"/>
      <c r="N73" s="383"/>
      <c r="O73" s="384"/>
      <c r="P73" s="385"/>
    </row>
    <row r="74" spans="1:16" ht="42" customHeight="1">
      <c r="A74" s="379" t="s">
        <v>599</v>
      </c>
      <c r="B74" s="380" t="s">
        <v>585</v>
      </c>
      <c r="C74" s="380" t="s">
        <v>599</v>
      </c>
      <c r="D74" s="381" t="s">
        <v>5417</v>
      </c>
      <c r="E74" s="381" t="s">
        <v>7925</v>
      </c>
      <c r="F74" s="381" t="s">
        <v>7926</v>
      </c>
      <c r="G74" s="382">
        <v>3</v>
      </c>
      <c r="H74" s="380" t="s">
        <v>8194</v>
      </c>
      <c r="I74" s="394" t="s">
        <v>8195</v>
      </c>
      <c r="J74" s="383" t="s">
        <v>5394</v>
      </c>
      <c r="K74" s="383" t="s">
        <v>4</v>
      </c>
      <c r="L74" s="383"/>
      <c r="M74" s="383"/>
      <c r="N74" s="383"/>
      <c r="O74" s="384"/>
      <c r="P74" s="385"/>
    </row>
    <row r="75" spans="1:16" ht="42" customHeight="1">
      <c r="A75" s="379" t="s">
        <v>601</v>
      </c>
      <c r="B75" s="380" t="s">
        <v>585</v>
      </c>
      <c r="C75" s="380" t="s">
        <v>601</v>
      </c>
      <c r="D75" s="381" t="s">
        <v>5418</v>
      </c>
      <c r="E75" s="381" t="s">
        <v>7927</v>
      </c>
      <c r="F75" s="381" t="s">
        <v>7928</v>
      </c>
      <c r="G75" s="382">
        <v>2</v>
      </c>
      <c r="H75" s="380" t="s">
        <v>8118</v>
      </c>
      <c r="I75" s="394" t="s">
        <v>8119</v>
      </c>
      <c r="J75" s="383" t="s">
        <v>2236</v>
      </c>
      <c r="K75" s="383" t="s">
        <v>4</v>
      </c>
      <c r="L75" s="383"/>
      <c r="M75" s="383"/>
      <c r="N75" s="383"/>
      <c r="O75" s="384"/>
      <c r="P75" s="385"/>
    </row>
    <row r="76" spans="1:16" ht="42" customHeight="1">
      <c r="A76" s="379" t="s">
        <v>5419</v>
      </c>
      <c r="B76" s="380" t="s">
        <v>585</v>
      </c>
      <c r="C76" s="380" t="s">
        <v>603</v>
      </c>
      <c r="D76" s="381" t="s">
        <v>5420</v>
      </c>
      <c r="E76" s="381" t="s">
        <v>7929</v>
      </c>
      <c r="F76" s="381" t="s">
        <v>7930</v>
      </c>
      <c r="G76" s="382">
        <v>1.5</v>
      </c>
      <c r="H76" s="380" t="s">
        <v>8176</v>
      </c>
      <c r="I76" s="394" t="s">
        <v>8177</v>
      </c>
      <c r="J76" s="383" t="s">
        <v>2236</v>
      </c>
      <c r="K76" s="383" t="s">
        <v>4</v>
      </c>
      <c r="L76" s="383"/>
      <c r="M76" s="383"/>
      <c r="N76" s="383"/>
      <c r="O76" s="384"/>
      <c r="P76" s="385"/>
    </row>
    <row r="77" spans="1:16" ht="42" customHeight="1">
      <c r="A77" s="379" t="s">
        <v>5421</v>
      </c>
      <c r="B77" s="380" t="s">
        <v>585</v>
      </c>
      <c r="C77" s="380" t="s">
        <v>603</v>
      </c>
      <c r="D77" s="381" t="s">
        <v>5422</v>
      </c>
      <c r="E77" s="381" t="s">
        <v>7931</v>
      </c>
      <c r="F77" s="381" t="s">
        <v>7932</v>
      </c>
      <c r="G77" s="382">
        <v>1.5</v>
      </c>
      <c r="H77" s="380" t="s">
        <v>8168</v>
      </c>
      <c r="I77" s="394" t="s">
        <v>8169</v>
      </c>
      <c r="J77" s="383" t="s">
        <v>2236</v>
      </c>
      <c r="K77" s="383" t="s">
        <v>4</v>
      </c>
      <c r="L77" s="383"/>
      <c r="M77" s="383"/>
      <c r="N77" s="383"/>
      <c r="O77" s="384"/>
      <c r="P77" s="385"/>
    </row>
    <row r="78" spans="1:16" ht="42" customHeight="1">
      <c r="A78" s="379" t="s">
        <v>5423</v>
      </c>
      <c r="B78" s="380" t="s">
        <v>585</v>
      </c>
      <c r="C78" s="380" t="s">
        <v>603</v>
      </c>
      <c r="D78" s="381" t="s">
        <v>5424</v>
      </c>
      <c r="E78" s="381" t="s">
        <v>7933</v>
      </c>
      <c r="F78" s="381" t="s">
        <v>7934</v>
      </c>
      <c r="G78" s="382">
        <v>2</v>
      </c>
      <c r="H78" s="380" t="s">
        <v>8196</v>
      </c>
      <c r="I78" s="394" t="s">
        <v>8197</v>
      </c>
      <c r="J78" s="383" t="s">
        <v>2236</v>
      </c>
      <c r="K78" s="383" t="s">
        <v>4</v>
      </c>
      <c r="L78" s="383"/>
      <c r="M78" s="383"/>
      <c r="N78" s="383"/>
      <c r="O78" s="384"/>
      <c r="P78" s="385"/>
    </row>
    <row r="79" spans="1:16" ht="42" customHeight="1">
      <c r="A79" s="379" t="s">
        <v>605</v>
      </c>
      <c r="B79" s="380" t="s">
        <v>585</v>
      </c>
      <c r="C79" s="380" t="s">
        <v>605</v>
      </c>
      <c r="D79" s="381" t="s">
        <v>606</v>
      </c>
      <c r="E79" s="381" t="s">
        <v>7218</v>
      </c>
      <c r="F79" s="381" t="s">
        <v>7214</v>
      </c>
      <c r="G79" s="382">
        <v>0</v>
      </c>
      <c r="H79" s="380" t="s">
        <v>3611</v>
      </c>
      <c r="I79" s="394" t="s">
        <v>8029</v>
      </c>
      <c r="J79" s="383" t="s">
        <v>2236</v>
      </c>
      <c r="K79" s="383" t="s">
        <v>5349</v>
      </c>
      <c r="L79" s="383"/>
      <c r="M79" s="383"/>
      <c r="N79" s="383"/>
      <c r="O79" s="384"/>
      <c r="P79" s="385"/>
    </row>
    <row r="80" spans="1:16" ht="42" customHeight="1">
      <c r="A80" s="379" t="s">
        <v>607</v>
      </c>
      <c r="B80" s="380" t="s">
        <v>585</v>
      </c>
      <c r="C80" s="380" t="s">
        <v>607</v>
      </c>
      <c r="D80" s="381" t="s">
        <v>608</v>
      </c>
      <c r="E80" s="381" t="s">
        <v>7935</v>
      </c>
      <c r="F80" s="381" t="s">
        <v>7936</v>
      </c>
      <c r="G80" s="382">
        <v>2</v>
      </c>
      <c r="H80" s="380" t="s">
        <v>8070</v>
      </c>
      <c r="I80" s="394" t="s">
        <v>8071</v>
      </c>
      <c r="J80" s="383" t="s">
        <v>538</v>
      </c>
      <c r="K80" s="383" t="s">
        <v>4</v>
      </c>
      <c r="L80" s="383"/>
      <c r="M80" s="383"/>
      <c r="N80" s="383"/>
      <c r="O80" s="384"/>
      <c r="P80" s="385"/>
    </row>
    <row r="81" spans="1:16" ht="42" customHeight="1">
      <c r="A81" s="379" t="s">
        <v>609</v>
      </c>
      <c r="B81" s="380" t="s">
        <v>585</v>
      </c>
      <c r="C81" s="380" t="s">
        <v>609</v>
      </c>
      <c r="D81" s="381" t="s">
        <v>5425</v>
      </c>
      <c r="E81" s="381" t="s">
        <v>7937</v>
      </c>
      <c r="F81" s="381" t="s">
        <v>7938</v>
      </c>
      <c r="G81" s="382">
        <v>3</v>
      </c>
      <c r="H81" s="380" t="s">
        <v>8271</v>
      </c>
      <c r="I81" s="394" t="s">
        <v>8272</v>
      </c>
      <c r="J81" s="383" t="s">
        <v>546</v>
      </c>
      <c r="K81" s="383" t="s">
        <v>4</v>
      </c>
      <c r="L81" s="383"/>
      <c r="M81" s="383"/>
      <c r="N81" s="383"/>
      <c r="O81" s="384"/>
      <c r="P81" s="385"/>
    </row>
    <row r="82" spans="1:16" ht="42" customHeight="1">
      <c r="A82" s="379" t="s">
        <v>611</v>
      </c>
      <c r="B82" s="380" t="s">
        <v>585</v>
      </c>
      <c r="C82" s="380" t="s">
        <v>611</v>
      </c>
      <c r="D82" s="381" t="s">
        <v>612</v>
      </c>
      <c r="E82" s="381" t="s">
        <v>7939</v>
      </c>
      <c r="F82" s="381" t="s">
        <v>7940</v>
      </c>
      <c r="G82" s="382">
        <v>2</v>
      </c>
      <c r="H82" s="380" t="s">
        <v>8096</v>
      </c>
      <c r="I82" s="394" t="s">
        <v>8097</v>
      </c>
      <c r="J82" s="383" t="s">
        <v>2236</v>
      </c>
      <c r="K82" s="383" t="s">
        <v>4</v>
      </c>
      <c r="L82" s="383"/>
      <c r="M82" s="383"/>
      <c r="N82" s="383"/>
      <c r="O82" s="384"/>
      <c r="P82" s="385"/>
    </row>
    <row r="83" spans="1:16" ht="42" customHeight="1">
      <c r="A83" s="379" t="s">
        <v>613</v>
      </c>
      <c r="B83" s="380" t="s">
        <v>585</v>
      </c>
      <c r="C83" s="380" t="s">
        <v>613</v>
      </c>
      <c r="D83" s="381" t="s">
        <v>614</v>
      </c>
      <c r="E83" s="381" t="s">
        <v>7941</v>
      </c>
      <c r="F83" s="381" t="s">
        <v>7942</v>
      </c>
      <c r="G83" s="382">
        <v>1</v>
      </c>
      <c r="H83" s="380" t="s">
        <v>8273</v>
      </c>
      <c r="I83" s="394" t="s">
        <v>8274</v>
      </c>
      <c r="J83" s="383" t="s">
        <v>2236</v>
      </c>
      <c r="K83" s="383" t="s">
        <v>4</v>
      </c>
      <c r="L83" s="383"/>
      <c r="M83" s="383"/>
      <c r="N83" s="383"/>
      <c r="O83" s="384"/>
      <c r="P83" s="385"/>
    </row>
    <row r="84" spans="1:16" ht="42" customHeight="1">
      <c r="A84" s="379" t="s">
        <v>615</v>
      </c>
      <c r="B84" s="380" t="s">
        <v>585</v>
      </c>
      <c r="C84" s="380" t="s">
        <v>615</v>
      </c>
      <c r="D84" s="381" t="s">
        <v>616</v>
      </c>
      <c r="E84" s="381" t="s">
        <v>7943</v>
      </c>
      <c r="F84" s="381" t="s">
        <v>7944</v>
      </c>
      <c r="G84" s="382">
        <v>2</v>
      </c>
      <c r="H84" s="380" t="s">
        <v>3611</v>
      </c>
      <c r="I84" s="394" t="s">
        <v>8029</v>
      </c>
      <c r="J84" s="383" t="s">
        <v>653</v>
      </c>
      <c r="K84" s="383" t="s">
        <v>4</v>
      </c>
      <c r="L84" s="383"/>
      <c r="M84" s="383"/>
      <c r="N84" s="383"/>
      <c r="O84" s="384"/>
      <c r="P84" s="385"/>
    </row>
    <row r="85" spans="1:16" ht="42" customHeight="1">
      <c r="A85" s="379" t="s">
        <v>5426</v>
      </c>
      <c r="B85" s="380" t="s">
        <v>585</v>
      </c>
      <c r="C85" s="380" t="s">
        <v>6417</v>
      </c>
      <c r="D85" s="381" t="s">
        <v>6418</v>
      </c>
      <c r="E85" s="381" t="s">
        <v>7945</v>
      </c>
      <c r="F85" s="381" t="s">
        <v>7946</v>
      </c>
      <c r="G85" s="382">
        <v>2</v>
      </c>
      <c r="H85" s="380" t="s">
        <v>8267</v>
      </c>
      <c r="I85" s="394" t="s">
        <v>8268</v>
      </c>
      <c r="J85" s="383" t="s">
        <v>5427</v>
      </c>
      <c r="K85" s="383" t="s">
        <v>4</v>
      </c>
      <c r="L85" s="383"/>
      <c r="M85" s="383"/>
      <c r="N85" s="383"/>
      <c r="O85" s="384"/>
      <c r="P85" s="385"/>
    </row>
    <row r="86" spans="1:16" ht="42" customHeight="1">
      <c r="A86" s="379" t="s">
        <v>5428</v>
      </c>
      <c r="B86" s="380" t="s">
        <v>585</v>
      </c>
      <c r="C86" s="380" t="s">
        <v>6417</v>
      </c>
      <c r="D86" s="381" t="s">
        <v>6419</v>
      </c>
      <c r="E86" s="381" t="s">
        <v>7947</v>
      </c>
      <c r="F86" s="381" t="s">
        <v>7948</v>
      </c>
      <c r="G86" s="382">
        <v>1</v>
      </c>
      <c r="H86" s="380" t="s">
        <v>8267</v>
      </c>
      <c r="I86" s="394" t="s">
        <v>8268</v>
      </c>
      <c r="J86" s="383" t="s">
        <v>2236</v>
      </c>
      <c r="K86" s="383" t="s">
        <v>4</v>
      </c>
      <c r="L86" s="383"/>
      <c r="M86" s="383"/>
      <c r="N86" s="383"/>
      <c r="O86" s="384"/>
      <c r="P86" s="385"/>
    </row>
    <row r="87" spans="1:16" ht="42" customHeight="1">
      <c r="A87" s="379" t="s">
        <v>5429</v>
      </c>
      <c r="B87" s="380" t="s">
        <v>585</v>
      </c>
      <c r="C87" s="380" t="s">
        <v>6417</v>
      </c>
      <c r="D87" s="381" t="s">
        <v>6420</v>
      </c>
      <c r="E87" s="381" t="s">
        <v>7949</v>
      </c>
      <c r="F87" s="381" t="s">
        <v>7950</v>
      </c>
      <c r="G87" s="382">
        <v>1</v>
      </c>
      <c r="H87" s="380" t="s">
        <v>8267</v>
      </c>
      <c r="I87" s="394" t="s">
        <v>8268</v>
      </c>
      <c r="J87" s="383" t="s">
        <v>2236</v>
      </c>
      <c r="K87" s="383" t="s">
        <v>4</v>
      </c>
      <c r="L87" s="383"/>
      <c r="M87" s="383"/>
      <c r="N87" s="383"/>
      <c r="O87" s="384"/>
      <c r="P87" s="385"/>
    </row>
    <row r="88" spans="1:16" ht="42" customHeight="1">
      <c r="A88" s="379" t="s">
        <v>5430</v>
      </c>
      <c r="B88" s="380" t="s">
        <v>585</v>
      </c>
      <c r="C88" s="380" t="s">
        <v>6421</v>
      </c>
      <c r="D88" s="381" t="s">
        <v>6422</v>
      </c>
      <c r="E88" s="381" t="s">
        <v>7951</v>
      </c>
      <c r="F88" s="381" t="s">
        <v>7952</v>
      </c>
      <c r="G88" s="382">
        <v>1</v>
      </c>
      <c r="H88" s="380" t="s">
        <v>8275</v>
      </c>
      <c r="I88" s="394" t="s">
        <v>8276</v>
      </c>
      <c r="J88" s="383" t="s">
        <v>2236</v>
      </c>
      <c r="K88" s="383" t="s">
        <v>4</v>
      </c>
      <c r="L88" s="383"/>
      <c r="M88" s="383"/>
      <c r="N88" s="383"/>
      <c r="O88" s="384"/>
      <c r="P88" s="385"/>
    </row>
    <row r="89" spans="1:16" ht="42" customHeight="1">
      <c r="A89" s="379" t="s">
        <v>5431</v>
      </c>
      <c r="B89" s="380" t="s">
        <v>585</v>
      </c>
      <c r="C89" s="380" t="s">
        <v>6421</v>
      </c>
      <c r="D89" s="381" t="s">
        <v>6423</v>
      </c>
      <c r="E89" s="381" t="s">
        <v>7953</v>
      </c>
      <c r="F89" s="381" t="s">
        <v>7954</v>
      </c>
      <c r="G89" s="382">
        <v>1.5</v>
      </c>
      <c r="H89" s="380" t="s">
        <v>8118</v>
      </c>
      <c r="I89" s="394" t="s">
        <v>8119</v>
      </c>
      <c r="J89" s="383" t="s">
        <v>2236</v>
      </c>
      <c r="K89" s="383" t="s">
        <v>4</v>
      </c>
      <c r="L89" s="383"/>
      <c r="M89" s="383"/>
      <c r="N89" s="383"/>
      <c r="O89" s="384"/>
      <c r="P89" s="385"/>
    </row>
    <row r="90" spans="1:16" ht="42" customHeight="1">
      <c r="A90" s="379" t="s">
        <v>5432</v>
      </c>
      <c r="B90" s="380" t="s">
        <v>585</v>
      </c>
      <c r="C90" s="380" t="s">
        <v>6421</v>
      </c>
      <c r="D90" s="381" t="s">
        <v>6424</v>
      </c>
      <c r="E90" s="381" t="s">
        <v>7955</v>
      </c>
      <c r="F90" s="381" t="s">
        <v>7952</v>
      </c>
      <c r="G90" s="382">
        <v>1</v>
      </c>
      <c r="H90" s="380" t="s">
        <v>8080</v>
      </c>
      <c r="I90" s="394" t="s">
        <v>8081</v>
      </c>
      <c r="J90" s="383" t="s">
        <v>2236</v>
      </c>
      <c r="K90" s="383" t="s">
        <v>4</v>
      </c>
      <c r="L90" s="383"/>
      <c r="M90" s="383"/>
      <c r="N90" s="383"/>
      <c r="O90" s="384"/>
      <c r="P90" s="385"/>
    </row>
    <row r="91" spans="1:16" ht="42" customHeight="1">
      <c r="A91" s="379" t="s">
        <v>5433</v>
      </c>
      <c r="B91" s="380" t="s">
        <v>585</v>
      </c>
      <c r="C91" s="380" t="s">
        <v>6421</v>
      </c>
      <c r="D91" s="381" t="s">
        <v>6425</v>
      </c>
      <c r="E91" s="381" t="s">
        <v>7956</v>
      </c>
      <c r="F91" s="381" t="s">
        <v>7957</v>
      </c>
      <c r="G91" s="382">
        <v>1</v>
      </c>
      <c r="H91" s="380" t="s">
        <v>8080</v>
      </c>
      <c r="I91" s="394" t="s">
        <v>8081</v>
      </c>
      <c r="J91" s="383" t="s">
        <v>2236</v>
      </c>
      <c r="K91" s="383" t="s">
        <v>4</v>
      </c>
      <c r="L91" s="383"/>
      <c r="M91" s="383"/>
      <c r="N91" s="383"/>
      <c r="O91" s="384"/>
      <c r="P91" s="385"/>
    </row>
    <row r="92" spans="1:16" ht="42" customHeight="1">
      <c r="A92" s="379" t="s">
        <v>5434</v>
      </c>
      <c r="B92" s="380" t="s">
        <v>585</v>
      </c>
      <c r="C92" s="380" t="s">
        <v>6421</v>
      </c>
      <c r="D92" s="381" t="s">
        <v>6426</v>
      </c>
      <c r="E92" s="381" t="s">
        <v>7958</v>
      </c>
      <c r="F92" s="381" t="s">
        <v>7646</v>
      </c>
      <c r="G92" s="382">
        <v>0.5</v>
      </c>
      <c r="H92" s="380" t="s">
        <v>8275</v>
      </c>
      <c r="I92" s="394" t="s">
        <v>8276</v>
      </c>
      <c r="J92" s="383" t="s">
        <v>5435</v>
      </c>
      <c r="K92" s="383" t="s">
        <v>4</v>
      </c>
      <c r="L92" s="383"/>
      <c r="M92" s="383"/>
      <c r="N92" s="383"/>
      <c r="O92" s="384"/>
      <c r="P92" s="385"/>
    </row>
    <row r="93" spans="1:16" ht="42" customHeight="1">
      <c r="A93" s="379" t="s">
        <v>5436</v>
      </c>
      <c r="B93" s="380" t="s">
        <v>585</v>
      </c>
      <c r="C93" s="380" t="s">
        <v>6427</v>
      </c>
      <c r="D93" s="381" t="s">
        <v>6428</v>
      </c>
      <c r="E93" s="381" t="s">
        <v>7959</v>
      </c>
      <c r="F93" s="381" t="s">
        <v>7960</v>
      </c>
      <c r="G93" s="382">
        <v>2</v>
      </c>
      <c r="H93" s="380" t="s">
        <v>3611</v>
      </c>
      <c r="I93" s="394" t="s">
        <v>8029</v>
      </c>
      <c r="J93" s="383" t="s">
        <v>2236</v>
      </c>
      <c r="K93" s="383" t="s">
        <v>4</v>
      </c>
      <c r="L93" s="383"/>
      <c r="M93" s="383"/>
      <c r="N93" s="383"/>
      <c r="O93" s="384"/>
      <c r="P93" s="385"/>
    </row>
    <row r="94" spans="1:16" ht="42" customHeight="1">
      <c r="A94" s="379" t="s">
        <v>5394</v>
      </c>
      <c r="B94" s="380" t="s">
        <v>585</v>
      </c>
      <c r="C94" s="380" t="s">
        <v>6427</v>
      </c>
      <c r="D94" s="381" t="s">
        <v>6429</v>
      </c>
      <c r="E94" s="381" t="s">
        <v>7961</v>
      </c>
      <c r="F94" s="381" t="s">
        <v>7962</v>
      </c>
      <c r="G94" s="382">
        <v>3</v>
      </c>
      <c r="H94" s="380" t="s">
        <v>3611</v>
      </c>
      <c r="I94" s="394" t="s">
        <v>8029</v>
      </c>
      <c r="J94" s="383" t="s">
        <v>5436</v>
      </c>
      <c r="K94" s="383" t="s">
        <v>4</v>
      </c>
      <c r="L94" s="383"/>
      <c r="M94" s="383"/>
      <c r="N94" s="383"/>
      <c r="O94" s="384"/>
      <c r="P94" s="385"/>
    </row>
    <row r="95" spans="1:16" ht="42" customHeight="1">
      <c r="A95" s="379" t="s">
        <v>5437</v>
      </c>
      <c r="B95" s="380" t="s">
        <v>585</v>
      </c>
      <c r="C95" s="380" t="s">
        <v>6430</v>
      </c>
      <c r="D95" s="381" t="s">
        <v>6431</v>
      </c>
      <c r="E95" s="381" t="s">
        <v>7963</v>
      </c>
      <c r="F95" s="381" t="s">
        <v>7964</v>
      </c>
      <c r="G95" s="382">
        <v>4</v>
      </c>
      <c r="H95" s="380" t="s">
        <v>3611</v>
      </c>
      <c r="I95" s="394" t="s">
        <v>8029</v>
      </c>
      <c r="J95" s="383" t="s">
        <v>5394</v>
      </c>
      <c r="K95" s="383" t="s">
        <v>4</v>
      </c>
      <c r="L95" s="383"/>
      <c r="M95" s="383"/>
      <c r="N95" s="383"/>
      <c r="O95" s="384"/>
      <c r="P95" s="385"/>
    </row>
    <row r="96" spans="1:16" ht="42" customHeight="1">
      <c r="A96" s="379" t="s">
        <v>5438</v>
      </c>
      <c r="B96" s="380" t="s">
        <v>585</v>
      </c>
      <c r="C96" s="380" t="s">
        <v>6430</v>
      </c>
      <c r="D96" s="381" t="s">
        <v>6432</v>
      </c>
      <c r="E96" s="381" t="s">
        <v>7965</v>
      </c>
      <c r="F96" s="381" t="s">
        <v>7966</v>
      </c>
      <c r="G96" s="382">
        <v>2</v>
      </c>
      <c r="H96" s="380" t="s">
        <v>3611</v>
      </c>
      <c r="I96" s="394" t="s">
        <v>8029</v>
      </c>
      <c r="J96" s="383" t="s">
        <v>5437</v>
      </c>
      <c r="K96" s="383" t="s">
        <v>4</v>
      </c>
      <c r="L96" s="383"/>
      <c r="M96" s="383"/>
      <c r="N96" s="383"/>
      <c r="O96" s="384"/>
      <c r="P96" s="385"/>
    </row>
    <row r="97" spans="1:16" ht="42" customHeight="1">
      <c r="A97" s="379" t="s">
        <v>5407</v>
      </c>
      <c r="B97" s="380" t="s">
        <v>585</v>
      </c>
      <c r="C97" s="380" t="s">
        <v>5407</v>
      </c>
      <c r="D97" s="381" t="s">
        <v>5439</v>
      </c>
      <c r="E97" s="381" t="s">
        <v>7967</v>
      </c>
      <c r="F97" s="381" t="s">
        <v>7968</v>
      </c>
      <c r="G97" s="382">
        <v>5</v>
      </c>
      <c r="H97" s="380" t="s">
        <v>3611</v>
      </c>
      <c r="I97" s="394" t="s">
        <v>8029</v>
      </c>
      <c r="J97" s="383" t="s">
        <v>2236</v>
      </c>
      <c r="K97" s="383" t="s">
        <v>4</v>
      </c>
      <c r="L97" s="383"/>
      <c r="M97" s="383"/>
      <c r="N97" s="383"/>
      <c r="O97" s="384"/>
      <c r="P97" s="385"/>
    </row>
    <row r="98" spans="1:16" ht="42" customHeight="1">
      <c r="A98" s="379" t="s">
        <v>5440</v>
      </c>
      <c r="B98" s="380" t="s">
        <v>585</v>
      </c>
      <c r="C98" s="380" t="s">
        <v>5440</v>
      </c>
      <c r="D98" s="381" t="s">
        <v>5441</v>
      </c>
      <c r="E98" s="381" t="s">
        <v>7969</v>
      </c>
      <c r="F98" s="381" t="s">
        <v>7970</v>
      </c>
      <c r="G98" s="382">
        <v>2</v>
      </c>
      <c r="H98" s="380" t="s">
        <v>3611</v>
      </c>
      <c r="I98" s="394" t="s">
        <v>8029</v>
      </c>
      <c r="J98" s="383" t="s">
        <v>2236</v>
      </c>
      <c r="K98" s="383" t="s">
        <v>4</v>
      </c>
      <c r="L98" s="383"/>
      <c r="M98" s="383"/>
      <c r="N98" s="383"/>
      <c r="O98" s="384"/>
      <c r="P98" s="385"/>
    </row>
    <row r="99" spans="1:16" ht="42" customHeight="1">
      <c r="A99" s="379" t="s">
        <v>5442</v>
      </c>
      <c r="B99" s="380" t="s">
        <v>624</v>
      </c>
      <c r="C99" s="380" t="s">
        <v>6433</v>
      </c>
      <c r="D99" s="381" t="s">
        <v>2757</v>
      </c>
      <c r="E99" s="381" t="s">
        <v>7971</v>
      </c>
      <c r="F99" s="381" t="s">
        <v>7972</v>
      </c>
      <c r="G99" s="382">
        <v>2</v>
      </c>
      <c r="H99" s="380" t="s">
        <v>3611</v>
      </c>
      <c r="I99" s="394" t="s">
        <v>8029</v>
      </c>
      <c r="J99" s="383" t="s">
        <v>2236</v>
      </c>
      <c r="K99" s="383" t="s">
        <v>4</v>
      </c>
      <c r="L99" s="383"/>
      <c r="M99" s="383"/>
      <c r="N99" s="383"/>
      <c r="O99" s="384"/>
      <c r="P99" s="385"/>
    </row>
    <row r="100" spans="1:16" ht="42" customHeight="1">
      <c r="A100" s="379" t="s">
        <v>5443</v>
      </c>
      <c r="B100" s="380" t="s">
        <v>624</v>
      </c>
      <c r="C100" s="380" t="s">
        <v>6433</v>
      </c>
      <c r="D100" s="381" t="s">
        <v>6434</v>
      </c>
      <c r="E100" s="381" t="s">
        <v>7973</v>
      </c>
      <c r="F100" s="381" t="s">
        <v>7974</v>
      </c>
      <c r="G100" s="382">
        <v>3</v>
      </c>
      <c r="H100" s="380" t="s">
        <v>3611</v>
      </c>
      <c r="I100" s="394" t="s">
        <v>8029</v>
      </c>
      <c r="J100" s="383" t="s">
        <v>5442</v>
      </c>
      <c r="K100" s="383" t="s">
        <v>4</v>
      </c>
      <c r="L100" s="383"/>
      <c r="M100" s="383"/>
      <c r="N100" s="383"/>
      <c r="O100" s="384"/>
      <c r="P100" s="385"/>
    </row>
    <row r="101" spans="1:16" ht="42" customHeight="1">
      <c r="A101" s="379" t="s">
        <v>5444</v>
      </c>
      <c r="B101" s="380" t="s">
        <v>624</v>
      </c>
      <c r="C101" s="380" t="s">
        <v>6433</v>
      </c>
      <c r="D101" s="381" t="s">
        <v>6435</v>
      </c>
      <c r="E101" s="381" t="s">
        <v>7975</v>
      </c>
      <c r="F101" s="381" t="s">
        <v>7976</v>
      </c>
      <c r="G101" s="382">
        <v>3</v>
      </c>
      <c r="H101" s="380" t="s">
        <v>3611</v>
      </c>
      <c r="I101" s="394" t="s">
        <v>8029</v>
      </c>
      <c r="J101" s="383" t="s">
        <v>5442</v>
      </c>
      <c r="K101" s="383" t="s">
        <v>4</v>
      </c>
      <c r="L101" s="383"/>
      <c r="M101" s="383"/>
      <c r="N101" s="383"/>
      <c r="O101" s="384"/>
      <c r="P101" s="385"/>
    </row>
    <row r="102" spans="1:16" ht="42" customHeight="1">
      <c r="A102" s="379" t="s">
        <v>628</v>
      </c>
      <c r="B102" s="380" t="s">
        <v>624</v>
      </c>
      <c r="C102" s="380" t="s">
        <v>628</v>
      </c>
      <c r="D102" s="381" t="s">
        <v>5445</v>
      </c>
      <c r="E102" s="381" t="s">
        <v>7977</v>
      </c>
      <c r="F102" s="381" t="s">
        <v>7978</v>
      </c>
      <c r="G102" s="382">
        <v>4</v>
      </c>
      <c r="H102" s="380" t="s">
        <v>3611</v>
      </c>
      <c r="I102" s="394" t="s">
        <v>8029</v>
      </c>
      <c r="J102" s="383" t="s">
        <v>2236</v>
      </c>
      <c r="K102" s="383" t="s">
        <v>4</v>
      </c>
      <c r="L102" s="383"/>
      <c r="M102" s="383"/>
      <c r="N102" s="383"/>
      <c r="O102" s="384"/>
      <c r="P102" s="385"/>
    </row>
    <row r="103" spans="1:16" ht="42" customHeight="1">
      <c r="A103" s="379" t="s">
        <v>631</v>
      </c>
      <c r="B103" s="380" t="s">
        <v>624</v>
      </c>
      <c r="C103" s="380" t="s">
        <v>631</v>
      </c>
      <c r="D103" s="381" t="s">
        <v>5446</v>
      </c>
      <c r="E103" s="381" t="s">
        <v>7979</v>
      </c>
      <c r="F103" s="381" t="s">
        <v>7980</v>
      </c>
      <c r="G103" s="382">
        <v>4</v>
      </c>
      <c r="H103" s="380" t="s">
        <v>3611</v>
      </c>
      <c r="I103" s="394" t="s">
        <v>8029</v>
      </c>
      <c r="J103" s="383" t="s">
        <v>2236</v>
      </c>
      <c r="K103" s="383" t="s">
        <v>4</v>
      </c>
      <c r="L103" s="383"/>
      <c r="M103" s="383"/>
      <c r="N103" s="383"/>
      <c r="O103" s="384"/>
      <c r="P103" s="385"/>
    </row>
    <row r="104" spans="1:16" ht="42" customHeight="1">
      <c r="A104" s="379" t="s">
        <v>633</v>
      </c>
      <c r="B104" s="380" t="s">
        <v>624</v>
      </c>
      <c r="C104" s="380" t="s">
        <v>633</v>
      </c>
      <c r="D104" s="381" t="s">
        <v>5447</v>
      </c>
      <c r="E104" s="381" t="s">
        <v>7981</v>
      </c>
      <c r="F104" s="381" t="s">
        <v>7982</v>
      </c>
      <c r="G104" s="382">
        <v>5</v>
      </c>
      <c r="H104" s="380" t="s">
        <v>3611</v>
      </c>
      <c r="I104" s="394" t="s">
        <v>8029</v>
      </c>
      <c r="J104" s="383" t="s">
        <v>2236</v>
      </c>
      <c r="K104" s="383" t="s">
        <v>4</v>
      </c>
      <c r="L104" s="383"/>
      <c r="M104" s="383"/>
      <c r="N104" s="383"/>
      <c r="O104" s="384"/>
      <c r="P104" s="385"/>
    </row>
    <row r="105" spans="1:16" ht="42" customHeight="1">
      <c r="A105" s="379" t="s">
        <v>635</v>
      </c>
      <c r="B105" s="380" t="s">
        <v>624</v>
      </c>
      <c r="C105" s="380" t="s">
        <v>635</v>
      </c>
      <c r="D105" s="381" t="s">
        <v>5448</v>
      </c>
      <c r="E105" s="381" t="s">
        <v>7983</v>
      </c>
      <c r="F105" s="381" t="s">
        <v>7984</v>
      </c>
      <c r="G105" s="382">
        <v>5</v>
      </c>
      <c r="H105" s="380" t="s">
        <v>3611</v>
      </c>
      <c r="I105" s="394" t="s">
        <v>8029</v>
      </c>
      <c r="J105" s="383" t="s">
        <v>550</v>
      </c>
      <c r="K105" s="383" t="s">
        <v>4</v>
      </c>
      <c r="L105" s="383"/>
      <c r="M105" s="383"/>
      <c r="N105" s="383"/>
      <c r="O105" s="384"/>
      <c r="P105" s="385"/>
    </row>
    <row r="106" spans="1:16" ht="42" customHeight="1">
      <c r="A106" s="379" t="s">
        <v>637</v>
      </c>
      <c r="B106" s="380" t="s">
        <v>624</v>
      </c>
      <c r="C106" s="380" t="s">
        <v>637</v>
      </c>
      <c r="D106" s="381" t="s">
        <v>5449</v>
      </c>
      <c r="E106" s="381" t="s">
        <v>7985</v>
      </c>
      <c r="F106" s="381" t="s">
        <v>7986</v>
      </c>
      <c r="G106" s="382">
        <v>3</v>
      </c>
      <c r="H106" s="380" t="s">
        <v>3611</v>
      </c>
      <c r="I106" s="394" t="s">
        <v>8029</v>
      </c>
      <c r="J106" s="383" t="s">
        <v>2236</v>
      </c>
      <c r="K106" s="383" t="s">
        <v>4</v>
      </c>
      <c r="L106" s="383"/>
      <c r="M106" s="383"/>
      <c r="N106" s="383"/>
      <c r="O106" s="384"/>
      <c r="P106" s="385"/>
    </row>
    <row r="107" spans="1:16" ht="42" customHeight="1">
      <c r="A107" s="379" t="s">
        <v>639</v>
      </c>
      <c r="B107" s="380" t="s">
        <v>624</v>
      </c>
      <c r="C107" s="380" t="s">
        <v>639</v>
      </c>
      <c r="D107" s="381" t="s">
        <v>5450</v>
      </c>
      <c r="E107" s="381" t="s">
        <v>7987</v>
      </c>
      <c r="F107" s="381" t="s">
        <v>7988</v>
      </c>
      <c r="G107" s="382">
        <v>3</v>
      </c>
      <c r="H107" s="380" t="s">
        <v>3611</v>
      </c>
      <c r="I107" s="394" t="s">
        <v>8029</v>
      </c>
      <c r="J107" s="383" t="s">
        <v>2236</v>
      </c>
      <c r="K107" s="383" t="s">
        <v>4</v>
      </c>
      <c r="L107" s="383"/>
      <c r="M107" s="383"/>
      <c r="N107" s="383"/>
      <c r="O107" s="384"/>
      <c r="P107" s="385"/>
    </row>
    <row r="108" spans="1:16" ht="42" customHeight="1">
      <c r="A108" s="379" t="s">
        <v>641</v>
      </c>
      <c r="B108" s="380" t="s">
        <v>624</v>
      </c>
      <c r="C108" s="380" t="s">
        <v>641</v>
      </c>
      <c r="D108" s="381" t="s">
        <v>5451</v>
      </c>
      <c r="E108" s="381" t="s">
        <v>7989</v>
      </c>
      <c r="F108" s="381" t="s">
        <v>7990</v>
      </c>
      <c r="G108" s="382">
        <v>1</v>
      </c>
      <c r="H108" s="380" t="s">
        <v>8277</v>
      </c>
      <c r="I108" s="394" t="s">
        <v>8278</v>
      </c>
      <c r="J108" s="383" t="s">
        <v>2236</v>
      </c>
      <c r="K108" s="383" t="s">
        <v>4</v>
      </c>
      <c r="L108" s="383"/>
      <c r="M108" s="383"/>
      <c r="N108" s="383"/>
      <c r="O108" s="384"/>
      <c r="P108" s="385"/>
    </row>
    <row r="109" spans="1:16" ht="42" customHeight="1">
      <c r="A109" s="379" t="s">
        <v>644</v>
      </c>
      <c r="B109" s="380" t="s">
        <v>643</v>
      </c>
      <c r="C109" s="380" t="s">
        <v>644</v>
      </c>
      <c r="D109" s="381" t="s">
        <v>5452</v>
      </c>
      <c r="E109" s="381" t="s">
        <v>7991</v>
      </c>
      <c r="F109" s="381" t="s">
        <v>7992</v>
      </c>
      <c r="G109" s="382">
        <v>2</v>
      </c>
      <c r="H109" s="380" t="s">
        <v>3611</v>
      </c>
      <c r="I109" s="394" t="s">
        <v>8029</v>
      </c>
      <c r="J109" s="383" t="s">
        <v>2236</v>
      </c>
      <c r="K109" s="383" t="s">
        <v>4</v>
      </c>
      <c r="L109" s="383"/>
      <c r="M109" s="383"/>
      <c r="N109" s="383"/>
      <c r="O109" s="384"/>
      <c r="P109" s="385"/>
    </row>
    <row r="110" spans="1:16" ht="42" customHeight="1">
      <c r="A110" s="379" t="s">
        <v>647</v>
      </c>
      <c r="B110" s="380" t="s">
        <v>643</v>
      </c>
      <c r="C110" s="380" t="s">
        <v>647</v>
      </c>
      <c r="D110" s="381" t="s">
        <v>5383</v>
      </c>
      <c r="E110" s="381" t="s">
        <v>7993</v>
      </c>
      <c r="F110" s="381" t="s">
        <v>7994</v>
      </c>
      <c r="G110" s="382">
        <v>8</v>
      </c>
      <c r="H110" s="380" t="s">
        <v>3611</v>
      </c>
      <c r="I110" s="394" t="s">
        <v>8029</v>
      </c>
      <c r="J110" s="383" t="s">
        <v>644</v>
      </c>
      <c r="K110" s="383" t="s">
        <v>4</v>
      </c>
      <c r="L110" s="383"/>
      <c r="M110" s="383"/>
      <c r="N110" s="383"/>
      <c r="O110" s="384"/>
      <c r="P110" s="385"/>
    </row>
    <row r="111" spans="1:16" ht="42" customHeight="1">
      <c r="A111" s="379" t="s">
        <v>650</v>
      </c>
      <c r="B111" s="380" t="s">
        <v>643</v>
      </c>
      <c r="C111" s="380" t="s">
        <v>650</v>
      </c>
      <c r="D111" s="381" t="s">
        <v>5453</v>
      </c>
      <c r="E111" s="381" t="s">
        <v>7995</v>
      </c>
      <c r="F111" s="381" t="s">
        <v>7996</v>
      </c>
      <c r="G111" s="382">
        <v>3</v>
      </c>
      <c r="H111" s="380" t="s">
        <v>3611</v>
      </c>
      <c r="I111" s="394" t="s">
        <v>8029</v>
      </c>
      <c r="J111" s="383" t="s">
        <v>2236</v>
      </c>
      <c r="K111" s="383" t="s">
        <v>4</v>
      </c>
      <c r="L111" s="383"/>
      <c r="M111" s="383"/>
      <c r="N111" s="383"/>
      <c r="O111" s="384"/>
      <c r="P111" s="385"/>
    </row>
    <row r="112" spans="1:16" ht="42" customHeight="1">
      <c r="A112" s="379" t="s">
        <v>653</v>
      </c>
      <c r="B112" s="380" t="s">
        <v>643</v>
      </c>
      <c r="C112" s="380" t="s">
        <v>653</v>
      </c>
      <c r="D112" s="381" t="s">
        <v>5454</v>
      </c>
      <c r="E112" s="381" t="s">
        <v>7997</v>
      </c>
      <c r="F112" s="381" t="s">
        <v>7998</v>
      </c>
      <c r="G112" s="382">
        <v>2</v>
      </c>
      <c r="H112" s="380" t="s">
        <v>3611</v>
      </c>
      <c r="I112" s="394" t="s">
        <v>8029</v>
      </c>
      <c r="J112" s="383" t="s">
        <v>2236</v>
      </c>
      <c r="K112" s="383" t="s">
        <v>4</v>
      </c>
      <c r="L112" s="383"/>
      <c r="M112" s="383"/>
      <c r="N112" s="383"/>
      <c r="O112" s="384"/>
      <c r="P112" s="385"/>
    </row>
    <row r="113" spans="1:16" ht="42" customHeight="1">
      <c r="A113" s="379" t="s">
        <v>5455</v>
      </c>
      <c r="B113" s="380" t="s">
        <v>655</v>
      </c>
      <c r="C113" s="380" t="s">
        <v>6436</v>
      </c>
      <c r="D113" s="381" t="s">
        <v>6437</v>
      </c>
      <c r="E113" s="381" t="s">
        <v>7999</v>
      </c>
      <c r="F113" s="381" t="s">
        <v>8000</v>
      </c>
      <c r="G113" s="382">
        <v>1.5</v>
      </c>
      <c r="H113" s="380" t="s">
        <v>8279</v>
      </c>
      <c r="I113" s="394" t="s">
        <v>8280</v>
      </c>
      <c r="J113" s="383" t="s">
        <v>2236</v>
      </c>
      <c r="K113" s="383" t="s">
        <v>4</v>
      </c>
      <c r="L113" s="383"/>
      <c r="M113" s="383"/>
      <c r="N113" s="383"/>
      <c r="O113" s="384"/>
      <c r="P113" s="385"/>
    </row>
    <row r="114" spans="1:16" ht="42" customHeight="1">
      <c r="A114" s="379" t="s">
        <v>5456</v>
      </c>
      <c r="B114" s="380" t="s">
        <v>655</v>
      </c>
      <c r="C114" s="380" t="s">
        <v>6436</v>
      </c>
      <c r="D114" s="381" t="s">
        <v>6438</v>
      </c>
      <c r="E114" s="381" t="s">
        <v>8001</v>
      </c>
      <c r="F114" s="381" t="s">
        <v>8002</v>
      </c>
      <c r="G114" s="382">
        <v>1.5</v>
      </c>
      <c r="H114" s="380" t="s">
        <v>8160</v>
      </c>
      <c r="I114" s="394" t="s">
        <v>8161</v>
      </c>
      <c r="J114" s="383" t="s">
        <v>2236</v>
      </c>
      <c r="K114" s="383" t="s">
        <v>4</v>
      </c>
      <c r="L114" s="383"/>
      <c r="M114" s="383"/>
      <c r="N114" s="383"/>
      <c r="O114" s="384"/>
      <c r="P114" s="385"/>
    </row>
    <row r="115" spans="1:16" ht="42" customHeight="1">
      <c r="A115" s="379" t="s">
        <v>5457</v>
      </c>
      <c r="B115" s="380" t="s">
        <v>655</v>
      </c>
      <c r="C115" s="380" t="s">
        <v>6436</v>
      </c>
      <c r="D115" s="381" t="s">
        <v>6439</v>
      </c>
      <c r="E115" s="381" t="s">
        <v>8003</v>
      </c>
      <c r="F115" s="381" t="s">
        <v>8004</v>
      </c>
      <c r="G115" s="382">
        <v>1.5</v>
      </c>
      <c r="H115" s="380" t="s">
        <v>8194</v>
      </c>
      <c r="I115" s="394" t="s">
        <v>8195</v>
      </c>
      <c r="J115" s="383" t="s">
        <v>2236</v>
      </c>
      <c r="K115" s="383" t="s">
        <v>4</v>
      </c>
      <c r="L115" s="383"/>
      <c r="M115" s="383"/>
      <c r="N115" s="383"/>
      <c r="O115" s="384"/>
      <c r="P115" s="385"/>
    </row>
    <row r="116" spans="1:16" ht="42" customHeight="1">
      <c r="A116" s="379" t="s">
        <v>5458</v>
      </c>
      <c r="B116" s="380" t="s">
        <v>655</v>
      </c>
      <c r="C116" s="380" t="s">
        <v>6436</v>
      </c>
      <c r="D116" s="381" t="s">
        <v>6440</v>
      </c>
      <c r="E116" s="381" t="s">
        <v>8005</v>
      </c>
      <c r="F116" s="381" t="s">
        <v>8006</v>
      </c>
      <c r="G116" s="382">
        <v>1.5</v>
      </c>
      <c r="H116" s="380" t="s">
        <v>8194</v>
      </c>
      <c r="I116" s="394" t="s">
        <v>8195</v>
      </c>
      <c r="J116" s="383" t="s">
        <v>2236</v>
      </c>
      <c r="K116" s="383" t="s">
        <v>4</v>
      </c>
      <c r="L116" s="383"/>
      <c r="M116" s="383"/>
      <c r="N116" s="383"/>
      <c r="O116" s="384"/>
      <c r="P116" s="385"/>
    </row>
    <row r="117" spans="1:16" ht="42" customHeight="1">
      <c r="A117" s="379" t="s">
        <v>5459</v>
      </c>
      <c r="B117" s="380" t="s">
        <v>655</v>
      </c>
      <c r="C117" s="380" t="s">
        <v>6436</v>
      </c>
      <c r="D117" s="381" t="s">
        <v>6441</v>
      </c>
      <c r="E117" s="381" t="s">
        <v>8007</v>
      </c>
      <c r="F117" s="381" t="s">
        <v>8008</v>
      </c>
      <c r="G117" s="382">
        <v>1</v>
      </c>
      <c r="H117" s="380" t="s">
        <v>8208</v>
      </c>
      <c r="I117" s="394" t="s">
        <v>8209</v>
      </c>
      <c r="J117" s="383" t="s">
        <v>2236</v>
      </c>
      <c r="K117" s="383" t="s">
        <v>4</v>
      </c>
      <c r="L117" s="383"/>
      <c r="M117" s="383"/>
      <c r="N117" s="383"/>
      <c r="O117" s="384"/>
      <c r="P117" s="385"/>
    </row>
    <row r="118" spans="1:16" ht="42" customHeight="1">
      <c r="A118" s="379" t="s">
        <v>5460</v>
      </c>
      <c r="B118" s="380" t="s">
        <v>655</v>
      </c>
      <c r="C118" s="380" t="s">
        <v>6436</v>
      </c>
      <c r="D118" s="381" t="s">
        <v>6442</v>
      </c>
      <c r="E118" s="381" t="s">
        <v>8009</v>
      </c>
      <c r="F118" s="381" t="s">
        <v>8010</v>
      </c>
      <c r="G118" s="382">
        <v>1.5</v>
      </c>
      <c r="H118" s="380" t="s">
        <v>3611</v>
      </c>
      <c r="I118" s="394" t="s">
        <v>8029</v>
      </c>
      <c r="J118" s="383" t="s">
        <v>2236</v>
      </c>
      <c r="K118" s="383" t="s">
        <v>4</v>
      </c>
      <c r="L118" s="383"/>
      <c r="M118" s="383"/>
      <c r="N118" s="383"/>
      <c r="O118" s="384"/>
      <c r="P118" s="385"/>
    </row>
    <row r="119" spans="1:16" ht="42" customHeight="1">
      <c r="A119" s="379" t="s">
        <v>5461</v>
      </c>
      <c r="B119" s="380" t="s">
        <v>655</v>
      </c>
      <c r="C119" s="380" t="s">
        <v>6436</v>
      </c>
      <c r="D119" s="381" t="s">
        <v>6443</v>
      </c>
      <c r="E119" s="381" t="s">
        <v>8011</v>
      </c>
      <c r="F119" s="381" t="s">
        <v>8012</v>
      </c>
      <c r="G119" s="382">
        <v>1</v>
      </c>
      <c r="H119" s="380" t="s">
        <v>8152</v>
      </c>
      <c r="I119" s="394" t="s">
        <v>8153</v>
      </c>
      <c r="J119" s="383" t="s">
        <v>2236</v>
      </c>
      <c r="K119" s="383" t="s">
        <v>4</v>
      </c>
      <c r="L119" s="383"/>
      <c r="M119" s="383"/>
      <c r="N119" s="383"/>
      <c r="O119" s="384"/>
      <c r="P119" s="385"/>
    </row>
    <row r="120" spans="1:16" ht="42" customHeight="1">
      <c r="A120" s="379" t="s">
        <v>5462</v>
      </c>
      <c r="B120" s="380" t="s">
        <v>655</v>
      </c>
      <c r="C120" s="380" t="s">
        <v>6436</v>
      </c>
      <c r="D120" s="381" t="s">
        <v>6444</v>
      </c>
      <c r="E120" s="381" t="s">
        <v>8013</v>
      </c>
      <c r="F120" s="381" t="s">
        <v>8014</v>
      </c>
      <c r="G120" s="382">
        <v>1</v>
      </c>
      <c r="H120" s="380" t="s">
        <v>3611</v>
      </c>
      <c r="I120" s="394" t="s">
        <v>8029</v>
      </c>
      <c r="J120" s="383" t="s">
        <v>2236</v>
      </c>
      <c r="K120" s="383" t="s">
        <v>4</v>
      </c>
      <c r="L120" s="383"/>
      <c r="M120" s="383"/>
      <c r="N120" s="383"/>
      <c r="O120" s="384"/>
      <c r="P120" s="385"/>
    </row>
    <row r="121" spans="1:16" ht="42" customHeight="1">
      <c r="A121" s="379" t="s">
        <v>5463</v>
      </c>
      <c r="B121" s="380" t="s">
        <v>655</v>
      </c>
      <c r="C121" s="380" t="s">
        <v>6436</v>
      </c>
      <c r="D121" s="381" t="s">
        <v>6445</v>
      </c>
      <c r="E121" s="381" t="s">
        <v>8015</v>
      </c>
      <c r="F121" s="381" t="s">
        <v>8016</v>
      </c>
      <c r="G121" s="382">
        <v>2.5</v>
      </c>
      <c r="H121" s="380" t="s">
        <v>3611</v>
      </c>
      <c r="I121" s="394" t="s">
        <v>8029</v>
      </c>
      <c r="J121" s="383" t="s">
        <v>5394</v>
      </c>
      <c r="K121" s="383" t="s">
        <v>4</v>
      </c>
      <c r="L121" s="383"/>
      <c r="M121" s="383"/>
      <c r="N121" s="383"/>
      <c r="O121" s="384"/>
      <c r="P121" s="385"/>
    </row>
    <row r="122" spans="1:16" ht="42" customHeight="1">
      <c r="A122" s="379" t="s">
        <v>5464</v>
      </c>
      <c r="B122" s="380" t="s">
        <v>655</v>
      </c>
      <c r="C122" s="380" t="s">
        <v>6436</v>
      </c>
      <c r="D122" s="381" t="s">
        <v>6446</v>
      </c>
      <c r="E122" s="381" t="s">
        <v>8017</v>
      </c>
      <c r="F122" s="381" t="s">
        <v>8018</v>
      </c>
      <c r="G122" s="382">
        <v>2</v>
      </c>
      <c r="H122" s="380" t="s">
        <v>3611</v>
      </c>
      <c r="I122" s="394" t="s">
        <v>8029</v>
      </c>
      <c r="J122" s="383" t="s">
        <v>5437</v>
      </c>
      <c r="K122" s="383" t="s">
        <v>4</v>
      </c>
      <c r="L122" s="383"/>
      <c r="M122" s="383"/>
      <c r="N122" s="383"/>
      <c r="O122" s="384"/>
      <c r="P122" s="385"/>
    </row>
    <row r="123" spans="1:16" ht="42" customHeight="1">
      <c r="A123" s="379" t="s">
        <v>5465</v>
      </c>
      <c r="B123" s="380" t="s">
        <v>655</v>
      </c>
      <c r="C123" s="380" t="s">
        <v>6436</v>
      </c>
      <c r="D123" s="381" t="s">
        <v>6447</v>
      </c>
      <c r="E123" s="381" t="s">
        <v>8019</v>
      </c>
      <c r="F123" s="381" t="s">
        <v>8020</v>
      </c>
      <c r="G123" s="382">
        <v>1</v>
      </c>
      <c r="H123" s="380" t="s">
        <v>3611</v>
      </c>
      <c r="I123" s="394" t="s">
        <v>8029</v>
      </c>
      <c r="J123" s="383" t="s">
        <v>2236</v>
      </c>
      <c r="K123" s="383" t="s">
        <v>4</v>
      </c>
      <c r="L123" s="383"/>
      <c r="M123" s="383"/>
      <c r="N123" s="383"/>
      <c r="O123" s="384"/>
      <c r="P123" s="385"/>
    </row>
    <row r="124" spans="1:16" ht="42" customHeight="1">
      <c r="A124" s="379" t="s">
        <v>661</v>
      </c>
      <c r="B124" s="380" t="s">
        <v>655</v>
      </c>
      <c r="C124" s="380" t="s">
        <v>661</v>
      </c>
      <c r="D124" s="381" t="s">
        <v>5466</v>
      </c>
      <c r="E124" s="381" t="s">
        <v>8021</v>
      </c>
      <c r="F124" s="381" t="s">
        <v>8022</v>
      </c>
      <c r="G124" s="382">
        <v>2</v>
      </c>
      <c r="H124" s="380" t="s">
        <v>3611</v>
      </c>
      <c r="I124" s="394" t="s">
        <v>8029</v>
      </c>
      <c r="J124" s="383" t="s">
        <v>2236</v>
      </c>
      <c r="K124" s="383" t="s">
        <v>4</v>
      </c>
      <c r="L124" s="383"/>
      <c r="M124" s="383"/>
      <c r="N124" s="383"/>
      <c r="O124" s="384"/>
      <c r="P124" s="385"/>
    </row>
    <row r="125" spans="1:16" ht="42" customHeight="1">
      <c r="A125" s="379" t="s">
        <v>5467</v>
      </c>
      <c r="B125" s="380" t="s">
        <v>655</v>
      </c>
      <c r="C125" s="380" t="s">
        <v>6448</v>
      </c>
      <c r="D125" s="381" t="s">
        <v>6449</v>
      </c>
      <c r="E125" s="381" t="s">
        <v>8023</v>
      </c>
      <c r="F125" s="381" t="s">
        <v>8024</v>
      </c>
      <c r="G125" s="382">
        <v>2</v>
      </c>
      <c r="H125" s="380" t="s">
        <v>3611</v>
      </c>
      <c r="I125" s="394" t="s">
        <v>8029</v>
      </c>
      <c r="J125" s="383" t="s">
        <v>5405</v>
      </c>
      <c r="K125" s="383" t="s">
        <v>4</v>
      </c>
      <c r="L125" s="383"/>
      <c r="M125" s="383"/>
      <c r="N125" s="383"/>
      <c r="O125" s="384"/>
      <c r="P125" s="385"/>
    </row>
    <row r="126" spans="1:16" ht="42" customHeight="1">
      <c r="A126" s="379" t="s">
        <v>5468</v>
      </c>
      <c r="B126" s="380" t="s">
        <v>655</v>
      </c>
      <c r="C126" s="380" t="s">
        <v>6448</v>
      </c>
      <c r="D126" s="381" t="s">
        <v>6450</v>
      </c>
      <c r="E126" s="381" t="s">
        <v>8025</v>
      </c>
      <c r="F126" s="381" t="s">
        <v>8026</v>
      </c>
      <c r="G126" s="382">
        <v>2</v>
      </c>
      <c r="H126" s="380" t="s">
        <v>3611</v>
      </c>
      <c r="I126" s="394" t="s">
        <v>8029</v>
      </c>
      <c r="J126" s="383" t="s">
        <v>5408</v>
      </c>
      <c r="K126" s="383" t="s">
        <v>4</v>
      </c>
      <c r="L126" s="383"/>
      <c r="M126" s="383"/>
      <c r="N126" s="383"/>
      <c r="O126" s="384"/>
      <c r="P126" s="385"/>
    </row>
    <row r="127" spans="1:16" ht="42" customHeight="1">
      <c r="A127" s="379" t="s">
        <v>5776</v>
      </c>
      <c r="B127" s="380" t="s">
        <v>5777</v>
      </c>
      <c r="C127" s="380" t="s">
        <v>5931</v>
      </c>
      <c r="D127" s="381" t="s">
        <v>6451</v>
      </c>
      <c r="E127" s="381" t="s">
        <v>7548</v>
      </c>
      <c r="F127" s="381" t="s">
        <v>7549</v>
      </c>
      <c r="G127" s="382">
        <v>1.5</v>
      </c>
      <c r="H127" s="380" t="s">
        <v>6722</v>
      </c>
      <c r="I127" s="394" t="s">
        <v>8030</v>
      </c>
      <c r="J127" s="383" t="s">
        <v>2236</v>
      </c>
      <c r="K127" s="383" t="s">
        <v>4</v>
      </c>
      <c r="L127" s="383"/>
      <c r="M127" s="383"/>
      <c r="N127" s="383"/>
      <c r="O127" s="384"/>
      <c r="P127" s="385"/>
    </row>
    <row r="128" spans="1:16" ht="42" customHeight="1">
      <c r="A128" s="379" t="s">
        <v>5778</v>
      </c>
      <c r="B128" s="380" t="s">
        <v>5777</v>
      </c>
      <c r="C128" s="380" t="s">
        <v>5931</v>
      </c>
      <c r="D128" s="381" t="s">
        <v>6452</v>
      </c>
      <c r="E128" s="381" t="s">
        <v>7550</v>
      </c>
      <c r="F128" s="381" t="s">
        <v>7551</v>
      </c>
      <c r="G128" s="382">
        <v>1.5</v>
      </c>
      <c r="H128" s="380" t="s">
        <v>6722</v>
      </c>
      <c r="I128" s="394" t="s">
        <v>8030</v>
      </c>
      <c r="J128" s="383" t="s">
        <v>2236</v>
      </c>
      <c r="K128" s="383" t="s">
        <v>4</v>
      </c>
      <c r="L128" s="383"/>
      <c r="M128" s="383"/>
      <c r="N128" s="383"/>
      <c r="O128" s="384"/>
      <c r="P128" s="385"/>
    </row>
    <row r="129" spans="1:16" ht="42" customHeight="1">
      <c r="A129" s="379" t="s">
        <v>5779</v>
      </c>
      <c r="B129" s="380" t="s">
        <v>5777</v>
      </c>
      <c r="C129" s="380" t="s">
        <v>5931</v>
      </c>
      <c r="D129" s="381" t="s">
        <v>6453</v>
      </c>
      <c r="E129" s="381" t="s">
        <v>7552</v>
      </c>
      <c r="F129" s="381" t="s">
        <v>7553</v>
      </c>
      <c r="G129" s="382">
        <v>1</v>
      </c>
      <c r="H129" s="380" t="s">
        <v>6722</v>
      </c>
      <c r="I129" s="394" t="s">
        <v>8030</v>
      </c>
      <c r="J129" s="383" t="s">
        <v>2236</v>
      </c>
      <c r="K129" s="383" t="s">
        <v>4</v>
      </c>
      <c r="L129" s="383"/>
      <c r="M129" s="383"/>
      <c r="N129" s="383"/>
      <c r="O129" s="384"/>
      <c r="P129" s="385"/>
    </row>
    <row r="130" spans="1:16" ht="42" customHeight="1">
      <c r="A130" s="379" t="s">
        <v>5780</v>
      </c>
      <c r="B130" s="380" t="s">
        <v>5777</v>
      </c>
      <c r="C130" s="380" t="s">
        <v>5931</v>
      </c>
      <c r="D130" s="381" t="s">
        <v>6454</v>
      </c>
      <c r="E130" s="381" t="s">
        <v>7554</v>
      </c>
      <c r="F130" s="381" t="s">
        <v>7555</v>
      </c>
      <c r="G130" s="382">
        <v>1.5</v>
      </c>
      <c r="H130" s="380" t="s">
        <v>6722</v>
      </c>
      <c r="I130" s="394" t="s">
        <v>8030</v>
      </c>
      <c r="J130" s="383" t="s">
        <v>2236</v>
      </c>
      <c r="K130" s="383" t="s">
        <v>4</v>
      </c>
      <c r="L130" s="383"/>
      <c r="M130" s="383"/>
      <c r="N130" s="383"/>
      <c r="O130" s="384"/>
      <c r="P130" s="385"/>
    </row>
    <row r="131" spans="1:16" ht="42" customHeight="1">
      <c r="A131" s="379" t="s">
        <v>5781</v>
      </c>
      <c r="B131" s="380" t="s">
        <v>5777</v>
      </c>
      <c r="C131" s="380" t="s">
        <v>5931</v>
      </c>
      <c r="D131" s="381" t="s">
        <v>6455</v>
      </c>
      <c r="E131" s="381" t="s">
        <v>7556</v>
      </c>
      <c r="F131" s="381" t="s">
        <v>7557</v>
      </c>
      <c r="G131" s="382">
        <v>1.5</v>
      </c>
      <c r="H131" s="380" t="s">
        <v>6722</v>
      </c>
      <c r="I131" s="394" t="s">
        <v>8030</v>
      </c>
      <c r="J131" s="383" t="s">
        <v>2236</v>
      </c>
      <c r="K131" s="383" t="s">
        <v>4</v>
      </c>
      <c r="L131" s="383"/>
      <c r="M131" s="383"/>
      <c r="N131" s="383"/>
      <c r="O131" s="384"/>
      <c r="P131" s="385"/>
    </row>
    <row r="132" spans="1:16" ht="42" customHeight="1">
      <c r="A132" s="379" t="s">
        <v>5782</v>
      </c>
      <c r="B132" s="380" t="s">
        <v>5777</v>
      </c>
      <c r="C132" s="380" t="s">
        <v>5931</v>
      </c>
      <c r="D132" s="381" t="s">
        <v>6456</v>
      </c>
      <c r="E132" s="381" t="s">
        <v>7558</v>
      </c>
      <c r="F132" s="381" t="s">
        <v>7559</v>
      </c>
      <c r="G132" s="382">
        <v>2</v>
      </c>
      <c r="H132" s="380" t="s">
        <v>6722</v>
      </c>
      <c r="I132" s="394" t="s">
        <v>8030</v>
      </c>
      <c r="J132" s="383" t="s">
        <v>2236</v>
      </c>
      <c r="K132" s="383" t="s">
        <v>4</v>
      </c>
      <c r="L132" s="383"/>
      <c r="M132" s="383"/>
      <c r="N132" s="383"/>
      <c r="O132" s="384"/>
      <c r="P132" s="385"/>
    </row>
    <row r="133" spans="1:16" ht="42" customHeight="1">
      <c r="A133" s="379" t="s">
        <v>5783</v>
      </c>
      <c r="B133" s="380" t="s">
        <v>5777</v>
      </c>
      <c r="C133" s="380" t="s">
        <v>5931</v>
      </c>
      <c r="D133" s="381" t="s">
        <v>6457</v>
      </c>
      <c r="E133" s="381" t="s">
        <v>7560</v>
      </c>
      <c r="F133" s="381" t="s">
        <v>7561</v>
      </c>
      <c r="G133" s="382">
        <v>2</v>
      </c>
      <c r="H133" s="380" t="s">
        <v>6722</v>
      </c>
      <c r="I133" s="394" t="s">
        <v>8030</v>
      </c>
      <c r="J133" s="383" t="s">
        <v>2236</v>
      </c>
      <c r="K133" s="383" t="s">
        <v>4</v>
      </c>
      <c r="L133" s="383"/>
      <c r="M133" s="383"/>
      <c r="N133" s="383"/>
      <c r="O133" s="384"/>
      <c r="P133" s="385"/>
    </row>
    <row r="134" spans="1:16" ht="42" customHeight="1">
      <c r="A134" s="379" t="s">
        <v>5784</v>
      </c>
      <c r="B134" s="380" t="s">
        <v>5777</v>
      </c>
      <c r="C134" s="380" t="s">
        <v>5931</v>
      </c>
      <c r="D134" s="381" t="s">
        <v>6458</v>
      </c>
      <c r="E134" s="381" t="s">
        <v>7562</v>
      </c>
      <c r="F134" s="381" t="s">
        <v>7563</v>
      </c>
      <c r="G134" s="382">
        <v>2</v>
      </c>
      <c r="H134" s="380" t="s">
        <v>6722</v>
      </c>
      <c r="I134" s="394" t="s">
        <v>8030</v>
      </c>
      <c r="J134" s="383" t="s">
        <v>2236</v>
      </c>
      <c r="K134" s="383" t="s">
        <v>4</v>
      </c>
      <c r="L134" s="383"/>
      <c r="M134" s="383"/>
      <c r="N134" s="383"/>
      <c r="O134" s="384"/>
      <c r="P134" s="385"/>
    </row>
    <row r="135" spans="1:16" ht="42" customHeight="1">
      <c r="A135" s="379" t="s">
        <v>5785</v>
      </c>
      <c r="B135" s="380" t="s">
        <v>5777</v>
      </c>
      <c r="C135" s="380" t="s">
        <v>5931</v>
      </c>
      <c r="D135" s="381" t="s">
        <v>6459</v>
      </c>
      <c r="E135" s="381" t="s">
        <v>7564</v>
      </c>
      <c r="F135" s="381" t="s">
        <v>7565</v>
      </c>
      <c r="G135" s="382">
        <v>2</v>
      </c>
      <c r="H135" s="380" t="s">
        <v>8220</v>
      </c>
      <c r="I135" s="394" t="s">
        <v>8221</v>
      </c>
      <c r="J135" s="383" t="s">
        <v>2236</v>
      </c>
      <c r="K135" s="383" t="s">
        <v>4</v>
      </c>
      <c r="L135" s="383"/>
      <c r="M135" s="383"/>
      <c r="N135" s="383"/>
      <c r="O135" s="384"/>
      <c r="P135" s="385"/>
    </row>
    <row r="136" spans="1:16" ht="42" customHeight="1">
      <c r="A136" s="379" t="s">
        <v>5786</v>
      </c>
      <c r="B136" s="380" t="s">
        <v>5777</v>
      </c>
      <c r="C136" s="380" t="s">
        <v>5931</v>
      </c>
      <c r="D136" s="381" t="s">
        <v>6460</v>
      </c>
      <c r="E136" s="381" t="s">
        <v>7566</v>
      </c>
      <c r="F136" s="381" t="s">
        <v>7567</v>
      </c>
      <c r="G136" s="382">
        <v>2</v>
      </c>
      <c r="H136" s="380" t="s">
        <v>6722</v>
      </c>
      <c r="I136" s="394" t="s">
        <v>8030</v>
      </c>
      <c r="J136" s="383" t="s">
        <v>2236</v>
      </c>
      <c r="K136" s="383" t="s">
        <v>4</v>
      </c>
      <c r="L136" s="383"/>
      <c r="M136" s="383"/>
      <c r="N136" s="383"/>
      <c r="O136" s="384"/>
      <c r="P136" s="385"/>
    </row>
    <row r="137" spans="1:16" ht="42" customHeight="1">
      <c r="A137" s="379" t="s">
        <v>5787</v>
      </c>
      <c r="B137" s="380" t="s">
        <v>5777</v>
      </c>
      <c r="C137" s="380" t="s">
        <v>5931</v>
      </c>
      <c r="D137" s="381" t="s">
        <v>6461</v>
      </c>
      <c r="E137" s="381" t="s">
        <v>7568</v>
      </c>
      <c r="F137" s="381" t="s">
        <v>7569</v>
      </c>
      <c r="G137" s="382">
        <v>1.5</v>
      </c>
      <c r="H137" s="380" t="s">
        <v>6722</v>
      </c>
      <c r="I137" s="394" t="s">
        <v>8030</v>
      </c>
      <c r="J137" s="383" t="s">
        <v>2236</v>
      </c>
      <c r="K137" s="383" t="s">
        <v>4</v>
      </c>
      <c r="L137" s="383"/>
      <c r="M137" s="383"/>
      <c r="N137" s="383"/>
      <c r="O137" s="384"/>
      <c r="P137" s="385"/>
    </row>
    <row r="138" spans="1:16" ht="42" customHeight="1">
      <c r="A138" s="379" t="s">
        <v>5788</v>
      </c>
      <c r="B138" s="380" t="s">
        <v>5777</v>
      </c>
      <c r="C138" s="380" t="s">
        <v>5931</v>
      </c>
      <c r="D138" s="381" t="s">
        <v>6462</v>
      </c>
      <c r="E138" s="381" t="s">
        <v>7570</v>
      </c>
      <c r="F138" s="381" t="s">
        <v>7571</v>
      </c>
      <c r="G138" s="382">
        <v>1.5</v>
      </c>
      <c r="H138" s="380" t="s">
        <v>6722</v>
      </c>
      <c r="I138" s="394" t="s">
        <v>8030</v>
      </c>
      <c r="J138" s="383" t="s">
        <v>2236</v>
      </c>
      <c r="K138" s="383" t="s">
        <v>4</v>
      </c>
      <c r="L138" s="383"/>
      <c r="M138" s="383"/>
      <c r="N138" s="383"/>
      <c r="O138" s="384"/>
      <c r="P138" s="385"/>
    </row>
    <row r="139" spans="1:16" ht="42" customHeight="1">
      <c r="A139" s="379" t="s">
        <v>5789</v>
      </c>
      <c r="B139" s="380" t="s">
        <v>5777</v>
      </c>
      <c r="C139" s="380" t="s">
        <v>5931</v>
      </c>
      <c r="D139" s="381" t="s">
        <v>6463</v>
      </c>
      <c r="E139" s="381" t="s">
        <v>7572</v>
      </c>
      <c r="F139" s="381" t="s">
        <v>7573</v>
      </c>
      <c r="G139" s="382">
        <v>2</v>
      </c>
      <c r="H139" s="380" t="s">
        <v>8064</v>
      </c>
      <c r="I139" s="394" t="s">
        <v>8065</v>
      </c>
      <c r="J139" s="383" t="s">
        <v>2236</v>
      </c>
      <c r="K139" s="383" t="s">
        <v>4</v>
      </c>
      <c r="L139" s="383"/>
      <c r="M139" s="383"/>
      <c r="N139" s="383"/>
      <c r="O139" s="384"/>
      <c r="P139" s="385"/>
    </row>
    <row r="140" spans="1:16" ht="42" customHeight="1">
      <c r="A140" s="379" t="s">
        <v>5790</v>
      </c>
      <c r="B140" s="380" t="s">
        <v>5777</v>
      </c>
      <c r="C140" s="380" t="s">
        <v>5931</v>
      </c>
      <c r="D140" s="381" t="s">
        <v>6464</v>
      </c>
      <c r="E140" s="381" t="s">
        <v>7574</v>
      </c>
      <c r="F140" s="381" t="s">
        <v>7575</v>
      </c>
      <c r="G140" s="382">
        <v>2</v>
      </c>
      <c r="H140" s="380" t="s">
        <v>8132</v>
      </c>
      <c r="I140" s="394" t="s">
        <v>8133</v>
      </c>
      <c r="J140" s="383" t="s">
        <v>2236</v>
      </c>
      <c r="K140" s="383" t="s">
        <v>4</v>
      </c>
      <c r="L140" s="383"/>
      <c r="M140" s="383"/>
      <c r="N140" s="383"/>
      <c r="O140" s="384"/>
      <c r="P140" s="385"/>
    </row>
    <row r="141" spans="1:16" ht="42" customHeight="1">
      <c r="A141" s="379" t="s">
        <v>5791</v>
      </c>
      <c r="B141" s="380" t="s">
        <v>5777</v>
      </c>
      <c r="C141" s="380" t="s">
        <v>5931</v>
      </c>
      <c r="D141" s="381" t="s">
        <v>6465</v>
      </c>
      <c r="E141" s="381" t="s">
        <v>7576</v>
      </c>
      <c r="F141" s="381" t="s">
        <v>7577</v>
      </c>
      <c r="G141" s="382">
        <v>1.5</v>
      </c>
      <c r="H141" s="380" t="s">
        <v>6722</v>
      </c>
      <c r="I141" s="394" t="s">
        <v>8030</v>
      </c>
      <c r="J141" s="383" t="s">
        <v>2236</v>
      </c>
      <c r="K141" s="383" t="s">
        <v>4</v>
      </c>
      <c r="L141" s="383"/>
      <c r="M141" s="383"/>
      <c r="N141" s="383"/>
      <c r="O141" s="384"/>
      <c r="P141" s="385"/>
    </row>
    <row r="142" spans="1:16" ht="42" customHeight="1">
      <c r="A142" s="379" t="s">
        <v>5792</v>
      </c>
      <c r="B142" s="380" t="s">
        <v>5777</v>
      </c>
      <c r="C142" s="380" t="s">
        <v>5931</v>
      </c>
      <c r="D142" s="381" t="s">
        <v>6466</v>
      </c>
      <c r="E142" s="381" t="s">
        <v>7578</v>
      </c>
      <c r="F142" s="381" t="s">
        <v>7579</v>
      </c>
      <c r="G142" s="382">
        <v>2</v>
      </c>
      <c r="H142" s="380" t="s">
        <v>6722</v>
      </c>
      <c r="I142" s="394" t="s">
        <v>8030</v>
      </c>
      <c r="J142" s="383" t="s">
        <v>2236</v>
      </c>
      <c r="K142" s="383" t="s">
        <v>4</v>
      </c>
      <c r="L142" s="383"/>
      <c r="M142" s="383"/>
      <c r="N142" s="383"/>
      <c r="O142" s="384"/>
      <c r="P142" s="385"/>
    </row>
    <row r="143" spans="1:16" ht="42" customHeight="1">
      <c r="A143" s="379" t="s">
        <v>5793</v>
      </c>
      <c r="B143" s="380" t="s">
        <v>5777</v>
      </c>
      <c r="C143" s="380" t="s">
        <v>5931</v>
      </c>
      <c r="D143" s="381" t="s">
        <v>6467</v>
      </c>
      <c r="E143" s="381" t="s">
        <v>7580</v>
      </c>
      <c r="F143" s="381" t="s">
        <v>7581</v>
      </c>
      <c r="G143" s="382">
        <v>2</v>
      </c>
      <c r="H143" s="380" t="s">
        <v>6722</v>
      </c>
      <c r="I143" s="394" t="s">
        <v>8030</v>
      </c>
      <c r="J143" s="383" t="s">
        <v>2236</v>
      </c>
      <c r="K143" s="383" t="s">
        <v>4</v>
      </c>
      <c r="L143" s="383"/>
      <c r="M143" s="383"/>
      <c r="N143" s="383"/>
      <c r="O143" s="384"/>
      <c r="P143" s="385"/>
    </row>
    <row r="144" spans="1:16" ht="42" customHeight="1">
      <c r="A144" s="379" t="s">
        <v>5794</v>
      </c>
      <c r="B144" s="380" t="s">
        <v>5777</v>
      </c>
      <c r="C144" s="380" t="s">
        <v>5931</v>
      </c>
      <c r="D144" s="381" t="s">
        <v>6468</v>
      </c>
      <c r="E144" s="381" t="s">
        <v>7582</v>
      </c>
      <c r="F144" s="381" t="s">
        <v>7583</v>
      </c>
      <c r="G144" s="382">
        <v>1</v>
      </c>
      <c r="H144" s="380" t="s">
        <v>6722</v>
      </c>
      <c r="I144" s="394" t="s">
        <v>8030</v>
      </c>
      <c r="J144" s="383" t="s">
        <v>2236</v>
      </c>
      <c r="K144" s="383" t="s">
        <v>4</v>
      </c>
      <c r="L144" s="383"/>
      <c r="M144" s="383"/>
      <c r="N144" s="383"/>
      <c r="O144" s="384"/>
      <c r="P144" s="385"/>
    </row>
    <row r="145" spans="1:16" ht="42" customHeight="1">
      <c r="A145" s="379" t="s">
        <v>5795</v>
      </c>
      <c r="B145" s="380" t="s">
        <v>5777</v>
      </c>
      <c r="C145" s="380" t="s">
        <v>5931</v>
      </c>
      <c r="D145" s="381" t="s">
        <v>6469</v>
      </c>
      <c r="E145" s="381" t="s">
        <v>7584</v>
      </c>
      <c r="F145" s="381" t="s">
        <v>7585</v>
      </c>
      <c r="G145" s="382">
        <v>1</v>
      </c>
      <c r="H145" s="380" t="s">
        <v>6722</v>
      </c>
      <c r="I145" s="394" t="s">
        <v>8030</v>
      </c>
      <c r="J145" s="383" t="s">
        <v>2236</v>
      </c>
      <c r="K145" s="383" t="s">
        <v>4</v>
      </c>
      <c r="L145" s="383"/>
      <c r="M145" s="383"/>
      <c r="N145" s="383"/>
      <c r="O145" s="384"/>
      <c r="P145" s="385"/>
    </row>
    <row r="146" spans="1:16" ht="42" customHeight="1">
      <c r="A146" s="379" t="s">
        <v>5796</v>
      </c>
      <c r="B146" s="380" t="s">
        <v>5777</v>
      </c>
      <c r="C146" s="380" t="s">
        <v>5931</v>
      </c>
      <c r="D146" s="381" t="s">
        <v>6470</v>
      </c>
      <c r="E146" s="381" t="s">
        <v>7586</v>
      </c>
      <c r="F146" s="381" t="s">
        <v>7587</v>
      </c>
      <c r="G146" s="382">
        <v>3</v>
      </c>
      <c r="H146" s="380" t="s">
        <v>6722</v>
      </c>
      <c r="I146" s="394" t="s">
        <v>8030</v>
      </c>
      <c r="J146" s="383" t="s">
        <v>2236</v>
      </c>
      <c r="K146" s="383" t="s">
        <v>4</v>
      </c>
      <c r="L146" s="383"/>
      <c r="M146" s="383"/>
      <c r="N146" s="383"/>
      <c r="O146" s="384"/>
      <c r="P146" s="385"/>
    </row>
    <row r="147" spans="1:16" ht="42" customHeight="1">
      <c r="A147" s="379" t="s">
        <v>5797</v>
      </c>
      <c r="B147" s="380" t="s">
        <v>5777</v>
      </c>
      <c r="C147" s="380" t="s">
        <v>5931</v>
      </c>
      <c r="D147" s="381" t="s">
        <v>6471</v>
      </c>
      <c r="E147" s="381" t="s">
        <v>7588</v>
      </c>
      <c r="F147" s="381" t="s">
        <v>7589</v>
      </c>
      <c r="G147" s="382">
        <v>4</v>
      </c>
      <c r="H147" s="380" t="s">
        <v>6722</v>
      </c>
      <c r="I147" s="394" t="s">
        <v>8030</v>
      </c>
      <c r="J147" s="383" t="s">
        <v>2236</v>
      </c>
      <c r="K147" s="383" t="s">
        <v>4</v>
      </c>
      <c r="L147" s="383"/>
      <c r="M147" s="383"/>
      <c r="N147" s="383"/>
      <c r="O147" s="384"/>
      <c r="P147" s="385"/>
    </row>
    <row r="148" spans="1:16" ht="42" customHeight="1">
      <c r="A148" s="379" t="s">
        <v>5798</v>
      </c>
      <c r="B148" s="380" t="s">
        <v>5777</v>
      </c>
      <c r="C148" s="380" t="s">
        <v>5931</v>
      </c>
      <c r="D148" s="381" t="s">
        <v>6472</v>
      </c>
      <c r="E148" s="381" t="s">
        <v>7590</v>
      </c>
      <c r="F148" s="381" t="s">
        <v>7591</v>
      </c>
      <c r="G148" s="382">
        <v>4</v>
      </c>
      <c r="H148" s="380" t="s">
        <v>6722</v>
      </c>
      <c r="I148" s="394" t="s">
        <v>8030</v>
      </c>
      <c r="J148" s="383" t="s">
        <v>2236</v>
      </c>
      <c r="K148" s="383" t="s">
        <v>4</v>
      </c>
      <c r="L148" s="383"/>
      <c r="M148" s="383"/>
      <c r="N148" s="383"/>
      <c r="O148" s="384"/>
      <c r="P148" s="385"/>
    </row>
    <row r="149" spans="1:16" ht="42" customHeight="1">
      <c r="A149" s="379" t="s">
        <v>5799</v>
      </c>
      <c r="B149" s="380" t="s">
        <v>5777</v>
      </c>
      <c r="C149" s="380" t="s">
        <v>5931</v>
      </c>
      <c r="D149" s="381" t="s">
        <v>6473</v>
      </c>
      <c r="E149" s="381" t="s">
        <v>7592</v>
      </c>
      <c r="F149" s="381" t="s">
        <v>7593</v>
      </c>
      <c r="G149" s="382">
        <v>1.5</v>
      </c>
      <c r="H149" s="380" t="s">
        <v>6722</v>
      </c>
      <c r="I149" s="394" t="s">
        <v>8030</v>
      </c>
      <c r="J149" s="383" t="s">
        <v>2236</v>
      </c>
      <c r="K149" s="383" t="s">
        <v>4</v>
      </c>
      <c r="L149" s="383"/>
      <c r="M149" s="383"/>
      <c r="N149" s="383"/>
      <c r="O149" s="384"/>
      <c r="P149" s="385"/>
    </row>
    <row r="150" spans="1:16" ht="42" customHeight="1">
      <c r="A150" s="379" t="s">
        <v>5800</v>
      </c>
      <c r="B150" s="380" t="s">
        <v>5777</v>
      </c>
      <c r="C150" s="380" t="s">
        <v>5931</v>
      </c>
      <c r="D150" s="381" t="s">
        <v>6474</v>
      </c>
      <c r="E150" s="381" t="s">
        <v>7594</v>
      </c>
      <c r="F150" s="381" t="s">
        <v>7595</v>
      </c>
      <c r="G150" s="382">
        <v>5</v>
      </c>
      <c r="H150" s="380" t="s">
        <v>6722</v>
      </c>
      <c r="I150" s="394" t="s">
        <v>8030</v>
      </c>
      <c r="J150" s="383" t="s">
        <v>2236</v>
      </c>
      <c r="K150" s="383" t="s">
        <v>4</v>
      </c>
      <c r="L150" s="383"/>
      <c r="M150" s="383"/>
      <c r="N150" s="383"/>
      <c r="O150" s="384"/>
      <c r="P150" s="385"/>
    </row>
    <row r="151" spans="1:16" ht="42" customHeight="1">
      <c r="A151" s="379" t="s">
        <v>5801</v>
      </c>
      <c r="B151" s="380" t="s">
        <v>5777</v>
      </c>
      <c r="C151" s="380" t="s">
        <v>5931</v>
      </c>
      <c r="D151" s="381" t="s">
        <v>6475</v>
      </c>
      <c r="E151" s="381" t="s">
        <v>7596</v>
      </c>
      <c r="F151" s="381" t="s">
        <v>7597</v>
      </c>
      <c r="G151" s="382">
        <v>2</v>
      </c>
      <c r="H151" s="380" t="s">
        <v>6722</v>
      </c>
      <c r="I151" s="394" t="s">
        <v>8030</v>
      </c>
      <c r="J151" s="383" t="s">
        <v>2236</v>
      </c>
      <c r="K151" s="383" t="s">
        <v>4</v>
      </c>
      <c r="L151" s="383"/>
      <c r="M151" s="383"/>
      <c r="N151" s="383"/>
      <c r="O151" s="384"/>
      <c r="P151" s="385"/>
    </row>
    <row r="152" spans="1:16" ht="42" customHeight="1">
      <c r="A152" s="379" t="s">
        <v>5802</v>
      </c>
      <c r="B152" s="380" t="s">
        <v>5777</v>
      </c>
      <c r="C152" s="380" t="s">
        <v>5931</v>
      </c>
      <c r="D152" s="381" t="s">
        <v>6476</v>
      </c>
      <c r="E152" s="381" t="s">
        <v>7598</v>
      </c>
      <c r="F152" s="381" t="s">
        <v>7599</v>
      </c>
      <c r="G152" s="382">
        <v>3</v>
      </c>
      <c r="H152" s="380" t="s">
        <v>8208</v>
      </c>
      <c r="I152" s="394" t="s">
        <v>8209</v>
      </c>
      <c r="J152" s="383" t="s">
        <v>2236</v>
      </c>
      <c r="K152" s="383" t="s">
        <v>4</v>
      </c>
      <c r="L152" s="383"/>
      <c r="M152" s="383"/>
      <c r="N152" s="383"/>
      <c r="O152" s="384"/>
      <c r="P152" s="385"/>
    </row>
    <row r="153" spans="1:16" ht="42" customHeight="1">
      <c r="A153" s="379" t="s">
        <v>5803</v>
      </c>
      <c r="B153" s="380" t="s">
        <v>5777</v>
      </c>
      <c r="C153" s="380" t="s">
        <v>5931</v>
      </c>
      <c r="D153" s="381" t="s">
        <v>6477</v>
      </c>
      <c r="E153" s="381" t="s">
        <v>7600</v>
      </c>
      <c r="F153" s="381" t="s">
        <v>7601</v>
      </c>
      <c r="G153" s="382">
        <v>2</v>
      </c>
      <c r="H153" s="380" t="s">
        <v>8172</v>
      </c>
      <c r="I153" s="394" t="s">
        <v>8173</v>
      </c>
      <c r="J153" s="383" t="s">
        <v>2236</v>
      </c>
      <c r="K153" s="383" t="s">
        <v>4</v>
      </c>
      <c r="L153" s="383"/>
      <c r="M153" s="383"/>
      <c r="N153" s="383"/>
      <c r="O153" s="384"/>
      <c r="P153" s="385"/>
    </row>
    <row r="154" spans="1:16" ht="42" customHeight="1">
      <c r="A154" s="379" t="s">
        <v>5804</v>
      </c>
      <c r="B154" s="380" t="s">
        <v>5777</v>
      </c>
      <c r="C154" s="380" t="s">
        <v>5524</v>
      </c>
      <c r="D154" s="381" t="s">
        <v>6478</v>
      </c>
      <c r="E154" s="381" t="s">
        <v>7219</v>
      </c>
      <c r="F154" s="381" t="s">
        <v>7220</v>
      </c>
      <c r="G154" s="382">
        <v>3</v>
      </c>
      <c r="H154" s="380" t="s">
        <v>6722</v>
      </c>
      <c r="I154" s="394" t="s">
        <v>8030</v>
      </c>
      <c r="J154" s="383" t="s">
        <v>2236</v>
      </c>
      <c r="K154" s="383" t="s">
        <v>4</v>
      </c>
      <c r="L154" s="383"/>
      <c r="M154" s="383"/>
      <c r="N154" s="383"/>
      <c r="O154" s="384"/>
      <c r="P154" s="385"/>
    </row>
    <row r="155" spans="1:16" ht="42" customHeight="1">
      <c r="A155" s="379" t="s">
        <v>5805</v>
      </c>
      <c r="B155" s="380" t="s">
        <v>5777</v>
      </c>
      <c r="C155" s="380" t="s">
        <v>5524</v>
      </c>
      <c r="D155" s="381" t="s">
        <v>6479</v>
      </c>
      <c r="E155" s="381" t="s">
        <v>7221</v>
      </c>
      <c r="F155" s="381" t="s">
        <v>7222</v>
      </c>
      <c r="G155" s="382">
        <v>1.5</v>
      </c>
      <c r="H155" s="380" t="s">
        <v>6722</v>
      </c>
      <c r="I155" s="394" t="s">
        <v>8030</v>
      </c>
      <c r="J155" s="383" t="s">
        <v>2236</v>
      </c>
      <c r="K155" s="383" t="s">
        <v>4</v>
      </c>
      <c r="L155" s="383"/>
      <c r="M155" s="383"/>
      <c r="N155" s="383"/>
      <c r="O155" s="384"/>
      <c r="P155" s="385"/>
    </row>
    <row r="156" spans="1:16" ht="42" customHeight="1">
      <c r="A156" s="379" t="s">
        <v>5806</v>
      </c>
      <c r="B156" s="380" t="s">
        <v>5777</v>
      </c>
      <c r="C156" s="380" t="s">
        <v>5524</v>
      </c>
      <c r="D156" s="381" t="s">
        <v>6480</v>
      </c>
      <c r="E156" s="381" t="s">
        <v>7223</v>
      </c>
      <c r="F156" s="381" t="s">
        <v>7224</v>
      </c>
      <c r="G156" s="382">
        <v>1.5</v>
      </c>
      <c r="H156" s="380" t="s">
        <v>6722</v>
      </c>
      <c r="I156" s="394" t="s">
        <v>8030</v>
      </c>
      <c r="J156" s="383" t="s">
        <v>2236</v>
      </c>
      <c r="K156" s="383" t="s">
        <v>4</v>
      </c>
      <c r="L156" s="383"/>
      <c r="M156" s="383"/>
      <c r="N156" s="383"/>
      <c r="O156" s="384"/>
      <c r="P156" s="385"/>
    </row>
    <row r="157" spans="1:16" ht="42" customHeight="1">
      <c r="A157" s="379" t="s">
        <v>5807</v>
      </c>
      <c r="B157" s="380" t="s">
        <v>5777</v>
      </c>
      <c r="C157" s="380" t="s">
        <v>5524</v>
      </c>
      <c r="D157" s="381" t="s">
        <v>6481</v>
      </c>
      <c r="E157" s="381" t="s">
        <v>7225</v>
      </c>
      <c r="F157" s="381" t="s">
        <v>7226</v>
      </c>
      <c r="G157" s="382">
        <v>1.5</v>
      </c>
      <c r="H157" s="380" t="s">
        <v>6722</v>
      </c>
      <c r="I157" s="394" t="s">
        <v>8030</v>
      </c>
      <c r="J157" s="383" t="s">
        <v>2236</v>
      </c>
      <c r="K157" s="383" t="s">
        <v>4</v>
      </c>
      <c r="L157" s="383"/>
      <c r="M157" s="383"/>
      <c r="N157" s="383"/>
      <c r="O157" s="384"/>
      <c r="P157" s="385"/>
    </row>
    <row r="158" spans="1:16" ht="42" customHeight="1">
      <c r="A158" s="379" t="s">
        <v>5808</v>
      </c>
      <c r="B158" s="380" t="s">
        <v>5777</v>
      </c>
      <c r="C158" s="380" t="s">
        <v>5524</v>
      </c>
      <c r="D158" s="381" t="s">
        <v>6482</v>
      </c>
      <c r="E158" s="381" t="s">
        <v>7227</v>
      </c>
      <c r="F158" s="381" t="s">
        <v>7228</v>
      </c>
      <c r="G158" s="382">
        <v>1</v>
      </c>
      <c r="H158" s="380" t="s">
        <v>6722</v>
      </c>
      <c r="I158" s="394" t="s">
        <v>8030</v>
      </c>
      <c r="J158" s="383" t="s">
        <v>2236</v>
      </c>
      <c r="K158" s="383" t="s">
        <v>4</v>
      </c>
      <c r="L158" s="383"/>
      <c r="M158" s="383"/>
      <c r="N158" s="383"/>
      <c r="O158" s="384"/>
      <c r="P158" s="385"/>
    </row>
    <row r="159" spans="1:16" ht="42" customHeight="1">
      <c r="A159" s="379" t="s">
        <v>5809</v>
      </c>
      <c r="B159" s="380" t="s">
        <v>5777</v>
      </c>
      <c r="C159" s="380" t="s">
        <v>5524</v>
      </c>
      <c r="D159" s="381" t="s">
        <v>6483</v>
      </c>
      <c r="E159" s="381" t="s">
        <v>7229</v>
      </c>
      <c r="F159" s="381" t="s">
        <v>7230</v>
      </c>
      <c r="G159" s="382">
        <v>1</v>
      </c>
      <c r="H159" s="380" t="s">
        <v>6722</v>
      </c>
      <c r="I159" s="394" t="s">
        <v>8030</v>
      </c>
      <c r="J159" s="383" t="s">
        <v>2236</v>
      </c>
      <c r="K159" s="383" t="s">
        <v>4</v>
      </c>
      <c r="L159" s="383"/>
      <c r="M159" s="383"/>
      <c r="N159" s="383"/>
      <c r="O159" s="384"/>
      <c r="P159" s="385"/>
    </row>
    <row r="160" spans="1:16" ht="42" customHeight="1">
      <c r="A160" s="379" t="s">
        <v>5810</v>
      </c>
      <c r="B160" s="380" t="s">
        <v>5777</v>
      </c>
      <c r="C160" s="380" t="s">
        <v>5524</v>
      </c>
      <c r="D160" s="381" t="s">
        <v>6484</v>
      </c>
      <c r="E160" s="381" t="s">
        <v>7231</v>
      </c>
      <c r="F160" s="381" t="s">
        <v>7232</v>
      </c>
      <c r="G160" s="382">
        <v>1</v>
      </c>
      <c r="H160" s="380" t="s">
        <v>6722</v>
      </c>
      <c r="I160" s="394" t="s">
        <v>8030</v>
      </c>
      <c r="J160" s="383" t="s">
        <v>2236</v>
      </c>
      <c r="K160" s="383" t="s">
        <v>4</v>
      </c>
      <c r="L160" s="383"/>
      <c r="M160" s="383"/>
      <c r="N160" s="383"/>
      <c r="O160" s="384"/>
      <c r="P160" s="385"/>
    </row>
    <row r="161" spans="1:16" ht="42" customHeight="1">
      <c r="A161" s="379" t="s">
        <v>5811</v>
      </c>
      <c r="B161" s="380" t="s">
        <v>5777</v>
      </c>
      <c r="C161" s="380" t="s">
        <v>5524</v>
      </c>
      <c r="D161" s="381" t="s">
        <v>6485</v>
      </c>
      <c r="E161" s="381" t="s">
        <v>7233</v>
      </c>
      <c r="F161" s="381" t="s">
        <v>7234</v>
      </c>
      <c r="G161" s="382">
        <v>2</v>
      </c>
      <c r="H161" s="380" t="s">
        <v>6722</v>
      </c>
      <c r="I161" s="394" t="s">
        <v>8030</v>
      </c>
      <c r="J161" s="383" t="s">
        <v>2236</v>
      </c>
      <c r="K161" s="383" t="s">
        <v>4</v>
      </c>
      <c r="L161" s="383"/>
      <c r="M161" s="383"/>
      <c r="N161" s="383"/>
      <c r="O161" s="384"/>
      <c r="P161" s="385"/>
    </row>
    <row r="162" spans="1:16" ht="42" customHeight="1">
      <c r="A162" s="379" t="s">
        <v>5812</v>
      </c>
      <c r="B162" s="380" t="s">
        <v>5777</v>
      </c>
      <c r="C162" s="380" t="s">
        <v>5524</v>
      </c>
      <c r="D162" s="381" t="s">
        <v>6486</v>
      </c>
      <c r="E162" s="381" t="s">
        <v>7235</v>
      </c>
      <c r="F162" s="381" t="s">
        <v>7236</v>
      </c>
      <c r="G162" s="382">
        <v>0</v>
      </c>
      <c r="H162" s="380" t="s">
        <v>3611</v>
      </c>
      <c r="I162" s="394" t="s">
        <v>8031</v>
      </c>
      <c r="J162" s="383" t="s">
        <v>2236</v>
      </c>
      <c r="K162" s="383" t="s">
        <v>7008</v>
      </c>
      <c r="L162" s="383"/>
      <c r="M162" s="383"/>
      <c r="N162" s="383"/>
      <c r="O162" s="384"/>
      <c r="P162" s="385"/>
    </row>
    <row r="163" spans="1:16" ht="42" customHeight="1">
      <c r="A163" s="379" t="s">
        <v>5813</v>
      </c>
      <c r="B163" s="380" t="s">
        <v>5777</v>
      </c>
      <c r="C163" s="380" t="s">
        <v>5524</v>
      </c>
      <c r="D163" s="381" t="s">
        <v>6487</v>
      </c>
      <c r="E163" s="381" t="s">
        <v>7237</v>
      </c>
      <c r="F163" s="381" t="s">
        <v>7236</v>
      </c>
      <c r="G163" s="382">
        <v>0</v>
      </c>
      <c r="H163" s="380" t="s">
        <v>3611</v>
      </c>
      <c r="I163" s="394" t="s">
        <v>8031</v>
      </c>
      <c r="J163" s="383" t="s">
        <v>2236</v>
      </c>
      <c r="K163" s="383" t="s">
        <v>7008</v>
      </c>
      <c r="L163" s="383"/>
      <c r="M163" s="383"/>
      <c r="N163" s="383"/>
      <c r="O163" s="384"/>
      <c r="P163" s="385"/>
    </row>
    <row r="164" spans="1:16" ht="42" customHeight="1">
      <c r="A164" s="379" t="s">
        <v>5814</v>
      </c>
      <c r="B164" s="380" t="s">
        <v>5777</v>
      </c>
      <c r="C164" s="380" t="s">
        <v>5524</v>
      </c>
      <c r="D164" s="381" t="s">
        <v>6488</v>
      </c>
      <c r="E164" s="381" t="s">
        <v>7238</v>
      </c>
      <c r="F164" s="381" t="s">
        <v>7236</v>
      </c>
      <c r="G164" s="382">
        <v>0</v>
      </c>
      <c r="H164" s="380" t="s">
        <v>3611</v>
      </c>
      <c r="I164" s="394" t="s">
        <v>8031</v>
      </c>
      <c r="J164" s="383" t="s">
        <v>2236</v>
      </c>
      <c r="K164" s="383" t="s">
        <v>7008</v>
      </c>
      <c r="L164" s="383"/>
      <c r="M164" s="383"/>
      <c r="N164" s="383"/>
      <c r="O164" s="384"/>
      <c r="P164" s="385"/>
    </row>
    <row r="165" spans="1:16" ht="42" customHeight="1">
      <c r="A165" s="379" t="s">
        <v>5815</v>
      </c>
      <c r="B165" s="380" t="s">
        <v>5777</v>
      </c>
      <c r="C165" s="380" t="s">
        <v>5524</v>
      </c>
      <c r="D165" s="381" t="s">
        <v>6489</v>
      </c>
      <c r="E165" s="381" t="s">
        <v>7239</v>
      </c>
      <c r="F165" s="381" t="s">
        <v>7236</v>
      </c>
      <c r="G165" s="382">
        <v>0</v>
      </c>
      <c r="H165" s="380" t="s">
        <v>3611</v>
      </c>
      <c r="I165" s="394" t="s">
        <v>8031</v>
      </c>
      <c r="J165" s="383" t="s">
        <v>2236</v>
      </c>
      <c r="K165" s="383" t="s">
        <v>7008</v>
      </c>
      <c r="L165" s="383"/>
      <c r="M165" s="383"/>
      <c r="N165" s="383"/>
      <c r="O165" s="384"/>
      <c r="P165" s="385"/>
    </row>
    <row r="166" spans="1:16" ht="42" customHeight="1">
      <c r="A166" s="379" t="s">
        <v>5816</v>
      </c>
      <c r="B166" s="380" t="s">
        <v>5777</v>
      </c>
      <c r="C166" s="380" t="s">
        <v>5524</v>
      </c>
      <c r="D166" s="381" t="s">
        <v>6490</v>
      </c>
      <c r="E166" s="381" t="s">
        <v>7240</v>
      </c>
      <c r="F166" s="381" t="s">
        <v>7236</v>
      </c>
      <c r="G166" s="382">
        <v>0</v>
      </c>
      <c r="H166" s="380" t="s">
        <v>3611</v>
      </c>
      <c r="I166" s="394" t="s">
        <v>8031</v>
      </c>
      <c r="J166" s="383" t="s">
        <v>2236</v>
      </c>
      <c r="K166" s="383" t="s">
        <v>7008</v>
      </c>
      <c r="L166" s="383"/>
      <c r="M166" s="383"/>
      <c r="N166" s="383"/>
      <c r="O166" s="384"/>
      <c r="P166" s="385"/>
    </row>
    <row r="167" spans="1:16" ht="42" customHeight="1">
      <c r="A167" s="379" t="s">
        <v>5817</v>
      </c>
      <c r="B167" s="380" t="s">
        <v>5777</v>
      </c>
      <c r="C167" s="380" t="s">
        <v>5524</v>
      </c>
      <c r="D167" s="381" t="s">
        <v>6491</v>
      </c>
      <c r="E167" s="381" t="s">
        <v>7241</v>
      </c>
      <c r="F167" s="381" t="s">
        <v>7236</v>
      </c>
      <c r="G167" s="382">
        <v>0</v>
      </c>
      <c r="H167" s="380" t="s">
        <v>3611</v>
      </c>
      <c r="I167" s="394" t="s">
        <v>8031</v>
      </c>
      <c r="J167" s="383" t="s">
        <v>2236</v>
      </c>
      <c r="K167" s="383" t="s">
        <v>7008</v>
      </c>
      <c r="L167" s="383"/>
      <c r="M167" s="383"/>
      <c r="N167" s="383"/>
      <c r="O167" s="384"/>
      <c r="P167" s="385"/>
    </row>
    <row r="168" spans="1:16" ht="42" customHeight="1">
      <c r="A168" s="379" t="s">
        <v>5818</v>
      </c>
      <c r="B168" s="380" t="s">
        <v>5777</v>
      </c>
      <c r="C168" s="380" t="s">
        <v>5524</v>
      </c>
      <c r="D168" s="381" t="s">
        <v>6492</v>
      </c>
      <c r="E168" s="381" t="s">
        <v>7242</v>
      </c>
      <c r="F168" s="381" t="s">
        <v>7243</v>
      </c>
      <c r="G168" s="382">
        <v>4</v>
      </c>
      <c r="H168" s="380" t="s">
        <v>6722</v>
      </c>
      <c r="I168" s="394" t="s">
        <v>8032</v>
      </c>
      <c r="J168" s="383" t="s">
        <v>2236</v>
      </c>
      <c r="K168" s="383" t="s">
        <v>4</v>
      </c>
      <c r="L168" s="383"/>
      <c r="M168" s="383"/>
      <c r="N168" s="383"/>
      <c r="O168" s="384"/>
      <c r="P168" s="385"/>
    </row>
    <row r="169" spans="1:16" ht="42" customHeight="1">
      <c r="A169" s="379" t="s">
        <v>5819</v>
      </c>
      <c r="B169" s="380" t="s">
        <v>5777</v>
      </c>
      <c r="C169" s="380" t="s">
        <v>5524</v>
      </c>
      <c r="D169" s="381" t="s">
        <v>6493</v>
      </c>
      <c r="E169" s="381" t="s">
        <v>7244</v>
      </c>
      <c r="F169" s="381" t="s">
        <v>7245</v>
      </c>
      <c r="G169" s="382">
        <v>3.5</v>
      </c>
      <c r="H169" s="380" t="s">
        <v>6722</v>
      </c>
      <c r="I169" s="394" t="s">
        <v>8032</v>
      </c>
      <c r="J169" s="383" t="s">
        <v>2236</v>
      </c>
      <c r="K169" s="383" t="s">
        <v>4</v>
      </c>
      <c r="L169" s="383"/>
      <c r="M169" s="383"/>
      <c r="N169" s="383"/>
      <c r="O169" s="384"/>
      <c r="P169" s="385"/>
    </row>
    <row r="170" spans="1:16" ht="42" customHeight="1">
      <c r="A170" s="379" t="s">
        <v>5820</v>
      </c>
      <c r="B170" s="380" t="s">
        <v>5777</v>
      </c>
      <c r="C170" s="380" t="s">
        <v>5524</v>
      </c>
      <c r="D170" s="381" t="s">
        <v>6494</v>
      </c>
      <c r="E170" s="381" t="s">
        <v>7246</v>
      </c>
      <c r="F170" s="381" t="s">
        <v>7247</v>
      </c>
      <c r="G170" s="382">
        <v>2.5</v>
      </c>
      <c r="H170" s="380" t="s">
        <v>6722</v>
      </c>
      <c r="I170" s="394" t="s">
        <v>8032</v>
      </c>
      <c r="J170" s="383" t="s">
        <v>2236</v>
      </c>
      <c r="K170" s="383" t="s">
        <v>4</v>
      </c>
      <c r="L170" s="383"/>
      <c r="M170" s="383"/>
      <c r="N170" s="383"/>
      <c r="O170" s="384"/>
      <c r="P170" s="385"/>
    </row>
    <row r="171" spans="1:16" ht="42" customHeight="1">
      <c r="A171" s="379" t="s">
        <v>5821</v>
      </c>
      <c r="B171" s="380" t="s">
        <v>5777</v>
      </c>
      <c r="C171" s="380" t="s">
        <v>5524</v>
      </c>
      <c r="D171" s="381" t="s">
        <v>6495</v>
      </c>
      <c r="E171" s="381" t="s">
        <v>7248</v>
      </c>
      <c r="F171" s="381" t="s">
        <v>7249</v>
      </c>
      <c r="G171" s="382">
        <v>3</v>
      </c>
      <c r="H171" s="380" t="s">
        <v>8033</v>
      </c>
      <c r="I171" s="394" t="s">
        <v>8034</v>
      </c>
      <c r="J171" s="383" t="s">
        <v>2236</v>
      </c>
      <c r="K171" s="383" t="s">
        <v>4</v>
      </c>
      <c r="L171" s="383"/>
      <c r="M171" s="383"/>
      <c r="N171" s="383"/>
      <c r="O171" s="384"/>
      <c r="P171" s="385"/>
    </row>
    <row r="172" spans="1:16" ht="42" customHeight="1">
      <c r="A172" s="379" t="s">
        <v>5822</v>
      </c>
      <c r="B172" s="380" t="s">
        <v>5777</v>
      </c>
      <c r="C172" s="380" t="s">
        <v>5524</v>
      </c>
      <c r="D172" s="381" t="s">
        <v>6496</v>
      </c>
      <c r="E172" s="381" t="s">
        <v>7250</v>
      </c>
      <c r="F172" s="381" t="s">
        <v>7251</v>
      </c>
      <c r="G172" s="382">
        <v>3</v>
      </c>
      <c r="H172" s="380" t="s">
        <v>8035</v>
      </c>
      <c r="I172" s="394" t="s">
        <v>8036</v>
      </c>
      <c r="J172" s="383" t="s">
        <v>2236</v>
      </c>
      <c r="K172" s="383" t="s">
        <v>4</v>
      </c>
      <c r="L172" s="383"/>
      <c r="M172" s="383"/>
      <c r="N172" s="383"/>
      <c r="O172" s="384"/>
      <c r="P172" s="385"/>
    </row>
    <row r="173" spans="1:16" ht="42" customHeight="1">
      <c r="A173" s="379" t="s">
        <v>5823</v>
      </c>
      <c r="B173" s="380" t="s">
        <v>5777</v>
      </c>
      <c r="C173" s="380" t="s">
        <v>5524</v>
      </c>
      <c r="D173" s="381" t="s">
        <v>6497</v>
      </c>
      <c r="E173" s="381" t="s">
        <v>7252</v>
      </c>
      <c r="F173" s="381" t="s">
        <v>7253</v>
      </c>
      <c r="G173" s="382">
        <v>2</v>
      </c>
      <c r="H173" s="380" t="s">
        <v>8037</v>
      </c>
      <c r="I173" s="394" t="s">
        <v>8038</v>
      </c>
      <c r="J173" s="383" t="s">
        <v>2236</v>
      </c>
      <c r="K173" s="383" t="s">
        <v>4</v>
      </c>
      <c r="L173" s="383"/>
      <c r="M173" s="383"/>
      <c r="N173" s="383"/>
      <c r="O173" s="384"/>
      <c r="P173" s="385"/>
    </row>
    <row r="174" spans="1:16" ht="42" customHeight="1">
      <c r="A174" s="379" t="s">
        <v>5824</v>
      </c>
      <c r="B174" s="380" t="s">
        <v>5777</v>
      </c>
      <c r="C174" s="380" t="s">
        <v>5524</v>
      </c>
      <c r="D174" s="381" t="s">
        <v>6498</v>
      </c>
      <c r="E174" s="381" t="s">
        <v>7254</v>
      </c>
      <c r="F174" s="381" t="s">
        <v>7255</v>
      </c>
      <c r="G174" s="382">
        <v>3</v>
      </c>
      <c r="H174" s="380" t="s">
        <v>8039</v>
      </c>
      <c r="I174" s="394" t="s">
        <v>8040</v>
      </c>
      <c r="J174" s="383" t="s">
        <v>2236</v>
      </c>
      <c r="K174" s="383" t="s">
        <v>4</v>
      </c>
      <c r="L174" s="383"/>
      <c r="M174" s="383"/>
      <c r="N174" s="383"/>
      <c r="O174" s="384"/>
      <c r="P174" s="385"/>
    </row>
    <row r="175" spans="1:16" ht="42" customHeight="1">
      <c r="A175" s="379" t="s">
        <v>5825</v>
      </c>
      <c r="B175" s="380" t="s">
        <v>5777</v>
      </c>
      <c r="C175" s="380" t="s">
        <v>5524</v>
      </c>
      <c r="D175" s="381" t="s">
        <v>6499</v>
      </c>
      <c r="E175" s="381" t="s">
        <v>7256</v>
      </c>
      <c r="F175" s="381" t="s">
        <v>7257</v>
      </c>
      <c r="G175" s="382">
        <v>3</v>
      </c>
      <c r="H175" s="380" t="s">
        <v>8041</v>
      </c>
      <c r="I175" s="394" t="s">
        <v>8042</v>
      </c>
      <c r="J175" s="383" t="s">
        <v>2236</v>
      </c>
      <c r="K175" s="383" t="s">
        <v>4</v>
      </c>
      <c r="L175" s="383"/>
      <c r="M175" s="383"/>
      <c r="N175" s="383"/>
      <c r="O175" s="384"/>
      <c r="P175" s="385"/>
    </row>
    <row r="176" spans="1:16" ht="42" customHeight="1">
      <c r="A176" s="379" t="s">
        <v>7009</v>
      </c>
      <c r="B176" s="380" t="s">
        <v>5777</v>
      </c>
      <c r="C176" s="380" t="s">
        <v>5524</v>
      </c>
      <c r="D176" s="381" t="s">
        <v>7010</v>
      </c>
      <c r="E176" s="381" t="s">
        <v>7366</v>
      </c>
      <c r="F176" s="381" t="s">
        <v>7367</v>
      </c>
      <c r="G176" s="382">
        <v>0.75</v>
      </c>
      <c r="H176" s="380" t="s">
        <v>8062</v>
      </c>
      <c r="I176" s="394" t="s">
        <v>8063</v>
      </c>
      <c r="J176" s="383" t="s">
        <v>6993</v>
      </c>
      <c r="K176" s="383" t="s">
        <v>4</v>
      </c>
      <c r="L176" s="383"/>
      <c r="M176" s="383"/>
      <c r="N176" s="383" t="s">
        <v>6736</v>
      </c>
      <c r="O176" s="384" t="s">
        <v>7011</v>
      </c>
      <c r="P176" s="385" t="s">
        <v>6738</v>
      </c>
    </row>
    <row r="177" spans="1:16" ht="42" customHeight="1">
      <c r="A177" s="379" t="s">
        <v>7012</v>
      </c>
      <c r="B177" s="380" t="s">
        <v>5777</v>
      </c>
      <c r="C177" s="380" t="s">
        <v>5524</v>
      </c>
      <c r="D177" s="381" t="s">
        <v>7013</v>
      </c>
      <c r="E177" s="381" t="s">
        <v>7368</v>
      </c>
      <c r="F177" s="381" t="s">
        <v>7369</v>
      </c>
      <c r="G177" s="382">
        <v>1</v>
      </c>
      <c r="H177" s="380" t="s">
        <v>8064</v>
      </c>
      <c r="I177" s="394" t="s">
        <v>8065</v>
      </c>
      <c r="J177" s="383" t="s">
        <v>6993</v>
      </c>
      <c r="K177" s="383" t="s">
        <v>4</v>
      </c>
      <c r="L177" s="383"/>
      <c r="M177" s="383"/>
      <c r="N177" s="383" t="s">
        <v>6736</v>
      </c>
      <c r="O177" s="384" t="s">
        <v>7011</v>
      </c>
      <c r="P177" s="385" t="s">
        <v>6743</v>
      </c>
    </row>
    <row r="178" spans="1:16" ht="42" customHeight="1">
      <c r="A178" s="379" t="s">
        <v>7014</v>
      </c>
      <c r="B178" s="380" t="s">
        <v>5777</v>
      </c>
      <c r="C178" s="380" t="s">
        <v>5524</v>
      </c>
      <c r="D178" s="381" t="s">
        <v>7015</v>
      </c>
      <c r="E178" s="381" t="s">
        <v>7370</v>
      </c>
      <c r="F178" s="381" t="s">
        <v>7371</v>
      </c>
      <c r="G178" s="382">
        <v>0.5</v>
      </c>
      <c r="H178" s="380" t="s">
        <v>8066</v>
      </c>
      <c r="I178" s="394" t="s">
        <v>8067</v>
      </c>
      <c r="J178" s="383" t="s">
        <v>6993</v>
      </c>
      <c r="K178" s="383" t="s">
        <v>4</v>
      </c>
      <c r="L178" s="383"/>
      <c r="M178" s="383"/>
      <c r="N178" s="383" t="s">
        <v>6736</v>
      </c>
      <c r="O178" s="384" t="s">
        <v>6610</v>
      </c>
      <c r="P178" s="385" t="s">
        <v>6746</v>
      </c>
    </row>
    <row r="179" spans="1:16" ht="42" customHeight="1">
      <c r="A179" s="379" t="s">
        <v>7016</v>
      </c>
      <c r="B179" s="380" t="s">
        <v>5777</v>
      </c>
      <c r="C179" s="380" t="s">
        <v>5524</v>
      </c>
      <c r="D179" s="381" t="s">
        <v>7017</v>
      </c>
      <c r="E179" s="381" t="s">
        <v>7372</v>
      </c>
      <c r="F179" s="381" t="s">
        <v>7373</v>
      </c>
      <c r="G179" s="382">
        <v>0.5</v>
      </c>
      <c r="H179" s="380" t="s">
        <v>8068</v>
      </c>
      <c r="I179" s="394" t="s">
        <v>8069</v>
      </c>
      <c r="J179" s="383" t="s">
        <v>6993</v>
      </c>
      <c r="K179" s="383" t="s">
        <v>4</v>
      </c>
      <c r="L179" s="383"/>
      <c r="M179" s="383"/>
      <c r="N179" s="383" t="s">
        <v>6736</v>
      </c>
      <c r="O179" s="384" t="s">
        <v>6610</v>
      </c>
      <c r="P179" s="385" t="s">
        <v>6749</v>
      </c>
    </row>
    <row r="180" spans="1:16" ht="42" customHeight="1">
      <c r="A180" s="379" t="s">
        <v>7018</v>
      </c>
      <c r="B180" s="380" t="s">
        <v>5777</v>
      </c>
      <c r="C180" s="380" t="s">
        <v>5524</v>
      </c>
      <c r="D180" s="381" t="s">
        <v>7019</v>
      </c>
      <c r="E180" s="381" t="s">
        <v>7374</v>
      </c>
      <c r="F180" s="381" t="s">
        <v>7375</v>
      </c>
      <c r="G180" s="382">
        <v>0.75</v>
      </c>
      <c r="H180" s="380" t="s">
        <v>8044</v>
      </c>
      <c r="I180" s="394" t="s">
        <v>8045</v>
      </c>
      <c r="J180" s="383" t="s">
        <v>6993</v>
      </c>
      <c r="K180" s="383" t="s">
        <v>4</v>
      </c>
      <c r="L180" s="383"/>
      <c r="M180" s="383"/>
      <c r="N180" s="383" t="s">
        <v>6736</v>
      </c>
      <c r="O180" s="384" t="s">
        <v>7011</v>
      </c>
      <c r="P180" s="385" t="s">
        <v>6752</v>
      </c>
    </row>
    <row r="181" spans="1:16" ht="42" customHeight="1">
      <c r="A181" s="379" t="s">
        <v>7020</v>
      </c>
      <c r="B181" s="380" t="s">
        <v>5777</v>
      </c>
      <c r="C181" s="380" t="s">
        <v>5524</v>
      </c>
      <c r="D181" s="381" t="s">
        <v>7021</v>
      </c>
      <c r="E181" s="381" t="s">
        <v>7376</v>
      </c>
      <c r="F181" s="381" t="s">
        <v>7377</v>
      </c>
      <c r="G181" s="382">
        <v>0.75</v>
      </c>
      <c r="H181" s="380" t="s">
        <v>8070</v>
      </c>
      <c r="I181" s="394" t="s">
        <v>8071</v>
      </c>
      <c r="J181" s="383" t="s">
        <v>6993</v>
      </c>
      <c r="K181" s="383" t="s">
        <v>4</v>
      </c>
      <c r="L181" s="383"/>
      <c r="M181" s="383"/>
      <c r="N181" s="383" t="s">
        <v>6736</v>
      </c>
      <c r="O181" s="384" t="s">
        <v>7011</v>
      </c>
      <c r="P181" s="385" t="s">
        <v>6756</v>
      </c>
    </row>
    <row r="182" spans="1:16" ht="42" customHeight="1">
      <c r="A182" s="379" t="s">
        <v>7022</v>
      </c>
      <c r="B182" s="380" t="s">
        <v>5777</v>
      </c>
      <c r="C182" s="380" t="s">
        <v>5524</v>
      </c>
      <c r="D182" s="381" t="s">
        <v>7023</v>
      </c>
      <c r="E182" s="381" t="s">
        <v>7378</v>
      </c>
      <c r="F182" s="381" t="s">
        <v>7379</v>
      </c>
      <c r="G182" s="382">
        <v>1</v>
      </c>
      <c r="H182" s="380" t="s">
        <v>8072</v>
      </c>
      <c r="I182" s="394" t="s">
        <v>8073</v>
      </c>
      <c r="J182" s="383" t="s">
        <v>6993</v>
      </c>
      <c r="K182" s="383" t="s">
        <v>4</v>
      </c>
      <c r="L182" s="383"/>
      <c r="M182" s="383"/>
      <c r="N182" s="383" t="s">
        <v>6736</v>
      </c>
      <c r="O182" s="384" t="s">
        <v>7011</v>
      </c>
      <c r="P182" s="385" t="s">
        <v>6759</v>
      </c>
    </row>
    <row r="183" spans="1:16" ht="42" customHeight="1">
      <c r="A183" s="379" t="s">
        <v>7024</v>
      </c>
      <c r="B183" s="380" t="s">
        <v>5777</v>
      </c>
      <c r="C183" s="380" t="s">
        <v>5524</v>
      </c>
      <c r="D183" s="381" t="s">
        <v>7025</v>
      </c>
      <c r="E183" s="381" t="s">
        <v>7380</v>
      </c>
      <c r="F183" s="381" t="s">
        <v>7381</v>
      </c>
      <c r="G183" s="382">
        <v>0.5</v>
      </c>
      <c r="H183" s="380" t="s">
        <v>8074</v>
      </c>
      <c r="I183" s="394" t="s">
        <v>8075</v>
      </c>
      <c r="J183" s="383" t="s">
        <v>6993</v>
      </c>
      <c r="K183" s="383" t="s">
        <v>4</v>
      </c>
      <c r="L183" s="383"/>
      <c r="M183" s="383"/>
      <c r="N183" s="383" t="s">
        <v>6736</v>
      </c>
      <c r="O183" s="384" t="s">
        <v>6610</v>
      </c>
      <c r="P183" s="385" t="s">
        <v>6762</v>
      </c>
    </row>
    <row r="184" spans="1:16" ht="42" customHeight="1">
      <c r="A184" s="379" t="s">
        <v>7026</v>
      </c>
      <c r="B184" s="380" t="s">
        <v>5777</v>
      </c>
      <c r="C184" s="380" t="s">
        <v>5524</v>
      </c>
      <c r="D184" s="381" t="s">
        <v>7027</v>
      </c>
      <c r="E184" s="381" t="s">
        <v>7382</v>
      </c>
      <c r="F184" s="381" t="s">
        <v>7383</v>
      </c>
      <c r="G184" s="382">
        <v>0.75</v>
      </c>
      <c r="H184" s="380" t="s">
        <v>8076</v>
      </c>
      <c r="I184" s="394" t="s">
        <v>8077</v>
      </c>
      <c r="J184" s="383" t="s">
        <v>6993</v>
      </c>
      <c r="K184" s="383" t="s">
        <v>4</v>
      </c>
      <c r="L184" s="383"/>
      <c r="M184" s="383"/>
      <c r="N184" s="383" t="s">
        <v>6736</v>
      </c>
      <c r="O184" s="384" t="s">
        <v>7011</v>
      </c>
      <c r="P184" s="385" t="s">
        <v>6765</v>
      </c>
    </row>
    <row r="185" spans="1:16" ht="42" customHeight="1">
      <c r="A185" s="379" t="s">
        <v>7028</v>
      </c>
      <c r="B185" s="380" t="s">
        <v>5777</v>
      </c>
      <c r="C185" s="380" t="s">
        <v>5524</v>
      </c>
      <c r="D185" s="381" t="s">
        <v>7029</v>
      </c>
      <c r="E185" s="381" t="s">
        <v>7384</v>
      </c>
      <c r="F185" s="381" t="s">
        <v>7385</v>
      </c>
      <c r="G185" s="382">
        <v>0.5</v>
      </c>
      <c r="H185" s="380" t="s">
        <v>8078</v>
      </c>
      <c r="I185" s="394" t="s">
        <v>8079</v>
      </c>
      <c r="J185" s="383" t="s">
        <v>6993</v>
      </c>
      <c r="K185" s="383" t="s">
        <v>4</v>
      </c>
      <c r="L185" s="383"/>
      <c r="M185" s="383"/>
      <c r="N185" s="383" t="s">
        <v>6736</v>
      </c>
      <c r="O185" s="384" t="s">
        <v>6610</v>
      </c>
      <c r="P185" s="385" t="s">
        <v>6768</v>
      </c>
    </row>
    <row r="186" spans="1:16" ht="42" customHeight="1">
      <c r="A186" s="379" t="s">
        <v>7030</v>
      </c>
      <c r="B186" s="380" t="s">
        <v>5777</v>
      </c>
      <c r="C186" s="380" t="s">
        <v>5524</v>
      </c>
      <c r="D186" s="381" t="s">
        <v>7031</v>
      </c>
      <c r="E186" s="381" t="s">
        <v>7386</v>
      </c>
      <c r="F186" s="381" t="s">
        <v>7387</v>
      </c>
      <c r="G186" s="382">
        <v>0.75</v>
      </c>
      <c r="H186" s="380" t="s">
        <v>8080</v>
      </c>
      <c r="I186" s="394" t="s">
        <v>8081</v>
      </c>
      <c r="J186" s="383" t="s">
        <v>6993</v>
      </c>
      <c r="K186" s="383" t="s">
        <v>4</v>
      </c>
      <c r="L186" s="383"/>
      <c r="M186" s="383"/>
      <c r="N186" s="383" t="s">
        <v>6736</v>
      </c>
      <c r="O186" s="384" t="s">
        <v>7011</v>
      </c>
      <c r="P186" s="385" t="s">
        <v>6768</v>
      </c>
    </row>
    <row r="187" spans="1:16" ht="42" customHeight="1">
      <c r="A187" s="379" t="s">
        <v>7032</v>
      </c>
      <c r="B187" s="380" t="s">
        <v>5777</v>
      </c>
      <c r="C187" s="380" t="s">
        <v>5524</v>
      </c>
      <c r="D187" s="381" t="s">
        <v>7033</v>
      </c>
      <c r="E187" s="381" t="s">
        <v>7388</v>
      </c>
      <c r="F187" s="381" t="s">
        <v>7389</v>
      </c>
      <c r="G187" s="382">
        <v>0.5</v>
      </c>
      <c r="H187" s="380" t="s">
        <v>8082</v>
      </c>
      <c r="I187" s="394" t="s">
        <v>8083</v>
      </c>
      <c r="J187" s="383" t="s">
        <v>6993</v>
      </c>
      <c r="K187" s="383" t="s">
        <v>4</v>
      </c>
      <c r="L187" s="383"/>
      <c r="M187" s="383"/>
      <c r="N187" s="383" t="s">
        <v>6736</v>
      </c>
      <c r="O187" s="384" t="s">
        <v>6610</v>
      </c>
      <c r="P187" s="385" t="s">
        <v>6774</v>
      </c>
    </row>
    <row r="188" spans="1:16" ht="42" customHeight="1">
      <c r="A188" s="379" t="s">
        <v>7034</v>
      </c>
      <c r="B188" s="380" t="s">
        <v>5777</v>
      </c>
      <c r="C188" s="380" t="s">
        <v>5524</v>
      </c>
      <c r="D188" s="381" t="s">
        <v>7035</v>
      </c>
      <c r="E188" s="381" t="s">
        <v>7390</v>
      </c>
      <c r="F188" s="381" t="s">
        <v>7391</v>
      </c>
      <c r="G188" s="382">
        <v>0.5</v>
      </c>
      <c r="H188" s="380" t="s">
        <v>8084</v>
      </c>
      <c r="I188" s="394" t="s">
        <v>8085</v>
      </c>
      <c r="J188" s="383" t="s">
        <v>6993</v>
      </c>
      <c r="K188" s="383" t="s">
        <v>4</v>
      </c>
      <c r="L188" s="383"/>
      <c r="M188" s="383"/>
      <c r="N188" s="383" t="s">
        <v>6736</v>
      </c>
      <c r="O188" s="384" t="s">
        <v>6610</v>
      </c>
      <c r="P188" s="385" t="s">
        <v>6774</v>
      </c>
    </row>
    <row r="189" spans="1:16" ht="42" customHeight="1">
      <c r="A189" s="379" t="s">
        <v>7036</v>
      </c>
      <c r="B189" s="380" t="s">
        <v>5777</v>
      </c>
      <c r="C189" s="380" t="s">
        <v>5524</v>
      </c>
      <c r="D189" s="381" t="s">
        <v>7037</v>
      </c>
      <c r="E189" s="381" t="s">
        <v>7392</v>
      </c>
      <c r="F189" s="381" t="s">
        <v>7393</v>
      </c>
      <c r="G189" s="382">
        <v>0.5</v>
      </c>
      <c r="H189" s="380" t="s">
        <v>8086</v>
      </c>
      <c r="I189" s="394" t="s">
        <v>8087</v>
      </c>
      <c r="J189" s="383" t="s">
        <v>6993</v>
      </c>
      <c r="K189" s="383" t="s">
        <v>4</v>
      </c>
      <c r="L189" s="383"/>
      <c r="M189" s="383"/>
      <c r="N189" s="383" t="s">
        <v>6736</v>
      </c>
      <c r="O189" s="384" t="s">
        <v>6610</v>
      </c>
      <c r="P189" s="385" t="s">
        <v>1430</v>
      </c>
    </row>
    <row r="190" spans="1:16" ht="42" customHeight="1">
      <c r="A190" s="379" t="s">
        <v>7038</v>
      </c>
      <c r="B190" s="380" t="s">
        <v>5777</v>
      </c>
      <c r="C190" s="380" t="s">
        <v>5524</v>
      </c>
      <c r="D190" s="381" t="s">
        <v>7039</v>
      </c>
      <c r="E190" s="381" t="s">
        <v>7394</v>
      </c>
      <c r="F190" s="381" t="s">
        <v>7395</v>
      </c>
      <c r="G190" s="382">
        <v>0.5</v>
      </c>
      <c r="H190" s="380" t="s">
        <v>8088</v>
      </c>
      <c r="I190" s="394" t="s">
        <v>8089</v>
      </c>
      <c r="J190" s="383" t="s">
        <v>6993</v>
      </c>
      <c r="K190" s="383" t="s">
        <v>4</v>
      </c>
      <c r="L190" s="383"/>
      <c r="M190" s="383"/>
      <c r="N190" s="383" t="s">
        <v>6736</v>
      </c>
      <c r="O190" s="384" t="s">
        <v>6610</v>
      </c>
      <c r="P190" s="385" t="s">
        <v>1432</v>
      </c>
    </row>
    <row r="191" spans="1:16" ht="42" customHeight="1">
      <c r="A191" s="379" t="s">
        <v>7040</v>
      </c>
      <c r="B191" s="380" t="s">
        <v>5777</v>
      </c>
      <c r="C191" s="380" t="s">
        <v>5524</v>
      </c>
      <c r="D191" s="381" t="s">
        <v>7041</v>
      </c>
      <c r="E191" s="381" t="s">
        <v>7396</v>
      </c>
      <c r="F191" s="381" t="s">
        <v>7397</v>
      </c>
      <c r="G191" s="382">
        <v>0.5</v>
      </c>
      <c r="H191" s="380" t="s">
        <v>8090</v>
      </c>
      <c r="I191" s="394" t="s">
        <v>8091</v>
      </c>
      <c r="J191" s="383" t="s">
        <v>6993</v>
      </c>
      <c r="K191" s="383" t="s">
        <v>4</v>
      </c>
      <c r="L191" s="383"/>
      <c r="M191" s="383"/>
      <c r="N191" s="383" t="s">
        <v>6736</v>
      </c>
      <c r="O191" s="384" t="s">
        <v>6610</v>
      </c>
      <c r="P191" s="385" t="s">
        <v>1432</v>
      </c>
    </row>
    <row r="192" spans="1:16" ht="42" customHeight="1">
      <c r="A192" s="379" t="s">
        <v>7042</v>
      </c>
      <c r="B192" s="380" t="s">
        <v>5777</v>
      </c>
      <c r="C192" s="380" t="s">
        <v>5524</v>
      </c>
      <c r="D192" s="381" t="s">
        <v>7043</v>
      </c>
      <c r="E192" s="381" t="s">
        <v>7398</v>
      </c>
      <c r="F192" s="381" t="s">
        <v>7399</v>
      </c>
      <c r="G192" s="382">
        <v>0.75</v>
      </c>
      <c r="H192" s="380" t="s">
        <v>8054</v>
      </c>
      <c r="I192" s="394" t="s">
        <v>8055</v>
      </c>
      <c r="J192" s="383" t="s">
        <v>6993</v>
      </c>
      <c r="K192" s="383" t="s">
        <v>4</v>
      </c>
      <c r="L192" s="383"/>
      <c r="M192" s="383"/>
      <c r="N192" s="383" t="s">
        <v>6736</v>
      </c>
      <c r="O192" s="384" t="s">
        <v>7011</v>
      </c>
      <c r="P192" s="385" t="s">
        <v>6786</v>
      </c>
    </row>
    <row r="193" spans="1:16" ht="42" customHeight="1">
      <c r="A193" s="379" t="s">
        <v>7044</v>
      </c>
      <c r="B193" s="380" t="s">
        <v>5777</v>
      </c>
      <c r="C193" s="380" t="s">
        <v>5524</v>
      </c>
      <c r="D193" s="381" t="s">
        <v>7045</v>
      </c>
      <c r="E193" s="381" t="s">
        <v>7400</v>
      </c>
      <c r="F193" s="381" t="s">
        <v>7401</v>
      </c>
      <c r="G193" s="382">
        <v>0.5</v>
      </c>
      <c r="H193" s="380" t="s">
        <v>8092</v>
      </c>
      <c r="I193" s="394" t="s">
        <v>8093</v>
      </c>
      <c r="J193" s="383" t="s">
        <v>6993</v>
      </c>
      <c r="K193" s="383" t="s">
        <v>4</v>
      </c>
      <c r="L193" s="383"/>
      <c r="M193" s="383"/>
      <c r="N193" s="383" t="s">
        <v>6736</v>
      </c>
      <c r="O193" s="384" t="s">
        <v>6610</v>
      </c>
      <c r="P193" s="385" t="s">
        <v>40</v>
      </c>
    </row>
    <row r="194" spans="1:16" ht="42" customHeight="1">
      <c r="A194" s="379" t="s">
        <v>7046</v>
      </c>
      <c r="B194" s="380" t="s">
        <v>5777</v>
      </c>
      <c r="C194" s="380" t="s">
        <v>5524</v>
      </c>
      <c r="D194" s="381" t="s">
        <v>7047</v>
      </c>
      <c r="E194" s="381" t="s">
        <v>7402</v>
      </c>
      <c r="F194" s="381" t="s">
        <v>7403</v>
      </c>
      <c r="G194" s="382">
        <v>0.5</v>
      </c>
      <c r="H194" s="380" t="s">
        <v>8094</v>
      </c>
      <c r="I194" s="394" t="s">
        <v>8095</v>
      </c>
      <c r="J194" s="383" t="s">
        <v>6993</v>
      </c>
      <c r="K194" s="383" t="s">
        <v>4</v>
      </c>
      <c r="L194" s="383"/>
      <c r="M194" s="383"/>
      <c r="N194" s="383" t="s">
        <v>6736</v>
      </c>
      <c r="O194" s="384" t="s">
        <v>6610</v>
      </c>
      <c r="P194" s="385" t="s">
        <v>6768</v>
      </c>
    </row>
    <row r="195" spans="1:16" ht="42" customHeight="1">
      <c r="A195" s="379" t="s">
        <v>7048</v>
      </c>
      <c r="B195" s="380" t="s">
        <v>5777</v>
      </c>
      <c r="C195" s="380" t="s">
        <v>5524</v>
      </c>
      <c r="D195" s="381" t="s">
        <v>7049</v>
      </c>
      <c r="E195" s="381" t="s">
        <v>7404</v>
      </c>
      <c r="F195" s="381" t="s">
        <v>7405</v>
      </c>
      <c r="G195" s="382">
        <v>0.5</v>
      </c>
      <c r="H195" s="380" t="s">
        <v>8096</v>
      </c>
      <c r="I195" s="394" t="s">
        <v>8097</v>
      </c>
      <c r="J195" s="383" t="s">
        <v>6993</v>
      </c>
      <c r="K195" s="383" t="s">
        <v>4</v>
      </c>
      <c r="L195" s="383"/>
      <c r="M195" s="383"/>
      <c r="N195" s="383" t="s">
        <v>6736</v>
      </c>
      <c r="O195" s="384" t="s">
        <v>6610</v>
      </c>
      <c r="P195" s="385" t="s">
        <v>6793</v>
      </c>
    </row>
    <row r="196" spans="1:16" ht="42" customHeight="1">
      <c r="A196" s="379" t="s">
        <v>7050</v>
      </c>
      <c r="B196" s="380" t="s">
        <v>5777</v>
      </c>
      <c r="C196" s="380" t="s">
        <v>5524</v>
      </c>
      <c r="D196" s="381" t="s">
        <v>7051</v>
      </c>
      <c r="E196" s="381" t="s">
        <v>7406</v>
      </c>
      <c r="F196" s="381" t="s">
        <v>7407</v>
      </c>
      <c r="G196" s="382">
        <v>0.5</v>
      </c>
      <c r="H196" s="380" t="s">
        <v>8098</v>
      </c>
      <c r="I196" s="394" t="s">
        <v>8099</v>
      </c>
      <c r="J196" s="383" t="s">
        <v>6993</v>
      </c>
      <c r="K196" s="383" t="s">
        <v>4</v>
      </c>
      <c r="L196" s="383"/>
      <c r="M196" s="383"/>
      <c r="N196" s="383" t="s">
        <v>6736</v>
      </c>
      <c r="O196" s="384" t="s">
        <v>6610</v>
      </c>
      <c r="P196" s="385" t="s">
        <v>6797</v>
      </c>
    </row>
    <row r="197" spans="1:16" ht="42" customHeight="1">
      <c r="A197" s="379" t="s">
        <v>7052</v>
      </c>
      <c r="B197" s="380" t="s">
        <v>5777</v>
      </c>
      <c r="C197" s="380" t="s">
        <v>5524</v>
      </c>
      <c r="D197" s="381" t="s">
        <v>7053</v>
      </c>
      <c r="E197" s="381" t="s">
        <v>7408</v>
      </c>
      <c r="F197" s="381" t="s">
        <v>7409</v>
      </c>
      <c r="G197" s="382">
        <v>0.5</v>
      </c>
      <c r="H197" s="380" t="s">
        <v>8100</v>
      </c>
      <c r="I197" s="394" t="s">
        <v>8101</v>
      </c>
      <c r="J197" s="383" t="s">
        <v>6993</v>
      </c>
      <c r="K197" s="383" t="s">
        <v>4</v>
      </c>
      <c r="L197" s="383"/>
      <c r="M197" s="383"/>
      <c r="N197" s="383" t="s">
        <v>6736</v>
      </c>
      <c r="O197" s="384" t="s">
        <v>6610</v>
      </c>
      <c r="P197" s="385" t="s">
        <v>2633</v>
      </c>
    </row>
    <row r="198" spans="1:16" ht="42" customHeight="1">
      <c r="A198" s="379" t="s">
        <v>7054</v>
      </c>
      <c r="B198" s="380" t="s">
        <v>5777</v>
      </c>
      <c r="C198" s="380" t="s">
        <v>5524</v>
      </c>
      <c r="D198" s="381" t="s">
        <v>7055</v>
      </c>
      <c r="E198" s="381" t="s">
        <v>7410</v>
      </c>
      <c r="F198" s="381" t="s">
        <v>7411</v>
      </c>
      <c r="G198" s="382">
        <v>0.75</v>
      </c>
      <c r="H198" s="380" t="s">
        <v>8102</v>
      </c>
      <c r="I198" s="394" t="s">
        <v>8103</v>
      </c>
      <c r="J198" s="383" t="s">
        <v>6993</v>
      </c>
      <c r="K198" s="383" t="s">
        <v>4</v>
      </c>
      <c r="L198" s="383"/>
      <c r="M198" s="383"/>
      <c r="N198" s="383" t="s">
        <v>6801</v>
      </c>
      <c r="O198" s="384" t="s">
        <v>7011</v>
      </c>
      <c r="P198" s="385" t="s">
        <v>6803</v>
      </c>
    </row>
    <row r="199" spans="1:16" ht="42" customHeight="1">
      <c r="A199" s="379" t="s">
        <v>7056</v>
      </c>
      <c r="B199" s="380" t="s">
        <v>5777</v>
      </c>
      <c r="C199" s="380" t="s">
        <v>5524</v>
      </c>
      <c r="D199" s="381" t="s">
        <v>7057</v>
      </c>
      <c r="E199" s="381" t="s">
        <v>7412</v>
      </c>
      <c r="F199" s="381" t="s">
        <v>7413</v>
      </c>
      <c r="G199" s="382">
        <v>0.5</v>
      </c>
      <c r="H199" s="380" t="s">
        <v>8104</v>
      </c>
      <c r="I199" s="394" t="s">
        <v>8105</v>
      </c>
      <c r="J199" s="383" t="s">
        <v>6993</v>
      </c>
      <c r="K199" s="383" t="s">
        <v>4</v>
      </c>
      <c r="L199" s="383"/>
      <c r="M199" s="383"/>
      <c r="N199" s="383" t="s">
        <v>6801</v>
      </c>
      <c r="O199" s="384" t="s">
        <v>6610</v>
      </c>
      <c r="P199" s="385" t="s">
        <v>6807</v>
      </c>
    </row>
    <row r="200" spans="1:16" ht="42" customHeight="1">
      <c r="A200" s="379" t="s">
        <v>7058</v>
      </c>
      <c r="B200" s="380" t="s">
        <v>5777</v>
      </c>
      <c r="C200" s="380" t="s">
        <v>5524</v>
      </c>
      <c r="D200" s="381" t="s">
        <v>7059</v>
      </c>
      <c r="E200" s="381" t="s">
        <v>7414</v>
      </c>
      <c r="F200" s="381" t="s">
        <v>7415</v>
      </c>
      <c r="G200" s="382">
        <v>1</v>
      </c>
      <c r="H200" s="380" t="s">
        <v>8106</v>
      </c>
      <c r="I200" s="394" t="s">
        <v>8107</v>
      </c>
      <c r="J200" s="383" t="s">
        <v>6993</v>
      </c>
      <c r="K200" s="383" t="s">
        <v>4</v>
      </c>
      <c r="L200" s="383"/>
      <c r="M200" s="383"/>
      <c r="N200" s="383" t="s">
        <v>6801</v>
      </c>
      <c r="O200" s="384" t="s">
        <v>7011</v>
      </c>
      <c r="P200" s="385" t="s">
        <v>6810</v>
      </c>
    </row>
    <row r="201" spans="1:16" ht="42" customHeight="1">
      <c r="A201" s="379" t="s">
        <v>7060</v>
      </c>
      <c r="B201" s="380" t="s">
        <v>5777</v>
      </c>
      <c r="C201" s="380" t="s">
        <v>5524</v>
      </c>
      <c r="D201" s="381" t="s">
        <v>7061</v>
      </c>
      <c r="E201" s="381" t="s">
        <v>7416</v>
      </c>
      <c r="F201" s="381" t="s">
        <v>7417</v>
      </c>
      <c r="G201" s="382">
        <v>0.75</v>
      </c>
      <c r="H201" s="380" t="s">
        <v>8108</v>
      </c>
      <c r="I201" s="394" t="s">
        <v>8109</v>
      </c>
      <c r="J201" s="383" t="s">
        <v>6993</v>
      </c>
      <c r="K201" s="383" t="s">
        <v>4</v>
      </c>
      <c r="L201" s="383"/>
      <c r="M201" s="383"/>
      <c r="N201" s="383" t="s">
        <v>6801</v>
      </c>
      <c r="O201" s="384" t="s">
        <v>7011</v>
      </c>
      <c r="P201" s="385" t="s">
        <v>6814</v>
      </c>
    </row>
    <row r="202" spans="1:16" ht="42" customHeight="1">
      <c r="A202" s="379" t="s">
        <v>7062</v>
      </c>
      <c r="B202" s="380" t="s">
        <v>5777</v>
      </c>
      <c r="C202" s="380" t="s">
        <v>5524</v>
      </c>
      <c r="D202" s="381" t="s">
        <v>7063</v>
      </c>
      <c r="E202" s="381" t="s">
        <v>7418</v>
      </c>
      <c r="F202" s="381" t="s">
        <v>7419</v>
      </c>
      <c r="G202" s="382">
        <v>1</v>
      </c>
      <c r="H202" s="380" t="s">
        <v>8110</v>
      </c>
      <c r="I202" s="394" t="s">
        <v>8111</v>
      </c>
      <c r="J202" s="383" t="s">
        <v>6993</v>
      </c>
      <c r="K202" s="383" t="s">
        <v>4</v>
      </c>
      <c r="L202" s="383"/>
      <c r="M202" s="383"/>
      <c r="N202" s="383" t="s">
        <v>6801</v>
      </c>
      <c r="O202" s="384" t="s">
        <v>7011</v>
      </c>
      <c r="P202" s="385" t="s">
        <v>6817</v>
      </c>
    </row>
    <row r="203" spans="1:16" ht="42" customHeight="1">
      <c r="A203" s="379" t="s">
        <v>7064</v>
      </c>
      <c r="B203" s="380" t="s">
        <v>5777</v>
      </c>
      <c r="C203" s="380" t="s">
        <v>5524</v>
      </c>
      <c r="D203" s="381" t="s">
        <v>7065</v>
      </c>
      <c r="E203" s="381" t="s">
        <v>7420</v>
      </c>
      <c r="F203" s="381" t="s">
        <v>7421</v>
      </c>
      <c r="G203" s="382">
        <v>0.5</v>
      </c>
      <c r="H203" s="380" t="s">
        <v>8112</v>
      </c>
      <c r="I203" s="394" t="s">
        <v>8113</v>
      </c>
      <c r="J203" s="383" t="s">
        <v>6993</v>
      </c>
      <c r="K203" s="383" t="s">
        <v>4</v>
      </c>
      <c r="L203" s="383"/>
      <c r="M203" s="383"/>
      <c r="N203" s="383" t="s">
        <v>6801</v>
      </c>
      <c r="O203" s="384" t="s">
        <v>6610</v>
      </c>
      <c r="P203" s="385" t="s">
        <v>511</v>
      </c>
    </row>
    <row r="204" spans="1:16" ht="42" customHeight="1">
      <c r="A204" s="379" t="s">
        <v>7066</v>
      </c>
      <c r="B204" s="380" t="s">
        <v>5777</v>
      </c>
      <c r="C204" s="380" t="s">
        <v>5524</v>
      </c>
      <c r="D204" s="381" t="s">
        <v>7067</v>
      </c>
      <c r="E204" s="381" t="s">
        <v>7422</v>
      </c>
      <c r="F204" s="381" t="s">
        <v>7423</v>
      </c>
      <c r="G204" s="382">
        <v>0.5</v>
      </c>
      <c r="H204" s="380" t="s">
        <v>8114</v>
      </c>
      <c r="I204" s="394" t="s">
        <v>8115</v>
      </c>
      <c r="J204" s="383" t="s">
        <v>6993</v>
      </c>
      <c r="K204" s="383" t="s">
        <v>4</v>
      </c>
      <c r="L204" s="383"/>
      <c r="M204" s="383"/>
      <c r="N204" s="383" t="s">
        <v>6801</v>
      </c>
      <c r="O204" s="384" t="s">
        <v>6628</v>
      </c>
      <c r="P204" s="385" t="s">
        <v>2610</v>
      </c>
    </row>
    <row r="205" spans="1:16" ht="42" customHeight="1">
      <c r="A205" s="379" t="s">
        <v>7068</v>
      </c>
      <c r="B205" s="380" t="s">
        <v>5777</v>
      </c>
      <c r="C205" s="380" t="s">
        <v>5524</v>
      </c>
      <c r="D205" s="381" t="s">
        <v>7069</v>
      </c>
      <c r="E205" s="381" t="s">
        <v>7424</v>
      </c>
      <c r="F205" s="381" t="s">
        <v>7425</v>
      </c>
      <c r="G205" s="382">
        <v>1</v>
      </c>
      <c r="H205" s="380" t="s">
        <v>8116</v>
      </c>
      <c r="I205" s="394" t="s">
        <v>8117</v>
      </c>
      <c r="J205" s="383" t="s">
        <v>6993</v>
      </c>
      <c r="K205" s="383" t="s">
        <v>4</v>
      </c>
      <c r="L205" s="383"/>
      <c r="M205" s="383"/>
      <c r="N205" s="383" t="s">
        <v>6801</v>
      </c>
      <c r="O205" s="384" t="s">
        <v>7011</v>
      </c>
      <c r="P205" s="385" t="s">
        <v>914</v>
      </c>
    </row>
    <row r="206" spans="1:16" ht="42" customHeight="1">
      <c r="A206" s="379" t="s">
        <v>7070</v>
      </c>
      <c r="B206" s="380" t="s">
        <v>5777</v>
      </c>
      <c r="C206" s="380" t="s">
        <v>5524</v>
      </c>
      <c r="D206" s="381" t="s">
        <v>7071</v>
      </c>
      <c r="E206" s="381" t="s">
        <v>7426</v>
      </c>
      <c r="F206" s="381" t="s">
        <v>7427</v>
      </c>
      <c r="G206" s="382">
        <v>0.75</v>
      </c>
      <c r="H206" s="380" t="s">
        <v>8118</v>
      </c>
      <c r="I206" s="394" t="s">
        <v>8119</v>
      </c>
      <c r="J206" s="383" t="s">
        <v>6993</v>
      </c>
      <c r="K206" s="383" t="s">
        <v>4</v>
      </c>
      <c r="L206" s="383"/>
      <c r="M206" s="383"/>
      <c r="N206" s="383" t="s">
        <v>6801</v>
      </c>
      <c r="O206" s="384" t="s">
        <v>7011</v>
      </c>
      <c r="P206" s="385" t="s">
        <v>909</v>
      </c>
    </row>
    <row r="207" spans="1:16" ht="42" customHeight="1">
      <c r="A207" s="379" t="s">
        <v>7072</v>
      </c>
      <c r="B207" s="380" t="s">
        <v>5777</v>
      </c>
      <c r="C207" s="380" t="s">
        <v>5524</v>
      </c>
      <c r="D207" s="381" t="s">
        <v>7073</v>
      </c>
      <c r="E207" s="381" t="s">
        <v>7428</v>
      </c>
      <c r="F207" s="381" t="s">
        <v>7429</v>
      </c>
      <c r="G207" s="382">
        <v>0.75</v>
      </c>
      <c r="H207" s="380" t="s">
        <v>8120</v>
      </c>
      <c r="I207" s="394" t="s">
        <v>8121</v>
      </c>
      <c r="J207" s="383" t="s">
        <v>6993</v>
      </c>
      <c r="K207" s="383" t="s">
        <v>4</v>
      </c>
      <c r="L207" s="383"/>
      <c r="M207" s="383"/>
      <c r="N207" s="383" t="s">
        <v>6801</v>
      </c>
      <c r="O207" s="384" t="s">
        <v>7011</v>
      </c>
      <c r="P207" s="385" t="s">
        <v>6829</v>
      </c>
    </row>
    <row r="208" spans="1:16" ht="42" customHeight="1">
      <c r="A208" s="379" t="s">
        <v>7074</v>
      </c>
      <c r="B208" s="380" t="s">
        <v>5777</v>
      </c>
      <c r="C208" s="380" t="s">
        <v>5524</v>
      </c>
      <c r="D208" s="381" t="s">
        <v>7075</v>
      </c>
      <c r="E208" s="381" t="s">
        <v>7430</v>
      </c>
      <c r="F208" s="381" t="s">
        <v>7431</v>
      </c>
      <c r="G208" s="382">
        <v>0.75</v>
      </c>
      <c r="H208" s="380" t="s">
        <v>8122</v>
      </c>
      <c r="I208" s="394" t="s">
        <v>8123</v>
      </c>
      <c r="J208" s="383" t="s">
        <v>6993</v>
      </c>
      <c r="K208" s="383" t="s">
        <v>4</v>
      </c>
      <c r="L208" s="383"/>
      <c r="M208" s="383"/>
      <c r="N208" s="383" t="s">
        <v>6801</v>
      </c>
      <c r="O208" s="384" t="s">
        <v>7011</v>
      </c>
      <c r="P208" s="385" t="s">
        <v>6833</v>
      </c>
    </row>
    <row r="209" spans="1:16" ht="42" customHeight="1">
      <c r="A209" s="379" t="s">
        <v>7076</v>
      </c>
      <c r="B209" s="380" t="s">
        <v>5777</v>
      </c>
      <c r="C209" s="380" t="s">
        <v>5524</v>
      </c>
      <c r="D209" s="381" t="s">
        <v>7077</v>
      </c>
      <c r="E209" s="381" t="s">
        <v>7432</v>
      </c>
      <c r="F209" s="381" t="s">
        <v>7433</v>
      </c>
      <c r="G209" s="382">
        <v>1</v>
      </c>
      <c r="H209" s="380" t="s">
        <v>8124</v>
      </c>
      <c r="I209" s="394" t="s">
        <v>8125</v>
      </c>
      <c r="J209" s="383" t="s">
        <v>6993</v>
      </c>
      <c r="K209" s="383" t="s">
        <v>4</v>
      </c>
      <c r="L209" s="383"/>
      <c r="M209" s="383"/>
      <c r="N209" s="383" t="s">
        <v>6801</v>
      </c>
      <c r="O209" s="384" t="s">
        <v>7011</v>
      </c>
      <c r="P209" s="385" t="s">
        <v>2501</v>
      </c>
    </row>
    <row r="210" spans="1:16" ht="42" customHeight="1">
      <c r="A210" s="379" t="s">
        <v>7078</v>
      </c>
      <c r="B210" s="380" t="s">
        <v>5777</v>
      </c>
      <c r="C210" s="380" t="s">
        <v>5524</v>
      </c>
      <c r="D210" s="381" t="s">
        <v>7079</v>
      </c>
      <c r="E210" s="381" t="s">
        <v>7434</v>
      </c>
      <c r="F210" s="381" t="s">
        <v>7435</v>
      </c>
      <c r="G210" s="382">
        <v>0.5</v>
      </c>
      <c r="H210" s="380" t="s">
        <v>8126</v>
      </c>
      <c r="I210" s="394" t="s">
        <v>8127</v>
      </c>
      <c r="J210" s="383" t="s">
        <v>6993</v>
      </c>
      <c r="K210" s="383" t="s">
        <v>4</v>
      </c>
      <c r="L210" s="383"/>
      <c r="M210" s="383"/>
      <c r="N210" s="383" t="s">
        <v>6801</v>
      </c>
      <c r="O210" s="384" t="s">
        <v>6610</v>
      </c>
      <c r="P210" s="385" t="s">
        <v>2457</v>
      </c>
    </row>
    <row r="211" spans="1:16" ht="42" customHeight="1">
      <c r="A211" s="379" t="s">
        <v>7080</v>
      </c>
      <c r="B211" s="380" t="s">
        <v>5777</v>
      </c>
      <c r="C211" s="380" t="s">
        <v>5524</v>
      </c>
      <c r="D211" s="381" t="s">
        <v>7081</v>
      </c>
      <c r="E211" s="381" t="s">
        <v>7436</v>
      </c>
      <c r="F211" s="381" t="s">
        <v>7437</v>
      </c>
      <c r="G211" s="382">
        <v>0.5</v>
      </c>
      <c r="H211" s="380" t="s">
        <v>8128</v>
      </c>
      <c r="I211" s="394" t="s">
        <v>8129</v>
      </c>
      <c r="J211" s="383" t="s">
        <v>6993</v>
      </c>
      <c r="K211" s="383" t="s">
        <v>4</v>
      </c>
      <c r="L211" s="383"/>
      <c r="M211" s="383"/>
      <c r="N211" s="383" t="s">
        <v>6801</v>
      </c>
      <c r="O211" s="384" t="s">
        <v>6610</v>
      </c>
      <c r="P211" s="385" t="s">
        <v>6839</v>
      </c>
    </row>
    <row r="212" spans="1:16" ht="42" customHeight="1">
      <c r="A212" s="379" t="s">
        <v>7082</v>
      </c>
      <c r="B212" s="380" t="s">
        <v>5777</v>
      </c>
      <c r="C212" s="380" t="s">
        <v>5524</v>
      </c>
      <c r="D212" s="381" t="s">
        <v>7083</v>
      </c>
      <c r="E212" s="381" t="s">
        <v>7438</v>
      </c>
      <c r="F212" s="381" t="s">
        <v>7439</v>
      </c>
      <c r="G212" s="382">
        <v>0.5</v>
      </c>
      <c r="H212" s="380" t="s">
        <v>8130</v>
      </c>
      <c r="I212" s="394" t="s">
        <v>8131</v>
      </c>
      <c r="J212" s="383" t="s">
        <v>6993</v>
      </c>
      <c r="K212" s="383" t="s">
        <v>4</v>
      </c>
      <c r="L212" s="383"/>
      <c r="M212" s="383"/>
      <c r="N212" s="383" t="s">
        <v>6801</v>
      </c>
      <c r="O212" s="384" t="s">
        <v>6610</v>
      </c>
      <c r="P212" s="385" t="s">
        <v>2712</v>
      </c>
    </row>
    <row r="213" spans="1:16" ht="42" customHeight="1">
      <c r="A213" s="379" t="s">
        <v>7084</v>
      </c>
      <c r="B213" s="380" t="s">
        <v>5777</v>
      </c>
      <c r="C213" s="380" t="s">
        <v>5524</v>
      </c>
      <c r="D213" s="381" t="s">
        <v>7085</v>
      </c>
      <c r="E213" s="381" t="s">
        <v>7440</v>
      </c>
      <c r="F213" s="381" t="s">
        <v>7441</v>
      </c>
      <c r="G213" s="382">
        <v>0.5</v>
      </c>
      <c r="H213" s="380" t="s">
        <v>8132</v>
      </c>
      <c r="I213" s="394" t="s">
        <v>8133</v>
      </c>
      <c r="J213" s="383" t="s">
        <v>6993</v>
      </c>
      <c r="K213" s="383" t="s">
        <v>4</v>
      </c>
      <c r="L213" s="383"/>
      <c r="M213" s="383"/>
      <c r="N213" s="383" t="s">
        <v>6801</v>
      </c>
      <c r="O213" s="384" t="s">
        <v>6610</v>
      </c>
      <c r="P213" s="385" t="s">
        <v>6845</v>
      </c>
    </row>
    <row r="214" spans="1:16" ht="42" customHeight="1">
      <c r="A214" s="379" t="s">
        <v>7086</v>
      </c>
      <c r="B214" s="380" t="s">
        <v>5777</v>
      </c>
      <c r="C214" s="380" t="s">
        <v>5524</v>
      </c>
      <c r="D214" s="381" t="s">
        <v>7087</v>
      </c>
      <c r="E214" s="381" t="s">
        <v>7442</v>
      </c>
      <c r="F214" s="381" t="s">
        <v>7443</v>
      </c>
      <c r="G214" s="382">
        <v>1</v>
      </c>
      <c r="H214" s="380" t="s">
        <v>8134</v>
      </c>
      <c r="I214" s="394" t="s">
        <v>8135</v>
      </c>
      <c r="J214" s="383" t="s">
        <v>6993</v>
      </c>
      <c r="K214" s="383" t="s">
        <v>4</v>
      </c>
      <c r="L214" s="383"/>
      <c r="M214" s="383"/>
      <c r="N214" s="383" t="s">
        <v>6801</v>
      </c>
      <c r="O214" s="384" t="s">
        <v>7011</v>
      </c>
      <c r="P214" s="385" t="s">
        <v>6848</v>
      </c>
    </row>
    <row r="215" spans="1:16" ht="42" customHeight="1">
      <c r="A215" s="379" t="s">
        <v>7088</v>
      </c>
      <c r="B215" s="380" t="s">
        <v>5777</v>
      </c>
      <c r="C215" s="380" t="s">
        <v>5524</v>
      </c>
      <c r="D215" s="381" t="s">
        <v>7089</v>
      </c>
      <c r="E215" s="381" t="s">
        <v>7444</v>
      </c>
      <c r="F215" s="381" t="s">
        <v>7445</v>
      </c>
      <c r="G215" s="382">
        <v>0.75</v>
      </c>
      <c r="H215" s="380" t="s">
        <v>8037</v>
      </c>
      <c r="I215" s="394" t="s">
        <v>8038</v>
      </c>
      <c r="J215" s="383" t="s">
        <v>6993</v>
      </c>
      <c r="K215" s="383" t="s">
        <v>4</v>
      </c>
      <c r="L215" s="383"/>
      <c r="M215" s="383"/>
      <c r="N215" s="383" t="s">
        <v>7090</v>
      </c>
      <c r="O215" s="384" t="s">
        <v>7011</v>
      </c>
      <c r="P215" s="385" t="s">
        <v>2641</v>
      </c>
    </row>
    <row r="216" spans="1:16" ht="42" customHeight="1">
      <c r="A216" s="379" t="s">
        <v>7091</v>
      </c>
      <c r="B216" s="380" t="s">
        <v>5777</v>
      </c>
      <c r="C216" s="380" t="s">
        <v>5524</v>
      </c>
      <c r="D216" s="381" t="s">
        <v>7092</v>
      </c>
      <c r="E216" s="381" t="s">
        <v>7446</v>
      </c>
      <c r="F216" s="381" t="s">
        <v>7447</v>
      </c>
      <c r="G216" s="382">
        <v>0.5</v>
      </c>
      <c r="H216" s="380" t="s">
        <v>8136</v>
      </c>
      <c r="I216" s="394" t="s">
        <v>8137</v>
      </c>
      <c r="J216" s="383" t="s">
        <v>6993</v>
      </c>
      <c r="K216" s="383" t="s">
        <v>4</v>
      </c>
      <c r="L216" s="383"/>
      <c r="M216" s="383"/>
      <c r="N216" s="383" t="s">
        <v>7090</v>
      </c>
      <c r="O216" s="384" t="s">
        <v>6610</v>
      </c>
      <c r="P216" s="385" t="s">
        <v>2641</v>
      </c>
    </row>
    <row r="217" spans="1:16" ht="42" customHeight="1">
      <c r="A217" s="379" t="s">
        <v>7093</v>
      </c>
      <c r="B217" s="380" t="s">
        <v>5777</v>
      </c>
      <c r="C217" s="380" t="s">
        <v>5524</v>
      </c>
      <c r="D217" s="381" t="s">
        <v>7094</v>
      </c>
      <c r="E217" s="381" t="s">
        <v>7448</v>
      </c>
      <c r="F217" s="381" t="s">
        <v>7449</v>
      </c>
      <c r="G217" s="382">
        <v>0.75</v>
      </c>
      <c r="H217" s="380" t="s">
        <v>8138</v>
      </c>
      <c r="I217" s="394" t="s">
        <v>8139</v>
      </c>
      <c r="J217" s="383" t="s">
        <v>6993</v>
      </c>
      <c r="K217" s="383" t="s">
        <v>4</v>
      </c>
      <c r="L217" s="383"/>
      <c r="M217" s="383"/>
      <c r="N217" s="383" t="s">
        <v>7090</v>
      </c>
      <c r="O217" s="384" t="s">
        <v>7011</v>
      </c>
      <c r="P217" s="385" t="s">
        <v>6857</v>
      </c>
    </row>
    <row r="218" spans="1:16" ht="42" customHeight="1">
      <c r="A218" s="379" t="s">
        <v>7095</v>
      </c>
      <c r="B218" s="380" t="s">
        <v>5777</v>
      </c>
      <c r="C218" s="380" t="s">
        <v>5524</v>
      </c>
      <c r="D218" s="381" t="s">
        <v>7096</v>
      </c>
      <c r="E218" s="381" t="s">
        <v>7450</v>
      </c>
      <c r="F218" s="381" t="s">
        <v>7451</v>
      </c>
      <c r="G218" s="382">
        <v>0.75</v>
      </c>
      <c r="H218" s="380" t="s">
        <v>8140</v>
      </c>
      <c r="I218" s="394" t="s">
        <v>8141</v>
      </c>
      <c r="J218" s="383" t="s">
        <v>6993</v>
      </c>
      <c r="K218" s="383" t="s">
        <v>4</v>
      </c>
      <c r="L218" s="383"/>
      <c r="M218" s="383"/>
      <c r="N218" s="383" t="s">
        <v>7090</v>
      </c>
      <c r="O218" s="384" t="s">
        <v>7011</v>
      </c>
      <c r="P218" s="385" t="s">
        <v>2641</v>
      </c>
    </row>
    <row r="219" spans="1:16" ht="42" customHeight="1">
      <c r="A219" s="379" t="s">
        <v>7097</v>
      </c>
      <c r="B219" s="380" t="s">
        <v>5777</v>
      </c>
      <c r="C219" s="380" t="s">
        <v>5524</v>
      </c>
      <c r="D219" s="381" t="s">
        <v>7098</v>
      </c>
      <c r="E219" s="381" t="s">
        <v>7452</v>
      </c>
      <c r="F219" s="381" t="s">
        <v>7453</v>
      </c>
      <c r="G219" s="382">
        <v>0.75</v>
      </c>
      <c r="H219" s="380" t="s">
        <v>8142</v>
      </c>
      <c r="I219" s="394" t="s">
        <v>8143</v>
      </c>
      <c r="J219" s="383" t="s">
        <v>6993</v>
      </c>
      <c r="K219" s="383" t="s">
        <v>4</v>
      </c>
      <c r="L219" s="383"/>
      <c r="M219" s="383"/>
      <c r="N219" s="383" t="s">
        <v>7090</v>
      </c>
      <c r="O219" s="384" t="s">
        <v>7011</v>
      </c>
      <c r="P219" s="385" t="s">
        <v>2641</v>
      </c>
    </row>
    <row r="220" spans="1:16" ht="42" customHeight="1">
      <c r="A220" s="379" t="s">
        <v>7099</v>
      </c>
      <c r="B220" s="380" t="s">
        <v>5777</v>
      </c>
      <c r="C220" s="380" t="s">
        <v>5524</v>
      </c>
      <c r="D220" s="381" t="s">
        <v>7100</v>
      </c>
      <c r="E220" s="381" t="s">
        <v>7454</v>
      </c>
      <c r="F220" s="381" t="s">
        <v>7455</v>
      </c>
      <c r="G220" s="382">
        <v>0.75</v>
      </c>
      <c r="H220" s="380" t="s">
        <v>8144</v>
      </c>
      <c r="I220" s="394" t="s">
        <v>8145</v>
      </c>
      <c r="J220" s="383" t="s">
        <v>6993</v>
      </c>
      <c r="K220" s="383" t="s">
        <v>4</v>
      </c>
      <c r="L220" s="383"/>
      <c r="M220" s="383"/>
      <c r="N220" s="383" t="s">
        <v>7090</v>
      </c>
      <c r="O220" s="384" t="s">
        <v>7011</v>
      </c>
      <c r="P220" s="385" t="s">
        <v>2501</v>
      </c>
    </row>
    <row r="221" spans="1:16" ht="42" customHeight="1">
      <c r="A221" s="379" t="s">
        <v>7101</v>
      </c>
      <c r="B221" s="380" t="s">
        <v>5777</v>
      </c>
      <c r="C221" s="380" t="s">
        <v>5524</v>
      </c>
      <c r="D221" s="381" t="s">
        <v>7102</v>
      </c>
      <c r="E221" s="381" t="s">
        <v>7456</v>
      </c>
      <c r="F221" s="381" t="s">
        <v>7457</v>
      </c>
      <c r="G221" s="382">
        <v>0.5</v>
      </c>
      <c r="H221" s="380" t="s">
        <v>8146</v>
      </c>
      <c r="I221" s="394" t="s">
        <v>8147</v>
      </c>
      <c r="J221" s="383" t="s">
        <v>6993</v>
      </c>
      <c r="K221" s="383" t="s">
        <v>4</v>
      </c>
      <c r="L221" s="383"/>
      <c r="M221" s="383"/>
      <c r="N221" s="383" t="s">
        <v>7090</v>
      </c>
      <c r="O221" s="384" t="s">
        <v>6610</v>
      </c>
      <c r="P221" s="385" t="s">
        <v>2641</v>
      </c>
    </row>
    <row r="222" spans="1:16" ht="42" customHeight="1">
      <c r="A222" s="379" t="s">
        <v>7103</v>
      </c>
      <c r="B222" s="380" t="s">
        <v>5777</v>
      </c>
      <c r="C222" s="380" t="s">
        <v>5524</v>
      </c>
      <c r="D222" s="381" t="s">
        <v>7104</v>
      </c>
      <c r="E222" s="381" t="s">
        <v>7458</v>
      </c>
      <c r="F222" s="381" t="s">
        <v>7459</v>
      </c>
      <c r="G222" s="382">
        <v>0.5</v>
      </c>
      <c r="H222" s="380" t="s">
        <v>8148</v>
      </c>
      <c r="I222" s="394" t="s">
        <v>8149</v>
      </c>
      <c r="J222" s="383" t="s">
        <v>6993</v>
      </c>
      <c r="K222" s="383" t="s">
        <v>4</v>
      </c>
      <c r="L222" s="383"/>
      <c r="M222" s="383"/>
      <c r="N222" s="383" t="s">
        <v>7090</v>
      </c>
      <c r="O222" s="384" t="s">
        <v>6610</v>
      </c>
      <c r="P222" s="385" t="s">
        <v>6869</v>
      </c>
    </row>
    <row r="223" spans="1:16" ht="42" customHeight="1">
      <c r="A223" s="379" t="s">
        <v>7105</v>
      </c>
      <c r="B223" s="380" t="s">
        <v>5777</v>
      </c>
      <c r="C223" s="380" t="s">
        <v>5524</v>
      </c>
      <c r="D223" s="381" t="s">
        <v>7106</v>
      </c>
      <c r="E223" s="381" t="s">
        <v>7460</v>
      </c>
      <c r="F223" s="381" t="s">
        <v>7461</v>
      </c>
      <c r="G223" s="382">
        <v>0.5</v>
      </c>
      <c r="H223" s="380" t="s">
        <v>8150</v>
      </c>
      <c r="I223" s="394" t="s">
        <v>8151</v>
      </c>
      <c r="J223" s="383" t="s">
        <v>6993</v>
      </c>
      <c r="K223" s="383" t="s">
        <v>4</v>
      </c>
      <c r="L223" s="383"/>
      <c r="M223" s="383"/>
      <c r="N223" s="383" t="s">
        <v>7090</v>
      </c>
      <c r="O223" s="384" t="s">
        <v>6610</v>
      </c>
      <c r="P223" s="385" t="s">
        <v>2641</v>
      </c>
    </row>
    <row r="224" spans="1:16" ht="42" customHeight="1">
      <c r="A224" s="379" t="s">
        <v>7107</v>
      </c>
      <c r="B224" s="380" t="s">
        <v>5777</v>
      </c>
      <c r="C224" s="380" t="s">
        <v>5524</v>
      </c>
      <c r="D224" s="381" t="s">
        <v>7108</v>
      </c>
      <c r="E224" s="381" t="s">
        <v>7462</v>
      </c>
      <c r="F224" s="381" t="s">
        <v>7463</v>
      </c>
      <c r="G224" s="382">
        <v>0.5</v>
      </c>
      <c r="H224" s="380" t="s">
        <v>8152</v>
      </c>
      <c r="I224" s="394" t="s">
        <v>8153</v>
      </c>
      <c r="J224" s="383" t="s">
        <v>6993</v>
      </c>
      <c r="K224" s="383" t="s">
        <v>4</v>
      </c>
      <c r="L224" s="383"/>
      <c r="M224" s="383"/>
      <c r="N224" s="383" t="s">
        <v>7090</v>
      </c>
      <c r="O224" s="384" t="s">
        <v>6610</v>
      </c>
      <c r="P224" s="385" t="s">
        <v>6874</v>
      </c>
    </row>
    <row r="225" spans="1:16" ht="42" customHeight="1">
      <c r="A225" s="379" t="s">
        <v>7109</v>
      </c>
      <c r="B225" s="380" t="s">
        <v>5777</v>
      </c>
      <c r="C225" s="380" t="s">
        <v>5524</v>
      </c>
      <c r="D225" s="381" t="s">
        <v>7110</v>
      </c>
      <c r="E225" s="381" t="s">
        <v>7464</v>
      </c>
      <c r="F225" s="381" t="s">
        <v>7465</v>
      </c>
      <c r="G225" s="382">
        <v>1</v>
      </c>
      <c r="H225" s="380" t="s">
        <v>8154</v>
      </c>
      <c r="I225" s="394" t="s">
        <v>8155</v>
      </c>
      <c r="J225" s="383" t="s">
        <v>6993</v>
      </c>
      <c r="K225" s="383" t="s">
        <v>4</v>
      </c>
      <c r="L225" s="383"/>
      <c r="M225" s="383"/>
      <c r="N225" s="383" t="s">
        <v>7090</v>
      </c>
      <c r="O225" s="384" t="s">
        <v>7011</v>
      </c>
      <c r="P225" s="385" t="s">
        <v>6877</v>
      </c>
    </row>
    <row r="226" spans="1:16" ht="42" customHeight="1">
      <c r="A226" s="379" t="s">
        <v>7111</v>
      </c>
      <c r="B226" s="380" t="s">
        <v>5777</v>
      </c>
      <c r="C226" s="380" t="s">
        <v>5524</v>
      </c>
      <c r="D226" s="381" t="s">
        <v>7112</v>
      </c>
      <c r="E226" s="381" t="s">
        <v>7466</v>
      </c>
      <c r="F226" s="381" t="s">
        <v>7467</v>
      </c>
      <c r="G226" s="382">
        <v>0.75</v>
      </c>
      <c r="H226" s="380" t="s">
        <v>8156</v>
      </c>
      <c r="I226" s="394" t="s">
        <v>8157</v>
      </c>
      <c r="J226" s="383" t="s">
        <v>6993</v>
      </c>
      <c r="K226" s="383" t="s">
        <v>4</v>
      </c>
      <c r="L226" s="383"/>
      <c r="M226" s="383"/>
      <c r="N226" s="383" t="s">
        <v>7090</v>
      </c>
      <c r="O226" s="384" t="s">
        <v>7011</v>
      </c>
      <c r="P226" s="385" t="s">
        <v>6881</v>
      </c>
    </row>
    <row r="227" spans="1:16" ht="42" customHeight="1">
      <c r="A227" s="379" t="s">
        <v>7113</v>
      </c>
      <c r="B227" s="380" t="s">
        <v>5777</v>
      </c>
      <c r="C227" s="380" t="s">
        <v>5524</v>
      </c>
      <c r="D227" s="381" t="s">
        <v>7114</v>
      </c>
      <c r="E227" s="381" t="s">
        <v>7468</v>
      </c>
      <c r="F227" s="381" t="s">
        <v>7469</v>
      </c>
      <c r="G227" s="382">
        <v>0.5</v>
      </c>
      <c r="H227" s="380" t="s">
        <v>8158</v>
      </c>
      <c r="I227" s="394" t="s">
        <v>8159</v>
      </c>
      <c r="J227" s="383" t="s">
        <v>6993</v>
      </c>
      <c r="K227" s="383" t="s">
        <v>4</v>
      </c>
      <c r="L227" s="383"/>
      <c r="M227" s="383"/>
      <c r="N227" s="383" t="s">
        <v>7090</v>
      </c>
      <c r="O227" s="384" t="s">
        <v>6610</v>
      </c>
      <c r="P227" s="385" t="s">
        <v>2641</v>
      </c>
    </row>
    <row r="228" spans="1:16" ht="42" customHeight="1">
      <c r="A228" s="379" t="s">
        <v>7115</v>
      </c>
      <c r="B228" s="380" t="s">
        <v>5777</v>
      </c>
      <c r="C228" s="380" t="s">
        <v>5524</v>
      </c>
      <c r="D228" s="381" t="s">
        <v>7116</v>
      </c>
      <c r="E228" s="381" t="s">
        <v>7470</v>
      </c>
      <c r="F228" s="381" t="s">
        <v>7471</v>
      </c>
      <c r="G228" s="382">
        <v>0.5</v>
      </c>
      <c r="H228" s="380" t="s">
        <v>8160</v>
      </c>
      <c r="I228" s="394" t="s">
        <v>8161</v>
      </c>
      <c r="J228" s="383" t="s">
        <v>6993</v>
      </c>
      <c r="K228" s="383" t="s">
        <v>4</v>
      </c>
      <c r="L228" s="383"/>
      <c r="M228" s="383"/>
      <c r="N228" s="383" t="s">
        <v>7090</v>
      </c>
      <c r="O228" s="384" t="s">
        <v>6610</v>
      </c>
      <c r="P228" s="385" t="s">
        <v>886</v>
      </c>
    </row>
    <row r="229" spans="1:16" ht="42" customHeight="1">
      <c r="A229" s="379" t="s">
        <v>7117</v>
      </c>
      <c r="B229" s="380" t="s">
        <v>5777</v>
      </c>
      <c r="C229" s="380" t="s">
        <v>5524</v>
      </c>
      <c r="D229" s="381" t="s">
        <v>7118</v>
      </c>
      <c r="E229" s="381" t="s">
        <v>7472</v>
      </c>
      <c r="F229" s="381" t="s">
        <v>7473</v>
      </c>
      <c r="G229" s="382">
        <v>0.5</v>
      </c>
      <c r="H229" s="380" t="s">
        <v>8162</v>
      </c>
      <c r="I229" s="394" t="s">
        <v>8163</v>
      </c>
      <c r="J229" s="383" t="s">
        <v>6993</v>
      </c>
      <c r="K229" s="383" t="s">
        <v>4</v>
      </c>
      <c r="L229" s="383"/>
      <c r="M229" s="383"/>
      <c r="N229" s="383" t="s">
        <v>7090</v>
      </c>
      <c r="O229" s="384" t="s">
        <v>6610</v>
      </c>
      <c r="P229" s="385" t="s">
        <v>886</v>
      </c>
    </row>
    <row r="230" spans="1:16" ht="42" customHeight="1">
      <c r="A230" s="379" t="s">
        <v>7119</v>
      </c>
      <c r="B230" s="380" t="s">
        <v>5777</v>
      </c>
      <c r="C230" s="380" t="s">
        <v>5524</v>
      </c>
      <c r="D230" s="381" t="s">
        <v>7120</v>
      </c>
      <c r="E230" s="381" t="s">
        <v>7474</v>
      </c>
      <c r="F230" s="381" t="s">
        <v>7475</v>
      </c>
      <c r="G230" s="382">
        <v>0.75</v>
      </c>
      <c r="H230" s="380" t="s">
        <v>8164</v>
      </c>
      <c r="I230" s="394" t="s">
        <v>8165</v>
      </c>
      <c r="J230" s="383" t="s">
        <v>6993</v>
      </c>
      <c r="K230" s="383" t="s">
        <v>4</v>
      </c>
      <c r="L230" s="383"/>
      <c r="M230" s="383"/>
      <c r="N230" s="383" t="s">
        <v>7090</v>
      </c>
      <c r="O230" s="384" t="s">
        <v>7011</v>
      </c>
      <c r="P230" s="385" t="s">
        <v>1211</v>
      </c>
    </row>
    <row r="231" spans="1:16" ht="42" customHeight="1">
      <c r="A231" s="379" t="s">
        <v>7121</v>
      </c>
      <c r="B231" s="380" t="s">
        <v>5777</v>
      </c>
      <c r="C231" s="380" t="s">
        <v>5524</v>
      </c>
      <c r="D231" s="381" t="s">
        <v>7122</v>
      </c>
      <c r="E231" s="381" t="s">
        <v>7476</v>
      </c>
      <c r="F231" s="381" t="s">
        <v>7477</v>
      </c>
      <c r="G231" s="382">
        <v>0.5</v>
      </c>
      <c r="H231" s="380" t="s">
        <v>8166</v>
      </c>
      <c r="I231" s="394" t="s">
        <v>8167</v>
      </c>
      <c r="J231" s="383" t="s">
        <v>6993</v>
      </c>
      <c r="K231" s="383" t="s">
        <v>4</v>
      </c>
      <c r="L231" s="383"/>
      <c r="M231" s="383"/>
      <c r="N231" s="383" t="s">
        <v>7090</v>
      </c>
      <c r="O231" s="384" t="s">
        <v>6610</v>
      </c>
      <c r="P231" s="385" t="s">
        <v>6893</v>
      </c>
    </row>
    <row r="232" spans="1:16" ht="42" customHeight="1">
      <c r="A232" s="379" t="s">
        <v>7123</v>
      </c>
      <c r="B232" s="380" t="s">
        <v>5777</v>
      </c>
      <c r="C232" s="380" t="s">
        <v>5524</v>
      </c>
      <c r="D232" s="381" t="s">
        <v>7124</v>
      </c>
      <c r="E232" s="381" t="s">
        <v>7478</v>
      </c>
      <c r="F232" s="381" t="s">
        <v>7479</v>
      </c>
      <c r="G232" s="382">
        <v>0.5</v>
      </c>
      <c r="H232" s="380" t="s">
        <v>8168</v>
      </c>
      <c r="I232" s="394" t="s">
        <v>8169</v>
      </c>
      <c r="J232" s="383" t="s">
        <v>6993</v>
      </c>
      <c r="K232" s="383" t="s">
        <v>4</v>
      </c>
      <c r="L232" s="383"/>
      <c r="M232" s="383"/>
      <c r="N232" s="383" t="s">
        <v>7090</v>
      </c>
      <c r="O232" s="384" t="s">
        <v>6610</v>
      </c>
      <c r="P232" s="385" t="s">
        <v>6896</v>
      </c>
    </row>
    <row r="233" spans="1:16" ht="42" customHeight="1">
      <c r="A233" s="379" t="s">
        <v>7125</v>
      </c>
      <c r="B233" s="380" t="s">
        <v>5777</v>
      </c>
      <c r="C233" s="380" t="s">
        <v>5524</v>
      </c>
      <c r="D233" s="381" t="s">
        <v>7126</v>
      </c>
      <c r="E233" s="381" t="s">
        <v>7480</v>
      </c>
      <c r="F233" s="381" t="s">
        <v>7481</v>
      </c>
      <c r="G233" s="382">
        <v>0.5</v>
      </c>
      <c r="H233" s="380" t="s">
        <v>8170</v>
      </c>
      <c r="I233" s="394" t="s">
        <v>8171</v>
      </c>
      <c r="J233" s="383" t="s">
        <v>6993</v>
      </c>
      <c r="K233" s="383" t="s">
        <v>4</v>
      </c>
      <c r="L233" s="383"/>
      <c r="M233" s="383"/>
      <c r="N233" s="383" t="s">
        <v>7090</v>
      </c>
      <c r="O233" s="384" t="s">
        <v>6610</v>
      </c>
      <c r="P233" s="385" t="s">
        <v>1439</v>
      </c>
    </row>
    <row r="234" spans="1:16" ht="42" customHeight="1">
      <c r="A234" s="379" t="s">
        <v>7127</v>
      </c>
      <c r="B234" s="380" t="s">
        <v>5777</v>
      </c>
      <c r="C234" s="380" t="s">
        <v>5524</v>
      </c>
      <c r="D234" s="381" t="s">
        <v>7128</v>
      </c>
      <c r="E234" s="381" t="s">
        <v>7482</v>
      </c>
      <c r="F234" s="381" t="s">
        <v>7483</v>
      </c>
      <c r="G234" s="382">
        <v>0.5</v>
      </c>
      <c r="H234" s="380" t="s">
        <v>8039</v>
      </c>
      <c r="I234" s="394" t="s">
        <v>8040</v>
      </c>
      <c r="J234" s="383" t="s">
        <v>6993</v>
      </c>
      <c r="K234" s="383" t="s">
        <v>4</v>
      </c>
      <c r="L234" s="383"/>
      <c r="M234" s="383"/>
      <c r="N234" s="383" t="s">
        <v>7090</v>
      </c>
      <c r="O234" s="384" t="s">
        <v>6610</v>
      </c>
      <c r="P234" s="385" t="s">
        <v>6902</v>
      </c>
    </row>
    <row r="235" spans="1:16" ht="42" customHeight="1">
      <c r="A235" s="379" t="s">
        <v>7129</v>
      </c>
      <c r="B235" s="380" t="s">
        <v>5777</v>
      </c>
      <c r="C235" s="380" t="s">
        <v>5524</v>
      </c>
      <c r="D235" s="381" t="s">
        <v>7130</v>
      </c>
      <c r="E235" s="381" t="s">
        <v>7484</v>
      </c>
      <c r="F235" s="381" t="s">
        <v>7485</v>
      </c>
      <c r="G235" s="382">
        <v>0.5</v>
      </c>
      <c r="H235" s="380" t="s">
        <v>8041</v>
      </c>
      <c r="I235" s="394" t="s">
        <v>8042</v>
      </c>
      <c r="J235" s="383" t="s">
        <v>6993</v>
      </c>
      <c r="K235" s="383" t="s">
        <v>4</v>
      </c>
      <c r="L235" s="383"/>
      <c r="M235" s="383"/>
      <c r="N235" s="383" t="s">
        <v>7090</v>
      </c>
      <c r="O235" s="384" t="s">
        <v>6610</v>
      </c>
      <c r="P235" s="385" t="s">
        <v>6905</v>
      </c>
    </row>
    <row r="236" spans="1:16" ht="42" customHeight="1">
      <c r="A236" s="379" t="s">
        <v>7131</v>
      </c>
      <c r="B236" s="380" t="s">
        <v>5777</v>
      </c>
      <c r="C236" s="380" t="s">
        <v>5524</v>
      </c>
      <c r="D236" s="381" t="s">
        <v>7132</v>
      </c>
      <c r="E236" s="381" t="s">
        <v>7486</v>
      </c>
      <c r="F236" s="381" t="s">
        <v>7487</v>
      </c>
      <c r="G236" s="382">
        <v>0.5</v>
      </c>
      <c r="H236" s="380" t="s">
        <v>8172</v>
      </c>
      <c r="I236" s="394" t="s">
        <v>8173</v>
      </c>
      <c r="J236" s="383" t="s">
        <v>6993</v>
      </c>
      <c r="K236" s="383" t="s">
        <v>4</v>
      </c>
      <c r="L236" s="383"/>
      <c r="M236" s="383"/>
      <c r="N236" s="383" t="s">
        <v>7090</v>
      </c>
      <c r="O236" s="384" t="s">
        <v>6610</v>
      </c>
      <c r="P236" s="385" t="s">
        <v>1437</v>
      </c>
    </row>
    <row r="237" spans="1:16" ht="42" customHeight="1">
      <c r="A237" s="379" t="s">
        <v>7133</v>
      </c>
      <c r="B237" s="380" t="s">
        <v>5777</v>
      </c>
      <c r="C237" s="380" t="s">
        <v>5524</v>
      </c>
      <c r="D237" s="381" t="s">
        <v>7134</v>
      </c>
      <c r="E237" s="381" t="s">
        <v>7488</v>
      </c>
      <c r="F237" s="381" t="s">
        <v>7489</v>
      </c>
      <c r="G237" s="382">
        <v>1</v>
      </c>
      <c r="H237" s="380" t="s">
        <v>8051</v>
      </c>
      <c r="I237" s="394" t="s">
        <v>8052</v>
      </c>
      <c r="J237" s="383" t="s">
        <v>6993</v>
      </c>
      <c r="K237" s="383" t="s">
        <v>4</v>
      </c>
      <c r="L237" s="383"/>
      <c r="M237" s="383"/>
      <c r="N237" s="383" t="s">
        <v>6909</v>
      </c>
      <c r="O237" s="384" t="s">
        <v>7011</v>
      </c>
      <c r="P237" s="385" t="s">
        <v>6911</v>
      </c>
    </row>
    <row r="238" spans="1:16" ht="42" customHeight="1">
      <c r="A238" s="379" t="s">
        <v>7135</v>
      </c>
      <c r="B238" s="380" t="s">
        <v>5777</v>
      </c>
      <c r="C238" s="380" t="s">
        <v>5524</v>
      </c>
      <c r="D238" s="381" t="s">
        <v>7136</v>
      </c>
      <c r="E238" s="381" t="s">
        <v>7490</v>
      </c>
      <c r="F238" s="381" t="s">
        <v>7491</v>
      </c>
      <c r="G238" s="382">
        <v>0.5</v>
      </c>
      <c r="H238" s="380" t="s">
        <v>8174</v>
      </c>
      <c r="I238" s="394" t="s">
        <v>8175</v>
      </c>
      <c r="J238" s="383" t="s">
        <v>6993</v>
      </c>
      <c r="K238" s="383" t="s">
        <v>4</v>
      </c>
      <c r="L238" s="383"/>
      <c r="M238" s="383"/>
      <c r="N238" s="383" t="s">
        <v>6909</v>
      </c>
      <c r="O238" s="384" t="s">
        <v>6610</v>
      </c>
      <c r="P238" s="385" t="s">
        <v>1049</v>
      </c>
    </row>
    <row r="239" spans="1:16" ht="42" customHeight="1">
      <c r="A239" s="379" t="s">
        <v>7137</v>
      </c>
      <c r="B239" s="380" t="s">
        <v>5777</v>
      </c>
      <c r="C239" s="380" t="s">
        <v>5524</v>
      </c>
      <c r="D239" s="381" t="s">
        <v>7138</v>
      </c>
      <c r="E239" s="381" t="s">
        <v>7492</v>
      </c>
      <c r="F239" s="381" t="s">
        <v>7493</v>
      </c>
      <c r="G239" s="382">
        <v>0.75</v>
      </c>
      <c r="H239" s="380" t="s">
        <v>8176</v>
      </c>
      <c r="I239" s="394" t="s">
        <v>8177</v>
      </c>
      <c r="J239" s="383" t="s">
        <v>6993</v>
      </c>
      <c r="K239" s="383" t="s">
        <v>4</v>
      </c>
      <c r="L239" s="383"/>
      <c r="M239" s="383"/>
      <c r="N239" s="383" t="s">
        <v>6909</v>
      </c>
      <c r="O239" s="384" t="s">
        <v>7011</v>
      </c>
      <c r="P239" s="385" t="s">
        <v>913</v>
      </c>
    </row>
    <row r="240" spans="1:16" ht="42" customHeight="1">
      <c r="A240" s="379" t="s">
        <v>7139</v>
      </c>
      <c r="B240" s="380" t="s">
        <v>5777</v>
      </c>
      <c r="C240" s="380" t="s">
        <v>5524</v>
      </c>
      <c r="D240" s="381" t="s">
        <v>7140</v>
      </c>
      <c r="E240" s="381" t="s">
        <v>7494</v>
      </c>
      <c r="F240" s="381" t="s">
        <v>7495</v>
      </c>
      <c r="G240" s="382">
        <v>0.5</v>
      </c>
      <c r="H240" s="380" t="s">
        <v>8178</v>
      </c>
      <c r="I240" s="394" t="s">
        <v>8179</v>
      </c>
      <c r="J240" s="383" t="s">
        <v>6993</v>
      </c>
      <c r="K240" s="383" t="s">
        <v>4</v>
      </c>
      <c r="L240" s="383"/>
      <c r="M240" s="383"/>
      <c r="N240" s="383" t="s">
        <v>6909</v>
      </c>
      <c r="O240" s="384" t="s">
        <v>6610</v>
      </c>
      <c r="P240" s="385" t="s">
        <v>6919</v>
      </c>
    </row>
    <row r="241" spans="1:16" ht="42" customHeight="1">
      <c r="A241" s="379" t="s">
        <v>7141</v>
      </c>
      <c r="B241" s="380" t="s">
        <v>5777</v>
      </c>
      <c r="C241" s="380" t="s">
        <v>5524</v>
      </c>
      <c r="D241" s="381" t="s">
        <v>7142</v>
      </c>
      <c r="E241" s="381" t="s">
        <v>7496</v>
      </c>
      <c r="F241" s="381" t="s">
        <v>7497</v>
      </c>
      <c r="G241" s="382">
        <v>0.75</v>
      </c>
      <c r="H241" s="380" t="s">
        <v>8035</v>
      </c>
      <c r="I241" s="394" t="s">
        <v>8036</v>
      </c>
      <c r="J241" s="383" t="s">
        <v>6993</v>
      </c>
      <c r="K241" s="383" t="s">
        <v>4</v>
      </c>
      <c r="L241" s="383"/>
      <c r="M241" s="383"/>
      <c r="N241" s="383" t="s">
        <v>6909</v>
      </c>
      <c r="O241" s="384" t="s">
        <v>7011</v>
      </c>
      <c r="P241" s="385" t="s">
        <v>6922</v>
      </c>
    </row>
    <row r="242" spans="1:16" ht="42" customHeight="1">
      <c r="A242" s="379" t="s">
        <v>7143</v>
      </c>
      <c r="B242" s="380" t="s">
        <v>5777</v>
      </c>
      <c r="C242" s="380" t="s">
        <v>5524</v>
      </c>
      <c r="D242" s="381" t="s">
        <v>7144</v>
      </c>
      <c r="E242" s="381" t="s">
        <v>7498</v>
      </c>
      <c r="F242" s="381" t="s">
        <v>7499</v>
      </c>
      <c r="G242" s="382">
        <v>0.75</v>
      </c>
      <c r="H242" s="380" t="s">
        <v>8180</v>
      </c>
      <c r="I242" s="394" t="s">
        <v>8181</v>
      </c>
      <c r="J242" s="383" t="s">
        <v>6993</v>
      </c>
      <c r="K242" s="383" t="s">
        <v>4</v>
      </c>
      <c r="L242" s="383"/>
      <c r="M242" s="383"/>
      <c r="N242" s="383" t="s">
        <v>6909</v>
      </c>
      <c r="O242" s="384" t="s">
        <v>7011</v>
      </c>
      <c r="P242" s="385" t="s">
        <v>2641</v>
      </c>
    </row>
    <row r="243" spans="1:16" ht="42" customHeight="1">
      <c r="A243" s="379" t="s">
        <v>7145</v>
      </c>
      <c r="B243" s="380" t="s">
        <v>5777</v>
      </c>
      <c r="C243" s="380" t="s">
        <v>5524</v>
      </c>
      <c r="D243" s="381" t="s">
        <v>7146</v>
      </c>
      <c r="E243" s="381" t="s">
        <v>7500</v>
      </c>
      <c r="F243" s="381" t="s">
        <v>7501</v>
      </c>
      <c r="G243" s="382">
        <v>0.5</v>
      </c>
      <c r="H243" s="380" t="s">
        <v>8047</v>
      </c>
      <c r="I243" s="394" t="s">
        <v>8048</v>
      </c>
      <c r="J243" s="383" t="s">
        <v>6993</v>
      </c>
      <c r="K243" s="383" t="s">
        <v>4</v>
      </c>
      <c r="L243" s="383"/>
      <c r="M243" s="383"/>
      <c r="N243" s="383" t="s">
        <v>6909</v>
      </c>
      <c r="O243" s="384" t="s">
        <v>6610</v>
      </c>
      <c r="P243" s="385" t="s">
        <v>6928</v>
      </c>
    </row>
    <row r="244" spans="1:16" ht="42" customHeight="1">
      <c r="A244" s="379" t="s">
        <v>7147</v>
      </c>
      <c r="B244" s="380" t="s">
        <v>5777</v>
      </c>
      <c r="C244" s="380" t="s">
        <v>5524</v>
      </c>
      <c r="D244" s="381" t="s">
        <v>7148</v>
      </c>
      <c r="E244" s="381" t="s">
        <v>7502</v>
      </c>
      <c r="F244" s="381" t="s">
        <v>7503</v>
      </c>
      <c r="G244" s="382">
        <v>0.5</v>
      </c>
      <c r="H244" s="380" t="s">
        <v>8056</v>
      </c>
      <c r="I244" s="394" t="s">
        <v>8057</v>
      </c>
      <c r="J244" s="383" t="s">
        <v>6993</v>
      </c>
      <c r="K244" s="383" t="s">
        <v>4</v>
      </c>
      <c r="L244" s="383"/>
      <c r="M244" s="383"/>
      <c r="N244" s="383" t="s">
        <v>6909</v>
      </c>
      <c r="O244" s="384" t="s">
        <v>6610</v>
      </c>
      <c r="P244" s="385" t="s">
        <v>6931</v>
      </c>
    </row>
    <row r="245" spans="1:16" ht="42" customHeight="1">
      <c r="A245" s="379" t="s">
        <v>7149</v>
      </c>
      <c r="B245" s="380" t="s">
        <v>5777</v>
      </c>
      <c r="C245" s="380" t="s">
        <v>5524</v>
      </c>
      <c r="D245" s="381" t="s">
        <v>7150</v>
      </c>
      <c r="E245" s="381" t="s">
        <v>7504</v>
      </c>
      <c r="F245" s="381" t="s">
        <v>7505</v>
      </c>
      <c r="G245" s="382">
        <v>0.5</v>
      </c>
      <c r="H245" s="380" t="s">
        <v>8182</v>
      </c>
      <c r="I245" s="394" t="s">
        <v>8183</v>
      </c>
      <c r="J245" s="383" t="s">
        <v>6993</v>
      </c>
      <c r="K245" s="383" t="s">
        <v>4</v>
      </c>
      <c r="L245" s="383"/>
      <c r="M245" s="383"/>
      <c r="N245" s="383" t="s">
        <v>6909</v>
      </c>
      <c r="O245" s="384" t="s">
        <v>6610</v>
      </c>
      <c r="P245" s="385" t="s">
        <v>1439</v>
      </c>
    </row>
    <row r="246" spans="1:16" ht="42" customHeight="1">
      <c r="A246" s="379" t="s">
        <v>7151</v>
      </c>
      <c r="B246" s="380" t="s">
        <v>5777</v>
      </c>
      <c r="C246" s="380" t="s">
        <v>5524</v>
      </c>
      <c r="D246" s="381" t="s">
        <v>7152</v>
      </c>
      <c r="E246" s="381" t="s">
        <v>7506</v>
      </c>
      <c r="F246" s="381" t="s">
        <v>7507</v>
      </c>
      <c r="G246" s="382">
        <v>0.75</v>
      </c>
      <c r="H246" s="380" t="s">
        <v>8049</v>
      </c>
      <c r="I246" s="394" t="s">
        <v>8050</v>
      </c>
      <c r="J246" s="383" t="s">
        <v>6993</v>
      </c>
      <c r="K246" s="383" t="s">
        <v>4</v>
      </c>
      <c r="L246" s="383"/>
      <c r="M246" s="383"/>
      <c r="N246" s="383" t="s">
        <v>6935</v>
      </c>
      <c r="O246" s="384" t="s">
        <v>7011</v>
      </c>
      <c r="P246" s="385" t="s">
        <v>2605</v>
      </c>
    </row>
    <row r="247" spans="1:16" ht="42" customHeight="1">
      <c r="A247" s="379" t="s">
        <v>7153</v>
      </c>
      <c r="B247" s="380" t="s">
        <v>5777</v>
      </c>
      <c r="C247" s="380" t="s">
        <v>5524</v>
      </c>
      <c r="D247" s="381" t="s">
        <v>7154</v>
      </c>
      <c r="E247" s="381" t="s">
        <v>7508</v>
      </c>
      <c r="F247" s="381" t="s">
        <v>7509</v>
      </c>
      <c r="G247" s="382">
        <v>0.5</v>
      </c>
      <c r="H247" s="380" t="s">
        <v>8184</v>
      </c>
      <c r="I247" s="394" t="s">
        <v>8185</v>
      </c>
      <c r="J247" s="383" t="s">
        <v>6993</v>
      </c>
      <c r="K247" s="383" t="s">
        <v>4</v>
      </c>
      <c r="L247" s="383"/>
      <c r="M247" s="383"/>
      <c r="N247" s="383" t="s">
        <v>6935</v>
      </c>
      <c r="O247" s="384" t="s">
        <v>6610</v>
      </c>
      <c r="P247" s="385" t="s">
        <v>6940</v>
      </c>
    </row>
    <row r="248" spans="1:16" ht="42" customHeight="1">
      <c r="A248" s="379" t="s">
        <v>7155</v>
      </c>
      <c r="B248" s="380" t="s">
        <v>5777</v>
      </c>
      <c r="C248" s="380" t="s">
        <v>5524</v>
      </c>
      <c r="D248" s="381" t="s">
        <v>7156</v>
      </c>
      <c r="E248" s="381" t="s">
        <v>7510</v>
      </c>
      <c r="F248" s="381" t="s">
        <v>7511</v>
      </c>
      <c r="G248" s="382">
        <v>0.5</v>
      </c>
      <c r="H248" s="380" t="s">
        <v>8186</v>
      </c>
      <c r="I248" s="394" t="s">
        <v>8187</v>
      </c>
      <c r="J248" s="383" t="s">
        <v>6993</v>
      </c>
      <c r="K248" s="383" t="s">
        <v>4</v>
      </c>
      <c r="L248" s="383"/>
      <c r="M248" s="383"/>
      <c r="N248" s="383" t="s">
        <v>6935</v>
      </c>
      <c r="O248" s="384" t="s">
        <v>6610</v>
      </c>
      <c r="P248" s="385" t="s">
        <v>2520</v>
      </c>
    </row>
    <row r="249" spans="1:16" ht="42" customHeight="1">
      <c r="A249" s="379" t="s">
        <v>7157</v>
      </c>
      <c r="B249" s="380" t="s">
        <v>5777</v>
      </c>
      <c r="C249" s="380" t="s">
        <v>5524</v>
      </c>
      <c r="D249" s="381" t="s">
        <v>7158</v>
      </c>
      <c r="E249" s="381" t="s">
        <v>7512</v>
      </c>
      <c r="F249" s="381" t="s">
        <v>7513</v>
      </c>
      <c r="G249" s="382">
        <v>1</v>
      </c>
      <c r="H249" s="380" t="s">
        <v>8058</v>
      </c>
      <c r="I249" s="394" t="s">
        <v>8059</v>
      </c>
      <c r="J249" s="383" t="s">
        <v>6993</v>
      </c>
      <c r="K249" s="383" t="s">
        <v>4</v>
      </c>
      <c r="L249" s="383"/>
      <c r="M249" s="383"/>
      <c r="N249" s="383" t="s">
        <v>6935</v>
      </c>
      <c r="O249" s="384" t="s">
        <v>7011</v>
      </c>
      <c r="P249" s="385" t="s">
        <v>1254</v>
      </c>
    </row>
    <row r="250" spans="1:16" ht="42" customHeight="1">
      <c r="A250" s="379" t="s">
        <v>7159</v>
      </c>
      <c r="B250" s="380" t="s">
        <v>5777</v>
      </c>
      <c r="C250" s="380" t="s">
        <v>5524</v>
      </c>
      <c r="D250" s="381" t="s">
        <v>7160</v>
      </c>
      <c r="E250" s="381" t="s">
        <v>7514</v>
      </c>
      <c r="F250" s="381" t="s">
        <v>7515</v>
      </c>
      <c r="G250" s="382">
        <v>0.5</v>
      </c>
      <c r="H250" s="380" t="s">
        <v>8188</v>
      </c>
      <c r="I250" s="394" t="s">
        <v>8189</v>
      </c>
      <c r="J250" s="383" t="s">
        <v>6993</v>
      </c>
      <c r="K250" s="383" t="s">
        <v>4</v>
      </c>
      <c r="L250" s="383"/>
      <c r="M250" s="383"/>
      <c r="N250" s="383" t="s">
        <v>6935</v>
      </c>
      <c r="O250" s="384" t="s">
        <v>6610</v>
      </c>
      <c r="P250" s="385" t="s">
        <v>2501</v>
      </c>
    </row>
    <row r="251" spans="1:16" ht="42" customHeight="1">
      <c r="A251" s="379" t="s">
        <v>7161</v>
      </c>
      <c r="B251" s="380" t="s">
        <v>5777</v>
      </c>
      <c r="C251" s="380" t="s">
        <v>5524</v>
      </c>
      <c r="D251" s="381" t="s">
        <v>7162</v>
      </c>
      <c r="E251" s="381" t="s">
        <v>7516</v>
      </c>
      <c r="F251" s="381" t="s">
        <v>7517</v>
      </c>
      <c r="G251" s="382">
        <v>0.5</v>
      </c>
      <c r="H251" s="380" t="s">
        <v>8190</v>
      </c>
      <c r="I251" s="394" t="s">
        <v>8191</v>
      </c>
      <c r="J251" s="383" t="s">
        <v>6993</v>
      </c>
      <c r="K251" s="383" t="s">
        <v>4</v>
      </c>
      <c r="L251" s="383"/>
      <c r="M251" s="383"/>
      <c r="N251" s="383" t="s">
        <v>6935</v>
      </c>
      <c r="O251" s="384" t="s">
        <v>6610</v>
      </c>
      <c r="P251" s="385" t="s">
        <v>2712</v>
      </c>
    </row>
    <row r="252" spans="1:16" ht="42" customHeight="1">
      <c r="A252" s="379" t="s">
        <v>7163</v>
      </c>
      <c r="B252" s="380" t="s">
        <v>5777</v>
      </c>
      <c r="C252" s="380" t="s">
        <v>5524</v>
      </c>
      <c r="D252" s="381" t="s">
        <v>7164</v>
      </c>
      <c r="E252" s="381" t="s">
        <v>7518</v>
      </c>
      <c r="F252" s="381" t="s">
        <v>7519</v>
      </c>
      <c r="G252" s="382">
        <v>0.5</v>
      </c>
      <c r="H252" s="380" t="s">
        <v>8192</v>
      </c>
      <c r="I252" s="394" t="s">
        <v>8193</v>
      </c>
      <c r="J252" s="383" t="s">
        <v>6993</v>
      </c>
      <c r="K252" s="383" t="s">
        <v>4</v>
      </c>
      <c r="L252" s="383"/>
      <c r="M252" s="383"/>
      <c r="N252" s="383" t="s">
        <v>6935</v>
      </c>
      <c r="O252" s="384" t="s">
        <v>6610</v>
      </c>
      <c r="P252" s="385" t="s">
        <v>6952</v>
      </c>
    </row>
    <row r="253" spans="1:16" ht="42" customHeight="1">
      <c r="A253" s="379" t="s">
        <v>7165</v>
      </c>
      <c r="B253" s="380" t="s">
        <v>5777</v>
      </c>
      <c r="C253" s="380" t="s">
        <v>5524</v>
      </c>
      <c r="D253" s="381" t="s">
        <v>7166</v>
      </c>
      <c r="E253" s="381" t="s">
        <v>7520</v>
      </c>
      <c r="F253" s="381" t="s">
        <v>7521</v>
      </c>
      <c r="G253" s="382">
        <v>1</v>
      </c>
      <c r="H253" s="380" t="s">
        <v>8194</v>
      </c>
      <c r="I253" s="394" t="s">
        <v>8195</v>
      </c>
      <c r="J253" s="383" t="s">
        <v>6993</v>
      </c>
      <c r="K253" s="383" t="s">
        <v>4</v>
      </c>
      <c r="L253" s="383"/>
      <c r="M253" s="383"/>
      <c r="N253" s="383" t="s">
        <v>6935</v>
      </c>
      <c r="O253" s="384" t="s">
        <v>7011</v>
      </c>
      <c r="P253" s="385" t="s">
        <v>6956</v>
      </c>
    </row>
    <row r="254" spans="1:16" ht="42" customHeight="1">
      <c r="A254" s="379" t="s">
        <v>7167</v>
      </c>
      <c r="B254" s="380" t="s">
        <v>5777</v>
      </c>
      <c r="C254" s="380" t="s">
        <v>5524</v>
      </c>
      <c r="D254" s="381" t="s">
        <v>7168</v>
      </c>
      <c r="E254" s="381" t="s">
        <v>7522</v>
      </c>
      <c r="F254" s="381" t="s">
        <v>7523</v>
      </c>
      <c r="G254" s="382">
        <v>0.5</v>
      </c>
      <c r="H254" s="380" t="s">
        <v>8196</v>
      </c>
      <c r="I254" s="394" t="s">
        <v>8197</v>
      </c>
      <c r="J254" s="383" t="s">
        <v>6993</v>
      </c>
      <c r="K254" s="383" t="s">
        <v>4</v>
      </c>
      <c r="L254" s="383"/>
      <c r="M254" s="383"/>
      <c r="N254" s="383" t="s">
        <v>6935</v>
      </c>
      <c r="O254" s="384" t="s">
        <v>6610</v>
      </c>
      <c r="P254" s="385" t="s">
        <v>2698</v>
      </c>
    </row>
    <row r="255" spans="1:16" ht="42" customHeight="1">
      <c r="A255" s="379" t="s">
        <v>7169</v>
      </c>
      <c r="B255" s="380" t="s">
        <v>5777</v>
      </c>
      <c r="C255" s="380" t="s">
        <v>5524</v>
      </c>
      <c r="D255" s="381" t="s">
        <v>7170</v>
      </c>
      <c r="E255" s="381" t="s">
        <v>7524</v>
      </c>
      <c r="F255" s="381" t="s">
        <v>7525</v>
      </c>
      <c r="G255" s="382">
        <v>0.5</v>
      </c>
      <c r="H255" s="380" t="s">
        <v>8198</v>
      </c>
      <c r="I255" s="394" t="s">
        <v>8199</v>
      </c>
      <c r="J255" s="383" t="s">
        <v>6993</v>
      </c>
      <c r="K255" s="383" t="s">
        <v>4</v>
      </c>
      <c r="L255" s="383"/>
      <c r="M255" s="383"/>
      <c r="N255" s="383" t="s">
        <v>6935</v>
      </c>
      <c r="O255" s="384" t="s">
        <v>6610</v>
      </c>
      <c r="P255" s="385" t="s">
        <v>2704</v>
      </c>
    </row>
    <row r="256" spans="1:16" ht="42" customHeight="1">
      <c r="A256" s="379" t="s">
        <v>7171</v>
      </c>
      <c r="B256" s="380" t="s">
        <v>5777</v>
      </c>
      <c r="C256" s="380" t="s">
        <v>5524</v>
      </c>
      <c r="D256" s="381" t="s">
        <v>7172</v>
      </c>
      <c r="E256" s="381" t="s">
        <v>7526</v>
      </c>
      <c r="F256" s="381" t="s">
        <v>7527</v>
      </c>
      <c r="G256" s="382">
        <v>0.5</v>
      </c>
      <c r="H256" s="380" t="s">
        <v>8200</v>
      </c>
      <c r="I256" s="394" t="s">
        <v>8201</v>
      </c>
      <c r="J256" s="383" t="s">
        <v>6993</v>
      </c>
      <c r="K256" s="383" t="s">
        <v>4</v>
      </c>
      <c r="L256" s="383"/>
      <c r="M256" s="383"/>
      <c r="N256" s="383" t="s">
        <v>6935</v>
      </c>
      <c r="O256" s="384" t="s">
        <v>6610</v>
      </c>
      <c r="P256" s="385" t="s">
        <v>6963</v>
      </c>
    </row>
    <row r="257" spans="1:16" ht="42" customHeight="1">
      <c r="A257" s="379" t="s">
        <v>7173</v>
      </c>
      <c r="B257" s="380" t="s">
        <v>5777</v>
      </c>
      <c r="C257" s="380" t="s">
        <v>5524</v>
      </c>
      <c r="D257" s="381" t="s">
        <v>7174</v>
      </c>
      <c r="E257" s="381" t="s">
        <v>7528</v>
      </c>
      <c r="F257" s="381" t="s">
        <v>7529</v>
      </c>
      <c r="G257" s="382">
        <v>0.5</v>
      </c>
      <c r="H257" s="380" t="s">
        <v>8060</v>
      </c>
      <c r="I257" s="394" t="s">
        <v>8061</v>
      </c>
      <c r="J257" s="383" t="s">
        <v>6993</v>
      </c>
      <c r="K257" s="383" t="s">
        <v>4</v>
      </c>
      <c r="L257" s="383"/>
      <c r="M257" s="383"/>
      <c r="N257" s="383" t="s">
        <v>6935</v>
      </c>
      <c r="O257" s="384" t="s">
        <v>6628</v>
      </c>
      <c r="P257" s="385" t="s">
        <v>6966</v>
      </c>
    </row>
    <row r="258" spans="1:16" ht="42" customHeight="1">
      <c r="A258" s="379" t="s">
        <v>7175</v>
      </c>
      <c r="B258" s="380" t="s">
        <v>5777</v>
      </c>
      <c r="C258" s="380" t="s">
        <v>5524</v>
      </c>
      <c r="D258" s="381" t="s">
        <v>7176</v>
      </c>
      <c r="E258" s="381" t="s">
        <v>7530</v>
      </c>
      <c r="F258" s="381" t="s">
        <v>7531</v>
      </c>
      <c r="G258" s="382">
        <v>0.75</v>
      </c>
      <c r="H258" s="380" t="s">
        <v>8202</v>
      </c>
      <c r="I258" s="394" t="s">
        <v>8203</v>
      </c>
      <c r="J258" s="383" t="s">
        <v>6993</v>
      </c>
      <c r="K258" s="383" t="s">
        <v>4</v>
      </c>
      <c r="L258" s="383"/>
      <c r="M258" s="383"/>
      <c r="N258" s="383" t="s">
        <v>6968</v>
      </c>
      <c r="O258" s="384" t="s">
        <v>7011</v>
      </c>
      <c r="P258" s="385" t="s">
        <v>6970</v>
      </c>
    </row>
    <row r="259" spans="1:16" ht="42" customHeight="1">
      <c r="A259" s="379" t="s">
        <v>7177</v>
      </c>
      <c r="B259" s="380" t="s">
        <v>5777</v>
      </c>
      <c r="C259" s="380" t="s">
        <v>5524</v>
      </c>
      <c r="D259" s="381" t="s">
        <v>7178</v>
      </c>
      <c r="E259" s="381" t="s">
        <v>7532</v>
      </c>
      <c r="F259" s="381" t="s">
        <v>7533</v>
      </c>
      <c r="G259" s="382">
        <v>0.75</v>
      </c>
      <c r="H259" s="380" t="s">
        <v>8204</v>
      </c>
      <c r="I259" s="394" t="s">
        <v>8205</v>
      </c>
      <c r="J259" s="383" t="s">
        <v>6993</v>
      </c>
      <c r="K259" s="383" t="s">
        <v>4</v>
      </c>
      <c r="L259" s="383"/>
      <c r="M259" s="383"/>
      <c r="N259" s="383" t="s">
        <v>6968</v>
      </c>
      <c r="O259" s="384" t="s">
        <v>7011</v>
      </c>
      <c r="P259" s="385" t="s">
        <v>2501</v>
      </c>
    </row>
    <row r="260" spans="1:16" ht="42" customHeight="1">
      <c r="A260" s="379" t="s">
        <v>7179</v>
      </c>
      <c r="B260" s="380" t="s">
        <v>5777</v>
      </c>
      <c r="C260" s="380" t="s">
        <v>5524</v>
      </c>
      <c r="D260" s="381" t="s">
        <v>7180</v>
      </c>
      <c r="E260" s="381" t="s">
        <v>7534</v>
      </c>
      <c r="F260" s="381" t="s">
        <v>7535</v>
      </c>
      <c r="G260" s="382">
        <v>0.5</v>
      </c>
      <c r="H260" s="380" t="s">
        <v>8206</v>
      </c>
      <c r="I260" s="394" t="s">
        <v>8207</v>
      </c>
      <c r="J260" s="383" t="s">
        <v>6993</v>
      </c>
      <c r="K260" s="383" t="s">
        <v>4</v>
      </c>
      <c r="L260" s="383"/>
      <c r="M260" s="383"/>
      <c r="N260" s="383" t="s">
        <v>6968</v>
      </c>
      <c r="O260" s="384" t="s">
        <v>6610</v>
      </c>
      <c r="P260" s="385" t="s">
        <v>6976</v>
      </c>
    </row>
    <row r="261" spans="1:16" ht="42" customHeight="1">
      <c r="A261" s="379" t="s">
        <v>7181</v>
      </c>
      <c r="B261" s="380" t="s">
        <v>5777</v>
      </c>
      <c r="C261" s="380" t="s">
        <v>5524</v>
      </c>
      <c r="D261" s="381" t="s">
        <v>7182</v>
      </c>
      <c r="E261" s="381" t="s">
        <v>7536</v>
      </c>
      <c r="F261" s="381" t="s">
        <v>7537</v>
      </c>
      <c r="G261" s="382">
        <v>0.5</v>
      </c>
      <c r="H261" s="380" t="s">
        <v>8208</v>
      </c>
      <c r="I261" s="394" t="s">
        <v>8209</v>
      </c>
      <c r="J261" s="383" t="s">
        <v>6993</v>
      </c>
      <c r="K261" s="383" t="s">
        <v>4</v>
      </c>
      <c r="L261" s="383"/>
      <c r="M261" s="383"/>
      <c r="N261" s="383" t="s">
        <v>6968</v>
      </c>
      <c r="O261" s="384" t="s">
        <v>6610</v>
      </c>
      <c r="P261" s="385" t="s">
        <v>6979</v>
      </c>
    </row>
    <row r="262" spans="1:16" ht="42" customHeight="1">
      <c r="A262" s="379" t="s">
        <v>7183</v>
      </c>
      <c r="B262" s="380" t="s">
        <v>5777</v>
      </c>
      <c r="C262" s="380" t="s">
        <v>5524</v>
      </c>
      <c r="D262" s="381" t="s">
        <v>7184</v>
      </c>
      <c r="E262" s="381" t="s">
        <v>7538</v>
      </c>
      <c r="F262" s="381" t="s">
        <v>7539</v>
      </c>
      <c r="G262" s="382">
        <v>0.5</v>
      </c>
      <c r="H262" s="380" t="s">
        <v>8210</v>
      </c>
      <c r="I262" s="394" t="s">
        <v>8211</v>
      </c>
      <c r="J262" s="383" t="s">
        <v>6993</v>
      </c>
      <c r="K262" s="383" t="s">
        <v>4</v>
      </c>
      <c r="L262" s="383"/>
      <c r="M262" s="383"/>
      <c r="N262" s="383" t="s">
        <v>6968</v>
      </c>
      <c r="O262" s="384" t="s">
        <v>6610</v>
      </c>
      <c r="P262" s="385" t="s">
        <v>6983</v>
      </c>
    </row>
    <row r="263" spans="1:16" ht="42" customHeight="1">
      <c r="A263" s="379" t="s">
        <v>7185</v>
      </c>
      <c r="B263" s="380" t="s">
        <v>5777</v>
      </c>
      <c r="C263" s="380" t="s">
        <v>5524</v>
      </c>
      <c r="D263" s="381" t="s">
        <v>7186</v>
      </c>
      <c r="E263" s="381" t="s">
        <v>7540</v>
      </c>
      <c r="F263" s="381" t="s">
        <v>7541</v>
      </c>
      <c r="G263" s="382">
        <v>0.5</v>
      </c>
      <c r="H263" s="380" t="s">
        <v>8212</v>
      </c>
      <c r="I263" s="394" t="s">
        <v>8213</v>
      </c>
      <c r="J263" s="383" t="s">
        <v>6993</v>
      </c>
      <c r="K263" s="383" t="s">
        <v>4</v>
      </c>
      <c r="L263" s="383"/>
      <c r="M263" s="383"/>
      <c r="N263" s="383" t="s">
        <v>6968</v>
      </c>
      <c r="O263" s="384" t="s">
        <v>6610</v>
      </c>
      <c r="P263" s="385" t="s">
        <v>1437</v>
      </c>
    </row>
    <row r="264" spans="1:16" ht="42" customHeight="1">
      <c r="A264" s="379" t="s">
        <v>7187</v>
      </c>
      <c r="B264" s="380" t="s">
        <v>5777</v>
      </c>
      <c r="C264" s="380" t="s">
        <v>5524</v>
      </c>
      <c r="D264" s="381" t="s">
        <v>7188</v>
      </c>
      <c r="E264" s="381" t="s">
        <v>7542</v>
      </c>
      <c r="F264" s="381" t="s">
        <v>7543</v>
      </c>
      <c r="G264" s="382">
        <v>0.5</v>
      </c>
      <c r="H264" s="380" t="s">
        <v>8214</v>
      </c>
      <c r="I264" s="394" t="s">
        <v>8215</v>
      </c>
      <c r="J264" s="383" t="s">
        <v>6993</v>
      </c>
      <c r="K264" s="383" t="s">
        <v>4</v>
      </c>
      <c r="L264" s="383"/>
      <c r="M264" s="383"/>
      <c r="N264" s="383" t="s">
        <v>6968</v>
      </c>
      <c r="O264" s="384" t="s">
        <v>6610</v>
      </c>
      <c r="P264" s="385" t="s">
        <v>609</v>
      </c>
    </row>
    <row r="265" spans="1:16" ht="42" customHeight="1">
      <c r="A265" s="379" t="s">
        <v>7189</v>
      </c>
      <c r="B265" s="380" t="s">
        <v>5777</v>
      </c>
      <c r="C265" s="380" t="s">
        <v>5524</v>
      </c>
      <c r="D265" s="381" t="s">
        <v>7190</v>
      </c>
      <c r="E265" s="381" t="s">
        <v>7544</v>
      </c>
      <c r="F265" s="381" t="s">
        <v>7545</v>
      </c>
      <c r="G265" s="382">
        <v>0.5</v>
      </c>
      <c r="H265" s="380" t="s">
        <v>8216</v>
      </c>
      <c r="I265" s="394" t="s">
        <v>8217</v>
      </c>
      <c r="J265" s="383" t="s">
        <v>6993</v>
      </c>
      <c r="K265" s="383" t="s">
        <v>4</v>
      </c>
      <c r="L265" s="383"/>
      <c r="M265" s="383"/>
      <c r="N265" s="383" t="s">
        <v>6968</v>
      </c>
      <c r="O265" s="384" t="s">
        <v>6610</v>
      </c>
      <c r="P265" s="385" t="s">
        <v>1439</v>
      </c>
    </row>
    <row r="266" spans="1:16" ht="42" customHeight="1">
      <c r="A266" s="379" t="s">
        <v>7191</v>
      </c>
      <c r="B266" s="380" t="s">
        <v>5777</v>
      </c>
      <c r="C266" s="380" t="s">
        <v>5524</v>
      </c>
      <c r="D266" s="381" t="s">
        <v>7192</v>
      </c>
      <c r="E266" s="381" t="s">
        <v>7546</v>
      </c>
      <c r="F266" s="381" t="s">
        <v>7547</v>
      </c>
      <c r="G266" s="382">
        <v>0.5</v>
      </c>
      <c r="H266" s="380" t="s">
        <v>8218</v>
      </c>
      <c r="I266" s="394" t="s">
        <v>8219</v>
      </c>
      <c r="J266" s="383" t="s">
        <v>6993</v>
      </c>
      <c r="K266" s="383" t="s">
        <v>4</v>
      </c>
      <c r="L266" s="383"/>
      <c r="M266" s="383"/>
      <c r="N266" s="383" t="s">
        <v>6968</v>
      </c>
      <c r="O266" s="384" t="s">
        <v>6628</v>
      </c>
      <c r="P266" s="385" t="s">
        <v>6992</v>
      </c>
    </row>
    <row r="267" spans="1:16" ht="42" customHeight="1">
      <c r="A267" s="379" t="s">
        <v>5826</v>
      </c>
      <c r="B267" s="380" t="s">
        <v>5777</v>
      </c>
      <c r="C267" s="380" t="s">
        <v>5525</v>
      </c>
      <c r="D267" s="381" t="s">
        <v>6500</v>
      </c>
      <c r="E267" s="381" t="s">
        <v>7602</v>
      </c>
      <c r="F267" s="381" t="s">
        <v>7603</v>
      </c>
      <c r="G267" s="382">
        <v>3</v>
      </c>
      <c r="H267" s="380" t="s">
        <v>6722</v>
      </c>
      <c r="I267" s="394" t="s">
        <v>8030</v>
      </c>
      <c r="J267" s="383" t="s">
        <v>2236</v>
      </c>
      <c r="K267" s="383" t="s">
        <v>4</v>
      </c>
      <c r="L267" s="383"/>
      <c r="M267" s="383"/>
      <c r="N267" s="383"/>
      <c r="O267" s="384"/>
      <c r="P267" s="385"/>
    </row>
    <row r="268" spans="1:16" ht="42" customHeight="1">
      <c r="A268" s="379" t="s">
        <v>5827</v>
      </c>
      <c r="B268" s="380" t="s">
        <v>5777</v>
      </c>
      <c r="C268" s="380" t="s">
        <v>5525</v>
      </c>
      <c r="D268" s="381" t="s">
        <v>6501</v>
      </c>
      <c r="E268" s="381" t="s">
        <v>7604</v>
      </c>
      <c r="F268" s="381" t="s">
        <v>7605</v>
      </c>
      <c r="G268" s="382">
        <v>2</v>
      </c>
      <c r="H268" s="380" t="s">
        <v>6722</v>
      </c>
      <c r="I268" s="394" t="s">
        <v>8030</v>
      </c>
      <c r="J268" s="383" t="s">
        <v>2236</v>
      </c>
      <c r="K268" s="383" t="s">
        <v>4</v>
      </c>
      <c r="L268" s="383"/>
      <c r="M268" s="383"/>
      <c r="N268" s="383"/>
      <c r="O268" s="384"/>
      <c r="P268" s="385"/>
    </row>
    <row r="269" spans="1:16" ht="42" customHeight="1">
      <c r="A269" s="379" t="s">
        <v>5828</v>
      </c>
      <c r="B269" s="380" t="s">
        <v>5777</v>
      </c>
      <c r="C269" s="380" t="s">
        <v>5525</v>
      </c>
      <c r="D269" s="381" t="s">
        <v>6502</v>
      </c>
      <c r="E269" s="381" t="s">
        <v>7606</v>
      </c>
      <c r="F269" s="381" t="s">
        <v>7607</v>
      </c>
      <c r="G269" s="382">
        <v>2</v>
      </c>
      <c r="H269" s="380" t="s">
        <v>6722</v>
      </c>
      <c r="I269" s="394" t="s">
        <v>8030</v>
      </c>
      <c r="J269" s="383" t="s">
        <v>2236</v>
      </c>
      <c r="K269" s="383" t="s">
        <v>4</v>
      </c>
      <c r="L269" s="383"/>
      <c r="M269" s="383"/>
      <c r="N269" s="383"/>
      <c r="O269" s="384"/>
      <c r="P269" s="385"/>
    </row>
    <row r="270" spans="1:16" ht="42" customHeight="1">
      <c r="A270" s="379" t="s">
        <v>5829</v>
      </c>
      <c r="B270" s="380" t="s">
        <v>5777</v>
      </c>
      <c r="C270" s="380" t="s">
        <v>5525</v>
      </c>
      <c r="D270" s="381" t="s">
        <v>6503</v>
      </c>
      <c r="E270" s="381" t="s">
        <v>7608</v>
      </c>
      <c r="F270" s="381" t="s">
        <v>7609</v>
      </c>
      <c r="G270" s="382">
        <v>6</v>
      </c>
      <c r="H270" s="380" t="s">
        <v>8222</v>
      </c>
      <c r="I270" s="394" t="s">
        <v>8223</v>
      </c>
      <c r="J270" s="383" t="s">
        <v>2236</v>
      </c>
      <c r="K270" s="383" t="s">
        <v>4</v>
      </c>
      <c r="L270" s="383"/>
      <c r="M270" s="383"/>
      <c r="N270" s="383"/>
      <c r="O270" s="384"/>
      <c r="P270" s="385"/>
    </row>
    <row r="271" spans="1:16" ht="42" customHeight="1">
      <c r="A271" s="379" t="s">
        <v>5830</v>
      </c>
      <c r="B271" s="380" t="s">
        <v>5777</v>
      </c>
      <c r="C271" s="380" t="s">
        <v>5525</v>
      </c>
      <c r="D271" s="381" t="s">
        <v>6504</v>
      </c>
      <c r="E271" s="381" t="s">
        <v>7610</v>
      </c>
      <c r="F271" s="381" t="s">
        <v>7611</v>
      </c>
      <c r="G271" s="382">
        <v>10</v>
      </c>
      <c r="H271" s="380" t="s">
        <v>8224</v>
      </c>
      <c r="I271" s="394" t="s">
        <v>8225</v>
      </c>
      <c r="J271" s="383" t="s">
        <v>2236</v>
      </c>
      <c r="K271" s="383" t="s">
        <v>4</v>
      </c>
      <c r="L271" s="383"/>
      <c r="M271" s="383"/>
      <c r="N271" s="383"/>
      <c r="O271" s="384"/>
      <c r="P271" s="385"/>
    </row>
    <row r="272" spans="1:16" ht="42" customHeight="1">
      <c r="A272" s="379" t="s">
        <v>5831</v>
      </c>
      <c r="B272" s="380" t="s">
        <v>5777</v>
      </c>
      <c r="C272" s="380" t="s">
        <v>5525</v>
      </c>
      <c r="D272" s="381" t="s">
        <v>6505</v>
      </c>
      <c r="E272" s="381" t="s">
        <v>7612</v>
      </c>
      <c r="F272" s="381" t="s">
        <v>7613</v>
      </c>
      <c r="G272" s="382">
        <v>3</v>
      </c>
      <c r="H272" s="380" t="s">
        <v>6722</v>
      </c>
      <c r="I272" s="394" t="s">
        <v>8030</v>
      </c>
      <c r="J272" s="383" t="s">
        <v>2236</v>
      </c>
      <c r="K272" s="383" t="s">
        <v>4</v>
      </c>
      <c r="L272" s="383"/>
      <c r="M272" s="383"/>
      <c r="N272" s="383"/>
      <c r="O272" s="384"/>
      <c r="P272" s="385"/>
    </row>
    <row r="273" spans="1:16" ht="42" customHeight="1">
      <c r="A273" s="379" t="s">
        <v>5832</v>
      </c>
      <c r="B273" s="380" t="s">
        <v>5777</v>
      </c>
      <c r="C273" s="380" t="s">
        <v>5525</v>
      </c>
      <c r="D273" s="381" t="s">
        <v>6506</v>
      </c>
      <c r="E273" s="381" t="s">
        <v>7614</v>
      </c>
      <c r="F273" s="381" t="s">
        <v>7615</v>
      </c>
      <c r="G273" s="382">
        <v>3</v>
      </c>
      <c r="H273" s="380" t="s">
        <v>6722</v>
      </c>
      <c r="I273" s="394" t="s">
        <v>8030</v>
      </c>
      <c r="J273" s="383" t="s">
        <v>2236</v>
      </c>
      <c r="K273" s="383" t="s">
        <v>4</v>
      </c>
      <c r="L273" s="383"/>
      <c r="M273" s="383"/>
      <c r="N273" s="383"/>
      <c r="O273" s="384"/>
      <c r="P273" s="385"/>
    </row>
    <row r="274" spans="1:16" ht="42" customHeight="1">
      <c r="A274" s="379" t="s">
        <v>5833</v>
      </c>
      <c r="B274" s="380" t="s">
        <v>5777</v>
      </c>
      <c r="C274" s="380" t="s">
        <v>5525</v>
      </c>
      <c r="D274" s="381" t="s">
        <v>6507</v>
      </c>
      <c r="E274" s="381" t="s">
        <v>7616</v>
      </c>
      <c r="F274" s="381" t="s">
        <v>7617</v>
      </c>
      <c r="G274" s="382">
        <v>3</v>
      </c>
      <c r="H274" s="380" t="s">
        <v>6722</v>
      </c>
      <c r="I274" s="394" t="s">
        <v>8030</v>
      </c>
      <c r="J274" s="383" t="s">
        <v>2236</v>
      </c>
      <c r="K274" s="383" t="s">
        <v>4</v>
      </c>
      <c r="L274" s="383"/>
      <c r="M274" s="383"/>
      <c r="N274" s="383"/>
      <c r="O274" s="384"/>
      <c r="P274" s="385"/>
    </row>
    <row r="275" spans="1:16" ht="42" customHeight="1">
      <c r="A275" s="379" t="s">
        <v>5834</v>
      </c>
      <c r="B275" s="380" t="s">
        <v>5777</v>
      </c>
      <c r="C275" s="380" t="s">
        <v>5525</v>
      </c>
      <c r="D275" s="381" t="s">
        <v>6508</v>
      </c>
      <c r="E275" s="381" t="s">
        <v>7618</v>
      </c>
      <c r="F275" s="381" t="s">
        <v>7619</v>
      </c>
      <c r="G275" s="382">
        <v>3</v>
      </c>
      <c r="H275" s="380" t="s">
        <v>6722</v>
      </c>
      <c r="I275" s="394" t="s">
        <v>8030</v>
      </c>
      <c r="J275" s="383" t="s">
        <v>2236</v>
      </c>
      <c r="K275" s="383" t="s">
        <v>4</v>
      </c>
      <c r="L275" s="383"/>
      <c r="M275" s="383"/>
      <c r="N275" s="383"/>
      <c r="O275" s="384"/>
      <c r="P275" s="385"/>
    </row>
    <row r="276" spans="1:16" ht="42" customHeight="1">
      <c r="A276" s="379" t="s">
        <v>5835</v>
      </c>
      <c r="B276" s="380" t="s">
        <v>5777</v>
      </c>
      <c r="C276" s="380" t="s">
        <v>5525</v>
      </c>
      <c r="D276" s="381" t="s">
        <v>6509</v>
      </c>
      <c r="E276" s="381" t="s">
        <v>7620</v>
      </c>
      <c r="F276" s="381" t="s">
        <v>7621</v>
      </c>
      <c r="G276" s="382">
        <v>2</v>
      </c>
      <c r="H276" s="380" t="s">
        <v>6722</v>
      </c>
      <c r="I276" s="394" t="s">
        <v>8030</v>
      </c>
      <c r="J276" s="383" t="s">
        <v>2236</v>
      </c>
      <c r="K276" s="383" t="s">
        <v>4</v>
      </c>
      <c r="L276" s="383"/>
      <c r="M276" s="383"/>
      <c r="N276" s="383"/>
      <c r="O276" s="384"/>
      <c r="P276" s="385"/>
    </row>
    <row r="277" spans="1:16" ht="42" customHeight="1">
      <c r="A277" s="379" t="s">
        <v>5836</v>
      </c>
      <c r="B277" s="380" t="s">
        <v>5777</v>
      </c>
      <c r="C277" s="380" t="s">
        <v>5525</v>
      </c>
      <c r="D277" s="381" t="s">
        <v>6510</v>
      </c>
      <c r="E277" s="381" t="s">
        <v>7622</v>
      </c>
      <c r="F277" s="381" t="s">
        <v>7623</v>
      </c>
      <c r="G277" s="382">
        <v>3</v>
      </c>
      <c r="H277" s="380" t="s">
        <v>8226</v>
      </c>
      <c r="I277" s="394" t="s">
        <v>8227</v>
      </c>
      <c r="J277" s="383" t="s">
        <v>2236</v>
      </c>
      <c r="K277" s="383" t="s">
        <v>4</v>
      </c>
      <c r="L277" s="383"/>
      <c r="M277" s="383"/>
      <c r="N277" s="383"/>
      <c r="O277" s="384"/>
      <c r="P277" s="385"/>
    </row>
    <row r="278" spans="1:16" ht="42" customHeight="1">
      <c r="A278" s="379" t="s">
        <v>5837</v>
      </c>
      <c r="B278" s="380" t="s">
        <v>5777</v>
      </c>
      <c r="C278" s="380" t="s">
        <v>5526</v>
      </c>
      <c r="D278" s="381" t="s">
        <v>6511</v>
      </c>
      <c r="E278" s="381" t="s">
        <v>7624</v>
      </c>
      <c r="F278" s="381" t="s">
        <v>7625</v>
      </c>
      <c r="G278" s="382">
        <v>4</v>
      </c>
      <c r="H278" s="380" t="s">
        <v>6722</v>
      </c>
      <c r="I278" s="394" t="s">
        <v>8030</v>
      </c>
      <c r="J278" s="383" t="s">
        <v>2236</v>
      </c>
      <c r="K278" s="383" t="s">
        <v>4</v>
      </c>
      <c r="L278" s="383"/>
      <c r="M278" s="383"/>
      <c r="N278" s="383"/>
      <c r="O278" s="384"/>
      <c r="P278" s="385"/>
    </row>
    <row r="279" spans="1:16" ht="42" customHeight="1">
      <c r="A279" s="379" t="s">
        <v>5838</v>
      </c>
      <c r="B279" s="380" t="s">
        <v>5777</v>
      </c>
      <c r="C279" s="380" t="s">
        <v>5526</v>
      </c>
      <c r="D279" s="381" t="s">
        <v>6512</v>
      </c>
      <c r="E279" s="381" t="s">
        <v>7626</v>
      </c>
      <c r="F279" s="381" t="s">
        <v>7627</v>
      </c>
      <c r="G279" s="382">
        <v>4</v>
      </c>
      <c r="H279" s="380" t="s">
        <v>6722</v>
      </c>
      <c r="I279" s="394" t="s">
        <v>8030</v>
      </c>
      <c r="J279" s="383" t="s">
        <v>2236</v>
      </c>
      <c r="K279" s="383" t="s">
        <v>4</v>
      </c>
      <c r="L279" s="383"/>
      <c r="M279" s="383"/>
      <c r="N279" s="383"/>
      <c r="O279" s="384"/>
      <c r="P279" s="385"/>
    </row>
    <row r="280" spans="1:16" ht="42" customHeight="1">
      <c r="A280" s="379" t="s">
        <v>5839</v>
      </c>
      <c r="B280" s="380" t="s">
        <v>5777</v>
      </c>
      <c r="C280" s="380" t="s">
        <v>5526</v>
      </c>
      <c r="D280" s="381" t="s">
        <v>6513</v>
      </c>
      <c r="E280" s="381" t="s">
        <v>7628</v>
      </c>
      <c r="F280" s="381" t="s">
        <v>7629</v>
      </c>
      <c r="G280" s="382">
        <v>4</v>
      </c>
      <c r="H280" s="380" t="s">
        <v>8176</v>
      </c>
      <c r="I280" s="394" t="s">
        <v>8177</v>
      </c>
      <c r="J280" s="383" t="s">
        <v>2236</v>
      </c>
      <c r="K280" s="383" t="s">
        <v>4</v>
      </c>
      <c r="L280" s="383"/>
      <c r="M280" s="383"/>
      <c r="N280" s="383"/>
      <c r="O280" s="384"/>
      <c r="P280" s="385"/>
    </row>
    <row r="281" spans="1:16" ht="42" customHeight="1">
      <c r="A281" s="379" t="s">
        <v>5840</v>
      </c>
      <c r="B281" s="380" t="s">
        <v>5777</v>
      </c>
      <c r="C281" s="380" t="s">
        <v>5526</v>
      </c>
      <c r="D281" s="381" t="s">
        <v>6514</v>
      </c>
      <c r="E281" s="381" t="s">
        <v>7630</v>
      </c>
      <c r="F281" s="381" t="s">
        <v>7631</v>
      </c>
      <c r="G281" s="382">
        <v>3</v>
      </c>
      <c r="H281" s="380" t="s">
        <v>6722</v>
      </c>
      <c r="I281" s="394" t="s">
        <v>8030</v>
      </c>
      <c r="J281" s="383" t="s">
        <v>2236</v>
      </c>
      <c r="K281" s="383" t="s">
        <v>4</v>
      </c>
      <c r="L281" s="383"/>
      <c r="M281" s="383"/>
      <c r="N281" s="383"/>
      <c r="O281" s="384"/>
      <c r="P281" s="385"/>
    </row>
    <row r="282" spans="1:16" ht="42" customHeight="1">
      <c r="A282" s="379" t="s">
        <v>5841</v>
      </c>
      <c r="B282" s="380" t="s">
        <v>5777</v>
      </c>
      <c r="C282" s="380" t="s">
        <v>5526</v>
      </c>
      <c r="D282" s="381" t="s">
        <v>6515</v>
      </c>
      <c r="E282" s="381" t="s">
        <v>7632</v>
      </c>
      <c r="F282" s="381" t="s">
        <v>7631</v>
      </c>
      <c r="G282" s="382">
        <v>3</v>
      </c>
      <c r="H282" s="380" t="s">
        <v>6722</v>
      </c>
      <c r="I282" s="394" t="s">
        <v>8030</v>
      </c>
      <c r="J282" s="383" t="s">
        <v>2236</v>
      </c>
      <c r="K282" s="383" t="s">
        <v>4</v>
      </c>
      <c r="L282" s="383"/>
      <c r="M282" s="383"/>
      <c r="N282" s="383"/>
      <c r="O282" s="384"/>
      <c r="P282" s="385"/>
    </row>
    <row r="283" spans="1:16" ht="42" customHeight="1">
      <c r="A283" s="379" t="s">
        <v>5842</v>
      </c>
      <c r="B283" s="380" t="s">
        <v>5777</v>
      </c>
      <c r="C283" s="380" t="s">
        <v>5526</v>
      </c>
      <c r="D283" s="381" t="s">
        <v>6516</v>
      </c>
      <c r="E283" s="381" t="s">
        <v>7633</v>
      </c>
      <c r="F283" s="381" t="s">
        <v>7634</v>
      </c>
      <c r="G283" s="382">
        <v>4</v>
      </c>
      <c r="H283" s="380" t="s">
        <v>6722</v>
      </c>
      <c r="I283" s="394" t="s">
        <v>8030</v>
      </c>
      <c r="J283" s="383" t="s">
        <v>2236</v>
      </c>
      <c r="K283" s="383" t="s">
        <v>4</v>
      </c>
      <c r="L283" s="383"/>
      <c r="M283" s="383"/>
      <c r="N283" s="383"/>
      <c r="O283" s="384"/>
      <c r="P283" s="385"/>
    </row>
    <row r="284" spans="1:16" ht="42" customHeight="1">
      <c r="A284" s="379" t="s">
        <v>5843</v>
      </c>
      <c r="B284" s="380" t="s">
        <v>5777</v>
      </c>
      <c r="C284" s="380" t="s">
        <v>5526</v>
      </c>
      <c r="D284" s="381" t="s">
        <v>6517</v>
      </c>
      <c r="E284" s="381" t="s">
        <v>7635</v>
      </c>
      <c r="F284" s="381" t="s">
        <v>7636</v>
      </c>
      <c r="G284" s="382">
        <v>4</v>
      </c>
      <c r="H284" s="380" t="s">
        <v>6722</v>
      </c>
      <c r="I284" s="394" t="s">
        <v>8030</v>
      </c>
      <c r="J284" s="383" t="s">
        <v>2236</v>
      </c>
      <c r="K284" s="383" t="s">
        <v>4</v>
      </c>
      <c r="L284" s="383"/>
      <c r="M284" s="383"/>
      <c r="N284" s="383"/>
      <c r="O284" s="384"/>
      <c r="P284" s="385"/>
    </row>
    <row r="285" spans="1:16" ht="42" customHeight="1">
      <c r="A285" s="379" t="s">
        <v>5844</v>
      </c>
      <c r="B285" s="380" t="s">
        <v>5777</v>
      </c>
      <c r="C285" s="380" t="s">
        <v>5526</v>
      </c>
      <c r="D285" s="381" t="s">
        <v>6518</v>
      </c>
      <c r="E285" s="381" t="s">
        <v>7637</v>
      </c>
      <c r="F285" s="381" t="s">
        <v>7638</v>
      </c>
      <c r="G285" s="382">
        <v>2</v>
      </c>
      <c r="H285" s="380" t="s">
        <v>6722</v>
      </c>
      <c r="I285" s="394" t="s">
        <v>8030</v>
      </c>
      <c r="J285" s="383" t="s">
        <v>2236</v>
      </c>
      <c r="K285" s="383" t="s">
        <v>4</v>
      </c>
      <c r="L285" s="383"/>
      <c r="M285" s="383"/>
      <c r="N285" s="383"/>
      <c r="O285" s="384"/>
      <c r="P285" s="385"/>
    </row>
    <row r="286" spans="1:16" ht="42" customHeight="1">
      <c r="A286" s="379" t="s">
        <v>5845</v>
      </c>
      <c r="B286" s="380" t="s">
        <v>5777</v>
      </c>
      <c r="C286" s="380" t="s">
        <v>5526</v>
      </c>
      <c r="D286" s="381" t="s">
        <v>6519</v>
      </c>
      <c r="E286" s="381" t="s">
        <v>7639</v>
      </c>
      <c r="F286" s="381" t="s">
        <v>7640</v>
      </c>
      <c r="G286" s="382">
        <v>1</v>
      </c>
      <c r="H286" s="380" t="s">
        <v>6722</v>
      </c>
      <c r="I286" s="394" t="s">
        <v>8030</v>
      </c>
      <c r="J286" s="383" t="s">
        <v>2236</v>
      </c>
      <c r="K286" s="383" t="s">
        <v>4</v>
      </c>
      <c r="L286" s="383"/>
      <c r="M286" s="383"/>
      <c r="N286" s="383"/>
      <c r="O286" s="384"/>
      <c r="P286" s="385"/>
    </row>
    <row r="287" spans="1:16" ht="42" customHeight="1">
      <c r="A287" s="379" t="s">
        <v>5846</v>
      </c>
      <c r="B287" s="380" t="s">
        <v>5777</v>
      </c>
      <c r="C287" s="380" t="s">
        <v>5526</v>
      </c>
      <c r="D287" s="381" t="s">
        <v>6520</v>
      </c>
      <c r="E287" s="381" t="s">
        <v>7641</v>
      </c>
      <c r="F287" s="381" t="s">
        <v>7642</v>
      </c>
      <c r="G287" s="382">
        <v>2</v>
      </c>
      <c r="H287" s="380" t="s">
        <v>6722</v>
      </c>
      <c r="I287" s="394" t="s">
        <v>8030</v>
      </c>
      <c r="J287" s="383" t="s">
        <v>2236</v>
      </c>
      <c r="K287" s="383" t="s">
        <v>4</v>
      </c>
      <c r="L287" s="383"/>
      <c r="M287" s="383"/>
      <c r="N287" s="383"/>
      <c r="O287" s="384"/>
      <c r="P287" s="385"/>
    </row>
    <row r="288" spans="1:16" ht="42" customHeight="1">
      <c r="A288" s="379" t="s">
        <v>5847</v>
      </c>
      <c r="B288" s="380" t="s">
        <v>5777</v>
      </c>
      <c r="C288" s="380" t="s">
        <v>5526</v>
      </c>
      <c r="D288" s="381" t="s">
        <v>6521</v>
      </c>
      <c r="E288" s="381" t="s">
        <v>7643</v>
      </c>
      <c r="F288" s="381" t="s">
        <v>7644</v>
      </c>
      <c r="G288" s="382">
        <v>3</v>
      </c>
      <c r="H288" s="380" t="s">
        <v>6722</v>
      </c>
      <c r="I288" s="394" t="s">
        <v>8030</v>
      </c>
      <c r="J288" s="383" t="s">
        <v>2236</v>
      </c>
      <c r="K288" s="383" t="s">
        <v>4</v>
      </c>
      <c r="L288" s="383"/>
      <c r="M288" s="383"/>
      <c r="N288" s="383"/>
      <c r="O288" s="384"/>
      <c r="P288" s="385"/>
    </row>
    <row r="289" spans="1:16" ht="42" customHeight="1">
      <c r="A289" s="379" t="s">
        <v>5848</v>
      </c>
      <c r="B289" s="380" t="s">
        <v>5777</v>
      </c>
      <c r="C289" s="380" t="s">
        <v>5526</v>
      </c>
      <c r="D289" s="381" t="s">
        <v>6522</v>
      </c>
      <c r="E289" s="381" t="s">
        <v>7645</v>
      </c>
      <c r="F289" s="381" t="s">
        <v>7646</v>
      </c>
      <c r="G289" s="382">
        <v>2</v>
      </c>
      <c r="H289" s="380" t="s">
        <v>6722</v>
      </c>
      <c r="I289" s="394" t="s">
        <v>8030</v>
      </c>
      <c r="J289" s="383" t="s">
        <v>2236</v>
      </c>
      <c r="K289" s="383" t="s">
        <v>4</v>
      </c>
      <c r="L289" s="383"/>
      <c r="M289" s="383"/>
      <c r="N289" s="383"/>
      <c r="O289" s="384"/>
      <c r="P289" s="385"/>
    </row>
    <row r="290" spans="1:16" ht="42" customHeight="1">
      <c r="A290" s="379" t="s">
        <v>5849</v>
      </c>
      <c r="B290" s="380" t="s">
        <v>5777</v>
      </c>
      <c r="C290" s="380" t="s">
        <v>5526</v>
      </c>
      <c r="D290" s="381" t="s">
        <v>6523</v>
      </c>
      <c r="E290" s="381" t="s">
        <v>7647</v>
      </c>
      <c r="F290" s="381" t="s">
        <v>7648</v>
      </c>
      <c r="G290" s="382">
        <v>3</v>
      </c>
      <c r="H290" s="380" t="s">
        <v>8120</v>
      </c>
      <c r="I290" s="394" t="s">
        <v>8121</v>
      </c>
      <c r="J290" s="383" t="s">
        <v>2236</v>
      </c>
      <c r="K290" s="383" t="s">
        <v>4</v>
      </c>
      <c r="L290" s="383"/>
      <c r="M290" s="383"/>
      <c r="N290" s="383"/>
      <c r="O290" s="384"/>
      <c r="P290" s="385"/>
    </row>
    <row r="291" spans="1:16" ht="42" customHeight="1">
      <c r="A291" s="379" t="s">
        <v>5850</v>
      </c>
      <c r="B291" s="380" t="s">
        <v>5777</v>
      </c>
      <c r="C291" s="380" t="s">
        <v>5526</v>
      </c>
      <c r="D291" s="381" t="s">
        <v>6524</v>
      </c>
      <c r="E291" s="381" t="s">
        <v>7649</v>
      </c>
      <c r="F291" s="381" t="s">
        <v>7650</v>
      </c>
      <c r="G291" s="382">
        <v>3</v>
      </c>
      <c r="H291" s="380" t="s">
        <v>6722</v>
      </c>
      <c r="I291" s="394" t="s">
        <v>8030</v>
      </c>
      <c r="J291" s="383" t="s">
        <v>2236</v>
      </c>
      <c r="K291" s="383" t="s">
        <v>4</v>
      </c>
      <c r="L291" s="383"/>
      <c r="M291" s="383"/>
      <c r="N291" s="383"/>
      <c r="O291" s="384"/>
      <c r="P291" s="385"/>
    </row>
    <row r="292" spans="1:16" ht="42" customHeight="1">
      <c r="A292" s="379" t="s">
        <v>5851</v>
      </c>
      <c r="B292" s="380" t="s">
        <v>5777</v>
      </c>
      <c r="C292" s="380" t="s">
        <v>5527</v>
      </c>
      <c r="D292" s="381" t="s">
        <v>6525</v>
      </c>
      <c r="E292" s="381" t="s">
        <v>7651</v>
      </c>
      <c r="F292" s="381" t="s">
        <v>7652</v>
      </c>
      <c r="G292" s="382">
        <v>2</v>
      </c>
      <c r="H292" s="380" t="s">
        <v>6722</v>
      </c>
      <c r="I292" s="394" t="s">
        <v>8030</v>
      </c>
      <c r="J292" s="383" t="s">
        <v>2236</v>
      </c>
      <c r="K292" s="383" t="s">
        <v>4</v>
      </c>
      <c r="L292" s="383"/>
      <c r="M292" s="383"/>
      <c r="N292" s="383"/>
      <c r="O292" s="384"/>
      <c r="P292" s="385"/>
    </row>
    <row r="293" spans="1:16" ht="42" customHeight="1">
      <c r="A293" s="379" t="s">
        <v>5852</v>
      </c>
      <c r="B293" s="380" t="s">
        <v>5777</v>
      </c>
      <c r="C293" s="380" t="s">
        <v>5527</v>
      </c>
      <c r="D293" s="381" t="s">
        <v>6526</v>
      </c>
      <c r="E293" s="381" t="s">
        <v>7653</v>
      </c>
      <c r="F293" s="381" t="s">
        <v>7654</v>
      </c>
      <c r="G293" s="382">
        <v>2</v>
      </c>
      <c r="H293" s="380" t="s">
        <v>6722</v>
      </c>
      <c r="I293" s="394" t="s">
        <v>8030</v>
      </c>
      <c r="J293" s="383" t="s">
        <v>2236</v>
      </c>
      <c r="K293" s="383" t="s">
        <v>4</v>
      </c>
      <c r="L293" s="383"/>
      <c r="M293" s="383"/>
      <c r="N293" s="383"/>
      <c r="O293" s="384"/>
      <c r="P293" s="385"/>
    </row>
    <row r="294" spans="1:16" ht="42" customHeight="1">
      <c r="A294" s="379" t="s">
        <v>5853</v>
      </c>
      <c r="B294" s="380" t="s">
        <v>5777</v>
      </c>
      <c r="C294" s="380" t="s">
        <v>5527</v>
      </c>
      <c r="D294" s="381" t="s">
        <v>6527</v>
      </c>
      <c r="E294" s="381" t="s">
        <v>7655</v>
      </c>
      <c r="F294" s="381" t="s">
        <v>7656</v>
      </c>
      <c r="G294" s="382">
        <v>2</v>
      </c>
      <c r="H294" s="380" t="s">
        <v>6722</v>
      </c>
      <c r="I294" s="394" t="s">
        <v>8030</v>
      </c>
      <c r="J294" s="383" t="s">
        <v>2236</v>
      </c>
      <c r="K294" s="383" t="s">
        <v>4</v>
      </c>
      <c r="L294" s="383"/>
      <c r="M294" s="383"/>
      <c r="N294" s="383"/>
      <c r="O294" s="384"/>
      <c r="P294" s="385"/>
    </row>
    <row r="295" spans="1:16" ht="42" customHeight="1">
      <c r="A295" s="379" t="s">
        <v>5854</v>
      </c>
      <c r="B295" s="380" t="s">
        <v>5777</v>
      </c>
      <c r="C295" s="380" t="s">
        <v>5527</v>
      </c>
      <c r="D295" s="381" t="s">
        <v>6528</v>
      </c>
      <c r="E295" s="381" t="s">
        <v>7657</v>
      </c>
      <c r="F295" s="381" t="s">
        <v>7658</v>
      </c>
      <c r="G295" s="382">
        <v>4</v>
      </c>
      <c r="H295" s="380" t="s">
        <v>6994</v>
      </c>
      <c r="I295" s="394" t="s">
        <v>8228</v>
      </c>
      <c r="J295" s="383" t="s">
        <v>2236</v>
      </c>
      <c r="K295" s="383" t="s">
        <v>4</v>
      </c>
      <c r="L295" s="383"/>
      <c r="M295" s="383"/>
      <c r="N295" s="383"/>
      <c r="O295" s="384"/>
      <c r="P295" s="385"/>
    </row>
    <row r="296" spans="1:16" ht="42" customHeight="1">
      <c r="A296" s="379" t="s">
        <v>5855</v>
      </c>
      <c r="B296" s="380" t="s">
        <v>5777</v>
      </c>
      <c r="C296" s="380" t="s">
        <v>5527</v>
      </c>
      <c r="D296" s="381" t="s">
        <v>6529</v>
      </c>
      <c r="E296" s="381" t="s">
        <v>7659</v>
      </c>
      <c r="F296" s="381" t="s">
        <v>7660</v>
      </c>
      <c r="G296" s="382">
        <v>3</v>
      </c>
      <c r="H296" s="380" t="s">
        <v>8229</v>
      </c>
      <c r="I296" s="394" t="s">
        <v>8230</v>
      </c>
      <c r="J296" s="383" t="s">
        <v>2236</v>
      </c>
      <c r="K296" s="383" t="s">
        <v>4</v>
      </c>
      <c r="L296" s="383"/>
      <c r="M296" s="383"/>
      <c r="N296" s="383"/>
      <c r="O296" s="384"/>
      <c r="P296" s="385"/>
    </row>
    <row r="297" spans="1:16" ht="42" customHeight="1">
      <c r="A297" s="379" t="s">
        <v>5856</v>
      </c>
      <c r="B297" s="380" t="s">
        <v>5777</v>
      </c>
      <c r="C297" s="380" t="s">
        <v>5527</v>
      </c>
      <c r="D297" s="381" t="s">
        <v>6530</v>
      </c>
      <c r="E297" s="381" t="s">
        <v>7661</v>
      </c>
      <c r="F297" s="381" t="s">
        <v>7662</v>
      </c>
      <c r="G297" s="382">
        <v>2</v>
      </c>
      <c r="H297" s="380" t="s">
        <v>8231</v>
      </c>
      <c r="I297" s="394" t="s">
        <v>8232</v>
      </c>
      <c r="J297" s="383" t="s">
        <v>2236</v>
      </c>
      <c r="K297" s="383" t="s">
        <v>4</v>
      </c>
      <c r="L297" s="383"/>
      <c r="M297" s="383"/>
      <c r="N297" s="383"/>
      <c r="O297" s="384"/>
      <c r="P297" s="385"/>
    </row>
    <row r="298" spans="1:16" ht="42" customHeight="1">
      <c r="A298" s="379" t="s">
        <v>5857</v>
      </c>
      <c r="B298" s="380" t="s">
        <v>5777</v>
      </c>
      <c r="C298" s="380" t="s">
        <v>5527</v>
      </c>
      <c r="D298" s="381" t="s">
        <v>6531</v>
      </c>
      <c r="E298" s="381" t="s">
        <v>7663</v>
      </c>
      <c r="F298" s="381" t="s">
        <v>7664</v>
      </c>
      <c r="G298" s="382">
        <v>3</v>
      </c>
      <c r="H298" s="380" t="s">
        <v>6722</v>
      </c>
      <c r="I298" s="394" t="s">
        <v>8030</v>
      </c>
      <c r="J298" s="383" t="s">
        <v>2236</v>
      </c>
      <c r="K298" s="383" t="s">
        <v>4</v>
      </c>
      <c r="L298" s="383"/>
      <c r="M298" s="383"/>
      <c r="N298" s="383"/>
      <c r="O298" s="384"/>
      <c r="P298" s="385"/>
    </row>
    <row r="299" spans="1:16" ht="42" customHeight="1">
      <c r="A299" s="379" t="s">
        <v>5858</v>
      </c>
      <c r="B299" s="380" t="s">
        <v>5777</v>
      </c>
      <c r="C299" s="380" t="s">
        <v>5527</v>
      </c>
      <c r="D299" s="381" t="s">
        <v>6532</v>
      </c>
      <c r="E299" s="381" t="s">
        <v>7665</v>
      </c>
      <c r="F299" s="381" t="s">
        <v>7666</v>
      </c>
      <c r="G299" s="382">
        <v>2</v>
      </c>
      <c r="H299" s="380" t="s">
        <v>6722</v>
      </c>
      <c r="I299" s="394" t="s">
        <v>8030</v>
      </c>
      <c r="J299" s="383" t="s">
        <v>2236</v>
      </c>
      <c r="K299" s="383" t="s">
        <v>4</v>
      </c>
      <c r="L299" s="383"/>
      <c r="M299" s="383"/>
      <c r="N299" s="383"/>
      <c r="O299" s="384"/>
      <c r="P299" s="385"/>
    </row>
    <row r="300" spans="1:16" ht="42" customHeight="1">
      <c r="A300" s="379" t="s">
        <v>5859</v>
      </c>
      <c r="B300" s="380" t="s">
        <v>5777</v>
      </c>
      <c r="C300" s="380" t="s">
        <v>5527</v>
      </c>
      <c r="D300" s="381" t="s">
        <v>6533</v>
      </c>
      <c r="E300" s="381" t="s">
        <v>7667</v>
      </c>
      <c r="F300" s="381" t="s">
        <v>7668</v>
      </c>
      <c r="G300" s="382">
        <v>4</v>
      </c>
      <c r="H300" s="380" t="s">
        <v>8233</v>
      </c>
      <c r="I300" s="394" t="s">
        <v>8234</v>
      </c>
      <c r="J300" s="383" t="s">
        <v>2236</v>
      </c>
      <c r="K300" s="383" t="s">
        <v>4</v>
      </c>
      <c r="L300" s="383"/>
      <c r="M300" s="383"/>
      <c r="N300" s="383"/>
      <c r="O300" s="384"/>
      <c r="P300" s="385"/>
    </row>
    <row r="301" spans="1:16" ht="42" customHeight="1">
      <c r="A301" s="379" t="s">
        <v>5860</v>
      </c>
      <c r="B301" s="380" t="s">
        <v>5777</v>
      </c>
      <c r="C301" s="380" t="s">
        <v>5527</v>
      </c>
      <c r="D301" s="381" t="s">
        <v>6534</v>
      </c>
      <c r="E301" s="381" t="s">
        <v>7669</v>
      </c>
      <c r="F301" s="381" t="s">
        <v>7670</v>
      </c>
      <c r="G301" s="382">
        <v>2</v>
      </c>
      <c r="H301" s="380" t="s">
        <v>8110</v>
      </c>
      <c r="I301" s="394" t="s">
        <v>8111</v>
      </c>
      <c r="J301" s="383" t="s">
        <v>2236</v>
      </c>
      <c r="K301" s="383" t="s">
        <v>4</v>
      </c>
      <c r="L301" s="383"/>
      <c r="M301" s="383"/>
      <c r="N301" s="383"/>
      <c r="O301" s="384"/>
      <c r="P301" s="385"/>
    </row>
    <row r="302" spans="1:16" ht="42" customHeight="1">
      <c r="A302" s="379" t="s">
        <v>5861</v>
      </c>
      <c r="B302" s="380" t="s">
        <v>5777</v>
      </c>
      <c r="C302" s="380" t="s">
        <v>5527</v>
      </c>
      <c r="D302" s="381" t="s">
        <v>6535</v>
      </c>
      <c r="E302" s="381" t="s">
        <v>7671</v>
      </c>
      <c r="F302" s="381" t="s">
        <v>7672</v>
      </c>
      <c r="G302" s="382">
        <v>3</v>
      </c>
      <c r="H302" s="380" t="s">
        <v>8235</v>
      </c>
      <c r="I302" s="394" t="s">
        <v>8236</v>
      </c>
      <c r="J302" s="383" t="s">
        <v>2236</v>
      </c>
      <c r="K302" s="383" t="s">
        <v>4</v>
      </c>
      <c r="L302" s="383"/>
      <c r="M302" s="383"/>
      <c r="N302" s="383"/>
      <c r="O302" s="384"/>
      <c r="P302" s="385"/>
    </row>
    <row r="303" spans="1:16" ht="42" customHeight="1">
      <c r="A303" s="379" t="s">
        <v>5862</v>
      </c>
      <c r="B303" s="380" t="s">
        <v>5777</v>
      </c>
      <c r="C303" s="380" t="s">
        <v>5527</v>
      </c>
      <c r="D303" s="381" t="s">
        <v>6536</v>
      </c>
      <c r="E303" s="381" t="s">
        <v>7673</v>
      </c>
      <c r="F303" s="381" t="s">
        <v>7674</v>
      </c>
      <c r="G303" s="382">
        <v>2</v>
      </c>
      <c r="H303" s="380" t="s">
        <v>8124</v>
      </c>
      <c r="I303" s="394" t="s">
        <v>8125</v>
      </c>
      <c r="J303" s="383" t="s">
        <v>2236</v>
      </c>
      <c r="K303" s="383" t="s">
        <v>4</v>
      </c>
      <c r="L303" s="383"/>
      <c r="M303" s="383"/>
      <c r="N303" s="383"/>
      <c r="O303" s="384"/>
      <c r="P303" s="385"/>
    </row>
    <row r="304" spans="1:16" ht="42" customHeight="1">
      <c r="A304" s="379" t="s">
        <v>5863</v>
      </c>
      <c r="B304" s="380" t="s">
        <v>5777</v>
      </c>
      <c r="C304" s="380" t="s">
        <v>5527</v>
      </c>
      <c r="D304" s="381" t="s">
        <v>6537</v>
      </c>
      <c r="E304" s="381" t="s">
        <v>7675</v>
      </c>
      <c r="F304" s="381" t="s">
        <v>7676</v>
      </c>
      <c r="G304" s="382">
        <v>3</v>
      </c>
      <c r="H304" s="380" t="s">
        <v>8058</v>
      </c>
      <c r="I304" s="394" t="s">
        <v>8059</v>
      </c>
      <c r="J304" s="383" t="s">
        <v>2236</v>
      </c>
      <c r="K304" s="383" t="s">
        <v>4</v>
      </c>
      <c r="L304" s="383"/>
      <c r="M304" s="383"/>
      <c r="N304" s="383"/>
      <c r="O304" s="384"/>
      <c r="P304" s="385"/>
    </row>
    <row r="305" spans="1:16" ht="42" customHeight="1">
      <c r="A305" s="379" t="s">
        <v>5864</v>
      </c>
      <c r="B305" s="380" t="s">
        <v>5777</v>
      </c>
      <c r="C305" s="380" t="s">
        <v>5527</v>
      </c>
      <c r="D305" s="381" t="s">
        <v>6538</v>
      </c>
      <c r="E305" s="381" t="s">
        <v>7677</v>
      </c>
      <c r="F305" s="381" t="s">
        <v>7678</v>
      </c>
      <c r="G305" s="382">
        <v>4</v>
      </c>
      <c r="H305" s="380" t="s">
        <v>8044</v>
      </c>
      <c r="I305" s="394" t="s">
        <v>8045</v>
      </c>
      <c r="J305" s="383" t="s">
        <v>2236</v>
      </c>
      <c r="K305" s="383" t="s">
        <v>4</v>
      </c>
      <c r="L305" s="383"/>
      <c r="M305" s="383"/>
      <c r="N305" s="383"/>
      <c r="O305" s="384"/>
      <c r="P305" s="385"/>
    </row>
    <row r="306" spans="1:16" ht="42" customHeight="1">
      <c r="A306" s="379" t="s">
        <v>5865</v>
      </c>
      <c r="B306" s="380" t="s">
        <v>5777</v>
      </c>
      <c r="C306" s="380" t="s">
        <v>5527</v>
      </c>
      <c r="D306" s="381" t="s">
        <v>6539</v>
      </c>
      <c r="E306" s="381" t="s">
        <v>7679</v>
      </c>
      <c r="F306" s="381" t="s">
        <v>7680</v>
      </c>
      <c r="G306" s="382">
        <v>4</v>
      </c>
      <c r="H306" s="380" t="s">
        <v>8070</v>
      </c>
      <c r="I306" s="394" t="s">
        <v>8071</v>
      </c>
      <c r="J306" s="383" t="s">
        <v>2236</v>
      </c>
      <c r="K306" s="383" t="s">
        <v>4</v>
      </c>
      <c r="L306" s="383"/>
      <c r="M306" s="383"/>
      <c r="N306" s="383"/>
      <c r="O306" s="384"/>
      <c r="P306" s="385"/>
    </row>
    <row r="307" spans="1:16" ht="42" customHeight="1">
      <c r="A307" s="379" t="s">
        <v>5866</v>
      </c>
      <c r="B307" s="380" t="s">
        <v>5777</v>
      </c>
      <c r="C307" s="380" t="s">
        <v>5527</v>
      </c>
      <c r="D307" s="381" t="s">
        <v>6540</v>
      </c>
      <c r="E307" s="381" t="s">
        <v>7681</v>
      </c>
      <c r="F307" s="381" t="s">
        <v>7682</v>
      </c>
      <c r="G307" s="382">
        <v>2</v>
      </c>
      <c r="H307" s="380" t="s">
        <v>8049</v>
      </c>
      <c r="I307" s="394" t="s">
        <v>8050</v>
      </c>
      <c r="J307" s="383" t="s">
        <v>2236</v>
      </c>
      <c r="K307" s="383" t="s">
        <v>4</v>
      </c>
      <c r="L307" s="383"/>
      <c r="M307" s="383"/>
      <c r="N307" s="383"/>
      <c r="O307" s="384"/>
      <c r="P307" s="385"/>
    </row>
    <row r="308" spans="1:16" ht="42" customHeight="1">
      <c r="A308" s="379" t="s">
        <v>5867</v>
      </c>
      <c r="B308" s="380" t="s">
        <v>5777</v>
      </c>
      <c r="C308" s="380" t="s">
        <v>5527</v>
      </c>
      <c r="D308" s="381" t="s">
        <v>6541</v>
      </c>
      <c r="E308" s="381" t="s">
        <v>7683</v>
      </c>
      <c r="F308" s="381" t="s">
        <v>7684</v>
      </c>
      <c r="G308" s="382">
        <v>2</v>
      </c>
      <c r="H308" s="380" t="s">
        <v>8044</v>
      </c>
      <c r="I308" s="394" t="s">
        <v>8045</v>
      </c>
      <c r="J308" s="383" t="s">
        <v>2236</v>
      </c>
      <c r="K308" s="383" t="s">
        <v>4</v>
      </c>
      <c r="L308" s="383"/>
      <c r="M308" s="383"/>
      <c r="N308" s="383"/>
      <c r="O308" s="384"/>
      <c r="P308" s="385"/>
    </row>
    <row r="309" spans="1:16" ht="42" customHeight="1">
      <c r="A309" s="379" t="s">
        <v>5868</v>
      </c>
      <c r="B309" s="380" t="s">
        <v>5777</v>
      </c>
      <c r="C309" s="380" t="s">
        <v>5527</v>
      </c>
      <c r="D309" s="381" t="s">
        <v>6542</v>
      </c>
      <c r="E309" s="381" t="s">
        <v>7685</v>
      </c>
      <c r="F309" s="381" t="s">
        <v>7686</v>
      </c>
      <c r="G309" s="382">
        <v>2</v>
      </c>
      <c r="H309" s="380" t="s">
        <v>8237</v>
      </c>
      <c r="I309" s="394" t="s">
        <v>8238</v>
      </c>
      <c r="J309" s="383" t="s">
        <v>2236</v>
      </c>
      <c r="K309" s="383" t="s">
        <v>4</v>
      </c>
      <c r="L309" s="383"/>
      <c r="M309" s="383"/>
      <c r="N309" s="383"/>
      <c r="O309" s="384"/>
      <c r="P309" s="385"/>
    </row>
    <row r="310" spans="1:16" ht="42" customHeight="1">
      <c r="A310" s="379" t="s">
        <v>5869</v>
      </c>
      <c r="B310" s="380" t="s">
        <v>5777</v>
      </c>
      <c r="C310" s="380" t="s">
        <v>5527</v>
      </c>
      <c r="D310" s="381" t="s">
        <v>6543</v>
      </c>
      <c r="E310" s="381" t="s">
        <v>7687</v>
      </c>
      <c r="F310" s="381" t="s">
        <v>7688</v>
      </c>
      <c r="G310" s="382">
        <v>3</v>
      </c>
      <c r="H310" s="380" t="s">
        <v>6722</v>
      </c>
      <c r="I310" s="394" t="s">
        <v>8030</v>
      </c>
      <c r="J310" s="383" t="s">
        <v>2236</v>
      </c>
      <c r="K310" s="383" t="s">
        <v>4</v>
      </c>
      <c r="L310" s="383"/>
      <c r="M310" s="383"/>
      <c r="N310" s="383"/>
      <c r="O310" s="384"/>
      <c r="P310" s="385"/>
    </row>
    <row r="311" spans="1:16" ht="42" customHeight="1">
      <c r="A311" s="379" t="s">
        <v>5870</v>
      </c>
      <c r="B311" s="380" t="s">
        <v>5777</v>
      </c>
      <c r="C311" s="380" t="s">
        <v>5527</v>
      </c>
      <c r="D311" s="381" t="s">
        <v>6544</v>
      </c>
      <c r="E311" s="381" t="s">
        <v>7689</v>
      </c>
      <c r="F311" s="381" t="s">
        <v>7690</v>
      </c>
      <c r="G311" s="382">
        <v>2</v>
      </c>
      <c r="H311" s="380" t="s">
        <v>6722</v>
      </c>
      <c r="I311" s="394" t="s">
        <v>8030</v>
      </c>
      <c r="J311" s="383" t="s">
        <v>2236</v>
      </c>
      <c r="K311" s="383" t="s">
        <v>4</v>
      </c>
      <c r="L311" s="383"/>
      <c r="M311" s="383"/>
      <c r="N311" s="383"/>
      <c r="O311" s="384"/>
      <c r="P311" s="385"/>
    </row>
    <row r="312" spans="1:16" ht="42" customHeight="1">
      <c r="A312" s="379" t="s">
        <v>5871</v>
      </c>
      <c r="B312" s="380" t="s">
        <v>5777</v>
      </c>
      <c r="C312" s="380" t="s">
        <v>5528</v>
      </c>
      <c r="D312" s="381" t="s">
        <v>6545</v>
      </c>
      <c r="E312" s="381" t="s">
        <v>7691</v>
      </c>
      <c r="F312" s="381" t="s">
        <v>7692</v>
      </c>
      <c r="G312" s="382">
        <v>2.5</v>
      </c>
      <c r="H312" s="380" t="s">
        <v>8239</v>
      </c>
      <c r="I312" s="394" t="s">
        <v>8240</v>
      </c>
      <c r="J312" s="383" t="s">
        <v>2236</v>
      </c>
      <c r="K312" s="383" t="s">
        <v>4</v>
      </c>
      <c r="L312" s="383"/>
      <c r="M312" s="383"/>
      <c r="N312" s="383"/>
      <c r="O312" s="384"/>
      <c r="P312" s="385"/>
    </row>
    <row r="313" spans="1:16" ht="42" customHeight="1">
      <c r="A313" s="379" t="s">
        <v>5872</v>
      </c>
      <c r="B313" s="380" t="s">
        <v>5777</v>
      </c>
      <c r="C313" s="380" t="s">
        <v>5528</v>
      </c>
      <c r="D313" s="381" t="s">
        <v>6546</v>
      </c>
      <c r="E313" s="381" t="s">
        <v>7693</v>
      </c>
      <c r="F313" s="381" t="s">
        <v>7694</v>
      </c>
      <c r="G313" s="382">
        <v>1.5</v>
      </c>
      <c r="H313" s="380" t="s">
        <v>6722</v>
      </c>
      <c r="I313" s="394" t="s">
        <v>8241</v>
      </c>
      <c r="J313" s="383" t="s">
        <v>2236</v>
      </c>
      <c r="K313" s="383" t="s">
        <v>4</v>
      </c>
      <c r="L313" s="383"/>
      <c r="M313" s="383"/>
      <c r="N313" s="383"/>
      <c r="O313" s="384"/>
      <c r="P313" s="385"/>
    </row>
    <row r="314" spans="1:16" ht="42" customHeight="1">
      <c r="A314" s="379" t="s">
        <v>5873</v>
      </c>
      <c r="B314" s="380" t="s">
        <v>5777</v>
      </c>
      <c r="C314" s="380" t="s">
        <v>5528</v>
      </c>
      <c r="D314" s="381" t="s">
        <v>6547</v>
      </c>
      <c r="E314" s="381" t="s">
        <v>7695</v>
      </c>
      <c r="F314" s="381" t="s">
        <v>7696</v>
      </c>
      <c r="G314" s="382">
        <v>1.5</v>
      </c>
      <c r="H314" s="380" t="s">
        <v>8242</v>
      </c>
      <c r="I314" s="394" t="s">
        <v>8243</v>
      </c>
      <c r="J314" s="383" t="s">
        <v>5871</v>
      </c>
      <c r="K314" s="383" t="s">
        <v>4</v>
      </c>
      <c r="L314" s="383"/>
      <c r="M314" s="383"/>
      <c r="N314" s="383"/>
      <c r="O314" s="384"/>
      <c r="P314" s="385"/>
    </row>
    <row r="315" spans="1:16" ht="42" customHeight="1">
      <c r="A315" s="379" t="s">
        <v>5874</v>
      </c>
      <c r="B315" s="380" t="s">
        <v>5777</v>
      </c>
      <c r="C315" s="380" t="s">
        <v>5528</v>
      </c>
      <c r="D315" s="381" t="s">
        <v>6548</v>
      </c>
      <c r="E315" s="381" t="s">
        <v>7697</v>
      </c>
      <c r="F315" s="381" t="s">
        <v>7698</v>
      </c>
      <c r="G315" s="382">
        <v>2</v>
      </c>
      <c r="H315" s="380" t="s">
        <v>8244</v>
      </c>
      <c r="I315" s="394" t="s">
        <v>8245</v>
      </c>
      <c r="J315" s="383" t="s">
        <v>5871</v>
      </c>
      <c r="K315" s="383" t="s">
        <v>4</v>
      </c>
      <c r="L315" s="383"/>
      <c r="M315" s="383"/>
      <c r="N315" s="383"/>
      <c r="O315" s="384"/>
      <c r="P315" s="385"/>
    </row>
    <row r="316" spans="1:16" ht="42" customHeight="1">
      <c r="A316" s="379" t="s">
        <v>5875</v>
      </c>
      <c r="B316" s="380" t="s">
        <v>5777</v>
      </c>
      <c r="C316" s="380" t="s">
        <v>5528</v>
      </c>
      <c r="D316" s="381" t="s">
        <v>6549</v>
      </c>
      <c r="E316" s="381" t="s">
        <v>7699</v>
      </c>
      <c r="F316" s="381" t="s">
        <v>7700</v>
      </c>
      <c r="G316" s="382">
        <v>2.5</v>
      </c>
      <c r="H316" s="380" t="s">
        <v>6995</v>
      </c>
      <c r="I316" s="394" t="s">
        <v>8246</v>
      </c>
      <c r="J316" s="383" t="s">
        <v>5871</v>
      </c>
      <c r="K316" s="383" t="s">
        <v>4</v>
      </c>
      <c r="L316" s="383"/>
      <c r="M316" s="383"/>
      <c r="N316" s="383"/>
      <c r="O316" s="384"/>
      <c r="P316" s="385"/>
    </row>
    <row r="317" spans="1:16" ht="42" customHeight="1">
      <c r="A317" s="379" t="s">
        <v>5876</v>
      </c>
      <c r="B317" s="380" t="s">
        <v>5777</v>
      </c>
      <c r="C317" s="380" t="s">
        <v>5528</v>
      </c>
      <c r="D317" s="381" t="s">
        <v>6550</v>
      </c>
      <c r="E317" s="381" t="s">
        <v>7701</v>
      </c>
      <c r="F317" s="381" t="s">
        <v>7702</v>
      </c>
      <c r="G317" s="382">
        <v>2</v>
      </c>
      <c r="H317" s="380" t="s">
        <v>8239</v>
      </c>
      <c r="I317" s="394" t="s">
        <v>8240</v>
      </c>
      <c r="J317" s="383" t="s">
        <v>5871</v>
      </c>
      <c r="K317" s="383" t="s">
        <v>4</v>
      </c>
      <c r="L317" s="383"/>
      <c r="M317" s="383"/>
      <c r="N317" s="383"/>
      <c r="O317" s="384"/>
      <c r="P317" s="385"/>
    </row>
    <row r="318" spans="1:16" ht="42" customHeight="1">
      <c r="A318" s="379" t="s">
        <v>5877</v>
      </c>
      <c r="B318" s="380" t="s">
        <v>5777</v>
      </c>
      <c r="C318" s="380" t="s">
        <v>5528</v>
      </c>
      <c r="D318" s="381" t="s">
        <v>6551</v>
      </c>
      <c r="E318" s="381" t="s">
        <v>7703</v>
      </c>
      <c r="F318" s="381" t="s">
        <v>7704</v>
      </c>
      <c r="G318" s="382">
        <v>1.5</v>
      </c>
      <c r="H318" s="380" t="s">
        <v>8239</v>
      </c>
      <c r="I318" s="394" t="s">
        <v>8240</v>
      </c>
      <c r="J318" s="383" t="s">
        <v>5876</v>
      </c>
      <c r="K318" s="383" t="s">
        <v>4</v>
      </c>
      <c r="L318" s="383"/>
      <c r="M318" s="383"/>
      <c r="N318" s="383"/>
      <c r="O318" s="384"/>
      <c r="P318" s="385"/>
    </row>
    <row r="319" spans="1:16" ht="42" customHeight="1">
      <c r="A319" s="379" t="s">
        <v>5878</v>
      </c>
      <c r="B319" s="380" t="s">
        <v>5777</v>
      </c>
      <c r="C319" s="380" t="s">
        <v>5529</v>
      </c>
      <c r="D319" s="381" t="s">
        <v>6552</v>
      </c>
      <c r="E319" s="381" t="s">
        <v>7705</v>
      </c>
      <c r="F319" s="381" t="s">
        <v>7706</v>
      </c>
      <c r="G319" s="382">
        <v>2</v>
      </c>
      <c r="H319" s="380" t="s">
        <v>8180</v>
      </c>
      <c r="I319" s="394" t="s">
        <v>8181</v>
      </c>
      <c r="J319" s="383" t="s">
        <v>2236</v>
      </c>
      <c r="K319" s="383" t="s">
        <v>4</v>
      </c>
      <c r="L319" s="383"/>
      <c r="M319" s="383"/>
      <c r="N319" s="383"/>
      <c r="O319" s="384"/>
      <c r="P319" s="385"/>
    </row>
    <row r="320" spans="1:16" ht="42" customHeight="1">
      <c r="A320" s="379" t="s">
        <v>5879</v>
      </c>
      <c r="B320" s="380" t="s">
        <v>5777</v>
      </c>
      <c r="C320" s="380" t="s">
        <v>5529</v>
      </c>
      <c r="D320" s="381" t="s">
        <v>6553</v>
      </c>
      <c r="E320" s="381" t="s">
        <v>7707</v>
      </c>
      <c r="F320" s="381" t="s">
        <v>7708</v>
      </c>
      <c r="G320" s="382">
        <v>3</v>
      </c>
      <c r="H320" s="380" t="s">
        <v>8247</v>
      </c>
      <c r="I320" s="394" t="s">
        <v>8248</v>
      </c>
      <c r="J320" s="383" t="s">
        <v>5804</v>
      </c>
      <c r="K320" s="383" t="s">
        <v>4</v>
      </c>
      <c r="L320" s="383"/>
      <c r="M320" s="383"/>
      <c r="N320" s="383"/>
      <c r="O320" s="384"/>
      <c r="P320" s="385"/>
    </row>
    <row r="321" spans="1:16" ht="42" customHeight="1">
      <c r="A321" s="379" t="s">
        <v>5880</v>
      </c>
      <c r="B321" s="380" t="s">
        <v>5777</v>
      </c>
      <c r="C321" s="380" t="s">
        <v>5529</v>
      </c>
      <c r="D321" s="381" t="s">
        <v>6554</v>
      </c>
      <c r="E321" s="381" t="s">
        <v>7709</v>
      </c>
      <c r="F321" s="381" t="s">
        <v>7710</v>
      </c>
      <c r="G321" s="382">
        <v>3</v>
      </c>
      <c r="H321" s="380" t="s">
        <v>8247</v>
      </c>
      <c r="I321" s="394" t="s">
        <v>8248</v>
      </c>
      <c r="J321" s="383" t="s">
        <v>5878</v>
      </c>
      <c r="K321" s="383" t="s">
        <v>4</v>
      </c>
      <c r="L321" s="383"/>
      <c r="M321" s="383"/>
      <c r="N321" s="383"/>
      <c r="O321" s="384"/>
      <c r="P321" s="385"/>
    </row>
    <row r="322" spans="1:16" ht="42" customHeight="1">
      <c r="A322" s="379" t="s">
        <v>5881</v>
      </c>
      <c r="B322" s="380" t="s">
        <v>5777</v>
      </c>
      <c r="C322" s="380" t="s">
        <v>5529</v>
      </c>
      <c r="D322" s="381" t="s">
        <v>6555</v>
      </c>
      <c r="E322" s="381" t="s">
        <v>7711</v>
      </c>
      <c r="F322" s="381" t="s">
        <v>7712</v>
      </c>
      <c r="G322" s="382">
        <v>3</v>
      </c>
      <c r="H322" s="380" t="s">
        <v>8168</v>
      </c>
      <c r="I322" s="394" t="s">
        <v>8169</v>
      </c>
      <c r="J322" s="383" t="s">
        <v>2236</v>
      </c>
      <c r="K322" s="383" t="s">
        <v>4</v>
      </c>
      <c r="L322" s="383"/>
      <c r="M322" s="383"/>
      <c r="N322" s="383"/>
      <c r="O322" s="384"/>
      <c r="P322" s="385"/>
    </row>
    <row r="323" spans="1:16" ht="42" customHeight="1">
      <c r="A323" s="379" t="s">
        <v>5882</v>
      </c>
      <c r="B323" s="380" t="s">
        <v>5777</v>
      </c>
      <c r="C323" s="380" t="s">
        <v>5529</v>
      </c>
      <c r="D323" s="381" t="s">
        <v>6556</v>
      </c>
      <c r="E323" s="381" t="s">
        <v>7713</v>
      </c>
      <c r="F323" s="381" t="s">
        <v>7714</v>
      </c>
      <c r="G323" s="382">
        <v>2</v>
      </c>
      <c r="H323" s="380" t="s">
        <v>8168</v>
      </c>
      <c r="I323" s="394" t="s">
        <v>8169</v>
      </c>
      <c r="J323" s="383" t="s">
        <v>5881</v>
      </c>
      <c r="K323" s="383" t="s">
        <v>4</v>
      </c>
      <c r="L323" s="383"/>
      <c r="M323" s="383"/>
      <c r="N323" s="383"/>
      <c r="O323" s="384"/>
      <c r="P323" s="385"/>
    </row>
    <row r="324" spans="1:16" ht="42" customHeight="1">
      <c r="A324" s="379" t="s">
        <v>5883</v>
      </c>
      <c r="B324" s="380" t="s">
        <v>5777</v>
      </c>
      <c r="C324" s="380" t="s">
        <v>5529</v>
      </c>
      <c r="D324" s="381" t="s">
        <v>6557</v>
      </c>
      <c r="E324" s="381" t="s">
        <v>7715</v>
      </c>
      <c r="F324" s="381" t="s">
        <v>7716</v>
      </c>
      <c r="G324" s="382">
        <v>2</v>
      </c>
      <c r="H324" s="380" t="s">
        <v>8182</v>
      </c>
      <c r="I324" s="394" t="s">
        <v>8183</v>
      </c>
      <c r="J324" s="383" t="s">
        <v>5881</v>
      </c>
      <c r="K324" s="383" t="s">
        <v>4</v>
      </c>
      <c r="L324" s="383"/>
      <c r="M324" s="383"/>
      <c r="N324" s="383"/>
      <c r="O324" s="384"/>
      <c r="P324" s="385"/>
    </row>
    <row r="325" spans="1:16" ht="42" customHeight="1">
      <c r="A325" s="379" t="s">
        <v>5884</v>
      </c>
      <c r="B325" s="380" t="s">
        <v>5777</v>
      </c>
      <c r="C325" s="380" t="s">
        <v>5529</v>
      </c>
      <c r="D325" s="381" t="s">
        <v>6558</v>
      </c>
      <c r="E325" s="381" t="s">
        <v>7717</v>
      </c>
      <c r="F325" s="381" t="s">
        <v>7718</v>
      </c>
      <c r="G325" s="382">
        <v>3</v>
      </c>
      <c r="H325" s="380" t="s">
        <v>8194</v>
      </c>
      <c r="I325" s="394" t="s">
        <v>8195</v>
      </c>
      <c r="J325" s="383" t="s">
        <v>2236</v>
      </c>
      <c r="K325" s="383" t="s">
        <v>4</v>
      </c>
      <c r="L325" s="383"/>
      <c r="M325" s="383"/>
      <c r="N325" s="383"/>
      <c r="O325" s="384"/>
      <c r="P325" s="385"/>
    </row>
    <row r="326" spans="1:16" ht="42" customHeight="1">
      <c r="A326" s="379" t="s">
        <v>5885</v>
      </c>
      <c r="B326" s="380" t="s">
        <v>5777</v>
      </c>
      <c r="C326" s="380" t="s">
        <v>5529</v>
      </c>
      <c r="D326" s="381" t="s">
        <v>6559</v>
      </c>
      <c r="E326" s="381" t="s">
        <v>7719</v>
      </c>
      <c r="F326" s="381" t="s">
        <v>7720</v>
      </c>
      <c r="G326" s="382">
        <v>3</v>
      </c>
      <c r="H326" s="380" t="s">
        <v>6722</v>
      </c>
      <c r="I326" s="394" t="s">
        <v>8030</v>
      </c>
      <c r="J326" s="383" t="s">
        <v>2236</v>
      </c>
      <c r="K326" s="383" t="s">
        <v>4</v>
      </c>
      <c r="L326" s="383"/>
      <c r="M326" s="383"/>
      <c r="N326" s="383"/>
      <c r="O326" s="384"/>
      <c r="P326" s="385"/>
    </row>
    <row r="327" spans="1:16" ht="42" customHeight="1">
      <c r="A327" s="379" t="s">
        <v>5886</v>
      </c>
      <c r="B327" s="380" t="s">
        <v>5777</v>
      </c>
      <c r="C327" s="380" t="s">
        <v>5530</v>
      </c>
      <c r="D327" s="381" t="s">
        <v>6560</v>
      </c>
      <c r="E327" s="381" t="s">
        <v>7721</v>
      </c>
      <c r="F327" s="381" t="s">
        <v>7722</v>
      </c>
      <c r="G327" s="382">
        <v>2</v>
      </c>
      <c r="H327" s="380" t="s">
        <v>6722</v>
      </c>
      <c r="I327" s="394" t="s">
        <v>8030</v>
      </c>
      <c r="J327" s="383" t="s">
        <v>5521</v>
      </c>
      <c r="K327" s="383" t="s">
        <v>4</v>
      </c>
      <c r="L327" s="383"/>
      <c r="M327" s="383"/>
      <c r="N327" s="383"/>
      <c r="O327" s="384"/>
      <c r="P327" s="385"/>
    </row>
    <row r="328" spans="1:16" ht="20">
      <c r="A328" s="379" t="s">
        <v>5887</v>
      </c>
      <c r="B328" s="380" t="s">
        <v>5777</v>
      </c>
      <c r="C328" s="380" t="s">
        <v>5530</v>
      </c>
      <c r="D328" s="381" t="s">
        <v>6561</v>
      </c>
      <c r="E328" s="381" t="s">
        <v>7723</v>
      </c>
      <c r="F328" s="381" t="s">
        <v>7724</v>
      </c>
      <c r="G328" s="382">
        <v>2</v>
      </c>
      <c r="H328" s="380" t="s">
        <v>6722</v>
      </c>
      <c r="I328" s="394" t="s">
        <v>8030</v>
      </c>
      <c r="J328" s="383" t="s">
        <v>4831</v>
      </c>
      <c r="K328" s="383" t="s">
        <v>4</v>
      </c>
      <c r="L328" s="383"/>
      <c r="M328" s="383"/>
      <c r="N328" s="383"/>
      <c r="O328" s="384"/>
      <c r="P328" s="385"/>
    </row>
    <row r="329" spans="1:16" ht="20">
      <c r="A329" s="379" t="s">
        <v>5888</v>
      </c>
      <c r="B329" s="380" t="s">
        <v>5777</v>
      </c>
      <c r="C329" s="380" t="s">
        <v>5530</v>
      </c>
      <c r="D329" s="381" t="s">
        <v>6562</v>
      </c>
      <c r="E329" s="381" t="s">
        <v>7725</v>
      </c>
      <c r="F329" s="381" t="s">
        <v>7726</v>
      </c>
      <c r="G329" s="382">
        <v>2</v>
      </c>
      <c r="H329" s="380" t="s">
        <v>6722</v>
      </c>
      <c r="I329" s="394" t="s">
        <v>8030</v>
      </c>
      <c r="J329" s="383" t="s">
        <v>5889</v>
      </c>
      <c r="K329" s="383" t="s">
        <v>4</v>
      </c>
      <c r="L329" s="383"/>
      <c r="M329" s="383"/>
      <c r="N329" s="383"/>
      <c r="O329" s="384"/>
      <c r="P329" s="385"/>
    </row>
    <row r="330" spans="1:16" ht="30">
      <c r="A330" s="379" t="s">
        <v>5890</v>
      </c>
      <c r="B330" s="380" t="s">
        <v>5777</v>
      </c>
      <c r="C330" s="380" t="s">
        <v>5530</v>
      </c>
      <c r="D330" s="381" t="s">
        <v>6563</v>
      </c>
      <c r="E330" s="381" t="s">
        <v>7727</v>
      </c>
      <c r="F330" s="381" t="s">
        <v>7728</v>
      </c>
      <c r="G330" s="382">
        <v>3</v>
      </c>
      <c r="H330" s="380" t="s">
        <v>8164</v>
      </c>
      <c r="I330" s="394" t="s">
        <v>8165</v>
      </c>
      <c r="J330" s="383" t="s">
        <v>2236</v>
      </c>
      <c r="K330" s="383" t="s">
        <v>4</v>
      </c>
      <c r="L330" s="383"/>
      <c r="M330" s="383"/>
      <c r="N330" s="383"/>
      <c r="O330" s="384"/>
      <c r="P330" s="385"/>
    </row>
    <row r="331" spans="1:16" ht="20">
      <c r="A331" s="379" t="s">
        <v>5891</v>
      </c>
      <c r="B331" s="380" t="s">
        <v>5777</v>
      </c>
      <c r="C331" s="380" t="s">
        <v>5530</v>
      </c>
      <c r="D331" s="381" t="s">
        <v>6564</v>
      </c>
      <c r="E331" s="381" t="s">
        <v>7729</v>
      </c>
      <c r="F331" s="381" t="s">
        <v>7730</v>
      </c>
      <c r="G331" s="382">
        <v>3</v>
      </c>
      <c r="H331" s="380" t="s">
        <v>3611</v>
      </c>
      <c r="I331" s="394" t="s">
        <v>8029</v>
      </c>
      <c r="J331" s="383" t="s">
        <v>625</v>
      </c>
      <c r="K331" s="383" t="s">
        <v>4</v>
      </c>
      <c r="L331" s="383"/>
      <c r="M331" s="383"/>
      <c r="N331" s="383"/>
      <c r="O331" s="384"/>
      <c r="P331" s="385"/>
    </row>
    <row r="332" spans="1:16" ht="20">
      <c r="A332" s="379" t="s">
        <v>5892</v>
      </c>
      <c r="B332" s="380" t="s">
        <v>5777</v>
      </c>
      <c r="C332" s="380" t="s">
        <v>5531</v>
      </c>
      <c r="D332" s="381" t="s">
        <v>6565</v>
      </c>
      <c r="E332" s="381" t="s">
        <v>7731</v>
      </c>
      <c r="F332" s="381" t="s">
        <v>7732</v>
      </c>
      <c r="G332" s="382">
        <v>3</v>
      </c>
      <c r="H332" s="380" t="s">
        <v>6722</v>
      </c>
      <c r="I332" s="394" t="s">
        <v>8030</v>
      </c>
      <c r="J332" s="383" t="s">
        <v>5893</v>
      </c>
      <c r="K332" s="383" t="s">
        <v>4</v>
      </c>
      <c r="L332" s="383"/>
      <c r="M332" s="383"/>
      <c r="N332" s="383"/>
      <c r="O332" s="384"/>
      <c r="P332" s="385"/>
    </row>
    <row r="333" spans="1:16" ht="20">
      <c r="A333" s="379" t="s">
        <v>5894</v>
      </c>
      <c r="B333" s="380" t="s">
        <v>5777</v>
      </c>
      <c r="C333" s="380" t="s">
        <v>5531</v>
      </c>
      <c r="D333" s="381" t="s">
        <v>6199</v>
      </c>
      <c r="E333" s="381" t="s">
        <v>7733</v>
      </c>
      <c r="F333" s="381" t="s">
        <v>7734</v>
      </c>
      <c r="G333" s="382">
        <v>3</v>
      </c>
      <c r="H333" s="380" t="s">
        <v>6722</v>
      </c>
      <c r="I333" s="394" t="s">
        <v>8030</v>
      </c>
      <c r="J333" s="383" t="s">
        <v>5892</v>
      </c>
      <c r="K333" s="383" t="s">
        <v>4</v>
      </c>
      <c r="L333" s="383"/>
      <c r="M333" s="383"/>
      <c r="N333" s="383"/>
      <c r="O333" s="384"/>
      <c r="P333" s="385"/>
    </row>
    <row r="334" spans="1:16" ht="20">
      <c r="A334" s="379" t="s">
        <v>5895</v>
      </c>
      <c r="B334" s="380" t="s">
        <v>5777</v>
      </c>
      <c r="C334" s="380" t="s">
        <v>5531</v>
      </c>
      <c r="D334" s="381" t="s">
        <v>6566</v>
      </c>
      <c r="E334" s="381" t="s">
        <v>7735</v>
      </c>
      <c r="F334" s="381" t="s">
        <v>7736</v>
      </c>
      <c r="G334" s="382">
        <v>3</v>
      </c>
      <c r="H334" s="380" t="s">
        <v>6722</v>
      </c>
      <c r="I334" s="394" t="s">
        <v>8030</v>
      </c>
      <c r="J334" s="383" t="s">
        <v>5894</v>
      </c>
      <c r="K334" s="383" t="s">
        <v>4</v>
      </c>
      <c r="L334" s="383"/>
      <c r="M334" s="383"/>
      <c r="N334" s="383"/>
      <c r="O334" s="384"/>
      <c r="P334" s="385"/>
    </row>
    <row r="335" spans="1:16" ht="20">
      <c r="A335" s="379" t="s">
        <v>5896</v>
      </c>
      <c r="B335" s="380" t="s">
        <v>5777</v>
      </c>
      <c r="C335" s="380" t="s">
        <v>5531</v>
      </c>
      <c r="D335" s="381" t="s">
        <v>6203</v>
      </c>
      <c r="E335" s="381" t="s">
        <v>7737</v>
      </c>
      <c r="F335" s="381" t="s">
        <v>7738</v>
      </c>
      <c r="G335" s="382">
        <v>3</v>
      </c>
      <c r="H335" s="380" t="s">
        <v>6722</v>
      </c>
      <c r="I335" s="394" t="s">
        <v>8030</v>
      </c>
      <c r="J335" s="383" t="s">
        <v>5895</v>
      </c>
      <c r="K335" s="383" t="s">
        <v>4</v>
      </c>
      <c r="L335" s="383"/>
      <c r="M335" s="383"/>
      <c r="N335" s="383"/>
      <c r="O335" s="384"/>
      <c r="P335" s="385"/>
    </row>
    <row r="336" spans="1:16" ht="20">
      <c r="A336" s="379" t="s">
        <v>5897</v>
      </c>
      <c r="B336" s="380" t="s">
        <v>5777</v>
      </c>
      <c r="C336" s="380" t="s">
        <v>5531</v>
      </c>
      <c r="D336" s="381" t="s">
        <v>6567</v>
      </c>
      <c r="E336" s="381" t="s">
        <v>7739</v>
      </c>
      <c r="F336" s="381" t="s">
        <v>7740</v>
      </c>
      <c r="G336" s="382">
        <v>5</v>
      </c>
      <c r="H336" s="380" t="s">
        <v>6722</v>
      </c>
      <c r="I336" s="394" t="s">
        <v>8030</v>
      </c>
      <c r="J336" s="383" t="s">
        <v>5896</v>
      </c>
      <c r="K336" s="383" t="s">
        <v>4</v>
      </c>
      <c r="L336" s="383"/>
      <c r="M336" s="383"/>
      <c r="N336" s="383"/>
      <c r="O336" s="384"/>
      <c r="P336" s="385"/>
    </row>
    <row r="337" spans="1:16" ht="20">
      <c r="A337" s="379" t="s">
        <v>5898</v>
      </c>
      <c r="B337" s="380" t="s">
        <v>5777</v>
      </c>
      <c r="C337" s="380" t="s">
        <v>5531</v>
      </c>
      <c r="D337" s="381" t="s">
        <v>6568</v>
      </c>
      <c r="E337" s="381" t="s">
        <v>7741</v>
      </c>
      <c r="F337" s="381" t="s">
        <v>7742</v>
      </c>
      <c r="G337" s="382">
        <v>5</v>
      </c>
      <c r="H337" s="380" t="s">
        <v>6722</v>
      </c>
      <c r="I337" s="394" t="s">
        <v>8030</v>
      </c>
      <c r="J337" s="383" t="s">
        <v>5897</v>
      </c>
      <c r="K337" s="383" t="s">
        <v>4</v>
      </c>
      <c r="L337" s="383"/>
      <c r="M337" s="383"/>
      <c r="N337" s="383"/>
      <c r="O337" s="384"/>
      <c r="P337" s="385"/>
    </row>
    <row r="338" spans="1:16" ht="30">
      <c r="A338" s="379" t="s">
        <v>5899</v>
      </c>
      <c r="B338" s="380" t="s">
        <v>5777</v>
      </c>
      <c r="C338" s="380" t="s">
        <v>5932</v>
      </c>
      <c r="D338" s="381" t="s">
        <v>6569</v>
      </c>
      <c r="E338" s="381" t="s">
        <v>7743</v>
      </c>
      <c r="F338" s="381" t="s">
        <v>7744</v>
      </c>
      <c r="G338" s="382">
        <v>3</v>
      </c>
      <c r="H338" s="380" t="s">
        <v>6722</v>
      </c>
      <c r="I338" s="394" t="s">
        <v>8030</v>
      </c>
      <c r="J338" s="383" t="s">
        <v>5407</v>
      </c>
      <c r="K338" s="383" t="s">
        <v>4</v>
      </c>
      <c r="L338" s="383"/>
      <c r="M338" s="383"/>
      <c r="N338" s="383"/>
      <c r="O338" s="384"/>
      <c r="P338" s="385"/>
    </row>
    <row r="339" spans="1:16" ht="30">
      <c r="A339" s="379" t="s">
        <v>5900</v>
      </c>
      <c r="B339" s="380" t="s">
        <v>5777</v>
      </c>
      <c r="C339" s="380" t="s">
        <v>5932</v>
      </c>
      <c r="D339" s="381" t="s">
        <v>6570</v>
      </c>
      <c r="E339" s="381" t="s">
        <v>7745</v>
      </c>
      <c r="F339" s="381" t="s">
        <v>7746</v>
      </c>
      <c r="G339" s="382">
        <v>5</v>
      </c>
      <c r="H339" s="380" t="s">
        <v>8249</v>
      </c>
      <c r="I339" s="394" t="s">
        <v>8250</v>
      </c>
      <c r="J339" s="383" t="s">
        <v>531</v>
      </c>
      <c r="K339" s="383" t="s">
        <v>4</v>
      </c>
      <c r="L339" s="383"/>
      <c r="M339" s="383"/>
      <c r="N339" s="383"/>
      <c r="O339" s="384"/>
      <c r="P339" s="385"/>
    </row>
    <row r="340" spans="1:16" ht="20">
      <c r="A340" s="379" t="s">
        <v>5901</v>
      </c>
      <c r="B340" s="380" t="s">
        <v>5777</v>
      </c>
      <c r="C340" s="380" t="s">
        <v>5932</v>
      </c>
      <c r="D340" s="381" t="s">
        <v>6571</v>
      </c>
      <c r="E340" s="381" t="s">
        <v>7747</v>
      </c>
      <c r="F340" s="381" t="s">
        <v>7748</v>
      </c>
      <c r="G340" s="382">
        <v>3</v>
      </c>
      <c r="H340" s="380" t="s">
        <v>8064</v>
      </c>
      <c r="I340" s="394" t="s">
        <v>8065</v>
      </c>
      <c r="J340" s="383" t="s">
        <v>531</v>
      </c>
      <c r="K340" s="383" t="s">
        <v>4</v>
      </c>
      <c r="L340" s="383"/>
      <c r="M340" s="383"/>
      <c r="N340" s="383"/>
      <c r="O340" s="384"/>
      <c r="P340" s="385"/>
    </row>
    <row r="341" spans="1:16" ht="20">
      <c r="A341" s="379" t="s">
        <v>5902</v>
      </c>
      <c r="B341" s="380" t="s">
        <v>5777</v>
      </c>
      <c r="C341" s="380" t="s">
        <v>5932</v>
      </c>
      <c r="D341" s="381" t="s">
        <v>6572</v>
      </c>
      <c r="E341" s="381" t="s">
        <v>7749</v>
      </c>
      <c r="F341" s="381" t="s">
        <v>7750</v>
      </c>
      <c r="G341" s="382">
        <v>3</v>
      </c>
      <c r="H341" s="380" t="s">
        <v>8251</v>
      </c>
      <c r="I341" s="394" t="s">
        <v>8252</v>
      </c>
      <c r="J341" s="383" t="s">
        <v>531</v>
      </c>
      <c r="K341" s="383" t="s">
        <v>4</v>
      </c>
      <c r="L341" s="383"/>
      <c r="M341" s="383"/>
      <c r="N341" s="383"/>
      <c r="O341" s="384"/>
      <c r="P341" s="385"/>
    </row>
    <row r="342" spans="1:16" ht="30">
      <c r="A342" s="379" t="s">
        <v>5903</v>
      </c>
      <c r="B342" s="380" t="s">
        <v>5777</v>
      </c>
      <c r="C342" s="380" t="s">
        <v>5932</v>
      </c>
      <c r="D342" s="381" t="s">
        <v>6573</v>
      </c>
      <c r="E342" s="381" t="s">
        <v>7751</v>
      </c>
      <c r="F342" s="381" t="s">
        <v>7752</v>
      </c>
      <c r="G342" s="382">
        <v>2</v>
      </c>
      <c r="H342" s="380" t="s">
        <v>8194</v>
      </c>
      <c r="I342" s="394" t="s">
        <v>8195</v>
      </c>
      <c r="J342" s="383" t="s">
        <v>531</v>
      </c>
      <c r="K342" s="383" t="s">
        <v>4</v>
      </c>
      <c r="L342" s="383"/>
      <c r="M342" s="383"/>
      <c r="N342" s="383"/>
      <c r="O342" s="384"/>
      <c r="P342" s="385"/>
    </row>
    <row r="343" spans="1:16" ht="20">
      <c r="A343" s="379" t="s">
        <v>5904</v>
      </c>
      <c r="B343" s="380" t="s">
        <v>5777</v>
      </c>
      <c r="C343" s="380" t="s">
        <v>5932</v>
      </c>
      <c r="D343" s="381" t="s">
        <v>6574</v>
      </c>
      <c r="E343" s="381" t="s">
        <v>7753</v>
      </c>
      <c r="F343" s="381" t="s">
        <v>7754</v>
      </c>
      <c r="G343" s="382">
        <v>2</v>
      </c>
      <c r="H343" s="380" t="s">
        <v>6722</v>
      </c>
      <c r="I343" s="394" t="s">
        <v>8030</v>
      </c>
      <c r="J343" s="383" t="s">
        <v>5905</v>
      </c>
      <c r="K343" s="383" t="s">
        <v>4</v>
      </c>
      <c r="L343" s="383"/>
      <c r="M343" s="383"/>
      <c r="N343" s="383"/>
      <c r="O343" s="384"/>
      <c r="P343" s="385"/>
    </row>
    <row r="344" spans="1:16" ht="20">
      <c r="A344" s="379" t="s">
        <v>5906</v>
      </c>
      <c r="B344" s="380" t="s">
        <v>5777</v>
      </c>
      <c r="C344" s="380" t="s">
        <v>5932</v>
      </c>
      <c r="D344" s="381" t="s">
        <v>6575</v>
      </c>
      <c r="E344" s="381" t="s">
        <v>7755</v>
      </c>
      <c r="F344" s="381" t="s">
        <v>7756</v>
      </c>
      <c r="G344" s="382">
        <v>3</v>
      </c>
      <c r="H344" s="380" t="s">
        <v>6722</v>
      </c>
      <c r="I344" s="394" t="s">
        <v>8030</v>
      </c>
      <c r="J344" s="383" t="s">
        <v>2236</v>
      </c>
      <c r="K344" s="383" t="s">
        <v>4</v>
      </c>
      <c r="L344" s="383"/>
      <c r="M344" s="383"/>
      <c r="N344" s="383"/>
      <c r="O344" s="384"/>
      <c r="P344" s="385"/>
    </row>
    <row r="345" spans="1:16" ht="20">
      <c r="A345" s="379" t="s">
        <v>5907</v>
      </c>
      <c r="B345" s="380" t="s">
        <v>5777</v>
      </c>
      <c r="C345" s="380" t="s">
        <v>5932</v>
      </c>
      <c r="D345" s="381" t="s">
        <v>6576</v>
      </c>
      <c r="E345" s="381" t="s">
        <v>7757</v>
      </c>
      <c r="F345" s="381" t="s">
        <v>7758</v>
      </c>
      <c r="G345" s="382">
        <v>2</v>
      </c>
      <c r="H345" s="380" t="s">
        <v>8253</v>
      </c>
      <c r="I345" s="394" t="s">
        <v>8254</v>
      </c>
      <c r="J345" s="383" t="s">
        <v>5369</v>
      </c>
      <c r="K345" s="383" t="s">
        <v>4</v>
      </c>
      <c r="L345" s="383"/>
      <c r="M345" s="383"/>
      <c r="N345" s="383"/>
      <c r="O345" s="384"/>
      <c r="P345" s="385"/>
    </row>
    <row r="346" spans="1:16" ht="20">
      <c r="A346" s="379" t="s">
        <v>5908</v>
      </c>
      <c r="B346" s="380" t="s">
        <v>5777</v>
      </c>
      <c r="C346" s="380" t="s">
        <v>5932</v>
      </c>
      <c r="D346" s="381" t="s">
        <v>6577</v>
      </c>
      <c r="E346" s="381" t="s">
        <v>7759</v>
      </c>
      <c r="F346" s="381" t="s">
        <v>7760</v>
      </c>
      <c r="G346" s="382">
        <v>3</v>
      </c>
      <c r="H346" s="380" t="s">
        <v>6722</v>
      </c>
      <c r="I346" s="394" t="s">
        <v>8030</v>
      </c>
      <c r="J346" s="383" t="s">
        <v>2236</v>
      </c>
      <c r="K346" s="383" t="s">
        <v>4</v>
      </c>
      <c r="L346" s="383"/>
      <c r="M346" s="383"/>
      <c r="N346" s="383"/>
      <c r="O346" s="384"/>
      <c r="P346" s="385"/>
    </row>
    <row r="347" spans="1:16" ht="30">
      <c r="A347" s="379" t="s">
        <v>5909</v>
      </c>
      <c r="B347" s="380" t="s">
        <v>5777</v>
      </c>
      <c r="C347" s="380" t="s">
        <v>5932</v>
      </c>
      <c r="D347" s="381" t="s">
        <v>6578</v>
      </c>
      <c r="E347" s="381" t="s">
        <v>7761</v>
      </c>
      <c r="F347" s="381" t="s">
        <v>7762</v>
      </c>
      <c r="G347" s="382">
        <v>3</v>
      </c>
      <c r="H347" s="380" t="s">
        <v>6722</v>
      </c>
      <c r="I347" s="394" t="s">
        <v>8030</v>
      </c>
      <c r="J347" s="383" t="s">
        <v>528</v>
      </c>
      <c r="K347" s="383" t="s">
        <v>4</v>
      </c>
      <c r="L347" s="383"/>
      <c r="M347" s="383"/>
      <c r="N347" s="383"/>
      <c r="O347" s="384"/>
      <c r="P347" s="385"/>
    </row>
    <row r="348" spans="1:16" ht="30">
      <c r="A348" s="379" t="s">
        <v>5910</v>
      </c>
      <c r="B348" s="380" t="s">
        <v>5777</v>
      </c>
      <c r="C348" s="380" t="s">
        <v>5932</v>
      </c>
      <c r="D348" s="381" t="s">
        <v>6579</v>
      </c>
      <c r="E348" s="381" t="s">
        <v>7763</v>
      </c>
      <c r="F348" s="381" t="s">
        <v>7764</v>
      </c>
      <c r="G348" s="382">
        <v>3</v>
      </c>
      <c r="H348" s="380" t="s">
        <v>8076</v>
      </c>
      <c r="I348" s="394" t="s">
        <v>8077</v>
      </c>
      <c r="J348" s="383" t="s">
        <v>5407</v>
      </c>
      <c r="K348" s="383" t="s">
        <v>4</v>
      </c>
      <c r="L348" s="383"/>
      <c r="M348" s="383"/>
      <c r="N348" s="383"/>
      <c r="O348" s="384"/>
      <c r="P348" s="385"/>
    </row>
    <row r="349" spans="1:16" ht="30">
      <c r="A349" s="379" t="s">
        <v>5911</v>
      </c>
      <c r="B349" s="380" t="s">
        <v>5777</v>
      </c>
      <c r="C349" s="380" t="s">
        <v>5932</v>
      </c>
      <c r="D349" s="381" t="s">
        <v>6580</v>
      </c>
      <c r="E349" s="381" t="s">
        <v>7765</v>
      </c>
      <c r="F349" s="381" t="s">
        <v>7766</v>
      </c>
      <c r="G349" s="382">
        <v>3</v>
      </c>
      <c r="H349" s="380" t="s">
        <v>6722</v>
      </c>
      <c r="I349" s="394" t="s">
        <v>8030</v>
      </c>
      <c r="J349" s="383" t="s">
        <v>2236</v>
      </c>
      <c r="K349" s="383" t="s">
        <v>4</v>
      </c>
      <c r="L349" s="383"/>
      <c r="M349" s="383"/>
      <c r="N349" s="383"/>
      <c r="O349" s="384"/>
      <c r="P349" s="385"/>
    </row>
    <row r="350" spans="1:16" ht="20">
      <c r="A350" s="386" t="s">
        <v>5912</v>
      </c>
      <c r="B350" s="383" t="s">
        <v>5777</v>
      </c>
      <c r="C350" s="383" t="s">
        <v>5932</v>
      </c>
      <c r="D350" s="383" t="s">
        <v>6581</v>
      </c>
      <c r="E350" s="387" t="s">
        <v>7767</v>
      </c>
      <c r="F350" s="387" t="s">
        <v>7768</v>
      </c>
      <c r="G350" s="388">
        <v>2</v>
      </c>
      <c r="H350" s="383" t="s">
        <v>8124</v>
      </c>
      <c r="I350" s="394" t="s">
        <v>8125</v>
      </c>
      <c r="J350" s="383" t="s">
        <v>2236</v>
      </c>
      <c r="K350" s="383" t="s">
        <v>4</v>
      </c>
      <c r="L350" s="383"/>
      <c r="M350" s="383"/>
      <c r="N350" s="383"/>
      <c r="O350" s="384"/>
      <c r="P350" s="385"/>
    </row>
    <row r="351" spans="1:16" ht="20">
      <c r="A351" s="386" t="s">
        <v>5913</v>
      </c>
      <c r="B351" s="383" t="s">
        <v>5777</v>
      </c>
      <c r="C351" s="383" t="s">
        <v>5932</v>
      </c>
      <c r="D351" s="383" t="s">
        <v>6582</v>
      </c>
      <c r="E351" s="387" t="s">
        <v>7769</v>
      </c>
      <c r="F351" s="387" t="s">
        <v>7770</v>
      </c>
      <c r="G351" s="388">
        <v>4</v>
      </c>
      <c r="H351" s="383" t="s">
        <v>8164</v>
      </c>
      <c r="I351" s="394" t="s">
        <v>8165</v>
      </c>
      <c r="J351" s="383" t="s">
        <v>5914</v>
      </c>
      <c r="K351" s="383" t="s">
        <v>4</v>
      </c>
      <c r="L351" s="383"/>
      <c r="M351" s="383"/>
      <c r="N351" s="383"/>
      <c r="O351" s="384"/>
      <c r="P351" s="385"/>
    </row>
    <row r="352" spans="1:16" ht="20">
      <c r="A352" s="386" t="s">
        <v>5915</v>
      </c>
      <c r="B352" s="383" t="s">
        <v>5777</v>
      </c>
      <c r="C352" s="383" t="s">
        <v>5932</v>
      </c>
      <c r="D352" s="383" t="s">
        <v>6583</v>
      </c>
      <c r="E352" s="387" t="s">
        <v>7771</v>
      </c>
      <c r="F352" s="387" t="s">
        <v>7772</v>
      </c>
      <c r="G352" s="388">
        <v>3</v>
      </c>
      <c r="H352" s="383" t="s">
        <v>8116</v>
      </c>
      <c r="I352" s="394" t="s">
        <v>8117</v>
      </c>
      <c r="J352" s="383" t="s">
        <v>540</v>
      </c>
      <c r="K352" s="383" t="s">
        <v>4</v>
      </c>
      <c r="L352" s="383"/>
      <c r="M352" s="383"/>
      <c r="N352" s="383"/>
      <c r="O352" s="384"/>
      <c r="P352" s="385"/>
    </row>
    <row r="353" spans="1:16" ht="20">
      <c r="A353" s="386" t="s">
        <v>5916</v>
      </c>
      <c r="B353" s="383" t="s">
        <v>5777</v>
      </c>
      <c r="C353" s="383" t="s">
        <v>5932</v>
      </c>
      <c r="D353" s="383" t="s">
        <v>6584</v>
      </c>
      <c r="E353" s="387" t="s">
        <v>7773</v>
      </c>
      <c r="F353" s="387" t="s">
        <v>7774</v>
      </c>
      <c r="G353" s="388">
        <v>3</v>
      </c>
      <c r="H353" s="383" t="s">
        <v>8064</v>
      </c>
      <c r="I353" s="394" t="s">
        <v>8065</v>
      </c>
      <c r="J353" s="383" t="s">
        <v>2236</v>
      </c>
      <c r="K353" s="383" t="s">
        <v>4</v>
      </c>
      <c r="L353" s="383"/>
      <c r="M353" s="383"/>
      <c r="N353" s="383"/>
      <c r="O353" s="384"/>
      <c r="P353" s="385"/>
    </row>
    <row r="354" spans="1:16" ht="20">
      <c r="A354" s="386" t="s">
        <v>5917</v>
      </c>
      <c r="B354" s="383" t="s">
        <v>5777</v>
      </c>
      <c r="C354" s="383" t="s">
        <v>5932</v>
      </c>
      <c r="D354" s="383" t="s">
        <v>6585</v>
      </c>
      <c r="E354" s="387" t="s">
        <v>7775</v>
      </c>
      <c r="F354" s="387" t="s">
        <v>7776</v>
      </c>
      <c r="G354" s="388">
        <v>4</v>
      </c>
      <c r="H354" s="383" t="s">
        <v>3611</v>
      </c>
      <c r="I354" s="394" t="s">
        <v>8029</v>
      </c>
      <c r="J354" s="383" t="s">
        <v>5407</v>
      </c>
      <c r="K354" s="383" t="s">
        <v>4</v>
      </c>
      <c r="L354" s="383"/>
      <c r="M354" s="383"/>
      <c r="N354" s="383"/>
      <c r="O354" s="384"/>
      <c r="P354" s="385"/>
    </row>
    <row r="355" spans="1:16" ht="20">
      <c r="A355" s="386" t="s">
        <v>5918</v>
      </c>
      <c r="B355" s="383" t="s">
        <v>5777</v>
      </c>
      <c r="C355" s="383" t="s">
        <v>5932</v>
      </c>
      <c r="D355" s="383" t="s">
        <v>6586</v>
      </c>
      <c r="E355" s="387" t="s">
        <v>7777</v>
      </c>
      <c r="F355" s="387" t="s">
        <v>7778</v>
      </c>
      <c r="G355" s="388">
        <v>3</v>
      </c>
      <c r="H355" s="383" t="s">
        <v>3611</v>
      </c>
      <c r="I355" s="394" t="s">
        <v>8029</v>
      </c>
      <c r="J355" s="383" t="s">
        <v>531</v>
      </c>
      <c r="K355" s="383" t="s">
        <v>4</v>
      </c>
      <c r="L355" s="383"/>
      <c r="M355" s="383"/>
      <c r="N355" s="383"/>
      <c r="O355" s="384"/>
      <c r="P355" s="385"/>
    </row>
    <row r="356" spans="1:16" ht="20">
      <c r="A356" s="386" t="s">
        <v>5919</v>
      </c>
      <c r="B356" s="383" t="s">
        <v>5777</v>
      </c>
      <c r="C356" s="383" t="s">
        <v>5932</v>
      </c>
      <c r="D356" s="383" t="s">
        <v>6587</v>
      </c>
      <c r="E356" s="387" t="s">
        <v>7779</v>
      </c>
      <c r="F356" s="387" t="s">
        <v>7780</v>
      </c>
      <c r="G356" s="388">
        <v>2</v>
      </c>
      <c r="H356" s="383" t="s">
        <v>3611</v>
      </c>
      <c r="I356" s="394" t="s">
        <v>8029</v>
      </c>
      <c r="J356" s="383" t="s">
        <v>5920</v>
      </c>
      <c r="K356" s="383" t="s">
        <v>4</v>
      </c>
      <c r="L356" s="383"/>
      <c r="M356" s="383"/>
      <c r="N356" s="383"/>
      <c r="O356" s="384"/>
      <c r="P356" s="385"/>
    </row>
    <row r="357" spans="1:16" ht="20">
      <c r="A357" s="386" t="s">
        <v>5921</v>
      </c>
      <c r="B357" s="383" t="s">
        <v>5777</v>
      </c>
      <c r="C357" s="383" t="s">
        <v>5933</v>
      </c>
      <c r="D357" s="383" t="s">
        <v>6588</v>
      </c>
      <c r="E357" s="387" t="s">
        <v>7781</v>
      </c>
      <c r="F357" s="387" t="s">
        <v>7782</v>
      </c>
      <c r="G357" s="388">
        <v>4</v>
      </c>
      <c r="H357" s="383" t="s">
        <v>6722</v>
      </c>
      <c r="I357" s="394" t="s">
        <v>8030</v>
      </c>
      <c r="J357" s="383" t="s">
        <v>2236</v>
      </c>
      <c r="K357" s="383" t="s">
        <v>4</v>
      </c>
      <c r="L357" s="383"/>
      <c r="M357" s="383"/>
      <c r="N357" s="383"/>
      <c r="O357" s="384"/>
      <c r="P357" s="385"/>
    </row>
    <row r="358" spans="1:16" ht="20">
      <c r="A358" s="386" t="s">
        <v>5922</v>
      </c>
      <c r="B358" s="383" t="s">
        <v>5777</v>
      </c>
      <c r="C358" s="383" t="s">
        <v>5933</v>
      </c>
      <c r="D358" s="383" t="s">
        <v>6589</v>
      </c>
      <c r="E358" s="387" t="s">
        <v>7783</v>
      </c>
      <c r="F358" s="387" t="s">
        <v>7784</v>
      </c>
      <c r="G358" s="388">
        <v>3</v>
      </c>
      <c r="H358" s="383" t="s">
        <v>6722</v>
      </c>
      <c r="I358" s="394" t="s">
        <v>8030</v>
      </c>
      <c r="J358" s="383" t="s">
        <v>5394</v>
      </c>
      <c r="K358" s="383" t="s">
        <v>4</v>
      </c>
      <c r="L358" s="383"/>
      <c r="M358" s="383"/>
      <c r="N358" s="383"/>
      <c r="O358" s="384"/>
      <c r="P358" s="385"/>
    </row>
    <row r="359" spans="1:16" ht="34">
      <c r="A359" s="386" t="s">
        <v>5923</v>
      </c>
      <c r="B359" s="383" t="s">
        <v>5777</v>
      </c>
      <c r="C359" s="383" t="s">
        <v>5933</v>
      </c>
      <c r="D359" s="383" t="s">
        <v>6590</v>
      </c>
      <c r="E359" s="387" t="s">
        <v>7258</v>
      </c>
      <c r="F359" s="387" t="s">
        <v>7259</v>
      </c>
      <c r="G359" s="388">
        <v>0</v>
      </c>
      <c r="H359" s="383" t="s">
        <v>3611</v>
      </c>
      <c r="I359" s="394" t="s">
        <v>8043</v>
      </c>
      <c r="J359" s="383" t="s">
        <v>5924</v>
      </c>
      <c r="K359" s="383" t="s">
        <v>6599</v>
      </c>
      <c r="L359" s="383"/>
      <c r="M359" s="383"/>
      <c r="N359" s="383"/>
      <c r="O359" s="384"/>
      <c r="P359" s="385"/>
    </row>
    <row r="360" spans="1:16" ht="20">
      <c r="A360" s="386" t="s">
        <v>5925</v>
      </c>
      <c r="B360" s="383" t="s">
        <v>5777</v>
      </c>
      <c r="C360" s="383" t="s">
        <v>5933</v>
      </c>
      <c r="D360" s="383" t="s">
        <v>6591</v>
      </c>
      <c r="E360" s="387" t="s">
        <v>7785</v>
      </c>
      <c r="F360" s="387" t="s">
        <v>7786</v>
      </c>
      <c r="G360" s="388">
        <v>4</v>
      </c>
      <c r="H360" s="383" t="s">
        <v>8224</v>
      </c>
      <c r="I360" s="394" t="s">
        <v>8225</v>
      </c>
      <c r="J360" s="383" t="s">
        <v>5830</v>
      </c>
      <c r="K360" s="383" t="s">
        <v>4</v>
      </c>
      <c r="L360" s="383"/>
      <c r="M360" s="383"/>
      <c r="N360" s="383"/>
      <c r="O360" s="384"/>
      <c r="P360" s="385"/>
    </row>
    <row r="361" spans="1:16" ht="20">
      <c r="A361" s="386" t="s">
        <v>5926</v>
      </c>
      <c r="B361" s="383" t="s">
        <v>5777</v>
      </c>
      <c r="C361" s="383" t="s">
        <v>5933</v>
      </c>
      <c r="D361" s="383" t="s">
        <v>6592</v>
      </c>
      <c r="E361" s="387" t="s">
        <v>7787</v>
      </c>
      <c r="F361" s="387" t="s">
        <v>7788</v>
      </c>
      <c r="G361" s="388">
        <v>4</v>
      </c>
      <c r="H361" s="383" t="s">
        <v>8164</v>
      </c>
      <c r="I361" s="394" t="s">
        <v>8165</v>
      </c>
      <c r="J361" s="383" t="s">
        <v>5913</v>
      </c>
      <c r="K361" s="383" t="s">
        <v>4</v>
      </c>
      <c r="L361" s="383"/>
      <c r="M361" s="383"/>
      <c r="N361" s="383"/>
      <c r="O361" s="384"/>
      <c r="P361" s="385"/>
    </row>
    <row r="362" spans="1:16" ht="20">
      <c r="A362" s="386" t="s">
        <v>5927</v>
      </c>
      <c r="B362" s="383" t="s">
        <v>5777</v>
      </c>
      <c r="C362" s="383" t="s">
        <v>5933</v>
      </c>
      <c r="D362" s="383" t="s">
        <v>6593</v>
      </c>
      <c r="E362" s="387" t="s">
        <v>7789</v>
      </c>
      <c r="F362" s="387" t="s">
        <v>7790</v>
      </c>
      <c r="G362" s="388">
        <v>3</v>
      </c>
      <c r="H362" s="383" t="s">
        <v>8168</v>
      </c>
      <c r="I362" s="394" t="s">
        <v>8169</v>
      </c>
      <c r="J362" s="383" t="s">
        <v>2236</v>
      </c>
      <c r="K362" s="383" t="s">
        <v>4</v>
      </c>
      <c r="L362" s="383"/>
      <c r="M362" s="383"/>
      <c r="N362" s="383"/>
      <c r="O362" s="384"/>
      <c r="P362" s="385"/>
    </row>
    <row r="363" spans="1:16" ht="20">
      <c r="A363" s="386" t="s">
        <v>5928</v>
      </c>
      <c r="B363" s="383" t="s">
        <v>5777</v>
      </c>
      <c r="C363" s="383" t="s">
        <v>5933</v>
      </c>
      <c r="D363" s="383" t="s">
        <v>6594</v>
      </c>
      <c r="E363" s="387" t="s">
        <v>7791</v>
      </c>
      <c r="F363" s="387" t="s">
        <v>7792</v>
      </c>
      <c r="G363" s="388">
        <v>2</v>
      </c>
      <c r="H363" s="383" t="s">
        <v>8120</v>
      </c>
      <c r="I363" s="394" t="s">
        <v>8121</v>
      </c>
      <c r="J363" s="383" t="s">
        <v>2236</v>
      </c>
      <c r="K363" s="383" t="s">
        <v>4</v>
      </c>
      <c r="L363" s="383"/>
      <c r="M363" s="383"/>
      <c r="N363" s="383"/>
      <c r="O363" s="384"/>
      <c r="P363" s="385"/>
    </row>
    <row r="364" spans="1:16" ht="20">
      <c r="A364" s="386" t="s">
        <v>5929</v>
      </c>
      <c r="B364" s="383" t="s">
        <v>5777</v>
      </c>
      <c r="C364" s="383" t="s">
        <v>5933</v>
      </c>
      <c r="D364" s="383" t="s">
        <v>6595</v>
      </c>
      <c r="E364" s="387" t="s">
        <v>7793</v>
      </c>
      <c r="F364" s="387" t="s">
        <v>7794</v>
      </c>
      <c r="G364" s="388">
        <v>2</v>
      </c>
      <c r="H364" s="383" t="s">
        <v>8160</v>
      </c>
      <c r="I364" s="394" t="s">
        <v>8161</v>
      </c>
      <c r="J364" s="383" t="s">
        <v>5890</v>
      </c>
      <c r="K364" s="383" t="s">
        <v>4</v>
      </c>
      <c r="L364" s="383"/>
      <c r="M364" s="383"/>
      <c r="N364" s="383"/>
      <c r="O364" s="384"/>
      <c r="P364" s="385"/>
    </row>
    <row r="365" spans="1:16" ht="34">
      <c r="A365" s="386" t="s">
        <v>5930</v>
      </c>
      <c r="B365" s="383" t="s">
        <v>5777</v>
      </c>
      <c r="C365" s="383" t="s">
        <v>5933</v>
      </c>
      <c r="D365" s="383" t="s">
        <v>6596</v>
      </c>
      <c r="E365" s="387" t="s">
        <v>7795</v>
      </c>
      <c r="F365" s="387" t="s">
        <v>7796</v>
      </c>
      <c r="G365" s="388">
        <v>3</v>
      </c>
      <c r="H365" s="383" t="s">
        <v>6722</v>
      </c>
      <c r="I365" s="394" t="s">
        <v>8030</v>
      </c>
      <c r="J365" s="383" t="s">
        <v>2236</v>
      </c>
      <c r="K365" s="383" t="s">
        <v>4</v>
      </c>
      <c r="L365" s="383"/>
      <c r="M365" s="383"/>
      <c r="N365" s="383"/>
      <c r="O365" s="384"/>
      <c r="P365" s="385"/>
    </row>
    <row r="366" spans="1:16" ht="34">
      <c r="A366" s="386" t="s">
        <v>6600</v>
      </c>
      <c r="B366" s="383" t="s">
        <v>5777</v>
      </c>
      <c r="C366" s="383" t="s">
        <v>6601</v>
      </c>
      <c r="D366" s="383" t="s">
        <v>6602</v>
      </c>
      <c r="E366" s="387" t="s">
        <v>7260</v>
      </c>
      <c r="F366" s="387" t="s">
        <v>7261</v>
      </c>
      <c r="G366" s="388">
        <v>1</v>
      </c>
      <c r="H366" s="383" t="s">
        <v>6722</v>
      </c>
      <c r="I366" s="394" t="s">
        <v>8030</v>
      </c>
      <c r="J366" s="383" t="s">
        <v>2236</v>
      </c>
      <c r="K366" s="383" t="s">
        <v>4</v>
      </c>
      <c r="L366" s="383" t="s">
        <v>6603</v>
      </c>
      <c r="M366" s="383"/>
      <c r="N366" s="383"/>
      <c r="O366" s="384"/>
      <c r="P366" s="385"/>
    </row>
    <row r="367" spans="1:16" ht="34">
      <c r="A367" s="386" t="s">
        <v>6604</v>
      </c>
      <c r="B367" s="383" t="s">
        <v>5777</v>
      </c>
      <c r="C367" s="383" t="s">
        <v>6601</v>
      </c>
      <c r="D367" s="383" t="s">
        <v>6605</v>
      </c>
      <c r="E367" s="387" t="s">
        <v>7262</v>
      </c>
      <c r="F367" s="387" t="s">
        <v>7263</v>
      </c>
      <c r="G367" s="388">
        <v>2</v>
      </c>
      <c r="H367" s="383" t="s">
        <v>6722</v>
      </c>
      <c r="I367" s="394" t="s">
        <v>8030</v>
      </c>
      <c r="J367" s="383" t="s">
        <v>2236</v>
      </c>
      <c r="K367" s="383" t="s">
        <v>4</v>
      </c>
      <c r="L367" s="383" t="s">
        <v>6603</v>
      </c>
      <c r="M367" s="383"/>
      <c r="N367" s="383"/>
      <c r="O367" s="384"/>
      <c r="P367" s="385"/>
    </row>
    <row r="368" spans="1:16" ht="20">
      <c r="A368" s="386" t="s">
        <v>6606</v>
      </c>
      <c r="B368" s="383" t="s">
        <v>5777</v>
      </c>
      <c r="C368" s="383" t="s">
        <v>6601</v>
      </c>
      <c r="D368" s="383" t="s">
        <v>6607</v>
      </c>
      <c r="E368" s="387" t="s">
        <v>7264</v>
      </c>
      <c r="F368" s="387" t="s">
        <v>7265</v>
      </c>
      <c r="G368" s="388">
        <v>1</v>
      </c>
      <c r="H368" s="383" t="s">
        <v>6722</v>
      </c>
      <c r="I368" s="394" t="s">
        <v>8030</v>
      </c>
      <c r="J368" s="383" t="s">
        <v>2236</v>
      </c>
      <c r="K368" s="383" t="s">
        <v>4</v>
      </c>
      <c r="L368" s="383" t="s">
        <v>6603</v>
      </c>
      <c r="M368" s="383"/>
      <c r="N368" s="383"/>
      <c r="O368" s="384"/>
      <c r="P368" s="385"/>
    </row>
    <row r="369" spans="1:16" ht="34">
      <c r="A369" s="386" t="s">
        <v>6608</v>
      </c>
      <c r="B369" s="383" t="s">
        <v>5777</v>
      </c>
      <c r="C369" s="383" t="s">
        <v>6601</v>
      </c>
      <c r="D369" s="383" t="s">
        <v>6609</v>
      </c>
      <c r="E369" s="387" t="s">
        <v>7266</v>
      </c>
      <c r="F369" s="387" t="s">
        <v>7267</v>
      </c>
      <c r="G369" s="388">
        <v>3</v>
      </c>
      <c r="H369" s="383" t="s">
        <v>6722</v>
      </c>
      <c r="I369" s="394" t="s">
        <v>8030</v>
      </c>
      <c r="J369" s="383" t="s">
        <v>2236</v>
      </c>
      <c r="K369" s="383" t="s">
        <v>4</v>
      </c>
      <c r="L369" s="383" t="s">
        <v>6603</v>
      </c>
      <c r="M369" s="383" t="s">
        <v>6610</v>
      </c>
      <c r="N369" s="383"/>
      <c r="O369" s="384"/>
      <c r="P369" s="385"/>
    </row>
    <row r="370" spans="1:16" ht="20">
      <c r="A370" s="386" t="s">
        <v>6611</v>
      </c>
      <c r="B370" s="383" t="s">
        <v>5777</v>
      </c>
      <c r="C370" s="383" t="s">
        <v>6601</v>
      </c>
      <c r="D370" s="383" t="s">
        <v>6612</v>
      </c>
      <c r="E370" s="387" t="s">
        <v>7268</v>
      </c>
      <c r="F370" s="387" t="s">
        <v>7269</v>
      </c>
      <c r="G370" s="388">
        <v>2</v>
      </c>
      <c r="H370" s="383" t="s">
        <v>6722</v>
      </c>
      <c r="I370" s="394" t="s">
        <v>8030</v>
      </c>
      <c r="J370" s="383" t="s">
        <v>2236</v>
      </c>
      <c r="K370" s="383" t="s">
        <v>4</v>
      </c>
      <c r="L370" s="383" t="s">
        <v>6613</v>
      </c>
      <c r="M370" s="383" t="s">
        <v>6610</v>
      </c>
      <c r="N370" s="383"/>
      <c r="O370" s="384"/>
      <c r="P370" s="385"/>
    </row>
    <row r="371" spans="1:16" ht="34">
      <c r="A371" s="386" t="s">
        <v>6614</v>
      </c>
      <c r="B371" s="383" t="s">
        <v>5777</v>
      </c>
      <c r="C371" s="383" t="s">
        <v>6601</v>
      </c>
      <c r="D371" s="383" t="s">
        <v>6615</v>
      </c>
      <c r="E371" s="387" t="s">
        <v>7270</v>
      </c>
      <c r="F371" s="387" t="s">
        <v>7271</v>
      </c>
      <c r="G371" s="388">
        <v>2</v>
      </c>
      <c r="H371" s="383" t="s">
        <v>6722</v>
      </c>
      <c r="I371" s="394" t="s">
        <v>8030</v>
      </c>
      <c r="J371" s="383" t="s">
        <v>2236</v>
      </c>
      <c r="K371" s="383" t="s">
        <v>4</v>
      </c>
      <c r="L371" s="383" t="s">
        <v>6613</v>
      </c>
      <c r="M371" s="383" t="s">
        <v>6610</v>
      </c>
      <c r="N371" s="383"/>
      <c r="O371" s="384"/>
      <c r="P371" s="385"/>
    </row>
    <row r="372" spans="1:16" ht="34">
      <c r="A372" s="386" t="s">
        <v>6616</v>
      </c>
      <c r="B372" s="383" t="s">
        <v>5777</v>
      </c>
      <c r="C372" s="383" t="s">
        <v>6601</v>
      </c>
      <c r="D372" s="383" t="s">
        <v>6617</v>
      </c>
      <c r="E372" s="387" t="s">
        <v>7272</v>
      </c>
      <c r="F372" s="387" t="s">
        <v>7273</v>
      </c>
      <c r="G372" s="388">
        <v>2</v>
      </c>
      <c r="H372" s="383" t="s">
        <v>6722</v>
      </c>
      <c r="I372" s="394" t="s">
        <v>8030</v>
      </c>
      <c r="J372" s="383" t="s">
        <v>2236</v>
      </c>
      <c r="K372" s="383" t="s">
        <v>4</v>
      </c>
      <c r="L372" s="383" t="s">
        <v>6613</v>
      </c>
      <c r="M372" s="383" t="s">
        <v>6618</v>
      </c>
      <c r="N372" s="383"/>
      <c r="O372" s="384"/>
      <c r="P372" s="385"/>
    </row>
    <row r="373" spans="1:16" ht="20">
      <c r="A373" s="386" t="s">
        <v>6619</v>
      </c>
      <c r="B373" s="383" t="s">
        <v>5777</v>
      </c>
      <c r="C373" s="383" t="s">
        <v>6601</v>
      </c>
      <c r="D373" s="383" t="s">
        <v>6620</v>
      </c>
      <c r="E373" s="387" t="s">
        <v>7274</v>
      </c>
      <c r="F373" s="387" t="s">
        <v>7275</v>
      </c>
      <c r="G373" s="388">
        <v>2</v>
      </c>
      <c r="H373" s="383" t="s">
        <v>6722</v>
      </c>
      <c r="I373" s="394" t="s">
        <v>8030</v>
      </c>
      <c r="J373" s="383" t="s">
        <v>2236</v>
      </c>
      <c r="K373" s="383" t="s">
        <v>4</v>
      </c>
      <c r="L373" s="383" t="s">
        <v>6613</v>
      </c>
      <c r="M373" s="383" t="s">
        <v>6610</v>
      </c>
      <c r="N373" s="383"/>
      <c r="O373" s="384"/>
      <c r="P373" s="385"/>
    </row>
    <row r="374" spans="1:16" ht="20">
      <c r="A374" s="386" t="s">
        <v>6621</v>
      </c>
      <c r="B374" s="383" t="s">
        <v>5777</v>
      </c>
      <c r="C374" s="383" t="s">
        <v>6601</v>
      </c>
      <c r="D374" s="383" t="s">
        <v>6622</v>
      </c>
      <c r="E374" s="387" t="s">
        <v>7276</v>
      </c>
      <c r="F374" s="387" t="s">
        <v>7277</v>
      </c>
      <c r="G374" s="388">
        <v>3</v>
      </c>
      <c r="H374" s="383" t="s">
        <v>8044</v>
      </c>
      <c r="I374" s="394" t="s">
        <v>8045</v>
      </c>
      <c r="J374" s="383" t="s">
        <v>2236</v>
      </c>
      <c r="K374" s="383" t="s">
        <v>4</v>
      </c>
      <c r="L374" s="383" t="s">
        <v>6623</v>
      </c>
      <c r="M374" s="383" t="s">
        <v>6618</v>
      </c>
      <c r="N374" s="383"/>
      <c r="O374" s="384"/>
      <c r="P374" s="385"/>
    </row>
    <row r="375" spans="1:16" ht="34">
      <c r="A375" s="386" t="s">
        <v>6624</v>
      </c>
      <c r="B375" s="383" t="s">
        <v>5777</v>
      </c>
      <c r="C375" s="383" t="s">
        <v>6601</v>
      </c>
      <c r="D375" s="383" t="s">
        <v>6625</v>
      </c>
      <c r="E375" s="387" t="s">
        <v>7278</v>
      </c>
      <c r="F375" s="387" t="s">
        <v>7279</v>
      </c>
      <c r="G375" s="388">
        <v>3</v>
      </c>
      <c r="H375" s="383" t="s">
        <v>8044</v>
      </c>
      <c r="I375" s="394" t="s">
        <v>8045</v>
      </c>
      <c r="J375" s="383" t="s">
        <v>2236</v>
      </c>
      <c r="K375" s="383" t="s">
        <v>4</v>
      </c>
      <c r="L375" s="383" t="s">
        <v>6623</v>
      </c>
      <c r="M375" s="383" t="s">
        <v>6618</v>
      </c>
      <c r="N375" s="383"/>
      <c r="O375" s="384"/>
      <c r="P375" s="385"/>
    </row>
    <row r="376" spans="1:16" ht="20">
      <c r="A376" s="386" t="s">
        <v>6626</v>
      </c>
      <c r="B376" s="383" t="s">
        <v>5777</v>
      </c>
      <c r="C376" s="383" t="s">
        <v>6601</v>
      </c>
      <c r="D376" s="383" t="s">
        <v>6627</v>
      </c>
      <c r="E376" s="387" t="s">
        <v>7280</v>
      </c>
      <c r="F376" s="387" t="s">
        <v>7281</v>
      </c>
      <c r="G376" s="388">
        <v>2</v>
      </c>
      <c r="H376" s="383" t="s">
        <v>3611</v>
      </c>
      <c r="I376" s="394" t="s">
        <v>8046</v>
      </c>
      <c r="J376" s="383" t="s">
        <v>2236</v>
      </c>
      <c r="K376" s="383" t="s">
        <v>4</v>
      </c>
      <c r="L376" s="383" t="s">
        <v>6623</v>
      </c>
      <c r="M376" s="383" t="s">
        <v>6628</v>
      </c>
      <c r="N376" s="383"/>
      <c r="O376" s="384"/>
      <c r="P376" s="385"/>
    </row>
    <row r="377" spans="1:16" ht="20">
      <c r="A377" s="386" t="s">
        <v>6629</v>
      </c>
      <c r="B377" s="383" t="s">
        <v>5777</v>
      </c>
      <c r="C377" s="383" t="s">
        <v>6601</v>
      </c>
      <c r="D377" s="383" t="s">
        <v>6630</v>
      </c>
      <c r="E377" s="387" t="s">
        <v>7282</v>
      </c>
      <c r="F377" s="387" t="s">
        <v>7283</v>
      </c>
      <c r="G377" s="388">
        <v>2</v>
      </c>
      <c r="H377" s="383" t="s">
        <v>8047</v>
      </c>
      <c r="I377" s="394" t="s">
        <v>8048</v>
      </c>
      <c r="J377" s="383" t="s">
        <v>2236</v>
      </c>
      <c r="K377" s="383" t="s">
        <v>4</v>
      </c>
      <c r="L377" s="383" t="s">
        <v>6623</v>
      </c>
      <c r="M377" s="383" t="s">
        <v>6610</v>
      </c>
      <c r="N377" s="383"/>
      <c r="O377" s="384"/>
      <c r="P377" s="385"/>
    </row>
    <row r="378" spans="1:16" ht="20">
      <c r="A378" s="386" t="s">
        <v>6631</v>
      </c>
      <c r="B378" s="383" t="s">
        <v>5777</v>
      </c>
      <c r="C378" s="383" t="s">
        <v>6601</v>
      </c>
      <c r="D378" s="383" t="s">
        <v>6632</v>
      </c>
      <c r="E378" s="387" t="s">
        <v>7284</v>
      </c>
      <c r="F378" s="387" t="s">
        <v>7285</v>
      </c>
      <c r="G378" s="388">
        <v>3</v>
      </c>
      <c r="H378" s="383" t="s">
        <v>8049</v>
      </c>
      <c r="I378" s="394" t="s">
        <v>8050</v>
      </c>
      <c r="J378" s="383" t="s">
        <v>2236</v>
      </c>
      <c r="K378" s="383" t="s">
        <v>4</v>
      </c>
      <c r="L378" s="383" t="s">
        <v>6623</v>
      </c>
      <c r="M378" s="383" t="s">
        <v>6610</v>
      </c>
      <c r="N378" s="383"/>
      <c r="O378" s="384"/>
      <c r="P378" s="385"/>
    </row>
    <row r="379" spans="1:16" ht="34">
      <c r="A379" s="386" t="s">
        <v>6633</v>
      </c>
      <c r="B379" s="383" t="s">
        <v>5777</v>
      </c>
      <c r="C379" s="383" t="s">
        <v>6601</v>
      </c>
      <c r="D379" s="383" t="s">
        <v>6634</v>
      </c>
      <c r="E379" s="387" t="s">
        <v>7286</v>
      </c>
      <c r="F379" s="387" t="s">
        <v>7287</v>
      </c>
      <c r="G379" s="388">
        <v>2</v>
      </c>
      <c r="H379" s="383" t="s">
        <v>8044</v>
      </c>
      <c r="I379" s="394" t="s">
        <v>8045</v>
      </c>
      <c r="J379" s="383" t="s">
        <v>2236</v>
      </c>
      <c r="K379" s="383" t="s">
        <v>4</v>
      </c>
      <c r="L379" s="383" t="s">
        <v>6635</v>
      </c>
      <c r="M379" s="383" t="s">
        <v>6618</v>
      </c>
      <c r="N379" s="383"/>
      <c r="O379" s="384"/>
      <c r="P379" s="385"/>
    </row>
    <row r="380" spans="1:16" ht="20">
      <c r="A380" s="386" t="s">
        <v>6636</v>
      </c>
      <c r="B380" s="383" t="s">
        <v>5777</v>
      </c>
      <c r="C380" s="383" t="s">
        <v>6601</v>
      </c>
      <c r="D380" s="383" t="s">
        <v>6637</v>
      </c>
      <c r="E380" s="387" t="s">
        <v>7288</v>
      </c>
      <c r="F380" s="387" t="s">
        <v>7289</v>
      </c>
      <c r="G380" s="388">
        <v>2</v>
      </c>
      <c r="H380" s="383" t="s">
        <v>8044</v>
      </c>
      <c r="I380" s="394" t="s">
        <v>8045</v>
      </c>
      <c r="J380" s="383" t="s">
        <v>2236</v>
      </c>
      <c r="K380" s="383" t="s">
        <v>4</v>
      </c>
      <c r="L380" s="383" t="s">
        <v>6635</v>
      </c>
      <c r="M380" s="383" t="s">
        <v>6618</v>
      </c>
      <c r="N380" s="383"/>
      <c r="O380" s="384"/>
      <c r="P380" s="385"/>
    </row>
    <row r="381" spans="1:16" ht="34">
      <c r="A381" s="386" t="s">
        <v>6638</v>
      </c>
      <c r="B381" s="383" t="s">
        <v>5777</v>
      </c>
      <c r="C381" s="383" t="s">
        <v>6601</v>
      </c>
      <c r="D381" s="383" t="s">
        <v>6639</v>
      </c>
      <c r="E381" s="387" t="s">
        <v>7290</v>
      </c>
      <c r="F381" s="387" t="s">
        <v>7291</v>
      </c>
      <c r="G381" s="388">
        <v>4</v>
      </c>
      <c r="H381" s="383" t="s">
        <v>8044</v>
      </c>
      <c r="I381" s="394" t="s">
        <v>8045</v>
      </c>
      <c r="J381" s="383" t="s">
        <v>2236</v>
      </c>
      <c r="K381" s="383" t="s">
        <v>4</v>
      </c>
      <c r="L381" s="383" t="s">
        <v>6635</v>
      </c>
      <c r="M381" s="383" t="s">
        <v>6618</v>
      </c>
      <c r="N381" s="383"/>
      <c r="O381" s="384"/>
      <c r="P381" s="385"/>
    </row>
    <row r="382" spans="1:16" ht="34">
      <c r="A382" s="386" t="s">
        <v>6640</v>
      </c>
      <c r="B382" s="383" t="s">
        <v>5777</v>
      </c>
      <c r="C382" s="383" t="s">
        <v>6601</v>
      </c>
      <c r="D382" s="383" t="s">
        <v>6641</v>
      </c>
      <c r="E382" s="387" t="s">
        <v>7292</v>
      </c>
      <c r="F382" s="387" t="s">
        <v>7293</v>
      </c>
      <c r="G382" s="388">
        <v>2</v>
      </c>
      <c r="H382" s="383" t="s">
        <v>8044</v>
      </c>
      <c r="I382" s="394" t="s">
        <v>8045</v>
      </c>
      <c r="J382" s="383" t="s">
        <v>2236</v>
      </c>
      <c r="K382" s="383" t="s">
        <v>4</v>
      </c>
      <c r="L382" s="383" t="s">
        <v>6635</v>
      </c>
      <c r="M382" s="383" t="s">
        <v>6618</v>
      </c>
      <c r="N382" s="383"/>
      <c r="O382" s="384"/>
      <c r="P382" s="385"/>
    </row>
    <row r="383" spans="1:16" ht="34">
      <c r="A383" s="386" t="s">
        <v>6642</v>
      </c>
      <c r="B383" s="383" t="s">
        <v>5777</v>
      </c>
      <c r="C383" s="383" t="s">
        <v>6601</v>
      </c>
      <c r="D383" s="383" t="s">
        <v>6643</v>
      </c>
      <c r="E383" s="387" t="s">
        <v>7294</v>
      </c>
      <c r="F383" s="387" t="s">
        <v>7295</v>
      </c>
      <c r="G383" s="388">
        <v>3</v>
      </c>
      <c r="H383" s="383" t="s">
        <v>8044</v>
      </c>
      <c r="I383" s="394" t="s">
        <v>8045</v>
      </c>
      <c r="J383" s="383" t="s">
        <v>2236</v>
      </c>
      <c r="K383" s="383" t="s">
        <v>4</v>
      </c>
      <c r="L383" s="383" t="s">
        <v>6635</v>
      </c>
      <c r="M383" s="383" t="s">
        <v>6618</v>
      </c>
      <c r="N383" s="383"/>
      <c r="O383" s="384"/>
      <c r="P383" s="385"/>
    </row>
    <row r="384" spans="1:16" ht="34">
      <c r="A384" s="386" t="s">
        <v>6644</v>
      </c>
      <c r="B384" s="383" t="s">
        <v>5777</v>
      </c>
      <c r="C384" s="383" t="s">
        <v>6601</v>
      </c>
      <c r="D384" s="383" t="s">
        <v>6645</v>
      </c>
      <c r="E384" s="387" t="s">
        <v>7296</v>
      </c>
      <c r="F384" s="387" t="s">
        <v>7297</v>
      </c>
      <c r="G384" s="388">
        <v>3</v>
      </c>
      <c r="H384" s="383" t="s">
        <v>8035</v>
      </c>
      <c r="I384" s="394" t="s">
        <v>8036</v>
      </c>
      <c r="J384" s="383" t="s">
        <v>2236</v>
      </c>
      <c r="K384" s="383" t="s">
        <v>4</v>
      </c>
      <c r="L384" s="383" t="s">
        <v>6635</v>
      </c>
      <c r="M384" s="383" t="s">
        <v>6618</v>
      </c>
      <c r="N384" s="383"/>
      <c r="O384" s="384"/>
      <c r="P384" s="385"/>
    </row>
    <row r="385" spans="1:16" ht="34">
      <c r="A385" s="386" t="s">
        <v>6646</v>
      </c>
      <c r="B385" s="383" t="s">
        <v>5777</v>
      </c>
      <c r="C385" s="383" t="s">
        <v>6601</v>
      </c>
      <c r="D385" s="383" t="s">
        <v>6647</v>
      </c>
      <c r="E385" s="387" t="s">
        <v>7298</v>
      </c>
      <c r="F385" s="387" t="s">
        <v>7299</v>
      </c>
      <c r="G385" s="388">
        <v>3</v>
      </c>
      <c r="H385" s="383" t="s">
        <v>8051</v>
      </c>
      <c r="I385" s="394" t="s">
        <v>8052</v>
      </c>
      <c r="J385" s="383" t="s">
        <v>2236</v>
      </c>
      <c r="K385" s="383" t="s">
        <v>4</v>
      </c>
      <c r="L385" s="383" t="s">
        <v>6635</v>
      </c>
      <c r="M385" s="383" t="s">
        <v>6618</v>
      </c>
      <c r="N385" s="383"/>
      <c r="O385" s="384"/>
      <c r="P385" s="385"/>
    </row>
    <row r="386" spans="1:16" ht="20">
      <c r="A386" s="386" t="s">
        <v>6648</v>
      </c>
      <c r="B386" s="383" t="s">
        <v>5777</v>
      </c>
      <c r="C386" s="383" t="s">
        <v>6601</v>
      </c>
      <c r="D386" s="383" t="s">
        <v>1474</v>
      </c>
      <c r="E386" s="387" t="s">
        <v>7300</v>
      </c>
      <c r="F386" s="387" t="s">
        <v>7301</v>
      </c>
      <c r="G386" s="388">
        <v>2</v>
      </c>
      <c r="H386" s="383" t="s">
        <v>8044</v>
      </c>
      <c r="I386" s="394" t="s">
        <v>8053</v>
      </c>
      <c r="J386" s="383" t="s">
        <v>2236</v>
      </c>
      <c r="K386" s="383" t="s">
        <v>4</v>
      </c>
      <c r="L386" s="383" t="s">
        <v>6635</v>
      </c>
      <c r="M386" s="383" t="s">
        <v>6610</v>
      </c>
      <c r="N386" s="383"/>
      <c r="O386" s="384"/>
      <c r="P386" s="385"/>
    </row>
    <row r="387" spans="1:16" ht="34">
      <c r="A387" s="386" t="s">
        <v>6649</v>
      </c>
      <c r="B387" s="383" t="s">
        <v>5777</v>
      </c>
      <c r="C387" s="383" t="s">
        <v>6601</v>
      </c>
      <c r="D387" s="383" t="s">
        <v>6650</v>
      </c>
      <c r="E387" s="387" t="s">
        <v>7302</v>
      </c>
      <c r="F387" s="387" t="s">
        <v>7303</v>
      </c>
      <c r="G387" s="388">
        <v>2</v>
      </c>
      <c r="H387" s="383" t="s">
        <v>8044</v>
      </c>
      <c r="I387" s="394" t="s">
        <v>8053</v>
      </c>
      <c r="J387" s="383" t="s">
        <v>2236</v>
      </c>
      <c r="K387" s="383" t="s">
        <v>4</v>
      </c>
      <c r="L387" s="383" t="s">
        <v>6635</v>
      </c>
      <c r="M387" s="383" t="s">
        <v>6618</v>
      </c>
      <c r="N387" s="383"/>
      <c r="O387" s="384"/>
      <c r="P387" s="385"/>
    </row>
    <row r="388" spans="1:16" ht="34">
      <c r="A388" s="386" t="s">
        <v>6651</v>
      </c>
      <c r="B388" s="383" t="s">
        <v>5777</v>
      </c>
      <c r="C388" s="383" t="s">
        <v>6601</v>
      </c>
      <c r="D388" s="383" t="s">
        <v>6652</v>
      </c>
      <c r="E388" s="387" t="s">
        <v>7304</v>
      </c>
      <c r="F388" s="387" t="s">
        <v>7305</v>
      </c>
      <c r="G388" s="388">
        <v>3</v>
      </c>
      <c r="H388" s="383" t="s">
        <v>8044</v>
      </c>
      <c r="I388" s="394" t="s">
        <v>8053</v>
      </c>
      <c r="J388" s="383" t="s">
        <v>2236</v>
      </c>
      <c r="K388" s="383" t="s">
        <v>4</v>
      </c>
      <c r="L388" s="383" t="s">
        <v>6635</v>
      </c>
      <c r="M388" s="383" t="s">
        <v>6618</v>
      </c>
      <c r="N388" s="383"/>
      <c r="O388" s="384"/>
      <c r="P388" s="385"/>
    </row>
    <row r="389" spans="1:16" ht="34">
      <c r="A389" s="386" t="s">
        <v>6653</v>
      </c>
      <c r="B389" s="383" t="s">
        <v>5777</v>
      </c>
      <c r="C389" s="383" t="s">
        <v>6601</v>
      </c>
      <c r="D389" s="383" t="s">
        <v>6654</v>
      </c>
      <c r="E389" s="387" t="s">
        <v>7306</v>
      </c>
      <c r="F389" s="387" t="s">
        <v>7307</v>
      </c>
      <c r="G389" s="388">
        <v>2</v>
      </c>
      <c r="H389" s="383" t="s">
        <v>8044</v>
      </c>
      <c r="I389" s="394" t="s">
        <v>8045</v>
      </c>
      <c r="J389" s="383" t="s">
        <v>2236</v>
      </c>
      <c r="K389" s="383" t="s">
        <v>4</v>
      </c>
      <c r="L389" s="383" t="s">
        <v>6635</v>
      </c>
      <c r="M389" s="383" t="s">
        <v>6618</v>
      </c>
      <c r="N389" s="383"/>
      <c r="O389" s="384"/>
      <c r="P389" s="385"/>
    </row>
    <row r="390" spans="1:16" ht="34">
      <c r="A390" s="386" t="s">
        <v>6655</v>
      </c>
      <c r="B390" s="383" t="s">
        <v>5777</v>
      </c>
      <c r="C390" s="383" t="s">
        <v>6601</v>
      </c>
      <c r="D390" s="383" t="s">
        <v>6656</v>
      </c>
      <c r="E390" s="387" t="s">
        <v>7308</v>
      </c>
      <c r="F390" s="387" t="s">
        <v>7309</v>
      </c>
      <c r="G390" s="388">
        <v>2</v>
      </c>
      <c r="H390" s="383" t="s">
        <v>8054</v>
      </c>
      <c r="I390" s="394" t="s">
        <v>8055</v>
      </c>
      <c r="J390" s="383" t="s">
        <v>2236</v>
      </c>
      <c r="K390" s="383" t="s">
        <v>4</v>
      </c>
      <c r="L390" s="383" t="s">
        <v>6635</v>
      </c>
      <c r="M390" s="383" t="s">
        <v>6628</v>
      </c>
      <c r="N390" s="383"/>
      <c r="O390" s="384"/>
      <c r="P390" s="385"/>
    </row>
    <row r="391" spans="1:16" ht="20">
      <c r="A391" s="386" t="s">
        <v>6657</v>
      </c>
      <c r="B391" s="383" t="s">
        <v>5777</v>
      </c>
      <c r="C391" s="383" t="s">
        <v>6601</v>
      </c>
      <c r="D391" s="383" t="s">
        <v>6658</v>
      </c>
      <c r="E391" s="387" t="s">
        <v>7310</v>
      </c>
      <c r="F391" s="387" t="s">
        <v>7311</v>
      </c>
      <c r="G391" s="388">
        <v>2</v>
      </c>
      <c r="H391" s="383" t="s">
        <v>6722</v>
      </c>
      <c r="I391" s="394" t="s">
        <v>8030</v>
      </c>
      <c r="J391" s="383" t="s">
        <v>2236</v>
      </c>
      <c r="K391" s="383" t="s">
        <v>4</v>
      </c>
      <c r="L391" s="383" t="s">
        <v>6659</v>
      </c>
      <c r="M391" s="383" t="s">
        <v>6618</v>
      </c>
      <c r="N391" s="383"/>
      <c r="O391" s="384"/>
      <c r="P391" s="385"/>
    </row>
    <row r="392" spans="1:16" ht="34">
      <c r="A392" s="386" t="s">
        <v>6660</v>
      </c>
      <c r="B392" s="383" t="s">
        <v>5777</v>
      </c>
      <c r="C392" s="383" t="s">
        <v>6601</v>
      </c>
      <c r="D392" s="383" t="s">
        <v>6661</v>
      </c>
      <c r="E392" s="387" t="s">
        <v>7312</v>
      </c>
      <c r="F392" s="387" t="s">
        <v>7313</v>
      </c>
      <c r="G392" s="388">
        <v>2</v>
      </c>
      <c r="H392" s="383" t="s">
        <v>6722</v>
      </c>
      <c r="I392" s="394" t="s">
        <v>8030</v>
      </c>
      <c r="J392" s="383" t="s">
        <v>2236</v>
      </c>
      <c r="K392" s="383" t="s">
        <v>4</v>
      </c>
      <c r="L392" s="383" t="s">
        <v>6659</v>
      </c>
      <c r="M392" s="383" t="s">
        <v>6610</v>
      </c>
      <c r="N392" s="383"/>
      <c r="O392" s="384"/>
      <c r="P392" s="385"/>
    </row>
    <row r="393" spans="1:16" ht="34">
      <c r="A393" s="386" t="s">
        <v>6662</v>
      </c>
      <c r="B393" s="383" t="s">
        <v>5777</v>
      </c>
      <c r="C393" s="383" t="s">
        <v>6601</v>
      </c>
      <c r="D393" s="383" t="s">
        <v>6663</v>
      </c>
      <c r="E393" s="387" t="s">
        <v>7314</v>
      </c>
      <c r="F393" s="387" t="s">
        <v>7315</v>
      </c>
      <c r="G393" s="388">
        <v>3</v>
      </c>
      <c r="H393" s="383" t="s">
        <v>6722</v>
      </c>
      <c r="I393" s="394" t="s">
        <v>8030</v>
      </c>
      <c r="J393" s="383" t="s">
        <v>2236</v>
      </c>
      <c r="K393" s="383" t="s">
        <v>4</v>
      </c>
      <c r="L393" s="383" t="s">
        <v>6659</v>
      </c>
      <c r="M393" s="383" t="s">
        <v>6618</v>
      </c>
      <c r="N393" s="383"/>
      <c r="O393" s="384"/>
      <c r="P393" s="385"/>
    </row>
    <row r="394" spans="1:16" ht="34">
      <c r="A394" s="386" t="s">
        <v>6664</v>
      </c>
      <c r="B394" s="383" t="s">
        <v>5777</v>
      </c>
      <c r="C394" s="383" t="s">
        <v>6601</v>
      </c>
      <c r="D394" s="383" t="s">
        <v>6665</v>
      </c>
      <c r="E394" s="387" t="s">
        <v>7316</v>
      </c>
      <c r="F394" s="387" t="s">
        <v>7317</v>
      </c>
      <c r="G394" s="388">
        <v>1</v>
      </c>
      <c r="H394" s="383" t="s">
        <v>6722</v>
      </c>
      <c r="I394" s="394" t="s">
        <v>8030</v>
      </c>
      <c r="J394" s="383" t="s">
        <v>2236</v>
      </c>
      <c r="K394" s="383" t="s">
        <v>4</v>
      </c>
      <c r="L394" s="383" t="s">
        <v>6659</v>
      </c>
      <c r="M394" s="383" t="s">
        <v>6610</v>
      </c>
      <c r="N394" s="383"/>
      <c r="O394" s="384"/>
      <c r="P394" s="385"/>
    </row>
    <row r="395" spans="1:16" ht="34">
      <c r="A395" s="386" t="s">
        <v>6666</v>
      </c>
      <c r="B395" s="383" t="s">
        <v>5777</v>
      </c>
      <c r="C395" s="383" t="s">
        <v>6601</v>
      </c>
      <c r="D395" s="383" t="s">
        <v>6667</v>
      </c>
      <c r="E395" s="387" t="s">
        <v>7318</v>
      </c>
      <c r="F395" s="387" t="s">
        <v>7319</v>
      </c>
      <c r="G395" s="388">
        <v>3</v>
      </c>
      <c r="H395" s="383" t="s">
        <v>6722</v>
      </c>
      <c r="I395" s="394" t="s">
        <v>8030</v>
      </c>
      <c r="J395" s="383" t="s">
        <v>2236</v>
      </c>
      <c r="K395" s="383" t="s">
        <v>4</v>
      </c>
      <c r="L395" s="383" t="s">
        <v>6668</v>
      </c>
      <c r="M395" s="383" t="s">
        <v>6610</v>
      </c>
      <c r="N395" s="383"/>
      <c r="O395" s="384"/>
      <c r="P395" s="385"/>
    </row>
    <row r="396" spans="1:16" ht="20">
      <c r="A396" s="386" t="s">
        <v>6669</v>
      </c>
      <c r="B396" s="383" t="s">
        <v>5777</v>
      </c>
      <c r="C396" s="383" t="s">
        <v>6601</v>
      </c>
      <c r="D396" s="383" t="s">
        <v>6670</v>
      </c>
      <c r="E396" s="387" t="s">
        <v>7320</v>
      </c>
      <c r="F396" s="387" t="s">
        <v>7321</v>
      </c>
      <c r="G396" s="388">
        <v>1</v>
      </c>
      <c r="H396" s="383" t="s">
        <v>6722</v>
      </c>
      <c r="I396" s="394" t="s">
        <v>8030</v>
      </c>
      <c r="J396" s="383" t="s">
        <v>2236</v>
      </c>
      <c r="K396" s="383" t="s">
        <v>4</v>
      </c>
      <c r="L396" s="383" t="s">
        <v>6668</v>
      </c>
      <c r="M396" s="383" t="s">
        <v>6610</v>
      </c>
      <c r="N396" s="383"/>
      <c r="O396" s="384"/>
      <c r="P396" s="385"/>
    </row>
    <row r="397" spans="1:16" ht="34">
      <c r="A397" s="386" t="s">
        <v>6671</v>
      </c>
      <c r="B397" s="383" t="s">
        <v>5777</v>
      </c>
      <c r="C397" s="383" t="s">
        <v>6601</v>
      </c>
      <c r="D397" s="383" t="s">
        <v>6672</v>
      </c>
      <c r="E397" s="387" t="s">
        <v>7322</v>
      </c>
      <c r="F397" s="387" t="s">
        <v>7323</v>
      </c>
      <c r="G397" s="388">
        <v>1</v>
      </c>
      <c r="H397" s="383" t="s">
        <v>6722</v>
      </c>
      <c r="I397" s="394" t="s">
        <v>8030</v>
      </c>
      <c r="J397" s="383" t="s">
        <v>2236</v>
      </c>
      <c r="K397" s="383" t="s">
        <v>4</v>
      </c>
      <c r="L397" s="383" t="s">
        <v>6668</v>
      </c>
      <c r="M397" s="383"/>
      <c r="N397" s="383"/>
      <c r="O397" s="384"/>
      <c r="P397" s="385"/>
    </row>
    <row r="398" spans="1:16" ht="20">
      <c r="A398" s="386" t="s">
        <v>6673</v>
      </c>
      <c r="B398" s="383" t="s">
        <v>5777</v>
      </c>
      <c r="C398" s="383" t="s">
        <v>6601</v>
      </c>
      <c r="D398" s="383" t="s">
        <v>6674</v>
      </c>
      <c r="E398" s="387" t="s">
        <v>7324</v>
      </c>
      <c r="F398" s="387" t="s">
        <v>7325</v>
      </c>
      <c r="G398" s="388">
        <v>1</v>
      </c>
      <c r="H398" s="383" t="s">
        <v>6722</v>
      </c>
      <c r="I398" s="394" t="s">
        <v>8030</v>
      </c>
      <c r="J398" s="383" t="s">
        <v>2236</v>
      </c>
      <c r="K398" s="383" t="s">
        <v>4</v>
      </c>
      <c r="L398" s="383" t="s">
        <v>6668</v>
      </c>
      <c r="M398" s="383" t="s">
        <v>6628</v>
      </c>
      <c r="N398" s="383"/>
      <c r="O398" s="384"/>
      <c r="P398" s="385"/>
    </row>
    <row r="399" spans="1:16" ht="20">
      <c r="A399" s="386" t="s">
        <v>6675</v>
      </c>
      <c r="B399" s="383" t="s">
        <v>5777</v>
      </c>
      <c r="C399" s="383" t="s">
        <v>6601</v>
      </c>
      <c r="D399" s="383" t="s">
        <v>6676</v>
      </c>
      <c r="E399" s="387" t="s">
        <v>7326</v>
      </c>
      <c r="F399" s="387" t="s">
        <v>7327</v>
      </c>
      <c r="G399" s="388">
        <v>2</v>
      </c>
      <c r="H399" s="383" t="s">
        <v>8056</v>
      </c>
      <c r="I399" s="394" t="s">
        <v>8057</v>
      </c>
      <c r="J399" s="383" t="s">
        <v>2236</v>
      </c>
      <c r="K399" s="383" t="s">
        <v>4</v>
      </c>
      <c r="L399" s="383" t="s">
        <v>6677</v>
      </c>
      <c r="M399" s="383" t="s">
        <v>6628</v>
      </c>
      <c r="N399" s="383"/>
      <c r="O399" s="384"/>
      <c r="P399" s="385"/>
    </row>
    <row r="400" spans="1:16" ht="34">
      <c r="A400" s="386" t="s">
        <v>6678</v>
      </c>
      <c r="B400" s="383" t="s">
        <v>5777</v>
      </c>
      <c r="C400" s="383" t="s">
        <v>6601</v>
      </c>
      <c r="D400" s="383" t="s">
        <v>6679</v>
      </c>
      <c r="E400" s="387" t="s">
        <v>7328</v>
      </c>
      <c r="F400" s="387" t="s">
        <v>7329</v>
      </c>
      <c r="G400" s="388">
        <v>2</v>
      </c>
      <c r="H400" s="383" t="s">
        <v>8058</v>
      </c>
      <c r="I400" s="394" t="s">
        <v>8059</v>
      </c>
      <c r="J400" s="383" t="s">
        <v>2236</v>
      </c>
      <c r="K400" s="383" t="s">
        <v>4</v>
      </c>
      <c r="L400" s="383" t="s">
        <v>6677</v>
      </c>
      <c r="M400" s="383" t="s">
        <v>6610</v>
      </c>
      <c r="N400" s="383"/>
      <c r="O400" s="384"/>
      <c r="P400" s="385"/>
    </row>
    <row r="401" spans="1:16" ht="20">
      <c r="A401" s="386" t="s">
        <v>6680</v>
      </c>
      <c r="B401" s="383" t="s">
        <v>5777</v>
      </c>
      <c r="C401" s="383" t="s">
        <v>6601</v>
      </c>
      <c r="D401" s="383" t="s">
        <v>6681</v>
      </c>
      <c r="E401" s="387" t="s">
        <v>7330</v>
      </c>
      <c r="F401" s="387" t="s">
        <v>7331</v>
      </c>
      <c r="G401" s="388">
        <v>1</v>
      </c>
      <c r="H401" s="383" t="s">
        <v>8060</v>
      </c>
      <c r="I401" s="394" t="s">
        <v>8061</v>
      </c>
      <c r="J401" s="383" t="s">
        <v>2236</v>
      </c>
      <c r="K401" s="383" t="s">
        <v>4</v>
      </c>
      <c r="L401" s="383" t="s">
        <v>6677</v>
      </c>
      <c r="M401" s="383" t="s">
        <v>6628</v>
      </c>
      <c r="N401" s="383"/>
      <c r="O401" s="384"/>
      <c r="P401" s="385"/>
    </row>
    <row r="402" spans="1:16" ht="34">
      <c r="A402" s="386" t="s">
        <v>6682</v>
      </c>
      <c r="B402" s="383" t="s">
        <v>5777</v>
      </c>
      <c r="C402" s="383" t="s">
        <v>6601</v>
      </c>
      <c r="D402" s="383" t="s">
        <v>6683</v>
      </c>
      <c r="E402" s="387" t="s">
        <v>7332</v>
      </c>
      <c r="F402" s="387" t="s">
        <v>7333</v>
      </c>
      <c r="G402" s="388">
        <v>2</v>
      </c>
      <c r="H402" s="383" t="s">
        <v>6722</v>
      </c>
      <c r="I402" s="394" t="s">
        <v>8030</v>
      </c>
      <c r="J402" s="383" t="s">
        <v>2236</v>
      </c>
      <c r="K402" s="383" t="s">
        <v>4</v>
      </c>
      <c r="L402" s="383" t="s">
        <v>6684</v>
      </c>
      <c r="M402" s="383" t="s">
        <v>6610</v>
      </c>
      <c r="N402" s="383"/>
      <c r="O402" s="384"/>
      <c r="P402" s="385"/>
    </row>
    <row r="403" spans="1:16" ht="34">
      <c r="A403" s="386" t="s">
        <v>6685</v>
      </c>
      <c r="B403" s="383" t="s">
        <v>5777</v>
      </c>
      <c r="C403" s="383" t="s">
        <v>6601</v>
      </c>
      <c r="D403" s="383" t="s">
        <v>6686</v>
      </c>
      <c r="E403" s="387" t="s">
        <v>7334</v>
      </c>
      <c r="F403" s="387" t="s">
        <v>7335</v>
      </c>
      <c r="G403" s="388">
        <v>2</v>
      </c>
      <c r="H403" s="383" t="s">
        <v>6722</v>
      </c>
      <c r="I403" s="394" t="s">
        <v>8030</v>
      </c>
      <c r="J403" s="383" t="s">
        <v>2236</v>
      </c>
      <c r="K403" s="383" t="s">
        <v>4</v>
      </c>
      <c r="L403" s="383" t="s">
        <v>6684</v>
      </c>
      <c r="M403" s="383" t="s">
        <v>6618</v>
      </c>
      <c r="N403" s="383"/>
      <c r="O403" s="384"/>
      <c r="P403" s="385"/>
    </row>
    <row r="404" spans="1:16" ht="20">
      <c r="A404" s="386" t="s">
        <v>6687</v>
      </c>
      <c r="B404" s="383" t="s">
        <v>5777</v>
      </c>
      <c r="C404" s="383" t="s">
        <v>6601</v>
      </c>
      <c r="D404" s="383" t="s">
        <v>6688</v>
      </c>
      <c r="E404" s="387" t="s">
        <v>7336</v>
      </c>
      <c r="F404" s="387" t="s">
        <v>7337</v>
      </c>
      <c r="G404" s="388">
        <v>2</v>
      </c>
      <c r="H404" s="383" t="s">
        <v>6722</v>
      </c>
      <c r="I404" s="394" t="s">
        <v>8030</v>
      </c>
      <c r="J404" s="383" t="s">
        <v>2236</v>
      </c>
      <c r="K404" s="383" t="s">
        <v>4</v>
      </c>
      <c r="L404" s="383" t="s">
        <v>6684</v>
      </c>
      <c r="M404" s="383" t="s">
        <v>6610</v>
      </c>
      <c r="N404" s="383"/>
      <c r="O404" s="384"/>
      <c r="P404" s="385"/>
    </row>
    <row r="405" spans="1:16" ht="34">
      <c r="A405" s="386" t="s">
        <v>6689</v>
      </c>
      <c r="B405" s="383" t="s">
        <v>5777</v>
      </c>
      <c r="C405" s="383" t="s">
        <v>6601</v>
      </c>
      <c r="D405" s="383" t="s">
        <v>6690</v>
      </c>
      <c r="E405" s="387" t="s">
        <v>7338</v>
      </c>
      <c r="F405" s="387" t="s">
        <v>7339</v>
      </c>
      <c r="G405" s="388">
        <v>2</v>
      </c>
      <c r="H405" s="383" t="s">
        <v>6722</v>
      </c>
      <c r="I405" s="394" t="s">
        <v>8030</v>
      </c>
      <c r="J405" s="383" t="s">
        <v>2236</v>
      </c>
      <c r="K405" s="383" t="s">
        <v>4</v>
      </c>
      <c r="L405" s="383" t="s">
        <v>6684</v>
      </c>
      <c r="M405" s="383" t="s">
        <v>6618</v>
      </c>
      <c r="N405" s="383"/>
      <c r="O405" s="384"/>
      <c r="P405" s="385"/>
    </row>
    <row r="406" spans="1:16" ht="20">
      <c r="A406" s="386" t="s">
        <v>6691</v>
      </c>
      <c r="B406" s="383" t="s">
        <v>5777</v>
      </c>
      <c r="C406" s="383" t="s">
        <v>6601</v>
      </c>
      <c r="D406" s="383" t="s">
        <v>6692</v>
      </c>
      <c r="E406" s="387" t="s">
        <v>7340</v>
      </c>
      <c r="F406" s="387" t="s">
        <v>7341</v>
      </c>
      <c r="G406" s="388">
        <v>1</v>
      </c>
      <c r="H406" s="383" t="s">
        <v>6722</v>
      </c>
      <c r="I406" s="394" t="s">
        <v>8030</v>
      </c>
      <c r="J406" s="383" t="s">
        <v>2236</v>
      </c>
      <c r="K406" s="383" t="s">
        <v>4</v>
      </c>
      <c r="L406" s="383" t="s">
        <v>6684</v>
      </c>
      <c r="M406" s="383" t="s">
        <v>6610</v>
      </c>
      <c r="N406" s="383"/>
      <c r="O406" s="384"/>
      <c r="P406" s="385"/>
    </row>
    <row r="407" spans="1:16" ht="20">
      <c r="A407" s="386" t="s">
        <v>6693</v>
      </c>
      <c r="B407" s="383" t="s">
        <v>5777</v>
      </c>
      <c r="C407" s="383" t="s">
        <v>6601</v>
      </c>
      <c r="D407" s="383" t="s">
        <v>6694</v>
      </c>
      <c r="E407" s="387" t="s">
        <v>7342</v>
      </c>
      <c r="F407" s="387" t="s">
        <v>7343</v>
      </c>
      <c r="G407" s="388">
        <v>2</v>
      </c>
      <c r="H407" s="383" t="s">
        <v>6722</v>
      </c>
      <c r="I407" s="394" t="s">
        <v>8030</v>
      </c>
      <c r="J407" s="383" t="s">
        <v>2236</v>
      </c>
      <c r="K407" s="383" t="s">
        <v>4</v>
      </c>
      <c r="L407" s="383" t="s">
        <v>6695</v>
      </c>
      <c r="M407" s="383" t="s">
        <v>6610</v>
      </c>
      <c r="N407" s="383"/>
      <c r="O407" s="384"/>
      <c r="P407" s="385"/>
    </row>
    <row r="408" spans="1:16" ht="34">
      <c r="A408" s="386" t="s">
        <v>6696</v>
      </c>
      <c r="B408" s="383" t="s">
        <v>5777</v>
      </c>
      <c r="C408" s="383" t="s">
        <v>6601</v>
      </c>
      <c r="D408" s="383" t="s">
        <v>6697</v>
      </c>
      <c r="E408" s="387" t="s">
        <v>7344</v>
      </c>
      <c r="F408" s="387" t="s">
        <v>7345</v>
      </c>
      <c r="G408" s="388">
        <v>3</v>
      </c>
      <c r="H408" s="383" t="s">
        <v>6722</v>
      </c>
      <c r="I408" s="394" t="s">
        <v>8030</v>
      </c>
      <c r="J408" s="383" t="s">
        <v>2236</v>
      </c>
      <c r="K408" s="383" t="s">
        <v>4</v>
      </c>
      <c r="L408" s="383" t="s">
        <v>6695</v>
      </c>
      <c r="M408" s="383" t="s">
        <v>6610</v>
      </c>
      <c r="N408" s="383"/>
      <c r="O408" s="384"/>
      <c r="P408" s="385"/>
    </row>
    <row r="409" spans="1:16" ht="20">
      <c r="A409" s="386" t="s">
        <v>6698</v>
      </c>
      <c r="B409" s="383" t="s">
        <v>5777</v>
      </c>
      <c r="C409" s="383" t="s">
        <v>6601</v>
      </c>
      <c r="D409" s="383" t="s">
        <v>6699</v>
      </c>
      <c r="E409" s="387" t="s">
        <v>7346</v>
      </c>
      <c r="F409" s="387" t="s">
        <v>7347</v>
      </c>
      <c r="G409" s="388">
        <v>1</v>
      </c>
      <c r="H409" s="383" t="s">
        <v>6722</v>
      </c>
      <c r="I409" s="394" t="s">
        <v>8030</v>
      </c>
      <c r="J409" s="383" t="s">
        <v>2236</v>
      </c>
      <c r="K409" s="383" t="s">
        <v>4</v>
      </c>
      <c r="L409" s="383" t="s">
        <v>6695</v>
      </c>
      <c r="M409" s="383" t="s">
        <v>6610</v>
      </c>
      <c r="N409" s="383"/>
      <c r="O409" s="384"/>
      <c r="P409" s="385"/>
    </row>
    <row r="410" spans="1:16" ht="20">
      <c r="A410" s="386" t="s">
        <v>6700</v>
      </c>
      <c r="B410" s="383" t="s">
        <v>5777</v>
      </c>
      <c r="C410" s="383" t="s">
        <v>6601</v>
      </c>
      <c r="D410" s="383" t="s">
        <v>6701</v>
      </c>
      <c r="E410" s="387" t="s">
        <v>7348</v>
      </c>
      <c r="F410" s="387" t="s">
        <v>7349</v>
      </c>
      <c r="G410" s="388">
        <v>1</v>
      </c>
      <c r="H410" s="383" t="s">
        <v>6722</v>
      </c>
      <c r="I410" s="394" t="s">
        <v>8030</v>
      </c>
      <c r="J410" s="383" t="s">
        <v>2236</v>
      </c>
      <c r="K410" s="383" t="s">
        <v>4</v>
      </c>
      <c r="L410" s="383" t="s">
        <v>6695</v>
      </c>
      <c r="M410" s="383" t="s">
        <v>6628</v>
      </c>
      <c r="N410" s="383"/>
      <c r="O410" s="384"/>
      <c r="P410" s="385"/>
    </row>
    <row r="411" spans="1:16" ht="34">
      <c r="A411" s="386" t="s">
        <v>6702</v>
      </c>
      <c r="B411" s="383" t="s">
        <v>5777</v>
      </c>
      <c r="C411" s="383" t="s">
        <v>6601</v>
      </c>
      <c r="D411" s="383" t="s">
        <v>6703</v>
      </c>
      <c r="E411" s="387" t="s">
        <v>7350</v>
      </c>
      <c r="F411" s="387" t="s">
        <v>7351</v>
      </c>
      <c r="G411" s="388">
        <v>1</v>
      </c>
      <c r="H411" s="383" t="s">
        <v>6722</v>
      </c>
      <c r="I411" s="394" t="s">
        <v>8030</v>
      </c>
      <c r="J411" s="383" t="s">
        <v>2236</v>
      </c>
      <c r="K411" s="383" t="s">
        <v>4</v>
      </c>
      <c r="L411" s="383" t="s">
        <v>6704</v>
      </c>
      <c r="M411" s="383"/>
      <c r="N411" s="383"/>
      <c r="O411" s="384"/>
      <c r="P411" s="385"/>
    </row>
    <row r="412" spans="1:16" ht="34">
      <c r="A412" s="386" t="s">
        <v>6705</v>
      </c>
      <c r="B412" s="383" t="s">
        <v>5777</v>
      </c>
      <c r="C412" s="383" t="s">
        <v>6601</v>
      </c>
      <c r="D412" s="383" t="s">
        <v>6706</v>
      </c>
      <c r="E412" s="387" t="s">
        <v>7352</v>
      </c>
      <c r="F412" s="387" t="s">
        <v>7353</v>
      </c>
      <c r="G412" s="388">
        <v>2</v>
      </c>
      <c r="H412" s="383" t="s">
        <v>6722</v>
      </c>
      <c r="I412" s="394" t="s">
        <v>8030</v>
      </c>
      <c r="J412" s="383" t="s">
        <v>2236</v>
      </c>
      <c r="K412" s="383" t="s">
        <v>4</v>
      </c>
      <c r="L412" s="383" t="s">
        <v>6704</v>
      </c>
      <c r="M412" s="383" t="s">
        <v>6610</v>
      </c>
      <c r="N412" s="383"/>
      <c r="O412" s="384"/>
      <c r="P412" s="385"/>
    </row>
    <row r="413" spans="1:16" ht="34">
      <c r="A413" s="386" t="s">
        <v>6707</v>
      </c>
      <c r="B413" s="383" t="s">
        <v>5777</v>
      </c>
      <c r="C413" s="383" t="s">
        <v>6601</v>
      </c>
      <c r="D413" s="383" t="s">
        <v>6708</v>
      </c>
      <c r="E413" s="387" t="s">
        <v>7354</v>
      </c>
      <c r="F413" s="387" t="s">
        <v>7355</v>
      </c>
      <c r="G413" s="388">
        <v>1</v>
      </c>
      <c r="H413" s="383" t="s">
        <v>6722</v>
      </c>
      <c r="I413" s="394" t="s">
        <v>8030</v>
      </c>
      <c r="J413" s="383" t="s">
        <v>2236</v>
      </c>
      <c r="K413" s="383" t="s">
        <v>4</v>
      </c>
      <c r="L413" s="383" t="s">
        <v>6704</v>
      </c>
      <c r="M413" s="383" t="s">
        <v>6618</v>
      </c>
      <c r="N413" s="383"/>
      <c r="O413" s="384"/>
      <c r="P413" s="385"/>
    </row>
    <row r="414" spans="1:16" ht="20">
      <c r="A414" s="386" t="s">
        <v>6709</v>
      </c>
      <c r="B414" s="383" t="s">
        <v>5777</v>
      </c>
      <c r="C414" s="383" t="s">
        <v>6601</v>
      </c>
      <c r="D414" s="383" t="s">
        <v>6710</v>
      </c>
      <c r="E414" s="387" t="s">
        <v>7356</v>
      </c>
      <c r="F414" s="387" t="s">
        <v>7357</v>
      </c>
      <c r="G414" s="388">
        <v>1</v>
      </c>
      <c r="H414" s="383" t="s">
        <v>6722</v>
      </c>
      <c r="I414" s="394" t="s">
        <v>8030</v>
      </c>
      <c r="J414" s="383" t="s">
        <v>2236</v>
      </c>
      <c r="K414" s="383" t="s">
        <v>4</v>
      </c>
      <c r="L414" s="383" t="s">
        <v>6704</v>
      </c>
      <c r="M414" s="383" t="s">
        <v>6610</v>
      </c>
      <c r="N414" s="383"/>
      <c r="O414" s="384"/>
      <c r="P414" s="385"/>
    </row>
    <row r="415" spans="1:16" ht="20">
      <c r="A415" s="386" t="s">
        <v>6711</v>
      </c>
      <c r="B415" s="383" t="s">
        <v>5777</v>
      </c>
      <c r="C415" s="383" t="s">
        <v>6601</v>
      </c>
      <c r="D415" s="383" t="s">
        <v>6712</v>
      </c>
      <c r="E415" s="387" t="s">
        <v>7358</v>
      </c>
      <c r="F415" s="387" t="s">
        <v>7359</v>
      </c>
      <c r="G415" s="388">
        <v>1</v>
      </c>
      <c r="H415" s="383" t="s">
        <v>6722</v>
      </c>
      <c r="I415" s="394" t="s">
        <v>8030</v>
      </c>
      <c r="J415" s="383" t="s">
        <v>2236</v>
      </c>
      <c r="K415" s="383" t="s">
        <v>4</v>
      </c>
      <c r="L415" s="383" t="s">
        <v>6704</v>
      </c>
      <c r="M415" s="383"/>
      <c r="N415" s="383"/>
      <c r="O415" s="384"/>
      <c r="P415" s="385"/>
    </row>
    <row r="416" spans="1:16" ht="20">
      <c r="A416" s="386" t="s">
        <v>6713</v>
      </c>
      <c r="B416" s="383" t="s">
        <v>5777</v>
      </c>
      <c r="C416" s="383" t="s">
        <v>6601</v>
      </c>
      <c r="D416" s="383" t="s">
        <v>6714</v>
      </c>
      <c r="E416" s="387" t="s">
        <v>7360</v>
      </c>
      <c r="F416" s="387" t="s">
        <v>7361</v>
      </c>
      <c r="G416" s="388">
        <v>3</v>
      </c>
      <c r="H416" s="383" t="s">
        <v>6722</v>
      </c>
      <c r="I416" s="394" t="s">
        <v>8030</v>
      </c>
      <c r="J416" s="383" t="s">
        <v>2236</v>
      </c>
      <c r="K416" s="383" t="s">
        <v>4</v>
      </c>
      <c r="L416" s="383" t="s">
        <v>2762</v>
      </c>
      <c r="M416" s="383"/>
      <c r="N416" s="383"/>
      <c r="O416" s="384"/>
      <c r="P416" s="385"/>
    </row>
    <row r="417" spans="1:16" ht="20">
      <c r="A417" s="386" t="s">
        <v>6715</v>
      </c>
      <c r="B417" s="383" t="s">
        <v>5777</v>
      </c>
      <c r="C417" s="383" t="s">
        <v>6601</v>
      </c>
      <c r="D417" s="383" t="s">
        <v>6716</v>
      </c>
      <c r="E417" s="387" t="s">
        <v>7362</v>
      </c>
      <c r="F417" s="387" t="s">
        <v>7363</v>
      </c>
      <c r="G417" s="388">
        <v>3</v>
      </c>
      <c r="H417" s="383" t="s">
        <v>6722</v>
      </c>
      <c r="I417" s="394" t="s">
        <v>8030</v>
      </c>
      <c r="J417" s="383" t="s">
        <v>2236</v>
      </c>
      <c r="K417" s="383" t="s">
        <v>4</v>
      </c>
      <c r="L417" s="383" t="s">
        <v>2762</v>
      </c>
      <c r="M417" s="383"/>
      <c r="N417" s="383"/>
      <c r="O417" s="384"/>
      <c r="P417" s="385"/>
    </row>
    <row r="418" spans="1:16" ht="20">
      <c r="A418" s="389" t="s">
        <v>6717</v>
      </c>
      <c r="B418" s="390" t="s">
        <v>5777</v>
      </c>
      <c r="C418" s="390" t="s">
        <v>6601</v>
      </c>
      <c r="D418" s="390" t="s">
        <v>6718</v>
      </c>
      <c r="E418" s="391" t="s">
        <v>7364</v>
      </c>
      <c r="F418" s="391" t="s">
        <v>7365</v>
      </c>
      <c r="G418" s="392">
        <v>3</v>
      </c>
      <c r="H418" s="390" t="s">
        <v>6722</v>
      </c>
      <c r="I418" s="394" t="s">
        <v>8030</v>
      </c>
      <c r="J418" s="390" t="s">
        <v>2236</v>
      </c>
      <c r="K418" s="390" t="s">
        <v>4</v>
      </c>
      <c r="L418" s="390" t="s">
        <v>2762</v>
      </c>
      <c r="M418" s="390"/>
      <c r="N418" s="390"/>
      <c r="O418" s="393"/>
      <c r="P418" s="385"/>
    </row>
  </sheetData>
  <autoFilter ref="A6:P418" xr:uid="{66250CDA-FE4E-E74B-968F-00BE7CB94CEE}"/>
  <phoneticPr fontId="2"/>
  <conditionalFormatting sqref="A7:P418">
    <cfRule type="expression" dxfId="15" priority="1">
      <formula>$K7="完了"</formula>
    </cfRule>
  </conditionalFormatting>
  <conditionalFormatting sqref="A7:P418">
    <cfRule type="expression" dxfId="14" priority="2">
      <formula>$K7="進行中"</formula>
    </cfRule>
  </conditionalFormatting>
  <conditionalFormatting sqref="A7:P418">
    <cfRule type="expression" dxfId="13" priority="3">
      <formula>$K7="廃止"</formula>
    </cfRule>
  </conditionalFormatting>
  <conditionalFormatting sqref="K7:K418">
    <cfRule type="expression" dxfId="12" priority="4">
      <formula>$K7="完了"</formula>
    </cfRule>
  </conditionalFormatting>
  <conditionalFormatting sqref="K7:K418">
    <cfRule type="expression" dxfId="11" priority="5">
      <formula>$K7="進行中"</formula>
    </cfRule>
  </conditionalFormatting>
  <conditionalFormatting sqref="K7:K418">
    <cfRule type="expression" dxfId="10" priority="6">
      <formula>$K7="廃止"</formula>
    </cfRule>
  </conditionalFormatting>
  <conditionalFormatting sqref="N7:N418">
    <cfRule type="expression" dxfId="9" priority="7">
      <formula>$N7="認証系"</formula>
    </cfRule>
  </conditionalFormatting>
  <conditionalFormatting sqref="N7:N418">
    <cfRule type="expression" dxfId="8" priority="8">
      <formula>$N7="プロビジョニング系"</formula>
    </cfRule>
  </conditionalFormatting>
  <conditionalFormatting sqref="N7:N418">
    <cfRule type="expression" dxfId="7" priority="9">
      <formula>$N7="管理CP系"</formula>
    </cfRule>
  </conditionalFormatting>
  <conditionalFormatting sqref="N7:N418">
    <cfRule type="expression" dxfId="6" priority="10">
      <formula>$N7="認可系"</formula>
    </cfRule>
  </conditionalFormatting>
  <conditionalFormatting sqref="N7:N418">
    <cfRule type="expression" dxfId="5" priority="11">
      <formula>$N7="連携系"</formula>
    </cfRule>
  </conditionalFormatting>
  <conditionalFormatting sqref="N7:N418">
    <cfRule type="expression" dxfId="4" priority="12">
      <formula>$N7="バッチ系"</formula>
    </cfRule>
  </conditionalFormatting>
  <conditionalFormatting sqref="H7:I418">
    <cfRule type="expression" dxfId="3" priority="13">
      <formula>$H7="横断"</formula>
    </cfRule>
  </conditionalFormatting>
  <conditionalFormatting sqref="H7:I418">
    <cfRule type="expression" dxfId="2" priority="14">
      <formula>$H7="—"</formula>
    </cfRule>
  </conditionalFormatting>
  <conditionalFormatting sqref="H7:H418">
    <cfRule type="expression" dxfId="1" priority="15">
      <formula>LEFT($H7,2)="F-"</formula>
    </cfRule>
  </conditionalFormatting>
  <conditionalFormatting sqref="M7:M418">
    <cfRule type="expression" dxfId="0" priority="16">
      <formula>$M7="最優先"</formula>
    </cfRule>
  </conditionalFormatting>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99E7693-5B40-0444-B227-D6033B94776C}">
  <dimension ref="A1:AA201"/>
  <sheetViews>
    <sheetView zoomScale="120" zoomScaleNormal="120" workbookViewId="0">
      <pane ySplit="5" topLeftCell="A6" activePane="bottomLeft" state="frozen"/>
      <selection pane="bottomLeft" activeCell="D25" sqref="D25"/>
    </sheetView>
  </sheetViews>
  <sheetFormatPr baseColWidth="10" defaultRowHeight="20"/>
  <cols>
    <col min="1" max="1" width="10.85546875" customWidth="1"/>
    <col min="2" max="2" width="8.140625" customWidth="1"/>
    <col min="3" max="3" width="24.28515625" customWidth="1"/>
    <col min="4" max="4" width="32.85546875" customWidth="1"/>
    <col min="5" max="5" width="54.28515625" customWidth="1"/>
    <col min="6" max="6" width="7.85546875" customWidth="1"/>
    <col min="7" max="7" width="47.140625" customWidth="1"/>
    <col min="8" max="8" width="31.42578125" customWidth="1"/>
    <col min="9" max="9" width="13.5703125" customWidth="1"/>
    <col min="10" max="11" width="15.7109375" customWidth="1"/>
    <col min="12" max="12" width="18.5703125" customWidth="1"/>
    <col min="13" max="14" width="21.42578125" customWidth="1"/>
    <col min="15" max="15" width="19.28515625" customWidth="1"/>
    <col min="16" max="16" width="24.28515625" customWidth="1"/>
    <col min="17" max="17" width="60" customWidth="1"/>
    <col min="18" max="18" width="25.7109375" customWidth="1"/>
    <col min="19" max="19" width="10" customWidth="1"/>
    <col min="20" max="20" width="40" customWidth="1"/>
    <col min="21" max="21" width="100" customWidth="1"/>
    <col min="22" max="22" width="74.28515625" customWidth="1"/>
    <col min="23" max="25" width="13.5703125" customWidth="1"/>
    <col min="26" max="26" width="15.7109375" customWidth="1"/>
    <col min="27" max="27" width="65.7109375" customWidth="1"/>
  </cols>
  <sheetData>
    <row r="1" spans="1:27">
      <c r="A1" s="369" t="s">
        <v>6363</v>
      </c>
      <c r="B1" s="32"/>
      <c r="C1" s="32"/>
      <c r="D1" s="32"/>
      <c r="E1" s="32"/>
      <c r="F1" s="32"/>
      <c r="G1" s="32"/>
      <c r="H1" s="32"/>
      <c r="I1" s="32"/>
      <c r="J1" s="32"/>
      <c r="K1" s="32"/>
      <c r="L1" s="32"/>
      <c r="M1" s="32"/>
      <c r="N1" s="32"/>
    </row>
    <row r="2" spans="1:27">
      <c r="A2" s="61" t="s">
        <v>6364</v>
      </c>
      <c r="B2" s="32"/>
      <c r="C2" s="32"/>
      <c r="D2" s="32"/>
      <c r="E2" s="32"/>
      <c r="F2" s="32"/>
      <c r="G2" s="32"/>
      <c r="H2" s="32"/>
      <c r="I2" s="32"/>
      <c r="J2" s="32"/>
      <c r="K2" s="32"/>
      <c r="L2" s="32"/>
      <c r="M2" s="32"/>
      <c r="N2" s="32"/>
    </row>
    <row r="3" spans="1:27">
      <c r="A3" s="290" t="s">
        <v>6365</v>
      </c>
      <c r="B3" s="32"/>
      <c r="C3" s="32"/>
      <c r="D3" s="32"/>
      <c r="E3" s="32"/>
      <c r="F3" s="32"/>
      <c r="G3" s="32"/>
      <c r="H3" s="32"/>
      <c r="I3" s="32"/>
      <c r="J3" s="32"/>
      <c r="K3" s="32"/>
      <c r="L3" s="32"/>
      <c r="M3" s="32"/>
      <c r="N3" s="32"/>
    </row>
    <row r="4" spans="1:27">
      <c r="A4" s="304" t="s">
        <v>7211</v>
      </c>
      <c r="B4" s="32"/>
      <c r="C4" s="32"/>
      <c r="D4" s="32"/>
      <c r="E4" s="32"/>
      <c r="F4" s="32"/>
      <c r="G4" s="32"/>
      <c r="H4" s="32"/>
      <c r="I4" s="32"/>
      <c r="J4" s="32"/>
      <c r="K4" s="32"/>
      <c r="L4" s="32"/>
      <c r="M4" s="32"/>
      <c r="N4" s="32"/>
      <c r="T4" s="167" t="s">
        <v>2523</v>
      </c>
    </row>
    <row r="5" spans="1:27" ht="26" customHeight="1">
      <c r="A5" s="291" t="s">
        <v>2529</v>
      </c>
      <c r="B5" s="292" t="s">
        <v>9</v>
      </c>
      <c r="C5" s="292" t="s">
        <v>6218</v>
      </c>
      <c r="D5" s="292" t="s">
        <v>3058</v>
      </c>
      <c r="E5" s="292" t="s">
        <v>6219</v>
      </c>
      <c r="F5" s="292" t="s">
        <v>2530</v>
      </c>
      <c r="G5" s="292" t="s">
        <v>5547</v>
      </c>
      <c r="H5" s="292" t="s">
        <v>6220</v>
      </c>
      <c r="I5" s="292" t="s">
        <v>2230</v>
      </c>
      <c r="J5" s="292" t="s">
        <v>1</v>
      </c>
      <c r="K5" s="292" t="s">
        <v>666</v>
      </c>
      <c r="L5" s="292" t="s">
        <v>2231</v>
      </c>
      <c r="M5" s="292" t="s">
        <v>12</v>
      </c>
      <c r="N5" s="302" t="s">
        <v>6221</v>
      </c>
      <c r="T5" s="18" t="s">
        <v>2524</v>
      </c>
      <c r="U5" s="19" t="s">
        <v>2435</v>
      </c>
      <c r="V5" s="19" t="s">
        <v>2525</v>
      </c>
      <c r="W5" s="19" t="s">
        <v>2442</v>
      </c>
      <c r="X5" s="19" t="s">
        <v>2443</v>
      </c>
      <c r="Y5" s="19" t="s">
        <v>2526</v>
      </c>
      <c r="Z5" s="20" t="s">
        <v>2935</v>
      </c>
      <c r="AA5" s="190" t="s">
        <v>5956</v>
      </c>
    </row>
    <row r="6" spans="1:27" ht="19" customHeight="1">
      <c r="A6" s="356" t="s">
        <v>2533</v>
      </c>
      <c r="B6" s="137" t="s">
        <v>6045</v>
      </c>
      <c r="C6" s="136" t="s">
        <v>6046</v>
      </c>
      <c r="D6" s="296" t="s">
        <v>6047</v>
      </c>
      <c r="E6" s="296" t="s">
        <v>6048</v>
      </c>
      <c r="F6" s="297">
        <v>3</v>
      </c>
      <c r="G6" s="296"/>
      <c r="H6" s="296"/>
      <c r="I6" s="136"/>
      <c r="J6" s="136"/>
      <c r="K6" s="136" t="s">
        <v>4</v>
      </c>
      <c r="L6" s="136" t="s">
        <v>6222</v>
      </c>
      <c r="M6" s="136" t="s">
        <v>6223</v>
      </c>
      <c r="N6" s="320"/>
      <c r="T6" s="21" t="s">
        <v>503</v>
      </c>
      <c r="U6" s="29">
        <f>COUNTIF($B$6:$B$110,$T6)</f>
        <v>0</v>
      </c>
      <c r="V6" s="29">
        <f>SUMIF($B$6:$B$110,$T6,$J$6:$J$110)</f>
        <v>0</v>
      </c>
      <c r="W6" s="29">
        <f>SUMIF($B$6:$B$110,$T6,$K$6:$K$110)</f>
        <v>0</v>
      </c>
      <c r="X6" s="29">
        <f>SUMIF($B$6:$B$110,$T6,$L$6:$L$110)</f>
        <v>0</v>
      </c>
      <c r="Y6" s="29" t="s">
        <v>2934</v>
      </c>
      <c r="Z6" s="158">
        <f>W6+X6</f>
        <v>0</v>
      </c>
    </row>
    <row r="7" spans="1:27" ht="19" customHeight="1">
      <c r="A7" s="356" t="s">
        <v>2533</v>
      </c>
      <c r="B7" s="137" t="s">
        <v>6049</v>
      </c>
      <c r="C7" s="136" t="s">
        <v>6046</v>
      </c>
      <c r="D7" s="296" t="s">
        <v>6050</v>
      </c>
      <c r="E7" s="296" t="s">
        <v>6051</v>
      </c>
      <c r="F7" s="297">
        <v>3</v>
      </c>
      <c r="G7" s="296"/>
      <c r="H7" s="296"/>
      <c r="I7" s="136"/>
      <c r="J7" s="136"/>
      <c r="K7" s="136" t="s">
        <v>4</v>
      </c>
      <c r="L7" s="136" t="s">
        <v>6222</v>
      </c>
      <c r="M7" s="136" t="s">
        <v>6223</v>
      </c>
      <c r="N7" s="320"/>
      <c r="T7" s="21" t="s">
        <v>510</v>
      </c>
      <c r="U7" s="29">
        <f>COUNTIF($B$6:$B$110,$T7)</f>
        <v>0</v>
      </c>
      <c r="V7" s="29">
        <f>SUMIF($B$6:$B$110,$T7,$J$6:$J$110)</f>
        <v>0</v>
      </c>
      <c r="W7" s="29">
        <f>SUMIF($B$6:$B$110,$T7,$K$6:$K$110)</f>
        <v>0</v>
      </c>
      <c r="X7" s="29">
        <f>SUMIF($B$6:$B$110,$T7,$L$6:$L$110)</f>
        <v>0</v>
      </c>
      <c r="Y7" s="29" t="s">
        <v>2934</v>
      </c>
      <c r="Z7" s="158">
        <f>W7+X7</f>
        <v>0</v>
      </c>
    </row>
    <row r="8" spans="1:27" ht="19" customHeight="1">
      <c r="A8" s="356" t="s">
        <v>2533</v>
      </c>
      <c r="B8" s="137" t="s">
        <v>6052</v>
      </c>
      <c r="C8" s="136" t="s">
        <v>6046</v>
      </c>
      <c r="D8" s="296" t="s">
        <v>6053</v>
      </c>
      <c r="E8" s="296" t="s">
        <v>6054</v>
      </c>
      <c r="F8" s="297">
        <v>3</v>
      </c>
      <c r="G8" s="296"/>
      <c r="H8" s="296"/>
      <c r="I8" s="136"/>
      <c r="J8" s="136"/>
      <c r="K8" s="136" t="s">
        <v>4</v>
      </c>
      <c r="L8" s="136" t="s">
        <v>6222</v>
      </c>
      <c r="M8" s="136" t="s">
        <v>6223</v>
      </c>
      <c r="N8" s="320"/>
      <c r="T8" s="21" t="s">
        <v>1047</v>
      </c>
      <c r="U8" s="29">
        <f>COUNTIF($B$6:$B$110,$T8)</f>
        <v>0</v>
      </c>
      <c r="V8" s="29">
        <f>SUMIF($B$6:$B$110,$T8,$J$6:$J$110)</f>
        <v>0</v>
      </c>
      <c r="W8" s="29">
        <f>SUMIF($B$6:$B$110,$T8,$K$6:$K$110)</f>
        <v>0</v>
      </c>
      <c r="X8" s="29">
        <f>SUMIF($B$6:$B$110,$T8,$L$6:$L$110)</f>
        <v>0</v>
      </c>
      <c r="Y8" s="29" t="s">
        <v>2934</v>
      </c>
      <c r="Z8" s="158">
        <f>W8+X8</f>
        <v>0</v>
      </c>
    </row>
    <row r="9" spans="1:27" ht="19" customHeight="1">
      <c r="A9" s="356" t="s">
        <v>2533</v>
      </c>
      <c r="B9" s="137" t="s">
        <v>6055</v>
      </c>
      <c r="C9" s="136" t="s">
        <v>6046</v>
      </c>
      <c r="D9" s="296" t="s">
        <v>6056</v>
      </c>
      <c r="E9" s="296" t="s">
        <v>6057</v>
      </c>
      <c r="F9" s="297">
        <v>3</v>
      </c>
      <c r="G9" s="296"/>
      <c r="H9" s="296"/>
      <c r="I9" s="136"/>
      <c r="J9" s="136"/>
      <c r="K9" s="136" t="s">
        <v>4</v>
      </c>
      <c r="L9" s="136" t="s">
        <v>6222</v>
      </c>
      <c r="M9" s="136" t="s">
        <v>6223</v>
      </c>
      <c r="N9" s="320"/>
      <c r="T9" s="21" t="s">
        <v>917</v>
      </c>
      <c r="U9" s="29">
        <f>COUNTIF($B$6:$B$110,$T9)</f>
        <v>0</v>
      </c>
      <c r="V9" s="29">
        <f>SUMIF($B$6:$B$110,$T9,$J$6:$J$110)</f>
        <v>0</v>
      </c>
      <c r="W9" s="29">
        <f>SUMIF($B$6:$B$110,$T9,$K$6:$K$110)</f>
        <v>0</v>
      </c>
      <c r="X9" s="29">
        <f>SUMIF($B$6:$B$110,$T9,$L$6:$L$110)</f>
        <v>0</v>
      </c>
      <c r="Y9" s="29" t="s">
        <v>2934</v>
      </c>
      <c r="Z9" s="158">
        <f>W9+X9</f>
        <v>0</v>
      </c>
    </row>
    <row r="10" spans="1:27" ht="19" customHeight="1">
      <c r="A10" s="356" t="s">
        <v>2533</v>
      </c>
      <c r="B10" s="137" t="s">
        <v>6058</v>
      </c>
      <c r="C10" s="136" t="s">
        <v>6046</v>
      </c>
      <c r="D10" s="296" t="s">
        <v>6059</v>
      </c>
      <c r="E10" s="296" t="s">
        <v>6060</v>
      </c>
      <c r="F10" s="297">
        <v>3</v>
      </c>
      <c r="G10" s="296"/>
      <c r="H10" s="296"/>
      <c r="I10" s="136"/>
      <c r="J10" s="136"/>
      <c r="K10" s="136" t="s">
        <v>4</v>
      </c>
      <c r="L10" s="136" t="s">
        <v>6222</v>
      </c>
      <c r="M10" s="136" t="s">
        <v>6223</v>
      </c>
      <c r="N10" s="320"/>
      <c r="T10" s="21" t="s">
        <v>513</v>
      </c>
      <c r="U10" s="29">
        <f>COUNTIF($B$6:$B$110,$T10)</f>
        <v>0</v>
      </c>
      <c r="V10" s="29">
        <f>SUMIF($B$6:$B$110,$T10,$J$6:$J$110)</f>
        <v>0</v>
      </c>
      <c r="W10" s="29">
        <f>SUMIF($B$6:$B$110,$T10,$K$6:$K$110)</f>
        <v>0</v>
      </c>
      <c r="X10" s="29">
        <f>SUMIF($B$6:$B$110,$T10,$L$6:$L$110)</f>
        <v>0</v>
      </c>
      <c r="Y10" s="29" t="s">
        <v>2934</v>
      </c>
      <c r="Z10" s="158">
        <f>W10+X10</f>
        <v>0</v>
      </c>
    </row>
    <row r="11" spans="1:27" ht="19" customHeight="1">
      <c r="A11" s="356" t="s">
        <v>2533</v>
      </c>
      <c r="B11" s="137" t="s">
        <v>6061</v>
      </c>
      <c r="C11" s="136" t="s">
        <v>6046</v>
      </c>
      <c r="D11" s="296" t="s">
        <v>6062</v>
      </c>
      <c r="E11" s="296" t="s">
        <v>6063</v>
      </c>
      <c r="F11" s="297">
        <v>2</v>
      </c>
      <c r="G11" s="296"/>
      <c r="H11" s="296"/>
      <c r="I11" s="136"/>
      <c r="J11" s="136"/>
      <c r="K11" s="136" t="s">
        <v>4</v>
      </c>
      <c r="L11" s="136" t="s">
        <v>6222</v>
      </c>
      <c r="M11" s="136" t="s">
        <v>6223</v>
      </c>
      <c r="N11" s="320"/>
      <c r="T11" s="21" t="s">
        <v>517</v>
      </c>
      <c r="U11" s="29">
        <f>COUNTIF($B$6:$B$110,$T11)</f>
        <v>0</v>
      </c>
      <c r="V11" s="29">
        <f>SUMIF($B$6:$B$110,$T11,$J$6:$J$110)</f>
        <v>0</v>
      </c>
      <c r="W11" s="29">
        <f>SUMIF($B$6:$B$110,$T11,$K$6:$K$110)</f>
        <v>0</v>
      </c>
      <c r="X11" s="29">
        <f>SUMIF($B$6:$B$110,$T11,$L$6:$L$110)</f>
        <v>0</v>
      </c>
      <c r="Y11" s="29" t="s">
        <v>2934</v>
      </c>
      <c r="Z11" s="158">
        <f>W11+X11</f>
        <v>0</v>
      </c>
    </row>
    <row r="12" spans="1:27" ht="19" customHeight="1">
      <c r="A12" s="356" t="s">
        <v>2533</v>
      </c>
      <c r="B12" s="137" t="s">
        <v>6064</v>
      </c>
      <c r="C12" s="136" t="s">
        <v>6046</v>
      </c>
      <c r="D12" s="296" t="s">
        <v>6065</v>
      </c>
      <c r="E12" s="296" t="s">
        <v>6066</v>
      </c>
      <c r="F12" s="297">
        <v>4</v>
      </c>
      <c r="G12" s="296"/>
      <c r="H12" s="296"/>
      <c r="I12" s="136"/>
      <c r="J12" s="136"/>
      <c r="K12" s="136" t="s">
        <v>4</v>
      </c>
      <c r="L12" s="136" t="s">
        <v>6222</v>
      </c>
      <c r="M12" s="136" t="s">
        <v>6223</v>
      </c>
      <c r="N12" s="320"/>
      <c r="T12" s="21" t="s">
        <v>519</v>
      </c>
      <c r="U12" s="29">
        <f>COUNTIF($B$6:$B$110,$T12)</f>
        <v>0</v>
      </c>
      <c r="V12" s="29">
        <f>SUMIF($B$6:$B$110,$T12,$J$6:$J$110)</f>
        <v>0</v>
      </c>
      <c r="W12" s="29">
        <f>SUMIF($B$6:$B$110,$T12,$K$6:$K$110)</f>
        <v>0</v>
      </c>
      <c r="X12" s="29">
        <f>SUMIF($B$6:$B$110,$T12,$L$6:$L$110)</f>
        <v>0</v>
      </c>
      <c r="Y12" s="29" t="s">
        <v>2934</v>
      </c>
      <c r="Z12" s="158">
        <f>W12+X12</f>
        <v>0</v>
      </c>
    </row>
    <row r="13" spans="1:27" ht="19" customHeight="1">
      <c r="A13" s="356" t="s">
        <v>2533</v>
      </c>
      <c r="B13" s="137" t="s">
        <v>6067</v>
      </c>
      <c r="C13" s="136" t="s">
        <v>6046</v>
      </c>
      <c r="D13" s="296" t="s">
        <v>6068</v>
      </c>
      <c r="E13" s="296" t="s">
        <v>6003</v>
      </c>
      <c r="F13" s="297">
        <v>2</v>
      </c>
      <c r="G13" s="296"/>
      <c r="H13" s="296"/>
      <c r="I13" s="136"/>
      <c r="J13" s="136"/>
      <c r="K13" s="136" t="s">
        <v>4</v>
      </c>
      <c r="L13" s="136" t="s">
        <v>6222</v>
      </c>
      <c r="M13" s="136" t="s">
        <v>6223</v>
      </c>
      <c r="N13" s="320"/>
      <c r="T13" s="21" t="s">
        <v>2396</v>
      </c>
      <c r="U13" s="29">
        <f>COUNTIF($B$6:$B$110,$T13)</f>
        <v>0</v>
      </c>
      <c r="V13" s="29">
        <f>SUMIF($B$6:$B$110,$T13,$J$6:$J$110)</f>
        <v>0</v>
      </c>
      <c r="W13" s="29">
        <f>SUMIF($B$6:$B$110,$T13,$K$6:$K$110)</f>
        <v>0</v>
      </c>
      <c r="X13" s="29">
        <f>SUMIF($B$6:$B$110,$T13,$L$6:$L$110)</f>
        <v>0</v>
      </c>
      <c r="Y13" s="29" t="s">
        <v>2934</v>
      </c>
      <c r="Z13" s="158">
        <f>W13+X13</f>
        <v>0</v>
      </c>
    </row>
    <row r="14" spans="1:27" ht="19" customHeight="1">
      <c r="A14" s="356" t="s">
        <v>2533</v>
      </c>
      <c r="B14" s="137" t="s">
        <v>6069</v>
      </c>
      <c r="C14" s="136" t="s">
        <v>6046</v>
      </c>
      <c r="D14" s="296" t="s">
        <v>6070</v>
      </c>
      <c r="E14" s="296" t="s">
        <v>6071</v>
      </c>
      <c r="F14" s="297">
        <v>2</v>
      </c>
      <c r="G14" s="296"/>
      <c r="H14" s="296"/>
      <c r="I14" s="136"/>
      <c r="J14" s="136"/>
      <c r="K14" s="136" t="s">
        <v>4</v>
      </c>
      <c r="L14" s="136" t="s">
        <v>6222</v>
      </c>
      <c r="M14" s="136" t="s">
        <v>6223</v>
      </c>
      <c r="N14" s="320"/>
      <c r="T14" s="21" t="s">
        <v>2400</v>
      </c>
      <c r="U14" s="29">
        <f>COUNTIF($B$6:$B$110,$T14)</f>
        <v>0</v>
      </c>
      <c r="V14" s="29">
        <f>SUMIF($B$6:$B$110,$T14,$J$6:$J$110)</f>
        <v>0</v>
      </c>
      <c r="W14" s="29">
        <f>SUMIF($B$6:$B$110,$T14,$K$6:$K$110)</f>
        <v>0</v>
      </c>
      <c r="X14" s="29">
        <f>SUMIF($B$6:$B$110,$T14,$L$6:$L$110)</f>
        <v>0</v>
      </c>
      <c r="Y14" s="29" t="s">
        <v>2934</v>
      </c>
      <c r="Z14" s="158">
        <f>W14+X14</f>
        <v>0</v>
      </c>
    </row>
    <row r="15" spans="1:27" ht="19" customHeight="1">
      <c r="A15" s="356" t="s">
        <v>2533</v>
      </c>
      <c r="B15" s="137" t="s">
        <v>6072</v>
      </c>
      <c r="C15" s="136" t="s">
        <v>6046</v>
      </c>
      <c r="D15" s="296" t="s">
        <v>6073</v>
      </c>
      <c r="E15" s="296" t="s">
        <v>6074</v>
      </c>
      <c r="F15" s="297">
        <v>3</v>
      </c>
      <c r="G15" s="296"/>
      <c r="H15" s="296"/>
      <c r="I15" s="136"/>
      <c r="J15" s="136"/>
      <c r="K15" s="136" t="s">
        <v>4</v>
      </c>
      <c r="L15" s="136" t="s">
        <v>6222</v>
      </c>
      <c r="M15" s="136" t="s">
        <v>6223</v>
      </c>
      <c r="N15" s="320"/>
      <c r="T15" s="21" t="s">
        <v>1241</v>
      </c>
      <c r="U15" s="29">
        <f>COUNTIF($B$6:$B$110,$T15)</f>
        <v>0</v>
      </c>
      <c r="V15" s="29">
        <f>SUMIF($B$6:$B$110,$T15,$J$6:$J$110)</f>
        <v>0</v>
      </c>
      <c r="W15" s="29">
        <f>SUMIF($B$6:$B$110,$T15,$K$6:$K$110)</f>
        <v>0</v>
      </c>
      <c r="X15" s="29">
        <f>SUMIF($B$6:$B$110,$T15,$L$6:$L$110)</f>
        <v>0</v>
      </c>
      <c r="Y15" s="29" t="s">
        <v>2934</v>
      </c>
      <c r="Z15" s="158">
        <f>W15+X15</f>
        <v>0</v>
      </c>
    </row>
    <row r="16" spans="1:27" ht="19" customHeight="1">
      <c r="A16" s="356" t="s">
        <v>2533</v>
      </c>
      <c r="B16" s="137" t="s">
        <v>6075</v>
      </c>
      <c r="C16" s="136" t="s">
        <v>6076</v>
      </c>
      <c r="D16" s="296" t="s">
        <v>503</v>
      </c>
      <c r="E16" s="296" t="s">
        <v>7202</v>
      </c>
      <c r="F16" s="297">
        <v>18</v>
      </c>
      <c r="G16" s="296"/>
      <c r="H16" s="296"/>
      <c r="I16" s="136"/>
      <c r="J16" s="136"/>
      <c r="K16" s="136" t="s">
        <v>4</v>
      </c>
      <c r="L16" s="136" t="s">
        <v>6222</v>
      </c>
      <c r="M16" s="136" t="s">
        <v>6223</v>
      </c>
      <c r="N16" s="320"/>
      <c r="T16" s="21" t="s">
        <v>2527</v>
      </c>
      <c r="U16" s="29" t="s">
        <v>2236</v>
      </c>
      <c r="V16" s="29">
        <v>0</v>
      </c>
      <c r="W16" s="29">
        <v>0</v>
      </c>
      <c r="X16" s="29">
        <v>0</v>
      </c>
      <c r="Y16" s="29" t="s">
        <v>2934</v>
      </c>
      <c r="Z16" s="158">
        <f>W16+X16</f>
        <v>0</v>
      </c>
    </row>
    <row r="17" spans="1:26" ht="19" customHeight="1">
      <c r="A17" s="356" t="s">
        <v>2533</v>
      </c>
      <c r="B17" s="137" t="s">
        <v>6077</v>
      </c>
      <c r="C17" s="136" t="s">
        <v>6076</v>
      </c>
      <c r="D17" s="296" t="s">
        <v>6078</v>
      </c>
      <c r="E17" s="296" t="s">
        <v>7203</v>
      </c>
      <c r="F17" s="297">
        <v>24</v>
      </c>
      <c r="G17" s="296"/>
      <c r="H17" s="296"/>
      <c r="I17" s="136"/>
      <c r="J17" s="136"/>
      <c r="K17" s="136" t="s">
        <v>4</v>
      </c>
      <c r="L17" s="136" t="s">
        <v>6222</v>
      </c>
      <c r="M17" s="136" t="s">
        <v>6223</v>
      </c>
      <c r="N17" s="320"/>
      <c r="T17" s="23" t="s">
        <v>7</v>
      </c>
      <c r="U17" s="30">
        <f>SUM(U6:U16)</f>
        <v>0</v>
      </c>
      <c r="V17" s="30">
        <v>1044</v>
      </c>
      <c r="W17" s="30" t="s">
        <v>6213</v>
      </c>
      <c r="X17" s="30">
        <v>626</v>
      </c>
      <c r="Y17" s="30">
        <f>'WBS(テスト)'!C70</f>
        <v>421</v>
      </c>
      <c r="Z17" s="159">
        <v>1044</v>
      </c>
    </row>
    <row r="18" spans="1:26" ht="19" customHeight="1">
      <c r="A18" s="356" t="s">
        <v>2533</v>
      </c>
      <c r="B18" s="137" t="s">
        <v>6079</v>
      </c>
      <c r="C18" s="136" t="s">
        <v>6076</v>
      </c>
      <c r="D18" s="296" t="s">
        <v>6080</v>
      </c>
      <c r="E18" s="296" t="s">
        <v>7204</v>
      </c>
      <c r="F18" s="297">
        <v>14</v>
      </c>
      <c r="G18" s="296"/>
      <c r="H18" s="296"/>
      <c r="I18" s="136"/>
      <c r="J18" s="136"/>
      <c r="K18" s="136" t="s">
        <v>4</v>
      </c>
      <c r="L18" s="136" t="s">
        <v>6222</v>
      </c>
      <c r="M18" s="136" t="s">
        <v>6223</v>
      </c>
      <c r="N18" s="320"/>
      <c r="T18" s="1"/>
      <c r="U18" s="1"/>
      <c r="V18" s="1"/>
      <c r="W18" s="1"/>
      <c r="X18" s="1"/>
      <c r="Y18" s="1"/>
      <c r="Z18" s="1"/>
    </row>
    <row r="19" spans="1:26" ht="19" customHeight="1">
      <c r="A19" s="356" t="s">
        <v>2533</v>
      </c>
      <c r="B19" s="137" t="s">
        <v>6081</v>
      </c>
      <c r="C19" s="136" t="s">
        <v>6076</v>
      </c>
      <c r="D19" s="296" t="s">
        <v>917</v>
      </c>
      <c r="E19" s="296" t="s">
        <v>7205</v>
      </c>
      <c r="F19" s="297">
        <v>14</v>
      </c>
      <c r="G19" s="296"/>
      <c r="H19" s="296"/>
      <c r="I19" s="136"/>
      <c r="J19" s="136"/>
      <c r="K19" s="136" t="s">
        <v>4</v>
      </c>
      <c r="L19" s="136" t="s">
        <v>6222</v>
      </c>
      <c r="M19" s="136" t="s">
        <v>6223</v>
      </c>
      <c r="N19" s="320"/>
      <c r="T19" s="2" t="s">
        <v>2528</v>
      </c>
      <c r="U19" s="1"/>
      <c r="V19" s="1"/>
      <c r="W19" s="1"/>
      <c r="X19" s="1"/>
      <c r="Y19" s="1"/>
      <c r="Z19" s="1"/>
    </row>
    <row r="20" spans="1:26" ht="19" customHeight="1">
      <c r="A20" s="356" t="s">
        <v>2533</v>
      </c>
      <c r="B20" s="137" t="s">
        <v>6082</v>
      </c>
      <c r="C20" s="136" t="s">
        <v>6076</v>
      </c>
      <c r="D20" s="296" t="s">
        <v>6083</v>
      </c>
      <c r="E20" s="296" t="s">
        <v>7206</v>
      </c>
      <c r="F20" s="297">
        <v>20</v>
      </c>
      <c r="G20" s="296"/>
      <c r="H20" s="296"/>
      <c r="I20" s="136"/>
      <c r="J20" s="136"/>
      <c r="K20" s="136" t="s">
        <v>4</v>
      </c>
      <c r="L20" s="136" t="s">
        <v>6222</v>
      </c>
      <c r="M20" s="136" t="s">
        <v>6223</v>
      </c>
      <c r="N20" s="320"/>
      <c r="T20" s="170" t="s">
        <v>2529</v>
      </c>
      <c r="U20" s="171" t="s">
        <v>2530</v>
      </c>
      <c r="V20" s="172" t="s">
        <v>2531</v>
      </c>
      <c r="W20" s="1"/>
      <c r="X20" s="1"/>
      <c r="Y20" s="1"/>
      <c r="Z20" s="1"/>
    </row>
    <row r="21" spans="1:26" ht="19" customHeight="1">
      <c r="A21" s="356" t="s">
        <v>2533</v>
      </c>
      <c r="B21" s="137" t="s">
        <v>6084</v>
      </c>
      <c r="C21" s="136" t="s">
        <v>6076</v>
      </c>
      <c r="D21" s="296" t="s">
        <v>517</v>
      </c>
      <c r="E21" s="296" t="s">
        <v>7207</v>
      </c>
      <c r="F21" s="297">
        <v>24</v>
      </c>
      <c r="G21" s="296"/>
      <c r="H21" s="296"/>
      <c r="I21" s="136"/>
      <c r="J21" s="136"/>
      <c r="K21" s="136" t="s">
        <v>4</v>
      </c>
      <c r="L21" s="136" t="s">
        <v>6222</v>
      </c>
      <c r="M21" s="136" t="s">
        <v>6223</v>
      </c>
      <c r="N21" s="320"/>
      <c r="T21" s="21" t="s">
        <v>2532</v>
      </c>
      <c r="U21" s="29">
        <v>693</v>
      </c>
      <c r="V21" s="27" t="s">
        <v>5955</v>
      </c>
      <c r="W21" s="1"/>
      <c r="X21" s="1"/>
      <c r="Y21" s="1"/>
      <c r="Z21" s="1"/>
    </row>
    <row r="22" spans="1:26" ht="19" customHeight="1">
      <c r="A22" s="356" t="s">
        <v>2533</v>
      </c>
      <c r="B22" s="137" t="s">
        <v>6085</v>
      </c>
      <c r="C22" s="136" t="s">
        <v>6076</v>
      </c>
      <c r="D22" s="296" t="s">
        <v>519</v>
      </c>
      <c r="E22" s="296" t="s">
        <v>7208</v>
      </c>
      <c r="F22" s="297">
        <v>14</v>
      </c>
      <c r="G22" s="296"/>
      <c r="H22" s="296"/>
      <c r="I22" s="136"/>
      <c r="J22" s="136"/>
      <c r="K22" s="136" t="s">
        <v>4</v>
      </c>
      <c r="L22" s="136" t="s">
        <v>6222</v>
      </c>
      <c r="M22" s="136" t="s">
        <v>6223</v>
      </c>
      <c r="N22" s="320"/>
      <c r="T22" s="21" t="s">
        <v>2533</v>
      </c>
      <c r="U22" s="29">
        <v>441</v>
      </c>
      <c r="V22" s="27" t="s">
        <v>6212</v>
      </c>
      <c r="W22" s="1"/>
      <c r="X22" s="1"/>
      <c r="Y22" s="1"/>
      <c r="Z22" s="1"/>
    </row>
    <row r="23" spans="1:26" ht="19" customHeight="1">
      <c r="A23" s="356" t="s">
        <v>2533</v>
      </c>
      <c r="B23" s="137" t="s">
        <v>6086</v>
      </c>
      <c r="C23" s="136" t="s">
        <v>6076</v>
      </c>
      <c r="D23" s="296" t="s">
        <v>2400</v>
      </c>
      <c r="E23" s="296" t="s">
        <v>7209</v>
      </c>
      <c r="F23" s="297">
        <v>20</v>
      </c>
      <c r="G23" s="296"/>
      <c r="H23" s="296"/>
      <c r="I23" s="136"/>
      <c r="J23" s="136"/>
      <c r="K23" s="136" t="s">
        <v>4</v>
      </c>
      <c r="L23" s="136" t="s">
        <v>6222</v>
      </c>
      <c r="M23" s="136" t="s">
        <v>6223</v>
      </c>
      <c r="N23" s="320"/>
      <c r="T23" s="21" t="s">
        <v>2534</v>
      </c>
      <c r="U23" s="29">
        <v>743</v>
      </c>
      <c r="V23" s="27" t="s">
        <v>6030</v>
      </c>
      <c r="W23" s="1"/>
      <c r="X23" s="1"/>
      <c r="Y23" s="1"/>
      <c r="Z23" s="1"/>
    </row>
    <row r="24" spans="1:26" ht="19" customHeight="1">
      <c r="A24" s="356" t="s">
        <v>2533</v>
      </c>
      <c r="B24" s="137" t="s">
        <v>6087</v>
      </c>
      <c r="C24" s="136" t="s">
        <v>6076</v>
      </c>
      <c r="D24" s="296" t="s">
        <v>6088</v>
      </c>
      <c r="E24" s="296" t="s">
        <v>7210</v>
      </c>
      <c r="F24" s="297">
        <v>18</v>
      </c>
      <c r="G24" s="296"/>
      <c r="H24" s="296"/>
      <c r="I24" s="136"/>
      <c r="J24" s="136"/>
      <c r="K24" s="136" t="s">
        <v>4</v>
      </c>
      <c r="L24" s="136" t="s">
        <v>6222</v>
      </c>
      <c r="M24" s="136" t="s">
        <v>6223</v>
      </c>
      <c r="N24" s="320"/>
      <c r="T24" s="21" t="s">
        <v>2535</v>
      </c>
      <c r="U24" s="29">
        <v>421</v>
      </c>
      <c r="V24" s="27" t="s">
        <v>5664</v>
      </c>
      <c r="W24" s="1"/>
      <c r="X24" s="1"/>
      <c r="Y24" s="1"/>
      <c r="Z24" s="1"/>
    </row>
    <row r="25" spans="1:26" ht="19" customHeight="1">
      <c r="A25" s="356" t="s">
        <v>2533</v>
      </c>
      <c r="B25" s="137" t="s">
        <v>6089</v>
      </c>
      <c r="C25" s="136" t="s">
        <v>6090</v>
      </c>
      <c r="D25" s="296" t="s">
        <v>6091</v>
      </c>
      <c r="E25" s="296" t="s">
        <v>6092</v>
      </c>
      <c r="F25" s="297">
        <v>7</v>
      </c>
      <c r="G25" s="296"/>
      <c r="H25" s="296"/>
      <c r="I25" s="136"/>
      <c r="J25" s="136"/>
      <c r="K25" s="136" t="s">
        <v>4</v>
      </c>
      <c r="L25" s="136" t="s">
        <v>6222</v>
      </c>
      <c r="M25" s="136" t="s">
        <v>6223</v>
      </c>
      <c r="N25" s="320"/>
      <c r="T25" s="168" t="s">
        <v>2536</v>
      </c>
      <c r="U25" s="162">
        <f>U22+U23+U24</f>
        <v>1605</v>
      </c>
      <c r="V25" s="169"/>
      <c r="W25" s="1"/>
      <c r="X25" s="1"/>
      <c r="Y25" s="1"/>
      <c r="Z25" s="1"/>
    </row>
    <row r="26" spans="1:26" ht="19" customHeight="1">
      <c r="A26" s="356" t="s">
        <v>2533</v>
      </c>
      <c r="B26" s="137" t="s">
        <v>6093</v>
      </c>
      <c r="C26" s="136" t="s">
        <v>6090</v>
      </c>
      <c r="D26" s="296" t="s">
        <v>6094</v>
      </c>
      <c r="E26" s="296" t="s">
        <v>6095</v>
      </c>
      <c r="F26" s="297">
        <v>12</v>
      </c>
      <c r="G26" s="296"/>
      <c r="H26" s="296"/>
      <c r="I26" s="136"/>
      <c r="J26" s="136"/>
      <c r="K26" s="136" t="s">
        <v>4</v>
      </c>
      <c r="L26" s="136" t="s">
        <v>6222</v>
      </c>
      <c r="M26" s="136" t="s">
        <v>6223</v>
      </c>
      <c r="N26" s="320"/>
      <c r="T26" s="23" t="s">
        <v>2537</v>
      </c>
      <c r="U26" s="30">
        <v>2298</v>
      </c>
      <c r="V26" s="173"/>
      <c r="W26" s="1" t="str">
        <f>IF(AND(ROUND(U25,0)=1244,ROUND(U26,0)=1488),"✓ レポート§9と一致","⚠ 不一致")</f>
        <v>⚠ 不一致</v>
      </c>
      <c r="X26" s="1"/>
      <c r="Y26" s="1"/>
      <c r="Z26" s="1"/>
    </row>
    <row r="27" spans="1:26" ht="19" customHeight="1">
      <c r="A27" s="356" t="s">
        <v>2533</v>
      </c>
      <c r="B27" s="137" t="s">
        <v>6096</v>
      </c>
      <c r="C27" s="136" t="s">
        <v>6090</v>
      </c>
      <c r="D27" s="296" t="s">
        <v>6097</v>
      </c>
      <c r="E27" s="296" t="s">
        <v>6003</v>
      </c>
      <c r="F27" s="297">
        <v>4</v>
      </c>
      <c r="G27" s="296"/>
      <c r="H27" s="296"/>
      <c r="I27" s="136"/>
      <c r="J27" s="136"/>
      <c r="K27" s="136" t="s">
        <v>4</v>
      </c>
      <c r="L27" s="136" t="s">
        <v>6222</v>
      </c>
      <c r="M27" s="136" t="s">
        <v>6223</v>
      </c>
      <c r="N27" s="320"/>
    </row>
    <row r="28" spans="1:26" ht="19" customHeight="1">
      <c r="A28" s="356" t="s">
        <v>2533</v>
      </c>
      <c r="B28" s="137" t="s">
        <v>6098</v>
      </c>
      <c r="C28" s="136" t="s">
        <v>6090</v>
      </c>
      <c r="D28" s="296" t="s">
        <v>6099</v>
      </c>
      <c r="E28" s="296" t="s">
        <v>6003</v>
      </c>
      <c r="F28" s="297">
        <v>3</v>
      </c>
      <c r="G28" s="296"/>
      <c r="H28" s="296"/>
      <c r="I28" s="136"/>
      <c r="J28" s="136"/>
      <c r="K28" s="136" t="s">
        <v>4</v>
      </c>
      <c r="L28" s="136" t="s">
        <v>6222</v>
      </c>
      <c r="M28" s="136" t="s">
        <v>6223</v>
      </c>
      <c r="N28" s="320"/>
      <c r="T28" s="167" t="s">
        <v>2538</v>
      </c>
    </row>
    <row r="29" spans="1:26" ht="19" customHeight="1">
      <c r="A29" s="356" t="s">
        <v>2533</v>
      </c>
      <c r="B29" s="137" t="s">
        <v>6100</v>
      </c>
      <c r="C29" s="136" t="s">
        <v>6090</v>
      </c>
      <c r="D29" s="296" t="s">
        <v>6101</v>
      </c>
      <c r="E29" s="296" t="s">
        <v>6003</v>
      </c>
      <c r="F29" s="297">
        <v>3</v>
      </c>
      <c r="G29" s="296"/>
      <c r="H29" s="296"/>
      <c r="I29" s="136"/>
      <c r="J29" s="136"/>
      <c r="K29" s="136" t="s">
        <v>4</v>
      </c>
      <c r="L29" s="136" t="s">
        <v>6222</v>
      </c>
      <c r="M29" s="136" t="s">
        <v>6223</v>
      </c>
      <c r="N29" s="320"/>
      <c r="T29" s="56" t="s">
        <v>2539</v>
      </c>
      <c r="U29" s="57" t="s">
        <v>2540</v>
      </c>
    </row>
    <row r="30" spans="1:26" ht="19" customHeight="1">
      <c r="A30" s="356" t="s">
        <v>2533</v>
      </c>
      <c r="B30" s="137" t="s">
        <v>6102</v>
      </c>
      <c r="C30" s="136" t="s">
        <v>6103</v>
      </c>
      <c r="D30" s="296" t="s">
        <v>6104</v>
      </c>
      <c r="E30" s="296" t="s">
        <v>6105</v>
      </c>
      <c r="F30" s="297">
        <v>4</v>
      </c>
      <c r="G30" s="296"/>
      <c r="H30" s="296"/>
      <c r="I30" s="136"/>
      <c r="J30" s="136"/>
      <c r="K30" s="136" t="s">
        <v>4</v>
      </c>
      <c r="L30" s="136" t="s">
        <v>6222</v>
      </c>
      <c r="M30" s="136" t="s">
        <v>6223</v>
      </c>
      <c r="N30" s="320"/>
      <c r="T30" s="56" t="s">
        <v>2541</v>
      </c>
      <c r="U30" s="57" t="s">
        <v>2542</v>
      </c>
      <c r="V30" t="s">
        <v>6031</v>
      </c>
    </row>
    <row r="31" spans="1:26" ht="19" customHeight="1">
      <c r="A31" s="356" t="s">
        <v>2533</v>
      </c>
      <c r="B31" s="137" t="s">
        <v>6106</v>
      </c>
      <c r="C31" s="136" t="s">
        <v>6103</v>
      </c>
      <c r="D31" s="296" t="s">
        <v>6107</v>
      </c>
      <c r="E31" s="296" t="s">
        <v>6108</v>
      </c>
      <c r="F31" s="297">
        <v>3</v>
      </c>
      <c r="G31" s="296"/>
      <c r="H31" s="296"/>
      <c r="I31" s="136"/>
      <c r="J31" s="136"/>
      <c r="K31" s="136" t="s">
        <v>4</v>
      </c>
      <c r="L31" s="136" t="s">
        <v>6222</v>
      </c>
      <c r="M31" s="136" t="s">
        <v>6223</v>
      </c>
      <c r="N31" s="320"/>
      <c r="T31" s="56" t="s">
        <v>2543</v>
      </c>
      <c r="U31" s="57" t="s">
        <v>2544</v>
      </c>
    </row>
    <row r="32" spans="1:26" ht="19" customHeight="1">
      <c r="A32" s="356" t="s">
        <v>2533</v>
      </c>
      <c r="B32" s="137" t="s">
        <v>6109</v>
      </c>
      <c r="C32" s="136" t="s">
        <v>6103</v>
      </c>
      <c r="D32" s="296" t="s">
        <v>6110</v>
      </c>
      <c r="E32" s="296" t="s">
        <v>6108</v>
      </c>
      <c r="F32" s="297">
        <v>3</v>
      </c>
      <c r="G32" s="296"/>
      <c r="H32" s="296"/>
      <c r="I32" s="136"/>
      <c r="J32" s="136"/>
      <c r="K32" s="136" t="s">
        <v>4</v>
      </c>
      <c r="L32" s="136" t="s">
        <v>6222</v>
      </c>
      <c r="M32" s="136" t="s">
        <v>6223</v>
      </c>
      <c r="N32" s="320"/>
      <c r="T32" s="56" t="s">
        <v>2545</v>
      </c>
      <c r="U32" s="57" t="s">
        <v>2546</v>
      </c>
    </row>
    <row r="33" spans="1:21" ht="19" customHeight="1">
      <c r="A33" s="356" t="s">
        <v>2533</v>
      </c>
      <c r="B33" s="137" t="s">
        <v>6111</v>
      </c>
      <c r="C33" s="136" t="s">
        <v>6103</v>
      </c>
      <c r="D33" s="296" t="s">
        <v>6112</v>
      </c>
      <c r="E33" s="296" t="s">
        <v>6113</v>
      </c>
      <c r="F33" s="297">
        <v>5</v>
      </c>
      <c r="G33" s="296"/>
      <c r="H33" s="296"/>
      <c r="I33" s="136"/>
      <c r="J33" s="136"/>
      <c r="K33" s="136" t="s">
        <v>4</v>
      </c>
      <c r="L33" s="136" t="s">
        <v>6222</v>
      </c>
      <c r="M33" s="136" t="s">
        <v>6223</v>
      </c>
      <c r="N33" s="320"/>
      <c r="T33" s="56" t="s">
        <v>2547</v>
      </c>
      <c r="U33" s="57" t="s">
        <v>2548</v>
      </c>
    </row>
    <row r="34" spans="1:21" ht="19" customHeight="1">
      <c r="A34" s="356" t="s">
        <v>2533</v>
      </c>
      <c r="B34" s="137" t="s">
        <v>6114</v>
      </c>
      <c r="C34" s="136" t="s">
        <v>6103</v>
      </c>
      <c r="D34" s="296" t="s">
        <v>6115</v>
      </c>
      <c r="E34" s="296" t="s">
        <v>6003</v>
      </c>
      <c r="F34" s="297">
        <v>3</v>
      </c>
      <c r="G34" s="296"/>
      <c r="H34" s="296"/>
      <c r="I34" s="136"/>
      <c r="J34" s="136"/>
      <c r="K34" s="136" t="s">
        <v>4</v>
      </c>
      <c r="L34" s="136" t="s">
        <v>6222</v>
      </c>
      <c r="M34" s="136" t="s">
        <v>6223</v>
      </c>
      <c r="N34" s="320"/>
      <c r="T34" s="56" t="s">
        <v>2549</v>
      </c>
      <c r="U34" s="57" t="s">
        <v>5519</v>
      </c>
    </row>
    <row r="35" spans="1:21" ht="19" customHeight="1">
      <c r="A35" s="356" t="s">
        <v>2533</v>
      </c>
      <c r="B35" s="137" t="s">
        <v>6116</v>
      </c>
      <c r="C35" s="136" t="s">
        <v>6103</v>
      </c>
      <c r="D35" s="296" t="s">
        <v>6117</v>
      </c>
      <c r="E35" s="296" t="s">
        <v>6118</v>
      </c>
      <c r="F35" s="297">
        <v>4</v>
      </c>
      <c r="G35" s="296"/>
      <c r="H35" s="296"/>
      <c r="I35" s="136"/>
      <c r="J35" s="136"/>
      <c r="K35" s="136" t="s">
        <v>4</v>
      </c>
      <c r="L35" s="136" t="s">
        <v>6222</v>
      </c>
      <c r="M35" s="136" t="s">
        <v>6223</v>
      </c>
      <c r="N35" s="320"/>
      <c r="T35" s="56" t="s">
        <v>2550</v>
      </c>
      <c r="U35" s="57" t="s">
        <v>5520</v>
      </c>
    </row>
    <row r="36" spans="1:21" ht="19" customHeight="1">
      <c r="A36" s="356" t="s">
        <v>2533</v>
      </c>
      <c r="B36" s="137" t="s">
        <v>6119</v>
      </c>
      <c r="C36" s="136" t="s">
        <v>6103</v>
      </c>
      <c r="D36" s="296" t="s">
        <v>6120</v>
      </c>
      <c r="E36" s="296" t="s">
        <v>6003</v>
      </c>
      <c r="F36" s="297">
        <v>3</v>
      </c>
      <c r="G36" s="296"/>
      <c r="H36" s="296"/>
      <c r="I36" s="136"/>
      <c r="J36" s="136"/>
      <c r="K36" s="136" t="s">
        <v>4</v>
      </c>
      <c r="L36" s="136" t="s">
        <v>6222</v>
      </c>
      <c r="M36" s="136" t="s">
        <v>6223</v>
      </c>
      <c r="N36" s="320"/>
    </row>
    <row r="37" spans="1:21" ht="19" customHeight="1">
      <c r="A37" s="356" t="s">
        <v>2533</v>
      </c>
      <c r="B37" s="137" t="s">
        <v>6121</v>
      </c>
      <c r="C37" s="136" t="s">
        <v>6103</v>
      </c>
      <c r="D37" s="296" t="s">
        <v>6122</v>
      </c>
      <c r="E37" s="296" t="s">
        <v>6123</v>
      </c>
      <c r="F37" s="297">
        <v>2</v>
      </c>
      <c r="G37" s="296"/>
      <c r="H37" s="296"/>
      <c r="I37" s="136"/>
      <c r="J37" s="136"/>
      <c r="K37" s="136" t="s">
        <v>4</v>
      </c>
      <c r="L37" s="136" t="s">
        <v>6222</v>
      </c>
      <c r="M37" s="136" t="s">
        <v>6223</v>
      </c>
      <c r="N37" s="320"/>
    </row>
    <row r="38" spans="1:21" ht="19" customHeight="1">
      <c r="A38" s="356" t="s">
        <v>2533</v>
      </c>
      <c r="B38" s="137" t="s">
        <v>6124</v>
      </c>
      <c r="C38" s="136" t="s">
        <v>6125</v>
      </c>
      <c r="D38" s="296" t="s">
        <v>6126</v>
      </c>
      <c r="E38" s="296" t="s">
        <v>6127</v>
      </c>
      <c r="F38" s="297">
        <v>12</v>
      </c>
      <c r="G38" s="296"/>
      <c r="H38" s="296"/>
      <c r="I38" s="136"/>
      <c r="J38" s="136"/>
      <c r="K38" s="136" t="s">
        <v>4</v>
      </c>
      <c r="L38" s="136" t="s">
        <v>6222</v>
      </c>
      <c r="M38" s="136" t="s">
        <v>6223</v>
      </c>
      <c r="N38" s="320"/>
    </row>
    <row r="39" spans="1:21" ht="19" customHeight="1">
      <c r="A39" s="356" t="s">
        <v>2533</v>
      </c>
      <c r="B39" s="137" t="s">
        <v>6128</v>
      </c>
      <c r="C39" s="136" t="s">
        <v>6125</v>
      </c>
      <c r="D39" s="296" t="s">
        <v>6129</v>
      </c>
      <c r="E39" s="296" t="s">
        <v>6130</v>
      </c>
      <c r="F39" s="297">
        <v>5</v>
      </c>
      <c r="G39" s="296"/>
      <c r="H39" s="296"/>
      <c r="I39" s="136"/>
      <c r="J39" s="136"/>
      <c r="K39" s="136" t="s">
        <v>4</v>
      </c>
      <c r="L39" s="136" t="s">
        <v>6222</v>
      </c>
      <c r="M39" s="136" t="s">
        <v>6223</v>
      </c>
      <c r="N39" s="320"/>
    </row>
    <row r="40" spans="1:21" ht="19" customHeight="1">
      <c r="A40" s="356" t="s">
        <v>2533</v>
      </c>
      <c r="B40" s="137" t="s">
        <v>6131</v>
      </c>
      <c r="C40" s="136" t="s">
        <v>6125</v>
      </c>
      <c r="D40" s="296" t="s">
        <v>6132</v>
      </c>
      <c r="E40" s="296" t="s">
        <v>6133</v>
      </c>
      <c r="F40" s="297">
        <v>4</v>
      </c>
      <c r="G40" s="296"/>
      <c r="H40" s="296"/>
      <c r="I40" s="136"/>
      <c r="J40" s="136"/>
      <c r="K40" s="136" t="s">
        <v>4</v>
      </c>
      <c r="L40" s="136" t="s">
        <v>6222</v>
      </c>
      <c r="M40" s="136" t="s">
        <v>6223</v>
      </c>
      <c r="N40" s="320"/>
    </row>
    <row r="41" spans="1:21" ht="19" customHeight="1">
      <c r="A41" s="356" t="s">
        <v>2533</v>
      </c>
      <c r="B41" s="137" t="s">
        <v>6134</v>
      </c>
      <c r="C41" s="136" t="s">
        <v>6125</v>
      </c>
      <c r="D41" s="296" t="s">
        <v>6135</v>
      </c>
      <c r="E41" s="296" t="s">
        <v>6136</v>
      </c>
      <c r="F41" s="297">
        <v>4</v>
      </c>
      <c r="G41" s="296"/>
      <c r="H41" s="296"/>
      <c r="I41" s="136"/>
      <c r="J41" s="136"/>
      <c r="K41" s="136" t="s">
        <v>4</v>
      </c>
      <c r="L41" s="136" t="s">
        <v>6222</v>
      </c>
      <c r="M41" s="136" t="s">
        <v>6223</v>
      </c>
      <c r="N41" s="320"/>
    </row>
    <row r="42" spans="1:21" ht="19" customHeight="1">
      <c r="A42" s="356" t="s">
        <v>2533</v>
      </c>
      <c r="B42" s="137" t="s">
        <v>6137</v>
      </c>
      <c r="C42" s="136" t="s">
        <v>6125</v>
      </c>
      <c r="D42" s="296" t="s">
        <v>6004</v>
      </c>
      <c r="E42" s="296" t="s">
        <v>6003</v>
      </c>
      <c r="F42" s="297">
        <v>6</v>
      </c>
      <c r="G42" s="296"/>
      <c r="H42" s="296"/>
      <c r="I42" s="136"/>
      <c r="J42" s="136"/>
      <c r="K42" s="136" t="s">
        <v>4</v>
      </c>
      <c r="L42" s="136" t="s">
        <v>6222</v>
      </c>
      <c r="M42" s="136" t="s">
        <v>6223</v>
      </c>
      <c r="N42" s="320"/>
    </row>
    <row r="43" spans="1:21" ht="19" customHeight="1">
      <c r="A43" s="356" t="s">
        <v>2533</v>
      </c>
      <c r="B43" s="137" t="s">
        <v>6138</v>
      </c>
      <c r="C43" s="136" t="s">
        <v>6125</v>
      </c>
      <c r="D43" s="296" t="s">
        <v>6139</v>
      </c>
      <c r="E43" s="296" t="s">
        <v>6140</v>
      </c>
      <c r="F43" s="297">
        <v>5</v>
      </c>
      <c r="G43" s="296"/>
      <c r="H43" s="296"/>
      <c r="I43" s="136"/>
      <c r="J43" s="136"/>
      <c r="K43" s="136" t="s">
        <v>4</v>
      </c>
      <c r="L43" s="136" t="s">
        <v>6222</v>
      </c>
      <c r="M43" s="136" t="s">
        <v>6223</v>
      </c>
      <c r="N43" s="320"/>
    </row>
    <row r="44" spans="1:21" ht="19" customHeight="1">
      <c r="A44" s="356" t="s">
        <v>2533</v>
      </c>
      <c r="B44" s="137" t="s">
        <v>6141</v>
      </c>
      <c r="C44" s="136" t="s">
        <v>6142</v>
      </c>
      <c r="D44" s="296" t="s">
        <v>6143</v>
      </c>
      <c r="E44" s="296" t="s">
        <v>6144</v>
      </c>
      <c r="F44" s="297">
        <v>8</v>
      </c>
      <c r="G44" s="296"/>
      <c r="H44" s="296"/>
      <c r="I44" s="136"/>
      <c r="J44" s="136"/>
      <c r="K44" s="136" t="s">
        <v>4</v>
      </c>
      <c r="L44" s="136" t="s">
        <v>6222</v>
      </c>
      <c r="M44" s="136" t="s">
        <v>6223</v>
      </c>
      <c r="N44" s="320"/>
    </row>
    <row r="45" spans="1:21" ht="19" customHeight="1">
      <c r="A45" s="356" t="s">
        <v>2533</v>
      </c>
      <c r="B45" s="137" t="s">
        <v>6145</v>
      </c>
      <c r="C45" s="136" t="s">
        <v>6142</v>
      </c>
      <c r="D45" s="296" t="s">
        <v>6146</v>
      </c>
      <c r="E45" s="296" t="s">
        <v>6003</v>
      </c>
      <c r="F45" s="297">
        <v>3</v>
      </c>
      <c r="G45" s="296"/>
      <c r="H45" s="296"/>
      <c r="I45" s="136"/>
      <c r="J45" s="136"/>
      <c r="K45" s="136" t="s">
        <v>4</v>
      </c>
      <c r="L45" s="136" t="s">
        <v>6222</v>
      </c>
      <c r="M45" s="136" t="s">
        <v>6223</v>
      </c>
      <c r="N45" s="320"/>
    </row>
    <row r="46" spans="1:21" ht="19" customHeight="1">
      <c r="A46" s="356" t="s">
        <v>2533</v>
      </c>
      <c r="B46" s="137" t="s">
        <v>6147</v>
      </c>
      <c r="C46" s="136" t="s">
        <v>6142</v>
      </c>
      <c r="D46" s="296" t="s">
        <v>6148</v>
      </c>
      <c r="E46" s="296" t="s">
        <v>6003</v>
      </c>
      <c r="F46" s="297">
        <v>2</v>
      </c>
      <c r="G46" s="296"/>
      <c r="H46" s="296"/>
      <c r="I46" s="136"/>
      <c r="J46" s="136"/>
      <c r="K46" s="136" t="s">
        <v>4</v>
      </c>
      <c r="L46" s="136" t="s">
        <v>6222</v>
      </c>
      <c r="M46" s="136" t="s">
        <v>6223</v>
      </c>
      <c r="N46" s="320"/>
    </row>
    <row r="47" spans="1:21" ht="19" customHeight="1">
      <c r="A47" s="356" t="s">
        <v>2533</v>
      </c>
      <c r="B47" s="137" t="s">
        <v>6149</v>
      </c>
      <c r="C47" s="136" t="s">
        <v>6150</v>
      </c>
      <c r="D47" s="296" t="s">
        <v>6151</v>
      </c>
      <c r="E47" s="296" t="s">
        <v>6152</v>
      </c>
      <c r="F47" s="297">
        <v>8</v>
      </c>
      <c r="G47" s="296"/>
      <c r="H47" s="296"/>
      <c r="I47" s="136"/>
      <c r="J47" s="136"/>
      <c r="K47" s="136" t="s">
        <v>4</v>
      </c>
      <c r="L47" s="136" t="s">
        <v>6222</v>
      </c>
      <c r="M47" s="136" t="s">
        <v>6223</v>
      </c>
      <c r="N47" s="320"/>
    </row>
    <row r="48" spans="1:21" ht="19" customHeight="1">
      <c r="A48" s="356" t="s">
        <v>2533</v>
      </c>
      <c r="B48" s="137" t="s">
        <v>6153</v>
      </c>
      <c r="C48" s="136" t="s">
        <v>6150</v>
      </c>
      <c r="D48" s="296" t="s">
        <v>6154</v>
      </c>
      <c r="E48" s="296" t="s">
        <v>6155</v>
      </c>
      <c r="F48" s="297">
        <v>4</v>
      </c>
      <c r="G48" s="296"/>
      <c r="H48" s="296"/>
      <c r="I48" s="136"/>
      <c r="J48" s="136"/>
      <c r="K48" s="136" t="s">
        <v>4</v>
      </c>
      <c r="L48" s="136" t="s">
        <v>6222</v>
      </c>
      <c r="M48" s="136" t="s">
        <v>6223</v>
      </c>
      <c r="N48" s="320"/>
    </row>
    <row r="49" spans="1:14" ht="19" customHeight="1">
      <c r="A49" s="356" t="s">
        <v>2533</v>
      </c>
      <c r="B49" s="137" t="s">
        <v>6156</v>
      </c>
      <c r="C49" s="136" t="s">
        <v>6150</v>
      </c>
      <c r="D49" s="296" t="s">
        <v>6157</v>
      </c>
      <c r="E49" s="296" t="s">
        <v>6158</v>
      </c>
      <c r="F49" s="297">
        <v>4</v>
      </c>
      <c r="G49" s="296"/>
      <c r="H49" s="296"/>
      <c r="I49" s="136"/>
      <c r="J49" s="136"/>
      <c r="K49" s="136" t="s">
        <v>4</v>
      </c>
      <c r="L49" s="136" t="s">
        <v>6222</v>
      </c>
      <c r="M49" s="136" t="s">
        <v>6223</v>
      </c>
      <c r="N49" s="320"/>
    </row>
    <row r="50" spans="1:14" ht="19" customHeight="1">
      <c r="A50" s="356" t="s">
        <v>2533</v>
      </c>
      <c r="B50" s="137" t="s">
        <v>6159</v>
      </c>
      <c r="C50" s="136" t="s">
        <v>6150</v>
      </c>
      <c r="D50" s="296" t="s">
        <v>6160</v>
      </c>
      <c r="E50" s="296" t="s">
        <v>6003</v>
      </c>
      <c r="F50" s="297">
        <v>4</v>
      </c>
      <c r="G50" s="296"/>
      <c r="H50" s="296"/>
      <c r="I50" s="136"/>
      <c r="J50" s="136"/>
      <c r="K50" s="136" t="s">
        <v>4</v>
      </c>
      <c r="L50" s="136" t="s">
        <v>6222</v>
      </c>
      <c r="M50" s="136" t="s">
        <v>6223</v>
      </c>
      <c r="N50" s="320"/>
    </row>
    <row r="51" spans="1:14" ht="19" customHeight="1">
      <c r="A51" s="356" t="s">
        <v>2533</v>
      </c>
      <c r="B51" s="137" t="s">
        <v>6161</v>
      </c>
      <c r="C51" s="136" t="s">
        <v>6150</v>
      </c>
      <c r="D51" s="296" t="s">
        <v>6162</v>
      </c>
      <c r="E51" s="296" t="s">
        <v>6003</v>
      </c>
      <c r="F51" s="297">
        <v>3</v>
      </c>
      <c r="G51" s="296"/>
      <c r="H51" s="296"/>
      <c r="I51" s="136"/>
      <c r="J51" s="136"/>
      <c r="K51" s="136" t="s">
        <v>4</v>
      </c>
      <c r="L51" s="136" t="s">
        <v>6222</v>
      </c>
      <c r="M51" s="136" t="s">
        <v>6223</v>
      </c>
      <c r="N51" s="320"/>
    </row>
    <row r="52" spans="1:14" ht="19" customHeight="1">
      <c r="A52" s="356" t="s">
        <v>2533</v>
      </c>
      <c r="B52" s="137" t="s">
        <v>6163</v>
      </c>
      <c r="C52" s="136" t="s">
        <v>6150</v>
      </c>
      <c r="D52" s="296" t="s">
        <v>6164</v>
      </c>
      <c r="E52" s="296" t="s">
        <v>2687</v>
      </c>
      <c r="F52" s="297">
        <v>3</v>
      </c>
      <c r="G52" s="296"/>
      <c r="H52" s="296"/>
      <c r="I52" s="136"/>
      <c r="J52" s="136"/>
      <c r="K52" s="136" t="s">
        <v>4</v>
      </c>
      <c r="L52" s="136" t="s">
        <v>6222</v>
      </c>
      <c r="M52" s="136" t="s">
        <v>6223</v>
      </c>
      <c r="N52" s="320"/>
    </row>
    <row r="53" spans="1:14" ht="19" customHeight="1">
      <c r="A53" s="356" t="s">
        <v>2533</v>
      </c>
      <c r="B53" s="137" t="s">
        <v>6165</v>
      </c>
      <c r="C53" s="136" t="s">
        <v>6166</v>
      </c>
      <c r="D53" s="296" t="s">
        <v>6167</v>
      </c>
      <c r="E53" s="296" t="s">
        <v>2683</v>
      </c>
      <c r="F53" s="297">
        <v>3</v>
      </c>
      <c r="G53" s="296"/>
      <c r="H53" s="296"/>
      <c r="I53" s="136"/>
      <c r="J53" s="136"/>
      <c r="K53" s="136" t="s">
        <v>4</v>
      </c>
      <c r="L53" s="136" t="s">
        <v>6222</v>
      </c>
      <c r="M53" s="136" t="s">
        <v>6223</v>
      </c>
      <c r="N53" s="320"/>
    </row>
    <row r="54" spans="1:14" ht="19" customHeight="1">
      <c r="A54" s="356" t="s">
        <v>2533</v>
      </c>
      <c r="B54" s="137" t="s">
        <v>6168</v>
      </c>
      <c r="C54" s="136" t="s">
        <v>6166</v>
      </c>
      <c r="D54" s="296" t="s">
        <v>6169</v>
      </c>
      <c r="E54" s="296" t="s">
        <v>6003</v>
      </c>
      <c r="F54" s="297">
        <v>4</v>
      </c>
      <c r="G54" s="296"/>
      <c r="H54" s="296"/>
      <c r="I54" s="136"/>
      <c r="J54" s="136"/>
      <c r="K54" s="136" t="s">
        <v>4</v>
      </c>
      <c r="L54" s="136" t="s">
        <v>6222</v>
      </c>
      <c r="M54" s="136" t="s">
        <v>6223</v>
      </c>
      <c r="N54" s="320"/>
    </row>
    <row r="55" spans="1:14" ht="19" customHeight="1">
      <c r="A55" s="356" t="s">
        <v>2533</v>
      </c>
      <c r="B55" s="137" t="s">
        <v>6170</v>
      </c>
      <c r="C55" s="136" t="s">
        <v>6166</v>
      </c>
      <c r="D55" s="296" t="s">
        <v>6171</v>
      </c>
      <c r="E55" s="296" t="s">
        <v>6003</v>
      </c>
      <c r="F55" s="297">
        <v>3</v>
      </c>
      <c r="G55" s="296"/>
      <c r="H55" s="296"/>
      <c r="I55" s="136"/>
      <c r="J55" s="136"/>
      <c r="K55" s="136" t="s">
        <v>4</v>
      </c>
      <c r="L55" s="136" t="s">
        <v>6222</v>
      </c>
      <c r="M55" s="136" t="s">
        <v>6223</v>
      </c>
      <c r="N55" s="320"/>
    </row>
    <row r="56" spans="1:14" ht="19" customHeight="1">
      <c r="A56" s="356" t="s">
        <v>2533</v>
      </c>
      <c r="B56" s="137" t="s">
        <v>6172</v>
      </c>
      <c r="C56" s="136" t="s">
        <v>6166</v>
      </c>
      <c r="D56" s="296" t="s">
        <v>6173</v>
      </c>
      <c r="E56" s="296" t="s">
        <v>6174</v>
      </c>
      <c r="F56" s="297">
        <v>3</v>
      </c>
      <c r="G56" s="296"/>
      <c r="H56" s="296"/>
      <c r="I56" s="136"/>
      <c r="J56" s="136"/>
      <c r="K56" s="136" t="s">
        <v>4</v>
      </c>
      <c r="L56" s="136" t="s">
        <v>6222</v>
      </c>
      <c r="M56" s="136" t="s">
        <v>6223</v>
      </c>
      <c r="N56" s="320"/>
    </row>
    <row r="57" spans="1:14" ht="19" customHeight="1">
      <c r="A57" s="356" t="s">
        <v>2533</v>
      </c>
      <c r="B57" s="137" t="s">
        <v>6175</v>
      </c>
      <c r="C57" s="136" t="s">
        <v>6166</v>
      </c>
      <c r="D57" s="296" t="s">
        <v>6176</v>
      </c>
      <c r="E57" s="296" t="s">
        <v>6003</v>
      </c>
      <c r="F57" s="297">
        <v>2</v>
      </c>
      <c r="G57" s="296"/>
      <c r="H57" s="296"/>
      <c r="I57" s="136"/>
      <c r="J57" s="136"/>
      <c r="K57" s="136" t="s">
        <v>4</v>
      </c>
      <c r="L57" s="136" t="s">
        <v>6222</v>
      </c>
      <c r="M57" s="136" t="s">
        <v>6223</v>
      </c>
      <c r="N57" s="320"/>
    </row>
    <row r="58" spans="1:14" ht="19" customHeight="1">
      <c r="A58" s="356" t="s">
        <v>2533</v>
      </c>
      <c r="B58" s="137" t="s">
        <v>6177</v>
      </c>
      <c r="C58" s="136" t="s">
        <v>6178</v>
      </c>
      <c r="D58" s="296" t="s">
        <v>6179</v>
      </c>
      <c r="E58" s="296" t="s">
        <v>6003</v>
      </c>
      <c r="F58" s="297">
        <v>3</v>
      </c>
      <c r="G58" s="296"/>
      <c r="H58" s="296"/>
      <c r="I58" s="136"/>
      <c r="J58" s="136"/>
      <c r="K58" s="136" t="s">
        <v>4</v>
      </c>
      <c r="L58" s="136" t="s">
        <v>6222</v>
      </c>
      <c r="M58" s="136" t="s">
        <v>6223</v>
      </c>
      <c r="N58" s="320"/>
    </row>
    <row r="59" spans="1:14" ht="19" customHeight="1">
      <c r="A59" s="356" t="s">
        <v>2533</v>
      </c>
      <c r="B59" s="137" t="s">
        <v>6180</v>
      </c>
      <c r="C59" s="136" t="s">
        <v>6178</v>
      </c>
      <c r="D59" s="296" t="s">
        <v>6181</v>
      </c>
      <c r="E59" s="296" t="s">
        <v>6182</v>
      </c>
      <c r="F59" s="297">
        <v>14</v>
      </c>
      <c r="G59" s="296"/>
      <c r="H59" s="296"/>
      <c r="I59" s="136"/>
      <c r="J59" s="136"/>
      <c r="K59" s="136" t="s">
        <v>4</v>
      </c>
      <c r="L59" s="136" t="s">
        <v>6222</v>
      </c>
      <c r="M59" s="136" t="s">
        <v>6223</v>
      </c>
      <c r="N59" s="320"/>
    </row>
    <row r="60" spans="1:14" ht="19" customHeight="1">
      <c r="A60" s="356" t="s">
        <v>2533</v>
      </c>
      <c r="B60" s="137" t="s">
        <v>6183</v>
      </c>
      <c r="C60" s="136" t="s">
        <v>6178</v>
      </c>
      <c r="D60" s="296" t="s">
        <v>6184</v>
      </c>
      <c r="E60" s="296" t="s">
        <v>6185</v>
      </c>
      <c r="F60" s="297">
        <v>12</v>
      </c>
      <c r="G60" s="296"/>
      <c r="H60" s="296"/>
      <c r="I60" s="136"/>
      <c r="J60" s="136"/>
      <c r="K60" s="136" t="s">
        <v>4</v>
      </c>
      <c r="L60" s="136" t="s">
        <v>6222</v>
      </c>
      <c r="M60" s="136" t="s">
        <v>6223</v>
      </c>
      <c r="N60" s="320"/>
    </row>
    <row r="61" spans="1:14" ht="19" customHeight="1">
      <c r="A61" s="356" t="s">
        <v>2533</v>
      </c>
      <c r="B61" s="137" t="s">
        <v>6186</v>
      </c>
      <c r="C61" s="136" t="s">
        <v>6178</v>
      </c>
      <c r="D61" s="296" t="s">
        <v>6187</v>
      </c>
      <c r="E61" s="296" t="s">
        <v>6188</v>
      </c>
      <c r="F61" s="297">
        <v>20</v>
      </c>
      <c r="G61" s="296"/>
      <c r="H61" s="296"/>
      <c r="I61" s="136"/>
      <c r="J61" s="136"/>
      <c r="K61" s="136" t="s">
        <v>4</v>
      </c>
      <c r="L61" s="136" t="s">
        <v>6222</v>
      </c>
      <c r="M61" s="136" t="s">
        <v>6223</v>
      </c>
      <c r="N61" s="320"/>
    </row>
    <row r="62" spans="1:14" ht="19" customHeight="1">
      <c r="A62" s="356" t="s">
        <v>2533</v>
      </c>
      <c r="B62" s="137" t="s">
        <v>6189</v>
      </c>
      <c r="C62" s="136" t="s">
        <v>6178</v>
      </c>
      <c r="D62" s="296" t="s">
        <v>6190</v>
      </c>
      <c r="E62" s="296" t="s">
        <v>6191</v>
      </c>
      <c r="F62" s="297">
        <v>18</v>
      </c>
      <c r="G62" s="296"/>
      <c r="H62" s="296"/>
      <c r="I62" s="136"/>
      <c r="J62" s="136"/>
      <c r="K62" s="136" t="s">
        <v>4</v>
      </c>
      <c r="L62" s="136" t="s">
        <v>6222</v>
      </c>
      <c r="M62" s="136" t="s">
        <v>6223</v>
      </c>
      <c r="N62" s="320"/>
    </row>
    <row r="63" spans="1:14" ht="19" customHeight="1">
      <c r="A63" s="356" t="s">
        <v>2533</v>
      </c>
      <c r="B63" s="137" t="s">
        <v>6192</v>
      </c>
      <c r="C63" s="136" t="s">
        <v>6178</v>
      </c>
      <c r="D63" s="296" t="s">
        <v>6193</v>
      </c>
      <c r="E63" s="296" t="s">
        <v>6194</v>
      </c>
      <c r="F63" s="297">
        <v>5</v>
      </c>
      <c r="G63" s="296"/>
      <c r="H63" s="296"/>
      <c r="I63" s="136"/>
      <c r="J63" s="136"/>
      <c r="K63" s="136" t="s">
        <v>4</v>
      </c>
      <c r="L63" s="136" t="s">
        <v>6222</v>
      </c>
      <c r="M63" s="136" t="s">
        <v>6223</v>
      </c>
      <c r="N63" s="320"/>
    </row>
    <row r="64" spans="1:14" ht="19" customHeight="1">
      <c r="A64" s="356" t="s">
        <v>2533</v>
      </c>
      <c r="B64" s="137" t="s">
        <v>6195</v>
      </c>
      <c r="C64" s="136" t="s">
        <v>6196</v>
      </c>
      <c r="D64" s="296" t="s">
        <v>6197</v>
      </c>
      <c r="E64" s="296" t="s">
        <v>6003</v>
      </c>
      <c r="F64" s="297">
        <v>4</v>
      </c>
      <c r="G64" s="296"/>
      <c r="H64" s="296"/>
      <c r="I64" s="136"/>
      <c r="J64" s="136"/>
      <c r="K64" s="136" t="s">
        <v>4</v>
      </c>
      <c r="L64" s="136" t="s">
        <v>6222</v>
      </c>
      <c r="M64" s="136" t="s">
        <v>6223</v>
      </c>
      <c r="N64" s="320"/>
    </row>
    <row r="65" spans="1:14" ht="19" customHeight="1">
      <c r="A65" s="356" t="s">
        <v>2533</v>
      </c>
      <c r="B65" s="137" t="s">
        <v>6198</v>
      </c>
      <c r="C65" s="136" t="s">
        <v>6196</v>
      </c>
      <c r="D65" s="296" t="s">
        <v>6199</v>
      </c>
      <c r="E65" s="296" t="s">
        <v>6003</v>
      </c>
      <c r="F65" s="297">
        <v>4</v>
      </c>
      <c r="G65" s="296"/>
      <c r="H65" s="296"/>
      <c r="I65" s="136"/>
      <c r="J65" s="136"/>
      <c r="K65" s="136" t="s">
        <v>4</v>
      </c>
      <c r="L65" s="136" t="s">
        <v>6222</v>
      </c>
      <c r="M65" s="136" t="s">
        <v>6223</v>
      </c>
      <c r="N65" s="320"/>
    </row>
    <row r="66" spans="1:14" ht="19" customHeight="1">
      <c r="A66" s="356" t="s">
        <v>2533</v>
      </c>
      <c r="B66" s="137" t="s">
        <v>6200</v>
      </c>
      <c r="C66" s="136" t="s">
        <v>6196</v>
      </c>
      <c r="D66" s="296" t="s">
        <v>6201</v>
      </c>
      <c r="E66" s="296" t="s">
        <v>6003</v>
      </c>
      <c r="F66" s="297">
        <v>4</v>
      </c>
      <c r="G66" s="296"/>
      <c r="H66" s="296"/>
      <c r="I66" s="136"/>
      <c r="J66" s="136"/>
      <c r="K66" s="136" t="s">
        <v>4</v>
      </c>
      <c r="L66" s="136" t="s">
        <v>6222</v>
      </c>
      <c r="M66" s="136" t="s">
        <v>6223</v>
      </c>
      <c r="N66" s="320"/>
    </row>
    <row r="67" spans="1:14" ht="19" customHeight="1">
      <c r="A67" s="356" t="s">
        <v>2533</v>
      </c>
      <c r="B67" s="137" t="s">
        <v>6202</v>
      </c>
      <c r="C67" s="136" t="s">
        <v>6196</v>
      </c>
      <c r="D67" s="296" t="s">
        <v>6203</v>
      </c>
      <c r="E67" s="296" t="s">
        <v>6003</v>
      </c>
      <c r="F67" s="297">
        <v>4</v>
      </c>
      <c r="G67" s="296"/>
      <c r="H67" s="296"/>
      <c r="I67" s="136"/>
      <c r="J67" s="136"/>
      <c r="K67" s="136" t="s">
        <v>4</v>
      </c>
      <c r="L67" s="136" t="s">
        <v>6222</v>
      </c>
      <c r="M67" s="136" t="s">
        <v>6223</v>
      </c>
      <c r="N67" s="320"/>
    </row>
    <row r="68" spans="1:14" ht="19" customHeight="1">
      <c r="A68" s="356" t="s">
        <v>2533</v>
      </c>
      <c r="B68" s="137" t="s">
        <v>6204</v>
      </c>
      <c r="C68" s="136" t="s">
        <v>6196</v>
      </c>
      <c r="D68" s="296" t="s">
        <v>6205</v>
      </c>
      <c r="E68" s="296" t="s">
        <v>6206</v>
      </c>
      <c r="F68" s="297">
        <v>5</v>
      </c>
      <c r="G68" s="296"/>
      <c r="H68" s="296"/>
      <c r="I68" s="136"/>
      <c r="J68" s="136"/>
      <c r="K68" s="136" t="s">
        <v>4</v>
      </c>
      <c r="L68" s="136" t="s">
        <v>6222</v>
      </c>
      <c r="M68" s="136" t="s">
        <v>6223</v>
      </c>
      <c r="N68" s="320"/>
    </row>
    <row r="69" spans="1:14" ht="19" customHeight="1">
      <c r="A69" s="356" t="s">
        <v>2533</v>
      </c>
      <c r="B69" s="137" t="s">
        <v>6207</v>
      </c>
      <c r="C69" s="136" t="s">
        <v>6196</v>
      </c>
      <c r="D69" s="296" t="s">
        <v>6208</v>
      </c>
      <c r="E69" s="296" t="s">
        <v>6209</v>
      </c>
      <c r="F69" s="297">
        <v>8</v>
      </c>
      <c r="G69" s="296"/>
      <c r="H69" s="296"/>
      <c r="I69" s="136"/>
      <c r="J69" s="136"/>
      <c r="K69" s="136" t="s">
        <v>4</v>
      </c>
      <c r="L69" s="136" t="s">
        <v>6222</v>
      </c>
      <c r="M69" s="136" t="s">
        <v>6223</v>
      </c>
      <c r="N69" s="320"/>
    </row>
    <row r="70" spans="1:14" ht="19" customHeight="1">
      <c r="A70" s="356" t="s">
        <v>6224</v>
      </c>
      <c r="B70" s="137" t="s">
        <v>2232</v>
      </c>
      <c r="C70" s="136" t="s">
        <v>503</v>
      </c>
      <c r="D70" s="296" t="s">
        <v>2233</v>
      </c>
      <c r="E70" s="296" t="s">
        <v>6225</v>
      </c>
      <c r="F70" s="297">
        <v>4</v>
      </c>
      <c r="G70" s="296" t="s">
        <v>5554</v>
      </c>
      <c r="H70" s="296" t="s">
        <v>2235</v>
      </c>
      <c r="I70" s="136" t="s">
        <v>2234</v>
      </c>
      <c r="J70" s="136" t="s">
        <v>2446</v>
      </c>
      <c r="K70" s="136" t="s">
        <v>2237</v>
      </c>
      <c r="L70" s="136" t="s">
        <v>2238</v>
      </c>
      <c r="M70" s="136" t="s">
        <v>2447</v>
      </c>
      <c r="N70" s="320" t="s">
        <v>6226</v>
      </c>
    </row>
    <row r="71" spans="1:14" ht="19" customHeight="1">
      <c r="A71" s="356" t="s">
        <v>6224</v>
      </c>
      <c r="B71" s="137" t="s">
        <v>2239</v>
      </c>
      <c r="C71" s="136" t="s">
        <v>503</v>
      </c>
      <c r="D71" s="296" t="s">
        <v>2240</v>
      </c>
      <c r="E71" s="296" t="s">
        <v>6227</v>
      </c>
      <c r="F71" s="297">
        <v>10</v>
      </c>
      <c r="G71" s="296" t="s">
        <v>5555</v>
      </c>
      <c r="H71" s="296" t="s">
        <v>2241</v>
      </c>
      <c r="I71" s="136" t="s">
        <v>2234</v>
      </c>
      <c r="J71" s="136" t="s">
        <v>2446</v>
      </c>
      <c r="K71" s="136" t="s">
        <v>2242</v>
      </c>
      <c r="L71" s="136" t="s">
        <v>2238</v>
      </c>
      <c r="M71" s="136" t="s">
        <v>2447</v>
      </c>
      <c r="N71" s="320" t="s">
        <v>6228</v>
      </c>
    </row>
    <row r="72" spans="1:14" ht="19" customHeight="1">
      <c r="A72" s="356" t="s">
        <v>6224</v>
      </c>
      <c r="B72" s="137" t="s">
        <v>2243</v>
      </c>
      <c r="C72" s="136" t="s">
        <v>503</v>
      </c>
      <c r="D72" s="296" t="s">
        <v>2244</v>
      </c>
      <c r="E72" s="296" t="s">
        <v>6229</v>
      </c>
      <c r="F72" s="297">
        <v>11</v>
      </c>
      <c r="G72" s="296" t="s">
        <v>5556</v>
      </c>
      <c r="H72" s="296" t="s">
        <v>2245</v>
      </c>
      <c r="I72" s="136" t="s">
        <v>2234</v>
      </c>
      <c r="J72" s="136" t="s">
        <v>2446</v>
      </c>
      <c r="K72" s="136" t="s">
        <v>2242</v>
      </c>
      <c r="L72" s="136" t="s">
        <v>2238</v>
      </c>
      <c r="M72" s="136" t="s">
        <v>2447</v>
      </c>
      <c r="N72" s="320" t="s">
        <v>6228</v>
      </c>
    </row>
    <row r="73" spans="1:14" ht="19" customHeight="1">
      <c r="A73" s="356" t="s">
        <v>6224</v>
      </c>
      <c r="B73" s="137" t="s">
        <v>2245</v>
      </c>
      <c r="C73" s="136" t="s">
        <v>503</v>
      </c>
      <c r="D73" s="296" t="s">
        <v>2246</v>
      </c>
      <c r="E73" s="296" t="s">
        <v>6230</v>
      </c>
      <c r="F73" s="297">
        <v>24</v>
      </c>
      <c r="G73" s="296" t="s">
        <v>5557</v>
      </c>
      <c r="H73" s="296" t="s">
        <v>2243</v>
      </c>
      <c r="I73" s="136" t="s">
        <v>2247</v>
      </c>
      <c r="J73" s="136" t="s">
        <v>2446</v>
      </c>
      <c r="K73" s="136" t="s">
        <v>2242</v>
      </c>
      <c r="L73" s="136" t="s">
        <v>2238</v>
      </c>
      <c r="M73" s="136" t="s">
        <v>2447</v>
      </c>
      <c r="N73" s="320" t="s">
        <v>6231</v>
      </c>
    </row>
    <row r="74" spans="1:14" ht="19" customHeight="1">
      <c r="A74" s="356" t="s">
        <v>6224</v>
      </c>
      <c r="B74" s="137" t="s">
        <v>2248</v>
      </c>
      <c r="C74" s="136" t="s">
        <v>503</v>
      </c>
      <c r="D74" s="296" t="s">
        <v>2249</v>
      </c>
      <c r="E74" s="296" t="s">
        <v>6723</v>
      </c>
      <c r="F74" s="297">
        <v>4</v>
      </c>
      <c r="G74" s="296" t="s">
        <v>5558</v>
      </c>
      <c r="H74" s="296" t="s">
        <v>2250</v>
      </c>
      <c r="I74" s="136" t="s">
        <v>2234</v>
      </c>
      <c r="J74" s="136" t="s">
        <v>2446</v>
      </c>
      <c r="K74" s="136" t="s">
        <v>2237</v>
      </c>
      <c r="L74" s="136" t="s">
        <v>2238</v>
      </c>
      <c r="M74" s="136" t="s">
        <v>2447</v>
      </c>
      <c r="N74" s="320" t="s">
        <v>6226</v>
      </c>
    </row>
    <row r="75" spans="1:14" ht="19" customHeight="1">
      <c r="A75" s="356" t="s">
        <v>6224</v>
      </c>
      <c r="B75" s="137" t="s">
        <v>2251</v>
      </c>
      <c r="C75" s="136" t="s">
        <v>503</v>
      </c>
      <c r="D75" s="296" t="s">
        <v>2252</v>
      </c>
      <c r="E75" s="296" t="s">
        <v>6232</v>
      </c>
      <c r="F75" s="297">
        <v>9</v>
      </c>
      <c r="G75" s="296" t="s">
        <v>5559</v>
      </c>
      <c r="H75" s="296" t="s">
        <v>2232</v>
      </c>
      <c r="I75" s="136" t="s">
        <v>2234</v>
      </c>
      <c r="J75" s="136" t="s">
        <v>2446</v>
      </c>
      <c r="K75" s="136" t="s">
        <v>2242</v>
      </c>
      <c r="L75" s="136" t="s">
        <v>2238</v>
      </c>
      <c r="M75" s="136" t="s">
        <v>2447</v>
      </c>
      <c r="N75" s="320" t="s">
        <v>6233</v>
      </c>
    </row>
    <row r="76" spans="1:14" ht="19" customHeight="1">
      <c r="A76" s="356" t="s">
        <v>6224</v>
      </c>
      <c r="B76" s="137" t="s">
        <v>2253</v>
      </c>
      <c r="C76" s="136" t="s">
        <v>503</v>
      </c>
      <c r="D76" s="296" t="s">
        <v>2254</v>
      </c>
      <c r="E76" s="296" t="s">
        <v>6234</v>
      </c>
      <c r="F76" s="297">
        <v>4</v>
      </c>
      <c r="G76" s="296" t="s">
        <v>5560</v>
      </c>
      <c r="H76" s="296" t="s">
        <v>2232</v>
      </c>
      <c r="I76" s="136" t="s">
        <v>2234</v>
      </c>
      <c r="J76" s="136" t="s">
        <v>2446</v>
      </c>
      <c r="K76" s="136" t="s">
        <v>2237</v>
      </c>
      <c r="L76" s="136" t="s">
        <v>2238</v>
      </c>
      <c r="M76" s="136" t="s">
        <v>2447</v>
      </c>
      <c r="N76" s="320" t="s">
        <v>6226</v>
      </c>
    </row>
    <row r="77" spans="1:14" ht="19" customHeight="1">
      <c r="A77" s="356" t="s">
        <v>6224</v>
      </c>
      <c r="B77" s="137" t="s">
        <v>2255</v>
      </c>
      <c r="C77" s="136" t="s">
        <v>503</v>
      </c>
      <c r="D77" s="296" t="s">
        <v>2256</v>
      </c>
      <c r="E77" s="296" t="s">
        <v>6235</v>
      </c>
      <c r="F77" s="297">
        <v>12</v>
      </c>
      <c r="G77" s="296" t="s">
        <v>5561</v>
      </c>
      <c r="H77" s="296" t="s">
        <v>2258</v>
      </c>
      <c r="I77" s="136" t="s">
        <v>2257</v>
      </c>
      <c r="J77" s="136" t="s">
        <v>2446</v>
      </c>
      <c r="K77" s="136" t="s">
        <v>2242</v>
      </c>
      <c r="L77" s="136" t="s">
        <v>2238</v>
      </c>
      <c r="M77" s="136" t="s">
        <v>2447</v>
      </c>
      <c r="N77" s="320" t="s">
        <v>6236</v>
      </c>
    </row>
    <row r="78" spans="1:14" ht="19" customHeight="1">
      <c r="A78" s="356" t="s">
        <v>6224</v>
      </c>
      <c r="B78" s="137" t="s">
        <v>2448</v>
      </c>
      <c r="C78" s="136" t="s">
        <v>503</v>
      </c>
      <c r="D78" s="296" t="s">
        <v>2449</v>
      </c>
      <c r="E78" s="296" t="s">
        <v>6237</v>
      </c>
      <c r="F78" s="297">
        <v>8</v>
      </c>
      <c r="G78" s="296" t="s">
        <v>5654</v>
      </c>
      <c r="H78" s="296" t="s">
        <v>2232</v>
      </c>
      <c r="I78" s="136" t="s">
        <v>2308</v>
      </c>
      <c r="J78" s="136" t="s">
        <v>2450</v>
      </c>
      <c r="K78" s="136" t="s">
        <v>2451</v>
      </c>
      <c r="L78" s="136" t="s">
        <v>2452</v>
      </c>
      <c r="M78" s="136" t="s">
        <v>2453</v>
      </c>
      <c r="N78" s="320" t="s">
        <v>6238</v>
      </c>
    </row>
    <row r="79" spans="1:14" ht="19" customHeight="1">
      <c r="A79" s="356" t="s">
        <v>6224</v>
      </c>
      <c r="B79" s="137" t="s">
        <v>2454</v>
      </c>
      <c r="C79" s="136" t="s">
        <v>503</v>
      </c>
      <c r="D79" s="296" t="s">
        <v>2455</v>
      </c>
      <c r="E79" s="296" t="s">
        <v>6239</v>
      </c>
      <c r="F79" s="297">
        <v>10</v>
      </c>
      <c r="G79" s="296" t="s">
        <v>5562</v>
      </c>
      <c r="H79" s="296" t="s">
        <v>2239</v>
      </c>
      <c r="I79" s="136" t="s">
        <v>2234</v>
      </c>
      <c r="J79" s="136" t="s">
        <v>2446</v>
      </c>
      <c r="K79" s="136" t="s">
        <v>2237</v>
      </c>
      <c r="L79" s="136" t="s">
        <v>2452</v>
      </c>
      <c r="M79" s="136" t="s">
        <v>2456</v>
      </c>
      <c r="N79" s="320" t="s">
        <v>6240</v>
      </c>
    </row>
    <row r="80" spans="1:14" ht="19" customHeight="1">
      <c r="A80" s="356" t="s">
        <v>6224</v>
      </c>
      <c r="B80" s="137" t="s">
        <v>2259</v>
      </c>
      <c r="C80" s="136" t="s">
        <v>510</v>
      </c>
      <c r="D80" s="296" t="s">
        <v>2260</v>
      </c>
      <c r="E80" s="296" t="s">
        <v>6241</v>
      </c>
      <c r="F80" s="297">
        <v>10</v>
      </c>
      <c r="G80" s="296" t="s">
        <v>5563</v>
      </c>
      <c r="H80" s="296" t="s">
        <v>2262</v>
      </c>
      <c r="I80" s="136" t="s">
        <v>2261</v>
      </c>
      <c r="J80" s="136" t="s">
        <v>2446</v>
      </c>
      <c r="K80" s="136" t="s">
        <v>2237</v>
      </c>
      <c r="L80" s="136" t="s">
        <v>2238</v>
      </c>
      <c r="M80" s="136" t="s">
        <v>2447</v>
      </c>
      <c r="N80" s="320" t="s">
        <v>6240</v>
      </c>
    </row>
    <row r="81" spans="1:14" ht="19" customHeight="1">
      <c r="A81" s="356" t="s">
        <v>6224</v>
      </c>
      <c r="B81" s="137" t="s">
        <v>2263</v>
      </c>
      <c r="C81" s="136" t="s">
        <v>510</v>
      </c>
      <c r="D81" s="296" t="s">
        <v>2264</v>
      </c>
      <c r="E81" s="296" t="s">
        <v>6242</v>
      </c>
      <c r="F81" s="297">
        <v>11</v>
      </c>
      <c r="G81" s="296" t="s">
        <v>5564</v>
      </c>
      <c r="H81" s="296" t="s">
        <v>2245</v>
      </c>
      <c r="I81" s="136" t="s">
        <v>2265</v>
      </c>
      <c r="J81" s="136" t="s">
        <v>2446</v>
      </c>
      <c r="K81" s="136" t="s">
        <v>2242</v>
      </c>
      <c r="L81" s="136" t="s">
        <v>2238</v>
      </c>
      <c r="M81" s="136" t="s">
        <v>2447</v>
      </c>
      <c r="N81" s="320" t="s">
        <v>6228</v>
      </c>
    </row>
    <row r="82" spans="1:14" ht="19" customHeight="1">
      <c r="A82" s="356" t="s">
        <v>6224</v>
      </c>
      <c r="B82" s="137" t="s">
        <v>2266</v>
      </c>
      <c r="C82" s="136" t="s">
        <v>510</v>
      </c>
      <c r="D82" s="296" t="s">
        <v>2267</v>
      </c>
      <c r="E82" s="296" t="s">
        <v>6243</v>
      </c>
      <c r="F82" s="297">
        <v>22</v>
      </c>
      <c r="G82" s="296" t="s">
        <v>5565</v>
      </c>
      <c r="H82" s="296" t="s">
        <v>2259</v>
      </c>
      <c r="I82" s="136" t="s">
        <v>2268</v>
      </c>
      <c r="J82" s="136" t="s">
        <v>2446</v>
      </c>
      <c r="K82" s="136" t="s">
        <v>2242</v>
      </c>
      <c r="L82" s="136" t="s">
        <v>2238</v>
      </c>
      <c r="M82" s="136" t="s">
        <v>2447</v>
      </c>
      <c r="N82" s="320" t="s">
        <v>6244</v>
      </c>
    </row>
    <row r="83" spans="1:14" ht="19" customHeight="1">
      <c r="A83" s="356" t="s">
        <v>6224</v>
      </c>
      <c r="B83" s="137" t="s">
        <v>2269</v>
      </c>
      <c r="C83" s="136" t="s">
        <v>510</v>
      </c>
      <c r="D83" s="296" t="s">
        <v>2270</v>
      </c>
      <c r="E83" s="296" t="s">
        <v>6245</v>
      </c>
      <c r="F83" s="297">
        <v>22</v>
      </c>
      <c r="G83" s="296" t="s">
        <v>5566</v>
      </c>
      <c r="H83" s="296" t="s">
        <v>2272</v>
      </c>
      <c r="I83" s="136" t="s">
        <v>2271</v>
      </c>
      <c r="J83" s="136" t="s">
        <v>2446</v>
      </c>
      <c r="K83" s="136" t="s">
        <v>2242</v>
      </c>
      <c r="L83" s="136" t="s">
        <v>2238</v>
      </c>
      <c r="M83" s="136" t="s">
        <v>2447</v>
      </c>
      <c r="N83" s="320" t="s">
        <v>6244</v>
      </c>
    </row>
    <row r="84" spans="1:14" ht="19" customHeight="1">
      <c r="A84" s="356" t="s">
        <v>6224</v>
      </c>
      <c r="B84" s="137" t="s">
        <v>2273</v>
      </c>
      <c r="C84" s="136" t="s">
        <v>510</v>
      </c>
      <c r="D84" s="296" t="s">
        <v>2274</v>
      </c>
      <c r="E84" s="296" t="s">
        <v>6246</v>
      </c>
      <c r="F84" s="297">
        <v>12</v>
      </c>
      <c r="G84" s="296" t="s">
        <v>5567</v>
      </c>
      <c r="H84" s="296" t="s">
        <v>2275</v>
      </c>
      <c r="I84" s="136" t="s">
        <v>2268</v>
      </c>
      <c r="J84" s="136" t="s">
        <v>2446</v>
      </c>
      <c r="K84" s="136" t="s">
        <v>2237</v>
      </c>
      <c r="L84" s="136" t="s">
        <v>2238</v>
      </c>
      <c r="M84" s="136" t="s">
        <v>2447</v>
      </c>
      <c r="N84" s="320" t="s">
        <v>6240</v>
      </c>
    </row>
    <row r="85" spans="1:14" ht="19" customHeight="1">
      <c r="A85" s="356" t="s">
        <v>6224</v>
      </c>
      <c r="B85" s="137" t="s">
        <v>2276</v>
      </c>
      <c r="C85" s="136" t="s">
        <v>510</v>
      </c>
      <c r="D85" s="296" t="s">
        <v>2277</v>
      </c>
      <c r="E85" s="296" t="s">
        <v>6247</v>
      </c>
      <c r="F85" s="297">
        <v>10</v>
      </c>
      <c r="G85" s="296" t="s">
        <v>5568</v>
      </c>
      <c r="H85" s="296" t="s">
        <v>2273</v>
      </c>
      <c r="I85" s="136" t="s">
        <v>2278</v>
      </c>
      <c r="J85" s="136" t="s">
        <v>2446</v>
      </c>
      <c r="K85" s="136" t="s">
        <v>2237</v>
      </c>
      <c r="L85" s="136" t="s">
        <v>2238</v>
      </c>
      <c r="M85" s="136" t="s">
        <v>2447</v>
      </c>
      <c r="N85" s="320" t="s">
        <v>6240</v>
      </c>
    </row>
    <row r="86" spans="1:14" ht="19" customHeight="1">
      <c r="A86" s="356" t="s">
        <v>6224</v>
      </c>
      <c r="B86" s="137" t="s">
        <v>2279</v>
      </c>
      <c r="C86" s="136" t="s">
        <v>510</v>
      </c>
      <c r="D86" s="296" t="s">
        <v>2280</v>
      </c>
      <c r="E86" s="296" t="s">
        <v>6248</v>
      </c>
      <c r="F86" s="297">
        <v>11</v>
      </c>
      <c r="G86" s="296" t="s">
        <v>5569</v>
      </c>
      <c r="H86" s="296" t="s">
        <v>2281</v>
      </c>
      <c r="I86" s="136" t="s">
        <v>2247</v>
      </c>
      <c r="J86" s="136" t="s">
        <v>2446</v>
      </c>
      <c r="K86" s="136" t="s">
        <v>2242</v>
      </c>
      <c r="L86" s="136" t="s">
        <v>2238</v>
      </c>
      <c r="M86" s="136" t="s">
        <v>2447</v>
      </c>
      <c r="N86" s="320" t="s">
        <v>6228</v>
      </c>
    </row>
    <row r="87" spans="1:14" ht="19" customHeight="1">
      <c r="A87" s="356" t="s">
        <v>6224</v>
      </c>
      <c r="B87" s="137" t="s">
        <v>2282</v>
      </c>
      <c r="C87" s="136" t="s">
        <v>510</v>
      </c>
      <c r="D87" s="296" t="s">
        <v>2283</v>
      </c>
      <c r="E87" s="296" t="s">
        <v>6249</v>
      </c>
      <c r="F87" s="297">
        <v>12</v>
      </c>
      <c r="G87" s="296" t="s">
        <v>5570</v>
      </c>
      <c r="H87" s="296" t="s">
        <v>2284</v>
      </c>
      <c r="I87" s="136" t="s">
        <v>2268</v>
      </c>
      <c r="J87" s="136" t="s">
        <v>2446</v>
      </c>
      <c r="K87" s="136" t="s">
        <v>2237</v>
      </c>
      <c r="L87" s="136" t="s">
        <v>2238</v>
      </c>
      <c r="M87" s="136" t="s">
        <v>2447</v>
      </c>
      <c r="N87" s="320" t="s">
        <v>6240</v>
      </c>
    </row>
    <row r="88" spans="1:14" ht="19" customHeight="1">
      <c r="A88" s="356" t="s">
        <v>6224</v>
      </c>
      <c r="B88" s="137" t="s">
        <v>2457</v>
      </c>
      <c r="C88" s="136" t="s">
        <v>510</v>
      </c>
      <c r="D88" s="296" t="s">
        <v>2458</v>
      </c>
      <c r="E88" s="296" t="s">
        <v>6250</v>
      </c>
      <c r="F88" s="297">
        <v>9</v>
      </c>
      <c r="G88" s="296" t="s">
        <v>5571</v>
      </c>
      <c r="H88" s="296" t="s">
        <v>2273</v>
      </c>
      <c r="I88" s="136" t="s">
        <v>2268</v>
      </c>
      <c r="J88" s="136" t="s">
        <v>2446</v>
      </c>
      <c r="K88" s="136" t="s">
        <v>2237</v>
      </c>
      <c r="L88" s="136" t="s">
        <v>2452</v>
      </c>
      <c r="M88" s="136" t="s">
        <v>916</v>
      </c>
      <c r="N88" s="320" t="s">
        <v>6240</v>
      </c>
    </row>
    <row r="89" spans="1:14" ht="19" customHeight="1">
      <c r="A89" s="356" t="s">
        <v>6224</v>
      </c>
      <c r="B89" s="137" t="s">
        <v>2459</v>
      </c>
      <c r="C89" s="136" t="s">
        <v>510</v>
      </c>
      <c r="D89" s="296" t="s">
        <v>2460</v>
      </c>
      <c r="E89" s="296" t="s">
        <v>6251</v>
      </c>
      <c r="F89" s="297">
        <v>9</v>
      </c>
      <c r="G89" s="296" t="s">
        <v>5572</v>
      </c>
      <c r="H89" s="296" t="s">
        <v>2269</v>
      </c>
      <c r="I89" s="136" t="s">
        <v>2268</v>
      </c>
      <c r="J89" s="136" t="s">
        <v>2446</v>
      </c>
      <c r="K89" s="136" t="s">
        <v>2237</v>
      </c>
      <c r="L89" s="136" t="s">
        <v>2452</v>
      </c>
      <c r="M89" s="136" t="s">
        <v>915</v>
      </c>
      <c r="N89" s="320" t="s">
        <v>6240</v>
      </c>
    </row>
    <row r="90" spans="1:14" ht="19" customHeight="1">
      <c r="A90" s="356" t="s">
        <v>6224</v>
      </c>
      <c r="B90" s="137" t="s">
        <v>2461</v>
      </c>
      <c r="C90" s="136" t="s">
        <v>510</v>
      </c>
      <c r="D90" s="296" t="s">
        <v>2462</v>
      </c>
      <c r="E90" s="296" t="s">
        <v>6252</v>
      </c>
      <c r="F90" s="297">
        <v>6</v>
      </c>
      <c r="G90" s="296" t="s">
        <v>5573</v>
      </c>
      <c r="H90" s="296" t="s">
        <v>2266</v>
      </c>
      <c r="I90" s="136" t="s">
        <v>2308</v>
      </c>
      <c r="J90" s="136" t="s">
        <v>2446</v>
      </c>
      <c r="K90" s="136" t="s">
        <v>2237</v>
      </c>
      <c r="L90" s="136" t="s">
        <v>2452</v>
      </c>
      <c r="M90" s="136" t="s">
        <v>914</v>
      </c>
      <c r="N90" s="320" t="s">
        <v>6226</v>
      </c>
    </row>
    <row r="91" spans="1:14" ht="19" customHeight="1">
      <c r="A91" s="356" t="s">
        <v>6224</v>
      </c>
      <c r="B91" s="137" t="s">
        <v>2285</v>
      </c>
      <c r="C91" s="136" t="s">
        <v>1047</v>
      </c>
      <c r="D91" s="296" t="s">
        <v>2286</v>
      </c>
      <c r="E91" s="296" t="s">
        <v>6253</v>
      </c>
      <c r="F91" s="297">
        <v>10</v>
      </c>
      <c r="G91" s="296" t="s">
        <v>5574</v>
      </c>
      <c r="H91" s="296" t="s">
        <v>2243</v>
      </c>
      <c r="I91" s="136" t="s">
        <v>2287</v>
      </c>
      <c r="J91" s="136" t="s">
        <v>2446</v>
      </c>
      <c r="K91" s="136" t="s">
        <v>2237</v>
      </c>
      <c r="L91" s="136" t="s">
        <v>2238</v>
      </c>
      <c r="M91" s="136" t="s">
        <v>2447</v>
      </c>
      <c r="N91" s="320" t="s">
        <v>6240</v>
      </c>
    </row>
    <row r="92" spans="1:14" ht="19" customHeight="1">
      <c r="A92" s="356" t="s">
        <v>6224</v>
      </c>
      <c r="B92" s="137" t="s">
        <v>2288</v>
      </c>
      <c r="C92" s="136" t="s">
        <v>1047</v>
      </c>
      <c r="D92" s="296" t="s">
        <v>2289</v>
      </c>
      <c r="E92" s="296" t="s">
        <v>6254</v>
      </c>
      <c r="F92" s="297">
        <v>5</v>
      </c>
      <c r="G92" s="296" t="s">
        <v>5575</v>
      </c>
      <c r="H92" s="296" t="s">
        <v>2285</v>
      </c>
      <c r="I92" s="136" t="s">
        <v>2290</v>
      </c>
      <c r="J92" s="136" t="s">
        <v>2446</v>
      </c>
      <c r="K92" s="136" t="s">
        <v>2237</v>
      </c>
      <c r="L92" s="136" t="s">
        <v>2238</v>
      </c>
      <c r="M92" s="136" t="s">
        <v>2447</v>
      </c>
      <c r="N92" s="320" t="s">
        <v>6226</v>
      </c>
    </row>
    <row r="93" spans="1:14" ht="19" customHeight="1">
      <c r="A93" s="356" t="s">
        <v>6224</v>
      </c>
      <c r="B93" s="137" t="s">
        <v>2291</v>
      </c>
      <c r="C93" s="136" t="s">
        <v>1047</v>
      </c>
      <c r="D93" s="296" t="s">
        <v>2292</v>
      </c>
      <c r="E93" s="296" t="s">
        <v>6255</v>
      </c>
      <c r="F93" s="297">
        <v>12</v>
      </c>
      <c r="G93" s="296" t="s">
        <v>5576</v>
      </c>
      <c r="H93" s="296" t="s">
        <v>2294</v>
      </c>
      <c r="I93" s="136" t="s">
        <v>2293</v>
      </c>
      <c r="J93" s="136" t="s">
        <v>2446</v>
      </c>
      <c r="K93" s="136" t="s">
        <v>2237</v>
      </c>
      <c r="L93" s="136" t="s">
        <v>2238</v>
      </c>
      <c r="M93" s="136" t="s">
        <v>2447</v>
      </c>
      <c r="N93" s="320" t="s">
        <v>6240</v>
      </c>
    </row>
    <row r="94" spans="1:14" ht="19" customHeight="1">
      <c r="A94" s="356" t="s">
        <v>6224</v>
      </c>
      <c r="B94" s="137" t="s">
        <v>2295</v>
      </c>
      <c r="C94" s="136" t="s">
        <v>1047</v>
      </c>
      <c r="D94" s="296" t="s">
        <v>2296</v>
      </c>
      <c r="E94" s="296" t="s">
        <v>6256</v>
      </c>
      <c r="F94" s="297">
        <v>12</v>
      </c>
      <c r="G94" s="296" t="s">
        <v>5577</v>
      </c>
      <c r="H94" s="296" t="s">
        <v>2297</v>
      </c>
      <c r="I94" s="136" t="s">
        <v>2268</v>
      </c>
      <c r="J94" s="136" t="s">
        <v>2446</v>
      </c>
      <c r="K94" s="136" t="s">
        <v>2237</v>
      </c>
      <c r="L94" s="136" t="s">
        <v>2238</v>
      </c>
      <c r="M94" s="136" t="s">
        <v>2447</v>
      </c>
      <c r="N94" s="320" t="s">
        <v>6240</v>
      </c>
    </row>
    <row r="95" spans="1:14" ht="19" customHeight="1">
      <c r="A95" s="356" t="s">
        <v>6224</v>
      </c>
      <c r="B95" s="137" t="s">
        <v>2298</v>
      </c>
      <c r="C95" s="136" t="s">
        <v>1047</v>
      </c>
      <c r="D95" s="296" t="s">
        <v>2299</v>
      </c>
      <c r="E95" s="296" t="s">
        <v>6257</v>
      </c>
      <c r="F95" s="297">
        <v>5</v>
      </c>
      <c r="G95" s="296" t="s">
        <v>5578</v>
      </c>
      <c r="H95" s="296" t="s">
        <v>2300</v>
      </c>
      <c r="I95" s="136" t="s">
        <v>2268</v>
      </c>
      <c r="J95" s="136" t="s">
        <v>2446</v>
      </c>
      <c r="K95" s="136" t="s">
        <v>2237</v>
      </c>
      <c r="L95" s="136" t="s">
        <v>2238</v>
      </c>
      <c r="M95" s="136" t="s">
        <v>2447</v>
      </c>
      <c r="N95" s="320" t="s">
        <v>6226</v>
      </c>
    </row>
    <row r="96" spans="1:14" ht="19" customHeight="1">
      <c r="A96" s="356" t="s">
        <v>6224</v>
      </c>
      <c r="B96" s="137" t="s">
        <v>2301</v>
      </c>
      <c r="C96" s="136" t="s">
        <v>1047</v>
      </c>
      <c r="D96" s="296" t="s">
        <v>2302</v>
      </c>
      <c r="E96" s="296" t="s">
        <v>6258</v>
      </c>
      <c r="F96" s="297">
        <v>10</v>
      </c>
      <c r="G96" s="296" t="s">
        <v>5579</v>
      </c>
      <c r="H96" s="296" t="s">
        <v>2304</v>
      </c>
      <c r="I96" s="136" t="s">
        <v>2303</v>
      </c>
      <c r="J96" s="136" t="s">
        <v>2446</v>
      </c>
      <c r="K96" s="136" t="s">
        <v>2305</v>
      </c>
      <c r="L96" s="136" t="s">
        <v>2238</v>
      </c>
      <c r="M96" s="136" t="s">
        <v>2447</v>
      </c>
      <c r="N96" s="320" t="s">
        <v>6240</v>
      </c>
    </row>
    <row r="97" spans="1:14" ht="19" customHeight="1">
      <c r="A97" s="356" t="s">
        <v>6224</v>
      </c>
      <c r="B97" s="137" t="s">
        <v>2306</v>
      </c>
      <c r="C97" s="136" t="s">
        <v>1047</v>
      </c>
      <c r="D97" s="296" t="s">
        <v>2307</v>
      </c>
      <c r="E97" s="296" t="s">
        <v>6259</v>
      </c>
      <c r="F97" s="297">
        <v>3</v>
      </c>
      <c r="G97" s="296" t="s">
        <v>5580</v>
      </c>
      <c r="H97" s="296" t="s">
        <v>2288</v>
      </c>
      <c r="I97" s="136" t="s">
        <v>2308</v>
      </c>
      <c r="J97" s="136" t="s">
        <v>2446</v>
      </c>
      <c r="K97" s="136" t="s">
        <v>2309</v>
      </c>
      <c r="L97" s="136" t="s">
        <v>2238</v>
      </c>
      <c r="M97" s="136" t="s">
        <v>2447</v>
      </c>
      <c r="N97" s="320" t="s">
        <v>6226</v>
      </c>
    </row>
    <row r="98" spans="1:14" ht="19" customHeight="1">
      <c r="A98" s="356" t="s">
        <v>6224</v>
      </c>
      <c r="B98" s="137" t="s">
        <v>2310</v>
      </c>
      <c r="C98" s="136" t="s">
        <v>1047</v>
      </c>
      <c r="D98" s="296" t="s">
        <v>2311</v>
      </c>
      <c r="E98" s="296" t="s">
        <v>6260</v>
      </c>
      <c r="F98" s="297">
        <v>4</v>
      </c>
      <c r="G98" s="296" t="s">
        <v>5581</v>
      </c>
      <c r="H98" s="296" t="s">
        <v>2294</v>
      </c>
      <c r="I98" s="136" t="s">
        <v>2290</v>
      </c>
      <c r="J98" s="136" t="s">
        <v>2446</v>
      </c>
      <c r="K98" s="136" t="s">
        <v>2242</v>
      </c>
      <c r="L98" s="136" t="s">
        <v>2238</v>
      </c>
      <c r="M98" s="136" t="s">
        <v>2447</v>
      </c>
      <c r="N98" s="320" t="s">
        <v>6226</v>
      </c>
    </row>
    <row r="99" spans="1:14" ht="19" customHeight="1">
      <c r="A99" s="356" t="s">
        <v>6224</v>
      </c>
      <c r="B99" s="137" t="s">
        <v>2312</v>
      </c>
      <c r="C99" s="136" t="s">
        <v>1047</v>
      </c>
      <c r="D99" s="296" t="s">
        <v>1429</v>
      </c>
      <c r="E99" s="296" t="s">
        <v>6261</v>
      </c>
      <c r="F99" s="297">
        <v>5</v>
      </c>
      <c r="G99" s="296" t="s">
        <v>5582</v>
      </c>
      <c r="H99" s="296" t="s">
        <v>2285</v>
      </c>
      <c r="I99" s="136" t="s">
        <v>2313</v>
      </c>
      <c r="J99" s="136" t="s">
        <v>2446</v>
      </c>
      <c r="K99" s="136" t="s">
        <v>2237</v>
      </c>
      <c r="L99" s="136" t="s">
        <v>2314</v>
      </c>
      <c r="M99" s="136" t="s">
        <v>2447</v>
      </c>
      <c r="N99" s="320" t="s">
        <v>6226</v>
      </c>
    </row>
    <row r="100" spans="1:14" ht="19" customHeight="1">
      <c r="A100" s="356" t="s">
        <v>6224</v>
      </c>
      <c r="B100" s="137" t="s">
        <v>2315</v>
      </c>
      <c r="C100" s="136" t="s">
        <v>1047</v>
      </c>
      <c r="D100" s="296" t="s">
        <v>1431</v>
      </c>
      <c r="E100" s="296" t="s">
        <v>6262</v>
      </c>
      <c r="F100" s="297">
        <v>4</v>
      </c>
      <c r="G100" s="296" t="s">
        <v>5583</v>
      </c>
      <c r="H100" s="296" t="s">
        <v>2291</v>
      </c>
      <c r="I100" s="136" t="s">
        <v>2234</v>
      </c>
      <c r="J100" s="136" t="s">
        <v>2446</v>
      </c>
      <c r="K100" s="136" t="s">
        <v>2237</v>
      </c>
      <c r="L100" s="136" t="s">
        <v>2314</v>
      </c>
      <c r="M100" s="136" t="s">
        <v>2447</v>
      </c>
      <c r="N100" s="320" t="s">
        <v>6226</v>
      </c>
    </row>
    <row r="101" spans="1:14" ht="19" customHeight="1">
      <c r="A101" s="356" t="s">
        <v>6224</v>
      </c>
      <c r="B101" s="137" t="s">
        <v>2463</v>
      </c>
      <c r="C101" s="136" t="s">
        <v>1047</v>
      </c>
      <c r="D101" s="296" t="s">
        <v>2464</v>
      </c>
      <c r="E101" s="296" t="s">
        <v>6263</v>
      </c>
      <c r="F101" s="297">
        <v>4</v>
      </c>
      <c r="G101" s="296" t="s">
        <v>5584</v>
      </c>
      <c r="H101" s="296" t="s">
        <v>2315</v>
      </c>
      <c r="I101" s="136" t="s">
        <v>2308</v>
      </c>
      <c r="J101" s="136" t="s">
        <v>2446</v>
      </c>
      <c r="K101" s="136" t="s">
        <v>2237</v>
      </c>
      <c r="L101" s="136" t="s">
        <v>2452</v>
      </c>
      <c r="M101" s="136" t="s">
        <v>1432</v>
      </c>
      <c r="N101" s="320" t="s">
        <v>6226</v>
      </c>
    </row>
    <row r="102" spans="1:14" ht="19" customHeight="1">
      <c r="A102" s="356" t="s">
        <v>6224</v>
      </c>
      <c r="B102" s="137" t="s">
        <v>2316</v>
      </c>
      <c r="C102" s="136" t="s">
        <v>917</v>
      </c>
      <c r="D102" s="296" t="s">
        <v>2317</v>
      </c>
      <c r="E102" s="296" t="s">
        <v>6264</v>
      </c>
      <c r="F102" s="297">
        <v>5</v>
      </c>
      <c r="G102" s="296" t="s">
        <v>5585</v>
      </c>
      <c r="H102" s="296" t="s">
        <v>2248</v>
      </c>
      <c r="I102" s="136" t="s">
        <v>2234</v>
      </c>
      <c r="J102" s="136" t="s">
        <v>2446</v>
      </c>
      <c r="K102" s="136" t="s">
        <v>2237</v>
      </c>
      <c r="L102" s="136" t="s">
        <v>2238</v>
      </c>
      <c r="M102" s="136" t="s">
        <v>2447</v>
      </c>
      <c r="N102" s="320" t="s">
        <v>6226</v>
      </c>
    </row>
    <row r="103" spans="1:14" ht="19" customHeight="1">
      <c r="A103" s="356" t="s">
        <v>6224</v>
      </c>
      <c r="B103" s="137" t="s">
        <v>2318</v>
      </c>
      <c r="C103" s="136" t="s">
        <v>917</v>
      </c>
      <c r="D103" s="296" t="s">
        <v>2319</v>
      </c>
      <c r="E103" s="296" t="s">
        <v>6265</v>
      </c>
      <c r="F103" s="297">
        <v>8</v>
      </c>
      <c r="G103" s="296" t="s">
        <v>5586</v>
      </c>
      <c r="H103" s="296" t="s">
        <v>2316</v>
      </c>
      <c r="I103" s="136" t="s">
        <v>2234</v>
      </c>
      <c r="J103" s="136" t="s">
        <v>2446</v>
      </c>
      <c r="K103" s="136" t="s">
        <v>2237</v>
      </c>
      <c r="L103" s="136" t="s">
        <v>2238</v>
      </c>
      <c r="M103" s="136" t="s">
        <v>2447</v>
      </c>
      <c r="N103" s="320" t="s">
        <v>6240</v>
      </c>
    </row>
    <row r="104" spans="1:14" ht="19" customHeight="1">
      <c r="A104" s="356" t="s">
        <v>6224</v>
      </c>
      <c r="B104" s="137" t="s">
        <v>2320</v>
      </c>
      <c r="C104" s="136" t="s">
        <v>917</v>
      </c>
      <c r="D104" s="296" t="s">
        <v>2321</v>
      </c>
      <c r="E104" s="296" t="s">
        <v>6266</v>
      </c>
      <c r="F104" s="297">
        <v>12</v>
      </c>
      <c r="G104" s="296" t="s">
        <v>5587</v>
      </c>
      <c r="H104" s="296" t="s">
        <v>2322</v>
      </c>
      <c r="I104" s="136" t="s">
        <v>2278</v>
      </c>
      <c r="J104" s="136" t="s">
        <v>2446</v>
      </c>
      <c r="K104" s="136" t="s">
        <v>2237</v>
      </c>
      <c r="L104" s="136" t="s">
        <v>2238</v>
      </c>
      <c r="M104" s="136" t="s">
        <v>2447</v>
      </c>
      <c r="N104" s="320" t="s">
        <v>6240</v>
      </c>
    </row>
    <row r="105" spans="1:14" ht="19" customHeight="1">
      <c r="A105" s="356" t="s">
        <v>6224</v>
      </c>
      <c r="B105" s="137" t="s">
        <v>2323</v>
      </c>
      <c r="C105" s="136" t="s">
        <v>917</v>
      </c>
      <c r="D105" s="296" t="s">
        <v>2324</v>
      </c>
      <c r="E105" s="296" t="s">
        <v>6267</v>
      </c>
      <c r="F105" s="297">
        <v>5</v>
      </c>
      <c r="G105" s="296" t="s">
        <v>5588</v>
      </c>
      <c r="H105" s="296" t="s">
        <v>2325</v>
      </c>
      <c r="I105" s="136" t="s">
        <v>2234</v>
      </c>
      <c r="J105" s="136" t="s">
        <v>2446</v>
      </c>
      <c r="K105" s="136" t="s">
        <v>2237</v>
      </c>
      <c r="L105" s="136" t="s">
        <v>2238</v>
      </c>
      <c r="M105" s="136" t="s">
        <v>2447</v>
      </c>
      <c r="N105" s="320" t="s">
        <v>6226</v>
      </c>
    </row>
    <row r="106" spans="1:14" ht="19" customHeight="1">
      <c r="A106" s="356" t="s">
        <v>6224</v>
      </c>
      <c r="B106" s="137" t="s">
        <v>2300</v>
      </c>
      <c r="C106" s="136" t="s">
        <v>917</v>
      </c>
      <c r="D106" s="296" t="s">
        <v>2326</v>
      </c>
      <c r="E106" s="296" t="s">
        <v>6268</v>
      </c>
      <c r="F106" s="297">
        <v>10</v>
      </c>
      <c r="G106" s="296" t="s">
        <v>5589</v>
      </c>
      <c r="H106" s="296" t="s">
        <v>2316</v>
      </c>
      <c r="I106" s="136" t="s">
        <v>2327</v>
      </c>
      <c r="J106" s="136" t="s">
        <v>2446</v>
      </c>
      <c r="K106" s="136" t="s">
        <v>2237</v>
      </c>
      <c r="L106" s="136" t="s">
        <v>2238</v>
      </c>
      <c r="M106" s="136" t="s">
        <v>2447</v>
      </c>
      <c r="N106" s="320" t="s">
        <v>6240</v>
      </c>
    </row>
    <row r="107" spans="1:14" ht="19" customHeight="1">
      <c r="A107" s="356" t="s">
        <v>6224</v>
      </c>
      <c r="B107" s="137" t="s">
        <v>2328</v>
      </c>
      <c r="C107" s="136" t="s">
        <v>917</v>
      </c>
      <c r="D107" s="296" t="s">
        <v>1463</v>
      </c>
      <c r="E107" s="296" t="s">
        <v>6269</v>
      </c>
      <c r="F107" s="297">
        <v>20</v>
      </c>
      <c r="G107" s="296" t="s">
        <v>5590</v>
      </c>
      <c r="H107" s="296" t="s">
        <v>2329</v>
      </c>
      <c r="I107" s="136" t="s">
        <v>2268</v>
      </c>
      <c r="J107" s="136" t="s">
        <v>2446</v>
      </c>
      <c r="K107" s="136" t="s">
        <v>2242</v>
      </c>
      <c r="L107" s="136" t="s">
        <v>2314</v>
      </c>
      <c r="M107" s="136" t="s">
        <v>2447</v>
      </c>
      <c r="N107" s="320" t="s">
        <v>6270</v>
      </c>
    </row>
    <row r="108" spans="1:14" ht="19" customHeight="1">
      <c r="A108" s="356" t="s">
        <v>6224</v>
      </c>
      <c r="B108" s="137" t="s">
        <v>2330</v>
      </c>
      <c r="C108" s="136" t="s">
        <v>917</v>
      </c>
      <c r="D108" s="296" t="s">
        <v>2331</v>
      </c>
      <c r="E108" s="296" t="s">
        <v>6271</v>
      </c>
      <c r="F108" s="297">
        <v>10</v>
      </c>
      <c r="G108" s="296" t="s">
        <v>5591</v>
      </c>
      <c r="H108" s="296" t="s">
        <v>2332</v>
      </c>
      <c r="I108" s="136" t="s">
        <v>2234</v>
      </c>
      <c r="J108" s="136" t="s">
        <v>2446</v>
      </c>
      <c r="K108" s="136" t="s">
        <v>2237</v>
      </c>
      <c r="L108" s="136" t="s">
        <v>2314</v>
      </c>
      <c r="M108" s="136" t="s">
        <v>2447</v>
      </c>
      <c r="N108" s="320" t="s">
        <v>6240</v>
      </c>
    </row>
    <row r="109" spans="1:14" ht="19" customHeight="1">
      <c r="A109" s="356" t="s">
        <v>6224</v>
      </c>
      <c r="B109" s="137" t="s">
        <v>2465</v>
      </c>
      <c r="C109" s="136" t="s">
        <v>917</v>
      </c>
      <c r="D109" s="296" t="s">
        <v>2466</v>
      </c>
      <c r="E109" s="296" t="s">
        <v>6272</v>
      </c>
      <c r="F109" s="297">
        <v>4</v>
      </c>
      <c r="G109" s="296" t="s">
        <v>5592</v>
      </c>
      <c r="H109" s="296" t="s">
        <v>2316</v>
      </c>
      <c r="I109" s="136" t="s">
        <v>2345</v>
      </c>
      <c r="J109" s="136" t="s">
        <v>2450</v>
      </c>
      <c r="K109" s="136" t="s">
        <v>2467</v>
      </c>
      <c r="L109" s="136" t="s">
        <v>2452</v>
      </c>
      <c r="M109" s="136" t="s">
        <v>1426</v>
      </c>
      <c r="N109" s="320" t="s">
        <v>6226</v>
      </c>
    </row>
    <row r="110" spans="1:14" ht="19" customHeight="1">
      <c r="A110" s="356" t="s">
        <v>6224</v>
      </c>
      <c r="B110" s="137" t="s">
        <v>2235</v>
      </c>
      <c r="C110" s="136" t="s">
        <v>513</v>
      </c>
      <c r="D110" s="296" t="s">
        <v>2333</v>
      </c>
      <c r="E110" s="296" t="s">
        <v>6273</v>
      </c>
      <c r="F110" s="297">
        <v>12</v>
      </c>
      <c r="G110" s="296" t="s">
        <v>5593</v>
      </c>
      <c r="H110" s="296" t="s">
        <v>6274</v>
      </c>
      <c r="I110" s="136" t="s">
        <v>2261</v>
      </c>
      <c r="J110" s="136" t="s">
        <v>2446</v>
      </c>
      <c r="K110" s="136" t="s">
        <v>2237</v>
      </c>
      <c r="L110" s="136" t="s">
        <v>2238</v>
      </c>
      <c r="M110" s="136" t="s">
        <v>2447</v>
      </c>
      <c r="N110" s="320" t="s">
        <v>6240</v>
      </c>
    </row>
    <row r="111" spans="1:14" ht="19" customHeight="1">
      <c r="A111" s="356" t="s">
        <v>6224</v>
      </c>
      <c r="B111" s="137" t="s">
        <v>2258</v>
      </c>
      <c r="C111" s="136" t="s">
        <v>513</v>
      </c>
      <c r="D111" s="296" t="s">
        <v>2335</v>
      </c>
      <c r="E111" s="296" t="s">
        <v>6275</v>
      </c>
      <c r="F111" s="297">
        <v>24</v>
      </c>
      <c r="G111" s="296" t="s">
        <v>5594</v>
      </c>
      <c r="H111" s="296" t="s">
        <v>6276</v>
      </c>
      <c r="I111" s="136" t="s">
        <v>2261</v>
      </c>
      <c r="J111" s="136" t="s">
        <v>2446</v>
      </c>
      <c r="K111" s="136" t="s">
        <v>2242</v>
      </c>
      <c r="L111" s="136" t="s">
        <v>2238</v>
      </c>
      <c r="M111" s="136" t="s">
        <v>2447</v>
      </c>
      <c r="N111" s="320" t="s">
        <v>6277</v>
      </c>
    </row>
    <row r="112" spans="1:14" ht="19" customHeight="1">
      <c r="A112" s="356" t="s">
        <v>6224</v>
      </c>
      <c r="B112" s="137" t="s">
        <v>2262</v>
      </c>
      <c r="C112" s="136" t="s">
        <v>513</v>
      </c>
      <c r="D112" s="296" t="s">
        <v>2336</v>
      </c>
      <c r="E112" s="296" t="s">
        <v>6278</v>
      </c>
      <c r="F112" s="297">
        <v>12</v>
      </c>
      <c r="G112" s="296" t="s">
        <v>5595</v>
      </c>
      <c r="H112" s="296" t="s">
        <v>6279</v>
      </c>
      <c r="I112" s="136" t="s">
        <v>2261</v>
      </c>
      <c r="J112" s="136" t="s">
        <v>2446</v>
      </c>
      <c r="K112" s="136" t="s">
        <v>2237</v>
      </c>
      <c r="L112" s="136" t="s">
        <v>2238</v>
      </c>
      <c r="M112" s="136" t="s">
        <v>2447</v>
      </c>
      <c r="N112" s="320" t="s">
        <v>6240</v>
      </c>
    </row>
    <row r="113" spans="1:14" ht="19" customHeight="1">
      <c r="A113" s="356" t="s">
        <v>6224</v>
      </c>
      <c r="B113" s="137" t="s">
        <v>2337</v>
      </c>
      <c r="C113" s="136" t="s">
        <v>513</v>
      </c>
      <c r="D113" s="296" t="s">
        <v>2338</v>
      </c>
      <c r="E113" s="296" t="s">
        <v>6280</v>
      </c>
      <c r="F113" s="297">
        <v>13</v>
      </c>
      <c r="G113" s="296" t="s">
        <v>5596</v>
      </c>
      <c r="H113" s="296" t="s">
        <v>6276</v>
      </c>
      <c r="I113" s="136" t="s">
        <v>2261</v>
      </c>
      <c r="J113" s="136" t="s">
        <v>2446</v>
      </c>
      <c r="K113" s="136" t="s">
        <v>2242</v>
      </c>
      <c r="L113" s="136" t="s">
        <v>2238</v>
      </c>
      <c r="M113" s="136" t="s">
        <v>2447</v>
      </c>
      <c r="N113" s="320" t="s">
        <v>6281</v>
      </c>
    </row>
    <row r="114" spans="1:14" ht="19" customHeight="1">
      <c r="A114" s="356" t="s">
        <v>6224</v>
      </c>
      <c r="B114" s="137" t="s">
        <v>2339</v>
      </c>
      <c r="C114" s="136" t="s">
        <v>513</v>
      </c>
      <c r="D114" s="296" t="s">
        <v>2340</v>
      </c>
      <c r="E114" s="296" t="s">
        <v>6282</v>
      </c>
      <c r="F114" s="297">
        <v>12</v>
      </c>
      <c r="G114" s="296" t="s">
        <v>5597</v>
      </c>
      <c r="H114" s="296" t="s">
        <v>6283</v>
      </c>
      <c r="I114" s="136" t="s">
        <v>2261</v>
      </c>
      <c r="J114" s="136" t="s">
        <v>2446</v>
      </c>
      <c r="K114" s="136" t="s">
        <v>2237</v>
      </c>
      <c r="L114" s="136" t="s">
        <v>2238</v>
      </c>
      <c r="M114" s="136" t="s">
        <v>2447</v>
      </c>
      <c r="N114" s="320" t="s">
        <v>6240</v>
      </c>
    </row>
    <row r="115" spans="1:14" ht="19" customHeight="1">
      <c r="A115" s="356" t="s">
        <v>6224</v>
      </c>
      <c r="B115" s="137" t="s">
        <v>2341</v>
      </c>
      <c r="C115" s="136" t="s">
        <v>513</v>
      </c>
      <c r="D115" s="296" t="s">
        <v>2342</v>
      </c>
      <c r="E115" s="296" t="s">
        <v>6284</v>
      </c>
      <c r="F115" s="297">
        <v>10</v>
      </c>
      <c r="G115" s="296" t="s">
        <v>5598</v>
      </c>
      <c r="H115" s="296" t="s">
        <v>6285</v>
      </c>
      <c r="I115" s="136" t="s">
        <v>2261</v>
      </c>
      <c r="J115" s="136" t="s">
        <v>2446</v>
      </c>
      <c r="K115" s="136" t="s">
        <v>2237</v>
      </c>
      <c r="L115" s="136" t="s">
        <v>2238</v>
      </c>
      <c r="M115" s="136" t="s">
        <v>2447</v>
      </c>
      <c r="N115" s="320" t="s">
        <v>6240</v>
      </c>
    </row>
    <row r="116" spans="1:14" ht="19" customHeight="1">
      <c r="A116" s="356" t="s">
        <v>6224</v>
      </c>
      <c r="B116" s="137" t="s">
        <v>2343</v>
      </c>
      <c r="C116" s="136" t="s">
        <v>513</v>
      </c>
      <c r="D116" s="296" t="s">
        <v>2344</v>
      </c>
      <c r="E116" s="296" t="s">
        <v>6286</v>
      </c>
      <c r="F116" s="297">
        <v>12</v>
      </c>
      <c r="G116" s="296" t="s">
        <v>5599</v>
      </c>
      <c r="H116" s="296" t="s">
        <v>6276</v>
      </c>
      <c r="I116" s="136" t="s">
        <v>2345</v>
      </c>
      <c r="J116" s="136" t="s">
        <v>2446</v>
      </c>
      <c r="K116" s="136" t="s">
        <v>2242</v>
      </c>
      <c r="L116" s="136" t="s">
        <v>2238</v>
      </c>
      <c r="M116" s="136" t="s">
        <v>2447</v>
      </c>
      <c r="N116" s="320" t="s">
        <v>6281</v>
      </c>
    </row>
    <row r="117" spans="1:14" ht="19" customHeight="1">
      <c r="A117" s="356" t="s">
        <v>6224</v>
      </c>
      <c r="B117" s="137" t="s">
        <v>2346</v>
      </c>
      <c r="C117" s="136" t="s">
        <v>513</v>
      </c>
      <c r="D117" s="296" t="s">
        <v>2347</v>
      </c>
      <c r="E117" s="296" t="s">
        <v>6287</v>
      </c>
      <c r="F117" s="297">
        <v>5</v>
      </c>
      <c r="G117" s="296" t="s">
        <v>5600</v>
      </c>
      <c r="H117" s="296" t="s">
        <v>6288</v>
      </c>
      <c r="I117" s="136" t="s">
        <v>2348</v>
      </c>
      <c r="J117" s="136" t="s">
        <v>2446</v>
      </c>
      <c r="K117" s="136" t="s">
        <v>2237</v>
      </c>
      <c r="L117" s="136" t="s">
        <v>2238</v>
      </c>
      <c r="M117" s="136" t="s">
        <v>2447</v>
      </c>
      <c r="N117" s="320" t="s">
        <v>6226</v>
      </c>
    </row>
    <row r="118" spans="1:14" ht="19" customHeight="1">
      <c r="A118" s="356" t="s">
        <v>6224</v>
      </c>
      <c r="B118" s="137" t="s">
        <v>2349</v>
      </c>
      <c r="C118" s="136" t="s">
        <v>513</v>
      </c>
      <c r="D118" s="296" t="s">
        <v>2350</v>
      </c>
      <c r="E118" s="296" t="s">
        <v>6289</v>
      </c>
      <c r="F118" s="297">
        <v>5</v>
      </c>
      <c r="G118" s="296" t="s">
        <v>5601</v>
      </c>
      <c r="H118" s="296" t="s">
        <v>6276</v>
      </c>
      <c r="I118" s="136" t="s">
        <v>2351</v>
      </c>
      <c r="J118" s="136" t="s">
        <v>2446</v>
      </c>
      <c r="K118" s="136" t="s">
        <v>2237</v>
      </c>
      <c r="L118" s="136" t="s">
        <v>2238</v>
      </c>
      <c r="M118" s="136" t="s">
        <v>2447</v>
      </c>
      <c r="N118" s="320" t="s">
        <v>6226</v>
      </c>
    </row>
    <row r="119" spans="1:14" ht="19" customHeight="1">
      <c r="A119" s="356" t="s">
        <v>6224</v>
      </c>
      <c r="B119" s="137" t="s">
        <v>2352</v>
      </c>
      <c r="C119" s="136" t="s">
        <v>513</v>
      </c>
      <c r="D119" s="296" t="s">
        <v>2353</v>
      </c>
      <c r="E119" s="296" t="s">
        <v>6290</v>
      </c>
      <c r="F119" s="297">
        <v>9</v>
      </c>
      <c r="G119" s="296" t="s">
        <v>5602</v>
      </c>
      <c r="H119" s="296" t="s">
        <v>6291</v>
      </c>
      <c r="I119" s="136" t="s">
        <v>2348</v>
      </c>
      <c r="J119" s="136" t="s">
        <v>2446</v>
      </c>
      <c r="K119" s="136" t="s">
        <v>2242</v>
      </c>
      <c r="L119" s="136" t="s">
        <v>2314</v>
      </c>
      <c r="M119" s="136" t="s">
        <v>2447</v>
      </c>
      <c r="N119" s="320" t="s">
        <v>6240</v>
      </c>
    </row>
    <row r="120" spans="1:14" ht="19" customHeight="1">
      <c r="A120" s="356" t="s">
        <v>6224</v>
      </c>
      <c r="B120" s="137" t="s">
        <v>2468</v>
      </c>
      <c r="C120" s="136" t="s">
        <v>513</v>
      </c>
      <c r="D120" s="296" t="s">
        <v>2469</v>
      </c>
      <c r="E120" s="296" t="s">
        <v>6292</v>
      </c>
      <c r="F120" s="297">
        <v>10</v>
      </c>
      <c r="G120" s="296" t="s">
        <v>5603</v>
      </c>
      <c r="H120" s="296" t="s">
        <v>6293</v>
      </c>
      <c r="I120" s="136" t="s">
        <v>2261</v>
      </c>
      <c r="J120" s="136" t="s">
        <v>2446</v>
      </c>
      <c r="K120" s="136" t="s">
        <v>2237</v>
      </c>
      <c r="L120" s="136" t="s">
        <v>2452</v>
      </c>
      <c r="M120" s="136" t="s">
        <v>2470</v>
      </c>
      <c r="N120" s="320" t="s">
        <v>6240</v>
      </c>
    </row>
    <row r="121" spans="1:14" ht="19" customHeight="1">
      <c r="A121" s="356" t="s">
        <v>6224</v>
      </c>
      <c r="B121" s="137" t="s">
        <v>2471</v>
      </c>
      <c r="C121" s="136" t="s">
        <v>513</v>
      </c>
      <c r="D121" s="296" t="s">
        <v>2472</v>
      </c>
      <c r="E121" s="296" t="s">
        <v>6294</v>
      </c>
      <c r="F121" s="297">
        <v>6</v>
      </c>
      <c r="G121" s="296" t="s">
        <v>5604</v>
      </c>
      <c r="H121" s="296" t="s">
        <v>6276</v>
      </c>
      <c r="I121" s="136" t="s">
        <v>2261</v>
      </c>
      <c r="J121" s="136" t="s">
        <v>2446</v>
      </c>
      <c r="K121" s="136" t="s">
        <v>2237</v>
      </c>
      <c r="L121" s="136" t="s">
        <v>2452</v>
      </c>
      <c r="M121" s="136" t="s">
        <v>2473</v>
      </c>
      <c r="N121" s="320" t="s">
        <v>6226</v>
      </c>
    </row>
    <row r="122" spans="1:14" ht="19" customHeight="1">
      <c r="A122" s="356" t="s">
        <v>6224</v>
      </c>
      <c r="B122" s="137" t="s">
        <v>2474</v>
      </c>
      <c r="C122" s="136" t="s">
        <v>513</v>
      </c>
      <c r="D122" s="296" t="s">
        <v>2475</v>
      </c>
      <c r="E122" s="296" t="s">
        <v>6295</v>
      </c>
      <c r="F122" s="297">
        <v>8</v>
      </c>
      <c r="G122" s="296" t="s">
        <v>5605</v>
      </c>
      <c r="H122" s="296" t="s">
        <v>6276</v>
      </c>
      <c r="I122" s="136" t="s">
        <v>2261</v>
      </c>
      <c r="J122" s="136" t="s">
        <v>2446</v>
      </c>
      <c r="K122" s="136" t="s">
        <v>2237</v>
      </c>
      <c r="L122" s="136" t="s">
        <v>2452</v>
      </c>
      <c r="M122" s="136" t="s">
        <v>2476</v>
      </c>
      <c r="N122" s="320" t="s">
        <v>6226</v>
      </c>
    </row>
    <row r="123" spans="1:14" ht="19" customHeight="1">
      <c r="A123" s="356" t="s">
        <v>6224</v>
      </c>
      <c r="B123" s="137" t="s">
        <v>5548</v>
      </c>
      <c r="C123" s="136" t="s">
        <v>513</v>
      </c>
      <c r="D123" s="296" t="s">
        <v>5549</v>
      </c>
      <c r="E123" s="296" t="s">
        <v>6296</v>
      </c>
      <c r="F123" s="297">
        <v>8</v>
      </c>
      <c r="G123" s="296" t="s">
        <v>5553</v>
      </c>
      <c r="H123" s="296" t="s">
        <v>6276</v>
      </c>
      <c r="I123" s="136" t="s">
        <v>2261</v>
      </c>
      <c r="J123" s="136" t="s">
        <v>2446</v>
      </c>
      <c r="K123" s="136" t="s">
        <v>5550</v>
      </c>
      <c r="L123" s="136" t="s">
        <v>5551</v>
      </c>
      <c r="M123" s="136" t="s">
        <v>5552</v>
      </c>
      <c r="N123" s="320" t="s">
        <v>6240</v>
      </c>
    </row>
    <row r="124" spans="1:14" ht="19" customHeight="1">
      <c r="A124" s="356" t="s">
        <v>6224</v>
      </c>
      <c r="B124" s="137" t="s">
        <v>2354</v>
      </c>
      <c r="C124" s="136" t="s">
        <v>517</v>
      </c>
      <c r="D124" s="296" t="s">
        <v>2355</v>
      </c>
      <c r="E124" s="296" t="s">
        <v>6297</v>
      </c>
      <c r="F124" s="297">
        <v>12</v>
      </c>
      <c r="G124" s="296" t="s">
        <v>5606</v>
      </c>
      <c r="H124" s="296" t="s">
        <v>2235</v>
      </c>
      <c r="I124" s="136" t="s">
        <v>2261</v>
      </c>
      <c r="J124" s="136" t="s">
        <v>2446</v>
      </c>
      <c r="K124" s="136" t="s">
        <v>2237</v>
      </c>
      <c r="L124" s="136" t="s">
        <v>2238</v>
      </c>
      <c r="M124" s="136" t="s">
        <v>2447</v>
      </c>
      <c r="N124" s="320" t="s">
        <v>6240</v>
      </c>
    </row>
    <row r="125" spans="1:14" ht="19" customHeight="1">
      <c r="A125" s="356" t="s">
        <v>6224</v>
      </c>
      <c r="B125" s="137" t="s">
        <v>2356</v>
      </c>
      <c r="C125" s="136" t="s">
        <v>517</v>
      </c>
      <c r="D125" s="296" t="s">
        <v>2357</v>
      </c>
      <c r="E125" s="296" t="s">
        <v>6298</v>
      </c>
      <c r="F125" s="297">
        <v>6</v>
      </c>
      <c r="G125" s="296" t="s">
        <v>5607</v>
      </c>
      <c r="H125" s="296" t="s">
        <v>2358</v>
      </c>
      <c r="I125" s="136" t="s">
        <v>2278</v>
      </c>
      <c r="J125" s="136" t="s">
        <v>2446</v>
      </c>
      <c r="K125" s="136" t="s">
        <v>2237</v>
      </c>
      <c r="L125" s="136" t="s">
        <v>2238</v>
      </c>
      <c r="M125" s="136" t="s">
        <v>2447</v>
      </c>
      <c r="N125" s="320" t="s">
        <v>6226</v>
      </c>
    </row>
    <row r="126" spans="1:14" ht="19" customHeight="1">
      <c r="A126" s="356" t="s">
        <v>6224</v>
      </c>
      <c r="B126" s="137" t="s">
        <v>2359</v>
      </c>
      <c r="C126" s="136" t="s">
        <v>517</v>
      </c>
      <c r="D126" s="296" t="s">
        <v>2360</v>
      </c>
      <c r="E126" s="296" t="s">
        <v>6299</v>
      </c>
      <c r="F126" s="297">
        <v>22</v>
      </c>
      <c r="G126" s="296" t="s">
        <v>5608</v>
      </c>
      <c r="H126" s="296" t="s">
        <v>2361</v>
      </c>
      <c r="I126" s="136" t="s">
        <v>2268</v>
      </c>
      <c r="J126" s="136" t="s">
        <v>2446</v>
      </c>
      <c r="K126" s="136" t="s">
        <v>2237</v>
      </c>
      <c r="L126" s="136" t="s">
        <v>2238</v>
      </c>
      <c r="M126" s="136" t="s">
        <v>2447</v>
      </c>
      <c r="N126" s="320" t="s">
        <v>6238</v>
      </c>
    </row>
    <row r="127" spans="1:14" ht="19" customHeight="1">
      <c r="A127" s="356" t="s">
        <v>6224</v>
      </c>
      <c r="B127" s="137" t="s">
        <v>2362</v>
      </c>
      <c r="C127" s="136" t="s">
        <v>517</v>
      </c>
      <c r="D127" s="296" t="s">
        <v>2363</v>
      </c>
      <c r="E127" s="296" t="s">
        <v>6300</v>
      </c>
      <c r="F127" s="297">
        <v>12</v>
      </c>
      <c r="G127" s="296" t="s">
        <v>5609</v>
      </c>
      <c r="H127" s="296" t="s">
        <v>2365</v>
      </c>
      <c r="I127" s="136" t="s">
        <v>2364</v>
      </c>
      <c r="J127" s="136" t="s">
        <v>2446</v>
      </c>
      <c r="K127" s="136" t="s">
        <v>2237</v>
      </c>
      <c r="L127" s="136" t="s">
        <v>2238</v>
      </c>
      <c r="M127" s="136" t="s">
        <v>2447</v>
      </c>
      <c r="N127" s="320" t="s">
        <v>6240</v>
      </c>
    </row>
    <row r="128" spans="1:14" ht="19" customHeight="1">
      <c r="A128" s="356" t="s">
        <v>6224</v>
      </c>
      <c r="B128" s="137" t="s">
        <v>2366</v>
      </c>
      <c r="C128" s="136" t="s">
        <v>517</v>
      </c>
      <c r="D128" s="296" t="s">
        <v>2367</v>
      </c>
      <c r="E128" s="296" t="s">
        <v>6301</v>
      </c>
      <c r="F128" s="297">
        <v>5</v>
      </c>
      <c r="G128" s="296" t="s">
        <v>5610</v>
      </c>
      <c r="H128" s="296" t="s">
        <v>2368</v>
      </c>
      <c r="I128" s="136" t="s">
        <v>2261</v>
      </c>
      <c r="J128" s="136" t="s">
        <v>2446</v>
      </c>
      <c r="K128" s="136" t="s">
        <v>2237</v>
      </c>
      <c r="L128" s="136" t="s">
        <v>2238</v>
      </c>
      <c r="M128" s="136" t="s">
        <v>2447</v>
      </c>
      <c r="N128" s="320" t="s">
        <v>6226</v>
      </c>
    </row>
    <row r="129" spans="1:14" ht="19" customHeight="1">
      <c r="A129" s="356" t="s">
        <v>6224</v>
      </c>
      <c r="B129" s="137" t="s">
        <v>2369</v>
      </c>
      <c r="C129" s="136" t="s">
        <v>517</v>
      </c>
      <c r="D129" s="296" t="s">
        <v>2370</v>
      </c>
      <c r="E129" s="296" t="s">
        <v>6302</v>
      </c>
      <c r="F129" s="297">
        <v>22</v>
      </c>
      <c r="G129" s="296" t="s">
        <v>5611</v>
      </c>
      <c r="H129" s="296" t="s">
        <v>2371</v>
      </c>
      <c r="I129" s="136" t="s">
        <v>2345</v>
      </c>
      <c r="J129" s="136" t="s">
        <v>2446</v>
      </c>
      <c r="K129" s="136" t="s">
        <v>2237</v>
      </c>
      <c r="L129" s="136" t="s">
        <v>2238</v>
      </c>
      <c r="M129" s="136" t="s">
        <v>2447</v>
      </c>
      <c r="N129" s="320" t="s">
        <v>6238</v>
      </c>
    </row>
    <row r="130" spans="1:14" ht="19" customHeight="1">
      <c r="A130" s="356" t="s">
        <v>6224</v>
      </c>
      <c r="B130" s="137" t="s">
        <v>2372</v>
      </c>
      <c r="C130" s="136" t="s">
        <v>517</v>
      </c>
      <c r="D130" s="296" t="s">
        <v>2373</v>
      </c>
      <c r="E130" s="296" t="s">
        <v>6303</v>
      </c>
      <c r="F130" s="297">
        <v>10</v>
      </c>
      <c r="G130" s="296" t="s">
        <v>5612</v>
      </c>
      <c r="H130" s="296" t="s">
        <v>2262</v>
      </c>
      <c r="I130" s="136" t="s">
        <v>2261</v>
      </c>
      <c r="J130" s="136" t="s">
        <v>2446</v>
      </c>
      <c r="K130" s="136" t="s">
        <v>2237</v>
      </c>
      <c r="L130" s="136" t="s">
        <v>2238</v>
      </c>
      <c r="M130" s="136" t="s">
        <v>2447</v>
      </c>
      <c r="N130" s="320" t="s">
        <v>6240</v>
      </c>
    </row>
    <row r="131" spans="1:14" ht="19" customHeight="1">
      <c r="A131" s="356" t="s">
        <v>6224</v>
      </c>
      <c r="B131" s="137" t="s">
        <v>2374</v>
      </c>
      <c r="C131" s="136" t="s">
        <v>517</v>
      </c>
      <c r="D131" s="296" t="s">
        <v>2375</v>
      </c>
      <c r="E131" s="296" t="s">
        <v>6304</v>
      </c>
      <c r="F131" s="297">
        <v>5</v>
      </c>
      <c r="G131" s="296" t="s">
        <v>5613</v>
      </c>
      <c r="H131" s="296" t="s">
        <v>2232</v>
      </c>
      <c r="I131" s="136" t="s">
        <v>2234</v>
      </c>
      <c r="J131" s="136" t="s">
        <v>2446</v>
      </c>
      <c r="K131" s="136" t="s">
        <v>2237</v>
      </c>
      <c r="L131" s="136" t="s">
        <v>2238</v>
      </c>
      <c r="M131" s="136" t="s">
        <v>2447</v>
      </c>
      <c r="N131" s="320" t="s">
        <v>6226</v>
      </c>
    </row>
    <row r="132" spans="1:14" ht="19" customHeight="1">
      <c r="A132" s="356" t="s">
        <v>6224</v>
      </c>
      <c r="B132" s="137" t="s">
        <v>2376</v>
      </c>
      <c r="C132" s="136" t="s">
        <v>517</v>
      </c>
      <c r="D132" s="296" t="s">
        <v>2377</v>
      </c>
      <c r="E132" s="296" t="s">
        <v>6305</v>
      </c>
      <c r="F132" s="297">
        <v>9</v>
      </c>
      <c r="G132" s="296" t="s">
        <v>5614</v>
      </c>
      <c r="H132" s="296" t="s">
        <v>2337</v>
      </c>
      <c r="I132" s="136" t="s">
        <v>2378</v>
      </c>
      <c r="J132" s="136" t="s">
        <v>2446</v>
      </c>
      <c r="K132" s="136" t="s">
        <v>2237</v>
      </c>
      <c r="L132" s="136" t="s">
        <v>2238</v>
      </c>
      <c r="M132" s="136" t="s">
        <v>2447</v>
      </c>
      <c r="N132" s="320" t="s">
        <v>6240</v>
      </c>
    </row>
    <row r="133" spans="1:14" ht="19" customHeight="1">
      <c r="A133" s="356" t="s">
        <v>6224</v>
      </c>
      <c r="B133" s="137" t="s">
        <v>2379</v>
      </c>
      <c r="C133" s="136" t="s">
        <v>517</v>
      </c>
      <c r="D133" s="296" t="s">
        <v>2380</v>
      </c>
      <c r="E133" s="296" t="s">
        <v>6306</v>
      </c>
      <c r="F133" s="297">
        <v>10</v>
      </c>
      <c r="G133" s="296" t="s">
        <v>5615</v>
      </c>
      <c r="H133" s="296" t="s">
        <v>2381</v>
      </c>
      <c r="I133" s="136" t="s">
        <v>2271</v>
      </c>
      <c r="J133" s="136" t="s">
        <v>2446</v>
      </c>
      <c r="K133" s="136" t="s">
        <v>2237</v>
      </c>
      <c r="L133" s="136" t="s">
        <v>2314</v>
      </c>
      <c r="M133" s="136" t="s">
        <v>2447</v>
      </c>
      <c r="N133" s="320" t="s">
        <v>6240</v>
      </c>
    </row>
    <row r="134" spans="1:14" ht="19" customHeight="1">
      <c r="A134" s="356" t="s">
        <v>6224</v>
      </c>
      <c r="B134" s="137" t="s">
        <v>2382</v>
      </c>
      <c r="C134" s="136" t="s">
        <v>517</v>
      </c>
      <c r="D134" s="296" t="s">
        <v>1441</v>
      </c>
      <c r="E134" s="296" t="s">
        <v>6307</v>
      </c>
      <c r="F134" s="297">
        <v>5</v>
      </c>
      <c r="G134" s="296" t="s">
        <v>5616</v>
      </c>
      <c r="H134" s="296" t="s">
        <v>2297</v>
      </c>
      <c r="I134" s="136" t="s">
        <v>2383</v>
      </c>
      <c r="J134" s="136" t="s">
        <v>2446</v>
      </c>
      <c r="K134" s="136" t="s">
        <v>2242</v>
      </c>
      <c r="L134" s="136" t="s">
        <v>2314</v>
      </c>
      <c r="M134" s="136" t="s">
        <v>2447</v>
      </c>
      <c r="N134" s="320" t="s">
        <v>6226</v>
      </c>
    </row>
    <row r="135" spans="1:14" ht="19" customHeight="1">
      <c r="A135" s="356" t="s">
        <v>6224</v>
      </c>
      <c r="B135" s="137" t="s">
        <v>2477</v>
      </c>
      <c r="C135" s="136" t="s">
        <v>517</v>
      </c>
      <c r="D135" s="296" t="s">
        <v>2478</v>
      </c>
      <c r="E135" s="296" t="s">
        <v>6308</v>
      </c>
      <c r="F135" s="297">
        <v>10</v>
      </c>
      <c r="G135" s="296" t="s">
        <v>5617</v>
      </c>
      <c r="H135" s="296" t="s">
        <v>2354</v>
      </c>
      <c r="I135" s="136" t="s">
        <v>2271</v>
      </c>
      <c r="J135" s="136" t="s">
        <v>2446</v>
      </c>
      <c r="K135" s="136" t="s">
        <v>2237</v>
      </c>
      <c r="L135" s="136" t="s">
        <v>2452</v>
      </c>
      <c r="M135" s="136" t="s">
        <v>1086</v>
      </c>
      <c r="N135" s="320" t="s">
        <v>6240</v>
      </c>
    </row>
    <row r="136" spans="1:14" ht="19" customHeight="1">
      <c r="A136" s="356" t="s">
        <v>6224</v>
      </c>
      <c r="B136" s="137" t="s">
        <v>2479</v>
      </c>
      <c r="C136" s="136" t="s">
        <v>517</v>
      </c>
      <c r="D136" s="296" t="s">
        <v>2480</v>
      </c>
      <c r="E136" s="296" t="s">
        <v>6309</v>
      </c>
      <c r="F136" s="297">
        <v>9</v>
      </c>
      <c r="G136" s="296" t="s">
        <v>5618</v>
      </c>
      <c r="H136" s="296" t="s">
        <v>2398</v>
      </c>
      <c r="I136" s="136" t="s">
        <v>2417</v>
      </c>
      <c r="J136" s="136" t="s">
        <v>2446</v>
      </c>
      <c r="K136" s="136" t="s">
        <v>2237</v>
      </c>
      <c r="L136" s="136" t="s">
        <v>2452</v>
      </c>
      <c r="M136" s="136" t="s">
        <v>2481</v>
      </c>
      <c r="N136" s="320" t="s">
        <v>6240</v>
      </c>
    </row>
    <row r="137" spans="1:14" ht="19" customHeight="1">
      <c r="A137" s="356" t="s">
        <v>6224</v>
      </c>
      <c r="B137" s="137" t="s">
        <v>2482</v>
      </c>
      <c r="C137" s="136" t="s">
        <v>517</v>
      </c>
      <c r="D137" s="296" t="s">
        <v>2483</v>
      </c>
      <c r="E137" s="296" t="s">
        <v>6310</v>
      </c>
      <c r="F137" s="297">
        <v>9</v>
      </c>
      <c r="G137" s="296" t="s">
        <v>5619</v>
      </c>
      <c r="H137" s="296" t="s">
        <v>2369</v>
      </c>
      <c r="I137" s="136" t="s">
        <v>2327</v>
      </c>
      <c r="J137" s="136" t="s">
        <v>2446</v>
      </c>
      <c r="K137" s="136" t="s">
        <v>2237</v>
      </c>
      <c r="L137" s="136" t="s">
        <v>2452</v>
      </c>
      <c r="M137" s="136" t="s">
        <v>2484</v>
      </c>
      <c r="N137" s="320" t="s">
        <v>6240</v>
      </c>
    </row>
    <row r="138" spans="1:14" ht="19" customHeight="1">
      <c r="A138" s="356" t="s">
        <v>6224</v>
      </c>
      <c r="B138" s="137" t="s">
        <v>2485</v>
      </c>
      <c r="C138" s="136" t="s">
        <v>517</v>
      </c>
      <c r="D138" s="296" t="s">
        <v>2486</v>
      </c>
      <c r="E138" s="296" t="s">
        <v>6311</v>
      </c>
      <c r="F138" s="297">
        <v>10</v>
      </c>
      <c r="G138" s="296" t="s">
        <v>5620</v>
      </c>
      <c r="H138" s="296" t="s">
        <v>2372</v>
      </c>
      <c r="I138" s="136" t="s">
        <v>2257</v>
      </c>
      <c r="J138" s="136" t="s">
        <v>2446</v>
      </c>
      <c r="K138" s="136" t="s">
        <v>2237</v>
      </c>
      <c r="L138" s="136" t="s">
        <v>2452</v>
      </c>
      <c r="M138" s="136" t="s">
        <v>1087</v>
      </c>
      <c r="N138" s="320" t="s">
        <v>6240</v>
      </c>
    </row>
    <row r="139" spans="1:14" ht="19" customHeight="1">
      <c r="A139" s="356" t="s">
        <v>6224</v>
      </c>
      <c r="B139" s="137" t="s">
        <v>5659</v>
      </c>
      <c r="C139" s="136" t="s">
        <v>517</v>
      </c>
      <c r="D139" s="296" t="s">
        <v>5660</v>
      </c>
      <c r="E139" s="296" t="s">
        <v>6312</v>
      </c>
      <c r="F139" s="297">
        <v>10</v>
      </c>
      <c r="G139" s="296" t="s">
        <v>5663</v>
      </c>
      <c r="H139" s="296" t="s">
        <v>2362</v>
      </c>
      <c r="I139" s="136" t="s">
        <v>2364</v>
      </c>
      <c r="J139" s="136" t="s">
        <v>2446</v>
      </c>
      <c r="K139" s="136" t="s">
        <v>2242</v>
      </c>
      <c r="L139" s="136" t="s">
        <v>5661</v>
      </c>
      <c r="M139" s="136" t="s">
        <v>5662</v>
      </c>
      <c r="N139" s="320" t="s">
        <v>6313</v>
      </c>
    </row>
    <row r="140" spans="1:14" ht="19" customHeight="1">
      <c r="A140" s="356" t="s">
        <v>6224</v>
      </c>
      <c r="B140" s="137" t="s">
        <v>5961</v>
      </c>
      <c r="C140" s="136" t="s">
        <v>517</v>
      </c>
      <c r="D140" s="296" t="s">
        <v>5962</v>
      </c>
      <c r="E140" s="296" t="s">
        <v>6314</v>
      </c>
      <c r="F140" s="297">
        <v>6</v>
      </c>
      <c r="G140" s="296" t="s">
        <v>5964</v>
      </c>
      <c r="H140" s="296" t="s">
        <v>5963</v>
      </c>
      <c r="I140" s="136" t="s">
        <v>2303</v>
      </c>
      <c r="J140" s="136" t="s">
        <v>2446</v>
      </c>
      <c r="K140" s="136" t="s">
        <v>2237</v>
      </c>
      <c r="L140" s="136" t="s">
        <v>5959</v>
      </c>
      <c r="M140" s="136" t="s">
        <v>2701</v>
      </c>
      <c r="N140" s="320" t="s">
        <v>6240</v>
      </c>
    </row>
    <row r="141" spans="1:14" ht="19" customHeight="1">
      <c r="A141" s="356" t="s">
        <v>6224</v>
      </c>
      <c r="B141" s="137" t="s">
        <v>2384</v>
      </c>
      <c r="C141" s="136" t="s">
        <v>519</v>
      </c>
      <c r="D141" s="296" t="s">
        <v>2385</v>
      </c>
      <c r="E141" s="296" t="s">
        <v>6315</v>
      </c>
      <c r="F141" s="297">
        <v>10</v>
      </c>
      <c r="G141" s="296" t="s">
        <v>5621</v>
      </c>
      <c r="H141" s="296" t="s">
        <v>2386</v>
      </c>
      <c r="I141" s="136" t="s">
        <v>2348</v>
      </c>
      <c r="J141" s="136" t="s">
        <v>2446</v>
      </c>
      <c r="K141" s="136" t="s">
        <v>2237</v>
      </c>
      <c r="L141" s="136" t="s">
        <v>2238</v>
      </c>
      <c r="M141" s="136" t="s">
        <v>2447</v>
      </c>
      <c r="N141" s="320" t="s">
        <v>6240</v>
      </c>
    </row>
    <row r="142" spans="1:14" ht="19" customHeight="1">
      <c r="A142" s="356" t="s">
        <v>6224</v>
      </c>
      <c r="B142" s="137" t="s">
        <v>2387</v>
      </c>
      <c r="C142" s="136" t="s">
        <v>519</v>
      </c>
      <c r="D142" s="296" t="s">
        <v>2388</v>
      </c>
      <c r="E142" s="296" t="s">
        <v>6316</v>
      </c>
      <c r="F142" s="297">
        <v>12</v>
      </c>
      <c r="G142" s="296" t="s">
        <v>5622</v>
      </c>
      <c r="H142" s="296" t="s">
        <v>6317</v>
      </c>
      <c r="I142" s="136" t="s">
        <v>2345</v>
      </c>
      <c r="J142" s="136" t="s">
        <v>2446</v>
      </c>
      <c r="K142" s="136" t="s">
        <v>2242</v>
      </c>
      <c r="L142" s="136" t="s">
        <v>2238</v>
      </c>
      <c r="M142" s="136" t="s">
        <v>2447</v>
      </c>
      <c r="N142" s="320" t="s">
        <v>6318</v>
      </c>
    </row>
    <row r="143" spans="1:14" ht="19" customHeight="1">
      <c r="A143" s="356" t="s">
        <v>6224</v>
      </c>
      <c r="B143" s="137" t="s">
        <v>2389</v>
      </c>
      <c r="C143" s="136" t="s">
        <v>519</v>
      </c>
      <c r="D143" s="296" t="s">
        <v>2390</v>
      </c>
      <c r="E143" s="296" t="s">
        <v>6319</v>
      </c>
      <c r="F143" s="297">
        <v>12</v>
      </c>
      <c r="G143" s="296" t="s">
        <v>5623</v>
      </c>
      <c r="H143" s="296" t="s">
        <v>6320</v>
      </c>
      <c r="I143" s="136" t="s">
        <v>2261</v>
      </c>
      <c r="J143" s="136" t="s">
        <v>2446</v>
      </c>
      <c r="K143" s="136" t="s">
        <v>2237</v>
      </c>
      <c r="L143" s="136" t="s">
        <v>2238</v>
      </c>
      <c r="M143" s="136" t="s">
        <v>2447</v>
      </c>
      <c r="N143" s="320" t="s">
        <v>6240</v>
      </c>
    </row>
    <row r="144" spans="1:14" ht="19" customHeight="1">
      <c r="A144" s="356" t="s">
        <v>6224</v>
      </c>
      <c r="B144" s="137" t="s">
        <v>2391</v>
      </c>
      <c r="C144" s="136" t="s">
        <v>519</v>
      </c>
      <c r="D144" s="296" t="s">
        <v>2392</v>
      </c>
      <c r="E144" s="296" t="s">
        <v>6321</v>
      </c>
      <c r="F144" s="297">
        <v>15</v>
      </c>
      <c r="G144" s="296" t="s">
        <v>5624</v>
      </c>
      <c r="H144" s="296" t="s">
        <v>6322</v>
      </c>
      <c r="I144" s="136" t="s">
        <v>2303</v>
      </c>
      <c r="J144" s="136" t="s">
        <v>2446</v>
      </c>
      <c r="K144" s="136" t="s">
        <v>2237</v>
      </c>
      <c r="L144" s="136" t="s">
        <v>2238</v>
      </c>
      <c r="M144" s="136" t="s">
        <v>2447</v>
      </c>
      <c r="N144" s="320" t="s">
        <v>6240</v>
      </c>
    </row>
    <row r="145" spans="1:14" ht="19" customHeight="1">
      <c r="A145" s="356" t="s">
        <v>6224</v>
      </c>
      <c r="B145" s="137" t="s">
        <v>2393</v>
      </c>
      <c r="C145" s="136" t="s">
        <v>519</v>
      </c>
      <c r="D145" s="296" t="s">
        <v>2394</v>
      </c>
      <c r="E145" s="296" t="s">
        <v>6323</v>
      </c>
      <c r="F145" s="297">
        <v>5</v>
      </c>
      <c r="G145" s="296" t="s">
        <v>5625</v>
      </c>
      <c r="H145" s="296" t="s">
        <v>2395</v>
      </c>
      <c r="I145" s="136" t="s">
        <v>2345</v>
      </c>
      <c r="J145" s="136" t="s">
        <v>2446</v>
      </c>
      <c r="K145" s="136" t="s">
        <v>2237</v>
      </c>
      <c r="L145" s="136" t="s">
        <v>2238</v>
      </c>
      <c r="M145" s="136" t="s">
        <v>2447</v>
      </c>
      <c r="N145" s="320" t="s">
        <v>6226</v>
      </c>
    </row>
    <row r="146" spans="1:14" ht="19" customHeight="1">
      <c r="A146" s="356" t="s">
        <v>6224</v>
      </c>
      <c r="B146" s="137" t="s">
        <v>2487</v>
      </c>
      <c r="C146" s="136" t="s">
        <v>519</v>
      </c>
      <c r="D146" s="296" t="s">
        <v>2488</v>
      </c>
      <c r="E146" s="296" t="s">
        <v>6324</v>
      </c>
      <c r="F146" s="297">
        <v>5</v>
      </c>
      <c r="G146" s="296" t="s">
        <v>5626</v>
      </c>
      <c r="H146" s="296" t="s">
        <v>2258</v>
      </c>
      <c r="I146" s="136" t="s">
        <v>2261</v>
      </c>
      <c r="J146" s="136" t="s">
        <v>2446</v>
      </c>
      <c r="K146" s="136" t="s">
        <v>2237</v>
      </c>
      <c r="L146" s="136" t="s">
        <v>2452</v>
      </c>
      <c r="M146" s="136" t="s">
        <v>1127</v>
      </c>
      <c r="N146" s="320" t="s">
        <v>6226</v>
      </c>
    </row>
    <row r="147" spans="1:14" ht="19" customHeight="1">
      <c r="A147" s="356" t="s">
        <v>6224</v>
      </c>
      <c r="B147" s="137" t="s">
        <v>2489</v>
      </c>
      <c r="C147" s="136" t="s">
        <v>519</v>
      </c>
      <c r="D147" s="296" t="s">
        <v>2490</v>
      </c>
      <c r="E147" s="296" t="s">
        <v>6325</v>
      </c>
      <c r="F147" s="297">
        <v>8</v>
      </c>
      <c r="G147" s="296" t="s">
        <v>5627</v>
      </c>
      <c r="H147" s="296" t="s">
        <v>2262</v>
      </c>
      <c r="I147" s="136" t="s">
        <v>2348</v>
      </c>
      <c r="J147" s="136" t="s">
        <v>2446</v>
      </c>
      <c r="K147" s="136" t="s">
        <v>2237</v>
      </c>
      <c r="L147" s="136" t="s">
        <v>2452</v>
      </c>
      <c r="M147" s="136" t="s">
        <v>1128</v>
      </c>
      <c r="N147" s="320" t="s">
        <v>6226</v>
      </c>
    </row>
    <row r="148" spans="1:14" ht="19" customHeight="1">
      <c r="A148" s="356" t="s">
        <v>6224</v>
      </c>
      <c r="B148" s="137" t="s">
        <v>2491</v>
      </c>
      <c r="C148" s="136" t="s">
        <v>519</v>
      </c>
      <c r="D148" s="296" t="s">
        <v>2492</v>
      </c>
      <c r="E148" s="296" t="s">
        <v>6326</v>
      </c>
      <c r="F148" s="297">
        <v>8</v>
      </c>
      <c r="G148" s="296" t="s">
        <v>5628</v>
      </c>
      <c r="H148" s="296" t="s">
        <v>2398</v>
      </c>
      <c r="I148" s="136" t="s">
        <v>2345</v>
      </c>
      <c r="J148" s="136" t="s">
        <v>2446</v>
      </c>
      <c r="K148" s="136" t="s">
        <v>2237</v>
      </c>
      <c r="L148" s="136" t="s">
        <v>2452</v>
      </c>
      <c r="M148" s="136" t="s">
        <v>1129</v>
      </c>
      <c r="N148" s="320" t="s">
        <v>6226</v>
      </c>
    </row>
    <row r="149" spans="1:14" ht="19" customHeight="1">
      <c r="A149" s="356" t="s">
        <v>6224</v>
      </c>
      <c r="B149" s="137" t="s">
        <v>2493</v>
      </c>
      <c r="C149" s="136" t="s">
        <v>519</v>
      </c>
      <c r="D149" s="296" t="s">
        <v>2494</v>
      </c>
      <c r="E149" s="296" t="s">
        <v>6327</v>
      </c>
      <c r="F149" s="297">
        <v>6</v>
      </c>
      <c r="G149" s="296" t="s">
        <v>5629</v>
      </c>
      <c r="H149" s="296" t="s">
        <v>2387</v>
      </c>
      <c r="I149" s="136" t="s">
        <v>2327</v>
      </c>
      <c r="J149" s="136" t="s">
        <v>2446</v>
      </c>
      <c r="K149" s="136" t="s">
        <v>2237</v>
      </c>
      <c r="L149" s="136" t="s">
        <v>2452</v>
      </c>
      <c r="M149" s="136" t="s">
        <v>1132</v>
      </c>
      <c r="N149" s="320" t="s">
        <v>6226</v>
      </c>
    </row>
    <row r="150" spans="1:14" ht="19" customHeight="1">
      <c r="A150" s="356" t="s">
        <v>6224</v>
      </c>
      <c r="B150" s="137" t="s">
        <v>2495</v>
      </c>
      <c r="C150" s="136" t="s">
        <v>519</v>
      </c>
      <c r="D150" s="296" t="s">
        <v>2496</v>
      </c>
      <c r="E150" s="296" t="s">
        <v>6328</v>
      </c>
      <c r="F150" s="297">
        <v>10</v>
      </c>
      <c r="G150" s="296" t="s">
        <v>5630</v>
      </c>
      <c r="H150" s="296" t="s">
        <v>2389</v>
      </c>
      <c r="I150" s="136" t="s">
        <v>2261</v>
      </c>
      <c r="J150" s="136" t="s">
        <v>2446</v>
      </c>
      <c r="K150" s="136" t="s">
        <v>2237</v>
      </c>
      <c r="L150" s="136" t="s">
        <v>2452</v>
      </c>
      <c r="M150" s="136" t="s">
        <v>2497</v>
      </c>
      <c r="N150" s="320" t="s">
        <v>6240</v>
      </c>
    </row>
    <row r="151" spans="1:14" ht="19" customHeight="1">
      <c r="A151" s="356" t="s">
        <v>6224</v>
      </c>
      <c r="B151" s="137" t="s">
        <v>2498</v>
      </c>
      <c r="C151" s="136" t="s">
        <v>519</v>
      </c>
      <c r="D151" s="296" t="s">
        <v>2499</v>
      </c>
      <c r="E151" s="296" t="s">
        <v>6329</v>
      </c>
      <c r="F151" s="297">
        <v>8</v>
      </c>
      <c r="G151" s="296" t="s">
        <v>5631</v>
      </c>
      <c r="H151" s="296" t="s">
        <v>2500</v>
      </c>
      <c r="I151" s="136" t="s">
        <v>2268</v>
      </c>
      <c r="J151" s="136" t="s">
        <v>2446</v>
      </c>
      <c r="K151" s="136" t="s">
        <v>2237</v>
      </c>
      <c r="L151" s="136" t="s">
        <v>2452</v>
      </c>
      <c r="M151" s="136" t="s">
        <v>2501</v>
      </c>
      <c r="N151" s="320" t="s">
        <v>6226</v>
      </c>
    </row>
    <row r="152" spans="1:14" ht="19" customHeight="1">
      <c r="A152" s="356" t="s">
        <v>6224</v>
      </c>
      <c r="B152" s="137" t="s">
        <v>2502</v>
      </c>
      <c r="C152" s="136" t="s">
        <v>519</v>
      </c>
      <c r="D152" s="296" t="s">
        <v>2503</v>
      </c>
      <c r="E152" s="296" t="s">
        <v>6330</v>
      </c>
      <c r="F152" s="297">
        <v>3</v>
      </c>
      <c r="G152" s="296" t="s">
        <v>5632</v>
      </c>
      <c r="H152" s="296" t="s">
        <v>2387</v>
      </c>
      <c r="I152" s="136" t="s">
        <v>2327</v>
      </c>
      <c r="J152" s="136" t="s">
        <v>2446</v>
      </c>
      <c r="K152" s="136" t="s">
        <v>2237</v>
      </c>
      <c r="L152" s="136" t="s">
        <v>2452</v>
      </c>
      <c r="M152" s="136" t="s">
        <v>2504</v>
      </c>
      <c r="N152" s="320" t="s">
        <v>6226</v>
      </c>
    </row>
    <row r="153" spans="1:14" ht="19" customHeight="1">
      <c r="A153" s="356" t="s">
        <v>6224</v>
      </c>
      <c r="B153" s="137" t="s">
        <v>2334</v>
      </c>
      <c r="C153" s="136" t="s">
        <v>2396</v>
      </c>
      <c r="D153" s="296" t="s">
        <v>2397</v>
      </c>
      <c r="E153" s="296" t="s">
        <v>6331</v>
      </c>
      <c r="F153" s="297">
        <v>22</v>
      </c>
      <c r="G153" s="296" t="s">
        <v>5633</v>
      </c>
      <c r="H153" s="296" t="s">
        <v>2236</v>
      </c>
      <c r="I153" s="136" t="s">
        <v>2261</v>
      </c>
      <c r="J153" s="136" t="s">
        <v>2446</v>
      </c>
      <c r="K153" s="136" t="s">
        <v>2237</v>
      </c>
      <c r="L153" s="136" t="s">
        <v>2238</v>
      </c>
      <c r="M153" s="136" t="s">
        <v>2447</v>
      </c>
      <c r="N153" s="320" t="s">
        <v>6238</v>
      </c>
    </row>
    <row r="154" spans="1:14" ht="19" customHeight="1">
      <c r="A154" s="356" t="s">
        <v>6224</v>
      </c>
      <c r="B154" s="137" t="s">
        <v>2398</v>
      </c>
      <c r="C154" s="136" t="s">
        <v>2396</v>
      </c>
      <c r="D154" s="296" t="s">
        <v>2399</v>
      </c>
      <c r="E154" s="296" t="s">
        <v>6332</v>
      </c>
      <c r="F154" s="297">
        <v>14</v>
      </c>
      <c r="G154" s="296" t="s">
        <v>5634</v>
      </c>
      <c r="H154" s="296" t="s">
        <v>2334</v>
      </c>
      <c r="I154" s="136" t="s">
        <v>2261</v>
      </c>
      <c r="J154" s="136" t="s">
        <v>2446</v>
      </c>
      <c r="K154" s="136" t="s">
        <v>2237</v>
      </c>
      <c r="L154" s="136" t="s">
        <v>2238</v>
      </c>
      <c r="M154" s="136" t="s">
        <v>2447</v>
      </c>
      <c r="N154" s="320" t="s">
        <v>6240</v>
      </c>
    </row>
    <row r="155" spans="1:14" ht="19" customHeight="1">
      <c r="A155" s="356" t="s">
        <v>6224</v>
      </c>
      <c r="B155" s="137" t="s">
        <v>2505</v>
      </c>
      <c r="C155" s="136" t="s">
        <v>2396</v>
      </c>
      <c r="D155" s="296" t="s">
        <v>2506</v>
      </c>
      <c r="E155" s="296" t="s">
        <v>6333</v>
      </c>
      <c r="F155" s="297">
        <v>12</v>
      </c>
      <c r="G155" s="296" t="s">
        <v>5635</v>
      </c>
      <c r="H155" s="296" t="s">
        <v>2398</v>
      </c>
      <c r="I155" s="136" t="s">
        <v>2261</v>
      </c>
      <c r="J155" s="136" t="s">
        <v>2446</v>
      </c>
      <c r="K155" s="136" t="s">
        <v>2237</v>
      </c>
      <c r="L155" s="136" t="s">
        <v>2452</v>
      </c>
      <c r="M155" s="136" t="s">
        <v>1210</v>
      </c>
      <c r="N155" s="320" t="s">
        <v>6240</v>
      </c>
    </row>
    <row r="156" spans="1:14" ht="19" customHeight="1">
      <c r="A156" s="356" t="s">
        <v>6224</v>
      </c>
      <c r="B156" s="137" t="s">
        <v>2386</v>
      </c>
      <c r="C156" s="136" t="s">
        <v>2400</v>
      </c>
      <c r="D156" s="296" t="s">
        <v>2401</v>
      </c>
      <c r="E156" s="296" t="s">
        <v>6334</v>
      </c>
      <c r="F156" s="297">
        <v>13</v>
      </c>
      <c r="G156" s="296" t="s">
        <v>5636</v>
      </c>
      <c r="H156" s="296" t="s">
        <v>2258</v>
      </c>
      <c r="I156" s="136" t="s">
        <v>2402</v>
      </c>
      <c r="J156" s="136" t="s">
        <v>2446</v>
      </c>
      <c r="K156" s="136" t="s">
        <v>2237</v>
      </c>
      <c r="L156" s="136" t="s">
        <v>2238</v>
      </c>
      <c r="M156" s="136" t="s">
        <v>2447</v>
      </c>
      <c r="N156" s="320" t="s">
        <v>6240</v>
      </c>
    </row>
    <row r="157" spans="1:14" ht="19" customHeight="1">
      <c r="A157" s="356" t="s">
        <v>6224</v>
      </c>
      <c r="B157" s="137" t="s">
        <v>2365</v>
      </c>
      <c r="C157" s="136" t="s">
        <v>2400</v>
      </c>
      <c r="D157" s="296" t="s">
        <v>2403</v>
      </c>
      <c r="E157" s="296" t="s">
        <v>6335</v>
      </c>
      <c r="F157" s="297">
        <v>13</v>
      </c>
      <c r="G157" s="296" t="s">
        <v>5637</v>
      </c>
      <c r="H157" s="296" t="s">
        <v>2404</v>
      </c>
      <c r="I157" s="136" t="s">
        <v>2261</v>
      </c>
      <c r="J157" s="136" t="s">
        <v>2446</v>
      </c>
      <c r="K157" s="136" t="s">
        <v>2237</v>
      </c>
      <c r="L157" s="136" t="s">
        <v>2238</v>
      </c>
      <c r="M157" s="136" t="s">
        <v>2447</v>
      </c>
      <c r="N157" s="320" t="s">
        <v>6240</v>
      </c>
    </row>
    <row r="158" spans="1:14" ht="19" customHeight="1">
      <c r="A158" s="356" t="s">
        <v>6224</v>
      </c>
      <c r="B158" s="137" t="s">
        <v>2405</v>
      </c>
      <c r="C158" s="136" t="s">
        <v>2400</v>
      </c>
      <c r="D158" s="296" t="s">
        <v>2406</v>
      </c>
      <c r="E158" s="296" t="s">
        <v>6336</v>
      </c>
      <c r="F158" s="297">
        <v>25</v>
      </c>
      <c r="G158" s="296" t="s">
        <v>5638</v>
      </c>
      <c r="H158" s="296" t="s">
        <v>2407</v>
      </c>
      <c r="I158" s="136" t="s">
        <v>2327</v>
      </c>
      <c r="J158" s="136" t="s">
        <v>2446</v>
      </c>
      <c r="K158" s="136" t="s">
        <v>2237</v>
      </c>
      <c r="L158" s="136" t="s">
        <v>2238</v>
      </c>
      <c r="M158" s="136" t="s">
        <v>2447</v>
      </c>
      <c r="N158" s="320" t="s">
        <v>6238</v>
      </c>
    </row>
    <row r="159" spans="1:14" ht="19" customHeight="1">
      <c r="A159" s="356" t="s">
        <v>6224</v>
      </c>
      <c r="B159" s="137" t="s">
        <v>2408</v>
      </c>
      <c r="C159" s="136" t="s">
        <v>2400</v>
      </c>
      <c r="D159" s="296" t="s">
        <v>2409</v>
      </c>
      <c r="E159" s="296" t="s">
        <v>6337</v>
      </c>
      <c r="F159" s="297">
        <v>12</v>
      </c>
      <c r="G159" s="296" t="s">
        <v>5639</v>
      </c>
      <c r="H159" s="296" t="s">
        <v>2410</v>
      </c>
      <c r="I159" s="136" t="s">
        <v>2271</v>
      </c>
      <c r="J159" s="136" t="s">
        <v>2446</v>
      </c>
      <c r="K159" s="136" t="s">
        <v>2237</v>
      </c>
      <c r="L159" s="136" t="s">
        <v>2238</v>
      </c>
      <c r="M159" s="136" t="s">
        <v>2447</v>
      </c>
      <c r="N159" s="320" t="s">
        <v>6240</v>
      </c>
    </row>
    <row r="160" spans="1:14" ht="19" customHeight="1">
      <c r="A160" s="356" t="s">
        <v>6224</v>
      </c>
      <c r="B160" s="137" t="s">
        <v>2411</v>
      </c>
      <c r="C160" s="136" t="s">
        <v>2400</v>
      </c>
      <c r="D160" s="296" t="s">
        <v>2412</v>
      </c>
      <c r="E160" s="296" t="s">
        <v>6338</v>
      </c>
      <c r="F160" s="297">
        <v>11</v>
      </c>
      <c r="G160" s="296" t="s">
        <v>5640</v>
      </c>
      <c r="H160" s="296" t="s">
        <v>2386</v>
      </c>
      <c r="I160" s="136" t="s">
        <v>2271</v>
      </c>
      <c r="J160" s="136" t="s">
        <v>2446</v>
      </c>
      <c r="K160" s="136" t="s">
        <v>2237</v>
      </c>
      <c r="L160" s="136" t="s">
        <v>2238</v>
      </c>
      <c r="M160" s="136" t="s">
        <v>2447</v>
      </c>
      <c r="N160" s="320" t="s">
        <v>6240</v>
      </c>
    </row>
    <row r="161" spans="1:14" ht="19" customHeight="1">
      <c r="A161" s="356" t="s">
        <v>6224</v>
      </c>
      <c r="B161" s="137" t="s">
        <v>2413</v>
      </c>
      <c r="C161" s="136" t="s">
        <v>2400</v>
      </c>
      <c r="D161" s="296" t="s">
        <v>1440</v>
      </c>
      <c r="E161" s="296" t="s">
        <v>6339</v>
      </c>
      <c r="F161" s="297">
        <v>10</v>
      </c>
      <c r="G161" s="296" t="s">
        <v>5641</v>
      </c>
      <c r="H161" s="296" t="s">
        <v>2414</v>
      </c>
      <c r="I161" s="136" t="s">
        <v>2383</v>
      </c>
      <c r="J161" s="136" t="s">
        <v>2446</v>
      </c>
      <c r="K161" s="136" t="s">
        <v>2237</v>
      </c>
      <c r="L161" s="136" t="s">
        <v>2314</v>
      </c>
      <c r="M161" s="136" t="s">
        <v>2447</v>
      </c>
      <c r="N161" s="320" t="s">
        <v>6240</v>
      </c>
    </row>
    <row r="162" spans="1:14" ht="19" customHeight="1">
      <c r="A162" s="356" t="s">
        <v>6224</v>
      </c>
      <c r="B162" s="137" t="s">
        <v>2415</v>
      </c>
      <c r="C162" s="136" t="s">
        <v>2400</v>
      </c>
      <c r="D162" s="296" t="s">
        <v>2416</v>
      </c>
      <c r="E162" s="296" t="s">
        <v>6597</v>
      </c>
      <c r="F162" s="297">
        <v>5</v>
      </c>
      <c r="G162" s="296" t="s">
        <v>5642</v>
      </c>
      <c r="H162" s="296" t="s">
        <v>2334</v>
      </c>
      <c r="I162" s="136" t="s">
        <v>2417</v>
      </c>
      <c r="J162" s="136" t="s">
        <v>2446</v>
      </c>
      <c r="K162" s="136" t="s">
        <v>2237</v>
      </c>
      <c r="L162" s="136" t="s">
        <v>2314</v>
      </c>
      <c r="M162" s="136" t="s">
        <v>2447</v>
      </c>
      <c r="N162" s="320" t="s">
        <v>6226</v>
      </c>
    </row>
    <row r="163" spans="1:14" ht="19" customHeight="1">
      <c r="A163" s="356" t="s">
        <v>6224</v>
      </c>
      <c r="B163" s="137" t="s">
        <v>2507</v>
      </c>
      <c r="C163" s="136" t="s">
        <v>2400</v>
      </c>
      <c r="D163" s="296" t="s">
        <v>2508</v>
      </c>
      <c r="E163" s="296" t="s">
        <v>6340</v>
      </c>
      <c r="F163" s="297">
        <v>8</v>
      </c>
      <c r="G163" s="296" t="s">
        <v>5643</v>
      </c>
      <c r="H163" s="296" t="s">
        <v>2386</v>
      </c>
      <c r="I163" s="136" t="s">
        <v>2402</v>
      </c>
      <c r="J163" s="136" t="s">
        <v>2446</v>
      </c>
      <c r="K163" s="136" t="s">
        <v>2237</v>
      </c>
      <c r="L163" s="136" t="s">
        <v>2452</v>
      </c>
      <c r="M163" s="136" t="s">
        <v>2509</v>
      </c>
      <c r="N163" s="320" t="s">
        <v>6226</v>
      </c>
    </row>
    <row r="164" spans="1:14" ht="19" customHeight="1">
      <c r="A164" s="356" t="s">
        <v>6224</v>
      </c>
      <c r="B164" s="137" t="s">
        <v>2510</v>
      </c>
      <c r="C164" s="136" t="s">
        <v>2400</v>
      </c>
      <c r="D164" s="296" t="s">
        <v>2511</v>
      </c>
      <c r="E164" s="296" t="s">
        <v>6341</v>
      </c>
      <c r="F164" s="297">
        <v>5</v>
      </c>
      <c r="G164" s="296" t="s">
        <v>5644</v>
      </c>
      <c r="H164" s="296" t="s">
        <v>2365</v>
      </c>
      <c r="I164" s="136" t="s">
        <v>2327</v>
      </c>
      <c r="J164" s="136" t="s">
        <v>2446</v>
      </c>
      <c r="K164" s="136" t="s">
        <v>2512</v>
      </c>
      <c r="L164" s="136" t="s">
        <v>2452</v>
      </c>
      <c r="M164" s="136" t="s">
        <v>2513</v>
      </c>
      <c r="N164" s="320" t="s">
        <v>6226</v>
      </c>
    </row>
    <row r="165" spans="1:14" ht="19" customHeight="1">
      <c r="A165" s="356" t="s">
        <v>6224</v>
      </c>
      <c r="B165" s="137" t="s">
        <v>5957</v>
      </c>
      <c r="C165" s="136" t="s">
        <v>2400</v>
      </c>
      <c r="D165" s="296" t="s">
        <v>5958</v>
      </c>
      <c r="E165" s="296" t="s">
        <v>6342</v>
      </c>
      <c r="F165" s="297">
        <v>8</v>
      </c>
      <c r="G165" s="296" t="s">
        <v>5960</v>
      </c>
      <c r="H165" s="296" t="s">
        <v>2398</v>
      </c>
      <c r="I165" s="136" t="s">
        <v>2364</v>
      </c>
      <c r="J165" s="136" t="s">
        <v>2446</v>
      </c>
      <c r="K165" s="136" t="s">
        <v>2237</v>
      </c>
      <c r="L165" s="136" t="s">
        <v>5959</v>
      </c>
      <c r="M165" s="136" t="s">
        <v>2704</v>
      </c>
      <c r="N165" s="320" t="s">
        <v>6240</v>
      </c>
    </row>
    <row r="166" spans="1:14" ht="19" customHeight="1">
      <c r="A166" s="356" t="s">
        <v>6224</v>
      </c>
      <c r="B166" s="137" t="s">
        <v>2418</v>
      </c>
      <c r="C166" s="136" t="s">
        <v>1241</v>
      </c>
      <c r="D166" s="296" t="s">
        <v>2419</v>
      </c>
      <c r="E166" s="296" t="s">
        <v>6343</v>
      </c>
      <c r="F166" s="297">
        <v>14</v>
      </c>
      <c r="G166" s="296" t="s">
        <v>5645</v>
      </c>
      <c r="H166" s="296" t="s">
        <v>2421</v>
      </c>
      <c r="I166" s="136" t="s">
        <v>2420</v>
      </c>
      <c r="J166" s="136" t="s">
        <v>2446</v>
      </c>
      <c r="K166" s="136" t="s">
        <v>2237</v>
      </c>
      <c r="L166" s="136" t="s">
        <v>2238</v>
      </c>
      <c r="M166" s="136" t="s">
        <v>2447</v>
      </c>
      <c r="N166" s="320" t="s">
        <v>6240</v>
      </c>
    </row>
    <row r="167" spans="1:14" ht="19" customHeight="1">
      <c r="A167" s="356" t="s">
        <v>6224</v>
      </c>
      <c r="B167" s="137" t="s">
        <v>2297</v>
      </c>
      <c r="C167" s="136" t="s">
        <v>1241</v>
      </c>
      <c r="D167" s="296" t="s">
        <v>2422</v>
      </c>
      <c r="E167" s="296" t="s">
        <v>6344</v>
      </c>
      <c r="F167" s="297">
        <v>24</v>
      </c>
      <c r="G167" s="296" t="s">
        <v>5646</v>
      </c>
      <c r="H167" s="296" t="s">
        <v>2423</v>
      </c>
      <c r="I167" s="136" t="s">
        <v>2268</v>
      </c>
      <c r="J167" s="136" t="s">
        <v>2446</v>
      </c>
      <c r="K167" s="136" t="s">
        <v>2237</v>
      </c>
      <c r="L167" s="136" t="s">
        <v>2238</v>
      </c>
      <c r="M167" s="136" t="s">
        <v>2447</v>
      </c>
      <c r="N167" s="320" t="s">
        <v>6238</v>
      </c>
    </row>
    <row r="168" spans="1:14" ht="19" customHeight="1">
      <c r="A168" s="356" t="s">
        <v>6224</v>
      </c>
      <c r="B168" s="137" t="s">
        <v>2424</v>
      </c>
      <c r="C168" s="136" t="s">
        <v>1241</v>
      </c>
      <c r="D168" s="296" t="s">
        <v>2425</v>
      </c>
      <c r="E168" s="296" t="s">
        <v>6345</v>
      </c>
      <c r="F168" s="297">
        <v>12</v>
      </c>
      <c r="G168" s="296" t="s">
        <v>5647</v>
      </c>
      <c r="H168" s="296" t="s">
        <v>2297</v>
      </c>
      <c r="I168" s="136" t="s">
        <v>2268</v>
      </c>
      <c r="J168" s="136" t="s">
        <v>2446</v>
      </c>
      <c r="K168" s="136" t="s">
        <v>2237</v>
      </c>
      <c r="L168" s="136" t="s">
        <v>2238</v>
      </c>
      <c r="M168" s="136" t="s">
        <v>2447</v>
      </c>
      <c r="N168" s="320" t="s">
        <v>6240</v>
      </c>
    </row>
    <row r="169" spans="1:14" ht="19" customHeight="1">
      <c r="A169" s="356" t="s">
        <v>6224</v>
      </c>
      <c r="B169" s="137" t="s">
        <v>2426</v>
      </c>
      <c r="C169" s="136" t="s">
        <v>1241</v>
      </c>
      <c r="D169" s="296" t="s">
        <v>2427</v>
      </c>
      <c r="E169" s="296" t="s">
        <v>6346</v>
      </c>
      <c r="F169" s="297">
        <v>0</v>
      </c>
      <c r="G169" s="296" t="s">
        <v>5655</v>
      </c>
      <c r="H169" s="296" t="s">
        <v>2272</v>
      </c>
      <c r="I169" s="136" t="s">
        <v>2428</v>
      </c>
      <c r="J169" s="136" t="s">
        <v>2446</v>
      </c>
      <c r="K169" s="136" t="s">
        <v>5657</v>
      </c>
      <c r="L169" s="136" t="s">
        <v>2238</v>
      </c>
      <c r="M169" s="136" t="s">
        <v>2447</v>
      </c>
      <c r="N169" s="320" t="s">
        <v>6240</v>
      </c>
    </row>
    <row r="170" spans="1:14" ht="19" customHeight="1">
      <c r="A170" s="356" t="s">
        <v>6224</v>
      </c>
      <c r="B170" s="137" t="s">
        <v>2429</v>
      </c>
      <c r="C170" s="136" t="s">
        <v>1241</v>
      </c>
      <c r="D170" s="296" t="s">
        <v>2430</v>
      </c>
      <c r="E170" s="296" t="s">
        <v>6347</v>
      </c>
      <c r="F170" s="297">
        <v>5</v>
      </c>
      <c r="G170" s="296" t="s">
        <v>5648</v>
      </c>
      <c r="H170" s="296" t="s">
        <v>2276</v>
      </c>
      <c r="I170" s="136" t="s">
        <v>2327</v>
      </c>
      <c r="J170" s="136" t="s">
        <v>2446</v>
      </c>
      <c r="K170" s="136" t="s">
        <v>2242</v>
      </c>
      <c r="L170" s="136" t="s">
        <v>2238</v>
      </c>
      <c r="M170" s="136" t="s">
        <v>2447</v>
      </c>
      <c r="N170" s="320" t="s">
        <v>6226</v>
      </c>
    </row>
    <row r="171" spans="1:14" ht="19" customHeight="1">
      <c r="A171" s="356" t="s">
        <v>6224</v>
      </c>
      <c r="B171" s="137" t="s">
        <v>2431</v>
      </c>
      <c r="C171" s="136" t="s">
        <v>1241</v>
      </c>
      <c r="D171" s="296" t="s">
        <v>2432</v>
      </c>
      <c r="E171" s="296" t="s">
        <v>6348</v>
      </c>
      <c r="F171" s="297">
        <v>6</v>
      </c>
      <c r="G171" s="296" t="s">
        <v>5649</v>
      </c>
      <c r="H171" s="296" t="s">
        <v>2329</v>
      </c>
      <c r="I171" s="136" t="s">
        <v>2428</v>
      </c>
      <c r="J171" s="136" t="s">
        <v>2446</v>
      </c>
      <c r="K171" s="136" t="s">
        <v>2237</v>
      </c>
      <c r="L171" s="136" t="s">
        <v>2238</v>
      </c>
      <c r="M171" s="136" t="s">
        <v>2447</v>
      </c>
      <c r="N171" s="320" t="s">
        <v>6226</v>
      </c>
    </row>
    <row r="172" spans="1:14" ht="19" customHeight="1">
      <c r="A172" s="356" t="s">
        <v>6224</v>
      </c>
      <c r="B172" s="137" t="s">
        <v>2433</v>
      </c>
      <c r="C172" s="136" t="s">
        <v>1241</v>
      </c>
      <c r="D172" s="296" t="s">
        <v>2434</v>
      </c>
      <c r="E172" s="296" t="s">
        <v>6349</v>
      </c>
      <c r="F172" s="297">
        <v>4</v>
      </c>
      <c r="G172" s="296" t="s">
        <v>5650</v>
      </c>
      <c r="H172" s="296" t="s">
        <v>2276</v>
      </c>
      <c r="I172" s="136" t="s">
        <v>2327</v>
      </c>
      <c r="J172" s="136" t="s">
        <v>2446</v>
      </c>
      <c r="K172" s="136" t="s">
        <v>2242</v>
      </c>
      <c r="L172" s="136" t="s">
        <v>2314</v>
      </c>
      <c r="M172" s="136" t="s">
        <v>2447</v>
      </c>
      <c r="N172" s="320" t="s">
        <v>6226</v>
      </c>
    </row>
    <row r="173" spans="1:14" ht="19" customHeight="1">
      <c r="A173" s="356" t="s">
        <v>6224</v>
      </c>
      <c r="B173" s="137" t="s">
        <v>2514</v>
      </c>
      <c r="C173" s="136" t="s">
        <v>1241</v>
      </c>
      <c r="D173" s="296" t="s">
        <v>2515</v>
      </c>
      <c r="E173" s="296" t="s">
        <v>6350</v>
      </c>
      <c r="F173" s="297">
        <v>12</v>
      </c>
      <c r="G173" s="296" t="s">
        <v>5651</v>
      </c>
      <c r="H173" s="296" t="s">
        <v>2418</v>
      </c>
      <c r="I173" s="136" t="s">
        <v>2327</v>
      </c>
      <c r="J173" s="136" t="s">
        <v>2446</v>
      </c>
      <c r="K173" s="136" t="s">
        <v>2237</v>
      </c>
      <c r="L173" s="136" t="s">
        <v>2452</v>
      </c>
      <c r="M173" s="136" t="s">
        <v>1245</v>
      </c>
      <c r="N173" s="320" t="s">
        <v>6240</v>
      </c>
    </row>
    <row r="174" spans="1:14" ht="19" customHeight="1">
      <c r="A174" s="356" t="s">
        <v>6224</v>
      </c>
      <c r="B174" s="137" t="s">
        <v>2516</v>
      </c>
      <c r="C174" s="136" t="s">
        <v>1241</v>
      </c>
      <c r="D174" s="296" t="s">
        <v>2517</v>
      </c>
      <c r="E174" s="296" t="s">
        <v>6351</v>
      </c>
      <c r="F174" s="297">
        <v>5</v>
      </c>
      <c r="G174" s="296" t="s">
        <v>5652</v>
      </c>
      <c r="H174" s="296" t="s">
        <v>2418</v>
      </c>
      <c r="I174" s="136" t="s">
        <v>2308</v>
      </c>
      <c r="J174" s="136" t="s">
        <v>2446</v>
      </c>
      <c r="K174" s="136" t="s">
        <v>2237</v>
      </c>
      <c r="L174" s="136" t="s">
        <v>2452</v>
      </c>
      <c r="M174" s="136" t="s">
        <v>1246</v>
      </c>
      <c r="N174" s="320" t="s">
        <v>6226</v>
      </c>
    </row>
    <row r="175" spans="1:14" ht="19" customHeight="1">
      <c r="A175" s="356" t="s">
        <v>6224</v>
      </c>
      <c r="B175" s="137" t="s">
        <v>2518</v>
      </c>
      <c r="C175" s="136" t="s">
        <v>1241</v>
      </c>
      <c r="D175" s="296" t="s">
        <v>2519</v>
      </c>
      <c r="E175" s="296" t="s">
        <v>6352</v>
      </c>
      <c r="F175" s="297">
        <v>6</v>
      </c>
      <c r="G175" s="296" t="s">
        <v>5653</v>
      </c>
      <c r="H175" s="296" t="s">
        <v>2297</v>
      </c>
      <c r="I175" s="136" t="s">
        <v>2234</v>
      </c>
      <c r="J175" s="136" t="s">
        <v>2446</v>
      </c>
      <c r="K175" s="136" t="s">
        <v>2237</v>
      </c>
      <c r="L175" s="136" t="s">
        <v>2452</v>
      </c>
      <c r="M175" s="136" t="s">
        <v>2520</v>
      </c>
      <c r="N175" s="320" t="s">
        <v>6226</v>
      </c>
    </row>
    <row r="176" spans="1:14" ht="19" customHeight="1">
      <c r="A176" s="356" t="s">
        <v>6224</v>
      </c>
      <c r="B176" s="137" t="s">
        <v>2521</v>
      </c>
      <c r="C176" s="136" t="s">
        <v>1241</v>
      </c>
      <c r="D176" s="296" t="s">
        <v>2522</v>
      </c>
      <c r="E176" s="296" t="s">
        <v>6353</v>
      </c>
      <c r="F176" s="297">
        <v>0</v>
      </c>
      <c r="G176" s="296" t="s">
        <v>5656</v>
      </c>
      <c r="H176" s="296" t="s">
        <v>2426</v>
      </c>
      <c r="I176" s="136" t="s">
        <v>2247</v>
      </c>
      <c r="J176" s="136" t="s">
        <v>2450</v>
      </c>
      <c r="K176" s="136" t="s">
        <v>5658</v>
      </c>
      <c r="L176" s="136" t="s">
        <v>2452</v>
      </c>
      <c r="M176" s="136" t="s">
        <v>4112</v>
      </c>
      <c r="N176" s="320" t="s">
        <v>6226</v>
      </c>
    </row>
    <row r="177" spans="1:14" ht="19" customHeight="1">
      <c r="A177" s="356" t="s">
        <v>6354</v>
      </c>
      <c r="B177" s="137" t="s">
        <v>5965</v>
      </c>
      <c r="C177" s="136" t="s">
        <v>5966</v>
      </c>
      <c r="D177" s="296" t="s">
        <v>5967</v>
      </c>
      <c r="E177" s="296" t="s">
        <v>6355</v>
      </c>
      <c r="F177" s="297">
        <v>10</v>
      </c>
      <c r="G177" s="296" t="s">
        <v>5970</v>
      </c>
      <c r="H177" s="296" t="s">
        <v>2236</v>
      </c>
      <c r="I177" s="136" t="s">
        <v>2308</v>
      </c>
      <c r="J177" s="136" t="s">
        <v>2446</v>
      </c>
      <c r="K177" s="136" t="s">
        <v>2237</v>
      </c>
      <c r="L177" s="136" t="s">
        <v>5968</v>
      </c>
      <c r="M177" s="136" t="s">
        <v>5969</v>
      </c>
      <c r="N177" s="320" t="s">
        <v>6238</v>
      </c>
    </row>
    <row r="178" spans="1:14" ht="19" customHeight="1">
      <c r="A178" s="356" t="s">
        <v>6354</v>
      </c>
      <c r="B178" s="137" t="s">
        <v>5971</v>
      </c>
      <c r="C178" s="136" t="s">
        <v>5966</v>
      </c>
      <c r="D178" s="296" t="s">
        <v>5972</v>
      </c>
      <c r="E178" s="296" t="s">
        <v>6356</v>
      </c>
      <c r="F178" s="297">
        <v>12</v>
      </c>
      <c r="G178" s="296" t="s">
        <v>5973</v>
      </c>
      <c r="H178" s="296" t="s">
        <v>5965</v>
      </c>
      <c r="I178" s="136" t="s">
        <v>2383</v>
      </c>
      <c r="J178" s="136" t="s">
        <v>2446</v>
      </c>
      <c r="K178" s="136" t="s">
        <v>2237</v>
      </c>
      <c r="L178" s="136" t="s">
        <v>5968</v>
      </c>
      <c r="M178" s="136" t="s">
        <v>5969</v>
      </c>
      <c r="N178" s="320" t="s">
        <v>6238</v>
      </c>
    </row>
    <row r="179" spans="1:14" ht="19" customHeight="1">
      <c r="A179" s="356" t="s">
        <v>6354</v>
      </c>
      <c r="B179" s="137" t="s">
        <v>5974</v>
      </c>
      <c r="C179" s="136" t="s">
        <v>5966</v>
      </c>
      <c r="D179" s="296" t="s">
        <v>5975</v>
      </c>
      <c r="E179" s="296" t="s">
        <v>6357</v>
      </c>
      <c r="F179" s="297">
        <v>25</v>
      </c>
      <c r="G179" s="296" t="s">
        <v>5976</v>
      </c>
      <c r="H179" s="296" t="s">
        <v>5971</v>
      </c>
      <c r="I179" s="136" t="s">
        <v>2236</v>
      </c>
      <c r="J179" s="136" t="s">
        <v>2446</v>
      </c>
      <c r="K179" s="136" t="s">
        <v>2237</v>
      </c>
      <c r="L179" s="136" t="s">
        <v>5968</v>
      </c>
      <c r="M179" s="136" t="s">
        <v>5969</v>
      </c>
      <c r="N179" s="320" t="s">
        <v>6238</v>
      </c>
    </row>
    <row r="180" spans="1:14" ht="19" customHeight="1">
      <c r="A180" s="356" t="s">
        <v>6354</v>
      </c>
      <c r="B180" s="137" t="s">
        <v>5977</v>
      </c>
      <c r="C180" s="136" t="s">
        <v>5966</v>
      </c>
      <c r="D180" s="296" t="s">
        <v>5978</v>
      </c>
      <c r="E180" s="296" t="s">
        <v>6358</v>
      </c>
      <c r="F180" s="297">
        <v>30</v>
      </c>
      <c r="G180" s="296" t="s">
        <v>5979</v>
      </c>
      <c r="H180" s="296" t="s">
        <v>2236</v>
      </c>
      <c r="I180" s="136" t="s">
        <v>2236</v>
      </c>
      <c r="J180" s="136" t="s">
        <v>2446</v>
      </c>
      <c r="K180" s="136" t="s">
        <v>2237</v>
      </c>
      <c r="L180" s="136" t="s">
        <v>5968</v>
      </c>
      <c r="M180" s="136" t="s">
        <v>5969</v>
      </c>
      <c r="N180" s="320" t="s">
        <v>6238</v>
      </c>
    </row>
    <row r="181" spans="1:14" ht="19" customHeight="1">
      <c r="A181" s="356" t="s">
        <v>6354</v>
      </c>
      <c r="B181" s="137" t="s">
        <v>5980</v>
      </c>
      <c r="C181" s="136" t="s">
        <v>5966</v>
      </c>
      <c r="D181" s="296" t="s">
        <v>5981</v>
      </c>
      <c r="E181" s="296" t="s">
        <v>6359</v>
      </c>
      <c r="F181" s="297">
        <v>10</v>
      </c>
      <c r="G181" s="296" t="s">
        <v>5982</v>
      </c>
      <c r="H181" s="296" t="s">
        <v>2479</v>
      </c>
      <c r="I181" s="136" t="s">
        <v>2236</v>
      </c>
      <c r="J181" s="136" t="s">
        <v>2446</v>
      </c>
      <c r="K181" s="136" t="s">
        <v>2237</v>
      </c>
      <c r="L181" s="136" t="s">
        <v>5968</v>
      </c>
      <c r="M181" s="136" t="s">
        <v>5969</v>
      </c>
      <c r="N181" s="320" t="s">
        <v>6238</v>
      </c>
    </row>
    <row r="182" spans="1:14" ht="19" customHeight="1">
      <c r="A182" s="356" t="s">
        <v>6354</v>
      </c>
      <c r="B182" s="137" t="s">
        <v>5983</v>
      </c>
      <c r="C182" s="136" t="s">
        <v>5966</v>
      </c>
      <c r="D182" s="296" t="s">
        <v>5984</v>
      </c>
      <c r="E182" s="296" t="s">
        <v>6360</v>
      </c>
      <c r="F182" s="297">
        <v>8</v>
      </c>
      <c r="G182" s="296" t="s">
        <v>5985</v>
      </c>
      <c r="H182" s="296" t="s">
        <v>2236</v>
      </c>
      <c r="I182" s="136" t="s">
        <v>2327</v>
      </c>
      <c r="J182" s="136" t="s">
        <v>2446</v>
      </c>
      <c r="K182" s="136" t="s">
        <v>2237</v>
      </c>
      <c r="L182" s="136" t="s">
        <v>5968</v>
      </c>
      <c r="M182" s="136" t="s">
        <v>5969</v>
      </c>
      <c r="N182" s="320" t="s">
        <v>6240</v>
      </c>
    </row>
    <row r="183" spans="1:14" ht="19" customHeight="1">
      <c r="A183" s="356" t="s">
        <v>6354</v>
      </c>
      <c r="B183" s="137" t="s">
        <v>5986</v>
      </c>
      <c r="C183" s="136" t="s">
        <v>5966</v>
      </c>
      <c r="D183" s="296" t="s">
        <v>5987</v>
      </c>
      <c r="E183" s="296" t="s">
        <v>6361</v>
      </c>
      <c r="F183" s="297">
        <v>10</v>
      </c>
      <c r="G183" s="296" t="s">
        <v>5988</v>
      </c>
      <c r="H183" s="296" t="s">
        <v>5983</v>
      </c>
      <c r="I183" s="136" t="s">
        <v>2378</v>
      </c>
      <c r="J183" s="136" t="s">
        <v>2446</v>
      </c>
      <c r="K183" s="136" t="s">
        <v>2237</v>
      </c>
      <c r="L183" s="136" t="s">
        <v>5968</v>
      </c>
      <c r="M183" s="136" t="s">
        <v>5969</v>
      </c>
      <c r="N183" s="320" t="s">
        <v>6238</v>
      </c>
    </row>
    <row r="184" spans="1:14" ht="19" customHeight="1">
      <c r="A184" s="357" t="s">
        <v>6354</v>
      </c>
      <c r="B184" s="313" t="s">
        <v>5989</v>
      </c>
      <c r="C184" s="312" t="s">
        <v>5966</v>
      </c>
      <c r="D184" s="299" t="s">
        <v>5990</v>
      </c>
      <c r="E184" s="299" t="s">
        <v>6362</v>
      </c>
      <c r="F184" s="300">
        <v>12</v>
      </c>
      <c r="G184" s="299" t="s">
        <v>5991</v>
      </c>
      <c r="H184" s="299" t="s">
        <v>2236</v>
      </c>
      <c r="I184" s="312" t="s">
        <v>2236</v>
      </c>
      <c r="J184" s="312" t="s">
        <v>2446</v>
      </c>
      <c r="K184" s="312" t="s">
        <v>2237</v>
      </c>
      <c r="L184" s="312" t="s">
        <v>5968</v>
      </c>
      <c r="M184" s="312" t="s">
        <v>5969</v>
      </c>
      <c r="N184" s="321" t="s">
        <v>6238</v>
      </c>
    </row>
    <row r="185" spans="1:14" ht="26" customHeight="1"/>
    <row r="186" spans="1:14" ht="26" customHeight="1"/>
    <row r="187" spans="1:14" ht="26" customHeight="1">
      <c r="A187" s="370" t="s">
        <v>5992</v>
      </c>
      <c r="B187" s="32"/>
      <c r="C187" s="32"/>
    </row>
    <row r="188" spans="1:14" ht="26" customHeight="1">
      <c r="A188" s="254" t="s">
        <v>5993</v>
      </c>
      <c r="B188" s="255" t="s">
        <v>1545</v>
      </c>
      <c r="C188" s="256" t="s">
        <v>5994</v>
      </c>
    </row>
    <row r="189" spans="1:14" ht="26" customHeight="1">
      <c r="A189" s="257" t="s">
        <v>2671</v>
      </c>
      <c r="B189" s="258" t="s">
        <v>5995</v>
      </c>
      <c r="C189" s="318" t="s">
        <v>5996</v>
      </c>
    </row>
    <row r="190" spans="1:14" ht="26" customHeight="1">
      <c r="A190" s="257" t="s">
        <v>2665</v>
      </c>
      <c r="B190" s="258" t="s">
        <v>5997</v>
      </c>
      <c r="C190" s="318" t="s">
        <v>5998</v>
      </c>
    </row>
    <row r="191" spans="1:14" ht="26" customHeight="1">
      <c r="A191" s="257" t="s">
        <v>2654</v>
      </c>
      <c r="B191" s="258" t="s">
        <v>5999</v>
      </c>
      <c r="C191" s="318" t="s">
        <v>6000</v>
      </c>
    </row>
    <row r="192" spans="1:14" ht="26" customHeight="1">
      <c r="A192" s="264" t="s">
        <v>2669</v>
      </c>
      <c r="B192" s="265" t="s">
        <v>6001</v>
      </c>
      <c r="C192" s="319" t="s">
        <v>6002</v>
      </c>
    </row>
    <row r="193" spans="1:3" ht="26" customHeight="1">
      <c r="A193" s="116"/>
      <c r="B193" s="116"/>
      <c r="C193" s="116"/>
    </row>
    <row r="194" spans="1:3" ht="26" customHeight="1">
      <c r="A194" s="33" t="s">
        <v>6366</v>
      </c>
      <c r="B194" s="116"/>
      <c r="C194" s="116"/>
    </row>
    <row r="195" spans="1:3" ht="26" customHeight="1">
      <c r="A195" s="116" t="s">
        <v>6367</v>
      </c>
      <c r="B195" s="116"/>
      <c r="C195" s="116"/>
    </row>
    <row r="196" spans="1:3" ht="26" customHeight="1">
      <c r="A196" s="116" t="s">
        <v>6210</v>
      </c>
      <c r="B196" s="116"/>
      <c r="C196" s="116"/>
    </row>
    <row r="197" spans="1:3" ht="26" customHeight="1">
      <c r="A197" s="116" t="s">
        <v>6211</v>
      </c>
      <c r="B197" s="116"/>
      <c r="C197" s="116"/>
    </row>
    <row r="198" spans="1:3" ht="26" customHeight="1">
      <c r="A198" s="116" t="s">
        <v>6368</v>
      </c>
      <c r="B198" s="116"/>
      <c r="C198" s="116"/>
    </row>
    <row r="199" spans="1:3" ht="26" customHeight="1">
      <c r="A199" s="116" t="s">
        <v>6369</v>
      </c>
      <c r="B199" s="116"/>
      <c r="C199" s="116"/>
    </row>
    <row r="200" spans="1:3" ht="26" customHeight="1">
      <c r="A200" s="116" t="s">
        <v>6370</v>
      </c>
      <c r="B200" s="116"/>
      <c r="C200" s="116"/>
    </row>
    <row r="201" spans="1:3">
      <c r="A201" s="116" t="s">
        <v>6371</v>
      </c>
      <c r="B201" s="116"/>
      <c r="C201" s="116"/>
    </row>
  </sheetData>
  <autoFilter ref="A5:N184" xr:uid="{299E7693-5B40-0444-B227-D6033B94776C}"/>
  <phoneticPr fontId="2"/>
  <conditionalFormatting sqref="A6:N184 A187">
    <cfRule type="expression" dxfId="45" priority="1">
      <formula>$A6="② 詳細設計"</formula>
    </cfRule>
  </conditionalFormatting>
  <conditionalFormatting sqref="A6:N184 A187">
    <cfRule type="expression" dxfId="44" priority="2">
      <formula>$A6="③ 構築（横断BX）"</formula>
    </cfRule>
  </conditionalFormatting>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13185A0-2764-294B-9250-00ECB5CCB839}">
  <dimension ref="A1:H82"/>
  <sheetViews>
    <sheetView zoomScale="134" workbookViewId="0">
      <pane ySplit="5" topLeftCell="A19" activePane="bottomLeft" state="frozen"/>
      <selection activeCell="C1" sqref="C1"/>
      <selection pane="bottomLeft" activeCell="D23" sqref="D23"/>
    </sheetView>
  </sheetViews>
  <sheetFormatPr baseColWidth="10" defaultRowHeight="20"/>
  <cols>
    <col min="1" max="1" width="18.5703125" customWidth="1"/>
    <col min="2" max="2" width="15.7109375" customWidth="1"/>
    <col min="3" max="3" width="74.28515625" customWidth="1"/>
    <col min="4" max="4" width="41.42578125" customWidth="1"/>
    <col min="5" max="5" width="10" customWidth="1"/>
    <col min="6" max="6" width="61.42578125" customWidth="1"/>
    <col min="7" max="7" width="21.42578125" customWidth="1"/>
    <col min="8" max="8" width="60" customWidth="1"/>
    <col min="9" max="9" width="24.28515625" customWidth="1"/>
    <col min="10" max="11" width="11.42578125" customWidth="1"/>
    <col min="12" max="12" width="32.85546875" customWidth="1"/>
  </cols>
  <sheetData>
    <row r="1" spans="1:8" ht="25">
      <c r="A1" s="47" t="s">
        <v>5749</v>
      </c>
    </row>
    <row r="2" spans="1:8">
      <c r="A2" s="3" t="s">
        <v>5750</v>
      </c>
    </row>
    <row r="3" spans="1:8">
      <c r="A3" s="55" t="s">
        <v>5751</v>
      </c>
    </row>
    <row r="5" spans="1:8" ht="24" customHeight="1">
      <c r="A5" s="185" t="s">
        <v>1</v>
      </c>
      <c r="B5" s="186" t="s">
        <v>9</v>
      </c>
      <c r="C5" s="186" t="s">
        <v>2759</v>
      </c>
      <c r="D5" s="186" t="s">
        <v>2764</v>
      </c>
      <c r="E5" s="186" t="s">
        <v>2530</v>
      </c>
      <c r="F5" s="186" t="s">
        <v>2765</v>
      </c>
      <c r="G5" s="187" t="s">
        <v>2756</v>
      </c>
      <c r="H5" s="349" t="s">
        <v>5671</v>
      </c>
    </row>
    <row r="6" spans="1:8">
      <c r="A6" s="5" t="s">
        <v>2766</v>
      </c>
      <c r="B6" s="178" t="s">
        <v>2767</v>
      </c>
      <c r="C6" s="6" t="s">
        <v>2768</v>
      </c>
      <c r="D6" s="195" t="s">
        <v>2769</v>
      </c>
      <c r="E6" s="165">
        <v>6</v>
      </c>
      <c r="F6" s="180" t="s">
        <v>2770</v>
      </c>
      <c r="G6" s="188" t="s">
        <v>2771</v>
      </c>
      <c r="H6" s="57" t="s">
        <v>5672</v>
      </c>
    </row>
    <row r="7" spans="1:8">
      <c r="A7" s="5" t="s">
        <v>2766</v>
      </c>
      <c r="B7" s="178" t="s">
        <v>2772</v>
      </c>
      <c r="C7" s="6" t="s">
        <v>2773</v>
      </c>
      <c r="D7" s="195" t="s">
        <v>2774</v>
      </c>
      <c r="E7" s="165">
        <v>6</v>
      </c>
      <c r="F7" s="180" t="s">
        <v>2775</v>
      </c>
      <c r="G7" s="188" t="s">
        <v>2771</v>
      </c>
      <c r="H7" s="57" t="s">
        <v>5673</v>
      </c>
    </row>
    <row r="8" spans="1:8">
      <c r="A8" s="5" t="s">
        <v>2766</v>
      </c>
      <c r="B8" s="178" t="s">
        <v>2776</v>
      </c>
      <c r="C8" s="6" t="s">
        <v>2777</v>
      </c>
      <c r="D8" s="195" t="s">
        <v>2778</v>
      </c>
      <c r="E8" s="165">
        <v>6</v>
      </c>
      <c r="F8" s="180" t="s">
        <v>2779</v>
      </c>
      <c r="G8" s="188" t="s">
        <v>2771</v>
      </c>
      <c r="H8" s="57" t="s">
        <v>5674</v>
      </c>
    </row>
    <row r="9" spans="1:8">
      <c r="A9" s="5" t="s">
        <v>2766</v>
      </c>
      <c r="B9" s="178" t="s">
        <v>2780</v>
      </c>
      <c r="C9" s="6" t="s">
        <v>2781</v>
      </c>
      <c r="D9" s="195" t="s">
        <v>2782</v>
      </c>
      <c r="E9" s="165">
        <v>5</v>
      </c>
      <c r="F9" s="180" t="s">
        <v>2783</v>
      </c>
      <c r="G9" s="188" t="s">
        <v>2771</v>
      </c>
      <c r="H9" s="57" t="s">
        <v>5675</v>
      </c>
    </row>
    <row r="10" spans="1:8">
      <c r="A10" s="5" t="s">
        <v>2766</v>
      </c>
      <c r="B10" s="178" t="s">
        <v>2784</v>
      </c>
      <c r="C10" s="6" t="s">
        <v>2785</v>
      </c>
      <c r="D10" s="195" t="s">
        <v>2786</v>
      </c>
      <c r="E10" s="165">
        <v>5</v>
      </c>
      <c r="F10" s="180" t="s">
        <v>2787</v>
      </c>
      <c r="G10" s="188" t="s">
        <v>2771</v>
      </c>
      <c r="H10" s="57" t="s">
        <v>5676</v>
      </c>
    </row>
    <row r="11" spans="1:8">
      <c r="A11" s="5" t="s">
        <v>2766</v>
      </c>
      <c r="B11" s="178" t="s">
        <v>2788</v>
      </c>
      <c r="C11" s="6" t="s">
        <v>2789</v>
      </c>
      <c r="D11" s="195" t="s">
        <v>2790</v>
      </c>
      <c r="E11" s="165">
        <v>6</v>
      </c>
      <c r="F11" s="180" t="s">
        <v>2791</v>
      </c>
      <c r="G11" s="188" t="s">
        <v>2771</v>
      </c>
      <c r="H11" s="57" t="s">
        <v>5677</v>
      </c>
    </row>
    <row r="12" spans="1:8">
      <c r="A12" s="5" t="s">
        <v>2766</v>
      </c>
      <c r="B12" s="178" t="s">
        <v>2792</v>
      </c>
      <c r="C12" s="6" t="s">
        <v>2793</v>
      </c>
      <c r="D12" s="195" t="s">
        <v>2794</v>
      </c>
      <c r="E12" s="165">
        <v>4</v>
      </c>
      <c r="F12" s="180" t="s">
        <v>2795</v>
      </c>
      <c r="G12" s="188" t="s">
        <v>2771</v>
      </c>
      <c r="H12" s="57" t="s">
        <v>5678</v>
      </c>
    </row>
    <row r="13" spans="1:8">
      <c r="A13" s="336" t="s">
        <v>2766</v>
      </c>
      <c r="B13" s="337" t="s">
        <v>5716</v>
      </c>
      <c r="C13" s="322" t="s">
        <v>5717</v>
      </c>
      <c r="D13" s="338" t="s">
        <v>5718</v>
      </c>
      <c r="E13" s="339">
        <v>5</v>
      </c>
      <c r="F13" s="340" t="s">
        <v>5719</v>
      </c>
      <c r="G13" s="341" t="s">
        <v>2771</v>
      </c>
      <c r="H13" s="350" t="s">
        <v>5720</v>
      </c>
    </row>
    <row r="14" spans="1:8">
      <c r="A14" s="336" t="s">
        <v>2766</v>
      </c>
      <c r="B14" s="337" t="s">
        <v>5721</v>
      </c>
      <c r="C14" s="322" t="s">
        <v>5722</v>
      </c>
      <c r="D14" s="338" t="s">
        <v>5723</v>
      </c>
      <c r="E14" s="339">
        <v>4</v>
      </c>
      <c r="F14" s="340" t="s">
        <v>5724</v>
      </c>
      <c r="G14" s="341" t="s">
        <v>2771</v>
      </c>
      <c r="H14" s="350" t="s">
        <v>5725</v>
      </c>
    </row>
    <row r="15" spans="1:8" ht="34">
      <c r="A15" s="5" t="s">
        <v>2796</v>
      </c>
      <c r="B15" s="178" t="s">
        <v>2797</v>
      </c>
      <c r="C15" s="6" t="s">
        <v>2798</v>
      </c>
      <c r="D15" s="195" t="s">
        <v>2799</v>
      </c>
      <c r="E15" s="165">
        <v>12</v>
      </c>
      <c r="F15" s="180" t="s">
        <v>2800</v>
      </c>
      <c r="G15" s="188" t="s">
        <v>2771</v>
      </c>
      <c r="H15" s="57" t="s">
        <v>5679</v>
      </c>
    </row>
    <row r="16" spans="1:8" ht="34">
      <c r="A16" s="5" t="s">
        <v>2796</v>
      </c>
      <c r="B16" s="178" t="s">
        <v>2801</v>
      </c>
      <c r="C16" s="6" t="s">
        <v>2802</v>
      </c>
      <c r="D16" s="195" t="s">
        <v>2803</v>
      </c>
      <c r="E16" s="165">
        <v>10</v>
      </c>
      <c r="F16" s="180" t="s">
        <v>2804</v>
      </c>
      <c r="G16" s="188" t="s">
        <v>2771</v>
      </c>
      <c r="H16" s="57" t="s">
        <v>5680</v>
      </c>
    </row>
    <row r="17" spans="1:8">
      <c r="A17" s="5" t="s">
        <v>2796</v>
      </c>
      <c r="B17" s="178" t="s">
        <v>2805</v>
      </c>
      <c r="C17" s="6" t="s">
        <v>2806</v>
      </c>
      <c r="D17" s="195" t="s">
        <v>2807</v>
      </c>
      <c r="E17" s="165">
        <v>12</v>
      </c>
      <c r="F17" s="180" t="s">
        <v>2808</v>
      </c>
      <c r="G17" s="188" t="s">
        <v>2771</v>
      </c>
      <c r="H17" s="57" t="s">
        <v>5681</v>
      </c>
    </row>
    <row r="18" spans="1:8">
      <c r="A18" s="5" t="s">
        <v>2796</v>
      </c>
      <c r="B18" s="178" t="s">
        <v>2809</v>
      </c>
      <c r="C18" s="6" t="s">
        <v>2810</v>
      </c>
      <c r="D18" s="195" t="s">
        <v>2811</v>
      </c>
      <c r="E18" s="165">
        <v>10</v>
      </c>
      <c r="F18" s="180" t="s">
        <v>2812</v>
      </c>
      <c r="G18" s="188" t="s">
        <v>2771</v>
      </c>
      <c r="H18" s="57" t="s">
        <v>5682</v>
      </c>
    </row>
    <row r="19" spans="1:8">
      <c r="A19" s="5" t="s">
        <v>2796</v>
      </c>
      <c r="B19" s="178" t="s">
        <v>2813</v>
      </c>
      <c r="C19" s="6" t="s">
        <v>2814</v>
      </c>
      <c r="D19" s="195" t="s">
        <v>2815</v>
      </c>
      <c r="E19" s="165">
        <v>12</v>
      </c>
      <c r="F19" s="180" t="s">
        <v>2760</v>
      </c>
      <c r="G19" s="188" t="s">
        <v>2771</v>
      </c>
      <c r="H19" s="57" t="s">
        <v>5683</v>
      </c>
    </row>
    <row r="20" spans="1:8">
      <c r="A20" s="5" t="s">
        <v>2796</v>
      </c>
      <c r="B20" s="178" t="s">
        <v>2816</v>
      </c>
      <c r="C20" s="6" t="s">
        <v>2817</v>
      </c>
      <c r="D20" s="195" t="s">
        <v>2818</v>
      </c>
      <c r="E20" s="165">
        <v>8</v>
      </c>
      <c r="F20" s="180" t="s">
        <v>2761</v>
      </c>
      <c r="G20" s="188" t="s">
        <v>2771</v>
      </c>
      <c r="H20" s="57" t="s">
        <v>5684</v>
      </c>
    </row>
    <row r="21" spans="1:8">
      <c r="A21" s="5" t="s">
        <v>2796</v>
      </c>
      <c r="B21" s="178" t="s">
        <v>2819</v>
      </c>
      <c r="C21" s="6" t="s">
        <v>2820</v>
      </c>
      <c r="D21" s="195" t="s">
        <v>2821</v>
      </c>
      <c r="E21" s="165">
        <v>12</v>
      </c>
      <c r="F21" s="180" t="s">
        <v>2822</v>
      </c>
      <c r="G21" s="188" t="s">
        <v>2771</v>
      </c>
      <c r="H21" s="57" t="s">
        <v>5685</v>
      </c>
    </row>
    <row r="22" spans="1:8">
      <c r="A22" s="5" t="s">
        <v>2796</v>
      </c>
      <c r="B22" s="178" t="s">
        <v>2823</v>
      </c>
      <c r="C22" s="6" t="s">
        <v>2824</v>
      </c>
      <c r="D22" s="195" t="s">
        <v>2825</v>
      </c>
      <c r="E22" s="165">
        <v>6</v>
      </c>
      <c r="F22" s="180" t="s">
        <v>2826</v>
      </c>
      <c r="G22" s="188" t="s">
        <v>2771</v>
      </c>
      <c r="H22" s="57" t="s">
        <v>5686</v>
      </c>
    </row>
    <row r="23" spans="1:8">
      <c r="A23" s="5" t="s">
        <v>2796</v>
      </c>
      <c r="B23" s="178" t="s">
        <v>2827</v>
      </c>
      <c r="C23" s="6" t="s">
        <v>2828</v>
      </c>
      <c r="D23" s="195" t="s">
        <v>2829</v>
      </c>
      <c r="E23" s="165">
        <v>5</v>
      </c>
      <c r="F23" s="180" t="s">
        <v>2830</v>
      </c>
      <c r="G23" s="188" t="s">
        <v>2771</v>
      </c>
      <c r="H23" s="57" t="s">
        <v>5687</v>
      </c>
    </row>
    <row r="24" spans="1:8">
      <c r="A24" s="5" t="s">
        <v>2831</v>
      </c>
      <c r="B24" s="178" t="s">
        <v>2832</v>
      </c>
      <c r="C24" s="6" t="s">
        <v>2833</v>
      </c>
      <c r="D24" s="195" t="s">
        <v>2834</v>
      </c>
      <c r="E24" s="165">
        <v>10</v>
      </c>
      <c r="F24" s="180" t="s">
        <v>2835</v>
      </c>
      <c r="G24" s="188" t="s">
        <v>1522</v>
      </c>
      <c r="H24" s="57" t="s">
        <v>5688</v>
      </c>
    </row>
    <row r="25" spans="1:8">
      <c r="A25" s="5" t="s">
        <v>2831</v>
      </c>
      <c r="B25" s="178" t="s">
        <v>2836</v>
      </c>
      <c r="C25" s="6" t="s">
        <v>2837</v>
      </c>
      <c r="D25" s="195" t="s">
        <v>2838</v>
      </c>
      <c r="E25" s="165">
        <v>8</v>
      </c>
      <c r="F25" s="180" t="s">
        <v>2839</v>
      </c>
      <c r="G25" s="188" t="s">
        <v>1522</v>
      </c>
      <c r="H25" s="57" t="s">
        <v>5689</v>
      </c>
    </row>
    <row r="26" spans="1:8">
      <c r="A26" s="5" t="s">
        <v>2831</v>
      </c>
      <c r="B26" s="178" t="s">
        <v>2840</v>
      </c>
      <c r="C26" s="6" t="s">
        <v>2841</v>
      </c>
      <c r="D26" s="195" t="s">
        <v>2842</v>
      </c>
      <c r="E26" s="165">
        <v>12</v>
      </c>
      <c r="F26" s="180" t="s">
        <v>2843</v>
      </c>
      <c r="G26" s="188" t="s">
        <v>1522</v>
      </c>
      <c r="H26" s="57" t="s">
        <v>5690</v>
      </c>
    </row>
    <row r="27" spans="1:8">
      <c r="A27" s="5" t="s">
        <v>2831</v>
      </c>
      <c r="B27" s="178" t="s">
        <v>2844</v>
      </c>
      <c r="C27" s="6" t="s">
        <v>2845</v>
      </c>
      <c r="D27" s="195" t="s">
        <v>2846</v>
      </c>
      <c r="E27" s="165">
        <v>8</v>
      </c>
      <c r="F27" s="180" t="s">
        <v>2847</v>
      </c>
      <c r="G27" s="188" t="s">
        <v>1522</v>
      </c>
      <c r="H27" s="57" t="s">
        <v>5691</v>
      </c>
    </row>
    <row r="28" spans="1:8" ht="34">
      <c r="A28" s="5" t="s">
        <v>2848</v>
      </c>
      <c r="B28" s="178" t="s">
        <v>2849</v>
      </c>
      <c r="C28" s="6" t="s">
        <v>2850</v>
      </c>
      <c r="D28" s="195" t="s">
        <v>2851</v>
      </c>
      <c r="E28" s="165">
        <v>18</v>
      </c>
      <c r="F28" s="180" t="s">
        <v>5715</v>
      </c>
      <c r="G28" s="188" t="s">
        <v>2771</v>
      </c>
      <c r="H28" s="57" t="s">
        <v>5692</v>
      </c>
    </row>
    <row r="29" spans="1:8">
      <c r="A29" s="5" t="s">
        <v>2848</v>
      </c>
      <c r="B29" s="178" t="s">
        <v>2852</v>
      </c>
      <c r="C29" s="6" t="s">
        <v>2853</v>
      </c>
      <c r="D29" s="195" t="s">
        <v>2854</v>
      </c>
      <c r="E29" s="165">
        <v>14</v>
      </c>
      <c r="F29" s="180" t="s">
        <v>6019</v>
      </c>
      <c r="G29" s="188" t="s">
        <v>2771</v>
      </c>
      <c r="H29" s="57" t="s">
        <v>5693</v>
      </c>
    </row>
    <row r="30" spans="1:8">
      <c r="A30" s="5" t="s">
        <v>2848</v>
      </c>
      <c r="B30" s="178" t="s">
        <v>2855</v>
      </c>
      <c r="C30" s="6" t="s">
        <v>2856</v>
      </c>
      <c r="D30" s="195" t="s">
        <v>2857</v>
      </c>
      <c r="E30" s="165">
        <v>12</v>
      </c>
      <c r="F30" s="180" t="s">
        <v>6020</v>
      </c>
      <c r="G30" s="188" t="s">
        <v>2771</v>
      </c>
      <c r="H30" s="57" t="s">
        <v>5694</v>
      </c>
    </row>
    <row r="31" spans="1:8">
      <c r="A31" s="5" t="s">
        <v>2848</v>
      </c>
      <c r="B31" s="178" t="s">
        <v>2858</v>
      </c>
      <c r="C31" s="6" t="s">
        <v>2859</v>
      </c>
      <c r="D31" s="195" t="s">
        <v>2860</v>
      </c>
      <c r="E31" s="165">
        <v>8</v>
      </c>
      <c r="F31" s="180" t="s">
        <v>6021</v>
      </c>
      <c r="G31" s="188" t="s">
        <v>2771</v>
      </c>
      <c r="H31" s="57" t="s">
        <v>5695</v>
      </c>
    </row>
    <row r="32" spans="1:8">
      <c r="A32" s="5" t="s">
        <v>2848</v>
      </c>
      <c r="B32" s="178" t="s">
        <v>2861</v>
      </c>
      <c r="C32" s="6" t="s">
        <v>2862</v>
      </c>
      <c r="D32" s="195" t="s">
        <v>2863</v>
      </c>
      <c r="E32" s="165">
        <v>6</v>
      </c>
      <c r="F32" s="180" t="s">
        <v>6022</v>
      </c>
      <c r="G32" s="188" t="s">
        <v>2771</v>
      </c>
      <c r="H32" s="57" t="s">
        <v>5696</v>
      </c>
    </row>
    <row r="33" spans="1:8">
      <c r="A33" s="5" t="s">
        <v>2848</v>
      </c>
      <c r="B33" s="178" t="s">
        <v>2864</v>
      </c>
      <c r="C33" s="6" t="s">
        <v>2865</v>
      </c>
      <c r="D33" s="195" t="s">
        <v>2866</v>
      </c>
      <c r="E33" s="165">
        <v>6</v>
      </c>
      <c r="F33" s="180" t="s">
        <v>6023</v>
      </c>
      <c r="G33" s="188" t="s">
        <v>2771</v>
      </c>
      <c r="H33" s="57" t="s">
        <v>5697</v>
      </c>
    </row>
    <row r="34" spans="1:8">
      <c r="A34" s="5" t="s">
        <v>2867</v>
      </c>
      <c r="B34" s="178" t="s">
        <v>2868</v>
      </c>
      <c r="C34" s="6" t="s">
        <v>2869</v>
      </c>
      <c r="D34" s="195" t="s">
        <v>2870</v>
      </c>
      <c r="E34" s="165">
        <v>12</v>
      </c>
      <c r="F34" s="180" t="s">
        <v>6024</v>
      </c>
      <c r="G34" s="188" t="s">
        <v>2771</v>
      </c>
      <c r="H34" s="57" t="s">
        <v>5698</v>
      </c>
    </row>
    <row r="35" spans="1:8">
      <c r="A35" s="5" t="s">
        <v>2867</v>
      </c>
      <c r="B35" s="178" t="s">
        <v>2871</v>
      </c>
      <c r="C35" s="6" t="s">
        <v>2872</v>
      </c>
      <c r="D35" s="195" t="s">
        <v>2873</v>
      </c>
      <c r="E35" s="165">
        <v>8</v>
      </c>
      <c r="F35" s="180" t="s">
        <v>6025</v>
      </c>
      <c r="G35" s="188" t="s">
        <v>2771</v>
      </c>
      <c r="H35" s="57" t="s">
        <v>5699</v>
      </c>
    </row>
    <row r="36" spans="1:8">
      <c r="A36" s="5" t="s">
        <v>2867</v>
      </c>
      <c r="B36" s="178" t="s">
        <v>2874</v>
      </c>
      <c r="C36" s="6" t="s">
        <v>2875</v>
      </c>
      <c r="D36" s="195" t="s">
        <v>2876</v>
      </c>
      <c r="E36" s="165">
        <v>8</v>
      </c>
      <c r="F36" s="180" t="s">
        <v>6026</v>
      </c>
      <c r="G36" s="188" t="s">
        <v>2771</v>
      </c>
      <c r="H36" s="57" t="s">
        <v>5700</v>
      </c>
    </row>
    <row r="37" spans="1:8">
      <c r="A37" s="5" t="s">
        <v>2867</v>
      </c>
      <c r="B37" s="178" t="s">
        <v>2877</v>
      </c>
      <c r="C37" s="6" t="s">
        <v>2878</v>
      </c>
      <c r="D37" s="195" t="s">
        <v>2879</v>
      </c>
      <c r="E37" s="165">
        <v>6</v>
      </c>
      <c r="F37" s="180" t="s">
        <v>6027</v>
      </c>
      <c r="G37" s="188" t="s">
        <v>2771</v>
      </c>
      <c r="H37" s="57" t="s">
        <v>5701</v>
      </c>
    </row>
    <row r="38" spans="1:8">
      <c r="A38" s="5" t="s">
        <v>2867</v>
      </c>
      <c r="B38" s="178" t="s">
        <v>2880</v>
      </c>
      <c r="C38" s="6" t="s">
        <v>2881</v>
      </c>
      <c r="D38" s="195" t="s">
        <v>2882</v>
      </c>
      <c r="E38" s="165">
        <v>6</v>
      </c>
      <c r="F38" s="180" t="s">
        <v>6028</v>
      </c>
      <c r="G38" s="188" t="s">
        <v>2771</v>
      </c>
      <c r="H38" s="57" t="s">
        <v>5702</v>
      </c>
    </row>
    <row r="39" spans="1:8">
      <c r="A39" s="5" t="s">
        <v>2883</v>
      </c>
      <c r="B39" s="178" t="s">
        <v>2884</v>
      </c>
      <c r="C39" s="6" t="s">
        <v>2885</v>
      </c>
      <c r="D39" s="195" t="s">
        <v>2886</v>
      </c>
      <c r="E39" s="165">
        <v>15</v>
      </c>
      <c r="F39" s="180" t="s">
        <v>2887</v>
      </c>
      <c r="G39" s="188" t="s">
        <v>1522</v>
      </c>
      <c r="H39" s="57" t="s">
        <v>5703</v>
      </c>
    </row>
    <row r="40" spans="1:8">
      <c r="A40" s="5" t="s">
        <v>2883</v>
      </c>
      <c r="B40" s="178" t="s">
        <v>2888</v>
      </c>
      <c r="C40" s="6" t="s">
        <v>2889</v>
      </c>
      <c r="D40" s="195" t="s">
        <v>2890</v>
      </c>
      <c r="E40" s="165">
        <v>8</v>
      </c>
      <c r="F40" s="180" t="s">
        <v>2891</v>
      </c>
      <c r="G40" s="188" t="s">
        <v>2771</v>
      </c>
      <c r="H40" s="57" t="s">
        <v>5704</v>
      </c>
    </row>
    <row r="41" spans="1:8">
      <c r="A41" s="5" t="s">
        <v>2883</v>
      </c>
      <c r="B41" s="178" t="s">
        <v>2892</v>
      </c>
      <c r="C41" s="6" t="s">
        <v>2893</v>
      </c>
      <c r="D41" s="195" t="s">
        <v>2894</v>
      </c>
      <c r="E41" s="165">
        <v>6</v>
      </c>
      <c r="F41" s="180" t="s">
        <v>2895</v>
      </c>
      <c r="G41" s="188" t="s">
        <v>2771</v>
      </c>
      <c r="H41" s="57" t="s">
        <v>5705</v>
      </c>
    </row>
    <row r="42" spans="1:8">
      <c r="A42" s="5" t="s">
        <v>2883</v>
      </c>
      <c r="B42" s="178" t="s">
        <v>2896</v>
      </c>
      <c r="C42" s="6" t="s">
        <v>2897</v>
      </c>
      <c r="D42" s="195" t="s">
        <v>2898</v>
      </c>
      <c r="E42" s="165">
        <v>5</v>
      </c>
      <c r="F42" s="180" t="s">
        <v>2899</v>
      </c>
      <c r="G42" s="188" t="s">
        <v>2771</v>
      </c>
      <c r="H42" s="57" t="s">
        <v>5706</v>
      </c>
    </row>
    <row r="43" spans="1:8">
      <c r="A43" s="5" t="s">
        <v>2883</v>
      </c>
      <c r="B43" s="178" t="s">
        <v>2900</v>
      </c>
      <c r="C43" s="6" t="s">
        <v>2901</v>
      </c>
      <c r="D43" s="195" t="s">
        <v>2902</v>
      </c>
      <c r="E43" s="165">
        <v>4</v>
      </c>
      <c r="F43" s="180" t="s">
        <v>2903</v>
      </c>
      <c r="G43" s="188" t="s">
        <v>2771</v>
      </c>
      <c r="H43" s="57" t="s">
        <v>5707</v>
      </c>
    </row>
    <row r="44" spans="1:8" ht="34">
      <c r="A44" s="336" t="s">
        <v>2883</v>
      </c>
      <c r="B44" s="337" t="s">
        <v>5726</v>
      </c>
      <c r="C44" s="322" t="s">
        <v>5727</v>
      </c>
      <c r="D44" s="338" t="s">
        <v>5728</v>
      </c>
      <c r="E44" s="339">
        <v>5</v>
      </c>
      <c r="F44" s="340" t="s">
        <v>5729</v>
      </c>
      <c r="G44" s="341" t="s">
        <v>2771</v>
      </c>
      <c r="H44" s="350" t="s">
        <v>5730</v>
      </c>
    </row>
    <row r="45" spans="1:8">
      <c r="A45" s="5" t="s">
        <v>2904</v>
      </c>
      <c r="B45" s="178" t="s">
        <v>2905</v>
      </c>
      <c r="C45" s="6" t="s">
        <v>2906</v>
      </c>
      <c r="D45" s="195" t="s">
        <v>2907</v>
      </c>
      <c r="E45" s="165">
        <v>10</v>
      </c>
      <c r="F45" s="180" t="s">
        <v>2908</v>
      </c>
      <c r="G45" s="188" t="s">
        <v>2771</v>
      </c>
      <c r="H45" s="57" t="s">
        <v>5708</v>
      </c>
    </row>
    <row r="46" spans="1:8">
      <c r="A46" s="5" t="s">
        <v>2904</v>
      </c>
      <c r="B46" s="178" t="s">
        <v>2909</v>
      </c>
      <c r="C46" s="6" t="s">
        <v>2910</v>
      </c>
      <c r="D46" s="195" t="s">
        <v>2911</v>
      </c>
      <c r="E46" s="165">
        <v>12</v>
      </c>
      <c r="F46" s="180" t="s">
        <v>2912</v>
      </c>
      <c r="G46" s="188" t="s">
        <v>2771</v>
      </c>
      <c r="H46" s="57" t="s">
        <v>5709</v>
      </c>
    </row>
    <row r="47" spans="1:8">
      <c r="A47" s="5" t="s">
        <v>2904</v>
      </c>
      <c r="B47" s="178" t="s">
        <v>2913</v>
      </c>
      <c r="C47" s="6" t="s">
        <v>2914</v>
      </c>
      <c r="D47" s="195" t="s">
        <v>2915</v>
      </c>
      <c r="E47" s="165">
        <v>8</v>
      </c>
      <c r="F47" s="180" t="s">
        <v>2916</v>
      </c>
      <c r="G47" s="188" t="s">
        <v>2771</v>
      </c>
      <c r="H47" s="57" t="s">
        <v>5710</v>
      </c>
    </row>
    <row r="48" spans="1:8">
      <c r="A48" s="5" t="s">
        <v>2904</v>
      </c>
      <c r="B48" s="178" t="s">
        <v>2917</v>
      </c>
      <c r="C48" s="6" t="s">
        <v>2918</v>
      </c>
      <c r="D48" s="195" t="s">
        <v>2919</v>
      </c>
      <c r="E48" s="165">
        <v>6</v>
      </c>
      <c r="F48" s="180" t="s">
        <v>2920</v>
      </c>
      <c r="G48" s="188" t="s">
        <v>2771</v>
      </c>
      <c r="H48" s="57" t="s">
        <v>5711</v>
      </c>
    </row>
    <row r="49" spans="1:8">
      <c r="A49" s="5" t="s">
        <v>2921</v>
      </c>
      <c r="B49" s="178" t="s">
        <v>2922</v>
      </c>
      <c r="C49" s="6" t="s">
        <v>2923</v>
      </c>
      <c r="D49" s="195" t="s">
        <v>2924</v>
      </c>
      <c r="E49" s="165">
        <v>8</v>
      </c>
      <c r="F49" s="180" t="s">
        <v>2925</v>
      </c>
      <c r="G49" s="188" t="s">
        <v>2771</v>
      </c>
      <c r="H49" s="57" t="s">
        <v>5712</v>
      </c>
    </row>
    <row r="50" spans="1:8">
      <c r="A50" s="5" t="s">
        <v>2921</v>
      </c>
      <c r="B50" s="178" t="s">
        <v>2926</v>
      </c>
      <c r="C50" s="6" t="s">
        <v>2927</v>
      </c>
      <c r="D50" s="195" t="s">
        <v>2928</v>
      </c>
      <c r="E50" s="165">
        <v>6</v>
      </c>
      <c r="F50" s="180" t="s">
        <v>2929</v>
      </c>
      <c r="G50" s="188" t="s">
        <v>2771</v>
      </c>
      <c r="H50" s="57" t="s">
        <v>5713</v>
      </c>
    </row>
    <row r="51" spans="1:8">
      <c r="A51" s="7" t="s">
        <v>2921</v>
      </c>
      <c r="B51" s="179" t="s">
        <v>2930</v>
      </c>
      <c r="C51" s="8" t="s">
        <v>2931</v>
      </c>
      <c r="D51" s="196" t="s">
        <v>2932</v>
      </c>
      <c r="E51" s="166">
        <v>8</v>
      </c>
      <c r="F51" s="181" t="s">
        <v>2933</v>
      </c>
      <c r="G51" s="189" t="s">
        <v>2771</v>
      </c>
      <c r="H51" s="57" t="s">
        <v>5714</v>
      </c>
    </row>
    <row r="52" spans="1:8" ht="34">
      <c r="A52" s="342" t="s">
        <v>5731</v>
      </c>
      <c r="B52" s="343" t="s">
        <v>5732</v>
      </c>
      <c r="C52" s="344" t="s">
        <v>5733</v>
      </c>
      <c r="D52" s="345" t="s">
        <v>2762</v>
      </c>
      <c r="E52" s="346">
        <v>12</v>
      </c>
      <c r="F52" s="347" t="s">
        <v>5734</v>
      </c>
      <c r="G52" s="348" t="s">
        <v>2771</v>
      </c>
      <c r="H52" s="351" t="s">
        <v>5735</v>
      </c>
    </row>
    <row r="53" spans="1:8" ht="34">
      <c r="A53" s="342" t="s">
        <v>5731</v>
      </c>
      <c r="B53" s="343" t="s">
        <v>5736</v>
      </c>
      <c r="C53" s="344" t="s">
        <v>5737</v>
      </c>
      <c r="D53" s="345" t="s">
        <v>2762</v>
      </c>
      <c r="E53" s="346">
        <v>10</v>
      </c>
      <c r="F53" s="347" t="s">
        <v>5738</v>
      </c>
      <c r="G53" s="348" t="s">
        <v>2771</v>
      </c>
      <c r="H53" s="351" t="s">
        <v>5739</v>
      </c>
    </row>
    <row r="54" spans="1:8">
      <c r="A54" s="342" t="s">
        <v>5731</v>
      </c>
      <c r="B54" s="343" t="s">
        <v>5740</v>
      </c>
      <c r="C54" s="344" t="s">
        <v>5741</v>
      </c>
      <c r="D54" s="345" t="s">
        <v>2762</v>
      </c>
      <c r="E54" s="346">
        <v>12</v>
      </c>
      <c r="F54" s="347" t="s">
        <v>5742</v>
      </c>
      <c r="G54" s="348" t="s">
        <v>2771</v>
      </c>
      <c r="H54" s="351" t="s">
        <v>5743</v>
      </c>
    </row>
    <row r="55" spans="1:8" ht="34">
      <c r="A55" s="342" t="s">
        <v>5744</v>
      </c>
      <c r="B55" s="343" t="s">
        <v>5745</v>
      </c>
      <c r="C55" s="344" t="s">
        <v>5746</v>
      </c>
      <c r="D55" s="345" t="s">
        <v>2762</v>
      </c>
      <c r="E55" s="346">
        <v>10</v>
      </c>
      <c r="F55" s="347" t="s">
        <v>5747</v>
      </c>
      <c r="G55" s="348" t="s">
        <v>2771</v>
      </c>
      <c r="H55" s="351" t="s">
        <v>5748</v>
      </c>
    </row>
    <row r="56" spans="1:8">
      <c r="H56" s="57"/>
    </row>
    <row r="58" spans="1:8">
      <c r="A58" s="167" t="s">
        <v>5752</v>
      </c>
    </row>
    <row r="59" spans="1:8">
      <c r="A59" s="323" t="s">
        <v>1</v>
      </c>
      <c r="B59" s="324" t="s">
        <v>2763</v>
      </c>
      <c r="C59" s="324" t="s">
        <v>5523</v>
      </c>
      <c r="D59" s="325" t="s">
        <v>5522</v>
      </c>
      <c r="E59" s="355" t="s">
        <v>2758</v>
      </c>
    </row>
    <row r="60" spans="1:8">
      <c r="A60" s="326" t="s">
        <v>2766</v>
      </c>
      <c r="B60" s="327">
        <f>COUNTIF($A$6:$A$55,$A60)</f>
        <v>9</v>
      </c>
      <c r="C60" s="327">
        <f>SUMIF($A$6:$A$55,$A60,$E$6:$E$55)</f>
        <v>47</v>
      </c>
      <c r="D60" s="328">
        <v>47</v>
      </c>
      <c r="E60">
        <f>C60-D60</f>
        <v>0</v>
      </c>
    </row>
    <row r="61" spans="1:8">
      <c r="A61" s="326" t="s">
        <v>2796</v>
      </c>
      <c r="B61" s="327">
        <f>COUNTIF($A$6:$A$55,$A61)</f>
        <v>9</v>
      </c>
      <c r="C61" s="327">
        <f>SUMIF($A$6:$A$55,$A61,$E$6:$E$55)</f>
        <v>87</v>
      </c>
      <c r="D61" s="328">
        <v>87</v>
      </c>
      <c r="E61">
        <f>C61-D61</f>
        <v>0</v>
      </c>
    </row>
    <row r="62" spans="1:8">
      <c r="A62" s="326" t="s">
        <v>2831</v>
      </c>
      <c r="B62" s="327">
        <f>COUNTIF($A$6:$A$55,$A62)</f>
        <v>4</v>
      </c>
      <c r="C62" s="327">
        <f>SUMIF($A$6:$A$55,$A62,$E$6:$E$55)</f>
        <v>38</v>
      </c>
      <c r="D62" s="328">
        <v>38</v>
      </c>
      <c r="E62">
        <f>C62-D62</f>
        <v>0</v>
      </c>
    </row>
    <row r="63" spans="1:8">
      <c r="A63" s="326" t="s">
        <v>2848</v>
      </c>
      <c r="B63" s="327">
        <f>COUNTIF($A$6:$A$55,$A63)</f>
        <v>6</v>
      </c>
      <c r="C63" s="327">
        <f>SUMIF($A$6:$A$55,$A63,$E$6:$E$55)</f>
        <v>64</v>
      </c>
      <c r="D63" s="328">
        <v>64</v>
      </c>
      <c r="E63">
        <f>C63-D63</f>
        <v>0</v>
      </c>
    </row>
    <row r="64" spans="1:8">
      <c r="A64" s="326" t="s">
        <v>2867</v>
      </c>
      <c r="B64" s="327">
        <f>COUNTIF($A$6:$A$55,$A64)</f>
        <v>5</v>
      </c>
      <c r="C64" s="327">
        <f>SUMIF($A$6:$A$55,$A64,$E$6:$E$55)</f>
        <v>40</v>
      </c>
      <c r="D64" s="328">
        <v>40</v>
      </c>
      <c r="E64">
        <f>C64-D64</f>
        <v>0</v>
      </c>
    </row>
    <row r="65" spans="1:5">
      <c r="A65" s="326" t="s">
        <v>2883</v>
      </c>
      <c r="B65" s="327">
        <f>COUNTIF($A$6:$A$55,$A65)</f>
        <v>6</v>
      </c>
      <c r="C65" s="327">
        <f>SUMIF($A$6:$A$55,$A65,$E$6:$E$55)</f>
        <v>43</v>
      </c>
      <c r="D65" s="328">
        <v>43</v>
      </c>
      <c r="E65">
        <f>C65-D65</f>
        <v>0</v>
      </c>
    </row>
    <row r="66" spans="1:5">
      <c r="A66" s="326" t="s">
        <v>2904</v>
      </c>
      <c r="B66" s="327">
        <f>COUNTIF($A$6:$A$55,$A66)</f>
        <v>4</v>
      </c>
      <c r="C66" s="327">
        <f>SUMIF($A$6:$A$55,$A66,$E$6:$E$55)</f>
        <v>36</v>
      </c>
      <c r="D66" s="328">
        <v>36</v>
      </c>
      <c r="E66">
        <f>C66-D66</f>
        <v>0</v>
      </c>
    </row>
    <row r="67" spans="1:5">
      <c r="A67" s="326" t="s">
        <v>2921</v>
      </c>
      <c r="B67" s="327">
        <f>COUNTIF($A$6:$A$55,$A67)</f>
        <v>3</v>
      </c>
      <c r="C67" s="327">
        <f>SUMIF($A$6:$A$55,$A67,$E$6:$E$55)</f>
        <v>22</v>
      </c>
      <c r="D67" s="328">
        <v>22</v>
      </c>
      <c r="E67">
        <f>C67-D67</f>
        <v>0</v>
      </c>
    </row>
    <row r="68" spans="1:5">
      <c r="A68" s="326" t="s">
        <v>5731</v>
      </c>
      <c r="B68" s="327">
        <f>COUNTIF($A$6:$A$55,$A68)</f>
        <v>3</v>
      </c>
      <c r="C68" s="327">
        <f>SUMIF($A$6:$A$55,$A68,$E$6:$E$55)</f>
        <v>34</v>
      </c>
      <c r="D68" s="328">
        <v>34</v>
      </c>
      <c r="E68">
        <f>C68-D68</f>
        <v>0</v>
      </c>
    </row>
    <row r="69" spans="1:5">
      <c r="A69" s="326" t="s">
        <v>5744</v>
      </c>
      <c r="B69" s="327">
        <f>COUNTIF($A$6:$A$55,$A69)</f>
        <v>1</v>
      </c>
      <c r="C69" s="327">
        <f>SUMIF($A$6:$A$55,$A69,$E$6:$E$55)</f>
        <v>10</v>
      </c>
      <c r="D69" s="328">
        <v>10</v>
      </c>
      <c r="E69">
        <f>C69-D69</f>
        <v>0</v>
      </c>
    </row>
    <row r="70" spans="1:5">
      <c r="A70" s="352" t="s">
        <v>7</v>
      </c>
      <c r="B70" s="353">
        <f>SUM(B60:B69)</f>
        <v>50</v>
      </c>
      <c r="C70" s="353">
        <f>SUM(C60:C69)</f>
        <v>421</v>
      </c>
      <c r="D70" s="354">
        <v>421</v>
      </c>
      <c r="E70">
        <f>C70-D70</f>
        <v>0</v>
      </c>
    </row>
    <row r="72" spans="1:5">
      <c r="A72" s="167" t="s">
        <v>5753</v>
      </c>
    </row>
    <row r="73" spans="1:5">
      <c r="A73" s="289" t="s">
        <v>5754</v>
      </c>
    </row>
    <row r="74" spans="1:5">
      <c r="A74" s="323" t="s">
        <v>5469</v>
      </c>
      <c r="B74" s="324" t="s">
        <v>5532</v>
      </c>
      <c r="C74" s="324" t="s">
        <v>5471</v>
      </c>
      <c r="D74" s="324" t="s">
        <v>5533</v>
      </c>
      <c r="E74" s="325" t="s">
        <v>666</v>
      </c>
    </row>
    <row r="75" spans="1:5" ht="36" customHeight="1">
      <c r="A75" s="326" t="s">
        <v>5755</v>
      </c>
      <c r="B75" s="335" t="s">
        <v>5756</v>
      </c>
      <c r="C75" s="335" t="s">
        <v>5757</v>
      </c>
      <c r="D75" s="327">
        <v>10</v>
      </c>
      <c r="E75" s="328" t="s">
        <v>5518</v>
      </c>
    </row>
    <row r="76" spans="1:5" ht="36" customHeight="1">
      <c r="A76" s="326" t="s">
        <v>5758</v>
      </c>
      <c r="B76" s="335" t="s">
        <v>5759</v>
      </c>
      <c r="C76" s="335" t="s">
        <v>5760</v>
      </c>
      <c r="D76" s="327">
        <v>12</v>
      </c>
      <c r="E76" s="328" t="s">
        <v>5518</v>
      </c>
    </row>
    <row r="77" spans="1:5" ht="36" customHeight="1">
      <c r="A77" s="326" t="s">
        <v>5761</v>
      </c>
      <c r="B77" s="335" t="s">
        <v>5762</v>
      </c>
      <c r="C77" s="335" t="s">
        <v>5763</v>
      </c>
      <c r="D77" s="327">
        <v>6</v>
      </c>
      <c r="E77" s="328" t="s">
        <v>5518</v>
      </c>
    </row>
    <row r="78" spans="1:5" ht="36" customHeight="1">
      <c r="A78" s="326" t="s">
        <v>5764</v>
      </c>
      <c r="B78" s="335" t="s">
        <v>5765</v>
      </c>
      <c r="C78" s="335" t="s">
        <v>5766</v>
      </c>
      <c r="D78" s="327">
        <v>8</v>
      </c>
      <c r="E78" s="328" t="s">
        <v>5518</v>
      </c>
    </row>
    <row r="79" spans="1:5" ht="36" customHeight="1">
      <c r="A79" s="326" t="s">
        <v>5767</v>
      </c>
      <c r="B79" s="335" t="s">
        <v>5768</v>
      </c>
      <c r="C79" s="335" t="s">
        <v>5769</v>
      </c>
      <c r="D79" s="327">
        <v>6</v>
      </c>
      <c r="E79" s="328" t="s">
        <v>5518</v>
      </c>
    </row>
    <row r="80" spans="1:5" ht="36" customHeight="1">
      <c r="A80" s="326" t="s">
        <v>5770</v>
      </c>
      <c r="B80" s="335" t="s">
        <v>5771</v>
      </c>
      <c r="C80" s="335" t="s">
        <v>5772</v>
      </c>
      <c r="D80" s="327">
        <v>8</v>
      </c>
      <c r="E80" s="328" t="s">
        <v>5518</v>
      </c>
    </row>
    <row r="81" spans="1:5">
      <c r="A81" s="329" t="s">
        <v>5773</v>
      </c>
      <c r="B81" s="330"/>
      <c r="C81" s="330"/>
      <c r="D81" s="330">
        <f>SUM(D75:D80)</f>
        <v>50</v>
      </c>
      <c r="E81" s="331"/>
    </row>
    <row r="82" spans="1:5">
      <c r="A82" s="332" t="s">
        <v>5774</v>
      </c>
      <c r="B82" s="333"/>
      <c r="C82" s="333"/>
      <c r="D82" s="333">
        <f>C70+D81</f>
        <v>471</v>
      </c>
      <c r="E82" s="334"/>
    </row>
  </sheetData>
  <autoFilter ref="A5:G51" xr:uid="{513185A0-2764-294B-9250-00ECB5CCB839}"/>
  <phoneticPr fontId="2"/>
  <conditionalFormatting sqref="A6:G55">
    <cfRule type="expression" dxfId="43" priority="1">
      <formula>$G6="外部待ち"</formula>
    </cfRule>
  </conditionalFormatting>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06FC410-C2B1-AA41-92BC-B590B98E0E2D}">
  <dimension ref="A1:A178"/>
  <sheetViews>
    <sheetView workbookViewId="0">
      <selection activeCell="B15" sqref="B15"/>
    </sheetView>
  </sheetViews>
  <sheetFormatPr baseColWidth="10" defaultRowHeight="20"/>
  <cols>
    <col min="1" max="1" width="108.5703125" customWidth="1"/>
  </cols>
  <sheetData>
    <row r="1" spans="1:1">
      <c r="A1" s="236" t="s">
        <v>3614</v>
      </c>
    </row>
    <row r="2" spans="1:1">
      <c r="A2" s="32" t="s">
        <v>3615</v>
      </c>
    </row>
    <row r="3" spans="1:1">
      <c r="A3" s="32" t="s">
        <v>3616</v>
      </c>
    </row>
    <row r="4" spans="1:1">
      <c r="A4" s="32"/>
    </row>
    <row r="5" spans="1:1">
      <c r="A5" s="84" t="s">
        <v>3617</v>
      </c>
    </row>
    <row r="6" spans="1:1">
      <c r="A6" s="238" t="s">
        <v>3618</v>
      </c>
    </row>
    <row r="7" spans="1:1">
      <c r="A7" s="238" t="s">
        <v>3619</v>
      </c>
    </row>
    <row r="8" spans="1:1">
      <c r="A8" s="238" t="s">
        <v>3620</v>
      </c>
    </row>
    <row r="9" spans="1:1">
      <c r="A9" s="238" t="s">
        <v>3621</v>
      </c>
    </row>
    <row r="10" spans="1:1">
      <c r="A10" s="238"/>
    </row>
    <row r="11" spans="1:1">
      <c r="A11" s="238" t="s">
        <v>3622</v>
      </c>
    </row>
    <row r="12" spans="1:1">
      <c r="A12" s="238" t="s">
        <v>3623</v>
      </c>
    </row>
    <row r="13" spans="1:1">
      <c r="A13" s="238" t="s">
        <v>3624</v>
      </c>
    </row>
    <row r="14" spans="1:1">
      <c r="A14" s="238" t="s">
        <v>3625</v>
      </c>
    </row>
    <row r="15" spans="1:1">
      <c r="A15" s="238" t="s">
        <v>3626</v>
      </c>
    </row>
    <row r="16" spans="1:1">
      <c r="A16" s="238"/>
    </row>
    <row r="17" spans="1:1">
      <c r="A17" s="238" t="s">
        <v>3627</v>
      </c>
    </row>
    <row r="18" spans="1:1">
      <c r="A18" s="238" t="s">
        <v>3628</v>
      </c>
    </row>
    <row r="19" spans="1:1">
      <c r="A19" s="238"/>
    </row>
    <row r="20" spans="1:1">
      <c r="A20" s="238" t="s">
        <v>3629</v>
      </c>
    </row>
    <row r="21" spans="1:1">
      <c r="A21" s="238" t="s">
        <v>3620</v>
      </c>
    </row>
    <row r="22" spans="1:1">
      <c r="A22" s="238" t="s">
        <v>3630</v>
      </c>
    </row>
    <row r="23" spans="1:1">
      <c r="A23" s="238" t="s">
        <v>3631</v>
      </c>
    </row>
    <row r="24" spans="1:1">
      <c r="A24" s="238"/>
    </row>
    <row r="25" spans="1:1">
      <c r="A25" s="238" t="s">
        <v>3632</v>
      </c>
    </row>
    <row r="26" spans="1:1">
      <c r="A26" s="238"/>
    </row>
    <row r="27" spans="1:1">
      <c r="A27" s="238" t="s">
        <v>3633</v>
      </c>
    </row>
    <row r="28" spans="1:1">
      <c r="A28" s="238" t="s">
        <v>3634</v>
      </c>
    </row>
    <row r="29" spans="1:1">
      <c r="A29" s="238" t="s">
        <v>3635</v>
      </c>
    </row>
    <row r="30" spans="1:1">
      <c r="A30" s="238" t="s">
        <v>3636</v>
      </c>
    </row>
    <row r="31" spans="1:1">
      <c r="A31" s="238" t="s">
        <v>3637</v>
      </c>
    </row>
    <row r="32" spans="1:1">
      <c r="A32" s="238" t="s">
        <v>3638</v>
      </c>
    </row>
    <row r="33" spans="1:1">
      <c r="A33" s="238" t="s">
        <v>3639</v>
      </c>
    </row>
    <row r="34" spans="1:1">
      <c r="A34" s="238" t="s">
        <v>3640</v>
      </c>
    </row>
    <row r="35" spans="1:1">
      <c r="A35" s="238" t="s">
        <v>3641</v>
      </c>
    </row>
    <row r="36" spans="1:1">
      <c r="A36" s="238"/>
    </row>
    <row r="37" spans="1:1">
      <c r="A37" s="238" t="s">
        <v>3642</v>
      </c>
    </row>
    <row r="38" spans="1:1">
      <c r="A38" s="238" t="s">
        <v>3643</v>
      </c>
    </row>
    <row r="39" spans="1:1">
      <c r="A39" s="238" t="s">
        <v>3644</v>
      </c>
    </row>
    <row r="40" spans="1:1">
      <c r="A40" s="238" t="s">
        <v>3645</v>
      </c>
    </row>
    <row r="41" spans="1:1">
      <c r="A41" s="238" t="s">
        <v>3646</v>
      </c>
    </row>
    <row r="42" spans="1:1">
      <c r="A42" s="238" t="s">
        <v>3647</v>
      </c>
    </row>
    <row r="43" spans="1:1">
      <c r="A43" s="238" t="s">
        <v>3648</v>
      </c>
    </row>
    <row r="44" spans="1:1">
      <c r="A44" s="238" t="s">
        <v>3649</v>
      </c>
    </row>
    <row r="45" spans="1:1">
      <c r="A45" s="238"/>
    </row>
    <row r="46" spans="1:1">
      <c r="A46" s="238" t="s">
        <v>3650</v>
      </c>
    </row>
    <row r="47" spans="1:1">
      <c r="A47" s="238" t="s">
        <v>3651</v>
      </c>
    </row>
    <row r="48" spans="1:1">
      <c r="A48" s="238" t="s">
        <v>3652</v>
      </c>
    </row>
    <row r="49" spans="1:1">
      <c r="A49" s="238" t="s">
        <v>3653</v>
      </c>
    </row>
    <row r="50" spans="1:1">
      <c r="A50" s="238" t="s">
        <v>3654</v>
      </c>
    </row>
    <row r="51" spans="1:1">
      <c r="A51" s="238" t="s">
        <v>3655</v>
      </c>
    </row>
    <row r="52" spans="1:1">
      <c r="A52" s="238" t="s">
        <v>3656</v>
      </c>
    </row>
    <row r="53" spans="1:1">
      <c r="A53" s="238" t="s">
        <v>3657</v>
      </c>
    </row>
    <row r="54" spans="1:1">
      <c r="A54" s="238" t="s">
        <v>3658</v>
      </c>
    </row>
    <row r="55" spans="1:1">
      <c r="A55" s="238" t="s">
        <v>3659</v>
      </c>
    </row>
    <row r="56" spans="1:1">
      <c r="A56" s="238" t="s">
        <v>3660</v>
      </c>
    </row>
    <row r="57" spans="1:1">
      <c r="A57" s="238" t="s">
        <v>3661</v>
      </c>
    </row>
    <row r="58" spans="1:1">
      <c r="A58" s="238" t="s">
        <v>3662</v>
      </c>
    </row>
    <row r="59" spans="1:1">
      <c r="A59" s="238" t="s">
        <v>3663</v>
      </c>
    </row>
    <row r="60" spans="1:1">
      <c r="A60" s="238" t="s">
        <v>3664</v>
      </c>
    </row>
    <row r="61" spans="1:1">
      <c r="A61" s="238" t="s">
        <v>3665</v>
      </c>
    </row>
    <row r="62" spans="1:1">
      <c r="A62" s="238" t="s">
        <v>3666</v>
      </c>
    </row>
    <row r="63" spans="1:1">
      <c r="A63" s="238" t="s">
        <v>3659</v>
      </c>
    </row>
    <row r="64" spans="1:1">
      <c r="A64" s="238" t="s">
        <v>3667</v>
      </c>
    </row>
    <row r="65" spans="1:1">
      <c r="A65" s="238"/>
    </row>
    <row r="66" spans="1:1">
      <c r="A66" s="238" t="s">
        <v>3668</v>
      </c>
    </row>
    <row r="67" spans="1:1">
      <c r="A67" s="238" t="s">
        <v>3669</v>
      </c>
    </row>
    <row r="68" spans="1:1">
      <c r="A68" s="238" t="s">
        <v>3670</v>
      </c>
    </row>
    <row r="69" spans="1:1">
      <c r="A69" s="238" t="s">
        <v>3671</v>
      </c>
    </row>
    <row r="70" spans="1:1">
      <c r="A70" s="238" t="s">
        <v>3672</v>
      </c>
    </row>
    <row r="71" spans="1:1">
      <c r="A71" s="238" t="s">
        <v>3673</v>
      </c>
    </row>
    <row r="72" spans="1:1">
      <c r="A72" s="238" t="s">
        <v>3674</v>
      </c>
    </row>
    <row r="73" spans="1:1">
      <c r="A73" s="238" t="s">
        <v>3675</v>
      </c>
    </row>
    <row r="74" spans="1:1">
      <c r="A74" s="238" t="s">
        <v>3676</v>
      </c>
    </row>
    <row r="75" spans="1:1">
      <c r="A75" s="238"/>
    </row>
    <row r="76" spans="1:1">
      <c r="A76" s="238" t="s">
        <v>3677</v>
      </c>
    </row>
    <row r="77" spans="1:1">
      <c r="A77" s="238" t="s">
        <v>3678</v>
      </c>
    </row>
    <row r="78" spans="1:1">
      <c r="A78" s="238" t="s">
        <v>3679</v>
      </c>
    </row>
    <row r="79" spans="1:1">
      <c r="A79" s="238" t="s">
        <v>3680</v>
      </c>
    </row>
    <row r="80" spans="1:1">
      <c r="A80" s="238" t="s">
        <v>3681</v>
      </c>
    </row>
    <row r="81" spans="1:1">
      <c r="A81" s="238" t="s">
        <v>3682</v>
      </c>
    </row>
    <row r="82" spans="1:1">
      <c r="A82" s="238"/>
    </row>
    <row r="83" spans="1:1">
      <c r="A83" s="238" t="s">
        <v>3683</v>
      </c>
    </row>
    <row r="84" spans="1:1">
      <c r="A84" s="238" t="s">
        <v>3684</v>
      </c>
    </row>
    <row r="85" spans="1:1">
      <c r="A85" s="238"/>
    </row>
    <row r="86" spans="1:1">
      <c r="A86" s="238" t="s">
        <v>3685</v>
      </c>
    </row>
    <row r="87" spans="1:1">
      <c r="A87" s="238" t="s">
        <v>3686</v>
      </c>
    </row>
    <row r="88" spans="1:1">
      <c r="A88" s="238"/>
    </row>
    <row r="89" spans="1:1">
      <c r="A89" s="238" t="s">
        <v>3687</v>
      </c>
    </row>
    <row r="90" spans="1:1">
      <c r="A90" s="238" t="s">
        <v>3688</v>
      </c>
    </row>
    <row r="91" spans="1:1">
      <c r="A91" s="238" t="s">
        <v>3689</v>
      </c>
    </row>
    <row r="92" spans="1:1">
      <c r="A92" s="238" t="s">
        <v>3690</v>
      </c>
    </row>
    <row r="93" spans="1:1">
      <c r="A93" s="238" t="s">
        <v>3691</v>
      </c>
    </row>
    <row r="94" spans="1:1">
      <c r="A94" s="238" t="s">
        <v>3692</v>
      </c>
    </row>
    <row r="95" spans="1:1">
      <c r="A95" s="238" t="s">
        <v>3693</v>
      </c>
    </row>
    <row r="96" spans="1:1">
      <c r="A96" s="238" t="s">
        <v>3694</v>
      </c>
    </row>
    <row r="97" spans="1:1">
      <c r="A97" s="238" t="s">
        <v>3695</v>
      </c>
    </row>
    <row r="98" spans="1:1">
      <c r="A98" s="238" t="s">
        <v>3696</v>
      </c>
    </row>
    <row r="99" spans="1:1">
      <c r="A99" s="238" t="s">
        <v>3693</v>
      </c>
    </row>
    <row r="100" spans="1:1">
      <c r="A100" s="238" t="s">
        <v>3697</v>
      </c>
    </row>
    <row r="101" spans="1:1">
      <c r="A101" s="238" t="s">
        <v>3698</v>
      </c>
    </row>
    <row r="102" spans="1:1">
      <c r="A102" s="238" t="s">
        <v>3699</v>
      </c>
    </row>
    <row r="103" spans="1:1">
      <c r="A103" s="238" t="s">
        <v>3700</v>
      </c>
    </row>
    <row r="104" spans="1:1">
      <c r="A104" s="238" t="s">
        <v>3701</v>
      </c>
    </row>
    <row r="105" spans="1:1">
      <c r="A105" s="238" t="s">
        <v>3702</v>
      </c>
    </row>
    <row r="106" spans="1:1">
      <c r="A106" s="238" t="s">
        <v>3703</v>
      </c>
    </row>
    <row r="107" spans="1:1">
      <c r="A107" s="238" t="s">
        <v>3704</v>
      </c>
    </row>
    <row r="108" spans="1:1">
      <c r="A108" s="238" t="s">
        <v>3705</v>
      </c>
    </row>
    <row r="109" spans="1:1">
      <c r="A109" s="238"/>
    </row>
    <row r="110" spans="1:1">
      <c r="A110" s="238" t="s">
        <v>3706</v>
      </c>
    </row>
    <row r="111" spans="1:1">
      <c r="A111" s="238" t="s">
        <v>3707</v>
      </c>
    </row>
    <row r="112" spans="1:1">
      <c r="A112" s="238" t="s">
        <v>3708</v>
      </c>
    </row>
    <row r="113" spans="1:1">
      <c r="A113" s="238" t="s">
        <v>3709</v>
      </c>
    </row>
    <row r="114" spans="1:1">
      <c r="A114" s="238" t="s">
        <v>3710</v>
      </c>
    </row>
    <row r="115" spans="1:1">
      <c r="A115" s="238" t="s">
        <v>3711</v>
      </c>
    </row>
    <row r="116" spans="1:1">
      <c r="A116" s="238" t="s">
        <v>3712</v>
      </c>
    </row>
    <row r="117" spans="1:1">
      <c r="A117" s="238" t="s">
        <v>3713</v>
      </c>
    </row>
    <row r="118" spans="1:1">
      <c r="A118" s="238" t="s">
        <v>3714</v>
      </c>
    </row>
    <row r="119" spans="1:1">
      <c r="A119" s="238" t="s">
        <v>3715</v>
      </c>
    </row>
    <row r="120" spans="1:1">
      <c r="A120" s="238" t="s">
        <v>3716</v>
      </c>
    </row>
    <row r="121" spans="1:1">
      <c r="A121" s="238" t="s">
        <v>3717</v>
      </c>
    </row>
    <row r="122" spans="1:1">
      <c r="A122" s="238" t="s">
        <v>3718</v>
      </c>
    </row>
    <row r="123" spans="1:1">
      <c r="A123" s="238" t="s">
        <v>3719</v>
      </c>
    </row>
    <row r="124" spans="1:1">
      <c r="A124" s="238"/>
    </row>
    <row r="125" spans="1:1">
      <c r="A125" s="238" t="s">
        <v>3720</v>
      </c>
    </row>
    <row r="126" spans="1:1">
      <c r="A126" s="238" t="s">
        <v>3721</v>
      </c>
    </row>
    <row r="127" spans="1:1">
      <c r="A127" s="238"/>
    </row>
    <row r="128" spans="1:1">
      <c r="A128" s="238" t="s">
        <v>3722</v>
      </c>
    </row>
    <row r="129" spans="1:1">
      <c r="A129" s="238" t="s">
        <v>3723</v>
      </c>
    </row>
    <row r="131" spans="1:1">
      <c r="A131" s="239" t="s">
        <v>3724</v>
      </c>
    </row>
    <row r="133" spans="1:1">
      <c r="A133" s="237" t="s">
        <v>3725</v>
      </c>
    </row>
    <row r="134" spans="1:1">
      <c r="A134" s="237" t="s">
        <v>3726</v>
      </c>
    </row>
    <row r="135" spans="1:1">
      <c r="A135" s="237" t="s">
        <v>3727</v>
      </c>
    </row>
    <row r="136" spans="1:1">
      <c r="A136" s="237" t="s">
        <v>3728</v>
      </c>
    </row>
    <row r="137" spans="1:1">
      <c r="A137" s="237" t="s">
        <v>3729</v>
      </c>
    </row>
    <row r="138" spans="1:1">
      <c r="A138" s="237" t="s">
        <v>3730</v>
      </c>
    </row>
    <row r="139" spans="1:1">
      <c r="A139" s="237" t="s">
        <v>3731</v>
      </c>
    </row>
    <row r="140" spans="1:1">
      <c r="A140" s="237"/>
    </row>
    <row r="141" spans="1:1">
      <c r="A141" s="237" t="s">
        <v>3732</v>
      </c>
    </row>
    <row r="142" spans="1:1">
      <c r="A142" s="237" t="s">
        <v>3733</v>
      </c>
    </row>
    <row r="143" spans="1:1">
      <c r="A143" s="237" t="s">
        <v>3734</v>
      </c>
    </row>
    <row r="144" spans="1:1">
      <c r="A144" s="237" t="s">
        <v>3735</v>
      </c>
    </row>
    <row r="145" spans="1:1">
      <c r="A145" s="237" t="s">
        <v>3736</v>
      </c>
    </row>
    <row r="146" spans="1:1">
      <c r="A146" s="237" t="s">
        <v>3737</v>
      </c>
    </row>
    <row r="147" spans="1:1">
      <c r="A147" s="237" t="s">
        <v>3738</v>
      </c>
    </row>
    <row r="148" spans="1:1">
      <c r="A148" s="237" t="s">
        <v>3739</v>
      </c>
    </row>
    <row r="149" spans="1:1">
      <c r="A149" s="237" t="s">
        <v>3740</v>
      </c>
    </row>
    <row r="150" spans="1:1">
      <c r="A150" s="237" t="s">
        <v>3741</v>
      </c>
    </row>
    <row r="151" spans="1:1">
      <c r="A151" s="237" t="s">
        <v>3742</v>
      </c>
    </row>
    <row r="152" spans="1:1">
      <c r="A152" s="237" t="s">
        <v>3743</v>
      </c>
    </row>
    <row r="153" spans="1:1">
      <c r="A153" s="237" t="s">
        <v>3744</v>
      </c>
    </row>
    <row r="154" spans="1:1">
      <c r="A154" s="237" t="s">
        <v>3745</v>
      </c>
    </row>
    <row r="155" spans="1:1">
      <c r="A155" s="237" t="s">
        <v>3738</v>
      </c>
    </row>
    <row r="156" spans="1:1">
      <c r="A156" s="237" t="s">
        <v>3746</v>
      </c>
    </row>
    <row r="157" spans="1:1">
      <c r="A157" s="237" t="s">
        <v>3747</v>
      </c>
    </row>
    <row r="158" spans="1:1">
      <c r="A158" s="237" t="s">
        <v>3748</v>
      </c>
    </row>
    <row r="159" spans="1:1">
      <c r="A159" s="237" t="s">
        <v>3749</v>
      </c>
    </row>
    <row r="160" spans="1:1">
      <c r="A160" s="237" t="s">
        <v>3750</v>
      </c>
    </row>
    <row r="161" spans="1:1">
      <c r="A161" s="237" t="s">
        <v>3751</v>
      </c>
    </row>
    <row r="162" spans="1:1">
      <c r="A162" s="237" t="s">
        <v>3752</v>
      </c>
    </row>
    <row r="163" spans="1:1">
      <c r="A163" s="237" t="s">
        <v>3753</v>
      </c>
    </row>
    <row r="164" spans="1:1">
      <c r="A164" s="237" t="s">
        <v>3754</v>
      </c>
    </row>
    <row r="165" spans="1:1">
      <c r="A165" s="237" t="s">
        <v>3755</v>
      </c>
    </row>
    <row r="166" spans="1:1">
      <c r="A166" s="237" t="s">
        <v>3756</v>
      </c>
    </row>
    <row r="167" spans="1:1">
      <c r="A167" s="237" t="s">
        <v>3757</v>
      </c>
    </row>
    <row r="168" spans="1:1">
      <c r="A168" s="237" t="s">
        <v>3758</v>
      </c>
    </row>
    <row r="169" spans="1:1">
      <c r="A169" s="237" t="s">
        <v>3759</v>
      </c>
    </row>
    <row r="172" spans="1:1">
      <c r="A172" s="62" t="s">
        <v>3760</v>
      </c>
    </row>
    <row r="173" spans="1:1">
      <c r="A173" s="63" t="s">
        <v>3761</v>
      </c>
    </row>
    <row r="174" spans="1:1">
      <c r="A174" s="63" t="s">
        <v>3762</v>
      </c>
    </row>
    <row r="175" spans="1:1">
      <c r="A175" s="63" t="s">
        <v>3763</v>
      </c>
    </row>
    <row r="176" spans="1:1">
      <c r="A176" s="63" t="s">
        <v>3764</v>
      </c>
    </row>
    <row r="177" spans="1:1">
      <c r="A177" s="63" t="s">
        <v>3765</v>
      </c>
    </row>
    <row r="178" spans="1:1">
      <c r="A178" s="63" t="s">
        <v>3766</v>
      </c>
    </row>
  </sheetData>
  <phoneticPr fontId="2"/>
  <pageMargins left="0.7" right="0.7" top="0.75" bottom="0.75" header="0.3" footer="0.3"/>
  <pageSetup paperSize="9" orientation="portrait" horizontalDpi="0" verticalDpi="0"/>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B06236F-3ECB-6F41-80B1-9F3D584E70BB}">
  <dimension ref="A1:P42"/>
  <sheetViews>
    <sheetView workbookViewId="0">
      <pane ySplit="5" topLeftCell="A6" activePane="bottomLeft" state="frozen"/>
      <selection pane="bottomLeft"/>
    </sheetView>
  </sheetViews>
  <sheetFormatPr baseColWidth="10" defaultRowHeight="20"/>
  <cols>
    <col min="1" max="1" width="10" customWidth="1"/>
    <col min="2" max="2" width="37.140625" customWidth="1"/>
    <col min="3" max="3" width="42.85546875" customWidth="1"/>
    <col min="4" max="4" width="28.5703125" customWidth="1"/>
    <col min="5" max="7" width="12.85546875" customWidth="1"/>
    <col min="8" max="8" width="15.7109375" customWidth="1"/>
    <col min="9" max="12" width="13.5703125" customWidth="1"/>
    <col min="13" max="13" width="40" customWidth="1"/>
    <col min="14" max="16" width="11.42578125" customWidth="1"/>
  </cols>
  <sheetData>
    <row r="1" spans="1:16">
      <c r="A1" s="236" t="s">
        <v>4716</v>
      </c>
      <c r="B1" s="32"/>
      <c r="C1" s="32"/>
      <c r="D1" s="32"/>
      <c r="E1" s="32"/>
      <c r="F1" s="32"/>
      <c r="G1" s="32"/>
      <c r="H1" s="32"/>
      <c r="I1" s="32"/>
      <c r="J1" s="32"/>
      <c r="K1" s="32"/>
      <c r="L1" s="32"/>
      <c r="M1" s="32"/>
      <c r="N1" s="32"/>
      <c r="O1" s="32"/>
      <c r="P1" s="32"/>
    </row>
    <row r="2" spans="1:16">
      <c r="A2" s="32" t="s">
        <v>4717</v>
      </c>
      <c r="B2" s="32"/>
      <c r="C2" s="32"/>
      <c r="D2" s="32"/>
      <c r="E2" s="32"/>
      <c r="F2" s="32"/>
      <c r="G2" s="32"/>
      <c r="H2" s="32"/>
      <c r="I2" s="32"/>
      <c r="J2" s="32"/>
      <c r="K2" s="32"/>
      <c r="L2" s="32"/>
      <c r="M2" s="32"/>
      <c r="N2" s="32"/>
      <c r="O2" s="32"/>
      <c r="P2" s="32"/>
    </row>
    <row r="3" spans="1:16">
      <c r="A3" s="32" t="s">
        <v>4718</v>
      </c>
      <c r="B3" s="32"/>
      <c r="C3" s="32"/>
      <c r="D3" s="32"/>
      <c r="E3" s="32"/>
      <c r="F3" s="32"/>
      <c r="G3" s="32"/>
      <c r="H3" s="32"/>
      <c r="I3" s="32"/>
      <c r="J3" s="32"/>
      <c r="K3" s="32"/>
      <c r="L3" s="32"/>
      <c r="M3" s="32"/>
      <c r="N3" s="32"/>
      <c r="O3" s="32"/>
      <c r="P3" s="32"/>
    </row>
    <row r="4" spans="1:16">
      <c r="A4" s="32"/>
      <c r="B4" s="32"/>
      <c r="C4" s="32"/>
      <c r="D4" s="32"/>
      <c r="E4" s="32"/>
      <c r="F4" s="32"/>
      <c r="G4" s="32"/>
      <c r="H4" s="32"/>
      <c r="I4" s="32"/>
      <c r="J4" s="32"/>
      <c r="K4" s="32"/>
      <c r="L4" s="32"/>
      <c r="M4" s="32"/>
      <c r="N4" s="32"/>
      <c r="O4" s="32"/>
      <c r="P4" s="32"/>
    </row>
    <row r="5" spans="1:16">
      <c r="A5" s="254" t="s">
        <v>1</v>
      </c>
      <c r="B5" s="255" t="s">
        <v>3092</v>
      </c>
      <c r="C5" s="255" t="s">
        <v>3093</v>
      </c>
      <c r="D5" s="255" t="s">
        <v>3094</v>
      </c>
      <c r="E5" s="255" t="s">
        <v>3095</v>
      </c>
      <c r="F5" s="255" t="s">
        <v>3096</v>
      </c>
      <c r="G5" s="255" t="s">
        <v>3097</v>
      </c>
      <c r="H5" s="255" t="s">
        <v>3060</v>
      </c>
      <c r="I5" s="255" t="s">
        <v>3098</v>
      </c>
      <c r="J5" s="255" t="s">
        <v>3099</v>
      </c>
      <c r="K5" s="255" t="s">
        <v>3100</v>
      </c>
      <c r="L5" s="255" t="s">
        <v>3101</v>
      </c>
      <c r="M5" s="255" t="s">
        <v>3102</v>
      </c>
      <c r="N5" s="255" t="s">
        <v>4719</v>
      </c>
      <c r="O5" s="255" t="s">
        <v>4720</v>
      </c>
      <c r="P5" s="256" t="s">
        <v>4721</v>
      </c>
    </row>
    <row r="6" spans="1:16">
      <c r="A6" s="257" t="s">
        <v>3125</v>
      </c>
      <c r="B6" s="258" t="s">
        <v>4722</v>
      </c>
      <c r="C6" s="258" t="s">
        <v>4723</v>
      </c>
      <c r="D6" s="258" t="s">
        <v>4724</v>
      </c>
      <c r="E6" s="259">
        <v>400</v>
      </c>
      <c r="F6" s="259">
        <v>2000</v>
      </c>
      <c r="G6" s="259">
        <v>4000</v>
      </c>
      <c r="H6" s="258" t="s">
        <v>3124</v>
      </c>
      <c r="I6" s="260">
        <v>2.3E-2</v>
      </c>
      <c r="J6" s="261">
        <f>E6*$I6</f>
        <v>9.1999999999999993</v>
      </c>
      <c r="K6" s="261">
        <f>F6*$I6</f>
        <v>46</v>
      </c>
      <c r="L6" s="261">
        <f>G6*$I6</f>
        <v>92</v>
      </c>
      <c r="M6" s="258" t="s">
        <v>4670</v>
      </c>
      <c r="N6" s="262" t="s">
        <v>4725</v>
      </c>
      <c r="O6" s="262" t="s">
        <v>4725</v>
      </c>
      <c r="P6" s="263" t="s">
        <v>4725</v>
      </c>
    </row>
    <row r="7" spans="1:16">
      <c r="A7" s="257" t="s">
        <v>1532</v>
      </c>
      <c r="B7" s="258" t="s">
        <v>4726</v>
      </c>
      <c r="C7" s="258" t="s">
        <v>4727</v>
      </c>
      <c r="D7" s="258" t="s">
        <v>4728</v>
      </c>
      <c r="E7" s="259">
        <v>400</v>
      </c>
      <c r="F7" s="259">
        <v>2000</v>
      </c>
      <c r="G7" s="259">
        <v>4000</v>
      </c>
      <c r="H7" s="258" t="s">
        <v>3124</v>
      </c>
      <c r="I7" s="260">
        <v>0.09</v>
      </c>
      <c r="J7" s="261">
        <f>E7*$I7</f>
        <v>36</v>
      </c>
      <c r="K7" s="261">
        <f>F7*$I7</f>
        <v>180</v>
      </c>
      <c r="L7" s="261">
        <f>G7*$I7</f>
        <v>360</v>
      </c>
      <c r="M7" s="258" t="s">
        <v>4705</v>
      </c>
      <c r="N7" s="262" t="s">
        <v>4725</v>
      </c>
      <c r="O7" s="262" t="s">
        <v>4725</v>
      </c>
      <c r="P7" s="263" t="s">
        <v>4725</v>
      </c>
    </row>
    <row r="8" spans="1:16">
      <c r="A8" s="257" t="s">
        <v>1532</v>
      </c>
      <c r="B8" s="258" t="s">
        <v>4729</v>
      </c>
      <c r="C8" s="258" t="s">
        <v>4730</v>
      </c>
      <c r="D8" s="258" t="s">
        <v>4731</v>
      </c>
      <c r="E8" s="259">
        <v>4</v>
      </c>
      <c r="F8" s="259">
        <v>4</v>
      </c>
      <c r="G8" s="259">
        <v>4</v>
      </c>
      <c r="H8" s="258" t="s">
        <v>3195</v>
      </c>
      <c r="I8" s="260">
        <v>1</v>
      </c>
      <c r="J8" s="261">
        <f>E8*$I8</f>
        <v>4</v>
      </c>
      <c r="K8" s="261">
        <f>F8*$I8</f>
        <v>4</v>
      </c>
      <c r="L8" s="261">
        <f>G8*$I8</f>
        <v>4</v>
      </c>
      <c r="M8" s="258" t="s">
        <v>4701</v>
      </c>
      <c r="N8" s="262" t="s">
        <v>4725</v>
      </c>
      <c r="O8" s="262" t="s">
        <v>4725</v>
      </c>
      <c r="P8" s="263" t="s">
        <v>4725</v>
      </c>
    </row>
    <row r="9" spans="1:16">
      <c r="A9" s="257" t="s">
        <v>3144</v>
      </c>
      <c r="B9" s="258" t="s">
        <v>4732</v>
      </c>
      <c r="C9" s="258" t="s">
        <v>4733</v>
      </c>
      <c r="D9" s="258" t="s">
        <v>4734</v>
      </c>
      <c r="E9" s="259">
        <v>100</v>
      </c>
      <c r="F9" s="259">
        <v>500</v>
      </c>
      <c r="G9" s="259">
        <v>1000</v>
      </c>
      <c r="H9" s="258" t="s">
        <v>3156</v>
      </c>
      <c r="I9" s="260">
        <v>0.09</v>
      </c>
      <c r="J9" s="261">
        <f>E9*$I9</f>
        <v>9</v>
      </c>
      <c r="K9" s="261">
        <f>F9*$I9</f>
        <v>45</v>
      </c>
      <c r="L9" s="261">
        <f>G9*$I9</f>
        <v>90</v>
      </c>
      <c r="M9" s="258" t="s">
        <v>4664</v>
      </c>
      <c r="N9" s="262" t="s">
        <v>4725</v>
      </c>
      <c r="O9" s="262" t="s">
        <v>4725</v>
      </c>
      <c r="P9" s="263" t="s">
        <v>4725</v>
      </c>
    </row>
    <row r="10" spans="1:16">
      <c r="A10" s="257" t="s">
        <v>3125</v>
      </c>
      <c r="B10" s="258" t="s">
        <v>4735</v>
      </c>
      <c r="C10" s="258" t="s">
        <v>4736</v>
      </c>
      <c r="D10" s="258" t="s">
        <v>4737</v>
      </c>
      <c r="E10" s="259">
        <v>200</v>
      </c>
      <c r="F10" s="259">
        <v>1000</v>
      </c>
      <c r="G10" s="259">
        <v>2000</v>
      </c>
      <c r="H10" s="258" t="s">
        <v>3124</v>
      </c>
      <c r="I10" s="260">
        <v>0.12</v>
      </c>
      <c r="J10" s="261">
        <f>E10*$I10</f>
        <v>24</v>
      </c>
      <c r="K10" s="261">
        <f>F10*$I10</f>
        <v>120</v>
      </c>
      <c r="L10" s="261">
        <f>G10*$I10</f>
        <v>240</v>
      </c>
      <c r="M10" s="258" t="s">
        <v>4670</v>
      </c>
      <c r="N10" s="262" t="s">
        <v>2236</v>
      </c>
      <c r="O10" s="262" t="s">
        <v>4725</v>
      </c>
      <c r="P10" s="263" t="s">
        <v>4725</v>
      </c>
    </row>
    <row r="11" spans="1:16">
      <c r="A11" s="257" t="s">
        <v>3125</v>
      </c>
      <c r="B11" s="258" t="s">
        <v>4738</v>
      </c>
      <c r="C11" s="258" t="s">
        <v>4739</v>
      </c>
      <c r="D11" s="258" t="s">
        <v>4740</v>
      </c>
      <c r="E11" s="259">
        <v>100</v>
      </c>
      <c r="F11" s="259">
        <v>500</v>
      </c>
      <c r="G11" s="259">
        <v>1000</v>
      </c>
      <c r="H11" s="258" t="s">
        <v>3124</v>
      </c>
      <c r="I11" s="260">
        <v>0.12</v>
      </c>
      <c r="J11" s="261">
        <f>E11*$I11</f>
        <v>12</v>
      </c>
      <c r="K11" s="261">
        <f>F11*$I11</f>
        <v>60</v>
      </c>
      <c r="L11" s="261">
        <f>G11*$I11</f>
        <v>120</v>
      </c>
      <c r="M11" s="258" t="s">
        <v>4670</v>
      </c>
      <c r="N11" s="262" t="s">
        <v>2236</v>
      </c>
      <c r="O11" s="262" t="s">
        <v>4725</v>
      </c>
      <c r="P11" s="263" t="s">
        <v>4725</v>
      </c>
    </row>
    <row r="12" spans="1:16">
      <c r="A12" s="257" t="s">
        <v>3125</v>
      </c>
      <c r="B12" s="258" t="s">
        <v>4741</v>
      </c>
      <c r="C12" s="258" t="s">
        <v>4742</v>
      </c>
      <c r="D12" s="258" t="s">
        <v>4743</v>
      </c>
      <c r="E12" s="259">
        <v>20000000</v>
      </c>
      <c r="F12" s="259">
        <v>100000000</v>
      </c>
      <c r="G12" s="259">
        <v>200000000</v>
      </c>
      <c r="H12" s="258" t="s">
        <v>4673</v>
      </c>
      <c r="I12" s="260">
        <v>2.3999999999999998E-7</v>
      </c>
      <c r="J12" s="261">
        <f>E12*$I12</f>
        <v>4.8</v>
      </c>
      <c r="K12" s="261">
        <f>F12*$I12</f>
        <v>23.999999999999996</v>
      </c>
      <c r="L12" s="261">
        <f>G12*$I12</f>
        <v>47.999999999999993</v>
      </c>
      <c r="M12" s="258" t="s">
        <v>4670</v>
      </c>
      <c r="N12" s="262" t="s">
        <v>2236</v>
      </c>
      <c r="O12" s="262" t="s">
        <v>4725</v>
      </c>
      <c r="P12" s="263" t="s">
        <v>4725</v>
      </c>
    </row>
    <row r="13" spans="1:16">
      <c r="A13" s="257" t="s">
        <v>3176</v>
      </c>
      <c r="B13" s="258" t="s">
        <v>4744</v>
      </c>
      <c r="C13" s="258" t="s">
        <v>4745</v>
      </c>
      <c r="D13" s="258" t="s">
        <v>4746</v>
      </c>
      <c r="E13" s="259">
        <v>5000000</v>
      </c>
      <c r="F13" s="259">
        <v>25000000</v>
      </c>
      <c r="G13" s="259">
        <v>50000000</v>
      </c>
      <c r="H13" s="258" t="s">
        <v>4747</v>
      </c>
      <c r="I13" s="260">
        <v>8.8999999999999995E-7</v>
      </c>
      <c r="J13" s="261">
        <f>E13*$I13</f>
        <v>4.45</v>
      </c>
      <c r="K13" s="261">
        <f>F13*$I13</f>
        <v>22.25</v>
      </c>
      <c r="L13" s="261">
        <f>G13*$I13</f>
        <v>44.5</v>
      </c>
      <c r="M13" s="258" t="s">
        <v>4699</v>
      </c>
      <c r="N13" s="262" t="s">
        <v>2236</v>
      </c>
      <c r="O13" s="262" t="s">
        <v>4725</v>
      </c>
      <c r="P13" s="263" t="s">
        <v>4725</v>
      </c>
    </row>
    <row r="14" spans="1:16">
      <c r="A14" s="257" t="s">
        <v>3207</v>
      </c>
      <c r="B14" s="258" t="s">
        <v>4748</v>
      </c>
      <c r="C14" s="258" t="s">
        <v>4749</v>
      </c>
      <c r="D14" s="258" t="s">
        <v>4750</v>
      </c>
      <c r="E14" s="259">
        <v>300</v>
      </c>
      <c r="F14" s="259">
        <v>1500</v>
      </c>
      <c r="G14" s="259">
        <v>3000</v>
      </c>
      <c r="H14" s="258" t="s">
        <v>3124</v>
      </c>
      <c r="I14" s="260">
        <v>2.5000000000000001E-2</v>
      </c>
      <c r="J14" s="261">
        <f>E14*$I14</f>
        <v>7.5</v>
      </c>
      <c r="K14" s="261">
        <f>F14*$I14</f>
        <v>37.5</v>
      </c>
      <c r="L14" s="261">
        <f>G14*$I14</f>
        <v>75</v>
      </c>
      <c r="M14" s="258" t="s">
        <v>4751</v>
      </c>
      <c r="N14" s="262" t="s">
        <v>2236</v>
      </c>
      <c r="O14" s="262" t="s">
        <v>4725</v>
      </c>
      <c r="P14" s="263" t="s">
        <v>4725</v>
      </c>
    </row>
    <row r="15" spans="1:16">
      <c r="A15" s="257" t="s">
        <v>3207</v>
      </c>
      <c r="B15" s="258" t="s">
        <v>4752</v>
      </c>
      <c r="C15" s="258" t="s">
        <v>4753</v>
      </c>
      <c r="D15" s="258" t="s">
        <v>4754</v>
      </c>
      <c r="E15" s="259">
        <v>50</v>
      </c>
      <c r="F15" s="259">
        <v>50</v>
      </c>
      <c r="G15" s="259">
        <v>50</v>
      </c>
      <c r="H15" s="258" t="s">
        <v>3124</v>
      </c>
      <c r="I15" s="260">
        <v>0.1</v>
      </c>
      <c r="J15" s="261">
        <f>E15*$I15</f>
        <v>5</v>
      </c>
      <c r="K15" s="261">
        <f>F15*$I15</f>
        <v>5</v>
      </c>
      <c r="L15" s="261">
        <f>G15*$I15</f>
        <v>5</v>
      </c>
      <c r="M15" s="258" t="s">
        <v>4755</v>
      </c>
      <c r="N15" s="262" t="s">
        <v>2236</v>
      </c>
      <c r="O15" s="262" t="s">
        <v>4725</v>
      </c>
      <c r="P15" s="263" t="s">
        <v>4725</v>
      </c>
    </row>
    <row r="16" spans="1:16">
      <c r="A16" s="257" t="s">
        <v>3103</v>
      </c>
      <c r="B16" s="258" t="s">
        <v>4756</v>
      </c>
      <c r="C16" s="258" t="s">
        <v>4757</v>
      </c>
      <c r="D16" s="258" t="s">
        <v>4758</v>
      </c>
      <c r="E16" s="259">
        <v>1460</v>
      </c>
      <c r="F16" s="259">
        <v>1460</v>
      </c>
      <c r="G16" s="259">
        <v>1460</v>
      </c>
      <c r="H16" s="258" t="s">
        <v>3117</v>
      </c>
      <c r="I16" s="260">
        <v>0.25</v>
      </c>
      <c r="J16" s="261">
        <f>E16*$I16</f>
        <v>365</v>
      </c>
      <c r="K16" s="261">
        <f>F16*$I16</f>
        <v>365</v>
      </c>
      <c r="L16" s="261">
        <f>G16*$I16</f>
        <v>365</v>
      </c>
      <c r="M16" s="258" t="s">
        <v>4667</v>
      </c>
      <c r="N16" s="262" t="s">
        <v>2236</v>
      </c>
      <c r="O16" s="262" t="s">
        <v>2236</v>
      </c>
      <c r="P16" s="263" t="s">
        <v>4725</v>
      </c>
    </row>
    <row r="17" spans="1:16">
      <c r="A17" s="257" t="s">
        <v>3103</v>
      </c>
      <c r="B17" s="258" t="s">
        <v>4759</v>
      </c>
      <c r="C17" s="258" t="s">
        <v>4760</v>
      </c>
      <c r="D17" s="258" t="s">
        <v>4761</v>
      </c>
      <c r="E17" s="259">
        <v>2920</v>
      </c>
      <c r="F17" s="259">
        <v>2920</v>
      </c>
      <c r="G17" s="259">
        <v>2920</v>
      </c>
      <c r="H17" s="258" t="s">
        <v>3107</v>
      </c>
      <c r="I17" s="260">
        <v>0.248</v>
      </c>
      <c r="J17" s="261">
        <f>E17*$I17</f>
        <v>724.16</v>
      </c>
      <c r="K17" s="261">
        <f>F17*$I17</f>
        <v>724.16</v>
      </c>
      <c r="L17" s="261">
        <f>G17*$I17</f>
        <v>724.16</v>
      </c>
      <c r="M17" s="258" t="s">
        <v>4664</v>
      </c>
      <c r="N17" s="262" t="s">
        <v>2236</v>
      </c>
      <c r="O17" s="262" t="s">
        <v>2236</v>
      </c>
      <c r="P17" s="263" t="s">
        <v>4725</v>
      </c>
    </row>
    <row r="18" spans="1:16">
      <c r="A18" s="257" t="s">
        <v>3103</v>
      </c>
      <c r="B18" s="258" t="s">
        <v>4762</v>
      </c>
      <c r="C18" s="258" t="s">
        <v>4763</v>
      </c>
      <c r="D18" s="258" t="s">
        <v>4764</v>
      </c>
      <c r="E18" s="259">
        <v>730</v>
      </c>
      <c r="F18" s="259">
        <v>730</v>
      </c>
      <c r="G18" s="259">
        <v>730</v>
      </c>
      <c r="H18" s="258" t="s">
        <v>3121</v>
      </c>
      <c r="I18" s="260">
        <v>0.17100000000000001</v>
      </c>
      <c r="J18" s="261">
        <f>E18*$I18</f>
        <v>124.83000000000001</v>
      </c>
      <c r="K18" s="261">
        <f>F18*$I18</f>
        <v>124.83000000000001</v>
      </c>
      <c r="L18" s="261">
        <f>G18*$I18</f>
        <v>124.83000000000001</v>
      </c>
      <c r="M18" s="258" t="s">
        <v>4667</v>
      </c>
      <c r="N18" s="262" t="s">
        <v>2236</v>
      </c>
      <c r="O18" s="262" t="s">
        <v>2236</v>
      </c>
      <c r="P18" s="263" t="s">
        <v>4725</v>
      </c>
    </row>
    <row r="19" spans="1:16">
      <c r="A19" s="257" t="s">
        <v>3103</v>
      </c>
      <c r="B19" s="258" t="s">
        <v>4765</v>
      </c>
      <c r="C19" s="258" t="s">
        <v>4766</v>
      </c>
      <c r="D19" s="258" t="s">
        <v>4767</v>
      </c>
      <c r="E19" s="259">
        <v>400</v>
      </c>
      <c r="F19" s="259">
        <v>400</v>
      </c>
      <c r="G19" s="259">
        <v>400</v>
      </c>
      <c r="H19" s="258" t="s">
        <v>3124</v>
      </c>
      <c r="I19" s="260">
        <v>9.6000000000000002E-2</v>
      </c>
      <c r="J19" s="261">
        <f>E19*$I19</f>
        <v>38.4</v>
      </c>
      <c r="K19" s="261">
        <f>F19*$I19</f>
        <v>38.4</v>
      </c>
      <c r="L19" s="261">
        <f>G19*$I19</f>
        <v>38.4</v>
      </c>
      <c r="M19" s="258" t="s">
        <v>4669</v>
      </c>
      <c r="N19" s="262" t="s">
        <v>2236</v>
      </c>
      <c r="O19" s="262" t="s">
        <v>2236</v>
      </c>
      <c r="P19" s="263" t="s">
        <v>4725</v>
      </c>
    </row>
    <row r="20" spans="1:16">
      <c r="A20" s="257" t="s">
        <v>3125</v>
      </c>
      <c r="B20" s="258" t="s">
        <v>4768</v>
      </c>
      <c r="C20" s="258" t="s">
        <v>4769</v>
      </c>
      <c r="D20" s="258" t="s">
        <v>4770</v>
      </c>
      <c r="E20" s="259">
        <v>730</v>
      </c>
      <c r="F20" s="259">
        <v>730</v>
      </c>
      <c r="G20" s="259">
        <v>730</v>
      </c>
      <c r="H20" s="258" t="s">
        <v>3107</v>
      </c>
      <c r="I20" s="260">
        <v>0.66400000000000003</v>
      </c>
      <c r="J20" s="261">
        <f>E20*$I20</f>
        <v>484.72</v>
      </c>
      <c r="K20" s="261">
        <f>F20*$I20</f>
        <v>484.72</v>
      </c>
      <c r="L20" s="261">
        <f>G20*$I20</f>
        <v>484.72</v>
      </c>
      <c r="M20" s="258" t="s">
        <v>4670</v>
      </c>
      <c r="N20" s="262" t="s">
        <v>2236</v>
      </c>
      <c r="O20" s="262" t="s">
        <v>2236</v>
      </c>
      <c r="P20" s="263" t="s">
        <v>4725</v>
      </c>
    </row>
    <row r="21" spans="1:16">
      <c r="A21" s="257" t="s">
        <v>3125</v>
      </c>
      <c r="B21" s="258" t="s">
        <v>4771</v>
      </c>
      <c r="C21" s="258" t="s">
        <v>4772</v>
      </c>
      <c r="D21" s="258" t="s">
        <v>4770</v>
      </c>
      <c r="E21" s="259">
        <v>730</v>
      </c>
      <c r="F21" s="259">
        <v>730</v>
      </c>
      <c r="G21" s="259">
        <v>730</v>
      </c>
      <c r="H21" s="258" t="s">
        <v>3107</v>
      </c>
      <c r="I21" s="260">
        <v>0.66400000000000003</v>
      </c>
      <c r="J21" s="261">
        <f>E21*$I21</f>
        <v>484.72</v>
      </c>
      <c r="K21" s="261">
        <f>F21*$I21</f>
        <v>484.72</v>
      </c>
      <c r="L21" s="261">
        <f>G21*$I21</f>
        <v>484.72</v>
      </c>
      <c r="M21" s="258" t="s">
        <v>4670</v>
      </c>
      <c r="N21" s="262" t="s">
        <v>2236</v>
      </c>
      <c r="O21" s="262" t="s">
        <v>2236</v>
      </c>
      <c r="P21" s="263" t="s">
        <v>4725</v>
      </c>
    </row>
    <row r="22" spans="1:16">
      <c r="A22" s="257" t="s">
        <v>3144</v>
      </c>
      <c r="B22" s="258" t="s">
        <v>4773</v>
      </c>
      <c r="C22" s="258" t="s">
        <v>4774</v>
      </c>
      <c r="D22" s="258" t="s">
        <v>4775</v>
      </c>
      <c r="E22" s="259">
        <v>1460</v>
      </c>
      <c r="F22" s="259">
        <v>1460</v>
      </c>
      <c r="G22" s="259">
        <v>1460</v>
      </c>
      <c r="H22" s="258" t="s">
        <v>3148</v>
      </c>
      <c r="I22" s="260">
        <v>2.4299999999999999E-2</v>
      </c>
      <c r="J22" s="261">
        <f>E22*$I22</f>
        <v>35.478000000000002</v>
      </c>
      <c r="K22" s="261">
        <f>F22*$I22</f>
        <v>35.478000000000002</v>
      </c>
      <c r="L22" s="261">
        <f>G22*$I22</f>
        <v>35.478000000000002</v>
      </c>
      <c r="M22" s="258" t="s">
        <v>4676</v>
      </c>
      <c r="N22" s="262" t="s">
        <v>2236</v>
      </c>
      <c r="O22" s="262" t="s">
        <v>2236</v>
      </c>
      <c r="P22" s="263" t="s">
        <v>4725</v>
      </c>
    </row>
    <row r="23" spans="1:16">
      <c r="A23" s="257" t="s">
        <v>3144</v>
      </c>
      <c r="B23" s="258" t="s">
        <v>4776</v>
      </c>
      <c r="C23" s="258" t="s">
        <v>4777</v>
      </c>
      <c r="D23" s="258" t="s">
        <v>4778</v>
      </c>
      <c r="E23" s="259">
        <v>730</v>
      </c>
      <c r="F23" s="259">
        <v>730</v>
      </c>
      <c r="G23" s="259">
        <v>730</v>
      </c>
      <c r="H23" s="258" t="s">
        <v>3152</v>
      </c>
      <c r="I23" s="260">
        <v>2.4299999999999999E-2</v>
      </c>
      <c r="J23" s="261">
        <f>E23*$I23</f>
        <v>17.739000000000001</v>
      </c>
      <c r="K23" s="261">
        <f>F23*$I23</f>
        <v>17.739000000000001</v>
      </c>
      <c r="L23" s="261">
        <f>G23*$I23</f>
        <v>17.739000000000001</v>
      </c>
      <c r="M23" s="258" t="s">
        <v>4676</v>
      </c>
      <c r="N23" s="262" t="s">
        <v>2236</v>
      </c>
      <c r="O23" s="262" t="s">
        <v>2236</v>
      </c>
      <c r="P23" s="263" t="s">
        <v>4725</v>
      </c>
    </row>
    <row r="24" spans="1:16">
      <c r="A24" s="257" t="s">
        <v>3144</v>
      </c>
      <c r="B24" s="258" t="s">
        <v>4779</v>
      </c>
      <c r="C24" s="258" t="s">
        <v>4780</v>
      </c>
      <c r="D24" s="258" t="s">
        <v>4781</v>
      </c>
      <c r="E24" s="259">
        <v>7300</v>
      </c>
      <c r="F24" s="259">
        <v>7300</v>
      </c>
      <c r="G24" s="259">
        <v>7300</v>
      </c>
      <c r="H24" s="258" t="s">
        <v>3163</v>
      </c>
      <c r="I24" s="260">
        <v>1.4E-2</v>
      </c>
      <c r="J24" s="261">
        <f>E24*$I24</f>
        <v>102.2</v>
      </c>
      <c r="K24" s="261">
        <f>F24*$I24</f>
        <v>102.2</v>
      </c>
      <c r="L24" s="261">
        <f>G24*$I24</f>
        <v>102.2</v>
      </c>
      <c r="M24" s="258" t="s">
        <v>4683</v>
      </c>
      <c r="N24" s="262" t="s">
        <v>2236</v>
      </c>
      <c r="O24" s="262" t="s">
        <v>2236</v>
      </c>
      <c r="P24" s="263" t="s">
        <v>4725</v>
      </c>
    </row>
    <row r="25" spans="1:16">
      <c r="A25" s="257" t="s">
        <v>3207</v>
      </c>
      <c r="B25" s="258" t="s">
        <v>4782</v>
      </c>
      <c r="C25" s="258" t="s">
        <v>4783</v>
      </c>
      <c r="D25" s="258" t="s">
        <v>4784</v>
      </c>
      <c r="E25" s="259">
        <v>43800</v>
      </c>
      <c r="F25" s="259">
        <v>43800</v>
      </c>
      <c r="G25" s="259">
        <v>43800</v>
      </c>
      <c r="H25" s="258" t="s">
        <v>3223</v>
      </c>
      <c r="I25" s="260">
        <v>1.1999999999999999E-3</v>
      </c>
      <c r="J25" s="261">
        <f>E25*$I25</f>
        <v>52.559999999999995</v>
      </c>
      <c r="K25" s="261">
        <f>F25*$I25</f>
        <v>52.559999999999995</v>
      </c>
      <c r="L25" s="261">
        <f>G25*$I25</f>
        <v>52.559999999999995</v>
      </c>
      <c r="M25" s="258" t="s">
        <v>4706</v>
      </c>
      <c r="N25" s="262" t="s">
        <v>2236</v>
      </c>
      <c r="O25" s="262" t="s">
        <v>2236</v>
      </c>
      <c r="P25" s="263" t="s">
        <v>4725</v>
      </c>
    </row>
    <row r="26" spans="1:16">
      <c r="A26" s="257" t="s">
        <v>1532</v>
      </c>
      <c r="B26" s="258" t="s">
        <v>4806</v>
      </c>
      <c r="C26" s="258" t="s">
        <v>4807</v>
      </c>
      <c r="D26" s="258" t="s">
        <v>4808</v>
      </c>
      <c r="E26" s="259">
        <v>30</v>
      </c>
      <c r="F26" s="259">
        <v>30</v>
      </c>
      <c r="G26" s="259">
        <v>30</v>
      </c>
      <c r="H26" s="258" t="s">
        <v>3199</v>
      </c>
      <c r="I26" s="260">
        <v>0.4</v>
      </c>
      <c r="J26" s="261">
        <f>E26*$I26</f>
        <v>12</v>
      </c>
      <c r="K26" s="261">
        <f>F26*$I26</f>
        <v>12</v>
      </c>
      <c r="L26" s="261">
        <f>G26*$I26</f>
        <v>12</v>
      </c>
      <c r="M26" s="258" t="s">
        <v>4703</v>
      </c>
      <c r="N26" s="262" t="s">
        <v>4725</v>
      </c>
      <c r="O26" s="262" t="s">
        <v>4725</v>
      </c>
      <c r="P26" s="263" t="s">
        <v>4725</v>
      </c>
    </row>
    <row r="27" spans="1:16">
      <c r="A27" s="257" t="s">
        <v>3461</v>
      </c>
      <c r="B27" s="258" t="s">
        <v>4809</v>
      </c>
      <c r="C27" s="258" t="s">
        <v>4810</v>
      </c>
      <c r="D27" s="258" t="s">
        <v>4811</v>
      </c>
      <c r="E27" s="259">
        <v>1</v>
      </c>
      <c r="F27" s="259">
        <v>1</v>
      </c>
      <c r="G27" s="259">
        <v>1</v>
      </c>
      <c r="H27" s="258" t="s">
        <v>4812</v>
      </c>
      <c r="I27" s="260">
        <v>400</v>
      </c>
      <c r="J27" s="261">
        <f>E27*$I27</f>
        <v>400</v>
      </c>
      <c r="K27" s="261">
        <f>F27*$I27</f>
        <v>400</v>
      </c>
      <c r="L27" s="261">
        <f>G27*$I27</f>
        <v>400</v>
      </c>
      <c r="M27" s="258" t="s">
        <v>4704</v>
      </c>
      <c r="N27" s="262" t="s">
        <v>2236</v>
      </c>
      <c r="O27" s="262" t="s">
        <v>2236</v>
      </c>
      <c r="P27" s="263" t="s">
        <v>4725</v>
      </c>
    </row>
    <row r="28" spans="1:16">
      <c r="A28" s="264" t="s">
        <v>4813</v>
      </c>
      <c r="B28" s="265" t="s">
        <v>4814</v>
      </c>
      <c r="C28" s="265" t="s">
        <v>4815</v>
      </c>
      <c r="D28" s="265" t="s">
        <v>4816</v>
      </c>
      <c r="E28" s="266">
        <v>5000000</v>
      </c>
      <c r="F28" s="266">
        <v>15000000</v>
      </c>
      <c r="G28" s="266">
        <v>25000000</v>
      </c>
      <c r="H28" s="265" t="s">
        <v>4817</v>
      </c>
      <c r="I28" s="267">
        <v>9.9999999999999995E-8</v>
      </c>
      <c r="J28" s="268">
        <f>E28*$I28</f>
        <v>0.5</v>
      </c>
      <c r="K28" s="268">
        <f>F28*$I28</f>
        <v>1.5</v>
      </c>
      <c r="L28" s="268">
        <f>G28*$I28</f>
        <v>2.5</v>
      </c>
      <c r="M28" s="265" t="s">
        <v>4696</v>
      </c>
      <c r="N28" s="269" t="s">
        <v>2236</v>
      </c>
      <c r="O28" s="269" t="s">
        <v>4725</v>
      </c>
      <c r="P28" s="270" t="s">
        <v>4725</v>
      </c>
    </row>
    <row r="29" spans="1:16">
      <c r="A29" s="32" t="s">
        <v>4786</v>
      </c>
      <c r="B29" s="32" t="s">
        <v>4787</v>
      </c>
      <c r="C29" s="32" t="s">
        <v>4788</v>
      </c>
      <c r="D29" s="252">
        <f>SUMIF($N$6:$N$28,"○",$J$6:$J$28)</f>
        <v>70.2</v>
      </c>
      <c r="E29" s="252">
        <f>SUMIF($N$6:$N$28,"○",$K$6:$K$28)</f>
        <v>287</v>
      </c>
      <c r="F29" s="252">
        <f>SUMIF($N$6:$N$28,"○",$L$6:$L$28)</f>
        <v>558</v>
      </c>
      <c r="G29" s="32"/>
      <c r="H29" s="32"/>
      <c r="I29" s="32"/>
      <c r="J29" s="32"/>
      <c r="K29" s="32"/>
      <c r="L29" s="32"/>
      <c r="M29" s="32"/>
      <c r="N29" s="32"/>
      <c r="O29" s="32"/>
      <c r="P29" s="32"/>
    </row>
    <row r="30" spans="1:16">
      <c r="A30" s="32" t="s">
        <v>4789</v>
      </c>
      <c r="B30" s="32" t="s">
        <v>4790</v>
      </c>
      <c r="C30" s="32" t="s">
        <v>4791</v>
      </c>
      <c r="D30" s="252">
        <f>SUMIF($O$6:$O$28,"○",$J$6:$J$28)</f>
        <v>128.44999999999999</v>
      </c>
      <c r="E30" s="252">
        <f>SUMIF($O$6:$O$28,"○",$K$6:$K$28)</f>
        <v>557.25</v>
      </c>
      <c r="F30" s="252">
        <f>SUMIF($O$6:$O$28,"○",$L$6:$L$28)</f>
        <v>1093</v>
      </c>
      <c r="G30" s="32"/>
      <c r="H30" s="32"/>
      <c r="I30" s="32"/>
      <c r="J30" s="32"/>
      <c r="K30" s="32"/>
      <c r="L30" s="32"/>
      <c r="M30" s="32"/>
      <c r="N30" s="32"/>
      <c r="O30" s="32"/>
      <c r="P30" s="32"/>
    </row>
    <row r="31" spans="1:16">
      <c r="A31" s="32" t="s">
        <v>4792</v>
      </c>
      <c r="B31" s="32" t="s">
        <v>4793</v>
      </c>
      <c r="C31" s="32" t="s">
        <v>4791</v>
      </c>
      <c r="D31" s="252">
        <f>SUMIF($P$6:$P$28,"○",$J$6:$J$28)</f>
        <v>2958.2569999999996</v>
      </c>
      <c r="E31" s="252">
        <f>SUMIF($P$6:$P$28,"○",$K$6:$K$28)</f>
        <v>3387.0569999999998</v>
      </c>
      <c r="F31" s="252">
        <f>SUMIF($P$6:$P$28,"○",$L$6:$L$28)</f>
        <v>3922.8069999999998</v>
      </c>
      <c r="G31" s="32"/>
      <c r="H31" s="32"/>
      <c r="I31" s="32"/>
      <c r="J31" s="32"/>
      <c r="K31" s="32"/>
      <c r="L31" s="32"/>
      <c r="M31" s="32"/>
      <c r="N31" s="32"/>
      <c r="O31" s="32"/>
      <c r="P31" s="32"/>
    </row>
    <row r="32" spans="1:16">
      <c r="A32" s="32"/>
      <c r="B32" s="32"/>
      <c r="C32" s="32"/>
      <c r="D32" s="32"/>
      <c r="E32" s="32"/>
      <c r="F32" s="32"/>
      <c r="G32" s="32"/>
      <c r="H32" s="32"/>
      <c r="I32" s="32"/>
      <c r="J32" s="32"/>
      <c r="K32" s="32"/>
      <c r="L32" s="32"/>
      <c r="M32" s="32"/>
      <c r="N32" s="32"/>
      <c r="O32" s="32"/>
      <c r="P32" s="32"/>
    </row>
    <row r="33" spans="1:16">
      <c r="A33" s="251" t="s">
        <v>4794</v>
      </c>
      <c r="B33" s="32"/>
      <c r="C33" s="32"/>
      <c r="D33" s="32"/>
      <c r="E33" s="32"/>
      <c r="F33" s="32"/>
      <c r="G33" s="32"/>
      <c r="H33" s="32"/>
      <c r="I33" s="32"/>
      <c r="J33" s="32"/>
      <c r="K33" s="32"/>
      <c r="L33" s="32"/>
      <c r="M33" s="32"/>
      <c r="N33" s="32"/>
      <c r="O33" s="32"/>
      <c r="P33" s="32"/>
    </row>
    <row r="34" spans="1:16">
      <c r="A34" s="143" t="s">
        <v>4785</v>
      </c>
      <c r="B34" s="143" t="s">
        <v>4795</v>
      </c>
      <c r="C34" s="143" t="s">
        <v>4796</v>
      </c>
      <c r="D34" s="143" t="s">
        <v>4797</v>
      </c>
      <c r="E34" s="32"/>
      <c r="F34" s="32"/>
      <c r="G34" s="32"/>
      <c r="H34" s="32"/>
      <c r="I34" s="32"/>
      <c r="J34" s="32"/>
      <c r="K34" s="32"/>
      <c r="L34" s="32"/>
      <c r="M34" s="32"/>
      <c r="N34" s="32"/>
      <c r="O34" s="32"/>
      <c r="P34" s="32"/>
    </row>
    <row r="35" spans="1:16">
      <c r="A35" s="32" t="str">
        <f>A29</f>
        <v>① コールド（現行の設計）</v>
      </c>
      <c r="B35" s="253">
        <f>D29*コスト見積もり!$B$9</f>
        <v>10530</v>
      </c>
      <c r="C35" s="253">
        <f>E29*コスト見積もり!$B$9</f>
        <v>43050</v>
      </c>
      <c r="D35" s="253">
        <f>F29*コスト見積もり!$B$9</f>
        <v>83700</v>
      </c>
      <c r="E35" s="32"/>
      <c r="F35" s="32"/>
      <c r="G35" s="32"/>
      <c r="H35" s="32"/>
      <c r="I35" s="32"/>
      <c r="J35" s="32"/>
      <c r="K35" s="32"/>
      <c r="L35" s="32"/>
      <c r="M35" s="32"/>
      <c r="N35" s="32"/>
      <c r="O35" s="32"/>
      <c r="P35" s="32"/>
    </row>
    <row r="36" spans="1:16">
      <c r="A36" s="32" t="str">
        <f>A30</f>
        <v>② 複製のみ（弊社の推奨）</v>
      </c>
      <c r="B36" s="253">
        <f>D30*コスト見積もり!$B$9</f>
        <v>19267.5</v>
      </c>
      <c r="C36" s="253">
        <f>E30*コスト見積もり!$B$9</f>
        <v>83587.5</v>
      </c>
      <c r="D36" s="253">
        <f>F30*コスト見積もり!$B$9</f>
        <v>163950</v>
      </c>
      <c r="E36" s="32"/>
      <c r="F36" s="32"/>
      <c r="G36" s="32"/>
      <c r="H36" s="32"/>
      <c r="I36" s="32"/>
      <c r="J36" s="32"/>
      <c r="K36" s="32"/>
      <c r="L36" s="32"/>
      <c r="M36" s="32"/>
      <c r="N36" s="32"/>
      <c r="O36" s="32"/>
      <c r="P36" s="32"/>
    </row>
    <row r="37" spans="1:16">
      <c r="A37" s="32" t="str">
        <f>A31</f>
        <v>③ 常時稼働</v>
      </c>
      <c r="B37" s="253">
        <f>D31*コスト見積もり!$B$9</f>
        <v>443738.54999999993</v>
      </c>
      <c r="C37" s="253">
        <f>E31*コスト見積もり!$B$9</f>
        <v>508058.55</v>
      </c>
      <c r="D37" s="253">
        <f>F31*コスト見積もり!$B$9</f>
        <v>588421.04999999993</v>
      </c>
      <c r="E37" s="32"/>
      <c r="F37" s="32"/>
      <c r="G37" s="32"/>
      <c r="H37" s="32"/>
      <c r="I37" s="32"/>
      <c r="J37" s="32"/>
      <c r="K37" s="32"/>
      <c r="L37" s="32"/>
      <c r="M37" s="32"/>
      <c r="N37" s="32"/>
      <c r="O37" s="32"/>
      <c r="P37" s="32"/>
    </row>
    <row r="38" spans="1:16">
      <c r="A38" s="32"/>
      <c r="B38" s="32"/>
      <c r="C38" s="32"/>
      <c r="D38" s="32"/>
      <c r="E38" s="32"/>
      <c r="F38" s="32"/>
      <c r="G38" s="32"/>
      <c r="H38" s="32"/>
      <c r="I38" s="32"/>
      <c r="J38" s="32"/>
      <c r="K38" s="32"/>
      <c r="L38" s="32"/>
      <c r="M38" s="32"/>
      <c r="N38" s="32"/>
      <c r="O38" s="32"/>
      <c r="P38" s="32"/>
    </row>
    <row r="39" spans="1:16">
      <c r="A39" s="251" t="s">
        <v>4798</v>
      </c>
      <c r="B39" s="32"/>
      <c r="C39" s="32"/>
      <c r="D39" s="32"/>
      <c r="E39" s="32"/>
      <c r="F39" s="32"/>
      <c r="G39" s="32"/>
      <c r="H39" s="32"/>
      <c r="I39" s="32"/>
      <c r="J39" s="32"/>
      <c r="K39" s="32"/>
      <c r="L39" s="32"/>
      <c r="M39" s="32"/>
      <c r="N39" s="32"/>
      <c r="O39" s="32"/>
      <c r="P39" s="32"/>
    </row>
    <row r="40" spans="1:16">
      <c r="A40" s="32" t="str">
        <f>"①→② の差額（100万人）: 月 "&amp;TEXT(B36-B35,"#,##0")&amp;" 円 — この差額で「失うデータが数時間ぶん → 1分未満」に変わる"</f>
        <v>①→② の差額（100万人）: 月 8,738 円 — この差額で「失うデータが数時間ぶん → 1分未満」に変わる</v>
      </c>
      <c r="B40" s="32"/>
      <c r="C40" s="32"/>
      <c r="D40" s="32"/>
      <c r="E40" s="32"/>
      <c r="F40" s="32"/>
      <c r="G40" s="32"/>
      <c r="H40" s="32"/>
      <c r="I40" s="32"/>
      <c r="J40" s="32"/>
      <c r="K40" s="32"/>
      <c r="L40" s="32"/>
      <c r="M40" s="32"/>
      <c r="N40" s="32"/>
      <c r="O40" s="32"/>
      <c r="P40" s="32"/>
    </row>
    <row r="41" spans="1:16">
      <c r="A41" s="32" t="str">
        <f>"②→③ の差額（100万人）: 月 "&amp;TEXT(B37-B36,"#,##0")&amp;" 円（年 "&amp;TEXT((B37-B36)*12,"#,##0")&amp;" 円） — 買えるのは「復旧が数日 → 1日以下」だけ"</f>
        <v>②→③ の差額（100万人）: 月 424,471 円（年 5,093,653 円） — 買えるのは「復旧が数日 → 1日以下」だけ</v>
      </c>
      <c r="B41" s="32"/>
      <c r="C41" s="32"/>
      <c r="D41" s="32"/>
      <c r="E41" s="32"/>
      <c r="F41" s="32"/>
      <c r="G41" s="32"/>
      <c r="H41" s="32"/>
      <c r="I41" s="32"/>
      <c r="J41" s="32"/>
      <c r="K41" s="32"/>
      <c r="L41" s="32"/>
      <c r="M41" s="32"/>
      <c r="N41" s="32"/>
      <c r="O41" s="32"/>
      <c r="P41" s="32"/>
    </row>
    <row r="42" spans="1:16">
      <c r="A42" s="32" t="s">
        <v>4799</v>
      </c>
      <c r="B42" s="32"/>
      <c r="C42" s="32"/>
      <c r="D42" s="32"/>
      <c r="E42" s="32"/>
      <c r="F42" s="32"/>
      <c r="G42" s="32"/>
      <c r="H42" s="32"/>
      <c r="I42" s="32"/>
      <c r="J42" s="32"/>
      <c r="K42" s="32"/>
      <c r="L42" s="32"/>
      <c r="M42" s="32"/>
      <c r="N42" s="32"/>
      <c r="O42" s="32"/>
      <c r="P42" s="32"/>
    </row>
  </sheetData>
  <phoneticPr fontId="2"/>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7BDEA2-3270-2C42-9A1D-C11A5668D48E}">
  <sheetPr>
    <pageSetUpPr fitToPage="1"/>
  </sheetPr>
  <dimension ref="A1:N48"/>
  <sheetViews>
    <sheetView zoomScale="125" workbookViewId="0">
      <pane ySplit="5" topLeftCell="A46" activePane="bottomLeft" state="frozen"/>
      <selection pane="bottomLeft" activeCell="E21" sqref="E21"/>
    </sheetView>
  </sheetViews>
  <sheetFormatPr baseColWidth="10" defaultRowHeight="20" outlineLevelCol="1"/>
  <cols>
    <col min="1" max="1" width="7.85546875" customWidth="1"/>
    <col min="2" max="2" width="13.5703125" customWidth="1"/>
    <col min="3" max="3" width="16.42578125" customWidth="1"/>
    <col min="4" max="4" width="10" customWidth="1"/>
    <col min="5" max="5" width="48.5703125" customWidth="1"/>
    <col min="6" max="6" width="60" customWidth="1"/>
    <col min="7" max="7" width="37.140625" customWidth="1"/>
    <col min="8" max="8" width="11.42578125" customWidth="1"/>
    <col min="9" max="9" width="12.85546875" customWidth="1"/>
    <col min="10" max="10" width="14.28515625" customWidth="1"/>
    <col min="11" max="11" width="28.5703125" customWidth="1" outlineLevel="1"/>
    <col min="12" max="13" width="40" customWidth="1" outlineLevel="1"/>
    <col min="14" max="14" width="21.42578125" customWidth="1" outlineLevel="1"/>
  </cols>
  <sheetData>
    <row r="1" spans="1:14">
      <c r="A1" s="236" t="s">
        <v>5184</v>
      </c>
      <c r="B1" s="32"/>
      <c r="C1" s="32"/>
      <c r="D1" s="32"/>
      <c r="E1" s="32"/>
      <c r="F1" s="32"/>
      <c r="G1" s="32"/>
      <c r="H1" s="32"/>
      <c r="I1" s="32"/>
      <c r="J1" s="32"/>
      <c r="K1" s="32"/>
      <c r="L1" s="32"/>
      <c r="M1" s="32"/>
      <c r="N1" s="32"/>
    </row>
    <row r="2" spans="1:14">
      <c r="A2" s="290" t="s">
        <v>5185</v>
      </c>
      <c r="B2" s="32"/>
      <c r="C2" s="32"/>
      <c r="D2" s="32"/>
      <c r="E2" s="32"/>
      <c r="F2" s="32"/>
      <c r="G2" s="32"/>
      <c r="H2" s="32"/>
      <c r="I2" s="32"/>
      <c r="J2" s="32"/>
      <c r="K2" s="32"/>
      <c r="L2" s="32"/>
      <c r="M2" s="32"/>
      <c r="N2" s="32"/>
    </row>
    <row r="3" spans="1:14">
      <c r="A3" s="304" t="s">
        <v>5186</v>
      </c>
      <c r="B3" s="32"/>
      <c r="C3" s="32"/>
      <c r="D3" s="32"/>
      <c r="E3" s="32"/>
      <c r="F3" s="32"/>
      <c r="G3" s="32"/>
      <c r="H3" s="32"/>
      <c r="I3" s="32"/>
      <c r="J3" s="32"/>
      <c r="K3" s="32"/>
      <c r="L3" s="32"/>
      <c r="M3" s="32"/>
      <c r="N3" s="32"/>
    </row>
    <row r="4" spans="1:14">
      <c r="A4" s="32"/>
      <c r="B4" s="32"/>
      <c r="C4" s="32"/>
      <c r="D4" s="32"/>
      <c r="E4" s="32"/>
      <c r="F4" s="32"/>
      <c r="G4" s="32"/>
      <c r="H4" s="32"/>
      <c r="I4" s="32"/>
      <c r="J4" s="32"/>
      <c r="K4" s="32"/>
      <c r="L4" s="32"/>
      <c r="M4" s="32"/>
      <c r="N4" s="32"/>
    </row>
    <row r="5" spans="1:14">
      <c r="A5" s="291" t="s">
        <v>5143</v>
      </c>
      <c r="B5" s="292" t="s">
        <v>4874</v>
      </c>
      <c r="C5" s="292" t="s">
        <v>2524</v>
      </c>
      <c r="D5" s="292" t="s">
        <v>4875</v>
      </c>
      <c r="E5" s="292" t="s">
        <v>4876</v>
      </c>
      <c r="F5" s="292" t="s">
        <v>4877</v>
      </c>
      <c r="G5" s="293" t="s">
        <v>4878</v>
      </c>
      <c r="H5" s="293" t="s">
        <v>4879</v>
      </c>
      <c r="I5" s="293" t="s">
        <v>4880</v>
      </c>
      <c r="J5" s="293" t="s">
        <v>4881</v>
      </c>
      <c r="K5" s="294" t="s">
        <v>4882</v>
      </c>
      <c r="L5" s="294" t="s">
        <v>4883</v>
      </c>
      <c r="M5" s="294" t="s">
        <v>4884</v>
      </c>
      <c r="N5" s="295" t="s">
        <v>12</v>
      </c>
    </row>
    <row r="6" spans="1:14" ht="110" customHeight="1">
      <c r="A6" s="305">
        <v>7</v>
      </c>
      <c r="B6" s="296" t="s">
        <v>4885</v>
      </c>
      <c r="C6" s="296" t="s">
        <v>4886</v>
      </c>
      <c r="D6" s="297" t="s">
        <v>4278</v>
      </c>
      <c r="E6" s="296" t="s">
        <v>4887</v>
      </c>
      <c r="F6" s="296" t="s">
        <v>4888</v>
      </c>
      <c r="G6" s="296"/>
      <c r="H6" s="296"/>
      <c r="I6" s="296"/>
      <c r="J6" s="296"/>
      <c r="K6" s="296" t="s">
        <v>4889</v>
      </c>
      <c r="L6" s="296" t="s">
        <v>4890</v>
      </c>
      <c r="M6" s="296" t="s">
        <v>4891</v>
      </c>
      <c r="N6" s="298" t="s">
        <v>4892</v>
      </c>
    </row>
    <row r="7" spans="1:14" ht="110" customHeight="1">
      <c r="A7" s="305">
        <v>8</v>
      </c>
      <c r="B7" s="296" t="s">
        <v>4893</v>
      </c>
      <c r="C7" s="296" t="s">
        <v>4886</v>
      </c>
      <c r="D7" s="297" t="s">
        <v>4278</v>
      </c>
      <c r="E7" s="296" t="s">
        <v>4894</v>
      </c>
      <c r="F7" s="296" t="s">
        <v>4895</v>
      </c>
      <c r="G7" s="296"/>
      <c r="H7" s="296"/>
      <c r="I7" s="296"/>
      <c r="J7" s="296"/>
      <c r="K7" s="296" t="s">
        <v>4896</v>
      </c>
      <c r="L7" s="296" t="s">
        <v>4897</v>
      </c>
      <c r="M7" s="296" t="s">
        <v>4898</v>
      </c>
      <c r="N7" s="298" t="s">
        <v>4899</v>
      </c>
    </row>
    <row r="8" spans="1:14" ht="110" customHeight="1">
      <c r="A8" s="305">
        <v>9</v>
      </c>
      <c r="B8" s="296" t="s">
        <v>4900</v>
      </c>
      <c r="C8" s="296" t="s">
        <v>4886</v>
      </c>
      <c r="D8" s="297" t="s">
        <v>4278</v>
      </c>
      <c r="E8" s="296" t="s">
        <v>4901</v>
      </c>
      <c r="F8" s="296" t="s">
        <v>4902</v>
      </c>
      <c r="G8" s="296"/>
      <c r="H8" s="296"/>
      <c r="I8" s="296"/>
      <c r="J8" s="296"/>
      <c r="K8" s="296" t="s">
        <v>4903</v>
      </c>
      <c r="L8" s="296" t="s">
        <v>4904</v>
      </c>
      <c r="M8" s="296" t="s">
        <v>4905</v>
      </c>
      <c r="N8" s="298" t="s">
        <v>4906</v>
      </c>
    </row>
    <row r="9" spans="1:14" ht="110" customHeight="1">
      <c r="A9" s="305"/>
      <c r="B9" s="296" t="s">
        <v>4907</v>
      </c>
      <c r="C9" s="296" t="s">
        <v>4886</v>
      </c>
      <c r="D9" s="297" t="s">
        <v>4279</v>
      </c>
      <c r="E9" s="296" t="s">
        <v>4908</v>
      </c>
      <c r="F9" s="296" t="s">
        <v>4909</v>
      </c>
      <c r="G9" s="296"/>
      <c r="H9" s="296"/>
      <c r="I9" s="296"/>
      <c r="J9" s="296"/>
      <c r="K9" s="296" t="s">
        <v>4910</v>
      </c>
      <c r="L9" s="296" t="s">
        <v>4911</v>
      </c>
      <c r="M9" s="296" t="s">
        <v>4912</v>
      </c>
      <c r="N9" s="298" t="s">
        <v>4906</v>
      </c>
    </row>
    <row r="10" spans="1:14" ht="110" customHeight="1">
      <c r="A10" s="305"/>
      <c r="B10" s="296" t="s">
        <v>4913</v>
      </c>
      <c r="C10" s="296" t="s">
        <v>4886</v>
      </c>
      <c r="D10" s="297" t="s">
        <v>4279</v>
      </c>
      <c r="E10" s="296" t="s">
        <v>4914</v>
      </c>
      <c r="F10" s="296" t="s">
        <v>4915</v>
      </c>
      <c r="G10" s="296"/>
      <c r="H10" s="296"/>
      <c r="I10" s="296"/>
      <c r="J10" s="296"/>
      <c r="K10" s="296" t="s">
        <v>4916</v>
      </c>
      <c r="L10" s="296" t="s">
        <v>4917</v>
      </c>
      <c r="M10" s="296" t="s">
        <v>4918</v>
      </c>
      <c r="N10" s="298" t="s">
        <v>4919</v>
      </c>
    </row>
    <row r="11" spans="1:14" ht="110" customHeight="1">
      <c r="A11" s="305"/>
      <c r="B11" s="296" t="s">
        <v>4920</v>
      </c>
      <c r="C11" s="296" t="s">
        <v>4886</v>
      </c>
      <c r="D11" s="297" t="s">
        <v>4279</v>
      </c>
      <c r="E11" s="296" t="s">
        <v>4921</v>
      </c>
      <c r="F11" s="296" t="s">
        <v>4922</v>
      </c>
      <c r="G11" s="296"/>
      <c r="H11" s="296"/>
      <c r="I11" s="296"/>
      <c r="J11" s="296"/>
      <c r="K11" s="296" t="s">
        <v>4923</v>
      </c>
      <c r="L11" s="296" t="s">
        <v>4924</v>
      </c>
      <c r="M11" s="296" t="s">
        <v>4925</v>
      </c>
      <c r="N11" s="298" t="s">
        <v>4926</v>
      </c>
    </row>
    <row r="12" spans="1:14" ht="110" customHeight="1">
      <c r="A12" s="305"/>
      <c r="B12" s="296" t="s">
        <v>4927</v>
      </c>
      <c r="C12" s="296" t="s">
        <v>4886</v>
      </c>
      <c r="D12" s="297" t="s">
        <v>4279</v>
      </c>
      <c r="E12" s="296" t="s">
        <v>4928</v>
      </c>
      <c r="F12" s="296" t="s">
        <v>4929</v>
      </c>
      <c r="G12" s="296"/>
      <c r="H12" s="296"/>
      <c r="I12" s="296"/>
      <c r="J12" s="296"/>
      <c r="K12" s="296" t="s">
        <v>4930</v>
      </c>
      <c r="L12" s="296" t="s">
        <v>4931</v>
      </c>
      <c r="M12" s="296" t="s">
        <v>4932</v>
      </c>
      <c r="N12" s="298" t="s">
        <v>4933</v>
      </c>
    </row>
    <row r="13" spans="1:14" ht="110" customHeight="1">
      <c r="A13" s="305">
        <v>10</v>
      </c>
      <c r="B13" s="296" t="s">
        <v>4934</v>
      </c>
      <c r="C13" s="296" t="s">
        <v>4935</v>
      </c>
      <c r="D13" s="297" t="s">
        <v>4278</v>
      </c>
      <c r="E13" s="296" t="s">
        <v>4936</v>
      </c>
      <c r="F13" s="296" t="s">
        <v>4937</v>
      </c>
      <c r="G13" s="296"/>
      <c r="H13" s="296"/>
      <c r="I13" s="296"/>
      <c r="J13" s="296"/>
      <c r="K13" s="296" t="s">
        <v>4938</v>
      </c>
      <c r="L13" s="296" t="s">
        <v>4939</v>
      </c>
      <c r="M13" s="296" t="s">
        <v>4940</v>
      </c>
      <c r="N13" s="298" t="s">
        <v>4941</v>
      </c>
    </row>
    <row r="14" spans="1:14" ht="110" customHeight="1">
      <c r="A14" s="305">
        <v>11</v>
      </c>
      <c r="B14" s="296" t="s">
        <v>4942</v>
      </c>
      <c r="C14" s="296" t="s">
        <v>4935</v>
      </c>
      <c r="D14" s="297" t="s">
        <v>4278</v>
      </c>
      <c r="E14" s="296" t="s">
        <v>4943</v>
      </c>
      <c r="F14" s="296" t="s">
        <v>4944</v>
      </c>
      <c r="G14" s="296"/>
      <c r="H14" s="296"/>
      <c r="I14" s="296"/>
      <c r="J14" s="296"/>
      <c r="K14" s="296" t="s">
        <v>4945</v>
      </c>
      <c r="L14" s="296" t="s">
        <v>4946</v>
      </c>
      <c r="M14" s="296" t="s">
        <v>4947</v>
      </c>
      <c r="N14" s="298" t="s">
        <v>4948</v>
      </c>
    </row>
    <row r="15" spans="1:14" ht="110" customHeight="1">
      <c r="A15" s="305"/>
      <c r="B15" s="296" t="s">
        <v>4949</v>
      </c>
      <c r="C15" s="296" t="s">
        <v>4935</v>
      </c>
      <c r="D15" s="297" t="s">
        <v>4279</v>
      </c>
      <c r="E15" s="296" t="s">
        <v>4950</v>
      </c>
      <c r="F15" s="296" t="s">
        <v>4951</v>
      </c>
      <c r="G15" s="296"/>
      <c r="H15" s="296"/>
      <c r="I15" s="296"/>
      <c r="J15" s="296"/>
      <c r="K15" s="296" t="s">
        <v>4952</v>
      </c>
      <c r="L15" s="296" t="s">
        <v>4953</v>
      </c>
      <c r="M15" s="296" t="s">
        <v>4954</v>
      </c>
      <c r="N15" s="298" t="s">
        <v>903</v>
      </c>
    </row>
    <row r="16" spans="1:14" ht="110" customHeight="1">
      <c r="A16" s="305"/>
      <c r="B16" s="296" t="s">
        <v>4955</v>
      </c>
      <c r="C16" s="296" t="s">
        <v>4935</v>
      </c>
      <c r="D16" s="297" t="s">
        <v>4279</v>
      </c>
      <c r="E16" s="296" t="s">
        <v>4956</v>
      </c>
      <c r="F16" s="296" t="s">
        <v>4957</v>
      </c>
      <c r="G16" s="296"/>
      <c r="H16" s="296"/>
      <c r="I16" s="296"/>
      <c r="J16" s="296"/>
      <c r="K16" s="296" t="s">
        <v>4958</v>
      </c>
      <c r="L16" s="296" t="s">
        <v>4959</v>
      </c>
      <c r="M16" s="296" t="s">
        <v>4960</v>
      </c>
      <c r="N16" s="298" t="s">
        <v>4961</v>
      </c>
    </row>
    <row r="17" spans="1:14" ht="110" customHeight="1">
      <c r="A17" s="305"/>
      <c r="B17" s="296" t="s">
        <v>4962</v>
      </c>
      <c r="C17" s="296" t="s">
        <v>4935</v>
      </c>
      <c r="D17" s="297" t="s">
        <v>4279</v>
      </c>
      <c r="E17" s="296" t="s">
        <v>4963</v>
      </c>
      <c r="F17" s="296" t="s">
        <v>4964</v>
      </c>
      <c r="G17" s="296"/>
      <c r="H17" s="296"/>
      <c r="I17" s="296"/>
      <c r="J17" s="296"/>
      <c r="K17" s="296" t="s">
        <v>4965</v>
      </c>
      <c r="L17" s="296" t="s">
        <v>4966</v>
      </c>
      <c r="M17" s="296" t="s">
        <v>4967</v>
      </c>
      <c r="N17" s="298" t="s">
        <v>4926</v>
      </c>
    </row>
    <row r="18" spans="1:14" ht="110" customHeight="1">
      <c r="A18" s="305"/>
      <c r="B18" s="296" t="s">
        <v>4968</v>
      </c>
      <c r="C18" s="296" t="s">
        <v>4935</v>
      </c>
      <c r="D18" s="297" t="s">
        <v>4279</v>
      </c>
      <c r="E18" s="296" t="s">
        <v>4969</v>
      </c>
      <c r="F18" s="296" t="s">
        <v>4970</v>
      </c>
      <c r="G18" s="296"/>
      <c r="H18" s="296"/>
      <c r="I18" s="296"/>
      <c r="J18" s="296"/>
      <c r="K18" s="296" t="s">
        <v>4971</v>
      </c>
      <c r="L18" s="296" t="s">
        <v>4972</v>
      </c>
      <c r="M18" s="296" t="s">
        <v>4973</v>
      </c>
      <c r="N18" s="298" t="s">
        <v>4974</v>
      </c>
    </row>
    <row r="19" spans="1:14" ht="110" customHeight="1">
      <c r="A19" s="305"/>
      <c r="B19" s="296" t="s">
        <v>4975</v>
      </c>
      <c r="C19" s="296" t="s">
        <v>4935</v>
      </c>
      <c r="D19" s="297" t="s">
        <v>4280</v>
      </c>
      <c r="E19" s="296" t="s">
        <v>4976</v>
      </c>
      <c r="F19" s="296" t="s">
        <v>4977</v>
      </c>
      <c r="G19" s="296"/>
      <c r="H19" s="296"/>
      <c r="I19" s="296"/>
      <c r="J19" s="296"/>
      <c r="K19" s="296" t="s">
        <v>4978</v>
      </c>
      <c r="L19" s="296" t="s">
        <v>4979</v>
      </c>
      <c r="M19" s="296" t="s">
        <v>4980</v>
      </c>
      <c r="N19" s="298" t="s">
        <v>4981</v>
      </c>
    </row>
    <row r="20" spans="1:14" ht="110" customHeight="1">
      <c r="A20" s="305"/>
      <c r="B20" s="296" t="s">
        <v>4982</v>
      </c>
      <c r="C20" s="296" t="s">
        <v>4935</v>
      </c>
      <c r="D20" s="297" t="s">
        <v>4280</v>
      </c>
      <c r="E20" s="296" t="s">
        <v>4983</v>
      </c>
      <c r="F20" s="296" t="s">
        <v>4984</v>
      </c>
      <c r="G20" s="296"/>
      <c r="H20" s="296"/>
      <c r="I20" s="296"/>
      <c r="J20" s="296"/>
      <c r="K20" s="296" t="s">
        <v>4985</v>
      </c>
      <c r="L20" s="296" t="s">
        <v>4986</v>
      </c>
      <c r="M20" s="296" t="s">
        <v>4987</v>
      </c>
      <c r="N20" s="298" t="s">
        <v>4988</v>
      </c>
    </row>
    <row r="21" spans="1:14" ht="110" customHeight="1">
      <c r="A21" s="305">
        <v>12</v>
      </c>
      <c r="B21" s="296" t="s">
        <v>4989</v>
      </c>
      <c r="C21" s="296" t="s">
        <v>4990</v>
      </c>
      <c r="D21" s="297" t="s">
        <v>4278</v>
      </c>
      <c r="E21" s="296" t="s">
        <v>4991</v>
      </c>
      <c r="F21" s="296" t="s">
        <v>4992</v>
      </c>
      <c r="G21" s="296"/>
      <c r="H21" s="296"/>
      <c r="I21" s="296"/>
      <c r="J21" s="296"/>
      <c r="K21" s="296" t="s">
        <v>4993</v>
      </c>
      <c r="L21" s="296" t="s">
        <v>4994</v>
      </c>
      <c r="M21" s="296" t="s">
        <v>4995</v>
      </c>
      <c r="N21" s="298" t="s">
        <v>4899</v>
      </c>
    </row>
    <row r="22" spans="1:14" ht="110" customHeight="1">
      <c r="A22" s="305">
        <v>13</v>
      </c>
      <c r="B22" s="296" t="s">
        <v>4996</v>
      </c>
      <c r="C22" s="296" t="s">
        <v>4990</v>
      </c>
      <c r="D22" s="297" t="s">
        <v>4278</v>
      </c>
      <c r="E22" s="296" t="s">
        <v>4997</v>
      </c>
      <c r="F22" s="296" t="s">
        <v>4998</v>
      </c>
      <c r="G22" s="296"/>
      <c r="H22" s="296"/>
      <c r="I22" s="296"/>
      <c r="J22" s="296"/>
      <c r="K22" s="296" t="s">
        <v>4999</v>
      </c>
      <c r="L22" s="296" t="s">
        <v>5000</v>
      </c>
      <c r="M22" s="296" t="s">
        <v>5001</v>
      </c>
      <c r="N22" s="298" t="s">
        <v>5002</v>
      </c>
    </row>
    <row r="23" spans="1:14" ht="110" customHeight="1">
      <c r="A23" s="305"/>
      <c r="B23" s="296" t="s">
        <v>5003</v>
      </c>
      <c r="C23" s="296" t="s">
        <v>4990</v>
      </c>
      <c r="D23" s="297" t="s">
        <v>4279</v>
      </c>
      <c r="E23" s="296" t="s">
        <v>5004</v>
      </c>
      <c r="F23" s="296" t="s">
        <v>5005</v>
      </c>
      <c r="G23" s="296"/>
      <c r="H23" s="296"/>
      <c r="I23" s="296"/>
      <c r="J23" s="296"/>
      <c r="K23" s="296" t="s">
        <v>5006</v>
      </c>
      <c r="L23" s="296" t="s">
        <v>5007</v>
      </c>
      <c r="M23" s="296" t="s">
        <v>5008</v>
      </c>
      <c r="N23" s="298" t="s">
        <v>5009</v>
      </c>
    </row>
    <row r="24" spans="1:14" ht="110" customHeight="1">
      <c r="A24" s="305"/>
      <c r="B24" s="296" t="s">
        <v>5010</v>
      </c>
      <c r="C24" s="296" t="s">
        <v>4990</v>
      </c>
      <c r="D24" s="297" t="s">
        <v>4279</v>
      </c>
      <c r="E24" s="296" t="s">
        <v>5011</v>
      </c>
      <c r="F24" s="296" t="s">
        <v>5012</v>
      </c>
      <c r="G24" s="296"/>
      <c r="H24" s="296"/>
      <c r="I24" s="296"/>
      <c r="J24" s="296"/>
      <c r="K24" s="296" t="s">
        <v>5013</v>
      </c>
      <c r="L24" s="296" t="s">
        <v>5014</v>
      </c>
      <c r="M24" s="296" t="s">
        <v>5015</v>
      </c>
      <c r="N24" s="298" t="s">
        <v>5016</v>
      </c>
    </row>
    <row r="25" spans="1:14" ht="110" customHeight="1">
      <c r="A25" s="305"/>
      <c r="B25" s="296" t="s">
        <v>5017</v>
      </c>
      <c r="C25" s="296" t="s">
        <v>4990</v>
      </c>
      <c r="D25" s="297" t="s">
        <v>4279</v>
      </c>
      <c r="E25" s="296" t="s">
        <v>5018</v>
      </c>
      <c r="F25" s="296" t="s">
        <v>5019</v>
      </c>
      <c r="G25" s="296"/>
      <c r="H25" s="296"/>
      <c r="I25" s="296"/>
      <c r="J25" s="296"/>
      <c r="K25" s="296" t="s">
        <v>5020</v>
      </c>
      <c r="L25" s="296" t="s">
        <v>5021</v>
      </c>
      <c r="M25" s="296" t="s">
        <v>5022</v>
      </c>
      <c r="N25" s="298" t="s">
        <v>5023</v>
      </c>
    </row>
    <row r="26" spans="1:14" ht="110" customHeight="1">
      <c r="A26" s="305"/>
      <c r="B26" s="296" t="s">
        <v>5024</v>
      </c>
      <c r="C26" s="296" t="s">
        <v>4990</v>
      </c>
      <c r="D26" s="297" t="s">
        <v>4279</v>
      </c>
      <c r="E26" s="296" t="s">
        <v>5025</v>
      </c>
      <c r="F26" s="296" t="s">
        <v>5026</v>
      </c>
      <c r="G26" s="296"/>
      <c r="H26" s="296"/>
      <c r="I26" s="296"/>
      <c r="J26" s="296"/>
      <c r="K26" s="296" t="s">
        <v>5027</v>
      </c>
      <c r="L26" s="296" t="s">
        <v>5028</v>
      </c>
      <c r="M26" s="296" t="s">
        <v>5029</v>
      </c>
      <c r="N26" s="298" t="s">
        <v>5030</v>
      </c>
    </row>
    <row r="27" spans="1:14" ht="110" customHeight="1">
      <c r="A27" s="305">
        <v>2</v>
      </c>
      <c r="B27" s="296" t="s">
        <v>5031</v>
      </c>
      <c r="C27" s="296" t="s">
        <v>5032</v>
      </c>
      <c r="D27" s="297" t="s">
        <v>4278</v>
      </c>
      <c r="E27" s="296" t="s">
        <v>5033</v>
      </c>
      <c r="F27" s="296" t="s">
        <v>5034</v>
      </c>
      <c r="G27" s="296"/>
      <c r="H27" s="296"/>
      <c r="I27" s="296"/>
      <c r="J27" s="296"/>
      <c r="K27" s="296" t="s">
        <v>5035</v>
      </c>
      <c r="L27" s="296" t="s">
        <v>5036</v>
      </c>
      <c r="M27" s="296" t="s">
        <v>5037</v>
      </c>
      <c r="N27" s="298" t="s">
        <v>5038</v>
      </c>
    </row>
    <row r="28" spans="1:14" ht="110" customHeight="1">
      <c r="A28" s="305">
        <v>3</v>
      </c>
      <c r="B28" s="296" t="s">
        <v>5039</v>
      </c>
      <c r="C28" s="296" t="s">
        <v>5032</v>
      </c>
      <c r="D28" s="297" t="s">
        <v>4278</v>
      </c>
      <c r="E28" s="296" t="s">
        <v>5040</v>
      </c>
      <c r="F28" s="296" t="s">
        <v>5041</v>
      </c>
      <c r="G28" s="296"/>
      <c r="H28" s="296"/>
      <c r="I28" s="296"/>
      <c r="J28" s="296"/>
      <c r="K28" s="296" t="s">
        <v>5042</v>
      </c>
      <c r="L28" s="296" t="s">
        <v>5043</v>
      </c>
      <c r="M28" s="296" t="s">
        <v>5044</v>
      </c>
      <c r="N28" s="298" t="s">
        <v>5045</v>
      </c>
    </row>
    <row r="29" spans="1:14" ht="110" customHeight="1">
      <c r="A29" s="305">
        <v>4</v>
      </c>
      <c r="B29" s="296" t="s">
        <v>5046</v>
      </c>
      <c r="C29" s="296" t="s">
        <v>5032</v>
      </c>
      <c r="D29" s="297" t="s">
        <v>4278</v>
      </c>
      <c r="E29" s="296" t="s">
        <v>5047</v>
      </c>
      <c r="F29" s="296" t="s">
        <v>5048</v>
      </c>
      <c r="G29" s="296"/>
      <c r="H29" s="296"/>
      <c r="I29" s="296"/>
      <c r="J29" s="296"/>
      <c r="K29" s="296" t="s">
        <v>5049</v>
      </c>
      <c r="L29" s="296" t="s">
        <v>5050</v>
      </c>
      <c r="M29" s="296" t="s">
        <v>5051</v>
      </c>
      <c r="N29" s="298" t="s">
        <v>4899</v>
      </c>
    </row>
    <row r="30" spans="1:14" ht="110" customHeight="1">
      <c r="A30" s="305"/>
      <c r="B30" s="296" t="s">
        <v>5052</v>
      </c>
      <c r="C30" s="296" t="s">
        <v>5032</v>
      </c>
      <c r="D30" s="297" t="s">
        <v>4279</v>
      </c>
      <c r="E30" s="296" t="s">
        <v>5053</v>
      </c>
      <c r="F30" s="296" t="s">
        <v>5054</v>
      </c>
      <c r="G30" s="296"/>
      <c r="H30" s="296"/>
      <c r="I30" s="296"/>
      <c r="J30" s="296"/>
      <c r="K30" s="296" t="s">
        <v>5055</v>
      </c>
      <c r="L30" s="296" t="s">
        <v>5056</v>
      </c>
      <c r="M30" s="296" t="s">
        <v>5057</v>
      </c>
      <c r="N30" s="298" t="s">
        <v>5058</v>
      </c>
    </row>
    <row r="31" spans="1:14" ht="110" customHeight="1">
      <c r="A31" s="305"/>
      <c r="B31" s="296" t="s">
        <v>5059</v>
      </c>
      <c r="C31" s="296" t="s">
        <v>5032</v>
      </c>
      <c r="D31" s="297" t="s">
        <v>4279</v>
      </c>
      <c r="E31" s="296" t="s">
        <v>5060</v>
      </c>
      <c r="F31" s="296" t="s">
        <v>5061</v>
      </c>
      <c r="G31" s="296"/>
      <c r="H31" s="296"/>
      <c r="I31" s="296"/>
      <c r="J31" s="296"/>
      <c r="K31" s="296" t="s">
        <v>5062</v>
      </c>
      <c r="L31" s="296" t="s">
        <v>5063</v>
      </c>
      <c r="M31" s="296" t="s">
        <v>5064</v>
      </c>
      <c r="N31" s="298" t="s">
        <v>5065</v>
      </c>
    </row>
    <row r="32" spans="1:14" ht="110" customHeight="1">
      <c r="A32" s="305"/>
      <c r="B32" s="296" t="s">
        <v>5066</v>
      </c>
      <c r="C32" s="296" t="s">
        <v>5032</v>
      </c>
      <c r="D32" s="297" t="s">
        <v>4279</v>
      </c>
      <c r="E32" s="296" t="s">
        <v>5067</v>
      </c>
      <c r="F32" s="296" t="s">
        <v>5068</v>
      </c>
      <c r="G32" s="296"/>
      <c r="H32" s="296"/>
      <c r="I32" s="296"/>
      <c r="J32" s="296"/>
      <c r="K32" s="296" t="s">
        <v>5069</v>
      </c>
      <c r="L32" s="296" t="s">
        <v>5070</v>
      </c>
      <c r="M32" s="296" t="s">
        <v>5071</v>
      </c>
      <c r="N32" s="298" t="s">
        <v>5072</v>
      </c>
    </row>
    <row r="33" spans="1:14" ht="110" customHeight="1">
      <c r="A33" s="305"/>
      <c r="B33" s="296" t="s">
        <v>5073</v>
      </c>
      <c r="C33" s="296" t="s">
        <v>5032</v>
      </c>
      <c r="D33" s="297" t="s">
        <v>4280</v>
      </c>
      <c r="E33" s="296" t="s">
        <v>5074</v>
      </c>
      <c r="F33" s="296" t="s">
        <v>5075</v>
      </c>
      <c r="G33" s="296"/>
      <c r="H33" s="296"/>
      <c r="I33" s="296"/>
      <c r="J33" s="296"/>
      <c r="K33" s="296" t="s">
        <v>5076</v>
      </c>
      <c r="L33" s="296" t="s">
        <v>5077</v>
      </c>
      <c r="M33" s="296" t="s">
        <v>5078</v>
      </c>
      <c r="N33" s="298" t="s">
        <v>5079</v>
      </c>
    </row>
    <row r="34" spans="1:14" ht="110" customHeight="1">
      <c r="A34" s="305">
        <v>17</v>
      </c>
      <c r="B34" s="296" t="s">
        <v>5080</v>
      </c>
      <c r="C34" s="296" t="s">
        <v>5081</v>
      </c>
      <c r="D34" s="297" t="s">
        <v>4278</v>
      </c>
      <c r="E34" s="296" t="s">
        <v>5082</v>
      </c>
      <c r="F34" s="296" t="s">
        <v>5083</v>
      </c>
      <c r="G34" s="296"/>
      <c r="H34" s="296"/>
      <c r="I34" s="296"/>
      <c r="J34" s="296"/>
      <c r="K34" s="296" t="s">
        <v>5084</v>
      </c>
      <c r="L34" s="296" t="s">
        <v>5085</v>
      </c>
      <c r="M34" s="296" t="s">
        <v>5086</v>
      </c>
      <c r="N34" s="298" t="s">
        <v>5087</v>
      </c>
    </row>
    <row r="35" spans="1:14" ht="110" customHeight="1">
      <c r="A35" s="305"/>
      <c r="B35" s="296" t="s">
        <v>5088</v>
      </c>
      <c r="C35" s="296" t="s">
        <v>5081</v>
      </c>
      <c r="D35" s="297" t="s">
        <v>4279</v>
      </c>
      <c r="E35" s="296" t="s">
        <v>5089</v>
      </c>
      <c r="F35" s="296" t="s">
        <v>5090</v>
      </c>
      <c r="G35" s="296"/>
      <c r="H35" s="296"/>
      <c r="I35" s="296"/>
      <c r="J35" s="296"/>
      <c r="K35" s="296" t="s">
        <v>5091</v>
      </c>
      <c r="L35" s="296" t="s">
        <v>5092</v>
      </c>
      <c r="M35" s="296" t="s">
        <v>5093</v>
      </c>
      <c r="N35" s="298" t="s">
        <v>4906</v>
      </c>
    </row>
    <row r="36" spans="1:14" ht="110" customHeight="1">
      <c r="A36" s="305"/>
      <c r="B36" s="296" t="s">
        <v>5094</v>
      </c>
      <c r="C36" s="296" t="s">
        <v>5081</v>
      </c>
      <c r="D36" s="297" t="s">
        <v>4279</v>
      </c>
      <c r="E36" s="296" t="s">
        <v>5095</v>
      </c>
      <c r="F36" s="296" t="s">
        <v>5096</v>
      </c>
      <c r="G36" s="296"/>
      <c r="H36" s="296"/>
      <c r="I36" s="296"/>
      <c r="J36" s="296"/>
      <c r="K36" s="296" t="s">
        <v>5097</v>
      </c>
      <c r="L36" s="296" t="s">
        <v>5098</v>
      </c>
      <c r="M36" s="296" t="s">
        <v>5099</v>
      </c>
      <c r="N36" s="298" t="s">
        <v>2687</v>
      </c>
    </row>
    <row r="37" spans="1:14" ht="110" customHeight="1">
      <c r="A37" s="305"/>
      <c r="B37" s="296" t="s">
        <v>5100</v>
      </c>
      <c r="C37" s="296" t="s">
        <v>5081</v>
      </c>
      <c r="D37" s="297" t="s">
        <v>4279</v>
      </c>
      <c r="E37" s="296" t="s">
        <v>5101</v>
      </c>
      <c r="F37" s="296" t="s">
        <v>5102</v>
      </c>
      <c r="G37" s="296"/>
      <c r="H37" s="296"/>
      <c r="I37" s="296"/>
      <c r="J37" s="296"/>
      <c r="K37" s="296" t="s">
        <v>5103</v>
      </c>
      <c r="L37" s="296" t="s">
        <v>5104</v>
      </c>
      <c r="M37" s="296" t="s">
        <v>5105</v>
      </c>
      <c r="N37" s="298" t="s">
        <v>5106</v>
      </c>
    </row>
    <row r="38" spans="1:14" ht="110" customHeight="1">
      <c r="A38" s="305"/>
      <c r="B38" s="296" t="s">
        <v>5107</v>
      </c>
      <c r="C38" s="296" t="s">
        <v>5081</v>
      </c>
      <c r="D38" s="297" t="s">
        <v>4280</v>
      </c>
      <c r="E38" s="296" t="s">
        <v>5108</v>
      </c>
      <c r="F38" s="296" t="s">
        <v>5109</v>
      </c>
      <c r="G38" s="296"/>
      <c r="H38" s="296"/>
      <c r="I38" s="296"/>
      <c r="J38" s="296"/>
      <c r="K38" s="296" t="s">
        <v>5110</v>
      </c>
      <c r="L38" s="296" t="s">
        <v>5111</v>
      </c>
      <c r="M38" s="296" t="s">
        <v>5112</v>
      </c>
      <c r="N38" s="298" t="s">
        <v>5113</v>
      </c>
    </row>
    <row r="39" spans="1:14" ht="110" customHeight="1">
      <c r="A39" s="305">
        <v>18</v>
      </c>
      <c r="B39" s="296" t="s">
        <v>5114</v>
      </c>
      <c r="C39" s="296" t="s">
        <v>5115</v>
      </c>
      <c r="D39" s="297" t="s">
        <v>4278</v>
      </c>
      <c r="E39" s="296" t="s">
        <v>5116</v>
      </c>
      <c r="F39" s="296" t="s">
        <v>5117</v>
      </c>
      <c r="G39" s="296"/>
      <c r="H39" s="296"/>
      <c r="I39" s="296"/>
      <c r="J39" s="296"/>
      <c r="K39" s="296" t="s">
        <v>5118</v>
      </c>
      <c r="L39" s="296" t="s">
        <v>5119</v>
      </c>
      <c r="M39" s="296" t="s">
        <v>5120</v>
      </c>
      <c r="N39" s="298" t="s">
        <v>5121</v>
      </c>
    </row>
    <row r="40" spans="1:14" ht="110" customHeight="1">
      <c r="A40" s="305"/>
      <c r="B40" s="296" t="s">
        <v>5122</v>
      </c>
      <c r="C40" s="296" t="s">
        <v>5115</v>
      </c>
      <c r="D40" s="297" t="s">
        <v>4279</v>
      </c>
      <c r="E40" s="296" t="s">
        <v>5123</v>
      </c>
      <c r="F40" s="296" t="s">
        <v>5124</v>
      </c>
      <c r="G40" s="296"/>
      <c r="H40" s="296"/>
      <c r="I40" s="296"/>
      <c r="J40" s="296"/>
      <c r="K40" s="296" t="s">
        <v>5121</v>
      </c>
      <c r="L40" s="296" t="s">
        <v>5125</v>
      </c>
      <c r="M40" s="296" t="s">
        <v>5126</v>
      </c>
      <c r="N40" s="298" t="s">
        <v>5121</v>
      </c>
    </row>
    <row r="41" spans="1:14" ht="110" customHeight="1">
      <c r="A41" s="305"/>
      <c r="B41" s="296" t="s">
        <v>5127</v>
      </c>
      <c r="C41" s="296" t="s">
        <v>5115</v>
      </c>
      <c r="D41" s="297" t="s">
        <v>4279</v>
      </c>
      <c r="E41" s="296" t="s">
        <v>5128</v>
      </c>
      <c r="F41" s="296" t="s">
        <v>5129</v>
      </c>
      <c r="G41" s="296"/>
      <c r="H41" s="296"/>
      <c r="I41" s="296"/>
      <c r="J41" s="296"/>
      <c r="K41" s="296" t="s">
        <v>5130</v>
      </c>
      <c r="L41" s="296" t="s">
        <v>5131</v>
      </c>
      <c r="M41" s="296" t="s">
        <v>5132</v>
      </c>
      <c r="N41" s="298" t="s">
        <v>5133</v>
      </c>
    </row>
    <row r="42" spans="1:14" ht="110" customHeight="1">
      <c r="A42" s="306"/>
      <c r="B42" s="299" t="s">
        <v>5134</v>
      </c>
      <c r="C42" s="299" t="s">
        <v>5115</v>
      </c>
      <c r="D42" s="300" t="s">
        <v>4279</v>
      </c>
      <c r="E42" s="299" t="s">
        <v>5135</v>
      </c>
      <c r="F42" s="299" t="s">
        <v>5136</v>
      </c>
      <c r="G42" s="299"/>
      <c r="H42" s="299"/>
      <c r="I42" s="299"/>
      <c r="J42" s="299"/>
      <c r="K42" s="299" t="s">
        <v>5137</v>
      </c>
      <c r="L42" s="299" t="s">
        <v>5138</v>
      </c>
      <c r="M42" s="299" t="s">
        <v>5139</v>
      </c>
      <c r="N42" s="301" t="s">
        <v>5140</v>
      </c>
    </row>
    <row r="43" spans="1:14" ht="110" customHeight="1">
      <c r="A43" s="306">
        <v>1</v>
      </c>
      <c r="B43" s="299" t="s">
        <v>5144</v>
      </c>
      <c r="C43" s="299" t="s">
        <v>5145</v>
      </c>
      <c r="D43" s="300" t="s">
        <v>4278</v>
      </c>
      <c r="E43" s="299" t="s">
        <v>5146</v>
      </c>
      <c r="F43" s="299" t="s">
        <v>5147</v>
      </c>
      <c r="G43" s="299"/>
      <c r="H43" s="299"/>
      <c r="I43" s="299"/>
      <c r="J43" s="299"/>
      <c r="K43" s="299" t="s">
        <v>5148</v>
      </c>
      <c r="L43" s="299" t="s">
        <v>5149</v>
      </c>
      <c r="M43" s="299" t="s">
        <v>5150</v>
      </c>
      <c r="N43" s="301" t="s">
        <v>5151</v>
      </c>
    </row>
    <row r="44" spans="1:14" ht="110" customHeight="1">
      <c r="A44" s="306">
        <v>14</v>
      </c>
      <c r="B44" s="299" t="s">
        <v>5152</v>
      </c>
      <c r="C44" s="299" t="s">
        <v>5145</v>
      </c>
      <c r="D44" s="300" t="s">
        <v>4278</v>
      </c>
      <c r="E44" s="299" t="s">
        <v>5153</v>
      </c>
      <c r="F44" s="299" t="s">
        <v>5154</v>
      </c>
      <c r="G44" s="299"/>
      <c r="H44" s="299"/>
      <c r="I44" s="299"/>
      <c r="J44" s="299"/>
      <c r="K44" s="299" t="s">
        <v>5155</v>
      </c>
      <c r="L44" s="299" t="s">
        <v>5156</v>
      </c>
      <c r="M44" s="299" t="s">
        <v>5157</v>
      </c>
      <c r="N44" s="301" t="s">
        <v>5158</v>
      </c>
    </row>
    <row r="45" spans="1:14" ht="110" customHeight="1">
      <c r="A45" s="306">
        <v>5</v>
      </c>
      <c r="B45" s="299" t="s">
        <v>5159</v>
      </c>
      <c r="C45" s="299" t="s">
        <v>5145</v>
      </c>
      <c r="D45" s="300" t="s">
        <v>4278</v>
      </c>
      <c r="E45" s="299" t="s">
        <v>5160</v>
      </c>
      <c r="F45" s="299" t="s">
        <v>5161</v>
      </c>
      <c r="G45" s="299"/>
      <c r="H45" s="299"/>
      <c r="I45" s="299"/>
      <c r="J45" s="299"/>
      <c r="K45" s="299" t="s">
        <v>5162</v>
      </c>
      <c r="L45" s="299" t="s">
        <v>5163</v>
      </c>
      <c r="M45" s="299" t="s">
        <v>5164</v>
      </c>
      <c r="N45" s="301" t="s">
        <v>5165</v>
      </c>
    </row>
    <row r="46" spans="1:14" ht="110" customHeight="1">
      <c r="A46" s="306">
        <v>6</v>
      </c>
      <c r="B46" s="299" t="s">
        <v>5166</v>
      </c>
      <c r="C46" s="299" t="s">
        <v>5145</v>
      </c>
      <c r="D46" s="300" t="s">
        <v>4279</v>
      </c>
      <c r="E46" s="299" t="s">
        <v>5167</v>
      </c>
      <c r="F46" s="299" t="s">
        <v>5168</v>
      </c>
      <c r="G46" s="299"/>
      <c r="H46" s="299"/>
      <c r="I46" s="299"/>
      <c r="J46" s="299"/>
      <c r="K46" s="299" t="s">
        <v>5169</v>
      </c>
      <c r="L46" s="299" t="s">
        <v>5170</v>
      </c>
      <c r="M46" s="299" t="s">
        <v>5171</v>
      </c>
      <c r="N46" s="301" t="s">
        <v>5172</v>
      </c>
    </row>
    <row r="47" spans="1:14" ht="110" customHeight="1">
      <c r="A47" s="306">
        <v>15</v>
      </c>
      <c r="B47" s="299" t="s">
        <v>5173</v>
      </c>
      <c r="C47" s="299" t="s">
        <v>5145</v>
      </c>
      <c r="D47" s="300" t="s">
        <v>4279</v>
      </c>
      <c r="E47" s="299" t="s">
        <v>5174</v>
      </c>
      <c r="F47" s="299" t="s">
        <v>5175</v>
      </c>
      <c r="G47" s="299"/>
      <c r="H47" s="299"/>
      <c r="I47" s="299"/>
      <c r="J47" s="299"/>
      <c r="K47" s="299" t="s">
        <v>5176</v>
      </c>
      <c r="L47" s="299" t="s">
        <v>5177</v>
      </c>
      <c r="M47" s="299" t="s">
        <v>5105</v>
      </c>
      <c r="N47" s="301" t="s">
        <v>5106</v>
      </c>
    </row>
    <row r="48" spans="1:14" ht="110" customHeight="1">
      <c r="A48" s="306">
        <v>16</v>
      </c>
      <c r="B48" s="299" t="s">
        <v>5178</v>
      </c>
      <c r="C48" s="299" t="s">
        <v>5145</v>
      </c>
      <c r="D48" s="300" t="s">
        <v>4279</v>
      </c>
      <c r="E48" s="299" t="s">
        <v>5179</v>
      </c>
      <c r="F48" s="299" t="s">
        <v>5180</v>
      </c>
      <c r="G48" s="299"/>
      <c r="H48" s="299"/>
      <c r="I48" s="299"/>
      <c r="J48" s="299"/>
      <c r="K48" s="299" t="s">
        <v>5181</v>
      </c>
      <c r="L48" s="299" t="s">
        <v>5182</v>
      </c>
      <c r="M48" s="299" t="s">
        <v>5183</v>
      </c>
      <c r="N48" s="301" t="s">
        <v>4919</v>
      </c>
    </row>
  </sheetData>
  <autoFilter ref="A5:N48" xr:uid="{C47BDEA2-3270-2C42-9A1D-C11A5668D48E}"/>
  <phoneticPr fontId="2"/>
  <conditionalFormatting sqref="D6:D48">
    <cfRule type="expression" dxfId="42" priority="1">
      <formula>$D6="最優先"</formula>
    </cfRule>
  </conditionalFormatting>
  <conditionalFormatting sqref="D6:D48">
    <cfRule type="expression" dxfId="41" priority="2">
      <formula>$D6="通常"</formula>
    </cfRule>
  </conditionalFormatting>
  <conditionalFormatting sqref="D6:D48">
    <cfRule type="expression" dxfId="40" priority="3">
      <formula>$D6="後回し可"</formula>
    </cfRule>
  </conditionalFormatting>
  <conditionalFormatting sqref="A6:A48">
    <cfRule type="expression" dxfId="39" priority="4">
      <formula>$A6&lt;&gt;""</formula>
    </cfRule>
  </conditionalFormatting>
  <conditionalFormatting sqref="B6:C48">
    <cfRule type="expression" dxfId="38" priority="5">
      <formula>$C6="G 事例・構成レビュー"</formula>
    </cfRule>
  </conditionalFormatting>
  <conditionalFormatting sqref="B6:C48">
    <cfRule type="expression" dxfId="37" priority="6">
      <formula>$C6="B RHBK本体・SPI"</formula>
    </cfRule>
  </conditionalFormatting>
  <conditionalFormatting sqref="B6:C48">
    <cfRule type="expression" dxfId="36" priority="7">
      <formula>$C6="D セキュリティ"</formula>
    </cfRule>
  </conditionalFormatting>
  <conditionalFormatting sqref="B6:C48">
    <cfRule type="expression" dxfId="35" priority="8">
      <formula>$C6="F 運用・監視"</formula>
    </cfRule>
  </conditionalFormatting>
  <pageMargins left="0.7" right="0.7" top="0.75" bottom="0.75" header="0.3" footer="0.3"/>
  <pageSetup paperSize="9" scale="45" fitToHeight="0" orientation="landscape" horizontalDpi="0" verticalDpi="0"/>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1DEA736-EDAA-9947-B0C0-FA0A6CD7829D}">
  <sheetPr>
    <pageSetUpPr fitToPage="1"/>
  </sheetPr>
  <dimension ref="A1:C47"/>
  <sheetViews>
    <sheetView workbookViewId="0"/>
  </sheetViews>
  <sheetFormatPr baseColWidth="10" defaultRowHeight="20"/>
  <cols>
    <col min="1" max="1" width="13.5703125" customWidth="1"/>
    <col min="2" max="2" width="54.28515625" customWidth="1"/>
    <col min="3" max="3" width="74.28515625" customWidth="1"/>
  </cols>
  <sheetData>
    <row r="1" spans="1:3">
      <c r="A1" s="236" t="s">
        <v>5184</v>
      </c>
      <c r="B1" s="32"/>
      <c r="C1" s="32"/>
    </row>
    <row r="2" spans="1:3">
      <c r="A2" s="61" t="s">
        <v>5187</v>
      </c>
      <c r="B2" s="32"/>
      <c r="C2" s="32"/>
    </row>
    <row r="3" spans="1:3">
      <c r="A3" s="32"/>
      <c r="B3" s="32"/>
      <c r="C3" s="32"/>
    </row>
    <row r="4" spans="1:3">
      <c r="A4" s="291" t="s">
        <v>4874</v>
      </c>
      <c r="B4" s="292" t="s">
        <v>5141</v>
      </c>
      <c r="C4" s="302" t="s">
        <v>5142</v>
      </c>
    </row>
    <row r="5" spans="1:3" ht="120" customHeight="1">
      <c r="A5" s="307" t="s">
        <v>4885</v>
      </c>
      <c r="B5" s="135" t="s">
        <v>4887</v>
      </c>
      <c r="C5" s="303" t="s">
        <v>4888</v>
      </c>
    </row>
    <row r="6" spans="1:3" ht="120" customHeight="1">
      <c r="A6" s="307" t="s">
        <v>4893</v>
      </c>
      <c r="B6" s="135" t="s">
        <v>4894</v>
      </c>
      <c r="C6" s="303" t="s">
        <v>4895</v>
      </c>
    </row>
    <row r="7" spans="1:3" ht="120" customHeight="1">
      <c r="A7" s="307" t="s">
        <v>4900</v>
      </c>
      <c r="B7" s="135" t="s">
        <v>4901</v>
      </c>
      <c r="C7" s="303" t="s">
        <v>4902</v>
      </c>
    </row>
    <row r="8" spans="1:3" ht="120" customHeight="1">
      <c r="A8" s="307" t="s">
        <v>4907</v>
      </c>
      <c r="B8" s="135" t="s">
        <v>4908</v>
      </c>
      <c r="C8" s="303" t="s">
        <v>4909</v>
      </c>
    </row>
    <row r="9" spans="1:3" ht="120" customHeight="1">
      <c r="A9" s="307" t="s">
        <v>4913</v>
      </c>
      <c r="B9" s="135" t="s">
        <v>4914</v>
      </c>
      <c r="C9" s="303" t="s">
        <v>4915</v>
      </c>
    </row>
    <row r="10" spans="1:3" ht="120" customHeight="1">
      <c r="A10" s="307" t="s">
        <v>4920</v>
      </c>
      <c r="B10" s="135" t="s">
        <v>4921</v>
      </c>
      <c r="C10" s="303" t="s">
        <v>4922</v>
      </c>
    </row>
    <row r="11" spans="1:3" ht="120" customHeight="1">
      <c r="A11" s="307" t="s">
        <v>4927</v>
      </c>
      <c r="B11" s="135" t="s">
        <v>4928</v>
      </c>
      <c r="C11" s="303" t="s">
        <v>4929</v>
      </c>
    </row>
    <row r="12" spans="1:3" ht="120" customHeight="1">
      <c r="A12" s="307" t="s">
        <v>4934</v>
      </c>
      <c r="B12" s="135" t="s">
        <v>4936</v>
      </c>
      <c r="C12" s="303" t="s">
        <v>4937</v>
      </c>
    </row>
    <row r="13" spans="1:3" ht="120" customHeight="1">
      <c r="A13" s="307" t="s">
        <v>4942</v>
      </c>
      <c r="B13" s="135" t="s">
        <v>4943</v>
      </c>
      <c r="C13" s="303" t="s">
        <v>4944</v>
      </c>
    </row>
    <row r="14" spans="1:3" ht="120" customHeight="1">
      <c r="A14" s="307" t="s">
        <v>4949</v>
      </c>
      <c r="B14" s="135" t="s">
        <v>4950</v>
      </c>
      <c r="C14" s="303" t="s">
        <v>4951</v>
      </c>
    </row>
    <row r="15" spans="1:3" ht="120" customHeight="1">
      <c r="A15" s="307" t="s">
        <v>4955</v>
      </c>
      <c r="B15" s="135" t="s">
        <v>4956</v>
      </c>
      <c r="C15" s="303" t="s">
        <v>4957</v>
      </c>
    </row>
    <row r="16" spans="1:3" ht="120" customHeight="1">
      <c r="A16" s="307" t="s">
        <v>4962</v>
      </c>
      <c r="B16" s="135" t="s">
        <v>4963</v>
      </c>
      <c r="C16" s="303" t="s">
        <v>4964</v>
      </c>
    </row>
    <row r="17" spans="1:3" ht="120" customHeight="1">
      <c r="A17" s="307" t="s">
        <v>4968</v>
      </c>
      <c r="B17" s="135" t="s">
        <v>4969</v>
      </c>
      <c r="C17" s="303" t="s">
        <v>4970</v>
      </c>
    </row>
    <row r="18" spans="1:3" ht="120" customHeight="1">
      <c r="A18" s="307" t="s">
        <v>4975</v>
      </c>
      <c r="B18" s="135" t="s">
        <v>4976</v>
      </c>
      <c r="C18" s="303" t="s">
        <v>4977</v>
      </c>
    </row>
    <row r="19" spans="1:3" ht="120" customHeight="1">
      <c r="A19" s="307" t="s">
        <v>4982</v>
      </c>
      <c r="B19" s="135" t="s">
        <v>4983</v>
      </c>
      <c r="C19" s="303" t="s">
        <v>4984</v>
      </c>
    </row>
    <row r="20" spans="1:3" ht="120" customHeight="1">
      <c r="A20" s="307" t="s">
        <v>4989</v>
      </c>
      <c r="B20" s="135" t="s">
        <v>4991</v>
      </c>
      <c r="C20" s="303" t="s">
        <v>4992</v>
      </c>
    </row>
    <row r="21" spans="1:3" ht="120" customHeight="1">
      <c r="A21" s="307" t="s">
        <v>4996</v>
      </c>
      <c r="B21" s="135" t="s">
        <v>4997</v>
      </c>
      <c r="C21" s="303" t="s">
        <v>4998</v>
      </c>
    </row>
    <row r="22" spans="1:3" ht="120" customHeight="1">
      <c r="A22" s="307" t="s">
        <v>5003</v>
      </c>
      <c r="B22" s="135" t="s">
        <v>5004</v>
      </c>
      <c r="C22" s="303" t="s">
        <v>5005</v>
      </c>
    </row>
    <row r="23" spans="1:3" ht="120" customHeight="1">
      <c r="A23" s="307" t="s">
        <v>5010</v>
      </c>
      <c r="B23" s="135" t="s">
        <v>5011</v>
      </c>
      <c r="C23" s="303" t="s">
        <v>5012</v>
      </c>
    </row>
    <row r="24" spans="1:3" ht="120" customHeight="1">
      <c r="A24" s="307" t="s">
        <v>5017</v>
      </c>
      <c r="B24" s="135" t="s">
        <v>5018</v>
      </c>
      <c r="C24" s="303" t="s">
        <v>5019</v>
      </c>
    </row>
    <row r="25" spans="1:3" ht="120" customHeight="1">
      <c r="A25" s="307" t="s">
        <v>5024</v>
      </c>
      <c r="B25" s="135" t="s">
        <v>5025</v>
      </c>
      <c r="C25" s="303" t="s">
        <v>5026</v>
      </c>
    </row>
    <row r="26" spans="1:3" ht="120" customHeight="1">
      <c r="A26" s="307" t="s">
        <v>5031</v>
      </c>
      <c r="B26" s="135" t="s">
        <v>5033</v>
      </c>
      <c r="C26" s="303" t="s">
        <v>5034</v>
      </c>
    </row>
    <row r="27" spans="1:3" ht="120" customHeight="1">
      <c r="A27" s="307" t="s">
        <v>5039</v>
      </c>
      <c r="B27" s="135" t="s">
        <v>5040</v>
      </c>
      <c r="C27" s="303" t="s">
        <v>5041</v>
      </c>
    </row>
    <row r="28" spans="1:3" ht="120" customHeight="1">
      <c r="A28" s="307" t="s">
        <v>5046</v>
      </c>
      <c r="B28" s="135" t="s">
        <v>5047</v>
      </c>
      <c r="C28" s="303" t="s">
        <v>5048</v>
      </c>
    </row>
    <row r="29" spans="1:3" ht="120" customHeight="1">
      <c r="A29" s="307" t="s">
        <v>5052</v>
      </c>
      <c r="B29" s="135" t="s">
        <v>5053</v>
      </c>
      <c r="C29" s="303" t="s">
        <v>5054</v>
      </c>
    </row>
    <row r="30" spans="1:3" ht="120" customHeight="1">
      <c r="A30" s="307" t="s">
        <v>5059</v>
      </c>
      <c r="B30" s="135" t="s">
        <v>5060</v>
      </c>
      <c r="C30" s="303" t="s">
        <v>5061</v>
      </c>
    </row>
    <row r="31" spans="1:3" ht="120" customHeight="1">
      <c r="A31" s="307" t="s">
        <v>5066</v>
      </c>
      <c r="B31" s="135" t="s">
        <v>5067</v>
      </c>
      <c r="C31" s="303" t="s">
        <v>5068</v>
      </c>
    </row>
    <row r="32" spans="1:3" ht="120" customHeight="1">
      <c r="A32" s="307" t="s">
        <v>5073</v>
      </c>
      <c r="B32" s="135" t="s">
        <v>5074</v>
      </c>
      <c r="C32" s="303" t="s">
        <v>5075</v>
      </c>
    </row>
    <row r="33" spans="1:3" ht="120" customHeight="1">
      <c r="A33" s="307" t="s">
        <v>5080</v>
      </c>
      <c r="B33" s="135" t="s">
        <v>5082</v>
      </c>
      <c r="C33" s="303" t="s">
        <v>5083</v>
      </c>
    </row>
    <row r="34" spans="1:3" ht="120" customHeight="1">
      <c r="A34" s="307" t="s">
        <v>5088</v>
      </c>
      <c r="B34" s="135" t="s">
        <v>5089</v>
      </c>
      <c r="C34" s="303" t="s">
        <v>5090</v>
      </c>
    </row>
    <row r="35" spans="1:3" ht="120" customHeight="1">
      <c r="A35" s="307" t="s">
        <v>5094</v>
      </c>
      <c r="B35" s="135" t="s">
        <v>5095</v>
      </c>
      <c r="C35" s="303" t="s">
        <v>5096</v>
      </c>
    </row>
    <row r="36" spans="1:3" ht="120" customHeight="1">
      <c r="A36" s="307" t="s">
        <v>5100</v>
      </c>
      <c r="B36" s="135" t="s">
        <v>5101</v>
      </c>
      <c r="C36" s="303" t="s">
        <v>5102</v>
      </c>
    </row>
    <row r="37" spans="1:3" ht="120" customHeight="1">
      <c r="A37" s="307" t="s">
        <v>5107</v>
      </c>
      <c r="B37" s="135" t="s">
        <v>5108</v>
      </c>
      <c r="C37" s="303" t="s">
        <v>5109</v>
      </c>
    </row>
    <row r="38" spans="1:3" ht="120" customHeight="1">
      <c r="A38" s="307" t="s">
        <v>5114</v>
      </c>
      <c r="B38" s="135" t="s">
        <v>5116</v>
      </c>
      <c r="C38" s="303" t="s">
        <v>5117</v>
      </c>
    </row>
    <row r="39" spans="1:3" ht="120" customHeight="1">
      <c r="A39" s="307" t="s">
        <v>5122</v>
      </c>
      <c r="B39" s="135" t="s">
        <v>5123</v>
      </c>
      <c r="C39" s="303" t="s">
        <v>5124</v>
      </c>
    </row>
    <row r="40" spans="1:3" ht="120" customHeight="1">
      <c r="A40" s="307" t="s">
        <v>5127</v>
      </c>
      <c r="B40" s="135" t="s">
        <v>5128</v>
      </c>
      <c r="C40" s="303" t="s">
        <v>5129</v>
      </c>
    </row>
    <row r="41" spans="1:3" ht="120" customHeight="1">
      <c r="A41" s="307" t="s">
        <v>5134</v>
      </c>
      <c r="B41" s="135" t="s">
        <v>5135</v>
      </c>
      <c r="C41" s="303" t="s">
        <v>5136</v>
      </c>
    </row>
    <row r="42" spans="1:3" ht="120" customHeight="1">
      <c r="A42" s="307" t="s">
        <v>5144</v>
      </c>
      <c r="B42" s="135" t="s">
        <v>5146</v>
      </c>
      <c r="C42" s="303" t="s">
        <v>5147</v>
      </c>
    </row>
    <row r="43" spans="1:3" ht="120" customHeight="1">
      <c r="A43" s="307" t="s">
        <v>5152</v>
      </c>
      <c r="B43" s="135" t="s">
        <v>5153</v>
      </c>
      <c r="C43" s="303" t="s">
        <v>5154</v>
      </c>
    </row>
    <row r="44" spans="1:3" ht="120" customHeight="1">
      <c r="A44" s="307" t="s">
        <v>5159</v>
      </c>
      <c r="B44" s="135" t="s">
        <v>5160</v>
      </c>
      <c r="C44" s="303" t="s">
        <v>5161</v>
      </c>
    </row>
    <row r="45" spans="1:3" ht="120" customHeight="1">
      <c r="A45" s="307" t="s">
        <v>5166</v>
      </c>
      <c r="B45" s="135" t="s">
        <v>5167</v>
      </c>
      <c r="C45" s="303" t="s">
        <v>5168</v>
      </c>
    </row>
    <row r="46" spans="1:3" ht="120" customHeight="1">
      <c r="A46" s="307" t="s">
        <v>5173</v>
      </c>
      <c r="B46" s="135" t="s">
        <v>5174</v>
      </c>
      <c r="C46" s="303" t="s">
        <v>5175</v>
      </c>
    </row>
    <row r="47" spans="1:3" ht="120" customHeight="1">
      <c r="A47" s="307" t="s">
        <v>5178</v>
      </c>
      <c r="B47" s="135" t="s">
        <v>5179</v>
      </c>
      <c r="C47" s="303" t="s">
        <v>5180</v>
      </c>
    </row>
  </sheetData>
  <phoneticPr fontId="2"/>
  <pageMargins left="0.7" right="0.7" top="0.75" bottom="0.75" header="0.3" footer="0.3"/>
  <pageSetup paperSize="9" scale="50" fitToHeight="0" orientation="portrait" horizontalDpi="0" verticalDpi="0"/>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1578FE6-5AF7-D445-B4F3-9D8EB4ACAC69}">
  <sheetPr>
    <pageSetUpPr fitToPage="1"/>
  </sheetPr>
  <dimension ref="A1:O13"/>
  <sheetViews>
    <sheetView topLeftCell="D1" zoomScale="131" workbookViewId="0">
      <pane ySplit="6" topLeftCell="A7" activePane="bottomLeft" state="frozen"/>
      <selection pane="bottomLeft" activeCell="E8" sqref="E8"/>
    </sheetView>
  </sheetViews>
  <sheetFormatPr baseColWidth="10" defaultRowHeight="20" outlineLevelCol="1"/>
  <cols>
    <col min="1" max="1" width="13.5703125" customWidth="1"/>
    <col min="2" max="2" width="12.85546875" customWidth="1"/>
    <col min="3" max="3" width="10" customWidth="1"/>
    <col min="4" max="4" width="48.5703125" customWidth="1"/>
    <col min="5" max="5" width="65.7109375" customWidth="1"/>
    <col min="6" max="6" width="37.140625" customWidth="1"/>
    <col min="7" max="7" width="11.42578125" customWidth="1"/>
    <col min="8" max="8" width="12.85546875" customWidth="1"/>
    <col min="9" max="9" width="20" customWidth="1"/>
    <col min="10" max="10" width="28.5703125" customWidth="1" outlineLevel="1"/>
    <col min="11" max="11" width="40" customWidth="1" outlineLevel="1"/>
    <col min="12" max="12" width="34.28515625" customWidth="1" outlineLevel="1"/>
    <col min="13" max="13" width="42.85546875" customWidth="1" outlineLevel="1"/>
    <col min="14" max="14" width="15.7109375" customWidth="1"/>
    <col min="15" max="15" width="18.5703125" customWidth="1"/>
  </cols>
  <sheetData>
    <row r="1" spans="1:15">
      <c r="A1" s="236" t="s">
        <v>5188</v>
      </c>
      <c r="B1" s="32"/>
      <c r="C1" s="32"/>
      <c r="D1" s="32"/>
      <c r="E1" s="32"/>
      <c r="F1" s="32"/>
      <c r="G1" s="32"/>
      <c r="H1" s="32"/>
      <c r="I1" s="32"/>
      <c r="J1" s="32"/>
      <c r="K1" s="32"/>
      <c r="L1" s="32"/>
      <c r="M1" s="32"/>
    </row>
    <row r="2" spans="1:15">
      <c r="A2" s="290" t="s">
        <v>5189</v>
      </c>
      <c r="B2" s="32"/>
      <c r="C2" s="32"/>
      <c r="D2" s="32"/>
      <c r="E2" s="32"/>
      <c r="F2" s="32"/>
      <c r="G2" s="32"/>
      <c r="H2" s="32"/>
      <c r="I2" s="32"/>
      <c r="J2" s="32"/>
      <c r="K2" s="32"/>
      <c r="L2" s="32"/>
      <c r="M2" s="32"/>
    </row>
    <row r="3" spans="1:15">
      <c r="A3" s="304" t="s">
        <v>5190</v>
      </c>
      <c r="B3" s="32"/>
      <c r="C3" s="32"/>
      <c r="D3" s="32"/>
      <c r="E3" s="32"/>
      <c r="F3" s="32"/>
      <c r="G3" s="32"/>
      <c r="H3" s="32"/>
      <c r="I3" s="32"/>
      <c r="J3" s="32"/>
      <c r="K3" s="32"/>
      <c r="L3" s="32"/>
      <c r="M3" s="32"/>
    </row>
    <row r="4" spans="1:15">
      <c r="A4" s="78" t="s">
        <v>5191</v>
      </c>
      <c r="B4" s="32"/>
      <c r="C4" s="32"/>
      <c r="D4" s="32"/>
      <c r="E4" s="32"/>
      <c r="F4" s="32"/>
      <c r="G4" s="32"/>
      <c r="H4" s="32"/>
      <c r="I4" s="32"/>
      <c r="J4" s="32"/>
      <c r="K4" s="32"/>
      <c r="L4" s="32"/>
      <c r="M4" s="32"/>
    </row>
    <row r="5" spans="1:15">
      <c r="A5" s="310" t="s">
        <v>5294</v>
      </c>
      <c r="B5" s="32"/>
      <c r="C5" s="32"/>
      <c r="D5" s="32"/>
      <c r="E5" s="32"/>
      <c r="F5" s="32"/>
      <c r="G5" s="32"/>
      <c r="H5" s="32"/>
      <c r="I5" s="32"/>
      <c r="J5" s="32"/>
      <c r="K5" s="32"/>
      <c r="L5" s="32"/>
      <c r="M5" s="32"/>
    </row>
    <row r="6" spans="1:15">
      <c r="A6" s="291" t="s">
        <v>5192</v>
      </c>
      <c r="B6" s="292" t="s">
        <v>5193</v>
      </c>
      <c r="C6" s="292" t="s">
        <v>4875</v>
      </c>
      <c r="D6" s="292" t="s">
        <v>4876</v>
      </c>
      <c r="E6" s="292" t="s">
        <v>4877</v>
      </c>
      <c r="F6" s="293" t="s">
        <v>4878</v>
      </c>
      <c r="G6" s="293" t="s">
        <v>4879</v>
      </c>
      <c r="H6" s="293" t="s">
        <v>4880</v>
      </c>
      <c r="I6" s="293" t="s">
        <v>5194</v>
      </c>
      <c r="J6" s="294" t="s">
        <v>4882</v>
      </c>
      <c r="K6" s="294" t="s">
        <v>4883</v>
      </c>
      <c r="L6" s="294" t="s">
        <v>4884</v>
      </c>
      <c r="M6" s="308" t="s">
        <v>5195</v>
      </c>
      <c r="N6" s="309" t="s">
        <v>5248</v>
      </c>
      <c r="O6" s="309" t="s">
        <v>5249</v>
      </c>
    </row>
    <row r="7" spans="1:15" ht="140" customHeight="1">
      <c r="A7" s="305" t="s">
        <v>5196</v>
      </c>
      <c r="B7" s="297" t="s">
        <v>5197</v>
      </c>
      <c r="C7" s="297" t="s">
        <v>4278</v>
      </c>
      <c r="D7" s="296" t="s">
        <v>5198</v>
      </c>
      <c r="E7" s="296" t="s">
        <v>5199</v>
      </c>
      <c r="F7" s="296"/>
      <c r="G7" s="296"/>
      <c r="H7" s="296"/>
      <c r="I7" s="297"/>
      <c r="J7" s="296" t="s">
        <v>5200</v>
      </c>
      <c r="K7" s="296" t="s">
        <v>5201</v>
      </c>
      <c r="L7" s="296" t="s">
        <v>5202</v>
      </c>
      <c r="M7" s="298" t="s">
        <v>5203</v>
      </c>
      <c r="N7" s="160" t="s">
        <v>5293</v>
      </c>
      <c r="O7" s="160" t="s">
        <v>5196</v>
      </c>
    </row>
    <row r="8" spans="1:15" ht="140" customHeight="1">
      <c r="A8" s="305" t="s">
        <v>5204</v>
      </c>
      <c r="B8" s="297" t="s">
        <v>5197</v>
      </c>
      <c r="C8" s="297" t="s">
        <v>4278</v>
      </c>
      <c r="D8" s="296" t="s">
        <v>5205</v>
      </c>
      <c r="E8" s="296" t="s">
        <v>5206</v>
      </c>
      <c r="F8" s="296"/>
      <c r="G8" s="296"/>
      <c r="H8" s="296"/>
      <c r="I8" s="297"/>
      <c r="J8" s="296" t="s">
        <v>5207</v>
      </c>
      <c r="K8" s="296" t="s">
        <v>5208</v>
      </c>
      <c r="L8" s="296" t="s">
        <v>5209</v>
      </c>
      <c r="M8" s="298" t="s">
        <v>5210</v>
      </c>
      <c r="N8" s="160" t="s">
        <v>5293</v>
      </c>
      <c r="O8" s="160" t="s">
        <v>5204</v>
      </c>
    </row>
    <row r="9" spans="1:15" ht="140" customHeight="1">
      <c r="A9" s="305" t="s">
        <v>5211</v>
      </c>
      <c r="B9" s="297" t="s">
        <v>5197</v>
      </c>
      <c r="C9" s="297" t="s">
        <v>4279</v>
      </c>
      <c r="D9" s="296" t="s">
        <v>5212</v>
      </c>
      <c r="E9" s="296" t="s">
        <v>5213</v>
      </c>
      <c r="F9" s="296"/>
      <c r="G9" s="296"/>
      <c r="H9" s="296"/>
      <c r="I9" s="297"/>
      <c r="J9" s="296" t="s">
        <v>5214</v>
      </c>
      <c r="K9" s="296" t="s">
        <v>5215</v>
      </c>
      <c r="L9" s="296" t="s">
        <v>5216</v>
      </c>
      <c r="M9" s="298" t="s">
        <v>5217</v>
      </c>
      <c r="N9" s="160" t="s">
        <v>5293</v>
      </c>
      <c r="O9" s="160" t="s">
        <v>5211</v>
      </c>
    </row>
    <row r="10" spans="1:15" ht="140" customHeight="1">
      <c r="A10" s="305" t="s">
        <v>5218</v>
      </c>
      <c r="B10" s="297" t="s">
        <v>5197</v>
      </c>
      <c r="C10" s="297" t="s">
        <v>4279</v>
      </c>
      <c r="D10" s="296" t="s">
        <v>5219</v>
      </c>
      <c r="E10" s="296" t="s">
        <v>5220</v>
      </c>
      <c r="F10" s="296"/>
      <c r="G10" s="296"/>
      <c r="H10" s="296"/>
      <c r="I10" s="297"/>
      <c r="J10" s="296" t="s">
        <v>5221</v>
      </c>
      <c r="K10" s="296" t="s">
        <v>5222</v>
      </c>
      <c r="L10" s="296" t="s">
        <v>5223</v>
      </c>
      <c r="M10" s="298" t="s">
        <v>5224</v>
      </c>
      <c r="N10" s="160" t="s">
        <v>5293</v>
      </c>
      <c r="O10" s="160" t="s">
        <v>5218</v>
      </c>
    </row>
    <row r="11" spans="1:15" ht="140" customHeight="1">
      <c r="A11" s="305" t="s">
        <v>5225</v>
      </c>
      <c r="B11" s="297" t="s">
        <v>5226</v>
      </c>
      <c r="C11" s="297" t="s">
        <v>4278</v>
      </c>
      <c r="D11" s="296" t="s">
        <v>5227</v>
      </c>
      <c r="E11" s="296" t="s">
        <v>5228</v>
      </c>
      <c r="F11" s="296"/>
      <c r="G11" s="296"/>
      <c r="H11" s="296"/>
      <c r="I11" s="297"/>
      <c r="J11" s="296" t="s">
        <v>5229</v>
      </c>
      <c r="K11" s="296" t="s">
        <v>5230</v>
      </c>
      <c r="L11" s="296" t="s">
        <v>5231</v>
      </c>
      <c r="M11" s="298" t="s">
        <v>5232</v>
      </c>
      <c r="N11" s="160" t="s">
        <v>5293</v>
      </c>
      <c r="O11" s="160" t="s">
        <v>5225</v>
      </c>
    </row>
    <row r="12" spans="1:15" ht="140" customHeight="1">
      <c r="A12" s="305" t="s">
        <v>5233</v>
      </c>
      <c r="B12" s="297" t="s">
        <v>5226</v>
      </c>
      <c r="C12" s="297" t="s">
        <v>4278</v>
      </c>
      <c r="D12" s="296" t="s">
        <v>5234</v>
      </c>
      <c r="E12" s="296" t="s">
        <v>5235</v>
      </c>
      <c r="F12" s="296"/>
      <c r="G12" s="296"/>
      <c r="H12" s="296"/>
      <c r="I12" s="297"/>
      <c r="J12" s="296" t="s">
        <v>5236</v>
      </c>
      <c r="K12" s="296" t="s">
        <v>5237</v>
      </c>
      <c r="L12" s="296" t="s">
        <v>5238</v>
      </c>
      <c r="M12" s="298" t="s">
        <v>5239</v>
      </c>
      <c r="N12" s="160" t="s">
        <v>5293</v>
      </c>
      <c r="O12" s="160" t="s">
        <v>5233</v>
      </c>
    </row>
    <row r="13" spans="1:15" ht="140" customHeight="1">
      <c r="A13" s="306" t="s">
        <v>5240</v>
      </c>
      <c r="B13" s="300" t="s">
        <v>5226</v>
      </c>
      <c r="C13" s="300" t="s">
        <v>4279</v>
      </c>
      <c r="D13" s="299" t="s">
        <v>5241</v>
      </c>
      <c r="E13" s="299" t="s">
        <v>5242</v>
      </c>
      <c r="F13" s="299"/>
      <c r="G13" s="299"/>
      <c r="H13" s="299"/>
      <c r="I13" s="300"/>
      <c r="J13" s="299" t="s">
        <v>5243</v>
      </c>
      <c r="K13" s="299" t="s">
        <v>5244</v>
      </c>
      <c r="L13" s="299" t="s">
        <v>5245</v>
      </c>
      <c r="M13" s="301" t="s">
        <v>5246</v>
      </c>
      <c r="N13" s="160" t="s">
        <v>5293</v>
      </c>
      <c r="O13" s="160" t="s">
        <v>5240</v>
      </c>
    </row>
  </sheetData>
  <autoFilter ref="A6:M13" xr:uid="{01578FE6-5AF7-D445-B4F3-9D8EB4ACAC69}"/>
  <phoneticPr fontId="2"/>
  <conditionalFormatting sqref="C7:C13">
    <cfRule type="expression" priority="1"/>
  </conditionalFormatting>
  <conditionalFormatting sqref="C7:C13">
    <cfRule type="expression" dxfId="34" priority="2">
      <formula>$C7="最優先"</formula>
    </cfRule>
  </conditionalFormatting>
  <conditionalFormatting sqref="C7:C13">
    <cfRule type="expression" dxfId="33" priority="3">
      <formula>$C7="通常"</formula>
    </cfRule>
  </conditionalFormatting>
  <conditionalFormatting sqref="B7:B13">
    <cfRule type="expression" dxfId="32" priority="4">
      <formula>$B7="アプリチーム"</formula>
    </cfRule>
  </conditionalFormatting>
  <conditionalFormatting sqref="B7:B13">
    <cfRule type="expression" dxfId="31" priority="5">
      <formula>$B7="事業側"</formula>
    </cfRule>
  </conditionalFormatting>
  <conditionalFormatting sqref="M7:M13">
    <cfRule type="expression" dxfId="30" priority="6">
      <formula>LEFT($M7,1)&lt;&gt;"—"</formula>
    </cfRule>
  </conditionalFormatting>
  <conditionalFormatting sqref="I7:I13">
    <cfRule type="expression" dxfId="29" priority="7">
      <formula>$I7="採用"</formula>
    </cfRule>
  </conditionalFormatting>
  <conditionalFormatting sqref="I7:I13">
    <cfRule type="expression" dxfId="28" priority="8">
      <formula>$I7="現行維持"</formula>
    </cfRule>
  </conditionalFormatting>
  <conditionalFormatting sqref="I7:I13">
    <cfRule type="expression" dxfId="27" priority="9">
      <formula>$I7="保留"</formula>
    </cfRule>
  </conditionalFormatting>
  <conditionalFormatting sqref="A7:A13">
    <cfRule type="expression" dxfId="26" priority="10">
      <formula>$A7="QA-BIND-06"</formula>
    </cfRule>
  </conditionalFormatting>
  <conditionalFormatting sqref="N7:N13">
    <cfRule type="expression" dxfId="25" priority="11">
      <formula>$N7="転記済み"</formula>
    </cfRule>
  </conditionalFormatting>
  <conditionalFormatting sqref="N7:N13">
    <cfRule type="expression" dxfId="24" priority="12">
      <formula>$N7="判定待ち"</formula>
    </cfRule>
  </conditionalFormatting>
  <dataValidations count="2">
    <dataValidation type="list" allowBlank="1" showInputMessage="1" showErrorMessage="1" sqref="I7:I13" xr:uid="{07B80213-E5C0-5841-93AB-C3A3C1F6D983}">
      <formula1>"採用,現行維持,保留"</formula1>
    </dataValidation>
    <dataValidation type="list" allowBlank="1" showInputMessage="1" showErrorMessage="1" sqref="N7:N13" xr:uid="{0DECEA2E-A448-9446-978D-FBAC90048722}">
      <formula1>"転記済み,判定待ち,転記不要"</formula1>
    </dataValidation>
  </dataValidations>
  <pageMargins left="0.7" right="0.7" top="0.75" bottom="0.75" header="0.3" footer="0.3"/>
  <pageSetup paperSize="9" scale="45" fitToHeight="0" orientation="landscape" horizontalDpi="0" verticalDpi="0"/>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C7312-1107-2C44-8AAA-D11AA53C6FA5}">
  <dimension ref="A1:F53"/>
  <sheetViews>
    <sheetView workbookViewId="0">
      <pane ySplit="7" topLeftCell="A8" activePane="bottomLeft" state="frozen"/>
      <selection pane="bottomLeft"/>
    </sheetView>
  </sheetViews>
  <sheetFormatPr baseColWidth="10" defaultRowHeight="20"/>
  <cols>
    <col min="1" max="1" width="12.85546875" customWidth="1"/>
    <col min="2" max="2" width="11.42578125" customWidth="1"/>
    <col min="3" max="4" width="61.42578125" customWidth="1"/>
    <col min="5" max="5" width="10" customWidth="1"/>
    <col min="6" max="6" width="11.42578125" customWidth="1"/>
  </cols>
  <sheetData>
    <row r="1" spans="1:6">
      <c r="A1" s="236" t="s">
        <v>6017</v>
      </c>
      <c r="B1" s="32"/>
      <c r="C1" s="32"/>
      <c r="D1" s="32"/>
      <c r="E1" s="32"/>
      <c r="F1" s="32"/>
    </row>
    <row r="2" spans="1:6">
      <c r="A2" s="61" t="s">
        <v>5934</v>
      </c>
      <c r="B2" s="32"/>
      <c r="C2" s="32"/>
      <c r="D2" s="32"/>
      <c r="E2" s="32"/>
      <c r="F2" s="32"/>
    </row>
    <row r="3" spans="1:6">
      <c r="A3" s="290" t="s">
        <v>6998</v>
      </c>
      <c r="B3" s="32"/>
      <c r="C3" s="32"/>
      <c r="D3" s="32"/>
      <c r="E3" s="32"/>
      <c r="F3" s="32"/>
    </row>
    <row r="4" spans="1:6">
      <c r="A4" s="290" t="s">
        <v>5935</v>
      </c>
      <c r="B4" s="32"/>
      <c r="C4" s="32"/>
      <c r="D4" s="32"/>
      <c r="E4" s="32"/>
      <c r="F4" s="32"/>
    </row>
    <row r="5" spans="1:6">
      <c r="A5" s="290" t="s">
        <v>6999</v>
      </c>
      <c r="B5" s="32"/>
      <c r="C5" s="32"/>
      <c r="D5" s="32"/>
      <c r="E5" s="32"/>
      <c r="F5" s="32"/>
    </row>
    <row r="6" spans="1:6">
      <c r="A6" s="290" t="s">
        <v>6018</v>
      </c>
      <c r="B6" s="32"/>
      <c r="C6" s="32"/>
      <c r="D6" s="32"/>
      <c r="E6" s="32"/>
      <c r="F6" s="32"/>
    </row>
    <row r="7" spans="1:6">
      <c r="A7" s="291" t="s">
        <v>2529</v>
      </c>
      <c r="B7" s="292" t="s">
        <v>5469</v>
      </c>
      <c r="C7" s="292" t="s">
        <v>5470</v>
      </c>
      <c r="D7" s="292" t="s">
        <v>5471</v>
      </c>
      <c r="E7" s="292" t="s">
        <v>5533</v>
      </c>
      <c r="F7" s="302" t="s">
        <v>666</v>
      </c>
    </row>
    <row r="8" spans="1:6" ht="40" customHeight="1">
      <c r="A8" s="356" t="s">
        <v>5936</v>
      </c>
      <c r="B8" s="137" t="s">
        <v>5472</v>
      </c>
      <c r="C8" s="296" t="s">
        <v>5473</v>
      </c>
      <c r="D8" s="296" t="s">
        <v>5474</v>
      </c>
      <c r="E8" s="137">
        <v>8</v>
      </c>
      <c r="F8" s="311" t="s">
        <v>5518</v>
      </c>
    </row>
    <row r="9" spans="1:6" ht="40" customHeight="1">
      <c r="A9" s="356" t="s">
        <v>5936</v>
      </c>
      <c r="B9" s="137" t="s">
        <v>5475</v>
      </c>
      <c r="C9" s="296" t="s">
        <v>5476</v>
      </c>
      <c r="D9" s="296" t="s">
        <v>5477</v>
      </c>
      <c r="E9" s="137">
        <v>5</v>
      </c>
      <c r="F9" s="311" t="s">
        <v>5518</v>
      </c>
    </row>
    <row r="10" spans="1:6" ht="40" customHeight="1">
      <c r="A10" s="356" t="s">
        <v>5936</v>
      </c>
      <c r="B10" s="137" t="s">
        <v>5478</v>
      </c>
      <c r="C10" s="296" t="s">
        <v>5479</v>
      </c>
      <c r="D10" s="296" t="s">
        <v>5480</v>
      </c>
      <c r="E10" s="137">
        <v>3</v>
      </c>
      <c r="F10" s="311" t="s">
        <v>5518</v>
      </c>
    </row>
    <row r="11" spans="1:6" ht="40" customHeight="1">
      <c r="A11" s="356" t="s">
        <v>5936</v>
      </c>
      <c r="B11" s="137" t="s">
        <v>5481</v>
      </c>
      <c r="C11" s="296" t="s">
        <v>5482</v>
      </c>
      <c r="D11" s="296" t="s">
        <v>5483</v>
      </c>
      <c r="E11" s="137">
        <v>3</v>
      </c>
      <c r="F11" s="311" t="s">
        <v>5518</v>
      </c>
    </row>
    <row r="12" spans="1:6" ht="40" customHeight="1">
      <c r="A12" s="356" t="s">
        <v>5936</v>
      </c>
      <c r="B12" s="137" t="s">
        <v>5484</v>
      </c>
      <c r="C12" s="296" t="s">
        <v>5485</v>
      </c>
      <c r="D12" s="296" t="s">
        <v>5486</v>
      </c>
      <c r="E12" s="137">
        <v>2</v>
      </c>
      <c r="F12" s="311" t="s">
        <v>5518</v>
      </c>
    </row>
    <row r="13" spans="1:6" ht="40" customHeight="1">
      <c r="A13" s="356" t="s">
        <v>5936</v>
      </c>
      <c r="B13" s="137" t="s">
        <v>5487</v>
      </c>
      <c r="C13" s="296" t="s">
        <v>5488</v>
      </c>
      <c r="D13" s="296" t="s">
        <v>5489</v>
      </c>
      <c r="E13" s="137">
        <v>3</v>
      </c>
      <c r="F13" s="311" t="s">
        <v>5518</v>
      </c>
    </row>
    <row r="14" spans="1:6" ht="40" customHeight="1">
      <c r="A14" s="356" t="s">
        <v>5936</v>
      </c>
      <c r="B14" s="137" t="s">
        <v>5490</v>
      </c>
      <c r="C14" s="296" t="s">
        <v>5491</v>
      </c>
      <c r="D14" s="296" t="s">
        <v>5492</v>
      </c>
      <c r="E14" s="137">
        <v>3</v>
      </c>
      <c r="F14" s="311" t="s">
        <v>5518</v>
      </c>
    </row>
    <row r="15" spans="1:6" ht="40" customHeight="1">
      <c r="A15" s="356" t="s">
        <v>5936</v>
      </c>
      <c r="B15" s="137" t="s">
        <v>5493</v>
      </c>
      <c r="C15" s="296" t="s">
        <v>5494</v>
      </c>
      <c r="D15" s="296" t="s">
        <v>5495</v>
      </c>
      <c r="E15" s="137">
        <v>6</v>
      </c>
      <c r="F15" s="311" t="s">
        <v>5518</v>
      </c>
    </row>
    <row r="16" spans="1:6" ht="40" customHeight="1">
      <c r="A16" s="356" t="s">
        <v>5936</v>
      </c>
      <c r="B16" s="137" t="s">
        <v>5496</v>
      </c>
      <c r="C16" s="296" t="s">
        <v>5497</v>
      </c>
      <c r="D16" s="296" t="s">
        <v>5498</v>
      </c>
      <c r="E16" s="137">
        <v>3</v>
      </c>
      <c r="F16" s="311" t="s">
        <v>5518</v>
      </c>
    </row>
    <row r="17" spans="1:6" ht="40" customHeight="1">
      <c r="A17" s="356" t="s">
        <v>5936</v>
      </c>
      <c r="B17" s="137" t="s">
        <v>5499</v>
      </c>
      <c r="C17" s="296" t="s">
        <v>5500</v>
      </c>
      <c r="D17" s="296" t="s">
        <v>5501</v>
      </c>
      <c r="E17" s="137">
        <v>2</v>
      </c>
      <c r="F17" s="311" t="s">
        <v>5518</v>
      </c>
    </row>
    <row r="18" spans="1:6" ht="40" customHeight="1">
      <c r="A18" s="356" t="s">
        <v>5936</v>
      </c>
      <c r="B18" s="137" t="s">
        <v>5502</v>
      </c>
      <c r="C18" s="296" t="s">
        <v>5503</v>
      </c>
      <c r="D18" s="296" t="s">
        <v>5937</v>
      </c>
      <c r="E18" s="137">
        <v>1</v>
      </c>
      <c r="F18" s="311" t="s">
        <v>5518</v>
      </c>
    </row>
    <row r="19" spans="1:6" ht="40" customHeight="1">
      <c r="A19" s="356" t="s">
        <v>5936</v>
      </c>
      <c r="B19" s="137" t="s">
        <v>5504</v>
      </c>
      <c r="C19" s="296" t="s">
        <v>5505</v>
      </c>
      <c r="D19" s="296" t="s">
        <v>5506</v>
      </c>
      <c r="E19" s="137">
        <v>5</v>
      </c>
      <c r="F19" s="311" t="s">
        <v>5518</v>
      </c>
    </row>
    <row r="20" spans="1:6" ht="40" customHeight="1">
      <c r="A20" s="356" t="s">
        <v>5936</v>
      </c>
      <c r="B20" s="137" t="s">
        <v>5507</v>
      </c>
      <c r="C20" s="296" t="s">
        <v>5508</v>
      </c>
      <c r="D20" s="296" t="s">
        <v>5509</v>
      </c>
      <c r="E20" s="137">
        <v>8</v>
      </c>
      <c r="F20" s="311" t="s">
        <v>5518</v>
      </c>
    </row>
    <row r="21" spans="1:6" ht="40" customHeight="1">
      <c r="A21" s="356" t="s">
        <v>5936</v>
      </c>
      <c r="B21" s="137" t="s">
        <v>5510</v>
      </c>
      <c r="C21" s="296" t="s">
        <v>5938</v>
      </c>
      <c r="D21" s="296" t="s">
        <v>5511</v>
      </c>
      <c r="E21" s="137">
        <v>8</v>
      </c>
      <c r="F21" s="311" t="s">
        <v>5518</v>
      </c>
    </row>
    <row r="22" spans="1:6" ht="40" customHeight="1">
      <c r="A22" s="356" t="s">
        <v>5936</v>
      </c>
      <c r="B22" s="137" t="s">
        <v>5512</v>
      </c>
      <c r="C22" s="296" t="s">
        <v>5513</v>
      </c>
      <c r="D22" s="296" t="s">
        <v>5514</v>
      </c>
      <c r="E22" s="137">
        <v>2</v>
      </c>
      <c r="F22" s="311" t="s">
        <v>5518</v>
      </c>
    </row>
    <row r="23" spans="1:6" ht="40" customHeight="1">
      <c r="A23" s="356" t="s">
        <v>5936</v>
      </c>
      <c r="B23" s="137" t="s">
        <v>5515</v>
      </c>
      <c r="C23" s="296" t="s">
        <v>5516</v>
      </c>
      <c r="D23" s="296" t="s">
        <v>5517</v>
      </c>
      <c r="E23" s="137">
        <v>3</v>
      </c>
      <c r="F23" s="311" t="s">
        <v>5518</v>
      </c>
    </row>
    <row r="24" spans="1:6" ht="40" customHeight="1">
      <c r="A24" s="356" t="s">
        <v>5939</v>
      </c>
      <c r="B24" s="137" t="s">
        <v>5534</v>
      </c>
      <c r="C24" s="296" t="s">
        <v>5535</v>
      </c>
      <c r="D24" s="296" t="s">
        <v>5536</v>
      </c>
      <c r="E24" s="137">
        <v>20</v>
      </c>
      <c r="F24" s="311" t="s">
        <v>5518</v>
      </c>
    </row>
    <row r="25" spans="1:6" ht="40" customHeight="1">
      <c r="A25" s="356" t="s">
        <v>5939</v>
      </c>
      <c r="B25" s="137" t="s">
        <v>5537</v>
      </c>
      <c r="C25" s="296" t="s">
        <v>6996</v>
      </c>
      <c r="D25" s="296" t="s">
        <v>6997</v>
      </c>
      <c r="E25" s="137">
        <v>18</v>
      </c>
      <c r="F25" s="311" t="s">
        <v>5518</v>
      </c>
    </row>
    <row r="26" spans="1:6" ht="40" customHeight="1">
      <c r="A26" s="356" t="s">
        <v>5939</v>
      </c>
      <c r="B26" s="137" t="s">
        <v>5538</v>
      </c>
      <c r="C26" s="296" t="s">
        <v>5539</v>
      </c>
      <c r="D26" s="296" t="s">
        <v>5540</v>
      </c>
      <c r="E26" s="137">
        <v>9</v>
      </c>
      <c r="F26" s="311" t="s">
        <v>5518</v>
      </c>
    </row>
    <row r="27" spans="1:6" ht="40" customHeight="1">
      <c r="A27" s="356" t="s">
        <v>5939</v>
      </c>
      <c r="B27" s="137" t="s">
        <v>5541</v>
      </c>
      <c r="C27" s="296" t="s">
        <v>5542</v>
      </c>
      <c r="D27" s="296" t="s">
        <v>5543</v>
      </c>
      <c r="E27" s="137">
        <v>15</v>
      </c>
      <c r="F27" s="311" t="s">
        <v>5518</v>
      </c>
    </row>
    <row r="28" spans="1:6" ht="40" customHeight="1">
      <c r="A28" s="356" t="s">
        <v>5939</v>
      </c>
      <c r="B28" s="137" t="s">
        <v>5544</v>
      </c>
      <c r="C28" s="296" t="s">
        <v>5545</v>
      </c>
      <c r="D28" s="296" t="s">
        <v>5546</v>
      </c>
      <c r="E28" s="137">
        <v>25</v>
      </c>
      <c r="F28" s="311" t="s">
        <v>5518</v>
      </c>
    </row>
    <row r="29" spans="1:6" ht="40" customHeight="1">
      <c r="A29" s="356" t="s">
        <v>5940</v>
      </c>
      <c r="B29" s="137" t="s">
        <v>5665</v>
      </c>
      <c r="C29" s="296" t="s">
        <v>5941</v>
      </c>
      <c r="D29" s="296" t="s">
        <v>5942</v>
      </c>
      <c r="E29" s="137">
        <v>15</v>
      </c>
      <c r="F29" s="311" t="s">
        <v>5518</v>
      </c>
    </row>
    <row r="30" spans="1:6" ht="40" customHeight="1">
      <c r="A30" s="356" t="s">
        <v>5940</v>
      </c>
      <c r="B30" s="137" t="s">
        <v>5666</v>
      </c>
      <c r="C30" s="296" t="s">
        <v>5943</v>
      </c>
      <c r="D30" s="296" t="s">
        <v>5944</v>
      </c>
      <c r="E30" s="137">
        <v>20</v>
      </c>
      <c r="F30" s="311" t="s">
        <v>5518</v>
      </c>
    </row>
    <row r="31" spans="1:6" ht="40" customHeight="1">
      <c r="A31" s="356" t="s">
        <v>5940</v>
      </c>
      <c r="B31" s="137" t="s">
        <v>5667</v>
      </c>
      <c r="C31" s="296" t="s">
        <v>6005</v>
      </c>
      <c r="D31" s="296" t="s">
        <v>5946</v>
      </c>
      <c r="E31" s="137">
        <v>12</v>
      </c>
      <c r="F31" s="311" t="s">
        <v>5518</v>
      </c>
    </row>
    <row r="32" spans="1:6" ht="40" customHeight="1">
      <c r="A32" s="356" t="s">
        <v>5940</v>
      </c>
      <c r="B32" s="137" t="s">
        <v>5668</v>
      </c>
      <c r="C32" s="296" t="s">
        <v>6006</v>
      </c>
      <c r="D32" s="296" t="s">
        <v>6007</v>
      </c>
      <c r="E32" s="137">
        <v>8</v>
      </c>
      <c r="F32" s="311" t="s">
        <v>5518</v>
      </c>
    </row>
    <row r="33" spans="1:6" ht="40" customHeight="1">
      <c r="A33" s="356" t="s">
        <v>5940</v>
      </c>
      <c r="B33" s="137" t="s">
        <v>5669</v>
      </c>
      <c r="C33" s="296" t="s">
        <v>6008</v>
      </c>
      <c r="D33" s="296" t="s">
        <v>6009</v>
      </c>
      <c r="E33" s="137">
        <v>8</v>
      </c>
      <c r="F33" s="311" t="s">
        <v>5518</v>
      </c>
    </row>
    <row r="34" spans="1:6" ht="40" customHeight="1">
      <c r="A34" s="356" t="s">
        <v>5940</v>
      </c>
      <c r="B34" s="137" t="s">
        <v>5670</v>
      </c>
      <c r="C34" s="296" t="s">
        <v>5947</v>
      </c>
      <c r="D34" s="296" t="s">
        <v>5948</v>
      </c>
      <c r="E34" s="137">
        <v>10</v>
      </c>
      <c r="F34" s="311" t="s">
        <v>5518</v>
      </c>
    </row>
    <row r="35" spans="1:6" ht="40" customHeight="1">
      <c r="A35" s="356" t="s">
        <v>5940</v>
      </c>
      <c r="B35" s="137" t="s">
        <v>6010</v>
      </c>
      <c r="C35" s="296" t="s">
        <v>6011</v>
      </c>
      <c r="D35" s="296" t="s">
        <v>6012</v>
      </c>
      <c r="E35" s="137">
        <v>15</v>
      </c>
      <c r="F35" s="311" t="s">
        <v>5518</v>
      </c>
    </row>
    <row r="36" spans="1:6" ht="40" customHeight="1">
      <c r="A36" s="356" t="s">
        <v>5940</v>
      </c>
      <c r="B36" s="137" t="s">
        <v>6013</v>
      </c>
      <c r="C36" s="296" t="s">
        <v>6014</v>
      </c>
      <c r="D36" s="296" t="s">
        <v>6015</v>
      </c>
      <c r="E36" s="137">
        <v>10</v>
      </c>
      <c r="F36" s="311" t="s">
        <v>5518</v>
      </c>
    </row>
    <row r="37" spans="1:6" ht="40" customHeight="1">
      <c r="A37" s="356" t="s">
        <v>2535</v>
      </c>
      <c r="B37" s="137" t="s">
        <v>5755</v>
      </c>
      <c r="C37" s="296" t="s">
        <v>5756</v>
      </c>
      <c r="D37" s="296" t="s">
        <v>5757</v>
      </c>
      <c r="E37" s="137">
        <v>10</v>
      </c>
      <c r="F37" s="311" t="s">
        <v>5518</v>
      </c>
    </row>
    <row r="38" spans="1:6" ht="40" customHeight="1">
      <c r="A38" s="356" t="s">
        <v>2535</v>
      </c>
      <c r="B38" s="137" t="s">
        <v>5758</v>
      </c>
      <c r="C38" s="296" t="s">
        <v>5759</v>
      </c>
      <c r="D38" s="296" t="s">
        <v>5760</v>
      </c>
      <c r="E38" s="137">
        <v>12</v>
      </c>
      <c r="F38" s="311" t="s">
        <v>5518</v>
      </c>
    </row>
    <row r="39" spans="1:6" ht="40" customHeight="1">
      <c r="A39" s="356" t="s">
        <v>2535</v>
      </c>
      <c r="B39" s="137" t="s">
        <v>5761</v>
      </c>
      <c r="C39" s="296" t="s">
        <v>5945</v>
      </c>
      <c r="D39" s="296" t="s">
        <v>5763</v>
      </c>
      <c r="E39" s="137">
        <v>6</v>
      </c>
      <c r="F39" s="311" t="s">
        <v>5518</v>
      </c>
    </row>
    <row r="40" spans="1:6" ht="40" customHeight="1">
      <c r="A40" s="356" t="s">
        <v>2535</v>
      </c>
      <c r="B40" s="137" t="s">
        <v>5764</v>
      </c>
      <c r="C40" s="296" t="s">
        <v>5765</v>
      </c>
      <c r="D40" s="296" t="s">
        <v>5766</v>
      </c>
      <c r="E40" s="137">
        <v>8</v>
      </c>
      <c r="F40" s="311" t="s">
        <v>5518</v>
      </c>
    </row>
    <row r="41" spans="1:6" ht="40" customHeight="1">
      <c r="A41" s="356" t="s">
        <v>2535</v>
      </c>
      <c r="B41" s="137" t="s">
        <v>5767</v>
      </c>
      <c r="C41" s="296" t="s">
        <v>5768</v>
      </c>
      <c r="D41" s="296" t="s">
        <v>5769</v>
      </c>
      <c r="E41" s="137">
        <v>6</v>
      </c>
      <c r="F41" s="311" t="s">
        <v>5518</v>
      </c>
    </row>
    <row r="42" spans="1:6" ht="40" customHeight="1">
      <c r="A42" s="357" t="s">
        <v>2535</v>
      </c>
      <c r="B42" s="313" t="s">
        <v>5770</v>
      </c>
      <c r="C42" s="299" t="s">
        <v>5949</v>
      </c>
      <c r="D42" s="299" t="s">
        <v>5772</v>
      </c>
      <c r="E42" s="313">
        <v>8</v>
      </c>
      <c r="F42" s="314" t="s">
        <v>5518</v>
      </c>
    </row>
    <row r="43" spans="1:6">
      <c r="A43" s="32"/>
      <c r="B43" s="32"/>
      <c r="C43" s="32"/>
      <c r="D43" s="32"/>
      <c r="E43" s="32"/>
      <c r="F43" s="32"/>
    </row>
    <row r="44" spans="1:6">
      <c r="A44" s="251" t="s">
        <v>5950</v>
      </c>
      <c r="B44" s="32"/>
      <c r="C44" s="32"/>
      <c r="D44" s="32"/>
      <c r="E44" s="32"/>
      <c r="F44" s="32"/>
    </row>
    <row r="45" spans="1:6">
      <c r="A45" s="291" t="s">
        <v>2529</v>
      </c>
      <c r="B45" s="292" t="s">
        <v>5523</v>
      </c>
      <c r="C45" s="302" t="s">
        <v>5522</v>
      </c>
      <c r="D45" s="32"/>
      <c r="E45" s="32"/>
      <c r="F45" s="32"/>
    </row>
    <row r="46" spans="1:6">
      <c r="A46" s="315" t="s">
        <v>5951</v>
      </c>
      <c r="B46" s="316">
        <f>SUMIF($A$8:$A$50,"① 設計",$E$8:$E$50)</f>
        <v>65</v>
      </c>
      <c r="C46" s="317">
        <v>65</v>
      </c>
      <c r="D46" s="32"/>
      <c r="E46" s="32"/>
      <c r="F46" s="32"/>
    </row>
    <row r="47" spans="1:6">
      <c r="A47" s="315" t="s">
        <v>5952</v>
      </c>
      <c r="B47" s="316">
        <f>SUMIF($A$8:$A$50,"① 設計(H)",$E$8:$E$50)</f>
        <v>87</v>
      </c>
      <c r="C47" s="317">
        <v>87</v>
      </c>
      <c r="D47" s="32"/>
      <c r="E47" s="32"/>
      <c r="F47" s="32"/>
    </row>
    <row r="48" spans="1:6">
      <c r="A48" s="315" t="s">
        <v>6016</v>
      </c>
      <c r="B48" s="316">
        <f>SUMIF($A$8:$A$50,"③ 構築",$E$8:$E$50)</f>
        <v>98</v>
      </c>
      <c r="C48" s="317">
        <v>98</v>
      </c>
      <c r="D48" s="32"/>
      <c r="E48" s="32"/>
      <c r="F48" s="32"/>
    </row>
    <row r="49" spans="1:6">
      <c r="A49" s="315" t="s">
        <v>5953</v>
      </c>
      <c r="B49" s="316">
        <f>SUMIF($A$8:$A$50,"④ テスト",$E$8:$E$50)</f>
        <v>50</v>
      </c>
      <c r="C49" s="317">
        <v>50</v>
      </c>
      <c r="D49" s="32"/>
      <c r="E49" s="32"/>
      <c r="F49" s="32"/>
    </row>
    <row r="50" spans="1:6">
      <c r="A50" s="358" t="s">
        <v>7</v>
      </c>
      <c r="B50" s="359">
        <f>SUM(B46:B49)</f>
        <v>300</v>
      </c>
      <c r="C50" s="360">
        <v>300</v>
      </c>
      <c r="D50" s="32"/>
      <c r="E50" s="32"/>
      <c r="F50" s="32"/>
    </row>
    <row r="51" spans="1:6">
      <c r="A51" s="32"/>
      <c r="B51" s="32"/>
      <c r="C51" s="32"/>
      <c r="D51" s="32"/>
      <c r="E51" s="32"/>
      <c r="F51" s="32"/>
    </row>
    <row r="52" spans="1:6">
      <c r="A52" s="361" t="s">
        <v>7000</v>
      </c>
      <c r="B52" s="32"/>
      <c r="C52" s="32"/>
      <c r="D52" s="32"/>
      <c r="E52" s="32"/>
      <c r="F52" s="32"/>
    </row>
    <row r="53" spans="1:6">
      <c r="A53" s="368" t="s">
        <v>6217</v>
      </c>
    </row>
  </sheetData>
  <autoFilter ref="A7:F42" xr:uid="{69BC7312-1107-2C44-8AAA-D11AA53C6FA5}"/>
  <phoneticPr fontId="2"/>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FC42794-AC73-9346-B99D-3DE21002119D}">
  <dimension ref="A1:H97"/>
  <sheetViews>
    <sheetView workbookViewId="0">
      <pane ySplit="6" topLeftCell="A7" activePane="bottomLeft" state="frozen"/>
      <selection pane="bottomLeft" activeCell="G32" sqref="G32"/>
    </sheetView>
  </sheetViews>
  <sheetFormatPr baseColWidth="10" defaultRowHeight="20"/>
  <cols>
    <col min="1" max="1" width="14.28515625" customWidth="1"/>
    <col min="2" max="2" width="25.7109375" customWidth="1"/>
    <col min="3" max="3" width="48.5703125" customWidth="1"/>
    <col min="4" max="4" width="32.85546875" customWidth="1"/>
    <col min="5" max="5" width="8.5703125" customWidth="1"/>
    <col min="6" max="6" width="7.85546875" customWidth="1"/>
    <col min="7" max="8" width="13.5703125" customWidth="1"/>
  </cols>
  <sheetData>
    <row r="1" spans="1:8">
      <c r="A1" s="236" t="s">
        <v>6725</v>
      </c>
      <c r="B1" s="32"/>
      <c r="C1" s="32"/>
      <c r="D1" s="32"/>
      <c r="E1" s="32"/>
      <c r="F1" s="32"/>
      <c r="G1" s="32"/>
      <c r="H1" s="32"/>
    </row>
    <row r="2" spans="1:8">
      <c r="A2" s="61" t="s">
        <v>6726</v>
      </c>
      <c r="B2" s="32"/>
      <c r="C2" s="32"/>
      <c r="D2" s="32"/>
      <c r="E2" s="32"/>
      <c r="F2" s="32"/>
      <c r="G2" s="32"/>
      <c r="H2" s="32"/>
    </row>
    <row r="3" spans="1:8">
      <c r="A3" s="290" t="s">
        <v>6727</v>
      </c>
      <c r="B3" s="32"/>
      <c r="C3" s="32"/>
      <c r="D3" s="32"/>
      <c r="E3" s="32"/>
      <c r="F3" s="32"/>
      <c r="G3" s="32"/>
      <c r="H3" s="32"/>
    </row>
    <row r="4" spans="1:8">
      <c r="A4" s="304" t="s">
        <v>6728</v>
      </c>
      <c r="B4" s="32"/>
      <c r="C4" s="32"/>
      <c r="D4" s="32"/>
      <c r="E4" s="32"/>
      <c r="F4" s="32"/>
      <c r="G4" s="32"/>
      <c r="H4" s="32"/>
    </row>
    <row r="5" spans="1:8">
      <c r="A5" s="290" t="s">
        <v>7200</v>
      </c>
      <c r="B5" s="32"/>
      <c r="C5" s="32"/>
      <c r="D5" s="32"/>
      <c r="E5" s="32"/>
      <c r="F5" s="32"/>
      <c r="G5" s="32"/>
      <c r="H5" s="32"/>
    </row>
    <row r="6" spans="1:8">
      <c r="A6" s="291" t="s">
        <v>6729</v>
      </c>
      <c r="B6" s="292" t="s">
        <v>665</v>
      </c>
      <c r="C6" s="292" t="s">
        <v>6730</v>
      </c>
      <c r="D6" s="292" t="s">
        <v>6731</v>
      </c>
      <c r="E6" s="292" t="s">
        <v>6732</v>
      </c>
      <c r="F6" s="292" t="s">
        <v>6733</v>
      </c>
      <c r="G6" s="292" t="s">
        <v>6734</v>
      </c>
      <c r="H6" s="302" t="s">
        <v>666</v>
      </c>
    </row>
    <row r="7" spans="1:8" ht="26" customHeight="1">
      <c r="A7" s="356" t="s">
        <v>6735</v>
      </c>
      <c r="B7" s="137" t="s">
        <v>6736</v>
      </c>
      <c r="C7" s="296" t="s">
        <v>6737</v>
      </c>
      <c r="D7" s="296" t="s">
        <v>6738</v>
      </c>
      <c r="E7" s="137" t="s">
        <v>6610</v>
      </c>
      <c r="F7" s="137" t="s">
        <v>6739</v>
      </c>
      <c r="G7" s="137" t="s">
        <v>6740</v>
      </c>
      <c r="H7" s="311" t="s">
        <v>4</v>
      </c>
    </row>
    <row r="8" spans="1:8" ht="26" customHeight="1">
      <c r="A8" s="356" t="s">
        <v>6741</v>
      </c>
      <c r="B8" s="137" t="s">
        <v>6736</v>
      </c>
      <c r="C8" s="296" t="s">
        <v>6742</v>
      </c>
      <c r="D8" s="296" t="s">
        <v>6743</v>
      </c>
      <c r="E8" s="137" t="s">
        <v>6610</v>
      </c>
      <c r="F8" s="137" t="s">
        <v>6739</v>
      </c>
      <c r="G8" s="137" t="s">
        <v>6740</v>
      </c>
      <c r="H8" s="311" t="s">
        <v>4</v>
      </c>
    </row>
    <row r="9" spans="1:8" ht="26" customHeight="1">
      <c r="A9" s="356" t="s">
        <v>6744</v>
      </c>
      <c r="B9" s="137" t="s">
        <v>6736</v>
      </c>
      <c r="C9" s="296" t="s">
        <v>6745</v>
      </c>
      <c r="D9" s="296" t="s">
        <v>6746</v>
      </c>
      <c r="E9" s="137" t="s">
        <v>6610</v>
      </c>
      <c r="F9" s="137"/>
      <c r="G9" s="137" t="s">
        <v>6740</v>
      </c>
      <c r="H9" s="311" t="s">
        <v>4</v>
      </c>
    </row>
    <row r="10" spans="1:8" ht="26" customHeight="1">
      <c r="A10" s="356" t="s">
        <v>6747</v>
      </c>
      <c r="B10" s="137" t="s">
        <v>6736</v>
      </c>
      <c r="C10" s="296" t="s">
        <v>6748</v>
      </c>
      <c r="D10" s="296" t="s">
        <v>6749</v>
      </c>
      <c r="E10" s="137" t="s">
        <v>6610</v>
      </c>
      <c r="F10" s="137"/>
      <c r="G10" s="137" t="s">
        <v>6740</v>
      </c>
      <c r="H10" s="311" t="s">
        <v>4</v>
      </c>
    </row>
    <row r="11" spans="1:8" ht="26" customHeight="1">
      <c r="A11" s="356" t="s">
        <v>6750</v>
      </c>
      <c r="B11" s="137" t="s">
        <v>6736</v>
      </c>
      <c r="C11" s="296" t="s">
        <v>6751</v>
      </c>
      <c r="D11" s="296" t="s">
        <v>6752</v>
      </c>
      <c r="E11" s="137" t="s">
        <v>6610</v>
      </c>
      <c r="F11" s="137" t="s">
        <v>6739</v>
      </c>
      <c r="G11" s="137" t="s">
        <v>6753</v>
      </c>
      <c r="H11" s="311" t="s">
        <v>4</v>
      </c>
    </row>
    <row r="12" spans="1:8" ht="26" customHeight="1">
      <c r="A12" s="356" t="s">
        <v>6754</v>
      </c>
      <c r="B12" s="137" t="s">
        <v>6736</v>
      </c>
      <c r="C12" s="296" t="s">
        <v>6755</v>
      </c>
      <c r="D12" s="296" t="s">
        <v>6756</v>
      </c>
      <c r="E12" s="137" t="s">
        <v>6610</v>
      </c>
      <c r="F12" s="137" t="s">
        <v>6739</v>
      </c>
      <c r="G12" s="137" t="s">
        <v>6753</v>
      </c>
      <c r="H12" s="311" t="s">
        <v>4</v>
      </c>
    </row>
    <row r="13" spans="1:8" ht="26" customHeight="1">
      <c r="A13" s="356" t="s">
        <v>6757</v>
      </c>
      <c r="B13" s="137" t="s">
        <v>6736</v>
      </c>
      <c r="C13" s="296" t="s">
        <v>6758</v>
      </c>
      <c r="D13" s="296" t="s">
        <v>6759</v>
      </c>
      <c r="E13" s="137" t="s">
        <v>6610</v>
      </c>
      <c r="F13" s="137" t="s">
        <v>6739</v>
      </c>
      <c r="G13" s="137" t="s">
        <v>6753</v>
      </c>
      <c r="H13" s="311" t="s">
        <v>4</v>
      </c>
    </row>
    <row r="14" spans="1:8" ht="26" customHeight="1">
      <c r="A14" s="356" t="s">
        <v>6760</v>
      </c>
      <c r="B14" s="137" t="s">
        <v>6736</v>
      </c>
      <c r="C14" s="296" t="s">
        <v>6761</v>
      </c>
      <c r="D14" s="296" t="s">
        <v>6762</v>
      </c>
      <c r="E14" s="137" t="s">
        <v>6610</v>
      </c>
      <c r="F14" s="137"/>
      <c r="G14" s="137" t="s">
        <v>6753</v>
      </c>
      <c r="H14" s="311" t="s">
        <v>4</v>
      </c>
    </row>
    <row r="15" spans="1:8" ht="26" customHeight="1">
      <c r="A15" s="356" t="s">
        <v>6763</v>
      </c>
      <c r="B15" s="137" t="s">
        <v>6736</v>
      </c>
      <c r="C15" s="296" t="s">
        <v>6764</v>
      </c>
      <c r="D15" s="296" t="s">
        <v>6765</v>
      </c>
      <c r="E15" s="137" t="s">
        <v>6610</v>
      </c>
      <c r="F15" s="137" t="s">
        <v>6739</v>
      </c>
      <c r="G15" s="137" t="s">
        <v>6753</v>
      </c>
      <c r="H15" s="311" t="s">
        <v>4</v>
      </c>
    </row>
    <row r="16" spans="1:8" ht="26" customHeight="1">
      <c r="A16" s="356" t="s">
        <v>6766</v>
      </c>
      <c r="B16" s="137" t="s">
        <v>6736</v>
      </c>
      <c r="C16" s="296" t="s">
        <v>6767</v>
      </c>
      <c r="D16" s="296" t="s">
        <v>6768</v>
      </c>
      <c r="E16" s="137" t="s">
        <v>6610</v>
      </c>
      <c r="F16" s="137"/>
      <c r="G16" s="137" t="s">
        <v>6769</v>
      </c>
      <c r="H16" s="311" t="s">
        <v>4</v>
      </c>
    </row>
    <row r="17" spans="1:8" ht="26" customHeight="1">
      <c r="A17" s="356" t="s">
        <v>6770</v>
      </c>
      <c r="B17" s="137" t="s">
        <v>6736</v>
      </c>
      <c r="C17" s="296" t="s">
        <v>6771</v>
      </c>
      <c r="D17" s="296" t="s">
        <v>6768</v>
      </c>
      <c r="E17" s="137" t="s">
        <v>6610</v>
      </c>
      <c r="F17" s="137" t="s">
        <v>6739</v>
      </c>
      <c r="G17" s="137" t="s">
        <v>6769</v>
      </c>
      <c r="H17" s="311" t="s">
        <v>4</v>
      </c>
    </row>
    <row r="18" spans="1:8" ht="26" customHeight="1">
      <c r="A18" s="356" t="s">
        <v>6772</v>
      </c>
      <c r="B18" s="137" t="s">
        <v>6736</v>
      </c>
      <c r="C18" s="296" t="s">
        <v>6773</v>
      </c>
      <c r="D18" s="296" t="s">
        <v>6774</v>
      </c>
      <c r="E18" s="137" t="s">
        <v>6610</v>
      </c>
      <c r="F18" s="137"/>
      <c r="G18" s="137" t="s">
        <v>6769</v>
      </c>
      <c r="H18" s="311" t="s">
        <v>4</v>
      </c>
    </row>
    <row r="19" spans="1:8" ht="26" customHeight="1">
      <c r="A19" s="356" t="s">
        <v>6775</v>
      </c>
      <c r="B19" s="137" t="s">
        <v>6736</v>
      </c>
      <c r="C19" s="296" t="s">
        <v>6776</v>
      </c>
      <c r="D19" s="296" t="s">
        <v>6774</v>
      </c>
      <c r="E19" s="137" t="s">
        <v>6610</v>
      </c>
      <c r="F19" s="137"/>
      <c r="G19" s="137" t="s">
        <v>6769</v>
      </c>
      <c r="H19" s="311" t="s">
        <v>4</v>
      </c>
    </row>
    <row r="20" spans="1:8" ht="26" customHeight="1">
      <c r="A20" s="356" t="s">
        <v>6777</v>
      </c>
      <c r="B20" s="137" t="s">
        <v>6736</v>
      </c>
      <c r="C20" s="296" t="s">
        <v>6778</v>
      </c>
      <c r="D20" s="296" t="s">
        <v>1430</v>
      </c>
      <c r="E20" s="137" t="s">
        <v>6610</v>
      </c>
      <c r="F20" s="137"/>
      <c r="G20" s="137" t="s">
        <v>6769</v>
      </c>
      <c r="H20" s="311" t="s">
        <v>4</v>
      </c>
    </row>
    <row r="21" spans="1:8" ht="26" customHeight="1">
      <c r="A21" s="356" t="s">
        <v>6779</v>
      </c>
      <c r="B21" s="137" t="s">
        <v>6736</v>
      </c>
      <c r="C21" s="296" t="s">
        <v>6780</v>
      </c>
      <c r="D21" s="296" t="s">
        <v>1432</v>
      </c>
      <c r="E21" s="137" t="s">
        <v>6610</v>
      </c>
      <c r="F21" s="137"/>
      <c r="G21" s="137" t="s">
        <v>6781</v>
      </c>
      <c r="H21" s="311" t="s">
        <v>4</v>
      </c>
    </row>
    <row r="22" spans="1:8" ht="26" customHeight="1">
      <c r="A22" s="356" t="s">
        <v>6782</v>
      </c>
      <c r="B22" s="137" t="s">
        <v>6736</v>
      </c>
      <c r="C22" s="296" t="s">
        <v>6783</v>
      </c>
      <c r="D22" s="296" t="s">
        <v>1432</v>
      </c>
      <c r="E22" s="137" t="s">
        <v>6610</v>
      </c>
      <c r="F22" s="137"/>
      <c r="G22" s="137" t="s">
        <v>6781</v>
      </c>
      <c r="H22" s="311" t="s">
        <v>4</v>
      </c>
    </row>
    <row r="23" spans="1:8" ht="26" customHeight="1">
      <c r="A23" s="356" t="s">
        <v>6784</v>
      </c>
      <c r="B23" s="137" t="s">
        <v>6736</v>
      </c>
      <c r="C23" s="296" t="s">
        <v>6785</v>
      </c>
      <c r="D23" s="296" t="s">
        <v>6786</v>
      </c>
      <c r="E23" s="137" t="s">
        <v>6610</v>
      </c>
      <c r="F23" s="137"/>
      <c r="G23" s="137" t="s">
        <v>6781</v>
      </c>
      <c r="H23" s="311" t="s">
        <v>4</v>
      </c>
    </row>
    <row r="24" spans="1:8" ht="26" customHeight="1">
      <c r="A24" s="356" t="s">
        <v>6787</v>
      </c>
      <c r="B24" s="137" t="s">
        <v>6736</v>
      </c>
      <c r="C24" s="296" t="s">
        <v>6788</v>
      </c>
      <c r="D24" s="296" t="s">
        <v>40</v>
      </c>
      <c r="E24" s="137" t="s">
        <v>6610</v>
      </c>
      <c r="F24" s="137"/>
      <c r="G24" s="137" t="s">
        <v>6781</v>
      </c>
      <c r="H24" s="311" t="s">
        <v>4</v>
      </c>
    </row>
    <row r="25" spans="1:8" ht="26" customHeight="1">
      <c r="A25" s="356" t="s">
        <v>6789</v>
      </c>
      <c r="B25" s="137" t="s">
        <v>6736</v>
      </c>
      <c r="C25" s="296" t="s">
        <v>6790</v>
      </c>
      <c r="D25" s="296" t="s">
        <v>6768</v>
      </c>
      <c r="E25" s="137" t="s">
        <v>6610</v>
      </c>
      <c r="F25" s="137"/>
      <c r="G25" s="137" t="s">
        <v>6781</v>
      </c>
      <c r="H25" s="311" t="s">
        <v>4</v>
      </c>
    </row>
    <row r="26" spans="1:8" ht="26" customHeight="1">
      <c r="A26" s="356" t="s">
        <v>6791</v>
      </c>
      <c r="B26" s="137" t="s">
        <v>6736</v>
      </c>
      <c r="C26" s="296" t="s">
        <v>6792</v>
      </c>
      <c r="D26" s="296" t="s">
        <v>6793</v>
      </c>
      <c r="E26" s="137" t="s">
        <v>6610</v>
      </c>
      <c r="F26" s="137"/>
      <c r="G26" s="137" t="s">
        <v>6794</v>
      </c>
      <c r="H26" s="311" t="s">
        <v>4</v>
      </c>
    </row>
    <row r="27" spans="1:8" ht="26" customHeight="1">
      <c r="A27" s="356" t="s">
        <v>6795</v>
      </c>
      <c r="B27" s="137" t="s">
        <v>6736</v>
      </c>
      <c r="C27" s="296" t="s">
        <v>6796</v>
      </c>
      <c r="D27" s="296" t="s">
        <v>6797</v>
      </c>
      <c r="E27" s="137" t="s">
        <v>6610</v>
      </c>
      <c r="F27" s="137"/>
      <c r="G27" s="137" t="s">
        <v>6794</v>
      </c>
      <c r="H27" s="311" t="s">
        <v>4</v>
      </c>
    </row>
    <row r="28" spans="1:8" ht="26" customHeight="1">
      <c r="A28" s="356" t="s">
        <v>6798</v>
      </c>
      <c r="B28" s="137" t="s">
        <v>6736</v>
      </c>
      <c r="C28" s="296" t="s">
        <v>6799</v>
      </c>
      <c r="D28" s="296" t="s">
        <v>2633</v>
      </c>
      <c r="E28" s="137" t="s">
        <v>6610</v>
      </c>
      <c r="F28" s="137"/>
      <c r="G28" s="137" t="s">
        <v>6794</v>
      </c>
      <c r="H28" s="311" t="s">
        <v>4</v>
      </c>
    </row>
    <row r="29" spans="1:8" ht="26" customHeight="1">
      <c r="A29" s="356" t="s">
        <v>6800</v>
      </c>
      <c r="B29" s="137" t="s">
        <v>6801</v>
      </c>
      <c r="C29" s="296" t="s">
        <v>6802</v>
      </c>
      <c r="D29" s="296" t="s">
        <v>6803</v>
      </c>
      <c r="E29" s="137" t="s">
        <v>6610</v>
      </c>
      <c r="F29" s="137" t="s">
        <v>6739</v>
      </c>
      <c r="G29" s="137" t="s">
        <v>6804</v>
      </c>
      <c r="H29" s="311" t="s">
        <v>4</v>
      </c>
    </row>
    <row r="30" spans="1:8" ht="26" customHeight="1">
      <c r="A30" s="356" t="s">
        <v>6805</v>
      </c>
      <c r="B30" s="137" t="s">
        <v>6801</v>
      </c>
      <c r="C30" s="296" t="s">
        <v>6806</v>
      </c>
      <c r="D30" s="296" t="s">
        <v>6807</v>
      </c>
      <c r="E30" s="137" t="s">
        <v>6610</v>
      </c>
      <c r="F30" s="137"/>
      <c r="G30" s="137" t="s">
        <v>6804</v>
      </c>
      <c r="H30" s="311" t="s">
        <v>4</v>
      </c>
    </row>
    <row r="31" spans="1:8" ht="26" customHeight="1">
      <c r="A31" s="356" t="s">
        <v>6808</v>
      </c>
      <c r="B31" s="137" t="s">
        <v>6801</v>
      </c>
      <c r="C31" s="296" t="s">
        <v>6809</v>
      </c>
      <c r="D31" s="296" t="s">
        <v>6810</v>
      </c>
      <c r="E31" s="137" t="s">
        <v>6610</v>
      </c>
      <c r="F31" s="137" t="s">
        <v>6739</v>
      </c>
      <c r="G31" s="137" t="s">
        <v>6811</v>
      </c>
      <c r="H31" s="311" t="s">
        <v>4</v>
      </c>
    </row>
    <row r="32" spans="1:8" ht="26" customHeight="1">
      <c r="A32" s="356" t="s">
        <v>6812</v>
      </c>
      <c r="B32" s="137" t="s">
        <v>6801</v>
      </c>
      <c r="C32" s="296" t="s">
        <v>6813</v>
      </c>
      <c r="D32" s="296" t="s">
        <v>6814</v>
      </c>
      <c r="E32" s="137" t="s">
        <v>6610</v>
      </c>
      <c r="F32" s="137" t="s">
        <v>6739</v>
      </c>
      <c r="G32" s="137" t="s">
        <v>6811</v>
      </c>
      <c r="H32" s="311" t="s">
        <v>4</v>
      </c>
    </row>
    <row r="33" spans="1:8" ht="26" customHeight="1">
      <c r="A33" s="356" t="s">
        <v>6815</v>
      </c>
      <c r="B33" s="137" t="s">
        <v>6801</v>
      </c>
      <c r="C33" s="296" t="s">
        <v>6816</v>
      </c>
      <c r="D33" s="296" t="s">
        <v>6817</v>
      </c>
      <c r="E33" s="137" t="s">
        <v>6610</v>
      </c>
      <c r="F33" s="137" t="s">
        <v>6739</v>
      </c>
      <c r="G33" s="137" t="s">
        <v>6811</v>
      </c>
      <c r="H33" s="311" t="s">
        <v>4</v>
      </c>
    </row>
    <row r="34" spans="1:8" ht="26" customHeight="1">
      <c r="A34" s="356" t="s">
        <v>6818</v>
      </c>
      <c r="B34" s="137" t="s">
        <v>6801</v>
      </c>
      <c r="C34" s="296" t="s">
        <v>6819</v>
      </c>
      <c r="D34" s="296" t="s">
        <v>511</v>
      </c>
      <c r="E34" s="137" t="s">
        <v>6610</v>
      </c>
      <c r="F34" s="137"/>
      <c r="G34" s="137" t="s">
        <v>6811</v>
      </c>
      <c r="H34" s="311" t="s">
        <v>4</v>
      </c>
    </row>
    <row r="35" spans="1:8" ht="26" customHeight="1">
      <c r="A35" s="356" t="s">
        <v>6820</v>
      </c>
      <c r="B35" s="137" t="s">
        <v>6801</v>
      </c>
      <c r="C35" s="296" t="s">
        <v>6821</v>
      </c>
      <c r="D35" s="296" t="s">
        <v>2610</v>
      </c>
      <c r="E35" s="137" t="s">
        <v>6628</v>
      </c>
      <c r="F35" s="137"/>
      <c r="G35" s="137" t="s">
        <v>6811</v>
      </c>
      <c r="H35" s="311" t="s">
        <v>4</v>
      </c>
    </row>
    <row r="36" spans="1:8" ht="26" customHeight="1">
      <c r="A36" s="356" t="s">
        <v>6822</v>
      </c>
      <c r="B36" s="137" t="s">
        <v>6801</v>
      </c>
      <c r="C36" s="296" t="s">
        <v>6823</v>
      </c>
      <c r="D36" s="296" t="s">
        <v>914</v>
      </c>
      <c r="E36" s="137" t="s">
        <v>6610</v>
      </c>
      <c r="F36" s="137" t="s">
        <v>6739</v>
      </c>
      <c r="G36" s="137" t="s">
        <v>6824</v>
      </c>
      <c r="H36" s="311" t="s">
        <v>4</v>
      </c>
    </row>
    <row r="37" spans="1:8" ht="26" customHeight="1">
      <c r="A37" s="356" t="s">
        <v>6825</v>
      </c>
      <c r="B37" s="137" t="s">
        <v>6801</v>
      </c>
      <c r="C37" s="296" t="s">
        <v>6826</v>
      </c>
      <c r="D37" s="296" t="s">
        <v>909</v>
      </c>
      <c r="E37" s="137" t="s">
        <v>6610</v>
      </c>
      <c r="F37" s="137" t="s">
        <v>6739</v>
      </c>
      <c r="G37" s="137" t="s">
        <v>6824</v>
      </c>
      <c r="H37" s="311" t="s">
        <v>4</v>
      </c>
    </row>
    <row r="38" spans="1:8" ht="26" customHeight="1">
      <c r="A38" s="356" t="s">
        <v>6827</v>
      </c>
      <c r="B38" s="137" t="s">
        <v>6801</v>
      </c>
      <c r="C38" s="296" t="s">
        <v>6828</v>
      </c>
      <c r="D38" s="296" t="s">
        <v>6829</v>
      </c>
      <c r="E38" s="137" t="s">
        <v>6610</v>
      </c>
      <c r="F38" s="137" t="s">
        <v>6739</v>
      </c>
      <c r="G38" s="137" t="s">
        <v>6830</v>
      </c>
      <c r="H38" s="311" t="s">
        <v>4</v>
      </c>
    </row>
    <row r="39" spans="1:8" ht="26" customHeight="1">
      <c r="A39" s="356" t="s">
        <v>6831</v>
      </c>
      <c r="B39" s="137" t="s">
        <v>6801</v>
      </c>
      <c r="C39" s="296" t="s">
        <v>6832</v>
      </c>
      <c r="D39" s="296" t="s">
        <v>6833</v>
      </c>
      <c r="E39" s="137" t="s">
        <v>6610</v>
      </c>
      <c r="F39" s="137" t="s">
        <v>6739</v>
      </c>
      <c r="G39" s="137" t="s">
        <v>6830</v>
      </c>
      <c r="H39" s="311" t="s">
        <v>4</v>
      </c>
    </row>
    <row r="40" spans="1:8" ht="26" customHeight="1">
      <c r="A40" s="356" t="s">
        <v>6834</v>
      </c>
      <c r="B40" s="137" t="s">
        <v>6801</v>
      </c>
      <c r="C40" s="296" t="s">
        <v>6835</v>
      </c>
      <c r="D40" s="296" t="s">
        <v>2501</v>
      </c>
      <c r="E40" s="137" t="s">
        <v>6610</v>
      </c>
      <c r="F40" s="137" t="s">
        <v>6739</v>
      </c>
      <c r="G40" s="137" t="s">
        <v>6830</v>
      </c>
      <c r="H40" s="311" t="s">
        <v>4</v>
      </c>
    </row>
    <row r="41" spans="1:8" ht="26" customHeight="1">
      <c r="A41" s="356" t="s">
        <v>6836</v>
      </c>
      <c r="B41" s="137" t="s">
        <v>6801</v>
      </c>
      <c r="C41" s="296" t="s">
        <v>2458</v>
      </c>
      <c r="D41" s="296" t="s">
        <v>2457</v>
      </c>
      <c r="E41" s="137" t="s">
        <v>6610</v>
      </c>
      <c r="F41" s="137"/>
      <c r="G41" s="137" t="s">
        <v>6830</v>
      </c>
      <c r="H41" s="311" t="s">
        <v>4</v>
      </c>
    </row>
    <row r="42" spans="1:8" ht="26" customHeight="1">
      <c r="A42" s="356" t="s">
        <v>6837</v>
      </c>
      <c r="B42" s="137" t="s">
        <v>6801</v>
      </c>
      <c r="C42" s="296" t="s">
        <v>6838</v>
      </c>
      <c r="D42" s="296" t="s">
        <v>6839</v>
      </c>
      <c r="E42" s="137" t="s">
        <v>6610</v>
      </c>
      <c r="F42" s="137"/>
      <c r="G42" s="137" t="s">
        <v>6840</v>
      </c>
      <c r="H42" s="311" t="s">
        <v>4</v>
      </c>
    </row>
    <row r="43" spans="1:8" ht="26" customHeight="1">
      <c r="A43" s="356" t="s">
        <v>6841</v>
      </c>
      <c r="B43" s="137" t="s">
        <v>6801</v>
      </c>
      <c r="C43" s="296" t="s">
        <v>6842</v>
      </c>
      <c r="D43" s="296" t="s">
        <v>2712</v>
      </c>
      <c r="E43" s="137" t="s">
        <v>6610</v>
      </c>
      <c r="F43" s="137"/>
      <c r="G43" s="137" t="s">
        <v>6840</v>
      </c>
      <c r="H43" s="311" t="s">
        <v>4</v>
      </c>
    </row>
    <row r="44" spans="1:8" ht="26" customHeight="1">
      <c r="A44" s="356" t="s">
        <v>6843</v>
      </c>
      <c r="B44" s="137" t="s">
        <v>6801</v>
      </c>
      <c r="C44" s="296" t="s">
        <v>6844</v>
      </c>
      <c r="D44" s="296" t="s">
        <v>6845</v>
      </c>
      <c r="E44" s="137" t="s">
        <v>6610</v>
      </c>
      <c r="F44" s="137"/>
      <c r="G44" s="137" t="s">
        <v>6840</v>
      </c>
      <c r="H44" s="311" t="s">
        <v>4</v>
      </c>
    </row>
    <row r="45" spans="1:8" ht="26" customHeight="1">
      <c r="A45" s="356" t="s">
        <v>6846</v>
      </c>
      <c r="B45" s="137" t="s">
        <v>6801</v>
      </c>
      <c r="C45" s="296" t="s">
        <v>6847</v>
      </c>
      <c r="D45" s="296" t="s">
        <v>6848</v>
      </c>
      <c r="E45" s="137" t="s">
        <v>6610</v>
      </c>
      <c r="F45" s="137" t="s">
        <v>6739</v>
      </c>
      <c r="G45" s="137" t="s">
        <v>6840</v>
      </c>
      <c r="H45" s="311" t="s">
        <v>4</v>
      </c>
    </row>
    <row r="46" spans="1:8" ht="26" customHeight="1">
      <c r="A46" s="356" t="s">
        <v>6849</v>
      </c>
      <c r="B46" s="137" t="s">
        <v>6850</v>
      </c>
      <c r="C46" s="296" t="s">
        <v>6851</v>
      </c>
      <c r="D46" s="296" t="s">
        <v>2641</v>
      </c>
      <c r="E46" s="137" t="s">
        <v>6610</v>
      </c>
      <c r="F46" s="137" t="s">
        <v>6739</v>
      </c>
      <c r="G46" s="137" t="s">
        <v>6852</v>
      </c>
      <c r="H46" s="311" t="s">
        <v>4</v>
      </c>
    </row>
    <row r="47" spans="1:8" ht="26" customHeight="1">
      <c r="A47" s="356" t="s">
        <v>6853</v>
      </c>
      <c r="B47" s="137" t="s">
        <v>6850</v>
      </c>
      <c r="C47" s="296" t="s">
        <v>6854</v>
      </c>
      <c r="D47" s="296" t="s">
        <v>2641</v>
      </c>
      <c r="E47" s="137" t="s">
        <v>6610</v>
      </c>
      <c r="F47" s="137"/>
      <c r="G47" s="137" t="s">
        <v>6852</v>
      </c>
      <c r="H47" s="311" t="s">
        <v>4</v>
      </c>
    </row>
    <row r="48" spans="1:8" ht="26" customHeight="1">
      <c r="A48" s="356" t="s">
        <v>6855</v>
      </c>
      <c r="B48" s="137" t="s">
        <v>6850</v>
      </c>
      <c r="C48" s="296" t="s">
        <v>6856</v>
      </c>
      <c r="D48" s="296" t="s">
        <v>6857</v>
      </c>
      <c r="E48" s="137" t="s">
        <v>6610</v>
      </c>
      <c r="F48" s="137" t="s">
        <v>6739</v>
      </c>
      <c r="G48" s="137" t="s">
        <v>6852</v>
      </c>
      <c r="H48" s="311" t="s">
        <v>4</v>
      </c>
    </row>
    <row r="49" spans="1:8" ht="26" customHeight="1">
      <c r="A49" s="356" t="s">
        <v>6858</v>
      </c>
      <c r="B49" s="137" t="s">
        <v>6850</v>
      </c>
      <c r="C49" s="296" t="s">
        <v>6859</v>
      </c>
      <c r="D49" s="296" t="s">
        <v>2641</v>
      </c>
      <c r="E49" s="137" t="s">
        <v>6610</v>
      </c>
      <c r="F49" s="137" t="s">
        <v>6739</v>
      </c>
      <c r="G49" s="137" t="s">
        <v>6852</v>
      </c>
      <c r="H49" s="311" t="s">
        <v>4</v>
      </c>
    </row>
    <row r="50" spans="1:8" ht="26" customHeight="1">
      <c r="A50" s="356" t="s">
        <v>6860</v>
      </c>
      <c r="B50" s="137" t="s">
        <v>6850</v>
      </c>
      <c r="C50" s="296" t="s">
        <v>6861</v>
      </c>
      <c r="D50" s="296" t="s">
        <v>2641</v>
      </c>
      <c r="E50" s="137" t="s">
        <v>6610</v>
      </c>
      <c r="F50" s="137" t="s">
        <v>6739</v>
      </c>
      <c r="G50" s="137" t="s">
        <v>6852</v>
      </c>
      <c r="H50" s="311" t="s">
        <v>4</v>
      </c>
    </row>
    <row r="51" spans="1:8" ht="26" customHeight="1">
      <c r="A51" s="356" t="s">
        <v>6862</v>
      </c>
      <c r="B51" s="137" t="s">
        <v>6850</v>
      </c>
      <c r="C51" s="296" t="s">
        <v>6863</v>
      </c>
      <c r="D51" s="296" t="s">
        <v>2501</v>
      </c>
      <c r="E51" s="137" t="s">
        <v>6610</v>
      </c>
      <c r="F51" s="137" t="s">
        <v>6739</v>
      </c>
      <c r="G51" s="137" t="s">
        <v>6852</v>
      </c>
      <c r="H51" s="311" t="s">
        <v>4</v>
      </c>
    </row>
    <row r="52" spans="1:8" ht="26" customHeight="1">
      <c r="A52" s="356" t="s">
        <v>6864</v>
      </c>
      <c r="B52" s="137" t="s">
        <v>6850</v>
      </c>
      <c r="C52" s="296" t="s">
        <v>6865</v>
      </c>
      <c r="D52" s="296" t="s">
        <v>2641</v>
      </c>
      <c r="E52" s="137" t="s">
        <v>6610</v>
      </c>
      <c r="F52" s="137"/>
      <c r="G52" s="137" t="s">
        <v>6866</v>
      </c>
      <c r="H52" s="311" t="s">
        <v>4</v>
      </c>
    </row>
    <row r="53" spans="1:8" ht="26" customHeight="1">
      <c r="A53" s="356" t="s">
        <v>6867</v>
      </c>
      <c r="B53" s="137" t="s">
        <v>6850</v>
      </c>
      <c r="C53" s="296" t="s">
        <v>6868</v>
      </c>
      <c r="D53" s="296" t="s">
        <v>6869</v>
      </c>
      <c r="E53" s="137" t="s">
        <v>6610</v>
      </c>
      <c r="F53" s="137"/>
      <c r="G53" s="137" t="s">
        <v>6866</v>
      </c>
      <c r="H53" s="311" t="s">
        <v>4</v>
      </c>
    </row>
    <row r="54" spans="1:8" ht="26" customHeight="1">
      <c r="A54" s="356" t="s">
        <v>6870</v>
      </c>
      <c r="B54" s="137" t="s">
        <v>6850</v>
      </c>
      <c r="C54" s="296" t="s">
        <v>6871</v>
      </c>
      <c r="D54" s="296" t="s">
        <v>2641</v>
      </c>
      <c r="E54" s="137" t="s">
        <v>6610</v>
      </c>
      <c r="F54" s="137"/>
      <c r="G54" s="137" t="s">
        <v>6866</v>
      </c>
      <c r="H54" s="311" t="s">
        <v>4</v>
      </c>
    </row>
    <row r="55" spans="1:8" ht="26" customHeight="1">
      <c r="A55" s="356" t="s">
        <v>6872</v>
      </c>
      <c r="B55" s="137" t="s">
        <v>6850</v>
      </c>
      <c r="C55" s="296" t="s">
        <v>6873</v>
      </c>
      <c r="D55" s="296" t="s">
        <v>6874</v>
      </c>
      <c r="E55" s="137" t="s">
        <v>6610</v>
      </c>
      <c r="F55" s="137"/>
      <c r="G55" s="137" t="s">
        <v>6866</v>
      </c>
      <c r="H55" s="311" t="s">
        <v>4</v>
      </c>
    </row>
    <row r="56" spans="1:8" ht="26" customHeight="1">
      <c r="A56" s="356" t="s">
        <v>6875</v>
      </c>
      <c r="B56" s="137" t="s">
        <v>6850</v>
      </c>
      <c r="C56" s="296" t="s">
        <v>6876</v>
      </c>
      <c r="D56" s="296" t="s">
        <v>6877</v>
      </c>
      <c r="E56" s="137" t="s">
        <v>6610</v>
      </c>
      <c r="F56" s="137" t="s">
        <v>6739</v>
      </c>
      <c r="G56" s="137" t="s">
        <v>6878</v>
      </c>
      <c r="H56" s="311" t="s">
        <v>4</v>
      </c>
    </row>
    <row r="57" spans="1:8" ht="26" customHeight="1">
      <c r="A57" s="356" t="s">
        <v>6879</v>
      </c>
      <c r="B57" s="137" t="s">
        <v>6850</v>
      </c>
      <c r="C57" s="296" t="s">
        <v>6880</v>
      </c>
      <c r="D57" s="296" t="s">
        <v>6881</v>
      </c>
      <c r="E57" s="137" t="s">
        <v>6610</v>
      </c>
      <c r="F57" s="137" t="s">
        <v>6739</v>
      </c>
      <c r="G57" s="137" t="s">
        <v>6878</v>
      </c>
      <c r="H57" s="311" t="s">
        <v>4</v>
      </c>
    </row>
    <row r="58" spans="1:8" ht="26" customHeight="1">
      <c r="A58" s="356" t="s">
        <v>6882</v>
      </c>
      <c r="B58" s="137" t="s">
        <v>6850</v>
      </c>
      <c r="C58" s="296" t="s">
        <v>6883</v>
      </c>
      <c r="D58" s="296" t="s">
        <v>2641</v>
      </c>
      <c r="E58" s="137" t="s">
        <v>6610</v>
      </c>
      <c r="F58" s="137"/>
      <c r="G58" s="137" t="s">
        <v>6878</v>
      </c>
      <c r="H58" s="311" t="s">
        <v>4</v>
      </c>
    </row>
    <row r="59" spans="1:8" ht="26" customHeight="1">
      <c r="A59" s="356" t="s">
        <v>6884</v>
      </c>
      <c r="B59" s="137" t="s">
        <v>6850</v>
      </c>
      <c r="C59" s="296" t="s">
        <v>6885</v>
      </c>
      <c r="D59" s="296" t="s">
        <v>886</v>
      </c>
      <c r="E59" s="137" t="s">
        <v>6610</v>
      </c>
      <c r="F59" s="137"/>
      <c r="G59" s="137" t="s">
        <v>6886</v>
      </c>
      <c r="H59" s="311" t="s">
        <v>4</v>
      </c>
    </row>
    <row r="60" spans="1:8" ht="26" customHeight="1">
      <c r="A60" s="356" t="s">
        <v>6887</v>
      </c>
      <c r="B60" s="137" t="s">
        <v>6850</v>
      </c>
      <c r="C60" s="296" t="s">
        <v>6888</v>
      </c>
      <c r="D60" s="296" t="s">
        <v>886</v>
      </c>
      <c r="E60" s="137" t="s">
        <v>6610</v>
      </c>
      <c r="F60" s="137"/>
      <c r="G60" s="137" t="s">
        <v>6886</v>
      </c>
      <c r="H60" s="311" t="s">
        <v>4</v>
      </c>
    </row>
    <row r="61" spans="1:8" ht="26" customHeight="1">
      <c r="A61" s="356" t="s">
        <v>6889</v>
      </c>
      <c r="B61" s="137" t="s">
        <v>6850</v>
      </c>
      <c r="C61" s="296" t="s">
        <v>6890</v>
      </c>
      <c r="D61" s="296" t="s">
        <v>1211</v>
      </c>
      <c r="E61" s="137" t="s">
        <v>6610</v>
      </c>
      <c r="F61" s="137" t="s">
        <v>6739</v>
      </c>
      <c r="G61" s="137" t="s">
        <v>6886</v>
      </c>
      <c r="H61" s="311" t="s">
        <v>4</v>
      </c>
    </row>
    <row r="62" spans="1:8" ht="26" customHeight="1">
      <c r="A62" s="356" t="s">
        <v>6891</v>
      </c>
      <c r="B62" s="137" t="s">
        <v>6850</v>
      </c>
      <c r="C62" s="296" t="s">
        <v>6892</v>
      </c>
      <c r="D62" s="296" t="s">
        <v>6893</v>
      </c>
      <c r="E62" s="137" t="s">
        <v>6610</v>
      </c>
      <c r="F62" s="137"/>
      <c r="G62" s="137" t="s">
        <v>6886</v>
      </c>
      <c r="H62" s="311" t="s">
        <v>4</v>
      </c>
    </row>
    <row r="63" spans="1:8" ht="26" customHeight="1">
      <c r="A63" s="356" t="s">
        <v>6894</v>
      </c>
      <c r="B63" s="137" t="s">
        <v>6850</v>
      </c>
      <c r="C63" s="296" t="s">
        <v>6895</v>
      </c>
      <c r="D63" s="296" t="s">
        <v>6896</v>
      </c>
      <c r="E63" s="137" t="s">
        <v>6610</v>
      </c>
      <c r="F63" s="137"/>
      <c r="G63" s="137" t="s">
        <v>6897</v>
      </c>
      <c r="H63" s="311" t="s">
        <v>4</v>
      </c>
    </row>
    <row r="64" spans="1:8" ht="26" customHeight="1">
      <c r="A64" s="356" t="s">
        <v>6898</v>
      </c>
      <c r="B64" s="137" t="s">
        <v>6850</v>
      </c>
      <c r="C64" s="296" t="s">
        <v>6899</v>
      </c>
      <c r="D64" s="296" t="s">
        <v>1439</v>
      </c>
      <c r="E64" s="137" t="s">
        <v>6610</v>
      </c>
      <c r="F64" s="137"/>
      <c r="G64" s="137" t="s">
        <v>6897</v>
      </c>
      <c r="H64" s="311" t="s">
        <v>4</v>
      </c>
    </row>
    <row r="65" spans="1:8" ht="26" customHeight="1">
      <c r="A65" s="356" t="s">
        <v>6900</v>
      </c>
      <c r="B65" s="137" t="s">
        <v>6850</v>
      </c>
      <c r="C65" s="296" t="s">
        <v>6901</v>
      </c>
      <c r="D65" s="296" t="s">
        <v>6902</v>
      </c>
      <c r="E65" s="137" t="s">
        <v>6610</v>
      </c>
      <c r="F65" s="137"/>
      <c r="G65" s="137" t="s">
        <v>6897</v>
      </c>
      <c r="H65" s="311" t="s">
        <v>4</v>
      </c>
    </row>
    <row r="66" spans="1:8" ht="26" customHeight="1">
      <c r="A66" s="356" t="s">
        <v>6903</v>
      </c>
      <c r="B66" s="137" t="s">
        <v>6850</v>
      </c>
      <c r="C66" s="296" t="s">
        <v>6904</v>
      </c>
      <c r="D66" s="296" t="s">
        <v>6905</v>
      </c>
      <c r="E66" s="137" t="s">
        <v>6610</v>
      </c>
      <c r="F66" s="137"/>
      <c r="G66" s="137" t="s">
        <v>6897</v>
      </c>
      <c r="H66" s="311" t="s">
        <v>4</v>
      </c>
    </row>
    <row r="67" spans="1:8" ht="26" customHeight="1">
      <c r="A67" s="356" t="s">
        <v>6906</v>
      </c>
      <c r="B67" s="137" t="s">
        <v>6850</v>
      </c>
      <c r="C67" s="296" t="s">
        <v>6907</v>
      </c>
      <c r="D67" s="296" t="s">
        <v>1437</v>
      </c>
      <c r="E67" s="137" t="s">
        <v>6610</v>
      </c>
      <c r="F67" s="137"/>
      <c r="G67" s="137" t="s">
        <v>6897</v>
      </c>
      <c r="H67" s="311" t="s">
        <v>4</v>
      </c>
    </row>
    <row r="68" spans="1:8" ht="26" customHeight="1">
      <c r="A68" s="356" t="s">
        <v>6908</v>
      </c>
      <c r="B68" s="137" t="s">
        <v>6909</v>
      </c>
      <c r="C68" s="296" t="s">
        <v>6910</v>
      </c>
      <c r="D68" s="296" t="s">
        <v>6911</v>
      </c>
      <c r="E68" s="137" t="s">
        <v>6610</v>
      </c>
      <c r="F68" s="137" t="s">
        <v>6739</v>
      </c>
      <c r="G68" s="137" t="s">
        <v>6912</v>
      </c>
      <c r="H68" s="311" t="s">
        <v>4</v>
      </c>
    </row>
    <row r="69" spans="1:8" ht="26" customHeight="1">
      <c r="A69" s="356" t="s">
        <v>6913</v>
      </c>
      <c r="B69" s="137" t="s">
        <v>6909</v>
      </c>
      <c r="C69" s="296" t="s">
        <v>6914</v>
      </c>
      <c r="D69" s="296" t="s">
        <v>1049</v>
      </c>
      <c r="E69" s="137" t="s">
        <v>6610</v>
      </c>
      <c r="F69" s="137"/>
      <c r="G69" s="137" t="s">
        <v>6912</v>
      </c>
      <c r="H69" s="311" t="s">
        <v>4</v>
      </c>
    </row>
    <row r="70" spans="1:8" ht="26" customHeight="1">
      <c r="A70" s="356" t="s">
        <v>6915</v>
      </c>
      <c r="B70" s="137" t="s">
        <v>6909</v>
      </c>
      <c r="C70" s="296" t="s">
        <v>6916</v>
      </c>
      <c r="D70" s="296" t="s">
        <v>913</v>
      </c>
      <c r="E70" s="137" t="s">
        <v>6610</v>
      </c>
      <c r="F70" s="137" t="s">
        <v>6739</v>
      </c>
      <c r="G70" s="137" t="s">
        <v>6912</v>
      </c>
      <c r="H70" s="311" t="s">
        <v>4</v>
      </c>
    </row>
    <row r="71" spans="1:8" ht="26" customHeight="1">
      <c r="A71" s="356" t="s">
        <v>6917</v>
      </c>
      <c r="B71" s="137" t="s">
        <v>6909</v>
      </c>
      <c r="C71" s="296" t="s">
        <v>6918</v>
      </c>
      <c r="D71" s="296" t="s">
        <v>6919</v>
      </c>
      <c r="E71" s="137" t="s">
        <v>6610</v>
      </c>
      <c r="F71" s="137"/>
      <c r="G71" s="137" t="s">
        <v>6912</v>
      </c>
      <c r="H71" s="311" t="s">
        <v>4</v>
      </c>
    </row>
    <row r="72" spans="1:8" ht="26" customHeight="1">
      <c r="A72" s="356" t="s">
        <v>6920</v>
      </c>
      <c r="B72" s="137" t="s">
        <v>6909</v>
      </c>
      <c r="C72" s="296" t="s">
        <v>6921</v>
      </c>
      <c r="D72" s="296" t="s">
        <v>6922</v>
      </c>
      <c r="E72" s="137" t="s">
        <v>6610</v>
      </c>
      <c r="F72" s="137" t="s">
        <v>6739</v>
      </c>
      <c r="G72" s="137" t="s">
        <v>6923</v>
      </c>
      <c r="H72" s="311" t="s">
        <v>4</v>
      </c>
    </row>
    <row r="73" spans="1:8" ht="26" customHeight="1">
      <c r="A73" s="356" t="s">
        <v>6924</v>
      </c>
      <c r="B73" s="137" t="s">
        <v>6909</v>
      </c>
      <c r="C73" s="296" t="s">
        <v>6925</v>
      </c>
      <c r="D73" s="296" t="s">
        <v>2641</v>
      </c>
      <c r="E73" s="137" t="s">
        <v>6610</v>
      </c>
      <c r="F73" s="137" t="s">
        <v>6739</v>
      </c>
      <c r="G73" s="137" t="s">
        <v>6923</v>
      </c>
      <c r="H73" s="311" t="s">
        <v>4</v>
      </c>
    </row>
    <row r="74" spans="1:8" ht="26" customHeight="1">
      <c r="A74" s="356" t="s">
        <v>6926</v>
      </c>
      <c r="B74" s="137" t="s">
        <v>6909</v>
      </c>
      <c r="C74" s="296" t="s">
        <v>6927</v>
      </c>
      <c r="D74" s="296" t="s">
        <v>6928</v>
      </c>
      <c r="E74" s="137" t="s">
        <v>6610</v>
      </c>
      <c r="F74" s="137"/>
      <c r="G74" s="137" t="s">
        <v>6923</v>
      </c>
      <c r="H74" s="311" t="s">
        <v>4</v>
      </c>
    </row>
    <row r="75" spans="1:8" ht="26" customHeight="1">
      <c r="A75" s="356" t="s">
        <v>6929</v>
      </c>
      <c r="B75" s="137" t="s">
        <v>6909</v>
      </c>
      <c r="C75" s="296" t="s">
        <v>6930</v>
      </c>
      <c r="D75" s="296" t="s">
        <v>6931</v>
      </c>
      <c r="E75" s="137" t="s">
        <v>6610</v>
      </c>
      <c r="F75" s="137"/>
      <c r="G75" s="137" t="s">
        <v>6923</v>
      </c>
      <c r="H75" s="311" t="s">
        <v>4</v>
      </c>
    </row>
    <row r="76" spans="1:8" ht="26" customHeight="1">
      <c r="A76" s="356" t="s">
        <v>6932</v>
      </c>
      <c r="B76" s="137" t="s">
        <v>6909</v>
      </c>
      <c r="C76" s="296" t="s">
        <v>6933</v>
      </c>
      <c r="D76" s="296" t="s">
        <v>1439</v>
      </c>
      <c r="E76" s="137" t="s">
        <v>6610</v>
      </c>
      <c r="F76" s="137"/>
      <c r="G76" s="137" t="s">
        <v>6923</v>
      </c>
      <c r="H76" s="311" t="s">
        <v>4</v>
      </c>
    </row>
    <row r="77" spans="1:8" ht="26" customHeight="1">
      <c r="A77" s="356" t="s">
        <v>6934</v>
      </c>
      <c r="B77" s="137" t="s">
        <v>6935</v>
      </c>
      <c r="C77" s="296" t="s">
        <v>6936</v>
      </c>
      <c r="D77" s="296" t="s">
        <v>2605</v>
      </c>
      <c r="E77" s="137" t="s">
        <v>6610</v>
      </c>
      <c r="F77" s="137" t="s">
        <v>6739</v>
      </c>
      <c r="G77" s="137" t="s">
        <v>6937</v>
      </c>
      <c r="H77" s="311" t="s">
        <v>4</v>
      </c>
    </row>
    <row r="78" spans="1:8" ht="26" customHeight="1">
      <c r="A78" s="356" t="s">
        <v>6938</v>
      </c>
      <c r="B78" s="137" t="s">
        <v>6935</v>
      </c>
      <c r="C78" s="296" t="s">
        <v>6939</v>
      </c>
      <c r="D78" s="296" t="s">
        <v>6940</v>
      </c>
      <c r="E78" s="137" t="s">
        <v>6610</v>
      </c>
      <c r="F78" s="137"/>
      <c r="G78" s="137" t="s">
        <v>6937</v>
      </c>
      <c r="H78" s="311" t="s">
        <v>4</v>
      </c>
    </row>
    <row r="79" spans="1:8" ht="26" customHeight="1">
      <c r="A79" s="356" t="s">
        <v>6941</v>
      </c>
      <c r="B79" s="137" t="s">
        <v>6935</v>
      </c>
      <c r="C79" s="296" t="s">
        <v>6942</v>
      </c>
      <c r="D79" s="296" t="s">
        <v>2520</v>
      </c>
      <c r="E79" s="137" t="s">
        <v>6610</v>
      </c>
      <c r="F79" s="137"/>
      <c r="G79" s="137" t="s">
        <v>6937</v>
      </c>
      <c r="H79" s="311" t="s">
        <v>4</v>
      </c>
    </row>
    <row r="80" spans="1:8" ht="26" customHeight="1">
      <c r="A80" s="356" t="s">
        <v>6943</v>
      </c>
      <c r="B80" s="137" t="s">
        <v>6935</v>
      </c>
      <c r="C80" s="296" t="s">
        <v>6944</v>
      </c>
      <c r="D80" s="296" t="s">
        <v>1254</v>
      </c>
      <c r="E80" s="137" t="s">
        <v>6610</v>
      </c>
      <c r="F80" s="137" t="s">
        <v>6739</v>
      </c>
      <c r="G80" s="137" t="s">
        <v>6945</v>
      </c>
      <c r="H80" s="311" t="s">
        <v>4</v>
      </c>
    </row>
    <row r="81" spans="1:8" ht="26" customHeight="1">
      <c r="A81" s="356" t="s">
        <v>6946</v>
      </c>
      <c r="B81" s="137" t="s">
        <v>6935</v>
      </c>
      <c r="C81" s="296" t="s">
        <v>6947</v>
      </c>
      <c r="D81" s="296" t="s">
        <v>2501</v>
      </c>
      <c r="E81" s="137" t="s">
        <v>6610</v>
      </c>
      <c r="F81" s="137"/>
      <c r="G81" s="137" t="s">
        <v>6945</v>
      </c>
      <c r="H81" s="311" t="s">
        <v>4</v>
      </c>
    </row>
    <row r="82" spans="1:8" ht="26" customHeight="1">
      <c r="A82" s="356" t="s">
        <v>6948</v>
      </c>
      <c r="B82" s="137" t="s">
        <v>6935</v>
      </c>
      <c r="C82" s="296" t="s">
        <v>6949</v>
      </c>
      <c r="D82" s="296" t="s">
        <v>2712</v>
      </c>
      <c r="E82" s="137" t="s">
        <v>6610</v>
      </c>
      <c r="F82" s="137"/>
      <c r="G82" s="137" t="s">
        <v>6945</v>
      </c>
      <c r="H82" s="311" t="s">
        <v>4</v>
      </c>
    </row>
    <row r="83" spans="1:8" ht="26" customHeight="1">
      <c r="A83" s="356" t="s">
        <v>6950</v>
      </c>
      <c r="B83" s="137" t="s">
        <v>6935</v>
      </c>
      <c r="C83" s="296" t="s">
        <v>6951</v>
      </c>
      <c r="D83" s="296" t="s">
        <v>6952</v>
      </c>
      <c r="E83" s="137" t="s">
        <v>6610</v>
      </c>
      <c r="F83" s="137"/>
      <c r="G83" s="137" t="s">
        <v>6953</v>
      </c>
      <c r="H83" s="311" t="s">
        <v>4</v>
      </c>
    </row>
    <row r="84" spans="1:8" ht="26" customHeight="1">
      <c r="A84" s="356" t="s">
        <v>6954</v>
      </c>
      <c r="B84" s="137" t="s">
        <v>6935</v>
      </c>
      <c r="C84" s="296" t="s">
        <v>6955</v>
      </c>
      <c r="D84" s="296" t="s">
        <v>6956</v>
      </c>
      <c r="E84" s="137" t="s">
        <v>6610</v>
      </c>
      <c r="F84" s="137" t="s">
        <v>6739</v>
      </c>
      <c r="G84" s="137" t="s">
        <v>6953</v>
      </c>
      <c r="H84" s="311" t="s">
        <v>4</v>
      </c>
    </row>
    <row r="85" spans="1:8" ht="26" customHeight="1">
      <c r="A85" s="356" t="s">
        <v>6957</v>
      </c>
      <c r="B85" s="137" t="s">
        <v>6935</v>
      </c>
      <c r="C85" s="296" t="s">
        <v>6958</v>
      </c>
      <c r="D85" s="296" t="s">
        <v>2698</v>
      </c>
      <c r="E85" s="137" t="s">
        <v>6610</v>
      </c>
      <c r="F85" s="137"/>
      <c r="G85" s="137" t="s">
        <v>6953</v>
      </c>
      <c r="H85" s="311" t="s">
        <v>4</v>
      </c>
    </row>
    <row r="86" spans="1:8" ht="26" customHeight="1">
      <c r="A86" s="356" t="s">
        <v>6959</v>
      </c>
      <c r="B86" s="137" t="s">
        <v>6935</v>
      </c>
      <c r="C86" s="296" t="s">
        <v>6960</v>
      </c>
      <c r="D86" s="296" t="s">
        <v>2704</v>
      </c>
      <c r="E86" s="137" t="s">
        <v>6610</v>
      </c>
      <c r="F86" s="137"/>
      <c r="G86" s="137" t="s">
        <v>6953</v>
      </c>
      <c r="H86" s="311" t="s">
        <v>4</v>
      </c>
    </row>
    <row r="87" spans="1:8" ht="26" customHeight="1">
      <c r="A87" s="356" t="s">
        <v>6961</v>
      </c>
      <c r="B87" s="137" t="s">
        <v>6935</v>
      </c>
      <c r="C87" s="296" t="s">
        <v>6962</v>
      </c>
      <c r="D87" s="296" t="s">
        <v>6963</v>
      </c>
      <c r="E87" s="137" t="s">
        <v>6610</v>
      </c>
      <c r="F87" s="137"/>
      <c r="G87" s="137" t="s">
        <v>6953</v>
      </c>
      <c r="H87" s="311" t="s">
        <v>4</v>
      </c>
    </row>
    <row r="88" spans="1:8" ht="26" customHeight="1">
      <c r="A88" s="356" t="s">
        <v>6964</v>
      </c>
      <c r="B88" s="137" t="s">
        <v>6935</v>
      </c>
      <c r="C88" s="296" t="s">
        <v>6965</v>
      </c>
      <c r="D88" s="296" t="s">
        <v>6966</v>
      </c>
      <c r="E88" s="137" t="s">
        <v>6628</v>
      </c>
      <c r="F88" s="137"/>
      <c r="G88" s="137" t="s">
        <v>6953</v>
      </c>
      <c r="H88" s="311" t="s">
        <v>4</v>
      </c>
    </row>
    <row r="89" spans="1:8" ht="26" customHeight="1">
      <c r="A89" s="356" t="s">
        <v>6967</v>
      </c>
      <c r="B89" s="137" t="s">
        <v>6968</v>
      </c>
      <c r="C89" s="296" t="s">
        <v>6969</v>
      </c>
      <c r="D89" s="296" t="s">
        <v>6970</v>
      </c>
      <c r="E89" s="137" t="s">
        <v>6610</v>
      </c>
      <c r="F89" s="137" t="s">
        <v>6739</v>
      </c>
      <c r="G89" s="137" t="s">
        <v>6971</v>
      </c>
      <c r="H89" s="311" t="s">
        <v>4</v>
      </c>
    </row>
    <row r="90" spans="1:8" ht="26" customHeight="1">
      <c r="A90" s="356" t="s">
        <v>6972</v>
      </c>
      <c r="B90" s="137" t="s">
        <v>6968</v>
      </c>
      <c r="C90" s="296" t="s">
        <v>6973</v>
      </c>
      <c r="D90" s="296" t="s">
        <v>2501</v>
      </c>
      <c r="E90" s="137" t="s">
        <v>6610</v>
      </c>
      <c r="F90" s="137" t="s">
        <v>6739</v>
      </c>
      <c r="G90" s="137" t="s">
        <v>6971</v>
      </c>
      <c r="H90" s="311" t="s">
        <v>4</v>
      </c>
    </row>
    <row r="91" spans="1:8" ht="26" customHeight="1">
      <c r="A91" s="356" t="s">
        <v>6974</v>
      </c>
      <c r="B91" s="137" t="s">
        <v>6968</v>
      </c>
      <c r="C91" s="296" t="s">
        <v>6975</v>
      </c>
      <c r="D91" s="296" t="s">
        <v>6976</v>
      </c>
      <c r="E91" s="137" t="s">
        <v>6610</v>
      </c>
      <c r="F91" s="137"/>
      <c r="G91" s="137" t="s">
        <v>6971</v>
      </c>
      <c r="H91" s="311" t="s">
        <v>4</v>
      </c>
    </row>
    <row r="92" spans="1:8" ht="26" customHeight="1">
      <c r="A92" s="356" t="s">
        <v>6977</v>
      </c>
      <c r="B92" s="137" t="s">
        <v>6968</v>
      </c>
      <c r="C92" s="296" t="s">
        <v>6978</v>
      </c>
      <c r="D92" s="296" t="s">
        <v>6979</v>
      </c>
      <c r="E92" s="137" t="s">
        <v>6610</v>
      </c>
      <c r="F92" s="137"/>
      <c r="G92" s="137" t="s">
        <v>6980</v>
      </c>
      <c r="H92" s="311" t="s">
        <v>4</v>
      </c>
    </row>
    <row r="93" spans="1:8" ht="26" customHeight="1">
      <c r="A93" s="356" t="s">
        <v>6981</v>
      </c>
      <c r="B93" s="137" t="s">
        <v>6968</v>
      </c>
      <c r="C93" s="296" t="s">
        <v>6982</v>
      </c>
      <c r="D93" s="296" t="s">
        <v>6983</v>
      </c>
      <c r="E93" s="137" t="s">
        <v>6610</v>
      </c>
      <c r="F93" s="137"/>
      <c r="G93" s="137" t="s">
        <v>6980</v>
      </c>
      <c r="H93" s="311" t="s">
        <v>4</v>
      </c>
    </row>
    <row r="94" spans="1:8" ht="26" customHeight="1">
      <c r="A94" s="356" t="s">
        <v>6984</v>
      </c>
      <c r="B94" s="137" t="s">
        <v>6968</v>
      </c>
      <c r="C94" s="296" t="s">
        <v>6985</v>
      </c>
      <c r="D94" s="296" t="s">
        <v>1437</v>
      </c>
      <c r="E94" s="137" t="s">
        <v>6610</v>
      </c>
      <c r="F94" s="137"/>
      <c r="G94" s="137" t="s">
        <v>6980</v>
      </c>
      <c r="H94" s="311" t="s">
        <v>4</v>
      </c>
    </row>
    <row r="95" spans="1:8" ht="26" customHeight="1">
      <c r="A95" s="356" t="s">
        <v>6986</v>
      </c>
      <c r="B95" s="137" t="s">
        <v>6968</v>
      </c>
      <c r="C95" s="296" t="s">
        <v>6987</v>
      </c>
      <c r="D95" s="296" t="s">
        <v>609</v>
      </c>
      <c r="E95" s="137" t="s">
        <v>6610</v>
      </c>
      <c r="F95" s="137"/>
      <c r="G95" s="137" t="s">
        <v>6980</v>
      </c>
      <c r="H95" s="311" t="s">
        <v>4</v>
      </c>
    </row>
    <row r="96" spans="1:8" ht="26" customHeight="1">
      <c r="A96" s="356" t="s">
        <v>6988</v>
      </c>
      <c r="B96" s="137" t="s">
        <v>6968</v>
      </c>
      <c r="C96" s="296" t="s">
        <v>6989</v>
      </c>
      <c r="D96" s="296" t="s">
        <v>1439</v>
      </c>
      <c r="E96" s="137" t="s">
        <v>6610</v>
      </c>
      <c r="F96" s="137"/>
      <c r="G96" s="137" t="s">
        <v>6980</v>
      </c>
      <c r="H96" s="311" t="s">
        <v>4</v>
      </c>
    </row>
    <row r="97" spans="1:8" ht="26" customHeight="1">
      <c r="A97" s="357" t="s">
        <v>6990</v>
      </c>
      <c r="B97" s="313" t="s">
        <v>6968</v>
      </c>
      <c r="C97" s="299" t="s">
        <v>6991</v>
      </c>
      <c r="D97" s="299" t="s">
        <v>6992</v>
      </c>
      <c r="E97" s="313" t="s">
        <v>6628</v>
      </c>
      <c r="F97" s="313"/>
      <c r="G97" s="313" t="s">
        <v>6971</v>
      </c>
      <c r="H97" s="314" t="s">
        <v>4</v>
      </c>
    </row>
  </sheetData>
  <autoFilter ref="A6:H97" xr:uid="{AFC42794-AC73-9346-B99D-3DE21002119D}"/>
  <phoneticPr fontId="2"/>
  <conditionalFormatting sqref="E7:E97">
    <cfRule type="expression" dxfId="23" priority="1">
      <formula>$E7="P2"</formula>
    </cfRule>
  </conditionalFormatting>
  <conditionalFormatting sqref="A7:H97">
    <cfRule type="expression" dxfId="22" priority="2">
      <formula>$F7="🔴"</formula>
    </cfRule>
  </conditionalFormatting>
  <conditionalFormatting sqref="B7:B97">
    <cfRule type="expression" dxfId="21" priority="3">
      <formula>$B7="認証系"</formula>
    </cfRule>
  </conditionalFormatting>
  <conditionalFormatting sqref="B7:B97">
    <cfRule type="expression" dxfId="20" priority="4">
      <formula>$B7="プロビジョニング系"</formula>
    </cfRule>
  </conditionalFormatting>
  <conditionalFormatting sqref="B7:B97">
    <cfRule type="expression" dxfId="19" priority="5">
      <formula>$B7="管理コントロールプレーン系"</formula>
    </cfRule>
  </conditionalFormatting>
  <conditionalFormatting sqref="B7:B97">
    <cfRule type="expression" dxfId="18" priority="6">
      <formula>$B7="認可系"</formula>
    </cfRule>
  </conditionalFormatting>
  <conditionalFormatting sqref="B7:B97">
    <cfRule type="expression" dxfId="17" priority="7">
      <formula>$B7="連携系"</formula>
    </cfRule>
  </conditionalFormatting>
  <conditionalFormatting sqref="B7:B97">
    <cfRule type="expression" dxfId="16" priority="8">
      <formula>$B7="バッチ系"</formula>
    </cfRule>
  </conditionalFormatting>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ワークシート</vt:lpstr>
      </vt:variant>
      <vt:variant>
        <vt:i4>19</vt:i4>
      </vt:variant>
      <vt:variant>
        <vt:lpstr>名前付き一覧</vt:lpstr>
      </vt:variant>
      <vt:variant>
        <vt:i4>6</vt:i4>
      </vt:variant>
    </vt:vector>
  </HeadingPairs>
  <TitlesOfParts>
    <vt:vector size="25" baseType="lpstr">
      <vt:lpstr>調査依頼プロンプト（一時）</vt:lpstr>
      <vt:lpstr>コスト見積もり</vt:lpstr>
      <vt:lpstr>ダッシュボード</vt:lpstr>
      <vt:lpstr>サマリー</vt:lpstr>
      <vt:lpstr>進捗一覧</vt:lpstr>
      <vt:lpstr>設計決定一覧</vt:lpstr>
      <vt:lpstr>要件→設計</vt:lpstr>
      <vt:lpstr>設計→要件</vt:lpstr>
      <vt:lpstr>ADR一覧</vt:lpstr>
      <vt:lpstr>WBS(基本設計)</vt:lpstr>
      <vt:lpstr>WBS(詳細設計_製造)</vt:lpstr>
      <vt:lpstr>WBS(テスト)</vt:lpstr>
      <vt:lpstr>Git照合スクリプト</vt:lpstr>
      <vt:lpstr>DR案別コスト</vt:lpstr>
      <vt:lpstr>RH照会</vt:lpstr>
      <vt:lpstr>RH照会_メール添付用</vt:lpstr>
      <vt:lpstr>QA(方式検討)</vt:lpstr>
      <vt:lpstr>分岐プール</vt:lpstr>
      <vt:lpstr>機能一覧</vt:lpstr>
      <vt:lpstr>'QA(方式検討)'!Print_Area</vt:lpstr>
      <vt:lpstr>RH照会!Print_Area</vt:lpstr>
      <vt:lpstr>RH照会_メール添付用!Print_Area</vt:lpstr>
      <vt:lpstr>'QA(方式検討)'!Print_Titles</vt:lpstr>
      <vt:lpstr>RH照会!Print_Titles</vt:lpstr>
      <vt:lpstr>RH照会_メール添付用!Print_Titles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昌平 末永</dc:creator>
  <cp:lastModifiedBy>昌平 末永</cp:lastModifiedBy>
  <dcterms:created xsi:type="dcterms:W3CDTF">2026-08-10T06:54:40Z</dcterms:created>
  <dcterms:modified xsi:type="dcterms:W3CDTF">2026-08-26T11:29:16Z</dcterms:modified>
</cp:coreProperties>
</file>