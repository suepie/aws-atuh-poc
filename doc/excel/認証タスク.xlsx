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F09A3B0F-C440-4C4A-A8C9-FB59D67B5FBF}" xr6:coauthVersionLast="47" xr6:coauthVersionMax="47" xr10:uidLastSave="{00000000-0000-0000-0000-000000000000}"/>
  <bookViews>
    <workbookView xWindow="-2480" yWindow="-21600" windowWidth="38400" windowHeight="21600" firstSheet="5" activeTab="9"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 name="DR案別コスト" sheetId="14" r:id="rId14"/>
    <sheet name="RH照会" sheetId="22" r:id="rId15"/>
    <sheet name="RH照会_メール添付用" sheetId="23" r:id="rId16"/>
    <sheet name="QA(方式検討)" sheetId="24" r:id="rId17"/>
    <sheet name="分岐プール" sheetId="25" r:id="rId18"/>
    <sheet name="機能一覧" sheetId="26" r:id="rId19"/>
    <sheet name="問い合わせQA" sheetId="27" r:id="rId20"/>
    <sheet name="サマリ(機能・担当)" sheetId="28" r:id="rId21"/>
  </sheets>
  <definedNames>
    <definedName name="_xlnm._FilterDatabase" localSheetId="8" hidden="1">ADR一覧!$A$5:$E$72</definedName>
    <definedName name="_xlnm._FilterDatabase" localSheetId="16" hidden="1">'QA(方式検討)'!$A$6:$M$13</definedName>
    <definedName name="_xlnm._FilterDatabase" localSheetId="14" hidden="1">RH照会!$A$5:$N$48</definedName>
    <definedName name="_xlnm._FilterDatabase" localSheetId="11" hidden="1">'WBS(テスト)'!$A$5:$G$55</definedName>
    <definedName name="_xlnm._FilterDatabase" localSheetId="9" hidden="1">'WBS(基本設計)'!$A$6:$T$456</definedName>
    <definedName name="_xlnm._FilterDatabase" localSheetId="10" hidden="1">'WBS(詳細設計_製造)'!$A$5:$P$227</definedName>
    <definedName name="_xlnm._FilterDatabase" localSheetId="1" hidden="1">コスト見積もり!$A$24:$M$59</definedName>
    <definedName name="_xlnm._FilterDatabase" localSheetId="18" hidden="1">機能一覧!$A$6:$H$97</definedName>
    <definedName name="_xlnm._FilterDatabase" localSheetId="4" hidden="1">進捗一覧!$A$3:$T$337</definedName>
    <definedName name="_xlnm._FilterDatabase" localSheetId="7" hidden="1">設計→要件!$A$5:$F$55</definedName>
    <definedName name="_xlnm._FilterDatabase" localSheetId="5" hidden="1">設計決定一覧!$A$4:$E$189</definedName>
    <definedName name="_xlnm._FilterDatabase" localSheetId="17" hidden="1">分岐プール!$A$7:$F$44</definedName>
    <definedName name="_xlnm._FilterDatabase" localSheetId="6" hidden="1">要件→設計!$A$4:$H$183</definedName>
    <definedName name="_xlnm.Print_Area" localSheetId="16">'QA(方式検討)'!$A$1:$I$13</definedName>
    <definedName name="_xlnm.Print_Area" localSheetId="14">RH照会!$A$1:$J$48</definedName>
    <definedName name="_xlnm.Print_Area" localSheetId="15">RH照会_メール添付用!$A$1:$C$47</definedName>
    <definedName name="_xlnm.Print_Titles" localSheetId="16">'QA(方式検討)'!$6:$6</definedName>
    <definedName name="_xlnm.Print_Titles" localSheetId="14">RH照会!$5:$5</definedName>
    <definedName name="_xlnm.Print_Titles" localSheetId="15">RH照会_メール添付用!$4:$4</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8" i="7" l="1"/>
  <c r="B38" i="7"/>
  <c r="I41" i="2"/>
  <c r="I40" i="2"/>
  <c r="I39" i="2"/>
  <c r="I38" i="2"/>
  <c r="I37" i="2"/>
  <c r="I36" i="2"/>
  <c r="I35" i="2"/>
  <c r="I34" i="2"/>
  <c r="H4" i="8"/>
  <c r="C92" i="28" a="1"/>
  <c r="C92" i="28" s="1"/>
  <c r="B92" i="28" a="1"/>
  <c r="B92" i="28" s="1"/>
  <c r="C91" i="28" a="1"/>
  <c r="C91" i="28" s="1"/>
  <c r="B91" i="28" a="1"/>
  <c r="B91" i="28" s="1"/>
  <c r="C90" i="28" a="1"/>
  <c r="C90" i="28" s="1"/>
  <c r="B90" i="28" a="1"/>
  <c r="B90" i="28" s="1"/>
  <c r="C89" i="28" a="1"/>
  <c r="C89" i="28" s="1"/>
  <c r="B89" i="28" a="1"/>
  <c r="B89" i="28" s="1"/>
  <c r="C88" i="28" a="1"/>
  <c r="C88" i="28" s="1"/>
  <c r="B88" i="28" a="1"/>
  <c r="B88" i="28" s="1"/>
  <c r="C87" i="28" a="1"/>
  <c r="C87" i="28" s="1"/>
  <c r="B87" i="28" a="1"/>
  <c r="B87" i="28" s="1"/>
  <c r="C86" i="28" a="1"/>
  <c r="C86" i="28" s="1"/>
  <c r="B86" i="28" a="1"/>
  <c r="B86" i="28" s="1"/>
  <c r="C85" i="28" a="1"/>
  <c r="C85" i="28" s="1"/>
  <c r="B85" i="28" a="1"/>
  <c r="B85" i="28" s="1"/>
  <c r="C84" i="28" a="1"/>
  <c r="C84" i="28" s="1"/>
  <c r="B84" i="28" a="1"/>
  <c r="B84" i="28" s="1"/>
  <c r="C83" i="28" a="1"/>
  <c r="C83" i="28" s="1"/>
  <c r="B83" i="28" a="1"/>
  <c r="B83" i="28" s="1"/>
  <c r="C82" i="28" a="1"/>
  <c r="C82" i="28" s="1"/>
  <c r="B82" i="28" a="1"/>
  <c r="B82" i="28" s="1"/>
  <c r="C81" i="28" a="1"/>
  <c r="C81" i="28" s="1"/>
  <c r="B81" i="28" a="1"/>
  <c r="B81" i="28" s="1"/>
  <c r="C80" i="28" a="1"/>
  <c r="C80" i="28" s="1"/>
  <c r="B80" i="28" a="1"/>
  <c r="B80" i="28" s="1"/>
  <c r="C79" i="28" a="1"/>
  <c r="C79" i="28" s="1"/>
  <c r="B79" i="28" a="1"/>
  <c r="B79" i="28" s="1"/>
  <c r="C78" i="28" a="1"/>
  <c r="C78" i="28" s="1"/>
  <c r="B78" i="28" a="1"/>
  <c r="B78" i="28" s="1"/>
  <c r="C77" i="28" a="1"/>
  <c r="C77" i="28" s="1"/>
  <c r="B77" i="28" a="1"/>
  <c r="B77" i="28" s="1"/>
  <c r="C76" i="28" a="1"/>
  <c r="C76" i="28" s="1"/>
  <c r="B76" i="28" a="1"/>
  <c r="B76" i="28" s="1"/>
  <c r="A72" i="28" a="1"/>
  <c r="A72" i="28" s="1"/>
  <c r="D71" i="28"/>
  <c r="D70" i="28"/>
  <c r="C70" i="28"/>
  <c r="B70" i="28"/>
  <c r="D69" i="28"/>
  <c r="C69" i="28"/>
  <c r="B69" i="28"/>
  <c r="D68" i="28"/>
  <c r="C68" i="28"/>
  <c r="B68" i="28"/>
  <c r="D67" i="28"/>
  <c r="C67" i="28"/>
  <c r="B67" i="28"/>
  <c r="D66" i="28"/>
  <c r="C66" i="28"/>
  <c r="B66" i="28"/>
  <c r="D65" i="28"/>
  <c r="C65" i="28"/>
  <c r="B65" i="28"/>
  <c r="D64" i="28"/>
  <c r="C64" i="28"/>
  <c r="B64" i="28"/>
  <c r="D63" i="28"/>
  <c r="C63" i="28"/>
  <c r="B63" i="28"/>
  <c r="F57" i="28" a="1"/>
  <c r="F57" i="28" s="1"/>
  <c r="E57" i="28" a="1"/>
  <c r="E57" i="28" s="1"/>
  <c r="D57" i="28" a="1"/>
  <c r="D57" i="28" s="1"/>
  <c r="C57" i="28" a="1"/>
  <c r="C57" i="28" s="1"/>
  <c r="A57" i="28"/>
  <c r="F56" i="28" a="1"/>
  <c r="F56" i="28" s="1"/>
  <c r="E56" i="28" a="1"/>
  <c r="E56" i="28" s="1"/>
  <c r="D56" i="28" a="1"/>
  <c r="D56" i="28" s="1"/>
  <c r="C56" i="28" a="1"/>
  <c r="C56" i="28" s="1"/>
  <c r="A56" i="28"/>
  <c r="F55" i="28" a="1"/>
  <c r="F55" i="28" s="1"/>
  <c r="E55" i="28" a="1"/>
  <c r="E55" i="28" s="1"/>
  <c r="D55" i="28" a="1"/>
  <c r="D55" i="28" s="1"/>
  <c r="C55" i="28" a="1"/>
  <c r="C55" i="28" s="1"/>
  <c r="A55" i="28"/>
  <c r="F54" i="28" a="1"/>
  <c r="F54" i="28" s="1"/>
  <c r="E54" i="28" a="1"/>
  <c r="E54" i="28" s="1"/>
  <c r="D54" i="28" a="1"/>
  <c r="D54" i="28" s="1"/>
  <c r="C54" i="28" a="1"/>
  <c r="C54" i="28" s="1"/>
  <c r="A54" i="28"/>
  <c r="F53" i="28" a="1"/>
  <c r="F53" i="28" s="1"/>
  <c r="E53" i="28" a="1"/>
  <c r="E53" i="28" s="1"/>
  <c r="D53" i="28" a="1"/>
  <c r="D53" i="28" s="1"/>
  <c r="C53" i="28" a="1"/>
  <c r="C53" i="28" s="1"/>
  <c r="A53" i="28"/>
  <c r="F52" i="28" a="1"/>
  <c r="F52" i="28" s="1"/>
  <c r="E52" i="28" a="1"/>
  <c r="E52" i="28" s="1"/>
  <c r="D52" i="28" a="1"/>
  <c r="D52" i="28" s="1"/>
  <c r="C52" i="28" a="1"/>
  <c r="C52" i="28" s="1"/>
  <c r="A52" i="28"/>
  <c r="F51" i="28" a="1"/>
  <c r="F51" i="28" s="1"/>
  <c r="E51" i="28" a="1"/>
  <c r="E51" i="28" s="1"/>
  <c r="D51" i="28" a="1"/>
  <c r="D51" i="28" s="1"/>
  <c r="C51" i="28" a="1"/>
  <c r="C51" i="28" s="1"/>
  <c r="A51" i="28"/>
  <c r="F50" i="28" a="1"/>
  <c r="F50" i="28" s="1"/>
  <c r="E50" i="28" a="1"/>
  <c r="E50" i="28" s="1"/>
  <c r="D50" i="28" a="1"/>
  <c r="D50" i="28" s="1"/>
  <c r="C50" i="28" a="1"/>
  <c r="C50" i="28" s="1"/>
  <c r="A50" i="28"/>
  <c r="F49" i="28" a="1"/>
  <c r="F49" i="28" s="1"/>
  <c r="E49" i="28" a="1"/>
  <c r="E49" i="28" s="1"/>
  <c r="D49" i="28" a="1"/>
  <c r="D49" i="28" s="1"/>
  <c r="C49" i="28" a="1"/>
  <c r="C49" i="28" s="1"/>
  <c r="A49" i="28"/>
  <c r="F48" i="28" a="1"/>
  <c r="F48" i="28" s="1"/>
  <c r="E48" i="28" a="1"/>
  <c r="E48" i="28" s="1"/>
  <c r="D48" i="28" a="1"/>
  <c r="D48" i="28" s="1"/>
  <c r="C48" i="28" a="1"/>
  <c r="C48" i="28" s="1"/>
  <c r="A48" i="28"/>
  <c r="F47" i="28" a="1"/>
  <c r="F47" i="28" s="1"/>
  <c r="E47" i="28" a="1"/>
  <c r="E47" i="28" s="1"/>
  <c r="D47" i="28" a="1"/>
  <c r="D47" i="28" s="1"/>
  <c r="C47" i="28" a="1"/>
  <c r="C47" i="28" s="1"/>
  <c r="A47" i="28"/>
  <c r="F46" i="28" a="1"/>
  <c r="F46" i="28" s="1"/>
  <c r="E46" i="28" a="1"/>
  <c r="E46" i="28" s="1"/>
  <c r="D46" i="28" a="1"/>
  <c r="D46" i="28" s="1"/>
  <c r="C46" i="28" a="1"/>
  <c r="C46" i="28" s="1"/>
  <c r="A46" i="28"/>
  <c r="F45" i="28" a="1"/>
  <c r="F45" i="28" s="1"/>
  <c r="E45" i="28" a="1"/>
  <c r="E45" i="28" s="1"/>
  <c r="D45" i="28" a="1"/>
  <c r="D45" i="28" s="1"/>
  <c r="C45" i="28" a="1"/>
  <c r="C45" i="28" s="1"/>
  <c r="A45" i="28"/>
  <c r="F44" i="28" a="1"/>
  <c r="F44" i="28" s="1"/>
  <c r="E44" i="28" a="1"/>
  <c r="E44" i="28" s="1"/>
  <c r="D44" i="28" a="1"/>
  <c r="D44" i="28" s="1"/>
  <c r="C44" i="28" a="1"/>
  <c r="C44" i="28" s="1"/>
  <c r="A44" i="28"/>
  <c r="F43" i="28" a="1"/>
  <c r="F43" i="28" s="1"/>
  <c r="E43" i="28" a="1"/>
  <c r="E43" i="28" s="1"/>
  <c r="D43" i="28" a="1"/>
  <c r="D43" i="28" s="1"/>
  <c r="C43" i="28" a="1"/>
  <c r="C43" i="28" s="1"/>
  <c r="A43" i="28"/>
  <c r="F42" i="28" a="1"/>
  <c r="F42" i="28" s="1"/>
  <c r="E42" i="28" a="1"/>
  <c r="E42" i="28" s="1"/>
  <c r="D42" i="28" a="1"/>
  <c r="D42" i="28" s="1"/>
  <c r="C42" i="28" a="1"/>
  <c r="C42" i="28" s="1"/>
  <c r="A42" i="28"/>
  <c r="F41" i="28" a="1"/>
  <c r="F41" i="28" s="1"/>
  <c r="E41" i="28" a="1"/>
  <c r="E41" i="28" s="1"/>
  <c r="D41" i="28" a="1"/>
  <c r="D41" i="28" s="1"/>
  <c r="C41" i="28" a="1"/>
  <c r="C41" i="28" s="1"/>
  <c r="A41" i="28"/>
  <c r="F40" i="28" a="1"/>
  <c r="F40" i="28" s="1"/>
  <c r="E40" i="28" a="1"/>
  <c r="E40" i="28" s="1"/>
  <c r="D40" i="28" a="1"/>
  <c r="D40" i="28" s="1"/>
  <c r="C40" i="28" a="1"/>
  <c r="C40" i="28" s="1"/>
  <c r="A40" i="28"/>
  <c r="F39" i="28" a="1"/>
  <c r="F39" i="28" s="1"/>
  <c r="E39" i="28" a="1"/>
  <c r="E39" i="28" s="1"/>
  <c r="D39" i="28" a="1"/>
  <c r="D39" i="28" s="1"/>
  <c r="C39" i="28" a="1"/>
  <c r="C39" i="28" s="1"/>
  <c r="A39" i="28"/>
  <c r="F38" i="28" a="1"/>
  <c r="F38" i="28" s="1"/>
  <c r="E38" i="28" a="1"/>
  <c r="E38" i="28" s="1"/>
  <c r="D38" i="28" a="1"/>
  <c r="D38" i="28" s="1"/>
  <c r="C38" i="28" a="1"/>
  <c r="C38" i="28" s="1"/>
  <c r="A38" i="28"/>
  <c r="F37" i="28" a="1"/>
  <c r="F37" i="28" s="1"/>
  <c r="E37" i="28" a="1"/>
  <c r="E37" i="28" s="1"/>
  <c r="D37" i="28" a="1"/>
  <c r="D37" i="28" s="1"/>
  <c r="C37" i="28" a="1"/>
  <c r="C37" i="28" s="1"/>
  <c r="A37" i="28"/>
  <c r="F36" i="28" a="1"/>
  <c r="F36" i="28" s="1"/>
  <c r="E36" i="28" a="1"/>
  <c r="E36" i="28" s="1"/>
  <c r="D36" i="28" a="1"/>
  <c r="D36" i="28" s="1"/>
  <c r="C36" i="28" a="1"/>
  <c r="C36" i="28" s="1"/>
  <c r="A36" i="28"/>
  <c r="F35" i="28" a="1"/>
  <c r="F35" i="28" s="1"/>
  <c r="E35" i="28" a="1"/>
  <c r="E35" i="28" s="1"/>
  <c r="D35" i="28" a="1"/>
  <c r="D35" i="28" s="1"/>
  <c r="C35" i="28" a="1"/>
  <c r="C35" i="28" s="1"/>
  <c r="A35" i="28"/>
  <c r="F34" i="28" a="1"/>
  <c r="F34" i="28" s="1"/>
  <c r="E34" i="28" a="1"/>
  <c r="E34" i="28" s="1"/>
  <c r="D34" i="28" a="1"/>
  <c r="D34" i="28" s="1"/>
  <c r="C34" i="28" a="1"/>
  <c r="C34" i="28" s="1"/>
  <c r="A34" i="28"/>
  <c r="F33" i="28" a="1"/>
  <c r="F33" i="28" s="1"/>
  <c r="E33" i="28" a="1"/>
  <c r="E33" i="28" s="1"/>
  <c r="D33" i="28" a="1"/>
  <c r="D33" i="28" s="1"/>
  <c r="C33" i="28" a="1"/>
  <c r="C33" i="28" s="1"/>
  <c r="A33" i="28"/>
  <c r="F32" i="28" a="1"/>
  <c r="F32" i="28" s="1"/>
  <c r="E32" i="28" a="1"/>
  <c r="E32" i="28" s="1"/>
  <c r="D32" i="28" a="1"/>
  <c r="D32" i="28" s="1"/>
  <c r="C32" i="28" a="1"/>
  <c r="C32" i="28" s="1"/>
  <c r="A32" i="28"/>
  <c r="F31" i="28" a="1"/>
  <c r="F31" i="28" s="1"/>
  <c r="E31" i="28" a="1"/>
  <c r="E31" i="28" s="1"/>
  <c r="D31" i="28" a="1"/>
  <c r="D31" i="28" s="1"/>
  <c r="C31" i="28" a="1"/>
  <c r="C31" i="28" s="1"/>
  <c r="A31" i="28"/>
  <c r="F30" i="28" a="1"/>
  <c r="F30" i="28" s="1"/>
  <c r="E30" i="28" a="1"/>
  <c r="E30" i="28" s="1"/>
  <c r="D30" i="28" a="1"/>
  <c r="D30" i="28" s="1"/>
  <c r="C30" i="28" a="1"/>
  <c r="C30" i="28" s="1"/>
  <c r="A30" i="28"/>
  <c r="F29" i="28" a="1"/>
  <c r="F29" i="28" s="1"/>
  <c r="E29" i="28" a="1"/>
  <c r="E29" i="28" s="1"/>
  <c r="D29" i="28" a="1"/>
  <c r="D29" i="28" s="1"/>
  <c r="C29" i="28" a="1"/>
  <c r="C29" i="28" s="1"/>
  <c r="A29" i="28"/>
  <c r="F28" i="28" a="1"/>
  <c r="F28" i="28" s="1"/>
  <c r="E28" i="28" a="1"/>
  <c r="E28" i="28" s="1"/>
  <c r="D28" i="28" a="1"/>
  <c r="D28" i="28" s="1"/>
  <c r="C28" i="28" a="1"/>
  <c r="C28" i="28" s="1"/>
  <c r="A28" i="28"/>
  <c r="F27" i="28" a="1"/>
  <c r="F27" i="28" s="1"/>
  <c r="E27" i="28" a="1"/>
  <c r="E27" i="28" s="1"/>
  <c r="D27" i="28" a="1"/>
  <c r="D27" i="28" s="1"/>
  <c r="C27" i="28" a="1"/>
  <c r="C27" i="28" s="1"/>
  <c r="A27" i="28"/>
  <c r="E21" i="28" a="1"/>
  <c r="E21" i="28" s="1"/>
  <c r="D21" i="28" a="1"/>
  <c r="D21" i="28" s="1"/>
  <c r="C21" i="28" a="1"/>
  <c r="C21" i="28" s="1"/>
  <c r="B21" i="28" a="1"/>
  <c r="B21" i="28" s="1"/>
  <c r="E20" i="28" a="1"/>
  <c r="E20" i="28" s="1"/>
  <c r="D20" i="28" a="1"/>
  <c r="D20" i="28" s="1"/>
  <c r="C20" i="28" a="1"/>
  <c r="C20" i="28" s="1"/>
  <c r="B20" i="28" a="1"/>
  <c r="B20" i="28" s="1"/>
  <c r="E19" i="28" a="1"/>
  <c r="E19" i="28" s="1"/>
  <c r="D19" i="28" a="1"/>
  <c r="D19" i="28" s="1"/>
  <c r="C19" i="28" a="1"/>
  <c r="C19" i="28" s="1"/>
  <c r="B19" i="28" a="1"/>
  <c r="B19" i="28" s="1"/>
  <c r="E18" i="28" a="1"/>
  <c r="E18" i="28" s="1"/>
  <c r="D18" i="28" a="1"/>
  <c r="D18" i="28" s="1"/>
  <c r="C18" i="28" a="1"/>
  <c r="C18" i="28" s="1"/>
  <c r="B18" i="28" a="1"/>
  <c r="B18" i="28" s="1"/>
  <c r="E17" i="28" a="1"/>
  <c r="E17" i="28" s="1"/>
  <c r="D17" i="28" a="1"/>
  <c r="D17" i="28" s="1"/>
  <c r="C17" i="28" a="1"/>
  <c r="C17" i="28" s="1"/>
  <c r="B17" i="28" a="1"/>
  <c r="B17" i="28" s="1"/>
  <c r="E16" i="28" a="1"/>
  <c r="E16" i="28" s="1"/>
  <c r="D16" i="28" a="1"/>
  <c r="D16" i="28" s="1"/>
  <c r="C16" i="28" a="1"/>
  <c r="C16" i="28" s="1"/>
  <c r="B16" i="28" a="1"/>
  <c r="B16" i="28" s="1"/>
  <c r="E15" i="28" a="1"/>
  <c r="E15" i="28" s="1"/>
  <c r="D15" i="28" a="1"/>
  <c r="D15" i="28" s="1"/>
  <c r="C15" i="28" a="1"/>
  <c r="C15" i="28" s="1"/>
  <c r="B15" i="28" a="1"/>
  <c r="B15" i="28" s="1"/>
  <c r="E9" i="28" a="1"/>
  <c r="E9" i="28" s="1"/>
  <c r="D9" i="28" a="1"/>
  <c r="D9" i="28" s="1"/>
  <c r="C9" i="28"/>
  <c r="B9" i="28"/>
  <c r="E8" i="28" a="1"/>
  <c r="E8" i="28" s="1"/>
  <c r="D8" i="28" a="1"/>
  <c r="D8" i="28" s="1"/>
  <c r="C8" i="28"/>
  <c r="B8" i="28"/>
  <c r="E7" i="28" a="1"/>
  <c r="E7" i="28" s="1"/>
  <c r="D7" i="28" a="1"/>
  <c r="D7" i="28" s="1"/>
  <c r="C7" i="28"/>
  <c r="B7" i="28"/>
  <c r="E6" i="28" a="1"/>
  <c r="E6" i="28" s="1"/>
  <c r="D6" i="28" a="1"/>
  <c r="D6" i="28" s="1"/>
  <c r="C6" i="28"/>
  <c r="B6" i="28"/>
  <c r="B52" i="7"/>
  <c r="D105" i="2"/>
  <c r="C104" i="2"/>
  <c r="C106" i="2" s="1"/>
  <c r="B104" i="2"/>
  <c r="B106" i="2" s="1"/>
  <c r="D103" i="2"/>
  <c r="D102" i="2"/>
  <c r="D101" i="2"/>
  <c r="D100" i="2"/>
  <c r="D91" i="2"/>
  <c r="C93" i="2"/>
  <c r="D93" i="2"/>
  <c r="C91" i="2"/>
  <c r="B91" i="2"/>
  <c r="B93" i="2" s="1"/>
  <c r="D39" i="7"/>
  <c r="B39" i="7"/>
  <c r="C52" i="25"/>
  <c r="B52" i="25"/>
  <c r="B51" i="25"/>
  <c r="B50" i="25"/>
  <c r="B49" i="25"/>
  <c r="B48" i="25"/>
  <c r="G3" i="10"/>
  <c r="E4" i="10"/>
  <c r="F4" i="10" s="1"/>
  <c r="G4" i="10" s="1"/>
  <c r="D41" i="7"/>
  <c r="B41" i="7"/>
  <c r="C74" i="10"/>
  <c r="B74" i="10"/>
  <c r="C73" i="10"/>
  <c r="E73" i="10" s="1"/>
  <c r="B73" i="10"/>
  <c r="C72" i="10"/>
  <c r="E72" i="10" s="1"/>
  <c r="B72" i="10"/>
  <c r="C71" i="10"/>
  <c r="E71" i="10" s="1"/>
  <c r="B71" i="10"/>
  <c r="C70" i="10"/>
  <c r="B70" i="10"/>
  <c r="C69" i="10"/>
  <c r="E69" i="10" s="1"/>
  <c r="B69" i="10"/>
  <c r="C68" i="10"/>
  <c r="E68" i="10" s="1"/>
  <c r="B68" i="10"/>
  <c r="C67" i="10"/>
  <c r="E67" i="10" s="1"/>
  <c r="B67" i="10"/>
  <c r="C66" i="10"/>
  <c r="E66" i="10" s="1"/>
  <c r="B66" i="10"/>
  <c r="C65" i="10"/>
  <c r="E65" i="10" s="1"/>
  <c r="B65" i="10"/>
  <c r="C64" i="10"/>
  <c r="E64" i="10" s="1"/>
  <c r="B64" i="10"/>
  <c r="J42" i="2"/>
  <c r="E70" i="10"/>
  <c r="D85" i="10"/>
  <c r="A5" i="7"/>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E33" i="7" s="1"/>
  <c r="F26" i="7"/>
  <c r="G26" i="7"/>
  <c r="B27" i="7"/>
  <c r="C27" i="7"/>
  <c r="D27" i="7"/>
  <c r="E27" i="7"/>
  <c r="F27" i="7"/>
  <c r="G27" i="7"/>
  <c r="G33" i="7" s="1"/>
  <c r="B28" i="7"/>
  <c r="C28" i="7"/>
  <c r="D28" i="7"/>
  <c r="E28" i="7"/>
  <c r="F28" i="7"/>
  <c r="G28" i="7"/>
  <c r="B29" i="7"/>
  <c r="C29" i="7"/>
  <c r="C33" i="7" s="1"/>
  <c r="D29" i="7"/>
  <c r="E29" i="7"/>
  <c r="F29" i="7"/>
  <c r="G29" i="7"/>
  <c r="B30" i="7"/>
  <c r="C30" i="7"/>
  <c r="D30" i="7"/>
  <c r="E30" i="7"/>
  <c r="F30" i="7"/>
  <c r="F33" i="7" s="1"/>
  <c r="G30" i="7"/>
  <c r="B31" i="7"/>
  <c r="C31" i="7"/>
  <c r="D31" i="7"/>
  <c r="E31" i="7"/>
  <c r="F31" i="7"/>
  <c r="G31" i="7"/>
  <c r="B32" i="7"/>
  <c r="B33" i="7" s="1"/>
  <c r="C32" i="7"/>
  <c r="D32" i="7"/>
  <c r="D33" i="7" s="1"/>
  <c r="E32" i="7"/>
  <c r="F32" i="7"/>
  <c r="G32" i="7"/>
  <c r="B7" i="2"/>
  <c r="C7" i="2"/>
  <c r="D7" i="2"/>
  <c r="E7" i="2"/>
  <c r="F7" i="2"/>
  <c r="G7" i="2"/>
  <c r="B8" i="2"/>
  <c r="C8" i="2"/>
  <c r="D8" i="2"/>
  <c r="E8" i="2"/>
  <c r="F8" i="2"/>
  <c r="G8" i="2"/>
  <c r="B9" i="2"/>
  <c r="C9" i="2"/>
  <c r="D9" i="2"/>
  <c r="E9" i="2"/>
  <c r="F9" i="2"/>
  <c r="G9" i="2"/>
  <c r="B10" i="2"/>
  <c r="C10" i="2"/>
  <c r="D10" i="2"/>
  <c r="E10" i="2"/>
  <c r="F10" i="2"/>
  <c r="G10" i="2"/>
  <c r="B11" i="2"/>
  <c r="B13" i="2" s="1"/>
  <c r="H13" i="2" s="1"/>
  <c r="C11" i="2"/>
  <c r="D11" i="2"/>
  <c r="E11" i="2"/>
  <c r="F11" i="2"/>
  <c r="F13" i="2" s="1"/>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8" i="2"/>
  <c r="B59" i="2"/>
  <c r="B60" i="2"/>
  <c r="B61" i="2"/>
  <c r="B62" i="2"/>
  <c r="B68" i="2"/>
  <c r="B69" i="2"/>
  <c r="B70" i="2"/>
  <c r="B71" i="2"/>
  <c r="B72" i="2"/>
  <c r="B73" i="2"/>
  <c r="F31" i="14"/>
  <c r="D37" i="14" s="1"/>
  <c r="E31" i="14"/>
  <c r="C37" i="14" s="1"/>
  <c r="E30" i="14"/>
  <c r="C36" i="14" s="1"/>
  <c r="D29" i="14"/>
  <c r="B35" i="14" s="1"/>
  <c r="L28" i="14"/>
  <c r="K28" i="14"/>
  <c r="J28" i="14"/>
  <c r="L27" i="14"/>
  <c r="K27" i="14"/>
  <c r="J27" i="14"/>
  <c r="L26" i="14"/>
  <c r="F30" i="14" s="1"/>
  <c r="D36" i="14" s="1"/>
  <c r="K26" i="14"/>
  <c r="E29" i="14" s="1"/>
  <c r="C35" i="14" s="1"/>
  <c r="J26" i="14"/>
  <c r="D31" i="14" s="1"/>
  <c r="B37" i="14" s="1"/>
  <c r="A85" i="12"/>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G55" i="28" l="1"/>
  <c r="G56" i="28"/>
  <c r="B10" i="28"/>
  <c r="G53" i="28"/>
  <c r="F17" i="28"/>
  <c r="G45" i="28"/>
  <c r="C10" i="28"/>
  <c r="D22" i="28"/>
  <c r="E10" i="28"/>
  <c r="F8" i="28" s="1"/>
  <c r="D10" i="28"/>
  <c r="G41" i="28"/>
  <c r="G28" i="28"/>
  <c r="G34" i="28"/>
  <c r="G36" i="28"/>
  <c r="F16" i="28"/>
  <c r="G49" i="28"/>
  <c r="G46" i="28"/>
  <c r="F21" i="28"/>
  <c r="G29" i="28"/>
  <c r="G37" i="28"/>
  <c r="F15" i="28"/>
  <c r="G39" i="28"/>
  <c r="E58" i="28"/>
  <c r="G30" i="28"/>
  <c r="G32" i="28"/>
  <c r="G38" i="28"/>
  <c r="G40" i="28"/>
  <c r="G43" i="28"/>
  <c r="F58" i="28"/>
  <c r="C22" i="28"/>
  <c r="G48" i="28"/>
  <c r="G51" i="28"/>
  <c r="G54" i="28"/>
  <c r="F19" i="28"/>
  <c r="G31" i="28"/>
  <c r="G57" i="28"/>
  <c r="F18" i="28"/>
  <c r="F20" i="28"/>
  <c r="G33" i="28"/>
  <c r="G42" i="28"/>
  <c r="G44" i="28"/>
  <c r="G47" i="28"/>
  <c r="G50" i="28"/>
  <c r="C71" i="28"/>
  <c r="C58" i="28"/>
  <c r="B93" i="28"/>
  <c r="E22" i="28"/>
  <c r="G27" i="28"/>
  <c r="G35" i="28"/>
  <c r="G52" i="28"/>
  <c r="B71" i="28"/>
  <c r="C93" i="28"/>
  <c r="B22" i="28"/>
  <c r="D58" i="28"/>
  <c r="D104" i="2"/>
  <c r="D106" i="2"/>
  <c r="B53" i="7"/>
  <c r="B54" i="7"/>
  <c r="I42" i="2"/>
  <c r="E13" i="2"/>
  <c r="C13" i="2"/>
  <c r="D13" i="2"/>
  <c r="G13" i="2"/>
  <c r="D86" i="10"/>
  <c r="B63" i="2"/>
  <c r="C60" i="2" s="1"/>
  <c r="B74" i="2"/>
  <c r="F29" i="14"/>
  <c r="D35" i="14" s="1"/>
  <c r="D30" i="14"/>
  <c r="B36" i="14" s="1"/>
  <c r="A41" i="14" s="1"/>
  <c r="F9" i="28" l="1"/>
  <c r="F7" i="28"/>
  <c r="F6" i="28"/>
  <c r="F22" i="28"/>
  <c r="G58" i="28"/>
  <c r="E74" i="10"/>
  <c r="C62" i="2"/>
  <c r="E74" i="2"/>
  <c r="C69" i="2"/>
  <c r="C73" i="2"/>
  <c r="C70" i="2"/>
  <c r="C74" i="2"/>
  <c r="C71" i="2"/>
  <c r="C61" i="2"/>
  <c r="C63" i="2"/>
  <c r="E63" i="2"/>
  <c r="C58" i="2"/>
  <c r="C59" i="2"/>
  <c r="C68" i="2"/>
  <c r="C72" i="2"/>
  <c r="A40" i="14"/>
  <c r="F10" i="28" l="1"/>
  <c r="F70" i="12" l="1"/>
  <c r="B70" i="12"/>
  <c r="B64" i="12"/>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H7" i="6"/>
  <c r="H8" i="6"/>
  <c r="H9" i="6"/>
  <c r="H10" i="6"/>
  <c r="H11" i="6"/>
  <c r="H12" i="6"/>
  <c r="H13" i="6" l="1"/>
  <c r="I13" i="6" s="1"/>
  <c r="L60" i="12"/>
  <c r="D74" i="12" s="1"/>
  <c r="D75" i="12" s="1"/>
  <c r="D79" i="12" s="1"/>
  <c r="K60" i="12"/>
  <c r="C74" i="12" s="1"/>
  <c r="C76" i="12" s="1"/>
  <c r="C77" i="12" s="1"/>
  <c r="C78" i="12" s="1"/>
  <c r="J60" i="12"/>
  <c r="B74" i="12" s="1"/>
  <c r="B75" i="12" s="1"/>
  <c r="B79" i="12" s="1"/>
  <c r="D65" i="12"/>
  <c r="C70" i="12"/>
  <c r="E64" i="12"/>
  <c r="E70" i="12" s="1"/>
  <c r="D64" i="12"/>
  <c r="B42" i="7" l="1"/>
  <c r="B43" i="7" s="1"/>
  <c r="C75" i="12"/>
  <c r="C79" i="12" s="1"/>
  <c r="B76" i="12"/>
  <c r="B77" i="12" s="1"/>
  <c r="B78" i="12" s="1"/>
  <c r="D76" i="12"/>
  <c r="D77" i="12" s="1"/>
  <c r="D78" i="12" s="1"/>
  <c r="D70" i="12"/>
  <c r="C54" i="7" l="1"/>
  <c r="C53" i="7"/>
  <c r="C52"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<sst xmlns="http://schemas.openxmlformats.org/spreadsheetml/2006/main" count="21817" uniqueCount="8717">
  <si>
    <t>認証基盤 要件定義・基本設計 進捗一覧</t>
  </si>
  <si>
    <t>区分</t>
  </si>
  <si>
    <t>確定</t>
  </si>
  <si>
    <t>検討中</t>
  </si>
  <si>
    <t>未着手</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</si>
  <si>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</si>
  <si>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</si>
  <si>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</si>
  <si>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</si>
  <si>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</si>
  <si>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</si>
  <si>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</si>
  <si>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</si>
  <si>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</si>
  <si>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</si>
  <si>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</si>
  <si>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</si>
  <si>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</si>
  <si>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</si>
  <si>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</si>
  <si>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</si>
  <si>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</si>
  <si>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</si>
  <si>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</si>
  <si>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</si>
  <si>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</si>
  <si>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</si>
  <si>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</si>
  <si>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</si>
  <si>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</si>
  <si>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</si>
  <si>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</si>
  <si>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</si>
  <si>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</si>
  <si>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</si>
  <si>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</si>
  <si>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</si>
  <si>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</si>
  <si>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</si>
  <si>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</si>
  <si>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</si>
  <si>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</si>
  <si>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</si>
  <si>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</si>
  <si>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</si>
  <si>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</si>
  <si>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</si>
  <si>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</si>
  <si>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</si>
  <si>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</si>
  <si>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</si>
  <si>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</si>
  <si>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</si>
  <si>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</si>
  <si>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</si>
  <si>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</si>
  <si>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</si>
  <si>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</si>
  <si>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</si>
  <si>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</si>
  <si>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</si>
  <si>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</si>
  <si>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</si>
  <si>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</si>
  <si>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</si>
  <si>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</si>
  <si>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</si>
  <si>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</si>
  <si>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</si>
  <si>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</si>
  <si>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</si>
  <si>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</si>
  <si>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</si>
  <si>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</si>
  <si>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</si>
  <si>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</si>
  <si>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</si>
  <si>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</si>
  <si>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</si>
  <si>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</si>
  <si>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</si>
  <si>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</si>
  <si>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</si>
  <si>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</si>
  <si>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</si>
  <si>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</si>
  <si>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</si>
  <si>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</si>
  <si>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</si>
  <si>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</si>
  <si>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</si>
  <si>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</si>
  <si>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</si>
  <si>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</si>
  <si>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</si>
  <si>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</si>
  <si>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</si>
  <si>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</si>
  <si>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</si>
  <si>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</si>
  <si>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</si>
  <si>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</si>
  <si>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</si>
  <si>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</si>
  <si>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</si>
  <si>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</si>
  <si>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</si>
  <si>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</si>
  <si>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</si>
  <si>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</si>
  <si>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</si>
  <si>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</si>
  <si>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</si>
  <si>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</si>
  <si>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</si>
  <si>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</si>
  <si>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</si>
  <si>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</si>
  <si>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</si>
  <si>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</si>
  <si>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</si>
  <si>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</si>
  <si>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</si>
  <si>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</si>
  <si>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</si>
  <si>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</si>
  <si>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</si>
  <si>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</si>
  <si>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</si>
  <si>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</si>
  <si>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</si>
  <si>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</si>
  <si>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</si>
  <si>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</si>
  <si>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</si>
  <si>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</si>
  <si>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</si>
  <si>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</si>
  <si>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</si>
  <si>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</si>
  <si>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</si>
  <si>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</si>
  <si>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</si>
  <si>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</si>
  <si>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</si>
  <si>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</si>
  <si>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</si>
  <si>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</si>
  <si>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</si>
  <si>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</si>
  <si>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</si>
  <si>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</si>
  <si>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</si>
  <si>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</si>
  <si>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</si>
  <si>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</si>
  <si>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</si>
  <si>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</si>
  <si>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</si>
  <si>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</si>
  <si>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</si>
  <si>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</si>
  <si>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</si>
  <si>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</si>
  <si>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</si>
  <si>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</si>
  <si>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</si>
  <si>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</si>
  <si>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</si>
  <si>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</si>
  <si>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</si>
  <si>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</si>
  <si>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</si>
  <si>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</si>
  <si>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</si>
  <si>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</si>
  <si>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</si>
  <si>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</si>
  <si>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</si>
  <si>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</si>
  <si>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</si>
  <si>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</si>
  <si>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</si>
  <si>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</si>
  <si>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</si>
  <si>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</si>
  <si>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</si>
  <si>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</si>
  <si>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</si>
  <si>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</si>
  <si>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</si>
  <si>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</si>
  <si>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</si>
  <si>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</si>
  <si>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</si>
  <si>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</si>
  <si>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</si>
  <si>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</si>
  <si>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</si>
  <si>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</si>
  <si>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</si>
  <si>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</si>
  <si>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</si>
  <si>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</si>
  <si>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</si>
  <si>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</si>
  <si>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</si>
  <si>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</si>
  <si>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</si>
  <si>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</si>
  <si>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</si>
  <si>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</si>
  <si>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</si>
  <si>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</si>
  <si>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</si>
  <si>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</si>
  <si>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</si>
  <si>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</si>
  <si>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</si>
  <si>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</si>
  <si>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</si>
  <si>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</si>
  <si>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</si>
  <si>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</si>
  <si>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</si>
  <si>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</si>
  <si>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</si>
  <si>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</si>
  <si>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</si>
  <si>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</si>
  <si>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</si>
  <si>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</si>
  <si>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</si>
  <si>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</si>
  <si>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</si>
  <si>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</si>
  <si>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</si>
  <si>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</si>
  <si>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</si>
  <si>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</si>
  <si>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</si>
  <si>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</si>
  <si>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</si>
  <si>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</si>
  <si>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</si>
  <si>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</si>
  <si>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</si>
  <si>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</si>
  <si>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</si>
  <si>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</si>
  <si>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</si>
  <si>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</si>
  <si>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</si>
  <si>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</si>
  <si>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</si>
  <si>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</si>
  <si>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</si>
  <si>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</si>
  <si>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</si>
  <si>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</si>
  <si>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</si>
  <si>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</si>
  <si>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</si>
  <si>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</si>
  <si>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</si>
  <si>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</si>
  <si>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</si>
  <si>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</si>
  <si>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</si>
  <si>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</si>
  <si>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</si>
  <si>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</si>
  <si>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</si>
  <si>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</si>
  <si>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</si>
  <si>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</si>
  <si>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</si>
  <si>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</si>
  <si>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</si>
  <si>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</si>
  <si>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</si>
  <si>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</si>
  <si>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</si>
  <si>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</si>
  <si>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</si>
  <si>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</si>
  <si>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</si>
  <si>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</si>
  <si>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</si>
  <si>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</si>
  <si>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</si>
  <si>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</si>
  <si>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</si>
  <si>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</si>
  <si>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</si>
  <si>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</si>
  <si>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</si>
  <si>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</si>
  <si>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</si>
  <si>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</si>
  <si>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</si>
  <si>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</si>
  <si>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</si>
  <si>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</si>
  <si>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</si>
  <si>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</si>
  <si>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</si>
  <si>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</si>
  <si>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</si>
  <si>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</si>
  <si>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</si>
  <si>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</si>
  <si>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</si>
  <si>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</si>
  <si>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</si>
  <si>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</si>
  <si>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</si>
  <si>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</si>
  <si>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</si>
  <si>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</si>
  <si>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</si>
  <si>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</si>
  <si>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</si>
  <si>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</si>
  <si>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</si>
  <si>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</si>
  <si>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</si>
  <si>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</si>
  <si>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</si>
  <si>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</si>
  <si>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</si>
  <si>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</si>
  <si>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</si>
  <si>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</si>
  <si>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</si>
  <si>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</si>
  <si>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</si>
  <si>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</si>
  <si>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</si>
  <si>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</si>
  <si>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</si>
  <si>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</si>
  <si>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</si>
  <si>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</si>
  <si>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</si>
  <si>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</si>
  <si>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</si>
  <si>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</si>
  <si>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</si>
  <si>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</si>
  <si>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</si>
  <si>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</si>
  <si>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</si>
  <si>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</si>
  <si>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</si>
  <si>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</si>
  <si>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</si>
  <si>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</si>
  <si>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</si>
  <si>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</si>
  <si>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</si>
  <si>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</si>
  <si>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</si>
  <si>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</si>
  <si>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</si>
  <si>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</si>
  <si>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</si>
  <si>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</si>
  <si>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</si>
  <si>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</si>
  <si>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</si>
  <si>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</si>
  <si>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</si>
  <si>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</si>
  <si>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</si>
  <si>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</si>
  <si>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</si>
  <si>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</si>
  <si>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</si>
  <si>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</si>
  <si>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</si>
  <si>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</si>
  <si>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</si>
  <si>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</si>
  <si>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</si>
  <si>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</si>
  <si>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</si>
  <si>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</si>
  <si>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</si>
  <si>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</si>
  <si>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</si>
  <si>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</si>
  <si>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</si>
  <si>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</si>
  <si>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</si>
  <si>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</si>
  <si>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</si>
  <si>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</si>
  <si>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</si>
  <si>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</si>
  <si>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</si>
  <si>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</si>
  <si>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</si>
  <si>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</si>
  <si>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</si>
  <si>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</si>
  <si>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</si>
  <si>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</si>
  <si>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</si>
  <si>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</si>
  <si>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</si>
  <si>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</si>
  <si>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</si>
  <si>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</si>
  <si>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</si>
  <si>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</si>
  <si>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</si>
  <si>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</si>
  <si>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</si>
  <si>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</si>
  <si>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</si>
  <si>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</si>
  <si>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</si>
  <si>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</si>
  <si>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</si>
  <si>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</si>
  <si>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</si>
  <si>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</si>
  <si>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</si>
  <si>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</si>
  <si>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</si>
  <si>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</si>
  <si>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</si>
  <si>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</si>
  <si>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</si>
  <si>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</si>
  <si>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</si>
  <si>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</si>
  <si>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</si>
  <si>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</si>
  <si>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</si>
  <si>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</si>
  <si>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</si>
  <si>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</si>
  <si>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</si>
  <si>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</si>
  <si>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</si>
  <si>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</si>
  <si>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</si>
  <si>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</si>
  <si>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</si>
  <si>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</si>
  <si>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</si>
  <si>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</si>
  <si>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</si>
  <si>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</si>
  <si>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</si>
  <si>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</si>
  <si>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</si>
  <si>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</si>
  <si>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</si>
  <si>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</si>
  <si>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</si>
  <si>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</si>
  <si>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</si>
  <si>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</si>
  <si>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</si>
  <si>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</si>
  <si>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</si>
  <si>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</si>
  <si>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</si>
  <si>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</si>
  <si>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</si>
  <si>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</si>
  <si>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</si>
  <si>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</si>
  <si>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</si>
  <si>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</si>
  <si>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</si>
  <si>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</si>
  <si>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</si>
  <si>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</si>
  <si>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</si>
  <si>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</si>
  <si>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</si>
  <si>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</si>
  <si>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</si>
  <si>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</si>
  <si>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</si>
  <si>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</si>
  <si>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</si>
  <si>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</si>
  <si>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</si>
  <si>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</si>
  <si>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</si>
  <si>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</si>
  <si>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</si>
  <si>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</si>
  <si>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</si>
  <si>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</si>
  <si>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</si>
  <si>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</si>
  <si>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</si>
  <si>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</si>
  <si>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</si>
  <si>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</si>
  <si>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</si>
  <si>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</si>
  <si>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</si>
  <si>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</si>
  <si>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</si>
  <si>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</si>
  <si>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</si>
  <si>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</si>
  <si>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U6/U9</t>
  </si>
  <si>
    <t>G-EGRESS</t>
  </si>
  <si>
    <t>Egress許可ドメインの追加運用方式</t>
  </si>
  <si>
    <t>U7 セキュリティ</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</si>
  <si>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</si>
  <si>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</si>
  <si>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</si>
  <si>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</si>
  <si>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</si>
  <si>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</si>
  <si>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</si>
  <si>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</si>
  <si>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</si>
  <si>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</si>
  <si>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</si>
  <si>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</si>
  <si>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basic-design/00a-remaining-tasks-and-effort.md §2 A</t>
  </si>
  <si>
    <t>A-2</t>
  </si>
  <si>
    <t>G-SPI-Compat（RHBK 26.4 × Custom SPI 4機能 + HRD Flow配置 + storeToken=false×id_token_hint + 属性ポリシー + Micrometer計装）</t>
  </si>
  <si>
    <t>basic-design/00a-remaining-tasks-and-effort.md §2 A/§3.1</t>
  </si>
  <si>
    <t>A-3</t>
  </si>
  <si>
    <t>G-SCIM（自作SCIM Facadeプロトタイプ実装 + Entra/Okta Validator + D1/D2 E2E + Soft Delete写像 + 500/1000テナントp99 + バルク5万件）</t>
  </si>
  <si>
    <t>A-4</t>
  </si>
  <si>
    <t>G-LDAP（B-SCIM-13）</t>
  </si>
  <si>
    <t>A-5</t>
  </si>
  <si>
    <t>B-SCIM-12: SAML経由JITのSPI検証（NameID handling差）</t>
  </si>
  <si>
    <t>A-6</t>
  </si>
  <si>
    <t>B-SCIM-14: 実IdP統合検証（Entra ID / Okta trialでClaims・iss・SPI発火・login_hint・amr差）</t>
  </si>
  <si>
    <t>A-7</t>
  </si>
  <si>
    <t>G-OSAKA: 大阪c7g/c7i在庫・vCPUクォータ・arm64 Machine Pool / RHBK Operator arm64対応</t>
  </si>
  <si>
    <t>A-8</t>
  </si>
  <si>
    <t>Argon2idスループット実測（KCデフォルト m=7MiB/t=5 でのreq/s実測 → サイジング補正）</t>
  </si>
  <si>
    <t>A-9</t>
  </si>
  <si>
    <t>SAMLメタデータ自動更新の実機確認（metadata descriptor URL + Refresh periodが実機に存在・動作するか）</t>
  </si>
  <si>
    <t>A-10</t>
  </si>
  <si>
    <t>SPI debounce負荷試験（100 RPS × 24h × 10万ユーザのAurora IOPS / Infinispan invalidate / Podリソース）</t>
  </si>
  <si>
    <t>A-11</t>
  </si>
  <si>
    <t>小粒実機確認バンドル（multi-cluster v2版数 / ROSA SA issuer JWKS / Red Hat docs 403分のEUS・Operatorチャネル・監査ログ制約の本文確認）</t>
  </si>
  <si>
    <t>A-12</t>
  </si>
  <si>
    <t>ServiceNow SP連携の実機検証（SAML Client CL-SN-01実機 + L1 SCIM→L2 SAML JIT統合フロー + Matching Field突合 + Webhook配信）</t>
  </si>
  <si>
    <t>basic-design/00a-remaining-tasks-and-effort.md §2 A/横串</t>
  </si>
  <si>
    <t>B. 他組織・エッジ連携確定</t>
  </si>
  <si>
    <t>B-1</t>
  </si>
  <si>
    <t>要求仕様書v1の発行〜回答反映（既存B部記述を要求仕様書として体裁化・発行、先方QA対応、回答の各単元反映）</t>
  </si>
  <si>
    <t>basic-design/00a-remaining-tasks-and-effort.md §2 B</t>
  </si>
  <si>
    <t>B-2</t>
  </si>
  <si>
    <t>CloudFront→エッジLB到達方式 + NFWルート設計の技術詰め</t>
  </si>
  <si>
    <t>B-3</t>
  </si>
  <si>
    <t>CIDR台帳の凍結（社内NW・他組織・顧客CIDRの入手と衝突確認）</t>
  </si>
  <si>
    <t>B-4</t>
  </si>
  <si>
    <t>3ゲート合意の交渉サポート資料（SLA選択肢・未合意時の要件改訂影響を先方向けに整理）</t>
  </si>
  <si>
    <t>B-5</t>
  </si>
  <si>
    <t>Canary Bot除外合意（Canary送信元のWAF誤検知除外をREQ追補へ）</t>
  </si>
  <si>
    <t>C. 設計是正・文書整合</t>
  </si>
  <si>
    <t>C-1</t>
  </si>
  <si>
    <t>U6サイジング是正（Podモデル+接続予算）</t>
  </si>
  <si>
    <t>basic-design/00a-remaining-tasks-and-effort.md §2 C</t>
  </si>
  <si>
    <t>C-2</t>
  </si>
  <si>
    <t>Baseline整合3点（NFR-3 10M改訂 / §C-7改訂ステータスの01・00-index矛盾突合 / P-09「RT 30日」精密化）</t>
  </si>
  <si>
    <t>C-3</t>
  </si>
  <si>
    <t>ADR反映残の一括処理（ADR-051の12項目 / 053 / 059 / 019 / 048 / 038 / 023 §L.8 + research波及文書修正）</t>
  </si>
  <si>
    <t>C-4</t>
  </si>
  <si>
    <t>小粒登録4点（legacy_spiのD3-04行追加 / REQ-IN-12のU6登録 / REQ-OUT-06起票 / Pod・Service CIDRずらし承認）</t>
  </si>
  <si>
    <t>C-5</t>
  </si>
  <si>
    <t>宙に浮いた参照8件の解消（idp_priority→D-1 / AAL操作一覧→D-2 / canaryスコープ→D-10 / L4特権JIT API→D-15 / drawio→G-4 / 00計画書のSorry旧記述 / §C-7 / ADR-040・036トリガー追跡→F-4）</t>
  </si>
  <si>
    <t>C-6</t>
  </si>
  <si>
    <t>research波及文書修正（rosa-detailed-analysis §4/§7、rhbk-support-and-pricing §4.5）</t>
  </si>
  <si>
    <t>C-7</t>
  </si>
  <si>
    <t>PCI DSSスコープのPhase 1除外化</t>
  </si>
  <si>
    <t>C-8</t>
  </si>
  <si>
    <t>LDAP経路の対象外化（U2/U3のLDAP記述、ADR-025 §H、D3-04 ldap経路に「Phase 1対象外」注記）</t>
  </si>
  <si>
    <t>D. 未確定設計の合同確定</t>
  </si>
  <si>
    <t>D-1</t>
  </si>
  <si>
    <t>idp_priority属性 + Orgセレクター表示順（U2×U4合同）</t>
  </si>
  <si>
    <t>basic-design/00a-remaining-tasks-and-effort.md §2 D</t>
  </si>
  <si>
    <t>D-2</t>
  </si>
  <si>
    <t>AAL2/AAL3要求操作一覧（RP契約の前倒し確定）</t>
  </si>
  <si>
    <t>D-3</t>
  </si>
  <si>
    <t>idmap補助DB物理配置</t>
  </si>
  <si>
    <t>D-4</t>
  </si>
  <si>
    <t>SCIM Facade実行形態（U3×U6×U9三者）</t>
  </si>
  <si>
    <t>D-5</t>
  </si>
  <si>
    <t>idm-api内部ルート + サービス間認可</t>
  </si>
  <si>
    <t>D-6</t>
  </si>
  <si>
    <t>SES/メール送信設計（サンドボックス解除・SPF/DKIM・realm単位SMTP as-code）</t>
  </si>
  <si>
    <t>D-7</t>
  </si>
  <si>
    <t>ITDR DynamoDB大阪方式 + Break-Glass大阪実体（U7×U8）</t>
  </si>
  <si>
    <t>D-8</t>
  </si>
  <si>
    <t>D3-17 portal値 + ext_拡張属性受入枠 + app 90日バッチオプトイン</t>
  </si>
  <si>
    <t>D-9</t>
  </si>
  <si>
    <t>idm-api周辺5点（エンタイトルメント×App Registryスキーマ統合 / 監査二重書き / 承認UI共用 / canaryスコープ / SLO境界）</t>
  </si>
  <si>
    <t>D-10</t>
  </si>
  <si>
    <t>LDAP経路の追加Flow設計</t>
  </si>
  <si>
    <t>D-11</t>
  </si>
  <si>
    <t>SAML IdPテンプレート（Mapper定義）</t>
  </si>
  <si>
    <t>D-12</t>
  </si>
  <si>
    <t>IdP証明書ローテーション運用設計（SP側SAML鍵ローテ含む）</t>
  </si>
  <si>
    <t>D-13</t>
  </si>
  <si>
    <t>ロックアウト×Brokerリスクスコア整合</t>
  </si>
  <si>
    <t>D-14</t>
  </si>
  <si>
    <t>ATPフォームフィールド添付 + HRD文言最終稿</t>
  </si>
  <si>
    <t>D-15</t>
  </si>
  <si>
    <t>L3昇格API配置</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</si>
  <si>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</si>
  <si>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</si>
  <si>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</si>
  <si>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</si>
  <si>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</si>
  <si>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</si>
  <si>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</si>
  <si>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</si>
  <si>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</si>
  <si>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</si>
  <si>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basic-design/00a-remaining-tasks-and-effort.md §2 E</t>
  </si>
  <si>
    <t>E-2</t>
  </si>
  <si>
    <t>負荷試験一元計画書（keycloak-benchmark/Gatling・dataset投入・合格基準・「Pod増で1Pod性能低下」公式警告の織込み）</t>
  </si>
  <si>
    <t>basic-design/00a-remaining-tasks-and-effort.md §2 E/§4</t>
  </si>
  <si>
    <t>E-3</t>
  </si>
  <si>
    <t>FinOps/継続コスト管理（タグ戦略・予算アラート・テナント別原価・3y見積回収）</t>
  </si>
  <si>
    <t>E-4</t>
  </si>
  <si>
    <t>KC本番設定の詰め漏れ反映（http-max-queued-requests / 公開パス遮断表 / JGroups mTLS 30日自動ローテ / jdbc-ping / persistent-user-sessions前提確認）</t>
  </si>
  <si>
    <t>E-5</t>
  </si>
  <si>
    <t>アップグレード運用の精密化（update-compatibility checkのCI組込み / DB・cache系変更=recreate全停止のメンテ窓設計 / RHBK EUS・チャネル確認）</t>
  </si>
  <si>
    <t>E-6</t>
  </si>
  <si>
    <t>Aurora接続の公式部品採否（AWS Advanced JDBC Wrapper failoverプラグイン採否 / migration-strategy選定 / WAL・バックアップ暗号化範囲確認）</t>
  </si>
  <si>
    <t>E-7</t>
  </si>
  <si>
    <t>ROSA監査ログの中央集約制約（CloudWatch別Acct直接転送非サポートの本文確認 + 4.17.2+ OAuthログ肥大）</t>
  </si>
  <si>
    <t>E-8</t>
  </si>
  <si>
    <t>brute force戦略選定 + アカウント列挙対策の明文化</t>
  </si>
  <si>
    <t>F. ヒアリング・契約・法務</t>
  </si>
  <si>
    <t>F-1</t>
  </si>
  <si>
    <t>ヒアリング質問状のパッケージ化（127項目を優先度圧縮）</t>
  </si>
  <si>
    <t>basic-design/00a-remaining-tasks-and-effort.md §2 F/§0</t>
  </si>
  <si>
    <t>F-2</t>
  </si>
  <si>
    <t>ヒアリング回答反映（P表更新→影響単元改訂）</t>
  </si>
  <si>
    <t>basic-design/00a-remaining-tasks-and-effort.md §2 F</t>
  </si>
  <si>
    <t>F-3</t>
  </si>
  <si>
    <t>法務系の起票と追撃（Red Hat DPA / Key Custodian Agreement / PPC報告雛形 / 契約テンプレ）</t>
  </si>
  <si>
    <t>basic-design/00a-remaining-tasks-and-effort.md §2 F/§3.1</t>
  </si>
  <si>
    <t>F-4</t>
  </si>
  <si>
    <t>ADR-040/036別スレッド完了後の統合（OOS残存参照整理）</t>
  </si>
  <si>
    <t>G. 運用実体化</t>
  </si>
  <si>
    <t>G-1</t>
  </si>
  <si>
    <t>Runbook Phase 1必須13冊の執筆（TEN-01/03、SEC-01〜06、DR-00〜05）</t>
  </si>
  <si>
    <t>basic-design/00a-remaining-tasks-and-effort.md §2 G</t>
  </si>
  <si>
    <t>G-2</t>
  </si>
  <si>
    <t>（参考・総計外）Runbook残り23冊 — リリース後3ヶ月以内</t>
  </si>
  <si>
    <t>G-3</t>
  </si>
  <si>
    <t>オンコール/アラートRouting実体（PagerDuty契約・ローテーション）</t>
  </si>
  <si>
    <t>G-4</t>
  </si>
  <si>
    <t>drawio清書（mermaid → AWSアイコン版、旧EKS図置換）</t>
  </si>
  <si>
    <t>系統</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</si>
  <si>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</si>
  <si>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</si>
  <si>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</si>
  <si>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</si>
  <si>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</si>
  <si>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</si>
  <si>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</si>
  <si>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</si>
  <si>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</si>
  <si>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</si>
  <si>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</si>
  <si>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</si>
  <si>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</si>
  <si>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</si>
  <si>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</si>
  <si>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</si>
  <si>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</si>
  <si>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</si>
  <si>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</si>
  <si>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</si>
  <si>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</si>
  <si>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</si>
  <si>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</si>
  <si>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</si>
  <si>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</si>
  <si>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</si>
  <si>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</si>
  <si>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</si>
  <si>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</si>
  <si>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</si>
  <si>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</si>
  <si>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</si>
  <si>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</si>
  <si>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</si>
  <si>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</si>
  <si>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</si>
  <si>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</si>
  <si>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</si>
  <si>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</si>
  <si>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</si>
  <si>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</si>
  <si>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</si>
  <si>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</si>
  <si>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</si>
  <si>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</si>
  <si>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</si>
  <si>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</si>
  <si>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</si>
  <si>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</si>
  <si>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</si>
  <si>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</si>
  <si>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</si>
  <si>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</si>
  <si>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</si>
  <si>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</si>
  <si>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</si>
  <si>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</si>
  <si>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</si>
  <si>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</si>
  <si>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</si>
  <si>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</si>
  <si>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</si>
  <si>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</si>
  <si>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</si>
  <si>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</si>
  <si>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</si>
  <si>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</si>
  <si>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</si>
  <si>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</si>
  <si>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</si>
  <si>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</si>
  <si>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</si>
  <si>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</si>
  <si>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</si>
  <si>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</si>
  <si>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</si>
  <si>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</si>
  <si>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</si>
  <si>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</si>
  <si>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</si>
  <si>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</si>
  <si>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</si>
  <si>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</si>
  <si>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</si>
  <si>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</si>
  <si>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</si>
  <si>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</si>
  <si>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</si>
  <si>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</si>
  <si>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</si>
  <si>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</si>
  <si>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</si>
  <si>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</si>
  <si>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</si>
  <si>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</si>
  <si>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</si>
  <si>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</si>
  <si>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</si>
  <si>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</si>
  <si>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</si>
  <si>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</si>
  <si>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</si>
  <si>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</si>
  <si>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</si>
  <si>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</si>
  <si>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</si>
  <si>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</si>
  <si>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</si>
  <si>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</si>
  <si>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</si>
  <si>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</si>
  <si>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</si>
  <si>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</si>
  <si>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</si>
  <si>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</si>
  <si>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</si>
  <si>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</si>
  <si>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</si>
  <si>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</si>
  <si>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</si>
  <si>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</si>
  <si>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</si>
  <si>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</si>
  <si>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</si>
  <si>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</si>
  <si>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</si>
  <si>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</si>
  <si>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</si>
  <si>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</si>
  <si>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</si>
  <si>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</si>
  <si>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</si>
  <si>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</si>
  <si>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</si>
  <si>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</si>
  <si>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</si>
  <si>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</si>
  <si>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</si>
  <si>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</si>
  <si>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</si>
  <si>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</si>
  <si>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</si>
  <si>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</si>
  <si>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</si>
  <si>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</si>
  <si>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</si>
  <si>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</si>
  <si>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メールアドレスを持たない利用者でも、登録からログインまで完走できるか実機で確かめる</t>
  </si>
  <si>
    <t>顧客のID基盤からの利用者自動同期が、各社の仕様どおり動き、大量件数でも耐えるか確かめる</t>
  </si>
  <si>
    <t>外部への通信許可を追加するとき、誰にどう依頼し、何日で通るかを合意する</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</si>
  <si>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</si>
  <si>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</si>
  <si>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</si>
  <si>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</si>
  <si>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</si>
  <si>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</si>
  <si>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</si>
  <si>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</si>
  <si>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</si>
  <si>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</si>
  <si>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</si>
  <si>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</si>
  <si>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</si>
  <si>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</si>
  <si>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</si>
  <si>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</si>
  <si>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</si>
  <si>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</si>
  <si>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</si>
  <si>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</si>
  <si>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</si>
  <si>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</si>
  <si>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</si>
  <si>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</si>
  <si>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</si>
  <si>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</si>
  <si>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</si>
  <si>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</si>
  <si>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</si>
  <si>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</si>
  <si>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</si>
  <si>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</si>
  <si>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</si>
  <si>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</si>
  <si>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</si>
  <si>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</si>
  <si>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</si>
  <si>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</si>
  <si>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</si>
  <si>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</si>
  <si>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</si>
  <si>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</si>
  <si>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</si>
  <si>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</si>
  <si>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</si>
  <si>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</si>
  <si>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</si>
  <si>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</si>
  <si>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</si>
  <si>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</si>
  <si>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</si>
  <si>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</si>
  <si>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</si>
  <si>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</si>
  <si>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</si>
  <si>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</si>
  <si>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</si>
  <si>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</si>
  <si>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</si>
  <si>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</si>
  <si>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</si>
  <si>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</si>
  <si>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</si>
  <si>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</si>
  <si>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</si>
  <si>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</si>
  <si>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</si>
  <si>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</si>
  <si>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</si>
  <si>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</si>
  <si>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§2.1.2</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</si>
  <si>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</si>
  <si>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</si>
  <si>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</si>
  <si>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</si>
  <si>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</si>
  <si>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</si>
  <si>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</si>
  <si>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</si>
  <si>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</si>
  <si>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</si>
  <si>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</si>
  <si>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</si>
  <si>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</si>
  <si>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</si>
  <si>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</si>
  <si>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</si>
  <si>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</si>
  <si>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</si>
  <si>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</si>
  <si>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</si>
  <si>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</si>
  <si>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</si>
  <si>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D3-07</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</si>
  <si>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</si>
  <si>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</si>
  <si>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</si>
  <si>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</si>
  <si>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</si>
  <si>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</si>
  <si>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</si>
  <si>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</si>
  <si>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</si>
  <si>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</si>
  <si>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</si>
  <si>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</si>
  <si>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</si>
  <si>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</si>
  <si>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</si>
  <si>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</si>
  <si>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</si>
  <si>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</si>
  <si>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</si>
  <si>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</si>
  <si>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</si>
  <si>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</si>
  <si>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</si>
  <si>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</si>
  <si>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</si>
  <si>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</si>
  <si>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</si>
  <si>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</si>
  <si>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</si>
  <si>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</si>
  <si>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</si>
  <si>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</si>
  <si>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</si>
  <si>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</si>
  <si>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</si>
  <si>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</si>
  <si>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</si>
  <si>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</si>
  <si>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</si>
  <si>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</si>
  <si>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</si>
  <si>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</si>
  <si>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</si>
  <si>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</si>
  <si>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</si>
  <si>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</si>
  <si>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</si>
  <si>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</si>
  <si>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</si>
  <si>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</si>
  <si>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</si>
  <si>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</si>
  <si>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</si>
  <si>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</si>
  <si>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</si>
  <si>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</si>
  <si>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</si>
  <si>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</si>
  <si>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</si>
  <si>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</si>
  <si>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</si>
  <si>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</si>
  <si>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</si>
  <si>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</si>
  <si>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</si>
  <si>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</si>
  <si>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</si>
  <si>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</si>
  <si>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</si>
  <si>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</si>
  <si>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</si>
  <si>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</si>
  <si>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</si>
  <si>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</si>
  <si>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</si>
  <si>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</si>
  <si>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</si>
  <si>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</si>
  <si>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</si>
  <si>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</si>
  <si>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</si>
  <si>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</si>
  <si>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</si>
  <si>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</si>
  <si>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</si>
  <si>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</si>
  <si>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</si>
  <si>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</si>
  <si>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</si>
  <si>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</si>
  <si>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</si>
  <si>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</si>
  <si>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</si>
  <si>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</si>
  <si>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</si>
  <si>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</si>
  <si>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</si>
  <si>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</si>
  <si>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</si>
  <si>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</si>
  <si>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</si>
  <si>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</si>
  <si>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</si>
  <si>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</si>
  <si>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</si>
  <si>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</si>
  <si>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</si>
  <si>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</si>
  <si>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</si>
  <si>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</si>
  <si>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</si>
  <si>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</si>
  <si>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</si>
  <si>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</si>
  <si>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</si>
  <si>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</si>
  <si>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</si>
  <si>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</si>
  <si>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</si>
  <si>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</si>
  <si>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</si>
  <si>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</si>
  <si>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</si>
  <si>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</si>
  <si>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</si>
  <si>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</si>
  <si>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</si>
  <si>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</si>
  <si>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</si>
  <si>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</si>
  <si>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</si>
  <si>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</si>
  <si>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</si>
  <si>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</si>
  <si>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</si>
  <si>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</si>
  <si>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</si>
  <si>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</si>
  <si>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</si>
  <si>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</si>
  <si>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</si>
  <si>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</si>
  <si>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</si>
  <si>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</si>
  <si>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</si>
  <si>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3"/>
  </si>
  <si>
    <t>U4</t>
    <phoneticPr fontId="3"/>
  </si>
  <si>
    <t>部分</t>
    <phoneticPr fontId="3"/>
  </si>
  <si>
    <t>追加確認手段のリセット経路（テナント管理者／運用ランブック）は決定済。パスワード自体の自己リセット画面はカスタマイズ対象10ファイルに含まれず未確認</t>
    <phoneticPr fontId="3"/>
  </si>
  <si>
    <t>（なし）</t>
    <phoneticPr fontId="3"/>
  </si>
  <si>
    <t>未対応</t>
    <phoneticPr fontId="3"/>
  </si>
  <si>
    <t>D-U4-03</t>
    <phoneticPr fontId="3"/>
  </si>
  <si>
    <t>顧客別の画面出しはPhase 1不採用。顧客別URL方式はPhase 2オプションとして保留</t>
    <phoneticPr fontId="3"/>
  </si>
  <si>
    <t>U2 §2.3.3 / §2.7.2 ・ D-U4-01 / D-U4-02</t>
    <phoneticPr fontId="3"/>
  </si>
  <si>
    <t>U2+U4</t>
    <phoneticPr fontId="3"/>
  </si>
  <si>
    <t>設計済</t>
    <phoneticPr fontId="3"/>
  </si>
  <si>
    <t>接続先一覧は恒久非表示。識別子先行の2段階＋所属限定セレクター、失敗時の応答同一化まで確定</t>
    <phoneticPr fontId="3"/>
  </si>
  <si>
    <t>D-U4-04 ・ U4 §4.3.2</t>
    <phoneticPr fontId="3"/>
  </si>
  <si>
    <t>自社受け皿収容の利用者にWebAuthn不可時の代替として提供。6桁の自動送信はしない</t>
    <phoneticPr fontId="3"/>
  </si>
  <si>
    <t>D-U4-04 ・ U4 §4.3.2 ・ U2 §2.3.1</t>
    <phoneticPr fontId="3"/>
  </si>
  <si>
    <t>第一候補として提示。運用者は必須、最上位強度はこの方式のみ</t>
    <phoneticPr fontId="3"/>
  </si>
  <si>
    <t>D-U4-04</t>
    <phoneticPr fontId="3"/>
  </si>
  <si>
    <t>対象外</t>
    <phoneticPr fontId="3"/>
  </si>
  <si>
    <t>不採用を確定（推奨されない方式かつ個人情報を持つため）</t>
    <phoneticPr fontId="3"/>
  </si>
  <si>
    <t>基盤側の認証手段を持つ全員に発行。残3以下で再発行誘導、全消費時は強制再発行</t>
    <phoneticPr fontId="3"/>
  </si>
  <si>
    <t>U2 §2.3.5 ・ D-U4-04</t>
    <phoneticPr fontId="3"/>
  </si>
  <si>
    <t>状況に応じた判定はPhase 1対象外。画面の挿入位置も次段階で設計</t>
    <phoneticPr fontId="3"/>
  </si>
  <si>
    <t>対象者の区分で強制範囲を定義（外部フェデは顧客責任、自社受け皿収容と運用者は必須・猶予なし）</t>
    <phoneticPr fontId="3"/>
  </si>
  <si>
    <t>30日スキップの採否は未確定（未実装で設計済み、追加は設定変更のみで可）</t>
    <phoneticPr fontId="3"/>
  </si>
  <si>
    <t>U4 §4.2.3</t>
    <phoneticPr fontId="3"/>
  </si>
  <si>
    <t>アカウント設定画面は標準ベース＋文言/ロゴのみを暫定。編集可能項目の範囲は未確定</t>
    <phoneticPr fontId="3"/>
  </si>
  <si>
    <t>U4 §4.1.4</t>
    <phoneticPr fontId="3"/>
  </si>
  <si>
    <t>D-U4-03 ・ U4 §4.2.3</t>
    <phoneticPr fontId="3"/>
  </si>
  <si>
    <t>統一テーマ1本を採用し顧客別の差し替えはPhase 1不採用。カスタマイズ対象は10ファイルに限定</t>
    <phoneticPr fontId="3"/>
  </si>
  <si>
    <t>D-U7-04</t>
  </si>
  <si>
    <t>不正検知のパイプライン構成と配置</t>
  </si>
  <si>
    <t>D-U7-10b</t>
  </si>
  <si>
    <t>D-U7-19</t>
  </si>
  <si>
    <t>D-U7-17</t>
    <phoneticPr fontId="3"/>
  </si>
  <si>
    <t>U7</t>
    <phoneticPr fontId="3"/>
  </si>
  <si>
    <t>12文字以上＋英数混在＋漏洩パスワード照合を必須と確定</t>
    <phoneticPr fontId="3"/>
  </si>
  <si>
    <t>D-U7-05 / D-U7-17 ・ U2 §2.3.5</t>
    <phoneticPr fontId="3"/>
  </si>
  <si>
    <t>U2+U7</t>
    <phoneticPr fontId="3"/>
  </si>
  <si>
    <t>連続5回で30分ロック。恒久ロックはサービス妨害化を防ぐため不使用と明記</t>
    <phoneticPr fontId="3"/>
  </si>
  <si>
    <t>D-U7-14</t>
    <phoneticPr fontId="3"/>
  </si>
  <si>
    <t>全アクセスで追加確認を必須化することにより、定期変更の要件を適用外化する方針</t>
    <phoneticPr fontId="3"/>
  </si>
  <si>
    <t>D-U7-01 / D-U7-02</t>
    <phoneticPr fontId="3"/>
  </si>
  <si>
    <t>3階層の暗号鍵体系と命名規約、職務分離の鍵ポリシーまで確定</t>
    <phoneticPr fontId="3"/>
  </si>
  <si>
    <t>D-U7-03 ・ U5 §5.2.1</t>
    <phoneticPr fontId="3"/>
  </si>
  <si>
    <t>U5+U7</t>
    <phoneticPr fontId="3"/>
  </si>
  <si>
    <t>署名方式を確定し、標準機能で管理して90日周期で更新（旧鍵は30日並走）</t>
    <phoneticPr fontId="3"/>
  </si>
  <si>
    <t>12文字以上＋英数混在＋漏洩照合を確定。アルゴリズムの詳細値は末尾欠落部にあり未取得</t>
    <phoneticPr fontId="3"/>
  </si>
  <si>
    <t>D-U7-02 / D-U7-09 / D-U7-10a / D-U7-10b</t>
    <phoneticPr fontId="3"/>
  </si>
  <si>
    <t>保管庫管理＋90日自動更新＋設定への直書き禁止（機械検査）。内部は無秘密方式へ移行</t>
    <phoneticPr fontId="3"/>
  </si>
  <si>
    <t>D-U7-05 / D-U7-08 / D-U7-06</t>
    <phoneticPr fontId="3"/>
  </si>
  <si>
    <t>総当たり・横断的な試行・署名鍵悪用の4シグナルまで検知範囲を確定</t>
    <phoneticPr fontId="3"/>
  </si>
  <si>
    <t>D-U7-13</t>
    <phoneticPr fontId="3"/>
  </si>
  <si>
    <t>D-U7-16</t>
    <phoneticPr fontId="3"/>
  </si>
  <si>
    <t>D-U7-13 / D-U7-07</t>
    <phoneticPr fontId="3"/>
  </si>
  <si>
    <t>U7+U9</t>
    <phoneticPr fontId="3"/>
  </si>
  <si>
    <t>即時分析90日＋改ざん不能7年の2層。全ログはマスキング通過後に保存</t>
    <phoneticPr fontId="3"/>
  </si>
  <si>
    <t>検索基盤とデータレイク検索の2段構え。運用ダッシュボード化は運用設計側</t>
    <phoneticPr fontId="3"/>
  </si>
  <si>
    <t>D-U7-15b</t>
    <phoneticPr fontId="3"/>
  </si>
  <si>
    <t>D-U7-12 / D-U7-13</t>
    <phoneticPr fontId="3"/>
  </si>
  <si>
    <t>対象ログ源11種を必須セットとして列挙し、監査アカウントを唯一の集約先に確定</t>
    <phoneticPr fontId="3"/>
  </si>
  <si>
    <t>アカウントの存在有無を返さない汎用エラーと応答時間の均一化は確定。ログイン時の識別子作り替えの明示的な記述は確認できず</t>
    <phoneticPr fontId="3"/>
  </si>
  <si>
    <t>D-U7-05</t>
    <phoneticPr fontId="3"/>
  </si>
  <si>
    <t>漏洩パスワード照合を採用。ログイン成功時と設定変更時に照会し、ヒット時は変更強制／設定拒否</t>
    <phoneticPr fontId="3"/>
  </si>
  <si>
    <t>エッジ側の大規模攻撃防御は他組織へ要求。体積型は保証しないと責任分担表に明記。自管理側は自動増減で吸収余地のみ</t>
    <phoneticPr fontId="3"/>
  </si>
  <si>
    <t>ミラー同期パイプラインに脆弱性スキャンと署名検証を組み込む方針は確定。頻度と合格基準は未確定</t>
    <phoneticPr fontId="3"/>
  </si>
  <si>
    <t>不正自動化対策・認証情報リスト攻撃検知・流量制限（5分2000件/送信元）を要求仕様として明細化。設定管理は他組織</t>
    <phoneticPr fontId="3"/>
  </si>
  <si>
    <t>D-U7-12</t>
    <phoneticPr fontId="3"/>
  </si>
  <si>
    <t>D-U7-03 ・ U5 §5.6.3</t>
    <phoneticPr fontId="3"/>
  </si>
  <si>
    <t>鍵は90日周期で更新し旧鍵30日並走。窓口自体の保護レベルはインフラ側</t>
    <phoneticPr fontId="3"/>
  </si>
  <si>
    <t>前提側で不要と確定済み。本文の該当節も対象外化の改訂待ちと明記されている</t>
    <phoneticPr fontId="3"/>
  </si>
  <si>
    <t>D-U7-09 / D-U7-10a / D-U7-19</t>
    <phoneticPr fontId="3"/>
  </si>
  <si>
    <t>実行主体ごとに1ロール・完全一致の信頼設定。内部は無秘密方式へ移行し、両系統に届く単一権限を作らない</t>
    <phoneticPr fontId="3"/>
  </si>
  <si>
    <t>D-U8-02</t>
  </si>
  <si>
    <t>D-U8-03</t>
  </si>
  <si>
    <t>D-U8-04</t>
  </si>
  <si>
    <t>D-U8-07</t>
  </si>
  <si>
    <t>（廃止）予備地域を温めて待機する方式</t>
  </si>
  <si>
    <t>D-U8-10</t>
  </si>
  <si>
    <t>D-U8-12</t>
  </si>
  <si>
    <t>切り戻しは計画切替（データ喪失ゼロ）</t>
  </si>
  <si>
    <t>D-U8-01</t>
    <phoneticPr fontId="3"/>
  </si>
  <si>
    <t>U8</t>
    <phoneticPr fontId="3"/>
  </si>
  <si>
    <t>月間停止許容枠43.8分。計測は認証成功率で、計画停止と顧客側ID基盤起因は除外。律速は他組織管理のエッジで99.95%以上を要求仕様化</t>
    <phoneticPr fontId="3"/>
  </si>
  <si>
    <t>D-U8-01 / D-U8-04</t>
    <phoneticPr fontId="3"/>
  </si>
  <si>
    <t>月1回・深夜2〜4時・7日前通知で確定。機能追加を伴う版数更新はこの窓で実施</t>
    <phoneticPr fontId="3"/>
  </si>
  <si>
    <t>D-U8-02</t>
    <phoneticPr fontId="3"/>
  </si>
  <si>
    <t>最小3台を拠点ごとに分散配置し偏りを1に制限</t>
    <phoneticPr fontId="3"/>
  </si>
  <si>
    <t>同時停止許容数1、ノード障害は基盤側で自動置換、クラスタ再編も自動</t>
    <phoneticPr fontId="3"/>
  </si>
  <si>
    <t>D-U8-02 / D-U8-03</t>
    <phoneticPr fontId="3"/>
  </si>
  <si>
    <t>負荷分散・接続窓口・データベースをすべて3拠点化。出口装置を持たない構成</t>
    <phoneticPr fontId="3"/>
  </si>
  <si>
    <t>D-U8-04</t>
    <phoneticPr fontId="3"/>
  </si>
  <si>
    <t>設定変更と修正版は無停止（順次再起動）。機能追加を伴う更新のみ計画停止窓</t>
    <phoneticPr fontId="3"/>
  </si>
  <si>
    <t>D-U8-05 / D-U8-14 / D-U8-09</t>
    <phoneticPr fontId="3"/>
  </si>
  <si>
    <t>手動復旧・およそ14日で確定（2026-07-30に「1時間」から全面転換）。工程ごとの内訳と成立条件5点も定義</t>
    <phoneticPr fontId="3"/>
  </si>
  <si>
    <t>D-U8-14 / D-U8-10</t>
    <phoneticPr fontId="3"/>
  </si>
  <si>
    <t>3層で定義（継続複製=約1秒／時点復元=1秒精度／変更不能な控え=取得間隔）。ただし地域災害時にどこまで詰めるかは未決（継続複製の維持か定期取得のみか）</t>
    <phoneticPr fontId="3"/>
  </si>
  <si>
    <t>D-U8-08 / D-U8-05</t>
    <phoneticPr fontId="3"/>
  </si>
  <si>
    <t>判定チェックリストで2系統以上該当なら宣言。昇格・全体切替・切り戻しは手動承認、承認は検知から15分以内</t>
    <phoneticPr fontId="3"/>
  </si>
  <si>
    <t>D-U8-14</t>
    <phoneticPr fontId="3"/>
  </si>
  <si>
    <t>時点復元は1〜35日。定期取得の控えの保持期間は「無期限は永久課金のため避ける」方針のみで具体値は未確定</t>
    <phoneticPr fontId="3"/>
  </si>
  <si>
    <t>D-U8-14 / D-U8-06</t>
    <phoneticPr fontId="3"/>
  </si>
  <si>
    <t>1〜35日・1秒精度。論理破壊時の主たる復元手段と位置づけ</t>
    <phoneticPr fontId="3"/>
  </si>
  <si>
    <t>定期取得の控えを別地域かつ別アカウントへ複製。継続バックアップは別地域複製できない制約を明記</t>
    <phoneticPr fontId="3"/>
  </si>
  <si>
    <t>D-U8-13</t>
    <phoneticPr fontId="3"/>
  </si>
  <si>
    <t>年2回（上期=地域災害の作り直し／下期=論理破壊の復元）。他組織にも年1回以上の参加を要求</t>
    <phoneticPr fontId="3"/>
  </si>
  <si>
    <t>D-U8-10</t>
    <phoneticPr fontId="3"/>
  </si>
  <si>
    <t>維持しない方針を確定。全利用者が再認証となることを製品仕様として明文化し顧客との取り決めに記載</t>
    <phoneticPr fontId="3"/>
  </si>
  <si>
    <t>U8+U9</t>
    <phoneticPr fontId="3"/>
  </si>
  <si>
    <t>D-U8-14 / D-U8-11</t>
    <phoneticPr fontId="3"/>
  </si>
  <si>
    <t>U8+U6</t>
    <phoneticPr fontId="3"/>
  </si>
  <si>
    <t>予備地域の計算資源を平時ゼロにしたことで常時費用は削減。データ保全分の費用は未算定</t>
    <phoneticPr fontId="3"/>
  </si>
  <si>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</si>
  <si>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</si>
  <si>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</si>
  <si>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</si>
  <si>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</si>
  <si>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</si>
  <si>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</si>
  <si>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</si>
  <si>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3"/>
  </si>
  <si>
    <t>U6</t>
    <phoneticPr fontId="3"/>
  </si>
  <si>
    <t>ピーク時1,000〜3,000件/秒を試算前提として設定。応答時間の合格値自体は負荷試験計画で確定予定</t>
    <phoneticPr fontId="3"/>
  </si>
  <si>
    <t>U5+U6</t>
    <phoneticPr fontId="3"/>
  </si>
  <si>
    <t>U5 §5.6.3 ・ D-U6-10</t>
    <phoneticPr fontId="3"/>
  </si>
  <si>
    <t>受け取り側にキャッシュと更新追従を義務付け、基盤側のキャッシュ初期値も明示。保持時間の具体値は未確定</t>
    <phoneticPr fontId="3"/>
  </si>
  <si>
    <t>D-U6-07 / D-U6-08</t>
    <phoneticPr fontId="3"/>
  </si>
  <si>
    <t>構成と接続プールは確定（総接続810に対し上限3,300で余裕）。応答時間の目標値は未確定</t>
    <phoneticPr fontId="3"/>
  </si>
  <si>
    <t>D-U6-04 ・ D-U6-05</t>
    <phoneticPr fontId="3"/>
  </si>
  <si>
    <t>ピーク1,000〜3,000件/秒で必要資源を算定し、上限台数（Broker 9／自社受け皿18）まで確定</t>
    <phoneticPr fontId="3"/>
  </si>
  <si>
    <t>D-U6-13</t>
    <phoneticPr fontId="3"/>
  </si>
  <si>
    <t>入口側の流量制限は他組織への要求仕様として明細化。自管理側の受付上限は未確定</t>
    <phoneticPr fontId="3"/>
  </si>
  <si>
    <t>D-U6-04</t>
    <phoneticPr fontId="3"/>
  </si>
  <si>
    <t>自動増減を採用。自社受け皿側は起動が遅いため、CPUではなく予兆（1台あたり毎秒8件超が3分継続）を優先トリガに</t>
    <phoneticPr fontId="3"/>
  </si>
  <si>
    <t>D-U6-05 ・ D-U6-04</t>
    <phoneticPr fontId="3"/>
  </si>
  <si>
    <t>10M上限で資源を算定。立ち上げ期から上限までの構成変更なしでの吸収可能性まで確認済み</t>
    <phoneticPr fontId="3"/>
  </si>
  <si>
    <t>D-U6-10</t>
    <phoneticPr fontId="3"/>
  </si>
  <si>
    <t>キャッシュ初期値は確定。同時セッション数そのものの見込み値は顧客確認待ち</t>
    <phoneticPr fontId="3"/>
  </si>
  <si>
    <t>委任方式が合意できれば翌営業日以内は成立。合意不成立時は要件自体の改訂へ差し戻す条件を明記</t>
    <phoneticPr fontId="3"/>
  </si>
  <si>
    <t>2系統に分離し、認証製品側のみ動的に増減。管理系は規模と監視量で準静的に調整</t>
    <phoneticPr fontId="3"/>
  </si>
  <si>
    <t>D-U6-03 ・ D-U8-05</t>
    <phoneticPr fontId="3"/>
  </si>
  <si>
    <t>U6+U8</t>
    <phoneticPr fontId="3"/>
  </si>
  <si>
    <t>平時は東京のみ稼働。予備地域は平時に計算資源を持たず被災時に作り直す方式で確定</t>
    <phoneticPr fontId="3"/>
  </si>
  <si>
    <t>D-U6-07 / D-U6-08 / D-U6-09</t>
    <phoneticPr fontId="3"/>
  </si>
  <si>
    <t>3拠点構成＋接続プール等値化。中継サービスは恩恵が薄く当面不採用と判断</t>
    <phoneticPr fontId="3"/>
  </si>
  <si>
    <t>D-U6-06 ・ D-U6-03</t>
    <phoneticPr fontId="3"/>
  </si>
  <si>
    <t>入口方式は通過型を推奨し、平文の出現位置を自管理側に閉じ込める。裏側通信は単方向の私設経路</t>
    <phoneticPr fontId="3"/>
  </si>
  <si>
    <t>U6+U7</t>
    <phoneticPr fontId="3"/>
  </si>
  <si>
    <t>D-U6-05</t>
    <phoneticPr fontId="3"/>
  </si>
  <si>
    <t>基盤部分は月額およそ2,032ドルと算定。データベース等を含む全体額は概算±30%</t>
    <phoneticPr fontId="3"/>
  </si>
  <si>
    <t>D-U6-03 ・ D-U6-05</t>
    <phoneticPr fontId="3"/>
  </si>
  <si>
    <t>製品サポートは基盤に内包され追加費用なしと確定</t>
    <phoneticPr fontId="3"/>
  </si>
  <si>
    <t>月額の内訳は算定済。3年総額としての集計は未実施</t>
    <phoneticPr fontId="3"/>
  </si>
  <si>
    <t>同上。規模別の線形加算の考え方のみ提示</t>
    <phoneticPr fontId="3"/>
  </si>
  <si>
    <t>U9 運用・監視・IaC</t>
  </si>
  <si>
    <t>D-U9-17</t>
  </si>
  <si>
    <t>D-U9-18</t>
  </si>
  <si>
    <t>D-U9-15</t>
  </si>
  <si>
    <t>D-U9-16</t>
  </si>
  <si>
    <t>常時監視用の自動アクセスの配置変更と検知範囲</t>
  </si>
  <si>
    <t>D-U9-05 / D-U9-06 ・ U5 §5.4.2</t>
    <phoneticPr fontId="3"/>
  </si>
  <si>
    <t>U5+U9</t>
    <phoneticPr fontId="3"/>
  </si>
  <si>
    <t>即時参照90日＋検索用1年＋長期7年。管理操作は全量を取込セットに含める</t>
    <phoneticPr fontId="3"/>
  </si>
  <si>
    <t>D-U9-06 / D-U9-11</t>
    <phoneticPr fontId="3"/>
  </si>
  <si>
    <t>U9</t>
    <phoneticPr fontId="3"/>
  </si>
  <si>
    <t>管理操作の全量を記録し、構成のずれ検知の照合元も兼ねる。ずれ検出時は正当／不正の分岐フローまで定義</t>
    <phoneticPr fontId="3"/>
  </si>
  <si>
    <t>D-U9-05</t>
    <phoneticPr fontId="3"/>
  </si>
  <si>
    <t>3層への出力経路を確定（即時参照・検索用・長期の変更不能保管）。全ソースがマスキング通過後に保存</t>
    <phoneticPr fontId="3"/>
  </si>
  <si>
    <t>D-U9-06</t>
    <phoneticPr fontId="3"/>
  </si>
  <si>
    <t>D-U9-01 / D-U9-02 / D-U9-03 ・ D-U8-01</t>
    <phoneticPr fontId="3"/>
  </si>
  <si>
    <t>計装14点と系列数の規約まで確定。接続先件数を注記した時系列で継続計測し基準値比+10%で警戒</t>
    <phoneticPr fontId="3"/>
  </si>
  <si>
    <t>D-U9-04 / D-U9-01</t>
    <phoneticPr fontId="3"/>
  </si>
  <si>
    <t>停止許容枠の消費速度で3段階（急速消費は即時呼出15分応答／緩慢はチャット／予兆は通知）</t>
    <phoneticPr fontId="3"/>
  </si>
  <si>
    <t>D-U9-14 ・ U2 §2.7.1</t>
    <phoneticPr fontId="3"/>
  </si>
  <si>
    <t>U2+U9</t>
    <phoneticPr fontId="3"/>
  </si>
  <si>
    <t>版数固定・イメージは識別子指定・管理ソフトは手動承認。修正版含む全昇格が1000件規模の回帰通過を必須</t>
    <phoneticPr fontId="3"/>
  </si>
  <si>
    <t>D-U9-13 / D-U9-14</t>
    <phoneticPr fontId="3"/>
  </si>
  <si>
    <t>脆弱性は重大24時間・高7日で対処。昇格経路は定例と同じパイプライン</t>
    <phoneticPr fontId="3"/>
  </si>
  <si>
    <t>D-U9-09 / D-U9-10 / D-U9-08</t>
    <phoneticPr fontId="3"/>
  </si>
  <si>
    <t>基盤層はコード管理でPR2名レビュー、顧客層は宣言ファイル＋自作エンジン。管理画面からの直接変更は禁則で機械強制</t>
    <phoneticPr fontId="3"/>
  </si>
  <si>
    <t>D-U9-12 / D-U9-13</t>
    <phoneticPr fontId="3"/>
  </si>
  <si>
    <t>組み立てから配信まで自動化し、本番昇格のみ手動承認。段階投入は15分の様子見＋自動巻き戻し</t>
    <phoneticPr fontId="3"/>
  </si>
  <si>
    <t>D-U9-04 / D-U9-07</t>
    <phoneticPr fontId="3"/>
  </si>
  <si>
    <t>警報の振り分けと手順書体系は確定。当初は業務時間内対応で、24時間体制は次段階</t>
    <phoneticPr fontId="3"/>
  </si>
  <si>
    <t>D-U9-15</t>
    <phoneticPr fontId="3"/>
  </si>
  <si>
    <t>6ステップの内訳と所要時間まで確定。基盤側の純作業2〜3時間で翌営業日以内は成立</t>
    <phoneticPr fontId="3"/>
  </si>
  <si>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</si>
  <si>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</si>
  <si>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</si>
  <si>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</si>
  <si>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</si>
  <si>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</si>
  <si>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</si>
  <si>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</si>
  <si>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</si>
  <si>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</si>
  <si>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</si>
  <si>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</si>
  <si>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</si>
  <si>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</si>
  <si>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D-U10-11</t>
  </si>
  <si>
    <t>D-U10-08 ・ U5 §5.8.1</t>
    <phoneticPr fontId="3"/>
  </si>
  <si>
    <t>U5+U10</t>
    <phoneticPr fontId="3"/>
  </si>
  <si>
    <t>検索条件（文字列・社員番号・有効状態）とカーソル方式のページング（1回200件上限）まで確定</t>
    <phoneticPr fontId="3"/>
  </si>
  <si>
    <t>U3+U10</t>
    <phoneticPr fontId="3"/>
  </si>
  <si>
    <t>D-U10-08 ・ U4 §4.1.4</t>
    <phoneticPr fontId="3"/>
  </si>
  <si>
    <t>U4+U10</t>
    <phoneticPr fontId="3"/>
  </si>
  <si>
    <t>招待リンク発行のAPIは提供操作に含まれる。文面・有効期限とメール送信そのものの設計は未着手</t>
    <phoneticPr fontId="3"/>
  </si>
  <si>
    <t>D-U10-08 ・ U2 §2.1.2 / §2.7.5</t>
    <phoneticPr fontId="3"/>
  </si>
  <si>
    <t>U2+U10</t>
    <phoneticPr fontId="3"/>
  </si>
  <si>
    <t>所属の参照・更新と接続先の追加削除のAPIは確定。顧客の離脱・退出時の扱いは顧客確認が未了</t>
    <phoneticPr fontId="3"/>
  </si>
  <si>
    <t>D-U10-08 / D-U10-09</t>
    <phoneticPr fontId="3"/>
  </si>
  <si>
    <t>U10</t>
    <phoneticPr fontId="3"/>
  </si>
  <si>
    <t>役割一覧の取得と割当のAPIを提供。ただし基盤側の管理系役割のみで、業務権限は各アプリの責務と明確化</t>
    <phoneticPr fontId="3"/>
  </si>
  <si>
    <t>D-U10-09 ・ U5 §5.8.1</t>
    <phoneticPr fontId="3"/>
  </si>
  <si>
    <t>「アプリを使えるか」は管理画面側で持ちAPI照会で配り、アプリ内の詳細権限は各アプリが持つと役割分担を確定</t>
    <phoneticPr fontId="3"/>
  </si>
  <si>
    <t>D-U10-02</t>
    <phoneticPr fontId="3"/>
  </si>
  <si>
    <t>接続定義のテンプレートを新規作成し、識別名・突合属性・署名方式・戻り先URLまで確定</t>
    <phoneticPr fontId="3"/>
  </si>
  <si>
    <t>D-U10-11 ・ D-U9-06</t>
    <phoneticPr fontId="3"/>
  </si>
  <si>
    <t>U9+U10</t>
    <phoneticPr fontId="3"/>
  </si>
  <si>
    <t>正規化イベントを正とする配信機構は確定。顧客側の監視製品への標準形式提供は次段階</t>
    <phoneticPr fontId="3"/>
  </si>
  <si>
    <t>D-U10-11 ・ D3-10</t>
    <phoneticPr fontId="3"/>
  </si>
  <si>
    <t>配信7種・署名方式・重複排除・再送8回約24時間・待避キュー14日まで確定。個人情報は載せず受信側がAPI取得</t>
    <phoneticPr fontId="3"/>
  </si>
  <si>
    <t>D-U10-12</t>
    <phoneticPr fontId="3"/>
  </si>
  <si>
    <t>利用者集団を4分類し方式を割当。切替単位はアプリ単位、並走3〜6ヶ月</t>
    <phoneticPr fontId="3"/>
  </si>
  <si>
    <t>判定フローを確定。既定は並走方式で初回ログイン時に新方式へ再保存＝強制リセットなし。抽出不能や脆弱な方式のみリセット</t>
    <phoneticPr fontId="3"/>
  </si>
  <si>
    <t>D-U10-12 ・ U2 §2.7.4 / §2.7.5 ・ D-U8-06</t>
    <phoneticPr fontId="3"/>
  </si>
  <si>
    <t>U2+U8+U10</t>
    <phoneticPr fontId="3"/>
  </si>
  <si>
    <t>一括書き出し禁止とコード管理を正とする方針、旧IDの対応表記録までは確定。乗り換え評価そのものは未実施</t>
    <phoneticPr fontId="3"/>
  </si>
  <si>
    <t>D-U10-13 ・ D-U8-06</t>
    <phoneticPr fontId="3"/>
  </si>
  <si>
    <t>U8+U10</t>
    <phoneticPr fontId="3"/>
  </si>
  <si>
    <t>標準形式での書き出し手順を確定（秘匿値は含めない）。移転用は業界標準形式でも出力</t>
    <phoneticPr fontId="3"/>
  </si>
  <si>
    <t>D-U10-12 / D-U10-04</t>
    <phoneticPr fontId="3"/>
  </si>
  <si>
    <t>並走4段階と各段階の巻き戻し手段まで確定。並走期間は3〜6ヶ月</t>
    <phoneticPr fontId="3"/>
  </si>
  <si>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</si>
  <si>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</si>
  <si>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</si>
  <si>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</si>
  <si>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</si>
  <si>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</si>
  <si>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</si>
  <si>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</si>
  <si>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</si>
  <si>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</si>
  <si>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</si>
  <si>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</si>
  <si>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</si>
  <si>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</si>
  <si>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</si>
  <si>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</si>
  <si>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</si>
  <si>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</si>
  <si>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</si>
  <si>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</si>
  <si>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</si>
  <si>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</si>
  <si>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</si>
  <si>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</si>
  <si>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</si>
  <si>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</si>
  <si>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</si>
  <si>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</si>
  <si>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</si>
  <si>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</si>
  <si>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</si>
  <si>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</si>
  <si>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</si>
  <si>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</si>
  <si>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</si>
  <si>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</si>
  <si>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</si>
  <si>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</si>
  <si>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</si>
  <si>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</si>
  <si>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</si>
  <si>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</si>
  <si>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</si>
  <si>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</si>
  <si>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</si>
  <si>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</si>
  <si>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</si>
  <si>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</si>
  <si>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</si>
  <si>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</si>
  <si>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</si>
  <si>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</si>
  <si>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</si>
  <si>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</si>
  <si>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</si>
  <si>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</si>
  <si>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</si>
  <si>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</si>
  <si>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</si>
  <si>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</si>
  <si>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</si>
  <si>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</si>
  <si>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</si>
  <si>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</si>
  <si>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</si>
  <si>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</si>
  <si>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</si>
  <si>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</si>
  <si>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</si>
  <si>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</si>
  <si>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</si>
  <si>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</si>
  <si>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</si>
  <si>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</si>
  <si>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</si>
  <si>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</si>
  <si>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</si>
  <si>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</si>
  <si>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</si>
  <si>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</si>
  <si>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</si>
  <si>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</si>
  <si>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</si>
  <si>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</si>
  <si>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</si>
  <si>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</si>
  <si>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</si>
  <si>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</si>
  <si>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</si>
  <si>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</si>
  <si>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</si>
  <si>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</si>
  <si>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</si>
  <si>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</si>
  <si>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</si>
  <si>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</si>
  <si>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</si>
  <si>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</si>
  <si>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</si>
  <si>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</si>
  <si>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</si>
  <si>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</si>
  <si>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</si>
  <si>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3"/>
  </si>
  <si>
    <t>3層防御（他組織側の遮断は保証せず自管理の拒否ルールが生命線）＋管理用ホスト名を公開DNSに載せない分離＋一時昇格経由に限定</t>
    <phoneticPr fontId="3"/>
  </si>
  <si>
    <t>D-U6-03 / D-U6-06 / D-U6-11 ・ D-U7-12</t>
    <phoneticPr fontId="3"/>
  </si>
  <si>
    <t>各アカウント専用の仮想ネットワークで内部限定配置。管理APIは内部限定の接続点経由でインターネットに露出しない</t>
    <phoneticPr fontId="3"/>
  </si>
  <si>
    <t>直近5世代の再利用を禁止（2026 コミット 389e87c で反映、07 §7.8.1）。当初は判定不能としていたが真の漏れに再分類のうえ反映済み</t>
    <phoneticPr fontId="3"/>
  </si>
  <si>
    <t>初回ログイン時にパスワード変更を強制。対象は自社受け皿収容のローカルパスワード利用者で、顧客側ID基盤経由の利用者は対象外（2026 コミット 389e87c で反映、07 §7.8.1）</t>
    <phoneticPr fontId="3"/>
  </si>
  <si>
    <t>メールによる追加確認を不採用と明示（メール非保有利用者を受け入れる前提と衝突するため、パスキーと認証アプリの2方式に固定。2026 コミット 389e87c で反映、07 §7.7.2）</t>
    <phoneticPr fontId="3"/>
  </si>
  <si>
    <t>D-U9-04</t>
    <phoneticPr fontId="3"/>
  </si>
  <si>
    <t>権限コンテキスト取得の応答目標を暫定でp99 300ミリ秒未満と設定（2026 コミット 389e87c で反映、09 §9.2.1）。確定値は自動同期の検証ゲートとインフラ側サイジングの実測待ち</t>
    <phoneticPr fontId="3"/>
  </si>
  <si>
    <t>処理能力の律速要因に関する考察を追記（同上）。数値目標の確定はインフラ側サイジング実測待ち</t>
    <phoneticPr fontId="3"/>
  </si>
  <si>
    <t>－</t>
    <phoneticPr fontId="3"/>
  </si>
  <si>
    <t>要件・設計の双方で未確定。据え置き妥当と再監査で合意（キオスク端末でのパスキー利用は顧客確認に連動、機器向けの認証方式は未採用）</t>
    <phoneticPr fontId="3"/>
  </si>
  <si>
    <t>D-U10-01 / D-U10-02 ・ U2 §2.8.2</t>
    <phoneticPr fontId="3"/>
  </si>
  <si>
    <t>本基盤が業務システムに対して旧来方式のID提供元として振る舞う構成を決定（接続定義テンプレート・識別名・突合属性・署名方式まで確定）。当初「未対応」としたが誤判定</t>
    <phoneticPr fontId="3"/>
  </si>
  <si>
    <t>U2 §2.5.4 ・ D3-11 / D3-14</t>
    <phoneticPr fontId="3"/>
  </si>
  <si>
    <t>U2+U3</t>
    <phoneticPr fontId="3"/>
  </si>
  <si>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3"/>
  </si>
  <si>
    <t>D-U10-02 ・ U5 §5.6.3</t>
    <phoneticPr fontId="3"/>
  </si>
  <si>
    <t>接続設定の自動取得窓口は製品標準機能で成立。旧来方式側の接続情報の自動更新機能は実機確認予定（調査タスク A-9）。当初「未対応」としたが標準機能のため誤判定</t>
    <phoneticPr fontId="3"/>
  </si>
  <si>
    <t>D-U7-17 / D-U7-16</t>
    <phoneticPr fontId="3"/>
  </si>
  <si>
    <t>責任分担は決定済（入口側は他組織へ要求、自管理側は実装時に実施）。頻度の数値のみ未確定。当初「未対応」としたが責任の所在は決まっているため部分に再分類</t>
    <phoneticPr fontId="3"/>
  </si>
  <si>
    <t>00a 残タスク棚卸し ・ ADR-040</t>
    <phoneticPr fontId="3"/>
  </si>
  <si>
    <t>（設計書外）</t>
    <phoneticPr fontId="3"/>
  </si>
  <si>
    <t>構築フェーズの概算を16〜22人月と算定、運用体制は10名で別文書に確定済み。技術設計9冊には載せない方針のため、設計書側の欠落ではない</t>
    <phoneticPr fontId="3"/>
  </si>
  <si>
    <t>Trust Center ・ ADR-036</t>
    <phoneticPr fontId="3"/>
  </si>
  <si>
    <t>海外規制対応は第三者監査・情報開示の枠組み側で扱う方針。技術設計9冊の対象外</t>
    <phoneticPr fontId="3"/>
  </si>
  <si>
    <t>第三者による内部統制証明は同枠組み側で扱う方針</t>
    <phoneticPr fontId="3"/>
  </si>
  <si>
    <t>情報セキュリティ認証は同枠組み側で扱う方針</t>
    <phoneticPr fontId="3"/>
  </si>
  <si>
    <t>00a 残タスク棚卸し（B-PCI-1）</t>
    <phoneticPr fontId="3"/>
  </si>
  <si>
    <t>カード決済規格対応は今回スコープから除外を明示決定（削除ではなく降格で将来再開可）。当初「単元未取込」としたが決定済みのため再分類</t>
    <phoneticPr fontId="3"/>
  </si>
  <si>
    <t>proposal 側 ・ ADR-032 / ADR-058</t>
    <phoneticPr fontId="3"/>
  </si>
  <si>
    <t>費用系は提案書側の文書で扱う方針。技術設計9冊の対象外</t>
    <phoneticPr fontId="3"/>
  </si>
  <si>
    <t>同上</t>
    <phoneticPr fontId="3"/>
  </si>
  <si>
    <t>同上。人件費は別文書で決定済みで技術設計の対象外</t>
    <phoneticPr fontId="3"/>
  </si>
  <si>
    <t>前提</t>
  </si>
  <si>
    <t>D-U5-14</t>
  </si>
  <si>
    <t>受け取り側実装ガイド: 通行証の検証（必須7点）</t>
    <phoneticPr fontId="3"/>
  </si>
  <si>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3"/>
  </si>
  <si>
    <t>セルフサービスのセッション・端末管理</t>
  </si>
  <si>
    <t>D-U4-10</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</si>
  <si>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</si>
  <si>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</si>
  <si>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</si>
  <si>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</si>
  <si>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</si>
  <si>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</si>
  <si>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</si>
  <si>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</si>
  <si>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</si>
  <si>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</si>
  <si>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</si>
  <si>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</si>
  <si>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U7 §7.5.3 ・ U2 §2.2.3 ・ D-U5-13</t>
    <phoneticPr fontId="3"/>
  </si>
  <si>
    <t>U2+U5+U7</t>
    <phoneticPr fontId="3"/>
  </si>
  <si>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3"/>
  </si>
  <si>
    <t>U5 §5.2.1 / §5.2.3 ・ U2 §2.2.5 #2 ・ D-U5-11 / D-U4-09</t>
    <phoneticPr fontId="3"/>
  </si>
  <si>
    <t>U2+U4+U5</t>
    <phoneticPr fontId="3"/>
  </si>
  <si>
    <t>無操作1時間・最長24時間。顧客別の短縮は専用の登録枠で、規制対応は分離した領域で実現。2026-08-12追加=管理系に同時セッション数の上限、利用者が自分でセッションと端末を確認・失効できる画面</t>
    <phoneticPr fontId="3"/>
  </si>
  <si>
    <t>U5 §5.4.1 / §5.4.3 / §5.2.4 ・ D-U5-09 / D-U4-09</t>
    <phoneticPr fontId="3"/>
  </si>
  <si>
    <t>U4+U5</t>
    <phoneticPr fontId="3"/>
  </si>
  <si>
    <t>取消の仕組みは用意。最大30分の取り消し漏れ時間が残ることを明示。2026-08-12追加=継続アクセス評価を目標構成に据え、高価値経路は数秒まで短縮する3段階計画。利用者による自己失効も追加</t>
    <phoneticPr fontId="3"/>
  </si>
  <si>
    <t>U5 §5.4.2 ・ D-U5-11 / D-U5-09</t>
    <phoneticPr fontId="3"/>
  </si>
  <si>
    <t>U5</t>
    <phoneticPr fontId="3"/>
  </si>
  <si>
    <t>個別・顧客単位・全体の3粒度。2026-08-12追加=同時セッション数の上限で失効時の影響範囲を縮小、失効イベントの標準配信で受け取り側への伝播を高速化</t>
    <phoneticPr fontId="3"/>
  </si>
  <si>
    <t>D-U7-15 / D-U7-15b / D-U7-21 ・ U2 §2.6</t>
    <phoneticPr fontId="3"/>
  </si>
  <si>
    <t>漏えい報告の7ステップと期限、委託先監督の方針まで確定。2026-08-12追加=同意の記録・撤回・監査証跡（同意レシート）の枠組み。越境や第三者提供が絡む顧客は必須</t>
    <phoneticPr fontId="3"/>
  </si>
  <si>
    <t>D-U7-15b / D-U7-21</t>
    <phoneticPr fontId="3"/>
  </si>
  <si>
    <t>国内2拠点に限定し越境は最小化。保守要員の越境閲覧の扱いが確認中の唯一の論点。2026-08-12追加=越境が絡む顧客には同意レシートを必須化</t>
    <phoneticPr fontId="3"/>
  </si>
  <si>
    <t>D-U9-06 / D-U9-05 / D-U9-20 ・ D-U7-12</t>
    <phoneticPr fontId="3"/>
  </si>
  <si>
    <t>取込イベントセットを確定し監査アカウントを唯一の集約先に。2026-08-12追加=認可判定の決定ログ（誰が・何に・なぜ・ポリシー版）を出力し、最小権限の証明と定期棚卸しの証跡を担保</t>
    <phoneticPr fontId="3"/>
  </si>
  <si>
    <t>D-U10-13 / D-U10-13b ・ D3-09 / D3-17</t>
    <phoneticPr fontId="3"/>
  </si>
  <si>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3"/>
  </si>
  <si>
    <t>継続アクセス評価</t>
  </si>
  <si>
    <t>B-CAEP-1</t>
  </si>
  <si>
    <t>顧客側ID基盤が失効イベントを送信できるか。受け取り側アプリへ受信部品をどこまで配布するか</t>
  </si>
  <si>
    <t>requirements/hearing-checklist.md §5.6</t>
  </si>
  <si>
    <t>テナント隔離</t>
  </si>
  <si>
    <t>B-TENANT-ISO-1</t>
  </si>
  <si>
    <t>顧客ごとのレート制限・上限の既定値と、大口顧客や規制対象顧客を別領域へ分離する基準</t>
  </si>
  <si>
    <t>非人間ID</t>
  </si>
  <si>
    <t>B-NHI-1</t>
  </si>
  <si>
    <t>顧客側の機械通信アカウントの責任者を顧客と自社のどちらが持つか。棚卸し責任の分界</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</si>
  <si>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</si>
  <si>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</si>
  <si>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</si>
  <si>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</si>
  <si>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</si>
  <si>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</si>
  <si>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</si>
  <si>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</si>
  <si>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</si>
  <si>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</si>
  <si>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</si>
  <si>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</si>
  <si>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</si>
  <si>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</si>
  <si>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</si>
  <si>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</si>
  <si>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</si>
  <si>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</si>
  <si>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認可ログ</t>
  </si>
  <si>
    <t>B-AUTHZLOG-1</t>
  </si>
  <si>
    <t>監査人が求める認可証跡の粒度と保持期間</t>
  </si>
  <si>
    <t>登録手続き</t>
  </si>
  <si>
    <t>B-ENROLL-1</t>
  </si>
  <si>
    <t>2台目以降の認証手段の登録に、どこまでの再確認を求めるか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</si>
  <si>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</si>
  <si>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</si>
  <si>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</si>
  <si>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</si>
  <si>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</si>
  <si>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</si>
  <si>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</si>
  <si>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</si>
  <si>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</si>
  <si>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</si>
  <si>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</si>
  <si>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</si>
  <si>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</si>
  <si>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</si>
  <si>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</si>
  <si>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</si>
  <si>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姿勢のみで今回は実装なし。関連=D-U5-12（委譲制御）/ ADR-066（非人間ID台帳の種別拡張で受ける）</t>
  </si>
  <si>
    <t>B-FAPI-1</t>
  </si>
  <si>
    <t>金融グレードの仕様準拠を求める顧客が存在するか</t>
  </si>
  <si>
    <t>B-IPSIE-1</t>
  </si>
  <si>
    <t>企業向け相互運用プロファイルへの準拠を求められるか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</si>
  <si>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</si>
  <si>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</si>
  <si>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</si>
  <si>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</si>
  <si>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</si>
  <si>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</si>
  <si>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</si>
  <si>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</si>
  <si>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</si>
  <si>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</si>
  <si>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</si>
  <si>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</si>
  <si>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</si>
  <si>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</si>
  <si>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</si>
  <si>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</si>
  <si>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</si>
  <si>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</si>
  <si>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</si>
  <si>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</si>
  <si>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</si>
  <si>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</si>
  <si>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</si>
  <si>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</si>
  <si>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</si>
  <si>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</si>
  <si>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</si>
  <si>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内容</t>
  </si>
  <si>
    <t>決定名（何を決めたか）</t>
    <phoneticPr fontId="3"/>
  </si>
  <si>
    <t>設計単元</t>
    <phoneticPr fontId="3"/>
  </si>
  <si>
    <t>決定内容</t>
    <phoneticPr fontId="3"/>
  </si>
  <si>
    <t>内部ID（Git内の採番）</t>
    <phoneticPr fontId="3"/>
  </si>
  <si>
    <t>出典</t>
    <phoneticPr fontId="3"/>
  </si>
  <si>
    <t>Realm構成</t>
    <phoneticPr fontId="3"/>
  </si>
  <si>
    <t>U2 Keycloak論理</t>
    <phoneticPr fontId="3"/>
  </si>
  <si>
    <t>Broker KC=単一Realm『broker』+Organizations、IdP-KC=単一Realm『idp』+Organizations。masterはKeycloak自体の管理専用で業務ユーザ・Clientを置かない。Realm名はissuer URLに埋まり変更不可のため普遍的短名</t>
    <phoneticPr fontId="3"/>
  </si>
  <si>
    <t>U2 §2.1.1</t>
    <phoneticPr fontId="3"/>
  </si>
  <si>
    <t>basic-design/02-keycloak-logical-design.md</t>
    <phoneticPr fontId="3"/>
  </si>
  <si>
    <t>Organizationsの使い方</t>
    <phoneticPr fontId="3"/>
  </si>
  <si>
    <t>Brokerは全顧客（IdPあり・なし問わず）を1顧客=1Orgで登録。顧客IdPは必ず当該顧客Orgに紐付け（グローバルIdP禁止）。IdP-KCはIdPなし顧客のみ登録。Org attributeは表示名とhrd_modeのみ、課金・契約メタは持たない</t>
    <phoneticPr fontId="3"/>
  </si>
  <si>
    <t>U2 §2.1.2</t>
    <phoneticPr fontId="3"/>
  </si>
  <si>
    <t>Org命名規則・alias規則</t>
    <phoneticPr fontId="3"/>
  </si>
  <si>
    <t>Org alias=小文字英数字2〜20文字・先頭英字・ハイフン禁止・作成後変更不可。tenant_idクレーム値とログインIDのtenantプレフィックスと完全一致。master/admin/broker/idp/api/scim/test等は予約語で使用禁止</t>
    <phoneticPr fontId="3"/>
  </si>
  <si>
    <t>U2 §2.1.3</t>
    <phoneticPr fontId="3"/>
  </si>
  <si>
    <t>IdP alias規則</t>
    <phoneticPr fontId="3"/>
  </si>
  <si>
    <t>顧客IdP alias=&lt;orgAlias&gt;-&lt;proto&gt;&lt;NN&gt;（例 acme-oidc01）。IdP製品名はdisplayNameのみに記載しaliasには含めない（製品乗換時にalias変更＝顧客側再設定を避ける）</t>
    <phoneticPr fontId="3"/>
  </si>
  <si>
    <t>U2 §2.1.4</t>
    <phoneticPr fontId="3"/>
  </si>
  <si>
    <t>2-tier間フェデの位置付け</t>
    <phoneticPr fontId="3"/>
  </si>
  <si>
    <t>Brokerから見たIdP-KCは「OIDC IdPの1つ」として登録。IdP-KC側ではBrokerをOIDC confidential clientとして登録</t>
    <phoneticPr fontId="3"/>
  </si>
  <si>
    <t>U2 §2.2.1</t>
    <phoneticPr fontId="3"/>
  </si>
  <si>
    <t>Broker側IdP登録（IdP-KC向け）</t>
    <phoneticPr fontId="3"/>
  </si>
  <si>
    <t>IdPなし顧客共通の単一OIDC IdPエントリ『idpkc-oidc01』を作り、IdPなし顧客の全Orgに紐付け。loginHint=true / hideOnLoginPage=true / trustEmail=false / syncMode=IMPORT / storeToken=false</t>
    <phoneticPr fontId="3"/>
  </si>
  <si>
    <t>U2 §2.2.2</t>
    <phoneticPr fontId="3"/>
  </si>
  <si>
    <t>IdP-KC側Client登録（Broker向け）</t>
    <phoneticPr fontId="3"/>
  </si>
  <si>
    <t>client_id=broker-rp。Confidential・Standard Flowのみ（Implicit/Direct Access/Service Account無効）。redirect URIは完全一致1本のみ（ワイルドカード禁止）。Phase 1=client_secret_post、Phase 2でprivate_key_jwtへ昇格。Web Origins/CORSなし</t>
    <phoneticPr fontId="3"/>
  </si>
  <si>
    <t>U2 §2.2.3</t>
    <phoneticPr fontId="3"/>
  </si>
  <si>
    <t>2-tier間のクレーム受け渡し</t>
    <phoneticPr fontId="3"/>
  </si>
  <si>
    <t>IdP-KC側に専用Client Scope『broker-federation』を作りMapperを集約（tenant_id / preferred_username / amr / email の4種）。JIT突合キーはtenant_id+persistent sub、emailは補助。Phase 1ではIdP-KCのrolesをBrokerへ伝播しない</t>
    <phoneticPr fontId="3"/>
  </si>
  <si>
    <t>U2 §2.2.4</t>
    <phoneticPr fontId="3"/>
  </si>
  <si>
    <t>ログアウト連鎖</t>
    <phoneticPr fontId="3"/>
  </si>
  <si>
    <t>idpkc-oidc01にbackchannelSupported=trueを設定し、Brokerのログアウト時にIdP-KCセッションも常時破棄（自社基盤のため越境問題なし）。storeToken=false下でのid_token_hint取り回しは実機確認が必要</t>
    <phoneticPr fontId="3"/>
  </si>
  <si>
    <t>U2 §2.2.5 #1</t>
    <phoneticPr fontId="3"/>
  </si>
  <si>
    <t>IdP-KC側Realmセッション TTL</t>
    <phoneticPr fontId="3"/>
  </si>
  <si>
    <t>Realm『idp』のSSO Session Idle/MaxをBroker Realmと同値（Idle 1h / Max 24h）に固定。IaCで両Realm共通変数化し独立変更を構造的に防ぐ</t>
    <phoneticPr fontId="3"/>
  </si>
  <si>
    <t>U2 §2.2.5 #2</t>
    <phoneticPr fontId="3"/>
  </si>
  <si>
    <t>ステップアップ（AAL3）の転送</t>
    <phoneticPr fontId="3"/>
  </si>
  <si>
    <t>認証元がidpkc-oidc01の場合、IdP-KCへacr_values="3"+prompt=loginを付けて再リダイレクト。IdP-KC側にもACR-to-LoAマッピング（1/2/3）を定義し、amrで返してmfa_indicator Mapper（FORCE）がBroker側acr判定に反映</t>
    <phoneticPr fontId="3"/>
  </si>
  <si>
    <t>U2 §2.2.5 #3</t>
    <phoneticPr fontId="3"/>
  </si>
  <si>
    <t>prompt=login / max_ageの転送方針</t>
    <phoneticPr fontId="3"/>
  </si>
  <si>
    <t>idpkc-oidc01経由のユーザにはprompt=login / max_age / acr_valuesをIdP-KCへ転送する。外部顧客IdPへは転送しない（挙動がIdP依存で保証できないため、Broker側max_age評価で代替）</t>
    <phoneticPr fontId="3"/>
  </si>
  <si>
    <t>U2 §2.2.5 #4</t>
    <phoneticPr fontId="3"/>
  </si>
  <si>
    <t>login_hintの書式契約</t>
    <phoneticPr fontId="3"/>
  </si>
  <si>
    <t>Broker→IdP-KCへ渡す値は&lt;userid&gt;（tenantプレフィックス除去後）のみ。IdP-KC側は完全形&lt;tenant&gt;-&lt;userid&gt;も受理して除去する寛容受理とし、誤設定でもループしない</t>
    <phoneticPr fontId="3"/>
  </si>
  <si>
    <t>U2 §2.2.5 #5</t>
    <phoneticPr fontId="3"/>
  </si>
  <si>
    <t>Flow配置の全系統共通制約</t>
    <phoneticPr fontId="3"/>
  </si>
  <si>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3"/>
  </si>
  <si>
    <t>U2 §2.3 共通制約</t>
    <phoneticPr fontId="3"/>
  </si>
  <si>
    <t>系統① ローカル認証（Browser Flow）</t>
    <phoneticPr fontId="3"/>
  </si>
  <si>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3"/>
  </si>
  <si>
    <t>U2 §2.3.1</t>
    <phoneticPr fontId="3"/>
  </si>
  <si>
    <t>系統② フェデレーション（First/Post Broker Login）</t>
    <phoneticPr fontId="3"/>
  </si>
  <si>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3"/>
  </si>
  <si>
    <t>U2 §2.3.2</t>
    <phoneticPr fontId="3"/>
  </si>
  <si>
    <t>系統③ HRD（Home Realm Discovery）</t>
    <phoneticPr fontId="3"/>
  </si>
  <si>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3"/>
  </si>
  <si>
    <t>U2 §2.3.3</t>
    <phoneticPr fontId="3"/>
  </si>
  <si>
    <t>系統④ ステップアップ認証（acr/LoA）</t>
    <phoneticPr fontId="3"/>
  </si>
  <si>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3"/>
  </si>
  <si>
    <t>U2 §2.3.4</t>
    <phoneticPr fontId="3"/>
  </si>
  <si>
    <t>系統⑤ Adaptive認証</t>
    <phoneticPr fontId="3"/>
  </si>
  <si>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3"/>
  </si>
  <si>
    <t>U2 §2.3.5</t>
    <phoneticPr fontId="3"/>
  </si>
  <si>
    <t>Custom SPIの総量</t>
    <phoneticPr fontId="3"/>
  </si>
  <si>
    <t>Phase 1のCustom SPIは3JAR・4機能に限定（JIT制御Authenticator / HRD Authenticator / Event Listener / mfa_indicator正規化）。RHBKバージョン追従コストを面積で抑えるため。CI/CDは全SPIでU9の仕組みを共用</t>
    <phoneticPr fontId="3"/>
  </si>
  <si>
    <t>U2 §2.4</t>
    <phoneticPr fontId="3"/>
  </si>
  <si>
    <t>SPI① JIT制御Authenticator</t>
    <phoneticPr fontId="3"/>
  </si>
  <si>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3"/>
  </si>
  <si>
    <t>U2 §2.4.1</t>
    <phoneticPr fontId="3"/>
  </si>
  <si>
    <t>SPI② HRD Authenticator</t>
    <phoneticPr fontId="3"/>
  </si>
  <si>
    <t>常にfail-openで後続Authenticatorに降格（HRDは経路解決であって認証判定ではない）。requiresUser()=false、実装50〜100行。複数IdPリンク時は先頭1件を選ばずattempted()降格してOrgセレクターに委ねる</t>
    <phoneticPr fontId="3"/>
  </si>
  <si>
    <t>U2 §2.4.2</t>
    <phoneticPr fontId="3"/>
  </si>
  <si>
    <t>Re-Activationの実装制約</t>
    <phoneticPr fontId="3"/>
  </si>
  <si>
    <t>Re-ActivationロジックはSPI①に統合し単独SPIとして分離しない（同一トランザクションで判定）。SCIM除外条件と想定外値の安全側拒否は削除不可の必須分岐とし単体テストで固定</t>
    <phoneticPr fontId="3"/>
  </si>
  <si>
    <t>U2 §2.4.3</t>
    <phoneticPr fontId="3"/>
  </si>
  <si>
    <t>mfa_indicator正規化Mapper</t>
    <phoneticPr fontId="3"/>
  </si>
  <si>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3"/>
  </si>
  <si>
    <t>U2 §2.4.4</t>
    <phoneticPr fontId="3"/>
  </si>
  <si>
    <t>Stage 1クレーム（既定発行）</t>
    <phoneticPr fontId="3"/>
  </si>
  <si>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3"/>
  </si>
  <si>
    <t>U2 §2.5.1</t>
    <phoneticPr fontId="3"/>
  </si>
  <si>
    <t>audience Mapper</t>
    <phoneticPr fontId="3"/>
  </si>
  <si>
    <t>アプリAPIごとに専用Client Scope『aud-&lt;api名&gt;』を作りoidc-audience-mapperを1つ載せる。フロントClientにはアクセス先APIのaud-*のみDefault付与。多重audはscopeの複数付与で表現</t>
    <phoneticPr fontId="3"/>
  </si>
  <si>
    <t>U2 §2.5.2</t>
    <phoneticPr fontId="3"/>
  </si>
  <si>
    <t>tenant_id / usernameの供給経路</t>
    <phoneticPr fontId="3"/>
  </si>
  <si>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3"/>
  </si>
  <si>
    <t>U2 §2.5.3</t>
    <phoneticPr fontId="3"/>
  </si>
  <si>
    <t>roles方式とsyncMode既定</t>
    <phoneticPr fontId="3"/>
  </si>
  <si>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3"/>
  </si>
  <si>
    <t>U2 §2.5.4</t>
    <phoneticPr fontId="3"/>
  </si>
  <si>
    <t>User Profileスキーマ</t>
    <phoneticPr fontId="3"/>
  </si>
  <si>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3"/>
  </si>
  <si>
    <t>U2 §2.6</t>
    <phoneticPr fontId="3"/>
  </si>
  <si>
    <t>1000+IdP制約1: バージョン固定</t>
    <phoneticPr fontId="3"/>
  </si>
  <si>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3"/>
  </si>
  <si>
    <t>U2 §2.7.1</t>
    <phoneticPr fontId="3"/>
  </si>
  <si>
    <t>1000+IdP制約2: IdP一覧を出さない</t>
    <phoneticPr fontId="3"/>
  </si>
  <si>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3"/>
  </si>
  <si>
    <t>U2 §2.7.2</t>
    <phoneticPr fontId="3"/>
  </si>
  <si>
    <t>1000+IdP制約3: Org紐付け必須</t>
    <phoneticPr fontId="3"/>
  </si>
  <si>
    <t>Org非紐付けのグローバルIdPの新規作成を禁止。例外はidpkc-oidc01のみ（これも各Orgに紐付けて登録）。オンボーディングパイプラインはOrg紐付けのないIdP作成要求をrejectする</t>
    <phoneticPr fontId="3"/>
  </si>
  <si>
    <t>U2 §2.7.3</t>
    <phoneticPr fontId="3"/>
  </si>
  <si>
    <t>1000+IdP制約4: realm全体export禁止</t>
    <phoneticPr fontId="3"/>
  </si>
  <si>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3"/>
  </si>
  <si>
    <t>U2 §2.7.4</t>
    <phoneticPr fontId="3"/>
  </si>
  <si>
    <t>1000+IdP制約5: IaC 2層分離</t>
    <phoneticPr fontId="3"/>
  </si>
  <si>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3"/>
  </si>
  <si>
    <t>U2 §2.7.5</t>
    <phoneticPr fontId="3"/>
  </si>
  <si>
    <t>1000+IdP制約6: キャッシュサイジング明示</t>
    <phoneticPr fontId="3"/>
  </si>
  <si>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3"/>
  </si>
  <si>
    <t>U2 §2.7.6</t>
    <phoneticPr fontId="3"/>
  </si>
  <si>
    <t>1000+IdP制約7: IdP数の関数としての継続監視</t>
    <phoneticPr fontId="3"/>
  </si>
  <si>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3"/>
  </si>
  <si>
    <t>U2 §2.7.7</t>
    <phoneticPr fontId="3"/>
  </si>
  <si>
    <t>1000社超過時の拡張パス</t>
    <phoneticPr fontId="3"/>
  </si>
  <si>
    <t>第一拡張パスはIdP-KC側のシャーディング（例 500 IdP/クラスタ）でBroker KCのIdP数を圧縮（Broker多段）。Realm分割は運用コストが復活するため次善。Custom IdP Storage SPIはPhase 2の研究テーマ</t>
    <phoneticPr fontId="3"/>
  </si>
  <si>
    <t>U2 §2.7.8</t>
    <phoneticPr fontId="3"/>
  </si>
  <si>
    <t>3階層識別子の格納先</t>
    <phoneticPr fontId="3"/>
  </si>
  <si>
    <t>U3 ID・プロビジョニング</t>
    <phoneticPr fontId="3"/>
  </si>
  <si>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3"/>
  </si>
  <si>
    <t>D3-01</t>
    <phoneticPr fontId="3"/>
  </si>
  <si>
    <t>basic-design/03-identity-provisioning-design.md §3.1</t>
    <phoneticPr fontId="3"/>
  </si>
  <si>
    <t>emailは補助属性</t>
    <phoneticPr fontId="3"/>
  </si>
  <si>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3"/>
  </si>
  <si>
    <t>D3-02</t>
    <phoneticPr fontId="3"/>
  </si>
  <si>
    <t>マッピングDBのスキーマ</t>
    <phoneticPr fontId="3"/>
  </si>
  <si>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3"/>
  </si>
  <si>
    <t>D3-03</t>
    <phoneticPr fontId="3"/>
  </si>
  <si>
    <t>プロビジョニング経路とprovisioned_by値体系</t>
    <phoneticPr fontId="3"/>
  </si>
  <si>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3"/>
  </si>
  <si>
    <t>D3-04</t>
    <phoneticPr fontId="3"/>
  </si>
  <si>
    <t>basic-design/03-identity-provisioning-design.md §3.2</t>
    <phoneticPr fontId="3"/>
  </si>
  <si>
    <t>アプリ発CRUDは専用API層経由</t>
    <phoneticPr fontId="3"/>
  </si>
  <si>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3"/>
  </si>
  <si>
    <t>D3-05</t>
    <phoneticPr fontId="3"/>
  </si>
  <si>
    <t>appユーザのライフサイクル扱い</t>
    <phoneticPr fontId="3"/>
  </si>
  <si>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3"/>
  </si>
  <si>
    <t>D3-06</t>
    <phoneticPr fontId="3"/>
  </si>
  <si>
    <t>JIT/SCIM判別ロジックとCase 1-6</t>
    <phoneticPr fontId="3"/>
  </si>
  <si>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3"/>
  </si>
  <si>
    <t>D3-07</t>
    <phoneticPr fontId="3"/>
  </si>
  <si>
    <t>basic-design/03-identity-provisioning-design.md §3.3</t>
    <phoneticPr fontId="3"/>
  </si>
  <si>
    <t>SoTルールと混在時ポリシー</t>
    <phoneticPr fontId="3"/>
  </si>
  <si>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3"/>
  </si>
  <si>
    <t>D3-08</t>
    <phoneticPr fontId="3"/>
  </si>
  <si>
    <t>S1-S10状態遷移と3段階削除モデル</t>
    <phoneticPr fontId="3"/>
  </si>
  <si>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3"/>
  </si>
  <si>
    <t>D3-09</t>
    <phoneticPr fontId="3"/>
  </si>
  <si>
    <t>basic-design/03-identity-provisioning-design.md §3.4</t>
    <phoneticPr fontId="3"/>
  </si>
  <si>
    <t>責任分界 L1-L3</t>
    <phoneticPr fontId="3"/>
  </si>
  <si>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3"/>
  </si>
  <si>
    <t>D3-10</t>
    <phoneticPr fontId="3"/>
  </si>
  <si>
    <t>SCIM受信は自作Facade</t>
    <phoneticPr fontId="3"/>
  </si>
  <si>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3"/>
  </si>
  <si>
    <t>D3-11</t>
    <phoneticPr fontId="3"/>
  </si>
  <si>
    <t>basic-design/03-identity-provisioning-design.md §3.5</t>
    <phoneticPr fontId="3"/>
  </si>
  <si>
    <t>Re-Activationの条件仕様</t>
    <phoneticPr fontId="3"/>
  </si>
  <si>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3"/>
  </si>
  <si>
    <t>D3-12</t>
    <phoneticPr fontId="3"/>
  </si>
  <si>
    <t>ゲート追跡表の一元管理</t>
    <phoneticPr fontId="3"/>
  </si>
  <si>
    <t>Phase 1契約前ゲート8項目（B-JIT-LC-1 / B-JIT-RA-1 / B-SCIM-JIT-1 / B-SCIM-JIT-3 / B-JIT-DEL-1 / B-JIT-DEL-2 / B-SCIM-HC-1 / B-TENANT-SWITCH-1・B-TENANT-EXIT-1）を本書§3.7で一元管理し、Waveごとに更新。全項目が未通過で暫定値（デフォルト）で設計継続中</t>
    <phoneticPr fontId="3"/>
  </si>
  <si>
    <t>D3-13</t>
    <phoneticPr fontId="3"/>
  </si>
  <si>
    <t>basic-design/03-identity-provisioning-design.md §3.7</t>
    <phoneticPr fontId="3"/>
  </si>
  <si>
    <t>認可境界は「粗粒度」まで</t>
    <phoneticPr fontId="3"/>
  </si>
  <si>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3"/>
  </si>
  <si>
    <t>D3-14</t>
    <phoneticPr fontId="3"/>
  </si>
  <si>
    <t>basic-design/03-identity-provisioning-design.md §3.8</t>
    <phoneticPr fontId="3"/>
  </si>
  <si>
    <t>組織属性の格納と属性正準化の原則</t>
    <phoneticPr fontId="3"/>
  </si>
  <si>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3"/>
  </si>
  <si>
    <t>D3-15</t>
    <phoneticPr fontId="3"/>
  </si>
  <si>
    <t>統合コンテキスト射影（/api/me/context）</t>
    <phoneticPr fontId="3"/>
  </si>
  <si>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3"/>
  </si>
  <si>
    <t>D3-16</t>
    <phoneticPr fontId="3"/>
  </si>
  <si>
    <t>非IdPテナントのユーザCRUD/削除モデル</t>
    <phoneticPr fontId="3"/>
  </si>
  <si>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3"/>
  </si>
  <si>
    <t>D3-17</t>
    <phoneticPr fontId="3"/>
  </si>
  <si>
    <t>既定発行クレームの確定（Stage 1 + sid）</t>
    <phoneticPr fontId="3"/>
  </si>
  <si>
    <t>U5 トークン・認可</t>
    <phoneticPr fontId="3"/>
  </si>
  <si>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3"/>
  </si>
  <si>
    <t>U5 §5.1.1</t>
    <phoneticPr fontId="3"/>
  </si>
  <si>
    <t>basic-design/05-token-session-authz-design.md</t>
    <phoneticPr fontId="3"/>
  </si>
  <si>
    <t>Stage 2 / Stage 3への昇格規約</t>
    <phoneticPr fontId="3"/>
  </si>
  <si>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3"/>
  </si>
  <si>
    <t>U5 §5.1.2</t>
    <phoneticPr fontId="3"/>
  </si>
  <si>
    <t>顧客拡張クレームの規約（ext_）</t>
    <phoneticPr fontId="3"/>
  </si>
  <si>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3"/>
  </si>
  <si>
    <t>U5 §5.1.3</t>
    <phoneticPr fontId="3"/>
  </si>
  <si>
    <t>PII非搭載原則の検証チェックリスト（C-1〜C-7）</t>
    <phoneticPr fontId="3"/>
  </si>
  <si>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3"/>
  </si>
  <si>
    <t>U5 §5.1.4</t>
    <phoneticPr fontId="3"/>
  </si>
  <si>
    <t>TTL体系の最終値とKeycloak設定マッピング</t>
    <phoneticPr fontId="3"/>
  </si>
  <si>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3"/>
  </si>
  <si>
    <t>U5 §5.2.1</t>
    <phoneticPr fontId="3"/>
  </si>
  <si>
    <t>「RT 30日」の解釈確定</t>
    <phoneticPr fontId="3"/>
  </si>
  <si>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3"/>
  </si>
  <si>
    <t>U5 §5.2.2</t>
    <phoneticPr fontId="3"/>
  </si>
  <si>
    <t>テナント別TTL短縮オプション（5-15分）</t>
    <phoneticPr fontId="3"/>
  </si>
  <si>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3"/>
  </si>
  <si>
    <t>U5 §5.2.3</t>
    <phoneticPr fontId="3"/>
  </si>
  <si>
    <t>ゾンビウィンドウの侵害シナリオ（Z-1〜Z-5）</t>
    <phoneticPr fontId="3"/>
  </si>
  <si>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3"/>
  </si>
  <si>
    <t>U5 §5.2.4</t>
    <phoneticPr fontId="3"/>
  </si>
  <si>
    <t>Token Exchange 適用パターンの限定</t>
    <phoneticPr fontId="3"/>
  </si>
  <si>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3"/>
  </si>
  <si>
    <t>U5 §5.3.1</t>
    <phoneticPr fontId="3"/>
  </si>
  <si>
    <t>audience設計と命名規約</t>
    <phoneticPr fontId="3"/>
  </si>
  <si>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3"/>
  </si>
  <si>
    <t>U5 §5.3.2</t>
    <phoneticPr fontId="3"/>
  </si>
  <si>
    <t>Token Exchange の Client設定方針</t>
    <phoneticPr fontId="3"/>
  </si>
  <si>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3"/>
  </si>
  <si>
    <t>U5 §5.3.3</t>
    <phoneticPr fontId="3"/>
  </si>
  <si>
    <t>RT Revocation（アプリ・ユーザ起点）</t>
    <phoneticPr fontId="3"/>
  </si>
  <si>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3"/>
  </si>
  <si>
    <t>U5 §5.4.1</t>
    <phoneticPr fontId="3"/>
  </si>
  <si>
    <t>管理者強制ログアウトの3粒度</t>
    <phoneticPr fontId="3"/>
  </si>
  <si>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3"/>
  </si>
  <si>
    <t>U5 §5.4.2</t>
    <phoneticPr fontId="3"/>
  </si>
  <si>
    <t>ITDR L4連動（全Token Revoke）</t>
    <phoneticPr fontId="3"/>
  </si>
  <si>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3"/>
  </si>
  <si>
    <t>U5 §5.4.3</t>
    <phoneticPr fontId="3"/>
  </si>
  <si>
    <t>ログアウト4レイヤーの採用範囲</t>
    <phoneticPr fontId="3"/>
  </si>
  <si>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3"/>
  </si>
  <si>
    <t>U5 §5.5.1</t>
    <phoneticPr fontId="3"/>
  </si>
  <si>
    <t>SAML SP（ServiceNow）へのSLO</t>
    <phoneticPr fontId="3"/>
  </si>
  <si>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3"/>
  </si>
  <si>
    <t>U5 §5.5.2</t>
    <phoneticPr fontId="3"/>
  </si>
  <si>
    <t>SPA直構成の限界の明示</t>
    <phoneticPr fontId="3"/>
  </si>
  <si>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3"/>
  </si>
  <si>
    <t>U5 §5.5.3</t>
    <phoneticPr fontId="3"/>
  </si>
  <si>
    <t>Back-Channel Logoutの実装確定</t>
    <phoneticPr fontId="3"/>
  </si>
  <si>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3"/>
  </si>
  <si>
    <t>U5 §5.5.4</t>
    <phoneticPr fontId="3"/>
  </si>
  <si>
    <t>RP実装ガイド: 認可リクエスト（全アプリ必須）</t>
    <phoneticPr fontId="3"/>
  </si>
  <si>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3"/>
  </si>
  <si>
    <t>U5 §5.6.1</t>
    <phoneticPr fontId="3"/>
  </si>
  <si>
    <t>RP実装ガイド: BFF vs SPA直の使い分け</t>
    <phoneticPr fontId="3"/>
  </si>
  <si>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3"/>
  </si>
  <si>
    <t>U5 §5.6.2</t>
    <phoneticPr fontId="3"/>
  </si>
  <si>
    <t>U5 §5.6.3</t>
    <phoneticPr fontId="3"/>
  </si>
  <si>
    <t>RP実装ガイド: CORS / SameSite</t>
    <phoneticPr fontId="3"/>
  </si>
  <si>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3"/>
  </si>
  <si>
    <t>U5 §5.6.4</t>
    <phoneticPr fontId="3"/>
  </si>
  <si>
    <t>RP実装ガイド: ログアウト・トークンライフサイクル</t>
    <phoneticPr fontId="3"/>
  </si>
  <si>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3"/>
  </si>
  <si>
    <t>U5 §5.6.5</t>
    <phoneticPr fontId="3"/>
  </si>
  <si>
    <t>RP実装ガイド: 認可失敗（403）→ Sorry誘導</t>
    <phoneticPr fontId="3"/>
  </si>
  <si>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3"/>
  </si>
  <si>
    <t>U5 §5.6.6</t>
    <phoneticPr fontId="3"/>
  </si>
  <si>
    <t>専用API層のスコープ命名規約とPhase 1セット</t>
    <phoneticPr fontId="3"/>
  </si>
  <si>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3"/>
  </si>
  <si>
    <t>U5 §5.8.1</t>
    <phoneticPr fontId="3"/>
  </si>
  <si>
    <t>専用API層のClient発行・テナント制約・トークン設定</t>
    <phoneticPr fontId="3"/>
  </si>
  <si>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3"/>
  </si>
  <si>
    <t>U5 §5.8.2</t>
    <phoneticPr fontId="3"/>
  </si>
  <si>
    <t>ログインUX = Identifier-First 2段階</t>
    <phoneticPr fontId="3"/>
  </si>
  <si>
    <t>U4 認証体験・UX</t>
    <phoneticPr fontId="3"/>
  </si>
  <si>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3"/>
  </si>
  <si>
    <t>D-U4-01</t>
    <phoneticPr fontId="3"/>
  </si>
  <si>
    <t>basic-design/04-auth-ux-design.md §4.1</t>
    <phoneticPr fontId="3"/>
  </si>
  <si>
    <t>HRD失敗時のフォールバックUX</t>
    <phoneticPr fontId="3"/>
  </si>
  <si>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3"/>
  </si>
  <si>
    <t>D-U4-02</t>
    <phoneticPr fontId="3"/>
  </si>
  <si>
    <t>basic-design/04-auth-ux-design.md §4.1.3</t>
    <phoneticPr fontId="3"/>
  </si>
  <si>
    <t>ブランディング = パターンA（統一テーマ1本）</t>
    <phoneticPr fontId="3"/>
  </si>
  <si>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3"/>
  </si>
  <si>
    <t>basic-design/04-auth-ux-design.md §4.2</t>
    <phoneticPr fontId="3"/>
  </si>
  <si>
    <t>MFA UX 4ケース（2026-07-30 D-17反映）</t>
    <phoneticPr fontId="3"/>
  </si>
  <si>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3"/>
  </si>
  <si>
    <t>basic-design/04-auth-ux-design.md §4.3.1</t>
    <phoneticPr fontId="3"/>
  </si>
  <si>
    <t>MFAエンロールフロー（初回登録UX）</t>
    <phoneticPr fontId="3"/>
  </si>
  <si>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3"/>
  </si>
  <si>
    <t>U4 §4.3.2</t>
    <phoneticPr fontId="3"/>
  </si>
  <si>
    <t>basic-design/04-auth-ux-design.md §4.3.2</t>
    <phoneticPr fontId="3"/>
  </si>
  <si>
    <t>Recovery Codes（予備コード）</t>
    <phoneticPr fontId="3"/>
  </si>
  <si>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3"/>
  </si>
  <si>
    <t>basic-design/04-auth-ux-design.md §4.3.3</t>
    <phoneticPr fontId="3"/>
  </si>
  <si>
    <t>ステップアップ再認証UX</t>
    <phoneticPr fontId="3"/>
  </si>
  <si>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3"/>
  </si>
  <si>
    <t>D-U4-05</t>
    <phoneticPr fontId="3"/>
  </si>
  <si>
    <t>basic-design/04-auth-ux-design.md §4.3.4</t>
    <phoneticPr fontId="3"/>
  </si>
  <si>
    <t>Landing = Pattern 1（許可サービスのみ表示）</t>
    <phoneticPr fontId="3"/>
  </si>
  <si>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3"/>
  </si>
  <si>
    <t>D-U4-06</t>
    <phoneticPr fontId="3"/>
  </si>
  <si>
    <t>basic-design/04-auth-ux-design.md §4.4</t>
    <phoneticPr fontId="3"/>
  </si>
  <si>
    <t>Sorry = 基盤側SPA主実装</t>
    <phoneticPr fontId="3"/>
  </si>
  <si>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3"/>
  </si>
  <si>
    <t>D-U4-07</t>
    <phoneticPr fontId="3"/>
  </si>
  <si>
    <t>basic-design/04-auth-ux-design.md §4.5</t>
    <phoneticPr fontId="3"/>
  </si>
  <si>
    <t>アクセシビリティ = WCAG 2.2 AA + JIS AA</t>
    <phoneticPr fontId="3"/>
  </si>
  <si>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3"/>
  </si>
  <si>
    <t>D-U4-08</t>
    <phoneticPr fontId="3"/>
  </si>
  <si>
    <t>basic-design/04-auth-ux-design.md §4.6</t>
    <phoneticPr fontId="3"/>
  </si>
  <si>
    <t>ディープリンク・着地の原則</t>
    <phoneticPr fontId="3"/>
  </si>
  <si>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3"/>
  </si>
  <si>
    <t>basic-design/04-auth-ux-design.md §4.1.4</t>
    <phoneticPr fontId="3"/>
  </si>
  <si>
    <t>テーマの構成と保守範囲</t>
    <phoneticPr fontId="3"/>
  </si>
  <si>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3"/>
  </si>
  <si>
    <t>basic-design/04-auth-ux-design.md §4.2.3</t>
    <phoneticPr fontId="3"/>
  </si>
  <si>
    <t>暗号鍵の命名規則と配置（6アカウント体系への写像）</t>
    <phoneticPr fontId="3"/>
  </si>
  <si>
    <t>U7 セキュリティ</t>
    <phoneticPr fontId="3"/>
  </si>
  <si>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3"/>
  </si>
  <si>
    <t>D-U7-01</t>
    <phoneticPr fontId="3"/>
  </si>
  <si>
    <t>basic-design/07-security-compliance-design.md §7.1.1</t>
    <phoneticPr fontId="3"/>
  </si>
  <si>
    <t>鍵ポリシー — 管理者/利用者/監査者の職務分離</t>
    <phoneticPr fontId="3"/>
  </si>
  <si>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3"/>
  </si>
  <si>
    <t>D-U7-02</t>
    <phoneticPr fontId="3"/>
  </si>
  <si>
    <t>basic-design/07-security-compliance-design.md §7.1.2</t>
    <phoneticPr fontId="3"/>
  </si>
  <si>
    <t>JWT署名鍵はKeycloak標準管理 + 90日更新周期</t>
    <phoneticPr fontId="3"/>
  </si>
  <si>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3"/>
  </si>
  <si>
    <t>D-U7-03</t>
    <phoneticPr fontId="3"/>
  </si>
  <si>
    <t>basic-design/07-security-compliance-design.md §7.1.3</t>
    <phoneticPr fontId="3"/>
  </si>
  <si>
    <t>不正検知のパイプライン構成と配置</t>
    <phoneticPr fontId="3"/>
  </si>
  <si>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3"/>
  </si>
  <si>
    <t>D-U7-04</t>
    <phoneticPr fontId="3"/>
  </si>
  <si>
    <t>basic-design/07-security-compliance-design.md §7.2.1</t>
    <phoneticPr fontId="3"/>
  </si>
  <si>
    <t>Phase 1の検知範囲と閾値初期値</t>
    <phoneticPr fontId="3"/>
  </si>
  <si>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3"/>
  </si>
  <si>
    <t>basic-design/07-security-compliance-design.md §7.2.2</t>
    <phoneticPr fontId="3"/>
  </si>
  <si>
    <t>誤検知の段階活性化運用</t>
    <phoneticPr fontId="3"/>
  </si>
  <si>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3"/>
  </si>
  <si>
    <t>D-U7-06</t>
    <phoneticPr fontId="3"/>
  </si>
  <si>
    <t>basic-design/07-security-compliance-design.md §7.2.3</t>
    <phoneticPr fontId="3"/>
  </si>
  <si>
    <t>ログの秘匿情報マスキング（収集段＋保存後スキャンの2段構え）</t>
    <phoneticPr fontId="3"/>
  </si>
  <si>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3"/>
  </si>
  <si>
    <t>D-U7-07</t>
    <phoneticPr fontId="3"/>
  </si>
  <si>
    <t>basic-design/07-security-compliance-design.md §7.3.1</t>
    <phoneticPr fontId="3"/>
  </si>
  <si>
    <t>署名鍵悪用検知はPhase 1でルールベース4シグナル</t>
    <phoneticPr fontId="3"/>
  </si>
  <si>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3"/>
  </si>
  <si>
    <t>D-U7-08</t>
    <phoneticPr fontId="3"/>
  </si>
  <si>
    <t>basic-design/07-security-compliance-design.md §7.4.1</t>
    <phoneticPr fontId="3"/>
  </si>
  <si>
    <t>実行主体の権限設計（IRSA）</t>
    <phoneticPr fontId="3"/>
  </si>
  <si>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3"/>
  </si>
  <si>
    <t>D-U7-09</t>
    <phoneticPr fontId="3"/>
  </si>
  <si>
    <t>basic-design/07-security-compliance-design.md §7.5.1</t>
    <phoneticPr fontId="3"/>
  </si>
  <si>
    <t>Keycloakへの機械アクセスは内部から順に無秘密方式へ</t>
    <phoneticPr fontId="3"/>
  </si>
  <si>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3"/>
  </si>
  <si>
    <t>D-U7-10a</t>
    <phoneticPr fontId="3"/>
  </si>
  <si>
    <t>basic-design/07-security-compliance-design.md §7.5.2</t>
    <phoneticPr fontId="3"/>
  </si>
  <si>
    <t>クライアント認証の昇格時期を確定</t>
    <phoneticPr fontId="3"/>
  </si>
  <si>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3"/>
  </si>
  <si>
    <t>D-U7-10b</t>
    <phoneticPr fontId="3"/>
  </si>
  <si>
    <t>basic-design/07-security-compliance-design.md §7.5.3</t>
    <phoneticPr fontId="3"/>
  </si>
  <si>
    <t>ブランド単位アカウント内での認証系と権限系の強分離</t>
    <phoneticPr fontId="3"/>
  </si>
  <si>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3"/>
  </si>
  <si>
    <t>D-U7-19</t>
    <phoneticPr fontId="3"/>
  </si>
  <si>
    <t>basic-design/07-security-compliance-design.md §7.5.4</t>
    <phoneticPr fontId="3"/>
  </si>
  <si>
    <t>特権管理4層モデルの構成への写像</t>
    <phoneticPr fontId="3"/>
  </si>
  <si>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3"/>
  </si>
  <si>
    <t>D-U7-11</t>
    <phoneticPr fontId="3"/>
  </si>
  <si>
    <t>basic-design/07-security-compliance-design.md §7.6.1</t>
    <phoneticPr fontId="3"/>
  </si>
  <si>
    <t>管理経路と監査ログ集約の整合</t>
    <phoneticPr fontId="3"/>
  </si>
  <si>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3"/>
  </si>
  <si>
    <t>basic-design/07-security-compliance-design.md §7.6.2</t>
    <phoneticPr fontId="3"/>
  </si>
  <si>
    <t>監査ログ保持 — 即時分析90日 + 改ざん不能7年</t>
    <phoneticPr fontId="3"/>
  </si>
  <si>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3"/>
  </si>
  <si>
    <t>basic-design/07-security-compliance-design.md §7.7.1</t>
    <phoneticPr fontId="3"/>
  </si>
  <si>
    <t>フィッシング耐性のある追加確認を管理系に必須化</t>
    <phoneticPr fontId="3"/>
  </si>
  <si>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3"/>
  </si>
  <si>
    <t>basic-design/07-security-compliance-design.md §7.7.2</t>
    <phoneticPr fontId="3"/>
  </si>
  <si>
    <t>漏えい等報告の標準手順（個人情報保護法）</t>
    <phoneticPr fontId="3"/>
  </si>
  <si>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3"/>
  </si>
  <si>
    <t>D-U7-15</t>
    <phoneticPr fontId="3"/>
  </si>
  <si>
    <t>basic-design/07-security-compliance-design.md §7.7.3</t>
    <phoneticPr fontId="3"/>
  </si>
  <si>
    <t>委託先監督（個人情報保護法25条・28条）</t>
    <phoneticPr fontId="3"/>
  </si>
  <si>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3"/>
  </si>
  <si>
    <t>basic-design/07-security-compliance-design.md §7.7.4</t>
    <phoneticPr fontId="3"/>
  </si>
  <si>
    <t>外部通信を持たない構成のセキュリティ評価 — 採用推奨</t>
    <phoneticPr fontId="3"/>
  </si>
  <si>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3"/>
  </si>
  <si>
    <t>basic-design/07-security-compliance-design.md §7.7.5</t>
    <phoneticPr fontId="3"/>
  </si>
  <si>
    <t>自動化された攻撃・大量アクセスの自管理/他組織分離</t>
    <phoneticPr fontId="3"/>
  </si>
  <si>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3"/>
  </si>
  <si>
    <t>basic-design/07-security-compliance-design.md §7.8.1</t>
    <phoneticPr fontId="3"/>
  </si>
  <si>
    <t>稼働率の目標値と、直列で積み上げた成立性</t>
    <phoneticPr fontId="3"/>
  </si>
  <si>
    <t>U8 可用性・DR</t>
    <phoneticPr fontId="3"/>
  </si>
  <si>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3"/>
  </si>
  <si>
    <t>basic-design/08-availability-dr-design.md §8.1.1</t>
    <phoneticPr fontId="3"/>
  </si>
  <si>
    <t>3拠点分散・停止許容数・自動増減の方針</t>
    <phoneticPr fontId="3"/>
  </si>
  <si>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3"/>
  </si>
  <si>
    <t>basic-design/08-availability-dr-design.md §8.1.2</t>
    <phoneticPr fontId="3"/>
  </si>
  <si>
    <t>データベースの拠点内切替</t>
    <phoneticPr fontId="3"/>
  </si>
  <si>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3"/>
  </si>
  <si>
    <t>D-U8-03</t>
    <phoneticPr fontId="3"/>
  </si>
  <si>
    <t>basic-design/08-availability-dr-design.md §8.1.3</t>
    <phoneticPr fontId="3"/>
  </si>
  <si>
    <t>無停止での更新方式</t>
    <phoneticPr fontId="3"/>
  </si>
  <si>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3"/>
  </si>
  <si>
    <t>basic-design/08-availability-dr-design.md §8.1.4</t>
    <phoneticPr fontId="3"/>
  </si>
  <si>
    <t>復旧目標と待機形態（2026-07-30 全面転換）</t>
    <phoneticPr fontId="3"/>
  </si>
  <si>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3"/>
  </si>
  <si>
    <t>D-U8-05</t>
    <phoneticPr fontId="3"/>
  </si>
  <si>
    <t>basic-design/08-availability-dr-design.md §8.2.1</t>
    <phoneticPr fontId="3"/>
  </si>
  <si>
    <t>一括書き出しを全廃し、復元経路を2系統に再定義</t>
    <phoneticPr fontId="3"/>
  </si>
  <si>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3"/>
  </si>
  <si>
    <t>D-U8-06</t>
    <phoneticPr fontId="3"/>
  </si>
  <si>
    <t>basic-design/08-availability-dr-design.md §8.3.1</t>
    <phoneticPr fontId="3"/>
  </si>
  <si>
    <t>データ保全の3層構造と予備地域のオンデマンド再構築</t>
    <phoneticPr fontId="3"/>
  </si>
  <si>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3"/>
  </si>
  <si>
    <t>basic-design/08-availability-dr-design.md §8.3.1a</t>
    <phoneticPr fontId="3"/>
  </si>
  <si>
    <t>（廃止）予備地域を温めて待機する方式</t>
    <phoneticPr fontId="3"/>
  </si>
  <si>
    <t>2026-07-30の方針転換で廃止。予備側のデータベースは読取専用で認証製品が起動できないため「設備は温め、製品は0台で待機」としていたが、コールド化に伴いD-U8-14へ統合</t>
    <phoneticPr fontId="3"/>
  </si>
  <si>
    <t>D-U8-07</t>
    <phoneticPr fontId="3"/>
  </si>
  <si>
    <t>切替の判断基準と承認フロー</t>
    <phoneticPr fontId="3"/>
  </si>
  <si>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3"/>
  </si>
  <si>
    <t>D-U8-08</t>
    <phoneticPr fontId="3"/>
  </si>
  <si>
    <t>basic-design/08-availability-dr-design.md §8.4.1</t>
    <phoneticPr fontId="3"/>
  </si>
  <si>
    <t>（廃止）1時間復旧の積み上げ検証</t>
    <phoneticPr fontId="3"/>
  </si>
  <si>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3"/>
  </si>
  <si>
    <t>D-U8-09</t>
    <phoneticPr fontId="3"/>
  </si>
  <si>
    <t>basic-design/08-availability-dr-design.md §8.4.3</t>
    <phoneticPr fontId="3"/>
  </si>
  <si>
    <t>切替時は全利用者が再認証（セッション連続性は対象外）</t>
    <phoneticPr fontId="3"/>
  </si>
  <si>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3"/>
  </si>
  <si>
    <t>basic-design/08-availability-dr-design.md §8.5.1</t>
    <phoneticPr fontId="3"/>
  </si>
  <si>
    <t>切り戻しは計画切替（データ喪失ゼロ）</t>
    <phoneticPr fontId="3"/>
  </si>
  <si>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3"/>
  </si>
  <si>
    <t>D-U8-12</t>
    <phoneticPr fontId="3"/>
  </si>
  <si>
    <t>basic-design/08-availability-dr-design.md §8.7.1</t>
    <phoneticPr fontId="3"/>
  </si>
  <si>
    <t>復旧訓練は年2回</t>
    <phoneticPr fontId="3"/>
  </si>
  <si>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3"/>
  </si>
  <si>
    <t>basic-design/08-availability-dr-design.md §8.7.2</t>
    <phoneticPr fontId="3"/>
  </si>
  <si>
    <t>（廃止）予備地域の最小構成と平時同期対象</t>
    <phoneticPr fontId="3"/>
  </si>
  <si>
    <t>2026-07-30の方針転換で廃止。予備地域は平時に設備を持たない方式へ変更されD-U8-14に統合。ただし「腐らない備え」のためデータ層・イメージ・構成コード・IPレンジ予約は平時から維持する</t>
    <phoneticPr fontId="3"/>
  </si>
  <si>
    <t>D-U8-11</t>
    <phoneticPr fontId="3"/>
  </si>
  <si>
    <t>basic-design/08-availability-dr-design.md §8.6.1</t>
    <phoneticPr fontId="3"/>
  </si>
  <si>
    <t>6アカウント体系の確定</t>
    <phoneticPr fontId="3"/>
  </si>
  <si>
    <t>U6 インフラ・NW</t>
    <phoneticPr fontId="3"/>
  </si>
  <si>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3"/>
  </si>
  <si>
    <t>D-U6-01</t>
    <phoneticPr fontId="3"/>
  </si>
  <si>
    <t>basic-design/06-infra-network-design.md §6.1.1</t>
    <phoneticPr fontId="3"/>
  </si>
  <si>
    <t>アカウント間の権限原則と許可経路8本</t>
    <phoneticPr fontId="3"/>
  </si>
  <si>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3"/>
  </si>
  <si>
    <t>D-U6-02</t>
    <phoneticPr fontId="3"/>
  </si>
  <si>
    <t>basic-design/06-infra-network-design.md §6.1.2</t>
    <phoneticPr fontId="3"/>
  </si>
  <si>
    <t>クラスタ構成（2クラスタ）</t>
    <phoneticPr fontId="3"/>
  </si>
  <si>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3"/>
  </si>
  <si>
    <t>D-U6-03</t>
    <phoneticPr fontId="3"/>
  </si>
  <si>
    <t>basic-design/06-infra-network-design.md §6.2.1</t>
    <phoneticPr fontId="3"/>
  </si>
  <si>
    <t>ノード群を役割で2系統に分離</t>
    <phoneticPr fontId="3"/>
  </si>
  <si>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3"/>
  </si>
  <si>
    <t>basic-design/06-infra-network-design.md §6.2.2</t>
    <phoneticPr fontId="3"/>
  </si>
  <si>
    <t>基盤コストの概算（予備地域は平時ゼロ）</t>
    <phoneticPr fontId="3"/>
  </si>
  <si>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3"/>
  </si>
  <si>
    <t>basic-design/06-infra-network-design.md §6.2.3</t>
    <phoneticPr fontId="3"/>
  </si>
  <si>
    <t>2つの受け皿の間の裏側通信は単方向の私設経路</t>
    <phoneticPr fontId="3"/>
  </si>
  <si>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3"/>
  </si>
  <si>
    <t>D-U6-06</t>
    <phoneticPr fontId="3"/>
  </si>
  <si>
    <t>basic-design/06-infra-network-design.md §6.3.2</t>
    <phoneticPr fontId="3"/>
  </si>
  <si>
    <t>データベースの基本構成</t>
    <phoneticPr fontId="3"/>
  </si>
  <si>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3"/>
  </si>
  <si>
    <t>D-U6-07</t>
    <phoneticPr fontId="3"/>
  </si>
  <si>
    <t>basic-design/06-infra-network-design.md §6.4.1</t>
    <phoneticPr fontId="3"/>
  </si>
  <si>
    <t>接続プールの設計</t>
    <phoneticPr fontId="3"/>
  </si>
  <si>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3"/>
  </si>
  <si>
    <t>D-U6-08</t>
    <phoneticPr fontId="3"/>
  </si>
  <si>
    <t>basic-design/06-infra-network-design.md §6.4.2</t>
    <phoneticPr fontId="3"/>
  </si>
  <si>
    <t>接続の中継サービスは当面不採用</t>
    <phoneticPr fontId="3"/>
  </si>
  <si>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3"/>
  </si>
  <si>
    <t>D-U6-09</t>
    <phoneticPr fontId="3"/>
  </si>
  <si>
    <t>basic-design/06-infra-network-design.md §6.4.3</t>
    <phoneticPr fontId="3"/>
  </si>
  <si>
    <t>接続先1000件超に備えたキャッシュ初期値</t>
    <phoneticPr fontId="3"/>
  </si>
  <si>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3"/>
  </si>
  <si>
    <t>basic-design/06-infra-network-design.md §6.5.5</t>
    <phoneticPr fontId="3"/>
  </si>
  <si>
    <t>管理画面保護は3層防御＋管理用ホスト名の分離</t>
    <phoneticPr fontId="3"/>
  </si>
  <si>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3"/>
  </si>
  <si>
    <t>D-U6-11</t>
    <phoneticPr fontId="3"/>
  </si>
  <si>
    <t>basic-design/06-infra-network-design.md §6.6.1</t>
    <phoneticPr fontId="3"/>
  </si>
  <si>
    <t>運用者の内部アクセス経路</t>
    <phoneticPr fontId="3"/>
  </si>
  <si>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3"/>
  </si>
  <si>
    <t>D-U6-12</t>
    <phoneticPr fontId="3"/>
  </si>
  <si>
    <t>basic-design/06-infra-network-design.md §6.6.2</t>
    <phoneticPr fontId="3"/>
  </si>
  <si>
    <t>外部通信の許可運用は「枠は他組織・中身は自社」の委任方式（要求案）</t>
    <phoneticPr fontId="3"/>
  </si>
  <si>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3"/>
  </si>
  <si>
    <t>basic-design/06-infra-network-design.md §6.7.3</t>
    <phoneticPr fontId="3"/>
  </si>
  <si>
    <t>監視の仕組みと収集役の配置</t>
    <phoneticPr fontId="3"/>
  </si>
  <si>
    <t>U9 運用・監視・IaC</t>
    <phoneticPr fontId="3"/>
  </si>
  <si>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3"/>
  </si>
  <si>
    <t>D-U9-01</t>
    <phoneticPr fontId="3"/>
  </si>
  <si>
    <t>basic-design/09-operations-observability-design.md §9.1.1</t>
    <phoneticPr fontId="3"/>
  </si>
  <si>
    <t>計装ポイント14点と「接続先件数の関数」としての監視</t>
    <phoneticPr fontId="3"/>
  </si>
  <si>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3"/>
  </si>
  <si>
    <t>D-U9-02</t>
    <phoneticPr fontId="3"/>
  </si>
  <si>
    <t>basic-design/09-operations-observability-design.md §9.1.2</t>
    <phoneticPr fontId="3"/>
  </si>
  <si>
    <t>指標の系列数の規約と追跡の抽出率</t>
    <phoneticPr fontId="3"/>
  </si>
  <si>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3"/>
  </si>
  <si>
    <t>D-U9-03</t>
    <phoneticPr fontId="3"/>
  </si>
  <si>
    <t>basic-design/09-operations-observability-design.md §9.1.3</t>
    <phoneticPr fontId="3"/>
  </si>
  <si>
    <t>サービス別の内部目標値と、消費速度による警報</t>
    <phoneticPr fontId="3"/>
  </si>
  <si>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3"/>
  </si>
  <si>
    <t>basic-design/09-operations-observability-design.md §9.2.1</t>
    <phoneticPr fontId="3"/>
  </si>
  <si>
    <t>ログ3層保管の最終形</t>
    <phoneticPr fontId="3"/>
  </si>
  <si>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3"/>
  </si>
  <si>
    <t>basic-design/09-operations-observability-design.md §9.3.1</t>
    <phoneticPr fontId="3"/>
  </si>
  <si>
    <t>監視・相関に取り込むイベントセット</t>
    <phoneticPr fontId="3"/>
  </si>
  <si>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3"/>
  </si>
  <si>
    <t>basic-design/09-operations-observability-design.md §9.3.2</t>
    <phoneticPr fontId="3"/>
  </si>
  <si>
    <t>運用手順書 全36冊の体系と、先行必須13冊の指定</t>
    <phoneticPr fontId="3"/>
  </si>
  <si>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3"/>
  </si>
  <si>
    <t>D-U9-07</t>
    <phoneticPr fontId="3"/>
  </si>
  <si>
    <t>basic-design/09-operations-observability-design.md §9.4.1</t>
    <phoneticPr fontId="3"/>
  </si>
  <si>
    <t>運用禁則集 11項目と機械強制</t>
    <phoneticPr fontId="3"/>
  </si>
  <si>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3"/>
  </si>
  <si>
    <t>D-U9-08</t>
    <phoneticPr fontId="3"/>
  </si>
  <si>
    <t>basic-design/09-operations-observability-design.md §9.4.2</t>
    <phoneticPr fontId="3"/>
  </si>
  <si>
    <t>構成管理の単位分割</t>
    <phoneticPr fontId="3"/>
  </si>
  <si>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3"/>
  </si>
  <si>
    <t>D-U9-09</t>
    <phoneticPr fontId="3"/>
  </si>
  <si>
    <t>basic-design/09-operations-observability-design.md §9.5.1</t>
    <phoneticPr fontId="3"/>
  </si>
  <si>
    <t>顧客層の適用エンジンは自作（既存の設定投入ツールは不採用）</t>
    <phoneticPr fontId="3"/>
  </si>
  <si>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3"/>
  </si>
  <si>
    <t>D-U9-10</t>
    <phoneticPr fontId="3"/>
  </si>
  <si>
    <t>basic-design/09-operations-observability-design.md §9.5.2</t>
    <phoneticPr fontId="3"/>
  </si>
  <si>
    <t>構成のずれの検知（日次）</t>
    <phoneticPr fontId="3"/>
  </si>
  <si>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3"/>
  </si>
  <si>
    <t>D-U9-11</t>
    <phoneticPr fontId="3"/>
  </si>
  <si>
    <t>basic-design/09-operations-observability-design.md §9.5.3</t>
    <phoneticPr fontId="3"/>
  </si>
  <si>
    <t>退職者遮断バッチの実行基盤はクラスタ内の定期ジョブ（関数実行は不採用）</t>
    <phoneticPr fontId="3"/>
  </si>
  <si>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3"/>
  </si>
  <si>
    <t>D-U9-17</t>
    <phoneticPr fontId="3"/>
  </si>
  <si>
    <t>basic-design/09-operations-observability-design.md §9.5.4</t>
    <phoneticPr fontId="3"/>
  </si>
  <si>
    <t>継続的な組み立てと配信の構成</t>
    <phoneticPr fontId="3"/>
  </si>
  <si>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3"/>
  </si>
  <si>
    <t>D-U9-12</t>
    <phoneticPr fontId="3"/>
  </si>
  <si>
    <t>basic-design/09-operations-observability-design.md §9.6.1</t>
    <phoneticPr fontId="3"/>
  </si>
  <si>
    <t>独自機能の組み立て・検証・段階的投入</t>
    <phoneticPr fontId="3"/>
  </si>
  <si>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3"/>
  </si>
  <si>
    <t>D-U9-13</t>
    <phoneticPr fontId="3"/>
  </si>
  <si>
    <t>basic-design/09-operations-observability-design.md §9.6.2</t>
    <phoneticPr fontId="3"/>
  </si>
  <si>
    <t>製品版数の固定と昇格前検証</t>
    <phoneticPr fontId="3"/>
  </si>
  <si>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3"/>
  </si>
  <si>
    <t>D-U9-14</t>
    <phoneticPr fontId="3"/>
  </si>
  <si>
    <t>basic-design/09-operations-observability-design.md §9.6.3</t>
    <phoneticPr fontId="3"/>
  </si>
  <si>
    <t>管理API群と非同期処理は認証製品とは別系統のパイプライン</t>
    <phoneticPr fontId="3"/>
  </si>
  <si>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3"/>
  </si>
  <si>
    <t>D-U9-18</t>
    <phoneticPr fontId="3"/>
  </si>
  <si>
    <t>basic-design/09-operations-observability-design.md §9.6.4</t>
    <phoneticPr fontId="3"/>
  </si>
  <si>
    <t>顧客追加パイプライン6ステップとリードタイム内訳</t>
    <phoneticPr fontId="3"/>
  </si>
  <si>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3"/>
  </si>
  <si>
    <t>basic-design/09-operations-observability-design.md §9.7.1</t>
    <phoneticPr fontId="3"/>
  </si>
  <si>
    <t>常時監視用の自動アクセスの配置変更と検知範囲</t>
    <phoneticPr fontId="3"/>
  </si>
  <si>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3"/>
  </si>
  <si>
    <t>D-U9-16</t>
    <phoneticPr fontId="3"/>
  </si>
  <si>
    <t>basic-design/09-operations-observability-design.md §9.8.1</t>
    <phoneticPr fontId="3"/>
  </si>
  <si>
    <t>既存業務システム連携の全体構成</t>
    <phoneticPr fontId="3"/>
  </si>
  <si>
    <t>U10 連携・移行</t>
    <phoneticPr fontId="3"/>
  </si>
  <si>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3"/>
  </si>
  <si>
    <t>D-U10-01</t>
    <phoneticPr fontId="3"/>
  </si>
  <si>
    <t>basic-design/10-integration-migration-design.md §10.1.1</t>
    <phoneticPr fontId="3"/>
  </si>
  <si>
    <t>業務システム向けの接続定義（テンプレート化）</t>
    <phoneticPr fontId="3"/>
  </si>
  <si>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3"/>
  </si>
  <si>
    <t>basic-design/10-integration-migration-design.md §10.1.2</t>
    <phoneticPr fontId="3"/>
  </si>
  <si>
    <t>既存利用者の引き当てと内部IDの保全</t>
    <phoneticPr fontId="3"/>
  </si>
  <si>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3"/>
  </si>
  <si>
    <t>D-U10-03</t>
    <phoneticPr fontId="3"/>
  </si>
  <si>
    <t>basic-design/10-integration-migration-design.md §10.1.3</t>
    <phoneticPr fontId="3"/>
  </si>
  <si>
    <t>移行の並走4段階</t>
    <phoneticPr fontId="3"/>
  </si>
  <si>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3"/>
  </si>
  <si>
    <t>D-U10-04</t>
    <phoneticPr fontId="3"/>
  </si>
  <si>
    <t>basic-design/10-integration-migration-design.md §10.1.4</t>
    <phoneticPr fontId="3"/>
  </si>
  <si>
    <t>業務システム側の緊急用アカウント</t>
    <phoneticPr fontId="3"/>
  </si>
  <si>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3"/>
  </si>
  <si>
    <t>D-U10-05</t>
    <phoneticPr fontId="3"/>
  </si>
  <si>
    <t>basic-design/10-integration-migration-design.md §10.1.5</t>
    <phoneticPr fontId="3"/>
  </si>
  <si>
    <t>退職時の遮断連鎖と一括ログアウト</t>
    <phoneticPr fontId="3"/>
  </si>
  <si>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3"/>
  </si>
  <si>
    <t>D-U10-06</t>
    <phoneticPr fontId="3"/>
  </si>
  <si>
    <t>basic-design/10-integration-migration-design.md §10.1.6</t>
    <phoneticPr fontId="3"/>
  </si>
  <si>
    <t>管理API の構成</t>
    <phoneticPr fontId="3"/>
  </si>
  <si>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3"/>
  </si>
  <si>
    <t>D-U10-07</t>
    <phoneticPr fontId="3"/>
  </si>
  <si>
    <t>basic-design/10-integration-migration-design.md §10.2.1</t>
    <phoneticPr fontId="3"/>
  </si>
  <si>
    <t>提供する操作の一覧と共通規約</t>
    <phoneticPr fontId="3"/>
  </si>
  <si>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3"/>
  </si>
  <si>
    <t>D-U10-08</t>
    <phoneticPr fontId="3"/>
  </si>
  <si>
    <t>basic-design/10-integration-migration-design.md §10.2.2</t>
    <phoneticPr fontId="3"/>
  </si>
  <si>
    <t>権限モデルの実装</t>
    <phoneticPr fontId="3"/>
  </si>
  <si>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3"/>
  </si>
  <si>
    <t>D-U10-09</t>
    <phoneticPr fontId="3"/>
  </si>
  <si>
    <t>basic-design/10-integration-migration-design.md §10.2.3</t>
    <phoneticPr fontId="3"/>
  </si>
  <si>
    <t>利用可能アプリ一覧APIの仕様</t>
    <phoneticPr fontId="3"/>
  </si>
  <si>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3"/>
  </si>
  <si>
    <t>D-U10-10</t>
    <phoneticPr fontId="3"/>
  </si>
  <si>
    <t>basic-design/10-integration-migration-design.md §10.2.4</t>
    <phoneticPr fontId="3"/>
  </si>
  <si>
    <t>出来事通知の配信機構</t>
    <phoneticPr fontId="3"/>
  </si>
  <si>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3"/>
  </si>
  <si>
    <t>D-U10-11</t>
    <phoneticPr fontId="3"/>
  </si>
  <si>
    <t>basic-design/10-integration-migration-design.md §10.3</t>
    <phoneticPr fontId="3"/>
  </si>
  <si>
    <t>既存システムからの移行方式</t>
    <phoneticPr fontId="3"/>
  </si>
  <si>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3"/>
  </si>
  <si>
    <t>basic-design/10-integration-migration-design.md §10.4</t>
    <phoneticPr fontId="3"/>
  </si>
  <si>
    <t>データ主体の権利対応の今回範囲</t>
    <phoneticPr fontId="3"/>
  </si>
  <si>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3"/>
  </si>
  <si>
    <t>D-U10-13</t>
    <phoneticPr fontId="3"/>
  </si>
  <si>
    <t>basic-design/10-integration-migration-design.md §10.5</t>
    <phoneticPr fontId="3"/>
  </si>
  <si>
    <t>継続アクセス（CAEP／共有シグナル）= 取り消し漏れ時間の恒久解</t>
    <phoneticPr fontId="3"/>
  </si>
  <si>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3"/>
  </si>
  <si>
    <t>D-U5-09</t>
    <phoneticPr fontId="3"/>
  </si>
  <si>
    <t>basic-design/05-token-session-authz-design.md §5.10.1 / ADR-065</t>
    <phoneticPr fontId="3"/>
  </si>
  <si>
    <t>API層のステップアップ = 標準仕様に準拠</t>
    <phoneticPr fontId="3"/>
  </si>
  <si>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3"/>
  </si>
  <si>
    <t>D-U5-10</t>
    <phoneticPr fontId="3"/>
  </si>
  <si>
    <t>basic-design/05-token-session-authz-design.md §5.10.2</t>
    <phoneticPr fontId="3"/>
  </si>
  <si>
    <t>同時セッション数の制限</t>
    <phoneticPr fontId="3"/>
  </si>
  <si>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3"/>
  </si>
  <si>
    <t>D-U5-11</t>
    <phoneticPr fontId="3"/>
  </si>
  <si>
    <t>basic-design/05-token-session-authz-design.md §5.10.3</t>
    <phoneticPr fontId="3"/>
  </si>
  <si>
    <t>通行証引き換えの委譲制御</t>
    <phoneticPr fontId="3"/>
  </si>
  <si>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3"/>
  </si>
  <si>
    <t>D-U5-12</t>
    <phoneticPr fontId="3"/>
  </si>
  <si>
    <t>basic-design/05-token-session-authz-design.md §5.10.4</t>
    <phoneticPr fontId="3"/>
  </si>
  <si>
    <t>金融グレード仕様への姿勢</t>
    <phoneticPr fontId="3"/>
  </si>
  <si>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3"/>
  </si>
  <si>
    <t>D-U5-13</t>
    <phoneticPr fontId="3"/>
  </si>
  <si>
    <t>basic-design/05-token-session-authz-design.md §5.10.5</t>
    <phoneticPr fontId="3"/>
  </si>
  <si>
    <t>送信者拘束方式の運用サイジング</t>
    <phoneticPr fontId="3"/>
  </si>
  <si>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3"/>
  </si>
  <si>
    <t>D-U5-14</t>
    <phoneticPr fontId="3"/>
  </si>
  <si>
    <t>basic-design/05-token-session-authz-design.md §5.10.6</t>
    <phoneticPr fontId="3"/>
  </si>
  <si>
    <t>セルフサービスのセッション・端末管理</t>
    <phoneticPr fontId="3"/>
  </si>
  <si>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3"/>
  </si>
  <si>
    <t>D-U4-09</t>
    <phoneticPr fontId="3"/>
  </si>
  <si>
    <t>basic-design/04-auth-ux-design.md §4.3.5</t>
    <phoneticPr fontId="3"/>
  </si>
  <si>
    <t>安全な登録手続き（登録の乗っ取り対策）</t>
    <phoneticPr fontId="3"/>
  </si>
  <si>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3"/>
  </si>
  <si>
    <t>D-U4-10</t>
    <phoneticPr fontId="3"/>
  </si>
  <si>
    <t>認証器のみ・メール非保有の利用者の復旧</t>
    <phoneticPr fontId="3"/>
  </si>
  <si>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3"/>
  </si>
  <si>
    <t>D-U4-11</t>
    <phoneticPr fontId="3"/>
  </si>
  <si>
    <t>非人間IDのガバナンス</t>
    <phoneticPr fontId="3"/>
  </si>
  <si>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3"/>
  </si>
  <si>
    <t>D-U7-20</t>
    <phoneticPr fontId="3"/>
  </si>
  <si>
    <t>basic-design/07-security-compliance-design.md §7.5.5 / ADR-066</t>
    <phoneticPr fontId="3"/>
  </si>
  <si>
    <t>同意管理・同意レシート</t>
    <phoneticPr fontId="3"/>
  </si>
  <si>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3"/>
  </si>
  <si>
    <t>D-U7-21</t>
    <phoneticPr fontId="3"/>
  </si>
  <si>
    <t>basic-design/07-security-compliance-design.md §7.7.6</t>
    <phoneticPr fontId="3"/>
  </si>
  <si>
    <t>非本番環境の個人情報マスキング／合成データ</t>
    <phoneticPr fontId="3"/>
  </si>
  <si>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3"/>
  </si>
  <si>
    <t>D-U9-19</t>
    <phoneticPr fontId="3"/>
  </si>
  <si>
    <t>basic-design/09-operations-observability-design.md §9.5.5</t>
    <phoneticPr fontId="3"/>
  </si>
  <si>
    <t>認可判定ログ</t>
    <phoneticPr fontId="3"/>
  </si>
  <si>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3"/>
  </si>
  <si>
    <t>D-U9-20</t>
    <phoneticPr fontId="3"/>
  </si>
  <si>
    <t>basic-design/09-operations-observability-design.md §9.3.3 / ADR-067</t>
    <phoneticPr fontId="3"/>
  </si>
  <si>
    <t>テナント隔離の契約化と認証フローの公平性</t>
    <phoneticPr fontId="3"/>
  </si>
  <si>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3"/>
  </si>
  <si>
    <t>D-U6-14</t>
    <phoneticPr fontId="3"/>
  </si>
  <si>
    <t>basic-design/06-infra-network-design.md §6.6.3</t>
    <phoneticPr fontId="3"/>
  </si>
  <si>
    <t>忘れられる権利と7年間の改ざん不能監査の境界を明文化</t>
    <phoneticPr fontId="3"/>
  </si>
  <si>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3"/>
  </si>
  <si>
    <t>D-U10-13b</t>
    <phoneticPr fontId="3"/>
  </si>
  <si>
    <t>機能要件</t>
    <phoneticPr fontId="3"/>
  </si>
  <si>
    <t>非機能要件</t>
    <phoneticPr fontId="3"/>
  </si>
  <si>
    <t>設計タスク</t>
    <phoneticPr fontId="3"/>
  </si>
  <si>
    <t>総数</t>
    <phoneticPr fontId="3"/>
  </si>
  <si>
    <t>確定</t>
    <phoneticPr fontId="3"/>
  </si>
  <si>
    <t>方向性確定</t>
    <phoneticPr fontId="3"/>
  </si>
  <si>
    <t>検討中</t>
    <phoneticPr fontId="3"/>
  </si>
  <si>
    <t>外部待ち</t>
    <phoneticPr fontId="3"/>
  </si>
  <si>
    <t>要件の状況（5区分）</t>
  </si>
  <si>
    <t>種別</t>
    <phoneticPr fontId="3"/>
  </si>
  <si>
    <t>IDパターン</t>
    <phoneticPr fontId="3"/>
  </si>
  <si>
    <t>FR-AUTH-*</t>
    <phoneticPr fontId="3"/>
  </si>
  <si>
    <t>FR-FED-*</t>
    <phoneticPr fontId="3"/>
  </si>
  <si>
    <t>FR-MFA-*</t>
    <phoneticPr fontId="3"/>
  </si>
  <si>
    <t>FR-SSO-*</t>
    <phoneticPr fontId="3"/>
  </si>
  <si>
    <t>FR-AUTHZ-*</t>
    <phoneticPr fontId="3"/>
  </si>
  <si>
    <t>FR-USER-*</t>
    <phoneticPr fontId="3"/>
  </si>
  <si>
    <t>FR-ADMIN-*</t>
    <phoneticPr fontId="3"/>
  </si>
  <si>
    <t>FR-INT-*</t>
    <phoneticPr fontId="3"/>
  </si>
  <si>
    <t>NFR-AVL-*</t>
    <phoneticPr fontId="3"/>
  </si>
  <si>
    <t>NFR-PERF-*</t>
    <phoneticPr fontId="3"/>
  </si>
  <si>
    <t>NFR-SCL-*</t>
    <phoneticPr fontId="3"/>
  </si>
  <si>
    <t>NFR-SEC-*</t>
    <phoneticPr fontId="3"/>
  </si>
  <si>
    <t>NFR-DR-*</t>
    <phoneticPr fontId="3"/>
  </si>
  <si>
    <t>NFR-OPS-*</t>
    <phoneticPr fontId="3"/>
  </si>
  <si>
    <t>NFR-COMP-*</t>
    <phoneticPr fontId="3"/>
  </si>
  <si>
    <t>NFR-COST-*</t>
    <phoneticPr fontId="3"/>
  </si>
  <si>
    <t>NFR-MIG-*</t>
    <phoneticPr fontId="3"/>
  </si>
  <si>
    <t>A-*</t>
    <phoneticPr fontId="3"/>
  </si>
  <si>
    <t>B-*</t>
    <phoneticPr fontId="3"/>
  </si>
  <si>
    <t>C-*</t>
    <phoneticPr fontId="3"/>
  </si>
  <si>
    <t>D-*</t>
    <phoneticPr fontId="3"/>
  </si>
  <si>
    <t>E-*</t>
    <phoneticPr fontId="3"/>
  </si>
  <si>
    <t>F-*</t>
    <phoneticPr fontId="3"/>
  </si>
  <si>
    <t>G-*</t>
    <phoneticPr fontId="3"/>
  </si>
  <si>
    <t>DU-U2-01</t>
  </si>
  <si>
    <t>Realm/Organizations 構成</t>
  </si>
  <si>
    <t>Config</t>
  </si>
  <si>
    <t>DU-U6-01</t>
  </si>
  <si>
    <t>—</t>
  </si>
  <si>
    <t>🔒 確定</t>
  </si>
  <si>
    <t>v1.0（2026-08-10）</t>
  </si>
  <si>
    <t>DU-U2-02</t>
  </si>
  <si>
    <t>2層間フェデレーション</t>
  </si>
  <si>
    <t>DU-U2-01, DU-U6-05</t>
  </si>
  <si>
    <t>🟡 ゲート待ち</t>
  </si>
  <si>
    <t>DU-U2-03</t>
  </si>
  <si>
    <t>認証フロー5系統</t>
  </si>
  <si>
    <t>DU-U2-04</t>
  </si>
  <si>
    <t>独自機能（3JAR／4機能）</t>
  </si>
  <si>
    <t>SPI</t>
  </si>
  <si>
    <t>DU-U2-05</t>
  </si>
  <si>
    <t>通行証の項目定義</t>
  </si>
  <si>
    <t>DU-U2-01, DU-U5-01</t>
  </si>
  <si>
    <t>DU-U2-06</t>
  </si>
  <si>
    <t>利用者項目スキーマの宣言</t>
  </si>
  <si>
    <t>DU-U2-07</t>
  </si>
  <si>
    <t>旧来方式のID提供元テンプレート</t>
  </si>
  <si>
    <t>DU-U2-08</t>
  </si>
  <si>
    <t>1000件超のスケール設定</t>
  </si>
  <si>
    <t>Config / IaC</t>
  </si>
  <si>
    <t>DU-U6-02</t>
  </si>
  <si>
    <t>DU-U3-01</t>
  </si>
  <si>
    <t>3階層識別子＋ID対応表</t>
  </si>
  <si>
    <t>IaC</t>
  </si>
  <si>
    <t>DU-U6-03</t>
  </si>
  <si>
    <t>DU-U3-02</t>
  </si>
  <si>
    <t>作成経路6値＋判別ロジック</t>
  </si>
  <si>
    <t>SPI / Config</t>
  </si>
  <si>
    <t>DU-U3-03</t>
  </si>
  <si>
    <t>利用者自動同期の受け口（自作）</t>
  </si>
  <si>
    <t>App</t>
  </si>
  <si>
    <t>DU-U3-04</t>
  </si>
  <si>
    <t>統合コンテキストの射影</t>
  </si>
  <si>
    <t>App / IaC</t>
  </si>
  <si>
    <t>DU-U3-01, DU-U3-03</t>
  </si>
  <si>
    <t>DU-U3-05</t>
  </si>
  <si>
    <t>削除・停止の確実な伝播</t>
  </si>
  <si>
    <t>DU-U3-01, DU-U6-01, DU-U6-05</t>
  </si>
  <si>
    <t>DU-U3-06</t>
  </si>
  <si>
    <t>状態機械＋3段階削除</t>
  </si>
  <si>
    <t>Config / App</t>
  </si>
  <si>
    <t>DU-U3-07</t>
  </si>
  <si>
    <t>再有効化の統合</t>
  </si>
  <si>
    <t>DU-U2-04, DU-U3-02</t>
  </si>
  <si>
    <t>DU-U3-08</t>
  </si>
  <si>
    <t>90日休眠バッチ</t>
  </si>
  <si>
    <t>DU-U6-02, DU-U3-06</t>
  </si>
  <si>
    <t>DU-U4-01</t>
  </si>
  <si>
    <t>識別子先行＋所属判定のUX</t>
  </si>
  <si>
    <t>Config / Theme</t>
  </si>
  <si>
    <t>DU-U4-02</t>
  </si>
  <si>
    <t>ブランディング（統一テーマ1本）</t>
  </si>
  <si>
    <t>Theme</t>
  </si>
  <si>
    <t>DU-U4-03</t>
  </si>
  <si>
    <t>追加確認のUX 4ケース</t>
  </si>
  <si>
    <t>Theme / Config</t>
  </si>
  <si>
    <t>DU-U4-01, DU-U7-08</t>
  </si>
  <si>
    <t>DU-U4-04</t>
  </si>
  <si>
    <t>着地画面（許可サービス一覧）</t>
  </si>
  <si>
    <t>DU-U10-02</t>
  </si>
  <si>
    <t>DU-U4-05</t>
  </si>
  <si>
    <t>権限不足画面</t>
  </si>
  <si>
    <t>DU-U5-05</t>
  </si>
  <si>
    <t>DU-U4-06</t>
  </si>
  <si>
    <t>アクセシビリティ準拠</t>
  </si>
  <si>
    <t>Doc / Test</t>
  </si>
  <si>
    <t>DU-U4-01〜05</t>
  </si>
  <si>
    <t>🆕 新規（要件化が先行）</t>
  </si>
  <si>
    <t>DU-U4-07</t>
  </si>
  <si>
    <t>多言語・日本語ロケールの明示</t>
  </si>
  <si>
    <t>Config / Doc</t>
  </si>
  <si>
    <t>🆕 新規（決定化が先行）</t>
  </si>
  <si>
    <t>DU-U4-08</t>
  </si>
  <si>
    <t>セルフサービスのパスワード再設定画面</t>
  </si>
  <si>
    <t>DU-U4-09</t>
  </si>
  <si>
    <t>App / Theme</t>
  </si>
  <si>
    <t>v1.1（2026-08-12 再監査）</t>
  </si>
  <si>
    <t>DU-U4-10</t>
  </si>
  <si>
    <t>DU-U5-01</t>
  </si>
  <si>
    <t>項目辞書＋有効時間の確定</t>
  </si>
  <si>
    <t>DU-U5-02</t>
  </si>
  <si>
    <t>通行証の引き換え（2方式）</t>
  </si>
  <si>
    <t>DU-U5-03</t>
  </si>
  <si>
    <t>失効・緊急停止・一括ログアウト</t>
  </si>
  <si>
    <t>DU-U5-01, DU-U7-03</t>
  </si>
  <si>
    <t>DU-U5-04</t>
  </si>
  <si>
    <t>管理API の操作範囲＋機械認証</t>
  </si>
  <si>
    <t>DU-U5-01, DU-U10-02</t>
  </si>
  <si>
    <t>受け取り側実装ガイド</t>
  </si>
  <si>
    <t>Doc</t>
  </si>
  <si>
    <t>DU-U5-06</t>
  </si>
  <si>
    <t>DU-U3-05, DU-U5-03</t>
  </si>
  <si>
    <t>DU-U5-07</t>
  </si>
  <si>
    <t>プロトコル堅牢化</t>
  </si>
  <si>
    <t>DU-U5-01, DU-U2-03</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</si>
  <si>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</si>
  <si>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</si>
  <si>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</si>
  <si>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</si>
  <si>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</si>
  <si>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</si>
  <si>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</si>
  <si>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</si>
  <si>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</si>
  <si>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</si>
  <si>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</si>
  <si>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</si>
  <si>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IaC / Doc</t>
  </si>
  <si>
    <t>DU-U6-08</t>
  </si>
  <si>
    <t>管理画面3層防御＋管理用ホスト名分離</t>
  </si>
  <si>
    <t>IaC / Config</t>
  </si>
  <si>
    <t>DU-U6-09</t>
  </si>
  <si>
    <t>ネットワーク番号の割当計画の凍結</t>
  </si>
  <si>
    <t>Doc / IaC</t>
  </si>
  <si>
    <t>DU-U6-10</t>
  </si>
  <si>
    <t>テナント隔離の契約化・公平性</t>
  </si>
  <si>
    <t>DU-U7-01</t>
  </si>
  <si>
    <t>暗号鍵の3階層と6アカウントへの写像</t>
  </si>
  <si>
    <t>DU-U7-02</t>
  </si>
  <si>
    <t>署名鍵の90日入れ替え</t>
  </si>
  <si>
    <t>DU-U2-01, DU-U7-01</t>
  </si>
  <si>
    <t>DU-U7-03</t>
  </si>
  <si>
    <t>不正検知エンジン</t>
  </si>
  <si>
    <t>DU-U6-01, DU-U2-04</t>
  </si>
  <si>
    <t>DU-U7-04</t>
  </si>
  <si>
    <t>ログの秘匿情報マスキング辞書</t>
  </si>
  <si>
    <t>App / Config</t>
  </si>
  <si>
    <t>DU-U9O-02</t>
  </si>
  <si>
    <t>DU-U7-05</t>
  </si>
  <si>
    <t>実行環境の権限</t>
  </si>
  <si>
    <t>DU-U6-02, DU-U7-01</t>
  </si>
  <si>
    <t>DU-U7-06</t>
  </si>
  <si>
    <t>特権管理＋緊急用アカウント</t>
  </si>
  <si>
    <t>DU-U6-08, DU-U7-01</t>
  </si>
  <si>
    <t>DU-U7-07</t>
  </si>
  <si>
    <t>認証系と権限系の4軸分離</t>
  </si>
  <si>
    <t>DU-U7-08</t>
  </si>
  <si>
    <t>パスワードポリシー／追加確認の要素</t>
  </si>
  <si>
    <t>DU-U7-09</t>
  </si>
  <si>
    <t>自動化攻撃・大量アクセス対策</t>
  </si>
  <si>
    <t>Doc / Config</t>
  </si>
  <si>
    <t>DU-U7-10</t>
  </si>
  <si>
    <t>非人間IDの台帳</t>
  </si>
  <si>
    <t>DU-U3-01, DU-U7-05</t>
  </si>
  <si>
    <t>DU-U7-11</t>
  </si>
  <si>
    <t>App / Doc</t>
  </si>
  <si>
    <t>DU-U8-01</t>
  </si>
  <si>
    <t>内部目標値＋消費速度の警報</t>
  </si>
  <si>
    <t>DU-U9O-01</t>
  </si>
  <si>
    <t>DU-U8-02</t>
  </si>
  <si>
    <t>手動コールド復旧（およそ14日）</t>
  </si>
  <si>
    <t>DU-U8-03</t>
  </si>
  <si>
    <t>データ保全3層</t>
  </si>
  <si>
    <t>DU-U8-04</t>
  </si>
  <si>
    <t>復旧手順書＋訓練</t>
  </si>
  <si>
    <t>DU-U8-05</t>
  </si>
  <si>
    <t>復元2経路</t>
  </si>
  <si>
    <t>DU-U9I-01, DU-U8-03</t>
  </si>
  <si>
    <t>U9 運用・IaC</t>
  </si>
  <si>
    <t>コード管理2層＋管理単位の分離</t>
  </si>
  <si>
    <t>DU-U9I-02</t>
  </si>
  <si>
    <t>継続的な組み立てと配信</t>
  </si>
  <si>
    <t>U9 運用・監視</t>
  </si>
  <si>
    <t>計測基盤＋接続先件数の関数監視</t>
  </si>
  <si>
    <t>IaC / App</t>
  </si>
  <si>
    <t>ログ3層＋監視製品連携</t>
  </si>
  <si>
    <t>DU-U6-01, DU-U7-04</t>
  </si>
  <si>
    <t>DU-U9O-03</t>
  </si>
  <si>
    <t>手順書体系＋禁則集</t>
  </si>
  <si>
    <t>各DU</t>
  </si>
  <si>
    <t>DU-U9O-04</t>
  </si>
  <si>
    <t>顧客追加パイプライン</t>
  </si>
  <si>
    <t>DU-U2-01, DU-U9I-01</t>
  </si>
  <si>
    <t>DU-U9O-05</t>
  </si>
  <si>
    <t>常時監視用の自動アクセス</t>
  </si>
  <si>
    <t>DU-U9O-06</t>
  </si>
  <si>
    <t>DU-U10-02, DU-U9O-02</t>
  </si>
  <si>
    <t>DU-U9O-07</t>
  </si>
  <si>
    <t>非本番の個人情報マスキング</t>
  </si>
  <si>
    <t>IaC / CI</t>
  </si>
  <si>
    <t>DU-U10-01</t>
  </si>
  <si>
    <t>業務システム連携</t>
  </si>
  <si>
    <t>Config / Test</t>
  </si>
  <si>
    <t>DU-U2-07, DU-U3-03</t>
  </si>
  <si>
    <t>管理API v1</t>
  </si>
  <si>
    <t>DU-U6-06, DU-U3-01, DU-U5-04</t>
  </si>
  <si>
    <t>DU-U10-03</t>
  </si>
  <si>
    <t>出来事通知の配信</t>
  </si>
  <si>
    <t>DU-U10-04</t>
  </si>
  <si>
    <t>移行4集団</t>
  </si>
  <si>
    <t>Doc / App</t>
  </si>
  <si>
    <t>DU-U10-05</t>
  </si>
  <si>
    <t>データ主体の権利対応（手動）</t>
  </si>
  <si>
    <t>DU-U10-06</t>
  </si>
  <si>
    <t>退職時の遮断連鎖</t>
  </si>
  <si>
    <t>DU-U10-07</t>
  </si>
  <si>
    <t>消去と監査保持の境界</t>
  </si>
  <si>
    <t>DU数</t>
  </si>
  <si>
    <t>フェーズ</t>
  </si>
  <si>
    <t>要件定義</t>
  </si>
  <si>
    <t>基本設計</t>
  </si>
  <si>
    <t>フェーズ</t>
    <phoneticPr fontId="3"/>
  </si>
  <si>
    <t>残り（検討中＋外部待ち）</t>
    <phoneticPr fontId="3"/>
  </si>
  <si>
    <t>内容</t>
    <phoneticPr fontId="3"/>
  </si>
  <si>
    <t>成果物種別</t>
    <phoneticPr fontId="3"/>
  </si>
  <si>
    <t>②詳細設計</t>
  </si>
  <si>
    <t>③構築</t>
  </si>
  <si>
    <t>区分</t>
    <phoneticPr fontId="3"/>
  </si>
  <si>
    <t>状態</t>
    <phoneticPr fontId="3"/>
  </si>
  <si>
    <t>追加時期</t>
    <phoneticPr fontId="3"/>
  </si>
  <si>
    <t>🔴 Phase 1 必須</t>
  </si>
  <si>
    <t>00b（v1.0/1.1）</t>
  </si>
  <si>
    <t>DU-U2-09</t>
  </si>
  <si>
    <t>ブランド＝領域のマルチ領域モデリング</t>
  </si>
  <si>
    <t>🟡 将来・条件付</t>
  </si>
  <si>
    <t>🟡 将来（先行判断要）</t>
  </si>
  <si>
    <t>v1.2（2026-08-12 GAP監査）</t>
  </si>
  <si>
    <t>§3.8.0 / ADR-063</t>
  </si>
  <si>
    <t>DU-U2-10</t>
  </si>
  <si>
    <t>2層間のセッション整合</t>
  </si>
  <si>
    <t>§2.2.5 GAP-1〜5</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</si>
  <si>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</si>
  <si>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</si>
  <si>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</si>
  <si>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</si>
  <si>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</si>
  <si>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</si>
  <si>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</si>
  <si>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</si>
  <si>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</si>
  <si>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</si>
  <si>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 将来（次段階）</t>
  </si>
  <si>
    <t>DU-U6-11</t>
  </si>
  <si>
    <t>内部接続点の通信暗号化基盤</t>
  </si>
  <si>
    <t>ADR-062 / D-U6-11</t>
  </si>
  <si>
    <t>DU-U6-12</t>
  </si>
  <si>
    <t>メール送信基盤</t>
  </si>
  <si>
    <t>§A.4 A6a-1</t>
  </si>
  <si>
    <t>DU-U6-13</t>
  </si>
  <si>
    <t>名前解決の設計</t>
  </si>
  <si>
    <t>DNS 3役割 / REQ-OUT-04</t>
  </si>
  <si>
    <t>DU-U7-12</t>
  </si>
  <si>
    <t>秘密情報の90日自動入れ替え</t>
  </si>
  <si>
    <t>DU-U7-13</t>
  </si>
  <si>
    <t>供給網の検証点</t>
  </si>
  <si>
    <t>D-U7-16 / ADR-046</t>
  </si>
  <si>
    <t>DU-U7-14</t>
  </si>
  <si>
    <t>漏えい報告の手順＋委託先監督</t>
  </si>
  <si>
    <t>D-U7-15 / 15b</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</si>
  <si>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</si>
  <si>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</si>
  <si>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</si>
  <si>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</si>
  <si>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</si>
  <si>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</si>
  <si>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</si>
  <si>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</si>
  <si>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</si>
  <si>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</si>
  <si>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</si>
  <si>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</si>
  <si>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§8.2.2</t>
  </si>
  <si>
    <t>DU-U8-11</t>
  </si>
  <si>
    <t>削除伝播の災害復旧整合</t>
  </si>
  <si>
    <t>DU-U3-05, DU-U8-02</t>
  </si>
  <si>
    <t>ADR-064</t>
  </si>
  <si>
    <t>DU-U8-12</t>
  </si>
  <si>
    <t>復旧方針の決定記録の改訂</t>
  </si>
  <si>
    <t>§8.8</t>
  </si>
  <si>
    <t>DU-U9I-03</t>
  </si>
  <si>
    <t>管理API・糊付け関数の配信経路</t>
  </si>
  <si>
    <t>DU-U9O-08</t>
  </si>
  <si>
    <t>管理API・影ユーザ制御・伝播関数の監視</t>
  </si>
  <si>
    <t>§9.6.4</t>
  </si>
  <si>
    <t>DU-U9O-09</t>
  </si>
  <si>
    <t>管理操作ログの配置・保持の決定</t>
  </si>
  <si>
    <t>🔒 確定（決定先行）</t>
  </si>
  <si>
    <t>§9.3.2 / §9.3.3</t>
  </si>
  <si>
    <t>DU-U10-08</t>
  </si>
  <si>
    <t>業務システム移行の並走4段階</t>
  </si>
  <si>
    <t>DU-U10-09</t>
  </si>
  <si>
    <t>業務システム側の緊急用アカウント構成</t>
  </si>
  <si>
    <t>DU-U10-10</t>
  </si>
  <si>
    <t>業務システムから他アプリへの貫通</t>
  </si>
  <si>
    <t>§10.1.7</t>
  </si>
  <si>
    <t>DU-U10-11</t>
  </si>
  <si>
    <t>独自のパスワード方式変換部品</t>
  </si>
  <si>
    <t>単元別 4工程内訳（④テストは単元別＋横断で別掲）</t>
  </si>
  <si>
    <t>単元</t>
  </si>
  <si>
    <t>人日（②+③）</t>
  </si>
  <si>
    <t>④テスト</t>
  </si>
  <si>
    <t>工程</t>
  </si>
  <si>
    <t>人日</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</si>
  <si>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</si>
  <si>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</si>
  <si>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</si>
  <si>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</si>
  <si>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</si>
  <si>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</si>
  <si>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</si>
  <si>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</si>
  <si>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</si>
  <si>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</si>
  <si>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</si>
  <si>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</si>
  <si>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</si>
  <si>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</si>
  <si>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</si>
  <si>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</si>
  <si>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</si>
  <si>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</si>
  <si>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</si>
  <si>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</si>
  <si>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</si>
  <si>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</si>
  <si>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</si>
  <si>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</si>
  <si>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</si>
  <si>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</si>
  <si>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</si>
  <si>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</si>
  <si>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</si>
  <si>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</si>
  <si>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</si>
  <si>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</si>
  <si>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</si>
  <si>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</si>
  <si>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</si>
  <si>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</si>
  <si>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</si>
  <si>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</si>
  <si>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</si>
  <si>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</si>
  <si>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</si>
  <si>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</si>
  <si>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</si>
  <si>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</si>
  <si>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</si>
  <si>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</si>
  <si>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</si>
  <si>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</si>
  <si>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</si>
  <si>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</si>
  <si>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</si>
  <si>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</si>
  <si>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</si>
  <si>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</si>
  <si>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</si>
  <si>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</si>
  <si>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</si>
  <si>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</si>
  <si>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</si>
  <si>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</si>
  <si>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</si>
  <si>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</si>
  <si>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</si>
  <si>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</si>
  <si>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</si>
  <si>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</si>
  <si>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</si>
  <si>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</si>
  <si>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</si>
  <si>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</si>
  <si>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</si>
  <si>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</si>
  <si>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</si>
  <si>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</si>
  <si>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</si>
  <si>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</si>
  <si>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</si>
  <si>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</si>
  <si>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</si>
  <si>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</si>
  <si>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</si>
  <si>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</si>
  <si>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</si>
  <si>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</si>
  <si>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</si>
  <si>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</si>
  <si>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</si>
  <si>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</si>
  <si>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</si>
  <si>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</si>
  <si>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</si>
  <si>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</si>
  <si>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</si>
  <si>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</si>
  <si>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</si>
  <si>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</si>
  <si>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</si>
  <si>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</si>
  <si>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</si>
  <si>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</si>
  <si>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</si>
  <si>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</si>
  <si>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</si>
  <si>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</si>
  <si>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</si>
  <si>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</si>
  <si>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</si>
  <si>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</si>
  <si>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</si>
  <si>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</si>
  <si>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</si>
  <si>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</si>
  <si>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</si>
  <si>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</si>
  <si>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</si>
  <si>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</si>
  <si>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</si>
  <si>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</si>
  <si>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</si>
  <si>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</si>
  <si>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</si>
  <si>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</si>
  <si>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</si>
  <si>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</si>
  <si>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</si>
  <si>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</si>
  <si>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</si>
  <si>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</si>
  <si>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</si>
  <si>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</si>
  <si>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</si>
  <si>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</si>
  <si>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</si>
  <si>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</si>
  <si>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</si>
  <si>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</si>
  <si>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</si>
  <si>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</si>
  <si>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</si>
  <si>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</si>
  <si>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</si>
  <si>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</si>
  <si>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</si>
  <si>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</si>
  <si>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</si>
  <si>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</si>
  <si>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</si>
  <si>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</si>
  <si>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</si>
  <si>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</si>
  <si>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</si>
  <si>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</si>
  <si>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</si>
  <si>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</si>
  <si>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</si>
  <si>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</si>
  <si>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</si>
  <si>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</si>
  <si>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</si>
  <si>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</si>
  <si>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</si>
  <si>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</si>
  <si>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</si>
  <si>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</si>
  <si>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</si>
  <si>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</si>
  <si>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</si>
  <si>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</si>
  <si>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</si>
  <si>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</si>
  <si>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</si>
  <si>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</si>
  <si>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</si>
  <si>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</si>
  <si>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</si>
  <si>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</si>
  <si>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</si>
  <si>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</si>
  <si>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</si>
  <si>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</si>
  <si>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</si>
  <si>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</si>
  <si>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</si>
  <si>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</si>
  <si>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</si>
  <si>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</si>
  <si>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</si>
  <si>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</si>
  <si>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</si>
  <si>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</si>
  <si>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</si>
  <si>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</si>
  <si>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</si>
  <si>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</si>
  <si>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</si>
  <si>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</si>
  <si>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</si>
  <si>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</si>
  <si>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</si>
  <si>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</si>
  <si>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</si>
  <si>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</si>
  <si>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</si>
  <si>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</si>
  <si>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</si>
  <si>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</si>
  <si>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状況</t>
  </si>
  <si>
    <t>差分</t>
  </si>
  <si>
    <t>テスト項目</t>
  </si>
  <si>
    <t>DU-U5-02/03/06 の完了、ゲート G-SSF</t>
  </si>
  <si>
    <t>DU-U3-04、DU-U10-02 の完了</t>
  </si>
  <si>
    <t>横断</t>
  </si>
  <si>
    <t>項目数</t>
  </si>
  <si>
    <t>スコープ</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</si>
  <si>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</si>
  <si>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</si>
  <si>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</si>
  <si>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</si>
  <si>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</si>
  <si>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</si>
  <si>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</si>
  <si>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</si>
  <si>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</si>
  <si>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</si>
  <si>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</si>
  <si>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</si>
  <si>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</si>
  <si>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</si>
  <si>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</si>
  <si>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</si>
  <si>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</si>
  <si>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</si>
  <si>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</si>
  <si>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</si>
  <si>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</si>
  <si>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</si>
  <si>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</si>
  <si>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</si>
  <si>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</si>
  <si>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</si>
  <si>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</si>
  <si>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</si>
  <si>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</si>
  <si>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</si>
  <si>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</si>
  <si>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</si>
  <si>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</si>
  <si>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</si>
  <si>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</si>
  <si>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</si>
  <si>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</si>
  <si>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</si>
  <si>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</si>
  <si>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</si>
  <si>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</si>
  <si>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</si>
  <si>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</si>
  <si>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</si>
  <si>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</si>
  <si>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</si>
  <si>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</si>
  <si>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</si>
  <si>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</si>
  <si>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</si>
  <si>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</si>
  <si>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</si>
  <si>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</si>
  <si>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</si>
  <si>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</si>
  <si>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</si>
  <si>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</si>
  <si>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</si>
  <si>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</si>
  <si>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</si>
  <si>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</si>
  <si>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</si>
  <si>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</si>
  <si>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</si>
  <si>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</si>
  <si>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</si>
  <si>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</si>
  <si>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</si>
  <si>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</si>
  <si>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</si>
  <si>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</si>
  <si>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</si>
  <si>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</si>
  <si>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</si>
  <si>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</si>
  <si>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</si>
  <si>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</si>
  <si>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</si>
  <si>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</si>
  <si>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</si>
  <si>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</si>
  <si>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</si>
  <si>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</si>
  <si>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</si>
  <si>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</si>
  <si>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</si>
  <si>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</si>
  <si>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</si>
  <si>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</si>
  <si>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</si>
  <si>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</si>
  <si>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</si>
  <si>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</si>
  <si>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</si>
  <si>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</si>
  <si>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</si>
  <si>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</si>
  <si>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</si>
  <si>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</si>
  <si>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</si>
  <si>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</si>
  <si>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</si>
  <si>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</si>
  <si>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</si>
  <si>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</si>
  <si>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</si>
  <si>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</si>
  <si>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</si>
  <si>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</si>
  <si>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</si>
  <si>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</si>
  <si>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</si>
  <si>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</si>
  <si>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</si>
  <si>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</si>
  <si>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</si>
  <si>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</si>
  <si>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</si>
  <si>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</si>
  <si>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</si>
  <si>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</si>
  <si>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</si>
  <si>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</si>
  <si>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</si>
  <si>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</si>
  <si>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</si>
  <si>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</si>
  <si>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</si>
  <si>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</si>
  <si>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</si>
  <si>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</si>
  <si>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</si>
  <si>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</si>
  <si>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</si>
  <si>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</si>
  <si>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</si>
  <si>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</si>
  <si>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</si>
  <si>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</si>
  <si>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</si>
  <si>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</si>
  <si>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</si>
  <si>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</si>
  <si>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</si>
  <si>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</si>
  <si>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</si>
  <si>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</si>
  <si>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</si>
  <si>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</si>
  <si>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</si>
  <si>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</si>
  <si>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</si>
  <si>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</si>
  <si>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</si>
  <si>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</si>
  <si>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</si>
  <si>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</si>
  <si>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</si>
  <si>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</si>
  <si>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</si>
  <si>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</si>
  <si>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</si>
  <si>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</si>
  <si>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</si>
  <si>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</si>
  <si>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</si>
  <si>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</si>
  <si>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</si>
  <si>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</si>
  <si>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</si>
  <si>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小計（②＋③）</t>
  </si>
  <si>
    <t>更新メモ</t>
    <rPh sb="0" eb="2">
      <t>コウシn</t>
    </rPh>
    <phoneticPr fontId="3"/>
  </si>
  <si>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</si>
  <si>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</si>
  <si>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</si>
  <si>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</si>
  <si>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</si>
  <si>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</si>
  <si>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</si>
  <si>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</si>
  <si>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</si>
  <si>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</si>
  <si>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</si>
  <si>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</si>
  <si>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</si>
  <si>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</si>
  <si>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</si>
  <si>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</si>
  <si>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</si>
  <si>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</si>
  <si>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</si>
  <si>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</si>
  <si>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</si>
  <si>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</si>
  <si>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</si>
  <si>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</si>
  <si>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</si>
  <si>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</si>
  <si>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</si>
  <si>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</si>
  <si>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</si>
  <si>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</si>
  <si>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</si>
  <si>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</si>
  <si>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</si>
  <si>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</si>
  <si>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</si>
  <si>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</si>
  <si>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</si>
  <si>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</si>
  <si>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</si>
  <si>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</si>
  <si>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</si>
  <si>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</si>
  <si>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</si>
  <si>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</si>
  <si>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</si>
  <si>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</si>
  <si>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</si>
  <si>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</si>
  <si>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</si>
  <si>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</si>
  <si>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</si>
  <si>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</si>
  <si>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</si>
  <si>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</si>
  <si>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</si>
  <si>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</si>
  <si>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</si>
  <si>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</si>
  <si>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</si>
  <si>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</si>
  <si>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</si>
  <si>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</si>
  <si>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</si>
  <si>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</si>
  <si>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</si>
  <si>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</si>
  <si>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</si>
  <si>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</si>
  <si>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</si>
  <si>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</si>
  <si>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</si>
  <si>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</si>
  <si>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</si>
  <si>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</si>
  <si>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</si>
  <si>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</si>
  <si>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</si>
  <si>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</si>
  <si>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</si>
  <si>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</si>
  <si>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</si>
  <si>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</si>
  <si>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</si>
  <si>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</si>
  <si>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</si>
  <si>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</si>
  <si>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</si>
  <si>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</si>
  <si>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</si>
  <si>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</si>
  <si>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</si>
  <si>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</si>
  <si>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</si>
  <si>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</si>
  <si>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</si>
  <si>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</si>
  <si>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</si>
  <si>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</si>
  <si>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</si>
  <si>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</si>
  <si>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</si>
  <si>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</si>
  <si>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</si>
  <si>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</si>
  <si>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</si>
  <si>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</si>
  <si>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</si>
  <si>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</si>
  <si>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</si>
  <si>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</si>
  <si>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</si>
  <si>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</si>
  <si>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</si>
  <si>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</si>
  <si>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</si>
  <si>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</si>
  <si>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3"/>
  </si>
  <si>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</si>
  <si>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</si>
  <si>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</si>
  <si>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</si>
  <si>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</si>
  <si>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</si>
  <si>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</si>
  <si>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</si>
  <si>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</si>
  <si>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</si>
  <si>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</si>
  <si>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</si>
  <si>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</si>
  <si>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</si>
  <si>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</si>
  <si>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</si>
  <si>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</si>
  <si>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</si>
  <si>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</si>
  <si>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</si>
  <si>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</si>
  <si>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</si>
  <si>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</si>
  <si>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</si>
  <si>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</si>
  <si>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</si>
  <si>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</si>
  <si>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</si>
  <si>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</si>
  <si>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</si>
  <si>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</si>
  <si>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</si>
  <si>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</si>
  <si>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</si>
  <si>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</si>
  <si>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</si>
  <si>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</si>
  <si>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</si>
  <si>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</si>
  <si>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</si>
  <si>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</si>
  <si>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</si>
  <si>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</si>
  <si>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</si>
  <si>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</si>
  <si>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</si>
  <si>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</si>
  <si>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</si>
  <si>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</si>
  <si>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</si>
  <si>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</si>
  <si>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</si>
  <si>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</si>
  <si>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</si>
  <si>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</si>
  <si>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</si>
  <si>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</si>
  <si>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</si>
  <si>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</si>
  <si>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</si>
  <si>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</si>
  <si>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</si>
  <si>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</si>
  <si>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</si>
  <si>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</si>
  <si>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</si>
  <si>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</si>
  <si>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</si>
  <si>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</si>
  <si>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</si>
  <si>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</si>
  <si>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</si>
  <si>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</si>
  <si>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</si>
  <si>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</si>
  <si>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</si>
  <si>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</si>
  <si>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</si>
  <si>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</si>
  <si>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</si>
  <si>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</si>
  <si>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</si>
  <si>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</si>
  <si>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</si>
  <si>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</si>
  <si>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</si>
  <si>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</si>
  <si>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</si>
  <si>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</si>
  <si>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</si>
  <si>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</si>
  <si>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</si>
  <si>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</si>
  <si>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</si>
  <si>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</si>
  <si>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</si>
  <si>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</si>
  <si>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</si>
  <si>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</si>
  <si>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</si>
  <si>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</si>
  <si>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</si>
  <si>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</si>
  <si>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</si>
  <si>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</si>
  <si>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</si>
  <si>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</si>
  <si>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</si>
  <si>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</si>
  <si>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</si>
  <si>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</si>
  <si>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</si>
  <si>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</si>
  <si>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</si>
  <si>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</si>
  <si>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</si>
  <si>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</si>
  <si>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</si>
  <si>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</si>
  <si>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</si>
  <si>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</si>
  <si>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</si>
  <si>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</si>
  <si>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</si>
  <si>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</si>
  <si>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</si>
  <si>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</si>
  <si>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</si>
  <si>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</si>
  <si>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</si>
  <si>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</si>
  <si>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</si>
  <si>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</si>
  <si>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</si>
  <si>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</si>
  <si>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</si>
  <si>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</si>
  <si>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</si>
  <si>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</si>
  <si>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</si>
  <si>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</si>
  <si>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</si>
  <si>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</si>
  <si>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</si>
  <si>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</si>
  <si>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</si>
  <si>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</si>
  <si>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</si>
  <si>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</si>
  <si>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</si>
  <si>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</si>
  <si>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</si>
  <si>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</si>
  <si>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</si>
  <si>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</si>
  <si>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</si>
  <si>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</si>
  <si>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</si>
  <si>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</si>
  <si>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</si>
  <si>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</si>
  <si>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</si>
  <si>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</si>
  <si>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</si>
  <si>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</si>
  <si>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</si>
  <si>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</si>
  <si>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</si>
  <si>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</si>
  <si>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</si>
  <si>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</si>
  <si>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</si>
  <si>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</si>
  <si>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</si>
  <si>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</si>
  <si>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</si>
  <si>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</si>
  <si>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</si>
  <si>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</si>
  <si>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</si>
  <si>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</si>
  <si>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</si>
  <si>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</si>
  <si>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</si>
  <si>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</si>
  <si>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</si>
  <si>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</si>
  <si>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</si>
  <si>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</si>
  <si>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</si>
  <si>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</si>
  <si>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</si>
  <si>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</si>
  <si>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</si>
  <si>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</si>
  <si>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</si>
  <si>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</si>
  <si>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</si>
  <si>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</si>
  <si>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</si>
  <si>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</si>
  <si>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</si>
  <si>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</si>
  <si>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</si>
  <si>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</si>
  <si>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</si>
  <si>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</si>
  <si>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</si>
  <si>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</si>
  <si>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</si>
  <si>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</si>
  <si>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</si>
  <si>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</si>
  <si>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</si>
  <si>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</si>
  <si>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</si>
  <si>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</si>
  <si>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</si>
  <si>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</si>
  <si>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</si>
  <si>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</si>
  <si>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</si>
  <si>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</si>
  <si>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</si>
  <si>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</si>
  <si>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</si>
  <si>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</si>
  <si>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</si>
  <si>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</si>
  <si>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</si>
  <si>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</si>
  <si>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</si>
  <si>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</si>
  <si>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</si>
  <si>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</si>
  <si>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</si>
  <si>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</si>
  <si>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</si>
  <si>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</si>
  <si>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</si>
  <si>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</si>
  <si>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</si>
  <si>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</si>
  <si>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</si>
  <si>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</si>
  <si>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</si>
  <si>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</si>
  <si>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</si>
  <si>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</si>
  <si>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</si>
  <si>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</si>
  <si>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</si>
  <si>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</si>
  <si>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</si>
  <si>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</si>
  <si>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</si>
  <si>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</si>
  <si>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</si>
  <si>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</si>
  <si>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</si>
  <si>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</si>
  <si>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</si>
  <si>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</si>
  <si>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</si>
  <si>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</si>
  <si>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</si>
  <si>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</si>
  <si>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</si>
  <si>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</si>
  <si>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</si>
  <si>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</si>
  <si>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</si>
  <si>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</si>
  <si>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</si>
  <si>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</si>
  <si>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</si>
  <si>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</si>
  <si>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</si>
  <si>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</si>
  <si>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</si>
  <si>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</si>
  <si>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</si>
  <si>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</si>
  <si>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</si>
  <si>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</si>
  <si>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</si>
  <si>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</si>
  <si>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</si>
  <si>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</si>
  <si>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</si>
  <si>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</si>
  <si>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</si>
  <si>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</si>
  <si>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</si>
  <si>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</si>
  <si>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</si>
  <si>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</si>
  <si>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</si>
  <si>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</si>
  <si>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</si>
  <si>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</si>
  <si>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</si>
  <si>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</si>
  <si>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</si>
  <si>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</si>
  <si>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</si>
  <si>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</si>
  <si>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</si>
  <si>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</si>
  <si>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</si>
  <si>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</si>
  <si>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</si>
  <si>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</si>
  <si>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</si>
  <si>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</si>
  <si>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</si>
  <si>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</si>
  <si>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</si>
  <si>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</si>
  <si>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</si>
  <si>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</si>
  <si>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</si>
  <si>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</si>
  <si>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</si>
  <si>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</si>
  <si>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</si>
  <si>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</si>
  <si>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</si>
  <si>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</si>
  <si>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</si>
  <si>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</si>
  <si>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</si>
  <si>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</si>
  <si>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</si>
  <si>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</si>
  <si>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</si>
  <si>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</si>
  <si>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</si>
  <si>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</si>
  <si>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</si>
  <si>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</si>
  <si>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</si>
  <si>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</si>
  <si>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</si>
  <si>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</si>
  <si>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</si>
  <si>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</si>
  <si>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</si>
  <si>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</si>
  <si>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</si>
  <si>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</si>
  <si>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</si>
  <si>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</si>
  <si>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</si>
  <si>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</si>
  <si>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</si>
  <si>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</si>
  <si>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</si>
  <si>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</si>
  <si>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</si>
  <si>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</si>
  <si>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</si>
  <si>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</si>
  <si>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</si>
  <si>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</si>
  <si>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</si>
  <si>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</si>
  <si>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</si>
  <si>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</si>
  <si>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</si>
  <si>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</si>
  <si>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</si>
  <si>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</si>
  <si>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</si>
  <si>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</si>
  <si>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</si>
  <si>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</si>
  <si>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</si>
  <si>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</si>
  <si>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</si>
  <si>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</si>
  <si>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</si>
  <si>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</si>
  <si>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</si>
  <si>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</si>
  <si>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</si>
  <si>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</si>
  <si>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</si>
  <si>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</si>
  <si>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</si>
  <si>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</si>
  <si>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</si>
  <si>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</si>
  <si>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</si>
  <si>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</si>
  <si>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</si>
  <si>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</si>
  <si>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</si>
  <si>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3"/>
  </si>
  <si>
    <t>認証方式</t>
    <phoneticPr fontId="3"/>
  </si>
  <si>
    <t>管理機能・画面</t>
    <phoneticPr fontId="3"/>
  </si>
  <si>
    <t>認可・権限</t>
    <phoneticPr fontId="3"/>
  </si>
  <si>
    <t>外部ID連携</t>
    <phoneticPr fontId="3"/>
  </si>
  <si>
    <t>外部連携・API</t>
    <phoneticPr fontId="3"/>
  </si>
  <si>
    <t>追加確認（多要素）</t>
    <phoneticPr fontId="3"/>
  </si>
  <si>
    <t>SSO・セッション</t>
    <phoneticPr fontId="3"/>
  </si>
  <si>
    <t>利用者管理・同期</t>
    <phoneticPr fontId="3"/>
  </si>
  <si>
    <t>セキュリティ</t>
    <phoneticPr fontId="3"/>
  </si>
  <si>
    <t>コスト</t>
    <phoneticPr fontId="3"/>
  </si>
  <si>
    <t>NFR-COST コスト</t>
    <phoneticPr fontId="3"/>
  </si>
  <si>
    <t>移行</t>
    <phoneticPr fontId="3"/>
  </si>
  <si>
    <t>可用性・災害復旧</t>
    <phoneticPr fontId="3"/>
  </si>
  <si>
    <t>NFR-AVL 可用性</t>
    <phoneticPr fontId="3"/>
  </si>
  <si>
    <t>コンプライアンス・法令</t>
    <phoneticPr fontId="3"/>
  </si>
  <si>
    <t>NFR-DR 災害復旧</t>
    <phoneticPr fontId="3"/>
  </si>
  <si>
    <t>運用・監視</t>
    <phoneticPr fontId="3"/>
  </si>
  <si>
    <t>性能・拡張性</t>
    <phoneticPr fontId="3"/>
  </si>
  <si>
    <t>顧客確認</t>
    <phoneticPr fontId="3"/>
  </si>
  <si>
    <t>基本設計</t>
    <phoneticPr fontId="3"/>
  </si>
  <si>
    <t>前提</t>
    <phoneticPr fontId="3"/>
  </si>
  <si>
    <t>基盤・ネットワーク</t>
    <phoneticPr fontId="3"/>
  </si>
  <si>
    <t>検証ゲート</t>
    <phoneticPr fontId="3"/>
  </si>
  <si>
    <t>B-1</t>
    <phoneticPr fontId="3"/>
  </si>
  <si>
    <t>全般・プロジェクト進行</t>
    <phoneticPr fontId="3"/>
  </si>
  <si>
    <t>D-17</t>
    <phoneticPr fontId="3"/>
  </si>
  <si>
    <t>D-18</t>
    <phoneticPr fontId="3"/>
  </si>
  <si>
    <t>F-1</t>
    <phoneticPr fontId="3"/>
  </si>
  <si>
    <t>F-3</t>
    <phoneticPr fontId="3"/>
  </si>
  <si>
    <t>認証基盤 要件定義・基本設計 進捗サマリー</t>
    <phoneticPr fontId="3"/>
  </si>
  <si>
    <t>出典: github.com/suepie/aws-atuh-poc（doc/requirements + doc/basic-design + doc/adr）/ commit 9511a58 / 明細は「進捗一覧」「設計決定一覧」参照</t>
    <phoneticPr fontId="3"/>
  </si>
  <si>
    <t>本表はGitからの派生ビュー（読み取り専用）。SSOTはGit側。</t>
    <phoneticPr fontId="3"/>
  </si>
  <si>
    <t>① 種別別の進捗（状況は5区分）</t>
    <phoneticPr fontId="3"/>
  </si>
  <si>
    <t>合計</t>
    <phoneticPr fontId="3"/>
  </si>
  <si>
    <t>② 系統別 内訳</t>
    <phoneticPr fontId="3"/>
  </si>
  <si>
    <t>大項目</t>
    <phoneticPr fontId="3"/>
  </si>
  <si>
    <t>系統</t>
    <phoneticPr fontId="3"/>
  </si>
  <si>
    <t>FR-AUTH 認証フロー/Grant Type・PW管理</t>
    <phoneticPr fontId="3"/>
  </si>
  <si>
    <t>FR-FED フェデレーション</t>
    <phoneticPr fontId="3"/>
  </si>
  <si>
    <t>FR-MFA 多要素認証</t>
    <phoneticPr fontId="3"/>
  </si>
  <si>
    <t>FR-SSO SSO・ログアウト・セッション</t>
    <phoneticPr fontId="3"/>
  </si>
  <si>
    <t>FR-AUTHZ 認可</t>
    <phoneticPr fontId="3"/>
  </si>
  <si>
    <t>FR-USER ユーザー管理</t>
    <phoneticPr fontId="3"/>
  </si>
  <si>
    <t>FR-ADMIN 管理機能</t>
    <phoneticPr fontId="3"/>
  </si>
  <si>
    <t>FR-INT 連携・標準準拠</t>
    <phoneticPr fontId="3"/>
  </si>
  <si>
    <t>NFR-PERF 性能</t>
    <phoneticPr fontId="3"/>
  </si>
  <si>
    <t>NFR-SCL スケーラビリティ</t>
    <phoneticPr fontId="3"/>
  </si>
  <si>
    <t>NFR-SEC セキュリティ</t>
    <phoneticPr fontId="3"/>
  </si>
  <si>
    <t>NFR-OPS 運用・監視</t>
    <phoneticPr fontId="3"/>
  </si>
  <si>
    <t>NFR-COMP コンプライアンス</t>
    <phoneticPr fontId="3"/>
  </si>
  <si>
    <t>NFR-MIG 移行</t>
    <phoneticPr fontId="3"/>
  </si>
  <si>
    <t>③ 重点論点（2026-07-30 意思決定後）</t>
    <phoneticPr fontId="3"/>
  </si>
  <si>
    <t>ID</t>
    <phoneticPr fontId="3"/>
  </si>
  <si>
    <t>論点</t>
    <phoneticPr fontId="3"/>
  </si>
  <si>
    <t>A-2 / G-SPI-Compat</t>
    <phoneticPr fontId="3"/>
  </si>
  <si>
    <t>RHBK 26.4 × upstream Custom SPI 互換検証（HRD / Re-Activation）</t>
    <phoneticPr fontId="3"/>
  </si>
  <si>
    <t>未着手（検証実施は確定）</t>
    <phoneticPr fontId="3"/>
  </si>
  <si>
    <t>実質残ブロッカー①</t>
    <phoneticPr fontId="3"/>
  </si>
  <si>
    <t>F-3 / G-DPA</t>
    <phoneticPr fontId="3"/>
  </si>
  <si>
    <t>Red Hat SRE の越境閲覧確認（APPI 28条）。クラウド利用の同意は取得方針</t>
    <phoneticPr fontId="3"/>
  </si>
  <si>
    <t>確認中</t>
    <phoneticPr fontId="3"/>
  </si>
  <si>
    <t>実質残ブロッカー②</t>
    <phoneticPr fontId="3"/>
  </si>
  <si>
    <t>ヒアリング質問状のパッケージ化。全127項目中 未回答123（顧客回答ゼロ）</t>
    <phoneticPr fontId="3"/>
  </si>
  <si>
    <t>未着手</t>
    <phoneticPr fontId="3"/>
  </si>
  <si>
    <t>W0 最優先（外部依頼）</t>
    <phoneticPr fontId="3"/>
  </si>
  <si>
    <t>要求仕様書v1の発行。REQ-IN/OUT/DR 全件未回答</t>
    <phoneticPr fontId="3"/>
  </si>
  <si>
    <t>法務起票（Red Hat DPA 最優先）</t>
    <phoneticPr fontId="3"/>
  </si>
  <si>
    <t>E-2 → A-1 → C-1/D系</t>
    <phoneticPr fontId="3"/>
  </si>
  <si>
    <t>負荷試験計画 → G-IdP-Scale実測(25人日) → キャッシュ・Pod・接続予算の最終値</t>
    <phoneticPr fontId="3"/>
  </si>
  <si>
    <t>内部クリティカルパス</t>
    <phoneticPr fontId="3"/>
  </si>
  <si>
    <t>アイデンティティモデル改訂（全顧客ユーザーのフェデ化、P-07転換）</t>
    <phoneticPr fontId="3"/>
  </si>
  <si>
    <t>決定を受けた改訂タスク</t>
    <phoneticPr fontId="3"/>
  </si>
  <si>
    <t>DRコールド化＋データ保全改訂（RTO≈14日、P-05/P-15転換）</t>
    <phoneticPr fontId="3"/>
  </si>
  <si>
    <t>A-4 / D-10 / G-LDAP</t>
    <phoneticPr fontId="3"/>
  </si>
  <si>
    <t>LDAP 経路（LDAP顧客なし）</t>
    <phoneticPr fontId="3"/>
  </si>
  <si>
    <t>対象外化で決着</t>
    <phoneticPr fontId="3"/>
  </si>
  <si>
    <t>スコープ除外</t>
    <phoneticPr fontId="3"/>
  </si>
  <si>
    <t>C-7 / G-PCI-WAF</t>
    <phoneticPr fontId="3"/>
  </si>
  <si>
    <t>PCI DSS（対応不要）。削除でなく降格・将来再開可</t>
    <phoneticPr fontId="3"/>
  </si>
  <si>
    <t>④ 要件→設計 対応状況（漏れ探し）</t>
    <phoneticPr fontId="3"/>
  </si>
  <si>
    <t>件数</t>
    <phoneticPr fontId="3"/>
  </si>
  <si>
    <t>割合</t>
    <phoneticPr fontId="3"/>
  </si>
  <si>
    <t>意味</t>
    <phoneticPr fontId="3"/>
  </si>
  <si>
    <t>対応状況</t>
    <phoneticPr fontId="3"/>
  </si>
  <si>
    <t>対応する設計決定が特定できた</t>
    <phoneticPr fontId="3"/>
  </si>
  <si>
    <t>一部は決まっているが残りは未確定・他単元待ち</t>
    <phoneticPr fontId="3"/>
  </si>
  <si>
    <t>取込済の設計書に対応する決定が見当たらない（★要確認）</t>
    <phoneticPr fontId="3"/>
  </si>
  <si>
    <t>意図的にスコープ外と決着済</t>
    <phoneticPr fontId="3"/>
  </si>
  <si>
    <t>該当設計書（U4/U6〜U10）未読込のため判定不能</t>
    <phoneticPr fontId="3"/>
  </si>
  <si>
    <t>単元未取込</t>
    <phoneticPr fontId="3"/>
  </si>
  <si>
    <t>⑤ 設計→要件 逆マッピング（根拠確認）</t>
    <phoneticPr fontId="3"/>
  </si>
  <si>
    <t>意味・対応</t>
    <phoneticPr fontId="3"/>
  </si>
  <si>
    <t>根拠が辩できる。確認不要</t>
    <phoneticPr fontId="3"/>
  </si>
  <si>
    <t>要件から参照あり</t>
    <phoneticPr fontId="3"/>
  </si>
  <si>
    <t>★要件にないのに機能・工数・運用負荷が発生。要件化か削除かの判断が必要</t>
    <phoneticPr fontId="3"/>
  </si>
  <si>
    <t>スコープ増</t>
    <phoneticPr fontId="3"/>
  </si>
  <si>
    <t>★契約・実装ガイドに落とすべき制約の抜け。要件文の追記が必要</t>
    <phoneticPr fontId="3"/>
  </si>
  <si>
    <t>要件側の書き漏れ</t>
    <phoneticPr fontId="3"/>
  </si>
  <si>
    <t>前方マッピングの紐付け漏れ。本表作成時に発見し修正済み</t>
    <phoneticPr fontId="3"/>
  </si>
  <si>
    <t>参照漏れ</t>
    <phoneticPr fontId="3"/>
  </si>
  <si>
    <t>要件から降りてこない実装判断。確認不要</t>
    <phoneticPr fontId="3"/>
  </si>
  <si>
    <t>内部技術判断</t>
    <phoneticPr fontId="3"/>
  </si>
  <si>
    <t>方針転換で無効。確認不要</t>
    <phoneticPr fontId="3"/>
  </si>
  <si>
    <t>廃止済み</t>
    <phoneticPr fontId="3"/>
  </si>
  <si>
    <t>⑥ 再監査の取込記録（設計側フル監査の結果）</t>
    <phoneticPr fontId="3"/>
  </si>
  <si>
    <t>設計書9冊を全文（打ち切りなし）で突合し直した結果を反映。当初本表は1ファイル40,000文字の制限で末尾が欠けていたが、打ち切り部が隔していた項目はなかったことを確認済み</t>
    <phoneticPr fontId="3"/>
  </si>
  <si>
    <t>4件のみ（初回パスワード強制変更・パスワード履歴・メールによる追加確認・応答目標値）。いずれもコミット 389e87c で設計側に反映済み</t>
    <phoneticPr fontId="3"/>
  </si>
  <si>
    <t>真の漏れ</t>
    <phoneticPr fontId="3"/>
  </si>
  <si>
    <t>8件を再分類（設計側に既に決定あり、または意図的先送り）。以前の「未対応」判定は設計書の読み取り範囲不足による誤判定が主因</t>
    <phoneticPr fontId="3"/>
  </si>
  <si>
    <t>判定見直し</t>
    <phoneticPr fontId="3"/>
  </si>
  <si>
    <t>費用5件は提案書側、第三者監査・情報開示系3件は別枠組み側、運用工数2件は残タスク棚卸し側で決定済み。技術設計9冊には載せない方針</t>
    <phoneticPr fontId="3"/>
  </si>
  <si>
    <t>設計書外</t>
    <phoneticPr fontId="3"/>
  </si>
  <si>
    <t>セキュリティ設計書冒頭の「改訂待ち」注記（カード決済規格の除外・管理者のローカル認証前提）は、残タスク側の改訂2件が未実施のため残存しているもので、網羅性の穴ではない</t>
    <phoneticPr fontId="3"/>
  </si>
  <si>
    <t>文書同期待ち</t>
    <phoneticPr fontId="3"/>
  </si>
  <si>
    <t>認証基盤 要件定義・基本設計 ダッシュボード</t>
    <phoneticPr fontId="3"/>
  </si>
  <si>
    <t>Git（github.com/suepie/aws-atuh-poc, commit 9511a58）からの派生ビュー。判断・更新はGit側で行い、本ファイルは俯瞰専用の読み取りスナップショットです。</t>
    <phoneticPr fontId="3"/>
  </si>
  <si>
    <t>①決まったこと</t>
    <phoneticPr fontId="3"/>
  </si>
  <si>
    <t>②これから社内で決めること</t>
    <phoneticPr fontId="3"/>
  </si>
  <si>
    <t>③外部に依存すること</t>
    <phoneticPr fontId="3"/>
  </si>
  <si>
    <t>件</t>
    <phoneticPr fontId="3"/>
  </si>
  <si>
    <t>自社だけで判断・検証できる。今すぐ着手可能</t>
    <phoneticPr fontId="3"/>
  </si>
  <si>
    <t>顧客・他組織・法務の回答が要る。待ち＝遅れではない</t>
    <phoneticPr fontId="3"/>
  </si>
  <si>
    <t>詰め切りに必要な残数（②＋③）</t>
    <phoneticPr fontId="3"/>
  </si>
  <si>
    <t>詳細設計に着手する前提の3ゲート</t>
    <phoneticPr fontId="3"/>
  </si>
  <si>
    <t>ゲート</t>
    <phoneticPr fontId="3"/>
  </si>
  <si>
    <t>残</t>
    <phoneticPr fontId="3"/>
  </si>
  <si>
    <t>信号</t>
    <phoneticPr fontId="3"/>
  </si>
  <si>
    <t>① 技術検証（自社実測）</t>
    <phoneticPr fontId="3"/>
  </si>
  <si>
    <t>自社で実施する実機検証。他者を待たずに着手できる</t>
    <phoneticPr fontId="3"/>
  </si>
  <si>
    <t>② 他組織の要求仕様回答</t>
    <phoneticPr fontId="3"/>
  </si>
  <si>
    <t>インターネット出入口を管理する他組織への要求と回答</t>
    <phoneticPr fontId="3"/>
  </si>
  <si>
    <t>③ 顧客ヒアリング回答</t>
    <phoneticPr fontId="3"/>
  </si>
  <si>
    <t>顧客への質問状。全127項目中の未回答が主因</t>
    <phoneticPr fontId="3"/>
  </si>
  <si>
    <t>技術領域別の内訳</t>
    <phoneticPr fontId="3"/>
  </si>
  <si>
    <t>フェーズ別の残り</t>
    <phoneticPr fontId="3"/>
  </si>
  <si>
    <t>技術領域</t>
    <phoneticPr fontId="3"/>
  </si>
  <si>
    <t>機能要件91＋非機能要件88＋顧客確認16。残りは主に顧客ヒアリング回答待ち</t>
    <phoneticPr fontId="3"/>
  </si>
  <si>
    <t>前提21＋検証ゲート11＋設計タスク59。基本設計を閉じるまでの残作業</t>
    <phoneticPr fontId="3"/>
  </si>
  <si>
    <t>規模と目標値が顧客回答待ちのため。設計は上限10Mで凍結し先行している</t>
    <phoneticPr fontId="3"/>
  </si>
  <si>
    <t>稼働率と復旧目標が顧客合意待ち。設計側は手動復旧14日で確定済み</t>
    <phoneticPr fontId="3"/>
  </si>
  <si>
    <t>対象法令と認証取得の要否が顧客回答待ち。多くは提案書側・別枠組み側で扱う</t>
    <phoneticPr fontId="3"/>
  </si>
  <si>
    <t>体制・工数の合意と手順書の執筆が残るため。方式は決定済み</t>
    <phoneticPr fontId="3"/>
  </si>
  <si>
    <t>費用は提案書側の文書で扱う方針のため、技術設計側には決定を置いていない</t>
    <phoneticPr fontId="3"/>
  </si>
  <si>
    <t>現行システムの実態（利用者数・パスワード方式）が顧客回答待ち</t>
    <phoneticPr fontId="3"/>
  </si>
  <si>
    <t>質問状の発行と回答反映が主。外部リードタイムが律速</t>
    <phoneticPr fontId="3"/>
  </si>
  <si>
    <t>工程別の工数（3つのWBSシートの合計）</t>
    <phoneticPr fontId="3"/>
  </si>
  <si>
    <t>工程</t>
    <phoneticPr fontId="3"/>
  </si>
  <si>
    <t>人日</t>
    <phoneticPr fontId="3"/>
  </si>
  <si>
    <t>明細シート</t>
    <phoneticPr fontId="3"/>
  </si>
  <si>
    <t>スコープ</t>
    <phoneticPr fontId="3"/>
  </si>
  <si>
    <t>① 基本設計クローズ</t>
    <phoneticPr fontId="3"/>
  </si>
  <si>
    <t>WBS(基本設計)</t>
    <phoneticPr fontId="3"/>
  </si>
  <si>
    <t>② 詳細設計</t>
    <phoneticPr fontId="3"/>
  </si>
  <si>
    <t>WBS(詳細設計_製造)</t>
    <phoneticPr fontId="3"/>
  </si>
  <si>
    <t>③ 構築（実装＋単体）</t>
    <phoneticPr fontId="3"/>
  </si>
  <si>
    <t>④ テスト</t>
    <phoneticPr fontId="3"/>
  </si>
  <si>
    <t>WBS(テスト)</t>
    <phoneticPr fontId="3"/>
  </si>
  <si>
    <t>②＋③＋④（これから作る工数）</t>
    <phoneticPr fontId="3"/>
  </si>
  <si>
    <t>—</t>
    <phoneticPr fontId="3"/>
  </si>
  <si>
    <t>総計（①含む）</t>
    <phoneticPr fontId="3"/>
  </si>
  <si>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</si>
  <si>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</si>
  <si>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</si>
  <si>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</si>
  <si>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</si>
  <si>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</si>
  <si>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</si>
  <si>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</si>
  <si>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</si>
  <si>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</si>
  <si>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</si>
  <si>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</si>
  <si>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</si>
  <si>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</si>
  <si>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</si>
  <si>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</si>
  <si>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</si>
  <si>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</si>
  <si>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</si>
  <si>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</si>
  <si>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</si>
  <si>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</si>
  <si>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</si>
  <si>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</si>
  <si>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</si>
  <si>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</si>
  <si>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</si>
  <si>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</si>
  <si>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</si>
  <si>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</si>
  <si>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</si>
  <si>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</si>
  <si>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</si>
  <si>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</si>
  <si>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</si>
  <si>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</si>
  <si>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</si>
  <si>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</si>
  <si>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</si>
  <si>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</si>
  <si>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</si>
  <si>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</si>
  <si>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</si>
  <si>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</si>
  <si>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</si>
  <si>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</si>
  <si>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</si>
  <si>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</si>
  <si>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</si>
  <si>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</si>
  <si>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</si>
  <si>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</si>
  <si>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</si>
  <si>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</si>
  <si>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</si>
  <si>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</si>
  <si>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</si>
  <si>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</si>
  <si>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</si>
  <si>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</si>
  <si>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</si>
  <si>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</si>
  <si>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</si>
  <si>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</si>
  <si>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</si>
  <si>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</si>
  <si>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</si>
  <si>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</si>
  <si>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</si>
  <si>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</si>
  <si>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</si>
  <si>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</si>
  <si>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</si>
  <si>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</si>
  <si>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</si>
  <si>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</si>
  <si>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</si>
  <si>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</si>
  <si>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</si>
  <si>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</si>
  <si>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</si>
  <si>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</si>
  <si>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</si>
  <si>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</si>
  <si>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</si>
  <si>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</si>
  <si>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</si>
  <si>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</si>
  <si>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</si>
  <si>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</si>
  <si>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</si>
  <si>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</si>
  <si>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</si>
  <si>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</si>
  <si>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</si>
  <si>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</si>
  <si>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</si>
  <si>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</si>
  <si>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</si>
  <si>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</si>
  <si>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</si>
  <si>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</si>
  <si>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</si>
  <si>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</si>
  <si>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</si>
  <si>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</si>
  <si>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</si>
  <si>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</si>
  <si>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</si>
  <si>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</si>
  <si>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</si>
  <si>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</si>
  <si>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</si>
  <si>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</si>
  <si>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</si>
  <si>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</si>
  <si>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</si>
  <si>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</si>
  <si>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</si>
  <si>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</si>
  <si>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</si>
  <si>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</si>
  <si>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</si>
  <si>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</si>
  <si>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</si>
  <si>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</si>
  <si>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</si>
  <si>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</si>
  <si>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</si>
  <si>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</si>
  <si>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</si>
  <si>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</si>
  <si>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</si>
  <si>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</si>
  <si>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</si>
  <si>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</si>
  <si>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</si>
  <si>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</si>
  <si>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</si>
  <si>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</si>
  <si>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</si>
  <si>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</si>
  <si>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</si>
  <si>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</si>
  <si>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</si>
  <si>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</si>
  <si>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</si>
  <si>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</si>
  <si>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</si>
  <si>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</si>
  <si>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</si>
  <si>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</si>
  <si>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</si>
  <si>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</si>
  <si>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</si>
  <si>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</si>
  <si>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</si>
  <si>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</si>
  <si>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</si>
  <si>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</si>
  <si>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</si>
  <si>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</si>
  <si>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</si>
  <si>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</si>
  <si>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</si>
  <si>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</si>
  <si>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</si>
  <si>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</si>
  <si>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</si>
  <si>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</si>
  <si>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</si>
  <si>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</si>
  <si>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</si>
  <si>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</si>
  <si>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</si>
  <si>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</si>
  <si>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</si>
  <si>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</si>
  <si>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</si>
  <si>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</si>
  <si>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</si>
  <si>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</si>
  <si>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</si>
  <si>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</si>
  <si>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</si>
  <si>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</si>
  <si>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</si>
  <si>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</si>
  <si>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</si>
  <si>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</si>
  <si>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</si>
  <si>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</si>
  <si>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</si>
  <si>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</si>
  <si>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</si>
  <si>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</si>
  <si>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</si>
  <si>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</si>
  <si>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</si>
  <si>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</si>
  <si>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</si>
  <si>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</si>
  <si>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</si>
  <si>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</si>
  <si>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</si>
  <si>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</si>
  <si>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</si>
  <si>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</si>
  <si>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</si>
  <si>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</si>
  <si>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</si>
  <si>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</si>
  <si>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</si>
  <si>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</si>
  <si>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</si>
  <si>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</si>
  <si>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</si>
  <si>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</si>
  <si>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</si>
  <si>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</si>
  <si>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</si>
  <si>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</si>
  <si>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</si>
  <si>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</si>
  <si>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</si>
  <si>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</si>
  <si>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</si>
  <si>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</si>
  <si>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</si>
  <si>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</si>
  <si>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</si>
  <si>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</si>
  <si>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</si>
  <si>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</si>
  <si>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</si>
  <si>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</si>
  <si>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</si>
  <si>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</si>
  <si>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</si>
  <si>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</si>
  <si>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</si>
  <si>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</si>
  <si>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</si>
  <si>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</si>
  <si>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</si>
  <si>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</si>
  <si>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</si>
  <si>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</si>
  <si>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</si>
  <si>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</si>
  <si>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</si>
  <si>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</si>
  <si>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</si>
  <si>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</si>
  <si>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</si>
  <si>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</si>
  <si>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</si>
  <si>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</si>
  <si>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</si>
  <si>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</si>
  <si>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</si>
  <si>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</si>
  <si>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</si>
  <si>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</si>
  <si>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</si>
  <si>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</si>
  <si>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</si>
  <si>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</si>
  <si>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</si>
  <si>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</si>
  <si>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</si>
  <si>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</si>
  <si>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</si>
  <si>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</si>
  <si>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</si>
  <si>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</si>
  <si>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</si>
  <si>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</si>
  <si>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</si>
  <si>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</si>
  <si>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</si>
  <si>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</si>
  <si>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</si>
  <si>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</si>
  <si>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</si>
  <si>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</si>
  <si>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</si>
  <si>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</si>
  <si>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</si>
  <si>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</si>
  <si>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</si>
  <si>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</si>
  <si>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</si>
  <si>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</si>
  <si>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</si>
  <si>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</si>
  <si>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</si>
  <si>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</si>
  <si>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</si>
  <si>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</si>
  <si>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</si>
  <si>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</si>
  <si>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</si>
  <si>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</si>
  <si>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</si>
  <si>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</si>
  <si>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</si>
  <si>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</si>
  <si>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</si>
  <si>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</si>
  <si>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</si>
  <si>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</si>
  <si>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</si>
  <si>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</si>
  <si>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</si>
  <si>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</si>
  <si>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</si>
  <si>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</si>
  <si>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</si>
  <si>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</si>
  <si>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</si>
  <si>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</si>
  <si>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</si>
  <si>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</si>
  <si>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</si>
  <si>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</si>
  <si>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</si>
  <si>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</si>
  <si>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</si>
  <si>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</si>
  <si>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</si>
  <si>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</si>
  <si>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</si>
  <si>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</si>
  <si>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</si>
  <si>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</si>
  <si>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</si>
  <si>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</si>
  <si>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</si>
  <si>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</si>
  <si>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</si>
  <si>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</si>
  <si>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</si>
  <si>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</si>
  <si>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</si>
  <si>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</si>
  <si>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</si>
  <si>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</si>
  <si>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</si>
  <si>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</si>
  <si>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</si>
  <si>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</si>
  <si>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</si>
  <si>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</si>
  <si>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</si>
  <si>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</si>
  <si>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</si>
  <si>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</si>
  <si>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</si>
  <si>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</si>
  <si>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</si>
  <si>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</si>
  <si>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</si>
  <si>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</si>
  <si>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</si>
  <si>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</si>
  <si>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</si>
  <si>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</si>
  <si>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</si>
  <si>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</si>
  <si>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</si>
  <si>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</si>
  <si>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</si>
  <si>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</si>
  <si>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</si>
  <si>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</si>
  <si>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</si>
  <si>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</si>
  <si>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</si>
  <si>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</si>
  <si>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</si>
  <si>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</si>
  <si>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</si>
  <si>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</si>
  <si>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</si>
  <si>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</si>
  <si>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</si>
  <si>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</si>
  <si>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</si>
  <si>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</si>
  <si>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</si>
  <si>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</si>
  <si>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</si>
  <si>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</si>
  <si>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</si>
  <si>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</si>
  <si>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</si>
  <si>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</si>
  <si>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</si>
  <si>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</si>
  <si>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</si>
  <si>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</si>
  <si>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</si>
  <si>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</si>
  <si>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</si>
  <si>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</si>
  <si>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</si>
  <si>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</si>
  <si>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</si>
  <si>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</si>
  <si>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</si>
  <si>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</si>
  <si>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</si>
  <si>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</si>
  <si>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</si>
  <si>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</si>
  <si>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</si>
  <si>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</si>
  <si>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</si>
  <si>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</si>
  <si>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</si>
  <si>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</si>
  <si>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</si>
  <si>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</si>
  <si>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</si>
  <si>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</si>
  <si>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</si>
  <si>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</si>
  <si>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</si>
  <si>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</si>
  <si>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</si>
  <si>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</si>
  <si>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</si>
  <si>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</si>
  <si>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</si>
  <si>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</si>
  <si>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</si>
  <si>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</si>
  <si>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</si>
  <si>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</si>
  <si>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</si>
  <si>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</si>
  <si>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</si>
  <si>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</si>
  <si>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</si>
  <si>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</si>
  <si>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</si>
  <si>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</si>
  <si>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</si>
  <si>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</si>
  <si>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</si>
  <si>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</si>
  <si>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</si>
  <si>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</si>
  <si>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</si>
  <si>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</si>
  <si>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</si>
  <si>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</si>
  <si>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</si>
  <si>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</si>
  <si>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</si>
  <si>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</si>
  <si>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</si>
  <si>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</si>
  <si>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</si>
  <si>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</si>
  <si>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</si>
  <si>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</si>
  <si>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</si>
  <si>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</si>
  <si>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</si>
  <si>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</si>
  <si>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</si>
  <si>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</si>
  <si>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</si>
  <si>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</si>
  <si>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</si>
  <si>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</si>
  <si>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</si>
  <si>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</si>
  <si>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</si>
  <si>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</si>
  <si>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</si>
  <si>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</si>
  <si>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</si>
  <si>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</si>
  <si>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</si>
  <si>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</si>
  <si>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</si>
  <si>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</si>
  <si>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</si>
  <si>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</si>
  <si>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</si>
  <si>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</si>
  <si>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</si>
  <si>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</si>
  <si>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</si>
  <si>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</si>
  <si>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</si>
  <si>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§10.4.2 / commit 9670918</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</si>
  <si>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</si>
  <si>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</si>
  <si>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</si>
  <si>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</si>
  <si>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</si>
  <si>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</si>
  <si>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</si>
  <si>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</si>
  <si>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</si>
  <si>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</si>
  <si>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</si>
  <si>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</si>
  <si>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</si>
  <si>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</si>
  <si>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</si>
  <si>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</si>
  <si>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</si>
  <si>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</si>
  <si>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</si>
  <si>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</si>
  <si>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</si>
  <si>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</si>
  <si>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</si>
  <si>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</si>
  <si>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</si>
  <si>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</si>
  <si>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</si>
  <si>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</si>
  <si>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</si>
  <si>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</si>
  <si>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</si>
  <si>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</si>
  <si>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</si>
  <si>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</si>
  <si>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</si>
  <si>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</si>
  <si>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</si>
  <si>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</si>
  <si>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</si>
  <si>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</si>
  <si>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</si>
  <si>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</si>
  <si>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</si>
  <si>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</si>
  <si>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</si>
  <si>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</si>
  <si>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</si>
  <si>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</si>
  <si>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</si>
  <si>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</si>
  <si>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</si>
  <si>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</si>
  <si>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</si>
  <si>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</si>
  <si>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</si>
  <si>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</si>
  <si>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</si>
  <si>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</si>
  <si>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</si>
  <si>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</si>
  <si>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</si>
  <si>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</si>
  <si>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</si>
  <si>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</si>
  <si>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</si>
  <si>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</si>
  <si>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</si>
  <si>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</si>
  <si>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</si>
  <si>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</si>
  <si>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</si>
  <si>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</si>
  <si>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</si>
  <si>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</si>
  <si>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</si>
  <si>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</si>
  <si>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</si>
  <si>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</si>
  <si>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</si>
  <si>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</si>
  <si>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</si>
  <si>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</si>
  <si>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</si>
  <si>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</si>
  <si>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</si>
  <si>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</si>
  <si>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</si>
  <si>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</si>
  <si>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</si>
  <si>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</si>
  <si>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</si>
  <si>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</si>
  <si>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</si>
  <si>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</si>
  <si>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</si>
  <si>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</si>
  <si>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</si>
  <si>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</si>
  <si>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</si>
  <si>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</si>
  <si>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</si>
  <si>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</si>
  <si>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</si>
  <si>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</si>
  <si>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</si>
  <si>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</si>
  <si>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</si>
  <si>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</si>
  <si>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</si>
  <si>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</si>
  <si>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</si>
  <si>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</si>
  <si>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</si>
  <si>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</si>
  <si>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</si>
  <si>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</si>
  <si>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</si>
  <si>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</si>
  <si>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</si>
  <si>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</si>
  <si>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</si>
  <si>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</si>
  <si>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</si>
  <si>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</si>
  <si>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</si>
  <si>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</si>
  <si>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</si>
  <si>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</si>
  <si>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</si>
  <si>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</si>
  <si>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</si>
  <si>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</si>
  <si>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</si>
  <si>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</si>
  <si>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</si>
  <si>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</si>
  <si>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</si>
  <si>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</si>
  <si>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</si>
  <si>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</si>
  <si>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</si>
  <si>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</si>
  <si>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</si>
  <si>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</si>
  <si>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</si>
  <si>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</si>
  <si>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</si>
  <si>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</si>
  <si>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</si>
  <si>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</si>
  <si>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</si>
  <si>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</si>
  <si>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</si>
  <si>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</si>
  <si>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</si>
  <si>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</si>
  <si>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</si>
  <si>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</si>
  <si>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</si>
  <si>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</si>
  <si>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</si>
  <si>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</si>
  <si>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</si>
  <si>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</si>
  <si>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</si>
  <si>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</si>
  <si>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</si>
  <si>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</si>
  <si>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</si>
  <si>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</si>
  <si>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</si>
  <si>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</si>
  <si>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</si>
  <si>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</si>
  <si>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</si>
  <si>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</si>
  <si>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</si>
  <si>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</si>
  <si>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</si>
  <si>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</si>
  <si>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</si>
  <si>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</si>
  <si>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</si>
  <si>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</si>
  <si>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</si>
  <si>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</si>
  <si>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</si>
  <si>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</si>
  <si>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</si>
  <si>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</si>
  <si>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</si>
  <si>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</si>
  <si>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</si>
  <si>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</si>
  <si>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</si>
  <si>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</si>
  <si>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</si>
  <si>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</si>
  <si>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</si>
  <si>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</si>
  <si>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</si>
  <si>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</si>
  <si>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</si>
  <si>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</si>
  <si>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</si>
  <si>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</si>
  <si>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</si>
  <si>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</si>
  <si>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</si>
  <si>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</si>
  <si>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</si>
  <si>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</si>
  <si>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</si>
  <si>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</si>
  <si>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</si>
  <si>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</si>
  <si>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</si>
  <si>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</si>
  <si>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</si>
  <si>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</si>
  <si>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</si>
  <si>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</si>
  <si>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</si>
  <si>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</si>
  <si>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</si>
  <si>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</si>
  <si>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</si>
  <si>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</si>
  <si>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</si>
  <si>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</si>
  <si>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</si>
  <si>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</si>
  <si>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</si>
  <si>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</si>
  <si>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</si>
  <si>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</si>
  <si>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</si>
  <si>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</si>
  <si>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</si>
  <si>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</si>
  <si>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</si>
  <si>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</si>
  <si>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</si>
  <si>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</si>
  <si>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</si>
  <si>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</si>
  <si>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</si>
  <si>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</si>
  <si>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</si>
  <si>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</si>
  <si>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</si>
  <si>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</si>
  <si>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</si>
  <si>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</si>
  <si>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</si>
  <si>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</si>
  <si>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</si>
  <si>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</si>
  <si>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</si>
  <si>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</si>
  <si>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</si>
  <si>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</si>
  <si>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</si>
  <si>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</si>
  <si>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</si>
  <si>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</si>
  <si>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</si>
  <si>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</si>
  <si>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</si>
  <si>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</si>
  <si>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</si>
  <si>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</si>
  <si>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</si>
  <si>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</si>
  <si>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</si>
  <si>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</si>
  <si>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</si>
  <si>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</si>
  <si>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</si>
  <si>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</si>
  <si>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</si>
  <si>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</si>
  <si>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</si>
  <si>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</si>
  <si>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</si>
  <si>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</si>
  <si>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</si>
  <si>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</si>
  <si>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</si>
  <si>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</si>
  <si>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</si>
  <si>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</si>
  <si>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</si>
  <si>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</si>
  <si>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</si>
  <si>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</si>
  <si>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</si>
  <si>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</si>
  <si>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</si>
  <si>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</si>
  <si>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</si>
  <si>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</si>
  <si>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</si>
  <si>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</si>
  <si>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</si>
  <si>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</si>
  <si>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</si>
  <si>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</si>
  <si>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</si>
  <si>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</si>
  <si>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</si>
  <si>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</si>
  <si>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</si>
  <si>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</si>
  <si>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</si>
  <si>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</si>
  <si>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</si>
  <si>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</si>
  <si>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</si>
  <si>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</si>
  <si>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</si>
  <si>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</si>
  <si>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</si>
  <si>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</si>
  <si>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</si>
  <si>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</si>
  <si>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</si>
  <si>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</si>
  <si>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</si>
  <si>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</si>
  <si>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</si>
  <si>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</si>
  <si>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</si>
  <si>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</si>
  <si>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</si>
  <si>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</si>
  <si>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</si>
  <si>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</si>
  <si>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</si>
  <si>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</si>
  <si>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</si>
  <si>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</si>
  <si>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</si>
  <si>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</si>
  <si>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</si>
  <si>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</si>
  <si>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</si>
  <si>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</si>
  <si>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</si>
  <si>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</si>
  <si>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</si>
  <si>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</si>
  <si>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</si>
  <si>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</si>
  <si>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</si>
  <si>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</si>
  <si>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</si>
  <si>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</si>
  <si>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</si>
  <si>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</si>
  <si>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</si>
  <si>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</si>
  <si>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</si>
  <si>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</si>
  <si>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</si>
  <si>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</si>
  <si>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</si>
  <si>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</si>
  <si>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</si>
  <si>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</si>
  <si>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</si>
  <si>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</si>
  <si>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</si>
  <si>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</si>
  <si>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</si>
  <si>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</si>
  <si>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</si>
  <si>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</si>
  <si>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</si>
  <si>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</si>
  <si>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</si>
  <si>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</si>
  <si>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</si>
  <si>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</si>
  <si>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</si>
  <si>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</si>
  <si>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</si>
  <si>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</si>
  <si>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</si>
  <si>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</si>
  <si>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</si>
  <si>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</si>
  <si>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</si>
  <si>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</si>
  <si>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</si>
  <si>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</si>
  <si>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</si>
  <si>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</si>
  <si>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</si>
  <si>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</si>
  <si>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</si>
  <si>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</si>
  <si>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</si>
  <si>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</si>
  <si>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</si>
  <si>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</si>
  <si>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</si>
  <si>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</si>
  <si>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</si>
  <si>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</si>
  <si>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</si>
  <si>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</si>
  <si>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</si>
  <si>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</si>
  <si>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</si>
  <si>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</si>
  <si>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</si>
  <si>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</si>
  <si>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</si>
  <si>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</si>
  <si>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</si>
  <si>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</si>
  <si>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</si>
  <si>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</si>
  <si>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</si>
  <si>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</si>
  <si>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</si>
  <si>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</si>
  <si>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</si>
  <si>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</si>
  <si>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</si>
  <si>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</si>
  <si>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</si>
  <si>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</si>
  <si>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</si>
  <si>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</si>
  <si>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</si>
  <si>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</si>
  <si>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</si>
  <si>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</si>
  <si>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</si>
  <si>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</si>
  <si>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</si>
  <si>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</si>
  <si>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</si>
  <si>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</si>
  <si>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</si>
  <si>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</si>
  <si>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</si>
  <si>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</si>
  <si>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</si>
  <si>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</si>
  <si>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</si>
  <si>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</si>
  <si>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</si>
  <si>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</si>
  <si>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</si>
  <si>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</si>
  <si>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</si>
  <si>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</si>
  <si>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</si>
  <si>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</si>
  <si>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</si>
  <si>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</si>
  <si>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</si>
  <si>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</si>
  <si>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</si>
  <si>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</si>
  <si>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</si>
  <si>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</si>
  <si>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</si>
  <si>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</si>
  <si>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</si>
  <si>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</si>
  <si>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</si>
  <si>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</si>
  <si>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</si>
  <si>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</si>
  <si>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</si>
  <si>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</si>
  <si>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</si>
  <si>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</si>
  <si>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</si>
  <si>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</si>
  <si>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</si>
  <si>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</si>
  <si>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</si>
  <si>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</si>
  <si>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</si>
  <si>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</si>
  <si>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</si>
  <si>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</si>
  <si>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</si>
  <si>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</si>
  <si>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</si>
  <si>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</si>
  <si>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</si>
  <si>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</si>
  <si>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</si>
  <si>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</si>
  <si>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</si>
  <si>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</si>
  <si>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</si>
  <si>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</si>
  <si>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</si>
  <si>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</si>
  <si>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</si>
  <si>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</si>
  <si>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</si>
  <si>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</si>
  <si>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</si>
  <si>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</si>
  <si>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</si>
  <si>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</si>
  <si>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</si>
  <si>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</si>
  <si>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</si>
  <si>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</si>
  <si>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</si>
  <si>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</si>
  <si>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</si>
  <si>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</si>
  <si>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</si>
  <si>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</si>
  <si>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</si>
  <si>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</si>
  <si>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</si>
  <si>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</si>
  <si>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</si>
  <si>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</si>
  <si>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</si>
  <si>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</si>
  <si>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</si>
  <si>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</si>
  <si>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</si>
  <si>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</si>
  <si>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</si>
  <si>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</si>
  <si>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</si>
  <si>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</si>
  <si>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</si>
  <si>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</si>
  <si>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</si>
  <si>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3"/>
  </si>
  <si>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3"/>
  </si>
  <si>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</si>
  <si>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3"/>
  </si>
  <si>
    <t>【(a) 所要日数】A) 1営業日以内【弊社の推奨・現行の暫定値】　B) 3〜5営業日でよい　C) 数時間以内（即日）が必要
【(b) 追加頻度】A) 具体的な社数をご記入ください（例: 月5社）　B) 概算（〜5社／〜20社／〜50社／それ以上）　C) 未確定</t>
    <phoneticPr fontId="3"/>
  </si>
  <si>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</si>
  <si>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</si>
  <si>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</si>
  <si>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</si>
  <si>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</si>
  <si>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</si>
  <si>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</si>
  <si>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</si>
  <si>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</si>
  <si>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</si>
  <si>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</si>
  <si>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</si>
  <si>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</si>
  <si>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</si>
  <si>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</si>
  <si>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</si>
  <si>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</si>
  <si>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</si>
  <si>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</si>
  <si>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</si>
  <si>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</si>
  <si>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</si>
  <si>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</si>
  <si>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</si>
  <si>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</si>
  <si>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</si>
  <si>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</si>
  <si>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</si>
  <si>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</si>
  <si>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</si>
  <si>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</si>
  <si>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</si>
  <si>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</si>
  <si>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</si>
  <si>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</si>
  <si>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</si>
  <si>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</si>
  <si>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</si>
  <si>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</si>
  <si>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</si>
  <si>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</si>
  <si>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</si>
  <si>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</si>
  <si>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</si>
  <si>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</si>
  <si>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</si>
  <si>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</si>
  <si>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</si>
  <si>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</si>
  <si>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</si>
  <si>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</si>
  <si>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</si>
  <si>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</si>
  <si>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</si>
  <si>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</si>
  <si>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</si>
  <si>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</si>
  <si>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</si>
  <si>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</si>
  <si>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</si>
  <si>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</si>
  <si>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</si>
  <si>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</si>
  <si>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</si>
  <si>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</si>
  <si>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</si>
  <si>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</si>
  <si>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</si>
  <si>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</si>
  <si>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</si>
  <si>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</si>
  <si>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</si>
  <si>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</si>
  <si>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</si>
  <si>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</si>
  <si>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</si>
  <si>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</si>
  <si>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</si>
  <si>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</si>
  <si>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</si>
  <si>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</si>
  <si>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</si>
  <si>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</si>
  <si>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</si>
  <si>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</si>
  <si>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</si>
  <si>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</si>
  <si>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</si>
  <si>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</si>
  <si>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</si>
  <si>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</si>
  <si>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</si>
  <si>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</si>
  <si>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</si>
  <si>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</si>
  <si>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</si>
  <si>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</si>
  <si>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</si>
  <si>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</si>
  <si>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</si>
  <si>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</si>
  <si>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</si>
  <si>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</si>
  <si>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</si>
  <si>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</si>
  <si>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</si>
  <si>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</si>
  <si>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</si>
  <si>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</si>
  <si>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</si>
  <si>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</si>
  <si>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</si>
  <si>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</si>
  <si>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</si>
  <si>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</si>
  <si>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</si>
  <si>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</si>
  <si>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</si>
  <si>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</si>
  <si>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</si>
  <si>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</si>
  <si>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</si>
  <si>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</si>
  <si>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</si>
  <si>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</si>
  <si>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</si>
  <si>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</si>
  <si>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</si>
  <si>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</si>
  <si>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</si>
  <si>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</si>
  <si>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</si>
  <si>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</si>
  <si>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</si>
  <si>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</si>
  <si>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</si>
  <si>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</si>
  <si>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</si>
  <si>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</si>
  <si>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</si>
  <si>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</si>
  <si>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</si>
  <si>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</si>
  <si>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</si>
  <si>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</si>
  <si>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</si>
  <si>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</si>
  <si>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</si>
  <si>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3"/>
  </si>
  <si>
    <t>D-U8-15。案③は待機系が常時TLSを張るため事前作成が必須。案①②は被災時に新規作成（信頼ストア再配布が必要）</t>
    <phoneticPr fontId="3"/>
  </si>
  <si>
    <t>CA 1台</t>
    <phoneticPr fontId="3"/>
  </si>
  <si>
    <t>CA・月</t>
    <phoneticPr fontId="3"/>
  </si>
  <si>
    <t>APP</t>
    <phoneticPr fontId="3"/>
  </si>
  <si>
    <t>EventBridge カスタムバス＋イベント複製（予備地域）</t>
    <phoneticPr fontId="3"/>
  </si>
  <si>
    <t>D-U8-15。Global Endpointsは両リージョンに同名バスの事前作成が前提。バス自体とGlobal Endpointsは無料、複製のみ課金</t>
    <phoneticPr fontId="3"/>
  </si>
  <si>
    <t>複製イベント件数</t>
    <phoneticPr fontId="3"/>
  </si>
  <si>
    <t>イベント</t>
    <phoneticPr fontId="3"/>
  </si>
  <si>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</si>
  <si>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</si>
  <si>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</si>
  <si>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</si>
  <si>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</si>
  <si>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</si>
  <si>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</si>
  <si>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</si>
  <si>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</si>
  <si>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</si>
  <si>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</si>
  <si>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</si>
  <si>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</si>
  <si>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</si>
  <si>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</si>
  <si>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</si>
  <si>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</si>
  <si>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</si>
  <si>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</si>
  <si>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</si>
  <si>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</si>
  <si>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</si>
  <si>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</si>
  <si>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</si>
  <si>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</si>
  <si>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</si>
  <si>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</si>
  <si>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</si>
  <si>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</si>
  <si>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</si>
  <si>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</si>
  <si>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</si>
  <si>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</si>
  <si>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</si>
  <si>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</si>
  <si>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</si>
  <si>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</si>
  <si>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</si>
  <si>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</si>
  <si>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</si>
  <si>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</si>
  <si>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</si>
  <si>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</si>
  <si>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</si>
  <si>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</si>
  <si>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</si>
  <si>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</si>
  <si>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</si>
  <si>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</si>
  <si>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</si>
  <si>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</si>
  <si>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</si>
  <si>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</si>
  <si>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</si>
  <si>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</si>
  <si>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</si>
  <si>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</si>
  <si>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</si>
  <si>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</si>
  <si>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</si>
  <si>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</si>
  <si>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</si>
  <si>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</si>
  <si>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</si>
  <si>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</si>
  <si>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</si>
  <si>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</si>
  <si>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</si>
  <si>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</si>
  <si>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</si>
  <si>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</si>
  <si>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</si>
  <si>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</si>
  <si>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</si>
  <si>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</si>
  <si>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</si>
  <si>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</si>
  <si>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</si>
  <si>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</si>
  <si>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</si>
  <si>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</si>
  <si>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</si>
  <si>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</si>
  <si>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</si>
  <si>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</si>
  <si>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</si>
  <si>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</si>
  <si>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</si>
  <si>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</si>
  <si>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</si>
  <si>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</si>
  <si>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</si>
  <si>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</si>
  <si>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</si>
  <si>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</si>
  <si>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</si>
  <si>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</si>
  <si>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</si>
  <si>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</si>
  <si>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</si>
  <si>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</si>
  <si>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</si>
  <si>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</si>
  <si>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</si>
  <si>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</si>
  <si>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</si>
  <si>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</si>
  <si>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</si>
  <si>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</si>
  <si>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</si>
  <si>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</si>
  <si>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</si>
  <si>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</si>
  <si>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</si>
  <si>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</si>
  <si>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</si>
  <si>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</si>
  <si>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</si>
  <si>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</si>
  <si>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</si>
  <si>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</si>
  <si>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</si>
  <si>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</si>
  <si>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</si>
  <si>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</si>
  <si>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</si>
  <si>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</si>
  <si>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</si>
  <si>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</si>
  <si>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</si>
  <si>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</si>
  <si>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</si>
  <si>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</si>
  <si>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</si>
  <si>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</si>
  <si>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</si>
  <si>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</si>
  <si>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</si>
  <si>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</si>
  <si>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</si>
  <si>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</si>
  <si>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</si>
  <si>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</si>
  <si>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</si>
  <si>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</si>
  <si>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</si>
  <si>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</si>
  <si>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</si>
  <si>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</si>
  <si>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</si>
  <si>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</si>
  <si>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</si>
  <si>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</si>
  <si>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</si>
  <si>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</si>
  <si>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</si>
  <si>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</si>
  <si>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</si>
  <si>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</si>
  <si>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</si>
  <si>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</si>
  <si>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</si>
  <si>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</si>
  <si>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</si>
  <si>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</si>
  <si>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</si>
  <si>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</si>
  <si>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</si>
  <si>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</si>
  <si>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</si>
  <si>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</si>
  <si>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</si>
  <si>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</si>
  <si>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</si>
  <si>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</si>
  <si>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</si>
  <si>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</si>
  <si>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</si>
  <si>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</si>
  <si>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</si>
  <si>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</si>
  <si>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</si>
  <si>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</si>
  <si>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</si>
  <si>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</si>
  <si>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</si>
  <si>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</si>
  <si>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</si>
  <si>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</si>
  <si>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</si>
  <si>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</si>
  <si>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</si>
  <si>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</si>
  <si>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</si>
  <si>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</si>
  <si>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</si>
  <si>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</si>
  <si>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</si>
  <si>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</si>
  <si>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</si>
  <si>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</si>
  <si>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</si>
  <si>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</si>
  <si>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</si>
  <si>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</si>
  <si>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</si>
  <si>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</si>
  <si>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</si>
  <si>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</si>
  <si>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</si>
  <si>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</si>
  <si>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</si>
  <si>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</si>
  <si>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</si>
  <si>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</si>
  <si>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</si>
  <si>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</si>
  <si>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</si>
  <si>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</si>
  <si>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</si>
  <si>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</si>
  <si>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</si>
  <si>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</si>
  <si>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</si>
  <si>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</si>
  <si>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</si>
  <si>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</si>
  <si>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</si>
  <si>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</si>
  <si>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</si>
  <si>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</si>
  <si>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</si>
  <si>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</si>
  <si>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</si>
  <si>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</si>
  <si>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</si>
  <si>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</si>
  <si>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</si>
  <si>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</si>
  <si>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</si>
  <si>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</si>
  <si>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</si>
  <si>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</si>
  <si>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</si>
  <si>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</si>
  <si>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</si>
  <si>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</si>
  <si>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</si>
  <si>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</si>
  <si>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</si>
  <si>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</si>
  <si>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</si>
  <si>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</si>
  <si>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</si>
  <si>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</si>
  <si>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</si>
  <si>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</si>
  <si>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</si>
  <si>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</si>
  <si>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</si>
  <si>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</si>
  <si>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</si>
  <si>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</si>
  <si>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</si>
  <si>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</si>
  <si>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</si>
  <si>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</si>
  <si>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</si>
  <si>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</si>
  <si>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</si>
  <si>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</si>
  <si>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</si>
  <si>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</si>
  <si>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</si>
  <si>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</si>
  <si>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</si>
  <si>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</si>
  <si>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</si>
  <si>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</si>
  <si>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</si>
  <si>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</si>
  <si>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</si>
  <si>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</si>
  <si>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</si>
  <si>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</si>
  <si>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</si>
  <si>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</si>
  <si>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</si>
  <si>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</si>
  <si>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</si>
  <si>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</si>
  <si>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</si>
  <si>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</si>
  <si>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</si>
  <si>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</si>
  <si>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</si>
  <si>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</si>
  <si>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</si>
  <si>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</si>
  <si>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</si>
  <si>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</si>
  <si>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</si>
  <si>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</si>
  <si>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</si>
  <si>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</si>
  <si>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</si>
  <si>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</si>
  <si>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</si>
  <si>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</si>
  <si>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</si>
  <si>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</si>
  <si>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</si>
  <si>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</si>
  <si>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</si>
  <si>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</si>
  <si>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</si>
  <si>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</si>
  <si>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</si>
  <si>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</si>
  <si>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</si>
  <si>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</si>
  <si>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</si>
  <si>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</si>
  <si>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</si>
  <si>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</si>
  <si>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</si>
  <si>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</si>
  <si>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</si>
  <si>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</si>
  <si>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</si>
  <si>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</si>
  <si>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</si>
  <si>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</si>
  <si>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</si>
  <si>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</si>
  <si>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</si>
  <si>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</si>
  <si>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</si>
  <si>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</si>
  <si>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</si>
  <si>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</si>
  <si>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</si>
  <si>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</si>
  <si>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</si>
  <si>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</si>
  <si>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</si>
  <si>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</si>
  <si>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</si>
  <si>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</si>
  <si>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</si>
  <si>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</si>
  <si>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</si>
  <si>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</si>
  <si>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</si>
  <si>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</si>
  <si>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</si>
  <si>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</si>
  <si>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</si>
  <si>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</si>
  <si>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</si>
  <si>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</si>
  <si>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</si>
  <si>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</si>
  <si>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</si>
  <si>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</si>
  <si>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</si>
  <si>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</si>
  <si>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</si>
  <si>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</si>
  <si>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</si>
  <si>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</si>
  <si>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</si>
  <si>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</si>
  <si>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</si>
  <si>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</si>
  <si>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</si>
  <si>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</si>
  <si>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</si>
  <si>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</si>
  <si>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</si>
  <si>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</si>
  <si>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</si>
  <si>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</si>
  <si>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</si>
  <si>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</si>
  <si>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</si>
  <si>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</si>
  <si>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</si>
  <si>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</si>
  <si>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</si>
  <si>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</si>
  <si>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</si>
  <si>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</si>
  <si>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</si>
  <si>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</si>
  <si>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</si>
  <si>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</si>
  <si>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</si>
  <si>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</si>
  <si>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</si>
  <si>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</si>
  <si>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</si>
  <si>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</si>
  <si>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</si>
  <si>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</si>
  <si>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</si>
  <si>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</si>
  <si>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</si>
  <si>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</si>
  <si>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</si>
  <si>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</si>
  <si>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</si>
  <si>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</si>
  <si>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</si>
  <si>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</si>
  <si>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</si>
  <si>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</si>
  <si>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</si>
  <si>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</si>
  <si>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</si>
  <si>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</si>
  <si>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</si>
  <si>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</si>
  <si>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</si>
  <si>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</si>
  <si>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</si>
  <si>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</si>
  <si>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</si>
  <si>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</si>
  <si>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</si>
  <si>
    <t>転記状況</t>
  </si>
  <si>
    <t>進捗一覧のID</t>
  </si>
  <si>
    <t>権限取得APIの必須化（全アプリ）</t>
  </si>
  <si>
    <t>ログイン直後に権限取得API（/api/me/context）を全アプリが必ず呼ぶことにできるか</t>
  </si>
  <si>
    <t>案Y（事前登録して初回アクセス時に紐づける方式）の成立条件そのもの。このAPIの初回呼び出しをきっかけに利用者と権限を結びつけるため、呼ばないアプリが1本でもあると、そのアプリの利用者だけ権限が付かない。画面を持たないバッチ的なアプリが該当しうる</t>
  </si>
  <si>
    <t>アプリチームに全アプリでの必須化の可否を確認する。呼ばないアプリがある場合は例外扱いにできるかも併せて判断し、不可なら現行のEventBridge方式に戻す</t>
  </si>
  <si>
    <t>【なぜ聞くか】案Yの成立条件そのもの。1本でも呼ばないアプリがあると、そのアプリの利用者だけ権限が付かないため
【質問】ログイン直後に、権限を取得するAPI（/api/me/context）を必ず呼んでいただけますか。呼べないアプリはありますか。
【選択肢】
① 全アプリで必ず呼べる
② 呼べないアプリがある（アプリ名と本数をご記入ください）
③ 未確定</t>
  </si>
  <si>
    <t>権限の紐づけ方式（案Y）の成立条件</t>
  </si>
  <si>
    <t>2026-08-19 QA(方式検討)から転記。判定はQAシートのI列で管理</t>
  </si>
  <si>
    <t>QA方式検討</t>
  </si>
  <si>
    <t>doc/requirements/qa-binding-2026-08-19.tsv</t>
  </si>
  <si>
    <t>通行証への識別子2つの追加</t>
  </si>
  <si>
    <t>通行証（JWT）に所属企業の識別子と利用者の識別子を追加できるか</t>
  </si>
  <si>
    <t>案Yでは事前登録した権限と結びつけるため tenant_id と user_name を通行証に追加する。user_name はメールアドレスではなく社員番号などの内部ID（個人情報を通行証に載せない方針のため）。ADR-030（最小クレーム設計）の変更を伴う</t>
  </si>
  <si>
    <t>アプリチームにサイズ増加とログ出力の観点で支障がないか確認する。受け入れられない場合、またはuser_nameにメールしか使えない場合は突合キーが無く案Yが成立しない</t>
  </si>
  <si>
    <t>【なぜ聞くか】クレーム追加はADR-030（最小クレーム設計）の変更を伴い、アプリ側の受入可否が前提になるため
【質問】通行証（JWT）に「所属企業の識別子」と「利用者の識別子」を追加します。アプリ側で支障はありますか。
【選択肢】
① 支障なし
② 支障あり（内容をご記入ください）
③ user_nameにメールアドレスしか使えない
④ 未確定</t>
  </si>
  <si>
    <t>未登録者がログインしたときのアプリの振る舞い</t>
  </si>
  <si>
    <t>事前登録されていない人がログインしたとき、アプリ側でどう振る舞うか</t>
  </si>
  <si>
    <t>案Yでは管理者が事前に登録した人だけが権限を持つため、未登録者は権限ゼロの状態になる。①エラー画面 ②権限申請の案内 ③そもそもログインさせない のいずれを想定するかで、問い合わせの受け皿を誰が持つかが決まる。※方式の判定に関係なく運用設計に必要</t>
  </si>
  <si>
    <t>アプリチームに想定する振る舞いを確認し、運用手順書と案内文へ反映する</t>
  </si>
  <si>
    <t>【なぜ聞くか】「ログインできたのに使えない」問い合わせの受け皿を誰が持つかが決まらないため
【質問】事前登録されていない方がログインしてきた場合、アプリはどう振る舞いますか。
【選択肢】
① エラー画面を出す
② 権限申請の案内を出す
③ そもそもログインさせない
④ 未確定</t>
  </si>
  <si>
    <t>2026-08-19 QA(方式検討)から転記。方式の判定に関係なく必要</t>
  </si>
  <si>
    <t>アプリ側での利用者特定キー</t>
  </si>
  <si>
    <t>アプリ側が内部番号（sub）以外で利用者を特定している箇所があるか</t>
  </si>
  <si>
    <t>案Yでは初回の1回だけ利用者の識別子で突合し、以降は内部番号（sub）で引く。アプリ側が社員番号やメールアドレスで利用者を特定している箇所があると、改名や再入社のときに権限や履歴が切れる。※案Yに限らず現行方式でも問題になる</t>
  </si>
  <si>
    <t>アプリチームに可変キーへの依存箇所を洗い出してもらう。該当があれば内部番号（sub）への移行を計画する</t>
  </si>
  <si>
    <t>【なぜ聞くか】アプリ側に可変キー依存が残っていると、改名時に権限や履歴が切れるため
【質問】アプリ側で利用者を特定するとき、内部番号（sub）以外を使っている箇所はありますか。
【選択肢】
① ない（すべてsubで特定）
② ある（箇所と使用しているキーをご記入ください）
③ 未確定</t>
  </si>
  <si>
    <t>利用者識別子の使い回し禁止の契約明記</t>
  </si>
  <si>
    <t>社員番号などの識別子を、退職者の分も含めて二度と使い回さないことを契約に明記できるか</t>
  </si>
  <si>
    <t>案Yではこの識別子で事前登録と実際のログインを突き合わせる。退職者の識別子が新入社員に再割当されると前任者の権限をそのまま引き継いでしまう。記録は7年保持し物理削除もしないため「削除すれば衝突しない」という解決はできない。契約で義務付けたうえで、基盤側でも使用済み識別子を記録して再登録を拒否する仕組みを入れる想定</t>
  </si>
  <si>
    <t>事業側に契約への明記可否を確認する。義務付けられない場合は拒否機構だけでは顧客側の運用を止められず、案Yのリスクが受容できないため現行方式に戻す</t>
  </si>
  <si>
    <t>【なぜ聞くか】識別子の再割当は「正規のログインなのに他人の権限が付く」事故で、しかも気づきにくいため
【質問】利用者の識別子（社員番号など）を、退職者の分も含めて二度と使い回さないことを、お客様との契約に明記できますか。
【選択肢】
① 明記できる
② 努力義務としてなら書ける
③ 明記できない
④ 未確定
【補足】記録は7年保持し物理削除もしないため、削除による衝突回避はできません。</t>
  </si>
  <si>
    <t>2026-08-19 QA(方式検討)から転記。方式の判定に関係なく契約条項として必要</t>
  </si>
  <si>
    <t>管理画面からの事前登録を標準運用にできるか</t>
  </si>
  <si>
    <t>利用者の追加を、テナント管理者が管理画面から登録する運用を標準にできるか</t>
  </si>
  <si>
    <t>案Yはログインより先に管理画面で利用者を登録しておくことが前提。テナント管理者が画面から追加する運用なら最初の1人を除いて全員この形に乗る（名簿や自動同期は不要）。一方「ログイン基盤にいる人は全員そのまま入れてよい」という運用を望む顧客には向かない。テナント別に選べるようにすれば併存は弱点ではなく選択肢になる</t>
  </si>
  <si>
    <t>事業側にどちらを標準とするか、顧客ごとに選べるようにすべきかを確認する。※質問状Q86（自動登録された利用者の初期権限）と実質同じ判断のため、顧客へ出す際はQ86とどちらか一方にすること</t>
  </si>
  <si>
    <t>【なぜ聞くか】権限を個別に付ける運用なら事前登録は追加負担ゼロだが、全員一律アクセスの運用なら純増になるため
【質問】利用者の追加は、テナント管理者が管理画面から登録する運用を標準にできますか。
【選択肢】
① 事前登録を標準にする
② ログイン基盤にいる人は全員入れてよい（自動登録を標準にする）
③ お客様ごとに選べるようにする
④ 未確定
【補足】質問状Q86と統合を検討中。顧客へ出す際はどちらか一方にしてください。</t>
  </si>
  <si>
    <t>2026-08-19 QA(方式検討)から転記。Q86と統合を検討中</t>
  </si>
  <si>
    <t>△ 重複検討中：質問状Q86（B-401-2／自動登録された利用者の初期権限）と実質同じ判断。顧客へ出す際はどちらか一方にすること（2026-08-19）</t>
  </si>
  <si>
    <t>テナント最初の管理者の登録手順</t>
  </si>
  <si>
    <t>お客様の最初の管理者をどのように登録するか</t>
  </si>
  <si>
    <t>事前登録の運用では、最初の1人を登録する人がまだ存在しないという順序の問題がある。基盤側が手作業でデータベースに登録する想定だが、誰が・どの承認を経て・どう記録に残すかを決める必要がある。手作業は監査で必ず問われる。※方式の判定に関係なくどちらの方式でも必要</t>
  </si>
  <si>
    <t>事業側と運用リードで承認フローと記録方法を決め、テナント開始手順書（RB-TEN-01）に反映する</t>
  </si>
  <si>
    <t>【なぜ聞くか】初期構築の手順に穴があり、手作業は監査で必ず問われるため
【質問】お客様の最初の管理者は、どのように登録しますか。
【選択肢】
① 弊社が手作業で登録（承認者と記録方法をご指定ください）
② お客様側で初期登録できる仕組みを用意する
③ 未確定</t>
  </si>
  <si>
    <t>転記済み</t>
  </si>
  <si>
    <t>転記運用: 本シートの7件はすべて進捗一覧へ転記済み（同一IDで参照）。判定（I列）を確定させたら、進捗一覧側の状況と決定内容も更新すること</t>
  </si>
  <si>
    <t>G-SRE-LogVis: 保守要員のログ閲覧対策の実機確認</t>
  </si>
  <si>
    <t>Red Hat保守要員のログ閲覧経路（Approved Access）を有効化し、閲覧の記録を自社側で取得できることを実機で確認する</t>
  </si>
  <si>
    <t>ADR-056の採用条件④（Approved Access有効化と保守要員のログ閲覧対策の実機確認）。残ブロッカーG-DPAの技術的裏付けで、質問状Q50・RH照会RH-D-01/RH-D-02と連動する。確認できなければ基盤構成そのものの再検討になりうる</t>
  </si>
  <si>
    <t>Red Hat照会（RH-D-01: 閲覧経路とApproved Accessの範囲／RH-D-02: 閲覧記録が自社取得できる監査ログに残るか）の回答を受けて実機確認を計画する</t>
  </si>
  <si>
    <t>ADR-056 採用条件④</t>
  </si>
  <si>
    <t>G-SRE-LogVis</t>
  </si>
  <si>
    <t>2026-08-19 00a v2指示で行として追加（従前は言及のみで独立行なし）</t>
  </si>
  <si>
    <t>ADR-056 §L7 / RH照会 RH-D-01・RH-D-02</t>
  </si>
  <si>
    <t>B-SRE-LOG-1: 保守要員が生ログを読む経路の確認</t>
  </si>
  <si>
    <t>oc logs / oc debug node など、Red Hat保守要員がワーカーノード上の生ログへ到達できる経路がどこまであるか</t>
  </si>
  <si>
    <t>APPI 28条（外国第三者提供）の判断根拠。緊急時のみか通常保守も含むのかで、公表文書と契約の書き方が変わる。RH照会RH-D-01として先方へ提示済み</t>
  </si>
  <si>
    <t>RH照会（RH-D-01）の回答を待つ。回答を受けてG-DPAの法務判断とU7 §7.7の公表文書文面に反映する</t>
  </si>
  <si>
    <t>hearing B-SRE-LOG</t>
  </si>
  <si>
    <t>B-SRE-LOG-1</t>
  </si>
  <si>
    <t>2026-08-19 00a v2指示で行として追加</t>
  </si>
  <si>
    <t>hearing-checklist / RH照会 RH-D-01</t>
  </si>
  <si>
    <t>B-SRE-LOG-2: 保守要員のログ参照記録の取得可否</t>
  </si>
  <si>
    <t>保守要員がログを参照した記録が、自社で取得・保全できる監査ログに残るか</t>
  </si>
  <si>
    <t>顧客監査で「誰がいつデータを見たか」を示す必要があり、これが取得できないと顧客監査に応えられない。RH照会RH-D-02として先方へ提示済み</t>
  </si>
  <si>
    <t>RH照会（RH-D-02）の回答を待つ。取得できる場合はどの仕組み（Cluster Logging等）かを確認し、監査ログの集約設計（D-U9-01/05）へ反映する</t>
  </si>
  <si>
    <t>B-SRE-LOG-2</t>
  </si>
  <si>
    <t>hearing-checklist / RH照会 RH-D-02</t>
  </si>
  <si>
    <t>G-SSF: 失効イベント配信（SSF/CAEP）の検証ゲート</t>
  </si>
  <si>
    <t>通行証の取り消しを受け取り側へ数秒で伝える標準の仕組み（Shared Signals Framework / CAEP）を、どの段階でどこまで検証するか</t>
  </si>
  <si>
    <t>従前は「旧ゲート。B-CAEP-1へ統合済み」と記録されていたが、00a v2の指示で独立行として再掲。失効の残余時間（最大30分）を縮める3段階の導入計画（ADR-065）と連動する</t>
  </si>
  <si>
    <t>00a v2の§2該当節が取得でき次第、定義と人日を差し替える。当面はB-CAEP-1（顧客への説明資料）と対で管理する</t>
  </si>
  <si>
    <t>ADR-065 / B-CAEP-1</t>
  </si>
  <si>
    <t>2026-08-19 00a v2指示で行として追加（旧ゲート・B-CAEP-1統合済みの扱いから再掲）</t>
  </si>
  <si>
    <t>ADR-065 / U5</t>
  </si>
  <si>
    <t>△ 定義確認要：00a v2が未取得のため、本行の定義・人日はv2到着後に差し替えること（2026-08-19）</t>
  </si>
  <si>
    <t>2026-08-19 00a v2で解消（完了）</t>
  </si>
  <si>
    <t>A-1.7</t>
  </si>
  <si>
    <t>A-2.1</t>
  </si>
  <si>
    <t>A-2.2</t>
  </si>
  <si>
    <t>A-2.3</t>
  </si>
  <si>
    <t>A-2.4</t>
  </si>
  <si>
    <t>A-3.1</t>
  </si>
  <si>
    <t>A-3.2</t>
  </si>
  <si>
    <t>A-3.3</t>
  </si>
  <si>
    <t>廃止</t>
  </si>
  <si>
    <t>A-6.1</t>
  </si>
  <si>
    <t>A-6.2</t>
  </si>
  <si>
    <t>A-6.3</t>
  </si>
  <si>
    <t>A-6.4</t>
  </si>
  <si>
    <t>A-13</t>
  </si>
  <si>
    <t>A-14</t>
  </si>
  <si>
    <t>A-15</t>
  </si>
  <si>
    <t>B-1.1</t>
  </si>
  <si>
    <t>DR系のみ D-18.2</t>
  </si>
  <si>
    <t>B-1.2</t>
  </si>
  <si>
    <t>B-1.3</t>
  </si>
  <si>
    <t>B-2.1</t>
  </si>
  <si>
    <t>B-2.2</t>
  </si>
  <si>
    <t>社内NW</t>
  </si>
  <si>
    <t>B-4.1</t>
  </si>
  <si>
    <t>B-4.2</t>
  </si>
  <si>
    <t>D-18.2</t>
  </si>
  <si>
    <t>C-9</t>
  </si>
  <si>
    <t>D-19</t>
  </si>
  <si>
    <t>C-10</t>
  </si>
  <si>
    <t>B-APP-STEPUP-1暫定可</t>
  </si>
  <si>
    <t>完了（解消）</t>
  </si>
  <si>
    <t>D-9.1</t>
  </si>
  <si>
    <t>D-9.2</t>
  </si>
  <si>
    <t>D-16.1</t>
  </si>
  <si>
    <t>B-SN暫定可</t>
  </si>
  <si>
    <t>D-16.2</t>
  </si>
  <si>
    <t>D-16.3</t>
  </si>
  <si>
    <t>D-17.1</t>
  </si>
  <si>
    <t>D-17.2</t>
  </si>
  <si>
    <t>D-17.3</t>
  </si>
  <si>
    <t>D-17.4</t>
  </si>
  <si>
    <t>D-17.5</t>
  </si>
  <si>
    <t>D-17.1〜4</t>
  </si>
  <si>
    <t>D-18.1</t>
  </si>
  <si>
    <t>D-18.3</t>
  </si>
  <si>
    <t>D-18.4</t>
  </si>
  <si>
    <t>D-20</t>
  </si>
  <si>
    <t>E-1.1</t>
  </si>
  <si>
    <t>E-1.2</t>
  </si>
  <si>
    <t>E-1.3</t>
  </si>
  <si>
    <t>G-1.1</t>
  </si>
  <si>
    <t>G-1.2</t>
  </si>
  <si>
    <t>G-1.3</t>
  </si>
  <si>
    <t>G-1.4</t>
  </si>
  <si>
    <t>G-1.5</t>
  </si>
  <si>
    <t>G-1.6</t>
  </si>
  <si>
    <t>G-1.7</t>
  </si>
  <si>
    <t>G-1.8</t>
  </si>
  <si>
    <t>G-1.9</t>
  </si>
  <si>
    <t>G-1.10</t>
  </si>
  <si>
    <t>G-1.11</t>
  </si>
  <si>
    <t>G-4.1</t>
  </si>
  <si>
    <t>G-4.2</t>
  </si>
  <si>
    <t>分岐ID</t>
  </si>
  <si>
    <t>トリガー（〜の状態で〜の場合）</t>
  </si>
  <si>
    <t>追加作業</t>
  </si>
  <si>
    <t>C-A1</t>
  </si>
  <si>
    <t>C-A2</t>
  </si>
  <si>
    <t>C-A3</t>
  </si>
  <si>
    <t>C-A6</t>
  </si>
  <si>
    <t>C-A9</t>
  </si>
  <si>
    <t>C-A10</t>
  </si>
  <si>
    <t>C-A12</t>
  </si>
  <si>
    <t>C-B1</t>
  </si>
  <si>
    <t>該当箇所の設計再検討 + REQ再発行</t>
  </si>
  <si>
    <t>C-B2</t>
  </si>
  <si>
    <t>案A（NAT GW→NFW）へのegress再設計</t>
  </si>
  <si>
    <t>C-B3</t>
  </si>
  <si>
    <t>custom origin前提のSG/prefix list設計へ切替</t>
  </si>
  <si>
    <t>C-B4</t>
  </si>
  <si>
    <t>C-D18</t>
  </si>
  <si>
    <t>C-D19</t>
  </si>
  <si>
    <t>C-F1</t>
  </si>
  <si>
    <t>U7 FIPS 140-3対応設計（暗号モジュール・ROSA FIPSモード・影響全単元）</t>
  </si>
  <si>
    <t>C-F3</t>
  </si>
  <si>
    <t>HRD文言・識別子体系の部分再設計</t>
  </si>
  <si>
    <t>C-F4</t>
  </si>
  <si>
    <t>B-MIG系で移行方式変更（一括→段階等）が出た場合</t>
  </si>
  <si>
    <t>U10 §10.4 移行設計の再構成</t>
  </si>
  <si>
    <t>未顕在</t>
  </si>
  <si>
    <t>D-U9-21/22/23</t>
  </si>
  <si>
    <t>出典の小計</t>
  </si>
  <si>
    <t>条件付き（分岐プール）</t>
  </si>
  <si>
    <t>積み上げ</t>
  </si>
  <si>
    <t>H-B 機能設計</t>
  </si>
  <si>
    <t>H-C 画面設計</t>
  </si>
  <si>
    <t>H-D データ設計</t>
  </si>
  <si>
    <t>H-E IF設計</t>
  </si>
  <si>
    <t>H-F バッチ設計</t>
  </si>
  <si>
    <t>H-G 権限・監査</t>
  </si>
  <si>
    <t>H-H 運用補完</t>
  </si>
  <si>
    <t>H-I レビュー・合意</t>
  </si>
  <si>
    <t>トリガー（〜の場合）</t>
  </si>
  <si>
    <t>増分人日</t>
  </si>
  <si>
    <t>CH-1</t>
  </si>
  <si>
    <t>顧客/ステークホルダーレビューで大幅な指摘が出た場合</t>
  </si>
  <si>
    <t>設計書の再構成 + 再レビュー</t>
  </si>
  <si>
    <t>CH-2</t>
  </si>
  <si>
    <t>CH-3</t>
  </si>
  <si>
    <t>管理SPAの詳細化で画面数が増加した場合（32→50）</t>
  </si>
  <si>
    <t>画面仕様書の追加（18画面×0.5）</t>
  </si>
  <si>
    <t>CH-4</t>
  </si>
  <si>
    <t>要件定義の追加要求で機能追加が発生した場合</t>
  </si>
  <si>
    <t>機能・画面・IFの追加設計</t>
  </si>
  <si>
    <t>CH-5</t>
  </si>
  <si>
    <t>既存10冊を正式成果物として全面清書する方針になった場合</t>
  </si>
  <si>
    <t>体裁統一・章立て再編・図版差替</t>
  </si>
  <si>
    <t>DU-U6-14</t>
  </si>
  <si>
    <t>2-VPC分離（B案）のVPC-M構築</t>
  </si>
  <si>
    <t>🟡 P-17確定待ち</t>
  </si>
  <si>
    <t>v2.1（2026-08-26 新規）</t>
  </si>
  <si>
    <t>topology note 2026-08-18</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</si>
  <si>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</si>
  <si>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</si>
  <si>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</si>
  <si>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</si>
  <si>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</si>
  <si>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</si>
  <si>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</si>
  <si>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</si>
  <si>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</si>
  <si>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</si>
  <si>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</si>
  <si>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</si>
  <si>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</si>
  <si>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</si>
  <si>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</si>
  <si>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</si>
  <si>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</si>
  <si>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</si>
  <si>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</si>
  <si>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</si>
  <si>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</si>
  <si>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</si>
  <si>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</si>
  <si>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</si>
  <si>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</si>
  <si>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</si>
  <si>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</si>
  <si>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</si>
  <si>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</si>
  <si>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</si>
  <si>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</si>
  <si>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</si>
  <si>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</si>
  <si>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</si>
  <si>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</si>
  <si>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</si>
  <si>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</si>
  <si>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</si>
  <si>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</si>
  <si>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</si>
  <si>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</si>
  <si>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</si>
  <si>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</si>
  <si>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</si>
  <si>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</si>
  <si>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</si>
  <si>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</si>
  <si>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</si>
  <si>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</si>
  <si>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</si>
  <si>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</si>
  <si>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</si>
  <si>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</si>
  <si>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</si>
  <si>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</si>
  <si>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</si>
  <si>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</si>
  <si>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</si>
  <si>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</si>
  <si>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</si>
  <si>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</si>
  <si>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</si>
  <si>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</si>
  <si>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</si>
  <si>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</si>
  <si>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</si>
  <si>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</si>
  <si>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</si>
  <si>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</si>
  <si>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</si>
  <si>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</si>
  <si>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</si>
  <si>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</si>
  <si>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</si>
  <si>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</si>
  <si>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</si>
  <si>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</si>
  <si>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</si>
  <si>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</si>
  <si>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</si>
  <si>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</si>
  <si>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</si>
  <si>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</si>
  <si>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</si>
  <si>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</si>
  <si>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</si>
  <si>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</si>
  <si>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</si>
  <si>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</si>
  <si>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</si>
  <si>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</si>
  <si>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</si>
  <si>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</si>
  <si>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</si>
  <si>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</si>
  <si>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</si>
  <si>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</si>
  <si>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</si>
  <si>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</si>
  <si>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</si>
  <si>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</si>
  <si>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</si>
  <si>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</si>
  <si>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</si>
  <si>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 対象外</t>
  </si>
  <si>
    <t>🟡 条件付（CB-4）</t>
  </si>
  <si>
    <t>DU-U7-16</t>
  </si>
  <si>
    <t>SREライブログ対策（stdout PIIマスキング）</t>
  </si>
  <si>
    <t>2026-08-14 起票（§8集計に不在→v2.1で+10是正）</t>
  </si>
  <si>
    <t>research/rosa-sre-live-log-visibility-2026-08-14</t>
  </si>
  <si>
    <t>stdout PIIマスキング実装(禁則K-13) 4; Approved Access有効化 2; SREアクセス監査保全(CLO→CW) 4</t>
  </si>
  <si>
    <t>CB-1</t>
  </si>
  <si>
    <t>CB-2</t>
  </si>
  <si>
    <t>CB-3</t>
  </si>
  <si>
    <t>CB-4</t>
  </si>
  <si>
    <t>CB-5</t>
  </si>
  <si>
    <t>CB-6</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</si>
  <si>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</si>
  <si>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</si>
  <si>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</si>
  <si>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</si>
  <si>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</si>
  <si>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</si>
  <si>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</si>
  <si>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</si>
  <si>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</si>
  <si>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</si>
  <si>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</si>
  <si>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</si>
  <si>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</si>
  <si>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</si>
  <si>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</si>
  <si>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</si>
  <si>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</si>
  <si>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</si>
  <si>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</si>
  <si>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</si>
  <si>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</si>
  <si>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</si>
  <si>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</si>
  <si>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</si>
  <si>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</si>
  <si>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</si>
  <si>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</si>
  <si>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</si>
  <si>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</si>
  <si>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</si>
  <si>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</si>
  <si>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</si>
  <si>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</si>
  <si>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</si>
  <si>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</si>
  <si>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</si>
  <si>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</si>
  <si>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</si>
  <si>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</si>
  <si>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</si>
  <si>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</si>
  <si>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</si>
  <si>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</si>
  <si>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</si>
  <si>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</si>
  <si>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</si>
  <si>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</si>
  <si>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</si>
  <si>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</si>
  <si>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</si>
  <si>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</si>
  <si>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</si>
  <si>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</si>
  <si>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</si>
  <si>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</si>
  <si>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</si>
  <si>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</si>
  <si>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</si>
  <si>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</si>
  <si>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</si>
  <si>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</si>
  <si>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</si>
  <si>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</si>
  <si>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</si>
  <si>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</si>
  <si>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</si>
  <si>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</si>
  <si>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</si>
  <si>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</si>
  <si>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</si>
  <si>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</si>
  <si>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</si>
  <si>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</si>
  <si>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</si>
  <si>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</si>
  <si>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</si>
  <si>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</si>
  <si>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</si>
  <si>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WBS ④ テスト — ベース 421 人日（50項目・v2.1 精緻化版。区分I 共有基盤／J 異常系 を新設、内訳列Hを追加）</t>
  </si>
  <si>
    <t>出典: doc/basic-design/research/wbs-test-refinement-2026-08-26.md §3〜§6（旧: gap-audit §10 の43項目363人日）。数値のSSOTは出典側</t>
  </si>
  <si>
    <t>★従来「30項目」という記載は誤り（実数43→新規7追加で50項目）。スコープ＝フルスコープ（結合・E2E・実機・負荷・DR・セキュリティ・運用・受入・共有基盤・異常系）</t>
  </si>
  <si>
    <t>■ 区分別 小計</t>
  </si>
  <si>
    <t>■ テスト側 分岐プール CT-* — 出典: wbs-test-refinement §5。トリガー顕在時のみベースへ繰入れる。ベース421には含めない</t>
  </si>
  <si>
    <t>★設計 C-*／構築 CB-* とは別枠の三分割。二重計上しない</t>
  </si>
  <si>
    <t>CT-1</t>
  </si>
  <si>
    <t>pen test（SEC-01）でHigh以上の指摘が出た場合</t>
  </si>
  <si>
    <t>是正実装の再テスト + 再監査</t>
  </si>
  <si>
    <t>CT-2</t>
  </si>
  <si>
    <t>負荷試験（PT-01/02）で合格基準未達の場合</t>
  </si>
  <si>
    <t>チューニング後の再実測サイクル（2巡想定）</t>
  </si>
  <si>
    <t>CT-3</t>
  </si>
  <si>
    <t>D-18.2 で部分ウォームDRを決定した場合</t>
  </si>
  <si>
    <t>DR-01のシナリオ差替 + 常設構成の追加検証</t>
  </si>
  <si>
    <t>CT-4</t>
  </si>
  <si>
    <t>商用IdP／ServiceNow 実機環境が確保できない場合</t>
  </si>
  <si>
    <t>モック代替の構築 + 本番前の追い検証</t>
  </si>
  <si>
    <t>CT-5</t>
  </si>
  <si>
    <t>UATで業務要件の齟齬が判明した場合</t>
  </si>
  <si>
    <t>シナリオ再設計 + 追加受入</t>
  </si>
  <si>
    <t>CT-6</t>
  </si>
  <si>
    <t>P-17トポロジ変更が決定した場合（00a C-D19／構築CB-2 のテスト側）</t>
  </si>
  <si>
    <t>IT-08/DR系の再設計・再実施</t>
  </si>
  <si>
    <t>テスト側 条件付きプール 合計</t>
  </si>
  <si>
    <t>ベース421 + テスト側条件付き</t>
  </si>
  <si>
    <t>別シート「WBS(テスト)」に明細50項目。test-refinement で区分I 共有基盤／J 異常系 を新設し 363→421 に精緻化</t>
  </si>
  <si>
    <t>HA-01</t>
  </si>
  <si>
    <t>HA-02</t>
  </si>
  <si>
    <t>HA-03</t>
  </si>
  <si>
    <t>HA-04</t>
  </si>
  <si>
    <t>HA-05</t>
  </si>
  <si>
    <t>HA-06</t>
  </si>
  <si>
    <t>HA-07</t>
  </si>
  <si>
    <t>HA-08</t>
  </si>
  <si>
    <t>HA-09</t>
  </si>
  <si>
    <t>HA-10</t>
  </si>
  <si>
    <t>HA-11</t>
  </si>
  <si>
    <t>HA-12</t>
  </si>
  <si>
    <t>HA-13</t>
  </si>
  <si>
    <t>HA-14</t>
  </si>
  <si>
    <t>HA-15</t>
  </si>
  <si>
    <t>HA-16</t>
  </si>
  <si>
    <t>HA-17</t>
  </si>
  <si>
    <t>HA-18</t>
  </si>
  <si>
    <t>HA-19</t>
  </si>
  <si>
    <t>HA-20</t>
  </si>
  <si>
    <t>HA-21</t>
  </si>
  <si>
    <t>HA-22</t>
  </si>
  <si>
    <t>HA-23</t>
  </si>
  <si>
    <t>HA-24</t>
  </si>
  <si>
    <t>HA-25</t>
  </si>
  <si>
    <t>HA-26</t>
  </si>
  <si>
    <t>HA-27</t>
  </si>
  <si>
    <t>HB-01</t>
  </si>
  <si>
    <t>HB-08</t>
  </si>
  <si>
    <t>HB-09</t>
  </si>
  <si>
    <t>HB-10</t>
  </si>
  <si>
    <t>HB-11</t>
  </si>
  <si>
    <t>HB-12</t>
  </si>
  <si>
    <t>HB-13</t>
  </si>
  <si>
    <t>HB-14</t>
  </si>
  <si>
    <t>HB-15</t>
  </si>
  <si>
    <t>HB-16</t>
  </si>
  <si>
    <t>HB-17</t>
  </si>
  <si>
    <t>HB-18</t>
  </si>
  <si>
    <t>HB-19</t>
  </si>
  <si>
    <t>HB-20</t>
  </si>
  <si>
    <t>HB-21</t>
  </si>
  <si>
    <t>HB-22</t>
  </si>
  <si>
    <t>HC-01</t>
  </si>
  <si>
    <t>HC-02</t>
  </si>
  <si>
    <t>HC-05</t>
  </si>
  <si>
    <t>HC-06</t>
  </si>
  <si>
    <t>HC-07</t>
  </si>
  <si>
    <t>HC-08</t>
  </si>
  <si>
    <t>HC-10</t>
  </si>
  <si>
    <t>HC-11</t>
  </si>
  <si>
    <t>HD-01</t>
  </si>
  <si>
    <t>HD-02</t>
  </si>
  <si>
    <t>HD-03</t>
  </si>
  <si>
    <t>HD-04</t>
  </si>
  <si>
    <t>HD-05</t>
  </si>
  <si>
    <t>HD-06</t>
  </si>
  <si>
    <t>HD-07</t>
  </si>
  <si>
    <t>HD-08</t>
  </si>
  <si>
    <t>HD-09</t>
  </si>
  <si>
    <t>HD-10</t>
  </si>
  <si>
    <t>HD-11</t>
  </si>
  <si>
    <t>HD-12</t>
  </si>
  <si>
    <t>HD-13</t>
  </si>
  <si>
    <t>HD-14</t>
  </si>
  <si>
    <t>HE-01</t>
  </si>
  <si>
    <t>HE-02</t>
  </si>
  <si>
    <t>HE-03</t>
  </si>
  <si>
    <t>HE-07</t>
  </si>
  <si>
    <t>HE-08</t>
  </si>
  <si>
    <t>HE-09</t>
  </si>
  <si>
    <t>HE-10</t>
  </si>
  <si>
    <t>HE-11</t>
  </si>
  <si>
    <t>HE-12</t>
  </si>
  <si>
    <t>HE-13</t>
  </si>
  <si>
    <t>HE-14</t>
  </si>
  <si>
    <t>HE-15</t>
  </si>
  <si>
    <t>HE-16</t>
  </si>
  <si>
    <t>HE-17</t>
  </si>
  <si>
    <t>HE-18</t>
  </si>
  <si>
    <t>HE-20</t>
  </si>
  <si>
    <t>HF-01</t>
  </si>
  <si>
    <t>HF-02</t>
  </si>
  <si>
    <t>HF-03</t>
  </si>
  <si>
    <t>HF-04</t>
  </si>
  <si>
    <t>HF-05</t>
  </si>
  <si>
    <t>HF-06</t>
  </si>
  <si>
    <t>HF-07</t>
  </si>
  <si>
    <t>HG-01</t>
  </si>
  <si>
    <t>HG-02</t>
  </si>
  <si>
    <t>HG-03</t>
  </si>
  <si>
    <t>HG-04</t>
  </si>
  <si>
    <t>HG-05</t>
  </si>
  <si>
    <t>HG-06</t>
  </si>
  <si>
    <t>HG-07</t>
  </si>
  <si>
    <t>HG-08</t>
  </si>
  <si>
    <t>HH-01</t>
  </si>
  <si>
    <t>HH-02</t>
  </si>
  <si>
    <t>HH-03</t>
  </si>
  <si>
    <t>HH-01/02</t>
  </si>
  <si>
    <t>HH-04</t>
  </si>
  <si>
    <t>HH-05</t>
  </si>
  <si>
    <t>HI-01</t>
  </si>
  <si>
    <t>HA〜HK</t>
  </si>
  <si>
    <t>HI-02</t>
  </si>
  <si>
    <t>HI-03</t>
  </si>
  <si>
    <t>HI-04</t>
  </si>
  <si>
    <t>HI-05</t>
  </si>
  <si>
    <t>HI-06</t>
  </si>
  <si>
    <t>HJ-03</t>
  </si>
  <si>
    <t>HJ-04</t>
  </si>
  <si>
    <t>HJ-05</t>
  </si>
  <si>
    <t>HJ-06</t>
  </si>
  <si>
    <t>HJ-03〜05</t>
  </si>
  <si>
    <t>HJ-07</t>
  </si>
  <si>
    <t>HJ-08</t>
  </si>
  <si>
    <t>HJ-09</t>
  </si>
  <si>
    <t>HJ-11</t>
  </si>
  <si>
    <t>HJ-12</t>
  </si>
  <si>
    <t>HJ-13</t>
  </si>
  <si>
    <t>HJ-14</t>
  </si>
  <si>
    <t>A-5 / A-6</t>
  </si>
  <si>
    <t>HJ-15</t>
  </si>
  <si>
    <t>HJ-16</t>
  </si>
  <si>
    <t>HJ-17</t>
  </si>
  <si>
    <t>HJ-18</t>
  </si>
  <si>
    <t>HJ-19</t>
  </si>
  <si>
    <t>A-15 / F-3</t>
  </si>
  <si>
    <t>HK-01</t>
  </si>
  <si>
    <t>HK-02</t>
  </si>
  <si>
    <t>HK-03</t>
  </si>
  <si>
    <t>HE-04〜08</t>
  </si>
  <si>
    <t>HK-04</t>
  </si>
  <si>
    <t>HK-05</t>
  </si>
  <si>
    <t>HK-06</t>
  </si>
  <si>
    <t>HK-07</t>
  </si>
  <si>
    <t>HK-08</t>
  </si>
  <si>
    <t>HK-09</t>
  </si>
  <si>
    <t>H-A 全体・方式設計</t>
  </si>
  <si>
    <t>H-J プロダクト固有設計</t>
  </si>
  <si>
    <t>H-K 契約・顧客提供成果物</t>
  </si>
  <si>
    <t>出典: 00a v2.3 §2C（C-*）／deliverables v3 §4（CH-*）／wbs-build-refinement §4（CB-*）／wbs-test-refinement §5（CT-*）</t>
  </si>
  <si>
    <t>★運用ルール②: C-F2 と C-D18 は同一実体のため二重計上禁止（本表ではC-F2を計上していない）</t>
  </si>
  <si>
    <t>① 設計</t>
  </si>
  <si>
    <t>CGNAT退避の適用設計</t>
  </si>
  <si>
    <t>① 設計(H)</t>
  </si>
  <si>
    <t>③ 構築</t>
  </si>
  <si>
    <t>A-2（G-SPI-Compat）でRHBK互換FAILの場合</t>
  </si>
  <si>
    <t>SPI実装方式の作り替え + 再検証（DU-U2-04系の手戻り）</t>
  </si>
  <si>
    <t>D-19でクラスタトポロジ変更を決定した場合</t>
  </si>
  <si>
    <t>U6系DUの再実装（VPC/EPS/Route53/TGWの作り替え）</t>
  </si>
  <si>
    <t>D-18.2で部分ウォームDRを決定した場合</t>
  </si>
  <si>
    <t>大阪常設構成の構築（Aurora Global常設 + IaC分岐）</t>
  </si>
  <si>
    <t>A-3（G-SCIM）でValidator不合格の場合</t>
  </si>
  <si>
    <t>SCIM Facadeの写像・スキーマ作り替え</t>
  </si>
  <si>
    <t>P-17トポロジ変更が決定した場合（C-D19／CB-2 のテスト側）</t>
  </si>
  <si>
    <t>■ 工程別 小計</t>
  </si>
  <si>
    <t>① 設計(H)（CH-* 5件）</t>
  </si>
  <si>
    <t>④ テスト（CT-* 6件）</t>
  </si>
  <si>
    <t>★④テストは単元別に按分せず、別シート「WBS(テスト)」で50項目・421人日として管理する。§9の単元別④（合計200）は精緻化前の値のため参照しない</t>
  </si>
  <si>
    <t>DU-U9O-10</t>
  </si>
  <si>
    <t>デプロイ検知の pull 型統一</t>
  </si>
  <si>
    <t>v2.3（2026-08-26 ADR突合）</t>
  </si>
  <si>
    <t>pull型収集の設計 3; ArgoCD連携 2; 既存push経路の廃止 2; 検証 1</t>
  </si>
  <si>
    <t>DU-U7-18</t>
  </si>
  <si>
    <t>攻撃経路33の対応確認・トレース表</t>
  </si>
  <si>
    <t>U7系DU全般</t>
  </si>
  <si>
    <t>経路×対策のマトリクス作成 3; 各DUへの紐づけ確認 2; 証跡化 1</t>
  </si>
  <si>
    <t>BX-01</t>
  </si>
  <si>
    <t>BX 横断・共通</t>
  </si>
  <si>
    <t>開発環境構築</t>
  </si>
  <si>
    <t>v2.3（2026-08-26 横断追加）</t>
  </si>
  <si>
    <t>build-refinement §7</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</si>
  <si>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</si>
  <si>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</si>
  <si>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</si>
  <si>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</si>
  <si>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</si>
  <si>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</si>
  <si>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</si>
  <si>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</si>
  <si>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</si>
  <si>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</si>
  <si>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</si>
  <si>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</si>
  <si>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</si>
  <si>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</si>
  <si>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</si>
  <si>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</si>
  <si>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</si>
  <si>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</si>
  <si>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</si>
  <si>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</si>
  <si>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</si>
  <si>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</si>
  <si>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ADR</t>
  </si>
  <si>
    <t>扱い</t>
  </si>
  <si>
    <t>モバイルSDK</t>
  </si>
  <si>
    <t>Phase 2。ネイティブアプリ向けSDKは初回リリース範囲外</t>
  </si>
  <si>
    <t>PQC（耐量子暗号）</t>
  </si>
  <si>
    <t>Phase 3。現時点は「姿勢のみ」表明で実装しない</t>
  </si>
  <si>
    <t>Turnstile（Bot対策）導入</t>
  </si>
  <si>
    <t>Phase 2。初回はWAFのBot Controlで代替</t>
  </si>
  <si>
    <t>TPRM（第三者リスク管理）</t>
  </si>
  <si>
    <t>契約・運用側で対応（00a クラスタF）。製造側のDUは持たない</t>
  </si>
  <si>
    <t>D-18.2で部分ウォームDR復活を決定した場合</t>
  </si>
  <si>
    <t>B-MIG-1で旧ハッシュがKeycloakネイティブ外と回答された場合</t>
  </si>
  <si>
    <t>独自パスワード方式変換部品の実装（DU-U10-11）</t>
  </si>
  <si>
    <t>他組織回答が要求と乖離した場合</t>
  </si>
  <si>
    <t>該当箇所の再実装（NW経路・ヘッダ・egress）</t>
  </si>
  <si>
    <t>CB-7</t>
  </si>
  <si>
    <t>ADR-034 Adaptive Auth が Phase 1 スコープと確定した場合</t>
  </si>
  <si>
    <t>リスクベース認証の実装（ITDR=U7-03の検知とは別機能。現状DU皆無）</t>
  </si>
  <si>
    <t>CB-8</t>
  </si>
  <si>
    <t>ADR-036 顧客監査支援／Trust Center を実装する場合</t>
  </si>
  <si>
    <t>監査支援機能・Trust Center の実装（B-PCI-7未回答。現状は都度メール対応に縮小中）</t>
  </si>
  <si>
    <t>③ 構築（CB-* 8件）</t>
  </si>
  <si>
    <t>★運用ルール④: CB-2／CB-3 は設計側の C-D19／C-D18 と対になる（設計の手戻り＋構築の手戻りで別計上。二重計上ではない）</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</si>
  <si>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</si>
  <si>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</si>
  <si>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</si>
  <si>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</si>
  <si>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</si>
  <si>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</si>
  <si>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</si>
  <si>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</si>
  <si>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</si>
  <si>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</si>
  <si>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DU 626（1,044×60%）＋ 横断BX 117（開発環境・共通ライブラリ・コードレビュー・手戻り・脆弱性是正・実装ドキュメント・リリース準備・進捗管理）</t>
  </si>
  <si>
    <t>B. 他組織・エッジ連携確定（検討23人日／9件）</t>
  </si>
  <si>
    <t>E. 新規検討領域（調査10+検討23人日／10件）</t>
  </si>
  <si>
    <t>F. ヒアリング・契約・法務（検討15人日／4件）</t>
  </si>
  <si>
    <t>G. 運用実体化（検討22人日／14件）</t>
  </si>
  <si>
    <t>HA-01〜HK-09</t>
    <phoneticPr fontId="3"/>
  </si>
  <si>
    <t>人日（WBS基本設計）</t>
  </si>
  <si>
    <t>件数（WBS基本設計）</t>
  </si>
  <si>
    <t>設計タスク 小計（WBS基本設計の実体）</t>
  </si>
  <si>
    <t>設計タスク（進捗一覧の論点行）</t>
  </si>
  <si>
    <t>※WBS(基本設計)の実体は267件693人日（A〜H）。進捗一覧は論点単位のため件数が異なる</t>
  </si>
  <si>
    <t>★設計タスクの件数の違い: 上表①「設計タスク」= 進捗一覧の論点行（決めること単位）。下表②のA〜H = WBS(基本設計)の作業単位（原子タスク267行・693人日）。粒度が違うため一致しない</t>
  </si>
  <si>
    <t>DDA-01</t>
  </si>
  <si>
    <t>DDA-02</t>
  </si>
  <si>
    <t>DDA-03</t>
  </si>
  <si>
    <t>DDA-04</t>
  </si>
  <si>
    <t>DDA-05</t>
  </si>
  <si>
    <t>DDA-06</t>
  </si>
  <si>
    <t>DDA-07</t>
  </si>
  <si>
    <t>DDA-08</t>
  </si>
  <si>
    <t>DDA-09</t>
  </si>
  <si>
    <t>DDA-10</t>
  </si>
  <si>
    <t>DDB-01</t>
  </si>
  <si>
    <t>DDB-02</t>
  </si>
  <si>
    <t>DDB-03</t>
  </si>
  <si>
    <t>DDB-04</t>
  </si>
  <si>
    <t>DDB-05</t>
  </si>
  <si>
    <t>DDB-06</t>
  </si>
  <si>
    <t>DDB-07</t>
  </si>
  <si>
    <t>DDB-08</t>
  </si>
  <si>
    <t>DDB-09</t>
  </si>
  <si>
    <t>DDC-01</t>
  </si>
  <si>
    <t>DDC-02</t>
  </si>
  <si>
    <t>DDC-03</t>
  </si>
  <si>
    <t>DDC-04</t>
  </si>
  <si>
    <t>DDC-05</t>
  </si>
  <si>
    <t>DDD-01</t>
  </si>
  <si>
    <t>DDD-02</t>
  </si>
  <si>
    <t>DDD-03</t>
  </si>
  <si>
    <t>DDD-04</t>
  </si>
  <si>
    <t>DDD-05</t>
  </si>
  <si>
    <t>DDD-06</t>
  </si>
  <si>
    <t>DDD-07</t>
  </si>
  <si>
    <t>DDD-08</t>
  </si>
  <si>
    <t>DDE-01</t>
  </si>
  <si>
    <t>DDE-02</t>
  </si>
  <si>
    <t>DDE-03</t>
  </si>
  <si>
    <t>DDE-04</t>
  </si>
  <si>
    <t>DDE-05</t>
  </si>
  <si>
    <t>DDE-06</t>
  </si>
  <si>
    <t>DDF-01</t>
  </si>
  <si>
    <t>DDF-02</t>
  </si>
  <si>
    <t>DDF-03</t>
  </si>
  <si>
    <t>DDG-01</t>
  </si>
  <si>
    <t>DDG-02</t>
  </si>
  <si>
    <t>DDG-03</t>
  </si>
  <si>
    <t>DDG-04</t>
  </si>
  <si>
    <t>DDG-05</t>
  </si>
  <si>
    <t>DDG-06</t>
  </si>
  <si>
    <t>DDH-01</t>
  </si>
  <si>
    <t>DDH-02</t>
  </si>
  <si>
    <t>DDH-03</t>
  </si>
  <si>
    <t>DDH-04</t>
  </si>
  <si>
    <t>DDH-05</t>
  </si>
  <si>
    <t>DDI-01</t>
  </si>
  <si>
    <t>DDI-02</t>
  </si>
  <si>
    <t>DDI-03</t>
  </si>
  <si>
    <t>DDI-04</t>
  </si>
  <si>
    <t>DDI-05</t>
  </si>
  <si>
    <t>DDI-06</t>
  </si>
  <si>
    <t>DDJ-01</t>
  </si>
  <si>
    <t>DD-J レビュー・整合</t>
  </si>
  <si>
    <t>詳細設計レビュー（第1回）</t>
  </si>
  <si>
    <t>DDJ-02</t>
  </si>
  <si>
    <t>指摘対応・改訂（第1回）</t>
  </si>
  <si>
    <t>DDJ-03</t>
  </si>
  <si>
    <t>詳細設計レビュー（第2回）</t>
  </si>
  <si>
    <t>DDJ-04</t>
  </si>
  <si>
    <t>指摘対応・改訂（第2回）</t>
  </si>
  <si>
    <t>DDJ-05</t>
  </si>
  <si>
    <t>DDJ-06</t>
  </si>
  <si>
    <t>ボトムアップ 64項目（DD-A〜DD-J）。★「1,044×40%=418」の按分は廃止。按分では23人日不足（DD-G IaC詳細26・DDJ-06進捗管理8がDU按分外）。DD-I単体テスト仕様72は②に計上（④の421とは別物）</t>
  </si>
  <si>
    <t>ブロックA（WBS(詳細設計_製造)の下部）に64項目の明細</t>
  </si>
  <si>
    <t>DU 105行（103 + 新規DU 2件）+ 横断BX 8行 = 113行。③のみ「DU人日1,044×60%＝626」の按分を維持</t>
  </si>
  <si>
    <t>★② 詳細設計 固有の分岐は現時点で不要。CB-1（SPI FAIL）・CB-2（トポロジ変更）は構築側の手戻りであり、設計側の手戻りは ①C-A2／C-D19 に計上済みのため（2026-08-26 判断）</t>
  </si>
  <si>
    <t>③ 構築（DU）</t>
  </si>
  <si>
    <t>broker/idp の2領域＋所属単位の定義（1顧客=1所属）／DoD: 両領域がコード管理で再現でき、所属の属性は表示名と判定方式のみ</t>
  </si>
  <si>
    <t>／工数バンド: S</t>
  </si>
  <si>
    <t>接続枠・属性グループ・変換定義／DoD: 仲介側から自社受け皿への認可コード／鍵情報／利用者情報の取得が私設経路で成立。【2026-08-12 監査で追記】ログアウト連鎖時の本人確認情報の受け渡しを明示（§2.2.5）</t>
  </si>
  <si>
    <t>PoCゲート: G-SPI-Compat／工数バンド: M</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</si>
  <si>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</si>
  <si>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</si>
  <si>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PoCゲート: G-SPI-Compat／工数バンド: L</t>
  </si>
  <si>
    <t>持つ項目の明示宣言（メールは任意）／DoD: 新規・初回自動作成・管理者作成の3経路で、メール非保有の利用者が完走</t>
  </si>
  <si>
    <t>PoCゲート: G-UProfile-Email／工数バンド: M</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</si>
  <si>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</si>
  <si>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</si>
  <si>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PoCゲート: G-IdP-Scale／工数バンド: M</t>
  </si>
  <si>
    <t>ブランドごとに領域を分ける方式の設計／DoD: ★着手前の先行判断が必要。現行の単一領域・単一発行元の前提と正面衝突する</t>
  </si>
  <si>
    <t>／工数バンド: L</t>
  </si>
  <si>
    <t>ログアウト連鎖・有効時間・強度・入力補助値の整合（5つの課題）／DoD: 2層をまたいでセッションの状態と強度が矛盾なく伝わる</t>
  </si>
  <si>
    <t>／工数バンド: M</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</si>
  <si>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</si>
  <si>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</si>
  <si>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</si>
  <si>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PoCゲート: G-SCIM／工数バンド: L</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</si>
  <si>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</si>
  <si>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</si>
  <si>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</si>
  <si>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</si>
  <si>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</si>
  <si>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</si>
  <si>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</si>
  <si>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</si>
  <si>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</si>
  <si>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</si>
  <si>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</si>
  <si>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</si>
  <si>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</si>
  <si>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</si>
  <si>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</si>
  <si>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</si>
  <si>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</si>
  <si>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</si>
  <si>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</si>
  <si>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</si>
  <si>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</si>
  <si>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</si>
  <si>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</si>
  <si>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</si>
  <si>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</si>
  <si>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PoCゲート: G-SSF／工数バンド: L</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</si>
  <si>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</si>
  <si>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</si>
  <si>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</si>
  <si>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DU-U9I-01／着手条件: P-17確定（00a D-19）後</t>
  </si>
  <si>
    <t>仲介側と自社受け皿側のクラスタ（2系統のノード群・サイジング）／DoD: 少数大型構成、接続予算の規約、規模検証用データセットと併走可能</t>
  </si>
  <si>
    <t>DU-U6-01／着手条件: P-17確定（00a D-19）後</t>
  </si>
  <si>
    <t>PoCゲート: G-IdP-Scale／工数バンド: L</t>
  </si>
  <si>
    <t>認証用と権限用を別鍵・別権限・別通信許可で分離／DoD: 両方に届く単一の権限や通信許可が存在しない。読み取り複製の余地も確保。【2026-08-12 監査で追記】接続プールの等値化を含める</t>
  </si>
  <si>
    <t>DU-U6-01, DU-U7-01／着手条件: P-17確定（00a D-19）後</t>
  </si>
  <si>
    <t>認証用／API用／画面配信用の各経路／DoD: 要求仕様に準拠し、API用は防御装置の経路外で成立。他組織へ要求仕様を発行</t>
  </si>
  <si>
    <t>PoCゲート: G-EGRESS／工数バンド: M</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</si>
  <si>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</si>
  <si>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DU-U6-02／着手条件: P-17確定（00a D-19）後</t>
  </si>
  <si>
    <t>関数実行＋API入口（通行証の一次検証）＋専用サブネット／DoD: 別の障害ドメインに分離し、起動遅延を許容する設計</t>
  </si>
  <si>
    <t>DU-U6-01, DU-U6-04／着手条件: P-17確定（00a D-19）後</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</si>
  <si>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</si>
  <si>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</si>
  <si>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DU-U6-04／着手条件: P-17確定（00a D-19）後</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</si>
  <si>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</si>
  <si>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</si>
  <si>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DU-U6-02, DU-U6-04／着手条件: P-17確定（00a D-19）後</t>
  </si>
  <si>
    <t>自社認証局・私設DNS・信頼設定＋通信制御／DoD: 管理APIへの経路が証明書で保護され、通信元も限定される</t>
  </si>
  <si>
    <t>DU-U6-05／着手条件: P-17確定（00a D-19）後</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</si>
  <si>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</si>
  <si>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</si>
  <si>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</si>
  <si>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</si>
  <si>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</si>
  <si>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</si>
  <si>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</si>
  <si>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</si>
  <si>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</si>
  <si>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</si>
  <si>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</si>
  <si>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</si>
  <si>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</si>
  <si>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</si>
  <si>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</si>
  <si>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</si>
  <si>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</si>
  <si>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</si>
  <si>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</si>
  <si>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PoCゲート: G-SRE-LogVis／工数バンド: M</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</si>
  <si>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</si>
  <si>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</si>
  <si>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</si>
  <si>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DU-U6-02／着手条件: DR方式確定（00a D-18.2）後</t>
  </si>
  <si>
    <t>PoCゲート: G-EDGE-DR／工数バンド: M</t>
  </si>
  <si>
    <t>継続複製＋時点復元＋変更不能な控え／DoD: 3層が並立し、控えは別地域へ複製される</t>
  </si>
  <si>
    <t>DU-U6-03／着手条件: DR方式確定（00a D-18.2）後</t>
  </si>
  <si>
    <t>再構築・復元の手順書＋復旧訓練／DoD: 復旧目標を演習で実証。切り戻しは計画切替（喪失ゼロ）。【2026-08-12 監査で追記】論理破壊シナリオの訓練を下期に実施</t>
  </si>
  <si>
    <t>DU-U8-02, DU-U8-03／着手条件: DR方式確定（00a D-18.2）後</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</si>
  <si>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</si>
  <si>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</si>
  <si>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</si>
  <si>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</si>
  <si>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</si>
  <si>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</si>
  <si>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</si>
  <si>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</si>
  <si>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</si>
  <si>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</si>
  <si>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</si>
  <si>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</si>
  <si>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</si>
  <si>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</si>
  <si>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</si>
  <si>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</si>
  <si>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</si>
  <si>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マスキングまたは合成データ＋平文非着地の機械検査／DoD: 非本番に本番の個人情報が入らない。負荷試験データも合成</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</si>
  <si>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</si>
  <si>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</si>
  <si>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</si>
  <si>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</si>
  <si>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</si>
  <si>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</si>
  <si>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</si>
  <si>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</si>
  <si>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</si>
  <si>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</si>
  <si>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</si>
  <si>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</si>
  <si>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</si>
  <si>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</si>
  <si>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</si>
  <si>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</si>
  <si>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</si>
  <si>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</si>
  <si>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</si>
  <si>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</si>
  <si>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</si>
  <si>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</si>
  <si>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</si>
  <si>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出典: wbs-detailed-design-refinement-2026-08-26.md §3（②）／wbs-build-refinement-2026-08-26.md §3・§7（③）。数値のSSOTは出典側</t>
  </si>
  <si>
    <t>D-16 SN移行</t>
  </si>
  <si>
    <t>D-17 identity改訂</t>
  </si>
  <si>
    <t>D-18 DR再判断</t>
  </si>
  <si>
    <t>D-18 DR改訂</t>
  </si>
  <si>
    <t>E-1 dev/stg</t>
  </si>
  <si>
    <t>G-1 Runbook</t>
  </si>
  <si>
    <t>G-4 drawio清書</t>
  </si>
  <si>
    <t>設計書 総則（目的・範囲・読み方）</t>
  </si>
  <si>
    <t>前提条件一覧（P-01〜20の設計反映）</t>
  </si>
  <si>
    <t>用語集・略語集</t>
  </si>
  <si>
    <t>全体構成図（論理）</t>
  </si>
  <si>
    <t>全体構成図（物理）</t>
  </si>
  <si>
    <t>エラー処理方式設計</t>
  </si>
  <si>
    <t>ログ出力方式設計（レベル/フォーマット/ローテーション）</t>
  </si>
  <si>
    <t>トランザクション・整合性方式設計</t>
  </si>
  <si>
    <t>排他制御・同時実行設計（新規）</t>
  </si>
  <si>
    <t>セッション管理方式設計</t>
  </si>
  <si>
    <t>文字コード・日時・タイムゾーン方式</t>
  </si>
  <si>
    <t>多言語・i18n方式設計</t>
  </si>
  <si>
    <t>キャッシュ方式設計（Infinispan/realm/projection）（新規）</t>
  </si>
  <si>
    <t>採番設計（ID採番方式・重複回避）（新規）</t>
  </si>
  <si>
    <t>APIバージョニング・廃止ポリシー（新規）</t>
  </si>
  <si>
    <t>命名規約（リソース/API/DB）</t>
  </si>
  <si>
    <t>API設計規約</t>
  </si>
  <si>
    <t>画面設計規約</t>
  </si>
  <si>
    <t>非機能要件→設計対応表</t>
  </si>
  <si>
    <t>性能設計書（目標値・処理方式・チューニング方針）（新規）</t>
  </si>
  <si>
    <t>キャパシティ・データ量見積（テーブル別・増加率・5年後）（新規）</t>
  </si>
  <si>
    <t>サポートブラウザ・デバイス対応方針（新規）</t>
  </si>
  <si>
    <t>トレーサビリティマトリクス（要件→機能→設計→テスト）</t>
  </si>
  <si>
    <t>トレーサビリティ維持運用ルール</t>
  </si>
  <si>
    <t>機能仕様書 認証系（15機能×0.6）</t>
  </si>
  <si>
    <t>機能仕様書 プロビ系（12機能×0.6）</t>
  </si>
  <si>
    <t>機能仕様書 管理CP系（18機能×0.6）</t>
  </si>
  <si>
    <t>機能仕様書 認可系（8機能×0.6）</t>
  </si>
  <si>
    <t>機能仕様書 連携系（10機能×0.6）</t>
  </si>
  <si>
    <t>機能仕様書 バッチ系（8機能×0.5）</t>
  </si>
  <si>
    <t>業務フロー（エンドユーザー系6シナリオ）</t>
  </si>
  <si>
    <t>業務フロー（管理者系5シナリオ）</t>
  </si>
  <si>
    <t>業務フロー（連携系4シナリオ）</t>
  </si>
  <si>
    <t>状態遷移設計（ユーザーライフサイクル S1-S10）</t>
  </si>
  <si>
    <t>状態遷移設計（トークン/セッション状態）</t>
  </si>
  <si>
    <t>検索・一覧表示設計（検索条件/ページング/ソート）（新規）</t>
  </si>
  <si>
    <t>ファイル入出力設計（CSV一括登録/エクスポート）（新規）</t>
  </si>
  <si>
    <t>レポート/エクスポート設計（監査レポート・利用統計）（新規）</t>
  </si>
  <si>
    <t>画面一覧・画面ID体系（約32画面）</t>
  </si>
  <si>
    <t>画面遷移図（エンドユーザー系）</t>
  </si>
  <si>
    <t>共通レイアウト・部品設計</t>
  </si>
  <si>
    <t>A11y設計基準（WCAG 2.2 AAの設計反映）</t>
  </si>
  <si>
    <t>画面メッセージ一覧</t>
  </si>
  <si>
    <t>APIエラーコード体系</t>
  </si>
  <si>
    <t>ログメッセージ一覧</t>
  </si>
  <si>
    <t>メール・通知テンプレート一覧（招待/PW/MFA/侵害通知）（新規）</t>
  </si>
  <si>
    <t>IF一覧（内部・同期）</t>
  </si>
  <si>
    <t>IF一覧（内部・非同期）</t>
  </si>
  <si>
    <t>IF一覧（外部）</t>
  </si>
  <si>
    <t>API認可スコープ対応表（idm:*）</t>
  </si>
  <si>
    <t>API共通規約（エラー/ページング/冪等）</t>
  </si>
  <si>
    <t>イベントIF（EventBridgeスキーマ2本）</t>
  </si>
  <si>
    <t>イベントIF（outbox仕様）</t>
  </si>
  <si>
    <t>Webhook仕様（7種・署名・再送）</t>
  </si>
  <si>
    <t>認証プロトコルIF（OIDCエンドポイント・クレーム）</t>
  </si>
  <si>
    <t>認証プロトコルIF（SAMLメタデータ・Assertion）</t>
  </si>
  <si>
    <t>外部IF ServiceNow</t>
  </si>
  <si>
    <t>外部IF 顧客IdP（SAML/OIDC差分）</t>
  </si>
  <si>
    <t>外部IF HIBP / SES</t>
  </si>
  <si>
    <t>FQDN・DNS一覧（公開 + 内部PHZ）（新規）</t>
  </si>
  <si>
    <t>バッチ一覧（8本）</t>
  </si>
  <si>
    <t>バッチ実行基盤整理（CronJob / EventBridge Scheduler）</t>
  </si>
  <si>
    <t>バッチ仕様書（90日休眠・物理削除準備）</t>
  </si>
  <si>
    <t>バッチ仕様書（リコンサイル3種）</t>
  </si>
  <si>
    <t>バッチ仕様書（証明書ローテ・NHI孤立・recert）</t>
  </si>
  <si>
    <t>ジョブスケジュール・依存関係設計</t>
  </si>
  <si>
    <t>多重起動制御・リラン設計</t>
  </si>
  <si>
    <t>ロール定義（3層スコープ）</t>
  </si>
  <si>
    <t>権限マトリクス（ロール×機能）</t>
  </si>
  <si>
    <t>権限マトリクス（ロール×データ×テナントスコープ）</t>
  </si>
  <si>
    <t>監査ログ イベント一覧</t>
  </si>
  <si>
    <t>監査ログ 取得項目・保持年数表</t>
  </si>
  <si>
    <t>監視項目一覧（メトリクス）</t>
  </si>
  <si>
    <t>監視項目一覧（ログ・合成監視）</t>
  </si>
  <si>
    <t>閾値・通知先設計</t>
  </si>
  <si>
    <t>環境設計書（本番 / stg / dev の構成差分）（新規）</t>
  </si>
  <si>
    <t>単元間 整合性レビュー（第1回）</t>
  </si>
  <si>
    <t>単元間 整合性レビュー（第2回）</t>
  </si>
  <si>
    <t>ステークホルダー説明資料 作成</t>
  </si>
  <si>
    <t>説明会 実施・指摘対応</t>
  </si>
  <si>
    <t>User Profile 宣言設計（email非保有対応）</t>
  </si>
  <si>
    <t>Client 登録テンプレート（アプリオンボーディング標準）</t>
  </si>
  <si>
    <t>IdP接続仕様テンプレート（SAML / OIDC別）（1000+ IdPの標準化）</t>
  </si>
  <si>
    <t>IdP属性マッピング設計（IdP Mapper写像規則）</t>
  </si>
  <si>
    <t>SLA / SLO 定義書（顧客向け）／渡す相手: 全顧客（契約添付）</t>
  </si>
  <si>
    <t>顧客IdP接続ガイド（顧客IT部門向け）／渡す相手: 顧客IT部門</t>
  </si>
  <si>
    <t>テナントオンボーディング案内テンプレート／渡す相手: 新規テナント</t>
  </si>
  <si>
    <t>サービス仕様書・制約事項一覧（ゾンビ窓/ログアウト限界/再認証の明示）／渡す相手: 全顧客</t>
  </si>
  <si>
    <t>廃止（→ H-Lへ全面展開）</t>
  </si>
  <si>
    <t>GD-01</t>
  </si>
  <si>
    <t>H-L 認証実装ガイド</t>
  </si>
  <si>
    <t>GD-02</t>
  </si>
  <si>
    <t>GD-03</t>
  </si>
  <si>
    <t>GD-04</t>
  </si>
  <si>
    <t>P1</t>
  </si>
  <si>
    <t>GD-05</t>
  </si>
  <si>
    <t>GD-06</t>
  </si>
  <si>
    <t>GD-07</t>
  </si>
  <si>
    <t>GD-08</t>
  </si>
  <si>
    <t>GD-09</t>
  </si>
  <si>
    <t>GD-10</t>
  </si>
  <si>
    <t>GD-11</t>
  </si>
  <si>
    <t>P2</t>
  </si>
  <si>
    <t>GD-12</t>
  </si>
  <si>
    <t>GD-13</t>
  </si>
  <si>
    <t>GD-14</t>
  </si>
  <si>
    <t>GD-15</t>
  </si>
  <si>
    <t>GD-16</t>
  </si>
  <si>
    <t>GD-17</t>
  </si>
  <si>
    <t>GD-18</t>
  </si>
  <si>
    <t>GD-19</t>
  </si>
  <si>
    <t>GD-20</t>
  </si>
  <si>
    <t>GD-21</t>
  </si>
  <si>
    <t>GD-22</t>
  </si>
  <si>
    <t>GD-23</t>
  </si>
  <si>
    <t>GD-24</t>
  </si>
  <si>
    <t>GD-25</t>
  </si>
  <si>
    <t>GD-26</t>
  </si>
  <si>
    <t>GD-27</t>
  </si>
  <si>
    <t>GD-28</t>
  </si>
  <si>
    <t>GD-29</t>
  </si>
  <si>
    <t>GD-30</t>
  </si>
  <si>
    <t>GD-31</t>
  </si>
  <si>
    <t>GD-32</t>
  </si>
  <si>
    <t>GD-33</t>
  </si>
  <si>
    <t>GD-34</t>
  </si>
  <si>
    <t>GD-35</t>
  </si>
  <si>
    <t>GD-36</t>
  </si>
  <si>
    <t>GD-37</t>
  </si>
  <si>
    <t>GD-38</t>
  </si>
  <si>
    <t>GD-39</t>
  </si>
  <si>
    <t>GD-40</t>
  </si>
  <si>
    <t>GD-41</t>
  </si>
  <si>
    <t>GD-42</t>
  </si>
  <si>
    <t>GD-43</t>
  </si>
  <si>
    <t>GD-44</t>
  </si>
  <si>
    <t>GD-45</t>
  </si>
  <si>
    <t>GD-46</t>
  </si>
  <si>
    <t>GD-47</t>
  </si>
  <si>
    <t>GD-48</t>
  </si>
  <si>
    <t>GD-49</t>
  </si>
  <si>
    <t>GD-50</t>
  </si>
  <si>
    <t>GD-51</t>
  </si>
  <si>
    <t>シーケンス図・構成図（主要8フロー）</t>
  </si>
  <si>
    <t>GD-52</t>
  </si>
  <si>
    <t>全体レビュー・整合性確認</t>
  </si>
  <si>
    <t>GD-53</t>
  </si>
  <si>
    <t>アプリチーム向け説明会・フィードバック反映</t>
  </si>
  <si>
    <t>載せる項目の辞書（最小構成、個人情報非搭載）／DoD: 辞書どおりに搭載され、保護対象の属性が上書きされない／★audがRS識別子になること（accountでない）を検証</t>
  </si>
  <si>
    <t>機能一覧 — 91機能（認証22／プロビ17／管理22／認可9／連携12／バッチ9）</t>
  </si>
  <si>
    <t>出典: doc/basic-design/research/function-list-2026-08-26.md §2。従来「70機能」は推定値で中身が無く、設計書10冊+ADRから実列挙して91と判明（+21）</t>
  </si>
  <si>
    <t>★P2の3機能（F-PROV-07 SCIMグループ／F-INT-12 CAEP送信／F-BAT-09 物理削除バッチ）も仕様書化の対象。「Phase 1 対象外」の宣言自体が成果物のため</t>
  </si>
  <si>
    <t>★要件側の機能要件は99件（FR-AUTH 16／FED 17／MFA 11／SSO 11／AUTHZ 10／USER 12／ADMIN 12／INT 10）。1要件=1機能ではないが桁として整合し、列挙漏れは大きくないと判断できる。トレーサビリティはHA-24で取る</t>
  </si>
  <si>
    <t>機能ID</t>
  </si>
  <si>
    <t>機能名</t>
  </si>
  <si>
    <t>主な出典</t>
  </si>
  <si>
    <t>Phase</t>
  </si>
  <si>
    <t>中核</t>
  </si>
  <si>
    <t>対応WBS</t>
  </si>
  <si>
    <t>F-AUTH-01</t>
  </si>
  <si>
    <t>認証系</t>
  </si>
  <si>
    <t>ローカルログイン（ID/PW）</t>
  </si>
  <si>
    <t>U2 §2.3、P-07</t>
  </si>
  <si>
    <t>🔴</t>
  </si>
  <si>
    <t>HB-09a</t>
  </si>
  <si>
    <t>F-AUTH-02</t>
  </si>
  <si>
    <t>HRD（識別子先行によるIdP解決）</t>
  </si>
  <si>
    <t>ADR-055、U4 §4.1</t>
  </si>
  <si>
    <t>F-AUTH-03</t>
  </si>
  <si>
    <t>HRDフォールバック（降格→PWフォーム）</t>
  </si>
  <si>
    <t>U4 §4.1.3</t>
  </si>
  <si>
    <t>F-AUTH-04</t>
  </si>
  <si>
    <t>Organizationセレクター（同一Org複数IdP）</t>
  </si>
  <si>
    <t>U2 §2.3、U4</t>
  </si>
  <si>
    <t>F-AUTH-05</t>
  </si>
  <si>
    <t>フェデレーションログイン（OIDC）</t>
  </si>
  <si>
    <t>ADR-033、U2 §2.2</t>
  </si>
  <si>
    <t>HB-09b</t>
  </si>
  <si>
    <t>F-AUTH-06</t>
  </si>
  <si>
    <t>フェデレーションログイン（SAML）</t>
  </si>
  <si>
    <t>ADR-031、U2 §2.7</t>
  </si>
  <si>
    <t>F-AUTH-07</t>
  </si>
  <si>
    <t>First Broker Login（shadow生成）</t>
  </si>
  <si>
    <t>ADR-064、U3 D3-04</t>
  </si>
  <si>
    <t>F-AUTH-08</t>
  </si>
  <si>
    <t>Post Broker Login</t>
  </si>
  <si>
    <t>U2 §2.3</t>
  </si>
  <si>
    <t>F-AUTH-09</t>
  </si>
  <si>
    <t>2-tierフェデ（Broker → IdP-KC）</t>
  </si>
  <si>
    <t>ADR-033、02a</t>
  </si>
  <si>
    <t>F-AUTH-10</t>
  </si>
  <si>
    <t>MFA認証（TOTP）</t>
  </si>
  <si>
    <t>U7 D-U7-14</t>
  </si>
  <si>
    <t>HB-09c</t>
  </si>
  <si>
    <t>F-AUTH-11</t>
  </si>
  <si>
    <t>MFA認証（WebAuthn / パスキー）</t>
  </si>
  <si>
    <t>F-AUTH-12</t>
  </si>
  <si>
    <t>MFAエンロール（TOTP）</t>
  </si>
  <si>
    <t>U4 §4.4.2</t>
  </si>
  <si>
    <t>F-AUTH-13</t>
  </si>
  <si>
    <t>MFAエンロール（WebAuthn）</t>
  </si>
  <si>
    <t>F-AUTH-14</t>
  </si>
  <si>
    <t>セキュアエンロール（2台目step-up必須）</t>
  </si>
  <si>
    <t>F-AUTH-15</t>
  </si>
  <si>
    <t>Recovery Code発行・利用</t>
  </si>
  <si>
    <t>HB-09d</t>
  </si>
  <si>
    <t>F-AUTH-16</t>
  </si>
  <si>
    <t>email非保有リカバリ（管理者JIT承認）</t>
  </si>
  <si>
    <t>F-AUTH-17</t>
  </si>
  <si>
    <t>ステップアップ認証</t>
  </si>
  <si>
    <t>ADR-026、U5 §5.10</t>
  </si>
  <si>
    <t>F-AUTH-18</t>
  </si>
  <si>
    <t>セルフサービスPWリセット</t>
  </si>
  <si>
    <t>F-AUTH-19</t>
  </si>
  <si>
    <t>PW変更 / 初回強制変更</t>
  </si>
  <si>
    <t>F-AUTH-20</t>
  </si>
  <si>
    <t>Brute Force検知・ロックアウト</t>
  </si>
  <si>
    <t>U7 §7.2</t>
  </si>
  <si>
    <t>HB-09e</t>
  </si>
  <si>
    <t>F-AUTH-21</t>
  </si>
  <si>
    <t>アカウント列挙対策（応答同一化）</t>
  </si>
  <si>
    <t>U4 §4.1.3、U7</t>
  </si>
  <si>
    <t>F-AUTH-22</t>
  </si>
  <si>
    <t>漏洩PW検知（HIBP連携）</t>
  </si>
  <si>
    <t>F-PROV-01</t>
  </si>
  <si>
    <t>プロビジョニング系</t>
  </si>
  <si>
    <t>JITユーザ作成（フェデ初回）</t>
  </si>
  <si>
    <t>U3 D3-04 ①、PoC V3''</t>
  </si>
  <si>
    <t>HB-10a</t>
  </si>
  <si>
    <t>F-PROV-02</t>
  </si>
  <si>
    <t>JIT属性更新（per-Mapper syncMode）</t>
  </si>
  <si>
    <t>U3 §3.3</t>
  </si>
  <si>
    <t>F-PROV-03</t>
  </si>
  <si>
    <t>SCIM受信: ユーザ作成</t>
  </si>
  <si>
    <t>ADR-025、U3 §3.5</t>
  </si>
  <si>
    <t>HB-10b</t>
  </si>
  <si>
    <t>F-PROV-04</t>
  </si>
  <si>
    <t>SCIM受信: ユーザ更新</t>
  </si>
  <si>
    <t>U3 §3.5</t>
  </si>
  <si>
    <t>F-PROV-05</t>
  </si>
  <si>
    <t>SCIM受信: ユーザ削除（Soft Delete写像）</t>
  </si>
  <si>
    <t>U3 §3.5、G-SCIM</t>
  </si>
  <si>
    <t>F-PROV-06</t>
  </si>
  <si>
    <t>SCIM受信: 検索・フィルタ・ページング</t>
  </si>
  <si>
    <t>F-PROV-07</t>
  </si>
  <si>
    <t>SCIMグループ連携</t>
  </si>
  <si>
    <t>F-PROV-08</t>
  </si>
  <si>
    <t>属性正準化（sourceレジストリ）</t>
  </si>
  <si>
    <t>HB-10c</t>
  </si>
  <si>
    <t>F-PROV-09</t>
  </si>
  <si>
    <t>provisioned_by判別（6値・Case 1-6）</t>
  </si>
  <si>
    <t>F-PROV-10</t>
  </si>
  <si>
    <t>Soft Delete（無効化 + deprovisioned_at）</t>
  </si>
  <si>
    <t>D3-09、jit-scim §10.4.K</t>
  </si>
  <si>
    <t>HB-10d</t>
  </si>
  <si>
    <t>F-PROV-11</t>
  </si>
  <si>
    <t>Re-Activation（再有効化）</t>
  </si>
  <si>
    <t>ADR-064、U3 D3-12</t>
  </si>
  <si>
    <t>F-PROV-12</t>
  </si>
  <si>
    <t>削除伝播（outbox → shadow制御）</t>
  </si>
  <si>
    <t>F-PROV-13</t>
  </si>
  <si>
    <t>F-PROV-14</t>
  </si>
  <si>
    <t>初回sub通知（Broker → ブランド）</t>
  </si>
  <si>
    <t>ADR-063、D3-16</t>
  </si>
  <si>
    <t>HB-10e</t>
  </si>
  <si>
    <t>F-PROV-15</t>
  </si>
  <si>
    <t>authzスタブ行生成（federated用）</t>
  </si>
  <si>
    <t>F-PROV-16</t>
  </si>
  <si>
    <t>idmap登録・更新</t>
  </si>
  <si>
    <t>ADR-054、U3 §3.2</t>
  </si>
  <si>
    <t>F-PROV-17</t>
  </si>
  <si>
    <t>統合射影の更新（3書込フィード）</t>
  </si>
  <si>
    <t>D3-14、DU-U3-04</t>
  </si>
  <si>
    <t>F-ADM-01</t>
  </si>
  <si>
    <t>管理コントロールプレーン系</t>
  </si>
  <si>
    <t>ユーザ検索・一覧（テナントスコープ）</t>
  </si>
  <si>
    <t>HB-11a</t>
  </si>
  <si>
    <t>F-ADM-02</t>
  </si>
  <si>
    <t>ユーザ詳細参照</t>
  </si>
  <si>
    <t>F-ADM-03</t>
  </si>
  <si>
    <t>ユーザ作成</t>
  </si>
  <si>
    <t>ADR-038、U3 D3-17</t>
  </si>
  <si>
    <t>F-ADM-04</t>
  </si>
  <si>
    <t>ユーザ更新</t>
  </si>
  <si>
    <t>F-ADM-05</t>
  </si>
  <si>
    <t>ユーザ無効化 / 有効化</t>
  </si>
  <si>
    <t>F-ADM-06</t>
  </si>
  <si>
    <t>ユーザ削除（Soft Delete）</t>
  </si>
  <si>
    <t>F-ADM-07</t>
  </si>
  <si>
    <t>PWリセット（管理者操作）</t>
  </si>
  <si>
    <t>HB-11b</t>
  </si>
  <si>
    <t>F-ADM-08</t>
  </si>
  <si>
    <t>ユーザ招待</t>
  </si>
  <si>
    <t>ADR-038 §C</t>
  </si>
  <si>
    <t>F-ADM-09</t>
  </si>
  <si>
    <t>MFAリセット（管理者操作）</t>
  </si>
  <si>
    <t>F-ADM-10</t>
  </si>
  <si>
    <t>セッション強制ログアウト（3粒度）</t>
  </si>
  <si>
    <t>U5 §5.4</t>
  </si>
  <si>
    <t>F-ADM-11</t>
  </si>
  <si>
    <t>エンタイトルメント（アプリ割当）編集</t>
  </si>
  <si>
    <t>ADR-038、D3-14</t>
  </si>
  <si>
    <t>HB-11c</t>
  </si>
  <si>
    <t>F-ADM-12</t>
  </si>
  <si>
    <t>機能ロール割当編集</t>
  </si>
  <si>
    <t>ADR-038 AZB-3</t>
  </si>
  <si>
    <t>F-ADM-13</t>
  </si>
  <si>
    <t>組織属性編集</t>
  </si>
  <si>
    <t>F-ADM-14</t>
  </si>
  <si>
    <t>テナント（Organization）作成</t>
  </si>
  <si>
    <t>HB-11d</t>
  </si>
  <si>
    <t>F-ADM-15</t>
  </si>
  <si>
    <t>テナント設定編集（hrd_mode等）</t>
  </si>
  <si>
    <t>F-ADM-16</t>
  </si>
  <si>
    <t>IdP接続 登録（オンボーディング6ステップ）</t>
  </si>
  <si>
    <t>F-ADM-17</t>
  </si>
  <si>
    <t>IdP接続 編集・証明書更新</t>
  </si>
  <si>
    <t>D-12、A-9</t>
  </si>
  <si>
    <t>F-ADM-18</t>
  </si>
  <si>
    <t>監査ログ照会</t>
  </si>
  <si>
    <t>ADR-036、D-U9-06</t>
  </si>
  <si>
    <t>HB-11e</t>
  </si>
  <si>
    <t>F-ADM-19</t>
  </si>
  <si>
    <t>アクセス再認証（recert）キャンペーン</t>
  </si>
  <si>
    <t>F-ADM-20</t>
  </si>
  <si>
    <t>CSV一括登録</t>
  </si>
  <si>
    <t>HB-21（新規）</t>
  </si>
  <si>
    <t>F-ADM-21</t>
  </si>
  <si>
    <t>CSV / 監査ログ エクスポート</t>
  </si>
  <si>
    <t>HB-22、ADR-036</t>
  </si>
  <si>
    <t>F-ADM-22</t>
  </si>
  <si>
    <t>NHI（サービスアカウント）台帳管理</t>
  </si>
  <si>
    <t>F-AZ-01</t>
  </si>
  <si>
    <t>認可系</t>
  </si>
  <si>
    <t>/api/me/context 提供（ブランドローカルread）</t>
  </si>
  <si>
    <t>ADR-063、D3-14</t>
  </si>
  <si>
    <t>HB-12a</t>
  </si>
  <si>
    <t>F-AZ-02</t>
  </si>
  <si>
    <t>/api/me/apps 提供（launchpad用）</t>
  </si>
  <si>
    <t>F-AZ-03</t>
  </si>
  <si>
    <t>エンタイトルメント判定</t>
  </si>
  <si>
    <t>F-AZ-04</t>
  </si>
  <si>
    <t>機能ロール解決（opaque per-app）</t>
  </si>
  <si>
    <t>AZB-3</t>
  </si>
  <si>
    <t>F-AZ-05</t>
  </si>
  <si>
    <t>テナントスコープ強制（IDOR防御）</t>
  </si>
  <si>
    <t>U5 §5.6.3 #6</t>
  </si>
  <si>
    <t>HB-12b</t>
  </si>
  <si>
    <t>F-AZ-06</t>
  </si>
  <si>
    <t>3層スコープ検証（管理API）</t>
  </si>
  <si>
    <t>F-AZ-07</t>
  </si>
  <si>
    <t>CCトークン発行（idm:*スコープ）</t>
  </si>
  <si>
    <t>U5 §5.8</t>
  </si>
  <si>
    <t>F-AZ-08</t>
  </si>
  <si>
    <t>Token Exchange（Pattern 2/3）</t>
  </si>
  <si>
    <t>U5 §5.3</t>
  </si>
  <si>
    <t>F-AZ-09</t>
  </si>
  <si>
    <t>認可判定ログ記録</t>
  </si>
  <si>
    <t>F-INT-01</t>
  </si>
  <si>
    <t>連携系</t>
  </si>
  <si>
    <t>ServiceNow SAML SSO（IdPとして）</t>
  </si>
  <si>
    <t>HB-13a</t>
  </si>
  <si>
    <t>F-INT-02</t>
  </si>
  <si>
    <t>ServiceNow L2 SAML JIT</t>
  </si>
  <si>
    <t>ADR-023 §L</t>
  </si>
  <si>
    <t>F-INT-03</t>
  </si>
  <si>
    <t>SN → 他アプリ OIDC貫通</t>
  </si>
  <si>
    <t>F-INT-04</t>
  </si>
  <si>
    <t>Webhook配信（7種・HMAC・再送）</t>
  </si>
  <si>
    <t>HB-13b</t>
  </si>
  <si>
    <t>F-INT-05</t>
  </si>
  <si>
    <t>EventBridge越境: 削除イベント</t>
  </si>
  <si>
    <t>F-INT-06</t>
  </si>
  <si>
    <t>EventBridge越境: 初回sub通知</t>
  </si>
  <si>
    <t>F-INT-07</t>
  </si>
  <si>
    <t>SESメール送信（招待/PW/MFA/通知）</t>
  </si>
  <si>
    <t>A6a-1、DU-U6-12</t>
  </si>
  <si>
    <t>HB-13c</t>
  </si>
  <si>
    <t>F-INT-08</t>
  </si>
  <si>
    <t>ITDR検知（GoldenシグナルG-1〜6）</t>
  </si>
  <si>
    <t>ADR-035/060</t>
  </si>
  <si>
    <t>F-INT-09</t>
  </si>
  <si>
    <t>Central Canary（認証外形監視）</t>
  </si>
  <si>
    <t>F-INT-10</t>
  </si>
  <si>
    <t>デプロイ検知（pull型巡回）</t>
  </si>
  <si>
    <t>F-INT-11</t>
  </si>
  <si>
    <t>IdPメタデータ自動更新</t>
  </si>
  <si>
    <t>A-9、D-12</t>
  </si>
  <si>
    <t>F-INT-12</t>
  </si>
  <si>
    <t>CAEP / SSF送信（session-revoked）</t>
  </si>
  <si>
    <t>ADR-065、G-SSF</t>
  </si>
  <si>
    <t>F-BAT-01</t>
  </si>
  <si>
    <t>バッチ系</t>
  </si>
  <si>
    <t>90日休眠バッチ（jitのみ・idpkc%除外）</t>
  </si>
  <si>
    <t>D3-09、DU-U3-08</t>
  </si>
  <si>
    <t>HB-14a</t>
  </si>
  <si>
    <t>F-BAT-02</t>
  </si>
  <si>
    <t>削除伝播リコンサイル（数分）</t>
  </si>
  <si>
    <t>F-BAT-03</t>
  </si>
  <si>
    <t>日次リコンサイル（整合突合）</t>
  </si>
  <si>
    <t>RB-USR-06</t>
  </si>
  <si>
    <t>F-BAT-04</t>
  </si>
  <si>
    <t>JWT署名鍵ローテ（90日 + 30日並走）</t>
  </si>
  <si>
    <t>ADR-045、DU-U7-02</t>
  </si>
  <si>
    <t>HB-14b</t>
  </si>
  <si>
    <t>F-BAT-05</t>
  </si>
  <si>
    <t>client_secretローテ（90日・2世代並走）</t>
  </si>
  <si>
    <t>D-U7-10b、DU-U7-12</t>
  </si>
  <si>
    <t>F-BAT-06</t>
  </si>
  <si>
    <t>NHI孤立検知（90日）</t>
  </si>
  <si>
    <t>F-BAT-07</t>
  </si>
  <si>
    <t>証明書期限監視・通知</t>
  </si>
  <si>
    <t>F-BAT-08</t>
  </si>
  <si>
    <t>recertキャンペーン起動</t>
  </si>
  <si>
    <t>F-BAT-09</t>
  </si>
  <si>
    <t>物理削除バッチ</t>
  </si>
  <si>
    <t>jit-scim §10.4.K.6</t>
  </si>
  <si>
    <t>機能数</t>
  </si>
  <si>
    <t>HB-01 / HB-08</t>
  </si>
  <si>
    <t>F-BAT-04〜08</t>
  </si>
  <si>
    <t>機能数が120を超過した場合（2026-08-26に実列挙で91と判明しベースに+15済み。旧トリガー「想定70・100超」は前提が変わり陳腐化）</t>
  </si>
  <si>
    <t>機能仕様書の追加執筆（さらに30機能増えた場合の想定。30機能×0.6）</t>
  </si>
  <si>
    <t>✓ 一致（① 812 ＋ ② 441 ＋ ③ 743 ＋ ④ 421）</t>
  </si>
  <si>
    <t>機能ID</t>
    <phoneticPr fontId="3"/>
  </si>
  <si>
    <t>廃止（→ HB-F-* へ1機能1行で展開）</t>
  </si>
  <si>
    <t>HB-F-AUTH-01</t>
  </si>
  <si>
    <t>機能仕様書: ローカルログイン（ID/PW）</t>
  </si>
  <si>
    <t>HB-F-AUTH-02</t>
  </si>
  <si>
    <t>機能仕様書: HRD（識別子先行によるIdP解決）</t>
  </si>
  <si>
    <t>HB-F-AUTH-03</t>
  </si>
  <si>
    <t>機能仕様書: HRDフォールバック（降格→PWフォーム）</t>
  </si>
  <si>
    <t>HB-F-AUTH-04</t>
  </si>
  <si>
    <t>機能仕様書: Organizationセレクター</t>
  </si>
  <si>
    <t>HB-F-AUTH-05</t>
  </si>
  <si>
    <t>機能仕様書: フェデレーションログイン（OIDC）</t>
  </si>
  <si>
    <t>HB-F-AUTH-06</t>
  </si>
  <si>
    <t>機能仕様書: フェデレーションログイン（SAML）</t>
  </si>
  <si>
    <t>HB-F-AUTH-07</t>
  </si>
  <si>
    <t>機能仕様書: First Broker Login（shadow生成）</t>
  </si>
  <si>
    <t>HB-F-AUTH-08</t>
  </si>
  <si>
    <t>機能仕様書: Post Broker Login</t>
  </si>
  <si>
    <t>HB-F-AUTH-09</t>
  </si>
  <si>
    <t>機能仕様書: 2-tierフェデ（Broker→IdP-KC）</t>
  </si>
  <si>
    <t>HB-F-AUTH-10</t>
  </si>
  <si>
    <t>機能仕様書: MFA認証（TOTP）</t>
  </si>
  <si>
    <t>HB-F-AUTH-11</t>
  </si>
  <si>
    <t>機能仕様書: MFA認証（WebAuthn/パスキー）</t>
  </si>
  <si>
    <t>HB-F-AUTH-12</t>
  </si>
  <si>
    <t>機能仕様書: MFAエンロール（TOTP）</t>
  </si>
  <si>
    <t>HB-F-AUTH-13</t>
  </si>
  <si>
    <t>機能仕様書: MFAエンロール（WebAuthn）</t>
  </si>
  <si>
    <t>HB-F-AUTH-14</t>
  </si>
  <si>
    <t>機能仕様書: セキュアエンロール（2台目step-up）</t>
  </si>
  <si>
    <t>HB-F-AUTH-15</t>
  </si>
  <si>
    <t>機能仕様書: Recovery Code発行・利用</t>
  </si>
  <si>
    <t>HB-F-AUTH-16</t>
  </si>
  <si>
    <t>機能仕様書: email非保有リカバリ</t>
  </si>
  <si>
    <t>HB-F-AUTH-17</t>
  </si>
  <si>
    <t>機能仕様書: ステップアップ認証</t>
  </si>
  <si>
    <t>HB-F-AUTH-18</t>
  </si>
  <si>
    <t>機能仕様書: セルフサービスPWリセット</t>
  </si>
  <si>
    <t>HB-F-AUTH-19</t>
  </si>
  <si>
    <t>機能仕様書: PW変更/初回強制変更</t>
  </si>
  <si>
    <t>HB-F-AUTH-20</t>
  </si>
  <si>
    <t>機能仕様書: Brute Force検知・ロックアウト</t>
  </si>
  <si>
    <t>HB-F-AUTH-21</t>
  </si>
  <si>
    <t>機能仕様書: アカウント列挙対策（応答同一化）</t>
  </si>
  <si>
    <t>HB-F-AUTH-22</t>
  </si>
  <si>
    <t>機能仕様書: 漏洩PW検知（HIBP）</t>
  </si>
  <si>
    <t>HB-F-PROV-01</t>
  </si>
  <si>
    <t>機能仕様書: JITユーザ作成（フェデ初回）</t>
  </si>
  <si>
    <t>HB-F-PROV-02</t>
  </si>
  <si>
    <t>機能仕様書: JIT属性更新（syncMode）</t>
  </si>
  <si>
    <t>HB-F-PROV-03</t>
  </si>
  <si>
    <t>HB-F-PROV-04</t>
  </si>
  <si>
    <t>HB-F-PROV-05</t>
  </si>
  <si>
    <t>HB-F-PROV-06</t>
  </si>
  <si>
    <t>HB-F-PROV-07</t>
  </si>
  <si>
    <t>HB-F-PROV-08</t>
  </si>
  <si>
    <t>機能仕様書: 属性正準化（sourceレジストリ）</t>
  </si>
  <si>
    <t>HB-F-PROV-09</t>
  </si>
  <si>
    <t>機能仕様書: provisioned_by判別（6値・Case1-6）</t>
  </si>
  <si>
    <t>HB-F-PROV-10</t>
  </si>
  <si>
    <t>機能仕様書: Soft Delete（deprovisioned_at）</t>
  </si>
  <si>
    <t>HB-F-PROV-11</t>
  </si>
  <si>
    <t>機能仕様書: Re-Activation（再有効化）</t>
  </si>
  <si>
    <t>HB-F-PROV-12</t>
  </si>
  <si>
    <t>機能仕様書: 削除伝播（outbox→shadow制御）</t>
  </si>
  <si>
    <t>HB-F-PROV-13</t>
  </si>
  <si>
    <t>機能仕様書: 再有効化の対称伝播</t>
  </si>
  <si>
    <t>HB-F-PROV-14</t>
  </si>
  <si>
    <t>機能仕様書: 初回sub通知（Broker→ブランド）</t>
  </si>
  <si>
    <t>HB-F-PROV-15</t>
  </si>
  <si>
    <t>機能仕様書: authzスタブ行生成</t>
  </si>
  <si>
    <t>HB-F-PROV-16</t>
  </si>
  <si>
    <t>機能仕様書: idmap登録・更新</t>
  </si>
  <si>
    <t>HB-F-PROV-17</t>
  </si>
  <si>
    <t>機能仕様書: 統合射影の更新（3書込）</t>
  </si>
  <si>
    <t>HB-F-ADM-01</t>
  </si>
  <si>
    <t>機能仕様書: ユーザ検索・一覧</t>
  </si>
  <si>
    <t>HB-F-ADM-02</t>
  </si>
  <si>
    <t>機能仕様書: ユーザ詳細参照</t>
  </si>
  <si>
    <t>HB-F-ADM-03</t>
  </si>
  <si>
    <t>機能仕様書: ユーザ作成</t>
  </si>
  <si>
    <t>HB-F-ADM-04</t>
  </si>
  <si>
    <t>機能仕様書: ユーザ更新</t>
  </si>
  <si>
    <t>HB-F-ADM-05</t>
  </si>
  <si>
    <t>機能仕様書: ユーザ無効化/有効化</t>
  </si>
  <si>
    <t>HB-F-ADM-06</t>
  </si>
  <si>
    <t>機能仕様書: ユーザ削除（Soft Delete）</t>
  </si>
  <si>
    <t>HB-F-ADM-07</t>
  </si>
  <si>
    <t>機能仕様書: PWリセット（管理者）</t>
  </si>
  <si>
    <t>HB-F-ADM-08</t>
  </si>
  <si>
    <t>機能仕様書: ユーザ招待</t>
  </si>
  <si>
    <t>HB-F-ADM-09</t>
  </si>
  <si>
    <t>機能仕様書: MFAリセット（管理者）</t>
  </si>
  <si>
    <t>HB-F-ADM-10</t>
  </si>
  <si>
    <t>機能仕様書: セッション強制ログアウト（3粒度）</t>
  </si>
  <si>
    <t>HB-F-ADM-11</t>
  </si>
  <si>
    <t>HB-F-ADM-12</t>
  </si>
  <si>
    <t>機能仕様書: 機能ロール割当編集</t>
  </si>
  <si>
    <t>HB-F-ADM-13</t>
  </si>
  <si>
    <t>機能仕様書: 組織属性編集</t>
  </si>
  <si>
    <t>HB-F-ADM-14</t>
  </si>
  <si>
    <t>機能仕様書: テナント（Organization）作成</t>
  </si>
  <si>
    <t>HB-F-ADM-15</t>
  </si>
  <si>
    <t>機能仕様書: テナント設定編集</t>
  </si>
  <si>
    <t>HB-F-ADM-16</t>
  </si>
  <si>
    <t>機能仕様書: IdP接続 登録（6ステップ）</t>
  </si>
  <si>
    <t>HB-F-ADM-17</t>
  </si>
  <si>
    <t>機能仕様書: IdP接続 編集・証明書更新</t>
  </si>
  <si>
    <t>HB-F-ADM-18</t>
  </si>
  <si>
    <t>機能仕様書: 監査ログ照会</t>
  </si>
  <si>
    <t>HB-F-ADM-19</t>
  </si>
  <si>
    <t>機能仕様書: recertキャンペーン</t>
  </si>
  <si>
    <t>HB-F-ADM-20</t>
  </si>
  <si>
    <t>機能仕様書: CSV一括登録</t>
  </si>
  <si>
    <t>HB-F-ADM-21</t>
  </si>
  <si>
    <t>機能仕様書: CSV/監査ログ エクスポート</t>
  </si>
  <si>
    <t>HB-F-ADM-22</t>
  </si>
  <si>
    <t>機能仕様書: NHI台帳管理</t>
  </si>
  <si>
    <t>HB-F-AZ-01</t>
  </si>
  <si>
    <t>機能仕様書: /api/me/context 提供</t>
  </si>
  <si>
    <t>HB-F-AZ-02</t>
  </si>
  <si>
    <t>機能仕様書: /api/me/apps 提供</t>
  </si>
  <si>
    <t>HB-F-AZ-03</t>
  </si>
  <si>
    <t>HB-F-AZ-04</t>
  </si>
  <si>
    <t>機能仕様書: 機能ロール解決</t>
  </si>
  <si>
    <t>HB-F-AZ-05</t>
  </si>
  <si>
    <t>機能仕様書: テナントスコープ強制（IDOR防御）</t>
  </si>
  <si>
    <t>HB-F-AZ-06</t>
  </si>
  <si>
    <t>機能仕様書: 3層スコープ検証（管理API）</t>
  </si>
  <si>
    <t>HB-F-AZ-07</t>
  </si>
  <si>
    <t>機能仕様書: CCトークン発行（idm:*）</t>
  </si>
  <si>
    <t>HB-F-AZ-08</t>
  </si>
  <si>
    <t>機能仕様書: Token Exchange（Pattern 2/3）</t>
  </si>
  <si>
    <t>HB-F-AZ-09</t>
  </si>
  <si>
    <t>機能仕様書: 認可判定ログ記録</t>
  </si>
  <si>
    <t>HB-F-INT-01</t>
  </si>
  <si>
    <t>機能仕様書: ServiceNow SAML SSO</t>
  </si>
  <si>
    <t>HB-F-INT-02</t>
  </si>
  <si>
    <t>機能仕様書: ServiceNow L2 SAML JIT</t>
  </si>
  <si>
    <t>HB-F-INT-03</t>
  </si>
  <si>
    <t>機能仕様書: SN→他アプリOIDC貫通</t>
  </si>
  <si>
    <t>HB-F-INT-04</t>
  </si>
  <si>
    <t>機能仕様書: Webhook配信（7種・HMAC）</t>
  </si>
  <si>
    <t>HB-F-INT-05</t>
  </si>
  <si>
    <t>機能仕様書: EventBridge越境: 削除</t>
  </si>
  <si>
    <t>HB-F-INT-06</t>
  </si>
  <si>
    <t>機能仕様書: EventBridge越境: 初回sub通知</t>
  </si>
  <si>
    <t>HB-F-INT-07</t>
  </si>
  <si>
    <t>機能仕様書: SESメール送信</t>
  </si>
  <si>
    <t>HB-F-INT-08</t>
  </si>
  <si>
    <t>HB-F-INT-09</t>
  </si>
  <si>
    <t>HB-F-INT-10</t>
  </si>
  <si>
    <t>機能仕様書: デプロイ検知（pull型）</t>
  </si>
  <si>
    <t>HB-F-INT-11</t>
  </si>
  <si>
    <t>機能仕様書: IdPメタデータ自動更新</t>
  </si>
  <si>
    <t>HB-F-INT-12</t>
  </si>
  <si>
    <t>機能仕様書: CAEP/SSF送信</t>
  </si>
  <si>
    <t>HB-F-BAT-01</t>
  </si>
  <si>
    <t>機能仕様書: 90日休眠バッチ</t>
  </si>
  <si>
    <t>HB-F-BAT-02</t>
  </si>
  <si>
    <t>機能仕様書: 削除伝播リコンサイル（数分）</t>
  </si>
  <si>
    <t>HB-F-BAT-03</t>
  </si>
  <si>
    <t>機能仕様書: 日次リコンサイル</t>
  </si>
  <si>
    <t>HB-F-BAT-04</t>
  </si>
  <si>
    <t>機能仕様書: JWT署名鍵ローテ</t>
  </si>
  <si>
    <t>HB-F-BAT-05</t>
  </si>
  <si>
    <t>機能仕様書: client_secretローテ</t>
  </si>
  <si>
    <t>HB-F-BAT-06</t>
  </si>
  <si>
    <t>機能仕様書: NHI孤立検知</t>
  </si>
  <si>
    <t>HB-F-BAT-07</t>
  </si>
  <si>
    <t>機能仕様書: 証明書期限監視・通知</t>
  </si>
  <si>
    <t>HB-F-BAT-08</t>
  </si>
  <si>
    <t>機能仕様書: recertキャンペーン起動</t>
  </si>
  <si>
    <t>HB-F-BAT-09</t>
  </si>
  <si>
    <t>機能仕様書: 物理削除バッチ</t>
  </si>
  <si>
    <t>00a v2.3（A〜G 270。C-11 +1含む）+ 設計成果物H 542（292行。うち機能仕様書HB-F-* 91行=57／認証実装ガイドH-L 53行=108）。別シート「WBS(基本設計)」に412行の明細</t>
  </si>
  <si>
    <t>内訳: HA 56／HB 93.5／HC 40／HD 42／HE 53／HF 13.5／HG 21／HH 12／HI 22／HJ 56／HK 25／HL 108。★H-Bは行数113（機能仕様書91行 + その他13行 + 廃止9行）だが、群小計の管理単位は38項目/93.5人日とする</t>
  </si>
  <si>
    <t>★位置づけ: WBS(基本設計) の HB-F-* 91行がマスタ。本シートは参照ビュー（系統・出典の一覧性を保つため残置）。人日はWBS側のみで管理する</t>
  </si>
  <si>
    <t>F-INT-01, F-INT-02</t>
  </si>
  <si>
    <t>F-PROV-01, F-AUTH-16</t>
  </si>
  <si>
    <t>F-INT-11, F-BAT-07</t>
  </si>
  <si>
    <t>F-AUTH-02, F-AUTH-03</t>
  </si>
  <si>
    <t>F-AUTH-01, F-PROV-01</t>
  </si>
  <si>
    <t>F-AUTH-20, F-AUTH-21</t>
  </si>
  <si>
    <t>F-ADM-04, F-BAT-*</t>
  </si>
  <si>
    <t>F-ADM-01〜22</t>
  </si>
  <si>
    <t>F-PROV-10, F-PROV-11</t>
  </si>
  <si>
    <t>F-ADM-08, F-AUTH-18, F-INT-07</t>
  </si>
  <si>
    <t>F-ADM-11, F-ADM-12, F-AZ-03</t>
  </si>
  <si>
    <t>F-PROV-03〜06</t>
  </si>
  <si>
    <t>F-INT-05, F-INT-06</t>
  </si>
  <si>
    <t>F-INT-07, F-AUTH-22</t>
  </si>
  <si>
    <t>F-BAT-*</t>
  </si>
  <si>
    <t>F-BAT-01, F-BAT-09</t>
  </si>
  <si>
    <t>F-BAT-02, F-BAT-03</t>
  </si>
  <si>
    <t>F-AZ-05, F-AZ-06</t>
  </si>
  <si>
    <t>F-PROV-01, F-PROV-11</t>
  </si>
  <si>
    <t>テナント管理者ガイド／渡す相手: テナント管理者</t>
  </si>
  <si>
    <t>（廃止）旧来の接続方式の検証。対象顧客がいないため実施しない</t>
  </si>
  <si>
    <t>作業なし</t>
  </si>
  <si>
    <t>（解消済み）識別子の対応づけデータの置き場所の検討。別の判断で決着したため不要</t>
  </si>
  <si>
    <t>作業なし。決着内容は他の設計書に反映済み</t>
  </si>
  <si>
    <t>（解消済み）利用者情報の受け取り窓口の実行方式の検討。別の判断で決着したため不要</t>
  </si>
  <si>
    <t>（廃止）旧来の接続方式向けの追加設計。対象顧客がいないため実施しない</t>
  </si>
  <si>
    <t>（廃止）認証系の機能仕様書。1 機能 1 行に分割したため、この行では作業しない</t>
  </si>
  <si>
    <t>作業なし。分割先の各行で実施する</t>
  </si>
  <si>
    <t>（廃止）プロビジョニング系の機能仕様書。1 機能 1 行に分割したため、この行では作業しない</t>
  </si>
  <si>
    <t>（廃止）管理系の機能仕様書。1 機能 1 行に分割したため、この行では作業しない</t>
  </si>
  <si>
    <t>（廃止）認可系の機能仕様書。1 機能 1 行に分割したため、この行では作業しない</t>
  </si>
  <si>
    <t>（廃止）連携系の機能仕様書。1 機能 1 行に分割したため、この行では作業しない</t>
  </si>
  <si>
    <t>（廃止）バッチ系の機能仕様書。1 機能 1 行に分割したため、この行では作業しない</t>
  </si>
  <si>
    <t>利用者から見た業務の流れを、代表的な 6 場面について図にする</t>
  </si>
  <si>
    <t>業務フロー 6 本。利用者とシステムのやり取りが追える</t>
  </si>
  <si>
    <t>管理者から見た業務の流れを、代表的な 5 場面について図にする</t>
  </si>
  <si>
    <t>業務フロー 5 本</t>
  </si>
  <si>
    <t>外部システムとの連携の流れを、代表的な 4 場面について図にする</t>
  </si>
  <si>
    <t>業務フロー 4 本</t>
  </si>
  <si>
    <t>利用者が登録されてから使えなくなるまでの状態の移り変わりを図にする</t>
  </si>
  <si>
    <t>状態遷移図。すべての状態と移り変わりの条件が定まっている</t>
  </si>
  <si>
    <t>通行証とログイン状態の移り変わりを図にする</t>
  </si>
  <si>
    <t>状態遷移図。有効期限切れや強制終了の扱いが示されている</t>
  </si>
  <si>
    <t>一覧画面での検索条件・並び順・件数の区切り方を決める</t>
  </si>
  <si>
    <t>設計。大量データでも実用的な速さで返る条件が定まっている</t>
  </si>
  <si>
    <t>まとめて登録するためのファイルの形式と取り込み方を決める</t>
  </si>
  <si>
    <t>設計。形式・上限件数・一部が失敗した場合の扱いが定まっている</t>
  </si>
  <si>
    <t>一覧や記録をファイルとして出力する機能の設計</t>
  </si>
  <si>
    <t>設計。出力項目と、個人情報の扱いの注意が定まっている</t>
  </si>
  <si>
    <t>（廃止）アプリ開発者向けの実装ガイド。章ごとに分割したため、この行では作業しない</t>
  </si>
  <si>
    <t>作業なし。分割先の各章で実施する</t>
  </si>
  <si>
    <t>このガイドの目的・想定読者・読み進め方をまとめた導入。改訂の方針もここに書く</t>
  </si>
  <si>
    <t>ガイド 1 章。対象読者と前提知識が明示され、どの章から読めばよいかの案内がある</t>
  </si>
  <si>
    <t>本基盤がどんな仕組みで、どこまでを引き受け、どこからがアプリ側の責任かを示す全体像</t>
  </si>
  <si>
    <t>ガイド 1 章。提供する範囲と提供しない範囲が対比で示されている</t>
  </si>
  <si>
    <t>このガイドで使う言葉の意味を揃える用語集</t>
  </si>
  <si>
    <t>ガイド 1 章。本文で使う用語が漏れなく定義され、本文からリンクされている</t>
  </si>
  <si>
    <t>接続作業を始める前にアプリ側で決めておくべきことを一覧にした章。アプリの種類・認証の強さ・情報の保持方法など</t>
  </si>
  <si>
    <t>ガイド 1 章。決定事項が選択肢つきで列挙され、決めないと先に進めない項目が明示されている</t>
  </si>
  <si>
    <t>接続の申請手続きと、申請から利用開始までにかかる期間の案内</t>
  </si>
  <si>
    <t>ガイド 1 章。申請様式・審査観点・標準的な所要日数が示されている</t>
  </si>
  <si>
    <t>開発・検証・本番それぞれの接続先情報の受け取り方と、環境ごとの違い</t>
  </si>
  <si>
    <t>ガイド 1 章。接続先はアプリ内に直接書かず設定から読む方式であることが明記されている</t>
  </si>
  <si>
    <t>接続に必要な情報を自動取得する仕組みと、その入口となるアドレスの案内</t>
  </si>
  <si>
    <t>ガイド 1 章。取得すべき入口が 1 つに定まり、個別のアドレスを直接書かない原則が明記されている</t>
  </si>
  <si>
    <t>アプリに配る接続用パスワードの管理方法と、定期的な入れ替えへの追随方法</t>
  </si>
  <si>
    <t>ガイド 1 章。入れ替え時に接続が切れないための実装要件が示されている</t>
  </si>
  <si>
    <t>サーバー側で処理を受け持つ形式のアプリ向けの実装手順。本基盤の推奨形式</t>
  </si>
  <si>
    <t>ガイド 1 章。推奨する理由と、この形式でしか使えない機能が明示されている</t>
  </si>
  <si>
    <t>ブラウザだけで動く形式のアプリ向けの実装手順と、認める条件</t>
  </si>
  <si>
    <t>ガイド 1 章。通行証をブラウザに保存してはいけない範囲と、使えない機能の制約が明示されている</t>
  </si>
  <si>
    <t>スマートフォンアプリ向けの実装方針。初期リリースでは対象外</t>
  </si>
  <si>
    <t>ガイド 1 章。対象外である旨と、将来対応時の前提が示されている</t>
  </si>
  <si>
    <t>画面を持たないシステム同士の連携で通行証を得る方法</t>
  </si>
  <si>
    <t>ガイド 1 章。必要最小限の権限だけを申請する原則が示されている</t>
  </si>
  <si>
    <t>旧来の方式で接続している既存システム向けの実装要件</t>
  </si>
  <si>
    <t>ガイド 1 章。検証必須項目と、証明書入れ替え時の対応手順が示されている</t>
  </si>
  <si>
    <t>ログインを開始するときにアプリが必ず付ける情報と、やってはいけない古い方式</t>
  </si>
  <si>
    <t>ガイド 1 章。必須パラメータと禁止事項が判定可能な形で列挙されている</t>
  </si>
  <si>
    <t>受け取った通行証をどこに保存してよいか・いけないかの方針</t>
  </si>
  <si>
    <t>ガイド 1 章。保存場所ごとの可否と理由が示されている</t>
  </si>
  <si>
    <t>アプリが受け取った通行証を検証するときの必須チェック項目。設定を誤ると検証が素通りする落とし穴の警告を含む</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</si>
  <si>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</si>
  <si>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</si>
  <si>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</si>
  <si>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</si>
  <si>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</si>
  <si>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他のテナントのデータに触れないようにするための実装要件</t>
  </si>
  <si>
    <t>ガイド 1 章。ログイン情報を要求内容より優先する原則と、データ 1 件ごとの確認が必要な理由が示されている</t>
  </si>
  <si>
    <t>アプリが「この利用者は何ができるか」を取得する方法。通行証には権限が入っていないことの説明を含む</t>
  </si>
  <si>
    <t>ガイド 1 章。取得の入口と、結果を保持してよい時間の考え方が示されている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</si>
  <si>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</si>
  <si>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</si>
  <si>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</si>
  <si>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</si>
  <si>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</si>
  <si>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</si>
  <si>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通行証を延長するための仕組みと、不正利用が疑われた場合の挙動</t>
  </si>
  <si>
    <t>ガイド 1 章。延長時の入れ替え要件と、失効したときのアプリ側の動きが示されている</t>
  </si>
  <si>
    <t>重要操作のときに追加認証を求められた場合のアプリ側の対応方法</t>
  </si>
  <si>
    <t>ガイド 1 章。追加認証を求める応答の読み取り方と、再ログイン要求の組み立て方が示されている</t>
  </si>
  <si>
    <t>接続前に満たすべきセキュリティ要件を、確認できる形にまとめた一覧</t>
  </si>
  <si>
    <t>ガイド 1 章。各項目が満たす／満たさないで判定でき、受入審査に使える</t>
  </si>
  <si>
    <t>ブラウザからの通信を安全にするための設定要件</t>
  </si>
  <si>
    <t>ガイド 1 章。許可する接続元の指定方法と、緩めてはいけない設定が示されている</t>
  </si>
  <si>
    <t>やってはいけない実装をまとめた一覧。実際に事故につながる 23 項目</t>
  </si>
  <si>
    <t>ガイド 1 章。各項目に「何が起きるか」が併記され、レビュー時のチェックに使える</t>
  </si>
  <si>
    <t>記録に残してよい情報・いけない情報と、問い合わせ調査のための共通の目印</t>
  </si>
  <si>
    <t>ガイド 1 章。通行証を記録に残さない原則と、調査用の目印の付け方が示されている</t>
  </si>
  <si>
    <t>エラーが返ったときにアプリが取るべき動作の一覧。すぐ再試行すれば成功するものをエラー画面にしない注意を含む</t>
  </si>
  <si>
    <t>ガイド 1 章。主要なエラーごとに期待動作が定義され、再試行で回復するものが明示されている</t>
  </si>
  <si>
    <t>権限が足りない場合に共通の案内画面へ誘導する決まり</t>
  </si>
  <si>
    <t>ガイド 1 章。誘導先と、渡してよい理由コードが限定列挙されている</t>
  </si>
  <si>
    <t>ログインできなかったときに利用者へ見せる案内の考え方</t>
  </si>
  <si>
    <t>ガイド 1 章。再ログインへの誘導方法と、原因を詳しく出しすぎない方針が示されている</t>
  </si>
  <si>
    <t>ログインボタンの表記やロゴの使い方の決まり</t>
  </si>
  <si>
    <t>ガイド 1 章。表記の統一ルールと、使用可能な素材が示されている</t>
  </si>
  <si>
    <t>あるアプリ向けの通行証を別のアプリ向けに交換する仕組みの使い方</t>
  </si>
  <si>
    <t>ガイド 1 章。交換を許す条件と、権限を広げてはいけない原則が示されている</t>
  </si>
  <si>
    <t>利用者の変更通知を受け取るアプリ側の実装要件。同じ通知が二重に来ても大丈夫にする方法を含む</t>
  </si>
  <si>
    <t>ガイド 1 章。署名の確認・重複排除・順序が保証されない前提での作り方が示されている</t>
  </si>
  <si>
    <t>利用者の状態変化を即時に受け取る新方式の姿勢。初期リリースでは対象外</t>
  </si>
  <si>
    <t>ガイド 1 章。対象外である旨と、当面の代替手段が示されている</t>
  </si>
  <si>
    <t>呼び出し回数の上限と、上限に達したときの正しい待ち方</t>
  </si>
  <si>
    <t>ガイド 1 章。応答に含まれる待ち時間の読み方と、自己流の待ち方をしない旨が示されている</t>
  </si>
  <si>
    <t>基盤側で障害が起きたときにアプリ側で何が起きるか、どこまで動き続けるかの説明</t>
  </si>
  <si>
    <t>ガイド 1 章。止まる範囲・動き続ける範囲と、復旧時に再ログインが必要になる条件が示されている</t>
  </si>
  <si>
    <t>アプリ側で持つべき監視の観点と、基盤側の定期確認への協力事項</t>
  </si>
  <si>
    <t>ガイド 1 章。調査用の目印の連携方法と、確認用の入口の扱いが示されている</t>
  </si>
  <si>
    <t>契約上アプリ側に理解してもらう必要がある制約の一覧。止めてから完全に切れるまでの時間差など</t>
  </si>
  <si>
    <t>ガイド 1 章。制約が具体的な時間・条件つきで列挙され、契約文書と対応づいている</t>
  </si>
  <si>
    <t>接続仕様が変わるときの通知方法と、移行にかけられる期間の約束</t>
  </si>
  <si>
    <t>ガイド 1 章。事前通知の期間と、通知の届く手段が示されている</t>
  </si>
  <si>
    <t>本番につなぐ前に試せる環境と、確認しておくべき項目</t>
  </si>
  <si>
    <t>ガイド 1 章。検証環境の入手方法と、試験用の利用者の扱いが示されている</t>
  </si>
  <si>
    <t>本番接続の前に満たす条件をまとめたチェックリスト</t>
  </si>
  <si>
    <t>ガイド 1 章。判定可能な項目で構成され、外部の適合性試験の推奨も含まれている</t>
  </si>
  <si>
    <t>本番稼働後に設定を変えたくなったときの手続き</t>
  </si>
  <si>
    <t>ガイド 1 章。変更できる項目ごとの申請方法と所要期間が示されている</t>
  </si>
  <si>
    <t>旧来のやり方から本基盤へ切り替える場合の移行手順</t>
  </si>
  <si>
    <t>ガイド 1 章。切り替え時の並行運用の考え方と、注意点が示されている</t>
  </si>
  <si>
    <t>接続に使う各種アドレスの一覧</t>
  </si>
  <si>
    <t>ガイド 1 章。用途ごとに整理され、直接書かずに取得する方針と矛盾しない形で示されている</t>
  </si>
  <si>
    <t>通行証に入っている情報と、申請できる権限の一覧</t>
  </si>
  <si>
    <t>ガイド 1 章。各項目の意味と、権限を認可判断に使ってよい／いけない区別が示されている</t>
  </si>
  <si>
    <t>使ってよい実装ライブラリの方針。特定製品専用の古い部品は使わせない</t>
  </si>
  <si>
    <t>ガイド 1 章。推奨するライブラリの条件と、使用を認めない部品が明示されている</t>
  </si>
  <si>
    <t>困ったときの問い合わせ先と、よくある質問</t>
  </si>
  <si>
    <t>ガイド 1 章。緊急度別の連絡先と、回答の目安時間が示されている</t>
  </si>
  <si>
    <t>このガイド自体の改訂履歴と、更新の知らせ方</t>
  </si>
  <si>
    <t>ガイド 1 章。改訂の記録様式と、読者への通知方法が定義されている</t>
  </si>
  <si>
    <t>ガイド内で使う処理の流れ図の作成</t>
  </si>
  <si>
    <t>主要 8 パターンの流れ図。各章から参照され、文章と図の内容が一致している</t>
  </si>
  <si>
    <t>ガイド全体を通しての整合性の確認と、設計書との突き合わせ</t>
  </si>
  <si>
    <t>レビュー記録。設計書の決定と食い違う記述がないことが確認されている</t>
  </si>
  <si>
    <t>アプリ開発チームへの説明会と、そこで出た指摘の反映</t>
  </si>
  <si>
    <t>説明会の実施記録と改訂版ガイド。参加チームからの指摘が反映されている</t>
  </si>
  <si>
    <t>利用者 ID とパスワードで直接ログインする機能。顧客側に認証システムがないテナントの利用者と、基盤の運用担当者が使う</t>
  </si>
  <si>
    <t>機能仕様書 1 本。パスワード桁数・履歴・初回変更の扱いと、失敗時に利用者へ返す内容が定義されレビュー承認済み</t>
  </si>
  <si>
    <t>ログイン画面で入力された ID から、その人がどの接続先（顧客の認証システム）の利用者かを判定し、自動で振り分ける。接続先の一覧を画面に出さずに済ませるための仕組み</t>
  </si>
  <si>
    <t>機能仕様書 1 本。ID の書式から接続先を決める判定ルールと、判定できなかった場合の扱いが定義されレビュー承認済み</t>
  </si>
  <si>
    <t>接続先を判定できなかったときに、パスワード入力欄に切り替えて処理を続ける動き。どのテナントか分からない状態でも利用者を止めないための逃げ道</t>
  </si>
  <si>
    <t>機能仕様書 1 本。切り替わる条件と、利用者に見せる案内文の方針が定義されレビュー承認済み</t>
  </si>
  <si>
    <t>1 つのテナントに接続先が複数ある場合に、利用者にどれを使うか選ばせる画面の動き</t>
  </si>
  <si>
    <t>機能仕様書 1 本。選択肢の並び順の決め方と、そのテナント以外の接続先を見せない条件が定義されレビュー承認済み</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</si>
  <si>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</si>
  <si>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</si>
  <si>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</si>
  <si>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</si>
  <si>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顧客の認証システムで認証された人が初めてログインしたとき、基盤側に利用者の控えを自動で作る機能</t>
  </si>
  <si>
    <t>機能仕様書 1 本。控えを作る条件・作らない条件と、既存の人と重なった場合の扱いが定義されレビュー承認済み</t>
  </si>
  <si>
    <t>初回登録の後に毎回通る処理。属性の取り込みや必須項目の確認を行う</t>
  </si>
  <si>
    <t>機能仕様書 1 本。毎回上書きする項目と保護する項目の区別が定義されレビュー承認済み</t>
  </si>
  <si>
    <t>基盤内部で 2 段構えになっている認証システム同士の連携。利用者から見えない内部のログイン委譲</t>
  </si>
  <si>
    <t>機能仕様書 1 本。内部連携で渡す情報と、片方が停止した場合の見え方が定義されレビュー承認済み</t>
  </si>
  <si>
    <t>スマートフォンアプリで生成する 6 桁の数字による追加認証</t>
  </si>
  <si>
    <t>機能仕様書 1 本。桁ずれの許容範囲と、連続失敗時の扱いが定義されレビュー承認済み</t>
  </si>
  <si>
    <t>端末の生体認証やセキュリティキーを使った追加認証。本基盤の推奨方式</t>
  </si>
  <si>
    <t>機能仕様書 1 本。利用できる認証器の条件と、登録済み端末が使えない場合の代替経路が定義されレビュー承認済み</t>
  </si>
  <si>
    <t>スマートフォンアプリの追加認証を初めて登録する画面の流れ</t>
  </si>
  <si>
    <t>機能仕様書 1 本。QR と手入力の両方を用意し、登録完了を確認してから有効化する手順が定義されレビュー承認済み</t>
  </si>
  <si>
    <t>生体認証やセキュリティキーを初めて登録する画面の流れ</t>
  </si>
  <si>
    <t>機能仕様書 1 本。登録時に確認する条件と、登録失敗時の案内が定義されレビュー承認済み</t>
  </si>
  <si>
    <t>2 台目以降の認証器を登録するときに、追加認証をもう一度求める仕組み。乗っ取られた状態で勝手に端末を増やされるのを防ぐ</t>
  </si>
  <si>
    <t>機能仕様書 1 本。追加認証を必須とする操作の一覧が定義されレビュー承認済み</t>
  </si>
  <si>
    <t>端末を失くしたときに使う一度きりのコードを発行し、利用させる機能</t>
  </si>
  <si>
    <t>機能仕様書 1 本。発行枚数・再発行条件・使用後の無効化が定義されレビュー承認済み</t>
  </si>
  <si>
    <t>メールアドレスを持たない利用者が端末を失くした場合の復旧手段。管理者の承認を経て復旧する</t>
  </si>
  <si>
    <t>機能仕様書 1 本。メールに依存しない復旧経路と、承認者の条件が定義されレビュー承認済み</t>
  </si>
  <si>
    <t>重要な操作をするときだけ、その場で追加の認証を求める仕組み</t>
  </si>
  <si>
    <t>機能仕様書 1 本。追加認証を求める操作の一覧と、断られた場合の扱いが定義されレビュー承認済み</t>
  </si>
  <si>
    <t>利用者が自分でパスワードを再設定する機能</t>
  </si>
  <si>
    <t>機能仕様書 1 本。本人確認の方法と、メールを持たない利用者の扱いが定義されレビュー承認済み</t>
  </si>
  <si>
    <t>パスワードの変更と、初回ログイン時に変更を強制する動き</t>
  </si>
  <si>
    <t>機能仕様書 1 本。強制する条件と、変更するまで他の操作をさせない範囲が定義されレビュー承認済み</t>
  </si>
  <si>
    <t>パスワードの連続失敗を検知して一時的に受け付けなくする機能</t>
  </si>
  <si>
    <t>機能仕様書 1 本。失敗回数・待ち時間・解除条件が定義されレビュー承認済み</t>
  </si>
  <si>
    <t>機能仕様書 1 本。存在有無で応答・時間差が変わらないことの確認方法が定義されレビュー承認済み</t>
  </si>
  <si>
    <t>機能仕様書 1 本。照会のタイミングと、一致した場合の利用者への扱いが定義されレビュー承認済み</t>
  </si>
  <si>
    <t>顧客の認証システム経由で初めてログインした人を、その場で利用者として登録する機能</t>
  </si>
  <si>
    <t>機能仕様書 1 本。登録時に設定する項目と、登録しない条件が定義されレビュー承認済み</t>
  </si>
  <si>
    <t>2 回目以降のログイン時に、顧客側の最新情報で属性を更新する機能</t>
  </si>
  <si>
    <t>機能仕様書 1 本。上書きする項目と、基盤側で保護して上書きさせない項目の区別が定義されレビュー承認済み</t>
  </si>
  <si>
    <t>顧客の人事システムなどから利用者の新規登録を受け取る機能</t>
  </si>
  <si>
    <t>機能仕様書 1 本。受け取る項目・必須条件と、重複時の扱いが定義されレビュー承認済み</t>
  </si>
  <si>
    <t>顧客側からの利用者情報の変更を受け取って反映する機能</t>
  </si>
  <si>
    <t>機能仕様書 1 本。反映対象の項目と、反映しない項目が定義されレビュー承認済み</t>
  </si>
  <si>
    <t>顧客側からの削除通知を受け取り、基盤側では消さずに使えない状態にする機能</t>
  </si>
  <si>
    <t>機能仕様書 1 本。削除通知を無効化に読み替える規則と、記録に残す項目が定義されレビュー承認済み</t>
  </si>
  <si>
    <t>顧客側から利用者を検索・絞り込みで問い合わせられるようにする機能</t>
  </si>
  <si>
    <t>機能仕様書 1 本。検索できる項目と、他テナントの情報が出ないことの担保が定義されレビュー承認済み</t>
  </si>
  <si>
    <t>顧客側のグループ情報を受け取る機能。初期リリースでは対象外</t>
  </si>
  <si>
    <t>機能仕様書 1 本（対象外の宣言を含む）。将来対応する場合の前提と、当面受け取らない旨が明記されレビュー承認済み</t>
  </si>
  <si>
    <t>顧客ごとにバラバラな項目名を、基盤内の共通の呼び方に変換して取り込む仕組み</t>
  </si>
  <si>
    <t>機能仕様書 1 本。変換の対応表をどこで管理するかと、対応がない項目の扱いが定義されレビュー承認済み</t>
  </si>
  <si>
    <t>その利用者がどの経路で登録されたかを区別し、後の自動処理の対象を判断できるようにする仕組み</t>
  </si>
  <si>
    <t>機能仕様書 1 本。区分の一覧と、経路が重なった場合にどれを優先するかが定義されレビュー承認済み</t>
  </si>
  <si>
    <t>利用者を削除せず使えない状態にし、いつ止めたかを記録する機能</t>
  </si>
  <si>
    <t>機能仕様書 1 本。止める操作の入口と、記録する日時項目が定義されレビュー承認済み</t>
  </si>
  <si>
    <t>一度止めた利用者を再び使えるようにする機能。誤って復活させない条件を含む</t>
  </si>
  <si>
    <t>機能仕様書 1 本。復活させてよい条件・させてはいけない条件が定義されレビュー承認済み</t>
  </si>
  <si>
    <t>片方のシステムで利用者を止めたとき、その事実をもう一方にも必ず伝えて確実に遮断する仕組み</t>
  </si>
  <si>
    <t>機能仕様書 1 本。伝わらなかった場合の再送と、遅れた場合の最大の待ち時間が定義されレビュー承認済み</t>
  </si>
  <si>
    <t>再び使えるようにした場合も、止めたときと同じ経路でもう一方に伝える仕組み</t>
  </si>
  <si>
    <t>機能仕様書 1 本。止める側と戻す側で扱いが対称であることが定義されレビュー承認済み</t>
  </si>
  <si>
    <t>初めてログインした人の識別子を、権限を管理する側へ知らせる仕組み</t>
  </si>
  <si>
    <t>機能仕様書 1 本。通知する内容と、二重に届いた場合の扱いが定義されレビュー承認済み</t>
  </si>
  <si>
    <t>権限管理側で、まだ権限が設定されていない利用者の受け皿となる行を作る機能</t>
  </si>
  <si>
    <t>機能仕様書 1 本。作成する条件と、テナントをまたいで混ざらない担保が定義されレビュー承認済み</t>
  </si>
  <si>
    <t>顧客側の利用者番号と基盤側の識別子を対応づけて管理する機能</t>
  </si>
  <si>
    <t>機能仕様書 1 本。対応づけの登録・更新の経路と、番号が変わった場合の扱いが定義されレビュー承認済み</t>
  </si>
  <si>
    <t>アプリが 1 回の問い合わせで必要な情報を得られるよう、複数の情報源をまとめた参照用データを最新に保つ仕組み</t>
  </si>
  <si>
    <t>機能仕様書 1 本。更新の入力元と、同じ更新が二重に来た場合の扱いが定義されレビュー承認済み</t>
  </si>
  <si>
    <t>管理者が自分のテナントの利用者を検索・一覧表示する機能</t>
  </si>
  <si>
    <t>機能仕様書 1 本。検索条件・並び順・件数の上限と、他テナントが出ないことの担保が定義されレビュー承認済み</t>
  </si>
  <si>
    <t>利用者 1 人の詳細情報を表示する機能</t>
  </si>
  <si>
    <t>機能仕様書 1 本。表示する項目と、権限によって見せない項目が定義されレビュー承認済み</t>
  </si>
  <si>
    <t>管理者が利用者を新規に登録する機能</t>
  </si>
  <si>
    <t>機能仕様書 1 本。入力必須項目と、登録できない条件が定義されレビュー承認済み</t>
  </si>
  <si>
    <t>管理者が利用者の情報を変更する機能</t>
  </si>
  <si>
    <t>機能仕様書 1 本。変更できる項目と、顧客側から同期される項目の扱いの違いが定義されレビュー承認済み</t>
  </si>
  <si>
    <t>管理者が利用者を一時的に使えなくする／戻す機能</t>
  </si>
  <si>
    <t>機能仕様書 1 本。操作の即時性と、利用中のログイン状態への影響が定義されレビュー承認済み</t>
  </si>
  <si>
    <t>管理者が利用者を削除する機能。実際には消さずに使えない状態にする</t>
  </si>
  <si>
    <t>機能仕様書 1 本。削除操作の入口と、取り消せない旨の確認方法が定義されレビュー承認済み</t>
  </si>
  <si>
    <t>管理者が利用者のパスワードを初期化する機能</t>
  </si>
  <si>
    <t>機能仕様書 1 本。初期化後の受け渡し方法と、次回ログイン時の強制変更が定義されレビュー承認済み</t>
  </si>
  <si>
    <t>新しい利用者に招待を送り、本人に初期設定させる機能</t>
  </si>
  <si>
    <t>機能仕様書 1 本。招待の有効期限・再送・失効の扱いが定義されレビュー承認済み</t>
  </si>
  <si>
    <t>管理者が利用者の追加認証の登録を解除する機能。端末紛失時の復旧に使う</t>
  </si>
  <si>
    <t>機能仕様書 1 本。解除できる条件と、承認・記録の要否が定義されレビュー承認済み</t>
  </si>
  <si>
    <t>管理者が利用者のログイン状態を強制的に終了させる機能。個別・テナント単位・全体の 3 段階</t>
  </si>
  <si>
    <t>機能仕様書 1 本。3 つの範囲それぞれの適用条件と、影響範囲が定義されレビュー承認済み</t>
  </si>
  <si>
    <t>どの利用者にどのアプリを使わせるかを設定する機能</t>
  </si>
  <si>
    <t>機能仕様書 1 本。設定の単位と、設定変更がアプリ側に反映されるまでの考え方が定義されレビュー承認済み</t>
  </si>
  <si>
    <t>アプリごとの役割（ロール）を利用者に割り当てる機能</t>
  </si>
  <si>
    <t>機能仕様書 1 本。役割の値をアプリ側が自由に決められる範囲が定義されレビュー承認済み</t>
  </si>
  <si>
    <t>利用者が所属する組織の情報を編集する機能</t>
  </si>
  <si>
    <t>機能仕様書 1 本。編集できる属性と、アプリ側へ渡る範囲が定義されレビュー承認済み</t>
  </si>
  <si>
    <t>機能仕様書 1 本。作成時に必要な情報と、初期状態の設定が定義されレビュー承認済み</t>
  </si>
  <si>
    <t>機能仕様書 1 本。設定できる項目と、変更が利用者に及ぼす影響が定義されレビュー承認済み</t>
  </si>
  <si>
    <t>顧客の認証システムを基盤に接続する登録作業を行う機能</t>
  </si>
  <si>
    <t>機能仕様書 1 本。登録に必要な情報と、接続確認が取れるまでの手順が定義されレビュー承認済み</t>
  </si>
  <si>
    <t>接続済みの認証システムの設定変更と、期限が来る証明書の入れ替えを行う機能</t>
  </si>
  <si>
    <t>機能仕様書 1 本。無停止で入れ替える手順と、期限切れ前の通知が定義されレビュー承認済み</t>
  </si>
  <si>
    <t>管理操作やログインの記録を、管理者が検索・閲覧する機能</t>
  </si>
  <si>
    <t>機能仕様書 1 本。閲覧できる範囲・期間と、他テナントが見えないことの担保が定義されレビュー承認済み</t>
  </si>
  <si>
    <t>機能仕様書 1 本。見直しの周期・対象・未対応時の扱いが定義されレビュー承認済み</t>
  </si>
  <si>
    <t>利用者をまとめて登録するためのファイル取り込み機能</t>
  </si>
  <si>
    <t>機能仕様書 1 本。ファイル形式・件数上限・一部が失敗した場合の扱いが定義されレビュー承認済み</t>
  </si>
  <si>
    <t>利用者一覧や操作記録をファイルとして出力する機能</t>
  </si>
  <si>
    <t>機能仕様書 1 本。出力できる項目・件数上限と、個人情報の取り扱い注意が定義されレビュー承認済み</t>
  </si>
  <si>
    <t>人ではないシステム用のアカウントを台帳で管理する機能</t>
  </si>
  <si>
    <t>機能仕様書 1 本。登録必須項目（管理責任者など）と、使われていないものの検出方針が定義されレビュー承認済み</t>
  </si>
  <si>
    <t>アプリが「この利用者は何ができるか」を 1 回の問い合わせで取得できるようにする機能</t>
  </si>
  <si>
    <t>機能仕様書 1 本。返す情報の構成と、アプリ側で結果を保持してよい時間の考え方が定義されレビュー承認済み</t>
  </si>
  <si>
    <t>ログイン後の入口画面に表示する「使えるアプリの一覧」を返す機能</t>
  </si>
  <si>
    <t>機能仕様書 1 本。一覧に出す条件と、権限がないアプリを出さない扱いが定義されレビュー承認済み</t>
  </si>
  <si>
    <t>利用者がそのアプリを使ってよいかを判定する処理</t>
  </si>
  <si>
    <t>機能仕様書 1 本。判定の入力と結果の種類、判定できない場合の扱いが定義されレビュー承認済み</t>
  </si>
  <si>
    <t>アプリごとの役割の値を解決して返す処理</t>
  </si>
  <si>
    <t>機能仕様書 1 本。値の受け渡し方式と、アプリ側の解釈に委ねる範囲が定義されレビュー承認済み</t>
  </si>
  <si>
    <t>利用者が自分のテナント以外のデータに触れないよう強制する仕組み</t>
  </si>
  <si>
    <t>機能仕様書 1 本。要求内容よりログイン情報を優先する原則と、違反時の応答が定義されレビュー承認済み</t>
  </si>
  <si>
    <t>管理画面の操作について、テナント・役割・対象の 3 つの観点で権限を確認する仕組み</t>
  </si>
  <si>
    <t>機能仕様書 1 本。3 段階それぞれの確認内容と、いずれか失敗時の応答が定義されレビュー承認済み</t>
  </si>
  <si>
    <t>機能仕様書 1 本。発行できる権限の種類と、最小限に絞る原則が定義されレビュー承認済み</t>
  </si>
  <si>
    <t>機能仕様書 1 本。交換を許す組み合わせと、権限を広げない原則が定義されレビュー承認済み</t>
  </si>
  <si>
    <t>誰が何を許可・拒否されたかを記録する機能</t>
  </si>
  <si>
    <t>機能仕様書 1 本。記録する項目と、量を抑えるための記録対象の絞り方が定義されレビュー承認済み</t>
  </si>
  <si>
    <t>業務システムに対して、本基盤が認証の提供元として振る舞う連携機能</t>
  </si>
  <si>
    <t>機能仕様書 1 本。連携で渡す識別子と、受け側の設定要件が定義されレビュー承認済み</t>
  </si>
  <si>
    <t>業務システム側で、初回ログイン時に利用者を自動作成させる連携</t>
  </si>
  <si>
    <t>機能仕様書 1 本。突合に使う項目と、既存利用者と重なった場合の扱いが定義されレビュー承認済み</t>
  </si>
  <si>
    <t>業務システムにログインした状態から、他のアプリの API を呼べるようにする連携</t>
  </si>
  <si>
    <t>機能仕様書 1 本。通行証の受け渡し経路と、対象アプリの条件が定義されレビュー承認済み</t>
  </si>
  <si>
    <t>利用者の変更をアプリ側へ通知する仕組み。届かなかった場合の再送を含む</t>
  </si>
  <si>
    <t>機能仕様書 1 本。通知の種類・再送回数・受信側の実装要件が定義されレビュー承認済み</t>
  </si>
  <si>
    <t>機能仕様書 1 本。伝える内容と、二重に届いた場合の扱いが定義されレビュー承認済み</t>
  </si>
  <si>
    <t>初回ログインした人の識別子を、アカウントをまたいで権限管理側へ伝える連携</t>
  </si>
  <si>
    <t>機能仕様書 1 本。伝える内容と、順序が入れ替わった場合の扱いが定義されレビュー承認済み</t>
  </si>
  <si>
    <t>招待・パスワード再設定・注意喚起などのメールを送る機能</t>
  </si>
  <si>
    <t>機能仕様書 1 本。送信する種類と、届かなかった場合の扱いが定義されレビュー承認済み</t>
  </si>
  <si>
    <t>不正なログインの兆候を検知して通知する機能</t>
  </si>
  <si>
    <t>機能仕様書 1 本。検知する事象の種類と、検知後に何をするかが定義されレビュー承認済み</t>
  </si>
  <si>
    <t>本物の利用者を模した定期的なログイン試行で、障害を利用者より先に見つける機能</t>
  </si>
  <si>
    <t>機能仕様書 1 本。試行の頻度・対象と、失敗時の通知先が定義されレビュー承認済み</t>
  </si>
  <si>
    <t>アプリ側の設置状況を基盤側から定期的に見に行き、設定漏れを見つける機能</t>
  </si>
  <si>
    <t>機能仕様書 1 本。巡回の対象と、差分が見つかった場合の扱いが定義されレビュー承認済み</t>
  </si>
  <si>
    <t>顧客の認証システムの接続情報を定期的に取り直し、証明書の入れ替えに自動追随する機能</t>
  </si>
  <si>
    <t>機能仕様書 1 本。取得の頻度と、取得できなかった場合の代替手順が定義されレビュー承認済み</t>
  </si>
  <si>
    <t>利用者の状態変化をアプリ側へ即時に伝える新方式。初期リリースでは対象外</t>
  </si>
  <si>
    <t>機能仕様書 1 本（対象外の宣言を含む）。将来導入する場合の前提と、当面は代替手段で運用する旨が明記されレビュー承認済み</t>
  </si>
  <si>
    <t>長期間ログインのない利用者を自動で使えない状態にする定期処理</t>
  </si>
  <si>
    <t>機能仕様書 1 本。対象とする利用者の条件・除外条件と、実行頻度が定義されレビュー承認済み</t>
  </si>
  <si>
    <t>止めた事実が確実に伝わったかを短い間隔で突き合わせ、漏れを直す処理</t>
  </si>
  <si>
    <t>機能仕様書 1 本。突き合わせの間隔と、ずれを見つけた場合の直し方が定義されレビュー承認済み</t>
  </si>
  <si>
    <t>システム間の情報のずれを 1 日 1 回突き合わせる処理</t>
  </si>
  <si>
    <t>機能仕様書 1 本。突き合わせる対象と、差分の報告先が定義されレビュー承認済み</t>
  </si>
  <si>
    <t>通行証の署名に使う鍵を定期的に入れ替える処理。切り替え中も止めないための並走期間を含む</t>
  </si>
  <si>
    <t>機能仕様書 1 本。入れ替え周期・並走期間と、失敗時の手動手順が定義されレビュー承認済み</t>
  </si>
  <si>
    <t>アプリごとの接続用パスワードを定期的に入れ替える処理</t>
  </si>
  <si>
    <t>機能仕様書 1 本。入れ替え周期と、切り替え中に接続が切れないための扱いが定義されレビュー承認済み</t>
  </si>
  <si>
    <t>機能仕様書 1 本。未使用と判断する条件と、通知先・対応期限が定義されレビュー承認済み</t>
  </si>
  <si>
    <t>証明書の期限切れが近いものを検出して通知する処理</t>
  </si>
  <si>
    <t>機能仕様書 1 本。通知するタイミングと、通知先が定義されレビュー承認済み</t>
  </si>
  <si>
    <t>機能仕様書 1 本。開始の周期・対象範囲と、未対応時の扱いが定義されレビュー承認済み</t>
  </si>
  <si>
    <t>保存期限を過ぎたデータを実際に消去する処理。初期リリースでは準備のみ</t>
  </si>
  <si>
    <t>機能仕様書 1 本（準備範囲の宣言を含む）。起算日の考え方と、初期リリースでは実行しない旨が明記されレビュー承認済み</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</si>
  <si>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</si>
  <si>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</si>
  <si>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</si>
  <si>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</si>
  <si>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</si>
  <si>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</si>
  <si>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システム全体の構成を、機能のまとまりで表した図</t>
  </si>
  <si>
    <t>論理構成図。主要な構成要素と関係が 1 枚で分かる</t>
  </si>
  <si>
    <t>システム全体の構成を、実際の設備配置で表した図</t>
  </si>
  <si>
    <t>物理構成図。設備の配置と接続経路が示されている</t>
  </si>
  <si>
    <t>異常が起きたときの扱い方を全体で統一する方式</t>
  </si>
  <si>
    <t>方式設計。異常の分類と、それぞれの扱いが定まっている</t>
  </si>
  <si>
    <t>記録の出し方を全体で統一する方式</t>
  </si>
  <si>
    <t>方式設計。出力の粒度・形式・保存期間が定まっている</t>
  </si>
  <si>
    <t>複数の処理をまとめて確定させる／取り消す仕組みの方針</t>
  </si>
  <si>
    <t>方式設計。まとめる単位と、失敗時の戻し方が定まっている</t>
  </si>
  <si>
    <t>同じデータを同時に触ったときの競合の防ぎ方</t>
  </si>
  <si>
    <t>方式設計。競合の検出方法と、後勝ち／先勝ちの決めが定まっている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</si>
  <si>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</si>
  <si>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</si>
  <si>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</si>
  <si>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</si>
  <si>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画面や通知を複数の言語で出せるようにするための作り方の方針。初期リリースでどこまで対応するかを含む</t>
  </si>
  <si>
    <t>方式設計。初期リリースの対応言語と、将来増やす際の作りが定まっている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</si>
  <si>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</si>
  <si>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</si>
  <si>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</si>
  <si>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</si>
  <si>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接続仕様を変えるときの版の付け方と、古い版をいつまで残すかの方針</t>
  </si>
  <si>
    <t>方式設計。事前通知期間と移行猶予が定まっている</t>
  </si>
  <si>
    <t>設備・接続先・データの名前の付け方の決まり</t>
  </si>
  <si>
    <t>命名規約。名前から用途と所属が分かる形になっている</t>
  </si>
  <si>
    <t>設備を設定ファイルで管理する際の書き方の決まり</t>
  </si>
  <si>
    <t>規約。書き方の統一と、レビュー観点が定まっている</t>
  </si>
  <si>
    <t>接続仕様（API）を設計するときに全体で守る決まり。名前の付け方・エラーの返し方・件数の区切り方など</t>
  </si>
  <si>
    <t>規約。作り方の統一と、守るべき最低条件が定まっている</t>
  </si>
  <si>
    <t>画面を設計するときに全体で守る決まり。共通部品の使い方・入力チェックの書き方・権限による出し分けの表現など</t>
  </si>
  <si>
    <t>規約。共通部品の使い方と守るべき条件が定まっている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</si>
  <si>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</si>
  <si>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</si>
  <si>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</si>
  <si>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</si>
  <si>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保管するデータがどれくらいの量になり、5 年後どこまで増えるかの見積もり</t>
    <phoneticPr fontId="3"/>
  </si>
  <si>
    <t>見積書。表ごとの件数と増加率、必要な容量が数値で示されている</t>
  </si>
  <si>
    <t>対応するブラウザや端末の範囲を決める</t>
  </si>
  <si>
    <t>方針書。対応範囲と、対象外の環境での挙動が定まっている</t>
  </si>
  <si>
    <t>要件・機能・設計・試験の対応関係を一覧にした表</t>
  </si>
  <si>
    <t>対応表。要件から試験まで追跡でき、抜けが検出できる</t>
  </si>
  <si>
    <t>上記の対応表を、変更が入っても維持し続けるための運用ルール</t>
  </si>
  <si>
    <t>運用ルール。更新の責任者とタイミングが定まっている</t>
  </si>
  <si>
    <t>暗号化に使う鍵を、種類ごとにどう管理するかの設計</t>
  </si>
  <si>
    <t>鍵管理設計書。鍵の種類・保管場所・入れ替え周期が定まっている</t>
  </si>
  <si>
    <t>人ではないシステム用アカウントを台帳で管理する設計</t>
  </si>
  <si>
    <t>台帳設計。登録必須項目と、放置されたものの検出方法が定まっている</t>
  </si>
  <si>
    <t>システム全体でどんな画面があるかを一覧にし、番号を付ける</t>
  </si>
  <si>
    <t>画面一覧。約 32 画面に番号が付き、重複や抜けがない</t>
  </si>
  <si>
    <t>利用者が使う画面の遷移関係を図にする</t>
  </si>
  <si>
    <t>遷移図。ログインから各機能までの経路が追える</t>
  </si>
  <si>
    <t>全画面で共通に使うレイアウトと部品を決める</t>
  </si>
  <si>
    <t>共通設計。部品の一覧と使い方が定まっている</t>
  </si>
  <si>
    <t>身体的な制約がある人でも使えるようにするための設計基準</t>
  </si>
  <si>
    <t>設計基準。守るべき項目と確認方法が定まっている</t>
  </si>
  <si>
    <t>画面に表示する案内文・警告文を一覧にする</t>
  </si>
  <si>
    <t>メッセージ一覧。文言が統一され、画面仕様から参照できる</t>
  </si>
  <si>
    <t>エラーコード体系。番号の付け方と、意味の一覧が定まっている</t>
  </si>
  <si>
    <t>記録に出力するメッセージの一覧</t>
  </si>
  <si>
    <t>メッセージ一覧。調査時に検索できる形になっている</t>
  </si>
  <si>
    <t>送信するメールの種類ごとの文面のひな形</t>
  </si>
  <si>
    <t>テンプレート一覧。種類ごとの文面と差し込み項目が定まっている</t>
  </si>
  <si>
    <t>属性辞書。各項目の意味・型・必須かどうかが定まっている</t>
  </si>
  <si>
    <t>管理方式の設計。変換表の置き場所と更新方法が定まっている</t>
  </si>
  <si>
    <t>利用者を識別する 3 段階の番号体系を決める</t>
  </si>
  <si>
    <t>体系設計。3 段階それぞれの用途と作り方が定まっている</t>
  </si>
  <si>
    <t>体系設計。付け方と、重複しない仕組みが定まっている</t>
  </si>
  <si>
    <t>値の一覧。取りうる値がすべて列挙されている</t>
  </si>
  <si>
    <t>対応表。すべての表に少なくとも 1 つの機能が紐づいている</t>
  </si>
  <si>
    <t>突合結果。矛盾がないことが確認されている</t>
  </si>
  <si>
    <t>データを何年保ち、いつ消すかの設計</t>
  </si>
  <si>
    <t>保持設計。保存年数・消去の起算日・消去方法が定まっている</t>
  </si>
  <si>
    <t>索引・分割設計。想定する検索が目標時間内に収まる根拠がある</t>
  </si>
  <si>
    <t>システム内部で即時に呼び合う接続の一覧</t>
  </si>
  <si>
    <t>接続一覧。呼び出し元・先・目的が整理されている</t>
  </si>
  <si>
    <t>システム内部で時間差を許して伝える接続の一覧</t>
  </si>
  <si>
    <t>接続一覧。伝達経路と遅れの許容範囲が整理されている</t>
  </si>
  <si>
    <t>外部システムとの接続の一覧</t>
  </si>
  <si>
    <t>接続一覧。相手先・方式・データの向きが整理されている</t>
  </si>
  <si>
    <t>接続ごとに必要な権限の対応表</t>
  </si>
  <si>
    <t>対応表。すべての接続に必要権限が紐づいている</t>
  </si>
  <si>
    <t>接続仕様に共通する決まり（エラーの返し方・件数の区切り方など）</t>
  </si>
  <si>
    <t>共通規約。全接続で統一された扱いが定まっている</t>
  </si>
  <si>
    <t>顧客システムから利用者情報を受け取る接続の仕様</t>
  </si>
  <si>
    <t>仕様書。受け取れる項目と検索の方法が定まっている</t>
  </si>
  <si>
    <t>削除通知を「消さずに止める」に読み替える仕様</t>
  </si>
  <si>
    <t>仕様書。読み替えの規則が明記されている</t>
  </si>
  <si>
    <t>アカウントをまたいで伝えるイベントの中身の定義</t>
  </si>
  <si>
    <t>イベント定義。2 種類それぞれの項目が定まっている</t>
  </si>
  <si>
    <t>送信予定を記録しておく仕組みのデータ仕様</t>
  </si>
  <si>
    <t>仕様書。記録する項目と送信済みの判定方法が定まっている</t>
  </si>
  <si>
    <t>アプリへ変更を通知する仕組みの仕様</t>
  </si>
  <si>
    <t>仕様書。7 種類の通知内容・署名・再送条件が定まっている</t>
  </si>
  <si>
    <t>標準方式の認証連携で、やり取りする情報の仕様</t>
  </si>
  <si>
    <t>仕様書。接続先の情報と、渡す項目が定まっている</t>
  </si>
  <si>
    <t>旧方式の認証連携で、やり取りする情報の仕様</t>
  </si>
  <si>
    <t>仕様書。接続情報の受け渡し方と項目が定まっている</t>
  </si>
  <si>
    <t>業務システムとの接続仕様</t>
  </si>
  <si>
    <t>仕様書。相手側の設定要件が明記されている</t>
  </si>
  <si>
    <t>顧客の認証システムごとの接続仕様の差分整理</t>
  </si>
  <si>
    <t>差分表。製品ごとの違いが一覧化されている</t>
  </si>
  <si>
    <t>外部サービス（メール送信・流出確認）との接続仕様</t>
  </si>
  <si>
    <t>仕様書。呼び出し条件と失敗時の扱いが定まっている</t>
  </si>
  <si>
    <t>使用するアドレス名の一覧と、内外での解決方法の違い</t>
  </si>
  <si>
    <t>一覧。用途ごとに整理され、内部と外部での違いが示されている</t>
  </si>
  <si>
    <t>定期的に自動実行する処理が全部でいくつあり、それぞれ何のために動くのかを一覧にする</t>
  </si>
  <si>
    <t>一覧。8 本それぞれの目的と実行タイミングが整理されている</t>
  </si>
  <si>
    <t>定期処理をどの仕組みで動かすかの整理</t>
  </si>
  <si>
    <t>方式整理。処理ごとの実行基盤が定まっている</t>
  </si>
  <si>
    <t>利用者の整理に関する定期処理の仕様</t>
  </si>
  <si>
    <t>仕様書 2 本。対象条件と除外条件が定まっている</t>
  </si>
  <si>
    <t>システム間のずれを直す定期処理の仕様</t>
  </si>
  <si>
    <t>仕様書 3 本。突き合わせる対象と直し方が定まっている</t>
  </si>
  <si>
    <t>鍵・証明書・権限見直しに関する定期処理の仕様</t>
  </si>
  <si>
    <t>仕様書 5 本。実行周期と通知先が定まっている</t>
  </si>
  <si>
    <t>定期処理の実行時刻と、前後関係の設計</t>
  </si>
  <si>
    <t>スケジュール設計。処理の順序と重なりが整理されている</t>
  </si>
  <si>
    <t>定期処理が二重に動かないようにする方法と、失敗時のやり直し方</t>
  </si>
  <si>
    <t>設計。重複起動の防止方法と再実行の手順が定まっている</t>
  </si>
  <si>
    <t>管理操作を行う人の役割を定義する。どの範囲まで操作できるかを 3 段階で分ける</t>
  </si>
  <si>
    <t>役割定義。3 段階の権限範囲が定まっている</t>
  </si>
  <si>
    <t>役割ごとにどの機能を使えるかの対応表</t>
  </si>
  <si>
    <t>権限表。すべての機能に使える役割が紐づいている</t>
  </si>
  <si>
    <t>役割ごとにどのデータを見られるかの対応表</t>
  </si>
  <si>
    <t>権限表。テナントをまたいだ参照ができないことが示されている</t>
  </si>
  <si>
    <t>あとから追跡できるよう記録に残しておく操作を洗い出して一覧にする</t>
  </si>
  <si>
    <t>イベント一覧。監査で必要な操作が漏れなく含まれている</t>
  </si>
  <si>
    <t>記録に残す項目と、何年保つかの表</t>
  </si>
  <si>
    <t>項目表。すべての記録に保存年数が紐づいている</t>
  </si>
  <si>
    <t>権限の判定結果をどこまで記録するかの設計</t>
  </si>
  <si>
    <t>記録設計。記録する範囲と量を抑える方法が定まっている</t>
  </si>
  <si>
    <t>不正の兆候を判定する条件の一覧</t>
  </si>
  <si>
    <t>条件一覧。検知する事象と閾値が定まっている</t>
  </si>
  <si>
    <t>想定される攻撃の経路と、それぞれへの対策の対応表</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</si>
  <si>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</si>
  <si>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</si>
  <si>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</si>
  <si>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</si>
  <si>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</si>
  <si>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</si>
  <si>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</si>
  <si>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新しい顧客を受け入れる際の設計面の整理</t>
  </si>
  <si>
    <t>設計。受け入れに必要な設定項目と順序が定まっている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</si>
  <si>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</si>
  <si>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</si>
  <si>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</si>
  <si>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</si>
  <si>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</si>
  <si>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</si>
  <si>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</si>
  <si>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</si>
  <si>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</si>
  <si>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</si>
  <si>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関係者へ説明するための資料を作る</t>
  </si>
  <si>
    <t>説明資料。専門用語を使わずに全体像が伝わる</t>
  </si>
  <si>
    <t>説明会を開き、出た指摘を反映する</t>
  </si>
  <si>
    <t>実施記録と改訂版。指摘の処理状況が追える</t>
  </si>
  <si>
    <t>接続先を判定する拡張機能の入出力と動作条件の仕様</t>
  </si>
  <si>
    <t>仕様書。入力・出力・判定できない場合の動きが定まっている</t>
  </si>
  <si>
    <t>初回登録と再有効化を制御する拡張機能の仕様</t>
  </si>
  <si>
    <t>仕様書。動作条件と、誤って動かさないための条件が定まっている</t>
  </si>
  <si>
    <t>利用状況を外部へ知らせる拡張機能の仕様</t>
  </si>
  <si>
    <t>仕様書。送る内容と送信頻度が定まっている</t>
  </si>
  <si>
    <t>拡張機能をどこに配置し、どう版を管理するかの設計</t>
  </si>
  <si>
    <t>配置設計。組み込み方法と版の管理方法が定まっている</t>
  </si>
  <si>
    <t>通行証に載せる情報の生成規則の定義</t>
  </si>
  <si>
    <t>定義書。載せる項目と、載せない項目の区別が明確</t>
  </si>
  <si>
    <t>利用者の属性項目をどう宣言するかの設計。メールを持たない人への対応を含む</t>
  </si>
  <si>
    <t>宣言設計。必須と任意の区別が定まっている</t>
  </si>
  <si>
    <t>新しいアプリを接続するときの登録内容のひな形</t>
  </si>
  <si>
    <t>ひな形。必要な設定が漏れなく含まれ、宛先の設定漏れを防ぐ仕組みがある</t>
  </si>
  <si>
    <t>内部で 2 段構えになっている認証システム同士の連携設計</t>
  </si>
  <si>
    <t>連携設計書。やり取りする情報と経路が定まっている</t>
  </si>
  <si>
    <t>将来ブランドを増やす場合の区画の分け方の設計</t>
  </si>
  <si>
    <t>設計書。増やすときの手順と、今のうちに守る決まりが定まっている</t>
  </si>
  <si>
    <t>利用者の控えが作られてから消えるまでの一生の設計</t>
  </si>
  <si>
    <t>ライフサイクル設計。作成・停止・再開の条件が定まっている</t>
  </si>
  <si>
    <t>顧客の認証システムを接続するときの設定項目のひな形</t>
  </si>
  <si>
    <t>ひな形。方式ごとに必要な項目が整理されている</t>
  </si>
  <si>
    <t>顧客側の項目名を基盤側の呼び方へ変換する規則の設計</t>
  </si>
  <si>
    <t>変換規則の設計。対応がない場合の扱いも定まっている</t>
  </si>
  <si>
    <t>入力された ID から接続先を判定するロジックの設計</t>
  </si>
  <si>
    <t>ロジック設計。判定の順序と、判定できない場合の動きが定まっている</t>
  </si>
  <si>
    <t>実行基盤の構成設計。サーバーの種類・台数・役割分担</t>
  </si>
  <si>
    <t>構成設計書。役割ごとの分離と増減の考え方が定まっている</t>
  </si>
  <si>
    <t>製品の管理部品の版と更新方針の設計</t>
  </si>
  <si>
    <t>設計書。版の固定方法と更新の承認手順が定まっている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</si>
  <si>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</si>
  <si>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</si>
  <si>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</si>
  <si>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</si>
  <si>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</si>
  <si>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</si>
  <si>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テナント管理者向けの操作説明書</t>
  </si>
  <si>
    <t>操作ガイド。管理画面の全機能が手順つきで説明されている</t>
  </si>
  <si>
    <t>顧客の情報システム部門向けの接続手順書</t>
  </si>
  <si>
    <t>接続ガイド。準備するものと手順、確認方法が示されている</t>
  </si>
  <si>
    <t>顧客の監査対応に使う説明資料</t>
  </si>
  <si>
    <t>説明資料。よく聞かれる質問に答えられる内容になっている</t>
  </si>
  <si>
    <t>利用者本人からのデータ開示・削除依頼への対応手順</t>
  </si>
  <si>
    <t>対応手順書。受付から回答までの流れと期限が定まっている</t>
  </si>
  <si>
    <t>新しい顧客を迎えるときの案内文のひな形</t>
  </si>
  <si>
    <t>案内テンプレート。必要な連絡事項が漏れなく含まれている</t>
  </si>
  <si>
    <t>サービスの仕様と、利用上の制約をまとめた文書</t>
  </si>
  <si>
    <t>仕様書。止めてから完全に切れるまでの時間差など、注意すべき制約が明記されている</t>
  </si>
  <si>
    <t>旧方式の接続先を登録するときのひな形を作る</t>
  </si>
  <si>
    <t>ひな形定義。項目の対応づけが定まっている</t>
  </si>
  <si>
    <t>接続先の証明書を止めずに入れ替えるための運用手順を決める</t>
  </si>
  <si>
    <t>決定記録。自動追随が使えない場合の手動手順も含む</t>
  </si>
  <si>
    <t>連続失敗による締め出しと、危険度の判定をどう組み合わせるかを決める</t>
  </si>
  <si>
    <t>決定記録。二重に締め出さない条件が定まっている</t>
  </si>
  <si>
    <t>入口の防御に必要な情報の受け渡しと、判定できないときの案内文を確定する</t>
  </si>
  <si>
    <t>決定記録と文言案</t>
  </si>
  <si>
    <t>一時的に強い権限を出す機能をどこに置くかを決める</t>
  </si>
  <si>
    <t>決定記録</t>
  </si>
  <si>
    <t>業務システムへの移行を 4 段階で進める詳細手順を決める</t>
  </si>
  <si>
    <t>段階別の手順書。各段階で元に戻せることが示されている</t>
  </si>
  <si>
    <t>利用者を止めたときに業務システム側でも使えなくなる連鎖の仕組みを決める</t>
  </si>
  <si>
    <t>決定記録。業務履歴を残しつつ利用を止められる方式が定まっている</t>
  </si>
  <si>
    <t>業務システムにしかいない利用者の移行方針を決める</t>
  </si>
  <si>
    <t>決定記録。対象者の扱いが定まっている</t>
  </si>
  <si>
    <t>全利用者を顧客の認証システム経由に統一する方針に合わせ、ログイン処理の流れを書き直す</t>
  </si>
  <si>
    <t>改訂済みの設計記述</t>
  </si>
  <si>
    <t>利用者がどの経路で登録されたかの区分を、新方針に合わせて整理し直す</t>
  </si>
  <si>
    <t>改訂済みの経路表。区分が重複しない</t>
  </si>
  <si>
    <t>追加認証の画面の流れを、新方針での利用者区分に合わせて見直す</t>
  </si>
  <si>
    <t>追加認証の実施責任が顧客側に移る部分を、設計書に明記する</t>
  </si>
  <si>
    <t>改訂済みの設計記述。責任の所在が明確になっている</t>
  </si>
  <si>
    <t>書き直した 4 つの設計書の間で矛盾がないかを突き合わせる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</si>
  <si>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</si>
  <si>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</si>
  <si>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</si>
  <si>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</si>
  <si>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</si>
  <si>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</si>
  <si>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</si>
  <si>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</si>
  <si>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認証システムをいくつのまとまりで構成するかを再検討して決める</t>
  </si>
  <si>
    <t>決定記録。構成が確定し、ネットワーク設計の前提が定まる</t>
  </si>
  <si>
    <t>運用委託先から個人情報が見えないよう、記録の出し方の方式を決める</t>
  </si>
  <si>
    <t>決定記録。出力内容の伏せ方と、設定を固定する方法が定まっている</t>
  </si>
  <si>
    <t>機能名</t>
    <phoneticPr fontId="3"/>
  </si>
  <si>
    <t>該当なし（廃止）</t>
  </si>
  <si>
    <t>該当なし</t>
  </si>
  <si>
    <t>横断（全機能共通）</t>
  </si>
  <si>
    <t>該当なし（1機能1行へ分割済み）</t>
  </si>
  <si>
    <t>横断（代表シナリオ）</t>
  </si>
  <si>
    <t>テナント越境の防止</t>
  </si>
  <si>
    <t>利用者の検索・一覧</t>
  </si>
  <si>
    <t>利用者の一括登録</t>
  </si>
  <si>
    <t>一覧・記録のファイル出力</t>
  </si>
  <si>
    <t>該当なし（章ごとに分割済み）</t>
  </si>
  <si>
    <t>顧客認証システムへのログイン委譲</t>
  </si>
  <si>
    <t>該当なし（対象外）</t>
  </si>
  <si>
    <t>業務システムへの認証提供</t>
  </si>
  <si>
    <t>権限情報の一括取得</t>
  </si>
  <si>
    <t>重要操作時の追加認証</t>
  </si>
  <si>
    <t>アプリへの変更通知</t>
  </si>
  <si>
    <t>状態変化の即時通知</t>
  </si>
  <si>
    <t>ローカルログイン</t>
  </si>
  <si>
    <t>接続先の自動振り分け</t>
  </si>
  <si>
    <t>振り分け失敗時のパスワード入力への切替</t>
  </si>
  <si>
    <t>接続先の選択画面</t>
  </si>
  <si>
    <t>顧客認証システムへのログイン委譲（旧方式）</t>
  </si>
  <si>
    <t>初回ログイン時の利用者控え作成</t>
  </si>
  <si>
    <t>ログイン後の属性取り込み</t>
  </si>
  <si>
    <t>内部2段構えの認証連携</t>
  </si>
  <si>
    <t>追加認証（数字コード）</t>
  </si>
  <si>
    <t>追加認証（生体・セキュリティキー）</t>
  </si>
  <si>
    <t>追加認証の登録（数字コード）</t>
  </si>
  <si>
    <t>追加認証の登録（生体・セキュリティキー）</t>
  </si>
  <si>
    <t>2台目登録時の再認証</t>
  </si>
  <si>
    <t>復旧用コードの発行・利用</t>
  </si>
  <si>
    <t>メールを持たない人の復旧</t>
  </si>
  <si>
    <t>パスワードの自己再設定</t>
  </si>
  <si>
    <t>パスワード変更・初回強制変更</t>
  </si>
  <si>
    <t>連続失敗時の一時締め出し</t>
  </si>
  <si>
    <t>初回ログイン時の自動登録</t>
  </si>
  <si>
    <t>ログイン時の属性更新</t>
  </si>
  <si>
    <t>顧客システムからの利用者登録</t>
  </si>
  <si>
    <t>顧客システムからの利用者更新</t>
  </si>
  <si>
    <t>顧客システムからの削除通知</t>
  </si>
  <si>
    <t>顧客システムからの利用者検索</t>
  </si>
  <si>
    <t>顧客システムからのグループ連携</t>
  </si>
  <si>
    <t>項目名の変換・統一</t>
  </si>
  <si>
    <t>登録経路の区分判定</t>
  </si>
  <si>
    <t>利用者の停止（消さずに無効化）</t>
  </si>
  <si>
    <t>停止の確実な伝播</t>
  </si>
  <si>
    <t>再開の確実な伝播</t>
  </si>
  <si>
    <t>初回ログイン者の識別子通知</t>
  </si>
  <si>
    <t>権限管理側の受け皿作成</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</si>
  <si>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</si>
  <si>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</si>
  <si>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</si>
  <si>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</si>
  <si>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</si>
  <si>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</si>
  <si>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</si>
  <si>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</si>
  <si>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</si>
  <si>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強制ログアウト</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</si>
  <si>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</si>
  <si>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</si>
  <si>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</si>
  <si>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</si>
  <si>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</si>
  <si>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</si>
  <si>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</si>
  <si>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使えるアプリ一覧の取得</t>
  </si>
  <si>
    <t>アプリ利用可否の判定</t>
  </si>
  <si>
    <t>アプリ内の役割の解決</t>
  </si>
  <si>
    <t>管理操作の3段階権限確認</t>
  </si>
  <si>
    <t>権限判定の記録</t>
  </si>
  <si>
    <t>業務システム側の利用者自動作成</t>
  </si>
  <si>
    <t>業務システムから他アプリへの連携</t>
  </si>
  <si>
    <t>識別子のアカウント間伝達</t>
  </si>
  <si>
    <t>通知メールの送信</t>
  </si>
  <si>
    <t>不正兆候の検知</t>
  </si>
  <si>
    <t>定期的な擬似ログインによる障害検知</t>
  </si>
  <si>
    <t>アプリ設置状況の巡回確認</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</si>
  <si>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</si>
  <si>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</si>
  <si>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</si>
  <si>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</si>
  <si>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</si>
  <si>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</si>
  <si>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</si>
  <si>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</si>
  <si>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利用者の変更／定期実行処理全般</t>
  </si>
  <si>
    <t>管理画面の機能全般</t>
  </si>
  <si>
    <t>利用者の招待／パスワードの自己再設定／通知メールの送信</t>
  </si>
  <si>
    <t>使えるアプリの設定／アプリ内の役割の設定／アプリ利用可否の判定</t>
  </si>
  <si>
    <t>顧客システムからの利用者情報受け取り</t>
  </si>
  <si>
    <t>定期実行処理全般</t>
  </si>
  <si>
    <t>横断（定期処理共通）</t>
  </si>
  <si>
    <t>長期未使用者の自動停止／保存期限切れデータの消去</t>
  </si>
  <si>
    <t>鍵・証明書・権限見直しの定期処理</t>
  </si>
  <si>
    <t>テナント越境の防止／管理操作の3段階権限確認</t>
  </si>
  <si>
    <t>初回ログイン時の自動登録／メールを持たない人の復旧</t>
  </si>
  <si>
    <t>業務システムへの認証提供／業務システム側の利用者自動作成</t>
  </si>
  <si>
    <t>接続情報の自動追随／証明書期限の監視</t>
  </si>
  <si>
    <t>接続先の自動振り分け／振り分け失敗時のパスワード入力への切替</t>
  </si>
  <si>
    <t>ローカルログイン／初回ログイン時の自動登録</t>
  </si>
  <si>
    <t>概要</t>
    <phoneticPr fontId="3"/>
  </si>
  <si>
    <t>成果物と完了条件</t>
    <phoneticPr fontId="3"/>
  </si>
  <si>
    <t>依存</t>
    <phoneticPr fontId="3"/>
  </si>
  <si>
    <t>データストア全体構成図（どのデータがどこにあるか）</t>
  </si>
  <si>
    <t>ストア間の整合方針（どこが正で、どう同期するか）</t>
  </si>
  <si>
    <t>Broker側スキーマの利用範囲整理（触らない範囲の明示）</t>
  </si>
  <si>
    <t>横断（ログイン処理全般）</t>
  </si>
  <si>
    <t>IdP-KC側スキーマの利用範囲整理</t>
  </si>
  <si>
    <t>利用者属性に載せる項目の宣言設計</t>
  </si>
  <si>
    <t>F-PROV-08, F-PROV-09</t>
  </si>
  <si>
    <t>項目名の変換・統一／登録経路の区分判定</t>
  </si>
  <si>
    <t>authz系 論理ER図</t>
  </si>
  <si>
    <t>authz系 物理ER図</t>
  </si>
  <si>
    <t>権限テーブル定義（使えるアプリ・役割・組織属性）</t>
  </si>
  <si>
    <t>idmapテーブル定義</t>
  </si>
  <si>
    <t>projectionテーブル定義</t>
  </si>
  <si>
    <t>F-AZ-01, F-PROV-17</t>
  </si>
  <si>
    <t>権限情報の一括取得／参照用データの更新</t>
  </si>
  <si>
    <t>outboxテーブル定義</t>
  </si>
  <si>
    <t>NHI台帳テーブル定義</t>
  </si>
  <si>
    <t>同意記録テーブル定義</t>
  </si>
  <si>
    <t>横断（同意管理）</t>
  </si>
  <si>
    <t>管理操作の記録テーブル定義（ブランド単位）</t>
  </si>
  <si>
    <t>HD-15</t>
  </si>
  <si>
    <t>記録の長期保管領域の構造設計（7年保存）</t>
  </si>
  <si>
    <t>HD-16</t>
  </si>
  <si>
    <t>テナント開示用 参照データの要否判断と構造</t>
  </si>
  <si>
    <t>HD-17</t>
  </si>
  <si>
    <t>属性辞書（利用者項目の意味の統一）</t>
  </si>
  <si>
    <t>HD-18</t>
  </si>
  <si>
    <t>項目名の変換表の管理方式</t>
  </si>
  <si>
    <t>HD-19</t>
  </si>
  <si>
    <t>番号体系（利用者を識別する3段階）</t>
  </si>
  <si>
    <t>HD-20</t>
  </si>
  <si>
    <t>番号体系（テナント・ブランド）</t>
  </si>
  <si>
    <t>HD-21</t>
  </si>
  <si>
    <t>値の一覧（登録経路の区分・状態）</t>
  </si>
  <si>
    <t>HD-22</t>
  </si>
  <si>
    <t>機能とテーブルの対応表</t>
  </si>
  <si>
    <t>HD-23</t>
  </si>
  <si>
    <t>上記対応表と権限設計の突合</t>
  </si>
  <si>
    <t>HD-24</t>
  </si>
  <si>
    <t>データ保持・消去の設計</t>
  </si>
  <si>
    <t>HD-25</t>
  </si>
  <si>
    <t>索引・分割の設計（authz系）</t>
  </si>
  <si>
    <t>HJ-01a</t>
  </si>
  <si>
    <t>Realm / Organizations 構成設計書（Broker側）</t>
  </si>
  <si>
    <t>HJ-01b</t>
  </si>
  <si>
    <t>Realm / Organizations 構成設計書（IdP-KC側）</t>
  </si>
  <si>
    <t>HJ-02a</t>
  </si>
  <si>
    <t>ログイン処理の順序設計（Broker側 3系統）</t>
  </si>
  <si>
    <t>HJ-02b</t>
  </si>
  <si>
    <t>ログイン処理の順序設計（IdP-KC側 2系統）</t>
  </si>
  <si>
    <t>HJ-10a</t>
  </si>
  <si>
    <t>HJ-10b</t>
  </si>
  <si>
    <t>同じ情報が複数の場所にある場合に、どれを正とし、どう揃えるかの方針を決める</t>
  </si>
  <si>
    <t>整合方針。正となる場所と、ずれた場合の直し方が定まっている</t>
  </si>
  <si>
    <t>認証製品が持つデータ構造のうち、利用する範囲と手を加えない範囲を整理する（Broker 側）</t>
  </si>
  <si>
    <t>整理表。使う範囲と触らない範囲が明確で、独自変更をしない方針が示されている</t>
  </si>
  <si>
    <t>認証製品が持つデータ構造のうち、利用する範囲と手を加えない範囲を整理する（利用者収容側）</t>
  </si>
  <si>
    <t>整理表。パスワードの保管場所を含め、触らない範囲が明確になっている</t>
  </si>
  <si>
    <t>認証製品側の利用者情報に、独自に持たせる項目を宣言する設計</t>
  </si>
  <si>
    <t>宣言設計。持たせる項目とその用途、必須かどうかが定まっている</t>
  </si>
  <si>
    <t>自前で持つ権限データの構造を、業務の意味に沿って図にする</t>
  </si>
  <si>
    <t>論理データ構造図。権限・組織・利用者の関係が示されている</t>
  </si>
  <si>
    <t>自前で持つ権限データの構造を、実際の保管形に落とした図</t>
  </si>
  <si>
    <t>物理データ構造図。テーブルと項目の対応が示されている</t>
  </si>
  <si>
    <t>誰がどのアプリを使えるか、アプリ内でどんな役割かを保持する表の定義</t>
  </si>
  <si>
    <t>表定義。項目・型・制約と、テナントをまたげない仕組みが定まっている</t>
  </si>
  <si>
    <t>顧客側の利用者番号と基盤側の識別子を対応づける表の定義</t>
  </si>
  <si>
    <t>表定義。番号が変わった場合の履歴の持ち方も定まっている</t>
  </si>
  <si>
    <t>アプリが 1 回の問い合わせで読む参照用データの表の定義</t>
  </si>
  <si>
    <t>表定義。更新の入力元と、古い情報を返さないための仕組みが定まっている</t>
  </si>
  <si>
    <t>送信予定のイベントを記録しておく表の定義</t>
  </si>
  <si>
    <t>表定義。送信済みの判定方法と、再送の管理方法が定まっている</t>
  </si>
  <si>
    <t>人ではないシステム用アカウントを管理する台帳の表の定義</t>
  </si>
  <si>
    <t>表定義。管理責任者と用途を必須とする仕組みが定まっている</t>
  </si>
  <si>
    <t>利用者から同意を得た記録と、撤回の記録を保持する表の定義</t>
  </si>
  <si>
    <t>表定義。いつ何に同意したかを後から示せる項目が定まっている</t>
  </si>
  <si>
    <t>誰が何をしたかの記録を保持する表の定義。顧客のまとまりごとに分けて持つ</t>
  </si>
  <si>
    <t>表定義。記録する項目と、他テナントの記録が混ざらない仕組みが定まっている</t>
  </si>
  <si>
    <t>記録を長期間（7 年）保存する領域の構造設計</t>
  </si>
  <si>
    <t>構造設計。保存形式・分割方法と、消せないようにする仕組みが定まっている</t>
  </si>
  <si>
    <t>顧客へ開示する読み取り専用データを別に持つかどうかを判断し、持つ場合の構造を決める</t>
  </si>
  <si>
    <t>判断記録と構造設計。持たない場合はその理由が記録されている</t>
  </si>
  <si>
    <t>利用者の属性項目の意味を統一する辞書を作る</t>
  </si>
  <si>
    <t>顧客ごとにバラバラな項目名の変換表を、どこで一元管理するかを決める</t>
  </si>
  <si>
    <t>顧客のまとまりとブランドを識別する番号体系を決める</t>
  </si>
  <si>
    <t>登録経路の区分と、利用者の状態を表す値の一覧を決める</t>
  </si>
  <si>
    <t>どの機能がどの表を作成・参照・更新・削除するかの対応表を作る</t>
  </si>
  <si>
    <t>上記の対応表と権限の設計に食い違いがないかを突き合わせる</t>
  </si>
  <si>
    <t>突合結果。権限がないのに更新できる組み合わせがないことが確認されている</t>
  </si>
  <si>
    <t>検索を速くするための索引と、大きな表の分割方法を決める</t>
  </si>
  <si>
    <t>顧客をまとめる単位と区画の構成を決める（外部連携を受ける側）</t>
  </si>
  <si>
    <t>構成設計書。顧客の収容方法と区画の分け方が定まっている</t>
  </si>
  <si>
    <t>顧客をまとめる単位と区画の構成を決める（利用者を直接収容する側）</t>
  </si>
  <si>
    <t>構成設計書。収容方法と区画の分け方が定まっている</t>
  </si>
  <si>
    <t>ログイン処理の組み立て順序を決める（外部連携を受ける側の 3 系統）</t>
  </si>
  <si>
    <t>処理順序の設計書。3 系統それぞれの分岐が図で示されている</t>
  </si>
  <si>
    <t>ログイン処理の組み立て順序を決める（利用者を直接収容する側の 2 系統）</t>
  </si>
  <si>
    <t>処理順序の設計書。2 系統それぞれの分岐が図で示されている</t>
  </si>
  <si>
    <t>認証製品の設定値を決める（外部連携を受ける側）</t>
  </si>
  <si>
    <t>設定値一覧。有効期間・回数制限などが数値で定まっている</t>
  </si>
  <si>
    <t>認証製品の設定値を決める（利用者を直接収容する側）</t>
  </si>
  <si>
    <t>設定値一覧。パスワード条件を含め数値で定まっている</t>
  </si>
  <si>
    <t>H. 設計成果物の執筆（検討560人日／306行）</t>
  </si>
  <si>
    <t>仮定値の根拠整理</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</si>
  <si>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</si>
  <si>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</si>
  <si>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</si>
  <si>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</si>
  <si>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</si>
  <si>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</si>
  <si>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</si>
  <si>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</si>
  <si>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</si>
  <si>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</si>
  <si>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</si>
  <si>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</si>
  <si>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</si>
  <si>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</si>
  <si>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</si>
  <si>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</si>
  <si>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</si>
  <si>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</si>
  <si>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負荷試験（PT-01/02）で合格基準未達の場合。※実測が④テストまで遅れるため、未達時の手戻りが設計・構築の両方に及ぶ</t>
  </si>
  <si>
    <t>チューニング後の再実測サイクル（2巡想定）＋設計・構築側への手戻り対応</t>
  </si>
  <si>
    <t>★前倒し実施トリガー: ①顧客の確定値が仮定を大きく超えた ②構築で想定と異なる実装方式になった ③テスト開始がリリース予定日の3ヶ月前を切った — いずれかでテストを待たず前倒し実測する</t>
  </si>
  <si>
    <t>A. PoC・技術ゲート実測（調査58人日／27行。性能実測40人日は④テストへ移管）</t>
  </si>
  <si>
    <t>接続先の優先順位と選択画面の並び順</t>
  </si>
  <si>
    <t>システム間で呼び合うときの権限の残り</t>
  </si>
  <si>
    <t>D-7a</t>
  </si>
  <si>
    <t>不審な挙動の検知データを切替先にも置くか</t>
  </si>
  <si>
    <t>検知の判定材料となる履歴データを、切替先の地域にも持つかどうかを決める</t>
  </si>
  <si>
    <t>判断記録。持たない場合に切替直後へ与える影響が評価されている</t>
  </si>
  <si>
    <t>D-7b</t>
  </si>
  <si>
    <t>緊急時の入り口を切替先にどう用意するか</t>
  </si>
  <si>
    <t>通常経路が使えないときに管理者が入る仕組みを、切替先にどう用意するかを決める</t>
  </si>
  <si>
    <t>方式設計。平時にクラスタが無い状態でも成立する手段が定まっている</t>
  </si>
  <si>
    <t>D-8a</t>
  </si>
  <si>
    <t>管理画面から作った利用者の区分値を分けるか</t>
  </si>
  <si>
    <t>管理画面から作られた利用者に、運用者が作った場合と別の区分値を与えるかを決める</t>
  </si>
  <si>
    <t>判断記録。区分値の新設要否と、影響する処理の一覧が整理されている</t>
  </si>
  <si>
    <t>D-8b</t>
  </si>
  <si>
    <t>顧客独自の項目をどこまで受け入れるか</t>
  </si>
  <si>
    <t>顧客ごとに異なる追加項目を、どこまで受け入れるかの枠を決める</t>
  </si>
  <si>
    <t>受入規約。受け入れる項目名の形式と個数の上限が定まっている</t>
  </si>
  <si>
    <t>D-8c</t>
  </si>
  <si>
    <t>アプリが作った利用者の扱いを選べるようにするか</t>
  </si>
  <si>
    <t>アプリ経由で作られた利用者を自動整理の対象にするかを、テナントが選べるようにするかを決める</t>
  </si>
  <si>
    <t>判断記録。選べる場合の既定値と切替方法が定まっている</t>
  </si>
  <si>
    <t>権限テーブルとアプリ台帳のスキーマ統合</t>
  </si>
  <si>
    <t>管理操作の記録の置き場所と保存年数</t>
  </si>
  <si>
    <t>D-9.3a</t>
  </si>
  <si>
    <t>承認画面を他機能と共用するか</t>
  </si>
  <si>
    <t>顧客追加の承認を行う画面を、既存の管理画面と共用するか独立させるかを決める</t>
  </si>
  <si>
    <t>判断記録。共用する場合の権限の分け方が定まっている</t>
  </si>
  <si>
    <t>D-9.3b</t>
  </si>
  <si>
    <t>監視用の読み取り専用資格の権限範囲</t>
  </si>
  <si>
    <t>死活監視が使う資格に、どこまで読める権限を与えるかの規約を決める</t>
  </si>
  <si>
    <t>権限規約。読み取り範囲が最小限に定まっている</t>
  </si>
  <si>
    <t>D-9.3c</t>
  </si>
  <si>
    <t>管理APIの応答目標をどこまで含めるか</t>
  </si>
  <si>
    <t>管理 API の応答時間の目標値を、どの区間で測るかの境界を決める</t>
  </si>
  <si>
    <t>測定境界の定義。目標値と測定点が定まっている</t>
  </si>
  <si>
    <t>旧方式の接続先を登録するひな形</t>
  </si>
  <si>
    <t>証明書を止めずに入れ替える運用手順</t>
  </si>
  <si>
    <t>連続失敗の締め出しと危険度判定の組み合わせ</t>
  </si>
  <si>
    <t>攻撃対策の画面側対応と文言の最終化</t>
  </si>
  <si>
    <t>権限を一時的に上げる仕組みの置き場所</t>
  </si>
  <si>
    <t>業務システムへの移行を4段階で進める手順</t>
  </si>
  <si>
    <t>利用者を止めたときの業務システム側の連鎖</t>
  </si>
  <si>
    <t>業務システムにしかいない利用者の移行方針</t>
  </si>
  <si>
    <t>全員が外部連携になる前提への改訂: ログイン処理の順序</t>
  </si>
  <si>
    <t>全員が外部連携になる前提への改訂: 登録経路の区分</t>
  </si>
  <si>
    <t>全員が外部連携になる前提への改訂: 追加認証の画面の流れ</t>
  </si>
  <si>
    <t>全員が外部連携になる前提への改訂: 追加認証の責任分担</t>
  </si>
  <si>
    <t>全員が外部連携になる前提への改訂: 4冊の突合</t>
  </si>
  <si>
    <t>希望する復旧時間と実現できる時間の差の分析</t>
  </si>
  <si>
    <t>復旧方式の決定</t>
  </si>
  <si>
    <t>決めた復旧方式の設計書への反映</t>
  </si>
  <si>
    <t>復旧作業の手順書の骨子</t>
  </si>
  <si>
    <t>認証システムのまとまり数の再検討</t>
  </si>
  <si>
    <t>運用委託先から個人情報を見せない記録方式</t>
  </si>
  <si>
    <t>1 つの組織に複数の接続先がある場合の優先順位と、選択画面での並び順をどう決めるかを確定する</t>
  </si>
  <si>
    <t>決定記録。順位の決め方と並び順の規則が定まり、画面設計に反映できる</t>
  </si>
  <si>
    <t>横断（ログイン画面）</t>
  </si>
  <si>
    <t>どの操作のときに追加の本人確認を求めるかの一覧を、アプリ側との取り決めとして先に確定する</t>
  </si>
  <si>
    <t>操作一覧。対象操作と要求水準が定まり、アプリへ提示できる</t>
  </si>
  <si>
    <t>アカウントをまたぐイベントの受け渡しで、呼び出す側にどの権限を持たせるかを決める</t>
  </si>
  <si>
    <t>権限設計。呼び出しごとに必要な権限が定まっている</t>
  </si>
  <si>
    <t>送信サービスの制限解除、なりすまし防止の DNS 設定、ブランドごとの送信設定をコードで管理する方式を決める</t>
  </si>
  <si>
    <t>設計書。制限解除の申請内容と DNS 設定値、設定の管理方法が定まっている</t>
  </si>
  <si>
    <t>「誰がどのアプリを使えるか」の表と「どんなアプリがあるか」の台帳を、同じ場所・同じ ID 体系で持つ設計</t>
  </si>
  <si>
    <t>統合設計。両者の対応関係と ID の付け方が定まっている</t>
  </si>
  <si>
    <t>誰が何をしたかの記録を、ブランドごとに分けて持つか中央に集めるかを決める</t>
  </si>
  <si>
    <t>判断記録。保存年数との整合を含め、置き場所が定まっている</t>
  </si>
  <si>
    <t>C. 設計是正・文書整合（2026-08-27 実施完了。WBSから削除）</t>
  </si>
  <si>
    <t>D. 未確定設計の合同確定（検討56人日／36行。旧D-7/D-8/D-9.3を8行に分割）</t>
  </si>
  <si>
    <t>一部を常時稼働させる方式を決定した場合</t>
  </si>
  <si>
    <t>常時かかる費用・切替先の常設構成・費用試算の再設計</t>
  </si>
  <si>
    <t>クラスタ構成を変更する決定の場合</t>
  </si>
  <si>
    <t>構成図・番号帯・関連する判断記録の波及改訂＋2区画設計の手戻り</t>
  </si>
  <si>
    <t>★注意: クラスタC（設計是正）は2026-08-27に実施完了しWBSから削除済み。C-1コストの再計算は完了分に含まれる</t>
  </si>
  <si>
    <t>★体制目安は下の計算ブロックで算出（①の人日を直接参照）。A系（ゲート検証）とH系（設計書執筆）の2系統並走が最も効く</t>
  </si>
  <si>
    <t>■ 体制別 期間目安（①基本設計の人日を人数で割った値）</t>
  </si>
  <si>
    <t>1人あたりの月間稼動（人日/月）</t>
  </si>
  <si>
    <t>← 青字は入力値。変えると下の期間が再計算されます</t>
  </si>
  <si>
    <t>人員（名）</t>
  </si>
  <si>
    <t>①の期間（ヶ月）</t>
  </si>
  <si>
    <t>①～④全体の期間（ヶ月）</t>
  </si>
  <si>
    <t>機能仕様書: 使えるアプリの設定</t>
  </si>
  <si>
    <t>機能仕様書: アプリ利用可否の判定</t>
  </si>
  <si>
    <t>機能仕様書: 不審な挙動の検知</t>
  </si>
  <si>
    <t>不審な挙動を判定する条件と主要指標の定義（新規v3）</t>
  </si>
  <si>
    <t>顧客・アプリチームからの問い合わせと確定回答</t>
  </si>
  <si>
    <t>回答は設計書の確定決定に基づく。新しい問い合わせは必ず末尾に追加（行挿入禁止）</t>
  </si>
  <si>
    <t>問い合わせ日</t>
  </si>
  <si>
    <t>問い合わせ元</t>
  </si>
  <si>
    <t>回答（先方提示用）</t>
  </si>
  <si>
    <t>補足・例外条件</t>
  </si>
  <si>
    <t>設計根拠</t>
  </si>
  <si>
    <t>関連ヒアリング</t>
  </si>
  <si>
    <t>INQ-001</t>
  </si>
  <si>
    <t>パスワード規則を顧客ごとに変えられるか</t>
  </si>
  <si>
    <t>個社別のパスワード規則は提供していません。共通規則（12 文字以上・英数混在・漏えいパスワード照合・履歴 5 世代・初回強制変更）を全社一律で適用します。自社 IdP をお持ちのお客樣は、パスワード規則を貴社 IdP 側で自由に設定できます（基盤はパスワードを保持しません）</t>
  </si>
  <si>
    <t>例外: 規制・契約上の物理分離要件、または 10 万 MAU 超の場合のみ、専用環境（Realm 分離）を個別費用でご提案。「変えたい」という希望だけでは例外適用しない。缓和方向は例外でも不可</t>
  </si>
  <si>
    <t>D-U7-20（U7 §7.8.1b）/ ADR-017</t>
  </si>
  <si>
    <t>回答確定</t>
  </si>
  <si>
    <t>INQ-002</t>
  </si>
  <si>
    <t>ログイン画面を顧客ごとに変えられるか</t>
  </si>
  <si>
    <t>基盤側のログイン画面（識別子入力・IdP なしのお客樣のパスワード画面）は統一デザイン 1 本で、顧客別の変更は提供していません（テナント名のテキスト表示まで）。一方、自社 IdP をお持ちのお客樣の認証画面はお客樣自身の管轄で、自由にブランディングできます（自社ロゴ設定を推奨します）</t>
  </si>
  <si>
    <t>顧客別 URL によるブランディング（方式 C）は将来オプションで提供時期未定。採用時はワイルドカード証明書 + 署名付きヒントが必須条件</t>
  </si>
  <si>
    <t>D-U4-03 / ADR-024 / ADR-055 §F.1</t>
  </si>
  <si>
    <t>B-618 / B-621 / B-624</t>
  </si>
  <si>
    <t>INQ-003</t>
  </si>
  <si>
    <t>ログイン後にテナントごとにデフォルト機能を表示・切替できるか</t>
  </si>
  <si>
    <t>できます。アプリがログイン直後に /api/me/context を 1 回呼び、テナントごとの利用可能機能（エンタイトルメント）を取得して画面を出し分けるのが標準方式です。テナント別のデフォルト設定は管理画面から変更でき、システム改修は不要です</t>
  </si>
  <si>
    <t>JWT に機能情報は載せません（変更反映が最大 30 分遅れるため）。前提 = 全アプリが context API を呼べること（QA-BIND-01 で確認中）。1 ユーザの複数テナント所属切替は第 1 期対象外</t>
  </si>
  <si>
    <t>U3 §3.8.0 / D3-14 / D-U4-06</t>
  </si>
  <si>
    <t>A-1 仮定値の扱い</t>
  </si>
  <si>
    <t>接続先の数を実測せず仮定値のまま設計を進めるため、その根拠と、あとで見直す条件を文書に残す</t>
  </si>
  <si>
    <t>根拠の整理メモ。仮定値の出どころと見直しの判断基準が明記されている</t>
  </si>
  <si>
    <t>A-2 自社拡張の製品版互換</t>
  </si>
  <si>
    <t>自社拡張の検証環境</t>
  </si>
  <si>
    <t>自社で作る拡張機能を、製品版の認証製品に載せて動かすための検証環境を用意する</t>
  </si>
  <si>
    <t>検証環境。独自イメージを作って配る手順が一通り通っている</t>
  </si>
  <si>
    <t>横断（自社拡張全般）</t>
  </si>
  <si>
    <t>自社拡張 4 種の個別互換</t>
  </si>
  <si>
    <t>自社で作る 4 つの拡張機能が、製品版の認証製品でそれぞれ正しく動くかを確かめる</t>
  </si>
  <si>
    <t>確認結果。4 機能すべてが動作し、動かない場合の代替方針が判断できる状態</t>
  </si>
  <si>
    <t>拡張が全経路で発火するか</t>
  </si>
  <si>
    <t>拡張機能を置く場所を変えながら、すべてのログイン経路で確実に呼び出されるかを確かめる</t>
  </si>
  <si>
    <t>確認結果。3 種類の経路すべてで呼び出されることが確認されている</t>
  </si>
  <si>
    <t>周辺の互換</t>
  </si>
  <si>
    <t>認証情報を保持しない設定にしたときの挙動と、属性の入力規則が期待どおりかを確かめる</t>
  </si>
  <si>
    <t>確認結果。設定ごとの挙動が記録され、設計に反映できる</t>
  </si>
  <si>
    <t>横断（自社拡張全般)</t>
  </si>
  <si>
    <t>A-3 受け取り窓口</t>
  </si>
  <si>
    <t>受け取り窓口の試作</t>
  </si>
  <si>
    <t>顧客の認証システムから利用者情報を受け取る窓口を、最小限の形で試作する</t>
  </si>
  <si>
    <t>試作品。受信・認証・顧客の振り分けが動作する</t>
  </si>
  <si>
    <t>顧客システムからの利用者受信</t>
  </si>
  <si>
    <t>相手方の適合検査に通るか</t>
  </si>
  <si>
    <t>大手 2 社が提供する適合検査ツールに、試作した窓口が合格するかを確かめる</t>
  </si>
  <si>
    <t>合格記録。不合格項目がある場合は原因と対処方針が整理されている</t>
  </si>
  <si>
    <t>作成・更新・削除の写像</t>
  </si>
  <si>
    <t>顧客側からの削除通知を「消さずに無効化」へ読み替える設計を詰める</t>
  </si>
  <si>
    <t>写像設計。削除通知を受けたときの状態変化が定義されている</t>
  </si>
  <si>
    <t>A-6 相手方実機との差</t>
  </si>
  <si>
    <t>相手方 実機① との差</t>
  </si>
  <si>
    <t>実際の顧客認証システム 1 社と接続し、受け取る情報が想定どおりかを確かめる</t>
  </si>
  <si>
    <t>確認結果。項目名・形式の差が一覧化され、設計に反映できる</t>
  </si>
  <si>
    <t>相手方 実機② との差（旧方式の検証を兼ねる）</t>
  </si>
  <si>
    <t>もう 1 社と接続し、差分を確かめる。旧方式での接続もあわせて確認する</t>
  </si>
  <si>
    <t>確認結果。2 社の差と旧方式の差が一覧化されている</t>
  </si>
  <si>
    <t>実機での拡張の発火と記録</t>
  </si>
  <si>
    <t>実際の顧客認証システム経由で拡張機能が動き、多要素認証の実施記録が正しく載るかを確かめる</t>
  </si>
  <si>
    <t>確認結果。記録が載ることが確認され、載らない場合の対処が判断できる</t>
  </si>
  <si>
    <t>実機差の設計反映</t>
  </si>
  <si>
    <t>確認で見つかった差を、属性の対応づけと振り分けの設計へ反映する</t>
  </si>
  <si>
    <t>反映済みの設計。差分がすべて設計に取り込まれている</t>
  </si>
  <si>
    <t>A-13 メール非保有</t>
  </si>
  <si>
    <t>メール非保有者の 3 経路完走</t>
  </si>
  <si>
    <t>メールアドレスを持たない利用者について、3 つの登録経路が最後まで通るかを確かめる</t>
  </si>
  <si>
    <t>確認結果。3 経路すべてが完走し、既知の不具合を回避できることが確認されている</t>
  </si>
  <si>
    <t>A-16</t>
  </si>
  <si>
    <t>A-16 ブランド別画面</t>
  </si>
  <si>
    <t>ブランドごとの画面切替が 1 つの基盤で成立するか</t>
  </si>
  <si>
    <t>1 つの基盤でブランドごとに違う画面を出せるかを確かめる。出せない場合の代替も確認する</t>
  </si>
  <si>
    <t>確認結果。出し分けの可否と、できない場合の代替手段が判断できる状態</t>
  </si>
  <si>
    <t>A-17</t>
  </si>
  <si>
    <t>A-17 閉域接続</t>
  </si>
  <si>
    <t>分離した 2 つのネットワーク間の閉域接続が通るか</t>
  </si>
  <si>
    <t>分けた 2 つのネットワークの間が、閉じた経路で正しく繋がるかを確かめる。逆向きに繋がらないことも確認する</t>
  </si>
  <si>
    <t>疎通確認記録。到達可否・逆向き不可・名前解決の切り分けが確認されている</t>
  </si>
  <si>
    <t>A-18</t>
  </si>
  <si>
    <t>A-18 サポート範囲照会</t>
  </si>
  <si>
    <t>製品ベンダーのサポート範囲の照会</t>
  </si>
  <si>
    <t>自社で作った拡張を載せた状態が製品ベンダーのサポート対象かを問い合わせる</t>
  </si>
  <si>
    <t>回答記録。サポート範囲が文書で確認され、対象外の場合の影響が整理されている</t>
  </si>
  <si>
    <t>A-7 切替先の機材確保</t>
  </si>
  <si>
    <t>切替先の機材確保（照会）</t>
  </si>
  <si>
    <t>切替先の地域で必要な機材が確保できるか、上限に余裕があるかを問い合わせる</t>
  </si>
  <si>
    <t>回答記録。確保可否と上限値が確認されている</t>
  </si>
  <si>
    <t>A-9 接続情報の自動追随</t>
  </si>
  <si>
    <t>接続情報を自動で最新に保つ機能が実在し、動作するかを確かめる</t>
  </si>
  <si>
    <t>確認結果。機能の有無が確定し、無い場合の代替手順が決まっている</t>
  </si>
  <si>
    <t>A-11 テナント推測防止</t>
  </si>
  <si>
    <t>テナントの存在を推測されないか</t>
  </si>
  <si>
    <t>振り分けのヒントから、存在する顧客名を外部に推測されないかを確かめる</t>
  </si>
  <si>
    <t>確認結果。推測できてしまう場合の対処方針が決まっている</t>
  </si>
  <si>
    <t>A-14 状態変化の即時通知</t>
  </si>
  <si>
    <t>状態変化の即時通知（机上比較）</t>
  </si>
  <si>
    <t>製品側の通知機能は試験的な位置づけのため採用せず、自作方式との比較を机上で行う</t>
  </si>
  <si>
    <t>比較記録。自作方式で進める判断とその根拠が記録されている</t>
  </si>
  <si>
    <t>A-15 記録の可視性</t>
  </si>
  <si>
    <t>記録の可視性（承認ゲートの照会のみ）</t>
  </si>
  <si>
    <t>基盤の運用元による閲覧に承認を必須とする設定が有効化できるかを問い合わせる</t>
  </si>
  <si>
    <t>回答記録。有効化の可否と手順が確認されている</t>
  </si>
  <si>
    <t>A-6 試用環境の入手（律速）</t>
  </si>
  <si>
    <t>🔴 A-6（計 8 人日）は相手方の試用環境の入手が律速。申込を最初に出し、待ち時間で A-2 / A-3 を進めること。模擬環境（旧 A-5.x）を廃止したためここが最大の残リスク</t>
  </si>
  <si>
    <t>自社拡張が製品版で動かない場合</t>
  </si>
  <si>
    <t>製品版継続の判断または拡張の作り替え方針の再設計</t>
  </si>
  <si>
    <t>適合検査で不合格項目が出た場合</t>
  </si>
  <si>
    <t>写像・スキーマの再設計と再検査</t>
  </si>
  <si>
    <t>実機で拡張が発火しないケースを発見した場合</t>
  </si>
  <si>
    <t>拡張の配置を再設計し、全経路で再確認</t>
  </si>
  <si>
    <t>自動追随の機能が実在しない場合</t>
  </si>
  <si>
    <t>手動での入れ替え運用（監視つき）を設計</t>
  </si>
  <si>
    <t>業務システム連携が Phase 1 スコープに入る場合</t>
  </si>
  <si>
    <t>業務システムの実機検証3件（旧 A-12.1〜12.3）を本体へ繰入れ、設計へ反映</t>
  </si>
  <si>
    <t>（廃止）性能未達 — 性能実測の④移管に伴い ④テスト CT-2 へ統合</t>
  </si>
  <si>
    <t>（廃止）同期送出が応答を悪化 — 性能実測の④移管に伴い ④テスト CT-2 へ統合</t>
  </si>
  <si>
    <t>C-A16</t>
  </si>
  <si>
    <t>ブランド単位の画面切替が成立しない場合</t>
  </si>
  <si>
    <t>ブランドごとに基盤を分ける構成の再設計（費用構造の見直しを含む）</t>
  </si>
  <si>
    <t>C-A17</t>
  </si>
  <si>
    <t>閉域接続が成立しない場合</t>
  </si>
  <si>
    <t>経路方式の再設計と、名前解決・区画構成の作り直し</t>
  </si>
  <si>
    <t>① 設計（C-* 18件。うち2件は廃止）</t>
  </si>
  <si>
    <t>条件付きプール（分岐）一覧 — 合計 315 人日（設計154 ／ 構築98 ／ テスト63）</t>
  </si>
  <si>
    <t>★運用ルール①: ベース合計（2,363人日）には足さない。顕在化した時点でベースへ繰入れ、各WBSの行とダッシュボードのサマリーを更新する</t>
  </si>
  <si>
    <t>★運用ルール③: 予算上は「ベース 2,363 + リスク引当 315 = 上限 2,678 人日」と読む</t>
  </si>
  <si>
    <t>ベース 2,363 + 条件付き 315 = 上限 2,678 人日</t>
  </si>
  <si>
    <t>★①750の内訳: 調査 41（PoCは「外れたら設計が壊れる／照会では分からない／後で判明すると高くつく」の3条件を満たすものだけに絞り込み、21行41人日。性能実測40人日は④テストへ移管済）＋検討 709（うち設計成果物H 560。認証実装ガイドH-L 108・機能仕様書HB-F-* 57・データ設計H-D 58・プロダクト固有H-J 58）。★クラスタC（設計是正 22人日）は2026-08-27に実施完了しWBSから削除</t>
  </si>
  <si>
    <t>★着手順序の注意: 🔴A-6（相手方実機との差、計8人日）は先方の試用環境の入手が律速。申込を最初に出し、待ち時間でA-2（自社拡張の互換）／A-3（受け取り窓口）を進める。模擬環境（旧A-5.x）を廃止したため、ここが最大の残リスク</t>
  </si>
  <si>
    <t>他組織への要求事項の文書化と提出</t>
  </si>
  <si>
    <t>先方からの質問への回答対応</t>
  </si>
  <si>
    <t>回答内容の設計への反映</t>
  </si>
  <si>
    <t>配信基盤から先方の入口までの繋ぎ方の技術検討</t>
  </si>
  <si>
    <t>先方協議用の比較資料の作成</t>
  </si>
  <si>
    <t>使用するネットワーク番号の確定と重複確認</t>
  </si>
  <si>
    <t>外向き通信の許可運用に関する合意資料</t>
  </si>
  <si>
    <t>災害時の入口切替に関する合意資料</t>
  </si>
  <si>
    <t>死活監視を攻撃と誤検知させないための合意</t>
  </si>
  <si>
    <t>開発・検証環境: 費用と共用方式の調査</t>
  </si>
  <si>
    <t>開発・検証環境: 構成と共用方針の決定</t>
  </si>
  <si>
    <t>開発・検証環境: 試験用データの作り方と費用見積</t>
  </si>
  <si>
    <t>性能試験の全体計画書</t>
  </si>
  <si>
    <t>継続的な費用管理の仕組み</t>
  </si>
  <si>
    <t>認証製品の本番設定 5 項目の詰め</t>
  </si>
  <si>
    <t>製品更新の運用手順の精密化</t>
  </si>
  <si>
    <t>DB 接続に公式部品を使うかの判断</t>
  </si>
  <si>
    <t>基盤の記録を中央に集める際の制約確認</t>
  </si>
  <si>
    <t>総当たり攻撃と利用者名の推測への対策</t>
  </si>
  <si>
    <t>顧客向け質問状の整理と提出形式化</t>
  </si>
  <si>
    <t>顧客回答の設計への反映</t>
  </si>
  <si>
    <t>法務およびベンダーへの照会と回収</t>
  </si>
  <si>
    <t>並行検討していた運用要件の本体への統合</t>
  </si>
  <si>
    <t>手順書: 顧客の追加</t>
  </si>
  <si>
    <t>手順書: 顧客の解約</t>
  </si>
  <si>
    <t>手順書: 事故発生時の初動</t>
  </si>
  <si>
    <t>手順書: 情報漏えい時の報告</t>
  </si>
  <si>
    <t>手順書: 鍵の緊急入れ替え</t>
  </si>
  <si>
    <t>手順書: 緊急時の管理者アクセス</t>
  </si>
  <si>
    <t>手順書: 強制ログアウト（3 つの範囲別）</t>
  </si>
  <si>
    <t>手順書: 災害時の切替判断</t>
  </si>
  <si>
    <t>手順書: 切替先での再構築</t>
  </si>
  <si>
    <t>手順書: データの復元</t>
  </si>
  <si>
    <t>手順書: 元の地域への復帰</t>
  </si>
  <si>
    <t>当番体制と通知先の割り当て</t>
  </si>
  <si>
    <t>構成図の清書: 全体図</t>
  </si>
  <si>
    <t>構成図の清書: ネットワーク詳細図</t>
  </si>
  <si>
    <t>他組織の回答が要求と食い違った場合（入口方式・例外扱い・識別情報の付加などが認められない）</t>
  </si>
  <si>
    <t>外向き通信を閉じる方式が採れない場合</t>
  </si>
  <si>
    <t>配信基盤からの直接接続方式が採れない場合</t>
  </si>
  <si>
    <t>ネットワーク番号の重複が判明した場合</t>
  </si>
  <si>
    <t>特定の暗号規格への準拠が「必要」と回答された場合</t>
  </si>
  <si>
    <t>識別子や画面まわりで特殊な要望が出た場合</t>
  </si>
  <si>
    <t>（廃止）社内ディレクトリ連携の要否確認</t>
  </si>
  <si>
    <t>（廃止）利用者受け取り窓口の実行形態</t>
  </si>
  <si>
    <t>基盤構成をコードで管理する際の設計規約</t>
  </si>
  <si>
    <t>鍵管理設計書（3階層の鍵と暗号化の境界）（新規v3）</t>
  </si>
  <si>
    <t>システム用アカウント台帳の設計（新規v3）</t>
  </si>
  <si>
    <t>機能仕様書: 顧客システムからの利用者作成</t>
  </si>
  <si>
    <t>機能仕様書: 顧客システムからの利用者更新</t>
  </si>
  <si>
    <t>機能仕様書: 顧客システムからの利用者削除（消さずに無効化へ読み替え）</t>
  </si>
  <si>
    <t>機能仕様書: 顧客システムからの利用者検索・絞り込み</t>
  </si>
  <si>
    <t>機能仕様書: 顧客システムからのグループ連携</t>
  </si>
  <si>
    <t>機能仕様書: 外部からの死活監視</t>
  </si>
  <si>
    <t>利用者情報の受け取り仕様（窓口・項目の対応づけ・絞り込み）</t>
  </si>
  <si>
    <t>削除通知を「消さずに無効化」へ読み替える仕様</t>
  </si>
  <si>
    <t>認可判定の記録の統合</t>
  </si>
  <si>
    <t>攻撃経路対応表（33経路×対策）（新規v3）</t>
  </si>
  <si>
    <t>顧客の受け入れ設計（設計面。手順書とは別）（新規）</t>
  </si>
  <si>
    <t>自社拡張の仕様書（接続先の自動振り分け）</t>
  </si>
  <si>
    <t>自社拡張の仕様書（初回登録の制御・停止済み利用者の再開）</t>
  </si>
  <si>
    <t>自社拡張の仕様書（イベント受信・多要素実施の記録）</t>
  </si>
  <si>
    <t>自社拡張の配置・ビルド・版数管理の設計</t>
  </si>
  <si>
    <t>通行証に載せる項目と要求範囲の定義書</t>
  </si>
  <si>
    <t>認証製品の設定値一覧（外部連携を受ける側）</t>
  </si>
  <si>
    <t>認証製品の設定値一覧（利用者を直接収容する側）</t>
  </si>
  <si>
    <t>認証製品2段構えの連携設計書</t>
  </si>
  <si>
    <t>ブランド単位の区画設計書（区画の分け方と発行元の規律）</t>
  </si>
  <si>
    <t>外部連携側に作られる利用者の控えのライフサイクル設計</t>
  </si>
  <si>
    <t>振り分け判定ロジックの設計書（識別子先行の判定・切替）</t>
  </si>
  <si>
    <t>クラスタ構成設計書（ノード群・配置制約・自動増減）</t>
  </si>
  <si>
    <t>認証製品の導入部品・設定定義の設計（版数・更新戦略）</t>
  </si>
  <si>
    <t>クラスタ運用の境界と責任分界（ベンダー保守との分担）</t>
  </si>
  <si>
    <t>責任分界表／渡す相手: 全顧客（契約添付）</t>
  </si>
  <si>
    <t>アプリ側の実装ガイド（アプリ開発者向け）／渡す相手: 接続アプリ開発者</t>
  </si>
  <si>
    <t>顧客監査への対応資料／渡す相手: 監査要求のある顧客</t>
  </si>
  <si>
    <t>本人からのデータ開示・削除請求への対応手順（顧客向け）／渡す相手: 全顧客</t>
  </si>
  <si>
    <t>機能グループ</t>
  </si>
  <si>
    <t>機能グループ</t>
    <phoneticPr fontId="3"/>
  </si>
  <si>
    <t>ローカル認証</t>
  </si>
  <si>
    <t>接続先の振り分け</t>
  </si>
  <si>
    <t>フェデレーション</t>
  </si>
  <si>
    <t>多要素認証</t>
  </si>
  <si>
    <t>アカウント復旧・パスワード</t>
  </si>
  <si>
    <t>不正アクセス対策</t>
  </si>
  <si>
    <t>利用者の存在推測の防止</t>
  </si>
  <si>
    <t>その ID が実在するかどうかが応答の違いから分かってしまわないようにする対策。1 件ずつ試して実在する利用者を割り出されるのを防ぐ</t>
  </si>
  <si>
    <t>流出パスワードの使用拒否</t>
  </si>
  <si>
    <t>入力されたパスワードが過去に流出したものでないかを確認し、該当する場合は使わせない機能</t>
  </si>
  <si>
    <t>自動登録</t>
  </si>
  <si>
    <t>顧客システムからの利用者受信（人事システム等からの登録・更新・削除）</t>
  </si>
  <si>
    <t>受け取ったデータの整形（項目名・区分の統一）</t>
  </si>
  <si>
    <t>退職者の遮断と復職対応（停止・再開の伝播）</t>
  </si>
  <si>
    <t>停止済み利用者の再開</t>
  </si>
  <si>
    <t>権限管理側への引き渡し（識別子の紐付け・参照用データの更新）</t>
  </si>
  <si>
    <t>利用者管理</t>
  </si>
  <si>
    <t>利用者の利用可否の切替（管理者操作）</t>
  </si>
  <si>
    <t>利用者支援操作</t>
  </si>
  <si>
    <t>権限管理</t>
  </si>
  <si>
    <t>組織・顧客管理</t>
  </si>
  <si>
    <t>顧客の作成</t>
  </si>
  <si>
    <t>新しい顧客を作成する機能</t>
  </si>
  <si>
    <t>顧客設定の編集</t>
  </si>
  <si>
    <t>顧客ごとの設定（ログイン方式の切り替えなど）を編集する機能</t>
  </si>
  <si>
    <t>接続先管理</t>
  </si>
  <si>
    <t>監査・一括処理</t>
  </si>
  <si>
    <t>権限の棚卸し</t>
  </si>
  <si>
    <t>付与済みの権限が今も妥当かを定期的に確認させる機能</t>
  </si>
  <si>
    <t>権限情報の提供</t>
  </si>
  <si>
    <t>権限判定</t>
  </si>
  <si>
    <t>アクセス制御</t>
  </si>
  <si>
    <t>トークン管理</t>
  </si>
  <si>
    <t>システム間トークンの発行</t>
  </si>
  <si>
    <t>アプリやバッチがシステムとして API を呼ぶための資格を発行する機能</t>
  </si>
  <si>
    <t>トークンの交換</t>
  </si>
  <si>
    <t>あるアプリ向けの資格を、別のアプリ向けに交換する機能</t>
  </si>
  <si>
    <t>認可の記録</t>
  </si>
  <si>
    <t>業務システム連携（ServiceNow 等へのログイン提供）</t>
  </si>
  <si>
    <t>アプリへの通知</t>
  </si>
  <si>
    <t>アカウント間連携</t>
  </si>
  <si>
    <t>停止イベントのアカウント間配送</t>
  </si>
  <si>
    <t>利用者を止めた事実を、アカウントをまたいで別システムへ届ける経路の機能</t>
  </si>
  <si>
    <t>監視・検知</t>
  </si>
  <si>
    <t>接続情報の追随</t>
  </si>
  <si>
    <t>利用者の整理</t>
  </si>
  <si>
    <t>データの突合と再送（伝えそこないの回収）</t>
  </si>
  <si>
    <t>鍵・証明書の維持</t>
  </si>
  <si>
    <t>アカウント・権限の点検</t>
  </si>
  <si>
    <t>管理者不在アカウントの検出</t>
  </si>
  <si>
    <t>管理する責任者がいなくなったシステム用アカウントを検出して通知する処理</t>
  </si>
  <si>
    <t>権限棚卸しの定期起動</t>
  </si>
  <si>
    <t>権限の棚卸しを定期的に開始する処理</t>
  </si>
  <si>
    <t>インターネットとの境界を管理する他組織に対し、こちらが必要とする設定内容を文書にまとめて提出する</t>
  </si>
  <si>
    <t>要求事項の文書。24 件すべてが記載され、先方へ提出済み</t>
  </si>
  <si>
    <t>提出した内容について先方から出た質問に回答し、論点を整理する</t>
  </si>
  <si>
    <t>質疑の記録。2 往復を想定し、未解決の論点が一覧化されている</t>
  </si>
  <si>
    <t>先方の回答を各設計書へ反映する</t>
  </si>
  <si>
    <t>反映済みの設計書。回答内容と設計の対応がとれている</t>
  </si>
  <si>
    <t>配信の仕組みから先方の入口装置まで、どう繋ぐかの方式を技術的に詰める</t>
  </si>
  <si>
    <t>方式比較。採用案と、採れない場合の代替が示されている</t>
  </si>
  <si>
    <t>先方と協議するための比較資料を作る</t>
  </si>
  <si>
    <t>協議資料。方式ごとの利点と制約が先方にも分かる形で整理されている</t>
  </si>
  <si>
    <t>使用するネットワーク番号を確定し、社内・他組織・顧客側と重複しないことを確認する</t>
  </si>
  <si>
    <t>確定した番号の台帳。重複がないことが確認済み。構築開始前に必須</t>
  </si>
  <si>
    <t>外向き通信の許可をどう運用するかについて、先方と合意するための資料を作る</t>
  </si>
  <si>
    <t>合意資料。許可の申請方法と所要時間が明記されている</t>
  </si>
  <si>
    <t>災害時に入口を切り替える方式について、先方と合意するための資料を作る</t>
  </si>
  <si>
    <t>合意資料。切替の手順と役割分担が明記されている</t>
  </si>
  <si>
    <t>死活監視の通信を攻撃と誤検知させないための扱いを、先方と合意する</t>
  </si>
  <si>
    <t>合意内容。除外の対象と方法が定まっている</t>
  </si>
  <si>
    <t>開発・検証用の環境について、費用と共用のしかたを調査する</t>
  </si>
  <si>
    <t>調査結果。費用の見込みと共用可能な範囲が整理されている</t>
  </si>
  <si>
    <t>開発・検証環境をいくつ、どう分けて持つかを決める</t>
  </si>
  <si>
    <t>方針書。環境の数と分け方、共用範囲が定まっている</t>
  </si>
  <si>
    <t>試験に使うデータの作り方と、環境にかかる費用を見積もる</t>
  </si>
  <si>
    <t>方針と見積。本物の個人情報を使わない作り方が定まっている</t>
  </si>
  <si>
    <t>性能試験の全体計画を 1 本にまとめる</t>
  </si>
  <si>
    <t>計画書。試験の道具・データ・合格基準が定まっている</t>
  </si>
  <si>
    <t>運用開始後に費用を継続的に把握・管理する仕組みを決める</t>
  </si>
  <si>
    <t>管理方式。費用の分類方法と、超過時に気付く仕組みが定まっている</t>
  </si>
  <si>
    <t>認証製品の本番向け設定のうち、詰め残していた 5 項目を確定する</t>
  </si>
  <si>
    <t>設定値。5 項目それぞれの値と根拠が定まっている</t>
  </si>
  <si>
    <t>製品を新しい版へ上げる際の運用手順を精密化する</t>
  </si>
  <si>
    <t>手順設計。事前確認の方法と、停止を伴う場合の作業時間帯が定まっている</t>
  </si>
  <si>
    <t>DB への接続に公式提供の部品を使うかどうかを判断する</t>
  </si>
  <si>
    <t>判断記録。採否と、採らない場合の代替が定まっている</t>
  </si>
  <si>
    <t>基盤側が出す記録を中央に集める際の制約を確認する</t>
  </si>
  <si>
    <t>確認結果。集約できる範囲と、できない場合の回避策が定まっている</t>
  </si>
  <si>
    <t>総当たり攻撃への対処方針と、利用者名を推測されないための対策を選定する</t>
  </si>
  <si>
    <t>方針書。採用する方式と設定値が定まっている</t>
  </si>
  <si>
    <t>連続失敗時の一時締め出し／利用者の存在推測の防止</t>
  </si>
  <si>
    <t>顧客への質問状を優先度で絞り込み、提出できる形に整える</t>
  </si>
  <si>
    <t>質問状。優先度順に整理され、そのまま提出できる状態</t>
  </si>
  <si>
    <t>顧客の回答を前提条件の表と各設計書へ反映する</t>
  </si>
  <si>
    <t>反映済みの設計書。前提条件が確定値に置き換わっている</t>
  </si>
  <si>
    <t>法務および製品ベンダーへの照会を起票し、回答を回収する</t>
  </si>
  <si>
    <t>回答記録。照会事項すべてに回答が得られている</t>
  </si>
  <si>
    <t>並行して検討していた運用面の要件を、本体の設計へ統合する</t>
  </si>
  <si>
    <t>統合済みの設計。参照の食い違いが解消されている</t>
  </si>
  <si>
    <t>顧客を新しく追加するときの作業手順を手順書にする</t>
  </si>
  <si>
    <t>手順書。6 段階の作業が順に書かれ、担当者が単独で実施できる</t>
  </si>
  <si>
    <t>顧客が解約するときの段階的な削除手順を手順書にする</t>
  </si>
  <si>
    <t>手順書。猶予期間・データの引き渡し・完了の証明までが書かれている</t>
  </si>
  <si>
    <t>横断（顧客の解約運用）</t>
  </si>
  <si>
    <t>事故が起きたときの初動の手順を手順書にする</t>
  </si>
  <si>
    <t>手順書。検知から関係者への連絡までの時間目標が書かれている</t>
  </si>
  <si>
    <t>情報漏えいが起きたときの報告手順を手順書にする</t>
  </si>
  <si>
    <t>手順書。法令が求める期限と報告先が書かれている</t>
  </si>
  <si>
    <t>横断（法令対応）</t>
  </si>
  <si>
    <t>鍵を緊急で入れ替えるときの手順を手順書にする</t>
  </si>
  <si>
    <t>手順書。入れ替え中の影響と復旧確認まで書かれている</t>
  </si>
  <si>
    <t>F-BAT-04, F-BAT-05</t>
  </si>
  <si>
    <t>署名鍵の定期入れ替え／接続用パスワードの定期入れ替え</t>
  </si>
  <si>
    <t>通常経路が使えないときに管理者が入る手順を手順書にする</t>
  </si>
  <si>
    <t>手順書。発動条件・承認者・事後の監査までが書かれている</t>
  </si>
  <si>
    <t>横断（緊急時の運用）</t>
  </si>
  <si>
    <t>利用者を強制的にログアウトさせる手順を、3 つの範囲別に手順書にする</t>
  </si>
  <si>
    <t>手順書。1 人・1 顧客・全体の 3 段階が書き分けられている</t>
  </si>
  <si>
    <t>災害時に切り替えるかどうかの判断手順を手順書にする</t>
  </si>
  <si>
    <t>手順書。判断基準と判断者が明確になっている</t>
  </si>
  <si>
    <t>横断（災害対策）</t>
  </si>
  <si>
    <t>切替先の地域で環境を作り直す手順を手順書にする</t>
  </si>
  <si>
    <t>手順書。所要時間の見込みつきで作業が順に書かれている</t>
  </si>
  <si>
    <t>保存してあるデータから復元する手順を手順書にする</t>
  </si>
  <si>
    <t>手順書。時点を指定した復元の方法まで書かれている</t>
  </si>
  <si>
    <t>元の地域へ戻す手順を手順書にする</t>
  </si>
  <si>
    <t>手順書。戻した後の整合確認まで書かれている</t>
  </si>
  <si>
    <t>当番体制を組み、警報の通知先を割り当てる</t>
  </si>
  <si>
    <t>当番表と通知設定。夜間・休日の連絡経路が定まっている</t>
  </si>
  <si>
    <t>全体構成図を清書する</t>
  </si>
  <si>
    <t>構成図。2 ネットワーク分離とブランド単位の構成が反映されている</t>
  </si>
  <si>
    <t>ネットワーク詳細図を清書する</t>
  </si>
  <si>
    <t>構成図。閉域接続とイベント経路が反映されている</t>
  </si>
  <si>
    <t>F-AUTH-02, F-PROV-01, F-PROV-11, F-AUTH-08</t>
  </si>
  <si>
    <t>接続先の振り分け／自動登録／停止と再開／フェデレーション</t>
  </si>
  <si>
    <t>接続先の自動振り分け／初回ログイン時の自動登録／停止済み利用者の再開／ログイン後の属性取り込み</t>
  </si>
  <si>
    <t>F-AUTH-05, F-AUTH-08</t>
  </si>
  <si>
    <t>顧客認証システムへのログイン委譲／ログイン後の属性取り込み</t>
  </si>
  <si>
    <t>横断（ログイン画面のブランド別表示 ※機能一覧に未登録）</t>
  </si>
  <si>
    <t>横断（管理 API）</t>
  </si>
  <si>
    <t>接続情報の追随／鍵・証明書の維持</t>
  </si>
  <si>
    <t>ローカル認証／自動登録</t>
  </si>
  <si>
    <t>権限管理／権限判定</t>
  </si>
  <si>
    <t>権限情報の提供／識別子と権限の連携</t>
  </si>
  <si>
    <t>利用者支援操作／アカウント復旧・パスワード／アプリへの通知</t>
  </si>
  <si>
    <t>停止イベントのアカウント間配送／識別子のアカウント間伝達</t>
  </si>
  <si>
    <t>アプリへの通知／不正アクセス対策</t>
  </si>
  <si>
    <t>通知メールの送信／流出パスワードの使用拒否</t>
  </si>
  <si>
    <t>停止伝播の突合（短間隔）／日次の整合突合</t>
  </si>
  <si>
    <t>自動登録／停止と再開</t>
  </si>
  <si>
    <t>初回ログイン時の自動登録／停止済み利用者の再開</t>
  </si>
  <si>
    <t>自動登録／アカウント復旧・パスワード</t>
  </si>
  <si>
    <t>利用者の停止（消さずに無効化）／停止済み利用者の再開</t>
  </si>
  <si>
    <t>第1部 本ガイドについて</t>
  </si>
  <si>
    <t>第1部 本基盤の全体像</t>
  </si>
  <si>
    <t>第1部 用語集</t>
  </si>
  <si>
    <t>第1部 統合前に決めること</t>
  </si>
  <si>
    <t>第2部 クライアント登録の申請プロセス</t>
  </si>
  <si>
    <t>第2部 環境と接続情報</t>
  </si>
  <si>
    <t>第2部 Discovery / エンドポイント案内</t>
  </si>
  <si>
    <t>第2部 クレデンシャル管理</t>
  </si>
  <si>
    <t>第3部 Webアプリ（BFF / SSR）</t>
  </si>
  <si>
    <t>第3部 SPA（ブラウザ）</t>
  </si>
  <si>
    <t>第3部 ネイティブ / モバイル</t>
  </si>
  <si>
    <t>第3部 サーバ間（M2M）</t>
  </si>
  <si>
    <t>第3部 既存 SAML SP 向け</t>
  </si>
  <si>
    <t>第4部 認可リクエスト</t>
  </si>
  <si>
    <t>第4部 トークン取得・保存</t>
  </si>
  <si>
    <t>第4部 アクセストークン検証（RS必須7点）</t>
  </si>
  <si>
    <t>第4部 ID Token検証</t>
  </si>
  <si>
    <t>第4部 JWKS取得・鍵ローテ追随</t>
  </si>
  <si>
    <t>第4部 テナント検証と越境防止</t>
  </si>
  <si>
    <t>第4部 認可情報の取得</t>
  </si>
  <si>
    <t>第4部 セッション管理</t>
  </si>
  <si>
    <t>第4部 ログアウト3方式の使い分け</t>
  </si>
  <si>
    <t>第4部 Back-Channel Logout受信実装</t>
  </si>
  <si>
    <t>第4部 リフレッシュトークン</t>
  </si>
  <si>
    <t>第4部 step-up認証</t>
  </si>
  <si>
    <t>第5部 必須セキュリティ要件チェックリスト</t>
  </si>
  <si>
    <t>第5部 CORS / SameSite / CSP</t>
  </si>
  <si>
    <t>第5部 禁止事項・アンチパターン集</t>
  </si>
  <si>
    <t>第5部 ログ・監査</t>
  </si>
  <si>
    <t>第6部 エラーコード一覧と期待動作</t>
  </si>
  <si>
    <t>第6部 403 → Sorry誘導規約</t>
  </si>
  <si>
    <t>第6部 認証失敗・再認証のUX</t>
  </si>
  <si>
    <t>第6部 ブランド・ログインボタン</t>
  </si>
  <si>
    <t>第7部 Token Exchange</t>
  </si>
  <si>
    <t>第7部 Webhook受信</t>
  </si>
  <si>
    <t>第7部 CAEP receiver</t>
  </si>
  <si>
    <t>第8部 レート制限と作法</t>
  </si>
  <si>
    <t>第8部 障害時の挙動</t>
  </si>
  <si>
    <t>第8部 監視・可観測性</t>
  </si>
  <si>
    <t>第8部 SLA・制約事項</t>
  </si>
  <si>
    <t>第8部 バージョニング・廃止ポリシー</t>
  </si>
  <si>
    <t>第9部 サンドボックス・テスト方法</t>
  </si>
  <si>
    <t>第9部 本番移行チェックリスト・ゲート</t>
  </si>
  <si>
    <t>第9部 ローンチ後の変更手順</t>
  </si>
  <si>
    <t>第9部 移行ガイド</t>
  </si>
  <si>
    <t>第10部 エンドポイント・リファレンス</t>
  </si>
  <si>
    <t>第10部 クレーム辞書・スコープ一覧</t>
  </si>
  <si>
    <t>第10部 推奨ライブラリ</t>
  </si>
  <si>
    <t>第10部 サポート窓口・FAQ</t>
  </si>
  <si>
    <t>第10部 ドキュメント変更履歴</t>
  </si>
  <si>
    <t>分類</t>
    <phoneticPr fontId="3"/>
  </si>
  <si>
    <t>項目</t>
    <phoneticPr fontId="3"/>
  </si>
  <si>
    <t>概要・完了定義</t>
    <phoneticPr fontId="3"/>
  </si>
  <si>
    <t>内訳</t>
    <phoneticPr fontId="3"/>
  </si>
  <si>
    <t>依存・着手条件</t>
    <phoneticPr fontId="3"/>
  </si>
  <si>
    <t>区分（対象ストア等）</t>
    <phoneticPr fontId="3"/>
  </si>
  <si>
    <t>備考</t>
    <phoneticPr fontId="3"/>
  </si>
  <si>
    <t>エラーの種類と、画面やAPIが返す内容の対応づけ</t>
  </si>
  <si>
    <t>v3.0（2026-09-01）</t>
  </si>
  <si>
    <t>wbs-detailed-design-realign-2026-09-01</t>
  </si>
  <si>
    <t>記録の項目構成と、個人情報を伏せる箇所の指定</t>
  </si>
  <si>
    <t>送信予定の記録を同時に書く具体と、失敗時のやり直し</t>
  </si>
  <si>
    <t>排他の取り方と、後勝ち／先勝ちの実装</t>
  </si>
  <si>
    <t>保持する対象・保持時間・破棄のきっかけ</t>
  </si>
  <si>
    <t>3種類の識別子の生成規則</t>
  </si>
  <si>
    <t>権限確認・外部呼び出し・再試行の共通部品</t>
  </si>
  <si>
    <t>環境ごとの差分の持たせ方</t>
  </si>
  <si>
    <t>取得元・一時保持・入れ替えへの追随</t>
  </si>
  <si>
    <t>性能に関わる設定値と、DB接続の予算規約の実装</t>
  </si>
  <si>
    <t>「表に無い主体は接続してはならない」「関数は予約同時実行数をそのまま接続数として計上」「使用率60%で方式を再評価」を、誰がどう守らせるか（起動時チェック・監視・レビュー観点）まで落とす</t>
  </si>
  <si>
    <t>DD-B 機能の詳細設計</t>
  </si>
  <si>
    <t>ローカル認証 の内部設計</t>
  </si>
  <si>
    <t>当該機能グループに属する機能の内部設計（処理の流れ・アルゴリズム・クラス構成・例外処理の実装方式）。外から見た振る舞いは①基本設計 HB-F-* で確定済み</t>
  </si>
  <si>
    <t>グループ内の全機能</t>
  </si>
  <si>
    <t>機能グループは①基本設計と同じ値</t>
  </si>
  <si>
    <t>接続先の振り分け の内部設計</t>
  </si>
  <si>
    <t>フェデレーション の内部設計</t>
  </si>
  <si>
    <t>多要素認証 の内部設計</t>
  </si>
  <si>
    <t>アカウント復旧・パスワード の内部設計</t>
  </si>
  <si>
    <t>不正アクセス対策 の内部設計</t>
  </si>
  <si>
    <t>自動登録 の内部設計</t>
  </si>
  <si>
    <t>プロビ系</t>
  </si>
  <si>
    <t>顧客システムからの利用者受信 の内部設計</t>
  </si>
  <si>
    <t>受け取ったデータの整形 の内部設計</t>
  </si>
  <si>
    <t>受け取ったデータの整形</t>
  </si>
  <si>
    <t>DDB-10</t>
  </si>
  <si>
    <t>退職者の遮断と復職対応 の内部設計</t>
  </si>
  <si>
    <t>退職者の遮断と復職対応</t>
  </si>
  <si>
    <t>DDB-11</t>
  </si>
  <si>
    <t>権限管理側への引き渡し の内部設計</t>
  </si>
  <si>
    <t>権限管理側への引き渡し</t>
  </si>
  <si>
    <t>DDB-12</t>
  </si>
  <si>
    <t>利用者管理 の内部設計</t>
  </si>
  <si>
    <t>管理系</t>
  </si>
  <si>
    <t>DDB-13</t>
  </si>
  <si>
    <t>利用者支援操作 の内部設計</t>
  </si>
  <si>
    <t>DDB-14</t>
  </si>
  <si>
    <t>権限管理 の内部設計</t>
  </si>
  <si>
    <t>DDB-15</t>
  </si>
  <si>
    <t>組織・顧客管理 の内部設計</t>
  </si>
  <si>
    <t>DDB-16</t>
  </si>
  <si>
    <t>接続先管理 の内部設計</t>
  </si>
  <si>
    <t>DDB-17</t>
  </si>
  <si>
    <t>監査・一括処理 の内部設計</t>
  </si>
  <si>
    <t>DDB-18</t>
  </si>
  <si>
    <t>権限情報の提供 の内部設計</t>
  </si>
  <si>
    <t>DDB-19</t>
  </si>
  <si>
    <t>権限判定 の内部設計</t>
  </si>
  <si>
    <t>DDB-20</t>
  </si>
  <si>
    <t>アクセス制御 の内部設計</t>
  </si>
  <si>
    <t>DDB-21</t>
  </si>
  <si>
    <t>トークン管理 の内部設計</t>
  </si>
  <si>
    <t>DDB-22</t>
  </si>
  <si>
    <t>認可の記録 の内部設計</t>
  </si>
  <si>
    <t>DDB-23</t>
  </si>
  <si>
    <t>業務システム連携 の内部設計</t>
  </si>
  <si>
    <t>DDB-24</t>
  </si>
  <si>
    <t>アプリへの通知 の内部設計</t>
  </si>
  <si>
    <t>DDB-25</t>
  </si>
  <si>
    <t>アカウント間連携 の内部設計</t>
  </si>
  <si>
    <t>DDB-26</t>
  </si>
  <si>
    <t>監視・検知 の内部設計</t>
  </si>
  <si>
    <t>DDB-27</t>
  </si>
  <si>
    <t>接続情報の追随 の内部設計</t>
  </si>
  <si>
    <t>DDK-01</t>
  </si>
  <si>
    <t>DD-K 基盤・運用の詳細設計</t>
  </si>
  <si>
    <t>ネットワーク構成の実装設計（区画・経路・通信許可）</t>
  </si>
  <si>
    <t>区画の切り方、経路表、通信許可の実装に落とす</t>
  </si>
  <si>
    <t>新規（v3.0）</t>
  </si>
  <si>
    <t>DDK-02</t>
  </si>
  <si>
    <t>2つのネットワーク間の閉域接続の実装設計</t>
  </si>
  <si>
    <t>受け口2本・一方向であることの担保・名前解決の切り分け</t>
  </si>
  <si>
    <t>DDK-03</t>
  </si>
  <si>
    <t>管理系の実行環境の実装設計（配置・割当・上限）</t>
  </si>
  <si>
    <t>配置先・割当量・同時実行の上限を決める</t>
  </si>
  <si>
    <t>DDK-04</t>
  </si>
  <si>
    <t>鍵と秘匿情報の管理の実装設計</t>
  </si>
  <si>
    <t>鍵の階層・保管場所・入れ替えの実装</t>
  </si>
  <si>
    <t>DDK-05</t>
  </si>
  <si>
    <t>不正検知の判定ロジックの実装設計</t>
  </si>
  <si>
    <t>判定条件と閾値、通知までの実装</t>
  </si>
  <si>
    <t>DDK-06</t>
  </si>
  <si>
    <t>記録の3層構造と伏せ字処理の実装設計</t>
  </si>
  <si>
    <t>3層の振り分けと、個人情報を伏せる処理の実装</t>
  </si>
  <si>
    <t>DDK-07</t>
  </si>
  <si>
    <t>災害時の切替・復元の実装設計</t>
  </si>
  <si>
    <t>切替手順と復元手順を実装レベルに落とす</t>
  </si>
  <si>
    <t>DDK-08</t>
  </si>
  <si>
    <t>監視・通知・手順書連動の実装設計</t>
  </si>
  <si>
    <t>監視項目・通知先・手順書との連動の実装</t>
  </si>
  <si>
    <t>DD-C 画面の詳細設計</t>
  </si>
  <si>
    <t>12画面ぶんの操作・入力チェック・遷移の詳細</t>
  </si>
  <si>
    <t>横断（利用者向け画面）</t>
  </si>
  <si>
    <t>20画面ぶんの操作・入力チェック・権限別表示の詳細</t>
  </si>
  <si>
    <t>横断（管理画面）</t>
  </si>
  <si>
    <t>共通部品の分け方と画面状態の持たせ方</t>
  </si>
  <si>
    <t>呼び出し順と、失敗時の画面表示</t>
  </si>
  <si>
    <t>文言ファイルの構造と、読み上げ対応の実装</t>
  </si>
  <si>
    <t>DDC-06</t>
  </si>
  <si>
    <t>ブランドごとの画面切替の実装設計</t>
  </si>
  <si>
    <t>切替の単位・素材の持ち方・切替できない場合の代替</t>
  </si>
  <si>
    <t>横断（ログイン画面のブランド別表示）</t>
  </si>
  <si>
    <t>新規（v3.0）。実機確認 A-16 の結果で人日が変動（成立しない場合は分岐 C-A16 +4 へ振替）</t>
  </si>
  <si>
    <t>DD-D データの詳細設計</t>
  </si>
  <si>
    <t>表定義（権限）</t>
  </si>
  <si>
    <t>対象ストア: 権限</t>
  </si>
  <si>
    <t>権限</t>
  </si>
  <si>
    <t>表定義（顧客番号との対応づけ）</t>
  </si>
  <si>
    <t>対象ストア: 対応づけ</t>
  </si>
  <si>
    <t>対応づけ</t>
  </si>
  <si>
    <t>表定義（参照用データ）</t>
  </si>
  <si>
    <t>対象ストア: 参照用</t>
  </si>
  <si>
    <t>参照用</t>
  </si>
  <si>
    <t>表定義（送信予定の記録）</t>
  </si>
  <si>
    <t>対象ストア: 送信予定</t>
  </si>
  <si>
    <t>送信予定</t>
  </si>
  <si>
    <t>表定義（システム用アカウントの台帳）</t>
  </si>
  <si>
    <t>対象ストア: 台帳</t>
  </si>
  <si>
    <t>台帳</t>
  </si>
  <si>
    <t>表定義（同意の記録）</t>
  </si>
  <si>
    <t>対象ストア: 同意記録</t>
  </si>
  <si>
    <t>同意記録</t>
  </si>
  <si>
    <t>表定義（管理操作の記録）</t>
  </si>
  <si>
    <t>対象ストア: 管理操作記録</t>
  </si>
  <si>
    <t>管理操作記録</t>
  </si>
  <si>
    <t>長期保管領域の実装設計（保存形式・分割・消せない設定）</t>
  </si>
  <si>
    <t>対象ストア: 長期保管</t>
  </si>
  <si>
    <t>長期保管</t>
  </si>
  <si>
    <t>DDD-09</t>
  </si>
  <si>
    <t>索引の設計（実行計画の確認込み）</t>
  </si>
  <si>
    <t>対象ストア: 全自前DB</t>
  </si>
  <si>
    <t>全自前DB</t>
  </si>
  <si>
    <t>DDD-10</t>
  </si>
  <si>
    <t>大きな表の分割設計</t>
  </si>
  <si>
    <t>DDD-11</t>
  </si>
  <si>
    <t>構造変更の適用方式（元に戻す手順を含む）</t>
  </si>
  <si>
    <t>DDD-12</t>
  </si>
  <si>
    <t>初期データの投入設計</t>
  </si>
  <si>
    <t>DDD-13</t>
  </si>
  <si>
    <t>認証製品スキーマの利用範囲の確定（受付側）</t>
  </si>
  <si>
    <t>対象ストア: 製品DB①</t>
  </si>
  <si>
    <t>製品DB①</t>
  </si>
  <si>
    <t>DDD-14</t>
  </si>
  <si>
    <t>認証製品スキーマの利用範囲の確定（収容側）</t>
  </si>
  <si>
    <t>対象ストア: 製品DB②</t>
  </si>
  <si>
    <t>製品DB②</t>
  </si>
  <si>
    <t>DDD-15</t>
  </si>
  <si>
    <t>利用者属性の宣言の実装</t>
  </si>
  <si>
    <t>対象ストア: 製品DB両方</t>
  </si>
  <si>
    <t>製品DB両方</t>
  </si>
  <si>
    <t>DDD-16</t>
  </si>
  <si>
    <t>保持期間と消去の実装設計</t>
  </si>
  <si>
    <t>対象ストア: 全ストア</t>
  </si>
  <si>
    <t>全ストア</t>
  </si>
  <si>
    <t>DD-E つなぎ目の詳細設計</t>
  </si>
  <si>
    <t>管理用APIの実装レベル定義（約45の入口）</t>
  </si>
  <si>
    <t>入力形式・入力チェック・応答の実装レベル定義</t>
  </si>
  <si>
    <t>横断（管理API）</t>
  </si>
  <si>
    <t>項目の対応づけ・絞り込み・件数区切りの実装</t>
  </si>
  <si>
    <t>アカウント間で受け渡すイベントの形式詳細</t>
  </si>
  <si>
    <t>2本の経路それぞれの項目定義</t>
  </si>
  <si>
    <t>アプリへの通知の中身・署名・再送の実装仕様</t>
  </si>
  <si>
    <t>7種類の通知の実装仕様</t>
  </si>
  <si>
    <t>部品間で渡す情報と呼び出し規約</t>
  </si>
  <si>
    <t>標準方式・旧方式の設定値詳細</t>
  </si>
  <si>
    <t>DD-F 定期処理の詳細設計</t>
  </si>
  <si>
    <t>8本ぶんの処理順と分岐</t>
  </si>
  <si>
    <t>途中失敗からの再開手順</t>
  </si>
  <si>
    <t>重複起動の防止と検知</t>
  </si>
  <si>
    <t>部品の分け方の設計（基盤層・顧客層）</t>
  </si>
  <si>
    <t>再利用単位の切り方</t>
  </si>
  <si>
    <t>状態ファイルの分割設計</t>
  </si>
  <si>
    <t>分割の単位と排他の取り方</t>
  </si>
  <si>
    <t>本番・検証・開発の差分の持たせ方</t>
  </si>
  <si>
    <t>自動配備の構成設計</t>
  </si>
  <si>
    <t>配備の起動条件と経路</t>
  </si>
  <si>
    <t>配備定義の構成設計</t>
  </si>
  <si>
    <t>定義ファイルの構造と差分の当て方</t>
  </si>
  <si>
    <t>認証製品の配備定義とノード構成（受付側）</t>
  </si>
  <si>
    <t>受付側の配備定義とノード割当</t>
  </si>
  <si>
    <t>DDG-07</t>
  </si>
  <si>
    <t>認証製品の配備定義とノード構成（収容側）</t>
  </si>
  <si>
    <t>収容側の配備定義とノード割当</t>
  </si>
  <si>
    <t>DDG-08</t>
  </si>
  <si>
    <t>割当量・専用化の指定・自動増減の連鎖</t>
  </si>
  <si>
    <t>接続先の振り分けを行う拡張のクラス設計</t>
  </si>
  <si>
    <t>入出力と判定不能時の動作</t>
  </si>
  <si>
    <t>動作条件と誤作動防止</t>
  </si>
  <si>
    <t>自動登録／退職者の遮断と復職対応</t>
  </si>
  <si>
    <t>記録出力・多要素の記録を行う拡張のクラス設計</t>
  </si>
  <si>
    <t>記録の出し方と多要素の実施記録</t>
  </si>
  <si>
    <t>配置位置と発火条件の実装</t>
  </si>
  <si>
    <t>2インスタンスでの配置差分（受付側3系統／収容側2系統）</t>
  </si>
  <si>
    <t>両者で配置と発火条件が異なる点の整理</t>
  </si>
  <si>
    <t>DDH-06</t>
  </si>
  <si>
    <t>組み立て・版数管理の仕様</t>
  </si>
  <si>
    <t>作成手順と版の管理</t>
  </si>
  <si>
    <t>旧DDH-05から繰り下げ</t>
  </si>
  <si>
    <t>単体試験の方針と網羅基準</t>
  </si>
  <si>
    <t>方針と、どこまで確認するかの基準</t>
  </si>
  <si>
    <t>単体試験仕様書（認証・プロビ）</t>
  </si>
  <si>
    <t>対象部品ぶんの試験項目</t>
  </si>
  <si>
    <t>単体試験仕様書（画面・トークン）</t>
  </si>
  <si>
    <t>単体試験仕様書（基盤・セキュリティ）</t>
  </si>
  <si>
    <t>単体試験仕様書（可用性・運用・連携）</t>
  </si>
  <si>
    <t>認証製品・顧客認証システム・利用者受信の模擬</t>
  </si>
  <si>
    <t>通しでの整合確認</t>
  </si>
  <si>
    <t>指摘の反映</t>
  </si>
  <si>
    <t>要件から試験までの対応の維持</t>
  </si>
  <si>
    <t>進捗と課題の管理</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</si>
  <si>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</si>
  <si>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</si>
  <si>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t>
  </si>
  <si>
    <t>★条件付きプール 313（設計152 = C-* 65 + CH-* 87 ／ 構築98 ／ テスト63。CT-2は実測がテストまで遅れるリスクにより+12→+25へ増額）＋A分岐の増額2 = 315 はベース外。予算上は ベース 2,395 + リスク引当 315 = 上限 2,710 人日。明細は別シート「分岐プール」</t>
  </si>
  <si>
    <t>異常時の扱いの実装仕様（エラー番号と実装の対応）</t>
  </si>
  <si>
    <t>記録の出し方の実装仕様（項目構造・伏せ字にする箇所 14 点）</t>
  </si>
  <si>
    <t>一連の処理をまとめて成否を揃える実装仕様（送信予定の記録を同時に書く具体）</t>
  </si>
  <si>
    <t>同時更新を防ぐ実装仕様</t>
  </si>
  <si>
    <t>一時保持の実装仕様（キーの決め方・保持時間・破棄の合図）</t>
  </si>
  <si>
    <t>番号の付け方の実装仕様（3 階層の識別子）</t>
  </si>
  <si>
    <t>共通部品の仕様（権限確認・外部呼び出し・再試行）</t>
  </si>
  <si>
    <t>設定値の管理方式</t>
  </si>
  <si>
    <t>秘匿情報の取り出し方（入れ替えへの追随を含む）</t>
  </si>
  <si>
    <t>利用者向け画面の詳細（12 画面・入力確認と動作）</t>
  </si>
  <si>
    <t>管理画面の詳細（20 画面）</t>
  </si>
  <si>
    <t>画面部品の構成と状態の持ち方</t>
  </si>
  <si>
    <t>画面から呼ぶ処理の順序と、失敗時の見せ方</t>
  </si>
  <si>
    <t>多言語の文言管理と、支援技術対応の実装仕様</t>
  </si>
  <si>
    <t>利用者受信の実装仕様（項目の対応づけ・絞り込み）</t>
  </si>
  <si>
    <t>内部部品どうしのつなぎ目設計</t>
  </si>
  <si>
    <t>認証手順の設定値詳細（新旧 2 方式）</t>
  </si>
  <si>
    <t>定期処理ごとの流れの詳細（8 本）</t>
  </si>
  <si>
    <t>失敗時のやり直し方の仕様</t>
  </si>
  <si>
    <t>二重起動を防ぐ実装</t>
  </si>
  <si>
    <t>環境ごとの差分の持ち方</t>
  </si>
  <si>
    <t>1 ノード 1 Pod 構成の実装設計（テイント・割当量・自動増減の連鎖）</t>
  </si>
  <si>
    <t>自動登録・再開を行う拡張のクラス設計</t>
  </si>
  <si>
    <t>ログイン処理への組み込み仕様（置き場所と発火条件）</t>
  </si>
  <si>
    <t>模擬部品の設計（認証製品・外部の認証システム・受信窓口）</t>
  </si>
  <si>
    <t>基本設計との対応関係の更新</t>
  </si>
  <si>
    <t>詳細設計フェーズの進捗・課題管理</t>
  </si>
  <si>
    <t>DD-G 基盤構成をコードで管理する仕組みの詳細設計</t>
  </si>
  <si>
    <t>DD-H 自社で作る拡張機能の詳細設計</t>
  </si>
  <si>
    <t>DD-I 単体試験の仕様</t>
  </si>
  <si>
    <t>DD-A 共通・方式の実装仕様</t>
  </si>
  <si>
    <t>最小構成</t>
  </si>
  <si>
    <t>アプリ移管</t>
  </si>
  <si>
    <t>アプリ移管</t>
    <phoneticPr fontId="3"/>
  </si>
  <si>
    <t>基盤</t>
  </si>
  <si>
    <t>追加移管候補</t>
  </si>
  <si>
    <t>基盤（縮小）</t>
  </si>
  <si>
    <t>⑦ スコープ 3 案の比較（出典: minimal-scope-2026-09-01 ／ minimal-scope-idp-delegation-2026-09-02 §7）</t>
  </si>
  <si>
    <t>全量</t>
  </si>
  <si>
    <t>アプリ移管（案 C）</t>
  </si>
  <si>
    <t>13 消滅・11 縮小</t>
  </si>
  <si>
    <t>① 基本設計</t>
  </si>
  <si>
    <t>ベース総計</t>
  </si>
  <si>
    <t>条件付き</t>
  </si>
  <si>
    <t>上限</t>
  </si>
  <si>
    <t>※ ①以外は概算。確定には各工程へ同じ仕分けを当てる必要がある</t>
  </si>
  <si>
    <t>※ 「最小構成」と「アプリ移管」は併用できる（両方適用するとさらに下がる）。併用時の試算は別途</t>
  </si>
  <si>
    <t>判断根拠</t>
  </si>
  <si>
    <t>判断根拠</t>
    <phoneticPr fontId="3"/>
  </si>
  <si>
    <t>認証の中核</t>
  </si>
  <si>
    <t>代替手段あり</t>
  </si>
  <si>
    <t>製品機能</t>
  </si>
  <si>
    <t>後から追加可能</t>
  </si>
  <si>
    <t>事故防止</t>
  </si>
  <si>
    <t>権限移管に伴い不要</t>
  </si>
  <si>
    <t>業務データ</t>
  </si>
  <si>
    <t>画面のみ</t>
  </si>
  <si>
    <t>業務ルール依存</t>
  </si>
  <si>
    <t>基盤の内部機構</t>
  </si>
  <si>
    <t>法令・契約</t>
  </si>
  <si>
    <t>改ざん防止</t>
  </si>
  <si>
    <t>横断（対象縮小）</t>
  </si>
  <si>
    <t>運用に必須</t>
  </si>
  <si>
    <t>他組織との調整</t>
  </si>
  <si>
    <t>構成の前提</t>
  </si>
  <si>
    <t>根拠の補足</t>
  </si>
  <si>
    <t>根拠の補足</t>
    <phoneticPr fontId="3"/>
  </si>
  <si>
    <t>機能の数が減れば分量は減るが、体系そのものは残る</t>
  </si>
  <si>
    <t>止め忘れが退職者の不正アクセスに直結するため、基盤側で確実に止める必要がある</t>
  </si>
  <si>
    <t>他の顧客のデータに手が届くと一度で信用を失うため、基盤で強制するしかない</t>
  </si>
  <si>
    <t>操作の入口はアプリが作れるが、認証製品を触る API は基盤に残さざるを得ない</t>
  </si>
  <si>
    <t>顧客への約束は機能の数では変わらない</t>
  </si>
  <si>
    <t>構成が成立するかの確認で、機能を減らしても確かめる必要は残る</t>
  </si>
  <si>
    <t>構成の前提を決める判断で、先送りすると後続が全て止まる</t>
  </si>
  <si>
    <t>対象が減るぶん規模は縮むが、作業自体は残る</t>
  </si>
  <si>
    <t>顧客の認証システムへ委ねる中核で、これが無いと基盤の存在理由が無い</t>
  </si>
  <si>
    <t>この資格が漏れると全顧客を操作できてしまうため、発行を基盤が握る必要がある</t>
  </si>
  <si>
    <t>連携先は 1 つで、無くても認証基盤としては成立する</t>
  </si>
  <si>
    <t>返す中身が権限データなので、権限をアプリが持てば同時に不要になる</t>
  </si>
  <si>
    <t>件数が少ない前提なら管理者が代行でき、自己解決の仕組みは後回しにできる</t>
  </si>
  <si>
    <t>必要になってから足せる仕組みで、初期に無くても困らない</t>
  </si>
  <si>
    <t>アプリが定期的に問い合わせる方式にすれば、押し込まなくても成立する</t>
  </si>
  <si>
    <t>検知が無くても認証は動く。まず動かしてから精度を上げる順序にできる</t>
  </si>
  <si>
    <t>顧客側に認証の仕組みが無い場合の受け皿で、IdP として成立させる前提</t>
  </si>
  <si>
    <t>顧客ごとに入口の URL を分ければ、判定しなくても正しい接続先に着く</t>
  </si>
  <si>
    <t>委譲した相手から来た人を受け入れる入口で、フェデレーションと不可分</t>
  </si>
  <si>
    <t>認証製品の機能として提供されるため、切り離して他所に持たせられない</t>
  </si>
  <si>
    <t>総当たりと利用者名の割り出しは、基盤側で塞がないとアプリでは防げない</t>
  </si>
  <si>
    <t>既定の対策で最低限は守れるため、上乗せ分は後から足せる</t>
  </si>
  <si>
    <t>初回ログイン時の自動登録だけで運用でき、一括受信は後から足せる</t>
  </si>
  <si>
    <t>顧客ごとにバラバラな項目名を揃えないと、複数の顧客を同時に扱えない</t>
  </si>
  <si>
    <t>どの経路で入った人かで扱いを変えるため、これが無いと後続が全て破綻する</t>
  </si>
  <si>
    <t>権限を基盤が持たなくなるため、その受け皿を作る処理ごと不要になる</t>
  </si>
  <si>
    <t>対応づけの中身は顧客の社員番号体系そのもので、業務データにあたる</t>
  </si>
  <si>
    <t>誰にどの権限を与えるかは業務ごとに違い、基盤が共通の仕様を決められない</t>
  </si>
  <si>
    <t>設定の変更頻度が低く、当面は依頼を受けて基盤側で行える</t>
  </si>
  <si>
    <t>顧客と接続先を登録できないとサービスを開始できない</t>
  </si>
  <si>
    <t>見る画面はアプリでよいが、記録そのものは改ざん防止のため基盤が持つ</t>
  </si>
  <si>
    <t>見直しの周期も承認者も業務ごとに違うため、基盤で一律に決められない</t>
  </si>
  <si>
    <t>判定に使うルールが業務そのもので、基盤には正解が分からない</t>
  </si>
  <si>
    <t>パスワード再設定などの定型メールは認証製品が送るため、基盤側に残る</t>
  </si>
  <si>
    <t>通常のシステム監視と手動更新で代替でき、無くても認証は止まらない</t>
  </si>
  <si>
    <t>伝えそこないを拾い直す仕組みが無いと、止めたつもりが止まっていない状態になる</t>
  </si>
  <si>
    <t>入れ替えを止めると、漏れた鍵がいつまでも有効なままになる</t>
  </si>
  <si>
    <t>切れると全顧客のログインが黙って止まるため、期限の監視は外せない</t>
  </si>
  <si>
    <t>どのデータをどこに置くかの整理は、ストアが減っても必要</t>
  </si>
  <si>
    <t>認証製品が持つ構造なので、我々は使う範囲を決めるだけでよい</t>
  </si>
  <si>
    <t>権限の構造は業務ごとに違い、アプリが持てば基盤で描く必要が無くなる</t>
  </si>
  <si>
    <t>同上。権限をアプリが持てば図そのものが不要になる</t>
  </si>
  <si>
    <t>誰にどの権限を与えるかは業務ごとに違うため、アプリ側で定義する</t>
  </si>
  <si>
    <t>アプリが自分のデータを引けば足りるため、基盤に置く必然性が無い</t>
  </si>
  <si>
    <t>誰が管理しているか分からないアカウントを無くすため、台帳は基盤が持つ</t>
  </si>
  <si>
    <t>何に同意させるかは業務が決めることで、基盤には正解が無い</t>
  </si>
  <si>
    <t>記録する側と操作する側を分けないと、記録の意味が無くなる</t>
  </si>
  <si>
    <t>消せない設定で 7 年保管する責任は基盤側にあり、他所に渡せない</t>
  </si>
  <si>
    <t>権限を持たなくなるため、開示するデータそのものが存在しなくなる</t>
  </si>
  <si>
    <t>権限が無くなれば突き合わせる対象も消える</t>
  </si>
  <si>
    <t>権限以外の自前データにも索引は要るため、対象が減るだけで消えはしない</t>
  </si>
  <si>
    <t>対象の画面が減るぶん縮むが、画面設計という作業自体は残る</t>
  </si>
  <si>
    <t>ログイン画面は認証製品のテーマ機能で作るため、切り離せない</t>
  </si>
  <si>
    <t>つなぎ目の定義はアプリに渡すほど厳密さが要求され、むしろ重くなる</t>
  </si>
  <si>
    <t>定期処理を止めると気付かないうちに不整合が溜まる</t>
  </si>
  <si>
    <t>記録する側と操作する側を分けないと、監査の意味が無くなる</t>
  </si>
  <si>
    <t>運用の手順が無いと、作っても回せない</t>
  </si>
  <si>
    <t>認証製品をどう組むかは、利用者管理を誰が作るかとは無関係に決まる</t>
  </si>
  <si>
    <t>方式は 1 機能でも 91 機能でも決める必要があり、対象が減っても消えない</t>
  </si>
  <si>
    <t>対象が減るぶん縮むが、突き合わせと合意の場は必ず要る</t>
  </si>
  <si>
    <t>ネットワークや入口の要求は、機能の数と無関係に発生する</t>
  </si>
  <si>
    <t>環境や製品設定は、機能を減らしても同じだけ必要になる</t>
  </si>
  <si>
    <t>法令対応と契約は、機能の数では変わらない</t>
  </si>
  <si>
    <t>手順書が無いと運用が回らず、作っただけで終わる</t>
  </si>
  <si>
    <t>HC-03a</t>
  </si>
  <si>
    <t>こちらが作る管理画面の遷移図</t>
  </si>
  <si>
    <t>こちらが作る管理画面（接続先・顧客の管理）の遷移関係を図にする</t>
  </si>
  <si>
    <t>遷移図 1 枚。こちらが作る画面の行き来が示されている</t>
  </si>
  <si>
    <t>対象の画面が減るぶん縮むが、遷移の整理自体は残る</t>
  </si>
  <si>
    <t>HC-03b</t>
  </si>
  <si>
    <t>アプリが作る管理画面の遷移図（参考）</t>
  </si>
  <si>
    <t>アプリ側が作る管理画面の遷移関係を、参考として整理する</t>
  </si>
  <si>
    <t>遷移図 1 枚。アプリに渡す前提の参考資料として整理されている</t>
  </si>
  <si>
    <t>HC-05a</t>
  </si>
  <si>
    <t>接続先・顧客の管理 6 画面</t>
  </si>
  <si>
    <t>接続先と顧客を管理する 6 画面それぞれの仕様（こちらが作る）</t>
  </si>
  <si>
    <t>画面仕様書 6 本。項目・操作・エラー時の見せ方が定義されレビュー承認済み</t>
  </si>
  <si>
    <t>HC-05b</t>
  </si>
  <si>
    <t>利用者管理 8 画面</t>
  </si>
  <si>
    <t>利用者を扱う 8 画面それぞれの仕様（アプリが作る想定）</t>
  </si>
  <si>
    <t>画面仕様書 8 本、または API 提供のみとする判断記録</t>
  </si>
  <si>
    <t>利用者の検索・一覧／利用者の登録</t>
  </si>
  <si>
    <t>HC-05c</t>
  </si>
  <si>
    <t>権限まわり 4 画面</t>
  </si>
  <si>
    <t>権限を扱う 4 画面それぞれの仕様（アプリが作る）</t>
  </si>
  <si>
    <t>アプリ側で作る旨の判断記録と、必要な API の提示</t>
  </si>
  <si>
    <t>使えるアプリの設定／アプリ内の役割の設定</t>
  </si>
  <si>
    <t>HC-05d</t>
  </si>
  <si>
    <t>記録の照会 2 画面</t>
  </si>
  <si>
    <t>記録を照会する 2 画面の仕様（アプリが作る想定）</t>
  </si>
  <si>
    <t>画面仕様書 2 本、または API 提供のみとする判断記録</t>
  </si>
  <si>
    <t>HE-19a</t>
  </si>
  <si>
    <t>署名に使う鍵の一覧</t>
  </si>
  <si>
    <t>トークンに署名する鍵の一覧と、入れ替えの手順を整理する</t>
  </si>
  <si>
    <t>一覧と手順。鍵の種類・保管場所・入れ替え周期が定まっている</t>
  </si>
  <si>
    <t>HE-19b</t>
  </si>
  <si>
    <t>通信を暗号化する証明書の一覧</t>
  </si>
  <si>
    <t>通信を暗号化するための証明書の一覧と、更新の手順を整理する</t>
  </si>
  <si>
    <t>一覧と手順。対象・発行元・期限が定まっている</t>
  </si>
  <si>
    <t>切れると通信そのものが成立しなくなるため、期限の管理は外せない</t>
  </si>
  <si>
    <t>HE-19c</t>
  </si>
  <si>
    <t>システム同士が相互に確認する証明書の一覧</t>
  </si>
  <si>
    <t>システム同士が相互に確認し合うための証明書の一覧を整理する</t>
  </si>
  <si>
    <t>一覧。対象の経路と入れ替え手順が定まっている</t>
  </si>
  <si>
    <t>相互に確認し合う経路が切れると、内部の連携が止まる</t>
  </si>
  <si>
    <t>HE-19d</t>
  </si>
  <si>
    <t>顧客から受け取る証明書の一覧</t>
  </si>
  <si>
    <t>顧客の認証システムから受け取る証明書の一覧と、更新の受付手順を整理する</t>
  </si>
  <si>
    <t>一覧と手順。顧客ごとの期限と、更新依頼の受け方が定まっている</t>
  </si>
  <si>
    <t>★アプリへ寄せても削減は -279（-12%）で頭打ちになる。判断根拠で「横断（対象縮小）」「構成の前提」「他組織との調整」を絞ると 85 行が該当し、これが何を削っても残る工数の正体。さらにアプリに渡すほど厳密さが要求されて増える項目がある（API の仕様 +2、API 共通規約 +2、実装ガイド +12）。</t>
  </si>
  <si>
    <t>HE-04a</t>
  </si>
  <si>
    <t>API 仕様書: 利用者の登録</t>
  </si>
  <si>
    <t>HE-04b</t>
  </si>
  <si>
    <t>API 仕様書: 利用者の検索・一覧</t>
  </si>
  <si>
    <t>HE-04c</t>
  </si>
  <si>
    <t>API 仕様書: 利用者の詳細参照</t>
  </si>
  <si>
    <t>HE-04d</t>
  </si>
  <si>
    <t>API 仕様書: 利用者の変更</t>
  </si>
  <si>
    <t>HE-04e</t>
  </si>
  <si>
    <t>API 仕様書: 利用可否の切替</t>
  </si>
  <si>
    <t>HE-04f</t>
  </si>
  <si>
    <t>API 仕様書: 利用者の削除</t>
  </si>
  <si>
    <t>HE-04g</t>
  </si>
  <si>
    <t>API 仕様書: パスワード初期化</t>
  </si>
  <si>
    <t>HE-04h</t>
  </si>
  <si>
    <t>API 仕様書: 追加認証の解除</t>
  </si>
  <si>
    <t>HE-04i</t>
  </si>
  <si>
    <t>API 仕様書: 強制ログアウト</t>
  </si>
  <si>
    <t>HE-04j</t>
  </si>
  <si>
    <t>API 仕様書: 利用者の招待</t>
  </si>
  <si>
    <t>HE-04k</t>
  </si>
  <si>
    <t>API 仕様書: 一括登録</t>
  </si>
  <si>
    <t>HE-04l</t>
  </si>
  <si>
    <t>API 仕様書: ファイル出力</t>
  </si>
  <si>
    <t>機能一覧の成果物化</t>
  </si>
  <si>
    <t>すでに洗い出し済みの機能一覧（91 機能・6 系統・31 グループ）を、正式な成果物として体裁化する</t>
  </si>
  <si>
    <t>機能一覧 1 本。番号体系・系統・グループ・中核判定が揃い、レビュー承認済み</t>
  </si>
  <si>
    <t>作る範囲の確定後の最終突合と承認</t>
  </si>
  <si>
    <t>作る範囲が確定した時点で、機能一覧に抜けがないかをこれまでの決定と最終突合し、承認を得る</t>
  </si>
  <si>
    <t>突合結果と承認記録。決定事項がすべて機能に紐づき、未登録のものが無いことが確認されている</t>
  </si>
  <si>
    <t>作る範囲の確定後</t>
  </si>
  <si>
    <t>棚卸し済みのデータストア 10 種を、どのデータがどこに保管されているかの図として清書する</t>
  </si>
  <si>
    <t>構成図 1 枚。全データストアと保管内容が対応づいている</t>
  </si>
  <si>
    <t>画面そのものなので、作る主体がアプリなら成果物ごとアプリ側へ移る</t>
  </si>
  <si>
    <t>画面はアプリが作るが、業務ルールの正は基盤が決めるため仕様書は基盤が書く</t>
  </si>
  <si>
    <t>管理画面から「利用者の登録」を行うための接続仕様（入力・出力・エラー時の返し方）を決める</t>
  </si>
  <si>
    <t>仕様 1 本。入力項目・応答・エラー時の返し方が定義されレビュー承認済み</t>
  </si>
  <si>
    <t>操作の入口はアプリが作れるが、認証製品を触る API は基盤に残さざるを得ないため、入口の仕様は基盤が定義する</t>
  </si>
  <si>
    <t>管理画面から「利用者の検索・一覧」を行うための接続仕様（入力・出力・エラー時の返し方）を決める</t>
  </si>
  <si>
    <t>管理画面から「利用者の詳細参照」を行うための接続仕様（入力・出力・エラー時の返し方）を決める</t>
  </si>
  <si>
    <t>管理画面から「利用者の変更」を行うための接続仕様（入力・出力・エラー時の返し方）を決める</t>
  </si>
  <si>
    <t>管理画面から「利用可否の切替」を行うための接続仕様（入力・出力・エラー時の返し方）を決める</t>
  </si>
  <si>
    <t>管理画面から「利用者の削除」を行うための接続仕様（入力・出力・エラー時の返し方）を決める</t>
  </si>
  <si>
    <t>管理画面から「パスワード初期化」を行うための接続仕様（入力・出力・エラー時の返し方）を決める</t>
  </si>
  <si>
    <t>管理画面から「追加認証の解除」を行うための接続仕様（入力・出力・エラー時の返し方）を決める</t>
  </si>
  <si>
    <t>管理画面から「強制ログアウト」を行うための接続仕様（入力・出力・エラー時の返し方）を決める</t>
  </si>
  <si>
    <t>乗っ取り時に即座に切れないと被害が広がるため、基盤が確実に握る</t>
  </si>
  <si>
    <t>管理画面から「利用者の招待」を行うための接続仕様（入力・出力・エラー時の返し方）を決める</t>
  </si>
  <si>
    <t>管理画面から「一括登録」を行うための接続仕様（入力・出力・エラー時の返し方）を決める</t>
  </si>
  <si>
    <t>管理画面から「ファイル出力」を行うための接続仕様（入力・出力・エラー時の返し方）を決める</t>
  </si>
  <si>
    <t>HC-04a</t>
  </si>
  <si>
    <t>画面仕様書: 識別子の入力画面</t>
  </si>
  <si>
    <t>利用者が使う「識別子の入力画面」の項目・入力チェック・動作を決める</t>
  </si>
  <si>
    <t>画面仕様書 1 本。項目定義・入力チェック・エラー時の見せ方が定義されレビュー承認済み</t>
  </si>
  <si>
    <t>HC-04b</t>
  </si>
  <si>
    <t>画面仕様書: パスワードの入力画面</t>
  </si>
  <si>
    <t>利用者が使う「パスワードの入力画面」の項目・入力チェック・動作を決める</t>
  </si>
  <si>
    <t>HC-04c</t>
  </si>
  <si>
    <t>画面仕様書: 接続先の選択画面</t>
  </si>
  <si>
    <t>利用者が使う「接続先の選択画面」の項目・入力チェック・動作を決める</t>
  </si>
  <si>
    <t>HC-04d</t>
  </si>
  <si>
    <t>画面仕様書: 追加認証の入力画面</t>
  </si>
  <si>
    <t>利用者が使う「追加認証の入力画面」の項目・入力チェック・動作を決める</t>
  </si>
  <si>
    <t>追加認証（数字コード）／追加認証（生体・セキュリティキー）</t>
  </si>
  <si>
    <t>F-AUTH-10, F-AUTH-11</t>
  </si>
  <si>
    <t>HC-04e</t>
  </si>
  <si>
    <t>画面仕様書: 追加認証の登録画面</t>
  </si>
  <si>
    <t>利用者が使う「追加認証の登録画面」の項目・入力チェック・動作を決める</t>
  </si>
  <si>
    <t>追加認証の登録（数字コード）／追加認証の登録（生体・セキュリティキー）</t>
  </si>
  <si>
    <t>F-AUTH-12, F-AUTH-13</t>
  </si>
  <si>
    <t>HC-04f</t>
  </si>
  <si>
    <t>画面仕様書: 復旧コードの入力画面</t>
  </si>
  <si>
    <t>利用者が使う「復旧コードの入力画面」の項目・入力チェック・動作を決める</t>
  </si>
  <si>
    <t>HC-04g</t>
  </si>
  <si>
    <t>画面仕様書: 復旧コードの表示画面</t>
  </si>
  <si>
    <t>利用者が使う「復旧コードの表示画面」の項目・入力チェック・動作を決める</t>
  </si>
  <si>
    <t>HC-04h</t>
  </si>
  <si>
    <t>画面仕様書: パスワードの変更画面</t>
  </si>
  <si>
    <t>利用者が使う「パスワードの変更画面」の項目・入力チェック・動作を決める</t>
  </si>
  <si>
    <t>HC-04i</t>
  </si>
  <si>
    <t>画面仕様書: パスワードの再設定画面</t>
  </si>
  <si>
    <t>利用者が使う「パスワードの再設定画面」の項目・入力チェック・動作を決める</t>
  </si>
  <si>
    <t>HC-04j</t>
  </si>
  <si>
    <t>画面仕様書: エラー・案内の表示画面</t>
  </si>
  <si>
    <t>利用者が使う「エラー・案内の表示画面」の項目・入力チェック・動作を決める</t>
  </si>
  <si>
    <t>HC-04k</t>
  </si>
  <si>
    <t>画面仕様書: ログイン後の遷移先画面</t>
  </si>
  <si>
    <t>利用者が使う「ログイン後の遷移先画面」の項目・入力チェック・動作を決める</t>
  </si>
  <si>
    <t>HC-04l</t>
  </si>
  <si>
    <t>画面仕様書: 同意の確認画面</t>
  </si>
  <si>
    <t>利用者が使う「同意の確認画面」の項目・入力チェック・動作を決める</t>
  </si>
  <si>
    <t>HE-22</t>
  </si>
  <si>
    <t>H-E つなぎ目設計</t>
  </si>
  <si>
    <t>接続仕様が返すエラーの種類と番号の体系（アプリが判定に使う）</t>
  </si>
  <si>
    <t>HE-05a</t>
  </si>
  <si>
    <t>API 仕様書: 使えるアプリの割当</t>
  </si>
  <si>
    <t>「使えるアプリの割当」を行うための接続仕様（入力・出力・エラー時の返し方）を決める</t>
  </si>
  <si>
    <t>HE-05b</t>
  </si>
  <si>
    <t>API 仕様書: 使えるアプリの割当解除</t>
  </si>
  <si>
    <t>「使えるアプリの割当解除」を行うための接続仕様（入力・出力・エラー時の返し方）を決める</t>
  </si>
  <si>
    <t>HE-05c</t>
  </si>
  <si>
    <t>API 仕様書: アプリ内の役割の割当</t>
  </si>
  <si>
    <t>「アプリ内の役割の割当」を行うための接続仕様（入力・出力・エラー時の返し方）を決める</t>
  </si>
  <si>
    <t>HE-05d</t>
  </si>
  <si>
    <t>API 仕様書: アプリ内の役割の解除</t>
  </si>
  <si>
    <t>「アプリ内の役割の解除」を行うための接続仕様（入力・出力・エラー時の返し方）を決める</t>
  </si>
  <si>
    <t>HE-05e</t>
  </si>
  <si>
    <t>API 仕様書: 権限のまとめ設定</t>
  </si>
  <si>
    <t>「権限のまとめ設定」を行うための接続仕様（入力・出力・エラー時の返し方）を決める</t>
  </si>
  <si>
    <t>F-ADM-11, F-ADM-12</t>
  </si>
  <si>
    <t>HE-05f</t>
  </si>
  <si>
    <t>API 仕様書: 権限の棚卸しの開始</t>
  </si>
  <si>
    <t>「権限の棚卸しの開始」を行うための接続仕様（入力・出力・エラー時の返し方）を決める</t>
  </si>
  <si>
    <t>HE-05g</t>
  </si>
  <si>
    <t>API 仕様書: 組織属性の設定</t>
  </si>
  <si>
    <t>「組織属性の設定」を行うための接続仕様（入力・出力・エラー時の返し方）を決める</t>
  </si>
  <si>
    <t>HE-05h</t>
  </si>
  <si>
    <t>API 仕様書: 権限のひな形の適用</t>
  </si>
  <si>
    <t>「権限のひな形の適用」を行うための接続仕様（入力・出力・エラー時の返し方）を決める</t>
  </si>
  <si>
    <t>HE-05i</t>
  </si>
  <si>
    <t>API 仕様書: 権限の付与履歴の照会</t>
  </si>
  <si>
    <t>「権限の付与履歴の照会」を行うための接続仕様（入力・出力・エラー時の返し方）を決める</t>
  </si>
  <si>
    <t>HE-05j</t>
  </si>
  <si>
    <t>API 仕様書: 権限設定の一括取り込み</t>
  </si>
  <si>
    <t>「権限設定の一括取り込み」を行うための接続仕様（入力・出力・エラー時の返し方）を決める</t>
  </si>
  <si>
    <t>HE-06a</t>
  </si>
  <si>
    <t>API 仕様書: 権限情報の一括取得</t>
  </si>
  <si>
    <t>「権限情報の一括取得」を行うための接続仕様（入力・出力・エラー時の返し方）を決める</t>
  </si>
  <si>
    <t>仕様 1 本。取得できる情報・応答・エラー時の返し方が定義されレビュー承認済み</t>
  </si>
  <si>
    <t>HE-06b</t>
  </si>
  <si>
    <t>API 仕様書: 使えるアプリ一覧の取得</t>
  </si>
  <si>
    <t>「使えるアプリ一覧の取得」を行うための接続仕様（入力・出力・エラー時の返し方）を決める</t>
  </si>
  <si>
    <t>HE-06c</t>
  </si>
  <si>
    <t>「利用者の詳細参照」を行うための接続仕様（入力・出力・エラー時の返し方）を決める</t>
  </si>
  <si>
    <t>HE-06d</t>
  </si>
  <si>
    <t>API 仕様書: 権限の割当の照会</t>
  </si>
  <si>
    <t>「権限の割当の照会」を行うための接続仕様（入力・出力・エラー時の返し方）を決める</t>
  </si>
  <si>
    <t>HE-06e</t>
  </si>
  <si>
    <t>API 仕様書: アプリ内の役割の照会</t>
  </si>
  <si>
    <t>「アプリ内の役割の照会」を行うための接続仕様（入力・出力・エラー時の返し方）を決める</t>
  </si>
  <si>
    <t>HE-06f</t>
  </si>
  <si>
    <t>API 仕様書: 顧客番号の対応づけの照会</t>
  </si>
  <si>
    <t>「顧客番号の対応づけの照会」を行うための接続仕様（入力・出力・エラー時の返し方）を決める</t>
  </si>
  <si>
    <t>HE-06g</t>
  </si>
  <si>
    <t>API 仕様書: 招待の状況の照会</t>
  </si>
  <si>
    <t>「招待の状況の照会」を行うための接続仕様（入力・出力・エラー時の返し方）を決める</t>
  </si>
  <si>
    <t>HE-06h</t>
  </si>
  <si>
    <t>API 仕様書: 記録の照会</t>
  </si>
  <si>
    <t>「記録の照会」を行うための接続仕様（入力・出力・エラー時の返し方）を決める</t>
  </si>
  <si>
    <t>HE-21a</t>
  </si>
  <si>
    <t>API 仕様書: 顧客を新規に作る</t>
  </si>
  <si>
    <t>「顧客を新規に作る」を行うための接続仕様（入力・出力・エラー時の返し方）を決める</t>
  </si>
  <si>
    <t>HE-21b</t>
  </si>
  <si>
    <t>API 仕様書: 顧客ごとの設定を変える</t>
  </si>
  <si>
    <t>「顧客ごとの設定を変える」を行うための接続仕様（入力・出力・エラー時の返し方）を決める</t>
  </si>
  <si>
    <t>HE-21c</t>
  </si>
  <si>
    <t>API 仕様書: 顧客の一覧・詳細を取る</t>
  </si>
  <si>
    <t>「顧客の一覧・詳細を取る」を行うための接続仕様（入力・出力・エラー時の返し方）を決める</t>
  </si>
  <si>
    <t>HE-21d</t>
  </si>
  <si>
    <t>API 仕様書: 接続先を新規に登録する</t>
  </si>
  <si>
    <t>「接続先を新規に登録する」を行うための接続仕様（入力・出力・エラー時の返し方）を決める。運用側の登録の仕組み（オンボーディングの仕掛け）との役割分担を仕様に含める</t>
  </si>
  <si>
    <t>HE-21e</t>
  </si>
  <si>
    <t>API 仕様書: 接続先の設定を変える</t>
  </si>
  <si>
    <t>「接続先の設定を変える」を行うための接続仕様（入力・出力・エラー時の返し方）を決める</t>
  </si>
  <si>
    <t>HE-21f</t>
  </si>
  <si>
    <t>API 仕様書: 接続先の証明書を入れ替える</t>
  </si>
  <si>
    <t>「接続先の証明書を入れ替える」を行うための接続仕様（入力・出力・エラー時の返し方）を決める</t>
  </si>
  <si>
    <t>Phase 1 スコープ</t>
  </si>
  <si>
    <t>対象</t>
  </si>
  <si>
    <t>対象外（災害対策）</t>
  </si>
  <si>
    <t>D-18.5</t>
  </si>
  <si>
    <t>災害対策をスコープ外とする判断の記録と顧客への説明資料</t>
  </si>
  <si>
    <t>「別地域への切替は行わない」判断の根拠・リスク・契約文言案・将来復活する場合の追加見積をまとめる</t>
  </si>
  <si>
    <t>判断記録と説明資料。根拠・残るリスク・契約文言案・復活時の追加見積が示され、顧客提示できる状態</t>
  </si>
  <si>
    <t>D-21</t>
  </si>
  <si>
    <t>将来の切替先のための番号予約</t>
  </si>
  <si>
    <t>別地域に切り替える構成を将来足せるよう、ネットワークの番号だけ確保しておく。作成後に変更できないため、今やらないと将来やりたくなっても入り口で詰まる（構成前提: 切替先を持つ（災害対策））</t>
  </si>
  <si>
    <t>予約済みの番号帯。切替先で使う範囲が確保され、既存と重複しないことが確認されている</t>
  </si>
  <si>
    <t>Phase 1 対象</t>
  </si>
  <si>
    <t>🔴 契約前ゲート: 災害対策のスコープ外について顧客の同意を得る — 顧客希望は「1 日で復旧」であり、スコープ外はその正反対。差は「14 日の差」でなく「復旧するかしないかの差」。地域全体の障害でサービスが止まったままになり、接続するアプリすべてが使えなくなることを説明し、書面で同意を得る</t>
  </si>
  <si>
    <t>🔴 契約前ゲート: 災害対策のスコープ外について顧客の同意を得る — 顧客希望は「1 日で復旧」でありスコープ外はその正反対。差は「14 日の差」ではなく「復旧するかしないかの差」。地域全体の障害でサービスが止まったままになり、接続するアプリすべてが使えなくなることを説明し、書面で同意を得る</t>
  </si>
  <si>
    <t>構成前提</t>
  </si>
  <si>
    <t>A-19</t>
  </si>
  <si>
    <t>処理の重さが違うものを同居させて成立するかの実測</t>
  </si>
  <si>
    <t>認証製品を 1 つにまとめた場合に、処理の重さが違うものが同居しても性能が成立するかを実機で確かめる</t>
  </si>
  <si>
    <t>実測レポート。パスワードの計算が集中したときの他経路への影響が数値で示され、同居可否が判断できる</t>
  </si>
  <si>
    <t>1 つにまとめると処理の重さが違うものが同居する。パスワードの計算が集中したときに、顧客の認証システム経由のログインまで遅くならないかを先に確かめる必要がある</t>
  </si>
  <si>
    <t>A-20</t>
  </si>
  <si>
    <t>管理用の口からパスワードのハッシュが読めないことの実機確認</t>
  </si>
  <si>
    <t>管理用の口を通してパスワードのハッシュが取得できないことを実機で確認する</t>
  </si>
  <si>
    <t>確認記録。取得できないことが実機で確認され、取得できる場合の追加対策が判断できる</t>
  </si>
  <si>
    <t>検知した後に誰が何をするかが決まっていないと、検知しても止められない</t>
  </si>
  <si>
    <t>利用者が 1 箇所になり不要</t>
  </si>
  <si>
    <t>受付用と収容用が別の空間だったため、内部でもう一度ログインを委ねる必要があった。1 つに統合すると委ねる先が自分自身になり、この連携そのものが消える</t>
  </si>
  <si>
    <t>対象外（Realm 統合）</t>
  </si>
  <si>
    <t>受付側で発行した識別子を収容側へ知らせる必要があったが、同じ空間なら発行と同時に共有される</t>
  </si>
  <si>
    <t>停止の事実を別アカウントへ運ぶ経路だったが、運ぶ相手がいなくなる</t>
  </si>
  <si>
    <t>伝えそこないを拾い直す仕組みだが、そもそも伝える処理が無くなるため拾い直す対象も無い</t>
  </si>
  <si>
    <t>分離しても管理用の口の悪用は防げない。大量削除・大量パスワード変更などの異常を検知できないと、侵害に気づけないまま被害が広がる</t>
  </si>
  <si>
    <t>—（構成に依存しない）</t>
  </si>
  <si>
    <t>差（対象外分）</t>
  </si>
  <si>
    <t>※ 人日は0にしていない。各シートの「Phase 1 スコープ」列で絞るか、同列を軸にしたピボットで算出する。将来 2 つに戻す／災害対策を復活する場合は「足す分」としてそのまま使える</t>
  </si>
  <si>
    <t>規模 1000 万・接続先 1000 超（採用）</t>
  </si>
  <si>
    <t>ネットワークを 2 つに分ける（採用）</t>
  </si>
  <si>
    <t>切替先を持つ（不採用）</t>
  </si>
  <si>
    <t>境界を他組織が管理（前提・選べない）</t>
  </si>
  <si>
    <t>アカウントを分ける（未判断）</t>
  </si>
  <si>
    <t>記録を 7 年保管（前提・選べない）</t>
  </si>
  <si>
    <t>認証製品を 2 つ持つ（不採用）</t>
  </si>
  <si>
    <t>⑧ Phase 1 スコープ（構成前提の「（不採用）」を除外）— 出典: dr-scope-decision-2026-09-02 / realm-consolidation-2026-09-02</t>
  </si>
  <si>
    <t>★構成前提列の読み取り: 構成を変えても設計の 85% は残る（386/450 行が「—（構成に依存しない）」）。設計書の大半は『何を作るか』であって『どう並べるか』ではないため。ただし構築・運用費では効き方が大きく違う</t>
  </si>
  <si>
    <t>強い本人確認を求める操作の一覧</t>
    <phoneticPr fontId="3"/>
  </si>
  <si>
    <t>メモ</t>
    <phoneticPr fontId="3"/>
  </si>
  <si>
    <t>ステップアップ認証不要なので不要</t>
    <phoneticPr fontId="3"/>
  </si>
  <si>
    <t>要件定義でもっと詰めるべき</t>
    <rPh sb="0" eb="4">
      <t>ヨウケn</t>
    </rPh>
    <phoneticPr fontId="3"/>
  </si>
  <si>
    <t>踏み台しかそもそもない</t>
    <rPh sb="0" eb="1">
      <t>フミダイ</t>
    </rPh>
    <phoneticPr fontId="3"/>
  </si>
  <si>
    <t>通知メールの送信設定と なりすまし防止</t>
    <phoneticPr fontId="3"/>
  </si>
  <si>
    <t>アプリで良いと思うがどうか</t>
    <rPh sb="4" eb="5">
      <t>ヨイ</t>
    </rPh>
    <phoneticPr fontId="3"/>
  </si>
  <si>
    <t>サマリ(機能・担当) — WBS(基本設計) 450 行からの集計（すべて数式。WBSを直せば自動で更新されます）</t>
  </si>
  <si>
    <t>★「Phase 1 対象」= 構成前提に『（不採用）』を含まない行。人日は群の小計を行数で按分した概算のため、正は ① 全量 754 / Phase 1 対象 707（比率と傾向を見る用）</t>
  </si>
  <si>
    <t>表 1. 担当別</t>
  </si>
  <si>
    <t>担当</t>
  </si>
  <si>
    <t>全量 行</t>
  </si>
  <si>
    <t>全量 人日</t>
  </si>
  <si>
    <t>対象 行</t>
  </si>
  <si>
    <t>対象 人日</t>
  </si>
  <si>
    <t>比率（対象人日）</t>
  </si>
  <si>
    <t>★アプリ側へ渡るのは Phase 1 対象で 58 人日前後（8%）にとどまり、基盤側（基盤＋基盤（縮小））が約 89%。『アプリに寄せても大きく減らない』ことがここに表れている</t>
  </si>
  <si>
    <t>【参照用】機能グループ → 系統 対応表</t>
  </si>
  <si>
    <t>認証</t>
  </si>
  <si>
    <t>管理</t>
  </si>
  <si>
    <t>認可</t>
  </si>
  <si>
    <t>連携</t>
  </si>
  <si>
    <t>バッチ</t>
  </si>
  <si>
    <t>表 2. 系統 × 担当（Phase 1 対象・人日）</t>
  </si>
  <si>
    <t>計</t>
  </si>
  <si>
    <t>★『横断』が最大。方式設計・インフラ・契約・レビュー・実装ガイドなど機能に紐づかない作業が約半分を占め、機能を削っても減らない</t>
  </si>
  <si>
    <t>表 3. 機能グループ別（Phase 1 対象・人日の多い順）</t>
  </si>
  <si>
    <t>行</t>
  </si>
  <si>
    <t>基盤 人日</t>
  </si>
  <si>
    <t>アプリ移管 人日</t>
  </si>
  <si>
    <t>表 4. 構成前提別（全量）— 「後で足す場合」の見積り</t>
  </si>
  <si>
    <t>表 5. 判断根拠別（Phase 1 対象）— 「なぜその作業が必要か」の内訳</t>
  </si>
  <si>
    <t>当初想定</t>
  </si>
  <si>
    <t>当初想定</t>
    <phoneticPr fontId="3"/>
  </si>
  <si>
    <t>新規: 規模</t>
  </si>
  <si>
    <t>新規: 自社構築</t>
  </si>
  <si>
    <t>新規: 非機能・運用</t>
  </si>
  <si>
    <t>当初あり</t>
  </si>
  <si>
    <t>新規: 機能追加</t>
  </si>
  <si>
    <t>体制案（器のみ）</t>
  </si>
  <si>
    <t>基盤チーム（器・運用）</t>
  </si>
  <si>
    <t>アプリチーム（作り込み）</t>
  </si>
  <si>
    <t>共同（分けきれない）</t>
  </si>
  <si>
    <t>性能の確認は構成に対して行うため、機能数では減らない</t>
  </si>
  <si>
    <t>運用が回るかの確認で、機能を減らしても必要</t>
  </si>
  <si>
    <t>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t>
  </si>
  <si>
    <t>ネットワークを分ける根拠が「管理用の口はパスワードのハッシュを返さない」という前提に立っている。前提が崩れると分離の意味づけが変わるため、実機で確かめる</t>
  </si>
  <si>
    <t>顧客希望は「1 日で復旧」で、対象外はその正反対。差は「復旧が遅い」ではなく「復旧するかしないか」なので、書面で合意しないと後で紛争になる</t>
  </si>
  <si>
    <t>ネットワークの区画は作成後に変更できない。今予約しておかないと、将来やりたくなったときに全体の作り直しになる</t>
  </si>
  <si>
    <t>検知の仕組みが使う資格の権限範囲。検知を Phase 1 に戻したため必要になる</t>
  </si>
  <si>
    <t>収容側の製品スキーマの利用範囲整理。認証製品が 1 つになるため受付側（HD-03）に統合される</t>
  </si>
  <si>
    <t>送信予定のイベントを記録する表。伝える処理が無くなるため、記録する必要も無い</t>
  </si>
  <si>
    <t>収容側の構成設計。受付側（HJ-01a）に統合されるため単独では不要</t>
  </si>
  <si>
    <t>収容側のログイン処理の順序設計。受付側（HJ-02a）に統合される</t>
  </si>
  <si>
    <t>収容側の設定値一覧。受付側（HJ-10a）に統合される</t>
  </si>
  <si>
    <t>ログイン状態は認証製品が持つため全アプリ共通。アプリ内の保持方法はアプリが決めるが、全体の有効期間は 1 つの設定で全アプリに効くため共同で決める</t>
  </si>
  <si>
    <t>認証製品が持つ一時保持は全アプリ共通。アプリ内の一時保持はアプリが決めるが、製品側の設定は共同で決める</t>
  </si>
  <si>
    <t>識別番号のうち利用者を指すものは認証製品が発行するため共通。アプリ内の番号はアプリが決める</t>
  </si>
  <si>
    <t>応答時間の目標は、アプリの作り方と基盤の設備の両方で決まるため共同で決める</t>
  </si>
  <si>
    <t>同上。達成手段が基盤側とアプリ側にまたがる</t>
  </si>
  <si>
    <t>アカウントをまたいで受け渡すイベントの形式定義。またぐ経路が無くなる</t>
  </si>
  <si>
    <t>送信予定を記録しておく仕組みの仕様。同上</t>
  </si>
  <si>
    <t>止めたつもりが止まっていない状態を拾う定期処理。1 箇所で完結するため、ずれが生じない</t>
  </si>
  <si>
    <t>検知に必要な情報を外部へ出す仕組み。検知そのものを Phase 1 に戻したため、その入力側も必須になる</t>
  </si>
  <si>
    <t>内部で 2 段構えになっている連携の設計。統合により不要</t>
  </si>
  <si>
    <t>利用者の控えが作られてから消えるまでの管理設計。控えという概念自体が無くなる</t>
  </si>
  <si>
    <t>利用者が受付側の控えと収容側の実体の 2 箇所にいたため、片方で止めたらもう片方も止める仕組みが要った。1 箇所になれば止めた時点で完了し、伝える相手がいなくなる</t>
  </si>
  <si>
    <t>停止と同じ理由。再開も 1 箇所で完結するため、もう片方へ伝える処理が不要になる</t>
  </si>
  <si>
    <t>識別子を別アカウントへ運ぶ経路だったが、同様に相手がいなくなる</t>
  </si>
  <si>
    <t>ネットワーク分離は「持ち出し」を防ぐが「悪用」は防がないため、異常な操作の検知とセットで初めて成立する。分離を維持する判断（2026-09-02）に伴い Phase 1 必須へ戻した</t>
  </si>
  <si>
    <t>★Phase 1 スコープ: 認証製品の Realm 統合（18行28.5人日）と災害対策（11行20.5人日）を不採用。全量 ① 754.0／Phase 1 対象 704.0。人日は0にせず「構成前提」列で（不採用）を除外して集計する。明細はサマリー⑧</t>
  </si>
  <si>
    <t>作業種別</t>
    <phoneticPr fontId="3"/>
  </si>
  <si>
    <t>実機検証・照会</t>
  </si>
  <si>
    <t>レビュー・合意</t>
  </si>
  <si>
    <t>調査・計画</t>
  </si>
  <si>
    <t>外部調整</t>
  </si>
  <si>
    <t>ガイド・手順書の執筆</t>
  </si>
  <si>
    <t>設計書の執筆</t>
  </si>
  <si>
    <t>体制案（アプリ構築）</t>
  </si>
  <si>
    <t>★体制案（アプリ構築）は採用予定の案ではない。想定モデル＝「最初のアプリチームが認証製品の上の仕組みを全部作り、弊社は運用を引き継ぐ。2つ目以降のアプリはそれに合わせる」。弊社の作業は 704 → 306（-57%）になるが、総量は減らず、最初のアプリチームに 385 が新たに発生する。2つ目以降のアプリは 30 人日程度で済むのが本案の利点。成立条件は3つ — ①最初のアプリが『全体のため』に作れるよう弊社が設計レビューに入ること ②設計書を残して引き渡すこと（無いと引き継いだ後に直せない）③2つ目以降が業務・利用者の種類の面で合わせられること。※引き継ぎ工数（約60）は行を足さずバッファで吸収する</t>
  </si>
  <si>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</si>
  <si>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対象外：認証製品を 1 つに統合</t>
  </si>
  <si>
    <t>対象外：災害対策をやらない</t>
  </si>
  <si>
    <t>WBS ① 基本設計クローズ — 全量 754.0 人日 / 対象 704.0 人日 / 全量 450 行（「スコープ」列で「対象」を絞れば今やる分。対象外50.0＝認証製品を1つに統合18行28.5＋災害対策をやらない11行21.5）</t>
  </si>
  <si>
    <t>★1シート1テーブル。集計軸は6本 — 「作業種別」6値（調べる／決める／書く／調整する）／「機能グループ」31値（どの機能に効くか）／「アプリ移管」4値（誰が作るか・決定済み）／「スコープ」3値（今やるか・やらないか）／「当初想定」5値（初回見積りから何が増えたか）／「体制案（アプリ構築）」3値（工数をアプリへ寄せた場合）。構成の論点は「判断根拠」で絞る（構成の前提／法令・契約／改ざん防止／他組織との調整）</t>
  </si>
  <si>
    <t>★対象外 50.0 は捨てた工数ではなく、判断を覆した場合に戻ってくる分。全工程では 認証製品を 2 つに戻す +141 ／ 災害対策を復活 +120 前後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</si>
</sst>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76" formatCode="0.0%"/>
    <numFmt numFmtId="180" formatCode="0.0"/>
    <numFmt numFmtId="181" formatCode="#,##0.0"/>
    <numFmt numFmtId="186" formatCode="#,##0.0000"/>
    <numFmt numFmtId="187" formatCode="#,##0.###"/>
    <numFmt numFmtId="188" formatCode="\¥#,##0"/>
    <numFmt numFmtId="189" formatCode="\¥#,##0.00"/>
    <numFmt numFmtId="190" formatCode="0.00000000"/>
    <numFmt numFmtId="191" formatCode="0.0#"/>
    <numFmt numFmtId="193" formatCode="yyyy\-mm\-dd"/>
    <numFmt numFmtId="194" formatCode="#,##0.0#"/>
  </numFmts>
  <fonts count="85">
    <font>
      <sz val="12"/>
      <color theme="1"/>
      <name val="游ゴシック"/>
      <family val="2"/>
      <charset val="128"/>
      <scheme val="minor"/>
    </font>
    <font>
      <i/>
      <sz val="12"/>
      <color rgb="FF7F7F7F"/>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sz val="9"/>
      <color rgb="FF1F4E79"/>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1F4E79"/>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12"/>
      <color rgb="FF1F4E79"/>
      <name val="Meiryo UI"/>
      <family val="2"/>
      <charset val="128"/>
    </font>
    <font>
      <sz val="9"/>
      <color theme="1"/>
      <name val="Consolas"/>
      <family val="2"/>
    </font>
    <font>
      <sz val="8"/>
      <color theme="1"/>
      <name val="Consolas"/>
      <family val="2"/>
    </font>
    <font>
      <sz val="8"/>
      <color theme="1"/>
      <name val="MS Mincho"/>
      <family val="2"/>
      <charset val="128"/>
    </font>
    <font>
      <sz val="12"/>
      <color rgb="FF0000FF"/>
      <name val="游ゴシック"/>
      <family val="2"/>
      <charset val="128"/>
      <scheme val="minor"/>
    </font>
    <font>
      <b/>
      <sz val="9"/>
      <color rgb="FF0000FF"/>
      <name val="游ゴシック"/>
      <family val="2"/>
      <charset val="128"/>
      <scheme val="minor"/>
    </font>
    <font>
      <b/>
      <sz val="14"/>
      <color theme="1"/>
      <name val="Meiryo UI"/>
      <family val="2"/>
      <charset val="128"/>
    </font>
    <font>
      <b/>
      <sz val="12"/>
      <color rgb="FF9C0006"/>
      <name val="游ゴシック"/>
      <family val="2"/>
      <charset val="128"/>
      <scheme val="minor"/>
    </font>
    <font>
      <b/>
      <sz val="11"/>
      <color theme="1"/>
      <name val="Meiryo UI"/>
      <family val="2"/>
      <charset val="128"/>
    </font>
    <font>
      <sz val="9"/>
      <color rgb="FFC00000"/>
      <name val="游ゴシック"/>
      <family val="2"/>
      <charset val="128"/>
      <scheme val="minor"/>
    </font>
    <font>
      <sz val="9"/>
      <color rgb="FFC00000"/>
      <name val="Meiryo UI"/>
      <family val="2"/>
      <charset val="128"/>
    </font>
    <font>
      <sz val="9"/>
      <color rgb="FF375623"/>
      <name val="Meiryo UI"/>
      <family val="2"/>
      <charset val="128"/>
    </font>
    <font>
      <b/>
      <sz val="11"/>
      <color rgb="FF9C0006"/>
      <name val="Meiryo UI"/>
      <family val="2"/>
      <charset val="128"/>
    </font>
    <font>
      <sz val="9"/>
      <color rgb="FF375623"/>
      <name val="游ゴシック"/>
      <family val="2"/>
      <charset val="128"/>
      <scheme val="minor"/>
    </font>
    <font>
      <b/>
      <sz val="13"/>
      <color theme="1"/>
      <name val="Meiryo UI"/>
      <family val="2"/>
      <charset val="128"/>
    </font>
    <font>
      <sz val="12"/>
      <color rgb="FF7F7F7F"/>
      <name val="游ゴシック"/>
      <family val="2"/>
      <charset val="128"/>
      <scheme val="minor"/>
    </font>
    <font>
      <b/>
      <sz val="14"/>
      <color rgb="FF1F3864"/>
      <name val="游ゴシック"/>
      <family val="2"/>
      <charset val="128"/>
      <scheme val="minor"/>
    </font>
    <font>
      <b/>
      <sz val="12"/>
      <color rgb="FF1F3864"/>
      <name val="Meiryo UI"/>
      <family val="2"/>
      <charset val="128"/>
    </font>
    <font>
      <sz val="12"/>
      <color rgb="FF7F7F7F"/>
      <name val="Meiryo UI"/>
      <family val="2"/>
      <charset val="128"/>
    </font>
    <font>
      <sz val="12"/>
      <color rgb="FF833C0C"/>
      <name val="Meiryo UI"/>
      <family val="2"/>
      <charset val="128"/>
    </font>
    <font>
      <b/>
      <sz val="12"/>
      <color rgb="FF833C0C"/>
      <name val="游ゴシック"/>
      <family val="2"/>
      <charset val="128"/>
      <scheme val="minor"/>
    </font>
    <font>
      <sz val="12"/>
      <color rgb="FF000000"/>
      <name val="Meiryo UI"/>
      <family val="2"/>
      <charset val="128"/>
    </font>
    <font>
      <b/>
      <sz val="12"/>
      <color rgb="FF9C0006"/>
      <name val="Meiryo UI"/>
      <family val="2"/>
      <charset val="128"/>
    </font>
    <font>
      <sz val="12"/>
      <color rgb="FFC00000"/>
      <name val="Meiryo UI"/>
      <family val="2"/>
      <charset val="128"/>
    </font>
    <font>
      <sz val="12"/>
      <color rgb="FF7F6000"/>
      <name val="Meiryo UI"/>
      <family val="2"/>
      <charset val="128"/>
    </font>
    <font>
      <b/>
      <sz val="12"/>
      <color rgb="FF1F3864"/>
      <name val="游ゴシック"/>
      <family val="2"/>
      <charset val="128"/>
      <scheme val="minor"/>
    </font>
  </fonts>
  <fills count="20">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C7CE"/>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FCE4D6"/>
        <bgColor indexed="64"/>
      </patternFill>
    </fill>
    <fill>
      <patternFill patternType="solid">
        <fgColor rgb="FFE2EFDA"/>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E4DFEC"/>
        <bgColor indexed="64"/>
      </patternFill>
    </fill>
    <fill>
      <patternFill patternType="solid">
        <fgColor rgb="FF9C0006"/>
        <bgColor indexed="64"/>
      </patternFill>
    </fill>
    <fill>
      <patternFill patternType="solid">
        <fgColor rgb="FF2E5C8A"/>
        <bgColor indexed="64"/>
      </patternFill>
    </fill>
    <fill>
      <patternFill patternType="solid">
        <fgColor rgb="FFEDF7EE"/>
        <bgColor indexed="64"/>
      </patternFill>
    </fill>
    <fill>
      <patternFill patternType="solid">
        <fgColor rgb="FFFFFF00"/>
        <bgColor indexed="64"/>
      </patternFill>
    </fill>
    <fill>
      <patternFill patternType="solid">
        <fgColor rgb="FFD9D9D9"/>
        <bgColor indexed="64"/>
      </patternFill>
    </fill>
  </fills>
  <borders count="37">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rgb="FFD9D9D9"/>
      </right>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s>
  <cellStyleXfs count="1">
    <xf numFmtId="0" fontId="0" fillId="0" borderId="0">
      <alignment vertical="center"/>
    </xf>
  </cellStyleXfs>
  <cellXfs count="465">
    <xf numFmtId="0" fontId="0" fillId="0" borderId="0" xfId="0">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0" fontId="2" fillId="0" borderId="0" xfId="0" applyFont="1">
      <alignment vertical="center"/>
    </xf>
    <xf numFmtId="0" fontId="8" fillId="2" borderId="0" xfId="0" applyFont="1" applyFill="1" applyAlignment="1">
      <alignment horizontal="center" vertical="center"/>
    </xf>
    <xf numFmtId="176" fontId="0" fillId="0" borderId="0" xfId="0" applyNumberFormat="1">
      <alignment vertical="center"/>
    </xf>
    <xf numFmtId="0" fontId="4" fillId="0" borderId="3" xfId="0" applyFont="1" applyBorder="1" applyAlignment="1">
      <alignment vertical="top"/>
    </xf>
    <xf numFmtId="0" fontId="4" fillId="0" borderId="4" xfId="0" applyFont="1" applyBorder="1" applyAlignment="1">
      <alignment vertical="top"/>
    </xf>
    <xf numFmtId="0" fontId="4" fillId="0" borderId="7" xfId="0" applyFont="1" applyBorder="1" applyAlignment="1">
      <alignment vertical="top"/>
    </xf>
    <xf numFmtId="0" fontId="4" fillId="0" borderId="8" xfId="0" applyFont="1" applyBorder="1" applyAlignment="1">
      <alignment vertical="top"/>
    </xf>
    <xf numFmtId="0" fontId="7" fillId="2" borderId="10" xfId="0" applyFont="1" applyFill="1" applyBorder="1" applyAlignment="1">
      <alignment horizontal="center" vertical="top"/>
    </xf>
    <xf numFmtId="0" fontId="7" fillId="2" borderId="11" xfId="0" applyFont="1" applyFill="1" applyBorder="1" applyAlignment="1">
      <alignment horizontal="center" vertical="top"/>
    </xf>
    <xf numFmtId="0" fontId="7" fillId="2" borderId="12" xfId="0" applyFont="1" applyFill="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0" fontId="9" fillId="0" borderId="5" xfId="0" applyFont="1" applyBorder="1" applyAlignment="1">
      <alignment vertical="top"/>
    </xf>
    <xf numFmtId="0" fontId="8" fillId="2" borderId="10" xfId="0" applyFont="1" applyFill="1" applyBorder="1" applyAlignment="1">
      <alignment horizontal="center" vertical="center"/>
    </xf>
    <xf numFmtId="0" fontId="8" fillId="2" borderId="11" xfId="0" applyFont="1" applyFill="1" applyBorder="1" applyAlignment="1">
      <alignment horizontal="center" vertical="center"/>
    </xf>
    <xf numFmtId="0" fontId="8" fillId="2" borderId="12" xfId="0" applyFont="1" applyFill="1" applyBorder="1" applyAlignment="1">
      <alignment horizontal="center"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4" fillId="0" borderId="3" xfId="0" applyFont="1" applyBorder="1">
      <alignment vertical="center"/>
    </xf>
    <xf numFmtId="0" fontId="4" fillId="0" borderId="4" xfId="0" applyFont="1" applyBorder="1">
      <alignment vertical="center"/>
    </xf>
    <xf numFmtId="0" fontId="5" fillId="0" borderId="7" xfId="0" applyFont="1" applyBorder="1">
      <alignment vertical="center"/>
    </xf>
    <xf numFmtId="0" fontId="5" fillId="0" borderId="8" xfId="0" applyFont="1" applyBorder="1">
      <alignment vertical="center"/>
    </xf>
    <xf numFmtId="0" fontId="4" fillId="0" borderId="7" xfId="0" applyFont="1" applyBorder="1">
      <alignment vertical="center"/>
    </xf>
    <xf numFmtId="0" fontId="4" fillId="0" borderId="8" xfId="0" applyFont="1" applyBorder="1">
      <alignment vertical="center"/>
    </xf>
    <xf numFmtId="0" fontId="4" fillId="0" borderId="5" xfId="0" applyFont="1" applyBorder="1">
      <alignment vertical="center"/>
    </xf>
    <xf numFmtId="0" fontId="4" fillId="0" borderId="9" xfId="0" applyFont="1" applyBorder="1">
      <alignment vertical="center"/>
    </xf>
    <xf numFmtId="0" fontId="4" fillId="0" borderId="4" xfId="0" applyFont="1" applyBorder="1" applyAlignment="1">
      <alignment horizontal="center" vertical="center"/>
    </xf>
    <xf numFmtId="0" fontId="5" fillId="0" borderId="8" xfId="0" applyFont="1" applyBorder="1" applyAlignment="1">
      <alignment horizontal="center" vertical="center"/>
    </xf>
    <xf numFmtId="0" fontId="12" fillId="0" borderId="0" xfId="0" applyFont="1">
      <alignment vertical="center"/>
    </xf>
    <xf numFmtId="0" fontId="13" fillId="0" borderId="0" xfId="0" applyFont="1">
      <alignment vertical="center"/>
    </xf>
    <xf numFmtId="0" fontId="15" fillId="0" borderId="0" xfId="0" applyFont="1">
      <alignment vertical="center"/>
    </xf>
    <xf numFmtId="0" fontId="16" fillId="0" borderId="0" xfId="0" applyFont="1">
      <alignment vertical="center"/>
    </xf>
    <xf numFmtId="0" fontId="17" fillId="2" borderId="10" xfId="0" applyFont="1" applyFill="1" applyBorder="1" applyAlignment="1">
      <alignment horizontal="center" vertical="center"/>
    </xf>
    <xf numFmtId="0" fontId="17" fillId="2" borderId="11" xfId="0" applyFont="1" applyFill="1" applyBorder="1" applyAlignment="1">
      <alignment horizontal="center" vertical="center"/>
    </xf>
    <xf numFmtId="0" fontId="17" fillId="2" borderId="12" xfId="0" applyFont="1" applyFill="1" applyBorder="1" applyAlignment="1">
      <alignment horizontal="center" vertical="center"/>
    </xf>
    <xf numFmtId="0" fontId="18" fillId="0" borderId="4" xfId="0" applyFont="1" applyBorder="1" applyAlignment="1">
      <alignment vertical="top"/>
    </xf>
    <xf numFmtId="0" fontId="18" fillId="0" borderId="4" xfId="0" applyFont="1" applyBorder="1" applyAlignment="1">
      <alignment horizontal="left" vertical="top"/>
    </xf>
    <xf numFmtId="0" fontId="18" fillId="0" borderId="4" xfId="0" applyFont="1" applyBorder="1" applyAlignment="1">
      <alignment horizontal="center" vertical="top"/>
    </xf>
    <xf numFmtId="0" fontId="19" fillId="0" borderId="5" xfId="0" applyFont="1" applyBorder="1" applyAlignment="1">
      <alignment vertical="top"/>
    </xf>
    <xf numFmtId="0" fontId="18" fillId="0" borderId="8" xfId="0" applyFont="1" applyBorder="1" applyAlignment="1">
      <alignment vertical="top"/>
    </xf>
    <xf numFmtId="0" fontId="18" fillId="0" borderId="8" xfId="0" applyFont="1" applyBorder="1" applyAlignment="1">
      <alignment horizontal="left" vertical="top"/>
    </xf>
    <xf numFmtId="0" fontId="18" fillId="0" borderId="8" xfId="0" applyFont="1" applyBorder="1" applyAlignment="1">
      <alignment horizontal="center" vertical="top"/>
    </xf>
    <xf numFmtId="0" fontId="19" fillId="0" borderId="9" xfId="0" applyFont="1" applyBorder="1" applyAlignment="1">
      <alignment vertical="top"/>
    </xf>
    <xf numFmtId="0" fontId="24" fillId="0" borderId="0" xfId="0" applyFont="1">
      <alignment vertical="center"/>
    </xf>
    <xf numFmtId="0" fontId="11" fillId="0" borderId="0" xfId="0" applyFont="1">
      <alignment vertical="center"/>
    </xf>
    <xf numFmtId="0" fontId="5" fillId="0" borderId="3" xfId="0" applyFont="1" applyBorder="1" applyAlignment="1">
      <alignment vertical="top"/>
    </xf>
    <xf numFmtId="0" fontId="5" fillId="0" borderId="7" xfId="0" applyFont="1" applyBorder="1" applyAlignment="1">
      <alignment vertical="top"/>
    </xf>
    <xf numFmtId="0" fontId="4" fillId="0" borderId="4" xfId="0" applyFont="1" applyBorder="1" applyAlignment="1">
      <alignment vertical="top" wrapText="1"/>
    </xf>
    <xf numFmtId="0" fontId="4" fillId="0" borderId="8" xfId="0" applyFont="1" applyBorder="1" applyAlignment="1">
      <alignment vertical="top" wrapText="1"/>
    </xf>
    <xf numFmtId="0" fontId="4" fillId="0" borderId="0" xfId="0" applyFont="1" applyFill="1" applyBorder="1">
      <alignment vertical="center"/>
    </xf>
    <xf numFmtId="0" fontId="25" fillId="0" borderId="0" xfId="0" applyFont="1">
      <alignment vertical="center"/>
    </xf>
    <xf numFmtId="0" fontId="10" fillId="0" borderId="0" xfId="0" applyFont="1">
      <alignment vertical="center"/>
    </xf>
    <xf numFmtId="0" fontId="5" fillId="0" borderId="0" xfId="0" applyFont="1" applyAlignment="1">
      <alignment vertical="top"/>
    </xf>
    <xf numFmtId="0" fontId="4"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2" fillId="0" borderId="0" xfId="0" applyFont="1">
      <alignment vertical="center"/>
    </xf>
    <xf numFmtId="0" fontId="33" fillId="0" borderId="0" xfId="0" applyFont="1">
      <alignment vertical="center"/>
    </xf>
    <xf numFmtId="0" fontId="34" fillId="0" borderId="0" xfId="0" applyFont="1">
      <alignment vertical="center"/>
    </xf>
    <xf numFmtId="0" fontId="35" fillId="0" borderId="0" xfId="0" applyFont="1">
      <alignment vertical="center"/>
    </xf>
    <xf numFmtId="0" fontId="34" fillId="0" borderId="3" xfId="0" applyFont="1" applyBorder="1" applyAlignment="1">
      <alignment vertical="top"/>
    </xf>
    <xf numFmtId="0" fontId="34" fillId="0" borderId="4" xfId="0" applyFont="1" applyBorder="1" applyAlignment="1">
      <alignment vertical="top"/>
    </xf>
    <xf numFmtId="0" fontId="34" fillId="0" borderId="4" xfId="0" applyFont="1" applyBorder="1" applyAlignment="1">
      <alignment vertical="top" wrapText="1"/>
    </xf>
    <xf numFmtId="0" fontId="34" fillId="0" borderId="4" xfId="0" applyFont="1" applyBorder="1" applyAlignment="1">
      <alignment horizontal="center" vertical="top"/>
    </xf>
    <xf numFmtId="0" fontId="34" fillId="0" borderId="7" xfId="0" applyFont="1" applyBorder="1" applyAlignment="1">
      <alignment vertical="top"/>
    </xf>
    <xf numFmtId="0" fontId="34" fillId="0" borderId="8" xfId="0" applyFont="1" applyBorder="1" applyAlignment="1">
      <alignment vertical="top"/>
    </xf>
    <xf numFmtId="0" fontId="34" fillId="0" borderId="8" xfId="0" applyFont="1" applyBorder="1" applyAlignment="1">
      <alignment vertical="top" wrapText="1"/>
    </xf>
    <xf numFmtId="0" fontId="34" fillId="0" borderId="8" xfId="0" applyFont="1" applyBorder="1" applyAlignment="1">
      <alignment horizontal="center" vertical="top"/>
    </xf>
    <xf numFmtId="0" fontId="33" fillId="0" borderId="3" xfId="0" applyFont="1" applyBorder="1" applyAlignment="1">
      <alignment vertical="top"/>
    </xf>
    <xf numFmtId="0" fontId="33" fillId="0" borderId="7" xfId="0" applyFont="1" applyBorder="1" applyAlignment="1">
      <alignment vertical="top"/>
    </xf>
    <xf numFmtId="0" fontId="37" fillId="0" borderId="0" xfId="0" applyFont="1">
      <alignment vertical="center"/>
    </xf>
    <xf numFmtId="0" fontId="34" fillId="0" borderId="5" xfId="0" applyFont="1" applyBorder="1" applyAlignment="1">
      <alignment vertical="top"/>
    </xf>
    <xf numFmtId="0" fontId="34" fillId="0" borderId="9" xfId="0" applyFont="1" applyBorder="1" applyAlignment="1">
      <alignment vertical="top"/>
    </xf>
    <xf numFmtId="0" fontId="21" fillId="0" borderId="0" xfId="0" applyFont="1">
      <alignment vertical="center"/>
    </xf>
    <xf numFmtId="0" fontId="28" fillId="2" borderId="11" xfId="0" applyFont="1" applyFill="1" applyBorder="1" applyAlignment="1">
      <alignment horizontal="center" vertical="top"/>
    </xf>
    <xf numFmtId="0" fontId="36" fillId="0" borderId="0" xfId="0" applyFont="1">
      <alignment vertical="center"/>
    </xf>
    <xf numFmtId="0" fontId="17" fillId="2" borderId="10" xfId="0" applyFont="1" applyFill="1" applyBorder="1" applyAlignment="1">
      <alignment horizontal="center" vertical="top"/>
    </xf>
    <xf numFmtId="0" fontId="17" fillId="2" borderId="11" xfId="0" applyFont="1" applyFill="1" applyBorder="1" applyAlignment="1">
      <alignment horizontal="center" vertical="top"/>
    </xf>
    <xf numFmtId="0" fontId="17" fillId="2" borderId="12" xfId="0" applyFont="1" applyFill="1" applyBorder="1" applyAlignment="1">
      <alignment horizontal="center" vertical="top"/>
    </xf>
    <xf numFmtId="0" fontId="30" fillId="0" borderId="0" xfId="0" applyFont="1">
      <alignment vertical="center"/>
    </xf>
    <xf numFmtId="0" fontId="18" fillId="0" borderId="3" xfId="0" applyFont="1" applyBorder="1">
      <alignment vertical="center"/>
    </xf>
    <xf numFmtId="0" fontId="18" fillId="0" borderId="4" xfId="0" applyFont="1" applyBorder="1" applyAlignment="1">
      <alignment horizontal="center" vertical="center"/>
    </xf>
    <xf numFmtId="0" fontId="14" fillId="0" borderId="7" xfId="0" applyFont="1" applyBorder="1">
      <alignment vertical="center"/>
    </xf>
    <xf numFmtId="0" fontId="14" fillId="0" borderId="8" xfId="0" applyFont="1" applyBorder="1" applyAlignment="1">
      <alignment horizontal="center" vertical="center"/>
    </xf>
    <xf numFmtId="0" fontId="18" fillId="0" borderId="4" xfId="0" applyFont="1" applyBorder="1">
      <alignment vertical="center"/>
    </xf>
    <xf numFmtId="1" fontId="18" fillId="0" borderId="4" xfId="0" applyNumberFormat="1" applyFont="1" applyBorder="1" applyAlignment="1">
      <alignment horizontal="center" vertical="center"/>
    </xf>
    <xf numFmtId="0" fontId="18" fillId="0" borderId="7" xfId="0" applyFont="1" applyBorder="1">
      <alignment vertical="center"/>
    </xf>
    <xf numFmtId="0" fontId="18" fillId="0" borderId="8" xfId="0" applyFont="1" applyBorder="1">
      <alignment vertical="center"/>
    </xf>
    <xf numFmtId="1" fontId="18" fillId="0" borderId="8" xfId="0" applyNumberFormat="1" applyFont="1" applyBorder="1" applyAlignment="1">
      <alignment horizontal="center" vertical="center"/>
    </xf>
    <xf numFmtId="0" fontId="18" fillId="0" borderId="5" xfId="0" applyFont="1" applyBorder="1">
      <alignment vertical="center"/>
    </xf>
    <xf numFmtId="0" fontId="18" fillId="0" borderId="9" xfId="0" applyFont="1" applyBorder="1">
      <alignment vertical="center"/>
    </xf>
    <xf numFmtId="0" fontId="30" fillId="0" borderId="0" xfId="0" applyFont="1" applyFill="1" applyBorder="1">
      <alignment vertical="center"/>
    </xf>
    <xf numFmtId="176" fontId="18" fillId="0" borderId="4" xfId="0" applyNumberFormat="1" applyFont="1" applyBorder="1" applyAlignment="1">
      <alignment horizontal="center" vertical="center"/>
    </xf>
    <xf numFmtId="0" fontId="31" fillId="0" borderId="5" xfId="0" applyFont="1" applyBorder="1">
      <alignment vertical="center"/>
    </xf>
    <xf numFmtId="0" fontId="21" fillId="0" borderId="5" xfId="0" applyFont="1" applyBorder="1">
      <alignment vertical="center"/>
    </xf>
    <xf numFmtId="176" fontId="14" fillId="0" borderId="8" xfId="0" applyNumberFormat="1" applyFont="1" applyBorder="1" applyAlignment="1">
      <alignment horizontal="center" vertical="center"/>
    </xf>
    <xf numFmtId="0" fontId="38" fillId="0" borderId="5" xfId="0" applyFont="1" applyBorder="1">
      <alignment vertical="center"/>
    </xf>
    <xf numFmtId="0" fontId="30" fillId="0" borderId="0" xfId="0" applyFont="1" applyFill="1" applyBorder="1" applyAlignment="1">
      <alignment vertical="top"/>
    </xf>
    <xf numFmtId="0" fontId="13" fillId="0" borderId="0" xfId="0" applyFont="1" applyAlignment="1">
      <alignment vertical="top"/>
    </xf>
    <xf numFmtId="0" fontId="14" fillId="0" borderId="0" xfId="0" applyFont="1" applyAlignment="1">
      <alignment vertical="top"/>
    </xf>
    <xf numFmtId="0" fontId="18" fillId="0" borderId="0" xfId="0" applyFont="1" applyAlignment="1">
      <alignment vertical="top" wrapText="1"/>
    </xf>
    <xf numFmtId="0" fontId="20" fillId="0" borderId="0" xfId="0" applyFont="1" applyAlignment="1">
      <alignment vertical="top" wrapText="1"/>
    </xf>
    <xf numFmtId="0" fontId="14" fillId="0" borderId="0" xfId="0" applyFont="1" applyFill="1" applyBorder="1" applyAlignment="1">
      <alignment vertical="top"/>
    </xf>
    <xf numFmtId="0" fontId="21" fillId="0" borderId="0" xfId="0" applyFont="1" applyAlignment="1">
      <alignment vertical="top" wrapText="1"/>
    </xf>
    <xf numFmtId="0" fontId="7" fillId="2" borderId="10" xfId="0" applyFont="1" applyFill="1" applyBorder="1" applyAlignment="1">
      <alignment horizontal="center" vertical="top" wrapText="1"/>
    </xf>
    <xf numFmtId="0" fontId="7" fillId="2" borderId="11" xfId="0" applyFont="1" applyFill="1" applyBorder="1" applyAlignment="1">
      <alignment horizontal="center" vertical="top" wrapText="1"/>
    </xf>
    <xf numFmtId="0" fontId="7" fillId="2" borderId="12" xfId="0" applyFont="1" applyFill="1" applyBorder="1" applyAlignment="1">
      <alignment horizontal="center" vertical="top" wrapText="1"/>
    </xf>
    <xf numFmtId="0" fontId="5" fillId="0" borderId="3" xfId="0" applyFont="1" applyBorder="1" applyAlignment="1">
      <alignment vertical="top" wrapText="1"/>
    </xf>
    <xf numFmtId="0" fontId="5" fillId="0" borderId="7" xfId="0" applyFont="1" applyBorder="1" applyAlignment="1">
      <alignment vertical="top" wrapText="1"/>
    </xf>
    <xf numFmtId="0" fontId="18" fillId="0" borderId="6" xfId="0" applyFont="1" applyBorder="1">
      <alignment vertical="center"/>
    </xf>
    <xf numFmtId="176" fontId="13" fillId="0" borderId="0" xfId="0" applyNumberFormat="1" applyFont="1">
      <alignment vertical="center"/>
    </xf>
    <xf numFmtId="0" fontId="18"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50" fillId="0" borderId="0" xfId="0" applyFont="1">
      <alignment vertical="center"/>
    </xf>
    <xf numFmtId="0" fontId="4" fillId="0" borderId="8" xfId="0" applyFont="1" applyBorder="1" applyAlignment="1">
      <alignment horizontal="center" vertical="center"/>
    </xf>
    <xf numFmtId="0" fontId="51" fillId="0" borderId="5" xfId="0" applyFont="1" applyBorder="1">
      <alignment vertical="center"/>
    </xf>
    <xf numFmtId="0" fontId="52" fillId="0" borderId="3" xfId="0" applyFont="1" applyBorder="1" applyAlignment="1">
      <alignment vertical="top"/>
    </xf>
    <xf numFmtId="0" fontId="52" fillId="0" borderId="7" xfId="0" applyFont="1" applyBorder="1" applyAlignment="1">
      <alignment vertical="top"/>
    </xf>
    <xf numFmtId="0" fontId="52" fillId="0" borderId="0" xfId="0" applyFont="1">
      <alignment vertical="center"/>
    </xf>
    <xf numFmtId="0" fontId="23" fillId="0" borderId="4" xfId="0" applyFont="1" applyBorder="1" applyAlignment="1">
      <alignment horizontal="left" vertical="top"/>
    </xf>
    <xf numFmtId="0" fontId="23" fillId="0" borderId="8" xfId="0" applyFont="1" applyBorder="1" applyAlignment="1">
      <alignment horizontal="left" vertical="top"/>
    </xf>
    <xf numFmtId="0" fontId="23" fillId="0" borderId="0" xfId="0" applyFont="1" applyAlignment="1">
      <alignment horizontal="left" vertical="center"/>
    </xf>
    <xf numFmtId="0" fontId="19" fillId="0" borderId="0" xfId="0" applyFont="1">
      <alignment vertical="center"/>
    </xf>
    <xf numFmtId="0" fontId="34" fillId="0" borderId="17" xfId="0" applyFont="1" applyBorder="1" applyAlignment="1">
      <alignment vertical="top" wrapText="1"/>
    </xf>
    <xf numFmtId="0" fontId="18" fillId="0" borderId="17" xfId="0" applyFont="1" applyBorder="1" applyAlignment="1">
      <alignment horizontal="center" vertical="top"/>
    </xf>
    <xf numFmtId="0" fontId="28" fillId="2" borderId="14" xfId="0" applyFont="1" applyFill="1" applyBorder="1" applyAlignment="1">
      <alignment horizontal="center" vertical="top"/>
    </xf>
    <xf numFmtId="0" fontId="15" fillId="0" borderId="4" xfId="0" applyFont="1" applyBorder="1" applyAlignment="1">
      <alignment vertical="top"/>
    </xf>
    <xf numFmtId="0" fontId="15" fillId="0" borderId="8" xfId="0" applyFont="1" applyBorder="1" applyAlignment="1">
      <alignment vertical="top"/>
    </xf>
    <xf numFmtId="0" fontId="19" fillId="0" borderId="4" xfId="0" applyFont="1" applyBorder="1" applyAlignment="1">
      <alignment vertical="top"/>
    </xf>
    <xf numFmtId="0" fontId="19" fillId="0" borderId="8" xfId="0" applyFont="1" applyBorder="1" applyAlignment="1">
      <alignment vertical="top"/>
    </xf>
    <xf numFmtId="0" fontId="29" fillId="2" borderId="0" xfId="0" applyFont="1" applyFill="1">
      <alignment vertical="center"/>
    </xf>
    <xf numFmtId="0" fontId="29" fillId="2" borderId="0" xfId="0" applyFont="1" applyFill="1" applyAlignment="1">
      <alignment horizontal="center" vertical="center"/>
    </xf>
    <xf numFmtId="176" fontId="18" fillId="0" borderId="5" xfId="0" applyNumberFormat="1" applyFont="1" applyBorder="1" applyAlignment="1">
      <alignment horizontal="center" vertical="center"/>
    </xf>
    <xf numFmtId="176" fontId="14" fillId="0" borderId="9" xfId="0" applyNumberFormat="1" applyFont="1" applyBorder="1" applyAlignment="1">
      <alignment horizontal="center" vertical="center"/>
    </xf>
    <xf numFmtId="0" fontId="41" fillId="0" borderId="0" xfId="0" applyFont="1" applyAlignment="1">
      <alignment horizontal="center" vertical="center"/>
    </xf>
    <xf numFmtId="0" fontId="28" fillId="2" borderId="0" xfId="0" applyFont="1" applyFill="1" applyAlignment="1">
      <alignment horizontal="center" vertical="center"/>
    </xf>
    <xf numFmtId="0" fontId="18" fillId="0" borderId="0" xfId="0" applyFont="1" applyAlignment="1">
      <alignment horizontal="center" vertical="center"/>
    </xf>
    <xf numFmtId="0" fontId="14" fillId="0" borderId="0" xfId="0" applyFont="1" applyAlignment="1">
      <alignment horizontal="center" vertical="center"/>
    </xf>
    <xf numFmtId="176" fontId="14"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18" fillId="0" borderId="5" xfId="0" applyNumberFormat="1" applyFont="1" applyBorder="1" applyAlignment="1">
      <alignment horizontal="center" vertical="center"/>
    </xf>
    <xf numFmtId="1" fontId="18" fillId="0" borderId="9" xfId="0" applyNumberFormat="1" applyFont="1" applyBorder="1" applyAlignment="1">
      <alignment horizontal="center" vertical="center"/>
    </xf>
    <xf numFmtId="1" fontId="18" fillId="0" borderId="0" xfId="0" applyNumberFormat="1" applyFont="1" applyAlignment="1">
      <alignment horizontal="center" vertical="center"/>
    </xf>
    <xf numFmtId="0" fontId="54" fillId="2" borderId="0" xfId="0" applyFont="1" applyFill="1" applyBorder="1" applyAlignment="1">
      <alignment horizontal="center" vertical="top"/>
    </xf>
    <xf numFmtId="0" fontId="4" fillId="0" borderId="5" xfId="0" applyFont="1" applyBorder="1" applyAlignment="1">
      <alignment horizontal="center" vertical="center"/>
    </xf>
    <xf numFmtId="0" fontId="5" fillId="0" borderId="9" xfId="0" applyFont="1" applyBorder="1" applyAlignment="1">
      <alignment horizontal="center" vertical="center"/>
    </xf>
    <xf numFmtId="0" fontId="18" fillId="0" borderId="0" xfId="0" applyFont="1" applyAlignment="1">
      <alignment horizontal="center" vertical="top"/>
    </xf>
    <xf numFmtId="0" fontId="14" fillId="0" borderId="0" xfId="0" applyFont="1" applyAlignment="1">
      <alignment horizontal="center" vertical="top"/>
    </xf>
    <xf numFmtId="0" fontId="5" fillId="0" borderId="4" xfId="0" applyFont="1" applyBorder="1" applyAlignment="1">
      <alignment horizontal="center" vertical="center"/>
    </xf>
    <xf numFmtId="0" fontId="4" fillId="0" borderId="1" xfId="0" applyFont="1" applyBorder="1" applyAlignment="1">
      <alignment horizontal="center" vertical="center"/>
    </xf>
    <xf numFmtId="0" fontId="51" fillId="0" borderId="2" xfId="0" applyFont="1" applyBorder="1">
      <alignment vertical="center"/>
    </xf>
    <xf numFmtId="0" fontId="5" fillId="0" borderId="4" xfId="0" applyFont="1" applyBorder="1" applyAlignment="1">
      <alignment horizontal="center" vertical="top"/>
    </xf>
    <xf numFmtId="0" fontId="5" fillId="0" borderId="8" xfId="0" applyFont="1" applyBorder="1" applyAlignment="1">
      <alignment horizontal="center" vertical="top"/>
    </xf>
    <xf numFmtId="0" fontId="55" fillId="0" borderId="0" xfId="0" applyFont="1">
      <alignment vertical="center"/>
    </xf>
    <xf numFmtId="0" fontId="5" fillId="0" borderId="3" xfId="0" applyFont="1" applyBorder="1">
      <alignment vertical="center"/>
    </xf>
    <xf numFmtId="0" fontId="5" fillId="0" borderId="5" xfId="0" applyFont="1" applyBorder="1">
      <alignment vertical="center"/>
    </xf>
    <xf numFmtId="0" fontId="4" fillId="0" borderId="10" xfId="0" applyFont="1" applyBorder="1">
      <alignment vertical="center"/>
    </xf>
    <xf numFmtId="0" fontId="4" fillId="0" borderId="11" xfId="0" applyFont="1" applyBorder="1">
      <alignment vertical="center"/>
    </xf>
    <xf numFmtId="0" fontId="4" fillId="0" borderId="12" xfId="0" applyFont="1" applyBorder="1">
      <alignment vertical="center"/>
    </xf>
    <xf numFmtId="0" fontId="5" fillId="0" borderId="9" xfId="0" applyFont="1" applyBorder="1">
      <alignment vertical="center"/>
    </xf>
    <xf numFmtId="0" fontId="57" fillId="0" borderId="5" xfId="0" applyFont="1" applyBorder="1" applyAlignment="1">
      <alignment vertical="top"/>
    </xf>
    <xf numFmtId="0" fontId="57" fillId="0" borderId="9" xfId="0" applyFont="1" applyBorder="1" applyAlignment="1">
      <alignment vertical="top"/>
    </xf>
    <xf numFmtId="49" fontId="56" fillId="0" borderId="4" xfId="0" applyNumberFormat="1" applyFont="1" applyBorder="1" applyAlignment="1">
      <alignment horizontal="center" vertical="top"/>
    </xf>
    <xf numFmtId="49" fontId="56" fillId="0" borderId="8" xfId="0" applyNumberFormat="1" applyFont="1" applyBorder="1" applyAlignment="1">
      <alignment horizontal="center" vertical="top"/>
    </xf>
    <xf numFmtId="0" fontId="5" fillId="0" borderId="4" xfId="0" applyFont="1" applyBorder="1" applyAlignment="1">
      <alignment vertical="top"/>
    </xf>
    <xf numFmtId="0" fontId="5" fillId="0" borderId="8" xfId="0" applyFont="1" applyBorder="1" applyAlignment="1">
      <alignment vertical="top"/>
    </xf>
    <xf numFmtId="0" fontId="57" fillId="0" borderId="4" xfId="0" applyFont="1" applyBorder="1" applyAlignment="1">
      <alignment vertical="top"/>
    </xf>
    <xf numFmtId="0" fontId="57" fillId="0" borderId="8" xfId="0" applyFont="1" applyBorder="1" applyAlignment="1">
      <alignment vertical="top"/>
    </xf>
    <xf numFmtId="0" fontId="7" fillId="7" borderId="10" xfId="0" applyFont="1" applyFill="1" applyBorder="1" applyAlignment="1">
      <alignment horizontal="center" vertical="center"/>
    </xf>
    <xf numFmtId="0" fontId="7" fillId="7" borderId="11" xfId="0" applyFont="1" applyFill="1" applyBorder="1" applyAlignment="1">
      <alignment horizontal="center" vertical="center"/>
    </xf>
    <xf numFmtId="0" fontId="7" fillId="7" borderId="12" xfId="0" applyFont="1" applyFill="1" applyBorder="1" applyAlignment="1">
      <alignment horizontal="center" vertical="center"/>
    </xf>
    <xf numFmtId="0" fontId="7" fillId="10" borderId="10" xfId="0" applyFont="1" applyFill="1" applyBorder="1" applyAlignment="1">
      <alignment horizontal="center" vertical="top"/>
    </xf>
    <xf numFmtId="0" fontId="7" fillId="10" borderId="11" xfId="0" applyFont="1" applyFill="1" applyBorder="1" applyAlignment="1">
      <alignment horizontal="center" vertical="top"/>
    </xf>
    <xf numFmtId="0" fontId="7" fillId="10" borderId="12" xfId="0" applyFont="1" applyFill="1" applyBorder="1" applyAlignment="1">
      <alignment horizontal="center" vertical="top"/>
    </xf>
    <xf numFmtId="0" fontId="4" fillId="0" borderId="5" xfId="0" applyFont="1" applyBorder="1" applyAlignment="1">
      <alignment horizontal="center" vertical="top"/>
    </xf>
    <xf numFmtId="0" fontId="4" fillId="0" borderId="9" xfId="0" applyFont="1" applyBorder="1" applyAlignment="1">
      <alignment horizontal="center" vertical="top"/>
    </xf>
    <xf numFmtId="0" fontId="58" fillId="2" borderId="18" xfId="0" applyFont="1" applyFill="1" applyBorder="1" applyAlignment="1">
      <alignment horizontal="center" vertical="center"/>
    </xf>
    <xf numFmtId="181" fontId="4" fillId="0" borderId="4" xfId="0" applyNumberFormat="1" applyFont="1" applyBorder="1" applyAlignment="1">
      <alignment horizontal="center" vertical="center"/>
    </xf>
    <xf numFmtId="181" fontId="5" fillId="0" borderId="4" xfId="0" applyNumberFormat="1" applyFont="1" applyBorder="1" applyAlignment="1">
      <alignment horizontal="center" vertical="center"/>
    </xf>
    <xf numFmtId="0" fontId="5" fillId="0" borderId="4" xfId="0" applyFont="1" applyBorder="1">
      <alignment vertical="center"/>
    </xf>
    <xf numFmtId="181" fontId="5" fillId="0" borderId="8" xfId="0" applyNumberFormat="1" applyFont="1" applyBorder="1" applyAlignment="1">
      <alignment horizontal="center" vertical="center"/>
    </xf>
    <xf numFmtId="0" fontId="57" fillId="0" borderId="4" xfId="0" applyFont="1" applyBorder="1" applyAlignment="1">
      <alignment horizontal="center" vertical="top"/>
    </xf>
    <xf numFmtId="0" fontId="57" fillId="0" borderId="8" xfId="0" applyFont="1" applyBorder="1" applyAlignment="1">
      <alignment horizontal="center" vertical="top"/>
    </xf>
    <xf numFmtId="0" fontId="34" fillId="0" borderId="0" xfId="0" applyFont="1" applyAlignment="1">
      <alignment horizontal="left" vertical="center"/>
    </xf>
    <xf numFmtId="0" fontId="34" fillId="0" borderId="0" xfId="0" applyFont="1" applyAlignment="1">
      <alignment vertical="center"/>
    </xf>
    <xf numFmtId="0" fontId="18" fillId="0" borderId="4" xfId="0" applyFont="1" applyBorder="1" applyAlignment="1">
      <alignment horizontal="left" vertical="top" wrapText="1"/>
    </xf>
    <xf numFmtId="0" fontId="18" fillId="11" borderId="4" xfId="0" applyFont="1" applyFill="1" applyBorder="1" applyAlignment="1">
      <alignment vertical="top"/>
    </xf>
    <xf numFmtId="0" fontId="18" fillId="11" borderId="8" xfId="0" applyFont="1" applyFill="1" applyBorder="1" applyAlignment="1">
      <alignment vertical="top"/>
    </xf>
    <xf numFmtId="0" fontId="4" fillId="0" borderId="4" xfId="0" applyFont="1" applyBorder="1" applyAlignment="1">
      <alignment horizontal="center" vertical="top" wrapText="1"/>
    </xf>
    <xf numFmtId="0" fontId="4" fillId="0" borderId="8" xfId="0" applyFont="1" applyBorder="1" applyAlignment="1">
      <alignment horizontal="center" vertical="top" wrapText="1"/>
    </xf>
    <xf numFmtId="0" fontId="61" fillId="0" borderId="5" xfId="0" applyFont="1" applyBorder="1" applyAlignment="1">
      <alignment vertical="top" wrapText="1"/>
    </xf>
    <xf numFmtId="0" fontId="61" fillId="0" borderId="9" xfId="0" applyFont="1" applyBorder="1" applyAlignment="1">
      <alignment vertical="top" wrapText="1"/>
    </xf>
    <xf numFmtId="0" fontId="5" fillId="0" borderId="9" xfId="0" applyFont="1" applyBorder="1" applyAlignment="1">
      <alignment vertical="top"/>
    </xf>
    <xf numFmtId="187" fontId="4" fillId="0" borderId="4" xfId="0" applyNumberFormat="1" applyFont="1" applyBorder="1" applyAlignment="1">
      <alignment horizontal="right" vertical="top"/>
    </xf>
    <xf numFmtId="0" fontId="5" fillId="0" borderId="8" xfId="0" applyFont="1" applyBorder="1" applyAlignment="1">
      <alignment horizontal="right" vertical="top"/>
    </xf>
    <xf numFmtId="186" fontId="64" fillId="0" borderId="4" xfId="0" applyNumberFormat="1" applyFont="1" applyBorder="1" applyAlignment="1">
      <alignment horizontal="right" vertical="top"/>
    </xf>
    <xf numFmtId="4" fontId="4" fillId="0" borderId="4" xfId="0" applyNumberFormat="1" applyFont="1" applyBorder="1" applyAlignment="1">
      <alignment horizontal="right" vertical="top"/>
    </xf>
    <xf numFmtId="4" fontId="5" fillId="0" borderId="8" xfId="0" applyNumberFormat="1" applyFont="1" applyBorder="1" applyAlignment="1">
      <alignment horizontal="right" vertical="top"/>
    </xf>
    <xf numFmtId="0" fontId="5" fillId="0" borderId="3" xfId="0" applyFont="1" applyBorder="1" applyAlignment="1">
      <alignment horizontal="center" vertical="top"/>
    </xf>
    <xf numFmtId="0" fontId="4" fillId="0" borderId="4" xfId="0" applyFont="1" applyBorder="1" applyAlignment="1">
      <alignment horizontal="right" vertical="center"/>
    </xf>
    <xf numFmtId="4" fontId="4" fillId="0" borderId="4" xfId="0" applyNumberFormat="1" applyFont="1" applyBorder="1" applyAlignment="1">
      <alignment horizontal="right" vertical="center"/>
    </xf>
    <xf numFmtId="4" fontId="4" fillId="0" borderId="5" xfId="0" applyNumberFormat="1" applyFont="1" applyBorder="1" applyAlignment="1">
      <alignment horizontal="right" vertical="center"/>
    </xf>
    <xf numFmtId="0" fontId="5" fillId="0" borderId="8" xfId="0" applyFont="1" applyBorder="1" applyAlignment="1">
      <alignment horizontal="right" vertical="center"/>
    </xf>
    <xf numFmtId="4" fontId="5" fillId="0" borderId="8" xfId="0" applyNumberFormat="1" applyFont="1" applyBorder="1" applyAlignment="1">
      <alignment horizontal="right" vertical="center"/>
    </xf>
    <xf numFmtId="4" fontId="5" fillId="0" borderId="9" xfId="0" applyNumberFormat="1" applyFont="1" applyBorder="1" applyAlignment="1">
      <alignment horizontal="right" vertical="center"/>
    </xf>
    <xf numFmtId="188" fontId="4" fillId="0" borderId="4" xfId="0" applyNumberFormat="1" applyFont="1" applyBorder="1" applyAlignment="1">
      <alignment horizontal="right" vertical="center"/>
    </xf>
    <xf numFmtId="3" fontId="4" fillId="0" borderId="4" xfId="0" applyNumberFormat="1" applyFont="1" applyBorder="1" applyAlignment="1">
      <alignment horizontal="right" vertical="center"/>
    </xf>
    <xf numFmtId="189" fontId="4" fillId="0" borderId="4" xfId="0" applyNumberFormat="1" applyFont="1" applyBorder="1" applyAlignment="1">
      <alignment horizontal="right" vertical="center"/>
    </xf>
    <xf numFmtId="3" fontId="4" fillId="0" borderId="8" xfId="0" applyNumberFormat="1" applyFont="1" applyBorder="1" applyAlignment="1">
      <alignment horizontal="right" vertical="center"/>
    </xf>
    <xf numFmtId="0" fontId="64" fillId="0" borderId="4" xfId="0" applyFont="1" applyBorder="1">
      <alignment vertical="center"/>
    </xf>
    <xf numFmtId="0" fontId="64" fillId="0" borderId="8" xfId="0" applyFont="1" applyBorder="1">
      <alignment vertical="center"/>
    </xf>
    <xf numFmtId="0" fontId="53" fillId="0" borderId="4" xfId="0" applyFont="1" applyBorder="1">
      <alignment vertical="center"/>
    </xf>
    <xf numFmtId="0" fontId="53" fillId="0" borderId="8" xfId="0" applyFont="1" applyBorder="1">
      <alignment vertical="center"/>
    </xf>
    <xf numFmtId="0" fontId="0" fillId="5" borderId="0" xfId="0" applyFill="1">
      <alignment vertical="center"/>
    </xf>
    <xf numFmtId="0" fontId="14" fillId="0" borderId="4" xfId="0" applyFont="1" applyBorder="1" applyAlignment="1">
      <alignment horizontal="center" vertical="top"/>
    </xf>
    <xf numFmtId="0" fontId="14" fillId="0" borderId="8" xfId="0" applyFont="1" applyBorder="1" applyAlignment="1">
      <alignment horizontal="center" vertical="top"/>
    </xf>
    <xf numFmtId="0" fontId="18" fillId="0" borderId="15" xfId="0" applyFont="1" applyBorder="1" applyAlignment="1">
      <alignment horizontal="center" vertical="top"/>
    </xf>
    <xf numFmtId="0" fontId="18" fillId="0" borderId="16" xfId="0" applyFont="1" applyBorder="1" applyAlignment="1">
      <alignment horizontal="center" vertical="top"/>
    </xf>
    <xf numFmtId="0" fontId="32" fillId="0" borderId="4" xfId="0" applyFont="1" applyFill="1" applyBorder="1" applyAlignment="1">
      <alignment horizontal="left" vertical="top" wrapText="1"/>
    </xf>
    <xf numFmtId="0" fontId="32" fillId="0" borderId="8" xfId="0" applyFont="1" applyFill="1" applyBorder="1" applyAlignment="1">
      <alignment horizontal="left" vertical="top" wrapText="1"/>
    </xf>
    <xf numFmtId="0" fontId="0" fillId="3" borderId="0" xfId="0" applyFill="1">
      <alignment vertical="center"/>
    </xf>
    <xf numFmtId="0" fontId="18" fillId="11" borderId="4" xfId="0" applyFont="1" applyFill="1" applyBorder="1" applyAlignment="1">
      <alignment vertical="top" wrapText="1"/>
    </xf>
    <xf numFmtId="0" fontId="65" fillId="0" borderId="0" xfId="0" applyFont="1">
      <alignment vertical="center"/>
    </xf>
    <xf numFmtId="0" fontId="60" fillId="0" borderId="0" xfId="0" applyFont="1">
      <alignment vertical="center"/>
    </xf>
    <xf numFmtId="0" fontId="60" fillId="0" borderId="0" xfId="0" applyFont="1" applyAlignment="1">
      <alignment horizontal="left" vertical="center"/>
    </xf>
    <xf numFmtId="0" fontId="14" fillId="0" borderId="0" xfId="0" applyFont="1" applyAlignment="1">
      <alignment horizontal="left" vertical="center"/>
    </xf>
    <xf numFmtId="0" fontId="18" fillId="0" borderId="0" xfId="0" applyFont="1" applyAlignment="1">
      <alignment horizontal="left" vertical="top" wrapText="1"/>
    </xf>
    <xf numFmtId="0" fontId="66" fillId="4" borderId="0" xfId="0" applyFont="1" applyFill="1">
      <alignment vertical="center"/>
    </xf>
    <xf numFmtId="0" fontId="39" fillId="0" borderId="4" xfId="0" applyFont="1" applyFill="1" applyBorder="1" applyAlignment="1">
      <alignment horizontal="left" vertical="top"/>
    </xf>
    <xf numFmtId="0" fontId="39" fillId="0" borderId="8" xfId="0" applyFont="1" applyFill="1" applyBorder="1" applyAlignment="1">
      <alignment horizontal="left" vertical="top"/>
    </xf>
    <xf numFmtId="0" fontId="38" fillId="0" borderId="4" xfId="0" applyFont="1" applyBorder="1" applyAlignment="1">
      <alignment vertical="top" wrapText="1"/>
    </xf>
    <xf numFmtId="0" fontId="18" fillId="0" borderId="8" xfId="0" applyFont="1" applyBorder="1" applyAlignment="1">
      <alignment horizontal="left" vertical="top" wrapText="1"/>
    </xf>
    <xf numFmtId="0" fontId="38" fillId="0" borderId="8" xfId="0" applyFont="1" applyBorder="1" applyAlignment="1">
      <alignment vertical="top" wrapText="1"/>
    </xf>
    <xf numFmtId="0" fontId="32" fillId="0" borderId="4" xfId="0" applyFont="1" applyBorder="1" applyAlignment="1">
      <alignment horizontal="center" vertical="top"/>
    </xf>
    <xf numFmtId="0" fontId="32" fillId="0" borderId="8" xfId="0" applyFont="1" applyBorder="1" applyAlignment="1">
      <alignment horizontal="center" vertical="top"/>
    </xf>
    <xf numFmtId="0" fontId="28" fillId="12" borderId="11" xfId="0" applyFont="1" applyFill="1" applyBorder="1" applyAlignment="1">
      <alignment horizontal="center" vertical="top"/>
    </xf>
    <xf numFmtId="0" fontId="17" fillId="12" borderId="11" xfId="0" applyFont="1" applyFill="1" applyBorder="1" applyAlignment="1">
      <alignment horizontal="center" vertical="center"/>
    </xf>
    <xf numFmtId="0" fontId="7" fillId="2" borderId="18" xfId="0" applyFont="1" applyFill="1" applyBorder="1" applyAlignment="1">
      <alignment horizontal="center" vertical="top"/>
    </xf>
    <xf numFmtId="0" fontId="67" fillId="0" borderId="0" xfId="0" applyFont="1">
      <alignment vertical="center"/>
    </xf>
    <xf numFmtId="4" fontId="13" fillId="0" borderId="0" xfId="0" applyNumberFormat="1" applyFont="1">
      <alignment vertical="center"/>
    </xf>
    <xf numFmtId="188" fontId="13" fillId="0" borderId="0" xfId="0" applyNumberFormat="1" applyFont="1">
      <alignment vertical="center"/>
    </xf>
    <xf numFmtId="0" fontId="28" fillId="2" borderId="21" xfId="0" applyFont="1" applyFill="1" applyBorder="1">
      <alignment vertical="center"/>
    </xf>
    <xf numFmtId="0" fontId="28" fillId="2" borderId="22" xfId="0" applyFont="1" applyFill="1" applyBorder="1">
      <alignment vertical="center"/>
    </xf>
    <xf numFmtId="0" fontId="28" fillId="2" borderId="23" xfId="0" applyFont="1" applyFill="1" applyBorder="1">
      <alignment vertical="center"/>
    </xf>
    <xf numFmtId="0" fontId="18" fillId="0" borderId="24" xfId="0" applyFont="1" applyBorder="1">
      <alignment vertical="center"/>
    </xf>
    <xf numFmtId="0" fontId="18" fillId="0" borderId="17" xfId="0" applyFont="1" applyBorder="1">
      <alignment vertical="center"/>
    </xf>
    <xf numFmtId="3" fontId="18" fillId="0" borderId="17" xfId="0" applyNumberFormat="1" applyFont="1" applyBorder="1">
      <alignment vertical="center"/>
    </xf>
    <xf numFmtId="190" fontId="18" fillId="0" borderId="17" xfId="0" applyNumberFormat="1" applyFont="1" applyBorder="1">
      <alignment vertical="center"/>
    </xf>
    <xf numFmtId="4" fontId="18" fillId="0" borderId="17" xfId="0" applyNumberFormat="1" applyFont="1" applyBorder="1">
      <alignment vertical="center"/>
    </xf>
    <xf numFmtId="0" fontId="18" fillId="0" borderId="17" xfId="0" applyFont="1" applyBorder="1" applyAlignment="1">
      <alignment horizontal="center" vertical="center"/>
    </xf>
    <xf numFmtId="0" fontId="18" fillId="0" borderId="13" xfId="0" applyFont="1" applyBorder="1" applyAlignment="1">
      <alignment horizontal="center" vertical="center"/>
    </xf>
    <xf numFmtId="0" fontId="18" fillId="0" borderId="25" xfId="0" applyFont="1" applyBorder="1">
      <alignment vertical="center"/>
    </xf>
    <xf numFmtId="0" fontId="18" fillId="0" borderId="26" xfId="0" applyFont="1" applyBorder="1">
      <alignment vertical="center"/>
    </xf>
    <xf numFmtId="3" fontId="18" fillId="0" borderId="26" xfId="0" applyNumberFormat="1" applyFont="1" applyBorder="1">
      <alignment vertical="center"/>
    </xf>
    <xf numFmtId="190" fontId="18" fillId="0" borderId="26" xfId="0" applyNumberFormat="1" applyFont="1" applyBorder="1">
      <alignment vertical="center"/>
    </xf>
    <xf numFmtId="4" fontId="18" fillId="0" borderId="26" xfId="0" applyNumberFormat="1" applyFont="1" applyBorder="1">
      <alignment vertical="center"/>
    </xf>
    <xf numFmtId="0" fontId="18" fillId="0" borderId="26" xfId="0" applyFont="1" applyBorder="1" applyAlignment="1">
      <alignment horizontal="center" vertical="center"/>
    </xf>
    <xf numFmtId="0" fontId="18" fillId="0" borderId="19" xfId="0" applyFont="1" applyBorder="1" applyAlignment="1">
      <alignment horizontal="center" vertical="center"/>
    </xf>
    <xf numFmtId="0" fontId="14" fillId="0" borderId="0" xfId="0" applyFont="1" applyFill="1" applyBorder="1">
      <alignment vertical="center"/>
    </xf>
    <xf numFmtId="0" fontId="18" fillId="0" borderId="0" xfId="0" applyFont="1" applyFill="1" applyBorder="1">
      <alignment vertical="center"/>
    </xf>
    <xf numFmtId="0" fontId="5" fillId="5" borderId="3" xfId="0" applyFont="1" applyFill="1" applyBorder="1" applyAlignment="1">
      <alignment horizontal="center" vertical="top"/>
    </xf>
    <xf numFmtId="0" fontId="4" fillId="5" borderId="4" xfId="0" applyFont="1" applyFill="1" applyBorder="1" applyAlignment="1">
      <alignment vertical="top"/>
    </xf>
    <xf numFmtId="0" fontId="57" fillId="5" borderId="4" xfId="0" applyFont="1" applyFill="1" applyBorder="1" applyAlignment="1">
      <alignment vertical="top"/>
    </xf>
    <xf numFmtId="187" fontId="4" fillId="5" borderId="4" xfId="0" applyNumberFormat="1" applyFont="1" applyFill="1" applyBorder="1" applyAlignment="1">
      <alignment horizontal="right" vertical="top"/>
    </xf>
    <xf numFmtId="0" fontId="4" fillId="5" borderId="4" xfId="0" applyFont="1" applyFill="1" applyBorder="1" applyAlignment="1">
      <alignment horizontal="center" vertical="top"/>
    </xf>
    <xf numFmtId="186" fontId="64" fillId="5" borderId="4" xfId="0" applyNumberFormat="1" applyFont="1" applyFill="1" applyBorder="1" applyAlignment="1">
      <alignment horizontal="right" vertical="top"/>
    </xf>
    <xf numFmtId="4" fontId="4" fillId="5" borderId="4" xfId="0" applyNumberFormat="1" applyFont="1" applyFill="1" applyBorder="1" applyAlignment="1">
      <alignment horizontal="right" vertical="top"/>
    </xf>
    <xf numFmtId="0" fontId="9" fillId="5" borderId="5" xfId="0" applyFont="1" applyFill="1" applyBorder="1" applyAlignment="1">
      <alignment vertical="top"/>
    </xf>
    <xf numFmtId="0" fontId="5" fillId="3" borderId="3" xfId="0" applyFont="1" applyFill="1" applyBorder="1" applyAlignment="1">
      <alignment vertical="top"/>
    </xf>
    <xf numFmtId="0" fontId="4" fillId="3" borderId="4" xfId="0" applyFont="1" applyFill="1" applyBorder="1" applyAlignment="1">
      <alignment vertical="top"/>
    </xf>
    <xf numFmtId="0" fontId="4" fillId="3" borderId="4" xfId="0" applyFont="1" applyFill="1" applyBorder="1" applyAlignment="1">
      <alignment horizontal="center" vertical="top"/>
    </xf>
    <xf numFmtId="49" fontId="56" fillId="3" borderId="4" xfId="0" applyNumberFormat="1" applyFont="1" applyFill="1" applyBorder="1" applyAlignment="1">
      <alignment horizontal="center" vertical="top"/>
    </xf>
    <xf numFmtId="0" fontId="57" fillId="3" borderId="5" xfId="0" applyFont="1" applyFill="1" applyBorder="1" applyAlignment="1">
      <alignment vertical="top"/>
    </xf>
    <xf numFmtId="0" fontId="5" fillId="5" borderId="3" xfId="0" applyFont="1" applyFill="1" applyBorder="1" applyAlignment="1">
      <alignment vertical="top"/>
    </xf>
    <xf numFmtId="49" fontId="56" fillId="5" borderId="4" xfId="0" applyNumberFormat="1" applyFont="1" applyFill="1" applyBorder="1" applyAlignment="1">
      <alignment horizontal="center" vertical="top"/>
    </xf>
    <xf numFmtId="0" fontId="57" fillId="5" borderId="5" xfId="0" applyFont="1" applyFill="1" applyBorder="1" applyAlignment="1">
      <alignment vertical="top"/>
    </xf>
    <xf numFmtId="0" fontId="68" fillId="0" borderId="0" xfId="0" applyFont="1">
      <alignment vertical="center"/>
    </xf>
    <xf numFmtId="0" fontId="69" fillId="0" borderId="0" xfId="0" applyFont="1">
      <alignment vertical="center"/>
    </xf>
    <xf numFmtId="0" fontId="29" fillId="2" borderId="21" xfId="0" applyFont="1" applyFill="1" applyBorder="1">
      <alignment vertical="center"/>
    </xf>
    <xf numFmtId="0" fontId="29" fillId="2" borderId="22" xfId="0" applyFont="1" applyFill="1" applyBorder="1">
      <alignment vertical="center"/>
    </xf>
    <xf numFmtId="0" fontId="29" fillId="7" borderId="22" xfId="0" applyFont="1" applyFill="1" applyBorder="1">
      <alignment vertical="center"/>
    </xf>
    <xf numFmtId="0" fontId="29" fillId="13" borderId="22" xfId="0" applyFont="1" applyFill="1" applyBorder="1">
      <alignment vertical="center"/>
    </xf>
    <xf numFmtId="0" fontId="29" fillId="13" borderId="23" xfId="0" applyFont="1" applyFill="1" applyBorder="1">
      <alignment vertical="center"/>
    </xf>
    <xf numFmtId="0" fontId="18" fillId="0" borderId="17" xfId="0" applyFont="1" applyBorder="1" applyAlignment="1">
      <alignment vertical="top" wrapText="1"/>
    </xf>
    <xf numFmtId="0" fontId="18" fillId="0" borderId="17" xfId="0" applyFont="1" applyBorder="1" applyAlignment="1">
      <alignment horizontal="center" vertical="top" wrapText="1"/>
    </xf>
    <xf numFmtId="0" fontId="18" fillId="0" borderId="13" xfId="0" applyFont="1" applyBorder="1" applyAlignment="1">
      <alignment vertical="top" wrapText="1"/>
    </xf>
    <xf numFmtId="0" fontId="18" fillId="0" borderId="26" xfId="0" applyFont="1" applyBorder="1" applyAlignment="1">
      <alignment vertical="top" wrapText="1"/>
    </xf>
    <xf numFmtId="0" fontId="18" fillId="0" borderId="26" xfId="0" applyFont="1" applyBorder="1" applyAlignment="1">
      <alignment horizontal="center" vertical="top" wrapText="1"/>
    </xf>
    <xf numFmtId="0" fontId="18" fillId="0" borderId="19" xfId="0" applyFont="1" applyBorder="1" applyAlignment="1">
      <alignment vertical="top" wrapText="1"/>
    </xf>
    <xf numFmtId="0" fontId="29" fillId="2" borderId="23" xfId="0" applyFont="1" applyFill="1" applyBorder="1">
      <alignment vertical="center"/>
    </xf>
    <xf numFmtId="0" fontId="34" fillId="0" borderId="13" xfId="0" applyFont="1" applyBorder="1" applyAlignment="1">
      <alignment vertical="top" wrapText="1"/>
    </xf>
    <xf numFmtId="0" fontId="38" fillId="0" borderId="0" xfId="0" applyFont="1">
      <alignment vertical="center"/>
    </xf>
    <xf numFmtId="0" fontId="18" fillId="0" borderId="24" xfId="0" applyFont="1" applyBorder="1" applyAlignment="1">
      <alignment horizontal="center" vertical="top" wrapText="1"/>
    </xf>
    <xf numFmtId="0" fontId="18" fillId="0" borderId="25" xfId="0" applyFont="1" applyBorder="1" applyAlignment="1">
      <alignment horizontal="center" vertical="top" wrapText="1"/>
    </xf>
    <xf numFmtId="0" fontId="33" fillId="0" borderId="24" xfId="0" applyFont="1" applyBorder="1" applyAlignment="1">
      <alignment vertical="top" wrapText="1"/>
    </xf>
    <xf numFmtId="0" fontId="29" fillId="15" borderId="23" xfId="0" applyFont="1" applyFill="1" applyBorder="1">
      <alignment vertical="center"/>
    </xf>
    <xf numFmtId="0" fontId="8" fillId="16" borderId="0" xfId="0" applyFont="1" applyFill="1">
      <alignment vertical="center"/>
    </xf>
    <xf numFmtId="0" fontId="70" fillId="0" borderId="0" xfId="0" applyFont="1">
      <alignment vertical="center"/>
    </xf>
    <xf numFmtId="0" fontId="18" fillId="0" borderId="13" xfId="0" applyFont="1" applyBorder="1" applyAlignment="1">
      <alignment horizontal="center" vertical="top"/>
    </xf>
    <xf numFmtId="0" fontId="18" fillId="0" borderId="26" xfId="0" applyFont="1" applyBorder="1" applyAlignment="1">
      <alignment horizontal="center" vertical="top"/>
    </xf>
    <xf numFmtId="0" fontId="18" fillId="0" borderId="19" xfId="0" applyFont="1" applyBorder="1" applyAlignment="1">
      <alignment horizontal="center" vertical="top"/>
    </xf>
    <xf numFmtId="0" fontId="13" fillId="0" borderId="24" xfId="0" applyFont="1" applyBorder="1">
      <alignment vertical="center"/>
    </xf>
    <xf numFmtId="0" fontId="13" fillId="0" borderId="17" xfId="0" applyFont="1" applyBorder="1">
      <alignment vertical="center"/>
    </xf>
    <xf numFmtId="0" fontId="13" fillId="0" borderId="13" xfId="0" applyFont="1" applyBorder="1">
      <alignment vertical="center"/>
    </xf>
    <xf numFmtId="0" fontId="30" fillId="5" borderId="0" xfId="0" applyFont="1" applyFill="1">
      <alignment vertical="center"/>
    </xf>
    <xf numFmtId="0" fontId="4" fillId="14" borderId="4" xfId="0" applyFont="1" applyFill="1" applyBorder="1" applyAlignment="1">
      <alignment vertical="top"/>
    </xf>
    <xf numFmtId="0" fontId="8" fillId="2" borderId="21" xfId="0" applyFont="1" applyFill="1" applyBorder="1">
      <alignment vertical="center"/>
    </xf>
    <xf numFmtId="0" fontId="8" fillId="2" borderId="22" xfId="0" applyFont="1" applyFill="1" applyBorder="1">
      <alignment vertical="center"/>
    </xf>
    <xf numFmtId="0" fontId="8" fillId="2" borderId="23" xfId="0" applyFont="1" applyFill="1" applyBorder="1">
      <alignment vertical="center"/>
    </xf>
    <xf numFmtId="0" fontId="0" fillId="0" borderId="24" xfId="0" applyBorder="1">
      <alignment vertical="center"/>
    </xf>
    <xf numFmtId="0" fontId="0" fillId="0" borderId="17" xfId="0" applyBorder="1">
      <alignment vertical="center"/>
    </xf>
    <xf numFmtId="0" fontId="0" fillId="0" borderId="13" xfId="0" applyBorder="1">
      <alignment vertical="center"/>
    </xf>
    <xf numFmtId="0" fontId="2" fillId="5" borderId="24" xfId="0" applyFont="1" applyFill="1" applyBorder="1">
      <alignment vertical="center"/>
    </xf>
    <xf numFmtId="0" fontId="2" fillId="5" borderId="17" xfId="0" applyFont="1" applyFill="1" applyBorder="1">
      <alignment vertical="center"/>
    </xf>
    <xf numFmtId="0" fontId="2" fillId="5" borderId="13" xfId="0" applyFont="1" applyFill="1" applyBorder="1">
      <alignment vertical="center"/>
    </xf>
    <xf numFmtId="0" fontId="2" fillId="8" borderId="25" xfId="0" applyFont="1" applyFill="1" applyBorder="1">
      <alignment vertical="center"/>
    </xf>
    <xf numFmtId="0" fontId="2" fillId="8" borderId="26" xfId="0" applyFont="1" applyFill="1" applyBorder="1">
      <alignment vertical="center"/>
    </xf>
    <xf numFmtId="0" fontId="2" fillId="8" borderId="19" xfId="0" applyFont="1" applyFill="1" applyBorder="1">
      <alignment vertical="center"/>
    </xf>
    <xf numFmtId="0" fontId="0" fillId="0" borderId="17" xfId="0" applyBorder="1" applyAlignment="1">
      <alignment vertical="center" wrapText="1"/>
    </xf>
    <xf numFmtId="0" fontId="4" fillId="14" borderId="3" xfId="0" applyFont="1" applyFill="1" applyBorder="1" applyAlignment="1">
      <alignment vertical="top"/>
    </xf>
    <xf numFmtId="0" fontId="5" fillId="14" borderId="4" xfId="0" applyFont="1" applyFill="1" applyBorder="1" applyAlignment="1">
      <alignment vertical="top"/>
    </xf>
    <xf numFmtId="0" fontId="57" fillId="14" borderId="4" xfId="0" applyFont="1" applyFill="1" applyBorder="1" applyAlignment="1">
      <alignment horizontal="center" vertical="top"/>
    </xf>
    <xf numFmtId="0" fontId="5" fillId="14" borderId="4" xfId="0" applyFont="1" applyFill="1" applyBorder="1" applyAlignment="1">
      <alignment horizontal="center" vertical="top"/>
    </xf>
    <xf numFmtId="0" fontId="57" fillId="14" borderId="4" xfId="0" applyFont="1" applyFill="1" applyBorder="1" applyAlignment="1">
      <alignment vertical="top"/>
    </xf>
    <xf numFmtId="0" fontId="4" fillId="14" borderId="5" xfId="0" applyFont="1" applyFill="1" applyBorder="1" applyAlignment="1">
      <alignment horizontal="center" vertical="top"/>
    </xf>
    <xf numFmtId="0" fontId="4" fillId="9" borderId="7" xfId="0" applyFont="1" applyFill="1" applyBorder="1" applyAlignment="1">
      <alignment vertical="top"/>
    </xf>
    <xf numFmtId="0" fontId="5" fillId="9" borderId="8" xfId="0" applyFont="1" applyFill="1" applyBorder="1" applyAlignment="1">
      <alignment vertical="top"/>
    </xf>
    <xf numFmtId="0" fontId="4" fillId="9" borderId="8" xfId="0" applyFont="1" applyFill="1" applyBorder="1" applyAlignment="1">
      <alignment vertical="top"/>
    </xf>
    <xf numFmtId="0" fontId="57" fillId="9" borderId="8" xfId="0" applyFont="1" applyFill="1" applyBorder="1" applyAlignment="1">
      <alignment horizontal="center" vertical="top"/>
    </xf>
    <xf numFmtId="0" fontId="5" fillId="9" borderId="8" xfId="0" applyFont="1" applyFill="1" applyBorder="1" applyAlignment="1">
      <alignment horizontal="center" vertical="top"/>
    </xf>
    <xf numFmtId="0" fontId="57" fillId="9" borderId="8" xfId="0" applyFont="1" applyFill="1" applyBorder="1" applyAlignment="1">
      <alignment vertical="top"/>
    </xf>
    <xf numFmtId="0" fontId="4" fillId="9" borderId="9" xfId="0" applyFont="1" applyFill="1" applyBorder="1" applyAlignment="1">
      <alignment horizontal="center" vertical="top"/>
    </xf>
    <xf numFmtId="0" fontId="7" fillId="7" borderId="18" xfId="0" applyFont="1" applyFill="1" applyBorder="1" applyAlignment="1">
      <alignment horizontal="center" vertical="top"/>
    </xf>
    <xf numFmtId="0" fontId="4" fillId="14" borderId="0" xfId="0" applyFont="1" applyFill="1" applyAlignment="1">
      <alignment vertical="top" wrapText="1"/>
    </xf>
    <xf numFmtId="0" fontId="4" fillId="9" borderId="0" xfId="0" applyFont="1" applyFill="1" applyAlignment="1">
      <alignment vertical="top" wrapText="1"/>
    </xf>
    <xf numFmtId="0" fontId="2" fillId="6" borderId="25" xfId="0" applyFont="1" applyFill="1" applyBorder="1">
      <alignment vertical="center"/>
    </xf>
    <xf numFmtId="0" fontId="2" fillId="6" borderId="26" xfId="0" applyFont="1" applyFill="1" applyBorder="1">
      <alignment vertical="center"/>
    </xf>
    <xf numFmtId="0" fontId="2" fillId="6" borderId="19" xfId="0" applyFont="1" applyFill="1" applyBorder="1">
      <alignment vertical="center"/>
    </xf>
    <xf numFmtId="0" fontId="8" fillId="2" borderId="0" xfId="0" applyFont="1" applyFill="1" applyBorder="1">
      <alignment vertical="center"/>
    </xf>
    <xf numFmtId="0" fontId="18" fillId="0" borderId="24" xfId="0" applyFont="1" applyBorder="1" applyAlignment="1">
      <alignment horizontal="center" vertical="top"/>
    </xf>
    <xf numFmtId="0" fontId="18" fillId="0" borderId="25" xfId="0" applyFont="1" applyBorder="1" applyAlignment="1">
      <alignment horizontal="center" vertical="top"/>
    </xf>
    <xf numFmtId="0" fontId="30" fillId="8" borderId="25" xfId="0" applyFont="1" applyFill="1" applyBorder="1">
      <alignment vertical="center"/>
    </xf>
    <xf numFmtId="0" fontId="30" fillId="8" borderId="26" xfId="0" applyFont="1" applyFill="1" applyBorder="1">
      <alignment vertical="center"/>
    </xf>
    <xf numFmtId="0" fontId="30" fillId="8" borderId="19" xfId="0" applyFont="1" applyFill="1" applyBorder="1">
      <alignment vertical="center"/>
    </xf>
    <xf numFmtId="0" fontId="71" fillId="0" borderId="0" xfId="0" applyFont="1">
      <alignment vertical="center"/>
    </xf>
    <xf numFmtId="0" fontId="27" fillId="0" borderId="27" xfId="0" applyFont="1" applyFill="1" applyBorder="1">
      <alignment vertical="center"/>
    </xf>
    <xf numFmtId="0" fontId="72" fillId="0" borderId="0" xfId="0" applyFont="1">
      <alignment vertical="center"/>
    </xf>
    <xf numFmtId="0" fontId="18" fillId="17" borderId="7" xfId="0" applyFont="1" applyFill="1" applyBorder="1">
      <alignment vertical="center"/>
    </xf>
    <xf numFmtId="0" fontId="18" fillId="17" borderId="0" xfId="0" applyFont="1" applyFill="1">
      <alignment vertical="center"/>
    </xf>
    <xf numFmtId="1" fontId="18" fillId="17" borderId="0" xfId="0" applyNumberFormat="1" applyFont="1" applyFill="1" applyAlignment="1">
      <alignment horizontal="center" vertical="center"/>
    </xf>
    <xf numFmtId="0" fontId="40" fillId="2" borderId="10" xfId="0" applyFont="1" applyFill="1" applyBorder="1" applyAlignment="1">
      <alignment horizontal="center" vertical="center"/>
    </xf>
    <xf numFmtId="0" fontId="38" fillId="0" borderId="0" xfId="0" applyFont="1" applyFill="1" applyBorder="1">
      <alignment vertical="center"/>
    </xf>
    <xf numFmtId="0" fontId="73" fillId="0" borderId="0" xfId="0" applyFont="1">
      <alignment vertical="center"/>
    </xf>
    <xf numFmtId="0" fontId="14" fillId="0" borderId="0" xfId="0" applyFont="1" applyFill="1" applyBorder="1" applyAlignment="1">
      <alignment horizontal="center" vertical="top"/>
    </xf>
    <xf numFmtId="0" fontId="18" fillId="0" borderId="24" xfId="0" applyFont="1" applyFill="1" applyBorder="1" applyAlignment="1">
      <alignment horizontal="center" vertical="top"/>
    </xf>
    <xf numFmtId="0" fontId="18" fillId="0" borderId="17" xfId="0" applyFont="1" applyFill="1" applyBorder="1" applyAlignment="1">
      <alignment vertical="top"/>
    </xf>
    <xf numFmtId="0" fontId="18" fillId="0" borderId="17" xfId="0" applyFont="1" applyFill="1" applyBorder="1" applyAlignment="1">
      <alignment vertical="top" wrapText="1"/>
    </xf>
    <xf numFmtId="0" fontId="18" fillId="0" borderId="17" xfId="0" applyFont="1" applyFill="1" applyBorder="1" applyAlignment="1">
      <alignment horizontal="center" vertical="top" wrapText="1"/>
    </xf>
    <xf numFmtId="0" fontId="18" fillId="0" borderId="17" xfId="0" applyFont="1" applyFill="1" applyBorder="1" applyAlignment="1">
      <alignment horizontal="center" vertical="top"/>
    </xf>
    <xf numFmtId="0" fontId="74" fillId="0" borderId="0" xfId="0" applyFont="1">
      <alignment vertical="center"/>
    </xf>
    <xf numFmtId="0" fontId="32" fillId="0" borderId="24" xfId="0" applyFont="1" applyFill="1" applyBorder="1" applyAlignment="1">
      <alignment horizontal="left" vertical="top"/>
    </xf>
    <xf numFmtId="0" fontId="32" fillId="0" borderId="17" xfId="0" applyFont="1" applyFill="1" applyBorder="1" applyAlignment="1">
      <alignment horizontal="left" vertical="top"/>
    </xf>
    <xf numFmtId="0" fontId="0" fillId="0" borderId="0" xfId="0" applyFill="1" applyAlignment="1">
      <alignment vertical="top"/>
    </xf>
    <xf numFmtId="180" fontId="63" fillId="18" borderId="0" xfId="0" applyNumberFormat="1" applyFont="1" applyFill="1">
      <alignment vertical="center"/>
    </xf>
    <xf numFmtId="180" fontId="0" fillId="0" borderId="0" xfId="0" applyNumberFormat="1">
      <alignment vertical="center"/>
    </xf>
    <xf numFmtId="0" fontId="75" fillId="0" borderId="0" xfId="0" applyFont="1">
      <alignment vertical="center"/>
    </xf>
    <xf numFmtId="0" fontId="1" fillId="0" borderId="0" xfId="0" applyFont="1">
      <alignment vertical="center"/>
    </xf>
    <xf numFmtId="0" fontId="0" fillId="0" borderId="28" xfId="0" applyBorder="1" applyAlignment="1">
      <alignment horizontal="left" vertical="top" wrapText="1"/>
    </xf>
    <xf numFmtId="0" fontId="0" fillId="0" borderId="29" xfId="0" applyBorder="1" applyAlignment="1">
      <alignment horizontal="left" vertical="top" wrapText="1"/>
    </xf>
    <xf numFmtId="0" fontId="0" fillId="0" borderId="29" xfId="0" applyBorder="1" applyAlignment="1">
      <alignment vertical="top" wrapText="1"/>
    </xf>
    <xf numFmtId="0" fontId="0" fillId="0" borderId="30" xfId="0" applyBorder="1" applyAlignment="1">
      <alignment horizontal="center" vertical="top" wrapText="1"/>
    </xf>
    <xf numFmtId="0" fontId="0" fillId="0" borderId="31" xfId="0" applyBorder="1" applyAlignment="1">
      <alignment horizontal="left" vertical="top" wrapText="1"/>
    </xf>
    <xf numFmtId="0" fontId="0" fillId="0" borderId="32" xfId="0" applyBorder="1" applyAlignment="1">
      <alignment horizontal="left" vertical="top" wrapText="1"/>
    </xf>
    <xf numFmtId="0" fontId="0" fillId="0" borderId="32" xfId="0" applyBorder="1" applyAlignment="1">
      <alignment vertical="top" wrapText="1"/>
    </xf>
    <xf numFmtId="0" fontId="0" fillId="0" borderId="33" xfId="0" applyBorder="1" applyAlignment="1">
      <alignment horizontal="center" vertical="top" wrapText="1"/>
    </xf>
    <xf numFmtId="0" fontId="0" fillId="0" borderId="34" xfId="0" applyBorder="1" applyAlignment="1">
      <alignment horizontal="left" vertical="top" wrapText="1"/>
    </xf>
    <xf numFmtId="0" fontId="0" fillId="0" borderId="35" xfId="0" applyBorder="1" applyAlignment="1">
      <alignment horizontal="left" vertical="top" wrapText="1"/>
    </xf>
    <xf numFmtId="0" fontId="0" fillId="0" borderId="35" xfId="0" applyBorder="1" applyAlignment="1">
      <alignment vertical="top" wrapText="1"/>
    </xf>
    <xf numFmtId="0" fontId="0" fillId="0" borderId="36" xfId="0" applyBorder="1" applyAlignment="1">
      <alignment horizontal="center" vertical="top" wrapText="1"/>
    </xf>
    <xf numFmtId="193" fontId="0" fillId="0" borderId="29" xfId="0" applyNumberFormat="1" applyBorder="1" applyAlignment="1">
      <alignment horizontal="left" vertical="top" wrapText="1"/>
    </xf>
    <xf numFmtId="193" fontId="0" fillId="0" borderId="32" xfId="0" applyNumberFormat="1" applyBorder="1" applyAlignment="1">
      <alignment horizontal="left" vertical="top" wrapText="1"/>
    </xf>
    <xf numFmtId="193" fontId="0" fillId="0" borderId="35" xfId="0" applyNumberFormat="1" applyBorder="1" applyAlignment="1">
      <alignment horizontal="left" vertical="top" wrapText="1"/>
    </xf>
    <xf numFmtId="193" fontId="0" fillId="0" borderId="0" xfId="0" applyNumberFormat="1" applyAlignment="1">
      <alignment horizontal="left" vertical="center"/>
    </xf>
    <xf numFmtId="0" fontId="32" fillId="0" borderId="0" xfId="0" applyFont="1" applyFill="1" applyAlignment="1">
      <alignment vertical="top"/>
    </xf>
    <xf numFmtId="0" fontId="32" fillId="0" borderId="13" xfId="0" applyFont="1" applyFill="1" applyBorder="1" applyAlignment="1">
      <alignment horizontal="left" vertical="top"/>
    </xf>
    <xf numFmtId="0" fontId="32" fillId="0" borderId="0" xfId="0" applyFont="1" applyFill="1" applyAlignment="1">
      <alignment horizontal="left" vertical="top"/>
    </xf>
    <xf numFmtId="0" fontId="29" fillId="2" borderId="21" xfId="0" applyFont="1" applyFill="1" applyBorder="1" applyAlignment="1">
      <alignment horizontal="center" vertical="center"/>
    </xf>
    <xf numFmtId="0" fontId="29" fillId="2" borderId="22" xfId="0" applyFont="1" applyFill="1" applyBorder="1" applyAlignment="1">
      <alignment horizontal="center" vertical="center"/>
    </xf>
    <xf numFmtId="0" fontId="29" fillId="2" borderId="23" xfId="0" applyFont="1" applyFill="1" applyBorder="1" applyAlignment="1">
      <alignment horizontal="center" vertical="center"/>
    </xf>
    <xf numFmtId="191" fontId="18" fillId="0" borderId="17" xfId="0" applyNumberFormat="1" applyFont="1" applyFill="1" applyBorder="1" applyAlignment="1">
      <alignment horizontal="center" vertical="top" wrapText="1"/>
    </xf>
    <xf numFmtId="0" fontId="18" fillId="0" borderId="13" xfId="0" applyFont="1" applyFill="1" applyBorder="1" applyAlignment="1">
      <alignment vertical="top"/>
    </xf>
    <xf numFmtId="0" fontId="18" fillId="0" borderId="25" xfId="0" applyFont="1" applyFill="1" applyBorder="1" applyAlignment="1">
      <alignment horizontal="center" vertical="top"/>
    </xf>
    <xf numFmtId="0" fontId="18" fillId="0" borderId="26" xfId="0" applyFont="1" applyFill="1" applyBorder="1" applyAlignment="1">
      <alignment horizontal="center" vertical="top"/>
    </xf>
    <xf numFmtId="0" fontId="18" fillId="0" borderId="26" xfId="0" applyFont="1" applyFill="1" applyBorder="1" applyAlignment="1">
      <alignment vertical="top"/>
    </xf>
    <xf numFmtId="0" fontId="18" fillId="0" borderId="26" xfId="0" applyFont="1" applyFill="1" applyBorder="1" applyAlignment="1">
      <alignment vertical="top" wrapText="1"/>
    </xf>
    <xf numFmtId="191" fontId="18" fillId="0" borderId="26" xfId="0" applyNumberFormat="1" applyFont="1" applyFill="1" applyBorder="1" applyAlignment="1">
      <alignment horizontal="center" vertical="top" wrapText="1"/>
    </xf>
    <xf numFmtId="0" fontId="18" fillId="0" borderId="26" xfId="0" applyFont="1" applyFill="1" applyBorder="1" applyAlignment="1">
      <alignment horizontal="center" vertical="top" wrapText="1"/>
    </xf>
    <xf numFmtId="0" fontId="18" fillId="0" borderId="19" xfId="0" applyFont="1" applyFill="1" applyBorder="1" applyAlignment="1">
      <alignment vertical="top"/>
    </xf>
    <xf numFmtId="0" fontId="0" fillId="0" borderId="0" xfId="0" applyFill="1" applyAlignment="1">
      <alignment vertical="top" wrapText="1"/>
    </xf>
    <xf numFmtId="191" fontId="0" fillId="0" borderId="0" xfId="0" applyNumberFormat="1" applyFill="1" applyAlignment="1">
      <alignment vertical="top" wrapText="1"/>
    </xf>
    <xf numFmtId="0" fontId="13" fillId="0" borderId="0" xfId="0" applyFont="1" applyFill="1" applyAlignment="1">
      <alignment vertical="top"/>
    </xf>
    <xf numFmtId="0" fontId="28" fillId="0" borderId="21" xfId="0" applyFont="1" applyFill="1" applyBorder="1" applyAlignment="1">
      <alignment vertical="top"/>
    </xf>
    <xf numFmtId="0" fontId="28" fillId="0" borderId="22" xfId="0" applyFont="1" applyFill="1" applyBorder="1" applyAlignment="1">
      <alignment vertical="top"/>
    </xf>
    <xf numFmtId="0" fontId="28" fillId="0" borderId="23" xfId="0" applyFont="1" applyFill="1" applyBorder="1" applyAlignment="1">
      <alignment vertical="top"/>
    </xf>
    <xf numFmtId="0" fontId="18" fillId="0" borderId="24" xfId="0" applyFont="1" applyFill="1" applyBorder="1" applyAlignment="1">
      <alignment vertical="top"/>
    </xf>
    <xf numFmtId="0" fontId="18" fillId="0" borderId="25" xfId="0" applyFont="1" applyFill="1" applyBorder="1" applyAlignment="1">
      <alignment vertical="top"/>
    </xf>
    <xf numFmtId="0" fontId="18" fillId="0" borderId="0" xfId="0" applyFont="1" applyFill="1" applyAlignment="1">
      <alignment vertical="top"/>
    </xf>
    <xf numFmtId="0" fontId="14" fillId="0" borderId="0" xfId="0" applyFont="1" applyFill="1" applyAlignment="1">
      <alignment vertical="top"/>
    </xf>
    <xf numFmtId="0" fontId="8" fillId="2" borderId="17" xfId="0" applyFont="1" applyFill="1" applyBorder="1" applyAlignment="1">
      <alignment horizontal="center" vertical="center"/>
    </xf>
    <xf numFmtId="0" fontId="76" fillId="0" borderId="0" xfId="0" applyFont="1">
      <alignment vertical="center"/>
    </xf>
    <xf numFmtId="0" fontId="13" fillId="0" borderId="0" xfId="0" applyFont="1" applyAlignment="1">
      <alignment horizontal="right" vertical="center"/>
    </xf>
    <xf numFmtId="3" fontId="13" fillId="0" borderId="0" xfId="0" applyNumberFormat="1" applyFont="1" applyAlignment="1">
      <alignment horizontal="right" vertical="center"/>
    </xf>
    <xf numFmtId="3" fontId="30" fillId="0" borderId="0" xfId="0" applyNumberFormat="1" applyFont="1" applyAlignment="1">
      <alignment horizontal="right" vertical="center"/>
    </xf>
    <xf numFmtId="3" fontId="30" fillId="5" borderId="0" xfId="0" applyNumberFormat="1" applyFont="1" applyFill="1" applyAlignment="1">
      <alignment horizontal="right" vertical="center"/>
    </xf>
    <xf numFmtId="0" fontId="77" fillId="0" borderId="0" xfId="0" applyFont="1">
      <alignment vertical="center"/>
    </xf>
    <xf numFmtId="0" fontId="78" fillId="0" borderId="0" xfId="0" applyFont="1">
      <alignment vertical="center"/>
    </xf>
    <xf numFmtId="0" fontId="29" fillId="2" borderId="17" xfId="0" applyFont="1" applyFill="1" applyBorder="1" applyAlignment="1">
      <alignment horizontal="center" vertical="center"/>
    </xf>
    <xf numFmtId="0" fontId="80" fillId="0" borderId="17" xfId="0" applyFont="1" applyFill="1" applyBorder="1" applyAlignment="1">
      <alignment vertical="top"/>
    </xf>
    <xf numFmtId="0" fontId="80" fillId="0" borderId="17" xfId="0" applyFont="1" applyFill="1" applyBorder="1" applyAlignment="1">
      <alignment vertical="top" wrapText="1"/>
    </xf>
    <xf numFmtId="191" fontId="80" fillId="0" borderId="17" xfId="0" applyNumberFormat="1" applyFont="1" applyFill="1" applyBorder="1" applyAlignment="1">
      <alignment vertical="top"/>
    </xf>
    <xf numFmtId="0" fontId="32" fillId="0" borderId="25" xfId="0" applyFont="1" applyFill="1" applyBorder="1" applyAlignment="1">
      <alignment horizontal="left" vertical="top"/>
    </xf>
    <xf numFmtId="0" fontId="32" fillId="0" borderId="26" xfId="0" applyFont="1" applyFill="1" applyBorder="1" applyAlignment="1">
      <alignment horizontal="left" vertical="top"/>
    </xf>
    <xf numFmtId="0" fontId="32" fillId="0" borderId="19" xfId="0" applyFont="1" applyFill="1" applyBorder="1" applyAlignment="1">
      <alignment horizontal="left" vertical="top"/>
    </xf>
    <xf numFmtId="0" fontId="80" fillId="0" borderId="17" xfId="0" applyFont="1" applyFill="1" applyBorder="1" applyAlignment="1">
      <alignment horizontal="center" vertical="top"/>
    </xf>
    <xf numFmtId="0" fontId="26" fillId="0" borderId="17" xfId="0" applyFont="1" applyFill="1" applyBorder="1" applyAlignment="1">
      <alignment horizontal="center" vertical="top"/>
    </xf>
    <xf numFmtId="0" fontId="59" fillId="0" borderId="0" xfId="0" applyFont="1">
      <alignment vertical="center"/>
    </xf>
    <xf numFmtId="0" fontId="82" fillId="0" borderId="0" xfId="0" applyFont="1">
      <alignment vertical="center"/>
    </xf>
    <xf numFmtId="0" fontId="83" fillId="0" borderId="0" xfId="0" applyFont="1">
      <alignment vertical="center"/>
    </xf>
    <xf numFmtId="0" fontId="80" fillId="0" borderId="17" xfId="0" applyFont="1" applyFill="1" applyBorder="1" applyAlignment="1">
      <alignment horizontal="left" vertical="top"/>
    </xf>
    <xf numFmtId="0" fontId="80" fillId="0" borderId="17" xfId="0" applyFont="1" applyFill="1" applyBorder="1" applyAlignment="1">
      <alignment horizontal="left" vertical="top" wrapText="1"/>
    </xf>
    <xf numFmtId="191" fontId="80" fillId="0" borderId="17" xfId="0" applyNumberFormat="1" applyFont="1" applyFill="1" applyBorder="1" applyAlignment="1">
      <alignment horizontal="left" vertical="top" wrapText="1"/>
    </xf>
    <xf numFmtId="191" fontId="80" fillId="0" borderId="17" xfId="0" applyNumberFormat="1" applyFont="1" applyFill="1" applyBorder="1" applyAlignment="1">
      <alignment horizontal="center" vertical="top"/>
    </xf>
    <xf numFmtId="191" fontId="80" fillId="0" borderId="17" xfId="0" applyNumberFormat="1" applyFont="1" applyFill="1" applyBorder="1" applyAlignment="1">
      <alignment vertical="top" wrapText="1"/>
    </xf>
    <xf numFmtId="0" fontId="26" fillId="0" borderId="17" xfId="0" applyFont="1" applyFill="1" applyBorder="1" applyAlignment="1">
      <alignment horizontal="center" vertical="top" wrapText="1"/>
    </xf>
    <xf numFmtId="0" fontId="80" fillId="0" borderId="17" xfId="0" applyFont="1" applyFill="1" applyBorder="1" applyAlignment="1">
      <alignment horizontal="center" vertical="top" wrapText="1"/>
    </xf>
    <xf numFmtId="191" fontId="80" fillId="0" borderId="17" xfId="0" applyNumberFormat="1" applyFont="1" applyFill="1" applyBorder="1" applyAlignment="1">
      <alignment horizontal="center" vertical="top" wrapText="1"/>
    </xf>
    <xf numFmtId="0" fontId="26" fillId="0" borderId="0" xfId="0" applyFont="1" applyFill="1" applyAlignment="1">
      <alignment horizontal="center" vertical="top"/>
    </xf>
    <xf numFmtId="0" fontId="29" fillId="2" borderId="20" xfId="0" applyFont="1" applyFill="1" applyBorder="1">
      <alignment vertical="center"/>
    </xf>
    <xf numFmtId="0" fontId="81" fillId="0" borderId="0" xfId="0" applyFont="1">
      <alignment vertical="center"/>
    </xf>
    <xf numFmtId="0" fontId="81" fillId="4" borderId="0" xfId="0" applyFont="1" applyFill="1">
      <alignment vertical="center"/>
    </xf>
    <xf numFmtId="0" fontId="84" fillId="0" borderId="0" xfId="0" applyFont="1">
      <alignment vertical="center"/>
    </xf>
    <xf numFmtId="0" fontId="2" fillId="3" borderId="0" xfId="0" applyFont="1" applyFill="1">
      <alignment vertical="center"/>
    </xf>
    <xf numFmtId="194" fontId="0" fillId="0" borderId="0" xfId="0" applyNumberFormat="1">
      <alignment vertical="center"/>
    </xf>
    <xf numFmtId="194" fontId="2" fillId="3" borderId="0" xfId="0" applyNumberFormat="1" applyFont="1" applyFill="1">
      <alignment vertical="center"/>
    </xf>
    <xf numFmtId="176" fontId="2" fillId="3" borderId="0" xfId="0" applyNumberFormat="1" applyFont="1" applyFill="1">
      <alignment vertical="center"/>
    </xf>
    <xf numFmtId="0" fontId="79" fillId="0" borderId="0" xfId="0" applyFont="1">
      <alignment vertical="center"/>
    </xf>
    <xf numFmtId="0" fontId="2" fillId="19" borderId="0" xfId="0" applyFont="1" applyFill="1">
      <alignment vertical="center"/>
    </xf>
    <xf numFmtId="194" fontId="0" fillId="0" borderId="17" xfId="0" applyNumberFormat="1" applyBorder="1">
      <alignment vertical="center"/>
    </xf>
    <xf numFmtId="0" fontId="2" fillId="3" borderId="17" xfId="0" applyFont="1" applyFill="1" applyBorder="1">
      <alignment vertical="center"/>
    </xf>
    <xf numFmtId="194" fontId="2" fillId="3" borderId="17" xfId="0" applyNumberFormat="1" applyFont="1" applyFill="1" applyBorder="1">
      <alignment vertical="center"/>
    </xf>
  </cellXfs>
  <cellStyles count="1">
    <cellStyle name="標準" xfId="0" builtinId="0"/>
  </cellStyles>
  <dxfs count="101">
    <dxf>
      <font>
        <color rgb="FF7F7F7F"/>
      </font>
    </dxf>
    <dxf>
      <font>
        <b/>
        <i val="0"/>
        <color rgb="FF7F6000"/>
      </font>
      <fill>
        <patternFill patternType="solid">
          <fgColor indexed="64"/>
          <bgColor rgb="FFFFF2CC"/>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color rgb="FFC55A11"/>
      </font>
      <fill>
        <patternFill patternType="solid">
          <fgColor indexed="64"/>
          <bgColor rgb="FFFCE4D6"/>
        </patternFill>
      </fill>
    </dxf>
    <dxf>
      <font>
        <color rgb="FF1F4E79"/>
      </font>
      <fill>
        <patternFill patternType="solid">
          <fgColor indexed="64"/>
          <bgColor rgb="FFDDEBF7"/>
        </patternFill>
      </fill>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color rgb="FF808080"/>
      </font>
      <fill>
        <patternFill patternType="solid">
          <fgColor indexed="64"/>
          <bgColor rgb="FFF2F2F2"/>
        </patternFill>
      </fill>
    </dxf>
    <dxf>
      <font>
        <color rgb="FF808080"/>
      </font>
      <fill>
        <patternFill patternType="solid">
          <fgColor indexed="64"/>
          <bgColor rgb="FFF2F2F2"/>
        </patternFill>
      </fill>
    </dxf>
    <dxf>
      <fill>
        <patternFill patternType="solid">
          <fgColor indexed="64"/>
          <bgColor rgb="FFFFF2CC"/>
        </patternFill>
      </fill>
    </dxf>
    <dxf>
      <font>
        <color rgb="FF9C0006"/>
      </font>
      <fill>
        <patternFill patternType="solid">
          <fgColor indexed="64"/>
          <bgColor rgb="FFFFC7CE"/>
        </patternFill>
      </fill>
    </dxf>
    <dxf>
      <font>
        <color rgb="FF7F6000"/>
      </font>
      <fill>
        <patternFill patternType="solid">
          <fgColor indexed="64"/>
          <bgColor rgb="FFFFF2CC"/>
        </patternFill>
      </fill>
    </dxf>
    <dxf>
      <font>
        <b/>
        <i val="0"/>
        <color rgb="FF9C0006"/>
      </font>
      <fill>
        <patternFill patternType="solid">
          <fgColor indexed="64"/>
          <bgColor rgb="FFFFC7CE"/>
        </patternFill>
      </fill>
    </dxf>
    <dxf>
      <font>
        <b/>
        <i val="0"/>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font>
      <fill>
        <patternFill patternType="solid">
          <fgColor indexed="64"/>
          <bgColor rgb="FFEDEDED"/>
        </patternFill>
      </fill>
    </dxf>
    <dxf>
      <font>
        <b/>
        <i val="0"/>
      </font>
      <fill>
        <patternFill patternType="solid">
          <fgColor indexed="64"/>
          <bgColor rgb="FFDEEAF6"/>
        </patternFill>
      </fill>
    </dxf>
    <dxf>
      <font>
        <b/>
        <i val="0"/>
      </font>
      <fill>
        <patternFill patternType="solid">
          <fgColor indexed="64"/>
          <bgColor rgb="FFE4DFEC"/>
        </patternFill>
      </fill>
    </dxf>
    <dxf>
      <font>
        <b/>
        <i val="0"/>
      </font>
      <fill>
        <patternFill patternType="solid">
          <fgColor indexed="64"/>
          <bgColor rgb="FFFCE4D6"/>
        </patternFill>
      </fill>
    </dxf>
    <dxf>
      <font>
        <b/>
        <i val="0"/>
      </font>
      <fill>
        <patternFill patternType="solid">
          <fgColor indexed="64"/>
          <bgColor rgb="FFE2EFDA"/>
        </patternFill>
      </fill>
    </dxf>
    <dxf>
      <font>
        <b/>
        <i val="0"/>
      </font>
      <fill>
        <patternFill patternType="solid">
          <fgColor indexed="64"/>
          <bgColor rgb="FFDDEBF7"/>
        </patternFill>
      </fill>
    </dxf>
    <dxf>
      <fill>
        <patternFill patternType="solid">
          <fgColor indexed="64"/>
          <bgColor rgb="FFFFF2CC"/>
        </patternFill>
      </fill>
    </dxf>
    <dxf>
      <font>
        <b/>
        <i val="0"/>
        <color rgb="FF909090"/>
      </font>
      <fill>
        <patternFill patternType="solid">
          <fgColor indexed="64"/>
          <bgColor rgb="FFF2F2F2"/>
        </patternFill>
      </fill>
    </dxf>
    <dxf>
      <font>
        <color rgb="FF7F6000"/>
      </font>
      <fill>
        <patternFill patternType="solid">
          <fgColor indexed="64"/>
          <bgColor rgb="FFFFEB9C"/>
        </patternFill>
      </fill>
    </dxf>
    <dxf>
      <font>
        <b/>
        <i val="0"/>
        <color rgb="FF375623"/>
      </font>
      <fill>
        <patternFill patternType="solid">
          <fgColor indexed="64"/>
          <bgColor rgb="FFC6EFCE"/>
        </patternFill>
      </fill>
    </dxf>
    <dxf>
      <font>
        <b/>
        <i val="0"/>
        <color rgb="FF5B3A8E"/>
      </font>
      <fill>
        <patternFill patternType="solid">
          <fgColor indexed="64"/>
          <bgColor rgb="FFE4DFEC"/>
        </patternFill>
      </fill>
    </dxf>
    <dxf>
      <font>
        <b/>
        <i val="0"/>
        <color rgb="FF7F6000"/>
      </font>
      <fill>
        <patternFill patternType="solid">
          <fgColor indexed="64"/>
          <bgColor rgb="FFFFEB9C"/>
        </patternFill>
      </fill>
    </dxf>
    <dxf>
      <font>
        <b/>
        <i val="0"/>
        <color rgb="FF843C0C"/>
      </font>
      <fill>
        <patternFill patternType="solid">
          <fgColor indexed="64"/>
          <bgColor rgb="FFFCE4D6"/>
        </patternFill>
      </fill>
    </dxf>
    <dxf>
      <font>
        <b/>
        <i val="0"/>
        <color rgb="FF375623"/>
      </font>
      <fill>
        <patternFill patternType="solid">
          <fgColor indexed="64"/>
          <bgColor rgb="FFC6EFCE"/>
        </patternFill>
      </fill>
    </dxf>
    <dxf>
      <font>
        <color rgb="FF9C0006"/>
      </font>
      <fill>
        <patternFill patternType="solid">
          <fgColor indexed="64"/>
          <bgColor rgb="FFFFC7CE"/>
        </patternFill>
      </fill>
    </dxf>
    <dxf>
      <font>
        <b/>
        <i val="0"/>
        <color rgb="FF1F4E79"/>
      </font>
      <fill>
        <patternFill patternType="solid">
          <fgColor indexed="64"/>
          <bgColor rgb="FFDDEBF7"/>
        </patternFill>
      </fill>
    </dxf>
    <dxf>
      <font>
        <b/>
        <i val="0"/>
        <color rgb="FF00695C"/>
      </font>
      <fill>
        <patternFill patternType="solid">
          <fgColor indexed="64"/>
          <bgColor rgb="FFE2EFDA"/>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843C0C"/>
      </font>
      <fill>
        <patternFill patternType="solid">
          <fgColor indexed="64"/>
          <bgColor rgb="FFFCE4D6"/>
        </patternFill>
      </fill>
    </dxf>
    <dxf>
      <font>
        <b/>
        <i val="0"/>
        <color rgb="FF375623"/>
      </font>
      <fill>
        <patternFill patternType="solid">
          <fgColor indexed="64"/>
          <bgColor rgb="FFE2EFDA"/>
        </patternFill>
      </fill>
    </dxf>
    <dxf>
      <font>
        <b/>
        <i val="0"/>
        <color rgb="FF1F4E79"/>
      </font>
    </dxf>
    <dxf>
      <font>
        <color rgb="FF7F7F7F"/>
      </font>
    </dxf>
    <dxf>
      <fill>
        <patternFill patternType="solid">
          <fgColor indexed="64"/>
          <bgColor rgb="FFF2F7FB"/>
        </patternFill>
      </fill>
    </dxf>
    <dxf>
      <fill>
        <patternFill patternType="solid">
          <fgColor indexed="64"/>
          <bgColor rgb="FFFFF2CC"/>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3019</v>
      </c>
    </row>
    <row r="2" spans="1:4">
      <c r="A2" s="49" t="s">
        <v>3020</v>
      </c>
    </row>
    <row r="4" spans="1:4" ht="24" customHeight="1">
      <c r="A4" s="110" t="s">
        <v>3021</v>
      </c>
      <c r="B4" s="111" t="s">
        <v>3022</v>
      </c>
      <c r="C4" s="111" t="s">
        <v>3023</v>
      </c>
      <c r="D4" s="112" t="s">
        <v>3024</v>
      </c>
    </row>
    <row r="5" spans="1:4" ht="300" customHeight="1">
      <c r="A5" s="113" t="s">
        <v>3015</v>
      </c>
      <c r="B5" s="203">
        <v>57</v>
      </c>
      <c r="C5" s="52" t="s">
        <v>3025</v>
      </c>
      <c r="D5" s="205" t="s">
        <v>3029</v>
      </c>
    </row>
    <row r="6" spans="1:4" ht="300" customHeight="1">
      <c r="A6" s="113" t="s">
        <v>3014</v>
      </c>
      <c r="B6" s="203">
        <v>45</v>
      </c>
      <c r="C6" s="52" t="s">
        <v>3026</v>
      </c>
      <c r="D6" s="205" t="s">
        <v>3031</v>
      </c>
    </row>
    <row r="7" spans="1:4" ht="300" customHeight="1">
      <c r="A7" s="114" t="s">
        <v>3027</v>
      </c>
      <c r="B7" s="204">
        <v>130</v>
      </c>
      <c r="C7" s="53" t="s">
        <v>3028</v>
      </c>
      <c r="D7" s="206" t="s">
        <v>3030</v>
      </c>
    </row>
  </sheetData>
  <phoneticPr fontId="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3032</v>
      </c>
    </row>
    <row r="2" spans="1:6">
      <c r="A2" s="3" t="s">
        <v>3033</v>
      </c>
    </row>
    <row r="3" spans="1:6">
      <c r="A3" s="55" t="s">
        <v>3034</v>
      </c>
    </row>
    <row r="5" spans="1:6">
      <c r="A5" s="4" t="s">
        <v>3035</v>
      </c>
    </row>
    <row r="6" spans="1:6">
      <c r="A6" s="20" t="s">
        <v>3036</v>
      </c>
      <c r="B6" s="21" t="s">
        <v>3037</v>
      </c>
      <c r="C6" s="21" t="s">
        <v>3038</v>
      </c>
      <c r="D6" s="22" t="s">
        <v>3039</v>
      </c>
    </row>
    <row r="7" spans="1:6">
      <c r="A7" s="23" t="s">
        <v>3040</v>
      </c>
      <c r="B7" s="224" t="s">
        <v>3041</v>
      </c>
      <c r="C7" s="24" t="s">
        <v>2234</v>
      </c>
      <c r="D7" s="29" t="s">
        <v>3042</v>
      </c>
    </row>
    <row r="8" spans="1:6">
      <c r="A8" s="23" t="s">
        <v>3043</v>
      </c>
      <c r="B8" s="224">
        <v>730</v>
      </c>
      <c r="C8" s="24" t="s">
        <v>3044</v>
      </c>
      <c r="D8" s="29" t="s">
        <v>3045</v>
      </c>
    </row>
    <row r="9" spans="1:6">
      <c r="A9" s="23" t="s">
        <v>3046</v>
      </c>
      <c r="B9" s="224">
        <v>150</v>
      </c>
      <c r="C9" s="24" t="s">
        <v>3047</v>
      </c>
      <c r="D9" s="29" t="s">
        <v>3048</v>
      </c>
    </row>
    <row r="10" spans="1:6">
      <c r="A10" s="23" t="s">
        <v>3049</v>
      </c>
      <c r="B10" s="224">
        <v>1000000</v>
      </c>
      <c r="C10" s="24" t="s">
        <v>3050</v>
      </c>
      <c r="D10" s="29" t="s">
        <v>3051</v>
      </c>
    </row>
    <row r="11" spans="1:6">
      <c r="A11" s="23" t="s">
        <v>3052</v>
      </c>
      <c r="B11" s="224">
        <v>5000000</v>
      </c>
      <c r="C11" s="24" t="s">
        <v>3050</v>
      </c>
      <c r="D11" s="29" t="s">
        <v>3053</v>
      </c>
    </row>
    <row r="12" spans="1:6">
      <c r="A12" s="27" t="s">
        <v>3054</v>
      </c>
      <c r="B12" s="225">
        <v>10000000</v>
      </c>
      <c r="C12" s="28" t="s">
        <v>3050</v>
      </c>
      <c r="D12" s="30" t="s">
        <v>3055</v>
      </c>
    </row>
    <row r="14" spans="1:6">
      <c r="A14" s="4" t="s">
        <v>3056</v>
      </c>
    </row>
    <row r="15" spans="1:6">
      <c r="A15" s="183" t="s">
        <v>1</v>
      </c>
      <c r="B15" s="184" t="s">
        <v>3036</v>
      </c>
      <c r="C15" s="184" t="s">
        <v>3057</v>
      </c>
      <c r="D15" s="184" t="s">
        <v>3038</v>
      </c>
      <c r="E15" s="184" t="s">
        <v>12</v>
      </c>
      <c r="F15" s="185" t="s">
        <v>666</v>
      </c>
    </row>
    <row r="16" spans="1:6">
      <c r="A16" s="23" t="s">
        <v>2976</v>
      </c>
      <c r="B16" s="24" t="s">
        <v>3058</v>
      </c>
      <c r="C16" s="226">
        <v>0.25</v>
      </c>
      <c r="D16" s="24" t="s">
        <v>3059</v>
      </c>
      <c r="E16" s="24" t="s">
        <v>3060</v>
      </c>
      <c r="F16" s="29" t="s">
        <v>3061</v>
      </c>
    </row>
    <row r="17" spans="1:14">
      <c r="A17" s="23" t="s">
        <v>2976</v>
      </c>
      <c r="B17" s="24" t="s">
        <v>3062</v>
      </c>
      <c r="C17" s="226">
        <v>0.17100000000000001</v>
      </c>
      <c r="D17" s="24" t="s">
        <v>3063</v>
      </c>
      <c r="E17" s="24" t="s">
        <v>3060</v>
      </c>
      <c r="F17" s="29" t="s">
        <v>3061</v>
      </c>
    </row>
    <row r="18" spans="1:14">
      <c r="A18" s="23" t="s">
        <v>2976</v>
      </c>
      <c r="B18" s="24" t="s">
        <v>3064</v>
      </c>
      <c r="C18" s="226">
        <v>1500</v>
      </c>
      <c r="D18" s="24" t="s">
        <v>3065</v>
      </c>
      <c r="E18" s="24" t="s">
        <v>3060</v>
      </c>
      <c r="F18" s="29" t="s">
        <v>3061</v>
      </c>
    </row>
    <row r="19" spans="1:14">
      <c r="A19" s="23" t="s">
        <v>2976</v>
      </c>
      <c r="B19" s="24" t="s">
        <v>3066</v>
      </c>
      <c r="C19" s="226">
        <v>1000</v>
      </c>
      <c r="D19" s="24" t="s">
        <v>3065</v>
      </c>
      <c r="E19" s="24" t="s">
        <v>3060</v>
      </c>
      <c r="F19" s="29" t="s">
        <v>3061</v>
      </c>
    </row>
    <row r="20" spans="1:14">
      <c r="A20" s="27" t="s">
        <v>2976</v>
      </c>
      <c r="B20" s="28" t="s">
        <v>3067</v>
      </c>
      <c r="C20" s="227">
        <v>667</v>
      </c>
      <c r="D20" s="28" t="s">
        <v>3065</v>
      </c>
      <c r="E20" s="28" t="s">
        <v>3060</v>
      </c>
      <c r="F20" s="30" t="s">
        <v>3061</v>
      </c>
    </row>
    <row r="21" spans="1:14">
      <c r="A21" s="125" t="s">
        <v>3068</v>
      </c>
    </row>
    <row r="23" spans="1:14">
      <c r="A23" s="4" t="s">
        <v>3069</v>
      </c>
    </row>
    <row r="24" spans="1:14" ht="30" customHeight="1">
      <c r="A24" s="11" t="s">
        <v>1</v>
      </c>
      <c r="B24" s="12" t="s">
        <v>3070</v>
      </c>
      <c r="C24" s="12" t="s">
        <v>3071</v>
      </c>
      <c r="D24" s="12" t="s">
        <v>3072</v>
      </c>
      <c r="E24" s="12" t="s">
        <v>3073</v>
      </c>
      <c r="F24" s="12" t="s">
        <v>3074</v>
      </c>
      <c r="G24" s="12" t="s">
        <v>3075</v>
      </c>
      <c r="H24" s="12" t="s">
        <v>3038</v>
      </c>
      <c r="I24" s="12" t="s">
        <v>3076</v>
      </c>
      <c r="J24" s="12" t="s">
        <v>3077</v>
      </c>
      <c r="K24" s="12" t="s">
        <v>3078</v>
      </c>
      <c r="L24" s="12" t="s">
        <v>3079</v>
      </c>
      <c r="M24" s="13" t="s">
        <v>3080</v>
      </c>
      <c r="N24" s="252" t="s">
        <v>3039</v>
      </c>
    </row>
    <row r="25" spans="1:14">
      <c r="A25" s="213" t="s">
        <v>3081</v>
      </c>
      <c r="B25" s="8" t="s">
        <v>3082</v>
      </c>
      <c r="C25" s="181" t="s">
        <v>3083</v>
      </c>
      <c r="D25" s="181" t="s">
        <v>3084</v>
      </c>
      <c r="E25" s="208">
        <v>2190</v>
      </c>
      <c r="F25" s="208">
        <v>4380</v>
      </c>
      <c r="G25" s="208">
        <v>6570</v>
      </c>
      <c r="H25" s="14" t="s">
        <v>3085</v>
      </c>
      <c r="I25" s="210">
        <v>0.18190000000000001</v>
      </c>
      <c r="J25" s="211">
        <f>E25*$I25</f>
        <v>398.36099999999999</v>
      </c>
      <c r="K25" s="211">
        <f>F25*$I25</f>
        <v>796.72199999999998</v>
      </c>
      <c r="L25" s="211">
        <f>G25*$I25</f>
        <v>1195.0830000000001</v>
      </c>
      <c r="M25" s="16" t="s">
        <v>4642</v>
      </c>
      <c r="N25" t="s">
        <v>4643</v>
      </c>
    </row>
    <row r="26" spans="1:14">
      <c r="A26" s="213" t="s">
        <v>3081</v>
      </c>
      <c r="B26" s="8" t="s">
        <v>3086</v>
      </c>
      <c r="C26" s="181" t="s">
        <v>3087</v>
      </c>
      <c r="D26" s="181" t="s">
        <v>3088</v>
      </c>
      <c r="E26" s="208">
        <v>2190</v>
      </c>
      <c r="F26" s="208">
        <v>6570</v>
      </c>
      <c r="G26" s="208">
        <v>13140</v>
      </c>
      <c r="H26" s="14" t="s">
        <v>3085</v>
      </c>
      <c r="I26" s="210">
        <v>0.18190000000000001</v>
      </c>
      <c r="J26" s="211">
        <f>E26*$I26</f>
        <v>398.36099999999999</v>
      </c>
      <c r="K26" s="211">
        <f>F26*$I26</f>
        <v>1195.0830000000001</v>
      </c>
      <c r="L26" s="211">
        <f>G26*$I26</f>
        <v>2390.1660000000002</v>
      </c>
      <c r="M26" s="16" t="s">
        <v>4642</v>
      </c>
      <c r="N26" t="s">
        <v>4643</v>
      </c>
    </row>
    <row r="27" spans="1:14">
      <c r="A27" s="213" t="s">
        <v>3081</v>
      </c>
      <c r="B27" s="8" t="s">
        <v>3089</v>
      </c>
      <c r="C27" s="181" t="s">
        <v>3090</v>
      </c>
      <c r="D27" s="181" t="s">
        <v>3091</v>
      </c>
      <c r="E27" s="208">
        <v>4380</v>
      </c>
      <c r="F27" s="208">
        <v>4380</v>
      </c>
      <c r="G27" s="208">
        <v>4380</v>
      </c>
      <c r="H27" s="14" t="s">
        <v>3085</v>
      </c>
      <c r="I27" s="210">
        <v>9.0999999999999998E-2</v>
      </c>
      <c r="J27" s="211">
        <f>E27*$I27</f>
        <v>398.58</v>
      </c>
      <c r="K27" s="211">
        <f>F27*$I27</f>
        <v>398.58</v>
      </c>
      <c r="L27" s="211">
        <f>G27*$I27</f>
        <v>398.58</v>
      </c>
      <c r="M27" s="16" t="s">
        <v>4642</v>
      </c>
      <c r="N27" t="s">
        <v>4644</v>
      </c>
    </row>
    <row r="28" spans="1:14">
      <c r="A28" s="213" t="s">
        <v>3081</v>
      </c>
      <c r="B28" s="8" t="s">
        <v>3092</v>
      </c>
      <c r="C28" s="181" t="s">
        <v>3093</v>
      </c>
      <c r="D28" s="181" t="s">
        <v>3094</v>
      </c>
      <c r="E28" s="208">
        <v>1460</v>
      </c>
      <c r="F28" s="208">
        <v>1460</v>
      </c>
      <c r="G28" s="208">
        <v>1460</v>
      </c>
      <c r="H28" s="14" t="s">
        <v>3095</v>
      </c>
      <c r="I28" s="210">
        <v>0.25</v>
      </c>
      <c r="J28" s="211">
        <f>E28*$I28</f>
        <v>365</v>
      </c>
      <c r="K28" s="211">
        <f>F28*$I28</f>
        <v>365</v>
      </c>
      <c r="L28" s="211">
        <f>G28*$I28</f>
        <v>365</v>
      </c>
      <c r="M28" s="16" t="s">
        <v>4645</v>
      </c>
      <c r="N28" t="s">
        <v>4646</v>
      </c>
    </row>
    <row r="29" spans="1:14">
      <c r="A29" s="213" t="s">
        <v>3081</v>
      </c>
      <c r="B29" s="8" t="s">
        <v>3096</v>
      </c>
      <c r="C29" s="181" t="s">
        <v>3097</v>
      </c>
      <c r="D29" s="181" t="s">
        <v>3098</v>
      </c>
      <c r="E29" s="208">
        <v>1642</v>
      </c>
      <c r="F29" s="208">
        <v>3103</v>
      </c>
      <c r="G29" s="208">
        <v>5658</v>
      </c>
      <c r="H29" s="14" t="s">
        <v>3099</v>
      </c>
      <c r="I29" s="210">
        <v>0.17100000000000001</v>
      </c>
      <c r="J29" s="211">
        <f>E29*$I29</f>
        <v>280.78200000000004</v>
      </c>
      <c r="K29" s="211">
        <f>F29*$I29</f>
        <v>530.61300000000006</v>
      </c>
      <c r="L29" s="211">
        <f>G29*$I29</f>
        <v>967.51800000000003</v>
      </c>
      <c r="M29" s="16" t="s">
        <v>4645</v>
      </c>
      <c r="N29" t="s">
        <v>4646</v>
      </c>
    </row>
    <row r="30" spans="1:14">
      <c r="A30" s="275" t="s">
        <v>3081</v>
      </c>
      <c r="B30" s="276" t="s">
        <v>3100</v>
      </c>
      <c r="C30" s="277" t="s">
        <v>3101</v>
      </c>
      <c r="D30" s="277" t="s">
        <v>4844</v>
      </c>
      <c r="E30" s="278">
        <v>1320</v>
      </c>
      <c r="F30" s="278">
        <v>2400</v>
      </c>
      <c r="G30" s="278">
        <v>3840</v>
      </c>
      <c r="H30" s="279" t="s">
        <v>3102</v>
      </c>
      <c r="I30" s="280">
        <v>9.6000000000000002E-2</v>
      </c>
      <c r="J30" s="281">
        <f>E30*$I30</f>
        <v>126.72</v>
      </c>
      <c r="K30" s="281">
        <f>F30*$I30</f>
        <v>230.4</v>
      </c>
      <c r="L30" s="281">
        <f>G30*$I30</f>
        <v>368.64</v>
      </c>
      <c r="M30" s="282" t="s">
        <v>4647</v>
      </c>
      <c r="N30" s="228" t="s">
        <v>4845</v>
      </c>
    </row>
    <row r="31" spans="1:14">
      <c r="A31" s="213" t="s">
        <v>3103</v>
      </c>
      <c r="B31" s="8" t="s">
        <v>3104</v>
      </c>
      <c r="C31" s="181" t="s">
        <v>3105</v>
      </c>
      <c r="D31" s="181" t="s">
        <v>3106</v>
      </c>
      <c r="E31" s="208">
        <v>2190</v>
      </c>
      <c r="F31" s="208">
        <v>2190</v>
      </c>
      <c r="G31" s="208">
        <v>2190</v>
      </c>
      <c r="H31" s="14" t="s">
        <v>3085</v>
      </c>
      <c r="I31" s="210">
        <v>0.66500000000000004</v>
      </c>
      <c r="J31" s="211">
        <f>E31*$I31</f>
        <v>1456.3500000000001</v>
      </c>
      <c r="K31" s="211">
        <f>F31*$I31</f>
        <v>1456.3500000000001</v>
      </c>
      <c r="L31" s="211">
        <f>G31*$I31</f>
        <v>1456.3500000000001</v>
      </c>
      <c r="M31" s="16" t="s">
        <v>4648</v>
      </c>
      <c r="N31" t="s">
        <v>4649</v>
      </c>
    </row>
    <row r="32" spans="1:14">
      <c r="A32" s="213" t="s">
        <v>3103</v>
      </c>
      <c r="B32" s="8" t="s">
        <v>3107</v>
      </c>
      <c r="C32" s="181" t="s">
        <v>3108</v>
      </c>
      <c r="D32" s="181" t="s">
        <v>3106</v>
      </c>
      <c r="E32" s="208">
        <v>2190</v>
      </c>
      <c r="F32" s="208">
        <v>2190</v>
      </c>
      <c r="G32" s="208">
        <v>2190</v>
      </c>
      <c r="H32" s="14" t="s">
        <v>3085</v>
      </c>
      <c r="I32" s="210">
        <v>0.66500000000000004</v>
      </c>
      <c r="J32" s="211">
        <f>E32*$I32</f>
        <v>1456.3500000000001</v>
      </c>
      <c r="K32" s="211">
        <f>F32*$I32</f>
        <v>1456.3500000000001</v>
      </c>
      <c r="L32" s="211">
        <f>G32*$I32</f>
        <v>1456.3500000000001</v>
      </c>
      <c r="M32" s="16" t="s">
        <v>4648</v>
      </c>
      <c r="N32" t="s">
        <v>4649</v>
      </c>
    </row>
    <row r="33" spans="1:14">
      <c r="A33" s="213" t="s">
        <v>3103</v>
      </c>
      <c r="B33" s="8" t="s">
        <v>3109</v>
      </c>
      <c r="C33" s="181" t="s">
        <v>3110</v>
      </c>
      <c r="D33" s="181" t="s">
        <v>3111</v>
      </c>
      <c r="E33" s="208">
        <v>200</v>
      </c>
      <c r="F33" s="208">
        <v>1000</v>
      </c>
      <c r="G33" s="208">
        <v>2000</v>
      </c>
      <c r="H33" s="14" t="s">
        <v>3102</v>
      </c>
      <c r="I33" s="210">
        <v>0.12</v>
      </c>
      <c r="J33" s="211">
        <f>E33*$I33</f>
        <v>24</v>
      </c>
      <c r="K33" s="211">
        <f>F33*$I33</f>
        <v>120</v>
      </c>
      <c r="L33" s="211">
        <f>G33*$I33</f>
        <v>240</v>
      </c>
      <c r="M33" s="16" t="s">
        <v>4648</v>
      </c>
      <c r="N33" t="s">
        <v>4650</v>
      </c>
    </row>
    <row r="34" spans="1:14">
      <c r="A34" s="275" t="s">
        <v>3103</v>
      </c>
      <c r="B34" s="276" t="s">
        <v>3112</v>
      </c>
      <c r="C34" s="277" t="s">
        <v>3113</v>
      </c>
      <c r="D34" s="277" t="s">
        <v>3114</v>
      </c>
      <c r="E34" s="278">
        <v>50000000</v>
      </c>
      <c r="F34" s="278">
        <v>250000000</v>
      </c>
      <c r="G34" s="278">
        <v>500000000</v>
      </c>
      <c r="H34" s="279" t="s">
        <v>4651</v>
      </c>
      <c r="I34" s="280">
        <v>2.3999999999999998E-7</v>
      </c>
      <c r="J34" s="281">
        <f>E34*$I34</f>
        <v>11.999999999999998</v>
      </c>
      <c r="K34" s="281">
        <f>F34*$I34</f>
        <v>59.999999999999993</v>
      </c>
      <c r="L34" s="281">
        <f>G34*$I34</f>
        <v>119.99999999999999</v>
      </c>
      <c r="M34" s="282" t="s">
        <v>4648</v>
      </c>
      <c r="N34" s="228" t="s">
        <v>4652</v>
      </c>
    </row>
    <row r="35" spans="1:14">
      <c r="A35" s="213" t="s">
        <v>3103</v>
      </c>
      <c r="B35" s="8" t="s">
        <v>3116</v>
      </c>
      <c r="C35" s="181" t="s">
        <v>3117</v>
      </c>
      <c r="D35" s="181" t="s">
        <v>3118</v>
      </c>
      <c r="E35" s="208">
        <v>400</v>
      </c>
      <c r="F35" s="208">
        <v>2000</v>
      </c>
      <c r="G35" s="208">
        <v>4000</v>
      </c>
      <c r="H35" s="14" t="s">
        <v>3102</v>
      </c>
      <c r="I35" s="210">
        <v>2.3E-2</v>
      </c>
      <c r="J35" s="211">
        <f>E35*$I35</f>
        <v>9.1999999999999993</v>
      </c>
      <c r="K35" s="211">
        <f>F35*$I35</f>
        <v>46</v>
      </c>
      <c r="L35" s="211">
        <f>G35*$I35</f>
        <v>92</v>
      </c>
      <c r="M35" s="16" t="s">
        <v>4648</v>
      </c>
    </row>
    <row r="36" spans="1:14">
      <c r="A36" s="213" t="s">
        <v>3103</v>
      </c>
      <c r="B36" s="8" t="s">
        <v>3119</v>
      </c>
      <c r="C36" s="181" t="s">
        <v>3120</v>
      </c>
      <c r="D36" s="181" t="s">
        <v>3121</v>
      </c>
      <c r="E36" s="208">
        <v>200</v>
      </c>
      <c r="F36" s="208">
        <v>1000</v>
      </c>
      <c r="G36" s="208">
        <v>2000</v>
      </c>
      <c r="H36" s="14" t="s">
        <v>3102</v>
      </c>
      <c r="I36" s="210">
        <v>0.12</v>
      </c>
      <c r="J36" s="211">
        <f>E36*$I36</f>
        <v>24</v>
      </c>
      <c r="K36" s="211">
        <f>F36*$I36</f>
        <v>120</v>
      </c>
      <c r="L36" s="211">
        <f>G36*$I36</f>
        <v>240</v>
      </c>
      <c r="M36" s="16" t="s">
        <v>4648</v>
      </c>
      <c r="N36" t="s">
        <v>4653</v>
      </c>
    </row>
    <row r="37" spans="1:14">
      <c r="A37" s="213" t="s">
        <v>3122</v>
      </c>
      <c r="B37" s="8" t="s">
        <v>3123</v>
      </c>
      <c r="C37" s="181" t="s">
        <v>3124</v>
      </c>
      <c r="D37" s="181" t="s">
        <v>3125</v>
      </c>
      <c r="E37" s="208">
        <v>1460</v>
      </c>
      <c r="F37" s="208">
        <v>1460</v>
      </c>
      <c r="G37" s="208">
        <v>1460</v>
      </c>
      <c r="H37" s="14" t="s">
        <v>3126</v>
      </c>
      <c r="I37" s="210">
        <v>2.4299999999999999E-2</v>
      </c>
      <c r="J37" s="211">
        <f>E37*$I37</f>
        <v>35.478000000000002</v>
      </c>
      <c r="K37" s="211">
        <f>F37*$I37</f>
        <v>35.478000000000002</v>
      </c>
      <c r="L37" s="211">
        <f>G37*$I37</f>
        <v>35.478000000000002</v>
      </c>
      <c r="M37" s="16" t="s">
        <v>4654</v>
      </c>
      <c r="N37" t="s">
        <v>4655</v>
      </c>
    </row>
    <row r="38" spans="1:14">
      <c r="A38" s="213" t="s">
        <v>3122</v>
      </c>
      <c r="B38" s="8" t="s">
        <v>3127</v>
      </c>
      <c r="C38" s="181" t="s">
        <v>3128</v>
      </c>
      <c r="D38" s="181" t="s">
        <v>3129</v>
      </c>
      <c r="E38" s="208">
        <v>730</v>
      </c>
      <c r="F38" s="208">
        <v>730</v>
      </c>
      <c r="G38" s="208">
        <v>730</v>
      </c>
      <c r="H38" s="14" t="s">
        <v>3130</v>
      </c>
      <c r="I38" s="210">
        <v>2.4299999999999999E-2</v>
      </c>
      <c r="J38" s="211">
        <f>E38*$I38</f>
        <v>17.739000000000001</v>
      </c>
      <c r="K38" s="211">
        <f>F38*$I38</f>
        <v>17.739000000000001</v>
      </c>
      <c r="L38" s="211">
        <f>G38*$I38</f>
        <v>17.739000000000001</v>
      </c>
      <c r="M38" s="16" t="s">
        <v>4654</v>
      </c>
      <c r="N38" t="s">
        <v>4656</v>
      </c>
    </row>
    <row r="39" spans="1:14">
      <c r="A39" s="213" t="s">
        <v>3122</v>
      </c>
      <c r="B39" s="8" t="s">
        <v>3131</v>
      </c>
      <c r="C39" s="181" t="s">
        <v>3132</v>
      </c>
      <c r="D39" s="181" t="s">
        <v>3133</v>
      </c>
      <c r="E39" s="208">
        <v>500</v>
      </c>
      <c r="F39" s="208">
        <v>2500</v>
      </c>
      <c r="G39" s="208">
        <v>5000</v>
      </c>
      <c r="H39" s="14" t="s">
        <v>3134</v>
      </c>
      <c r="I39" s="210">
        <v>0.114</v>
      </c>
      <c r="J39" s="211">
        <f>E39*$I39</f>
        <v>57</v>
      </c>
      <c r="K39" s="211">
        <f>F39*$I39</f>
        <v>285</v>
      </c>
      <c r="L39" s="211">
        <f>G39*$I39</f>
        <v>570</v>
      </c>
      <c r="M39" s="16" t="s">
        <v>4657</v>
      </c>
      <c r="N39" t="s">
        <v>4658</v>
      </c>
    </row>
    <row r="40" spans="1:14">
      <c r="A40" s="213" t="s">
        <v>3122</v>
      </c>
      <c r="B40" s="8" t="s">
        <v>3135</v>
      </c>
      <c r="C40" s="181" t="s">
        <v>3136</v>
      </c>
      <c r="D40" s="181" t="s">
        <v>3137</v>
      </c>
      <c r="E40" s="208">
        <v>10</v>
      </c>
      <c r="F40" s="208">
        <v>50</v>
      </c>
      <c r="G40" s="208">
        <v>100</v>
      </c>
      <c r="H40" s="14" t="s">
        <v>3115</v>
      </c>
      <c r="I40" s="210">
        <v>0.6</v>
      </c>
      <c r="J40" s="211">
        <f>E40*$I40</f>
        <v>6</v>
      </c>
      <c r="K40" s="211">
        <f>F40*$I40</f>
        <v>30</v>
      </c>
      <c r="L40" s="211">
        <f>G40*$I40</f>
        <v>60</v>
      </c>
      <c r="M40" s="16" t="s">
        <v>4659</v>
      </c>
      <c r="N40" t="s">
        <v>4660</v>
      </c>
    </row>
    <row r="41" spans="1:14">
      <c r="A41" s="213" t="s">
        <v>3122</v>
      </c>
      <c r="B41" s="8" t="s">
        <v>3138</v>
      </c>
      <c r="C41" s="181" t="s">
        <v>3139</v>
      </c>
      <c r="D41" s="181" t="s">
        <v>3140</v>
      </c>
      <c r="E41" s="208">
        <v>1460</v>
      </c>
      <c r="F41" s="208">
        <v>1460</v>
      </c>
      <c r="G41" s="208">
        <v>1460</v>
      </c>
      <c r="H41" s="14" t="s">
        <v>3141</v>
      </c>
      <c r="I41" s="210">
        <v>1.4E-2</v>
      </c>
      <c r="J41" s="211">
        <f>E41*$I41</f>
        <v>20.440000000000001</v>
      </c>
      <c r="K41" s="211">
        <f>F41*$I41</f>
        <v>20.440000000000001</v>
      </c>
      <c r="L41" s="211">
        <f>G41*$I41</f>
        <v>20.440000000000001</v>
      </c>
      <c r="M41" s="16" t="s">
        <v>4661</v>
      </c>
    </row>
    <row r="42" spans="1:14">
      <c r="A42" s="213" t="s">
        <v>3122</v>
      </c>
      <c r="B42" s="8" t="s">
        <v>3142</v>
      </c>
      <c r="C42" s="181" t="s">
        <v>3143</v>
      </c>
      <c r="D42" s="181" t="s">
        <v>3144</v>
      </c>
      <c r="E42" s="208">
        <v>7300</v>
      </c>
      <c r="F42" s="208">
        <v>7300</v>
      </c>
      <c r="G42" s="208">
        <v>7300</v>
      </c>
      <c r="H42" s="14" t="s">
        <v>3141</v>
      </c>
      <c r="I42" s="210">
        <v>1.4E-2</v>
      </c>
      <c r="J42" s="211">
        <f>E42*$I42</f>
        <v>102.2</v>
      </c>
      <c r="K42" s="211">
        <f>F42*$I42</f>
        <v>102.2</v>
      </c>
      <c r="L42" s="211">
        <f>G42*$I42</f>
        <v>102.2</v>
      </c>
      <c r="M42" s="16" t="s">
        <v>4661</v>
      </c>
    </row>
    <row r="43" spans="1:14">
      <c r="A43" s="213" t="s">
        <v>3122</v>
      </c>
      <c r="B43" s="8" t="s">
        <v>3145</v>
      </c>
      <c r="C43" s="181" t="s">
        <v>3146</v>
      </c>
      <c r="D43" s="181" t="s">
        <v>3147</v>
      </c>
      <c r="E43" s="208">
        <v>10000000</v>
      </c>
      <c r="F43" s="208">
        <v>50000000</v>
      </c>
      <c r="G43" s="208">
        <v>100000000</v>
      </c>
      <c r="H43" s="14" t="s">
        <v>4662</v>
      </c>
      <c r="I43" s="210">
        <v>3.9999999999999998E-7</v>
      </c>
      <c r="J43" s="211">
        <f>E43*$I43</f>
        <v>4</v>
      </c>
      <c r="K43" s="211">
        <f>F43*$I43</f>
        <v>20</v>
      </c>
      <c r="L43" s="211">
        <f>G43*$I43</f>
        <v>40</v>
      </c>
      <c r="M43" s="16" t="s">
        <v>4663</v>
      </c>
      <c r="N43" t="s">
        <v>4664</v>
      </c>
    </row>
    <row r="44" spans="1:14">
      <c r="A44" s="213" t="s">
        <v>3122</v>
      </c>
      <c r="B44" s="8" t="s">
        <v>3148</v>
      </c>
      <c r="C44" s="181" t="s">
        <v>3149</v>
      </c>
      <c r="D44" s="181" t="s">
        <v>3150</v>
      </c>
      <c r="E44" s="208">
        <v>100</v>
      </c>
      <c r="F44" s="208">
        <v>500</v>
      </c>
      <c r="G44" s="208">
        <v>1000</v>
      </c>
      <c r="H44" s="14" t="s">
        <v>3134</v>
      </c>
      <c r="I44" s="210">
        <v>0.09</v>
      </c>
      <c r="J44" s="211">
        <f>E44*$I44</f>
        <v>9</v>
      </c>
      <c r="K44" s="211">
        <f>F44*$I44</f>
        <v>45</v>
      </c>
      <c r="L44" s="211">
        <f>G44*$I44</f>
        <v>90</v>
      </c>
      <c r="M44" s="16" t="s">
        <v>4642</v>
      </c>
      <c r="N44" t="s">
        <v>4665</v>
      </c>
    </row>
    <row r="45" spans="1:14">
      <c r="A45" s="213" t="s">
        <v>3122</v>
      </c>
      <c r="B45" s="8" t="s">
        <v>3151</v>
      </c>
      <c r="C45" s="181" t="s">
        <v>3152</v>
      </c>
      <c r="D45" s="181" t="s">
        <v>3153</v>
      </c>
      <c r="E45" s="208">
        <v>50</v>
      </c>
      <c r="F45" s="208">
        <v>250</v>
      </c>
      <c r="G45" s="208">
        <v>500</v>
      </c>
      <c r="H45" s="14" t="s">
        <v>3134</v>
      </c>
      <c r="I45" s="210">
        <v>0.114</v>
      </c>
      <c r="J45" s="211">
        <f>E45*$I45</f>
        <v>5.7</v>
      </c>
      <c r="K45" s="211">
        <f>F45*$I45</f>
        <v>28.5</v>
      </c>
      <c r="L45" s="211">
        <f>G45*$I45</f>
        <v>57</v>
      </c>
      <c r="M45" s="16" t="s">
        <v>4642</v>
      </c>
      <c r="N45" t="s">
        <v>4666</v>
      </c>
    </row>
    <row r="46" spans="1:14">
      <c r="A46" s="213" t="s">
        <v>3154</v>
      </c>
      <c r="B46" s="8" t="s">
        <v>3155</v>
      </c>
      <c r="C46" s="181" t="s">
        <v>3156</v>
      </c>
      <c r="D46" s="181" t="s">
        <v>3157</v>
      </c>
      <c r="E46" s="208">
        <v>10000000</v>
      </c>
      <c r="F46" s="208">
        <v>30000000</v>
      </c>
      <c r="G46" s="208">
        <v>50000000</v>
      </c>
      <c r="H46" s="14" t="s">
        <v>4667</v>
      </c>
      <c r="I46" s="210">
        <v>1.9999999999999999E-7</v>
      </c>
      <c r="J46" s="211">
        <f>E46*$I46</f>
        <v>2</v>
      </c>
      <c r="K46" s="211">
        <f>F46*$I46</f>
        <v>6</v>
      </c>
      <c r="L46" s="211">
        <f>G46*$I46</f>
        <v>10</v>
      </c>
      <c r="M46" s="16" t="s">
        <v>4668</v>
      </c>
      <c r="N46" t="s">
        <v>4669</v>
      </c>
    </row>
    <row r="47" spans="1:14">
      <c r="A47" s="213" t="s">
        <v>3154</v>
      </c>
      <c r="B47" s="8" t="s">
        <v>3158</v>
      </c>
      <c r="C47" s="181" t="s">
        <v>3159</v>
      </c>
      <c r="D47" s="181" t="s">
        <v>3160</v>
      </c>
      <c r="E47" s="208">
        <v>5000000</v>
      </c>
      <c r="F47" s="208">
        <v>15000000</v>
      </c>
      <c r="G47" s="208">
        <v>25000000</v>
      </c>
      <c r="H47" s="14" t="s">
        <v>4667</v>
      </c>
      <c r="I47" s="210">
        <v>1.9999999999999999E-7</v>
      </c>
      <c r="J47" s="211">
        <f>E47*$I47</f>
        <v>1</v>
      </c>
      <c r="K47" s="211">
        <f>F47*$I47</f>
        <v>3</v>
      </c>
      <c r="L47" s="211">
        <f>G47*$I47</f>
        <v>5</v>
      </c>
      <c r="M47" s="16" t="s">
        <v>4668</v>
      </c>
      <c r="N47" t="s">
        <v>4670</v>
      </c>
    </row>
    <row r="48" spans="1:14">
      <c r="A48" s="213" t="s">
        <v>3154</v>
      </c>
      <c r="B48" s="8" t="s">
        <v>3161</v>
      </c>
      <c r="C48" s="181" t="s">
        <v>3162</v>
      </c>
      <c r="D48" s="181" t="s">
        <v>3163</v>
      </c>
      <c r="E48" s="208">
        <v>10000000</v>
      </c>
      <c r="F48" s="208">
        <v>30000000</v>
      </c>
      <c r="G48" s="208">
        <v>50000000</v>
      </c>
      <c r="H48" s="14" t="s">
        <v>4667</v>
      </c>
      <c r="I48" s="210">
        <v>1.2899999999999999E-6</v>
      </c>
      <c r="J48" s="211">
        <f>E48*$I48</f>
        <v>12.899999999999999</v>
      </c>
      <c r="K48" s="211">
        <f>F48*$I48</f>
        <v>38.699999999999996</v>
      </c>
      <c r="L48" s="211">
        <f>G48*$I48</f>
        <v>64.5</v>
      </c>
      <c r="M48" s="16" t="s">
        <v>4671</v>
      </c>
      <c r="N48" t="s">
        <v>4672</v>
      </c>
    </row>
    <row r="49" spans="1:14">
      <c r="A49" s="213" t="s">
        <v>3154</v>
      </c>
      <c r="B49" s="8" t="s">
        <v>3164</v>
      </c>
      <c r="C49" s="181" t="s">
        <v>3165</v>
      </c>
      <c r="D49" s="181" t="s">
        <v>3166</v>
      </c>
      <c r="E49" s="208">
        <v>5000000</v>
      </c>
      <c r="F49" s="208">
        <v>15000000</v>
      </c>
      <c r="G49" s="208">
        <v>25000000</v>
      </c>
      <c r="H49" s="14" t="s">
        <v>4673</v>
      </c>
      <c r="I49" s="210">
        <v>9.9999999999999995E-8</v>
      </c>
      <c r="J49" s="211">
        <f>E49*$I49</f>
        <v>0.5</v>
      </c>
      <c r="K49" s="211">
        <f>F49*$I49</f>
        <v>1.5</v>
      </c>
      <c r="L49" s="211">
        <f>G49*$I49</f>
        <v>2.5</v>
      </c>
      <c r="M49" s="16" t="s">
        <v>4674</v>
      </c>
      <c r="N49" t="s">
        <v>4675</v>
      </c>
    </row>
    <row r="50" spans="1:14">
      <c r="A50" s="213" t="s">
        <v>3154</v>
      </c>
      <c r="B50" s="8" t="s">
        <v>3167</v>
      </c>
      <c r="C50" s="181" t="s">
        <v>3168</v>
      </c>
      <c r="D50" s="181" t="s">
        <v>3169</v>
      </c>
      <c r="E50" s="208">
        <v>5000000</v>
      </c>
      <c r="F50" s="208">
        <v>25000000</v>
      </c>
      <c r="G50" s="208">
        <v>50000000</v>
      </c>
      <c r="H50" s="14" t="s">
        <v>4676</v>
      </c>
      <c r="I50" s="210">
        <v>8.8999999999999995E-7</v>
      </c>
      <c r="J50" s="211">
        <f>E50*$I50</f>
        <v>4.45</v>
      </c>
      <c r="K50" s="211">
        <f>F50*$I50</f>
        <v>22.25</v>
      </c>
      <c r="L50" s="211">
        <f>G50*$I50</f>
        <v>44.5</v>
      </c>
      <c r="M50" s="16" t="s">
        <v>4677</v>
      </c>
      <c r="N50" t="s">
        <v>4678</v>
      </c>
    </row>
    <row r="51" spans="1:14">
      <c r="A51" s="213" t="s">
        <v>1532</v>
      </c>
      <c r="B51" s="8" t="s">
        <v>3170</v>
      </c>
      <c r="C51" s="181" t="s">
        <v>3171</v>
      </c>
      <c r="D51" s="181" t="s">
        <v>3172</v>
      </c>
      <c r="E51" s="208">
        <v>10</v>
      </c>
      <c r="F51" s="208">
        <v>10</v>
      </c>
      <c r="G51" s="208">
        <v>10</v>
      </c>
      <c r="H51" s="14" t="s">
        <v>3173</v>
      </c>
      <c r="I51" s="210">
        <v>1</v>
      </c>
      <c r="J51" s="211">
        <f>E51*$I51</f>
        <v>10</v>
      </c>
      <c r="K51" s="211">
        <f>F51*$I51</f>
        <v>10</v>
      </c>
      <c r="L51" s="211">
        <f>G51*$I51</f>
        <v>10</v>
      </c>
      <c r="M51" s="16" t="s">
        <v>4679</v>
      </c>
      <c r="N51" t="s">
        <v>4680</v>
      </c>
    </row>
    <row r="52" spans="1:14">
      <c r="A52" s="213" t="s">
        <v>1532</v>
      </c>
      <c r="B52" s="8" t="s">
        <v>3174</v>
      </c>
      <c r="C52" s="181" t="s">
        <v>3175</v>
      </c>
      <c r="D52" s="181" t="s">
        <v>3176</v>
      </c>
      <c r="E52" s="208">
        <v>30</v>
      </c>
      <c r="F52" s="208">
        <v>30</v>
      </c>
      <c r="G52" s="208">
        <v>30</v>
      </c>
      <c r="H52" s="14" t="s">
        <v>3177</v>
      </c>
      <c r="I52" s="210">
        <v>0.4</v>
      </c>
      <c r="J52" s="211">
        <f>E52*$I52</f>
        <v>12</v>
      </c>
      <c r="K52" s="211">
        <f>F52*$I52</f>
        <v>12</v>
      </c>
      <c r="L52" s="211">
        <f>G52*$I52</f>
        <v>12</v>
      </c>
      <c r="M52" s="16" t="s">
        <v>4681</v>
      </c>
    </row>
    <row r="53" spans="1:14">
      <c r="A53" s="275" t="s">
        <v>1532</v>
      </c>
      <c r="B53" s="276" t="s">
        <v>3178</v>
      </c>
      <c r="C53" s="277" t="s">
        <v>3179</v>
      </c>
      <c r="D53" s="277" t="s">
        <v>3180</v>
      </c>
      <c r="E53" s="278">
        <v>1</v>
      </c>
      <c r="F53" s="278">
        <v>1</v>
      </c>
      <c r="G53" s="278">
        <v>1</v>
      </c>
      <c r="H53" s="279" t="s">
        <v>3181</v>
      </c>
      <c r="I53" s="280">
        <v>400</v>
      </c>
      <c r="J53" s="281">
        <f>E53*$I53</f>
        <v>400</v>
      </c>
      <c r="K53" s="281">
        <f>F53*$I53</f>
        <v>400</v>
      </c>
      <c r="L53" s="281">
        <f>G53*$I53</f>
        <v>400</v>
      </c>
      <c r="M53" s="282" t="s">
        <v>4682</v>
      </c>
      <c r="N53" s="228" t="s">
        <v>4846</v>
      </c>
    </row>
    <row r="54" spans="1:14">
      <c r="A54" s="213" t="s">
        <v>1532</v>
      </c>
      <c r="B54" s="8" t="s">
        <v>3182</v>
      </c>
      <c r="C54" s="181" t="s">
        <v>3183</v>
      </c>
      <c r="D54" s="181" t="s">
        <v>3184</v>
      </c>
      <c r="E54" s="208">
        <v>400</v>
      </c>
      <c r="F54" s="208">
        <v>2000</v>
      </c>
      <c r="G54" s="208">
        <v>4000</v>
      </c>
      <c r="H54" s="14" t="s">
        <v>3102</v>
      </c>
      <c r="I54" s="210">
        <v>0.09</v>
      </c>
      <c r="J54" s="211">
        <f>E54*$I54</f>
        <v>36</v>
      </c>
      <c r="K54" s="211">
        <f>F54*$I54</f>
        <v>180</v>
      </c>
      <c r="L54" s="211">
        <f>G54*$I54</f>
        <v>360</v>
      </c>
      <c r="M54" s="16" t="s">
        <v>4683</v>
      </c>
    </row>
    <row r="55" spans="1:14">
      <c r="A55" s="213" t="s">
        <v>3185</v>
      </c>
      <c r="B55" s="8" t="s">
        <v>3186</v>
      </c>
      <c r="C55" s="181" t="s">
        <v>3187</v>
      </c>
      <c r="D55" s="181" t="s">
        <v>3188</v>
      </c>
      <c r="E55" s="208">
        <v>100</v>
      </c>
      <c r="F55" s="208">
        <v>500</v>
      </c>
      <c r="G55" s="208">
        <v>1000</v>
      </c>
      <c r="H55" s="14" t="s">
        <v>3134</v>
      </c>
      <c r="I55" s="210">
        <v>0.76</v>
      </c>
      <c r="J55" s="211">
        <f>E55*$I55</f>
        <v>76</v>
      </c>
      <c r="K55" s="211">
        <f>F55*$I55</f>
        <v>380</v>
      </c>
      <c r="L55" s="211">
        <f>G55*$I55</f>
        <v>760</v>
      </c>
      <c r="M55" s="16" t="s">
        <v>4684</v>
      </c>
      <c r="N55" t="s">
        <v>4685</v>
      </c>
    </row>
    <row r="56" spans="1:14">
      <c r="A56" s="213" t="s">
        <v>3185</v>
      </c>
      <c r="B56" s="8" t="s">
        <v>3189</v>
      </c>
      <c r="C56" s="181" t="s">
        <v>3190</v>
      </c>
      <c r="D56" s="181" t="s">
        <v>3191</v>
      </c>
      <c r="E56" s="208">
        <v>1460</v>
      </c>
      <c r="F56" s="208">
        <v>2190</v>
      </c>
      <c r="G56" s="208">
        <v>2920</v>
      </c>
      <c r="H56" s="14" t="s">
        <v>3085</v>
      </c>
      <c r="I56" s="210">
        <v>0.16400000000000001</v>
      </c>
      <c r="J56" s="211">
        <f>E56*$I56</f>
        <v>239.44</v>
      </c>
      <c r="K56" s="211">
        <f>F56*$I56</f>
        <v>359.16</v>
      </c>
      <c r="L56" s="211">
        <f>G56*$I56</f>
        <v>478.88</v>
      </c>
      <c r="M56" s="16" t="s">
        <v>4686</v>
      </c>
      <c r="N56" t="s">
        <v>4687</v>
      </c>
    </row>
    <row r="57" spans="1:14">
      <c r="A57" s="213" t="s">
        <v>3185</v>
      </c>
      <c r="B57" s="8" t="s">
        <v>3192</v>
      </c>
      <c r="C57" s="181" t="s">
        <v>3193</v>
      </c>
      <c r="D57" s="181" t="s">
        <v>3194</v>
      </c>
      <c r="E57" s="208">
        <v>5000</v>
      </c>
      <c r="F57" s="208">
        <v>25000</v>
      </c>
      <c r="G57" s="208">
        <v>50000</v>
      </c>
      <c r="H57" s="14" t="s">
        <v>3102</v>
      </c>
      <c r="I57" s="210">
        <v>2E-3</v>
      </c>
      <c r="J57" s="211">
        <f>E57*$I57</f>
        <v>10</v>
      </c>
      <c r="K57" s="211">
        <f>F57*$I57</f>
        <v>50</v>
      </c>
      <c r="L57" s="211">
        <f>G57*$I57</f>
        <v>100</v>
      </c>
      <c r="M57" s="16" t="s">
        <v>4688</v>
      </c>
      <c r="N57" t="s">
        <v>4689</v>
      </c>
    </row>
    <row r="58" spans="1:14">
      <c r="A58" s="213" t="s">
        <v>3185</v>
      </c>
      <c r="B58" s="8" t="s">
        <v>3195</v>
      </c>
      <c r="C58" s="181" t="s">
        <v>3196</v>
      </c>
      <c r="D58" s="181" t="s">
        <v>3197</v>
      </c>
      <c r="E58" s="208">
        <v>100000</v>
      </c>
      <c r="F58" s="208">
        <v>500000</v>
      </c>
      <c r="G58" s="208">
        <v>1000000</v>
      </c>
      <c r="H58" s="14" t="s">
        <v>4690</v>
      </c>
      <c r="I58" s="210">
        <v>1E-4</v>
      </c>
      <c r="J58" s="211">
        <f>E58*$I58</f>
        <v>10</v>
      </c>
      <c r="K58" s="211">
        <f>F58*$I58</f>
        <v>50</v>
      </c>
      <c r="L58" s="211">
        <f>G58*$I58</f>
        <v>100</v>
      </c>
      <c r="M58" s="16" t="s">
        <v>4691</v>
      </c>
      <c r="N58" t="s">
        <v>4692</v>
      </c>
    </row>
    <row r="59" spans="1:14">
      <c r="A59" s="213" t="s">
        <v>3185</v>
      </c>
      <c r="B59" s="8" t="s">
        <v>3198</v>
      </c>
      <c r="C59" s="181" t="s">
        <v>3199</v>
      </c>
      <c r="D59" s="181" t="s">
        <v>3200</v>
      </c>
      <c r="E59" s="208">
        <v>131400</v>
      </c>
      <c r="F59" s="208">
        <v>131400</v>
      </c>
      <c r="G59" s="208">
        <v>131400</v>
      </c>
      <c r="H59" s="14" t="s">
        <v>3201</v>
      </c>
      <c r="I59" s="210">
        <v>1.9E-3</v>
      </c>
      <c r="J59" s="211">
        <f>E59*$I59</f>
        <v>249.66</v>
      </c>
      <c r="K59" s="211">
        <f>F59*$I59</f>
        <v>249.66</v>
      </c>
      <c r="L59" s="211">
        <f>G59*$I59</f>
        <v>249.66</v>
      </c>
      <c r="M59" s="16" t="s">
        <v>4684</v>
      </c>
      <c r="N59" t="s">
        <v>4693</v>
      </c>
    </row>
    <row r="60" spans="1:14">
      <c r="A60" s="51" t="s">
        <v>3202</v>
      </c>
      <c r="B60" s="180"/>
      <c r="C60" s="180"/>
      <c r="D60" s="180"/>
      <c r="E60" s="209"/>
      <c r="F60" s="209"/>
      <c r="G60" s="209"/>
      <c r="H60" s="209"/>
      <c r="I60" s="209"/>
      <c r="J60" s="212">
        <f>SUM(J25:J59)</f>
        <v>6271.2109999999975</v>
      </c>
      <c r="K60" s="212">
        <f>SUM(K25:K59)</f>
        <v>9121.7249999999985</v>
      </c>
      <c r="L60" s="212">
        <f>SUM(L25:L59)</f>
        <v>12879.583999999999</v>
      </c>
      <c r="M60" s="207"/>
      <c r="N60" t="str">
        <f>IF(COUNTBLANK($I$25:$I$59)&gt;0,"⚠ 単価未入力 "&amp;COUNTBLANK($I$25:$I$59)&amp;"件（青字セル）","✓ 全単価が入力済み")</f>
        <v>✓ 全単価が入力済み</v>
      </c>
    </row>
    <row r="62" spans="1:14">
      <c r="A62" s="4" t="s">
        <v>3203</v>
      </c>
    </row>
    <row r="63" spans="1:14">
      <c r="A63" s="20" t="s">
        <v>1</v>
      </c>
      <c r="B63" s="21" t="s">
        <v>2741</v>
      </c>
      <c r="C63" s="21" t="s">
        <v>3077</v>
      </c>
      <c r="D63" s="21" t="s">
        <v>3078</v>
      </c>
      <c r="E63" s="22" t="s">
        <v>3079</v>
      </c>
    </row>
    <row r="64" spans="1:14">
      <c r="A64" s="23" t="s">
        <v>3081</v>
      </c>
      <c r="B64" s="214">
        <f>COUNTIF($A$25:$A$59,$A64)</f>
        <v>6</v>
      </c>
      <c r="C64" s="215">
        <f>SUMIF($A$25:$A$59,$A64,$J$25:$J$59)</f>
        <v>1967.8039999999999</v>
      </c>
      <c r="D64" s="215">
        <f>SUMIF($A$25:$A$59,$A64,$K$25:$K$59)</f>
        <v>3516.3980000000006</v>
      </c>
      <c r="E64" s="216">
        <f>SUMIF($A$25:$A$59,$A64,$L$25:$L$59)</f>
        <v>5684.9870000000001</v>
      </c>
    </row>
    <row r="65" spans="1:6">
      <c r="A65" s="23" t="s">
        <v>3103</v>
      </c>
      <c r="B65" s="214">
        <f>COUNTIF($A$25:$A$59,$A65)</f>
        <v>6</v>
      </c>
      <c r="C65" s="215">
        <f>SUMIF($A$25:$A$59,$A65,$J$25:$J$59)</f>
        <v>2981.9</v>
      </c>
      <c r="D65" s="215">
        <f>SUMIF($A$25:$A$59,$A65,$K$25:$K$59)</f>
        <v>3258.7000000000003</v>
      </c>
      <c r="E65" s="216">
        <f>SUMIF($A$25:$A$59,$A65,$L$25:$L$59)</f>
        <v>3604.7000000000003</v>
      </c>
    </row>
    <row r="66" spans="1:6">
      <c r="A66" s="23" t="s">
        <v>3122</v>
      </c>
      <c r="B66" s="214">
        <f>COUNTIF($A$25:$A$59,$A66)</f>
        <v>9</v>
      </c>
      <c r="C66" s="215">
        <f>SUMIF($A$25:$A$59,$A66,$J$25:$J$59)</f>
        <v>257.55700000000002</v>
      </c>
      <c r="D66" s="215">
        <f>SUMIF($A$25:$A$59,$A66,$K$25:$K$59)</f>
        <v>584.35699999999997</v>
      </c>
      <c r="E66" s="216">
        <f>SUMIF($A$25:$A$59,$A66,$L$25:$L$59)</f>
        <v>992.85700000000008</v>
      </c>
    </row>
    <row r="67" spans="1:6">
      <c r="A67" s="23" t="s">
        <v>3154</v>
      </c>
      <c r="B67" s="214">
        <f>COUNTIF($A$25:$A$59,$A67)</f>
        <v>5</v>
      </c>
      <c r="C67" s="215">
        <f>SUMIF($A$25:$A$59,$A67,$J$25:$J$59)</f>
        <v>20.849999999999998</v>
      </c>
      <c r="D67" s="215">
        <f>SUMIF($A$25:$A$59,$A67,$K$25:$K$59)</f>
        <v>71.449999999999989</v>
      </c>
      <c r="E67" s="216">
        <f>SUMIF($A$25:$A$59,$A67,$L$25:$L$59)</f>
        <v>126.5</v>
      </c>
    </row>
    <row r="68" spans="1:6">
      <c r="A68" s="23" t="s">
        <v>1532</v>
      </c>
      <c r="B68" s="214">
        <f>COUNTIF($A$25:$A$59,$A68)</f>
        <v>4</v>
      </c>
      <c r="C68" s="215">
        <f>SUMIF($A$25:$A$59,$A68,$J$25:$J$59)</f>
        <v>458</v>
      </c>
      <c r="D68" s="215">
        <f>SUMIF($A$25:$A$59,$A68,$K$25:$K$59)</f>
        <v>602</v>
      </c>
      <c r="E68" s="216">
        <f>SUMIF($A$25:$A$59,$A68,$L$25:$L$59)</f>
        <v>782</v>
      </c>
    </row>
    <row r="69" spans="1:6">
      <c r="A69" s="23" t="s">
        <v>3185</v>
      </c>
      <c r="B69" s="214">
        <f>COUNTIF($A$25:$A$59,$A69)</f>
        <v>5</v>
      </c>
      <c r="C69" s="215">
        <f>SUMIF($A$25:$A$59,$A69,$J$25:$J$59)</f>
        <v>585.1</v>
      </c>
      <c r="D69" s="215">
        <f>SUMIF($A$25:$A$59,$A69,$K$25:$K$59)</f>
        <v>1088.8200000000002</v>
      </c>
      <c r="E69" s="216">
        <f>SUMIF($A$25:$A$59,$A69,$L$25:$L$59)</f>
        <v>1688.5400000000002</v>
      </c>
    </row>
    <row r="70" spans="1:6">
      <c r="A70" s="25" t="s">
        <v>7</v>
      </c>
      <c r="B70" s="217">
        <f>SUM(B64:B69)</f>
        <v>35</v>
      </c>
      <c r="C70" s="218">
        <f>SUM(C64:C69)</f>
        <v>6271.2110000000002</v>
      </c>
      <c r="D70" s="218">
        <f>SUM(D64:D69)</f>
        <v>9121.7250000000004</v>
      </c>
      <c r="E70" s="219">
        <f>SUM(E64:E69)</f>
        <v>12879.584000000001</v>
      </c>
      <c r="F70" s="4" t="str">
        <f>IF(B70=COUNTA($B$25:$B$59),"✓ 明細行数と一致","⚠ 不一致")</f>
        <v>✓ 明細行数と一致</v>
      </c>
    </row>
    <row r="72" spans="1:6">
      <c r="A72" s="4" t="s">
        <v>3204</v>
      </c>
    </row>
    <row r="73" spans="1:6">
      <c r="A73" s="20" t="s">
        <v>3036</v>
      </c>
      <c r="B73" s="21" t="s">
        <v>3205</v>
      </c>
      <c r="C73" s="21" t="s">
        <v>3206</v>
      </c>
      <c r="D73" s="21" t="s">
        <v>3207</v>
      </c>
      <c r="E73" s="22" t="s">
        <v>3039</v>
      </c>
    </row>
    <row r="74" spans="1:6">
      <c r="A74" s="23" t="s">
        <v>3208</v>
      </c>
      <c r="B74" s="215">
        <f>J60</f>
        <v>6271.2109999999975</v>
      </c>
      <c r="C74" s="215">
        <f>K60</f>
        <v>9121.7249999999985</v>
      </c>
      <c r="D74" s="215">
        <f>L60</f>
        <v>12879.583999999999</v>
      </c>
      <c r="E74" s="29" t="s">
        <v>3209</v>
      </c>
    </row>
    <row r="75" spans="1:6">
      <c r="A75" s="23" t="s">
        <v>3210</v>
      </c>
      <c r="B75" s="220">
        <f>B74*$B$9</f>
        <v>940681.64999999967</v>
      </c>
      <c r="C75" s="220">
        <f>C74*$B$9</f>
        <v>1368258.7499999998</v>
      </c>
      <c r="D75" s="220">
        <f>D74*$B$9</f>
        <v>1931937.5999999999</v>
      </c>
      <c r="E75" s="29" t="s">
        <v>3211</v>
      </c>
    </row>
    <row r="76" spans="1:6">
      <c r="A76" s="23" t="s">
        <v>3212</v>
      </c>
      <c r="B76" s="221">
        <f>B74*12</f>
        <v>75254.531999999977</v>
      </c>
      <c r="C76" s="221">
        <f>C74*12</f>
        <v>109460.69999999998</v>
      </c>
      <c r="D76" s="221">
        <f>D74*12</f>
        <v>154555.00799999997</v>
      </c>
      <c r="E76" s="29" t="s">
        <v>3213</v>
      </c>
    </row>
    <row r="77" spans="1:6">
      <c r="A77" s="23" t="s">
        <v>3214</v>
      </c>
      <c r="B77" s="221">
        <f>B76*3</f>
        <v>225763.59599999993</v>
      </c>
      <c r="C77" s="221">
        <f>C76*3</f>
        <v>328382.09999999998</v>
      </c>
      <c r="D77" s="221">
        <f>D76*3</f>
        <v>463665.02399999992</v>
      </c>
      <c r="E77" s="29" t="s">
        <v>3215</v>
      </c>
    </row>
    <row r="78" spans="1:6">
      <c r="A78" s="23" t="s">
        <v>3216</v>
      </c>
      <c r="B78" s="220">
        <f>B77*$B$9</f>
        <v>33864539.399999991</v>
      </c>
      <c r="C78" s="220">
        <f>C77*$B$9</f>
        <v>49257315</v>
      </c>
      <c r="D78" s="220">
        <f>D77*$B$9</f>
        <v>69549753.599999994</v>
      </c>
      <c r="E78" s="29"/>
    </row>
    <row r="79" spans="1:6">
      <c r="A79" s="23" t="s">
        <v>3217</v>
      </c>
      <c r="B79" s="222">
        <f>IFERROR(B75/$B$10,0)</f>
        <v>0.9406816499999997</v>
      </c>
      <c r="C79" s="222">
        <f>IFERROR(C75/$B$11,0)</f>
        <v>0.27365174999999997</v>
      </c>
      <c r="D79" s="222">
        <f>IFERROR(D75/$B$12,0)</f>
        <v>0.19319375999999999</v>
      </c>
      <c r="E79" s="29" t="s">
        <v>3218</v>
      </c>
    </row>
    <row r="80" spans="1:6">
      <c r="A80" s="27" t="s">
        <v>3219</v>
      </c>
      <c r="B80" s="223">
        <v>2032</v>
      </c>
      <c r="C80" s="223">
        <v>2032</v>
      </c>
      <c r="D80" s="223">
        <v>2032</v>
      </c>
      <c r="E80" s="30" t="s">
        <v>3220</v>
      </c>
    </row>
    <row r="82" spans="1:1">
      <c r="A82" s="273" t="s">
        <v>4778</v>
      </c>
    </row>
    <row r="83" spans="1:1">
      <c r="A83" s="274" t="s">
        <v>4779</v>
      </c>
    </row>
    <row r="84" spans="1:1">
      <c r="A84" s="274" t="s">
        <v>4780</v>
      </c>
    </row>
    <row r="85" spans="1:1">
      <c r="A85" s="117"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17" t="s">
        <v>4781</v>
      </c>
    </row>
    <row r="87" spans="1:1">
      <c r="A87" s="117" t="s">
        <v>4782</v>
      </c>
    </row>
    <row r="88" spans="1:1">
      <c r="A88" s="117" t="s">
        <v>4783</v>
      </c>
    </row>
  </sheetData>
  <autoFilter ref="A24:M59" xr:uid="{B411B8B0-C590-3C46-80D6-CB350769A192}"/>
  <phoneticPr fontId="3"/>
  <conditionalFormatting sqref="A25:M59">
    <cfRule type="expression" dxfId="100"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5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8" t="s">
        <v>3545</v>
      </c>
    </row>
    <row r="2" spans="1:13">
      <c r="A2" s="49" t="s">
        <v>3546</v>
      </c>
    </row>
    <row r="4" spans="1:13" ht="23">
      <c r="A4" s="119" t="s">
        <v>3547</v>
      </c>
      <c r="E4" s="120" t="s">
        <v>3548</v>
      </c>
      <c r="I4" s="121" t="s">
        <v>3549</v>
      </c>
    </row>
    <row r="5" spans="1:13" ht="61">
      <c r="A5" s="122">
        <f>COUNTIF(進捗一覧!$H$4:$H$337,"確定")+COUNTIF(進捗一覧!$H$4:$H$337,"方向性確定（条件付き）")</f>
        <v>78</v>
      </c>
      <c r="B5" t="s">
        <v>3550</v>
      </c>
      <c r="E5" s="123">
        <f>COUNTIF(進捗一覧!$H$4:$H$337,"検討中")</f>
        <v>75</v>
      </c>
      <c r="F5" t="s">
        <v>3550</v>
      </c>
      <c r="I5" s="124">
        <f>COUNTIF(進捗一覧!$H$4:$H$337,"外部待ち")</f>
        <v>166</v>
      </c>
      <c r="J5" t="s">
        <v>3550</v>
      </c>
    </row>
    <row r="6" spans="1:13">
      <c r="A6" s="125" t="str">
        <f>"うち完全に確定 "&amp;COUNTIF(進捗一覧!$H$4:$H$337,"確定")&amp;"件／推奨値ありで承認待ち "&amp;COUNTIF(進捗一覧!$H$4:$H$337,"方向性確定（条件付き）")&amp;"件"</f>
        <v>うち完全に確定 74件／推奨値ありで承認待ち 4件</v>
      </c>
      <c r="E6" s="125" t="s">
        <v>3551</v>
      </c>
      <c r="I6" s="125" t="s">
        <v>3552</v>
      </c>
    </row>
    <row r="8" spans="1:13">
      <c r="A8" s="4" t="s">
        <v>3553</v>
      </c>
      <c r="E8" s="4" t="s">
        <v>3554</v>
      </c>
    </row>
    <row r="9" spans="1:13" ht="47">
      <c r="A9" s="126">
        <f>COUNTIF(進捗一覧!$H$4:$H$337,"検討中")+COUNTIF(進捗一覧!$H$4:$H$337,"外部待ち")</f>
        <v>241</v>
      </c>
      <c r="B9" s="125" t="str">
        <f>"件（要件定義 "&amp;COUNTIFS(進捗一覧!$A$4:$A$337,"要件定義",進捗一覧!$H$4:$H$337,"検討中")+COUNTIFS(進捗一覧!$A$4:$A$337,"要件定義",進捗一覧!$H$4:$H$337,"外部待ち")&amp;" ＋ 基本設計 "&amp;COUNTIFS(進捗一覧!$A$4:$A$337,"基本設計",進捗一覧!$H$4:$H$337,"検討中")+COUNTIFS(進捗一覧!$A$4:$A$337,"基本設計",進捗一覧!$H$4:$H$337,"外部待ち")&amp;"）／ 全"&amp;COUNTA(進捗一覧!$P$4:$P$337)&amp;"件中"</f>
        <v>件（要件定義 165 ＋ 基本設計 76）／ 全334件中</v>
      </c>
      <c r="E9" s="17" t="s">
        <v>3555</v>
      </c>
      <c r="F9" s="18" t="s">
        <v>3556</v>
      </c>
      <c r="G9" s="18" t="s">
        <v>3557</v>
      </c>
      <c r="H9" s="19" t="s">
        <v>2439</v>
      </c>
    </row>
    <row r="10" spans="1:13">
      <c r="E10" s="23" t="s">
        <v>3558</v>
      </c>
      <c r="F10" s="31">
        <f>COUNTIFS(進捗一覧!$B$4:$B$337,"検証ゲート",進捗一覧!$H$4:$H$337,"検討中")</f>
        <v>3</v>
      </c>
      <c r="G10" s="31" t="str">
        <f>IF(F10=0,"● 充足",IF(F10&lt;=5,"▲ あと少し","× 未充足"))</f>
        <v>▲ あと少し</v>
      </c>
      <c r="H10" s="29" t="s">
        <v>3559</v>
      </c>
    </row>
    <row r="11" spans="1:13">
      <c r="E11" s="23" t="s">
        <v>3560</v>
      </c>
      <c r="F11" s="31">
        <f>COUNTIFS(進捗一覧!$B$4:$B$337,"設計タスク",進捗一覧!$H$4:$H$337,"外部待ち")</f>
        <v>1</v>
      </c>
      <c r="G11" s="31" t="str">
        <f>IF(F11=0,"● 充足",IF(F11&lt;=5,"▲ あと少し","× 未充足"))</f>
        <v>▲ あと少し</v>
      </c>
      <c r="H11" s="29" t="s">
        <v>3561</v>
      </c>
    </row>
    <row r="12" spans="1:13">
      <c r="E12" s="27" t="s">
        <v>3562</v>
      </c>
      <c r="F12" s="127">
        <f>COUNTIFS(進捗一覧!$B$4:$B$337,"顧客確認",進捗一覧!$H$4:$H$337,"外部待ち")+COUNTIFS(進捗一覧!$B$4:$B$337,"機能要件",進捗一覧!$H$4:$H$337,"外部待ち")+COUNTIFS(進捗一覧!$B$4:$B$337,"非機能要件",進捗一覧!$H$4:$H$337,"外部待ち")</f>
        <v>147</v>
      </c>
      <c r="G12" s="127" t="str">
        <f>IF(F12=0,"● 充足",IF(F12&lt;=5,"▲ あと少し","× 未充足"))</f>
        <v>× 未充足</v>
      </c>
      <c r="H12" s="30" t="s">
        <v>3563</v>
      </c>
    </row>
    <row r="14" spans="1:13">
      <c r="A14" s="4" t="s">
        <v>3564</v>
      </c>
      <c r="J14" s="4" t="s">
        <v>3565</v>
      </c>
    </row>
    <row r="15" spans="1:13">
      <c r="A15" s="20" t="s">
        <v>3566</v>
      </c>
      <c r="B15" s="21" t="s">
        <v>2198</v>
      </c>
      <c r="C15" s="21" t="s">
        <v>2199</v>
      </c>
      <c r="D15" s="22" t="s">
        <v>2200</v>
      </c>
      <c r="J15" s="20" t="s">
        <v>2437</v>
      </c>
      <c r="K15" s="21" t="s">
        <v>2198</v>
      </c>
      <c r="L15" s="21" t="s">
        <v>2438</v>
      </c>
      <c r="M15" s="22" t="s">
        <v>2439</v>
      </c>
    </row>
    <row r="16" spans="1:13">
      <c r="A16" s="23" t="s">
        <v>3431</v>
      </c>
      <c r="B16" s="31">
        <f>COUNTIF(進捗一覧!$C$4:$C$337,$A16)</f>
        <v>18</v>
      </c>
      <c r="C16" s="31">
        <f>COUNTIFS(進捗一覧!$C$4:$C$337,$A16,進捗一覧!$H$4:$H$337,"確定")</f>
        <v>5</v>
      </c>
      <c r="D16" s="159">
        <f>COUNTIFS(進捗一覧!$C$4:$C$337,$A16,進捗一覧!$H$4:$H$337,"方向性確定（条件付き）")</f>
        <v>0</v>
      </c>
      <c r="E16">
        <f>COUNTIFS(進捗一覧!$C$4:$C$337,$A16,進捗一覧!$H$4:$H$337,"検討中")</f>
        <v>2</v>
      </c>
      <c r="F16">
        <f>COUNTIFS(進捗一覧!$C$4:$C$337,$A16,進捗一覧!$H$4:$H$337,"外部待ち")</f>
        <v>8</v>
      </c>
      <c r="G16">
        <f>COUNTIFS(進捗一覧!$C$4:$C$337,$A16,進捗一覧!$H$4:$H$337,"対象外")</f>
        <v>3</v>
      </c>
      <c r="J16" s="23" t="s">
        <v>3430</v>
      </c>
      <c r="K16" s="31">
        <f>COUNTIF(進捗一覧!$A$4:$A$337,$J16)</f>
        <v>232</v>
      </c>
      <c r="L16" s="31">
        <f>COUNTIFS(進捗一覧!$A$4:$A$337,$J16,進捗一覧!$H$4:$H$337,"検討中")+COUNTIFS(進捗一覧!$A$4:$A$337,$J16,進捗一覧!$H$4:$H$337,"外部待ち")</f>
        <v>165</v>
      </c>
      <c r="M16" s="29" t="s">
        <v>3567</v>
      </c>
    </row>
    <row r="17" spans="1:14">
      <c r="A17" s="23" t="s">
        <v>3434</v>
      </c>
      <c r="B17" s="31">
        <f>COUNTIF(進捗一覧!$C$4:$C$337,$A17)</f>
        <v>25</v>
      </c>
      <c r="C17" s="31">
        <f>COUNTIFS(進捗一覧!$C$4:$C$337,$A17,進捗一覧!$H$4:$H$337,"確定")</f>
        <v>3</v>
      </c>
      <c r="D17" s="159">
        <f>COUNTIFS(進捗一覧!$C$4:$C$337,$A17,進捗一覧!$H$4:$H$337,"方向性確定（条件付き）")</f>
        <v>0</v>
      </c>
      <c r="E17">
        <f>COUNTIFS(進捗一覧!$C$4:$C$337,$A17,進捗一覧!$H$4:$H$337,"検討中")</f>
        <v>5</v>
      </c>
      <c r="F17">
        <f>COUNTIFS(進捗一覧!$C$4:$C$337,$A17,進捗一覧!$H$4:$H$337,"外部待ち")</f>
        <v>15</v>
      </c>
      <c r="G17">
        <f>COUNTIFS(進捗一覧!$C$4:$C$337,$A17,進捗一覧!$H$4:$H$337,"対象外")</f>
        <v>2</v>
      </c>
      <c r="J17" s="23" t="s">
        <v>3450</v>
      </c>
      <c r="K17" s="31">
        <f>COUNTIF(進捗一覧!$A$4:$A$337,$J17)</f>
        <v>102</v>
      </c>
      <c r="L17" s="31">
        <f>COUNTIFS(進捗一覧!$A$4:$A$337,$J17,進捗一覧!$H$4:$H$337,"検討中")+COUNTIFS(進捗一覧!$A$4:$A$337,$J17,進捗一覧!$H$4:$H$337,"外部待ち")</f>
        <v>76</v>
      </c>
      <c r="M17" s="29" t="s">
        <v>3568</v>
      </c>
    </row>
    <row r="18" spans="1:14">
      <c r="A18" s="23" t="s">
        <v>3436</v>
      </c>
      <c r="B18" s="31">
        <f>COUNTIF(進捗一覧!$C$4:$C$337,$A18)</f>
        <v>14</v>
      </c>
      <c r="C18" s="31">
        <f>COUNTIFS(進捗一覧!$C$4:$C$337,$A18,進捗一覧!$H$4:$H$337,"確定")</f>
        <v>3</v>
      </c>
      <c r="D18" s="159">
        <f>COUNTIFS(進捗一覧!$C$4:$C$337,$A18,進捗一覧!$H$4:$H$337,"方向性確定（条件付き）")</f>
        <v>0</v>
      </c>
      <c r="E18">
        <f>COUNTIFS(進捗一覧!$C$4:$C$337,$A18,進捗一覧!$H$4:$H$337,"検討中")</f>
        <v>1</v>
      </c>
      <c r="F18">
        <f>COUNTIFS(進捗一覧!$C$4:$C$337,$A18,進捗一覧!$H$4:$H$337,"外部待ち")</f>
        <v>10</v>
      </c>
      <c r="G18">
        <f>COUNTIFS(進捗一覧!$C$4:$C$337,$A18,進捗一覧!$H$4:$H$337,"対象外")</f>
        <v>0</v>
      </c>
      <c r="J18" s="25" t="s">
        <v>3464</v>
      </c>
      <c r="K18" s="32">
        <f>SUM(K16:K17)</f>
        <v>334</v>
      </c>
      <c r="L18" s="32">
        <f>SUM(L16:L17)</f>
        <v>241</v>
      </c>
      <c r="M18" s="174"/>
      <c r="N18" s="49" t="str">
        <f>IF(K18=COUNTA(進捗一覧!$P$4:$P$337),"✓ 明細行数と一致","⚠ 不一致")</f>
        <v>✓ 明細行数と一致</v>
      </c>
    </row>
    <row r="19" spans="1:14">
      <c r="A19" s="23" t="s">
        <v>3437</v>
      </c>
      <c r="B19" s="31">
        <f>COUNTIF(進捗一覧!$C$4:$C$337,$A19)</f>
        <v>17</v>
      </c>
      <c r="C19" s="31">
        <f>COUNTIFS(進捗一覧!$C$4:$C$337,$A19,進捗一覧!$H$4:$H$337,"確定")</f>
        <v>1</v>
      </c>
      <c r="D19" s="31">
        <f>COUNTIFS(進捗一覧!$C$4:$C$337,$A19,進捗一覧!$H$4:$H$337,"方向性確定（条件付き）")</f>
        <v>0</v>
      </c>
      <c r="E19" s="164">
        <f>COUNTIFS(進捗一覧!$C$4:$C$337,$A19,進捗一覧!$H$4:$H$337,"検討中")</f>
        <v>1</v>
      </c>
      <c r="F19" s="164">
        <f>COUNTIFS(進捗一覧!$C$4:$C$337,$A19,進捗一覧!$H$4:$H$337,"外部待ち")</f>
        <v>15</v>
      </c>
      <c r="G19" s="164">
        <f>COUNTIFS(進捗一覧!$C$4:$C$337,$A19,進捗一覧!$H$4:$H$337,"対象外")</f>
        <v>0</v>
      </c>
      <c r="H19" s="165"/>
    </row>
    <row r="20" spans="1:14">
      <c r="A20" s="23" t="s">
        <v>3433</v>
      </c>
      <c r="B20" s="31">
        <f>COUNTIF(進捗一覧!$C$4:$C$337,$A20)</f>
        <v>18</v>
      </c>
      <c r="C20" s="31">
        <f>COUNTIFS(進捗一覧!$C$4:$C$337,$A20,進捗一覧!$H$4:$H$337,"確定")</f>
        <v>4</v>
      </c>
      <c r="D20" s="31">
        <f>COUNTIFS(進捗一覧!$C$4:$C$337,$A20,進捗一覧!$H$4:$H$337,"方向性確定（条件付き）")</f>
        <v>0</v>
      </c>
      <c r="E20" s="31">
        <f>COUNTIFS(進捗一覧!$C$4:$C$337,$A20,進捗一覧!$H$4:$H$337,"検討中")</f>
        <v>1</v>
      </c>
      <c r="F20" s="31">
        <f>COUNTIFS(進捗一覧!$C$4:$C$337,$A20,進捗一覧!$H$4:$H$337,"外部待ち")</f>
        <v>9</v>
      </c>
      <c r="G20" s="31">
        <f>COUNTIFS(進捗一覧!$C$4:$C$337,$A20,進捗一覧!$H$4:$H$337,"対象外")</f>
        <v>4</v>
      </c>
      <c r="H20" s="128"/>
    </row>
    <row r="21" spans="1:14">
      <c r="A21" s="23" t="s">
        <v>3438</v>
      </c>
      <c r="B21" s="31">
        <f>COUNTIF(進捗一覧!$C$4:$C$337,$A21)</f>
        <v>27</v>
      </c>
      <c r="C21" s="31">
        <f>COUNTIFS(進捗一覧!$C$4:$C$337,$A21,進捗一覧!$H$4:$H$337,"確定")</f>
        <v>10</v>
      </c>
      <c r="D21" s="31">
        <f>COUNTIFS(進捗一覧!$C$4:$C$337,$A21,進捗一覧!$H$4:$H$337,"方向性確定（条件付き）")</f>
        <v>0</v>
      </c>
      <c r="E21" s="31">
        <f>COUNTIFS(進捗一覧!$C$4:$C$337,$A21,進捗一覧!$H$4:$H$337,"検討中")</f>
        <v>6</v>
      </c>
      <c r="F21" s="31">
        <f>COUNTIFS(進捗一覧!$C$4:$C$337,$A21,進捗一覧!$H$4:$H$337,"外部待ち")</f>
        <v>11</v>
      </c>
      <c r="G21" s="31">
        <f>COUNTIFS(進捗一覧!$C$4:$C$337,$A21,進捗一覧!$H$4:$H$337,"対象外")</f>
        <v>0</v>
      </c>
      <c r="H21" s="128"/>
    </row>
    <row r="22" spans="1:14">
      <c r="A22" s="23" t="s">
        <v>3432</v>
      </c>
      <c r="B22" s="31">
        <f>COUNTIF(進捗一覧!$C$4:$C$337,$A22)</f>
        <v>13</v>
      </c>
      <c r="C22" s="31">
        <f>COUNTIFS(進捗一覧!$C$4:$C$337,$A22,進捗一覧!$H$4:$H$337,"確定")</f>
        <v>3</v>
      </c>
      <c r="D22" s="31">
        <f>COUNTIFS(進捗一覧!$C$4:$C$337,$A22,進捗一覧!$H$4:$H$337,"方向性確定（条件付き）")</f>
        <v>0</v>
      </c>
      <c r="E22" s="31">
        <f>COUNTIFS(進捗一覧!$C$4:$C$337,$A22,進捗一覧!$H$4:$H$337,"検討中")</f>
        <v>1</v>
      </c>
      <c r="F22" s="31">
        <f>COUNTIFS(進捗一覧!$C$4:$C$337,$A22,進捗一覧!$H$4:$H$337,"外部待ち")</f>
        <v>9</v>
      </c>
      <c r="G22" s="31">
        <f>COUNTIFS(進捗一覧!$C$4:$C$337,$A22,進捗一覧!$H$4:$H$337,"対象外")</f>
        <v>0</v>
      </c>
      <c r="H22" s="128"/>
    </row>
    <row r="23" spans="1:14">
      <c r="A23" s="23" t="s">
        <v>3435</v>
      </c>
      <c r="B23" s="31">
        <f>COUNTIF(進捗一覧!$C$4:$C$337,$A23)</f>
        <v>19</v>
      </c>
      <c r="C23" s="31">
        <f>COUNTIFS(進捗一覧!$C$4:$C$337,$A23,進捗一覧!$H$4:$H$337,"確定")</f>
        <v>8</v>
      </c>
      <c r="D23" s="31">
        <f>COUNTIFS(進捗一覧!$C$4:$C$337,$A23,進捗一覧!$H$4:$H$337,"方向性確定（条件付き）")</f>
        <v>1</v>
      </c>
      <c r="E23" s="31">
        <f>COUNTIFS(進捗一覧!$C$4:$C$337,$A23,進捗一覧!$H$4:$H$337,"検討中")</f>
        <v>8</v>
      </c>
      <c r="F23" s="31">
        <f>COUNTIFS(進捗一覧!$C$4:$C$337,$A23,進捗一覧!$H$4:$H$337,"外部待ち")</f>
        <v>2</v>
      </c>
      <c r="G23" s="31">
        <f>COUNTIFS(進捗一覧!$C$4:$C$337,$A23,進捗一覧!$H$4:$H$337,"対象外")</f>
        <v>0</v>
      </c>
      <c r="H23" s="128"/>
    </row>
    <row r="24" spans="1:14">
      <c r="A24" s="23" t="s">
        <v>3452</v>
      </c>
      <c r="B24" s="31">
        <f>COUNTIF(進捗一覧!$C$4:$C$337,$A24)</f>
        <v>13</v>
      </c>
      <c r="C24" s="31">
        <f>COUNTIFS(進捗一覧!$C$4:$C$337,$A24,進捗一覧!$H$4:$H$337,"確定")</f>
        <v>3</v>
      </c>
      <c r="D24" s="31">
        <f>COUNTIFS(進捗一覧!$C$4:$C$337,$A24,進捗一覧!$H$4:$H$337,"方向性確定（条件付き）")</f>
        <v>1</v>
      </c>
      <c r="E24" s="31">
        <f>COUNTIFS(進捗一覧!$C$4:$C$337,$A24,進捗一覧!$H$4:$H$337,"検討中")</f>
        <v>7</v>
      </c>
      <c r="F24" s="31">
        <f>COUNTIFS(進捗一覧!$C$4:$C$337,$A24,進捗一覧!$H$4:$H$337,"外部待ち")</f>
        <v>2</v>
      </c>
      <c r="G24" s="31">
        <f>COUNTIFS(進捗一覧!$C$4:$C$337,$A24,進捗一覧!$H$4:$H$337,"対象外")</f>
        <v>0</v>
      </c>
      <c r="H24" s="128"/>
    </row>
    <row r="25" spans="1:14">
      <c r="A25" s="23" t="s">
        <v>3448</v>
      </c>
      <c r="B25" s="31">
        <f>COUNTIF(進捗一覧!$C$4:$C$337,$A25)</f>
        <v>26</v>
      </c>
      <c r="C25" s="31">
        <f>COUNTIFS(進捗一覧!$C$4:$C$337,$A25,進捗一覧!$H$4:$H$337,"確定")</f>
        <v>4</v>
      </c>
      <c r="D25" s="31">
        <f>COUNTIFS(進捗一覧!$C$4:$C$337,$A25,進捗一覧!$H$4:$H$337,"方向性確定（条件付き）")</f>
        <v>2</v>
      </c>
      <c r="E25" s="31">
        <f>COUNTIFS(進捗一覧!$C$4:$C$337,$A25,進捗一覧!$H$4:$H$337,"検討中")</f>
        <v>8</v>
      </c>
      <c r="F25" s="31">
        <f>COUNTIFS(進捗一覧!$C$4:$C$337,$A25,進捗一覧!$H$4:$H$337,"外部待ち")</f>
        <v>11</v>
      </c>
      <c r="G25" s="31">
        <f>COUNTIFS(進捗一覧!$C$4:$C$337,$A25,進捗一覧!$H$4:$H$337,"対象外")</f>
        <v>1</v>
      </c>
      <c r="H25" s="128" t="s">
        <v>3569</v>
      </c>
    </row>
    <row r="26" spans="1:14">
      <c r="A26" s="23" t="s">
        <v>3443</v>
      </c>
      <c r="B26" s="31">
        <f>COUNTIF(進捗一覧!$C$4:$C$337,$A26)</f>
        <v>23</v>
      </c>
      <c r="C26" s="31">
        <f>COUNTIFS(進捗一覧!$C$4:$C$337,$A26,進捗一覧!$H$4:$H$337,"確定")</f>
        <v>7</v>
      </c>
      <c r="D26" s="31">
        <f>COUNTIFS(進捗一覧!$C$4:$C$337,$A26,進捗一覧!$H$4:$H$337,"方向性確定（条件付き）")</f>
        <v>0</v>
      </c>
      <c r="E26" s="31">
        <f>COUNTIFS(進捗一覧!$C$4:$C$337,$A26,進捗一覧!$H$4:$H$337,"検討中")</f>
        <v>2</v>
      </c>
      <c r="F26" s="31">
        <f>COUNTIFS(進捗一覧!$C$4:$C$337,$A26,進捗一覧!$H$4:$H$337,"外部待ち")</f>
        <v>14</v>
      </c>
      <c r="G26" s="31">
        <f>COUNTIFS(進捗一覧!$C$4:$C$337,$A26,進捗一覧!$H$4:$H$337,"対象外")</f>
        <v>0</v>
      </c>
      <c r="H26" s="128" t="s">
        <v>3570</v>
      </c>
    </row>
    <row r="27" spans="1:14">
      <c r="A27" s="23" t="s">
        <v>3439</v>
      </c>
      <c r="B27" s="31">
        <f>COUNTIF(進捗一覧!$C$4:$C$337,$A27)</f>
        <v>34</v>
      </c>
      <c r="C27" s="31">
        <f>COUNTIFS(進捗一覧!$C$4:$C$337,$A27,進捗一覧!$H$4:$H$337,"確定")</f>
        <v>10</v>
      </c>
      <c r="D27" s="31">
        <f>COUNTIFS(進捗一覧!$C$4:$C$337,$A27,進捗一覧!$H$4:$H$337,"方向性確定（条件付き）")</f>
        <v>0</v>
      </c>
      <c r="E27" s="31">
        <f>COUNTIFS(進捗一覧!$C$4:$C$337,$A27,進捗一覧!$H$4:$H$337,"検討中")</f>
        <v>7</v>
      </c>
      <c r="F27" s="31">
        <f>COUNTIFS(進捗一覧!$C$4:$C$337,$A27,進捗一覧!$H$4:$H$337,"外部待ち")</f>
        <v>16</v>
      </c>
      <c r="G27" s="31">
        <f>COUNTIFS(進捗一覧!$C$4:$C$337,$A27,進捗一覧!$H$4:$H$337,"対象外")</f>
        <v>1</v>
      </c>
      <c r="H27" s="128"/>
    </row>
    <row r="28" spans="1:14">
      <c r="A28" s="23" t="s">
        <v>3445</v>
      </c>
      <c r="B28" s="31">
        <f>COUNTIF(進捗一覧!$C$4:$C$337,$A28)</f>
        <v>29</v>
      </c>
      <c r="C28" s="31">
        <f>COUNTIFS(進捗一覧!$C$4:$C$337,$A28,進捗一覧!$H$4:$H$337,"確定")</f>
        <v>2</v>
      </c>
      <c r="D28" s="31">
        <f>COUNTIFS(進捗一覧!$C$4:$C$337,$A28,進捗一覧!$H$4:$H$337,"方向性確定（条件付き）")</f>
        <v>0</v>
      </c>
      <c r="E28" s="31">
        <f>COUNTIFS(進捗一覧!$C$4:$C$337,$A28,進捗一覧!$H$4:$H$337,"検討中")</f>
        <v>3</v>
      </c>
      <c r="F28" s="31">
        <f>COUNTIFS(進捗一覧!$C$4:$C$337,$A28,進捗一覧!$H$4:$H$337,"外部待ち")</f>
        <v>23</v>
      </c>
      <c r="G28" s="31">
        <f>COUNTIFS(進捗一覧!$C$4:$C$337,$A28,進捗一覧!$H$4:$H$337,"対象外")</f>
        <v>1</v>
      </c>
      <c r="H28" s="128" t="s">
        <v>3571</v>
      </c>
    </row>
    <row r="29" spans="1:14">
      <c r="A29" s="23" t="s">
        <v>3447</v>
      </c>
      <c r="B29" s="31">
        <f>COUNTIF(進捗一覧!$C$4:$C$337,$A29)</f>
        <v>30</v>
      </c>
      <c r="C29" s="31">
        <f>COUNTIFS(進捗一覧!$C$4:$C$337,$A29,進捗一覧!$H$4:$H$337,"確定")</f>
        <v>4</v>
      </c>
      <c r="D29" s="31">
        <f>COUNTIFS(進捗一覧!$C$4:$C$337,$A29,進捗一覧!$H$4:$H$337,"方向性確定（条件付き）")</f>
        <v>0</v>
      </c>
      <c r="E29" s="31">
        <f>COUNTIFS(進捗一覧!$C$4:$C$337,$A29,進捗一覧!$H$4:$H$337,"検討中")</f>
        <v>8</v>
      </c>
      <c r="F29" s="31">
        <f>COUNTIFS(進捗一覧!$C$4:$C$337,$A29,進捗一覧!$H$4:$H$337,"外部待ち")</f>
        <v>17</v>
      </c>
      <c r="G29" s="31">
        <f>COUNTIFS(進捗一覧!$C$4:$C$337,$A29,進捗一覧!$H$4:$H$337,"対象外")</f>
        <v>1</v>
      </c>
      <c r="H29" s="128" t="s">
        <v>3572</v>
      </c>
    </row>
    <row r="30" spans="1:14">
      <c r="A30" s="23" t="s">
        <v>3440</v>
      </c>
      <c r="B30" s="31">
        <f>COUNTIF(進捗一覧!$C$4:$C$337,$A30)</f>
        <v>12</v>
      </c>
      <c r="C30" s="31">
        <f>COUNTIFS(進捗一覧!$C$4:$C$337,$A30,進捗一覧!$H$4:$H$337,"確定")</f>
        <v>4</v>
      </c>
      <c r="D30" s="31">
        <f>COUNTIFS(進捗一覧!$C$4:$C$337,$A30,進捗一覧!$H$4:$H$337,"方向性確定（条件付き）")</f>
        <v>0</v>
      </c>
      <c r="E30" s="31">
        <f>COUNTIFS(進捗一覧!$C$4:$C$337,$A30,進捗一覧!$H$4:$H$337,"検討中")</f>
        <v>7</v>
      </c>
      <c r="F30" s="31">
        <f>COUNTIFS(進捗一覧!$C$4:$C$337,$A30,進捗一覧!$H$4:$H$337,"外部待ち")</f>
        <v>0</v>
      </c>
      <c r="G30" s="31">
        <f>COUNTIFS(進捗一覧!$C$4:$C$337,$A30,進捗一覧!$H$4:$H$337,"対象外")</f>
        <v>1</v>
      </c>
      <c r="H30" s="128" t="s">
        <v>3573</v>
      </c>
    </row>
    <row r="31" spans="1:14">
      <c r="A31" s="23" t="s">
        <v>3442</v>
      </c>
      <c r="B31" s="31">
        <f>COUNTIF(進捗一覧!$C$4:$C$337,$A31)</f>
        <v>7</v>
      </c>
      <c r="C31" s="31">
        <f>COUNTIFS(進捗一覧!$C$4:$C$337,$A31,進捗一覧!$H$4:$H$337,"確定")</f>
        <v>2</v>
      </c>
      <c r="D31" s="31">
        <f>COUNTIFS(進捗一覧!$C$4:$C$337,$A31,進捗一覧!$H$4:$H$337,"方向性確定（条件付き）")</f>
        <v>0</v>
      </c>
      <c r="E31" s="31">
        <f>COUNTIFS(進捗一覧!$C$4:$C$337,$A31,進捗一覧!$H$4:$H$337,"検討中")</f>
        <v>1</v>
      </c>
      <c r="F31" s="31">
        <f>COUNTIFS(進捗一覧!$C$4:$C$337,$A31,進捗一覧!$H$4:$H$337,"外部待ち")</f>
        <v>3</v>
      </c>
      <c r="G31" s="31">
        <f>COUNTIFS(進捗一覧!$C$4:$C$337,$A31,進捗一覧!$H$4:$H$337,"対象外")</f>
        <v>1</v>
      </c>
      <c r="H31" s="128" t="s">
        <v>3574</v>
      </c>
    </row>
    <row r="32" spans="1:14">
      <c r="A32" s="23" t="s">
        <v>3455</v>
      </c>
      <c r="B32" s="31">
        <f>COUNTIF(進捗一覧!$C$4:$C$337,$A32)</f>
        <v>9</v>
      </c>
      <c r="C32" s="31">
        <f>COUNTIFS(進捗一覧!$C$4:$C$337,$A32,進捗一覧!$H$4:$H$337,"確定")</f>
        <v>1</v>
      </c>
      <c r="D32" s="31">
        <f>COUNTIFS(進捗一覧!$C$4:$C$337,$A32,進捗一覧!$H$4:$H$337,"方向性確定（条件付き）")</f>
        <v>0</v>
      </c>
      <c r="E32" s="31">
        <f>COUNTIFS(進捗一覧!$C$4:$C$337,$A32,進捗一覧!$H$4:$H$337,"検討中")</f>
        <v>7</v>
      </c>
      <c r="F32" s="31">
        <f>COUNTIFS(進捗一覧!$C$4:$C$337,$A32,進捗一覧!$H$4:$H$337,"外部待ち")</f>
        <v>1</v>
      </c>
      <c r="G32" s="31">
        <f>COUNTIFS(進捗一覧!$C$4:$C$337,$A32,進捗一覧!$H$4:$H$337,"対象外")</f>
        <v>0</v>
      </c>
      <c r="H32" s="128" t="s">
        <v>3575</v>
      </c>
    </row>
    <row r="33" spans="1:8">
      <c r="A33" s="25" t="s">
        <v>3464</v>
      </c>
      <c r="B33" s="32">
        <f>SUM(B16:B32)</f>
        <v>334</v>
      </c>
      <c r="C33" s="32">
        <f>SUM(C16:C32)</f>
        <v>74</v>
      </c>
      <c r="D33" s="32">
        <f>SUM(D16:D32)</f>
        <v>4</v>
      </c>
      <c r="E33" s="32">
        <f>SUM(E16:E32)</f>
        <v>75</v>
      </c>
      <c r="F33" s="32">
        <f>SUM(F16:F32)</f>
        <v>166</v>
      </c>
      <c r="G33" s="32">
        <f>SUM(G16:G32)</f>
        <v>15</v>
      </c>
      <c r="H33" s="30"/>
    </row>
    <row r="36" spans="1:8">
      <c r="A36" s="4" t="s">
        <v>3576</v>
      </c>
    </row>
    <row r="37" spans="1:8">
      <c r="A37" s="20" t="s">
        <v>3577</v>
      </c>
      <c r="B37" s="21" t="s">
        <v>3578</v>
      </c>
      <c r="C37" s="21" t="s">
        <v>3579</v>
      </c>
      <c r="D37" s="21" t="s">
        <v>3511</v>
      </c>
      <c r="E37" s="22" t="s">
        <v>3580</v>
      </c>
    </row>
    <row r="38" spans="1:8">
      <c r="A38" s="23" t="s">
        <v>3581</v>
      </c>
      <c r="B38" s="192">
        <f>SUM('WBS(基本設計)'!$H$7:$H$456)</f>
        <v>754</v>
      </c>
      <c r="C38" s="24" t="s">
        <v>3582</v>
      </c>
      <c r="D38" s="31">
        <f>COUNTA('WBS(基本設計)'!$A$7:$A$456)</f>
        <v>450</v>
      </c>
      <c r="E38" s="29" t="s">
        <v>6707</v>
      </c>
    </row>
    <row r="39" spans="1:8">
      <c r="A39" s="23" t="s">
        <v>3583</v>
      </c>
      <c r="B39" s="192">
        <f>SUMIFS('WBS(詳細設計_製造)'!$F$6:$F$227,'WBS(詳細設計_製造)'!$B$6:$B$227,"DD*")</f>
        <v>473</v>
      </c>
      <c r="C39" s="24" t="s">
        <v>3584</v>
      </c>
      <c r="D39" s="31">
        <f>COUNTIFS('WBS(詳細設計_製造)'!$B$6:$B$227,"DD*")</f>
        <v>102</v>
      </c>
      <c r="E39" s="29" t="s">
        <v>5957</v>
      </c>
      <c r="F39" s="54" t="s">
        <v>5958</v>
      </c>
    </row>
    <row r="40" spans="1:8">
      <c r="A40" s="23" t="s">
        <v>3585</v>
      </c>
      <c r="B40" s="192">
        <v>743</v>
      </c>
      <c r="C40" s="24" t="s">
        <v>3584</v>
      </c>
      <c r="D40" s="31">
        <v>113</v>
      </c>
      <c r="E40" s="29" t="s">
        <v>5876</v>
      </c>
      <c r="F40" s="54" t="s">
        <v>5959</v>
      </c>
    </row>
    <row r="41" spans="1:8">
      <c r="A41" s="23" t="s">
        <v>3586</v>
      </c>
      <c r="B41" s="192">
        <f>SUMIFS('WBS(テスト)'!$E$6:$E$59,'WBS(テスト)'!$B$6:$B$59,"&lt;&gt;")</f>
        <v>429</v>
      </c>
      <c r="C41" s="24" t="s">
        <v>3587</v>
      </c>
      <c r="D41" s="31">
        <f>COUNTIFS('WBS(テスト)'!$B$6:$B$59,"&lt;&gt;")</f>
        <v>54</v>
      </c>
      <c r="E41" s="29" t="s">
        <v>5647</v>
      </c>
    </row>
    <row r="42" spans="1:8">
      <c r="A42" s="169" t="s">
        <v>3588</v>
      </c>
      <c r="B42" s="193">
        <f>B39+B40+B41</f>
        <v>1645</v>
      </c>
      <c r="C42" s="194" t="s">
        <v>3589</v>
      </c>
      <c r="D42" s="163"/>
      <c r="E42" s="170"/>
    </row>
    <row r="43" spans="1:8">
      <c r="A43" s="25" t="s">
        <v>3590</v>
      </c>
      <c r="B43" s="195">
        <f>B38+B42</f>
        <v>2399</v>
      </c>
      <c r="C43" s="26" t="s">
        <v>3589</v>
      </c>
      <c r="D43" s="32"/>
      <c r="E43" s="174"/>
      <c r="F43" s="49" t="s">
        <v>6531</v>
      </c>
    </row>
    <row r="44" spans="1:8">
      <c r="A44" s="360" t="s">
        <v>7734</v>
      </c>
    </row>
    <row r="45" spans="1:8">
      <c r="A45" s="291" t="s">
        <v>8242</v>
      </c>
    </row>
    <row r="46" spans="1:8">
      <c r="A46" s="361" t="s">
        <v>7593</v>
      </c>
    </row>
    <row r="47" spans="1:8">
      <c r="A47" s="49" t="s">
        <v>7735</v>
      </c>
    </row>
    <row r="48" spans="1:8">
      <c r="A48" t="s">
        <v>8701</v>
      </c>
    </row>
    <row r="49" spans="1:3">
      <c r="A49" s="4" t="s">
        <v>7594</v>
      </c>
    </row>
    <row r="50" spans="1:3">
      <c r="A50" t="s">
        <v>7595</v>
      </c>
      <c r="B50" s="378">
        <v>24</v>
      </c>
      <c r="C50" t="s">
        <v>7596</v>
      </c>
    </row>
    <row r="51" spans="1:3">
      <c r="A51" s="4" t="s">
        <v>7597</v>
      </c>
      <c r="B51" s="4" t="s">
        <v>7598</v>
      </c>
      <c r="C51" s="4" t="s">
        <v>7599</v>
      </c>
    </row>
    <row r="52" spans="1:3">
      <c r="A52">
        <v>2</v>
      </c>
      <c r="B52" s="379">
        <f>$B$38/($B$50*$A52)</f>
        <v>15.708333333333334</v>
      </c>
      <c r="C52" s="379">
        <f>$B$43/($B$50*$A52)</f>
        <v>49.979166666666664</v>
      </c>
    </row>
    <row r="53" spans="1:3">
      <c r="A53">
        <v>3</v>
      </c>
      <c r="B53" s="379">
        <f>$B$38/($B$50*$A53)</f>
        <v>10.472222222222221</v>
      </c>
      <c r="C53" s="379">
        <f>$B$43/($B$50*$A53)</f>
        <v>33.319444444444443</v>
      </c>
    </row>
    <row r="54" spans="1:3">
      <c r="A54">
        <v>4</v>
      </c>
      <c r="B54" s="379">
        <f>$B$38/($B$50*$A54)</f>
        <v>7.854166666666667</v>
      </c>
      <c r="C54" s="379">
        <f>$B$43/($B$50*$A54)</f>
        <v>24.989583333333332</v>
      </c>
    </row>
    <row r="55" spans="1:3">
      <c r="A55" s="242" t="s">
        <v>8600</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K109"/>
  <sheetViews>
    <sheetView topLeftCell="A61" zoomScale="132" workbookViewId="0">
      <selection activeCell="B31" sqref="B31"/>
    </sheetView>
  </sheetViews>
  <sheetFormatPr baseColWidth="10" defaultRowHeight="18"/>
  <cols>
    <col min="1" max="1" width="38.5703125" style="34" customWidth="1"/>
    <col min="2" max="2" width="24.28515625" style="34" customWidth="1"/>
    <col min="3" max="3" width="74.28515625" style="34" customWidth="1"/>
    <col min="4" max="4" width="24.28515625" style="34" customWidth="1"/>
    <col min="5" max="5" width="10.7109375" style="34"/>
    <col min="6" max="7" width="11.42578125" style="34" customWidth="1"/>
    <col min="8" max="16384" width="10.7109375" style="34"/>
  </cols>
  <sheetData>
    <row r="1" spans="1:10" ht="22">
      <c r="A1" s="33" t="s">
        <v>3460</v>
      </c>
    </row>
    <row r="2" spans="1:10">
      <c r="A2" s="35" t="s">
        <v>3461</v>
      </c>
    </row>
    <row r="3" spans="1:10">
      <c r="A3" s="36" t="s">
        <v>3462</v>
      </c>
    </row>
    <row r="5" spans="1:10">
      <c r="A5" s="85" t="s">
        <v>3463</v>
      </c>
    </row>
    <row r="6" spans="1:10">
      <c r="A6" s="59" t="s">
        <v>2204</v>
      </c>
      <c r="B6" s="60" t="s">
        <v>2198</v>
      </c>
      <c r="C6" s="60" t="s">
        <v>2199</v>
      </c>
      <c r="D6" s="60" t="s">
        <v>2200</v>
      </c>
      <c r="E6" s="60" t="s">
        <v>2201</v>
      </c>
      <c r="F6" s="61" t="s">
        <v>2202</v>
      </c>
      <c r="G6" s="148" t="s">
        <v>1072</v>
      </c>
    </row>
    <row r="7" spans="1:10">
      <c r="A7" s="86" t="s">
        <v>2195</v>
      </c>
      <c r="B7" s="87">
        <f>COUNTIF(進捗一覧!$B$4:$B$337,$A7)</f>
        <v>99</v>
      </c>
      <c r="C7" s="87">
        <f>COUNTIFS(進捗一覧!$B$4:$B$337,$A7,進捗一覧!$H$4:$H$337,"確定")</f>
        <v>28</v>
      </c>
      <c r="D7" s="87">
        <f>COUNTIFS(進捗一覧!$B$4:$B$337,$A7,進捗一覧!$H$4:$H$337,"方向性確定（条件付き）")</f>
        <v>1</v>
      </c>
      <c r="E7" s="87">
        <f>COUNTIFS(進捗一覧!$B$4:$B$337,$A7,進捗一覧!$H$4:$H$337,"検討中")</f>
        <v>4</v>
      </c>
      <c r="F7" s="145">
        <f>COUNTIFS(進捗一覧!$B$4:$B$337,$A7,進捗一覧!$H$4:$H$337,"外部待ち")</f>
        <v>59</v>
      </c>
      <c r="G7" s="149">
        <f>COUNTIFS(進捗一覧!$B$4:$B$337,$A7,進捗一覧!$H$4:$H$337,"対象外")</f>
        <v>7</v>
      </c>
    </row>
    <row r="8" spans="1:10">
      <c r="A8" s="86" t="s">
        <v>2196</v>
      </c>
      <c r="B8" s="87">
        <f>COUNTIF(進捗一覧!$B$4:$B$337,$A8)</f>
        <v>99</v>
      </c>
      <c r="C8" s="87">
        <f>COUNTIFS(進捗一覧!$B$4:$B$337,$A8,進捗一覧!$H$4:$H$337,"確定")</f>
        <v>26</v>
      </c>
      <c r="D8" s="87">
        <f>COUNTIFS(進捗一覧!$B$4:$B$337,$A8,進捗一覧!$H$4:$H$337,"方向性確定（条件付き）")</f>
        <v>0</v>
      </c>
      <c r="E8" s="87">
        <f>COUNTIFS(進捗一覧!$B$4:$B$337,$A8,進捗一覧!$H$4:$H$337,"検討中")</f>
        <v>11</v>
      </c>
      <c r="F8" s="145">
        <f>COUNTIFS(進捗一覧!$B$4:$B$337,$A8,進捗一覧!$H$4:$H$337,"外部待ち")</f>
        <v>59</v>
      </c>
      <c r="G8" s="149">
        <f>COUNTIFS(進捗一覧!$B$4:$B$337,$A8,進捗一覧!$H$4:$H$337,"対象外")</f>
        <v>3</v>
      </c>
    </row>
    <row r="9" spans="1:10">
      <c r="A9" s="86" t="s">
        <v>3451</v>
      </c>
      <c r="B9" s="87">
        <f>COUNTIF(進捗一覧!$B$4:$B$337,$A9)</f>
        <v>22</v>
      </c>
      <c r="C9" s="87">
        <f>COUNTIFS(進捗一覧!$B$4:$B$337,$A9,進捗一覧!$H$4:$H$337,"確定")</f>
        <v>9</v>
      </c>
      <c r="D9" s="87">
        <f>COUNTIFS(進捗一覧!$B$4:$B$337,$A9,進捗一覧!$H$4:$H$337,"方向性確定（条件付き）")</f>
        <v>2</v>
      </c>
      <c r="E9" s="87">
        <f>COUNTIFS(進捗一覧!$B$4:$B$337,$A9,進捗一覧!$H$4:$H$337,"検討中")</f>
        <v>1</v>
      </c>
      <c r="F9" s="145">
        <f>COUNTIFS(進捗一覧!$B$4:$B$337,$A9,進捗一覧!$H$4:$H$337,"外部待ち")</f>
        <v>10</v>
      </c>
      <c r="G9" s="149">
        <f>COUNTIFS(進捗一覧!$B$4:$B$337,$A9,進捗一覧!$H$4:$H$337,"対象外")</f>
        <v>0</v>
      </c>
    </row>
    <row r="10" spans="1:10">
      <c r="A10" s="86" t="s">
        <v>3453</v>
      </c>
      <c r="B10" s="87">
        <f>COUNTIF(進捗一覧!$B$4:$B$337,$A10)</f>
        <v>13</v>
      </c>
      <c r="C10" s="87">
        <f>COUNTIFS(進捗一覧!$B$4:$B$337,$A10,進捗一覧!$H$4:$H$337,"確定")</f>
        <v>0</v>
      </c>
      <c r="D10" s="87">
        <f>COUNTIFS(進捗一覧!$B$4:$B$337,$A10,進捗一覧!$H$4:$H$337,"方向性確定（条件付き）")</f>
        <v>1</v>
      </c>
      <c r="E10" s="87">
        <f>COUNTIFS(進捗一覧!$B$4:$B$337,$A10,進捗一覧!$H$4:$H$337,"検討中")</f>
        <v>3</v>
      </c>
      <c r="F10" s="145">
        <f>COUNTIFS(進捗一覧!$B$4:$B$337,$A10,進捗一覧!$H$4:$H$337,"外部待ち")</f>
        <v>8</v>
      </c>
      <c r="G10" s="149">
        <f>COUNTIFS(進捗一覧!$B$4:$B$337,$A10,進捗一覧!$H$4:$H$337,"対象外")</f>
        <v>1</v>
      </c>
    </row>
    <row r="11" spans="1:10">
      <c r="A11" s="86" t="s">
        <v>5885</v>
      </c>
      <c r="B11" s="87">
        <f>COUNTIF(進捗一覧!$B$4:$B$337,$A11)</f>
        <v>0</v>
      </c>
      <c r="C11" s="87">
        <f>COUNTIFS(進捗一覧!$B$4:$B$337,$A11,進捗一覧!$H$4:$H$337,"確定")</f>
        <v>0</v>
      </c>
      <c r="D11" s="87">
        <f>COUNTIFS(進捗一覧!$B$4:$B$337,$A11,進捗一覧!$H$4:$H$337,"方向性確定（条件付き）")</f>
        <v>0</v>
      </c>
      <c r="E11" s="87">
        <f>COUNTIFS(進捗一覧!$B$4:$B$337,$A11,進捗一覧!$H$4:$H$337,"検討中")</f>
        <v>0</v>
      </c>
      <c r="F11" s="145">
        <f>COUNTIFS(進捗一覧!$B$4:$B$337,$A11,進捗一覧!$H$4:$H$337,"外部待ち")</f>
        <v>0</v>
      </c>
      <c r="G11" s="149">
        <f>COUNTIFS(進捗一覧!$B$4:$B$337,$A11,進捗一覧!$H$4:$H$337,"対象外")</f>
        <v>0</v>
      </c>
      <c r="H11" s="292" t="s">
        <v>5886</v>
      </c>
    </row>
    <row r="12" spans="1:10">
      <c r="A12" s="115" t="s">
        <v>3449</v>
      </c>
      <c r="B12" s="89">
        <f>COUNTIF(進捗一覧!$B$4:$B$337,$A12)</f>
        <v>34</v>
      </c>
      <c r="C12" s="89">
        <f>COUNTIFS(進捗一覧!$B$4:$B$337,$A12,進捗一覧!$H$4:$H$337,"確定")</f>
        <v>1</v>
      </c>
      <c r="D12" s="89">
        <f>COUNTIFS(進捗一覧!$B$4:$B$337,$A12,進捗一覧!$H$4:$H$337,"方向性確定（条件付き）")</f>
        <v>0</v>
      </c>
      <c r="E12" s="89">
        <f>COUNTIFS(進捗一覧!$B$4:$B$337,$A12,進捗一覧!$H$4:$H$337,"検討中")</f>
        <v>3</v>
      </c>
      <c r="F12" s="146">
        <f>COUNTIFS(進捗一覧!$B$4:$B$337,$A12,進捗一覧!$H$4:$H$337,"外部待ち")</f>
        <v>29</v>
      </c>
      <c r="G12" s="147">
        <f>COUNTIFS(進捗一覧!$B$4:$B$337,$A12,進捗一覧!$H$4:$H$337,"対象外")</f>
        <v>1</v>
      </c>
    </row>
    <row r="13" spans="1:10">
      <c r="A13" s="88" t="s">
        <v>3464</v>
      </c>
      <c r="B13" s="150">
        <f>SUM(B7:B12)</f>
        <v>267</v>
      </c>
      <c r="C13" s="150">
        <f>SUM(C7:C12)</f>
        <v>64</v>
      </c>
      <c r="D13" s="150">
        <f>SUM(D7:D12)</f>
        <v>4</v>
      </c>
      <c r="E13" s="150">
        <f>SUM(E7:E12)</f>
        <v>22</v>
      </c>
      <c r="F13" s="151">
        <f>SUM(F7:F12)</f>
        <v>165</v>
      </c>
      <c r="G13" s="150">
        <f>SUM(G7:G12)</f>
        <v>12</v>
      </c>
      <c r="H13" s="62" t="str">
        <f>IF(B13=COUNTA(進捗一覧!$P$4:$P$337),"✓ 明細行数と一致","⚠ 不一致")</f>
        <v>⚠ 不一致</v>
      </c>
    </row>
    <row r="15" spans="1:10">
      <c r="A15" s="85" t="s">
        <v>3465</v>
      </c>
      <c r="B15" s="60" t="s">
        <v>3466</v>
      </c>
      <c r="C15" s="60" t="s">
        <v>2205</v>
      </c>
      <c r="D15" s="60" t="s">
        <v>2198</v>
      </c>
      <c r="E15" s="60" t="s">
        <v>2199</v>
      </c>
      <c r="F15" s="60" t="s">
        <v>2200</v>
      </c>
      <c r="G15" s="60" t="s">
        <v>2201</v>
      </c>
      <c r="H15" s="61" t="s">
        <v>2202</v>
      </c>
    </row>
    <row r="16" spans="1:10">
      <c r="A16" s="59" t="s">
        <v>3467</v>
      </c>
      <c r="B16" s="153" t="s">
        <v>2204</v>
      </c>
      <c r="C16" s="153" t="s">
        <v>2205</v>
      </c>
      <c r="D16" s="152" t="s">
        <v>2198</v>
      </c>
      <c r="E16" s="152" t="s">
        <v>2199</v>
      </c>
      <c r="F16" s="152" t="s">
        <v>2200</v>
      </c>
      <c r="G16" s="152" t="s">
        <v>2201</v>
      </c>
      <c r="H16" s="154" t="s">
        <v>2202</v>
      </c>
      <c r="I16" s="34" t="s">
        <v>5882</v>
      </c>
      <c r="J16" s="34" t="s">
        <v>5883</v>
      </c>
    </row>
    <row r="17" spans="1:8">
      <c r="A17" s="86" t="s">
        <v>3468</v>
      </c>
      <c r="B17" s="90" t="s">
        <v>2195</v>
      </c>
      <c r="C17" s="90" t="s">
        <v>2206</v>
      </c>
      <c r="D17" s="91">
        <f>COUNTIFS(進捗一覧!$B$4:$B$337,$B17,進捗一覧!$P$4:$P$337,$C17)</f>
        <v>16</v>
      </c>
      <c r="E17" s="91">
        <f>COUNTIFS(進捗一覧!$B$4:$B$337,$B17,進捗一覧!$P$4:$P$337,$C17,進捗一覧!$H$4:$H$337,"確定")</f>
        <v>5</v>
      </c>
      <c r="F17" s="91">
        <f>COUNTIFS(進捗一覧!$B$4:$B$337,$B17,進捗一覧!$P$4:$P$337,$C17,進捗一覧!$H$4:$H$337,"方向性確定（条件付き）")</f>
        <v>0</v>
      </c>
      <c r="G17" s="91">
        <f>COUNTIFS(進捗一覧!$B$4:$B$337,$B17,進捗一覧!$P$4:$P$337,$C17,進捗一覧!$H$4:$H$337,"検討中")</f>
        <v>0</v>
      </c>
      <c r="H17" s="155">
        <f>COUNTIFS(進捗一覧!$B$4:$B$337,$B17,進捗一覧!$P$4:$P$337,$C17,進捗一覧!$H$4:$H$337,"外部待ち")</f>
        <v>8</v>
      </c>
    </row>
    <row r="18" spans="1:8">
      <c r="A18" s="86" t="s">
        <v>3469</v>
      </c>
      <c r="B18" s="90" t="s">
        <v>2195</v>
      </c>
      <c r="C18" s="90" t="s">
        <v>2207</v>
      </c>
      <c r="D18" s="91">
        <f>COUNTIFS(進捗一覧!$B$4:$B$337,$B18,進捗一覧!$P$4:$P$337,$C18)</f>
        <v>17</v>
      </c>
      <c r="E18" s="91">
        <f>COUNTIFS(進捗一覧!$B$4:$B$337,$B18,進捗一覧!$P$4:$P$337,$C18,進捗一覧!$H$4:$H$337,"確定")</f>
        <v>3</v>
      </c>
      <c r="F18" s="91">
        <f>COUNTIFS(進捗一覧!$B$4:$B$337,$B18,進捗一覧!$P$4:$P$337,$C18,進捗一覧!$H$4:$H$337,"方向性確定（条件付き）")</f>
        <v>0</v>
      </c>
      <c r="G18" s="91">
        <f>COUNTIFS(進捗一覧!$B$4:$B$337,$B18,進捗一覧!$P$4:$P$337,$C18,進捗一覧!$H$4:$H$337,"検討中")</f>
        <v>0</v>
      </c>
      <c r="H18" s="155">
        <f>COUNTIFS(進捗一覧!$B$4:$B$337,$B18,進捗一覧!$P$4:$P$337,$C18,進捗一覧!$H$4:$H$337,"外部待ち")</f>
        <v>14</v>
      </c>
    </row>
    <row r="19" spans="1:8">
      <c r="A19" s="86" t="s">
        <v>3470</v>
      </c>
      <c r="B19" s="90" t="s">
        <v>2195</v>
      </c>
      <c r="C19" s="90" t="s">
        <v>2208</v>
      </c>
      <c r="D19" s="91">
        <f>COUNTIFS(進捗一覧!$B$4:$B$337,$B19,進捗一覧!$P$4:$P$337,$C19)</f>
        <v>11</v>
      </c>
      <c r="E19" s="91">
        <f>COUNTIFS(進捗一覧!$B$4:$B$337,$B19,進捗一覧!$P$4:$P$337,$C19,進捗一覧!$H$4:$H$337,"確定")</f>
        <v>3</v>
      </c>
      <c r="F19" s="91">
        <f>COUNTIFS(進捗一覧!$B$4:$B$337,$B19,進捗一覧!$P$4:$P$337,$C19,進捗一覧!$H$4:$H$337,"方向性確定（条件付き）")</f>
        <v>0</v>
      </c>
      <c r="G19" s="91">
        <f>COUNTIFS(進捗一覧!$B$4:$B$337,$B19,進捗一覧!$P$4:$P$337,$C19,進捗一覧!$H$4:$H$337,"検討中")</f>
        <v>0</v>
      </c>
      <c r="H19" s="155">
        <f>COUNTIFS(進捗一覧!$B$4:$B$337,$B19,進捗一覧!$P$4:$P$337,$C19,進捗一覧!$H$4:$H$337,"外部待ち")</f>
        <v>8</v>
      </c>
    </row>
    <row r="20" spans="1:8">
      <c r="A20" s="86" t="s">
        <v>3471</v>
      </c>
      <c r="B20" s="90" t="s">
        <v>2195</v>
      </c>
      <c r="C20" s="90" t="s">
        <v>2209</v>
      </c>
      <c r="D20" s="91">
        <f>COUNTIFS(進捗一覧!$B$4:$B$337,$B20,進捗一覧!$P$4:$P$337,$C20)</f>
        <v>11</v>
      </c>
      <c r="E20" s="91">
        <f>COUNTIFS(進捗一覧!$B$4:$B$337,$B20,進捗一覧!$P$4:$P$337,$C20,進捗一覧!$H$4:$H$337,"確定")</f>
        <v>1</v>
      </c>
      <c r="F20" s="91">
        <f>COUNTIFS(進捗一覧!$B$4:$B$337,$B20,進捗一覧!$P$4:$P$337,$C20,進捗一覧!$H$4:$H$337,"方向性確定（条件付き）")</f>
        <v>0</v>
      </c>
      <c r="G20" s="91">
        <f>COUNTIFS(進捗一覧!$B$4:$B$337,$B20,進捗一覧!$P$4:$P$337,$C20,進捗一覧!$H$4:$H$337,"検討中")</f>
        <v>0</v>
      </c>
      <c r="H20" s="155">
        <f>COUNTIFS(進捗一覧!$B$4:$B$337,$B20,進捗一覧!$P$4:$P$337,$C20,進捗一覧!$H$4:$H$337,"外部待ち")</f>
        <v>10</v>
      </c>
    </row>
    <row r="21" spans="1:8">
      <c r="A21" s="86" t="s">
        <v>3472</v>
      </c>
      <c r="B21" s="90" t="s">
        <v>2195</v>
      </c>
      <c r="C21" s="90" t="s">
        <v>2210</v>
      </c>
      <c r="D21" s="91">
        <f>COUNTIFS(進捗一覧!$B$4:$B$337,$B21,進捗一覧!$P$4:$P$337,$C21)</f>
        <v>10</v>
      </c>
      <c r="E21" s="91">
        <f>COUNTIFS(進捗一覧!$B$4:$B$337,$B21,進捗一覧!$P$4:$P$337,$C21,進捗一覧!$H$4:$H$337,"確定")</f>
        <v>3</v>
      </c>
      <c r="F21" s="91">
        <f>COUNTIFS(進捗一覧!$B$4:$B$337,$B21,進捗一覧!$P$4:$P$337,$C21,進捗一覧!$H$4:$H$337,"方向性確定（条件付き）")</f>
        <v>0</v>
      </c>
      <c r="G21" s="91">
        <f>COUNTIFS(進捗一覧!$B$4:$B$337,$B21,進捗一覧!$P$4:$P$337,$C21,進捗一覧!$H$4:$H$337,"検討中")</f>
        <v>0</v>
      </c>
      <c r="H21" s="155">
        <f>COUNTIFS(進捗一覧!$B$4:$B$337,$B21,進捗一覧!$P$4:$P$337,$C21,進捗一覧!$H$4:$H$337,"外部待ち")</f>
        <v>3</v>
      </c>
    </row>
    <row r="22" spans="1:8">
      <c r="A22" s="86" t="s">
        <v>3473</v>
      </c>
      <c r="B22" s="90" t="s">
        <v>2195</v>
      </c>
      <c r="C22" s="90" t="s">
        <v>2211</v>
      </c>
      <c r="D22" s="91">
        <f>COUNTIFS(進捗一覧!$B$4:$B$337,$B22,進捗一覧!$P$4:$P$337,$C22)</f>
        <v>12</v>
      </c>
      <c r="E22" s="91">
        <f>COUNTIFS(進捗一覧!$B$4:$B$337,$B22,進捗一覧!$P$4:$P$337,$C22,進捗一覧!$H$4:$H$337,"確定")</f>
        <v>5</v>
      </c>
      <c r="F22" s="91">
        <f>COUNTIFS(進捗一覧!$B$4:$B$337,$B22,進捗一覧!$P$4:$P$337,$C22,進捗一覧!$H$4:$H$337,"方向性確定（条件付き）")</f>
        <v>0</v>
      </c>
      <c r="G22" s="91">
        <f>COUNTIFS(進捗一覧!$B$4:$B$337,$B22,進捗一覧!$P$4:$P$337,$C22,進捗一覧!$H$4:$H$337,"検討中")</f>
        <v>1</v>
      </c>
      <c r="H22" s="155">
        <f>COUNTIFS(進捗一覧!$B$4:$B$337,$B22,進捗一覧!$P$4:$P$337,$C22,進捗一覧!$H$4:$H$337,"外部待ち")</f>
        <v>6</v>
      </c>
    </row>
    <row r="23" spans="1:8">
      <c r="A23" s="86" t="s">
        <v>3474</v>
      </c>
      <c r="B23" s="90" t="s">
        <v>2195</v>
      </c>
      <c r="C23" s="90" t="s">
        <v>2212</v>
      </c>
      <c r="D23" s="91">
        <f>COUNTIFS(進捗一覧!$B$4:$B$337,$B23,進捗一覧!$P$4:$P$337,$C23)</f>
        <v>12</v>
      </c>
      <c r="E23" s="91">
        <f>COUNTIFS(進捗一覧!$B$4:$B$337,$B23,進捗一覧!$P$4:$P$337,$C23,進捗一覧!$H$4:$H$337,"確定")</f>
        <v>2</v>
      </c>
      <c r="F23" s="91">
        <f>COUNTIFS(進捗一覧!$B$4:$B$337,$B23,進捗一覧!$P$4:$P$337,$C23,進捗一覧!$H$4:$H$337,"方向性確定（条件付き）")</f>
        <v>0</v>
      </c>
      <c r="G23" s="91">
        <f>COUNTIFS(進捗一覧!$B$4:$B$337,$B23,進捗一覧!$P$4:$P$337,$C23,進捗一覧!$H$4:$H$337,"検討中")</f>
        <v>1</v>
      </c>
      <c r="H23" s="155">
        <f>COUNTIFS(進捗一覧!$B$4:$B$337,$B23,進捗一覧!$P$4:$P$337,$C23,進捗一覧!$H$4:$H$337,"外部待ち")</f>
        <v>9</v>
      </c>
    </row>
    <row r="24" spans="1:8">
      <c r="A24" s="86" t="s">
        <v>3475</v>
      </c>
      <c r="B24" s="90" t="s">
        <v>2195</v>
      </c>
      <c r="C24" s="90" t="s">
        <v>2213</v>
      </c>
      <c r="D24" s="91">
        <f>COUNTIFS(進捗一覧!$B$4:$B$337,$B24,進捗一覧!$P$4:$P$337,$C24)</f>
        <v>10</v>
      </c>
      <c r="E24" s="91">
        <f>COUNTIFS(進捗一覧!$B$4:$B$337,$B24,進捗一覧!$P$4:$P$337,$C24,進捗一覧!$H$4:$H$337,"確定")</f>
        <v>6</v>
      </c>
      <c r="F24" s="91">
        <f>COUNTIFS(進捗一覧!$B$4:$B$337,$B24,進捗一覧!$P$4:$P$337,$C24,進捗一覧!$H$4:$H$337,"方向性確定（条件付き）")</f>
        <v>1</v>
      </c>
      <c r="G24" s="91">
        <f>COUNTIFS(進捗一覧!$B$4:$B$337,$B24,進捗一覧!$P$4:$P$337,$C24,進捗一覧!$H$4:$H$337,"検討中")</f>
        <v>2</v>
      </c>
      <c r="H24" s="155">
        <f>COUNTIFS(進捗一覧!$B$4:$B$337,$B24,進捗一覧!$P$4:$P$337,$C24,進捗一覧!$H$4:$H$337,"外部待ち")</f>
        <v>1</v>
      </c>
    </row>
    <row r="25" spans="1:8">
      <c r="A25" s="86" t="s">
        <v>3444</v>
      </c>
      <c r="B25" s="90" t="s">
        <v>2196</v>
      </c>
      <c r="C25" s="90" t="s">
        <v>2214</v>
      </c>
      <c r="D25" s="91">
        <f>COUNTIFS(進捗一覧!$B$4:$B$337,$B25,進捗一覧!$P$4:$P$337,$C25)</f>
        <v>8</v>
      </c>
      <c r="E25" s="91">
        <f>COUNTIFS(進捗一覧!$B$4:$B$337,$B25,進捗一覧!$P$4:$P$337,$C25,進捗一覧!$H$4:$H$337,"確定")</f>
        <v>4</v>
      </c>
      <c r="F25" s="91">
        <f>COUNTIFS(進捗一覧!$B$4:$B$337,$B25,進捗一覧!$P$4:$P$337,$C25,進捗一覧!$H$4:$H$337,"方向性確定（条件付き）")</f>
        <v>0</v>
      </c>
      <c r="G25" s="91">
        <f>COUNTIFS(進捗一覧!$B$4:$B$337,$B25,進捗一覧!$P$4:$P$337,$C25,進捗一覧!$H$4:$H$337,"検討中")</f>
        <v>0</v>
      </c>
      <c r="H25" s="155">
        <f>COUNTIFS(進捗一覧!$B$4:$B$337,$B25,進捗一覧!$P$4:$P$337,$C25,進捗一覧!$H$4:$H$337,"外部待ち")</f>
        <v>4</v>
      </c>
    </row>
    <row r="26" spans="1:8">
      <c r="A26" s="86" t="s">
        <v>3476</v>
      </c>
      <c r="B26" s="90" t="s">
        <v>2196</v>
      </c>
      <c r="C26" s="90" t="s">
        <v>2215</v>
      </c>
      <c r="D26" s="91">
        <f>COUNTIFS(進捗一覧!$B$4:$B$337,$B26,進捗一覧!$P$4:$P$337,$C26)</f>
        <v>8</v>
      </c>
      <c r="E26" s="91">
        <f>COUNTIFS(進捗一覧!$B$4:$B$337,$B26,進捗一覧!$P$4:$P$337,$C26,進捗一覧!$H$4:$H$337,"確定")</f>
        <v>2</v>
      </c>
      <c r="F26" s="91">
        <f>COUNTIFS(進捗一覧!$B$4:$B$337,$B26,進捗一覧!$P$4:$P$337,$C26,進捗一覧!$H$4:$H$337,"方向性確定（条件付き）")</f>
        <v>0</v>
      </c>
      <c r="G26" s="91">
        <f>COUNTIFS(進捗一覧!$B$4:$B$337,$B26,進捗一覧!$P$4:$P$337,$C26,進捗一覧!$H$4:$H$337,"検討中")</f>
        <v>1</v>
      </c>
      <c r="H26" s="155">
        <f>COUNTIFS(進捗一覧!$B$4:$B$337,$B26,進捗一覧!$P$4:$P$337,$C26,進捗一覧!$H$4:$H$337,"外部待ち")</f>
        <v>4</v>
      </c>
    </row>
    <row r="27" spans="1:8">
      <c r="A27" s="86" t="s">
        <v>3477</v>
      </c>
      <c r="B27" s="90" t="s">
        <v>2196</v>
      </c>
      <c r="C27" s="90" t="s">
        <v>2216</v>
      </c>
      <c r="D27" s="91">
        <f>COUNTIFS(進捗一覧!$B$4:$B$337,$B27,進捗一覧!$P$4:$P$337,$C27)</f>
        <v>8</v>
      </c>
      <c r="E27" s="91">
        <f>COUNTIFS(進捗一覧!$B$4:$B$337,$B27,進捗一覧!$P$4:$P$337,$C27,進捗一覧!$H$4:$H$337,"確定")</f>
        <v>1</v>
      </c>
      <c r="F27" s="91">
        <f>COUNTIFS(進捗一覧!$B$4:$B$337,$B27,進捗一覧!$P$4:$P$337,$C27,進捗一覧!$H$4:$H$337,"方向性確定（条件付き）")</f>
        <v>0</v>
      </c>
      <c r="G27" s="91">
        <f>COUNTIFS(進捗一覧!$B$4:$B$337,$B27,進捗一覧!$P$4:$P$337,$C27,進捗一覧!$H$4:$H$337,"検討中")</f>
        <v>1</v>
      </c>
      <c r="H27" s="155">
        <f>COUNTIFS(進捗一覧!$B$4:$B$337,$B27,進捗一覧!$P$4:$P$337,$C27,進捗一覧!$H$4:$H$337,"外部待ち")</f>
        <v>6</v>
      </c>
    </row>
    <row r="28" spans="1:8">
      <c r="A28" s="86" t="s">
        <v>3478</v>
      </c>
      <c r="B28" s="90" t="s">
        <v>2196</v>
      </c>
      <c r="C28" s="90" t="s">
        <v>2217</v>
      </c>
      <c r="D28" s="91">
        <f>COUNTIFS(進捗一覧!$B$4:$B$337,$B28,進捗一覧!$P$4:$P$337,$C28)</f>
        <v>21</v>
      </c>
      <c r="E28" s="91">
        <f>COUNTIFS(進捗一覧!$B$4:$B$337,$B28,進捗一覧!$P$4:$P$337,$C28,進捗一覧!$H$4:$H$337,"確定")</f>
        <v>10</v>
      </c>
      <c r="F28" s="91">
        <f>COUNTIFS(進捗一覧!$B$4:$B$337,$B28,進捗一覧!$P$4:$P$337,$C28,進捗一覧!$H$4:$H$337,"方向性確定（条件付き）")</f>
        <v>0</v>
      </c>
      <c r="G28" s="91">
        <f>COUNTIFS(進捗一覧!$B$4:$B$337,$B28,進捗一覧!$P$4:$P$337,$C28,進捗一覧!$H$4:$H$337,"検討中")</f>
        <v>1</v>
      </c>
      <c r="H28" s="155">
        <f>COUNTIFS(進捗一覧!$B$4:$B$337,$B28,進捗一覧!$P$4:$P$337,$C28,進捗一覧!$H$4:$H$337,"外部待ち")</f>
        <v>10</v>
      </c>
    </row>
    <row r="29" spans="1:8">
      <c r="A29" s="86" t="s">
        <v>3446</v>
      </c>
      <c r="B29" s="90" t="s">
        <v>2196</v>
      </c>
      <c r="C29" s="90" t="s">
        <v>2218</v>
      </c>
      <c r="D29" s="91">
        <f>COUNTIFS(進捗一覧!$B$4:$B$337,$B29,進捗一覧!$P$4:$P$337,$C29)</f>
        <v>8</v>
      </c>
      <c r="E29" s="91">
        <f>COUNTIFS(進捗一覧!$B$4:$B$337,$B29,進捗一覧!$P$4:$P$337,$C29,進捗一覧!$H$4:$H$337,"確定")</f>
        <v>1</v>
      </c>
      <c r="F29" s="91">
        <f>COUNTIFS(進捗一覧!$B$4:$B$337,$B29,進捗一覧!$P$4:$P$337,$C29,進捗一覧!$H$4:$H$337,"方向性確定（条件付き）")</f>
        <v>0</v>
      </c>
      <c r="G29" s="91">
        <f>COUNTIFS(進捗一覧!$B$4:$B$337,$B29,進捗一覧!$P$4:$P$337,$C29,進捗一覧!$H$4:$H$337,"検討中")</f>
        <v>0</v>
      </c>
      <c r="H29" s="155">
        <f>COUNTIFS(進捗一覧!$B$4:$B$337,$B29,進捗一覧!$P$4:$P$337,$C29,進捗一覧!$H$4:$H$337,"外部待ち")</f>
        <v>7</v>
      </c>
    </row>
    <row r="30" spans="1:8">
      <c r="A30" s="86" t="s">
        <v>3479</v>
      </c>
      <c r="B30" s="90" t="s">
        <v>2196</v>
      </c>
      <c r="C30" s="90" t="s">
        <v>2219</v>
      </c>
      <c r="D30" s="91">
        <f>COUNTIFS(進捗一覧!$B$4:$B$337,$B30,進捗一覧!$P$4:$P$337,$C30)</f>
        <v>14</v>
      </c>
      <c r="E30" s="91">
        <f>COUNTIFS(進捗一覧!$B$4:$B$337,$B30,進捗一覧!$P$4:$P$337,$C30,進捗一覧!$H$4:$H$337,"確定")</f>
        <v>0</v>
      </c>
      <c r="F30" s="91">
        <f>COUNTIFS(進捗一覧!$B$4:$B$337,$B30,進捗一覧!$P$4:$P$337,$C30,進捗一覧!$H$4:$H$337,"方向性確定（条件付き）")</f>
        <v>0</v>
      </c>
      <c r="G30" s="91">
        <f>COUNTIFS(進捗一覧!$B$4:$B$337,$B30,進捗一覧!$P$4:$P$337,$C30,進捗一覧!$H$4:$H$337,"検討中")</f>
        <v>1</v>
      </c>
      <c r="H30" s="155">
        <f>COUNTIFS(進捗一覧!$B$4:$B$337,$B30,進捗一覧!$P$4:$P$337,$C30,進捗一覧!$H$4:$H$337,"外部待ち")</f>
        <v>13</v>
      </c>
    </row>
    <row r="31" spans="1:8">
      <c r="A31" s="86" t="s">
        <v>3480</v>
      </c>
      <c r="B31" s="90" t="s">
        <v>2196</v>
      </c>
      <c r="C31" s="90" t="s">
        <v>2220</v>
      </c>
      <c r="D31" s="91">
        <f>COUNTIFS(進捗一覧!$B$4:$B$337,$B31,進捗一覧!$P$4:$P$337,$C31)</f>
        <v>16</v>
      </c>
      <c r="E31" s="91">
        <f>COUNTIFS(進捗一覧!$B$4:$B$337,$B31,進捗一覧!$P$4:$P$337,$C31,進捗一覧!$H$4:$H$337,"確定")</f>
        <v>2</v>
      </c>
      <c r="F31" s="91">
        <f>COUNTIFS(進捗一覧!$B$4:$B$337,$B31,進捗一覧!$P$4:$P$337,$C31,進捗一覧!$H$4:$H$337,"方向性確定（条件付き）")</f>
        <v>0</v>
      </c>
      <c r="G31" s="91">
        <f>COUNTIFS(進捗一覧!$B$4:$B$337,$B31,進捗一覧!$P$4:$P$337,$C31,進捗一覧!$H$4:$H$337,"検討中")</f>
        <v>0</v>
      </c>
      <c r="H31" s="155">
        <f>COUNTIFS(進捗一覧!$B$4:$B$337,$B31,進捗一覧!$P$4:$P$337,$C31,進捗一覧!$H$4:$H$337,"外部待ち")</f>
        <v>14</v>
      </c>
    </row>
    <row r="32" spans="1:8">
      <c r="A32" s="86" t="s">
        <v>3441</v>
      </c>
      <c r="B32" s="90" t="s">
        <v>2196</v>
      </c>
      <c r="C32" s="90" t="s">
        <v>2221</v>
      </c>
      <c r="D32" s="91">
        <f>COUNTIFS(進捗一覧!$B$4:$B$337,$B32,進捗一覧!$P$4:$P$337,$C32)</f>
        <v>11</v>
      </c>
      <c r="E32" s="91">
        <f>COUNTIFS(進捗一覧!$B$4:$B$337,$B32,進捗一覧!$P$4:$P$337,$C32,進捗一覧!$H$4:$H$337,"確定")</f>
        <v>4</v>
      </c>
      <c r="F32" s="91">
        <f>COUNTIFS(進捗一覧!$B$4:$B$337,$B32,進捗一覧!$P$4:$P$337,$C32,進捗一覧!$H$4:$H$337,"方向性確定（条件付き）")</f>
        <v>0</v>
      </c>
      <c r="G32" s="91">
        <f>COUNTIFS(進捗一覧!$B$4:$B$337,$B32,進捗一覧!$P$4:$P$337,$C32,進捗一覧!$H$4:$H$337,"検討中")</f>
        <v>6</v>
      </c>
      <c r="H32" s="155">
        <f>COUNTIFS(進捗一覧!$B$4:$B$337,$B32,進捗一覧!$P$4:$P$337,$C32,進捗一覧!$H$4:$H$337,"外部待ち")</f>
        <v>0</v>
      </c>
    </row>
    <row r="33" spans="1:11">
      <c r="A33" s="86" t="s">
        <v>3481</v>
      </c>
      <c r="B33" s="90" t="s">
        <v>2196</v>
      </c>
      <c r="C33" s="90" t="s">
        <v>2222</v>
      </c>
      <c r="D33" s="91">
        <f>COUNTIFS(進捗一覧!$B$4:$B$337,$B33,進捗一覧!$P$4:$P$337,$C33)</f>
        <v>5</v>
      </c>
      <c r="E33" s="91">
        <f>COUNTIFS(進捗一覧!$B$4:$B$337,$B33,進捗一覧!$P$4:$P$337,$C33,進捗一覧!$H$4:$H$337,"確定")</f>
        <v>2</v>
      </c>
      <c r="F33" s="91">
        <f>COUNTIFS(進捗一覧!$B$4:$B$337,$B33,進捗一覧!$P$4:$P$337,$C33,進捗一覧!$H$4:$H$337,"方向性確定（条件付き）")</f>
        <v>0</v>
      </c>
      <c r="G33" s="91">
        <f>COUNTIFS(進捗一覧!$B$4:$B$337,$B33,進捗一覧!$P$4:$P$337,$C33,進捗一覧!$H$4:$H$337,"検討中")</f>
        <v>1</v>
      </c>
      <c r="H33" s="155">
        <f>COUNTIFS(進捗一覧!$B$4:$B$337,$B33,進捗一覧!$P$4:$P$337,$C33,進捗一覧!$H$4:$H$337,"外部待ち")</f>
        <v>1</v>
      </c>
    </row>
    <row r="34" spans="1:11">
      <c r="A34" s="86" t="s">
        <v>7517</v>
      </c>
      <c r="B34" s="90" t="s">
        <v>2197</v>
      </c>
      <c r="C34" s="90" t="s">
        <v>2223</v>
      </c>
      <c r="D34" s="91">
        <f>COUNTIFS(進捗一覧!$B$4:$B$337,$B34,進捗一覧!$P$4:$P$337,$C34)</f>
        <v>12</v>
      </c>
      <c r="E34" s="91">
        <f>COUNTIFS(進捗一覧!$B$4:$B$337,$B34,進捗一覧!$P$4:$P$337,$C34,進捗一覧!$H$4:$H$337,"確定")</f>
        <v>0</v>
      </c>
      <c r="F34" s="91">
        <f>COUNTIFS(進捗一覧!$B$4:$B$337,$B34,進捗一覧!$P$4:$P$337,$C34,進捗一覧!$H$4:$H$337,"方向性確定（条件付き）")</f>
        <v>0</v>
      </c>
      <c r="G34" s="91">
        <f>COUNTIFS(進捗一覧!$B$4:$B$337,$B34,進捗一覧!$P$4:$P$337,$C34,進捗一覧!$H$4:$H$337,"検討中")</f>
        <v>11</v>
      </c>
      <c r="H34" s="155">
        <f>COUNTIFS(進捗一覧!$B$4:$B$337,$B34,進捗一覧!$P$4:$P$337,$C34,進捗一覧!$H$4:$H$337,"外部待ち")</f>
        <v>0</v>
      </c>
      <c r="I34" s="34">
        <f>SUMIFS('WBS(基本設計)'!$H$7:$H$456,'WBS(基本設計)'!$B$7:$B$456,"A-*")</f>
        <v>44.5</v>
      </c>
      <c r="J34" s="34">
        <v>39</v>
      </c>
    </row>
    <row r="35" spans="1:11">
      <c r="A35" s="86" t="s">
        <v>5877</v>
      </c>
      <c r="B35" s="90" t="s">
        <v>2197</v>
      </c>
      <c r="C35" s="90" t="s">
        <v>2224</v>
      </c>
      <c r="D35" s="91">
        <f>COUNTIFS(進捗一覧!$B$4:$B$337,$B35,進捗一覧!$P$4:$P$337,$C35)</f>
        <v>5</v>
      </c>
      <c r="E35" s="91">
        <f>COUNTIFS(進捗一覧!$B$4:$B$337,$B35,進捗一覧!$P$4:$P$337,$C35,進捗一覧!$H$4:$H$337,"確定")</f>
        <v>0</v>
      </c>
      <c r="F35" s="91">
        <f>COUNTIFS(進捗一覧!$B$4:$B$337,$B35,進捗一覧!$P$4:$P$337,$C35,進捗一覧!$H$4:$H$337,"方向性確定（条件付き）")</f>
        <v>0</v>
      </c>
      <c r="G35" s="91">
        <f>COUNTIFS(進捗一覧!$B$4:$B$337,$B35,進捗一覧!$P$4:$P$337,$C35,進捗一覧!$H$4:$H$337,"検討中")</f>
        <v>5</v>
      </c>
      <c r="H35" s="155">
        <f>COUNTIFS(進捗一覧!$B$4:$B$337,$B35,進捗一覧!$P$4:$P$337,$C35,進捗一覧!$H$4:$H$337,"外部待ち")</f>
        <v>0</v>
      </c>
      <c r="I35" s="34">
        <f>SUMIFS('WBS(基本設計)'!$H$7:$H$456,'WBS(基本設計)'!$B$7:$B$456,"B-*")</f>
        <v>23</v>
      </c>
      <c r="J35" s="34">
        <v>9</v>
      </c>
    </row>
    <row r="36" spans="1:11">
      <c r="A36" s="86" t="s">
        <v>7586</v>
      </c>
      <c r="B36" s="90" t="s">
        <v>2197</v>
      </c>
      <c r="C36" s="90" t="s">
        <v>2225</v>
      </c>
      <c r="D36" s="91">
        <f>COUNTIFS(進捗一覧!$B$4:$B$337,$B36,進捗一覧!$P$4:$P$337,$C36)</f>
        <v>8</v>
      </c>
      <c r="E36" s="91">
        <f>COUNTIFS(進捗一覧!$B$4:$B$337,$B36,進捗一覧!$P$4:$P$337,$C36,進捗一覧!$H$4:$H$337,"確定")</f>
        <v>0</v>
      </c>
      <c r="F36" s="91">
        <f>COUNTIFS(進捗一覧!$B$4:$B$337,$B36,進捗一覧!$P$4:$P$337,$C36,進捗一覧!$H$4:$H$337,"方向性確定（条件付き）")</f>
        <v>0</v>
      </c>
      <c r="G36" s="91">
        <f>COUNTIFS(進捗一覧!$B$4:$B$337,$B36,進捗一覧!$P$4:$P$337,$C36,進捗一覧!$H$4:$H$337,"検討中")</f>
        <v>8</v>
      </c>
      <c r="H36" s="155">
        <f>COUNTIFS(進捗一覧!$B$4:$B$337,$B36,進捗一覧!$P$4:$P$337,$C36,進捗一覧!$H$4:$H$337,"外部待ち")</f>
        <v>0</v>
      </c>
      <c r="I36" s="34">
        <f>SUMIFS('WBS(基本設計)'!$H$7:$H$456,'WBS(基本設計)'!$B$7:$B$456,"C-*")</f>
        <v>0</v>
      </c>
      <c r="J36" s="34">
        <v>13</v>
      </c>
    </row>
    <row r="37" spans="1:11">
      <c r="A37" s="86" t="s">
        <v>7587</v>
      </c>
      <c r="B37" s="90" t="s">
        <v>2197</v>
      </c>
      <c r="C37" s="90" t="s">
        <v>2226</v>
      </c>
      <c r="D37" s="91">
        <f>COUNTIFS(進捗一覧!$B$4:$B$337,$B37,進捗一覧!$P$4:$P$337,$C37)</f>
        <v>24</v>
      </c>
      <c r="E37" s="91">
        <f>COUNTIFS(進捗一覧!$B$4:$B$337,$B37,進捗一覧!$P$4:$P$337,$C37,進捗一覧!$H$4:$H$337,"確定")</f>
        <v>8</v>
      </c>
      <c r="F37" s="91">
        <f>COUNTIFS(進捗一覧!$B$4:$B$337,$B37,進捗一覧!$P$4:$P$337,$C37,進捗一覧!$H$4:$H$337,"方向性確定（条件付き）")</f>
        <v>0</v>
      </c>
      <c r="G37" s="91">
        <f>COUNTIFS(進捗一覧!$B$4:$B$337,$B37,進捗一覧!$P$4:$P$337,$C37,進捗一覧!$H$4:$H$337,"検討中")</f>
        <v>15</v>
      </c>
      <c r="H37" s="155">
        <f>COUNTIFS(進捗一覧!$B$4:$B$337,$B37,進捗一覧!$P$4:$P$337,$C37,進捗一覧!$H$4:$H$337,"外部待ち")</f>
        <v>0</v>
      </c>
      <c r="I37" s="34">
        <f>SUMIFS('WBS(基本設計)'!$H$7:$H$456,'WBS(基本設計)'!$B$7:$B$456,"D-*")</f>
        <v>58.5</v>
      </c>
      <c r="J37" s="34">
        <v>31</v>
      </c>
    </row>
    <row r="38" spans="1:11">
      <c r="A38" s="86" t="s">
        <v>5878</v>
      </c>
      <c r="B38" s="90" t="s">
        <v>2197</v>
      </c>
      <c r="C38" s="90" t="s">
        <v>2227</v>
      </c>
      <c r="D38" s="91">
        <f>COUNTIFS(進捗一覧!$B$4:$B$337,$B38,進捗一覧!$P$4:$P$337,$C38)</f>
        <v>8</v>
      </c>
      <c r="E38" s="91">
        <f>COUNTIFS(進捗一覧!$B$4:$B$337,$B38,進捗一覧!$P$4:$P$337,$C38,進捗一覧!$H$4:$H$337,"確定")</f>
        <v>0</v>
      </c>
      <c r="F38" s="91">
        <f>COUNTIFS(進捗一覧!$B$4:$B$337,$B38,進捗一覧!$P$4:$P$337,$C38,進捗一覧!$H$4:$H$337,"方向性確定（条件付き）")</f>
        <v>0</v>
      </c>
      <c r="G38" s="91">
        <f>COUNTIFS(進捗一覧!$B$4:$B$337,$B38,進捗一覧!$P$4:$P$337,$C38,進捗一覧!$H$4:$H$337,"検討中")</f>
        <v>8</v>
      </c>
      <c r="H38" s="155">
        <f>COUNTIFS(進捗一覧!$B$4:$B$337,$B38,進捗一覧!$P$4:$P$337,$C38,進捗一覧!$H$4:$H$337,"外部待ち")</f>
        <v>0</v>
      </c>
      <c r="I38" s="34">
        <f>SUMIFS('WBS(基本設計)'!$H$7:$H$456,'WBS(基本設計)'!$B$7:$B$456,"E-*")</f>
        <v>33</v>
      </c>
      <c r="J38" s="34">
        <v>10</v>
      </c>
    </row>
    <row r="39" spans="1:11">
      <c r="A39" s="86" t="s">
        <v>5879</v>
      </c>
      <c r="B39" s="93" t="s">
        <v>2197</v>
      </c>
      <c r="C39" s="93" t="s">
        <v>2228</v>
      </c>
      <c r="D39" s="94">
        <f>COUNTIFS(進捗一覧!$B$4:$B$337,$B39,進捗一覧!$P$4:$P$337,$C39)</f>
        <v>4</v>
      </c>
      <c r="E39" s="94">
        <f>COUNTIFS(進捗一覧!$B$4:$B$337,$B39,進捗一覧!$P$4:$P$337,$C39,進捗一覧!$H$4:$H$337,"確定")</f>
        <v>0</v>
      </c>
      <c r="F39" s="94">
        <f>COUNTIFS(進捗一覧!$B$4:$B$337,$B39,進捗一覧!$P$4:$P$337,$C39,進捗一覧!$H$4:$H$337,"方向性確定（条件付き）")</f>
        <v>0</v>
      </c>
      <c r="G39" s="94">
        <f>COUNTIFS(進捗一覧!$B$4:$B$337,$B39,進捗一覧!$P$4:$P$337,$C39,進捗一覧!$H$4:$H$337,"検討中")</f>
        <v>3</v>
      </c>
      <c r="H39" s="156">
        <f>COUNTIFS(進捗一覧!$B$4:$B$337,$B39,進捗一覧!$P$4:$P$337,$C39,進捗一覧!$H$4:$H$337,"外部待ち")</f>
        <v>1</v>
      </c>
      <c r="I39" s="34">
        <f>SUMIFS('WBS(基本設計)'!$H$7:$H$456,'WBS(基本設計)'!$B$7:$B$456,"F-*")</f>
        <v>15</v>
      </c>
      <c r="J39" s="34">
        <v>4</v>
      </c>
    </row>
    <row r="40" spans="1:11">
      <c r="A40" s="92" t="s">
        <v>5880</v>
      </c>
      <c r="B40" s="117" t="s">
        <v>2197</v>
      </c>
      <c r="C40" s="117" t="s">
        <v>2229</v>
      </c>
      <c r="D40" s="157">
        <f>COUNTIFS(進捗一覧!$B$4:$B$337,$B40,進捗一覧!$P$4:$P$337,$C40)</f>
        <v>4</v>
      </c>
      <c r="E40" s="157">
        <f>COUNTIFS(進捗一覧!$B$4:$B$337,$B40,進捗一覧!$P$4:$P$337,$C40,進捗一覧!$H$4:$H$337,"確定")</f>
        <v>0</v>
      </c>
      <c r="F40" s="157">
        <f>COUNTIFS(進捗一覧!$B$4:$B$337,$B40,進捗一覧!$P$4:$P$337,$C40,進捗一覧!$H$4:$H$337,"方向性確定（条件付き）")</f>
        <v>0</v>
      </c>
      <c r="G40" s="157">
        <f>COUNTIFS(進捗一覧!$B$4:$B$337,$B40,進捗一覧!$P$4:$P$337,$C40,進捗一覧!$H$4:$H$337,"検討中")</f>
        <v>3</v>
      </c>
      <c r="H40" s="157">
        <f>COUNTIFS(進捗一覧!$B$4:$B$337,$B40,進捗一覧!$P$4:$P$337,$C40,進捗一覧!$H$4:$H$337,"外部待ち")</f>
        <v>0</v>
      </c>
      <c r="I40" s="34">
        <f>SUMIFS('WBS(基本設計)'!$H$7:$H$456,'WBS(基本設計)'!$B$7:$B$456,"G-*")</f>
        <v>22</v>
      </c>
      <c r="J40" s="34">
        <v>14</v>
      </c>
    </row>
    <row r="41" spans="1:11">
      <c r="A41" s="362" t="s">
        <v>7494</v>
      </c>
      <c r="B41" s="363" t="s">
        <v>2197</v>
      </c>
      <c r="C41" s="363" t="s">
        <v>5881</v>
      </c>
      <c r="D41" s="364">
        <v>148</v>
      </c>
      <c r="E41" s="364"/>
      <c r="F41" s="364"/>
      <c r="G41" s="364"/>
      <c r="H41" s="364"/>
      <c r="I41" s="34">
        <f>SUMIFS('WBS(基本設計)'!$H$7:$H$456,'WBS(基本設計)'!$B$7:$B$456,"H-*")</f>
        <v>558</v>
      </c>
      <c r="J41" s="34">
        <v>292</v>
      </c>
      <c r="K41" s="34" t="s">
        <v>6708</v>
      </c>
    </row>
    <row r="42" spans="1:11">
      <c r="A42" s="34" t="s">
        <v>5884</v>
      </c>
      <c r="I42" s="34">
        <f>SUM(I34:I41)</f>
        <v>754</v>
      </c>
      <c r="J42" s="34">
        <f>SUM(J34:J41)</f>
        <v>412</v>
      </c>
    </row>
    <row r="43" spans="1:11">
      <c r="A43" s="85" t="s">
        <v>3482</v>
      </c>
      <c r="B43" s="60" t="s">
        <v>3483</v>
      </c>
      <c r="C43" s="60" t="s">
        <v>3484</v>
      </c>
      <c r="D43" s="61" t="s">
        <v>2444</v>
      </c>
    </row>
    <row r="44" spans="1:11">
      <c r="A44" s="365" t="s">
        <v>5887</v>
      </c>
      <c r="B44" s="90" t="s">
        <v>3485</v>
      </c>
      <c r="C44" s="90" t="s">
        <v>3486</v>
      </c>
      <c r="D44" s="95" t="s">
        <v>3487</v>
      </c>
    </row>
    <row r="45" spans="1:11">
      <c r="A45" s="86" t="s">
        <v>3488</v>
      </c>
      <c r="B45" s="90" t="s">
        <v>3489</v>
      </c>
      <c r="C45" s="90" t="s">
        <v>3490</v>
      </c>
      <c r="D45" s="95" t="s">
        <v>3491</v>
      </c>
    </row>
    <row r="46" spans="1:11">
      <c r="A46" s="86" t="s">
        <v>3492</v>
      </c>
      <c r="B46" s="90" t="s">
        <v>3458</v>
      </c>
      <c r="C46" s="90" t="s">
        <v>3493</v>
      </c>
      <c r="D46" s="95" t="s">
        <v>3494</v>
      </c>
    </row>
    <row r="47" spans="1:11">
      <c r="A47" s="86" t="s">
        <v>3495</v>
      </c>
      <c r="B47" s="90" t="s">
        <v>3454</v>
      </c>
      <c r="C47" s="90" t="s">
        <v>3496</v>
      </c>
      <c r="D47" s="95" t="s">
        <v>3494</v>
      </c>
    </row>
    <row r="48" spans="1:11">
      <c r="A48" s="86" t="s">
        <v>3495</v>
      </c>
      <c r="B48" s="90" t="s">
        <v>3459</v>
      </c>
      <c r="C48" s="90" t="s">
        <v>3497</v>
      </c>
      <c r="D48" s="95" t="s">
        <v>3491</v>
      </c>
    </row>
    <row r="49" spans="1:5">
      <c r="A49" s="86" t="s">
        <v>3495</v>
      </c>
      <c r="B49" s="90" t="s">
        <v>3498</v>
      </c>
      <c r="C49" s="90" t="s">
        <v>3499</v>
      </c>
      <c r="D49" s="95" t="s">
        <v>3494</v>
      </c>
    </row>
    <row r="50" spans="1:5">
      <c r="A50" s="86" t="s">
        <v>3500</v>
      </c>
      <c r="B50" s="90" t="s">
        <v>3456</v>
      </c>
      <c r="C50" s="90" t="s">
        <v>3501</v>
      </c>
      <c r="D50" s="95" t="s">
        <v>3494</v>
      </c>
    </row>
    <row r="51" spans="1:5">
      <c r="A51" s="86" t="s">
        <v>3502</v>
      </c>
      <c r="B51" s="90" t="s">
        <v>3457</v>
      </c>
      <c r="C51" s="90" t="s">
        <v>3503</v>
      </c>
      <c r="D51" s="95" t="s">
        <v>3494</v>
      </c>
    </row>
    <row r="52" spans="1:5">
      <c r="A52" s="86" t="s">
        <v>3502</v>
      </c>
      <c r="B52" s="90" t="s">
        <v>3504</v>
      </c>
      <c r="C52" s="90" t="s">
        <v>3505</v>
      </c>
      <c r="D52" s="95" t="s">
        <v>3506</v>
      </c>
    </row>
    <row r="53" spans="1:5">
      <c r="A53" s="86" t="s">
        <v>3507</v>
      </c>
      <c r="B53" s="93" t="s">
        <v>3508</v>
      </c>
      <c r="C53" s="93" t="s">
        <v>3509</v>
      </c>
      <c r="D53" s="96" t="s">
        <v>3506</v>
      </c>
    </row>
    <row r="54" spans="1:5">
      <c r="A54" s="92" t="s">
        <v>3507</v>
      </c>
    </row>
    <row r="56" spans="1:5">
      <c r="A56" s="97" t="s">
        <v>3510</v>
      </c>
      <c r="B56" s="60" t="s">
        <v>3511</v>
      </c>
      <c r="C56" s="60" t="s">
        <v>3512</v>
      </c>
      <c r="D56" s="61" t="s">
        <v>3513</v>
      </c>
    </row>
    <row r="57" spans="1:5">
      <c r="A57" s="59" t="s">
        <v>3514</v>
      </c>
      <c r="B57" s="87"/>
      <c r="C57" s="98"/>
      <c r="D57" s="95" t="s">
        <v>3515</v>
      </c>
    </row>
    <row r="58" spans="1:5">
      <c r="A58" s="86" t="s">
        <v>1065</v>
      </c>
      <c r="B58" s="87">
        <f>COUNTIF(要件→設計!$G$5:$G$183,$A58)</f>
        <v>114</v>
      </c>
      <c r="C58" s="98">
        <f>IFERROR(B58/$B$63,"-")</f>
        <v>0.63687150837988826</v>
      </c>
      <c r="D58" s="95" t="s">
        <v>3516</v>
      </c>
    </row>
    <row r="59" spans="1:5">
      <c r="A59" s="86" t="s">
        <v>1057</v>
      </c>
      <c r="B59" s="87">
        <f>COUNTIF(要件→設計!$G$5:$G$183,$A59)</f>
        <v>47</v>
      </c>
      <c r="C59" s="98">
        <f>IFERROR(B59/$B$63,"-")</f>
        <v>0.26256983240223464</v>
      </c>
      <c r="D59" s="99" t="s">
        <v>3517</v>
      </c>
    </row>
    <row r="60" spans="1:5">
      <c r="A60" s="86" t="s">
        <v>1060</v>
      </c>
      <c r="B60" s="87">
        <f>COUNTIF(要件→設計!$G$5:$G$183,$A60)</f>
        <v>1</v>
      </c>
      <c r="C60" s="98">
        <f>IFERROR(B60/$B$63,"-")</f>
        <v>5.5865921787709499E-3</v>
      </c>
      <c r="D60" s="95" t="s">
        <v>3518</v>
      </c>
    </row>
    <row r="61" spans="1:5">
      <c r="A61" s="86" t="s">
        <v>1072</v>
      </c>
      <c r="B61" s="87">
        <f>COUNTIF(要件→設計!$G$5:$G$183,$A61)</f>
        <v>17</v>
      </c>
      <c r="C61" s="98">
        <f>IFERROR(B61/$B$63,"-")</f>
        <v>9.4972067039106142E-2</v>
      </c>
      <c r="D61" s="100" t="s">
        <v>3519</v>
      </c>
    </row>
    <row r="62" spans="1:5">
      <c r="A62" s="86" t="s">
        <v>3520</v>
      </c>
      <c r="B62" s="89">
        <f>COUNTIF(要件→設計!$G$5:$G$183,$A62)</f>
        <v>0</v>
      </c>
      <c r="C62" s="101">
        <f>IFERROR(B62/$B$63,"-")</f>
        <v>0</v>
      </c>
      <c r="D62" s="96"/>
      <c r="E62" s="62"/>
    </row>
    <row r="63" spans="1:5">
      <c r="A63" s="88" t="s">
        <v>3464</v>
      </c>
      <c r="B63" s="34">
        <f>SUM(B58:B62)</f>
        <v>179</v>
      </c>
      <c r="C63" s="116">
        <f>IFERROR(B63/B63,"-")</f>
        <v>1</v>
      </c>
      <c r="E63" s="34" t="str">
        <f>IF(B63=COUNTA(要件→設計!$A$5:$A$183),"✓ マッピング行数と一致","⚠ 不一致")</f>
        <v>✓ マッピング行数と一致</v>
      </c>
    </row>
    <row r="66" spans="1:5">
      <c r="A66" s="85" t="s">
        <v>3521</v>
      </c>
      <c r="B66" s="60" t="s">
        <v>3511</v>
      </c>
      <c r="C66" s="60" t="s">
        <v>3512</v>
      </c>
      <c r="D66" s="61" t="s">
        <v>3522</v>
      </c>
    </row>
    <row r="67" spans="1:5">
      <c r="A67" s="59" t="s">
        <v>2443</v>
      </c>
      <c r="B67" s="87"/>
      <c r="C67" s="98"/>
      <c r="D67" s="95" t="s">
        <v>3523</v>
      </c>
    </row>
    <row r="68" spans="1:5">
      <c r="A68" s="86" t="s">
        <v>3524</v>
      </c>
      <c r="B68" s="87">
        <f>COUNTA(設計決定一覧!$A$5:$A$189)-COUNTA(設計→要件!$A$6:$A$55)</f>
        <v>135</v>
      </c>
      <c r="C68" s="98">
        <f>IFERROR(B68/$B$74,"-")</f>
        <v>0.72972972972972971</v>
      </c>
      <c r="D68" s="99" t="s">
        <v>3525</v>
      </c>
    </row>
    <row r="69" spans="1:5">
      <c r="A69" s="86" t="s">
        <v>3526</v>
      </c>
      <c r="B69" s="87">
        <f>COUNTIF(設計→要件!$D$6:$D$55,$A69)</f>
        <v>11</v>
      </c>
      <c r="C69" s="98">
        <f>IFERROR(B69/$B$74,"-")</f>
        <v>5.9459459459459463E-2</v>
      </c>
      <c r="D69" s="100" t="s">
        <v>3527</v>
      </c>
    </row>
    <row r="70" spans="1:5">
      <c r="A70" s="86" t="s">
        <v>3528</v>
      </c>
      <c r="B70" s="87">
        <f>COUNTIF(設計→要件!$D$6:$D$55,$A70)</f>
        <v>14</v>
      </c>
      <c r="C70" s="98">
        <f>IFERROR(B70/$B$74,"-")</f>
        <v>7.567567567567568E-2</v>
      </c>
      <c r="D70" s="102" t="s">
        <v>3529</v>
      </c>
    </row>
    <row r="71" spans="1:5">
      <c r="A71" s="86" t="s">
        <v>3530</v>
      </c>
      <c r="B71" s="87">
        <f>COUNTIF(設計→要件!$D$6:$D$55,$A71)</f>
        <v>1</v>
      </c>
      <c r="C71" s="98">
        <f>IFERROR(B71/$B$74,"-")</f>
        <v>5.4054054054054057E-3</v>
      </c>
      <c r="D71" s="95" t="s">
        <v>3531</v>
      </c>
    </row>
    <row r="72" spans="1:5">
      <c r="A72" s="86" t="s">
        <v>3532</v>
      </c>
      <c r="B72" s="87">
        <f>COUNTIF(設計→要件!$D$6:$D$55,$A72)</f>
        <v>23</v>
      </c>
      <c r="C72" s="98">
        <f>IFERROR(B72/$B$74,"-")</f>
        <v>0.12432432432432433</v>
      </c>
      <c r="D72" s="95" t="s">
        <v>3533</v>
      </c>
    </row>
    <row r="73" spans="1:5">
      <c r="A73" s="86" t="s">
        <v>3534</v>
      </c>
      <c r="B73" s="89">
        <f>COUNTIF(設計→要件!$D$6:$D$55,$A73)</f>
        <v>1</v>
      </c>
      <c r="C73" s="101">
        <f>IFERROR(B73/$B$74,"-")</f>
        <v>5.4054054054054057E-3</v>
      </c>
      <c r="D73" s="96"/>
      <c r="E73" s="62"/>
    </row>
    <row r="74" spans="1:5">
      <c r="A74" s="88" t="s">
        <v>3464</v>
      </c>
      <c r="B74" s="34">
        <f>SUM(B68:B73)</f>
        <v>185</v>
      </c>
      <c r="C74" s="116">
        <f>IFERROR(B74/$B$74,"-")</f>
        <v>1</v>
      </c>
      <c r="E74" s="34" t="str">
        <f>IF(B74=COUNTA(設計決定一覧!$A$5:$A$189),"✓ 設計決定の総数と一致","⚠ 不一致")</f>
        <v>✓ 設計決定の総数と一致</v>
      </c>
    </row>
    <row r="75" spans="1:5">
      <c r="B75" s="104"/>
    </row>
    <row r="76" spans="1:5" ht="75">
      <c r="A76" s="103" t="s">
        <v>3535</v>
      </c>
      <c r="B76" s="106" t="s">
        <v>3536</v>
      </c>
    </row>
    <row r="77" spans="1:5" ht="60">
      <c r="A77" s="105" t="s">
        <v>3451</v>
      </c>
      <c r="B77" s="107" t="s">
        <v>3537</v>
      </c>
    </row>
    <row r="78" spans="1:5" ht="60">
      <c r="A78" s="105" t="s">
        <v>3538</v>
      </c>
      <c r="B78" s="106" t="s">
        <v>3539</v>
      </c>
    </row>
    <row r="79" spans="1:5" ht="60">
      <c r="A79" s="108" t="s">
        <v>3540</v>
      </c>
      <c r="B79" s="106" t="s">
        <v>3541</v>
      </c>
    </row>
    <row r="80" spans="1:5" ht="75">
      <c r="A80" s="108" t="s">
        <v>3542</v>
      </c>
      <c r="B80" s="109" t="s">
        <v>3543</v>
      </c>
    </row>
    <row r="81" spans="1:5">
      <c r="A81" s="108" t="s">
        <v>3544</v>
      </c>
    </row>
    <row r="84" spans="1:5">
      <c r="A84" s="424" t="s">
        <v>8280</v>
      </c>
    </row>
    <row r="85" spans="1:5">
      <c r="A85" s="144" t="s">
        <v>1</v>
      </c>
      <c r="B85" s="144" t="s">
        <v>8281</v>
      </c>
      <c r="C85" s="144" t="s">
        <v>8274</v>
      </c>
      <c r="D85" s="144" t="s">
        <v>8282</v>
      </c>
      <c r="E85" s="144" t="s">
        <v>3039</v>
      </c>
    </row>
    <row r="86" spans="1:5">
      <c r="A86" s="34" t="s">
        <v>6526</v>
      </c>
      <c r="B86" s="425">
        <v>91</v>
      </c>
      <c r="C86" s="425">
        <v>48</v>
      </c>
      <c r="D86" s="425">
        <v>78</v>
      </c>
      <c r="E86" s="34" t="s">
        <v>8283</v>
      </c>
    </row>
    <row r="87" spans="1:5">
      <c r="A87" s="34" t="s">
        <v>8284</v>
      </c>
      <c r="B87" s="426">
        <v>754</v>
      </c>
      <c r="C87" s="426">
        <v>561</v>
      </c>
      <c r="D87" s="426">
        <v>678.5</v>
      </c>
    </row>
    <row r="88" spans="1:5">
      <c r="A88" s="34" t="s">
        <v>2529</v>
      </c>
      <c r="B88" s="426">
        <v>473</v>
      </c>
      <c r="C88" s="426">
        <v>352</v>
      </c>
      <c r="D88" s="426">
        <v>415</v>
      </c>
    </row>
    <row r="89" spans="1:5">
      <c r="A89" s="34" t="s">
        <v>5794</v>
      </c>
      <c r="B89" s="426">
        <v>743</v>
      </c>
      <c r="C89" s="426">
        <v>520</v>
      </c>
      <c r="D89" s="426">
        <v>640</v>
      </c>
    </row>
    <row r="90" spans="1:5">
      <c r="A90" s="34" t="s">
        <v>2530</v>
      </c>
      <c r="B90" s="426">
        <v>429</v>
      </c>
      <c r="C90" s="426">
        <v>310</v>
      </c>
      <c r="D90" s="426">
        <v>375</v>
      </c>
    </row>
    <row r="91" spans="1:5">
      <c r="A91" s="85" t="s">
        <v>8285</v>
      </c>
      <c r="B91" s="427">
        <f>SUM(B87:B90)</f>
        <v>2399</v>
      </c>
      <c r="C91" s="427">
        <f>SUM(C87:C90)</f>
        <v>1743</v>
      </c>
      <c r="D91" s="427">
        <f>SUM(D87:D90)</f>
        <v>2108.5</v>
      </c>
    </row>
    <row r="92" spans="1:5">
      <c r="A92" s="34" t="s">
        <v>8286</v>
      </c>
      <c r="B92" s="426">
        <v>315</v>
      </c>
      <c r="C92" s="426">
        <v>245</v>
      </c>
      <c r="D92" s="426">
        <v>280</v>
      </c>
    </row>
    <row r="93" spans="1:5">
      <c r="A93" s="85" t="s">
        <v>8287</v>
      </c>
      <c r="B93" s="428">
        <f>B91+B92</f>
        <v>2714</v>
      </c>
      <c r="C93" s="428">
        <f>C91+C92</f>
        <v>1988</v>
      </c>
      <c r="D93" s="428">
        <f>D91+D92</f>
        <v>2388.5</v>
      </c>
    </row>
    <row r="94" spans="1:5">
      <c r="A94" s="429" t="s">
        <v>8288</v>
      </c>
    </row>
    <row r="95" spans="1:5">
      <c r="A95" s="429" t="s">
        <v>8289</v>
      </c>
    </row>
    <row r="96" spans="1:5">
      <c r="A96" s="430" t="s">
        <v>8419</v>
      </c>
    </row>
    <row r="98" spans="1:4">
      <c r="A98" s="424" t="s">
        <v>8629</v>
      </c>
    </row>
    <row r="99" spans="1:4">
      <c r="A99" s="143" t="s">
        <v>2527</v>
      </c>
      <c r="B99" s="144" t="s">
        <v>8281</v>
      </c>
      <c r="C99" s="144" t="s">
        <v>8598</v>
      </c>
      <c r="D99" s="144" t="s">
        <v>8620</v>
      </c>
    </row>
    <row r="100" spans="1:4">
      <c r="A100" s="34" t="s">
        <v>8284</v>
      </c>
      <c r="B100" s="34">
        <v>754</v>
      </c>
      <c r="C100" s="34">
        <v>704</v>
      </c>
      <c r="D100" s="34">
        <f>B100-C100</f>
        <v>50</v>
      </c>
    </row>
    <row r="101" spans="1:4">
      <c r="A101" s="34" t="s">
        <v>2529</v>
      </c>
      <c r="B101" s="34">
        <v>473</v>
      </c>
      <c r="C101" s="34">
        <v>439</v>
      </c>
      <c r="D101" s="34">
        <f>B101-C101</f>
        <v>34</v>
      </c>
    </row>
    <row r="102" spans="1:4">
      <c r="A102" s="34" t="s">
        <v>5794</v>
      </c>
      <c r="B102" s="34">
        <v>743</v>
      </c>
      <c r="C102" s="34">
        <v>643</v>
      </c>
      <c r="D102" s="34">
        <f>B102-C102</f>
        <v>100</v>
      </c>
    </row>
    <row r="103" spans="1:4">
      <c r="A103" s="34" t="s">
        <v>2530</v>
      </c>
      <c r="B103" s="34">
        <v>429</v>
      </c>
      <c r="C103" s="34">
        <v>405</v>
      </c>
      <c r="D103" s="34">
        <f>B103-C103</f>
        <v>24</v>
      </c>
    </row>
    <row r="104" spans="1:4">
      <c r="A104" s="85" t="s">
        <v>8285</v>
      </c>
      <c r="B104" s="85">
        <f>SUM(B100:B103)</f>
        <v>2399</v>
      </c>
      <c r="C104" s="85">
        <f>SUM(C100:C103)</f>
        <v>2191</v>
      </c>
      <c r="D104" s="85">
        <f>B104-C104</f>
        <v>208</v>
      </c>
    </row>
    <row r="105" spans="1:4">
      <c r="A105" s="34" t="s">
        <v>5396</v>
      </c>
      <c r="B105" s="34">
        <v>315</v>
      </c>
      <c r="C105" s="34">
        <v>304</v>
      </c>
      <c r="D105" s="34">
        <f>B105-C105</f>
        <v>11</v>
      </c>
    </row>
    <row r="106" spans="1:4">
      <c r="A106" s="85" t="s">
        <v>8287</v>
      </c>
      <c r="B106" s="319">
        <f>B104+B105</f>
        <v>2714</v>
      </c>
      <c r="C106" s="319">
        <f>C104+C105</f>
        <v>2495</v>
      </c>
      <c r="D106" s="85">
        <f>B106-C106</f>
        <v>219</v>
      </c>
    </row>
    <row r="107" spans="1:4">
      <c r="A107" s="429" t="s">
        <v>8621</v>
      </c>
    </row>
    <row r="108" spans="1:4">
      <c r="A108" s="454" t="s">
        <v>8599</v>
      </c>
    </row>
    <row r="109" spans="1:4">
      <c r="A109" s="34" t="s">
        <v>8630</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37"/>
  <sheetViews>
    <sheetView zoomScale="125" workbookViewId="0">
      <pane ySplit="3" topLeftCell="A165" activePane="bottomLeft" state="frozen"/>
      <selection activeCell="D1" sqref="D1"/>
      <selection pane="bottomLeft" activeCell="E171" sqref="E171"/>
    </sheetView>
  </sheetViews>
  <sheetFormatPr baseColWidth="10" defaultRowHeight="15"/>
  <cols>
    <col min="1" max="1" width="13.5703125" style="64" customWidth="1"/>
    <col min="2" max="2" width="14.28515625" style="64" customWidth="1"/>
    <col min="3" max="3" width="21.42578125" style="64" customWidth="1"/>
    <col min="4" max="4" width="40" style="64" customWidth="1"/>
    <col min="5" max="5" width="57.140625" style="64" customWidth="1"/>
    <col min="6" max="6" width="68.5703125" style="198" customWidth="1"/>
    <col min="7" max="7" width="42.85546875" style="64" customWidth="1"/>
    <col min="8" max="8" width="20" style="64" customWidth="1"/>
    <col min="9" max="9" width="25.7109375" style="64" customWidth="1"/>
    <col min="10" max="10" width="61.42578125" style="64" customWidth="1"/>
    <col min="11" max="11" width="8.5703125" style="64" customWidth="1"/>
    <col min="12" max="13" width="60" style="64" customWidth="1"/>
    <col min="14" max="14" width="11.42578125" style="64" customWidth="1"/>
    <col min="15" max="15" width="27.140625" style="64" customWidth="1"/>
    <col min="16" max="16" width="15" style="64" customWidth="1"/>
    <col min="17" max="17" width="18.5703125" style="64" customWidth="1"/>
    <col min="18" max="18" width="48.5703125" style="199" customWidth="1"/>
    <col min="19" max="19" width="31.42578125" style="64" customWidth="1"/>
    <col min="20" max="20" width="25" style="64" customWidth="1"/>
    <col min="21" max="16384" width="10.7109375" style="64"/>
  </cols>
  <sheetData>
    <row r="1" spans="1:20">
      <c r="A1" s="63" t="s">
        <v>0</v>
      </c>
      <c r="C1" s="63"/>
    </row>
    <row r="3" spans="1:20" ht="26" customHeight="1">
      <c r="A3" s="138" t="s">
        <v>2434</v>
      </c>
      <c r="B3" s="80" t="s">
        <v>1543</v>
      </c>
      <c r="C3" s="80" t="s">
        <v>1542</v>
      </c>
      <c r="D3" s="80" t="s">
        <v>10</v>
      </c>
      <c r="E3" s="80" t="s">
        <v>667</v>
      </c>
      <c r="F3" s="80" t="s">
        <v>11</v>
      </c>
      <c r="G3" s="80" t="s">
        <v>3011</v>
      </c>
      <c r="H3" s="80" t="s">
        <v>1544</v>
      </c>
      <c r="I3" s="80" t="s">
        <v>3017</v>
      </c>
      <c r="J3" s="80" t="s">
        <v>3018</v>
      </c>
      <c r="K3" s="80" t="s">
        <v>4094</v>
      </c>
      <c r="L3" s="80" t="s">
        <v>4095</v>
      </c>
      <c r="M3" s="80" t="s">
        <v>4096</v>
      </c>
      <c r="N3" s="80" t="s">
        <v>4255</v>
      </c>
      <c r="O3" s="250" t="s">
        <v>8</v>
      </c>
      <c r="P3" s="250" t="s">
        <v>9</v>
      </c>
      <c r="Q3" s="251" t="s">
        <v>3222</v>
      </c>
      <c r="R3" s="250" t="s">
        <v>2914</v>
      </c>
      <c r="S3" s="250" t="s">
        <v>12</v>
      </c>
      <c r="T3" s="250" t="s">
        <v>3591</v>
      </c>
    </row>
    <row r="4" spans="1:20" ht="58" customHeight="1">
      <c r="A4" s="231" t="s">
        <v>2435</v>
      </c>
      <c r="B4" s="42" t="s">
        <v>5</v>
      </c>
      <c r="C4" s="41" t="s">
        <v>1520</v>
      </c>
      <c r="D4" s="41" t="s">
        <v>15</v>
      </c>
      <c r="E4" s="200" t="s">
        <v>2915</v>
      </c>
      <c r="F4" s="200" t="s">
        <v>3943</v>
      </c>
      <c r="G4" s="245" t="s">
        <v>3004</v>
      </c>
      <c r="H4" s="42" t="s">
        <v>2</v>
      </c>
      <c r="I4" s="248" t="s">
        <v>3012</v>
      </c>
      <c r="J4" s="233" t="s">
        <v>3221</v>
      </c>
      <c r="K4" s="162"/>
      <c r="L4" s="241"/>
      <c r="M4" s="241"/>
      <c r="N4" s="161"/>
      <c r="O4" s="139" t="s">
        <v>13</v>
      </c>
      <c r="P4" s="40" t="s">
        <v>14</v>
      </c>
      <c r="Q4" s="229" t="s">
        <v>3223</v>
      </c>
      <c r="R4" s="201" t="s">
        <v>2916</v>
      </c>
      <c r="S4" s="141" t="s">
        <v>16</v>
      </c>
      <c r="T4" s="243"/>
    </row>
    <row r="5" spans="1:20" ht="58" customHeight="1">
      <c r="A5" s="231" t="s">
        <v>2435</v>
      </c>
      <c r="B5" s="42" t="s">
        <v>5</v>
      </c>
      <c r="C5" s="41" t="s">
        <v>1520</v>
      </c>
      <c r="D5" s="41" t="s">
        <v>18</v>
      </c>
      <c r="E5" s="200" t="s">
        <v>668</v>
      </c>
      <c r="F5" s="200" t="s">
        <v>4054</v>
      </c>
      <c r="G5" s="245" t="s">
        <v>3004</v>
      </c>
      <c r="H5" s="42" t="s">
        <v>2</v>
      </c>
      <c r="I5" s="248" t="s">
        <v>3012</v>
      </c>
      <c r="J5" s="233" t="s">
        <v>3221</v>
      </c>
      <c r="K5" s="162"/>
      <c r="L5" s="241"/>
      <c r="M5" s="241"/>
      <c r="N5" s="161"/>
      <c r="O5" s="139" t="s">
        <v>13</v>
      </c>
      <c r="P5" s="40" t="s">
        <v>17</v>
      </c>
      <c r="Q5" s="229" t="s">
        <v>3223</v>
      </c>
      <c r="R5" s="201" t="s">
        <v>2916</v>
      </c>
      <c r="S5" s="141" t="s">
        <v>16</v>
      </c>
      <c r="T5" s="243"/>
    </row>
    <row r="6" spans="1:20" ht="58" customHeight="1">
      <c r="A6" s="231" t="s">
        <v>2435</v>
      </c>
      <c r="B6" s="42" t="s">
        <v>5</v>
      </c>
      <c r="C6" s="41" t="s">
        <v>1520</v>
      </c>
      <c r="D6" s="41" t="s">
        <v>20</v>
      </c>
      <c r="E6" s="200" t="s">
        <v>669</v>
      </c>
      <c r="F6" s="200" t="s">
        <v>4055</v>
      </c>
      <c r="G6" s="245" t="s">
        <v>3004</v>
      </c>
      <c r="H6" s="42" t="s">
        <v>2</v>
      </c>
      <c r="I6" s="248" t="s">
        <v>3012</v>
      </c>
      <c r="J6" s="233" t="s">
        <v>3221</v>
      </c>
      <c r="K6" s="162"/>
      <c r="L6" s="241"/>
      <c r="M6" s="241"/>
      <c r="N6" s="161"/>
      <c r="O6" s="139" t="s">
        <v>13</v>
      </c>
      <c r="P6" s="40" t="s">
        <v>19</v>
      </c>
      <c r="Q6" s="229" t="s">
        <v>3223</v>
      </c>
      <c r="R6" s="201" t="s">
        <v>2917</v>
      </c>
      <c r="S6" s="141" t="s">
        <v>16</v>
      </c>
      <c r="T6" s="243"/>
    </row>
    <row r="7" spans="1:20" ht="58" customHeight="1">
      <c r="A7" s="231" t="s">
        <v>2435</v>
      </c>
      <c r="B7" s="42" t="s">
        <v>5</v>
      </c>
      <c r="C7" s="41" t="s">
        <v>1520</v>
      </c>
      <c r="D7" s="41" t="s">
        <v>22</v>
      </c>
      <c r="E7" s="200" t="s">
        <v>670</v>
      </c>
      <c r="F7" s="200" t="s">
        <v>3944</v>
      </c>
      <c r="G7" s="245" t="s">
        <v>3005</v>
      </c>
      <c r="H7" s="42" t="s">
        <v>958</v>
      </c>
      <c r="I7" s="248" t="s">
        <v>3013</v>
      </c>
      <c r="J7" s="233" t="s">
        <v>3221</v>
      </c>
      <c r="K7" s="162"/>
      <c r="L7" s="241"/>
      <c r="M7" s="241"/>
      <c r="N7" s="161"/>
      <c r="O7" s="139" t="s">
        <v>13</v>
      </c>
      <c r="P7" s="40" t="s">
        <v>21</v>
      </c>
      <c r="Q7" s="229" t="s">
        <v>3223</v>
      </c>
      <c r="R7" s="201" t="s">
        <v>2918</v>
      </c>
      <c r="S7" s="141" t="s">
        <v>16</v>
      </c>
      <c r="T7" s="243"/>
    </row>
    <row r="8" spans="1:20" ht="58" customHeight="1">
      <c r="A8" s="231" t="s">
        <v>2435</v>
      </c>
      <c r="B8" s="42" t="s">
        <v>5</v>
      </c>
      <c r="C8" s="41" t="s">
        <v>1520</v>
      </c>
      <c r="D8" s="41" t="s">
        <v>24</v>
      </c>
      <c r="E8" s="200" t="s">
        <v>671</v>
      </c>
      <c r="F8" s="200" t="s">
        <v>3945</v>
      </c>
      <c r="G8" s="245" t="s">
        <v>3006</v>
      </c>
      <c r="H8" s="42" t="s">
        <v>1522</v>
      </c>
      <c r="I8" s="248" t="s">
        <v>4478</v>
      </c>
      <c r="J8" s="233" t="s">
        <v>3805</v>
      </c>
      <c r="K8" s="162" t="s">
        <v>4264</v>
      </c>
      <c r="L8" s="241" t="s">
        <v>4386</v>
      </c>
      <c r="M8" s="241" t="s">
        <v>4387</v>
      </c>
      <c r="N8" s="161" t="s">
        <v>4257</v>
      </c>
      <c r="O8" s="139" t="s">
        <v>13</v>
      </c>
      <c r="P8" s="40" t="s">
        <v>23</v>
      </c>
      <c r="Q8" s="229" t="s">
        <v>3223</v>
      </c>
      <c r="R8" s="201" t="s">
        <v>2919</v>
      </c>
      <c r="S8" s="141" t="s">
        <v>16</v>
      </c>
      <c r="T8" s="243"/>
    </row>
    <row r="9" spans="1:20" ht="58" customHeight="1">
      <c r="A9" s="231" t="s">
        <v>2435</v>
      </c>
      <c r="B9" s="42" t="s">
        <v>5</v>
      </c>
      <c r="C9" s="41" t="s">
        <v>1520</v>
      </c>
      <c r="D9" s="41" t="s">
        <v>26</v>
      </c>
      <c r="E9" s="200" t="s">
        <v>672</v>
      </c>
      <c r="F9" s="200" t="s">
        <v>4092</v>
      </c>
      <c r="G9" s="245" t="s">
        <v>4093</v>
      </c>
      <c r="H9" s="42" t="s">
        <v>958</v>
      </c>
      <c r="I9" s="248" t="s">
        <v>3013</v>
      </c>
      <c r="J9" s="233" t="s">
        <v>3920</v>
      </c>
      <c r="K9" s="162" t="s">
        <v>958</v>
      </c>
      <c r="L9" s="241"/>
      <c r="M9" s="241"/>
      <c r="N9" s="161"/>
      <c r="O9" s="139" t="s">
        <v>13</v>
      </c>
      <c r="P9" s="40" t="s">
        <v>25</v>
      </c>
      <c r="Q9" s="229" t="s">
        <v>3223</v>
      </c>
      <c r="R9" s="201" t="s">
        <v>446</v>
      </c>
      <c r="S9" s="141" t="s">
        <v>16</v>
      </c>
      <c r="T9" s="243"/>
    </row>
    <row r="10" spans="1:20" ht="58" customHeight="1">
      <c r="A10" s="231" t="s">
        <v>2435</v>
      </c>
      <c r="B10" s="42" t="s">
        <v>5</v>
      </c>
      <c r="C10" s="41" t="s">
        <v>1520</v>
      </c>
      <c r="D10" s="41" t="s">
        <v>28</v>
      </c>
      <c r="E10" s="200" t="s">
        <v>673</v>
      </c>
      <c r="F10" s="200" t="s">
        <v>4278</v>
      </c>
      <c r="G10" s="245" t="s">
        <v>4279</v>
      </c>
      <c r="H10" s="42" t="s">
        <v>958</v>
      </c>
      <c r="I10" s="248" t="s">
        <v>3013</v>
      </c>
      <c r="J10" s="233" t="s">
        <v>3221</v>
      </c>
      <c r="K10" s="162"/>
      <c r="L10" s="241"/>
      <c r="M10" s="241"/>
      <c r="N10" s="161"/>
      <c r="O10" s="139" t="s">
        <v>13</v>
      </c>
      <c r="P10" s="40" t="s">
        <v>27</v>
      </c>
      <c r="Q10" s="229" t="s">
        <v>3223</v>
      </c>
      <c r="R10" s="201" t="s">
        <v>446</v>
      </c>
      <c r="S10" s="141" t="s">
        <v>16</v>
      </c>
      <c r="T10" s="243"/>
    </row>
    <row r="11" spans="1:20" ht="58" customHeight="1">
      <c r="A11" s="231" t="s">
        <v>2435</v>
      </c>
      <c r="B11" s="42" t="s">
        <v>5</v>
      </c>
      <c r="C11" s="41" t="s">
        <v>1520</v>
      </c>
      <c r="D11" s="41" t="s">
        <v>30</v>
      </c>
      <c r="E11" s="200" t="s">
        <v>674</v>
      </c>
      <c r="F11" s="200" t="s">
        <v>3946</v>
      </c>
      <c r="G11" s="245" t="s">
        <v>3004</v>
      </c>
      <c r="H11" s="42" t="s">
        <v>2</v>
      </c>
      <c r="I11" s="248" t="s">
        <v>3012</v>
      </c>
      <c r="J11" s="233" t="s">
        <v>3221</v>
      </c>
      <c r="K11" s="162"/>
      <c r="L11" s="241"/>
      <c r="M11" s="241"/>
      <c r="N11" s="161"/>
      <c r="O11" s="139" t="s">
        <v>13</v>
      </c>
      <c r="P11" s="40" t="s">
        <v>29</v>
      </c>
      <c r="Q11" s="229" t="s">
        <v>3223</v>
      </c>
      <c r="R11" s="201" t="s">
        <v>2916</v>
      </c>
      <c r="S11" s="141" t="s">
        <v>16</v>
      </c>
      <c r="T11" s="243"/>
    </row>
    <row r="12" spans="1:20" ht="58" customHeight="1">
      <c r="A12" s="231" t="s">
        <v>2435</v>
      </c>
      <c r="B12" s="42" t="s">
        <v>5</v>
      </c>
      <c r="C12" s="41" t="s">
        <v>1520</v>
      </c>
      <c r="D12" s="41" t="s">
        <v>33</v>
      </c>
      <c r="E12" s="200" t="s">
        <v>675</v>
      </c>
      <c r="F12" s="200" t="s">
        <v>3947</v>
      </c>
      <c r="G12" s="245" t="s">
        <v>3004</v>
      </c>
      <c r="H12" s="42" t="s">
        <v>2</v>
      </c>
      <c r="I12" s="248" t="s">
        <v>3012</v>
      </c>
      <c r="J12" s="233" t="s">
        <v>3221</v>
      </c>
      <c r="K12" s="162"/>
      <c r="L12" s="241"/>
      <c r="M12" s="241"/>
      <c r="N12" s="161"/>
      <c r="O12" s="139" t="s">
        <v>31</v>
      </c>
      <c r="P12" s="40" t="s">
        <v>32</v>
      </c>
      <c r="Q12" s="229" t="s">
        <v>3223</v>
      </c>
      <c r="R12" s="201" t="s">
        <v>2920</v>
      </c>
      <c r="S12" s="141" t="s">
        <v>34</v>
      </c>
      <c r="T12" s="243"/>
    </row>
    <row r="13" spans="1:20" ht="58" customHeight="1">
      <c r="A13" s="231" t="s">
        <v>2435</v>
      </c>
      <c r="B13" s="42" t="s">
        <v>5</v>
      </c>
      <c r="C13" s="41" t="s">
        <v>1520</v>
      </c>
      <c r="D13" s="41" t="s">
        <v>36</v>
      </c>
      <c r="E13" s="200" t="s">
        <v>676</v>
      </c>
      <c r="F13" s="200" t="s">
        <v>3948</v>
      </c>
      <c r="G13" s="245" t="s">
        <v>3007</v>
      </c>
      <c r="H13" s="42" t="s">
        <v>1522</v>
      </c>
      <c r="I13" s="248" t="s">
        <v>3014</v>
      </c>
      <c r="J13" s="233" t="s">
        <v>3806</v>
      </c>
      <c r="K13" s="162" t="s">
        <v>4236</v>
      </c>
      <c r="L13" s="241" t="s">
        <v>4342</v>
      </c>
      <c r="M13" s="241" t="s">
        <v>4343</v>
      </c>
      <c r="N13" s="161" t="s">
        <v>4257</v>
      </c>
      <c r="O13" s="139" t="s">
        <v>31</v>
      </c>
      <c r="P13" s="40" t="s">
        <v>35</v>
      </c>
      <c r="Q13" s="229" t="s">
        <v>3223</v>
      </c>
      <c r="R13" s="201" t="s">
        <v>2921</v>
      </c>
      <c r="S13" s="141" t="s">
        <v>34</v>
      </c>
      <c r="T13" s="243"/>
    </row>
    <row r="14" spans="1:20" ht="58" customHeight="1">
      <c r="A14" s="231" t="s">
        <v>2435</v>
      </c>
      <c r="B14" s="42" t="s">
        <v>5</v>
      </c>
      <c r="C14" s="41" t="s">
        <v>1520</v>
      </c>
      <c r="D14" s="41" t="s">
        <v>4140</v>
      </c>
      <c r="E14" s="200" t="s">
        <v>677</v>
      </c>
      <c r="F14" s="200" t="s">
        <v>3949</v>
      </c>
      <c r="G14" s="245" t="s">
        <v>3007</v>
      </c>
      <c r="H14" s="42" t="s">
        <v>1522</v>
      </c>
      <c r="I14" s="248" t="s">
        <v>3014</v>
      </c>
      <c r="J14" s="233" t="s">
        <v>3807</v>
      </c>
      <c r="K14" s="162" t="s">
        <v>4141</v>
      </c>
      <c r="L14" s="241" t="s">
        <v>4344</v>
      </c>
      <c r="M14" s="241" t="s">
        <v>4345</v>
      </c>
      <c r="N14" s="161" t="s">
        <v>4257</v>
      </c>
      <c r="O14" s="139" t="s">
        <v>31</v>
      </c>
      <c r="P14" s="40" t="s">
        <v>4139</v>
      </c>
      <c r="Q14" s="229" t="s">
        <v>3223</v>
      </c>
      <c r="R14" s="201" t="s">
        <v>2921</v>
      </c>
      <c r="S14" s="141" t="s">
        <v>34</v>
      </c>
      <c r="T14" s="243"/>
    </row>
    <row r="15" spans="1:20" ht="58" customHeight="1">
      <c r="A15" s="231" t="s">
        <v>2435</v>
      </c>
      <c r="B15" s="42" t="s">
        <v>5</v>
      </c>
      <c r="C15" s="41" t="s">
        <v>1520</v>
      </c>
      <c r="D15" s="41" t="s">
        <v>4142</v>
      </c>
      <c r="E15" s="200" t="s">
        <v>677</v>
      </c>
      <c r="F15" s="200" t="s">
        <v>3949</v>
      </c>
      <c r="G15" s="245" t="s">
        <v>3007</v>
      </c>
      <c r="H15" s="42" t="s">
        <v>1522</v>
      </c>
      <c r="I15" s="248" t="s">
        <v>3014</v>
      </c>
      <c r="J15" s="233" t="s">
        <v>3807</v>
      </c>
      <c r="K15" s="162" t="s">
        <v>4144</v>
      </c>
      <c r="L15" s="241" t="s">
        <v>4364</v>
      </c>
      <c r="M15" s="241" t="s">
        <v>4365</v>
      </c>
      <c r="N15" s="161" t="s">
        <v>4258</v>
      </c>
      <c r="O15" s="139" t="s">
        <v>31</v>
      </c>
      <c r="P15" s="40" t="s">
        <v>4143</v>
      </c>
      <c r="Q15" s="229" t="s">
        <v>3223</v>
      </c>
      <c r="R15" s="201" t="s">
        <v>2921</v>
      </c>
      <c r="S15" s="141" t="s">
        <v>34</v>
      </c>
      <c r="T15" s="243"/>
    </row>
    <row r="16" spans="1:20" ht="58" customHeight="1">
      <c r="A16" s="231" t="s">
        <v>2435</v>
      </c>
      <c r="B16" s="42" t="s">
        <v>5</v>
      </c>
      <c r="C16" s="41" t="s">
        <v>1520</v>
      </c>
      <c r="D16" s="41" t="s">
        <v>39</v>
      </c>
      <c r="E16" s="200" t="s">
        <v>678</v>
      </c>
      <c r="F16" s="200" t="s">
        <v>3950</v>
      </c>
      <c r="G16" s="245" t="s">
        <v>3007</v>
      </c>
      <c r="H16" s="42" t="s">
        <v>1522</v>
      </c>
      <c r="I16" s="248" t="s">
        <v>3014</v>
      </c>
      <c r="J16" s="233" t="s">
        <v>3808</v>
      </c>
      <c r="K16" s="162" t="s">
        <v>4237</v>
      </c>
      <c r="L16" s="241" t="s">
        <v>4346</v>
      </c>
      <c r="M16" s="241" t="s">
        <v>4347</v>
      </c>
      <c r="N16" s="161" t="s">
        <v>4257</v>
      </c>
      <c r="O16" s="139" t="s">
        <v>31</v>
      </c>
      <c r="P16" s="40" t="s">
        <v>38</v>
      </c>
      <c r="Q16" s="229" t="s">
        <v>3223</v>
      </c>
      <c r="R16" s="201" t="s">
        <v>2921</v>
      </c>
      <c r="S16" s="141" t="s">
        <v>34</v>
      </c>
      <c r="T16" s="243"/>
    </row>
    <row r="17" spans="1:20" ht="58" customHeight="1">
      <c r="A17" s="231" t="s">
        <v>2435</v>
      </c>
      <c r="B17" s="42" t="s">
        <v>5</v>
      </c>
      <c r="C17" s="41" t="s">
        <v>1520</v>
      </c>
      <c r="D17" s="41" t="s">
        <v>4146</v>
      </c>
      <c r="E17" s="200" t="s">
        <v>679</v>
      </c>
      <c r="F17" s="200" t="s">
        <v>4056</v>
      </c>
      <c r="G17" s="245" t="s">
        <v>3007</v>
      </c>
      <c r="H17" s="42" t="s">
        <v>1522</v>
      </c>
      <c r="I17" s="248" t="s">
        <v>3014</v>
      </c>
      <c r="J17" s="233" t="s">
        <v>3809</v>
      </c>
      <c r="K17" s="162" t="s">
        <v>4147</v>
      </c>
      <c r="L17" s="241" t="s">
        <v>4348</v>
      </c>
      <c r="M17" s="241" t="s">
        <v>4349</v>
      </c>
      <c r="N17" s="161" t="s">
        <v>4257</v>
      </c>
      <c r="O17" s="139" t="s">
        <v>31</v>
      </c>
      <c r="P17" s="40" t="s">
        <v>4145</v>
      </c>
      <c r="Q17" s="229" t="s">
        <v>3223</v>
      </c>
      <c r="R17" s="201" t="s">
        <v>2921</v>
      </c>
      <c r="S17" s="141" t="s">
        <v>34</v>
      </c>
      <c r="T17" s="243"/>
    </row>
    <row r="18" spans="1:20" ht="58" customHeight="1">
      <c r="A18" s="231" t="s">
        <v>2435</v>
      </c>
      <c r="B18" s="42" t="s">
        <v>5</v>
      </c>
      <c r="C18" s="41" t="s">
        <v>1520</v>
      </c>
      <c r="D18" s="41" t="s">
        <v>4148</v>
      </c>
      <c r="E18" s="200" t="s">
        <v>679</v>
      </c>
      <c r="F18" s="200" t="s">
        <v>4056</v>
      </c>
      <c r="G18" s="245" t="s">
        <v>3007</v>
      </c>
      <c r="H18" s="42" t="s">
        <v>1522</v>
      </c>
      <c r="I18" s="248" t="s">
        <v>3014</v>
      </c>
      <c r="J18" s="233" t="s">
        <v>3809</v>
      </c>
      <c r="K18" s="162" t="s">
        <v>4150</v>
      </c>
      <c r="L18" s="241" t="s">
        <v>4350</v>
      </c>
      <c r="M18" s="241" t="s">
        <v>4351</v>
      </c>
      <c r="N18" s="161" t="s">
        <v>4257</v>
      </c>
      <c r="O18" s="139" t="s">
        <v>31</v>
      </c>
      <c r="P18" s="40" t="s">
        <v>4149</v>
      </c>
      <c r="Q18" s="229" t="s">
        <v>3223</v>
      </c>
      <c r="R18" s="201" t="s">
        <v>2921</v>
      </c>
      <c r="S18" s="141" t="s">
        <v>34</v>
      </c>
      <c r="T18" s="243"/>
    </row>
    <row r="19" spans="1:20" ht="58" customHeight="1">
      <c r="A19" s="231" t="s">
        <v>2435</v>
      </c>
      <c r="B19" s="42" t="s">
        <v>5</v>
      </c>
      <c r="C19" s="41" t="s">
        <v>1520</v>
      </c>
      <c r="D19" s="41" t="s">
        <v>42</v>
      </c>
      <c r="E19" s="200" t="s">
        <v>680</v>
      </c>
      <c r="F19" s="200" t="s">
        <v>4057</v>
      </c>
      <c r="G19" s="245" t="s">
        <v>3007</v>
      </c>
      <c r="H19" s="42" t="s">
        <v>1522</v>
      </c>
      <c r="I19" s="248" t="s">
        <v>3014</v>
      </c>
      <c r="J19" s="233" t="s">
        <v>3810</v>
      </c>
      <c r="K19" s="162" t="s">
        <v>4242</v>
      </c>
      <c r="L19" s="241" t="s">
        <v>4366</v>
      </c>
      <c r="M19" s="241" t="s">
        <v>4367</v>
      </c>
      <c r="N19" s="161" t="s">
        <v>4258</v>
      </c>
      <c r="O19" s="139" t="s">
        <v>31</v>
      </c>
      <c r="P19" s="40" t="s">
        <v>41</v>
      </c>
      <c r="Q19" s="229" t="s">
        <v>3223</v>
      </c>
      <c r="R19" s="201" t="s">
        <v>2921</v>
      </c>
      <c r="S19" s="141" t="s">
        <v>34</v>
      </c>
      <c r="T19" s="243"/>
    </row>
    <row r="20" spans="1:20" ht="58" customHeight="1">
      <c r="A20" s="231" t="s">
        <v>2435</v>
      </c>
      <c r="B20" s="42" t="s">
        <v>5</v>
      </c>
      <c r="C20" s="41" t="s">
        <v>1523</v>
      </c>
      <c r="D20" s="41" t="s">
        <v>45</v>
      </c>
      <c r="E20" s="200" t="s">
        <v>681</v>
      </c>
      <c r="F20" s="200" t="s">
        <v>3951</v>
      </c>
      <c r="G20" s="245" t="s">
        <v>3007</v>
      </c>
      <c r="H20" s="42" t="s">
        <v>1522</v>
      </c>
      <c r="I20" s="248" t="s">
        <v>3014</v>
      </c>
      <c r="J20" s="233" t="s">
        <v>3811</v>
      </c>
      <c r="K20" s="162" t="s">
        <v>4227</v>
      </c>
      <c r="L20" s="241" t="s">
        <v>4308</v>
      </c>
      <c r="M20" s="241" t="s">
        <v>4309</v>
      </c>
      <c r="N20" s="161" t="s">
        <v>4256</v>
      </c>
      <c r="O20" s="139" t="s">
        <v>43</v>
      </c>
      <c r="P20" s="40" t="s">
        <v>44</v>
      </c>
      <c r="Q20" s="229" t="s">
        <v>3223</v>
      </c>
      <c r="R20" s="201" t="s">
        <v>2921</v>
      </c>
      <c r="S20" s="141" t="s">
        <v>46</v>
      </c>
      <c r="T20" s="243"/>
    </row>
    <row r="21" spans="1:20" ht="58" customHeight="1">
      <c r="A21" s="231" t="s">
        <v>2435</v>
      </c>
      <c r="B21" s="42" t="s">
        <v>5</v>
      </c>
      <c r="C21" s="41" t="s">
        <v>1523</v>
      </c>
      <c r="D21" s="41" t="s">
        <v>48</v>
      </c>
      <c r="E21" s="200" t="s">
        <v>682</v>
      </c>
      <c r="F21" s="200" t="s">
        <v>3952</v>
      </c>
      <c r="G21" s="245" t="s">
        <v>3007</v>
      </c>
      <c r="H21" s="42" t="s">
        <v>1522</v>
      </c>
      <c r="I21" s="248" t="s">
        <v>3014</v>
      </c>
      <c r="J21" s="233" t="s">
        <v>3812</v>
      </c>
      <c r="K21" s="162" t="s">
        <v>4228</v>
      </c>
      <c r="L21" s="241" t="s">
        <v>4310</v>
      </c>
      <c r="M21" s="241" t="s">
        <v>4311</v>
      </c>
      <c r="N21" s="161" t="s">
        <v>4256</v>
      </c>
      <c r="O21" s="139" t="s">
        <v>43</v>
      </c>
      <c r="P21" s="40" t="s">
        <v>47</v>
      </c>
      <c r="Q21" s="229" t="s">
        <v>3223</v>
      </c>
      <c r="R21" s="201" t="s">
        <v>2921</v>
      </c>
      <c r="S21" s="141" t="s">
        <v>46</v>
      </c>
      <c r="T21" s="243"/>
    </row>
    <row r="22" spans="1:20" ht="58" customHeight="1">
      <c r="A22" s="231" t="s">
        <v>2435</v>
      </c>
      <c r="B22" s="42" t="s">
        <v>5</v>
      </c>
      <c r="C22" s="41" t="s">
        <v>1523</v>
      </c>
      <c r="D22" s="41" t="s">
        <v>50</v>
      </c>
      <c r="E22" s="200" t="s">
        <v>683</v>
      </c>
      <c r="F22" s="200" t="s">
        <v>3953</v>
      </c>
      <c r="G22" s="245" t="s">
        <v>3007</v>
      </c>
      <c r="H22" s="42" t="s">
        <v>1522</v>
      </c>
      <c r="I22" s="248" t="s">
        <v>3014</v>
      </c>
      <c r="J22" s="233" t="s">
        <v>3813</v>
      </c>
      <c r="K22" s="162" t="s">
        <v>4229</v>
      </c>
      <c r="L22" s="241" t="s">
        <v>4312</v>
      </c>
      <c r="M22" s="241" t="s">
        <v>4313</v>
      </c>
      <c r="N22" s="161" t="s">
        <v>4256</v>
      </c>
      <c r="O22" s="139" t="s">
        <v>43</v>
      </c>
      <c r="P22" s="40" t="s">
        <v>49</v>
      </c>
      <c r="Q22" s="229" t="s">
        <v>3223</v>
      </c>
      <c r="R22" s="201" t="s">
        <v>2921</v>
      </c>
      <c r="S22" s="141" t="s">
        <v>46</v>
      </c>
      <c r="T22" s="243"/>
    </row>
    <row r="23" spans="1:20" ht="58" customHeight="1">
      <c r="A23" s="231" t="s">
        <v>2435</v>
      </c>
      <c r="B23" s="42" t="s">
        <v>5</v>
      </c>
      <c r="C23" s="41" t="s">
        <v>1523</v>
      </c>
      <c r="D23" s="41" t="s">
        <v>52</v>
      </c>
      <c r="E23" s="200" t="s">
        <v>684</v>
      </c>
      <c r="F23" s="200" t="s">
        <v>3954</v>
      </c>
      <c r="G23" s="245" t="s">
        <v>3007</v>
      </c>
      <c r="H23" s="42" t="s">
        <v>1522</v>
      </c>
      <c r="I23" s="248" t="s">
        <v>3014</v>
      </c>
      <c r="J23" s="233" t="s">
        <v>3814</v>
      </c>
      <c r="K23" s="162" t="s">
        <v>4230</v>
      </c>
      <c r="L23" s="241" t="s">
        <v>4314</v>
      </c>
      <c r="M23" s="241" t="s">
        <v>4315</v>
      </c>
      <c r="N23" s="161" t="s">
        <v>4256</v>
      </c>
      <c r="O23" s="139" t="s">
        <v>43</v>
      </c>
      <c r="P23" s="40" t="s">
        <v>51</v>
      </c>
      <c r="Q23" s="229" t="s">
        <v>3223</v>
      </c>
      <c r="R23" s="201" t="s">
        <v>2921</v>
      </c>
      <c r="S23" s="141" t="s">
        <v>46</v>
      </c>
      <c r="T23" s="243"/>
    </row>
    <row r="24" spans="1:20" ht="58" customHeight="1">
      <c r="A24" s="231" t="s">
        <v>2435</v>
      </c>
      <c r="B24" s="42" t="s">
        <v>5</v>
      </c>
      <c r="C24" s="41" t="s">
        <v>1523</v>
      </c>
      <c r="D24" s="41" t="s">
        <v>54</v>
      </c>
      <c r="E24" s="200" t="s">
        <v>685</v>
      </c>
      <c r="F24" s="200" t="s">
        <v>3953</v>
      </c>
      <c r="G24" s="245" t="s">
        <v>3006</v>
      </c>
      <c r="H24" s="42" t="s">
        <v>1522</v>
      </c>
      <c r="I24" s="248" t="s">
        <v>3014</v>
      </c>
      <c r="J24" s="233" t="s">
        <v>3815</v>
      </c>
      <c r="K24" s="162" t="s">
        <v>4520</v>
      </c>
      <c r="L24" s="241" t="s">
        <v>4521</v>
      </c>
      <c r="M24" s="241"/>
      <c r="N24" s="161" t="s">
        <v>4256</v>
      </c>
      <c r="O24" s="139" t="s">
        <v>43</v>
      </c>
      <c r="P24" s="40" t="s">
        <v>53</v>
      </c>
      <c r="Q24" s="229" t="s">
        <v>3223</v>
      </c>
      <c r="R24" s="201" t="s">
        <v>2963</v>
      </c>
      <c r="S24" s="141" t="s">
        <v>46</v>
      </c>
      <c r="T24" s="243"/>
    </row>
    <row r="25" spans="1:20" ht="58" customHeight="1">
      <c r="A25" s="231" t="s">
        <v>2435</v>
      </c>
      <c r="B25" s="42" t="s">
        <v>5</v>
      </c>
      <c r="C25" s="41" t="s">
        <v>1523</v>
      </c>
      <c r="D25" s="41" t="s">
        <v>56</v>
      </c>
      <c r="E25" s="200" t="s">
        <v>686</v>
      </c>
      <c r="F25" s="200" t="s">
        <v>3955</v>
      </c>
      <c r="G25" s="245" t="s">
        <v>3006</v>
      </c>
      <c r="H25" s="42" t="s">
        <v>1522</v>
      </c>
      <c r="I25" s="248" t="s">
        <v>4478</v>
      </c>
      <c r="J25" s="233" t="s">
        <v>3816</v>
      </c>
      <c r="K25" s="162" t="s">
        <v>4259</v>
      </c>
      <c r="L25" s="241" t="s">
        <v>4376</v>
      </c>
      <c r="M25" s="241" t="s">
        <v>4377</v>
      </c>
      <c r="N25" s="161" t="s">
        <v>4256</v>
      </c>
      <c r="O25" s="139" t="s">
        <v>43</v>
      </c>
      <c r="P25" s="40" t="s">
        <v>55</v>
      </c>
      <c r="Q25" s="229" t="s">
        <v>3223</v>
      </c>
      <c r="R25" s="201" t="s">
        <v>2963</v>
      </c>
      <c r="S25" s="141" t="s">
        <v>46</v>
      </c>
      <c r="T25" s="243"/>
    </row>
    <row r="26" spans="1:20" ht="58" customHeight="1">
      <c r="A26" s="231" t="s">
        <v>2435</v>
      </c>
      <c r="B26" s="42" t="s">
        <v>5</v>
      </c>
      <c r="C26" s="41" t="s">
        <v>1523</v>
      </c>
      <c r="D26" s="41" t="s">
        <v>58</v>
      </c>
      <c r="E26" s="200" t="s">
        <v>687</v>
      </c>
      <c r="F26" s="200" t="s">
        <v>3939</v>
      </c>
      <c r="G26" s="245" t="s">
        <v>4538</v>
      </c>
      <c r="H26" s="42" t="s">
        <v>2</v>
      </c>
      <c r="I26" s="248" t="s">
        <v>3012</v>
      </c>
      <c r="J26" s="233" t="s">
        <v>3221</v>
      </c>
      <c r="K26" s="162"/>
      <c r="L26" s="241"/>
      <c r="M26" s="241"/>
      <c r="N26" s="161"/>
      <c r="O26" s="139" t="s">
        <v>43</v>
      </c>
      <c r="P26" s="40" t="s">
        <v>57</v>
      </c>
      <c r="Q26" s="229" t="s">
        <v>3223</v>
      </c>
      <c r="R26" s="201" t="s">
        <v>2923</v>
      </c>
      <c r="S26" s="141" t="s">
        <v>46</v>
      </c>
      <c r="T26" s="243"/>
    </row>
    <row r="27" spans="1:20" ht="58" customHeight="1">
      <c r="A27" s="231" t="s">
        <v>2435</v>
      </c>
      <c r="B27" s="42" t="s">
        <v>5</v>
      </c>
      <c r="C27" s="41" t="s">
        <v>1523</v>
      </c>
      <c r="D27" s="41" t="s">
        <v>62</v>
      </c>
      <c r="E27" s="200" t="s">
        <v>3745</v>
      </c>
      <c r="F27" s="200" t="s">
        <v>3330</v>
      </c>
      <c r="G27" s="245" t="s">
        <v>3331</v>
      </c>
      <c r="H27" s="42" t="s">
        <v>1522</v>
      </c>
      <c r="I27" s="248" t="s">
        <v>3014</v>
      </c>
      <c r="J27" s="233" t="s">
        <v>4065</v>
      </c>
      <c r="K27" s="162" t="s">
        <v>4536</v>
      </c>
      <c r="L27" s="241" t="s">
        <v>4537</v>
      </c>
      <c r="M27" s="241"/>
      <c r="N27" s="161" t="s">
        <v>4256</v>
      </c>
      <c r="O27" s="139" t="s">
        <v>60</v>
      </c>
      <c r="P27" s="40" t="s">
        <v>61</v>
      </c>
      <c r="Q27" s="229" t="s">
        <v>3223</v>
      </c>
      <c r="R27" s="201" t="s">
        <v>2924</v>
      </c>
      <c r="S27" s="141" t="s">
        <v>63</v>
      </c>
      <c r="T27" s="243"/>
    </row>
    <row r="28" spans="1:20" ht="58" customHeight="1">
      <c r="A28" s="231" t="s">
        <v>2435</v>
      </c>
      <c r="B28" s="42" t="s">
        <v>5</v>
      </c>
      <c r="C28" s="41" t="s">
        <v>1523</v>
      </c>
      <c r="D28" s="41" t="s">
        <v>4122</v>
      </c>
      <c r="E28" s="200" t="s">
        <v>3747</v>
      </c>
      <c r="F28" s="200" t="s">
        <v>3956</v>
      </c>
      <c r="G28" s="245" t="s">
        <v>3007</v>
      </c>
      <c r="H28" s="42" t="s">
        <v>1522</v>
      </c>
      <c r="I28" s="248" t="s">
        <v>4091</v>
      </c>
      <c r="J28" s="233" t="s">
        <v>3817</v>
      </c>
      <c r="K28" s="162" t="s">
        <v>4123</v>
      </c>
      <c r="L28" s="241" t="s">
        <v>4322</v>
      </c>
      <c r="M28" s="241" t="s">
        <v>4323</v>
      </c>
      <c r="N28" s="161" t="s">
        <v>4257</v>
      </c>
      <c r="O28" s="139" t="s">
        <v>60</v>
      </c>
      <c r="P28" s="40" t="s">
        <v>4121</v>
      </c>
      <c r="Q28" s="229" t="s">
        <v>3223</v>
      </c>
      <c r="R28" s="201" t="s">
        <v>2925</v>
      </c>
      <c r="S28" s="141" t="s">
        <v>63</v>
      </c>
      <c r="T28" s="243"/>
    </row>
    <row r="29" spans="1:20" ht="58" customHeight="1">
      <c r="A29" s="231" t="s">
        <v>2435</v>
      </c>
      <c r="B29" s="42" t="s">
        <v>5</v>
      </c>
      <c r="C29" s="41" t="s">
        <v>1523</v>
      </c>
      <c r="D29" s="41" t="s">
        <v>4124</v>
      </c>
      <c r="E29" s="200" t="s">
        <v>3747</v>
      </c>
      <c r="F29" s="200" t="s">
        <v>3956</v>
      </c>
      <c r="G29" s="245" t="s">
        <v>3007</v>
      </c>
      <c r="H29" s="42" t="s">
        <v>1522</v>
      </c>
      <c r="I29" s="248" t="s">
        <v>4091</v>
      </c>
      <c r="J29" s="233" t="s">
        <v>3817</v>
      </c>
      <c r="K29" s="162" t="s">
        <v>4126</v>
      </c>
      <c r="L29" s="241" t="s">
        <v>4324</v>
      </c>
      <c r="M29" s="241" t="s">
        <v>4325</v>
      </c>
      <c r="N29" s="161" t="s">
        <v>4257</v>
      </c>
      <c r="O29" s="139" t="s">
        <v>60</v>
      </c>
      <c r="P29" s="40" t="s">
        <v>4125</v>
      </c>
      <c r="Q29" s="229" t="s">
        <v>3223</v>
      </c>
      <c r="R29" s="201" t="s">
        <v>2925</v>
      </c>
      <c r="S29" s="141" t="s">
        <v>63</v>
      </c>
      <c r="T29" s="243"/>
    </row>
    <row r="30" spans="1:20" ht="58" customHeight="1">
      <c r="A30" s="231" t="s">
        <v>2435</v>
      </c>
      <c r="B30" s="42" t="s">
        <v>5</v>
      </c>
      <c r="C30" s="41" t="s">
        <v>1523</v>
      </c>
      <c r="D30" s="41" t="s">
        <v>69</v>
      </c>
      <c r="E30" s="200" t="s">
        <v>690</v>
      </c>
      <c r="F30" s="200" t="s">
        <v>3957</v>
      </c>
      <c r="G30" s="245" t="s">
        <v>3004</v>
      </c>
      <c r="H30" s="42" t="s">
        <v>2</v>
      </c>
      <c r="I30" s="248" t="s">
        <v>3012</v>
      </c>
      <c r="J30" s="233" t="s">
        <v>3221</v>
      </c>
      <c r="K30" s="162"/>
      <c r="L30" s="241"/>
      <c r="M30" s="241"/>
      <c r="N30" s="161"/>
      <c r="O30" s="139" t="s">
        <v>67</v>
      </c>
      <c r="P30" s="40" t="s">
        <v>68</v>
      </c>
      <c r="Q30" s="229" t="s">
        <v>3223</v>
      </c>
      <c r="R30" s="201" t="s">
        <v>2926</v>
      </c>
      <c r="S30" s="141" t="s">
        <v>70</v>
      </c>
      <c r="T30" s="243"/>
    </row>
    <row r="31" spans="1:20" ht="58" customHeight="1">
      <c r="A31" s="231" t="s">
        <v>2435</v>
      </c>
      <c r="B31" s="42" t="s">
        <v>5</v>
      </c>
      <c r="C31" s="41" t="s">
        <v>1523</v>
      </c>
      <c r="D31" s="41" t="s">
        <v>72</v>
      </c>
      <c r="E31" s="200" t="s">
        <v>691</v>
      </c>
      <c r="F31" s="200" t="s">
        <v>3958</v>
      </c>
      <c r="G31" s="245" t="s">
        <v>3007</v>
      </c>
      <c r="H31" s="42" t="s">
        <v>1522</v>
      </c>
      <c r="I31" s="248" t="s">
        <v>3014</v>
      </c>
      <c r="J31" s="233" t="s">
        <v>3818</v>
      </c>
      <c r="K31" s="162" t="s">
        <v>4232</v>
      </c>
      <c r="L31" s="241" t="s">
        <v>4326</v>
      </c>
      <c r="M31" s="241" t="s">
        <v>4327</v>
      </c>
      <c r="N31" s="161" t="s">
        <v>4257</v>
      </c>
      <c r="O31" s="139" t="s">
        <v>67</v>
      </c>
      <c r="P31" s="40" t="s">
        <v>71</v>
      </c>
      <c r="Q31" s="229" t="s">
        <v>3223</v>
      </c>
      <c r="R31" s="201" t="s">
        <v>2921</v>
      </c>
      <c r="S31" s="141" t="s">
        <v>70</v>
      </c>
      <c r="T31" s="243"/>
    </row>
    <row r="32" spans="1:20" ht="58" customHeight="1">
      <c r="A32" s="231" t="s">
        <v>2435</v>
      </c>
      <c r="B32" s="42" t="s">
        <v>5</v>
      </c>
      <c r="C32" s="41" t="s">
        <v>1523</v>
      </c>
      <c r="D32" s="41" t="s">
        <v>66</v>
      </c>
      <c r="E32" s="200" t="s">
        <v>689</v>
      </c>
      <c r="F32" s="200" t="s">
        <v>3959</v>
      </c>
      <c r="G32" s="245" t="s">
        <v>3004</v>
      </c>
      <c r="H32" s="42" t="s">
        <v>2</v>
      </c>
      <c r="I32" s="248" t="s">
        <v>3012</v>
      </c>
      <c r="J32" s="233" t="s">
        <v>3221</v>
      </c>
      <c r="K32" s="162"/>
      <c r="L32" s="241"/>
      <c r="M32" s="241"/>
      <c r="N32" s="161"/>
      <c r="O32" s="139" t="s">
        <v>60</v>
      </c>
      <c r="P32" s="40" t="s">
        <v>65</v>
      </c>
      <c r="Q32" s="229" t="s">
        <v>3223</v>
      </c>
      <c r="R32" s="201" t="s">
        <v>2926</v>
      </c>
      <c r="S32" s="141" t="s">
        <v>63</v>
      </c>
      <c r="T32" s="243"/>
    </row>
    <row r="33" spans="1:20" ht="58" customHeight="1">
      <c r="A33" s="231" t="s">
        <v>2435</v>
      </c>
      <c r="B33" s="42" t="s">
        <v>5</v>
      </c>
      <c r="C33" s="41" t="s">
        <v>1523</v>
      </c>
      <c r="D33" s="41" t="s">
        <v>4116</v>
      </c>
      <c r="E33" s="200" t="s">
        <v>692</v>
      </c>
      <c r="F33" s="200" t="s">
        <v>3960</v>
      </c>
      <c r="G33" s="245" t="s">
        <v>3007</v>
      </c>
      <c r="H33" s="42" t="s">
        <v>1522</v>
      </c>
      <c r="I33" s="248" t="s">
        <v>4091</v>
      </c>
      <c r="J33" s="233" t="s">
        <v>3819</v>
      </c>
      <c r="K33" s="162" t="s">
        <v>4117</v>
      </c>
      <c r="L33" s="241" t="s">
        <v>4316</v>
      </c>
      <c r="M33" s="241" t="s">
        <v>4317</v>
      </c>
      <c r="N33" s="161" t="s">
        <v>4256</v>
      </c>
      <c r="O33" s="139" t="s">
        <v>67</v>
      </c>
      <c r="P33" s="40" t="s">
        <v>4115</v>
      </c>
      <c r="Q33" s="229" t="s">
        <v>3223</v>
      </c>
      <c r="R33" s="201" t="s">
        <v>2921</v>
      </c>
      <c r="S33" s="141" t="s">
        <v>70</v>
      </c>
      <c r="T33" s="243"/>
    </row>
    <row r="34" spans="1:20" ht="58" customHeight="1">
      <c r="A34" s="231" t="s">
        <v>2435</v>
      </c>
      <c r="B34" s="42" t="s">
        <v>5</v>
      </c>
      <c r="C34" s="41" t="s">
        <v>1523</v>
      </c>
      <c r="D34" s="41" t="s">
        <v>4118</v>
      </c>
      <c r="E34" s="200" t="s">
        <v>692</v>
      </c>
      <c r="F34" s="200" t="s">
        <v>3960</v>
      </c>
      <c r="G34" s="245" t="s">
        <v>3007</v>
      </c>
      <c r="H34" s="42" t="s">
        <v>1522</v>
      </c>
      <c r="I34" s="248" t="s">
        <v>4091</v>
      </c>
      <c r="J34" s="233" t="s">
        <v>3819</v>
      </c>
      <c r="K34" s="162" t="s">
        <v>4120</v>
      </c>
      <c r="L34" s="241" t="s">
        <v>4318</v>
      </c>
      <c r="M34" s="241" t="s">
        <v>4319</v>
      </c>
      <c r="N34" s="161" t="s">
        <v>4256</v>
      </c>
      <c r="O34" s="139" t="s">
        <v>67</v>
      </c>
      <c r="P34" s="40" t="s">
        <v>4119</v>
      </c>
      <c r="Q34" s="229" t="s">
        <v>3223</v>
      </c>
      <c r="R34" s="201" t="s">
        <v>2921</v>
      </c>
      <c r="S34" s="141" t="s">
        <v>70</v>
      </c>
      <c r="T34" s="243"/>
    </row>
    <row r="35" spans="1:20" ht="58" customHeight="1">
      <c r="A35" s="231" t="s">
        <v>2435</v>
      </c>
      <c r="B35" s="42" t="s">
        <v>5</v>
      </c>
      <c r="C35" s="41" t="s">
        <v>1523</v>
      </c>
      <c r="D35" s="41" t="s">
        <v>4128</v>
      </c>
      <c r="E35" s="200" t="s">
        <v>688</v>
      </c>
      <c r="F35" s="200" t="s">
        <v>3961</v>
      </c>
      <c r="G35" s="245" t="s">
        <v>3007</v>
      </c>
      <c r="H35" s="42" t="s">
        <v>1522</v>
      </c>
      <c r="I35" s="248" t="s">
        <v>3014</v>
      </c>
      <c r="J35" s="233" t="s">
        <v>3820</v>
      </c>
      <c r="K35" s="162" t="s">
        <v>4129</v>
      </c>
      <c r="L35" s="241" t="s">
        <v>4328</v>
      </c>
      <c r="M35" s="241" t="s">
        <v>4329</v>
      </c>
      <c r="N35" s="161" t="s">
        <v>4257</v>
      </c>
      <c r="O35" s="139" t="s">
        <v>43</v>
      </c>
      <c r="P35" s="40" t="s">
        <v>4127</v>
      </c>
      <c r="Q35" s="229" t="s">
        <v>3223</v>
      </c>
      <c r="R35" s="201" t="s">
        <v>2921</v>
      </c>
      <c r="S35" s="141" t="s">
        <v>46</v>
      </c>
      <c r="T35" s="243"/>
    </row>
    <row r="36" spans="1:20" ht="58" customHeight="1">
      <c r="A36" s="231" t="s">
        <v>2435</v>
      </c>
      <c r="B36" s="42" t="s">
        <v>5</v>
      </c>
      <c r="C36" s="41" t="s">
        <v>1523</v>
      </c>
      <c r="D36" s="41" t="s">
        <v>4130</v>
      </c>
      <c r="E36" s="200" t="s">
        <v>688</v>
      </c>
      <c r="F36" s="200" t="s">
        <v>3961</v>
      </c>
      <c r="G36" s="245" t="s">
        <v>3007</v>
      </c>
      <c r="H36" s="42" t="s">
        <v>1522</v>
      </c>
      <c r="I36" s="248" t="s">
        <v>3014</v>
      </c>
      <c r="J36" s="233" t="s">
        <v>3820</v>
      </c>
      <c r="K36" s="162" t="s">
        <v>4132</v>
      </c>
      <c r="L36" s="241" t="s">
        <v>4330</v>
      </c>
      <c r="M36" s="241" t="s">
        <v>4331</v>
      </c>
      <c r="N36" s="161" t="s">
        <v>4257</v>
      </c>
      <c r="O36" s="139" t="s">
        <v>43</v>
      </c>
      <c r="P36" s="40" t="s">
        <v>4131</v>
      </c>
      <c r="Q36" s="229" t="s">
        <v>3223</v>
      </c>
      <c r="R36" s="201" t="s">
        <v>2921</v>
      </c>
      <c r="S36" s="141" t="s">
        <v>46</v>
      </c>
      <c r="T36" s="243"/>
    </row>
    <row r="37" spans="1:20" ht="58" customHeight="1">
      <c r="A37" s="231" t="s">
        <v>2435</v>
      </c>
      <c r="B37" s="42" t="s">
        <v>5</v>
      </c>
      <c r="C37" s="41" t="s">
        <v>1524</v>
      </c>
      <c r="D37" s="41" t="s">
        <v>76</v>
      </c>
      <c r="E37" s="200" t="s">
        <v>693</v>
      </c>
      <c r="F37" s="200" t="s">
        <v>3962</v>
      </c>
      <c r="G37" s="245" t="s">
        <v>3007</v>
      </c>
      <c r="H37" s="42" t="s">
        <v>1522</v>
      </c>
      <c r="I37" s="248" t="s">
        <v>3014</v>
      </c>
      <c r="J37" s="233" t="s">
        <v>3821</v>
      </c>
      <c r="K37" s="162" t="s">
        <v>4238</v>
      </c>
      <c r="L37" s="241" t="s">
        <v>4352</v>
      </c>
      <c r="M37" s="241" t="s">
        <v>4353</v>
      </c>
      <c r="N37" s="161" t="s">
        <v>4257</v>
      </c>
      <c r="O37" s="139" t="s">
        <v>74</v>
      </c>
      <c r="P37" s="40" t="s">
        <v>75</v>
      </c>
      <c r="Q37" s="229" t="s">
        <v>3223</v>
      </c>
      <c r="R37" s="201" t="s">
        <v>2921</v>
      </c>
      <c r="S37" s="141" t="s">
        <v>77</v>
      </c>
      <c r="T37" s="243"/>
    </row>
    <row r="38" spans="1:20" ht="58" customHeight="1">
      <c r="A38" s="231" t="s">
        <v>2435</v>
      </c>
      <c r="B38" s="42" t="s">
        <v>5</v>
      </c>
      <c r="C38" s="41" t="s">
        <v>1524</v>
      </c>
      <c r="D38" s="41" t="s">
        <v>79</v>
      </c>
      <c r="E38" s="200" t="s">
        <v>694</v>
      </c>
      <c r="F38" s="200" t="s">
        <v>3963</v>
      </c>
      <c r="G38" s="245" t="s">
        <v>3007</v>
      </c>
      <c r="H38" s="42" t="s">
        <v>1522</v>
      </c>
      <c r="I38" s="248" t="s">
        <v>3014</v>
      </c>
      <c r="J38" s="233" t="s">
        <v>3822</v>
      </c>
      <c r="K38" s="162" t="s">
        <v>4239</v>
      </c>
      <c r="L38" s="241" t="s">
        <v>4354</v>
      </c>
      <c r="M38" s="241" t="s">
        <v>4355</v>
      </c>
      <c r="N38" s="161" t="s">
        <v>4257</v>
      </c>
      <c r="O38" s="139" t="s">
        <v>74</v>
      </c>
      <c r="P38" s="40" t="s">
        <v>78</v>
      </c>
      <c r="Q38" s="229" t="s">
        <v>3223</v>
      </c>
      <c r="R38" s="201" t="s">
        <v>2921</v>
      </c>
      <c r="S38" s="141" t="s">
        <v>77</v>
      </c>
      <c r="T38" s="243"/>
    </row>
    <row r="39" spans="1:20" ht="58" customHeight="1">
      <c r="A39" s="231" t="s">
        <v>2435</v>
      </c>
      <c r="B39" s="42" t="s">
        <v>5</v>
      </c>
      <c r="C39" s="41" t="s">
        <v>1524</v>
      </c>
      <c r="D39" s="41" t="s">
        <v>81</v>
      </c>
      <c r="E39" s="200" t="s">
        <v>695</v>
      </c>
      <c r="F39" s="200" t="s">
        <v>3964</v>
      </c>
      <c r="G39" s="245" t="s">
        <v>3007</v>
      </c>
      <c r="H39" s="42" t="s">
        <v>1522</v>
      </c>
      <c r="I39" s="248" t="s">
        <v>3014</v>
      </c>
      <c r="J39" s="233" t="s">
        <v>3823</v>
      </c>
      <c r="K39" s="162" t="s">
        <v>4240</v>
      </c>
      <c r="L39" s="241" t="s">
        <v>4356</v>
      </c>
      <c r="M39" s="241" t="s">
        <v>4357</v>
      </c>
      <c r="N39" s="161" t="s">
        <v>4257</v>
      </c>
      <c r="O39" s="139" t="s">
        <v>74</v>
      </c>
      <c r="P39" s="40" t="s">
        <v>80</v>
      </c>
      <c r="Q39" s="229" t="s">
        <v>3223</v>
      </c>
      <c r="R39" s="201" t="s">
        <v>2921</v>
      </c>
      <c r="S39" s="141" t="s">
        <v>77</v>
      </c>
      <c r="T39" s="243"/>
    </row>
    <row r="40" spans="1:20" ht="58" customHeight="1">
      <c r="A40" s="231" t="s">
        <v>2435</v>
      </c>
      <c r="B40" s="42" t="s">
        <v>5</v>
      </c>
      <c r="C40" s="41" t="s">
        <v>1524</v>
      </c>
      <c r="D40" s="41" t="s">
        <v>83</v>
      </c>
      <c r="E40" s="200" t="s">
        <v>696</v>
      </c>
      <c r="F40" s="200" t="s">
        <v>3965</v>
      </c>
      <c r="G40" s="245" t="s">
        <v>3007</v>
      </c>
      <c r="H40" s="42" t="s">
        <v>1522</v>
      </c>
      <c r="I40" s="248" t="s">
        <v>3014</v>
      </c>
      <c r="J40" s="233" t="s">
        <v>3824</v>
      </c>
      <c r="K40" s="162" t="s">
        <v>4241</v>
      </c>
      <c r="L40" s="241" t="s">
        <v>4358</v>
      </c>
      <c r="M40" s="241" t="s">
        <v>4359</v>
      </c>
      <c r="N40" s="161" t="s">
        <v>4257</v>
      </c>
      <c r="O40" s="139" t="s">
        <v>74</v>
      </c>
      <c r="P40" s="40" t="s">
        <v>82</v>
      </c>
      <c r="Q40" s="229" t="s">
        <v>3223</v>
      </c>
      <c r="R40" s="201" t="s">
        <v>2921</v>
      </c>
      <c r="S40" s="141" t="s">
        <v>77</v>
      </c>
      <c r="T40" s="243"/>
    </row>
    <row r="41" spans="1:20" ht="58" customHeight="1">
      <c r="A41" s="231" t="s">
        <v>2435</v>
      </c>
      <c r="B41" s="42" t="s">
        <v>5</v>
      </c>
      <c r="C41" s="41" t="s">
        <v>1524</v>
      </c>
      <c r="D41" s="41" t="s">
        <v>4152</v>
      </c>
      <c r="E41" s="200" t="s">
        <v>697</v>
      </c>
      <c r="F41" s="200" t="s">
        <v>3966</v>
      </c>
      <c r="G41" s="245" t="s">
        <v>3007</v>
      </c>
      <c r="H41" s="42" t="s">
        <v>1522</v>
      </c>
      <c r="I41" s="248" t="s">
        <v>3014</v>
      </c>
      <c r="J41" s="233" t="s">
        <v>3825</v>
      </c>
      <c r="K41" s="162" t="s">
        <v>4153</v>
      </c>
      <c r="L41" s="241" t="s">
        <v>4360</v>
      </c>
      <c r="M41" s="241" t="s">
        <v>4361</v>
      </c>
      <c r="N41" s="161" t="s">
        <v>4257</v>
      </c>
      <c r="O41" s="139" t="s">
        <v>74</v>
      </c>
      <c r="P41" s="40" t="s">
        <v>4151</v>
      </c>
      <c r="Q41" s="229" t="s">
        <v>3223</v>
      </c>
      <c r="R41" s="201" t="s">
        <v>2921</v>
      </c>
      <c r="S41" s="141" t="s">
        <v>77</v>
      </c>
      <c r="T41" s="243"/>
    </row>
    <row r="42" spans="1:20" ht="58" customHeight="1">
      <c r="A42" s="231" t="s">
        <v>2435</v>
      </c>
      <c r="B42" s="42" t="s">
        <v>5</v>
      </c>
      <c r="C42" s="41" t="s">
        <v>1524</v>
      </c>
      <c r="D42" s="41" t="s">
        <v>4154</v>
      </c>
      <c r="E42" s="200" t="s">
        <v>697</v>
      </c>
      <c r="F42" s="200" t="s">
        <v>3966</v>
      </c>
      <c r="G42" s="245" t="s">
        <v>3007</v>
      </c>
      <c r="H42" s="42" t="s">
        <v>1522</v>
      </c>
      <c r="I42" s="248" t="s">
        <v>3014</v>
      </c>
      <c r="J42" s="233" t="s">
        <v>3825</v>
      </c>
      <c r="K42" s="162" t="s">
        <v>4156</v>
      </c>
      <c r="L42" s="241" t="s">
        <v>4368</v>
      </c>
      <c r="M42" s="241" t="s">
        <v>4369</v>
      </c>
      <c r="N42" s="161" t="s">
        <v>4258</v>
      </c>
      <c r="O42" s="139" t="s">
        <v>74</v>
      </c>
      <c r="P42" s="40" t="s">
        <v>4155</v>
      </c>
      <c r="Q42" s="229" t="s">
        <v>3223</v>
      </c>
      <c r="R42" s="201" t="s">
        <v>2921</v>
      </c>
      <c r="S42" s="141" t="s">
        <v>77</v>
      </c>
      <c r="T42" s="243"/>
    </row>
    <row r="43" spans="1:20" ht="58" customHeight="1">
      <c r="A43" s="231" t="s">
        <v>2435</v>
      </c>
      <c r="B43" s="42" t="s">
        <v>5</v>
      </c>
      <c r="C43" s="41" t="s">
        <v>1524</v>
      </c>
      <c r="D43" s="41" t="s">
        <v>87</v>
      </c>
      <c r="E43" s="200" t="s">
        <v>698</v>
      </c>
      <c r="F43" s="200" t="s">
        <v>3967</v>
      </c>
      <c r="G43" s="245" t="s">
        <v>3004</v>
      </c>
      <c r="H43" s="42" t="s">
        <v>2</v>
      </c>
      <c r="I43" s="248" t="s">
        <v>3012</v>
      </c>
      <c r="J43" s="233" t="s">
        <v>3221</v>
      </c>
      <c r="K43" s="162"/>
      <c r="L43" s="241"/>
      <c r="M43" s="241"/>
      <c r="N43" s="161"/>
      <c r="O43" s="139" t="s">
        <v>85</v>
      </c>
      <c r="P43" s="40" t="s">
        <v>86</v>
      </c>
      <c r="Q43" s="229" t="s">
        <v>3223</v>
      </c>
      <c r="R43" s="201" t="s">
        <v>2923</v>
      </c>
      <c r="S43" s="141" t="s">
        <v>88</v>
      </c>
      <c r="T43" s="243"/>
    </row>
    <row r="44" spans="1:20" ht="58" customHeight="1">
      <c r="A44" s="231" t="s">
        <v>2435</v>
      </c>
      <c r="B44" s="42" t="s">
        <v>5</v>
      </c>
      <c r="C44" s="41" t="s">
        <v>1524</v>
      </c>
      <c r="D44" s="41" t="s">
        <v>90</v>
      </c>
      <c r="E44" s="200" t="s">
        <v>699</v>
      </c>
      <c r="F44" s="200" t="s">
        <v>3968</v>
      </c>
      <c r="G44" s="245" t="s">
        <v>3004</v>
      </c>
      <c r="H44" s="42" t="s">
        <v>2</v>
      </c>
      <c r="I44" s="248" t="s">
        <v>3012</v>
      </c>
      <c r="J44" s="233" t="s">
        <v>3221</v>
      </c>
      <c r="K44" s="162"/>
      <c r="L44" s="241"/>
      <c r="M44" s="241"/>
      <c r="N44" s="161"/>
      <c r="O44" s="139" t="s">
        <v>85</v>
      </c>
      <c r="P44" s="40" t="s">
        <v>89</v>
      </c>
      <c r="Q44" s="229" t="s">
        <v>3223</v>
      </c>
      <c r="R44" s="201" t="s">
        <v>2923</v>
      </c>
      <c r="S44" s="141" t="s">
        <v>88</v>
      </c>
      <c r="T44" s="243"/>
    </row>
    <row r="45" spans="1:20" ht="58" customHeight="1">
      <c r="A45" s="231" t="s">
        <v>2435</v>
      </c>
      <c r="B45" s="42" t="s">
        <v>5</v>
      </c>
      <c r="C45" s="41" t="s">
        <v>1524</v>
      </c>
      <c r="D45" s="41" t="s">
        <v>4158</v>
      </c>
      <c r="E45" s="200" t="s">
        <v>700</v>
      </c>
      <c r="F45" s="200" t="s">
        <v>3969</v>
      </c>
      <c r="G45" s="245" t="s">
        <v>3007</v>
      </c>
      <c r="H45" s="42" t="s">
        <v>1522</v>
      </c>
      <c r="I45" s="248" t="s">
        <v>3014</v>
      </c>
      <c r="J45" s="233" t="s">
        <v>3826</v>
      </c>
      <c r="K45" s="162" t="s">
        <v>4159</v>
      </c>
      <c r="L45" s="241" t="s">
        <v>4362</v>
      </c>
      <c r="M45" s="241" t="s">
        <v>4363</v>
      </c>
      <c r="N45" s="161" t="s">
        <v>4257</v>
      </c>
      <c r="O45" s="139" t="s">
        <v>85</v>
      </c>
      <c r="P45" s="40" t="s">
        <v>4157</v>
      </c>
      <c r="Q45" s="229" t="s">
        <v>3223</v>
      </c>
      <c r="R45" s="201" t="s">
        <v>2921</v>
      </c>
      <c r="S45" s="141" t="s">
        <v>88</v>
      </c>
      <c r="T45" s="243"/>
    </row>
    <row r="46" spans="1:20" ht="58" customHeight="1">
      <c r="A46" s="231" t="s">
        <v>2435</v>
      </c>
      <c r="B46" s="42" t="s">
        <v>5</v>
      </c>
      <c r="C46" s="41" t="s">
        <v>1524</v>
      </c>
      <c r="D46" s="41" t="s">
        <v>4160</v>
      </c>
      <c r="E46" s="200" t="s">
        <v>700</v>
      </c>
      <c r="F46" s="200" t="s">
        <v>3969</v>
      </c>
      <c r="G46" s="245" t="s">
        <v>3007</v>
      </c>
      <c r="H46" s="42" t="s">
        <v>1522</v>
      </c>
      <c r="I46" s="248" t="s">
        <v>3014</v>
      </c>
      <c r="J46" s="233" t="s">
        <v>3826</v>
      </c>
      <c r="K46" s="162" t="s">
        <v>4162</v>
      </c>
      <c r="L46" s="241" t="s">
        <v>4370</v>
      </c>
      <c r="M46" s="241" t="s">
        <v>4371</v>
      </c>
      <c r="N46" s="161" t="s">
        <v>4258</v>
      </c>
      <c r="O46" s="139" t="s">
        <v>85</v>
      </c>
      <c r="P46" s="40" t="s">
        <v>4161</v>
      </c>
      <c r="Q46" s="229" t="s">
        <v>3223</v>
      </c>
      <c r="R46" s="201" t="s">
        <v>2921</v>
      </c>
      <c r="S46" s="141" t="s">
        <v>88</v>
      </c>
      <c r="T46" s="243"/>
    </row>
    <row r="47" spans="1:20" ht="58" customHeight="1">
      <c r="A47" s="231" t="s">
        <v>2435</v>
      </c>
      <c r="B47" s="42" t="s">
        <v>5</v>
      </c>
      <c r="C47" s="41" t="s">
        <v>1524</v>
      </c>
      <c r="D47" s="41" t="s">
        <v>93</v>
      </c>
      <c r="E47" s="200" t="s">
        <v>701</v>
      </c>
      <c r="F47" s="200" t="s">
        <v>3970</v>
      </c>
      <c r="G47" s="245" t="s">
        <v>3004</v>
      </c>
      <c r="H47" s="42" t="s">
        <v>2</v>
      </c>
      <c r="I47" s="248" t="s">
        <v>3012</v>
      </c>
      <c r="J47" s="233" t="s">
        <v>3221</v>
      </c>
      <c r="K47" s="162"/>
      <c r="L47" s="241"/>
      <c r="M47" s="241"/>
      <c r="N47" s="161"/>
      <c r="O47" s="139" t="s">
        <v>85</v>
      </c>
      <c r="P47" s="40" t="s">
        <v>92</v>
      </c>
      <c r="Q47" s="229" t="s">
        <v>3223</v>
      </c>
      <c r="R47" s="201" t="s">
        <v>2923</v>
      </c>
      <c r="S47" s="141" t="s">
        <v>88</v>
      </c>
      <c r="T47" s="243"/>
    </row>
    <row r="48" spans="1:20" ht="58" customHeight="1">
      <c r="A48" s="231" t="s">
        <v>2435</v>
      </c>
      <c r="B48" s="42" t="s">
        <v>5</v>
      </c>
      <c r="C48" s="41" t="s">
        <v>1525</v>
      </c>
      <c r="D48" s="41" t="s">
        <v>96</v>
      </c>
      <c r="E48" s="200" t="s">
        <v>702</v>
      </c>
      <c r="F48" s="200" t="s">
        <v>3265</v>
      </c>
      <c r="G48" s="245" t="s">
        <v>3266</v>
      </c>
      <c r="H48" s="42" t="s">
        <v>2</v>
      </c>
      <c r="I48" s="248" t="s">
        <v>3012</v>
      </c>
      <c r="J48" s="233" t="s">
        <v>3221</v>
      </c>
      <c r="K48" s="162"/>
      <c r="L48" s="241"/>
      <c r="M48" s="241"/>
      <c r="N48" s="161"/>
      <c r="O48" s="139" t="s">
        <v>94</v>
      </c>
      <c r="P48" s="40" t="s">
        <v>95</v>
      </c>
      <c r="Q48" s="229" t="s">
        <v>3223</v>
      </c>
      <c r="R48" s="201" t="s">
        <v>2927</v>
      </c>
      <c r="S48" s="141" t="s">
        <v>97</v>
      </c>
      <c r="T48" s="243"/>
    </row>
    <row r="49" spans="1:20" ht="58" customHeight="1">
      <c r="A49" s="231" t="s">
        <v>2435</v>
      </c>
      <c r="B49" s="42" t="s">
        <v>5</v>
      </c>
      <c r="C49" s="41" t="s">
        <v>1525</v>
      </c>
      <c r="D49" s="41" t="s">
        <v>99</v>
      </c>
      <c r="E49" s="200" t="s">
        <v>703</v>
      </c>
      <c r="F49" s="200" t="s">
        <v>3971</v>
      </c>
      <c r="G49" s="245" t="s">
        <v>3007</v>
      </c>
      <c r="H49" s="42" t="s">
        <v>1522</v>
      </c>
      <c r="I49" s="248" t="s">
        <v>4091</v>
      </c>
      <c r="J49" s="233" t="s">
        <v>3827</v>
      </c>
      <c r="K49" s="162" t="s">
        <v>4233</v>
      </c>
      <c r="L49" s="241" t="s">
        <v>4332</v>
      </c>
      <c r="M49" s="241" t="s">
        <v>4333</v>
      </c>
      <c r="N49" s="161" t="s">
        <v>4257</v>
      </c>
      <c r="O49" s="139" t="s">
        <v>94</v>
      </c>
      <c r="P49" s="40" t="s">
        <v>98</v>
      </c>
      <c r="Q49" s="229" t="s">
        <v>3223</v>
      </c>
      <c r="R49" s="201" t="s">
        <v>2921</v>
      </c>
      <c r="S49" s="141" t="s">
        <v>97</v>
      </c>
      <c r="T49" s="243"/>
    </row>
    <row r="50" spans="1:20" ht="58" customHeight="1">
      <c r="A50" s="231" t="s">
        <v>2435</v>
      </c>
      <c r="B50" s="42" t="s">
        <v>5</v>
      </c>
      <c r="C50" s="41" t="s">
        <v>1525</v>
      </c>
      <c r="D50" s="41" t="s">
        <v>4134</v>
      </c>
      <c r="E50" s="200" t="s">
        <v>704</v>
      </c>
      <c r="F50" s="200" t="s">
        <v>3972</v>
      </c>
      <c r="G50" s="245" t="s">
        <v>3007</v>
      </c>
      <c r="H50" s="42" t="s">
        <v>1522</v>
      </c>
      <c r="I50" s="248" t="s">
        <v>4091</v>
      </c>
      <c r="J50" s="233" t="s">
        <v>3828</v>
      </c>
      <c r="K50" s="162" t="s">
        <v>4135</v>
      </c>
      <c r="L50" s="241" t="s">
        <v>4334</v>
      </c>
      <c r="M50" s="241" t="s">
        <v>4335</v>
      </c>
      <c r="N50" s="161" t="s">
        <v>4257</v>
      </c>
      <c r="O50" s="139" t="s">
        <v>100</v>
      </c>
      <c r="P50" s="40" t="s">
        <v>4133</v>
      </c>
      <c r="Q50" s="229" t="s">
        <v>3223</v>
      </c>
      <c r="R50" s="201" t="s">
        <v>2921</v>
      </c>
      <c r="S50" s="141" t="s">
        <v>102</v>
      </c>
      <c r="T50" s="243"/>
    </row>
    <row r="51" spans="1:20" ht="58" customHeight="1">
      <c r="A51" s="231" t="s">
        <v>2435</v>
      </c>
      <c r="B51" s="42" t="s">
        <v>5</v>
      </c>
      <c r="C51" s="41" t="s">
        <v>1525</v>
      </c>
      <c r="D51" s="41" t="s">
        <v>4136</v>
      </c>
      <c r="E51" s="200" t="s">
        <v>704</v>
      </c>
      <c r="F51" s="200" t="s">
        <v>3972</v>
      </c>
      <c r="G51" s="245" t="s">
        <v>3007</v>
      </c>
      <c r="H51" s="42" t="s">
        <v>1522</v>
      </c>
      <c r="I51" s="248" t="s">
        <v>4091</v>
      </c>
      <c r="J51" s="233" t="s">
        <v>3828</v>
      </c>
      <c r="K51" s="162" t="s">
        <v>4138</v>
      </c>
      <c r="L51" s="241" t="s">
        <v>4336</v>
      </c>
      <c r="M51" s="241" t="s">
        <v>4337</v>
      </c>
      <c r="N51" s="161" t="s">
        <v>4257</v>
      </c>
      <c r="O51" s="139" t="s">
        <v>100</v>
      </c>
      <c r="P51" s="40" t="s">
        <v>4137</v>
      </c>
      <c r="Q51" s="229" t="s">
        <v>3223</v>
      </c>
      <c r="R51" s="201" t="s">
        <v>2921</v>
      </c>
      <c r="S51" s="141" t="s">
        <v>102</v>
      </c>
      <c r="T51" s="243"/>
    </row>
    <row r="52" spans="1:20" ht="58" customHeight="1">
      <c r="A52" s="231" t="s">
        <v>2435</v>
      </c>
      <c r="B52" s="42" t="s">
        <v>5</v>
      </c>
      <c r="C52" s="41" t="s">
        <v>1525</v>
      </c>
      <c r="D52" s="41" t="s">
        <v>104</v>
      </c>
      <c r="E52" s="200" t="s">
        <v>705</v>
      </c>
      <c r="F52" s="200" t="s">
        <v>3972</v>
      </c>
      <c r="G52" s="245" t="s">
        <v>3007</v>
      </c>
      <c r="H52" s="42" t="s">
        <v>1522</v>
      </c>
      <c r="I52" s="248" t="s">
        <v>4478</v>
      </c>
      <c r="J52" s="233" t="s">
        <v>3829</v>
      </c>
      <c r="K52" s="162" t="s">
        <v>4234</v>
      </c>
      <c r="L52" s="241" t="s">
        <v>4338</v>
      </c>
      <c r="M52" s="241" t="s">
        <v>4339</v>
      </c>
      <c r="N52" s="161" t="s">
        <v>4257</v>
      </c>
      <c r="O52" s="139" t="s">
        <v>100</v>
      </c>
      <c r="P52" s="40" t="s">
        <v>103</v>
      </c>
      <c r="Q52" s="229" t="s">
        <v>3223</v>
      </c>
      <c r="R52" s="201" t="s">
        <v>2921</v>
      </c>
      <c r="S52" s="141" t="s">
        <v>102</v>
      </c>
      <c r="T52" s="243"/>
    </row>
    <row r="53" spans="1:20" ht="58" customHeight="1">
      <c r="A53" s="231" t="s">
        <v>2435</v>
      </c>
      <c r="B53" s="42" t="s">
        <v>5</v>
      </c>
      <c r="C53" s="41" t="s">
        <v>1525</v>
      </c>
      <c r="D53" s="41" t="s">
        <v>106</v>
      </c>
      <c r="E53" s="200" t="s">
        <v>706</v>
      </c>
      <c r="F53" s="200" t="s">
        <v>3973</v>
      </c>
      <c r="G53" s="245" t="s">
        <v>3007</v>
      </c>
      <c r="H53" s="42" t="s">
        <v>1522</v>
      </c>
      <c r="I53" s="248" t="s">
        <v>3014</v>
      </c>
      <c r="J53" s="233" t="s">
        <v>3830</v>
      </c>
      <c r="K53" s="162" t="s">
        <v>4235</v>
      </c>
      <c r="L53" s="241" t="s">
        <v>4340</v>
      </c>
      <c r="M53" s="241" t="s">
        <v>4341</v>
      </c>
      <c r="N53" s="161" t="s">
        <v>4257</v>
      </c>
      <c r="O53" s="139" t="s">
        <v>100</v>
      </c>
      <c r="P53" s="40" t="s">
        <v>105</v>
      </c>
      <c r="Q53" s="229" t="s">
        <v>3223</v>
      </c>
      <c r="R53" s="201" t="s">
        <v>2921</v>
      </c>
      <c r="S53" s="141" t="s">
        <v>102</v>
      </c>
      <c r="T53" s="243"/>
    </row>
    <row r="54" spans="1:20" ht="58" customHeight="1">
      <c r="A54" s="231" t="s">
        <v>2435</v>
      </c>
      <c r="B54" s="42" t="s">
        <v>5</v>
      </c>
      <c r="C54" s="41" t="s">
        <v>1525</v>
      </c>
      <c r="D54" s="41" t="s">
        <v>108</v>
      </c>
      <c r="E54" s="200" t="s">
        <v>707</v>
      </c>
      <c r="F54" s="200" t="s">
        <v>3974</v>
      </c>
      <c r="G54" s="245" t="s">
        <v>3008</v>
      </c>
      <c r="H54" s="42" t="s">
        <v>1522</v>
      </c>
      <c r="I54" s="248" t="s">
        <v>4478</v>
      </c>
      <c r="J54" s="233" t="s">
        <v>3831</v>
      </c>
      <c r="K54" s="162" t="s">
        <v>4262</v>
      </c>
      <c r="L54" s="241" t="s">
        <v>4382</v>
      </c>
      <c r="M54" s="241" t="s">
        <v>4383</v>
      </c>
      <c r="N54" s="161" t="s">
        <v>4256</v>
      </c>
      <c r="O54" s="139" t="s">
        <v>100</v>
      </c>
      <c r="P54" s="40" t="s">
        <v>107</v>
      </c>
      <c r="Q54" s="229" t="s">
        <v>3223</v>
      </c>
      <c r="R54" s="201" t="s">
        <v>2922</v>
      </c>
      <c r="S54" s="141" t="s">
        <v>102</v>
      </c>
      <c r="T54" s="243"/>
    </row>
    <row r="55" spans="1:20" ht="58" customHeight="1">
      <c r="A55" s="231" t="s">
        <v>2435</v>
      </c>
      <c r="B55" s="42" t="s">
        <v>5</v>
      </c>
      <c r="C55" s="41" t="s">
        <v>1525</v>
      </c>
      <c r="D55" s="41" t="s">
        <v>110</v>
      </c>
      <c r="E55" s="200" t="s">
        <v>708</v>
      </c>
      <c r="F55" s="200" t="s">
        <v>3975</v>
      </c>
      <c r="G55" s="245" t="s">
        <v>3008</v>
      </c>
      <c r="H55" s="42" t="s">
        <v>1522</v>
      </c>
      <c r="I55" s="248" t="s">
        <v>4478</v>
      </c>
      <c r="J55" s="233" t="s">
        <v>3832</v>
      </c>
      <c r="K55" s="162" t="s">
        <v>4249</v>
      </c>
      <c r="L55" s="241" t="s">
        <v>4408</v>
      </c>
      <c r="M55" s="241"/>
      <c r="N55" s="161" t="s">
        <v>4256</v>
      </c>
      <c r="O55" s="139" t="s">
        <v>100</v>
      </c>
      <c r="P55" s="40" t="s">
        <v>109</v>
      </c>
      <c r="Q55" s="229" t="s">
        <v>3223</v>
      </c>
      <c r="R55" s="201" t="s">
        <v>2922</v>
      </c>
      <c r="S55" s="141" t="s">
        <v>102</v>
      </c>
      <c r="T55" s="243"/>
    </row>
    <row r="56" spans="1:20" ht="58" customHeight="1">
      <c r="A56" s="231" t="s">
        <v>2435</v>
      </c>
      <c r="B56" s="42" t="s">
        <v>5</v>
      </c>
      <c r="C56" s="41" t="s">
        <v>1525</v>
      </c>
      <c r="D56" s="41" t="s">
        <v>113</v>
      </c>
      <c r="E56" s="200" t="s">
        <v>709</v>
      </c>
      <c r="F56" s="200" t="s">
        <v>3976</v>
      </c>
      <c r="G56" s="245" t="s">
        <v>3008</v>
      </c>
      <c r="H56" s="42" t="s">
        <v>1522</v>
      </c>
      <c r="I56" s="248" t="s">
        <v>4091</v>
      </c>
      <c r="J56" s="233" t="s">
        <v>3833</v>
      </c>
      <c r="K56" s="162" t="s">
        <v>4274</v>
      </c>
      <c r="L56" s="241" t="s">
        <v>4406</v>
      </c>
      <c r="M56" s="241" t="s">
        <v>4407</v>
      </c>
      <c r="N56" s="161" t="s">
        <v>4258</v>
      </c>
      <c r="O56" s="139" t="s">
        <v>111</v>
      </c>
      <c r="P56" s="40" t="s">
        <v>112</v>
      </c>
      <c r="Q56" s="229" t="s">
        <v>3223</v>
      </c>
      <c r="R56" s="201" t="s">
        <v>2922</v>
      </c>
      <c r="S56" s="141" t="s">
        <v>114</v>
      </c>
      <c r="T56" s="243"/>
    </row>
    <row r="57" spans="1:20" ht="58" customHeight="1">
      <c r="A57" s="231" t="s">
        <v>2435</v>
      </c>
      <c r="B57" s="42" t="s">
        <v>5</v>
      </c>
      <c r="C57" s="41" t="s">
        <v>1525</v>
      </c>
      <c r="D57" s="41" t="s">
        <v>116</v>
      </c>
      <c r="E57" s="200" t="s">
        <v>710</v>
      </c>
      <c r="F57" s="200" t="s">
        <v>3977</v>
      </c>
      <c r="G57" s="245" t="s">
        <v>3008</v>
      </c>
      <c r="H57" s="42" t="s">
        <v>1522</v>
      </c>
      <c r="I57" s="248" t="s">
        <v>4478</v>
      </c>
      <c r="J57" s="233" t="s">
        <v>3834</v>
      </c>
      <c r="K57" s="162" t="s">
        <v>4261</v>
      </c>
      <c r="L57" s="241" t="s">
        <v>4380</v>
      </c>
      <c r="M57" s="241" t="s">
        <v>4381</v>
      </c>
      <c r="N57" s="161" t="s">
        <v>4256</v>
      </c>
      <c r="O57" s="139" t="s">
        <v>111</v>
      </c>
      <c r="P57" s="40" t="s">
        <v>115</v>
      </c>
      <c r="Q57" s="229" t="s">
        <v>3223</v>
      </c>
      <c r="R57" s="201" t="s">
        <v>2922</v>
      </c>
      <c r="S57" s="141" t="s">
        <v>114</v>
      </c>
      <c r="T57" s="243"/>
    </row>
    <row r="58" spans="1:20" ht="58" customHeight="1">
      <c r="A58" s="231" t="s">
        <v>2435</v>
      </c>
      <c r="B58" s="42" t="s">
        <v>5</v>
      </c>
      <c r="C58" s="41" t="s">
        <v>1525</v>
      </c>
      <c r="D58" s="41" t="s">
        <v>118</v>
      </c>
      <c r="E58" s="200" t="s">
        <v>711</v>
      </c>
      <c r="F58" s="200" t="s">
        <v>3978</v>
      </c>
      <c r="G58" s="245" t="s">
        <v>3008</v>
      </c>
      <c r="H58" s="42" t="s">
        <v>1522</v>
      </c>
      <c r="I58" s="248" t="s">
        <v>4091</v>
      </c>
      <c r="J58" s="233" t="s">
        <v>3835</v>
      </c>
      <c r="K58" s="162" t="s">
        <v>4273</v>
      </c>
      <c r="L58" s="241" t="s">
        <v>4404</v>
      </c>
      <c r="M58" s="241" t="s">
        <v>4405</v>
      </c>
      <c r="N58" s="161" t="s">
        <v>4258</v>
      </c>
      <c r="O58" s="139" t="s">
        <v>111</v>
      </c>
      <c r="P58" s="40" t="s">
        <v>117</v>
      </c>
      <c r="Q58" s="229" t="s">
        <v>3223</v>
      </c>
      <c r="R58" s="201" t="s">
        <v>2922</v>
      </c>
      <c r="S58" s="141" t="s">
        <v>114</v>
      </c>
      <c r="T58" s="243"/>
    </row>
    <row r="59" spans="1:20" ht="58" customHeight="1">
      <c r="A59" s="231" t="s">
        <v>2435</v>
      </c>
      <c r="B59" s="42" t="s">
        <v>5</v>
      </c>
      <c r="C59" s="41" t="s">
        <v>1526</v>
      </c>
      <c r="D59" s="41" t="s">
        <v>121</v>
      </c>
      <c r="E59" s="200" t="s">
        <v>712</v>
      </c>
      <c r="F59" s="200" t="s">
        <v>3979</v>
      </c>
      <c r="G59" s="245" t="s">
        <v>3004</v>
      </c>
      <c r="H59" s="42" t="s">
        <v>2</v>
      </c>
      <c r="I59" s="248" t="s">
        <v>3012</v>
      </c>
      <c r="J59" s="233" t="s">
        <v>3221</v>
      </c>
      <c r="K59" s="162"/>
      <c r="L59" s="241"/>
      <c r="M59" s="241"/>
      <c r="N59" s="161"/>
      <c r="O59" s="139" t="s">
        <v>119</v>
      </c>
      <c r="P59" s="40" t="s">
        <v>120</v>
      </c>
      <c r="Q59" s="229" t="s">
        <v>3223</v>
      </c>
      <c r="R59" s="201" t="s">
        <v>2</v>
      </c>
      <c r="S59" s="141" t="s">
        <v>122</v>
      </c>
      <c r="T59" s="243"/>
    </row>
    <row r="60" spans="1:20" ht="58" customHeight="1">
      <c r="A60" s="231" t="s">
        <v>2435</v>
      </c>
      <c r="B60" s="42" t="s">
        <v>5</v>
      </c>
      <c r="C60" s="41" t="s">
        <v>1526</v>
      </c>
      <c r="D60" s="41" t="s">
        <v>124</v>
      </c>
      <c r="E60" s="200" t="s">
        <v>713</v>
      </c>
      <c r="F60" s="200" t="s">
        <v>3980</v>
      </c>
      <c r="G60" s="245" t="s">
        <v>3004</v>
      </c>
      <c r="H60" s="42" t="s">
        <v>2</v>
      </c>
      <c r="I60" s="248" t="s">
        <v>3012</v>
      </c>
      <c r="J60" s="233" t="s">
        <v>3221</v>
      </c>
      <c r="K60" s="162"/>
      <c r="L60" s="241"/>
      <c r="M60" s="241"/>
      <c r="N60" s="161"/>
      <c r="O60" s="139" t="s">
        <v>119</v>
      </c>
      <c r="P60" s="40" t="s">
        <v>123</v>
      </c>
      <c r="Q60" s="229" t="s">
        <v>3223</v>
      </c>
      <c r="R60" s="201" t="s">
        <v>2</v>
      </c>
      <c r="S60" s="141" t="s">
        <v>122</v>
      </c>
      <c r="T60" s="243"/>
    </row>
    <row r="61" spans="1:20" ht="58" customHeight="1">
      <c r="A61" s="231" t="s">
        <v>2435</v>
      </c>
      <c r="B61" s="42" t="s">
        <v>5</v>
      </c>
      <c r="C61" s="41" t="s">
        <v>1526</v>
      </c>
      <c r="D61" s="41" t="s">
        <v>126</v>
      </c>
      <c r="E61" s="200" t="s">
        <v>714</v>
      </c>
      <c r="F61" s="200" t="s">
        <v>3981</v>
      </c>
      <c r="G61" s="245" t="s">
        <v>3008</v>
      </c>
      <c r="H61" s="42" t="s">
        <v>1522</v>
      </c>
      <c r="I61" s="248" t="s">
        <v>4478</v>
      </c>
      <c r="J61" s="233" t="s">
        <v>3836</v>
      </c>
      <c r="K61" s="162" t="s">
        <v>4263</v>
      </c>
      <c r="L61" s="241" t="s">
        <v>4384</v>
      </c>
      <c r="M61" s="241" t="s">
        <v>4385</v>
      </c>
      <c r="N61" s="161" t="s">
        <v>4256</v>
      </c>
      <c r="O61" s="139" t="s">
        <v>119</v>
      </c>
      <c r="P61" s="40" t="s">
        <v>125</v>
      </c>
      <c r="Q61" s="229" t="s">
        <v>3223</v>
      </c>
      <c r="R61" s="201" t="s">
        <v>2922</v>
      </c>
      <c r="S61" s="141" t="s">
        <v>122</v>
      </c>
      <c r="T61" s="243"/>
    </row>
    <row r="62" spans="1:20" ht="58" customHeight="1">
      <c r="A62" s="231" t="s">
        <v>2435</v>
      </c>
      <c r="B62" s="42" t="s">
        <v>5</v>
      </c>
      <c r="C62" s="41" t="s">
        <v>1526</v>
      </c>
      <c r="D62" s="41" t="s">
        <v>128</v>
      </c>
      <c r="E62" s="200" t="s">
        <v>715</v>
      </c>
      <c r="F62" s="200" t="s">
        <v>3982</v>
      </c>
      <c r="G62" s="245" t="s">
        <v>3008</v>
      </c>
      <c r="H62" s="42" t="s">
        <v>1522</v>
      </c>
      <c r="I62" s="248" t="s">
        <v>4478</v>
      </c>
      <c r="J62" s="233" t="s">
        <v>3837</v>
      </c>
      <c r="K62" s="162" t="s">
        <v>4265</v>
      </c>
      <c r="L62" s="241" t="s">
        <v>4388</v>
      </c>
      <c r="M62" s="241" t="s">
        <v>4389</v>
      </c>
      <c r="N62" s="161" t="s">
        <v>4257</v>
      </c>
      <c r="O62" s="139" t="s">
        <v>119</v>
      </c>
      <c r="P62" s="40" t="s">
        <v>127</v>
      </c>
      <c r="Q62" s="229" t="s">
        <v>3223</v>
      </c>
      <c r="R62" s="201" t="s">
        <v>2922</v>
      </c>
      <c r="S62" s="141" t="s">
        <v>122</v>
      </c>
      <c r="T62" s="243"/>
    </row>
    <row r="63" spans="1:20" ht="58" customHeight="1">
      <c r="A63" s="231" t="s">
        <v>2435</v>
      </c>
      <c r="B63" s="42" t="s">
        <v>5</v>
      </c>
      <c r="C63" s="41" t="s">
        <v>1526</v>
      </c>
      <c r="D63" s="41" t="s">
        <v>130</v>
      </c>
      <c r="E63" s="200" t="s">
        <v>716</v>
      </c>
      <c r="F63" s="200" t="s">
        <v>3983</v>
      </c>
      <c r="G63" s="245" t="s">
        <v>3005</v>
      </c>
      <c r="H63" s="42" t="s">
        <v>958</v>
      </c>
      <c r="I63" s="248" t="s">
        <v>3013</v>
      </c>
      <c r="J63" s="233" t="s">
        <v>3221</v>
      </c>
      <c r="K63" s="162"/>
      <c r="L63" s="241"/>
      <c r="M63" s="241"/>
      <c r="N63" s="161"/>
      <c r="O63" s="139" t="s">
        <v>119</v>
      </c>
      <c r="P63" s="40" t="s">
        <v>129</v>
      </c>
      <c r="Q63" s="229" t="s">
        <v>3223</v>
      </c>
      <c r="R63" s="201" t="s">
        <v>2918</v>
      </c>
      <c r="S63" s="141" t="s">
        <v>122</v>
      </c>
      <c r="T63" s="243"/>
    </row>
    <row r="64" spans="1:20" ht="58" customHeight="1">
      <c r="A64" s="231" t="s">
        <v>2435</v>
      </c>
      <c r="B64" s="42" t="s">
        <v>5</v>
      </c>
      <c r="C64" s="41" t="s">
        <v>1526</v>
      </c>
      <c r="D64" s="41" t="s">
        <v>132</v>
      </c>
      <c r="E64" s="200" t="s">
        <v>717</v>
      </c>
      <c r="F64" s="200" t="s">
        <v>3984</v>
      </c>
      <c r="G64" s="245" t="s">
        <v>3008</v>
      </c>
      <c r="H64" s="42" t="s">
        <v>1522</v>
      </c>
      <c r="I64" s="248" t="s">
        <v>4478</v>
      </c>
      <c r="J64" s="233" t="s">
        <v>3838</v>
      </c>
      <c r="K64" s="162" t="s">
        <v>4250</v>
      </c>
      <c r="L64" s="241" t="s">
        <v>4409</v>
      </c>
      <c r="M64" s="241"/>
      <c r="N64" s="161" t="s">
        <v>4256</v>
      </c>
      <c r="O64" s="139" t="s">
        <v>119</v>
      </c>
      <c r="P64" s="40" t="s">
        <v>131</v>
      </c>
      <c r="Q64" s="229" t="s">
        <v>3223</v>
      </c>
      <c r="R64" s="201" t="s">
        <v>2922</v>
      </c>
      <c r="S64" s="141" t="s">
        <v>122</v>
      </c>
      <c r="T64" s="243"/>
    </row>
    <row r="65" spans="1:20" ht="58" customHeight="1">
      <c r="A65" s="231" t="s">
        <v>2435</v>
      </c>
      <c r="B65" s="42" t="s">
        <v>5</v>
      </c>
      <c r="C65" s="41" t="s">
        <v>1526</v>
      </c>
      <c r="D65" s="41" t="s">
        <v>134</v>
      </c>
      <c r="E65" s="200" t="s">
        <v>718</v>
      </c>
      <c r="F65" s="200" t="s">
        <v>3985</v>
      </c>
      <c r="G65" s="245" t="s">
        <v>3005</v>
      </c>
      <c r="H65" s="42" t="s">
        <v>958</v>
      </c>
      <c r="I65" s="248" t="s">
        <v>3013</v>
      </c>
      <c r="J65" s="233" t="s">
        <v>3221</v>
      </c>
      <c r="K65" s="162"/>
      <c r="L65" s="241"/>
      <c r="M65" s="241"/>
      <c r="N65" s="161"/>
      <c r="O65" s="139" t="s">
        <v>119</v>
      </c>
      <c r="P65" s="40" t="s">
        <v>133</v>
      </c>
      <c r="Q65" s="229" t="s">
        <v>3223</v>
      </c>
      <c r="R65" s="201" t="s">
        <v>2918</v>
      </c>
      <c r="S65" s="141" t="s">
        <v>122</v>
      </c>
      <c r="T65" s="243"/>
    </row>
    <row r="66" spans="1:20" ht="58" customHeight="1">
      <c r="A66" s="231" t="s">
        <v>2435</v>
      </c>
      <c r="B66" s="42" t="s">
        <v>5</v>
      </c>
      <c r="C66" s="41" t="s">
        <v>1526</v>
      </c>
      <c r="D66" s="41" t="s">
        <v>136</v>
      </c>
      <c r="E66" s="200" t="s">
        <v>3923</v>
      </c>
      <c r="F66" s="200" t="s">
        <v>3924</v>
      </c>
      <c r="G66" s="245" t="s">
        <v>3925</v>
      </c>
      <c r="H66" s="42" t="s">
        <v>2</v>
      </c>
      <c r="I66" s="248" t="s">
        <v>3012</v>
      </c>
      <c r="J66" s="233" t="s">
        <v>3221</v>
      </c>
      <c r="K66" s="162"/>
      <c r="L66" s="241"/>
      <c r="M66" s="241"/>
      <c r="N66" s="161"/>
      <c r="O66" s="139" t="s">
        <v>119</v>
      </c>
      <c r="P66" s="40" t="s">
        <v>135</v>
      </c>
      <c r="Q66" s="229" t="s">
        <v>3223</v>
      </c>
      <c r="R66" s="201" t="s">
        <v>2928</v>
      </c>
      <c r="S66" s="141" t="s">
        <v>122</v>
      </c>
      <c r="T66" s="243"/>
    </row>
    <row r="67" spans="1:20" ht="58" customHeight="1">
      <c r="A67" s="231" t="s">
        <v>2435</v>
      </c>
      <c r="B67" s="42" t="s">
        <v>5</v>
      </c>
      <c r="C67" s="41" t="s">
        <v>1526</v>
      </c>
      <c r="D67" s="41" t="s">
        <v>139</v>
      </c>
      <c r="E67" s="200" t="s">
        <v>3758</v>
      </c>
      <c r="F67" s="200" t="s">
        <v>3986</v>
      </c>
      <c r="G67" s="245" t="s">
        <v>3005</v>
      </c>
      <c r="H67" s="42" t="s">
        <v>958</v>
      </c>
      <c r="I67" s="248" t="s">
        <v>3013</v>
      </c>
      <c r="J67" s="233" t="s">
        <v>3221</v>
      </c>
      <c r="K67" s="162"/>
      <c r="L67" s="241"/>
      <c r="M67" s="241"/>
      <c r="N67" s="161"/>
      <c r="O67" s="139" t="s">
        <v>137</v>
      </c>
      <c r="P67" s="40" t="s">
        <v>138</v>
      </c>
      <c r="Q67" s="229" t="s">
        <v>3223</v>
      </c>
      <c r="R67" s="201" t="s">
        <v>2929</v>
      </c>
      <c r="S67" s="141" t="s">
        <v>140</v>
      </c>
      <c r="T67" s="243"/>
    </row>
    <row r="68" spans="1:20" ht="58" customHeight="1">
      <c r="A68" s="231" t="s">
        <v>2435</v>
      </c>
      <c r="B68" s="42" t="s">
        <v>5</v>
      </c>
      <c r="C68" s="41" t="s">
        <v>1526</v>
      </c>
      <c r="D68" s="41" t="s">
        <v>142</v>
      </c>
      <c r="E68" s="200" t="s">
        <v>3759</v>
      </c>
      <c r="F68" s="200" t="s">
        <v>3987</v>
      </c>
      <c r="G68" s="245" t="s">
        <v>3005</v>
      </c>
      <c r="H68" s="42" t="s">
        <v>958</v>
      </c>
      <c r="I68" s="248" t="s">
        <v>3013</v>
      </c>
      <c r="J68" s="233" t="s">
        <v>3221</v>
      </c>
      <c r="K68" s="162"/>
      <c r="L68" s="241"/>
      <c r="M68" s="241"/>
      <c r="N68" s="161"/>
      <c r="O68" s="139" t="s">
        <v>137</v>
      </c>
      <c r="P68" s="40" t="s">
        <v>141</v>
      </c>
      <c r="Q68" s="229" t="s">
        <v>3223</v>
      </c>
      <c r="R68" s="201" t="s">
        <v>2929</v>
      </c>
      <c r="S68" s="141" t="s">
        <v>140</v>
      </c>
      <c r="T68" s="243"/>
    </row>
    <row r="69" spans="1:20" ht="58" customHeight="1">
      <c r="A69" s="231" t="s">
        <v>2435</v>
      </c>
      <c r="B69" s="42" t="s">
        <v>5</v>
      </c>
      <c r="C69" s="41" t="s">
        <v>1527</v>
      </c>
      <c r="D69" s="41" t="s">
        <v>145</v>
      </c>
      <c r="E69" s="200" t="s">
        <v>719</v>
      </c>
      <c r="F69" s="200" t="s">
        <v>3296</v>
      </c>
      <c r="G69" s="245" t="s">
        <v>3297</v>
      </c>
      <c r="H69" s="42" t="s">
        <v>1522</v>
      </c>
      <c r="I69" s="248" t="s">
        <v>3014</v>
      </c>
      <c r="J69" s="233" t="s">
        <v>3221</v>
      </c>
      <c r="K69" s="162" t="s">
        <v>4595</v>
      </c>
      <c r="L69" s="241" t="s">
        <v>4596</v>
      </c>
      <c r="M69" s="241"/>
      <c r="N69" s="161"/>
      <c r="O69" s="139" t="s">
        <v>143</v>
      </c>
      <c r="P69" s="40" t="s">
        <v>144</v>
      </c>
      <c r="Q69" s="229" t="s">
        <v>3223</v>
      </c>
      <c r="R69" s="201" t="s">
        <v>2930</v>
      </c>
      <c r="S69" s="141" t="s">
        <v>146</v>
      </c>
      <c r="T69" s="243" t="s">
        <v>4597</v>
      </c>
    </row>
    <row r="70" spans="1:20" ht="58" customHeight="1">
      <c r="A70" s="231" t="s">
        <v>2435</v>
      </c>
      <c r="B70" s="42" t="s">
        <v>5</v>
      </c>
      <c r="C70" s="41" t="s">
        <v>1527</v>
      </c>
      <c r="D70" s="41" t="s">
        <v>155</v>
      </c>
      <c r="E70" s="200" t="s">
        <v>722</v>
      </c>
      <c r="F70" s="200" t="s">
        <v>3988</v>
      </c>
      <c r="G70" s="245" t="s">
        <v>3008</v>
      </c>
      <c r="H70" s="42" t="s">
        <v>1522</v>
      </c>
      <c r="I70" s="248" t="s">
        <v>4478</v>
      </c>
      <c r="J70" s="233" t="s">
        <v>3839</v>
      </c>
      <c r="K70" s="162" t="s">
        <v>4266</v>
      </c>
      <c r="L70" s="241" t="s">
        <v>4390</v>
      </c>
      <c r="M70" s="241" t="s">
        <v>4391</v>
      </c>
      <c r="N70" s="161" t="s">
        <v>4257</v>
      </c>
      <c r="O70" s="139" t="s">
        <v>153</v>
      </c>
      <c r="P70" s="40" t="s">
        <v>154</v>
      </c>
      <c r="Q70" s="229" t="s">
        <v>3223</v>
      </c>
      <c r="R70" s="201" t="s">
        <v>2922</v>
      </c>
      <c r="S70" s="141" t="s">
        <v>156</v>
      </c>
      <c r="T70" s="243"/>
    </row>
    <row r="71" spans="1:20" ht="58" customHeight="1">
      <c r="A71" s="231" t="s">
        <v>2435</v>
      </c>
      <c r="B71" s="42" t="s">
        <v>5</v>
      </c>
      <c r="C71" s="41" t="s">
        <v>1527</v>
      </c>
      <c r="D71" s="41" t="s">
        <v>169</v>
      </c>
      <c r="E71" s="200" t="s">
        <v>3746</v>
      </c>
      <c r="F71" s="200" t="s">
        <v>3940</v>
      </c>
      <c r="G71" s="245" t="s">
        <v>4539</v>
      </c>
      <c r="H71" s="42" t="s">
        <v>2</v>
      </c>
      <c r="I71" s="248" t="s">
        <v>3012</v>
      </c>
      <c r="J71" s="233" t="s">
        <v>3221</v>
      </c>
      <c r="K71" s="162"/>
      <c r="L71" s="241"/>
      <c r="M71" s="241"/>
      <c r="N71" s="161"/>
      <c r="O71" s="139" t="s">
        <v>167</v>
      </c>
      <c r="P71" s="40" t="s">
        <v>168</v>
      </c>
      <c r="Q71" s="229" t="s">
        <v>3223</v>
      </c>
      <c r="R71" s="201" t="s">
        <v>2933</v>
      </c>
      <c r="S71" s="141" t="s">
        <v>170</v>
      </c>
      <c r="T71" s="243"/>
    </row>
    <row r="72" spans="1:20" ht="58" customHeight="1">
      <c r="A72" s="231" t="s">
        <v>2435</v>
      </c>
      <c r="B72" s="42" t="s">
        <v>5</v>
      </c>
      <c r="C72" s="41" t="s">
        <v>1527</v>
      </c>
      <c r="D72" s="41" t="s">
        <v>163</v>
      </c>
      <c r="E72" s="200" t="s">
        <v>725</v>
      </c>
      <c r="F72" s="200" t="s">
        <v>3298</v>
      </c>
      <c r="G72" s="245" t="s">
        <v>3299</v>
      </c>
      <c r="H72" s="42" t="s">
        <v>1522</v>
      </c>
      <c r="I72" s="248" t="s">
        <v>3014</v>
      </c>
      <c r="J72" s="233" t="s">
        <v>3221</v>
      </c>
      <c r="K72" s="162" t="s">
        <v>4598</v>
      </c>
      <c r="L72" s="241" t="s">
        <v>4599</v>
      </c>
      <c r="M72" s="241"/>
      <c r="N72" s="161"/>
      <c r="O72" s="139" t="s">
        <v>161</v>
      </c>
      <c r="P72" s="40" t="s">
        <v>162</v>
      </c>
      <c r="Q72" s="229" t="s">
        <v>3223</v>
      </c>
      <c r="R72" s="201" t="s">
        <v>2930</v>
      </c>
      <c r="S72" s="141" t="s">
        <v>164</v>
      </c>
      <c r="T72" s="243" t="s">
        <v>4597</v>
      </c>
    </row>
    <row r="73" spans="1:20" ht="58" customHeight="1">
      <c r="A73" s="231" t="s">
        <v>2435</v>
      </c>
      <c r="B73" s="42" t="s">
        <v>5</v>
      </c>
      <c r="C73" s="41" t="s">
        <v>1527</v>
      </c>
      <c r="D73" s="41" t="s">
        <v>148</v>
      </c>
      <c r="E73" s="200" t="s">
        <v>720</v>
      </c>
      <c r="F73" s="200" t="s">
        <v>3300</v>
      </c>
      <c r="G73" s="245" t="s">
        <v>3275</v>
      </c>
      <c r="H73" s="42" t="s">
        <v>2</v>
      </c>
      <c r="I73" s="248" t="s">
        <v>3012</v>
      </c>
      <c r="J73" s="233" t="s">
        <v>3221</v>
      </c>
      <c r="K73" s="162"/>
      <c r="L73" s="241"/>
      <c r="M73" s="241"/>
      <c r="N73" s="161"/>
      <c r="O73" s="139" t="s">
        <v>143</v>
      </c>
      <c r="P73" s="40" t="s">
        <v>147</v>
      </c>
      <c r="Q73" s="229" t="s">
        <v>3223</v>
      </c>
      <c r="R73" s="201" t="s">
        <v>2930</v>
      </c>
      <c r="S73" s="141" t="s">
        <v>146</v>
      </c>
      <c r="T73" s="243"/>
    </row>
    <row r="74" spans="1:20" ht="58" customHeight="1">
      <c r="A74" s="231" t="s">
        <v>2435</v>
      </c>
      <c r="B74" s="42" t="s">
        <v>5</v>
      </c>
      <c r="C74" s="41" t="s">
        <v>1527</v>
      </c>
      <c r="D74" s="41" t="s">
        <v>150</v>
      </c>
      <c r="E74" s="200" t="s">
        <v>3757</v>
      </c>
      <c r="F74" s="200" t="s">
        <v>3269</v>
      </c>
      <c r="G74" s="245" t="s">
        <v>3270</v>
      </c>
      <c r="H74" s="42" t="s">
        <v>2</v>
      </c>
      <c r="I74" s="248" t="s">
        <v>3012</v>
      </c>
      <c r="J74" s="233" t="s">
        <v>3221</v>
      </c>
      <c r="K74" s="162"/>
      <c r="L74" s="241"/>
      <c r="M74" s="241"/>
      <c r="N74" s="161"/>
      <c r="O74" s="139" t="s">
        <v>143</v>
      </c>
      <c r="P74" s="40" t="s">
        <v>149</v>
      </c>
      <c r="Q74" s="229" t="s">
        <v>3223</v>
      </c>
      <c r="R74" s="201" t="s">
        <v>2931</v>
      </c>
      <c r="S74" s="141" t="s">
        <v>146</v>
      </c>
      <c r="T74" s="243"/>
    </row>
    <row r="75" spans="1:20" ht="58" customHeight="1">
      <c r="A75" s="231" t="s">
        <v>2435</v>
      </c>
      <c r="B75" s="42" t="s">
        <v>5</v>
      </c>
      <c r="C75" s="41" t="s">
        <v>1527</v>
      </c>
      <c r="D75" s="41" t="s">
        <v>158</v>
      </c>
      <c r="E75" s="200" t="s">
        <v>723</v>
      </c>
      <c r="F75" s="200" t="s">
        <v>3989</v>
      </c>
      <c r="G75" s="245" t="s">
        <v>3004</v>
      </c>
      <c r="H75" s="42" t="s">
        <v>2</v>
      </c>
      <c r="I75" s="248" t="s">
        <v>3012</v>
      </c>
      <c r="J75" s="233" t="s">
        <v>3221</v>
      </c>
      <c r="K75" s="162"/>
      <c r="L75" s="241"/>
      <c r="M75" s="241"/>
      <c r="N75" s="161"/>
      <c r="O75" s="139" t="s">
        <v>153</v>
      </c>
      <c r="P75" s="40" t="s">
        <v>157</v>
      </c>
      <c r="Q75" s="229" t="s">
        <v>3223</v>
      </c>
      <c r="R75" s="201" t="s">
        <v>2932</v>
      </c>
      <c r="S75" s="141" t="s">
        <v>156</v>
      </c>
      <c r="T75" s="243"/>
    </row>
    <row r="76" spans="1:20" ht="58" customHeight="1">
      <c r="A76" s="231" t="s">
        <v>2435</v>
      </c>
      <c r="B76" s="42" t="s">
        <v>5</v>
      </c>
      <c r="C76" s="41" t="s">
        <v>1527</v>
      </c>
      <c r="D76" s="41" t="s">
        <v>160</v>
      </c>
      <c r="E76" s="200" t="s">
        <v>724</v>
      </c>
      <c r="F76" s="200" t="s">
        <v>3990</v>
      </c>
      <c r="G76" s="245" t="s">
        <v>3004</v>
      </c>
      <c r="H76" s="42" t="s">
        <v>2</v>
      </c>
      <c r="I76" s="248" t="s">
        <v>3012</v>
      </c>
      <c r="J76" s="233" t="s">
        <v>3221</v>
      </c>
      <c r="K76" s="162"/>
      <c r="L76" s="241"/>
      <c r="M76" s="241"/>
      <c r="N76" s="161"/>
      <c r="O76" s="139" t="s">
        <v>153</v>
      </c>
      <c r="P76" s="40" t="s">
        <v>159</v>
      </c>
      <c r="Q76" s="229" t="s">
        <v>3223</v>
      </c>
      <c r="R76" s="201" t="s">
        <v>2932</v>
      </c>
      <c r="S76" s="141" t="s">
        <v>156</v>
      </c>
      <c r="T76" s="243"/>
    </row>
    <row r="77" spans="1:20" ht="58" customHeight="1">
      <c r="A77" s="231" t="s">
        <v>2435</v>
      </c>
      <c r="B77" s="42" t="s">
        <v>5</v>
      </c>
      <c r="C77" s="41" t="s">
        <v>1527</v>
      </c>
      <c r="D77" s="41" t="s">
        <v>172</v>
      </c>
      <c r="E77" s="200" t="s">
        <v>727</v>
      </c>
      <c r="F77" s="200" t="s">
        <v>3301</v>
      </c>
      <c r="G77" s="245" t="s">
        <v>4540</v>
      </c>
      <c r="H77" s="42" t="s">
        <v>1522</v>
      </c>
      <c r="I77" s="248" t="s">
        <v>4478</v>
      </c>
      <c r="J77" s="233" t="s">
        <v>3221</v>
      </c>
      <c r="K77" s="162" t="s">
        <v>4604</v>
      </c>
      <c r="L77" s="241" t="s">
        <v>4605</v>
      </c>
      <c r="M77" s="241"/>
      <c r="N77" s="161"/>
      <c r="O77" s="139" t="s">
        <v>167</v>
      </c>
      <c r="P77" s="40" t="s">
        <v>171</v>
      </c>
      <c r="Q77" s="229" t="s">
        <v>3223</v>
      </c>
      <c r="R77" s="201" t="s">
        <v>2930</v>
      </c>
      <c r="S77" s="141" t="s">
        <v>170</v>
      </c>
      <c r="T77" s="243" t="s">
        <v>4597</v>
      </c>
    </row>
    <row r="78" spans="1:20" ht="58" customHeight="1">
      <c r="A78" s="231" t="s">
        <v>2435</v>
      </c>
      <c r="B78" s="42" t="s">
        <v>5</v>
      </c>
      <c r="C78" s="41" t="s">
        <v>1527</v>
      </c>
      <c r="D78" s="41" t="s">
        <v>174</v>
      </c>
      <c r="E78" s="200" t="s">
        <v>4067</v>
      </c>
      <c r="F78" s="200" t="s">
        <v>3302</v>
      </c>
      <c r="G78" s="245" t="s">
        <v>4068</v>
      </c>
      <c r="H78" s="42" t="s">
        <v>1522</v>
      </c>
      <c r="I78" s="248" t="s">
        <v>3014</v>
      </c>
      <c r="J78" s="233" t="s">
        <v>4069</v>
      </c>
      <c r="K78" s="162" t="s">
        <v>4527</v>
      </c>
      <c r="L78" s="241" t="s">
        <v>4528</v>
      </c>
      <c r="M78" s="241"/>
      <c r="N78" s="161" t="s">
        <v>4257</v>
      </c>
      <c r="O78" s="139" t="s">
        <v>167</v>
      </c>
      <c r="P78" s="40" t="s">
        <v>173</v>
      </c>
      <c r="Q78" s="229" t="s">
        <v>3223</v>
      </c>
      <c r="R78" s="201" t="s">
        <v>2930</v>
      </c>
      <c r="S78" s="141" t="s">
        <v>170</v>
      </c>
      <c r="T78" s="243"/>
    </row>
    <row r="79" spans="1:20" ht="58" customHeight="1">
      <c r="A79" s="231" t="s">
        <v>2435</v>
      </c>
      <c r="B79" s="42" t="s">
        <v>5</v>
      </c>
      <c r="C79" s="41" t="s">
        <v>1527</v>
      </c>
      <c r="D79" s="41" t="s">
        <v>152</v>
      </c>
      <c r="E79" s="200" t="s">
        <v>721</v>
      </c>
      <c r="F79" s="200" t="s">
        <v>3991</v>
      </c>
      <c r="G79" s="245" t="s">
        <v>3008</v>
      </c>
      <c r="H79" s="42" t="s">
        <v>1522</v>
      </c>
      <c r="I79" s="248" t="s">
        <v>4478</v>
      </c>
      <c r="J79" s="233" t="s">
        <v>3840</v>
      </c>
      <c r="K79" s="162" t="s">
        <v>4268</v>
      </c>
      <c r="L79" s="241" t="s">
        <v>4394</v>
      </c>
      <c r="M79" s="241" t="s">
        <v>4395</v>
      </c>
      <c r="N79" s="161" t="s">
        <v>4257</v>
      </c>
      <c r="O79" s="139" t="s">
        <v>143</v>
      </c>
      <c r="P79" s="40" t="s">
        <v>151</v>
      </c>
      <c r="Q79" s="229" t="s">
        <v>3223</v>
      </c>
      <c r="R79" s="201" t="s">
        <v>2922</v>
      </c>
      <c r="S79" s="141" t="s">
        <v>146</v>
      </c>
      <c r="T79" s="243"/>
    </row>
    <row r="80" spans="1:20" ht="58" customHeight="1">
      <c r="A80" s="231" t="s">
        <v>2435</v>
      </c>
      <c r="B80" s="42" t="s">
        <v>5</v>
      </c>
      <c r="C80" s="41" t="s">
        <v>1527</v>
      </c>
      <c r="D80" s="41" t="s">
        <v>166</v>
      </c>
      <c r="E80" s="200" t="s">
        <v>726</v>
      </c>
      <c r="F80" s="200" t="s">
        <v>3303</v>
      </c>
      <c r="G80" s="245" t="s">
        <v>4541</v>
      </c>
      <c r="H80" s="42" t="s">
        <v>3</v>
      </c>
      <c r="I80" s="248" t="s">
        <v>1539</v>
      </c>
      <c r="J80" s="233" t="s">
        <v>3221</v>
      </c>
      <c r="K80" s="162" t="s">
        <v>958</v>
      </c>
      <c r="L80" s="241"/>
      <c r="M80" s="241"/>
      <c r="N80" s="161"/>
      <c r="O80" s="139" t="s">
        <v>161</v>
      </c>
      <c r="P80" s="40" t="s">
        <v>165</v>
      </c>
      <c r="Q80" s="229" t="s">
        <v>3223</v>
      </c>
      <c r="R80" s="201" t="s">
        <v>2930</v>
      </c>
      <c r="S80" s="141" t="s">
        <v>164</v>
      </c>
      <c r="T80" s="243" t="s">
        <v>4606</v>
      </c>
    </row>
    <row r="81" spans="1:20" ht="58" customHeight="1">
      <c r="A81" s="231" t="s">
        <v>2435</v>
      </c>
      <c r="B81" s="42" t="s">
        <v>5</v>
      </c>
      <c r="C81" s="41" t="s">
        <v>1528</v>
      </c>
      <c r="D81" s="41" t="s">
        <v>177</v>
      </c>
      <c r="E81" s="200" t="s">
        <v>728</v>
      </c>
      <c r="F81" s="200" t="s">
        <v>3992</v>
      </c>
      <c r="G81" s="245" t="s">
        <v>3004</v>
      </c>
      <c r="H81" s="42" t="s">
        <v>2</v>
      </c>
      <c r="I81" s="248" t="s">
        <v>3012</v>
      </c>
      <c r="J81" s="233" t="s">
        <v>3221</v>
      </c>
      <c r="K81" s="162"/>
      <c r="L81" s="241"/>
      <c r="M81" s="241"/>
      <c r="N81" s="161"/>
      <c r="O81" s="139" t="s">
        <v>175</v>
      </c>
      <c r="P81" s="40" t="s">
        <v>176</v>
      </c>
      <c r="Q81" s="229" t="s">
        <v>3223</v>
      </c>
      <c r="R81" s="201" t="s">
        <v>2934</v>
      </c>
      <c r="S81" s="141" t="s">
        <v>178</v>
      </c>
      <c r="T81" s="243"/>
    </row>
    <row r="82" spans="1:20" ht="58" customHeight="1">
      <c r="A82" s="231" t="s">
        <v>2435</v>
      </c>
      <c r="B82" s="42" t="s">
        <v>5</v>
      </c>
      <c r="C82" s="41" t="s">
        <v>1528</v>
      </c>
      <c r="D82" s="41" t="s">
        <v>180</v>
      </c>
      <c r="E82" s="200" t="s">
        <v>729</v>
      </c>
      <c r="F82" s="200" t="s">
        <v>3304</v>
      </c>
      <c r="G82" s="245" t="s">
        <v>3305</v>
      </c>
      <c r="H82" s="42" t="s">
        <v>1522</v>
      </c>
      <c r="I82" s="248" t="s">
        <v>3014</v>
      </c>
      <c r="J82" s="233" t="s">
        <v>3221</v>
      </c>
      <c r="K82" s="162" t="s">
        <v>4600</v>
      </c>
      <c r="L82" s="241" t="s">
        <v>4601</v>
      </c>
      <c r="M82" s="241"/>
      <c r="N82" s="161"/>
      <c r="O82" s="139" t="s">
        <v>175</v>
      </c>
      <c r="P82" s="40" t="s">
        <v>179</v>
      </c>
      <c r="Q82" s="229" t="s">
        <v>3223</v>
      </c>
      <c r="R82" s="201" t="s">
        <v>2930</v>
      </c>
      <c r="S82" s="141" t="s">
        <v>178</v>
      </c>
      <c r="T82" s="243" t="s">
        <v>4597</v>
      </c>
    </row>
    <row r="83" spans="1:20" ht="58" customHeight="1">
      <c r="A83" s="231" t="s">
        <v>2435</v>
      </c>
      <c r="B83" s="42" t="s">
        <v>5</v>
      </c>
      <c r="C83" s="41" t="s">
        <v>1528</v>
      </c>
      <c r="D83" s="41" t="s">
        <v>182</v>
      </c>
      <c r="E83" s="200" t="s">
        <v>730</v>
      </c>
      <c r="F83" s="200" t="s">
        <v>3306</v>
      </c>
      <c r="G83" s="245" t="s">
        <v>4542</v>
      </c>
      <c r="H83" s="42" t="s">
        <v>1522</v>
      </c>
      <c r="I83" s="248" t="s">
        <v>3014</v>
      </c>
      <c r="J83" s="233" t="s">
        <v>3221</v>
      </c>
      <c r="K83" s="162" t="s">
        <v>4460</v>
      </c>
      <c r="L83" s="241" t="s">
        <v>4461</v>
      </c>
      <c r="M83" s="241"/>
      <c r="N83" s="161"/>
      <c r="O83" s="139" t="s">
        <v>175</v>
      </c>
      <c r="P83" s="40" t="s">
        <v>181</v>
      </c>
      <c r="Q83" s="229" t="s">
        <v>3223</v>
      </c>
      <c r="R83" s="201" t="s">
        <v>2930</v>
      </c>
      <c r="S83" s="141" t="s">
        <v>178</v>
      </c>
      <c r="T83" s="243"/>
    </row>
    <row r="84" spans="1:20" ht="58" customHeight="1">
      <c r="A84" s="231" t="s">
        <v>2435</v>
      </c>
      <c r="B84" s="42" t="s">
        <v>5</v>
      </c>
      <c r="C84" s="41" t="s">
        <v>1528</v>
      </c>
      <c r="D84" s="41" t="s">
        <v>184</v>
      </c>
      <c r="E84" s="200" t="s">
        <v>731</v>
      </c>
      <c r="F84" s="200" t="s">
        <v>3307</v>
      </c>
      <c r="G84" s="245" t="s">
        <v>4543</v>
      </c>
      <c r="H84" s="42" t="s">
        <v>3</v>
      </c>
      <c r="I84" s="248" t="s">
        <v>1539</v>
      </c>
      <c r="J84" s="233" t="s">
        <v>3221</v>
      </c>
      <c r="K84" s="162" t="s">
        <v>958</v>
      </c>
      <c r="L84" s="241"/>
      <c r="M84" s="241"/>
      <c r="N84" s="161"/>
      <c r="O84" s="139" t="s">
        <v>175</v>
      </c>
      <c r="P84" s="40" t="s">
        <v>183</v>
      </c>
      <c r="Q84" s="229" t="s">
        <v>3223</v>
      </c>
      <c r="R84" s="201" t="s">
        <v>2930</v>
      </c>
      <c r="S84" s="141" t="s">
        <v>178</v>
      </c>
      <c r="T84" s="243" t="s">
        <v>4607</v>
      </c>
    </row>
    <row r="85" spans="1:20" ht="58" customHeight="1">
      <c r="A85" s="231" t="s">
        <v>2435</v>
      </c>
      <c r="B85" s="42" t="s">
        <v>5</v>
      </c>
      <c r="C85" s="41" t="s">
        <v>1528</v>
      </c>
      <c r="D85" s="41" t="s">
        <v>186</v>
      </c>
      <c r="E85" s="200" t="s">
        <v>732</v>
      </c>
      <c r="F85" s="200" t="s">
        <v>3308</v>
      </c>
      <c r="G85" s="245" t="s">
        <v>4544</v>
      </c>
      <c r="H85" s="42" t="s">
        <v>1522</v>
      </c>
      <c r="I85" s="248" t="s">
        <v>3014</v>
      </c>
      <c r="J85" s="233" t="s">
        <v>3221</v>
      </c>
      <c r="K85" s="162" t="s">
        <v>4602</v>
      </c>
      <c r="L85" s="241" t="s">
        <v>4603</v>
      </c>
      <c r="M85" s="241"/>
      <c r="N85" s="161"/>
      <c r="O85" s="139" t="s">
        <v>175</v>
      </c>
      <c r="P85" s="40" t="s">
        <v>185</v>
      </c>
      <c r="Q85" s="229" t="s">
        <v>3223</v>
      </c>
      <c r="R85" s="201" t="s">
        <v>2930</v>
      </c>
      <c r="S85" s="141" t="s">
        <v>178</v>
      </c>
      <c r="T85" s="243" t="s">
        <v>4597</v>
      </c>
    </row>
    <row r="86" spans="1:20" ht="58" customHeight="1">
      <c r="A86" s="231" t="s">
        <v>2435</v>
      </c>
      <c r="B86" s="42" t="s">
        <v>5</v>
      </c>
      <c r="C86" s="41" t="s">
        <v>1528</v>
      </c>
      <c r="D86" s="41" t="s">
        <v>197</v>
      </c>
      <c r="E86" s="200" t="s">
        <v>4476</v>
      </c>
      <c r="F86" s="200" t="s">
        <v>3993</v>
      </c>
      <c r="G86" s="245" t="s">
        <v>3009</v>
      </c>
      <c r="H86" s="42" t="s">
        <v>1522</v>
      </c>
      <c r="I86" s="248" t="s">
        <v>3014</v>
      </c>
      <c r="J86" s="233" t="s">
        <v>3841</v>
      </c>
      <c r="K86" s="162" t="s">
        <v>4632</v>
      </c>
      <c r="L86" s="241" t="s">
        <v>4633</v>
      </c>
      <c r="M86" s="241"/>
      <c r="N86" s="161" t="s">
        <v>4257</v>
      </c>
      <c r="O86" s="139" t="s">
        <v>195</v>
      </c>
      <c r="P86" s="40" t="s">
        <v>196</v>
      </c>
      <c r="Q86" s="229" t="s">
        <v>3223</v>
      </c>
      <c r="R86" s="201" t="s">
        <v>2964</v>
      </c>
      <c r="S86" s="141" t="s">
        <v>198</v>
      </c>
      <c r="T86" s="243"/>
    </row>
    <row r="87" spans="1:20" ht="58" customHeight="1">
      <c r="A87" s="231" t="s">
        <v>2435</v>
      </c>
      <c r="B87" s="42" t="s">
        <v>5</v>
      </c>
      <c r="C87" s="41" t="s">
        <v>1528</v>
      </c>
      <c r="D87" s="41" t="s">
        <v>191</v>
      </c>
      <c r="E87" s="200" t="s">
        <v>733</v>
      </c>
      <c r="F87" s="200" t="s">
        <v>3994</v>
      </c>
      <c r="G87" s="245" t="s">
        <v>3008</v>
      </c>
      <c r="H87" s="42" t="s">
        <v>1522</v>
      </c>
      <c r="I87" s="248" t="s">
        <v>3014</v>
      </c>
      <c r="J87" s="233" t="s">
        <v>3842</v>
      </c>
      <c r="K87" s="162" t="s">
        <v>4535</v>
      </c>
      <c r="L87" s="241"/>
      <c r="M87" s="241"/>
      <c r="N87" s="161"/>
      <c r="O87" s="139" t="s">
        <v>189</v>
      </c>
      <c r="P87" s="40" t="s">
        <v>190</v>
      </c>
      <c r="Q87" s="229" t="s">
        <v>3223</v>
      </c>
      <c r="R87" s="201" t="s">
        <v>2922</v>
      </c>
      <c r="S87" s="141" t="s">
        <v>192</v>
      </c>
      <c r="T87" s="243"/>
    </row>
    <row r="88" spans="1:20" ht="58" customHeight="1">
      <c r="A88" s="231" t="s">
        <v>2435</v>
      </c>
      <c r="B88" s="42" t="s">
        <v>5</v>
      </c>
      <c r="C88" s="41" t="s">
        <v>1528</v>
      </c>
      <c r="D88" s="41" t="s">
        <v>194</v>
      </c>
      <c r="E88" s="200" t="s">
        <v>734</v>
      </c>
      <c r="F88" s="200" t="s">
        <v>3995</v>
      </c>
      <c r="G88" s="245" t="s">
        <v>3008</v>
      </c>
      <c r="H88" s="42" t="s">
        <v>1522</v>
      </c>
      <c r="I88" s="248" t="s">
        <v>3014</v>
      </c>
      <c r="J88" s="233" t="s">
        <v>3843</v>
      </c>
      <c r="K88" s="162" t="s">
        <v>4498</v>
      </c>
      <c r="L88" s="241" t="s">
        <v>4499</v>
      </c>
      <c r="M88" s="241" t="s">
        <v>4500</v>
      </c>
      <c r="N88" s="161" t="s">
        <v>4257</v>
      </c>
      <c r="O88" s="139" t="s">
        <v>189</v>
      </c>
      <c r="P88" s="40" t="s">
        <v>193</v>
      </c>
      <c r="Q88" s="229" t="s">
        <v>3223</v>
      </c>
      <c r="R88" s="201" t="s">
        <v>2922</v>
      </c>
      <c r="S88" s="141" t="s">
        <v>192</v>
      </c>
      <c r="T88" s="243"/>
    </row>
    <row r="89" spans="1:20" ht="58" customHeight="1">
      <c r="A89" s="231" t="s">
        <v>2435</v>
      </c>
      <c r="B89" s="42" t="s">
        <v>5</v>
      </c>
      <c r="C89" s="41" t="s">
        <v>1528</v>
      </c>
      <c r="D89" s="41" t="s">
        <v>188</v>
      </c>
      <c r="E89" s="200" t="s">
        <v>3748</v>
      </c>
      <c r="F89" s="200" t="s">
        <v>3271</v>
      </c>
      <c r="G89" s="245" t="s">
        <v>3272</v>
      </c>
      <c r="H89" s="42" t="s">
        <v>2</v>
      </c>
      <c r="I89" s="248" t="s">
        <v>3012</v>
      </c>
      <c r="J89" s="233" t="s">
        <v>3221</v>
      </c>
      <c r="K89" s="162"/>
      <c r="L89" s="241"/>
      <c r="M89" s="241"/>
      <c r="N89" s="161"/>
      <c r="O89" s="139" t="s">
        <v>175</v>
      </c>
      <c r="P89" s="40" t="s">
        <v>187</v>
      </c>
      <c r="Q89" s="229" t="s">
        <v>3223</v>
      </c>
      <c r="R89" s="201" t="s">
        <v>2935</v>
      </c>
      <c r="S89" s="141" t="s">
        <v>178</v>
      </c>
      <c r="T89" s="243"/>
    </row>
    <row r="90" spans="1:20" ht="58" customHeight="1">
      <c r="A90" s="231" t="s">
        <v>2435</v>
      </c>
      <c r="B90" s="42" t="s">
        <v>5</v>
      </c>
      <c r="C90" s="41" t="s">
        <v>1528</v>
      </c>
      <c r="D90" s="41" t="s">
        <v>200</v>
      </c>
      <c r="E90" s="200" t="s">
        <v>735</v>
      </c>
      <c r="F90" s="200" t="s">
        <v>3996</v>
      </c>
      <c r="G90" s="245" t="s">
        <v>3008</v>
      </c>
      <c r="H90" s="42" t="s">
        <v>1522</v>
      </c>
      <c r="I90" s="248" t="s">
        <v>3014</v>
      </c>
      <c r="J90" s="233" t="s">
        <v>3844</v>
      </c>
      <c r="K90" s="162" t="s">
        <v>4501</v>
      </c>
      <c r="L90" s="241" t="s">
        <v>4502</v>
      </c>
      <c r="M90" s="241" t="s">
        <v>4631</v>
      </c>
      <c r="N90" s="161" t="s">
        <v>4257</v>
      </c>
      <c r="O90" s="139" t="s">
        <v>195</v>
      </c>
      <c r="P90" s="40" t="s">
        <v>199</v>
      </c>
      <c r="Q90" s="229" t="s">
        <v>3223</v>
      </c>
      <c r="R90" s="201" t="s">
        <v>2922</v>
      </c>
      <c r="S90" s="141" t="s">
        <v>198</v>
      </c>
      <c r="T90" s="243"/>
    </row>
    <row r="91" spans="1:20" ht="58" customHeight="1">
      <c r="A91" s="231" t="s">
        <v>2435</v>
      </c>
      <c r="B91" s="42" t="s">
        <v>5</v>
      </c>
      <c r="C91" s="41" t="s">
        <v>1528</v>
      </c>
      <c r="D91" s="41" t="s">
        <v>202</v>
      </c>
      <c r="E91" s="200" t="s">
        <v>736</v>
      </c>
      <c r="F91" s="200" t="s">
        <v>3997</v>
      </c>
      <c r="G91" s="245" t="s">
        <v>3008</v>
      </c>
      <c r="H91" s="42" t="s">
        <v>1522</v>
      </c>
      <c r="I91" s="248" t="s">
        <v>3014</v>
      </c>
      <c r="J91" s="233" t="s">
        <v>3845</v>
      </c>
      <c r="K91" s="162" t="s">
        <v>4533</v>
      </c>
      <c r="L91" s="241"/>
      <c r="M91" s="241"/>
      <c r="N91" s="161"/>
      <c r="O91" s="139" t="s">
        <v>195</v>
      </c>
      <c r="P91" s="40" t="s">
        <v>201</v>
      </c>
      <c r="Q91" s="229" t="s">
        <v>3223</v>
      </c>
      <c r="R91" s="201" t="s">
        <v>2922</v>
      </c>
      <c r="S91" s="141" t="s">
        <v>198</v>
      </c>
      <c r="T91" s="243" t="s">
        <v>4534</v>
      </c>
    </row>
    <row r="92" spans="1:20" ht="58" customHeight="1">
      <c r="A92" s="231" t="s">
        <v>2435</v>
      </c>
      <c r="B92" s="42" t="s">
        <v>5</v>
      </c>
      <c r="C92" s="41" t="s">
        <v>1528</v>
      </c>
      <c r="D92" s="41" t="s">
        <v>204</v>
      </c>
      <c r="E92" s="200" t="s">
        <v>737</v>
      </c>
      <c r="F92" s="200" t="s">
        <v>3998</v>
      </c>
      <c r="G92" s="245" t="s">
        <v>3008</v>
      </c>
      <c r="H92" s="42" t="s">
        <v>1522</v>
      </c>
      <c r="I92" s="248" t="s">
        <v>3014</v>
      </c>
      <c r="J92" s="233" t="s">
        <v>3846</v>
      </c>
      <c r="K92" s="162" t="s">
        <v>4531</v>
      </c>
      <c r="L92" s="241" t="s">
        <v>4532</v>
      </c>
      <c r="M92" s="241"/>
      <c r="N92" s="161" t="s">
        <v>4257</v>
      </c>
      <c r="O92" s="139" t="s">
        <v>195</v>
      </c>
      <c r="P92" s="40" t="s">
        <v>203</v>
      </c>
      <c r="Q92" s="229" t="s">
        <v>3223</v>
      </c>
      <c r="R92" s="201" t="s">
        <v>2922</v>
      </c>
      <c r="S92" s="141" t="s">
        <v>198</v>
      </c>
      <c r="T92" s="243"/>
    </row>
    <row r="93" spans="1:20" ht="58" customHeight="1">
      <c r="A93" s="231" t="s">
        <v>2435</v>
      </c>
      <c r="B93" s="42" t="s">
        <v>5</v>
      </c>
      <c r="C93" s="41" t="s">
        <v>1529</v>
      </c>
      <c r="D93" s="41" t="s">
        <v>207</v>
      </c>
      <c r="E93" s="200" t="s">
        <v>3749</v>
      </c>
      <c r="F93" s="200" t="s">
        <v>3972</v>
      </c>
      <c r="G93" s="245" t="s">
        <v>3004</v>
      </c>
      <c r="H93" s="42" t="s">
        <v>2</v>
      </c>
      <c r="I93" s="248" t="s">
        <v>3012</v>
      </c>
      <c r="J93" s="233" t="s">
        <v>3221</v>
      </c>
      <c r="K93" s="162"/>
      <c r="L93" s="241"/>
      <c r="M93" s="241"/>
      <c r="N93" s="161"/>
      <c r="O93" s="139" t="s">
        <v>205</v>
      </c>
      <c r="P93" s="40" t="s">
        <v>206</v>
      </c>
      <c r="Q93" s="229" t="s">
        <v>3223</v>
      </c>
      <c r="R93" s="201" t="s">
        <v>2936</v>
      </c>
      <c r="S93" s="141" t="s">
        <v>208</v>
      </c>
      <c r="T93" s="243"/>
    </row>
    <row r="94" spans="1:20" ht="58" customHeight="1">
      <c r="A94" s="231" t="s">
        <v>2435</v>
      </c>
      <c r="B94" s="42" t="s">
        <v>5</v>
      </c>
      <c r="C94" s="41" t="s">
        <v>1529</v>
      </c>
      <c r="D94" s="41" t="s">
        <v>210</v>
      </c>
      <c r="E94" s="200" t="s">
        <v>3750</v>
      </c>
      <c r="F94" s="200" t="s">
        <v>3273</v>
      </c>
      <c r="G94" s="245" t="s">
        <v>4545</v>
      </c>
      <c r="H94" s="42" t="s">
        <v>2</v>
      </c>
      <c r="I94" s="248" t="s">
        <v>3012</v>
      </c>
      <c r="J94" s="233" t="s">
        <v>3221</v>
      </c>
      <c r="K94" s="162"/>
      <c r="L94" s="241"/>
      <c r="M94" s="241"/>
      <c r="N94" s="161"/>
      <c r="O94" s="139" t="s">
        <v>205</v>
      </c>
      <c r="P94" s="40" t="s">
        <v>209</v>
      </c>
      <c r="Q94" s="229" t="s">
        <v>3223</v>
      </c>
      <c r="R94" s="201" t="s">
        <v>2937</v>
      </c>
      <c r="S94" s="141" t="s">
        <v>208</v>
      </c>
      <c r="T94" s="243"/>
    </row>
    <row r="95" spans="1:20" ht="58" customHeight="1">
      <c r="A95" s="231" t="s">
        <v>2435</v>
      </c>
      <c r="B95" s="42" t="s">
        <v>5</v>
      </c>
      <c r="C95" s="41" t="s">
        <v>1529</v>
      </c>
      <c r="D95" s="41" t="s">
        <v>212</v>
      </c>
      <c r="E95" s="200" t="s">
        <v>3751</v>
      </c>
      <c r="F95" s="200" t="s">
        <v>3274</v>
      </c>
      <c r="G95" s="245" t="s">
        <v>3275</v>
      </c>
      <c r="H95" s="42" t="s">
        <v>2</v>
      </c>
      <c r="I95" s="248" t="s">
        <v>3012</v>
      </c>
      <c r="J95" s="233" t="s">
        <v>3221</v>
      </c>
      <c r="K95" s="162"/>
      <c r="L95" s="241"/>
      <c r="M95" s="241"/>
      <c r="N95" s="161"/>
      <c r="O95" s="139" t="s">
        <v>205</v>
      </c>
      <c r="P95" s="40" t="s">
        <v>211</v>
      </c>
      <c r="Q95" s="229" t="s">
        <v>3223</v>
      </c>
      <c r="R95" s="201" t="s">
        <v>2954</v>
      </c>
      <c r="S95" s="141" t="s">
        <v>208</v>
      </c>
      <c r="T95" s="243"/>
    </row>
    <row r="96" spans="1:20" ht="58" customHeight="1">
      <c r="A96" s="231" t="s">
        <v>2435</v>
      </c>
      <c r="B96" s="42" t="s">
        <v>5</v>
      </c>
      <c r="C96" s="41" t="s">
        <v>1529</v>
      </c>
      <c r="D96" s="41" t="s">
        <v>214</v>
      </c>
      <c r="E96" s="200" t="s">
        <v>3752</v>
      </c>
      <c r="F96" s="200" t="s">
        <v>3276</v>
      </c>
      <c r="G96" s="245" t="s">
        <v>4546</v>
      </c>
      <c r="H96" s="42" t="s">
        <v>3</v>
      </c>
      <c r="I96" s="248" t="s">
        <v>1539</v>
      </c>
      <c r="J96" s="233" t="s">
        <v>3221</v>
      </c>
      <c r="K96" s="162"/>
      <c r="L96" s="241"/>
      <c r="M96" s="241"/>
      <c r="N96" s="161"/>
      <c r="O96" s="139" t="s">
        <v>205</v>
      </c>
      <c r="P96" s="40" t="s">
        <v>213</v>
      </c>
      <c r="Q96" s="229" t="s">
        <v>3223</v>
      </c>
      <c r="R96" s="201" t="s">
        <v>2938</v>
      </c>
      <c r="S96" s="141" t="s">
        <v>208</v>
      </c>
      <c r="T96" s="243"/>
    </row>
    <row r="97" spans="1:20" ht="58" customHeight="1">
      <c r="A97" s="231" t="s">
        <v>2435</v>
      </c>
      <c r="B97" s="42" t="s">
        <v>5</v>
      </c>
      <c r="C97" s="41" t="s">
        <v>1529</v>
      </c>
      <c r="D97" s="41" t="s">
        <v>225</v>
      </c>
      <c r="E97" s="200" t="s">
        <v>3753</v>
      </c>
      <c r="F97" s="200" t="s">
        <v>3999</v>
      </c>
      <c r="G97" s="245" t="s">
        <v>3008</v>
      </c>
      <c r="H97" s="42" t="s">
        <v>1522</v>
      </c>
      <c r="I97" s="248" t="s">
        <v>4478</v>
      </c>
      <c r="J97" s="233" t="s">
        <v>3847</v>
      </c>
      <c r="K97" s="162" t="s">
        <v>4267</v>
      </c>
      <c r="L97" s="241" t="s">
        <v>4392</v>
      </c>
      <c r="M97" s="241" t="s">
        <v>4393</v>
      </c>
      <c r="N97" s="161" t="s">
        <v>4257</v>
      </c>
      <c r="O97" s="139" t="s">
        <v>223</v>
      </c>
      <c r="P97" s="40" t="s">
        <v>224</v>
      </c>
      <c r="Q97" s="229" t="s">
        <v>3223</v>
      </c>
      <c r="R97" s="236" t="s">
        <v>2955</v>
      </c>
      <c r="S97" s="141" t="s">
        <v>226</v>
      </c>
      <c r="T97" s="243"/>
    </row>
    <row r="98" spans="1:20" ht="58" customHeight="1">
      <c r="A98" s="231" t="s">
        <v>2435</v>
      </c>
      <c r="B98" s="42" t="s">
        <v>5</v>
      </c>
      <c r="C98" s="41" t="s">
        <v>1529</v>
      </c>
      <c r="D98" s="41" t="s">
        <v>228</v>
      </c>
      <c r="E98" s="200" t="s">
        <v>3754</v>
      </c>
      <c r="F98" s="200" t="s">
        <v>3309</v>
      </c>
      <c r="G98" s="245" t="s">
        <v>4547</v>
      </c>
      <c r="H98" s="42" t="s">
        <v>1521</v>
      </c>
      <c r="I98" s="248" t="s">
        <v>1539</v>
      </c>
      <c r="J98" s="233" t="s">
        <v>3221</v>
      </c>
      <c r="K98" s="162" t="s">
        <v>958</v>
      </c>
      <c r="L98" s="241"/>
      <c r="M98" s="241"/>
      <c r="N98" s="161"/>
      <c r="O98" s="139" t="s">
        <v>223</v>
      </c>
      <c r="P98" s="40" t="s">
        <v>227</v>
      </c>
      <c r="Q98" s="229" t="s">
        <v>3223</v>
      </c>
      <c r="R98" s="201" t="s">
        <v>2942</v>
      </c>
      <c r="S98" s="141" t="s">
        <v>226</v>
      </c>
      <c r="T98" s="243" t="s">
        <v>4608</v>
      </c>
    </row>
    <row r="99" spans="1:20" ht="58" customHeight="1">
      <c r="A99" s="231" t="s">
        <v>2435</v>
      </c>
      <c r="B99" s="42" t="s">
        <v>5</v>
      </c>
      <c r="C99" s="41" t="s">
        <v>1529</v>
      </c>
      <c r="D99" s="41" t="s">
        <v>216</v>
      </c>
      <c r="E99" s="200" t="s">
        <v>738</v>
      </c>
      <c r="F99" s="200" t="s">
        <v>4000</v>
      </c>
      <c r="G99" s="245" t="s">
        <v>3004</v>
      </c>
      <c r="H99" s="42" t="s">
        <v>2</v>
      </c>
      <c r="I99" s="248" t="s">
        <v>3012</v>
      </c>
      <c r="J99" s="233" t="s">
        <v>3221</v>
      </c>
      <c r="K99" s="162"/>
      <c r="L99" s="241"/>
      <c r="M99" s="241"/>
      <c r="N99" s="161"/>
      <c r="O99" s="139" t="s">
        <v>205</v>
      </c>
      <c r="P99" s="40" t="s">
        <v>215</v>
      </c>
      <c r="Q99" s="229" t="s">
        <v>3223</v>
      </c>
      <c r="R99" s="201" t="s">
        <v>2939</v>
      </c>
      <c r="S99" s="141" t="s">
        <v>208</v>
      </c>
      <c r="T99" s="243"/>
    </row>
    <row r="100" spans="1:20" ht="58" customHeight="1">
      <c r="A100" s="231" t="s">
        <v>2435</v>
      </c>
      <c r="B100" s="42" t="s">
        <v>5</v>
      </c>
      <c r="C100" s="41" t="s">
        <v>1529</v>
      </c>
      <c r="D100" s="41" t="s">
        <v>219</v>
      </c>
      <c r="E100" s="200" t="s">
        <v>739</v>
      </c>
      <c r="F100" s="200" t="s">
        <v>4001</v>
      </c>
      <c r="G100" s="245" t="s">
        <v>3004</v>
      </c>
      <c r="H100" s="42" t="s">
        <v>2</v>
      </c>
      <c r="I100" s="248" t="s">
        <v>3012</v>
      </c>
      <c r="J100" s="233" t="s">
        <v>3221</v>
      </c>
      <c r="K100" s="162"/>
      <c r="L100" s="241"/>
      <c r="M100" s="241"/>
      <c r="N100" s="161"/>
      <c r="O100" s="139" t="s">
        <v>217</v>
      </c>
      <c r="P100" s="40" t="s">
        <v>218</v>
      </c>
      <c r="Q100" s="229" t="s">
        <v>3223</v>
      </c>
      <c r="R100" s="201" t="s">
        <v>2941</v>
      </c>
      <c r="S100" s="141" t="s">
        <v>220</v>
      </c>
      <c r="T100" s="243"/>
    </row>
    <row r="101" spans="1:20" ht="58" customHeight="1">
      <c r="A101" s="231" t="s">
        <v>2435</v>
      </c>
      <c r="B101" s="42" t="s">
        <v>5</v>
      </c>
      <c r="C101" s="41" t="s">
        <v>1529</v>
      </c>
      <c r="D101" s="41" t="s">
        <v>222</v>
      </c>
      <c r="E101" s="200" t="s">
        <v>3755</v>
      </c>
      <c r="F101" s="200" t="s">
        <v>4002</v>
      </c>
      <c r="G101" s="245" t="s">
        <v>3004</v>
      </c>
      <c r="H101" s="42" t="s">
        <v>2</v>
      </c>
      <c r="I101" s="248" t="s">
        <v>3012</v>
      </c>
      <c r="J101" s="233" t="s">
        <v>3221</v>
      </c>
      <c r="K101" s="162"/>
      <c r="L101" s="241"/>
      <c r="M101" s="241"/>
      <c r="N101" s="161"/>
      <c r="O101" s="139" t="s">
        <v>217</v>
      </c>
      <c r="P101" s="40" t="s">
        <v>221</v>
      </c>
      <c r="Q101" s="229" t="s">
        <v>3223</v>
      </c>
      <c r="R101" s="201" t="s">
        <v>2940</v>
      </c>
      <c r="S101" s="141" t="s">
        <v>220</v>
      </c>
      <c r="T101" s="243"/>
    </row>
    <row r="102" spans="1:20" ht="58" customHeight="1">
      <c r="A102" s="231" t="s">
        <v>2435</v>
      </c>
      <c r="B102" s="42" t="s">
        <v>5</v>
      </c>
      <c r="C102" s="41" t="s">
        <v>1529</v>
      </c>
      <c r="D102" s="41" t="s">
        <v>230</v>
      </c>
      <c r="E102" s="200" t="s">
        <v>3756</v>
      </c>
      <c r="F102" s="200" t="s">
        <v>4280</v>
      </c>
      <c r="G102" s="245" t="s">
        <v>4281</v>
      </c>
      <c r="H102" s="42" t="s">
        <v>3</v>
      </c>
      <c r="I102" s="248" t="s">
        <v>1539</v>
      </c>
      <c r="J102" s="233" t="s">
        <v>3221</v>
      </c>
      <c r="K102" s="162"/>
      <c r="L102" s="241"/>
      <c r="M102" s="241"/>
      <c r="N102" s="161"/>
      <c r="O102" s="139" t="s">
        <v>223</v>
      </c>
      <c r="P102" s="40" t="s">
        <v>229</v>
      </c>
      <c r="Q102" s="229" t="s">
        <v>3223</v>
      </c>
      <c r="R102" s="201" t="s">
        <v>2943</v>
      </c>
      <c r="S102" s="141" t="s">
        <v>226</v>
      </c>
      <c r="T102" s="243"/>
    </row>
    <row r="103" spans="1:20" ht="58" customHeight="1">
      <c r="A103" s="231" t="s">
        <v>2435</v>
      </c>
      <c r="B103" s="42" t="s">
        <v>6</v>
      </c>
      <c r="C103" s="41" t="s">
        <v>1531</v>
      </c>
      <c r="D103" s="41" t="s">
        <v>245</v>
      </c>
      <c r="E103" s="200" t="s">
        <v>746</v>
      </c>
      <c r="F103" s="200" t="s">
        <v>4003</v>
      </c>
      <c r="G103" s="245" t="s">
        <v>3008</v>
      </c>
      <c r="H103" s="42" t="s">
        <v>1522</v>
      </c>
      <c r="I103" s="248" t="s">
        <v>4091</v>
      </c>
      <c r="J103" s="233" t="s">
        <v>3848</v>
      </c>
      <c r="K103" s="162" t="s">
        <v>4269</v>
      </c>
      <c r="L103" s="241" t="s">
        <v>4396</v>
      </c>
      <c r="M103" s="241" t="s">
        <v>4397</v>
      </c>
      <c r="N103" s="161" t="s">
        <v>4257</v>
      </c>
      <c r="O103" s="139" t="s">
        <v>243</v>
      </c>
      <c r="P103" s="40" t="s">
        <v>244</v>
      </c>
      <c r="Q103" s="229" t="s">
        <v>3223</v>
      </c>
      <c r="R103" s="201" t="s">
        <v>2956</v>
      </c>
      <c r="S103" s="141" t="s">
        <v>246</v>
      </c>
      <c r="T103" s="243"/>
    </row>
    <row r="104" spans="1:20" ht="58" customHeight="1">
      <c r="A104" s="231" t="s">
        <v>2435</v>
      </c>
      <c r="B104" s="42" t="s">
        <v>6</v>
      </c>
      <c r="C104" s="41" t="s">
        <v>1531</v>
      </c>
      <c r="D104" s="41" t="s">
        <v>257</v>
      </c>
      <c r="E104" s="200" t="s">
        <v>748</v>
      </c>
      <c r="F104" s="200" t="s">
        <v>4004</v>
      </c>
      <c r="G104" s="245" t="s">
        <v>3008</v>
      </c>
      <c r="H104" s="42" t="s">
        <v>1522</v>
      </c>
      <c r="I104" s="248" t="s">
        <v>4478</v>
      </c>
      <c r="J104" s="233" t="s">
        <v>3849</v>
      </c>
      <c r="K104" s="162" t="s">
        <v>4270</v>
      </c>
      <c r="L104" s="241" t="s">
        <v>4398</v>
      </c>
      <c r="M104" s="241" t="s">
        <v>4399</v>
      </c>
      <c r="N104" s="161" t="s">
        <v>4257</v>
      </c>
      <c r="O104" s="139" t="s">
        <v>255</v>
      </c>
      <c r="P104" s="40" t="s">
        <v>256</v>
      </c>
      <c r="Q104" s="229" t="s">
        <v>3223</v>
      </c>
      <c r="R104" s="201" t="s">
        <v>2922</v>
      </c>
      <c r="S104" s="141" t="s">
        <v>258</v>
      </c>
      <c r="T104" s="243"/>
    </row>
    <row r="105" spans="1:20" ht="58" customHeight="1">
      <c r="A105" s="231" t="s">
        <v>2435</v>
      </c>
      <c r="B105" s="42" t="s">
        <v>6</v>
      </c>
      <c r="C105" s="41" t="s">
        <v>1531</v>
      </c>
      <c r="D105" s="41" t="s">
        <v>248</v>
      </c>
      <c r="E105" s="200" t="s">
        <v>747</v>
      </c>
      <c r="F105" s="200" t="s">
        <v>4005</v>
      </c>
      <c r="G105" s="245" t="s">
        <v>3005</v>
      </c>
      <c r="H105" s="42" t="s">
        <v>958</v>
      </c>
      <c r="I105" s="248" t="s">
        <v>3013</v>
      </c>
      <c r="J105" s="233" t="s">
        <v>3221</v>
      </c>
      <c r="K105" s="162"/>
      <c r="L105" s="241"/>
      <c r="M105" s="241"/>
      <c r="N105" s="161"/>
      <c r="O105" s="139" t="s">
        <v>243</v>
      </c>
      <c r="P105" s="40" t="s">
        <v>247</v>
      </c>
      <c r="Q105" s="229" t="s">
        <v>3223</v>
      </c>
      <c r="R105" s="201" t="s">
        <v>2918</v>
      </c>
      <c r="S105" s="141" t="s">
        <v>246</v>
      </c>
      <c r="T105" s="243"/>
    </row>
    <row r="106" spans="1:20" ht="58" customHeight="1">
      <c r="A106" s="231" t="s">
        <v>2435</v>
      </c>
      <c r="B106" s="42" t="s">
        <v>6</v>
      </c>
      <c r="C106" s="41" t="s">
        <v>1531</v>
      </c>
      <c r="D106" s="41" t="s">
        <v>250</v>
      </c>
      <c r="E106" s="200" t="s">
        <v>3760</v>
      </c>
      <c r="F106" s="200" t="s">
        <v>3277</v>
      </c>
      <c r="G106" s="245" t="s">
        <v>3278</v>
      </c>
      <c r="H106" s="42" t="s">
        <v>2</v>
      </c>
      <c r="I106" s="248" t="s">
        <v>3012</v>
      </c>
      <c r="J106" s="233" t="s">
        <v>3221</v>
      </c>
      <c r="K106" s="162"/>
      <c r="L106" s="241"/>
      <c r="M106" s="241"/>
      <c r="N106" s="161"/>
      <c r="O106" s="139" t="s">
        <v>243</v>
      </c>
      <c r="P106" s="40" t="s">
        <v>249</v>
      </c>
      <c r="Q106" s="229" t="s">
        <v>3223</v>
      </c>
      <c r="R106" s="201" t="s">
        <v>2944</v>
      </c>
      <c r="S106" s="141" t="s">
        <v>246</v>
      </c>
      <c r="T106" s="243"/>
    </row>
    <row r="107" spans="1:20" ht="58" customHeight="1">
      <c r="A107" s="231" t="s">
        <v>2435</v>
      </c>
      <c r="B107" s="42" t="s">
        <v>6</v>
      </c>
      <c r="C107" s="41" t="s">
        <v>1531</v>
      </c>
      <c r="D107" s="41" t="s">
        <v>252</v>
      </c>
      <c r="E107" s="200" t="s">
        <v>3761</v>
      </c>
      <c r="F107" s="200" t="s">
        <v>3279</v>
      </c>
      <c r="G107" s="245" t="s">
        <v>3280</v>
      </c>
      <c r="H107" s="42" t="s">
        <v>2</v>
      </c>
      <c r="I107" s="248" t="s">
        <v>3012</v>
      </c>
      <c r="J107" s="233" t="s">
        <v>3221</v>
      </c>
      <c r="K107" s="162"/>
      <c r="L107" s="241"/>
      <c r="M107" s="241"/>
      <c r="N107" s="161"/>
      <c r="O107" s="139" t="s">
        <v>243</v>
      </c>
      <c r="P107" s="40" t="s">
        <v>251</v>
      </c>
      <c r="Q107" s="229" t="s">
        <v>3223</v>
      </c>
      <c r="R107" s="201" t="s">
        <v>2944</v>
      </c>
      <c r="S107" s="141" t="s">
        <v>246</v>
      </c>
      <c r="T107" s="243"/>
    </row>
    <row r="108" spans="1:20" ht="58" customHeight="1">
      <c r="A108" s="231" t="s">
        <v>2435</v>
      </c>
      <c r="B108" s="42" t="s">
        <v>6</v>
      </c>
      <c r="C108" s="41" t="s">
        <v>1531</v>
      </c>
      <c r="D108" s="41" t="s">
        <v>260</v>
      </c>
      <c r="E108" s="200" t="s">
        <v>749</v>
      </c>
      <c r="F108" s="200" t="s">
        <v>4061</v>
      </c>
      <c r="G108" s="245" t="s">
        <v>3008</v>
      </c>
      <c r="H108" s="42" t="s">
        <v>1522</v>
      </c>
      <c r="I108" s="248" t="s">
        <v>3014</v>
      </c>
      <c r="J108" s="233" t="s">
        <v>3850</v>
      </c>
      <c r="K108" s="162" t="s">
        <v>4477</v>
      </c>
      <c r="L108" s="241" t="s">
        <v>4490</v>
      </c>
      <c r="M108" s="241" t="s">
        <v>4491</v>
      </c>
      <c r="N108" s="161" t="s">
        <v>4256</v>
      </c>
      <c r="O108" s="139" t="s">
        <v>255</v>
      </c>
      <c r="P108" s="40" t="s">
        <v>259</v>
      </c>
      <c r="Q108" s="229" t="s">
        <v>3223</v>
      </c>
      <c r="R108" s="201" t="s">
        <v>2922</v>
      </c>
      <c r="S108" s="141" t="s">
        <v>258</v>
      </c>
      <c r="T108" s="243"/>
    </row>
    <row r="109" spans="1:20" ht="58" customHeight="1">
      <c r="A109" s="231" t="s">
        <v>2435</v>
      </c>
      <c r="B109" s="42" t="s">
        <v>6</v>
      </c>
      <c r="C109" s="41" t="s">
        <v>1531</v>
      </c>
      <c r="D109" s="41" t="s">
        <v>262</v>
      </c>
      <c r="E109" s="200" t="s">
        <v>750</v>
      </c>
      <c r="F109" s="200" t="s">
        <v>4006</v>
      </c>
      <c r="G109" s="245" t="s">
        <v>3008</v>
      </c>
      <c r="H109" s="42" t="s">
        <v>1522</v>
      </c>
      <c r="I109" s="248" t="s">
        <v>4478</v>
      </c>
      <c r="J109" s="233" t="s">
        <v>3851</v>
      </c>
      <c r="K109" s="162" t="s">
        <v>4251</v>
      </c>
      <c r="L109" s="241" t="s">
        <v>4410</v>
      </c>
      <c r="M109" s="241"/>
      <c r="N109" s="161" t="s">
        <v>4257</v>
      </c>
      <c r="O109" s="139" t="s">
        <v>255</v>
      </c>
      <c r="P109" s="40" t="s">
        <v>261</v>
      </c>
      <c r="Q109" s="229" t="s">
        <v>3223</v>
      </c>
      <c r="R109" s="201" t="s">
        <v>2922</v>
      </c>
      <c r="S109" s="141" t="s">
        <v>258</v>
      </c>
      <c r="T109" s="243"/>
    </row>
    <row r="110" spans="1:20" ht="58" customHeight="1">
      <c r="A110" s="231" t="s">
        <v>2435</v>
      </c>
      <c r="B110" s="42" t="s">
        <v>6</v>
      </c>
      <c r="C110" s="41" t="s">
        <v>1531</v>
      </c>
      <c r="D110" s="41" t="s">
        <v>254</v>
      </c>
      <c r="E110" s="200" t="s">
        <v>3762</v>
      </c>
      <c r="F110" s="200" t="s">
        <v>3281</v>
      </c>
      <c r="G110" s="245" t="s">
        <v>4548</v>
      </c>
      <c r="H110" s="42" t="s">
        <v>3</v>
      </c>
      <c r="I110" s="248" t="s">
        <v>3016</v>
      </c>
      <c r="J110" s="233" t="s">
        <v>3221</v>
      </c>
      <c r="K110" s="162"/>
      <c r="L110" s="241"/>
      <c r="M110" s="241"/>
      <c r="N110" s="161"/>
      <c r="O110" s="139" t="s">
        <v>243</v>
      </c>
      <c r="P110" s="40" t="s">
        <v>253</v>
      </c>
      <c r="Q110" s="229" t="s">
        <v>3223</v>
      </c>
      <c r="R110" s="201" t="s">
        <v>2944</v>
      </c>
      <c r="S110" s="141" t="s">
        <v>246</v>
      </c>
      <c r="T110" s="243"/>
    </row>
    <row r="111" spans="1:20" ht="58" customHeight="1">
      <c r="A111" s="231" t="s">
        <v>2435</v>
      </c>
      <c r="B111" s="42" t="s">
        <v>6</v>
      </c>
      <c r="C111" s="41" t="s">
        <v>1531</v>
      </c>
      <c r="D111" s="41" t="s">
        <v>4098</v>
      </c>
      <c r="E111" s="200" t="s">
        <v>751</v>
      </c>
      <c r="F111" s="200" t="s">
        <v>4007</v>
      </c>
      <c r="G111" s="245" t="s">
        <v>3007</v>
      </c>
      <c r="H111" s="42" t="s">
        <v>1522</v>
      </c>
      <c r="I111" s="248" t="s">
        <v>3014</v>
      </c>
      <c r="J111" s="233" t="s">
        <v>3852</v>
      </c>
      <c r="K111" s="162" t="s">
        <v>4099</v>
      </c>
      <c r="L111" s="241" t="s">
        <v>4286</v>
      </c>
      <c r="M111" s="241" t="s">
        <v>4287</v>
      </c>
      <c r="N111" s="161" t="s">
        <v>4256</v>
      </c>
      <c r="O111" s="139" t="s">
        <v>263</v>
      </c>
      <c r="P111" s="40" t="s">
        <v>4097</v>
      </c>
      <c r="Q111" s="229" t="s">
        <v>3223</v>
      </c>
      <c r="R111" s="201" t="s">
        <v>2921</v>
      </c>
      <c r="S111" s="141" t="s">
        <v>265</v>
      </c>
      <c r="T111" s="243"/>
    </row>
    <row r="112" spans="1:20" ht="58" customHeight="1">
      <c r="A112" s="231" t="s">
        <v>2435</v>
      </c>
      <c r="B112" s="42" t="s">
        <v>6</v>
      </c>
      <c r="C112" s="41" t="s">
        <v>1531</v>
      </c>
      <c r="D112" s="41" t="s">
        <v>4100</v>
      </c>
      <c r="E112" s="200" t="s">
        <v>751</v>
      </c>
      <c r="F112" s="200" t="s">
        <v>4007</v>
      </c>
      <c r="G112" s="245" t="s">
        <v>3007</v>
      </c>
      <c r="H112" s="42" t="s">
        <v>1522</v>
      </c>
      <c r="I112" s="248" t="s">
        <v>3014</v>
      </c>
      <c r="J112" s="233" t="s">
        <v>3852</v>
      </c>
      <c r="K112" s="162" t="s">
        <v>4102</v>
      </c>
      <c r="L112" s="241" t="s">
        <v>4288</v>
      </c>
      <c r="M112" s="241" t="s">
        <v>4289</v>
      </c>
      <c r="N112" s="161" t="s">
        <v>4256</v>
      </c>
      <c r="O112" s="139" t="s">
        <v>263</v>
      </c>
      <c r="P112" s="40" t="s">
        <v>4101</v>
      </c>
      <c r="Q112" s="229" t="s">
        <v>3223</v>
      </c>
      <c r="R112" s="201" t="s">
        <v>2921</v>
      </c>
      <c r="S112" s="141" t="s">
        <v>265</v>
      </c>
      <c r="T112" s="243"/>
    </row>
    <row r="113" spans="1:20" ht="58" customHeight="1">
      <c r="A113" s="231" t="s">
        <v>2435</v>
      </c>
      <c r="B113" s="42" t="s">
        <v>6</v>
      </c>
      <c r="C113" s="41" t="s">
        <v>1531</v>
      </c>
      <c r="D113" s="41" t="s">
        <v>267</v>
      </c>
      <c r="E113" s="200" t="s">
        <v>752</v>
      </c>
      <c r="F113" s="200" t="s">
        <v>4008</v>
      </c>
      <c r="G113" s="245" t="s">
        <v>3008</v>
      </c>
      <c r="H113" s="42" t="s">
        <v>1522</v>
      </c>
      <c r="I113" s="248" t="s">
        <v>3014</v>
      </c>
      <c r="J113" s="233" t="s">
        <v>3853</v>
      </c>
      <c r="K113" s="162" t="s">
        <v>4535</v>
      </c>
      <c r="L113" s="241"/>
      <c r="M113" s="241"/>
      <c r="N113" s="161"/>
      <c r="O113" s="139" t="s">
        <v>263</v>
      </c>
      <c r="P113" s="40" t="s">
        <v>266</v>
      </c>
      <c r="Q113" s="229" t="s">
        <v>3223</v>
      </c>
      <c r="R113" s="201" t="s">
        <v>2922</v>
      </c>
      <c r="S113" s="141" t="s">
        <v>265</v>
      </c>
      <c r="T113" s="243"/>
    </row>
    <row r="114" spans="1:20" ht="58" customHeight="1">
      <c r="A114" s="231" t="s">
        <v>2435</v>
      </c>
      <c r="B114" s="42" t="s">
        <v>6</v>
      </c>
      <c r="C114" s="41" t="s">
        <v>1531</v>
      </c>
      <c r="D114" s="41" t="s">
        <v>269</v>
      </c>
      <c r="E114" s="200" t="s">
        <v>753</v>
      </c>
      <c r="F114" s="200" t="s">
        <v>4009</v>
      </c>
      <c r="G114" s="245" t="s">
        <v>3008</v>
      </c>
      <c r="H114" s="42" t="s">
        <v>1522</v>
      </c>
      <c r="I114" s="248" t="s">
        <v>3014</v>
      </c>
      <c r="J114" s="233" t="s">
        <v>3854</v>
      </c>
      <c r="K114" s="162" t="s">
        <v>4520</v>
      </c>
      <c r="L114" s="241" t="s">
        <v>4522</v>
      </c>
      <c r="M114" s="241"/>
      <c r="N114" s="161" t="s">
        <v>4256</v>
      </c>
      <c r="O114" s="139" t="s">
        <v>263</v>
      </c>
      <c r="P114" s="40" t="s">
        <v>268</v>
      </c>
      <c r="Q114" s="229" t="s">
        <v>3223</v>
      </c>
      <c r="R114" s="201" t="s">
        <v>2922</v>
      </c>
      <c r="S114" s="141" t="s">
        <v>265</v>
      </c>
      <c r="T114" s="243"/>
    </row>
    <row r="115" spans="1:20" ht="58" customHeight="1">
      <c r="A115" s="231" t="s">
        <v>2435</v>
      </c>
      <c r="B115" s="42" t="s">
        <v>6</v>
      </c>
      <c r="C115" s="41" t="s">
        <v>1531</v>
      </c>
      <c r="D115" s="41" t="s">
        <v>271</v>
      </c>
      <c r="E115" s="200" t="s">
        <v>754</v>
      </c>
      <c r="F115" s="200" t="s">
        <v>4058</v>
      </c>
      <c r="G115" s="245" t="s">
        <v>3007</v>
      </c>
      <c r="H115" s="42" t="s">
        <v>1522</v>
      </c>
      <c r="I115" s="248" t="s">
        <v>3014</v>
      </c>
      <c r="J115" s="233" t="s">
        <v>3855</v>
      </c>
      <c r="K115" s="162" t="s">
        <v>4223</v>
      </c>
      <c r="L115" s="241" t="s">
        <v>4637</v>
      </c>
      <c r="M115" s="241" t="s">
        <v>4638</v>
      </c>
      <c r="N115" s="161" t="s">
        <v>4257</v>
      </c>
      <c r="O115" s="139" t="s">
        <v>263</v>
      </c>
      <c r="P115" s="40" t="s">
        <v>270</v>
      </c>
      <c r="Q115" s="229" t="s">
        <v>3223</v>
      </c>
      <c r="R115" s="201" t="s">
        <v>2921</v>
      </c>
      <c r="S115" s="141" t="s">
        <v>265</v>
      </c>
      <c r="T115" s="243" t="s">
        <v>4467</v>
      </c>
    </row>
    <row r="116" spans="1:20" ht="58" customHeight="1">
      <c r="A116" s="231" t="s">
        <v>2435</v>
      </c>
      <c r="B116" s="42" t="s">
        <v>6</v>
      </c>
      <c r="C116" s="41" t="s">
        <v>1531</v>
      </c>
      <c r="D116" s="41" t="s">
        <v>273</v>
      </c>
      <c r="E116" s="200" t="s">
        <v>755</v>
      </c>
      <c r="F116" s="200" t="s">
        <v>4010</v>
      </c>
      <c r="G116" s="245" t="s">
        <v>3004</v>
      </c>
      <c r="H116" s="42" t="s">
        <v>2</v>
      </c>
      <c r="I116" s="248" t="s">
        <v>3012</v>
      </c>
      <c r="J116" s="233" t="s">
        <v>3221</v>
      </c>
      <c r="K116" s="162"/>
      <c r="L116" s="241"/>
      <c r="M116" s="241"/>
      <c r="N116" s="161"/>
      <c r="O116" s="139" t="s">
        <v>263</v>
      </c>
      <c r="P116" s="40" t="s">
        <v>272</v>
      </c>
      <c r="Q116" s="229" t="s">
        <v>3223</v>
      </c>
      <c r="R116" s="201" t="s">
        <v>2941</v>
      </c>
      <c r="S116" s="141" t="s">
        <v>265</v>
      </c>
      <c r="T116" s="243"/>
    </row>
    <row r="117" spans="1:20" ht="58" customHeight="1">
      <c r="A117" s="231" t="s">
        <v>2435</v>
      </c>
      <c r="B117" s="42" t="s">
        <v>6</v>
      </c>
      <c r="C117" s="41" t="s">
        <v>1531</v>
      </c>
      <c r="D117" s="41" t="s">
        <v>275</v>
      </c>
      <c r="E117" s="200" t="s">
        <v>756</v>
      </c>
      <c r="F117" s="200" t="s">
        <v>4628</v>
      </c>
      <c r="G117" s="245" t="s">
        <v>4629</v>
      </c>
      <c r="H117" s="42" t="s">
        <v>1522</v>
      </c>
      <c r="I117" s="248" t="s">
        <v>3014</v>
      </c>
      <c r="J117" s="233" t="s">
        <v>3221</v>
      </c>
      <c r="K117" s="162" t="s">
        <v>4247</v>
      </c>
      <c r="L117" s="241" t="s">
        <v>4630</v>
      </c>
      <c r="M117" s="241"/>
      <c r="N117" s="161" t="s">
        <v>4256</v>
      </c>
      <c r="O117" s="139" t="s">
        <v>263</v>
      </c>
      <c r="P117" s="40" t="s">
        <v>274</v>
      </c>
      <c r="Q117" s="229" t="s">
        <v>3223</v>
      </c>
      <c r="R117" s="201" t="s">
        <v>2941</v>
      </c>
      <c r="S117" s="141" t="s">
        <v>265</v>
      </c>
      <c r="T117" s="243"/>
    </row>
    <row r="118" spans="1:20" ht="58" customHeight="1">
      <c r="A118" s="231" t="s">
        <v>2435</v>
      </c>
      <c r="B118" s="42" t="s">
        <v>6</v>
      </c>
      <c r="C118" s="41" t="s">
        <v>1531</v>
      </c>
      <c r="D118" s="41" t="s">
        <v>277</v>
      </c>
      <c r="E118" s="200" t="s">
        <v>3763</v>
      </c>
      <c r="F118" s="200" t="s">
        <v>3310</v>
      </c>
      <c r="G118" s="245" t="s">
        <v>4549</v>
      </c>
      <c r="H118" s="42" t="s">
        <v>3</v>
      </c>
      <c r="I118" s="248" t="s">
        <v>3016</v>
      </c>
      <c r="J118" s="233" t="s">
        <v>3221</v>
      </c>
      <c r="K118" s="162"/>
      <c r="L118" s="241"/>
      <c r="M118" s="241"/>
      <c r="N118" s="161"/>
      <c r="O118" s="139" t="s">
        <v>263</v>
      </c>
      <c r="P118" s="40" t="s">
        <v>276</v>
      </c>
      <c r="Q118" s="229" t="s">
        <v>3223</v>
      </c>
      <c r="R118" s="201" t="s">
        <v>2957</v>
      </c>
      <c r="S118" s="141" t="s">
        <v>265</v>
      </c>
      <c r="T118" s="243"/>
    </row>
    <row r="119" spans="1:20" ht="58" customHeight="1">
      <c r="A119" s="231" t="s">
        <v>2435</v>
      </c>
      <c r="B119" s="42" t="s">
        <v>6</v>
      </c>
      <c r="C119" s="41" t="s">
        <v>1530</v>
      </c>
      <c r="D119" s="41" t="s">
        <v>4104</v>
      </c>
      <c r="E119" s="200" t="s">
        <v>740</v>
      </c>
      <c r="F119" s="200" t="s">
        <v>4011</v>
      </c>
      <c r="G119" s="245" t="s">
        <v>3007</v>
      </c>
      <c r="H119" s="42" t="s">
        <v>1522</v>
      </c>
      <c r="I119" s="248" t="s">
        <v>3014</v>
      </c>
      <c r="J119" s="233" t="s">
        <v>3856</v>
      </c>
      <c r="K119" s="162" t="s">
        <v>4105</v>
      </c>
      <c r="L119" s="241" t="s">
        <v>4290</v>
      </c>
      <c r="M119" s="241" t="s">
        <v>4291</v>
      </c>
      <c r="N119" s="161" t="s">
        <v>4256</v>
      </c>
      <c r="O119" s="139" t="s">
        <v>231</v>
      </c>
      <c r="P119" s="40" t="s">
        <v>4103</v>
      </c>
      <c r="Q119" s="229" t="s">
        <v>3223</v>
      </c>
      <c r="R119" s="201" t="s">
        <v>2921</v>
      </c>
      <c r="S119" s="141" t="s">
        <v>233</v>
      </c>
      <c r="T119" s="243"/>
    </row>
    <row r="120" spans="1:20" ht="58" customHeight="1">
      <c r="A120" s="231" t="s">
        <v>2435</v>
      </c>
      <c r="B120" s="42" t="s">
        <v>6</v>
      </c>
      <c r="C120" s="41" t="s">
        <v>1530</v>
      </c>
      <c r="D120" s="41" t="s">
        <v>4106</v>
      </c>
      <c r="E120" s="200" t="s">
        <v>740</v>
      </c>
      <c r="F120" s="200" t="s">
        <v>4011</v>
      </c>
      <c r="G120" s="245" t="s">
        <v>3007</v>
      </c>
      <c r="H120" s="42" t="s">
        <v>1522</v>
      </c>
      <c r="I120" s="248" t="s">
        <v>3014</v>
      </c>
      <c r="J120" s="233" t="s">
        <v>3856</v>
      </c>
      <c r="K120" s="162" t="s">
        <v>4108</v>
      </c>
      <c r="L120" s="241" t="s">
        <v>4296</v>
      </c>
      <c r="M120" s="241" t="s">
        <v>4297</v>
      </c>
      <c r="N120" s="161" t="s">
        <v>4257</v>
      </c>
      <c r="O120" s="139" t="s">
        <v>231</v>
      </c>
      <c r="P120" s="40" t="s">
        <v>4107</v>
      </c>
      <c r="Q120" s="229" t="s">
        <v>3223</v>
      </c>
      <c r="R120" s="201" t="s">
        <v>2921</v>
      </c>
      <c r="S120" s="141" t="s">
        <v>233</v>
      </c>
      <c r="T120" s="243"/>
    </row>
    <row r="121" spans="1:20" ht="58" customHeight="1">
      <c r="A121" s="231" t="s">
        <v>2435</v>
      </c>
      <c r="B121" s="42" t="s">
        <v>6</v>
      </c>
      <c r="C121" s="41" t="s">
        <v>1530</v>
      </c>
      <c r="D121" s="41" t="s">
        <v>4110</v>
      </c>
      <c r="E121" s="200" t="s">
        <v>741</v>
      </c>
      <c r="F121" s="200" t="s">
        <v>4012</v>
      </c>
      <c r="G121" s="245" t="s">
        <v>3007</v>
      </c>
      <c r="H121" s="42" t="s">
        <v>1522</v>
      </c>
      <c r="I121" s="248" t="s">
        <v>4091</v>
      </c>
      <c r="J121" s="233" t="s">
        <v>3857</v>
      </c>
      <c r="K121" s="162" t="s">
        <v>4111</v>
      </c>
      <c r="L121" s="241" t="s">
        <v>4298</v>
      </c>
      <c r="M121" s="241" t="s">
        <v>4299</v>
      </c>
      <c r="N121" s="161" t="s">
        <v>4257</v>
      </c>
      <c r="O121" s="139" t="s">
        <v>231</v>
      </c>
      <c r="P121" s="40" t="s">
        <v>4109</v>
      </c>
      <c r="Q121" s="229" t="s">
        <v>3223</v>
      </c>
      <c r="R121" s="201" t="s">
        <v>2921</v>
      </c>
      <c r="S121" s="141" t="s">
        <v>233</v>
      </c>
      <c r="T121" s="243"/>
    </row>
    <row r="122" spans="1:20" ht="58" customHeight="1">
      <c r="A122" s="231" t="s">
        <v>2435</v>
      </c>
      <c r="B122" s="42" t="s">
        <v>6</v>
      </c>
      <c r="C122" s="41" t="s">
        <v>1530</v>
      </c>
      <c r="D122" s="41" t="s">
        <v>4112</v>
      </c>
      <c r="E122" s="200" t="s">
        <v>741</v>
      </c>
      <c r="F122" s="200" t="s">
        <v>4012</v>
      </c>
      <c r="G122" s="245" t="s">
        <v>3007</v>
      </c>
      <c r="H122" s="42" t="s">
        <v>1522</v>
      </c>
      <c r="I122" s="248" t="s">
        <v>4091</v>
      </c>
      <c r="J122" s="233" t="s">
        <v>3857</v>
      </c>
      <c r="K122" s="162" t="s">
        <v>4114</v>
      </c>
      <c r="L122" s="241" t="s">
        <v>4306</v>
      </c>
      <c r="M122" s="241" t="s">
        <v>4307</v>
      </c>
      <c r="N122" s="161" t="s">
        <v>4258</v>
      </c>
      <c r="O122" s="139" t="s">
        <v>231</v>
      </c>
      <c r="P122" s="40" t="s">
        <v>4113</v>
      </c>
      <c r="Q122" s="229" t="s">
        <v>3223</v>
      </c>
      <c r="R122" s="201" t="s">
        <v>2921</v>
      </c>
      <c r="S122" s="141" t="s">
        <v>233</v>
      </c>
      <c r="T122" s="243"/>
    </row>
    <row r="123" spans="1:20" ht="58" customHeight="1">
      <c r="A123" s="231" t="s">
        <v>2435</v>
      </c>
      <c r="B123" s="42" t="s">
        <v>6</v>
      </c>
      <c r="C123" s="41" t="s">
        <v>1530</v>
      </c>
      <c r="D123" s="41" t="s">
        <v>236</v>
      </c>
      <c r="E123" s="200" t="s">
        <v>742</v>
      </c>
      <c r="F123" s="200" t="s">
        <v>4013</v>
      </c>
      <c r="G123" s="245" t="s">
        <v>3004</v>
      </c>
      <c r="H123" s="42" t="s">
        <v>2</v>
      </c>
      <c r="I123" s="248" t="s">
        <v>3012</v>
      </c>
      <c r="J123" s="233" t="s">
        <v>3221</v>
      </c>
      <c r="K123" s="162"/>
      <c r="L123" s="241"/>
      <c r="M123" s="241"/>
      <c r="N123" s="161"/>
      <c r="O123" s="139" t="s">
        <v>231</v>
      </c>
      <c r="P123" s="40" t="s">
        <v>235</v>
      </c>
      <c r="Q123" s="229" t="s">
        <v>3223</v>
      </c>
      <c r="R123" s="201" t="s">
        <v>2941</v>
      </c>
      <c r="S123" s="141" t="s">
        <v>233</v>
      </c>
      <c r="T123" s="243"/>
    </row>
    <row r="124" spans="1:20" ht="58" customHeight="1">
      <c r="A124" s="231" t="s">
        <v>2435</v>
      </c>
      <c r="B124" s="42" t="s">
        <v>6</v>
      </c>
      <c r="C124" s="41" t="s">
        <v>1530</v>
      </c>
      <c r="D124" s="41" t="s">
        <v>238</v>
      </c>
      <c r="E124" s="200" t="s">
        <v>743</v>
      </c>
      <c r="F124" s="200" t="s">
        <v>4014</v>
      </c>
      <c r="G124" s="245" t="s">
        <v>3004</v>
      </c>
      <c r="H124" s="42" t="s">
        <v>2</v>
      </c>
      <c r="I124" s="248" t="s">
        <v>3012</v>
      </c>
      <c r="J124" s="233" t="s">
        <v>3221</v>
      </c>
      <c r="K124" s="162"/>
      <c r="L124" s="241"/>
      <c r="M124" s="241"/>
      <c r="N124" s="161"/>
      <c r="O124" s="139" t="s">
        <v>231</v>
      </c>
      <c r="P124" s="40" t="s">
        <v>237</v>
      </c>
      <c r="Q124" s="229" t="s">
        <v>3223</v>
      </c>
      <c r="R124" s="201" t="s">
        <v>2941</v>
      </c>
      <c r="S124" s="141" t="s">
        <v>233</v>
      </c>
      <c r="T124" s="243"/>
    </row>
    <row r="125" spans="1:20" ht="58" customHeight="1">
      <c r="A125" s="231" t="s">
        <v>2435</v>
      </c>
      <c r="B125" s="42" t="s">
        <v>6</v>
      </c>
      <c r="C125" s="41" t="s">
        <v>1530</v>
      </c>
      <c r="D125" s="41" t="s">
        <v>240</v>
      </c>
      <c r="E125" s="200" t="s">
        <v>744</v>
      </c>
      <c r="F125" s="200" t="s">
        <v>4015</v>
      </c>
      <c r="G125" s="245" t="s">
        <v>3004</v>
      </c>
      <c r="H125" s="42" t="s">
        <v>2</v>
      </c>
      <c r="I125" s="248" t="s">
        <v>3012</v>
      </c>
      <c r="J125" s="233" t="s">
        <v>3221</v>
      </c>
      <c r="K125" s="162"/>
      <c r="L125" s="241"/>
      <c r="M125" s="241"/>
      <c r="N125" s="161"/>
      <c r="O125" s="139" t="s">
        <v>231</v>
      </c>
      <c r="P125" s="40" t="s">
        <v>239</v>
      </c>
      <c r="Q125" s="229" t="s">
        <v>3223</v>
      </c>
      <c r="R125" s="201" t="s">
        <v>2941</v>
      </c>
      <c r="S125" s="141" t="s">
        <v>233</v>
      </c>
      <c r="T125" s="243"/>
    </row>
    <row r="126" spans="1:20" ht="58" customHeight="1">
      <c r="A126" s="231" t="s">
        <v>2435</v>
      </c>
      <c r="B126" s="42" t="s">
        <v>6</v>
      </c>
      <c r="C126" s="41" t="s">
        <v>1530</v>
      </c>
      <c r="D126" s="41" t="s">
        <v>242</v>
      </c>
      <c r="E126" s="200" t="s">
        <v>745</v>
      </c>
      <c r="F126" s="200" t="s">
        <v>4016</v>
      </c>
      <c r="G126" s="245" t="s">
        <v>3004</v>
      </c>
      <c r="H126" s="42" t="s">
        <v>2</v>
      </c>
      <c r="I126" s="248" t="s">
        <v>3012</v>
      </c>
      <c r="J126" s="233" t="s">
        <v>3221</v>
      </c>
      <c r="K126" s="162"/>
      <c r="L126" s="241"/>
      <c r="M126" s="241"/>
      <c r="N126" s="161"/>
      <c r="O126" s="139" t="s">
        <v>231</v>
      </c>
      <c r="P126" s="40" t="s">
        <v>241</v>
      </c>
      <c r="Q126" s="229" t="s">
        <v>3223</v>
      </c>
      <c r="R126" s="201" t="s">
        <v>2941</v>
      </c>
      <c r="S126" s="141" t="s">
        <v>233</v>
      </c>
      <c r="T126" s="243"/>
    </row>
    <row r="127" spans="1:20" ht="58" customHeight="1">
      <c r="A127" s="231" t="s">
        <v>2435</v>
      </c>
      <c r="B127" s="42" t="s">
        <v>6</v>
      </c>
      <c r="C127" s="41" t="s">
        <v>1530</v>
      </c>
      <c r="D127" s="41" t="s">
        <v>331</v>
      </c>
      <c r="E127" s="200" t="s">
        <v>3933</v>
      </c>
      <c r="F127" s="200" t="s">
        <v>3282</v>
      </c>
      <c r="G127" s="245" t="s">
        <v>4636</v>
      </c>
      <c r="H127" s="42" t="s">
        <v>1522</v>
      </c>
      <c r="I127" s="248" t="s">
        <v>3014</v>
      </c>
      <c r="J127" s="233" t="s">
        <v>3936</v>
      </c>
      <c r="K127" s="162" t="s">
        <v>4220</v>
      </c>
      <c r="L127" s="241" t="s">
        <v>4634</v>
      </c>
      <c r="M127" s="241" t="s">
        <v>4635</v>
      </c>
      <c r="N127" s="161" t="s">
        <v>4256</v>
      </c>
      <c r="O127" s="139" t="s">
        <v>329</v>
      </c>
      <c r="P127" s="40" t="s">
        <v>330</v>
      </c>
      <c r="Q127" s="229" t="s">
        <v>3223</v>
      </c>
      <c r="R127" s="201" t="s">
        <v>2961</v>
      </c>
      <c r="S127" s="141" t="s">
        <v>332</v>
      </c>
      <c r="T127" s="243"/>
    </row>
    <row r="128" spans="1:20" ht="58" customHeight="1">
      <c r="A128" s="231" t="s">
        <v>2435</v>
      </c>
      <c r="B128" s="42" t="s">
        <v>6</v>
      </c>
      <c r="C128" s="41" t="s">
        <v>1530</v>
      </c>
      <c r="D128" s="41" t="s">
        <v>334</v>
      </c>
      <c r="E128" s="200" t="s">
        <v>3926</v>
      </c>
      <c r="F128" s="200" t="s">
        <v>3927</v>
      </c>
      <c r="G128" s="245" t="s">
        <v>3928</v>
      </c>
      <c r="H128" s="42" t="s">
        <v>1522</v>
      </c>
      <c r="I128" s="248" t="s">
        <v>3014</v>
      </c>
      <c r="J128" s="233" t="s">
        <v>3935</v>
      </c>
      <c r="K128" s="162" t="s">
        <v>4247</v>
      </c>
      <c r="L128" s="241" t="s">
        <v>4639</v>
      </c>
      <c r="M128" s="241"/>
      <c r="N128" s="161" t="s">
        <v>4256</v>
      </c>
      <c r="O128" s="139" t="s">
        <v>329</v>
      </c>
      <c r="P128" s="40" t="s">
        <v>333</v>
      </c>
      <c r="Q128" s="229" t="s">
        <v>3223</v>
      </c>
      <c r="R128" s="201" t="s">
        <v>2960</v>
      </c>
      <c r="S128" s="141" t="s">
        <v>332</v>
      </c>
      <c r="T128" s="243" t="s">
        <v>3929</v>
      </c>
    </row>
    <row r="129" spans="1:20" ht="58" customHeight="1">
      <c r="A129" s="231" t="s">
        <v>2435</v>
      </c>
      <c r="B129" s="42" t="s">
        <v>6</v>
      </c>
      <c r="C129" s="41" t="s">
        <v>1530</v>
      </c>
      <c r="D129" s="41" t="s">
        <v>336</v>
      </c>
      <c r="E129" s="200" t="s">
        <v>3930</v>
      </c>
      <c r="F129" s="200" t="s">
        <v>3283</v>
      </c>
      <c r="G129" s="245" t="s">
        <v>3931</v>
      </c>
      <c r="H129" s="42" t="s">
        <v>2</v>
      </c>
      <c r="I129" s="248" t="s">
        <v>3012</v>
      </c>
      <c r="J129" s="233" t="s">
        <v>3916</v>
      </c>
      <c r="K129" s="162" t="s">
        <v>958</v>
      </c>
      <c r="L129" s="241"/>
      <c r="M129" s="241"/>
      <c r="N129" s="161"/>
      <c r="O129" s="139" t="s">
        <v>329</v>
      </c>
      <c r="P129" s="40" t="s">
        <v>335</v>
      </c>
      <c r="Q129" s="229" t="s">
        <v>3223</v>
      </c>
      <c r="R129" s="201" t="s">
        <v>2962</v>
      </c>
      <c r="S129" s="141" t="s">
        <v>332</v>
      </c>
      <c r="T129" s="243" t="s">
        <v>3932</v>
      </c>
    </row>
    <row r="130" spans="1:20" ht="58" customHeight="1">
      <c r="A130" s="231" t="s">
        <v>2435</v>
      </c>
      <c r="B130" s="42" t="s">
        <v>6</v>
      </c>
      <c r="C130" s="41" t="s">
        <v>1530</v>
      </c>
      <c r="D130" s="41" t="s">
        <v>338</v>
      </c>
      <c r="E130" s="200" t="s">
        <v>776</v>
      </c>
      <c r="F130" s="200" t="s">
        <v>4017</v>
      </c>
      <c r="G130" s="245" t="s">
        <v>3007</v>
      </c>
      <c r="H130" s="42" t="s">
        <v>1522</v>
      </c>
      <c r="I130" s="248" t="s">
        <v>3014</v>
      </c>
      <c r="J130" s="233" t="s">
        <v>3858</v>
      </c>
      <c r="K130" s="162" t="s">
        <v>4224</v>
      </c>
      <c r="L130" s="241" t="s">
        <v>4300</v>
      </c>
      <c r="M130" s="241" t="s">
        <v>4301</v>
      </c>
      <c r="N130" s="161" t="s">
        <v>4257</v>
      </c>
      <c r="O130" s="139" t="s">
        <v>329</v>
      </c>
      <c r="P130" s="40" t="s">
        <v>337</v>
      </c>
      <c r="Q130" s="229" t="s">
        <v>3223</v>
      </c>
      <c r="R130" s="201" t="s">
        <v>2921</v>
      </c>
      <c r="S130" s="141" t="s">
        <v>332</v>
      </c>
      <c r="T130" s="243"/>
    </row>
    <row r="131" spans="1:20" ht="58" customHeight="1">
      <c r="A131" s="231" t="s">
        <v>2435</v>
      </c>
      <c r="B131" s="42" t="s">
        <v>6</v>
      </c>
      <c r="C131" s="41" t="s">
        <v>1530</v>
      </c>
      <c r="D131" s="41" t="s">
        <v>340</v>
      </c>
      <c r="E131" s="200" t="s">
        <v>777</v>
      </c>
      <c r="F131" s="200" t="s">
        <v>4018</v>
      </c>
      <c r="G131" s="245" t="s">
        <v>3007</v>
      </c>
      <c r="H131" s="42" t="s">
        <v>1522</v>
      </c>
      <c r="I131" s="248" t="s">
        <v>3014</v>
      </c>
      <c r="J131" s="233" t="s">
        <v>3859</v>
      </c>
      <c r="K131" s="162" t="s">
        <v>4225</v>
      </c>
      <c r="L131" s="241" t="s">
        <v>4302</v>
      </c>
      <c r="M131" s="241" t="s">
        <v>4303</v>
      </c>
      <c r="N131" s="161" t="s">
        <v>4257</v>
      </c>
      <c r="O131" s="139" t="s">
        <v>329</v>
      </c>
      <c r="P131" s="40" t="s">
        <v>339</v>
      </c>
      <c r="Q131" s="229" t="s">
        <v>3223</v>
      </c>
      <c r="R131" s="201" t="s">
        <v>2921</v>
      </c>
      <c r="S131" s="141" t="s">
        <v>332</v>
      </c>
      <c r="T131" s="243"/>
    </row>
    <row r="132" spans="1:20" ht="58" customHeight="1">
      <c r="A132" s="231" t="s">
        <v>2435</v>
      </c>
      <c r="B132" s="42" t="s">
        <v>6</v>
      </c>
      <c r="C132" s="41" t="s">
        <v>1530</v>
      </c>
      <c r="D132" s="41" t="s">
        <v>342</v>
      </c>
      <c r="E132" s="200" t="s">
        <v>778</v>
      </c>
      <c r="F132" s="200" t="s">
        <v>4019</v>
      </c>
      <c r="G132" s="245" t="s">
        <v>3007</v>
      </c>
      <c r="H132" s="42" t="s">
        <v>1522</v>
      </c>
      <c r="I132" s="248" t="s">
        <v>3014</v>
      </c>
      <c r="J132" s="233" t="s">
        <v>3860</v>
      </c>
      <c r="K132" s="162" t="s">
        <v>4247</v>
      </c>
      <c r="L132" s="241" t="s">
        <v>4640</v>
      </c>
      <c r="M132" s="241"/>
      <c r="N132" s="161" t="s">
        <v>4256</v>
      </c>
      <c r="O132" s="139" t="s">
        <v>329</v>
      </c>
      <c r="P132" s="40" t="s">
        <v>341</v>
      </c>
      <c r="Q132" s="229" t="s">
        <v>3223</v>
      </c>
      <c r="R132" s="201" t="s">
        <v>2921</v>
      </c>
      <c r="S132" s="141" t="s">
        <v>332</v>
      </c>
      <c r="T132" s="243"/>
    </row>
    <row r="133" spans="1:20" ht="58" customHeight="1">
      <c r="A133" s="231" t="s">
        <v>2435</v>
      </c>
      <c r="B133" s="42" t="s">
        <v>6</v>
      </c>
      <c r="C133" s="41" t="s">
        <v>1530</v>
      </c>
      <c r="D133" s="41" t="s">
        <v>344</v>
      </c>
      <c r="E133" s="200" t="s">
        <v>779</v>
      </c>
      <c r="F133" s="200" t="s">
        <v>345</v>
      </c>
      <c r="G133" s="245" t="s">
        <v>3007</v>
      </c>
      <c r="H133" s="42" t="s">
        <v>1522</v>
      </c>
      <c r="I133" s="248" t="s">
        <v>4091</v>
      </c>
      <c r="J133" s="233" t="s">
        <v>3861</v>
      </c>
      <c r="K133" s="162" t="s">
        <v>4226</v>
      </c>
      <c r="L133" s="241" t="s">
        <v>4304</v>
      </c>
      <c r="M133" s="241" t="s">
        <v>4305</v>
      </c>
      <c r="N133" s="161" t="s">
        <v>4257</v>
      </c>
      <c r="O133" s="139" t="s">
        <v>329</v>
      </c>
      <c r="P133" s="40" t="s">
        <v>343</v>
      </c>
      <c r="Q133" s="229" t="s">
        <v>3223</v>
      </c>
      <c r="R133" s="201" t="s">
        <v>2921</v>
      </c>
      <c r="S133" s="141" t="s">
        <v>332</v>
      </c>
      <c r="T133" s="243"/>
    </row>
    <row r="134" spans="1:20" ht="58" customHeight="1">
      <c r="A134" s="231" t="s">
        <v>2435</v>
      </c>
      <c r="B134" s="42" t="s">
        <v>6</v>
      </c>
      <c r="C134" s="41" t="s">
        <v>1530</v>
      </c>
      <c r="D134" s="41" t="s">
        <v>347</v>
      </c>
      <c r="E134" s="200" t="s">
        <v>780</v>
      </c>
      <c r="F134" s="200" t="s">
        <v>4020</v>
      </c>
      <c r="G134" s="245" t="s">
        <v>3007</v>
      </c>
      <c r="H134" s="42" t="s">
        <v>1522</v>
      </c>
      <c r="I134" s="248" t="s">
        <v>4091</v>
      </c>
      <c r="J134" s="233" t="s">
        <v>3862</v>
      </c>
      <c r="K134" s="162" t="s">
        <v>4221</v>
      </c>
      <c r="L134" s="241" t="s">
        <v>4292</v>
      </c>
      <c r="M134" s="241" t="s">
        <v>4293</v>
      </c>
      <c r="N134" s="161" t="s">
        <v>4256</v>
      </c>
      <c r="O134" s="139" t="s">
        <v>329</v>
      </c>
      <c r="P134" s="40" t="s">
        <v>346</v>
      </c>
      <c r="Q134" s="229" t="s">
        <v>3223</v>
      </c>
      <c r="R134" s="201" t="s">
        <v>2921</v>
      </c>
      <c r="S134" s="141" t="s">
        <v>332</v>
      </c>
      <c r="T134" s="243"/>
    </row>
    <row r="135" spans="1:20" ht="58" customHeight="1">
      <c r="A135" s="231" t="s">
        <v>2435</v>
      </c>
      <c r="B135" s="42" t="s">
        <v>6</v>
      </c>
      <c r="C135" s="41" t="s">
        <v>1532</v>
      </c>
      <c r="D135" s="41" t="s">
        <v>280</v>
      </c>
      <c r="E135" s="200" t="s">
        <v>757</v>
      </c>
      <c r="F135" s="200" t="s">
        <v>4021</v>
      </c>
      <c r="G135" s="245" t="s">
        <v>3004</v>
      </c>
      <c r="H135" s="42" t="s">
        <v>2</v>
      </c>
      <c r="I135" s="248" t="s">
        <v>3012</v>
      </c>
      <c r="J135" s="233" t="s">
        <v>3221</v>
      </c>
      <c r="K135" s="162"/>
      <c r="L135" s="241"/>
      <c r="M135" s="241"/>
      <c r="N135" s="161"/>
      <c r="O135" s="139" t="s">
        <v>278</v>
      </c>
      <c r="P135" s="40" t="s">
        <v>279</v>
      </c>
      <c r="Q135" s="229" t="s">
        <v>3223</v>
      </c>
      <c r="R135" s="201" t="s">
        <v>2941</v>
      </c>
      <c r="S135" s="141" t="s">
        <v>281</v>
      </c>
      <c r="T135" s="243"/>
    </row>
    <row r="136" spans="1:20" ht="58" customHeight="1">
      <c r="A136" s="231" t="s">
        <v>2435</v>
      </c>
      <c r="B136" s="42" t="s">
        <v>6</v>
      </c>
      <c r="C136" s="41" t="s">
        <v>1532</v>
      </c>
      <c r="D136" s="41" t="s">
        <v>283</v>
      </c>
      <c r="E136" s="200" t="s">
        <v>758</v>
      </c>
      <c r="F136" s="200" t="s">
        <v>4022</v>
      </c>
      <c r="G136" s="245" t="s">
        <v>3004</v>
      </c>
      <c r="H136" s="42" t="s">
        <v>2</v>
      </c>
      <c r="I136" s="248" t="s">
        <v>3012</v>
      </c>
      <c r="J136" s="233" t="s">
        <v>3221</v>
      </c>
      <c r="K136" s="162"/>
      <c r="L136" s="241"/>
      <c r="M136" s="241"/>
      <c r="N136" s="161"/>
      <c r="O136" s="139" t="s">
        <v>278</v>
      </c>
      <c r="P136" s="40" t="s">
        <v>282</v>
      </c>
      <c r="Q136" s="229" t="s">
        <v>3223</v>
      </c>
      <c r="R136" s="201" t="s">
        <v>2941</v>
      </c>
      <c r="S136" s="141" t="s">
        <v>281</v>
      </c>
      <c r="T136" s="243"/>
    </row>
    <row r="137" spans="1:20" ht="58" customHeight="1">
      <c r="A137" s="231" t="s">
        <v>2435</v>
      </c>
      <c r="B137" s="42" t="s">
        <v>6</v>
      </c>
      <c r="C137" s="41" t="s">
        <v>1532</v>
      </c>
      <c r="D137" s="41" t="s">
        <v>285</v>
      </c>
      <c r="E137" s="200" t="s">
        <v>759</v>
      </c>
      <c r="F137" s="200" t="s">
        <v>4023</v>
      </c>
      <c r="G137" s="245" t="s">
        <v>3008</v>
      </c>
      <c r="H137" s="42" t="s">
        <v>1522</v>
      </c>
      <c r="I137" s="248" t="s">
        <v>3014</v>
      </c>
      <c r="J137" s="233" t="s">
        <v>3863</v>
      </c>
      <c r="K137" s="162" t="s">
        <v>4535</v>
      </c>
      <c r="L137" s="241"/>
      <c r="M137" s="241"/>
      <c r="N137" s="161"/>
      <c r="O137" s="139" t="s">
        <v>278</v>
      </c>
      <c r="P137" s="40" t="s">
        <v>284</v>
      </c>
      <c r="Q137" s="229" t="s">
        <v>3223</v>
      </c>
      <c r="R137" s="201" t="s">
        <v>2922</v>
      </c>
      <c r="S137" s="141" t="s">
        <v>281</v>
      </c>
      <c r="T137" s="243"/>
    </row>
    <row r="138" spans="1:20" ht="58" customHeight="1">
      <c r="A138" s="231" t="s">
        <v>2435</v>
      </c>
      <c r="B138" s="42" t="s">
        <v>6</v>
      </c>
      <c r="C138" s="41" t="s">
        <v>1532</v>
      </c>
      <c r="D138" s="41" t="s">
        <v>292</v>
      </c>
      <c r="E138" s="200" t="s">
        <v>762</v>
      </c>
      <c r="F138" s="200" t="s">
        <v>4024</v>
      </c>
      <c r="G138" s="245" t="s">
        <v>3008</v>
      </c>
      <c r="H138" s="42" t="s">
        <v>1522</v>
      </c>
      <c r="I138" s="248" t="s">
        <v>3014</v>
      </c>
      <c r="J138" s="233" t="s">
        <v>3864</v>
      </c>
      <c r="K138" s="162" t="s">
        <v>4535</v>
      </c>
      <c r="L138" s="241"/>
      <c r="M138" s="241"/>
      <c r="N138" s="161"/>
      <c r="O138" s="139" t="s">
        <v>290</v>
      </c>
      <c r="P138" s="40" t="s">
        <v>291</v>
      </c>
      <c r="Q138" s="229" t="s">
        <v>3223</v>
      </c>
      <c r="R138" s="201" t="s">
        <v>2922</v>
      </c>
      <c r="S138" s="141" t="s">
        <v>293</v>
      </c>
      <c r="T138" s="243"/>
    </row>
    <row r="139" spans="1:20" ht="58" customHeight="1">
      <c r="A139" s="231" t="s">
        <v>2435</v>
      </c>
      <c r="B139" s="42" t="s">
        <v>6</v>
      </c>
      <c r="C139" s="41" t="s">
        <v>1532</v>
      </c>
      <c r="D139" s="41" t="s">
        <v>295</v>
      </c>
      <c r="E139" s="200" t="s">
        <v>763</v>
      </c>
      <c r="F139" s="200" t="s">
        <v>4025</v>
      </c>
      <c r="G139" s="245" t="s">
        <v>3008</v>
      </c>
      <c r="H139" s="42" t="s">
        <v>1522</v>
      </c>
      <c r="I139" s="248" t="s">
        <v>3014</v>
      </c>
      <c r="J139" s="233" t="s">
        <v>3865</v>
      </c>
      <c r="K139" s="162" t="s">
        <v>4535</v>
      </c>
      <c r="L139" s="241"/>
      <c r="M139" s="241"/>
      <c r="N139" s="161"/>
      <c r="O139" s="139" t="s">
        <v>290</v>
      </c>
      <c r="P139" s="40" t="s">
        <v>294</v>
      </c>
      <c r="Q139" s="229" t="s">
        <v>3223</v>
      </c>
      <c r="R139" s="201" t="s">
        <v>2922</v>
      </c>
      <c r="S139" s="141" t="s">
        <v>293</v>
      </c>
      <c r="T139" s="243"/>
    </row>
    <row r="140" spans="1:20" ht="58" customHeight="1">
      <c r="A140" s="231" t="s">
        <v>2435</v>
      </c>
      <c r="B140" s="42" t="s">
        <v>6</v>
      </c>
      <c r="C140" s="41" t="s">
        <v>1532</v>
      </c>
      <c r="D140" s="41" t="s">
        <v>297</v>
      </c>
      <c r="E140" s="200" t="s">
        <v>764</v>
      </c>
      <c r="F140" s="200" t="s">
        <v>4026</v>
      </c>
      <c r="G140" s="245" t="s">
        <v>3008</v>
      </c>
      <c r="H140" s="42" t="s">
        <v>1522</v>
      </c>
      <c r="I140" s="248" t="s">
        <v>3014</v>
      </c>
      <c r="J140" s="233" t="s">
        <v>3866</v>
      </c>
      <c r="K140" s="162" t="s">
        <v>4535</v>
      </c>
      <c r="L140" s="241"/>
      <c r="M140" s="241"/>
      <c r="N140" s="161"/>
      <c r="O140" s="139" t="s">
        <v>290</v>
      </c>
      <c r="P140" s="40" t="s">
        <v>296</v>
      </c>
      <c r="Q140" s="229" t="s">
        <v>3223</v>
      </c>
      <c r="R140" s="201" t="s">
        <v>2922</v>
      </c>
      <c r="S140" s="141" t="s">
        <v>293</v>
      </c>
      <c r="T140" s="243"/>
    </row>
    <row r="141" spans="1:20" ht="58" customHeight="1">
      <c r="A141" s="231" t="s">
        <v>2435</v>
      </c>
      <c r="B141" s="42" t="s">
        <v>6</v>
      </c>
      <c r="C141" s="41" t="s">
        <v>1532</v>
      </c>
      <c r="D141" s="41" t="s">
        <v>299</v>
      </c>
      <c r="E141" s="200" t="s">
        <v>765</v>
      </c>
      <c r="F141" s="200" t="s">
        <v>4027</v>
      </c>
      <c r="G141" s="245" t="s">
        <v>3008</v>
      </c>
      <c r="H141" s="42" t="s">
        <v>1522</v>
      </c>
      <c r="I141" s="248" t="s">
        <v>3014</v>
      </c>
      <c r="J141" s="233" t="s">
        <v>3867</v>
      </c>
      <c r="K141" s="162" t="s">
        <v>4535</v>
      </c>
      <c r="L141" s="241"/>
      <c r="M141" s="241"/>
      <c r="N141" s="161"/>
      <c r="O141" s="139" t="s">
        <v>290</v>
      </c>
      <c r="P141" s="40" t="s">
        <v>298</v>
      </c>
      <c r="Q141" s="229" t="s">
        <v>3223</v>
      </c>
      <c r="R141" s="201" t="s">
        <v>2922</v>
      </c>
      <c r="S141" s="141" t="s">
        <v>293</v>
      </c>
      <c r="T141" s="243"/>
    </row>
    <row r="142" spans="1:20" ht="58" customHeight="1">
      <c r="A142" s="231" t="s">
        <v>2435</v>
      </c>
      <c r="B142" s="42" t="s">
        <v>6</v>
      </c>
      <c r="C142" s="41" t="s">
        <v>1532</v>
      </c>
      <c r="D142" s="41" t="s">
        <v>301</v>
      </c>
      <c r="E142" s="200" t="s">
        <v>766</v>
      </c>
      <c r="F142" s="200" t="s">
        <v>4028</v>
      </c>
      <c r="G142" s="245" t="s">
        <v>3008</v>
      </c>
      <c r="H142" s="42" t="s">
        <v>1522</v>
      </c>
      <c r="I142" s="248" t="s">
        <v>3014</v>
      </c>
      <c r="J142" s="233" t="s">
        <v>3868</v>
      </c>
      <c r="K142" s="162" t="s">
        <v>4535</v>
      </c>
      <c r="L142" s="241"/>
      <c r="M142" s="241"/>
      <c r="N142" s="161"/>
      <c r="O142" s="139" t="s">
        <v>290</v>
      </c>
      <c r="P142" s="40" t="s">
        <v>300</v>
      </c>
      <c r="Q142" s="229" t="s">
        <v>3223</v>
      </c>
      <c r="R142" s="201" t="s">
        <v>2922</v>
      </c>
      <c r="S142" s="141" t="s">
        <v>293</v>
      </c>
      <c r="T142" s="243"/>
    </row>
    <row r="143" spans="1:20" ht="58" customHeight="1">
      <c r="A143" s="231" t="s">
        <v>2435</v>
      </c>
      <c r="B143" s="42" t="s">
        <v>6</v>
      </c>
      <c r="C143" s="41" t="s">
        <v>1532</v>
      </c>
      <c r="D143" s="41" t="s">
        <v>287</v>
      </c>
      <c r="E143" s="200" t="s">
        <v>760</v>
      </c>
      <c r="F143" s="200" t="s">
        <v>4029</v>
      </c>
      <c r="G143" s="245" t="s">
        <v>3008</v>
      </c>
      <c r="H143" s="42" t="s">
        <v>1522</v>
      </c>
      <c r="I143" s="248" t="s">
        <v>3014</v>
      </c>
      <c r="J143" s="233" t="s">
        <v>3869</v>
      </c>
      <c r="K143" s="162" t="s">
        <v>4535</v>
      </c>
      <c r="L143" s="241"/>
      <c r="M143" s="241"/>
      <c r="N143" s="161"/>
      <c r="O143" s="139" t="s">
        <v>278</v>
      </c>
      <c r="P143" s="40" t="s">
        <v>286</v>
      </c>
      <c r="Q143" s="229" t="s">
        <v>3223</v>
      </c>
      <c r="R143" s="201" t="s">
        <v>2922</v>
      </c>
      <c r="S143" s="141" t="s">
        <v>281</v>
      </c>
      <c r="T143" s="243"/>
    </row>
    <row r="144" spans="1:20" ht="58" customHeight="1">
      <c r="A144" s="231" t="s">
        <v>2435</v>
      </c>
      <c r="B144" s="42" t="s">
        <v>6</v>
      </c>
      <c r="C144" s="41" t="s">
        <v>1532</v>
      </c>
      <c r="D144" s="41" t="s">
        <v>306</v>
      </c>
      <c r="E144" s="200" t="s">
        <v>768</v>
      </c>
      <c r="F144" s="200" t="s">
        <v>4062</v>
      </c>
      <c r="G144" s="245" t="s">
        <v>3008</v>
      </c>
      <c r="H144" s="42" t="s">
        <v>1522</v>
      </c>
      <c r="I144" s="248" t="s">
        <v>3014</v>
      </c>
      <c r="J144" s="233" t="s">
        <v>3870</v>
      </c>
      <c r="K144" s="162" t="s">
        <v>4535</v>
      </c>
      <c r="L144" s="241"/>
      <c r="M144" s="241"/>
      <c r="N144" s="161"/>
      <c r="O144" s="139" t="s">
        <v>304</v>
      </c>
      <c r="P144" s="40" t="s">
        <v>305</v>
      </c>
      <c r="Q144" s="229" t="s">
        <v>3223</v>
      </c>
      <c r="R144" s="201" t="s">
        <v>2922</v>
      </c>
      <c r="S144" s="141" t="s">
        <v>307</v>
      </c>
      <c r="T144" s="243"/>
    </row>
    <row r="145" spans="1:20" ht="58" customHeight="1">
      <c r="A145" s="231" t="s">
        <v>2435</v>
      </c>
      <c r="B145" s="42" t="s">
        <v>6</v>
      </c>
      <c r="C145" s="41" t="s">
        <v>1532</v>
      </c>
      <c r="D145" s="41" t="s">
        <v>309</v>
      </c>
      <c r="E145" s="200" t="s">
        <v>769</v>
      </c>
      <c r="F145" s="200" t="s">
        <v>4063</v>
      </c>
      <c r="G145" s="245" t="s">
        <v>3008</v>
      </c>
      <c r="H145" s="42" t="s">
        <v>1522</v>
      </c>
      <c r="I145" s="248" t="s">
        <v>3014</v>
      </c>
      <c r="J145" s="233" t="s">
        <v>3871</v>
      </c>
      <c r="K145" s="162" t="s">
        <v>4495</v>
      </c>
      <c r="L145" s="241" t="s">
        <v>4496</v>
      </c>
      <c r="M145" s="241" t="s">
        <v>4497</v>
      </c>
      <c r="N145" s="161" t="s">
        <v>4257</v>
      </c>
      <c r="O145" s="139" t="s">
        <v>304</v>
      </c>
      <c r="P145" s="40" t="s">
        <v>308</v>
      </c>
      <c r="Q145" s="229" t="s">
        <v>3223</v>
      </c>
      <c r="R145" s="201" t="s">
        <v>2922</v>
      </c>
      <c r="S145" s="141" t="s">
        <v>307</v>
      </c>
      <c r="T145" s="243"/>
    </row>
    <row r="146" spans="1:20" ht="58" customHeight="1">
      <c r="A146" s="231" t="s">
        <v>2435</v>
      </c>
      <c r="B146" s="42" t="s">
        <v>6</v>
      </c>
      <c r="C146" s="41" t="s">
        <v>1532</v>
      </c>
      <c r="D146" s="41" t="s">
        <v>319</v>
      </c>
      <c r="E146" s="200" t="s">
        <v>3764</v>
      </c>
      <c r="F146" s="200" t="s">
        <v>4030</v>
      </c>
      <c r="G146" s="245" t="s">
        <v>3004</v>
      </c>
      <c r="H146" s="42" t="s">
        <v>2</v>
      </c>
      <c r="I146" s="248" t="s">
        <v>3012</v>
      </c>
      <c r="J146" s="233" t="s">
        <v>3221</v>
      </c>
      <c r="K146" s="162"/>
      <c r="L146" s="241"/>
      <c r="M146" s="241"/>
      <c r="N146" s="161"/>
      <c r="O146" s="139" t="s">
        <v>317</v>
      </c>
      <c r="P146" s="40" t="s">
        <v>318</v>
      </c>
      <c r="Q146" s="229" t="s">
        <v>3223</v>
      </c>
      <c r="R146" s="201" t="s">
        <v>2945</v>
      </c>
      <c r="S146" s="141" t="s">
        <v>320</v>
      </c>
      <c r="T146" s="243"/>
    </row>
    <row r="147" spans="1:20" ht="58" customHeight="1">
      <c r="A147" s="231" t="s">
        <v>2435</v>
      </c>
      <c r="B147" s="42" t="s">
        <v>6</v>
      </c>
      <c r="C147" s="41" t="s">
        <v>1532</v>
      </c>
      <c r="D147" s="41" t="s">
        <v>311</v>
      </c>
      <c r="E147" s="200" t="s">
        <v>770</v>
      </c>
      <c r="F147" s="200" t="s">
        <v>4059</v>
      </c>
      <c r="G147" s="245" t="s">
        <v>3004</v>
      </c>
      <c r="H147" s="42" t="s">
        <v>2</v>
      </c>
      <c r="I147" s="248" t="s">
        <v>3012</v>
      </c>
      <c r="J147" s="233" t="s">
        <v>3221</v>
      </c>
      <c r="K147" s="162"/>
      <c r="L147" s="241"/>
      <c r="M147" s="241"/>
      <c r="N147" s="161"/>
      <c r="O147" s="139" t="s">
        <v>304</v>
      </c>
      <c r="P147" s="40" t="s">
        <v>310</v>
      </c>
      <c r="Q147" s="229" t="s">
        <v>3223</v>
      </c>
      <c r="R147" s="201" t="s">
        <v>2941</v>
      </c>
      <c r="S147" s="141" t="s">
        <v>307</v>
      </c>
      <c r="T147" s="243"/>
    </row>
    <row r="148" spans="1:20" ht="58" customHeight="1">
      <c r="A148" s="231" t="s">
        <v>2435</v>
      </c>
      <c r="B148" s="42" t="s">
        <v>6</v>
      </c>
      <c r="C148" s="41" t="s">
        <v>1532</v>
      </c>
      <c r="D148" s="41" t="s">
        <v>313</v>
      </c>
      <c r="E148" s="200" t="s">
        <v>771</v>
      </c>
      <c r="F148" s="200" t="s">
        <v>314</v>
      </c>
      <c r="G148" s="245" t="s">
        <v>3008</v>
      </c>
      <c r="H148" s="42" t="s">
        <v>1522</v>
      </c>
      <c r="I148" s="248" t="s">
        <v>3014</v>
      </c>
      <c r="J148" s="233" t="s">
        <v>3872</v>
      </c>
      <c r="K148" s="162" t="s">
        <v>4509</v>
      </c>
      <c r="L148" s="241" t="s">
        <v>4510</v>
      </c>
      <c r="M148" s="241" t="s">
        <v>4511</v>
      </c>
      <c r="N148" s="161" t="s">
        <v>4257</v>
      </c>
      <c r="O148" s="139" t="s">
        <v>304</v>
      </c>
      <c r="P148" s="40" t="s">
        <v>312</v>
      </c>
      <c r="Q148" s="229" t="s">
        <v>3223</v>
      </c>
      <c r="R148" s="201" t="s">
        <v>2922</v>
      </c>
      <c r="S148" s="141" t="s">
        <v>307</v>
      </c>
      <c r="T148" s="243"/>
    </row>
    <row r="149" spans="1:20" ht="58" customHeight="1">
      <c r="A149" s="231" t="s">
        <v>2435</v>
      </c>
      <c r="B149" s="42" t="s">
        <v>6</v>
      </c>
      <c r="C149" s="41" t="s">
        <v>1532</v>
      </c>
      <c r="D149" s="41" t="s">
        <v>316</v>
      </c>
      <c r="E149" s="200" t="s">
        <v>772</v>
      </c>
      <c r="F149" s="200" t="s">
        <v>4282</v>
      </c>
      <c r="G149" s="245" t="s">
        <v>4283</v>
      </c>
      <c r="H149" s="42" t="s">
        <v>3</v>
      </c>
      <c r="I149" s="248" t="s">
        <v>3016</v>
      </c>
      <c r="J149" s="233" t="s">
        <v>3873</v>
      </c>
      <c r="K149" s="162" t="s">
        <v>958</v>
      </c>
      <c r="L149" s="241"/>
      <c r="M149" s="241"/>
      <c r="N149" s="161"/>
      <c r="O149" s="139" t="s">
        <v>304</v>
      </c>
      <c r="P149" s="40" t="s">
        <v>315</v>
      </c>
      <c r="Q149" s="229" t="s">
        <v>3223</v>
      </c>
      <c r="R149" s="201" t="s">
        <v>2958</v>
      </c>
      <c r="S149" s="141" t="s">
        <v>307</v>
      </c>
      <c r="T149" s="243"/>
    </row>
    <row r="150" spans="1:20" ht="58" customHeight="1">
      <c r="A150" s="231" t="s">
        <v>2435</v>
      </c>
      <c r="B150" s="42" t="s">
        <v>6</v>
      </c>
      <c r="C150" s="41" t="s">
        <v>1532</v>
      </c>
      <c r="D150" s="41" t="s">
        <v>289</v>
      </c>
      <c r="E150" s="200" t="s">
        <v>761</v>
      </c>
      <c r="F150" s="200" t="s">
        <v>4031</v>
      </c>
      <c r="G150" s="245" t="s">
        <v>3004</v>
      </c>
      <c r="H150" s="42" t="s">
        <v>2</v>
      </c>
      <c r="I150" s="248" t="s">
        <v>3012</v>
      </c>
      <c r="J150" s="233" t="s">
        <v>3221</v>
      </c>
      <c r="K150" s="162"/>
      <c r="L150" s="241"/>
      <c r="M150" s="241"/>
      <c r="N150" s="161"/>
      <c r="O150" s="139" t="s">
        <v>278</v>
      </c>
      <c r="P150" s="40" t="s">
        <v>288</v>
      </c>
      <c r="Q150" s="229" t="s">
        <v>3223</v>
      </c>
      <c r="R150" s="201" t="s">
        <v>2941</v>
      </c>
      <c r="S150" s="141" t="s">
        <v>281</v>
      </c>
      <c r="T150" s="243"/>
    </row>
    <row r="151" spans="1:20" ht="58" customHeight="1">
      <c r="A151" s="231" t="s">
        <v>2435</v>
      </c>
      <c r="B151" s="42" t="s">
        <v>6</v>
      </c>
      <c r="C151" s="41" t="s">
        <v>1532</v>
      </c>
      <c r="D151" s="41" t="s">
        <v>322</v>
      </c>
      <c r="E151" s="200" t="s">
        <v>773</v>
      </c>
      <c r="F151" s="200" t="s">
        <v>4032</v>
      </c>
      <c r="G151" s="245" t="s">
        <v>3004</v>
      </c>
      <c r="H151" s="42" t="s">
        <v>2</v>
      </c>
      <c r="I151" s="248" t="s">
        <v>3012</v>
      </c>
      <c r="J151" s="233" t="s">
        <v>3221</v>
      </c>
      <c r="K151" s="162"/>
      <c r="L151" s="241"/>
      <c r="M151" s="241"/>
      <c r="N151" s="161"/>
      <c r="O151" s="139" t="s">
        <v>317</v>
      </c>
      <c r="P151" s="40" t="s">
        <v>321</v>
      </c>
      <c r="Q151" s="229" t="s">
        <v>3223</v>
      </c>
      <c r="R151" s="201" t="s">
        <v>2941</v>
      </c>
      <c r="S151" s="141" t="s">
        <v>320</v>
      </c>
      <c r="T151" s="243"/>
    </row>
    <row r="152" spans="1:20" ht="58" customHeight="1">
      <c r="A152" s="231" t="s">
        <v>2435</v>
      </c>
      <c r="B152" s="42" t="s">
        <v>6</v>
      </c>
      <c r="C152" s="41" t="s">
        <v>1532</v>
      </c>
      <c r="D152" s="41" t="s">
        <v>324</v>
      </c>
      <c r="E152" s="200" t="s">
        <v>3765</v>
      </c>
      <c r="F152" s="200" t="s">
        <v>3284</v>
      </c>
      <c r="G152" s="245" t="s">
        <v>3275</v>
      </c>
      <c r="H152" s="42" t="s">
        <v>2</v>
      </c>
      <c r="I152" s="248" t="s">
        <v>3012</v>
      </c>
      <c r="J152" s="233" t="s">
        <v>3221</v>
      </c>
      <c r="K152" s="162"/>
      <c r="L152" s="241"/>
      <c r="M152" s="241"/>
      <c r="N152" s="161"/>
      <c r="O152" s="139" t="s">
        <v>317</v>
      </c>
      <c r="P152" s="40" t="s">
        <v>323</v>
      </c>
      <c r="Q152" s="229" t="s">
        <v>3223</v>
      </c>
      <c r="R152" s="201" t="s">
        <v>2959</v>
      </c>
      <c r="S152" s="141" t="s">
        <v>320</v>
      </c>
      <c r="T152" s="243"/>
    </row>
    <row r="153" spans="1:20" ht="58" customHeight="1">
      <c r="A153" s="231" t="s">
        <v>2435</v>
      </c>
      <c r="B153" s="42" t="s">
        <v>6</v>
      </c>
      <c r="C153" s="41" t="s">
        <v>1532</v>
      </c>
      <c r="D153" s="41" t="s">
        <v>326</v>
      </c>
      <c r="E153" s="200" t="s">
        <v>774</v>
      </c>
      <c r="F153" s="200" t="s">
        <v>4033</v>
      </c>
      <c r="G153" s="245" t="s">
        <v>3004</v>
      </c>
      <c r="H153" s="42" t="s">
        <v>2</v>
      </c>
      <c r="I153" s="248" t="s">
        <v>3012</v>
      </c>
      <c r="J153" s="233" t="s">
        <v>3221</v>
      </c>
      <c r="K153" s="162"/>
      <c r="L153" s="241"/>
      <c r="M153" s="241"/>
      <c r="N153" s="161"/>
      <c r="O153" s="139" t="s">
        <v>317</v>
      </c>
      <c r="P153" s="40" t="s">
        <v>325</v>
      </c>
      <c r="Q153" s="229" t="s">
        <v>3223</v>
      </c>
      <c r="R153" s="201" t="s">
        <v>2946</v>
      </c>
      <c r="S153" s="141" t="s">
        <v>320</v>
      </c>
      <c r="T153" s="243"/>
    </row>
    <row r="154" spans="1:20" ht="58" customHeight="1">
      <c r="A154" s="231" t="s">
        <v>2435</v>
      </c>
      <c r="B154" s="42" t="s">
        <v>6</v>
      </c>
      <c r="C154" s="41" t="s">
        <v>1532</v>
      </c>
      <c r="D154" s="41" t="s">
        <v>328</v>
      </c>
      <c r="E154" s="200" t="s">
        <v>775</v>
      </c>
      <c r="F154" s="200" t="s">
        <v>4034</v>
      </c>
      <c r="G154" s="245" t="s">
        <v>3004</v>
      </c>
      <c r="H154" s="42" t="s">
        <v>2</v>
      </c>
      <c r="I154" s="248" t="s">
        <v>3012</v>
      </c>
      <c r="J154" s="233" t="s">
        <v>3221</v>
      </c>
      <c r="K154" s="162"/>
      <c r="L154" s="241"/>
      <c r="M154" s="241"/>
      <c r="N154" s="161"/>
      <c r="O154" s="139" t="s">
        <v>317</v>
      </c>
      <c r="P154" s="40" t="s">
        <v>327</v>
      </c>
      <c r="Q154" s="229" t="s">
        <v>3223</v>
      </c>
      <c r="R154" s="201" t="s">
        <v>2946</v>
      </c>
      <c r="S154" s="141" t="s">
        <v>320</v>
      </c>
      <c r="T154" s="243"/>
    </row>
    <row r="155" spans="1:20" ht="58" customHeight="1">
      <c r="A155" s="231" t="s">
        <v>2435</v>
      </c>
      <c r="B155" s="42" t="s">
        <v>6</v>
      </c>
      <c r="C155" s="41" t="s">
        <v>1532</v>
      </c>
      <c r="D155" s="41" t="s">
        <v>303</v>
      </c>
      <c r="E155" s="200" t="s">
        <v>767</v>
      </c>
      <c r="F155" s="200" t="s">
        <v>4611</v>
      </c>
      <c r="G155" s="245" t="s">
        <v>4612</v>
      </c>
      <c r="H155" s="42" t="s">
        <v>2</v>
      </c>
      <c r="I155" s="248" t="s">
        <v>3012</v>
      </c>
      <c r="J155" s="233" t="s">
        <v>3221</v>
      </c>
      <c r="K155" s="162" t="s">
        <v>958</v>
      </c>
      <c r="L155" s="241"/>
      <c r="M155" s="241"/>
      <c r="N155" s="161"/>
      <c r="O155" s="139" t="s">
        <v>290</v>
      </c>
      <c r="P155" s="40" t="s">
        <v>302</v>
      </c>
      <c r="Q155" s="229" t="s">
        <v>3223</v>
      </c>
      <c r="R155" s="201" t="s">
        <v>2922</v>
      </c>
      <c r="S155" s="141" t="s">
        <v>293</v>
      </c>
      <c r="T155" s="243" t="s">
        <v>4613</v>
      </c>
    </row>
    <row r="156" spans="1:20" ht="58" customHeight="1">
      <c r="A156" s="231" t="s">
        <v>2435</v>
      </c>
      <c r="B156" s="42" t="s">
        <v>6</v>
      </c>
      <c r="C156" s="41" t="s">
        <v>1534</v>
      </c>
      <c r="D156" s="41" t="s">
        <v>377</v>
      </c>
      <c r="E156" s="200" t="s">
        <v>791</v>
      </c>
      <c r="F156" s="200" t="s">
        <v>4035</v>
      </c>
      <c r="G156" s="245" t="s">
        <v>3008</v>
      </c>
      <c r="H156" s="42" t="s">
        <v>1522</v>
      </c>
      <c r="I156" s="248" t="s">
        <v>3014</v>
      </c>
      <c r="J156" s="233" t="s">
        <v>3874</v>
      </c>
      <c r="K156" s="162" t="s">
        <v>4535</v>
      </c>
      <c r="L156" s="241"/>
      <c r="M156" s="241"/>
      <c r="N156" s="161"/>
      <c r="O156" s="139" t="s">
        <v>375</v>
      </c>
      <c r="P156" s="40" t="s">
        <v>376</v>
      </c>
      <c r="Q156" s="229" t="s">
        <v>3223</v>
      </c>
      <c r="R156" s="201" t="s">
        <v>2948</v>
      </c>
      <c r="S156" s="141" t="s">
        <v>378</v>
      </c>
      <c r="T156" s="243"/>
    </row>
    <row r="157" spans="1:20" ht="58" customHeight="1">
      <c r="A157" s="231" t="s">
        <v>2435</v>
      </c>
      <c r="B157" s="42" t="s">
        <v>6</v>
      </c>
      <c r="C157" s="41" t="s">
        <v>1534</v>
      </c>
      <c r="D157" s="41" t="s">
        <v>380</v>
      </c>
      <c r="E157" s="200" t="s">
        <v>3766</v>
      </c>
      <c r="F157" s="200" t="s">
        <v>4036</v>
      </c>
      <c r="G157" s="245" t="s">
        <v>3007</v>
      </c>
      <c r="H157" s="42" t="s">
        <v>1522</v>
      </c>
      <c r="I157" s="248" t="s">
        <v>3014</v>
      </c>
      <c r="J157" s="233" t="s">
        <v>3875</v>
      </c>
      <c r="K157" s="162" t="s">
        <v>4243</v>
      </c>
      <c r="L157" s="241" t="s">
        <v>4411</v>
      </c>
      <c r="M157" s="241" t="s">
        <v>4412</v>
      </c>
      <c r="N157" s="161" t="s">
        <v>4256</v>
      </c>
      <c r="O157" s="139" t="s">
        <v>375</v>
      </c>
      <c r="P157" s="40" t="s">
        <v>379</v>
      </c>
      <c r="Q157" s="229" t="s">
        <v>3223</v>
      </c>
      <c r="R157" s="201" t="s">
        <v>2949</v>
      </c>
      <c r="S157" s="141" t="s">
        <v>378</v>
      </c>
      <c r="T157" s="243"/>
    </row>
    <row r="158" spans="1:20" ht="58" customHeight="1">
      <c r="A158" s="231" t="s">
        <v>2435</v>
      </c>
      <c r="B158" s="42" t="s">
        <v>6</v>
      </c>
      <c r="C158" s="41" t="s">
        <v>1534</v>
      </c>
      <c r="D158" s="41" t="s">
        <v>385</v>
      </c>
      <c r="E158" s="200" t="s">
        <v>792</v>
      </c>
      <c r="F158" s="200" t="s">
        <v>4037</v>
      </c>
      <c r="G158" s="245" t="s">
        <v>3007</v>
      </c>
      <c r="H158" s="42" t="s">
        <v>1522</v>
      </c>
      <c r="I158" s="248" t="s">
        <v>3014</v>
      </c>
      <c r="J158" s="233" t="s">
        <v>3876</v>
      </c>
      <c r="K158" s="162" t="s">
        <v>4244</v>
      </c>
      <c r="L158" s="241" t="s">
        <v>4421</v>
      </c>
      <c r="M158" s="241" t="s">
        <v>4422</v>
      </c>
      <c r="N158" s="161" t="s">
        <v>4257</v>
      </c>
      <c r="O158" s="139" t="s">
        <v>383</v>
      </c>
      <c r="P158" s="40" t="s">
        <v>384</v>
      </c>
      <c r="Q158" s="229" t="s">
        <v>3223</v>
      </c>
      <c r="R158" s="201" t="s">
        <v>2921</v>
      </c>
      <c r="S158" s="141" t="s">
        <v>386</v>
      </c>
      <c r="T158" s="243"/>
    </row>
    <row r="159" spans="1:20" ht="58" customHeight="1">
      <c r="A159" s="231" t="s">
        <v>2435</v>
      </c>
      <c r="B159" s="42" t="s">
        <v>6</v>
      </c>
      <c r="C159" s="41" t="s">
        <v>1534</v>
      </c>
      <c r="D159" s="41" t="s">
        <v>388</v>
      </c>
      <c r="E159" s="200" t="s">
        <v>3767</v>
      </c>
      <c r="F159" s="200" t="s">
        <v>3941</v>
      </c>
      <c r="G159" s="245" t="s">
        <v>3942</v>
      </c>
      <c r="H159" s="42" t="s">
        <v>2</v>
      </c>
      <c r="I159" s="248" t="s">
        <v>3012</v>
      </c>
      <c r="J159" s="233" t="s">
        <v>3221</v>
      </c>
      <c r="K159" s="162"/>
      <c r="L159" s="241"/>
      <c r="M159" s="241"/>
      <c r="N159" s="161"/>
      <c r="O159" s="139" t="s">
        <v>383</v>
      </c>
      <c r="P159" s="40" t="s">
        <v>387</v>
      </c>
      <c r="Q159" s="229" t="s">
        <v>3223</v>
      </c>
      <c r="R159" s="201" t="s">
        <v>2951</v>
      </c>
      <c r="S159" s="141" t="s">
        <v>386</v>
      </c>
      <c r="T159" s="243"/>
    </row>
    <row r="160" spans="1:20" ht="58" customHeight="1">
      <c r="A160" s="231" t="s">
        <v>2435</v>
      </c>
      <c r="B160" s="42" t="s">
        <v>6</v>
      </c>
      <c r="C160" s="41" t="s">
        <v>1534</v>
      </c>
      <c r="D160" s="41" t="s">
        <v>4191</v>
      </c>
      <c r="E160" s="200" t="s">
        <v>793</v>
      </c>
      <c r="F160" s="200" t="s">
        <v>4038</v>
      </c>
      <c r="G160" s="245" t="s">
        <v>3007</v>
      </c>
      <c r="H160" s="42" t="s">
        <v>1522</v>
      </c>
      <c r="I160" s="248" t="s">
        <v>4091</v>
      </c>
      <c r="J160" s="233" t="s">
        <v>3877</v>
      </c>
      <c r="K160" s="162" t="s">
        <v>4192</v>
      </c>
      <c r="L160" s="241" t="s">
        <v>4449</v>
      </c>
      <c r="M160" s="241" t="s">
        <v>4450</v>
      </c>
      <c r="N160" s="161" t="s">
        <v>4258</v>
      </c>
      <c r="O160" s="139" t="s">
        <v>383</v>
      </c>
      <c r="P160" s="40" t="s">
        <v>4190</v>
      </c>
      <c r="Q160" s="229" t="s">
        <v>3223</v>
      </c>
      <c r="R160" s="201" t="s">
        <v>2921</v>
      </c>
      <c r="S160" s="141" t="s">
        <v>386</v>
      </c>
      <c r="T160" s="243"/>
    </row>
    <row r="161" spans="1:20" ht="58" customHeight="1">
      <c r="A161" s="231" t="s">
        <v>2435</v>
      </c>
      <c r="B161" s="42" t="s">
        <v>6</v>
      </c>
      <c r="C161" s="41" t="s">
        <v>1534</v>
      </c>
      <c r="D161" s="41" t="s">
        <v>4193</v>
      </c>
      <c r="E161" s="200" t="s">
        <v>793</v>
      </c>
      <c r="F161" s="200" t="s">
        <v>4038</v>
      </c>
      <c r="G161" s="245" t="s">
        <v>3007</v>
      </c>
      <c r="H161" s="42" t="s">
        <v>1522</v>
      </c>
      <c r="I161" s="248" t="s">
        <v>4091</v>
      </c>
      <c r="J161" s="233" t="s">
        <v>3877</v>
      </c>
      <c r="K161" s="162" t="s">
        <v>4195</v>
      </c>
      <c r="L161" s="241" t="s">
        <v>4423</v>
      </c>
      <c r="M161" s="241" t="s">
        <v>4424</v>
      </c>
      <c r="N161" s="161" t="s">
        <v>4257</v>
      </c>
      <c r="O161" s="139" t="s">
        <v>383</v>
      </c>
      <c r="P161" s="40" t="s">
        <v>4194</v>
      </c>
      <c r="Q161" s="229" t="s">
        <v>3223</v>
      </c>
      <c r="R161" s="201" t="s">
        <v>2921</v>
      </c>
      <c r="S161" s="141" t="s">
        <v>386</v>
      </c>
      <c r="T161" s="243"/>
    </row>
    <row r="162" spans="1:20" ht="58" customHeight="1">
      <c r="A162" s="231" t="s">
        <v>2435</v>
      </c>
      <c r="B162" s="42" t="s">
        <v>6</v>
      </c>
      <c r="C162" s="41" t="s">
        <v>1534</v>
      </c>
      <c r="D162" s="41" t="s">
        <v>4197</v>
      </c>
      <c r="E162" s="200" t="s">
        <v>3229</v>
      </c>
      <c r="F162" s="200" t="s">
        <v>4039</v>
      </c>
      <c r="G162" s="245" t="s">
        <v>3007</v>
      </c>
      <c r="H162" s="42" t="s">
        <v>1522</v>
      </c>
      <c r="I162" s="248" t="s">
        <v>3014</v>
      </c>
      <c r="J162" s="233" t="s">
        <v>3878</v>
      </c>
      <c r="K162" s="162" t="s">
        <v>4198</v>
      </c>
      <c r="L162" s="241" t="s">
        <v>4451</v>
      </c>
      <c r="M162" s="241" t="s">
        <v>4452</v>
      </c>
      <c r="N162" s="161" t="s">
        <v>4258</v>
      </c>
      <c r="O162" s="139" t="s">
        <v>383</v>
      </c>
      <c r="P162" s="40" t="s">
        <v>4196</v>
      </c>
      <c r="Q162" s="229" t="s">
        <v>3223</v>
      </c>
      <c r="R162" s="201" t="s">
        <v>3002</v>
      </c>
      <c r="S162" s="141" t="s">
        <v>386</v>
      </c>
      <c r="T162" s="243"/>
    </row>
    <row r="163" spans="1:20" ht="58" customHeight="1">
      <c r="A163" s="231" t="s">
        <v>2435</v>
      </c>
      <c r="B163" s="42" t="s">
        <v>6</v>
      </c>
      <c r="C163" s="41" t="s">
        <v>1534</v>
      </c>
      <c r="D163" s="41" t="s">
        <v>4199</v>
      </c>
      <c r="E163" s="200" t="s">
        <v>3229</v>
      </c>
      <c r="F163" s="200" t="s">
        <v>4039</v>
      </c>
      <c r="G163" s="245" t="s">
        <v>3007</v>
      </c>
      <c r="H163" s="42" t="s">
        <v>1522</v>
      </c>
      <c r="I163" s="248" t="s">
        <v>3014</v>
      </c>
      <c r="J163" s="233" t="s">
        <v>3878</v>
      </c>
      <c r="K163" s="162" t="s">
        <v>4201</v>
      </c>
      <c r="L163" s="241" t="s">
        <v>4425</v>
      </c>
      <c r="M163" s="241" t="s">
        <v>4426</v>
      </c>
      <c r="N163" s="161" t="s">
        <v>4257</v>
      </c>
      <c r="O163" s="139" t="s">
        <v>383</v>
      </c>
      <c r="P163" s="40" t="s">
        <v>4200</v>
      </c>
      <c r="Q163" s="229" t="s">
        <v>3223</v>
      </c>
      <c r="R163" s="201" t="s">
        <v>3002</v>
      </c>
      <c r="S163" s="141" t="s">
        <v>386</v>
      </c>
      <c r="T163" s="243"/>
    </row>
    <row r="164" spans="1:20" ht="58" customHeight="1">
      <c r="A164" s="231" t="s">
        <v>2435</v>
      </c>
      <c r="B164" s="42" t="s">
        <v>6</v>
      </c>
      <c r="C164" s="41" t="s">
        <v>1534</v>
      </c>
      <c r="D164" s="41" t="s">
        <v>4164</v>
      </c>
      <c r="E164" s="200" t="s">
        <v>794</v>
      </c>
      <c r="F164" s="200" t="s">
        <v>4060</v>
      </c>
      <c r="G164" s="245" t="s">
        <v>3007</v>
      </c>
      <c r="H164" s="42" t="s">
        <v>1522</v>
      </c>
      <c r="I164" s="248" t="s">
        <v>3014</v>
      </c>
      <c r="J164" s="233" t="s">
        <v>3879</v>
      </c>
      <c r="K164" s="162" t="s">
        <v>4165</v>
      </c>
      <c r="L164" s="241" t="s">
        <v>4427</v>
      </c>
      <c r="M164" s="241" t="s">
        <v>4428</v>
      </c>
      <c r="N164" s="161" t="s">
        <v>4257</v>
      </c>
      <c r="O164" s="139" t="s">
        <v>383</v>
      </c>
      <c r="P164" s="40" t="s">
        <v>4163</v>
      </c>
      <c r="Q164" s="229" t="s">
        <v>3223</v>
      </c>
      <c r="R164" s="201" t="s">
        <v>2921</v>
      </c>
      <c r="S164" s="141" t="s">
        <v>386</v>
      </c>
      <c r="T164" s="243"/>
    </row>
    <row r="165" spans="1:20" ht="58" customHeight="1">
      <c r="A165" s="231" t="s">
        <v>2435</v>
      </c>
      <c r="B165" s="42" t="s">
        <v>6</v>
      </c>
      <c r="C165" s="41" t="s">
        <v>1534</v>
      </c>
      <c r="D165" s="41" t="s">
        <v>4166</v>
      </c>
      <c r="E165" s="200" t="s">
        <v>794</v>
      </c>
      <c r="F165" s="200" t="s">
        <v>4060</v>
      </c>
      <c r="G165" s="245" t="s">
        <v>3007</v>
      </c>
      <c r="H165" s="42" t="s">
        <v>1522</v>
      </c>
      <c r="I165" s="248" t="s">
        <v>3014</v>
      </c>
      <c r="J165" s="233" t="s">
        <v>3879</v>
      </c>
      <c r="K165" s="162" t="s">
        <v>4168</v>
      </c>
      <c r="L165" s="241" t="s">
        <v>4413</v>
      </c>
      <c r="M165" s="241" t="s">
        <v>4414</v>
      </c>
      <c r="N165" s="161" t="s">
        <v>4256</v>
      </c>
      <c r="O165" s="139" t="s">
        <v>383</v>
      </c>
      <c r="P165" s="40" t="s">
        <v>4167</v>
      </c>
      <c r="Q165" s="229" t="s">
        <v>3223</v>
      </c>
      <c r="R165" s="201" t="s">
        <v>2921</v>
      </c>
      <c r="S165" s="141" t="s">
        <v>386</v>
      </c>
      <c r="T165" s="243"/>
    </row>
    <row r="166" spans="1:20" ht="58" customHeight="1">
      <c r="A166" s="231" t="s">
        <v>2435</v>
      </c>
      <c r="B166" s="42" t="s">
        <v>6</v>
      </c>
      <c r="C166" s="41" t="s">
        <v>1534</v>
      </c>
      <c r="D166" s="41" t="s">
        <v>382</v>
      </c>
      <c r="E166" s="200" t="s">
        <v>3768</v>
      </c>
      <c r="F166" s="200" t="s">
        <v>3285</v>
      </c>
      <c r="G166" s="245" t="s">
        <v>3286</v>
      </c>
      <c r="H166" s="42" t="s">
        <v>1522</v>
      </c>
      <c r="I166" s="248" t="s">
        <v>3014</v>
      </c>
      <c r="J166" s="233" t="s">
        <v>3221</v>
      </c>
      <c r="K166" s="162" t="s">
        <v>4525</v>
      </c>
      <c r="L166" s="241" t="s">
        <v>4591</v>
      </c>
      <c r="M166" s="241"/>
      <c r="N166" s="161" t="s">
        <v>4256</v>
      </c>
      <c r="O166" s="139" t="s">
        <v>375</v>
      </c>
      <c r="P166" s="40" t="s">
        <v>381</v>
      </c>
      <c r="Q166" s="229" t="s">
        <v>3223</v>
      </c>
      <c r="R166" s="201" t="s">
        <v>2950</v>
      </c>
      <c r="S166" s="141" t="s">
        <v>378</v>
      </c>
      <c r="T166" s="243"/>
    </row>
    <row r="167" spans="1:20" ht="58" customHeight="1">
      <c r="A167" s="231" t="s">
        <v>2435</v>
      </c>
      <c r="B167" s="42" t="s">
        <v>6</v>
      </c>
      <c r="C167" s="41" t="s">
        <v>1534</v>
      </c>
      <c r="D167" s="41" t="s">
        <v>4203</v>
      </c>
      <c r="E167" s="200" t="s">
        <v>795</v>
      </c>
      <c r="F167" s="200" t="s">
        <v>4040</v>
      </c>
      <c r="G167" s="245" t="s">
        <v>3007</v>
      </c>
      <c r="H167" s="42" t="s">
        <v>1522</v>
      </c>
      <c r="I167" s="248" t="s">
        <v>3014</v>
      </c>
      <c r="J167" s="233" t="s">
        <v>3880</v>
      </c>
      <c r="K167" s="162" t="s">
        <v>4204</v>
      </c>
      <c r="L167" s="241" t="s">
        <v>4429</v>
      </c>
      <c r="M167" s="241" t="s">
        <v>4430</v>
      </c>
      <c r="N167" s="161" t="s">
        <v>4257</v>
      </c>
      <c r="O167" s="139" t="s">
        <v>394</v>
      </c>
      <c r="P167" s="40" t="s">
        <v>4202</v>
      </c>
      <c r="Q167" s="229" t="s">
        <v>3223</v>
      </c>
      <c r="R167" s="201" t="s">
        <v>2953</v>
      </c>
      <c r="S167" s="141" t="s">
        <v>396</v>
      </c>
      <c r="T167" s="243"/>
    </row>
    <row r="168" spans="1:20" ht="58" customHeight="1">
      <c r="A168" s="231" t="s">
        <v>2435</v>
      </c>
      <c r="B168" s="42" t="s">
        <v>6</v>
      </c>
      <c r="C168" s="41" t="s">
        <v>1534</v>
      </c>
      <c r="D168" s="41" t="s">
        <v>4205</v>
      </c>
      <c r="E168" s="200" t="s">
        <v>795</v>
      </c>
      <c r="F168" s="200" t="s">
        <v>4040</v>
      </c>
      <c r="G168" s="245" t="s">
        <v>3007</v>
      </c>
      <c r="H168" s="42" t="s">
        <v>1522</v>
      </c>
      <c r="I168" s="248" t="s">
        <v>3014</v>
      </c>
      <c r="J168" s="233" t="s">
        <v>3880</v>
      </c>
      <c r="K168" s="162" t="s">
        <v>4207</v>
      </c>
      <c r="L168" s="241" t="s">
        <v>4431</v>
      </c>
      <c r="M168" s="241" t="s">
        <v>4432</v>
      </c>
      <c r="N168" s="161" t="s">
        <v>4257</v>
      </c>
      <c r="O168" s="139" t="s">
        <v>394</v>
      </c>
      <c r="P168" s="40" t="s">
        <v>4206</v>
      </c>
      <c r="Q168" s="229" t="s">
        <v>3223</v>
      </c>
      <c r="R168" s="201" t="s">
        <v>2953</v>
      </c>
      <c r="S168" s="141" t="s">
        <v>396</v>
      </c>
      <c r="T168" s="243"/>
    </row>
    <row r="169" spans="1:20" ht="58" customHeight="1">
      <c r="A169" s="231" t="s">
        <v>2435</v>
      </c>
      <c r="B169" s="42" t="s">
        <v>6</v>
      </c>
      <c r="C169" s="41" t="s">
        <v>1534</v>
      </c>
      <c r="D169" s="41" t="s">
        <v>4252</v>
      </c>
      <c r="E169" s="200" t="s">
        <v>795</v>
      </c>
      <c r="F169" s="200" t="s">
        <v>4040</v>
      </c>
      <c r="G169" s="245" t="s">
        <v>3007</v>
      </c>
      <c r="H169" s="42" t="s">
        <v>1522</v>
      </c>
      <c r="I169" s="248" t="s">
        <v>3014</v>
      </c>
      <c r="J169" s="233" t="s">
        <v>3880</v>
      </c>
      <c r="K169" s="162" t="s">
        <v>4246</v>
      </c>
      <c r="L169" s="241" t="s">
        <v>4453</v>
      </c>
      <c r="M169" s="241" t="s">
        <v>4454</v>
      </c>
      <c r="N169" s="161" t="s">
        <v>4258</v>
      </c>
      <c r="O169" s="139" t="s">
        <v>394</v>
      </c>
      <c r="P169" s="40" t="s">
        <v>4253</v>
      </c>
      <c r="Q169" s="229" t="s">
        <v>3223</v>
      </c>
      <c r="R169" s="201" t="s">
        <v>2953</v>
      </c>
      <c r="S169" s="141" t="s">
        <v>396</v>
      </c>
      <c r="T169" s="243"/>
    </row>
    <row r="170" spans="1:20" ht="58" customHeight="1">
      <c r="A170" s="231" t="s">
        <v>2435</v>
      </c>
      <c r="B170" s="42" t="s">
        <v>6</v>
      </c>
      <c r="C170" s="41" t="s">
        <v>1534</v>
      </c>
      <c r="D170" s="41" t="s">
        <v>393</v>
      </c>
      <c r="E170" s="200" t="s">
        <v>3769</v>
      </c>
      <c r="F170" s="200" t="s">
        <v>4041</v>
      </c>
      <c r="G170" s="245" t="s">
        <v>3008</v>
      </c>
      <c r="H170" s="42" t="s">
        <v>1522</v>
      </c>
      <c r="I170" s="248" t="s">
        <v>3014</v>
      </c>
      <c r="J170" s="233" t="s">
        <v>3881</v>
      </c>
      <c r="K170" s="162" t="s">
        <v>4535</v>
      </c>
      <c r="L170" s="241"/>
      <c r="M170" s="241"/>
      <c r="N170" s="161"/>
      <c r="O170" s="139" t="s">
        <v>383</v>
      </c>
      <c r="P170" s="40" t="s">
        <v>392</v>
      </c>
      <c r="Q170" s="229" t="s">
        <v>3223</v>
      </c>
      <c r="R170" s="201" t="s">
        <v>2952</v>
      </c>
      <c r="S170" s="141" t="s">
        <v>386</v>
      </c>
      <c r="T170" s="243"/>
    </row>
    <row r="171" spans="1:20" ht="58" customHeight="1">
      <c r="A171" s="231" t="s">
        <v>2435</v>
      </c>
      <c r="B171" s="42" t="s">
        <v>6</v>
      </c>
      <c r="C171" s="41" t="s">
        <v>1534</v>
      </c>
      <c r="D171" s="41" t="s">
        <v>398</v>
      </c>
      <c r="E171" s="200" t="s">
        <v>3770</v>
      </c>
      <c r="F171" s="200" t="s">
        <v>3311</v>
      </c>
      <c r="G171" s="245" t="s">
        <v>4550</v>
      </c>
      <c r="H171" s="42" t="s">
        <v>2</v>
      </c>
      <c r="I171" s="248" t="s">
        <v>3012</v>
      </c>
      <c r="J171" s="233" t="s">
        <v>3221</v>
      </c>
      <c r="K171" s="162"/>
      <c r="L171" s="241"/>
      <c r="M171" s="241"/>
      <c r="N171" s="161"/>
      <c r="O171" s="139" t="s">
        <v>394</v>
      </c>
      <c r="P171" s="40" t="s">
        <v>397</v>
      </c>
      <c r="Q171" s="229" t="s">
        <v>3223</v>
      </c>
      <c r="R171" s="201" t="s">
        <v>2965</v>
      </c>
      <c r="S171" s="141" t="s">
        <v>396</v>
      </c>
      <c r="T171" s="243"/>
    </row>
    <row r="172" spans="1:20" ht="58" customHeight="1">
      <c r="A172" s="231" t="s">
        <v>2435</v>
      </c>
      <c r="B172" s="42" t="s">
        <v>6</v>
      </c>
      <c r="C172" s="41" t="s">
        <v>1533</v>
      </c>
      <c r="D172" s="41" t="s">
        <v>350</v>
      </c>
      <c r="E172" s="200" t="s">
        <v>781</v>
      </c>
      <c r="F172" s="200" t="s">
        <v>4042</v>
      </c>
      <c r="G172" s="245" t="s">
        <v>3008</v>
      </c>
      <c r="H172" s="42" t="s">
        <v>1522</v>
      </c>
      <c r="I172" s="248" t="s">
        <v>3014</v>
      </c>
      <c r="J172" s="233" t="s">
        <v>3882</v>
      </c>
      <c r="K172" s="162" t="s">
        <v>4535</v>
      </c>
      <c r="L172" s="241"/>
      <c r="M172" s="241"/>
      <c r="N172" s="161"/>
      <c r="O172" s="139" t="s">
        <v>348</v>
      </c>
      <c r="P172" s="40" t="s">
        <v>349</v>
      </c>
      <c r="Q172" s="229" t="s">
        <v>3223</v>
      </c>
      <c r="R172" s="201" t="s">
        <v>2922</v>
      </c>
      <c r="S172" s="141" t="s">
        <v>351</v>
      </c>
      <c r="T172" s="243"/>
    </row>
    <row r="173" spans="1:20" ht="58" customHeight="1">
      <c r="A173" s="231" t="s">
        <v>2435</v>
      </c>
      <c r="B173" s="42" t="s">
        <v>6</v>
      </c>
      <c r="C173" s="41" t="s">
        <v>1533</v>
      </c>
      <c r="D173" s="41" t="s">
        <v>353</v>
      </c>
      <c r="E173" s="200" t="s">
        <v>782</v>
      </c>
      <c r="F173" s="200" t="s">
        <v>4043</v>
      </c>
      <c r="G173" s="245" t="s">
        <v>3008</v>
      </c>
      <c r="H173" s="42" t="s">
        <v>1522</v>
      </c>
      <c r="I173" s="248" t="s">
        <v>3014</v>
      </c>
      <c r="J173" s="233" t="s">
        <v>3883</v>
      </c>
      <c r="K173" s="162" t="s">
        <v>4535</v>
      </c>
      <c r="L173" s="241"/>
      <c r="M173" s="241"/>
      <c r="N173" s="161"/>
      <c r="O173" s="139" t="s">
        <v>348</v>
      </c>
      <c r="P173" s="40" t="s">
        <v>352</v>
      </c>
      <c r="Q173" s="229" t="s">
        <v>3223</v>
      </c>
      <c r="R173" s="201" t="s">
        <v>2922</v>
      </c>
      <c r="S173" s="141" t="s">
        <v>351</v>
      </c>
      <c r="T173" s="243"/>
    </row>
    <row r="174" spans="1:20" ht="58" customHeight="1">
      <c r="A174" s="231" t="s">
        <v>2435</v>
      </c>
      <c r="B174" s="42" t="s">
        <v>6</v>
      </c>
      <c r="C174" s="41" t="s">
        <v>1533</v>
      </c>
      <c r="D174" s="41" t="s">
        <v>355</v>
      </c>
      <c r="E174" s="200" t="s">
        <v>783</v>
      </c>
      <c r="F174" s="200" t="s">
        <v>356</v>
      </c>
      <c r="G174" s="245" t="s">
        <v>3008</v>
      </c>
      <c r="H174" s="42" t="s">
        <v>1522</v>
      </c>
      <c r="I174" s="248" t="s">
        <v>3014</v>
      </c>
      <c r="J174" s="233" t="s">
        <v>3884</v>
      </c>
      <c r="K174" s="162" t="s">
        <v>4535</v>
      </c>
      <c r="L174" s="241"/>
      <c r="M174" s="241"/>
      <c r="N174" s="161"/>
      <c r="O174" s="139" t="s">
        <v>348</v>
      </c>
      <c r="P174" s="40" t="s">
        <v>354</v>
      </c>
      <c r="Q174" s="229" t="s">
        <v>3223</v>
      </c>
      <c r="R174" s="201" t="s">
        <v>2922</v>
      </c>
      <c r="S174" s="141" t="s">
        <v>351</v>
      </c>
      <c r="T174" s="243"/>
    </row>
    <row r="175" spans="1:20" ht="58" customHeight="1">
      <c r="A175" s="231" t="s">
        <v>2435</v>
      </c>
      <c r="B175" s="42" t="s">
        <v>6</v>
      </c>
      <c r="C175" s="41" t="s">
        <v>1533</v>
      </c>
      <c r="D175" s="41" t="s">
        <v>358</v>
      </c>
      <c r="E175" s="200" t="s">
        <v>784</v>
      </c>
      <c r="F175" s="200" t="s">
        <v>4044</v>
      </c>
      <c r="G175" s="245" t="s">
        <v>3008</v>
      </c>
      <c r="H175" s="42" t="s">
        <v>1522</v>
      </c>
      <c r="I175" s="248" t="s">
        <v>3014</v>
      </c>
      <c r="J175" s="233" t="s">
        <v>3885</v>
      </c>
      <c r="K175" s="162" t="s">
        <v>4535</v>
      </c>
      <c r="L175" s="241"/>
      <c r="M175" s="241"/>
      <c r="N175" s="161"/>
      <c r="O175" s="139" t="s">
        <v>348</v>
      </c>
      <c r="P175" s="40" t="s">
        <v>357</v>
      </c>
      <c r="Q175" s="229" t="s">
        <v>3223</v>
      </c>
      <c r="R175" s="201" t="s">
        <v>2922</v>
      </c>
      <c r="S175" s="141" t="s">
        <v>351</v>
      </c>
      <c r="T175" s="243"/>
    </row>
    <row r="176" spans="1:20" ht="58" customHeight="1">
      <c r="A176" s="231" t="s">
        <v>2435</v>
      </c>
      <c r="B176" s="42" t="s">
        <v>6</v>
      </c>
      <c r="C176" s="41" t="s">
        <v>1533</v>
      </c>
      <c r="D176" s="41" t="s">
        <v>361</v>
      </c>
      <c r="E176" s="200" t="s">
        <v>785</v>
      </c>
      <c r="F176" s="200" t="s">
        <v>4045</v>
      </c>
      <c r="G176" s="245" t="s">
        <v>3008</v>
      </c>
      <c r="H176" s="42" t="s">
        <v>1522</v>
      </c>
      <c r="I176" s="248" t="s">
        <v>3014</v>
      </c>
      <c r="J176" s="233" t="s">
        <v>3886</v>
      </c>
      <c r="K176" s="162" t="s">
        <v>4535</v>
      </c>
      <c r="L176" s="241"/>
      <c r="M176" s="241"/>
      <c r="N176" s="161"/>
      <c r="O176" s="139" t="s">
        <v>359</v>
      </c>
      <c r="P176" s="40" t="s">
        <v>360</v>
      </c>
      <c r="Q176" s="229" t="s">
        <v>3223</v>
      </c>
      <c r="R176" s="201" t="s">
        <v>2922</v>
      </c>
      <c r="S176" s="141" t="s">
        <v>362</v>
      </c>
      <c r="T176" s="243"/>
    </row>
    <row r="177" spans="1:20" ht="58" customHeight="1">
      <c r="A177" s="231" t="s">
        <v>2435</v>
      </c>
      <c r="B177" s="42" t="s">
        <v>6</v>
      </c>
      <c r="C177" s="41" t="s">
        <v>1533</v>
      </c>
      <c r="D177" s="41" t="s">
        <v>4209</v>
      </c>
      <c r="E177" s="200" t="s">
        <v>786</v>
      </c>
      <c r="F177" s="200" t="s">
        <v>4046</v>
      </c>
      <c r="G177" s="245" t="s">
        <v>3007</v>
      </c>
      <c r="H177" s="42" t="s">
        <v>1522</v>
      </c>
      <c r="I177" s="248" t="s">
        <v>4091</v>
      </c>
      <c r="J177" s="233" t="s">
        <v>3887</v>
      </c>
      <c r="K177" s="162" t="s">
        <v>4210</v>
      </c>
      <c r="L177" s="241" t="s">
        <v>4433</v>
      </c>
      <c r="M177" s="241" t="s">
        <v>4434</v>
      </c>
      <c r="N177" s="161" t="s">
        <v>4257</v>
      </c>
      <c r="O177" s="139" t="s">
        <v>359</v>
      </c>
      <c r="P177" s="40" t="s">
        <v>4208</v>
      </c>
      <c r="Q177" s="229" t="s">
        <v>3223</v>
      </c>
      <c r="R177" s="201" t="s">
        <v>2921</v>
      </c>
      <c r="S177" s="141" t="s">
        <v>362</v>
      </c>
      <c r="T177" s="243"/>
    </row>
    <row r="178" spans="1:20" ht="58" customHeight="1">
      <c r="A178" s="231" t="s">
        <v>2435</v>
      </c>
      <c r="B178" s="42" t="s">
        <v>6</v>
      </c>
      <c r="C178" s="41" t="s">
        <v>1533</v>
      </c>
      <c r="D178" s="41" t="s">
        <v>4211</v>
      </c>
      <c r="E178" s="200" t="s">
        <v>786</v>
      </c>
      <c r="F178" s="200" t="s">
        <v>4046</v>
      </c>
      <c r="G178" s="245" t="s">
        <v>3007</v>
      </c>
      <c r="H178" s="42" t="s">
        <v>1522</v>
      </c>
      <c r="I178" s="248" t="s">
        <v>4091</v>
      </c>
      <c r="J178" s="233" t="s">
        <v>3887</v>
      </c>
      <c r="K178" s="162" t="s">
        <v>4213</v>
      </c>
      <c r="L178" s="241" t="s">
        <v>4435</v>
      </c>
      <c r="M178" s="241" t="s">
        <v>4436</v>
      </c>
      <c r="N178" s="161" t="s">
        <v>4257</v>
      </c>
      <c r="O178" s="139" t="s">
        <v>359</v>
      </c>
      <c r="P178" s="40" t="s">
        <v>4212</v>
      </c>
      <c r="Q178" s="229" t="s">
        <v>3223</v>
      </c>
      <c r="R178" s="201" t="s">
        <v>2921</v>
      </c>
      <c r="S178" s="141" t="s">
        <v>362</v>
      </c>
      <c r="T178" s="243"/>
    </row>
    <row r="179" spans="1:20" ht="58" customHeight="1">
      <c r="A179" s="231" t="s">
        <v>2435</v>
      </c>
      <c r="B179" s="42" t="s">
        <v>6</v>
      </c>
      <c r="C179" s="41" t="s">
        <v>1533</v>
      </c>
      <c r="D179" s="41" t="s">
        <v>4215</v>
      </c>
      <c r="E179" s="200" t="s">
        <v>787</v>
      </c>
      <c r="F179" s="200" t="s">
        <v>365</v>
      </c>
      <c r="G179" s="245" t="s">
        <v>3007</v>
      </c>
      <c r="H179" s="42" t="s">
        <v>1522</v>
      </c>
      <c r="I179" s="248" t="s">
        <v>4091</v>
      </c>
      <c r="J179" s="233" t="s">
        <v>3888</v>
      </c>
      <c r="K179" s="162" t="s">
        <v>4216</v>
      </c>
      <c r="L179" s="241" t="s">
        <v>4437</v>
      </c>
      <c r="M179" s="241" t="s">
        <v>4438</v>
      </c>
      <c r="N179" s="161" t="s">
        <v>4257</v>
      </c>
      <c r="O179" s="139" t="s">
        <v>359</v>
      </c>
      <c r="P179" s="40" t="s">
        <v>4214</v>
      </c>
      <c r="Q179" s="229" t="s">
        <v>3223</v>
      </c>
      <c r="R179" s="201" t="s">
        <v>2921</v>
      </c>
      <c r="S179" s="141" t="s">
        <v>362</v>
      </c>
      <c r="T179" s="243"/>
    </row>
    <row r="180" spans="1:20" ht="58" customHeight="1">
      <c r="A180" s="231" t="s">
        <v>2435</v>
      </c>
      <c r="B180" s="42" t="s">
        <v>6</v>
      </c>
      <c r="C180" s="41" t="s">
        <v>1533</v>
      </c>
      <c r="D180" s="41" t="s">
        <v>4217</v>
      </c>
      <c r="E180" s="200" t="s">
        <v>787</v>
      </c>
      <c r="F180" s="200" t="s">
        <v>365</v>
      </c>
      <c r="G180" s="245" t="s">
        <v>3007</v>
      </c>
      <c r="H180" s="42" t="s">
        <v>1522</v>
      </c>
      <c r="I180" s="248" t="s">
        <v>4091</v>
      </c>
      <c r="J180" s="233" t="s">
        <v>3888</v>
      </c>
      <c r="K180" s="162" t="s">
        <v>4219</v>
      </c>
      <c r="L180" s="241" t="s">
        <v>4439</v>
      </c>
      <c r="M180" s="241" t="s">
        <v>4440</v>
      </c>
      <c r="N180" s="161" t="s">
        <v>4257</v>
      </c>
      <c r="O180" s="139" t="s">
        <v>359</v>
      </c>
      <c r="P180" s="40" t="s">
        <v>4218</v>
      </c>
      <c r="Q180" s="229" t="s">
        <v>3223</v>
      </c>
      <c r="R180" s="201" t="s">
        <v>2921</v>
      </c>
      <c r="S180" s="141" t="s">
        <v>362</v>
      </c>
      <c r="T180" s="243"/>
    </row>
    <row r="181" spans="1:20" ht="58" customHeight="1">
      <c r="A181" s="231" t="s">
        <v>2435</v>
      </c>
      <c r="B181" s="42" t="s">
        <v>6</v>
      </c>
      <c r="C181" s="41" t="s">
        <v>1533</v>
      </c>
      <c r="D181" s="41" t="s">
        <v>4170</v>
      </c>
      <c r="E181" s="200" t="s">
        <v>789</v>
      </c>
      <c r="F181" s="200" t="s">
        <v>4047</v>
      </c>
      <c r="G181" s="245" t="s">
        <v>3007</v>
      </c>
      <c r="H181" s="42" t="s">
        <v>1522</v>
      </c>
      <c r="I181" s="248" t="s">
        <v>3014</v>
      </c>
      <c r="J181" s="233" t="s">
        <v>3889</v>
      </c>
      <c r="K181" s="162" t="s">
        <v>4171</v>
      </c>
      <c r="L181" s="241" t="s">
        <v>4415</v>
      </c>
      <c r="M181" s="241" t="s">
        <v>4416</v>
      </c>
      <c r="N181" s="161" t="s">
        <v>4256</v>
      </c>
      <c r="O181" s="139" t="s">
        <v>368</v>
      </c>
      <c r="P181" s="40" t="s">
        <v>4169</v>
      </c>
      <c r="Q181" s="229" t="s">
        <v>3223</v>
      </c>
      <c r="R181" s="201" t="s">
        <v>2921</v>
      </c>
      <c r="S181" s="141" t="s">
        <v>370</v>
      </c>
      <c r="T181" s="243"/>
    </row>
    <row r="182" spans="1:20" ht="58" customHeight="1">
      <c r="A182" s="231" t="s">
        <v>2435</v>
      </c>
      <c r="B182" s="42" t="s">
        <v>6</v>
      </c>
      <c r="C182" s="41" t="s">
        <v>1533</v>
      </c>
      <c r="D182" s="41" t="s">
        <v>4172</v>
      </c>
      <c r="E182" s="200" t="s">
        <v>789</v>
      </c>
      <c r="F182" s="200" t="s">
        <v>4047</v>
      </c>
      <c r="G182" s="245" t="s">
        <v>3007</v>
      </c>
      <c r="H182" s="42" t="s">
        <v>1522</v>
      </c>
      <c r="I182" s="248" t="s">
        <v>3014</v>
      </c>
      <c r="J182" s="233" t="s">
        <v>3889</v>
      </c>
      <c r="K182" s="162" t="s">
        <v>4174</v>
      </c>
      <c r="L182" s="241" t="s">
        <v>4441</v>
      </c>
      <c r="M182" s="241" t="s">
        <v>4442</v>
      </c>
      <c r="N182" s="161" t="s">
        <v>4257</v>
      </c>
      <c r="O182" s="139" t="s">
        <v>368</v>
      </c>
      <c r="P182" s="40" t="s">
        <v>4173</v>
      </c>
      <c r="Q182" s="229" t="s">
        <v>3223</v>
      </c>
      <c r="R182" s="201" t="s">
        <v>2921</v>
      </c>
      <c r="S182" s="141" t="s">
        <v>370</v>
      </c>
      <c r="T182" s="243"/>
    </row>
    <row r="183" spans="1:20" ht="58" customHeight="1">
      <c r="A183" s="231" t="s">
        <v>2435</v>
      </c>
      <c r="B183" s="42" t="s">
        <v>6</v>
      </c>
      <c r="C183" s="41" t="s">
        <v>1533</v>
      </c>
      <c r="D183" s="41" t="s">
        <v>372</v>
      </c>
      <c r="E183" s="200" t="s">
        <v>790</v>
      </c>
      <c r="F183" s="200" t="s">
        <v>4048</v>
      </c>
      <c r="G183" s="245" t="s">
        <v>3008</v>
      </c>
      <c r="H183" s="42" t="s">
        <v>1522</v>
      </c>
      <c r="I183" s="248" t="s">
        <v>3014</v>
      </c>
      <c r="J183" s="233" t="s">
        <v>3890</v>
      </c>
      <c r="K183" s="162" t="s">
        <v>4512</v>
      </c>
      <c r="L183" s="241" t="s">
        <v>4513</v>
      </c>
      <c r="M183" s="241" t="s">
        <v>4514</v>
      </c>
      <c r="N183" s="161" t="s">
        <v>4258</v>
      </c>
      <c r="O183" s="139" t="s">
        <v>368</v>
      </c>
      <c r="P183" s="40" t="s">
        <v>371</v>
      </c>
      <c r="Q183" s="229" t="s">
        <v>3223</v>
      </c>
      <c r="R183" s="201" t="s">
        <v>2922</v>
      </c>
      <c r="S183" s="141" t="s">
        <v>370</v>
      </c>
      <c r="T183" s="243"/>
    </row>
    <row r="184" spans="1:20" ht="58" customHeight="1">
      <c r="A184" s="231" t="s">
        <v>2435</v>
      </c>
      <c r="B184" s="42" t="s">
        <v>6</v>
      </c>
      <c r="C184" s="41" t="s">
        <v>1533</v>
      </c>
      <c r="D184" s="41" t="s">
        <v>367</v>
      </c>
      <c r="E184" s="200" t="s">
        <v>788</v>
      </c>
      <c r="F184" s="200" t="s">
        <v>4614</v>
      </c>
      <c r="G184" s="245" t="s">
        <v>4615</v>
      </c>
      <c r="H184" s="42" t="s">
        <v>3</v>
      </c>
      <c r="I184" s="248" t="s">
        <v>3016</v>
      </c>
      <c r="J184" s="233" t="s">
        <v>3891</v>
      </c>
      <c r="K184" s="162" t="s">
        <v>958</v>
      </c>
      <c r="L184" s="241"/>
      <c r="M184" s="241"/>
      <c r="N184" s="161"/>
      <c r="O184" s="139" t="s">
        <v>359</v>
      </c>
      <c r="P184" s="40" t="s">
        <v>366</v>
      </c>
      <c r="Q184" s="229" t="s">
        <v>3223</v>
      </c>
      <c r="R184" s="201" t="s">
        <v>2922</v>
      </c>
      <c r="S184" s="141" t="s">
        <v>362</v>
      </c>
      <c r="T184" s="243" t="s">
        <v>4616</v>
      </c>
    </row>
    <row r="185" spans="1:20" ht="58" customHeight="1">
      <c r="A185" s="231" t="s">
        <v>2435</v>
      </c>
      <c r="B185" s="42" t="s">
        <v>6</v>
      </c>
      <c r="C185" s="41" t="s">
        <v>1533</v>
      </c>
      <c r="D185" s="41" t="s">
        <v>374</v>
      </c>
      <c r="E185" s="200" t="s">
        <v>2947</v>
      </c>
      <c r="F185" s="200" t="s">
        <v>4049</v>
      </c>
      <c r="G185" s="245" t="s">
        <v>3008</v>
      </c>
      <c r="H185" s="42" t="s">
        <v>1522</v>
      </c>
      <c r="I185" s="248" t="s">
        <v>3014</v>
      </c>
      <c r="J185" s="233" t="s">
        <v>3892</v>
      </c>
      <c r="K185" s="162" t="s">
        <v>4517</v>
      </c>
      <c r="L185" s="241" t="s">
        <v>4519</v>
      </c>
      <c r="M185" s="241"/>
      <c r="N185" s="161" t="s">
        <v>4257</v>
      </c>
      <c r="O185" s="139" t="s">
        <v>368</v>
      </c>
      <c r="P185" s="40" t="s">
        <v>373</v>
      </c>
      <c r="Q185" s="229" t="s">
        <v>3223</v>
      </c>
      <c r="R185" s="201" t="s">
        <v>2922</v>
      </c>
      <c r="S185" s="141" t="s">
        <v>370</v>
      </c>
      <c r="T185" s="243"/>
    </row>
    <row r="186" spans="1:20" ht="58" customHeight="1">
      <c r="A186" s="231" t="s">
        <v>2435</v>
      </c>
      <c r="B186" s="42" t="s">
        <v>6</v>
      </c>
      <c r="C186" s="41" t="s">
        <v>1535</v>
      </c>
      <c r="D186" s="41" t="s">
        <v>401</v>
      </c>
      <c r="E186" s="200" t="s">
        <v>3771</v>
      </c>
      <c r="F186" s="200" t="s">
        <v>4050</v>
      </c>
      <c r="G186" s="245" t="s">
        <v>4551</v>
      </c>
      <c r="H186" s="42" t="s">
        <v>3</v>
      </c>
      <c r="I186" s="248" t="s">
        <v>1539</v>
      </c>
      <c r="J186" s="233" t="s">
        <v>3221</v>
      </c>
      <c r="K186" s="162"/>
      <c r="L186" s="241"/>
      <c r="M186" s="241"/>
      <c r="N186" s="161"/>
      <c r="O186" s="139" t="s">
        <v>399</v>
      </c>
      <c r="P186" s="40" t="s">
        <v>400</v>
      </c>
      <c r="Q186" s="229" t="s">
        <v>3223</v>
      </c>
      <c r="R186" s="201" t="s">
        <v>2967</v>
      </c>
      <c r="S186" s="141" t="s">
        <v>402</v>
      </c>
      <c r="T186" s="243"/>
    </row>
    <row r="187" spans="1:20" ht="58" customHeight="1">
      <c r="A187" s="231" t="s">
        <v>2435</v>
      </c>
      <c r="B187" s="42" t="s">
        <v>6</v>
      </c>
      <c r="C187" s="41" t="s">
        <v>1535</v>
      </c>
      <c r="D187" s="41" t="s">
        <v>404</v>
      </c>
      <c r="E187" s="200" t="s">
        <v>3772</v>
      </c>
      <c r="F187" s="200" t="s">
        <v>3312</v>
      </c>
      <c r="G187" s="245" t="s">
        <v>4552</v>
      </c>
      <c r="H187" s="42" t="s">
        <v>3</v>
      </c>
      <c r="I187" s="248" t="s">
        <v>3016</v>
      </c>
      <c r="J187" s="233" t="s">
        <v>3221</v>
      </c>
      <c r="K187" s="162"/>
      <c r="L187" s="241"/>
      <c r="M187" s="241"/>
      <c r="N187" s="161"/>
      <c r="O187" s="139" t="s">
        <v>399</v>
      </c>
      <c r="P187" s="40" t="s">
        <v>403</v>
      </c>
      <c r="Q187" s="229" t="s">
        <v>3223</v>
      </c>
      <c r="R187" s="201" t="s">
        <v>2966</v>
      </c>
      <c r="S187" s="141" t="s">
        <v>402</v>
      </c>
      <c r="T187" s="243"/>
    </row>
    <row r="188" spans="1:20" ht="58" customHeight="1">
      <c r="A188" s="231" t="s">
        <v>2435</v>
      </c>
      <c r="B188" s="42" t="s">
        <v>6</v>
      </c>
      <c r="C188" s="41" t="s">
        <v>1535</v>
      </c>
      <c r="D188" s="41" t="s">
        <v>406</v>
      </c>
      <c r="E188" s="200" t="s">
        <v>796</v>
      </c>
      <c r="F188" s="200" t="s">
        <v>3287</v>
      </c>
      <c r="G188" s="245" t="s">
        <v>3288</v>
      </c>
      <c r="H188" s="42" t="s">
        <v>2</v>
      </c>
      <c r="I188" s="248" t="s">
        <v>3012</v>
      </c>
      <c r="J188" s="233" t="s">
        <v>3221</v>
      </c>
      <c r="K188" s="162"/>
      <c r="L188" s="241"/>
      <c r="M188" s="241"/>
      <c r="N188" s="161"/>
      <c r="O188" s="139" t="s">
        <v>399</v>
      </c>
      <c r="P188" s="40" t="s">
        <v>405</v>
      </c>
      <c r="Q188" s="229" t="s">
        <v>3223</v>
      </c>
      <c r="R188" s="201" t="s">
        <v>446</v>
      </c>
      <c r="S188" s="141" t="s">
        <v>402</v>
      </c>
      <c r="T188" s="243"/>
    </row>
    <row r="189" spans="1:20" ht="58" customHeight="1">
      <c r="A189" s="231" t="s">
        <v>2435</v>
      </c>
      <c r="B189" s="42" t="s">
        <v>6</v>
      </c>
      <c r="C189" s="41" t="s">
        <v>1535</v>
      </c>
      <c r="D189" s="41" t="s">
        <v>408</v>
      </c>
      <c r="E189" s="200" t="s">
        <v>3773</v>
      </c>
      <c r="F189" s="200" t="s">
        <v>4064</v>
      </c>
      <c r="G189" s="245" t="s">
        <v>3289</v>
      </c>
      <c r="H189" s="42" t="s">
        <v>958</v>
      </c>
      <c r="I189" s="248" t="s">
        <v>3013</v>
      </c>
      <c r="J189" s="233" t="s">
        <v>3221</v>
      </c>
      <c r="K189" s="162"/>
      <c r="L189" s="241"/>
      <c r="M189" s="241"/>
      <c r="N189" s="161"/>
      <c r="O189" s="139" t="s">
        <v>399</v>
      </c>
      <c r="P189" s="40" t="s">
        <v>407</v>
      </c>
      <c r="Q189" s="229" t="s">
        <v>3223</v>
      </c>
      <c r="R189" s="201" t="s">
        <v>2968</v>
      </c>
      <c r="S189" s="141" t="s">
        <v>402</v>
      </c>
      <c r="T189" s="243"/>
    </row>
    <row r="190" spans="1:20" ht="58" customHeight="1">
      <c r="A190" s="231" t="s">
        <v>2435</v>
      </c>
      <c r="B190" s="42" t="s">
        <v>6</v>
      </c>
      <c r="C190" s="41" t="s">
        <v>1535</v>
      </c>
      <c r="D190" s="41" t="s">
        <v>410</v>
      </c>
      <c r="E190" s="200" t="s">
        <v>3774</v>
      </c>
      <c r="F190" s="200" t="s">
        <v>3313</v>
      </c>
      <c r="G190" s="245" t="s">
        <v>4553</v>
      </c>
      <c r="H190" s="42" t="s">
        <v>3</v>
      </c>
      <c r="I190" s="248" t="s">
        <v>3016</v>
      </c>
      <c r="J190" s="233" t="s">
        <v>3221</v>
      </c>
      <c r="K190" s="162"/>
      <c r="L190" s="241"/>
      <c r="M190" s="241"/>
      <c r="N190" s="161"/>
      <c r="O190" s="139" t="s">
        <v>399</v>
      </c>
      <c r="P190" s="40" t="s">
        <v>409</v>
      </c>
      <c r="Q190" s="229" t="s">
        <v>3223</v>
      </c>
      <c r="R190" s="201" t="s">
        <v>2969</v>
      </c>
      <c r="S190" s="141" t="s">
        <v>402</v>
      </c>
      <c r="T190" s="243"/>
    </row>
    <row r="191" spans="1:20" ht="58" customHeight="1">
      <c r="A191" s="231" t="s">
        <v>2435</v>
      </c>
      <c r="B191" s="42" t="s">
        <v>6</v>
      </c>
      <c r="C191" s="41" t="s">
        <v>1535</v>
      </c>
      <c r="D191" s="41" t="s">
        <v>412</v>
      </c>
      <c r="E191" s="200" t="s">
        <v>3775</v>
      </c>
      <c r="F191" s="200" t="s">
        <v>3314</v>
      </c>
      <c r="G191" s="245" t="s">
        <v>3315</v>
      </c>
      <c r="H191" s="42" t="s">
        <v>3</v>
      </c>
      <c r="I191" s="248" t="s">
        <v>3016</v>
      </c>
      <c r="J191" s="233" t="s">
        <v>3221</v>
      </c>
      <c r="K191" s="162"/>
      <c r="L191" s="241"/>
      <c r="M191" s="241"/>
      <c r="N191" s="161"/>
      <c r="O191" s="139" t="s">
        <v>399</v>
      </c>
      <c r="P191" s="40" t="s">
        <v>411</v>
      </c>
      <c r="Q191" s="229" t="s">
        <v>3223</v>
      </c>
      <c r="R191" s="201" t="s">
        <v>2970</v>
      </c>
      <c r="S191" s="141" t="s">
        <v>402</v>
      </c>
      <c r="T191" s="243"/>
    </row>
    <row r="192" spans="1:20" ht="58" customHeight="1">
      <c r="A192" s="231" t="s">
        <v>2435</v>
      </c>
      <c r="B192" s="42" t="s">
        <v>6</v>
      </c>
      <c r="C192" s="41" t="s">
        <v>1535</v>
      </c>
      <c r="D192" s="41" t="s">
        <v>414</v>
      </c>
      <c r="E192" s="200" t="s">
        <v>3776</v>
      </c>
      <c r="F192" s="200" t="s">
        <v>3290</v>
      </c>
      <c r="G192" s="245" t="s">
        <v>4554</v>
      </c>
      <c r="H192" s="42" t="s">
        <v>2</v>
      </c>
      <c r="I192" s="248" t="s">
        <v>3012</v>
      </c>
      <c r="J192" s="233" t="s">
        <v>3221</v>
      </c>
      <c r="K192" s="162"/>
      <c r="L192" s="241"/>
      <c r="M192" s="241"/>
      <c r="N192" s="161"/>
      <c r="O192" s="139" t="s">
        <v>399</v>
      </c>
      <c r="P192" s="40" t="s">
        <v>413</v>
      </c>
      <c r="Q192" s="229" t="s">
        <v>3223</v>
      </c>
      <c r="R192" s="201" t="s">
        <v>2971</v>
      </c>
      <c r="S192" s="141" t="s">
        <v>402</v>
      </c>
      <c r="T192" s="243"/>
    </row>
    <row r="193" spans="1:20" ht="58" customHeight="1">
      <c r="A193" s="231" t="s">
        <v>2435</v>
      </c>
      <c r="B193" s="42" t="s">
        <v>6</v>
      </c>
      <c r="C193" s="41" t="s">
        <v>1535</v>
      </c>
      <c r="D193" s="41" t="s">
        <v>416</v>
      </c>
      <c r="E193" s="200" t="s">
        <v>3777</v>
      </c>
      <c r="F193" s="200" t="s">
        <v>417</v>
      </c>
      <c r="G193" s="245" t="s">
        <v>3004</v>
      </c>
      <c r="H193" s="42" t="s">
        <v>2</v>
      </c>
      <c r="I193" s="248" t="s">
        <v>3012</v>
      </c>
      <c r="J193" s="233" t="s">
        <v>3221</v>
      </c>
      <c r="K193" s="162"/>
      <c r="L193" s="241"/>
      <c r="M193" s="241"/>
      <c r="N193" s="161"/>
      <c r="O193" s="139" t="s">
        <v>399</v>
      </c>
      <c r="P193" s="40" t="s">
        <v>415</v>
      </c>
      <c r="Q193" s="229" t="s">
        <v>3223</v>
      </c>
      <c r="R193" s="201" t="s">
        <v>2972</v>
      </c>
      <c r="S193" s="141" t="s">
        <v>402</v>
      </c>
      <c r="T193" s="243"/>
    </row>
    <row r="194" spans="1:20" ht="58" customHeight="1">
      <c r="A194" s="231" t="s">
        <v>2435</v>
      </c>
      <c r="B194" s="42" t="s">
        <v>6</v>
      </c>
      <c r="C194" s="41" t="s">
        <v>1535</v>
      </c>
      <c r="D194" s="41" t="s">
        <v>419</v>
      </c>
      <c r="E194" s="200" t="s">
        <v>3778</v>
      </c>
      <c r="F194" s="200" t="s">
        <v>420</v>
      </c>
      <c r="G194" s="245" t="s">
        <v>3004</v>
      </c>
      <c r="H194" s="42" t="s">
        <v>2</v>
      </c>
      <c r="I194" s="248" t="s">
        <v>3012</v>
      </c>
      <c r="J194" s="233" t="s">
        <v>3221</v>
      </c>
      <c r="K194" s="162"/>
      <c r="L194" s="241"/>
      <c r="M194" s="241"/>
      <c r="N194" s="161"/>
      <c r="O194" s="139" t="s">
        <v>399</v>
      </c>
      <c r="P194" s="40" t="s">
        <v>418</v>
      </c>
      <c r="Q194" s="229" t="s">
        <v>3223</v>
      </c>
      <c r="R194" s="201" t="s">
        <v>2972</v>
      </c>
      <c r="S194" s="141" t="s">
        <v>402</v>
      </c>
      <c r="T194" s="243"/>
    </row>
    <row r="195" spans="1:20" ht="58" customHeight="1">
      <c r="A195" s="231" t="s">
        <v>2435</v>
      </c>
      <c r="B195" s="42" t="s">
        <v>6</v>
      </c>
      <c r="C195" s="41" t="s">
        <v>1535</v>
      </c>
      <c r="D195" s="41" t="s">
        <v>422</v>
      </c>
      <c r="E195" s="200" t="s">
        <v>3779</v>
      </c>
      <c r="F195" s="200" t="s">
        <v>4051</v>
      </c>
      <c r="G195" s="245" t="s">
        <v>4555</v>
      </c>
      <c r="H195" s="42" t="s">
        <v>3</v>
      </c>
      <c r="I195" s="248" t="s">
        <v>3016</v>
      </c>
      <c r="J195" s="233" t="s">
        <v>3221</v>
      </c>
      <c r="K195" s="162"/>
      <c r="L195" s="241"/>
      <c r="M195" s="241"/>
      <c r="N195" s="161"/>
      <c r="O195" s="139" t="s">
        <v>399</v>
      </c>
      <c r="P195" s="40" t="s">
        <v>421</v>
      </c>
      <c r="Q195" s="229" t="s">
        <v>3223</v>
      </c>
      <c r="R195" s="201" t="s">
        <v>2968</v>
      </c>
      <c r="S195" s="141" t="s">
        <v>402</v>
      </c>
      <c r="T195" s="243"/>
    </row>
    <row r="196" spans="1:20" ht="58" customHeight="1">
      <c r="A196" s="231" t="s">
        <v>2435</v>
      </c>
      <c r="B196" s="42" t="s">
        <v>6</v>
      </c>
      <c r="C196" s="41" t="s">
        <v>1535</v>
      </c>
      <c r="D196" s="41" t="s">
        <v>424</v>
      </c>
      <c r="E196" s="200" t="s">
        <v>3780</v>
      </c>
      <c r="F196" s="200" t="s">
        <v>3291</v>
      </c>
      <c r="G196" s="245" t="s">
        <v>3292</v>
      </c>
      <c r="H196" s="42" t="s">
        <v>3</v>
      </c>
      <c r="I196" s="248" t="s">
        <v>3016</v>
      </c>
      <c r="J196" s="233" t="s">
        <v>3221</v>
      </c>
      <c r="K196" s="162"/>
      <c r="L196" s="241"/>
      <c r="M196" s="241"/>
      <c r="N196" s="161"/>
      <c r="O196" s="139" t="s">
        <v>399</v>
      </c>
      <c r="P196" s="40" t="s">
        <v>423</v>
      </c>
      <c r="Q196" s="229" t="s">
        <v>3223</v>
      </c>
      <c r="R196" s="201" t="s">
        <v>2968</v>
      </c>
      <c r="S196" s="141" t="s">
        <v>402</v>
      </c>
      <c r="T196" s="243"/>
    </row>
    <row r="197" spans="1:20" ht="58" customHeight="1">
      <c r="A197" s="231" t="s">
        <v>2435</v>
      </c>
      <c r="B197" s="42" t="s">
        <v>6</v>
      </c>
      <c r="C197" s="41" t="s">
        <v>1536</v>
      </c>
      <c r="D197" s="41" t="s">
        <v>427</v>
      </c>
      <c r="E197" s="200" t="s">
        <v>797</v>
      </c>
      <c r="F197" s="200" t="s">
        <v>4052</v>
      </c>
      <c r="G197" s="245" t="s">
        <v>3005</v>
      </c>
      <c r="H197" s="42" t="s">
        <v>958</v>
      </c>
      <c r="I197" s="248" t="s">
        <v>3013</v>
      </c>
      <c r="J197" s="233" t="s">
        <v>3221</v>
      </c>
      <c r="K197" s="162"/>
      <c r="L197" s="241"/>
      <c r="M197" s="241"/>
      <c r="N197" s="161"/>
      <c r="O197" s="139" t="s">
        <v>425</v>
      </c>
      <c r="P197" s="40" t="s">
        <v>426</v>
      </c>
      <c r="Q197" s="229" t="s">
        <v>3223</v>
      </c>
      <c r="R197" s="201" t="s">
        <v>2973</v>
      </c>
      <c r="S197" s="141" t="s">
        <v>428</v>
      </c>
      <c r="T197" s="243"/>
    </row>
    <row r="198" spans="1:20" ht="58" customHeight="1">
      <c r="A198" s="231" t="s">
        <v>2435</v>
      </c>
      <c r="B198" s="42" t="s">
        <v>6</v>
      </c>
      <c r="C198" s="41" t="s">
        <v>1536</v>
      </c>
      <c r="D198" s="41" t="s">
        <v>430</v>
      </c>
      <c r="E198" s="200" t="s">
        <v>4071</v>
      </c>
      <c r="F198" s="200" t="s">
        <v>4072</v>
      </c>
      <c r="G198" s="245" t="s">
        <v>4073</v>
      </c>
      <c r="H198" s="42" t="s">
        <v>1522</v>
      </c>
      <c r="I198" s="248" t="s">
        <v>4478</v>
      </c>
      <c r="J198" s="233" t="s">
        <v>4074</v>
      </c>
      <c r="K198" s="162" t="s">
        <v>958</v>
      </c>
      <c r="L198" s="241"/>
      <c r="M198" s="241"/>
      <c r="N198" s="161"/>
      <c r="O198" s="139" t="s">
        <v>425</v>
      </c>
      <c r="P198" s="40" t="s">
        <v>429</v>
      </c>
      <c r="Q198" s="229" t="s">
        <v>3223</v>
      </c>
      <c r="R198" s="201" t="s">
        <v>4075</v>
      </c>
      <c r="S198" s="141" t="s">
        <v>428</v>
      </c>
      <c r="T198" s="243"/>
    </row>
    <row r="199" spans="1:20" ht="58" customHeight="1">
      <c r="A199" s="231" t="s">
        <v>2435</v>
      </c>
      <c r="B199" s="42" t="s">
        <v>6</v>
      </c>
      <c r="C199" s="41" t="s">
        <v>1536</v>
      </c>
      <c r="D199" s="41" t="s">
        <v>432</v>
      </c>
      <c r="E199" s="200" t="s">
        <v>798</v>
      </c>
      <c r="F199" s="200" t="s">
        <v>4053</v>
      </c>
      <c r="G199" s="245" t="s">
        <v>3004</v>
      </c>
      <c r="H199" s="42" t="s">
        <v>2</v>
      </c>
      <c r="I199" s="248" t="s">
        <v>3012</v>
      </c>
      <c r="J199" s="233" t="s">
        <v>3221</v>
      </c>
      <c r="K199" s="162"/>
      <c r="L199" s="241"/>
      <c r="M199" s="241"/>
      <c r="N199" s="161"/>
      <c r="O199" s="139" t="s">
        <v>425</v>
      </c>
      <c r="P199" s="40" t="s">
        <v>431</v>
      </c>
      <c r="Q199" s="229" t="s">
        <v>3223</v>
      </c>
      <c r="R199" s="201" t="s">
        <v>2946</v>
      </c>
      <c r="S199" s="141" t="s">
        <v>428</v>
      </c>
      <c r="T199" s="243"/>
    </row>
    <row r="200" spans="1:20" ht="58" customHeight="1">
      <c r="A200" s="231" t="s">
        <v>2435</v>
      </c>
      <c r="B200" s="42" t="s">
        <v>6</v>
      </c>
      <c r="C200" s="41" t="s">
        <v>1536</v>
      </c>
      <c r="D200" s="41" t="s">
        <v>434</v>
      </c>
      <c r="E200" s="200" t="s">
        <v>3781</v>
      </c>
      <c r="F200" s="200" t="s">
        <v>3316</v>
      </c>
      <c r="G200" s="245" t="s">
        <v>3317</v>
      </c>
      <c r="H200" s="42" t="s">
        <v>3</v>
      </c>
      <c r="I200" s="248" t="s">
        <v>3016</v>
      </c>
      <c r="J200" s="233" t="s">
        <v>3221</v>
      </c>
      <c r="K200" s="162"/>
      <c r="L200" s="241"/>
      <c r="M200" s="241"/>
      <c r="N200" s="161"/>
      <c r="O200" s="139" t="s">
        <v>425</v>
      </c>
      <c r="P200" s="40" t="s">
        <v>433</v>
      </c>
      <c r="Q200" s="229" t="s">
        <v>3223</v>
      </c>
      <c r="R200" s="201" t="s">
        <v>2974</v>
      </c>
      <c r="S200" s="141" t="s">
        <v>428</v>
      </c>
      <c r="T200" s="243"/>
    </row>
    <row r="201" spans="1:20" ht="58" customHeight="1">
      <c r="A201" s="231" t="s">
        <v>2435</v>
      </c>
      <c r="B201" s="42" t="s">
        <v>6</v>
      </c>
      <c r="C201" s="41" t="s">
        <v>1536</v>
      </c>
      <c r="D201" s="41" t="s">
        <v>436</v>
      </c>
      <c r="E201" s="200" t="s">
        <v>3782</v>
      </c>
      <c r="F201" s="200" t="s">
        <v>3293</v>
      </c>
      <c r="G201" s="245" t="s">
        <v>4556</v>
      </c>
      <c r="H201" s="42" t="s">
        <v>2</v>
      </c>
      <c r="I201" s="248" t="s">
        <v>3012</v>
      </c>
      <c r="J201" s="233" t="s">
        <v>3221</v>
      </c>
      <c r="K201" s="162"/>
      <c r="L201" s="241"/>
      <c r="M201" s="241"/>
      <c r="N201" s="161"/>
      <c r="O201" s="139" t="s">
        <v>425</v>
      </c>
      <c r="P201" s="40" t="s">
        <v>435</v>
      </c>
      <c r="Q201" s="229" t="s">
        <v>3223</v>
      </c>
      <c r="R201" s="201" t="s">
        <v>2975</v>
      </c>
      <c r="S201" s="141" t="s">
        <v>428</v>
      </c>
      <c r="T201" s="243"/>
    </row>
    <row r="202" spans="1:20" ht="58" customHeight="1">
      <c r="A202" s="231" t="s">
        <v>2435</v>
      </c>
      <c r="B202" s="42" t="s">
        <v>1541</v>
      </c>
      <c r="C202" s="41" t="s">
        <v>1520</v>
      </c>
      <c r="D202" s="41" t="s">
        <v>1515</v>
      </c>
      <c r="E202" s="200" t="s">
        <v>3784</v>
      </c>
      <c r="F202" s="200" t="s">
        <v>3325</v>
      </c>
      <c r="G202" s="245" t="s">
        <v>3326</v>
      </c>
      <c r="H202" s="42" t="s">
        <v>3</v>
      </c>
      <c r="I202" s="248" t="s">
        <v>3016</v>
      </c>
      <c r="J202" s="233" t="s">
        <v>3221</v>
      </c>
      <c r="K202" s="162" t="s">
        <v>958</v>
      </c>
      <c r="L202" s="241"/>
      <c r="M202" s="241"/>
      <c r="N202" s="161"/>
      <c r="O202" s="139" t="s">
        <v>1510</v>
      </c>
      <c r="P202" s="40" t="s">
        <v>1514</v>
      </c>
      <c r="Q202" s="229" t="s">
        <v>3224</v>
      </c>
      <c r="R202" s="201" t="s">
        <v>2995</v>
      </c>
      <c r="S202" s="141" t="s">
        <v>1466</v>
      </c>
      <c r="T202" s="243" t="s">
        <v>4609</v>
      </c>
    </row>
    <row r="203" spans="1:20" ht="58" customHeight="1">
      <c r="A203" s="231" t="s">
        <v>2435</v>
      </c>
      <c r="B203" s="42" t="s">
        <v>1541</v>
      </c>
      <c r="C203" s="41" t="s">
        <v>1523</v>
      </c>
      <c r="D203" s="41" t="s">
        <v>4479</v>
      </c>
      <c r="E203" s="200" t="s">
        <v>4480</v>
      </c>
      <c r="F203" s="200" t="s">
        <v>4481</v>
      </c>
      <c r="G203" s="245" t="s">
        <v>4482</v>
      </c>
      <c r="H203" s="42" t="s">
        <v>1522</v>
      </c>
      <c r="I203" s="248" t="s">
        <v>3014</v>
      </c>
      <c r="J203" s="233" t="s">
        <v>4483</v>
      </c>
      <c r="K203" s="162" t="s">
        <v>4484</v>
      </c>
      <c r="L203" s="241" t="s">
        <v>4485</v>
      </c>
      <c r="M203" s="241" t="s">
        <v>4486</v>
      </c>
      <c r="N203" s="161" t="s">
        <v>4256</v>
      </c>
      <c r="O203" s="139" t="s">
        <v>60</v>
      </c>
      <c r="P203" s="40" t="s">
        <v>4487</v>
      </c>
      <c r="Q203" s="229" t="s">
        <v>3224</v>
      </c>
      <c r="R203" s="201" t="s">
        <v>4488</v>
      </c>
      <c r="S203" s="141" t="s">
        <v>4489</v>
      </c>
      <c r="T203" s="243" t="s">
        <v>5225</v>
      </c>
    </row>
    <row r="204" spans="1:20" ht="58" customHeight="1">
      <c r="A204" s="231" t="s">
        <v>2435</v>
      </c>
      <c r="B204" s="42" t="s">
        <v>1541</v>
      </c>
      <c r="C204" s="41" t="s">
        <v>1524</v>
      </c>
      <c r="D204" s="41" t="s">
        <v>1496</v>
      </c>
      <c r="E204" s="200" t="s">
        <v>3793</v>
      </c>
      <c r="F204" s="200" t="s">
        <v>1497</v>
      </c>
      <c r="G204" s="245" t="s">
        <v>3008</v>
      </c>
      <c r="H204" s="42" t="s">
        <v>1522</v>
      </c>
      <c r="I204" s="248" t="s">
        <v>3014</v>
      </c>
      <c r="J204" s="233" t="s">
        <v>3893</v>
      </c>
      <c r="K204" s="162" t="s">
        <v>4535</v>
      </c>
      <c r="L204" s="241"/>
      <c r="M204" s="241"/>
      <c r="N204" s="161"/>
      <c r="O204" s="139" t="s">
        <v>1494</v>
      </c>
      <c r="P204" s="40" t="s">
        <v>1495</v>
      </c>
      <c r="Q204" s="229" t="s">
        <v>3224</v>
      </c>
      <c r="R204" s="201" t="s">
        <v>2991</v>
      </c>
      <c r="S204" s="141" t="s">
        <v>1466</v>
      </c>
      <c r="T204" s="243"/>
    </row>
    <row r="205" spans="1:20" ht="58" customHeight="1">
      <c r="A205" s="231" t="s">
        <v>2435</v>
      </c>
      <c r="B205" s="42" t="s">
        <v>1541</v>
      </c>
      <c r="C205" s="41" t="s">
        <v>1524</v>
      </c>
      <c r="D205" s="41" t="s">
        <v>1500</v>
      </c>
      <c r="E205" s="200" t="s">
        <v>3794</v>
      </c>
      <c r="F205" s="200" t="s">
        <v>1501</v>
      </c>
      <c r="G205" s="245" t="s">
        <v>3008</v>
      </c>
      <c r="H205" s="42" t="s">
        <v>1522</v>
      </c>
      <c r="I205" s="248" t="s">
        <v>3014</v>
      </c>
      <c r="J205" s="233" t="s">
        <v>3894</v>
      </c>
      <c r="K205" s="162" t="s">
        <v>4535</v>
      </c>
      <c r="L205" s="241"/>
      <c r="M205" s="241"/>
      <c r="N205" s="161"/>
      <c r="O205" s="139" t="s">
        <v>1498</v>
      </c>
      <c r="P205" s="40" t="s">
        <v>1499</v>
      </c>
      <c r="Q205" s="229" t="s">
        <v>3224</v>
      </c>
      <c r="R205" s="201" t="s">
        <v>2992</v>
      </c>
      <c r="S205" s="141" t="s">
        <v>1466</v>
      </c>
      <c r="T205" s="243"/>
    </row>
    <row r="206" spans="1:20" ht="58" customHeight="1">
      <c r="A206" s="231" t="s">
        <v>2435</v>
      </c>
      <c r="B206" s="42" t="s">
        <v>1541</v>
      </c>
      <c r="C206" s="41" t="s">
        <v>1525</v>
      </c>
      <c r="D206" s="41" t="s">
        <v>1465</v>
      </c>
      <c r="E206" s="200" t="s">
        <v>3789</v>
      </c>
      <c r="F206" s="200" t="s">
        <v>3000</v>
      </c>
      <c r="G206" s="245" t="s">
        <v>3008</v>
      </c>
      <c r="H206" s="42" t="s">
        <v>1522</v>
      </c>
      <c r="I206" s="248" t="s">
        <v>3014</v>
      </c>
      <c r="J206" s="233" t="s">
        <v>3895</v>
      </c>
      <c r="K206" s="162" t="s">
        <v>4535</v>
      </c>
      <c r="L206" s="241"/>
      <c r="M206" s="241"/>
      <c r="N206" s="161"/>
      <c r="O206" s="139" t="s">
        <v>1463</v>
      </c>
      <c r="P206" s="40" t="s">
        <v>1464</v>
      </c>
      <c r="Q206" s="229" t="s">
        <v>3224</v>
      </c>
      <c r="R206" s="201" t="s">
        <v>3001</v>
      </c>
      <c r="S206" s="141" t="s">
        <v>1466</v>
      </c>
      <c r="T206" s="243"/>
    </row>
    <row r="207" spans="1:20" ht="58" customHeight="1">
      <c r="A207" s="231" t="s">
        <v>2435</v>
      </c>
      <c r="B207" s="42" t="s">
        <v>1541</v>
      </c>
      <c r="C207" s="41" t="s">
        <v>1525</v>
      </c>
      <c r="D207" s="41" t="s">
        <v>1476</v>
      </c>
      <c r="E207" s="200" t="s">
        <v>1477</v>
      </c>
      <c r="F207" s="200" t="s">
        <v>1478</v>
      </c>
      <c r="G207" s="245" t="s">
        <v>3008</v>
      </c>
      <c r="H207" s="42" t="s">
        <v>1522</v>
      </c>
      <c r="I207" s="248" t="s">
        <v>3014</v>
      </c>
      <c r="J207" s="233" t="s">
        <v>3896</v>
      </c>
      <c r="K207" s="162" t="s">
        <v>4535</v>
      </c>
      <c r="L207" s="241"/>
      <c r="M207" s="241"/>
      <c r="N207" s="161"/>
      <c r="O207" s="139" t="s">
        <v>1474</v>
      </c>
      <c r="P207" s="40" t="s">
        <v>1475</v>
      </c>
      <c r="Q207" s="229" t="s">
        <v>3224</v>
      </c>
      <c r="R207" s="201" t="s">
        <v>2922</v>
      </c>
      <c r="S207" s="141" t="s">
        <v>1466</v>
      </c>
      <c r="T207" s="243"/>
    </row>
    <row r="208" spans="1:20" ht="58" customHeight="1">
      <c r="A208" s="231" t="s">
        <v>2435</v>
      </c>
      <c r="B208" s="42" t="s">
        <v>1541</v>
      </c>
      <c r="C208" s="41" t="s">
        <v>1525</v>
      </c>
      <c r="D208" s="41" t="s">
        <v>1480</v>
      </c>
      <c r="E208" s="200" t="s">
        <v>1481</v>
      </c>
      <c r="F208" s="200" t="s">
        <v>1482</v>
      </c>
      <c r="G208" s="245" t="s">
        <v>3008</v>
      </c>
      <c r="H208" s="42" t="s">
        <v>1522</v>
      </c>
      <c r="I208" s="248" t="s">
        <v>3014</v>
      </c>
      <c r="J208" s="233" t="s">
        <v>3897</v>
      </c>
      <c r="K208" s="162" t="s">
        <v>4535</v>
      </c>
      <c r="L208" s="241"/>
      <c r="M208" s="241"/>
      <c r="N208" s="161"/>
      <c r="O208" s="139" t="s">
        <v>1474</v>
      </c>
      <c r="P208" s="40" t="s">
        <v>1479</v>
      </c>
      <c r="Q208" s="229" t="s">
        <v>3224</v>
      </c>
      <c r="R208" s="201" t="s">
        <v>2922</v>
      </c>
      <c r="S208" s="141" t="s">
        <v>1466</v>
      </c>
      <c r="T208" s="243"/>
    </row>
    <row r="209" spans="1:20" ht="58" customHeight="1">
      <c r="A209" s="231" t="s">
        <v>2435</v>
      </c>
      <c r="B209" s="42" t="s">
        <v>1541</v>
      </c>
      <c r="C209" s="41" t="s">
        <v>1526</v>
      </c>
      <c r="D209" s="41" t="s">
        <v>1490</v>
      </c>
      <c r="E209" s="200" t="s">
        <v>3790</v>
      </c>
      <c r="F209" s="200" t="s">
        <v>4284</v>
      </c>
      <c r="G209" s="245" t="s">
        <v>4285</v>
      </c>
      <c r="H209" s="42" t="s">
        <v>1522</v>
      </c>
      <c r="I209" s="248" t="s">
        <v>3014</v>
      </c>
      <c r="J209" s="233" t="s">
        <v>3221</v>
      </c>
      <c r="K209" s="162" t="s">
        <v>4593</v>
      </c>
      <c r="L209" s="241" t="s">
        <v>4594</v>
      </c>
      <c r="M209" s="241"/>
      <c r="N209" s="161" t="s">
        <v>4257</v>
      </c>
      <c r="O209" s="139" t="s">
        <v>1488</v>
      </c>
      <c r="P209" s="40" t="s">
        <v>1489</v>
      </c>
      <c r="Q209" s="229" t="s">
        <v>3224</v>
      </c>
      <c r="R209" s="201" t="s">
        <v>2989</v>
      </c>
      <c r="S209" s="141" t="s">
        <v>1466</v>
      </c>
      <c r="T209" s="243"/>
    </row>
    <row r="210" spans="1:20" ht="58" customHeight="1">
      <c r="A210" s="231" t="s">
        <v>2435</v>
      </c>
      <c r="B210" s="42" t="s">
        <v>1541</v>
      </c>
      <c r="C210" s="41" t="s">
        <v>1526</v>
      </c>
      <c r="D210" s="41" t="s">
        <v>1469</v>
      </c>
      <c r="E210" s="200" t="s">
        <v>3791</v>
      </c>
      <c r="F210" s="200" t="s">
        <v>3267</v>
      </c>
      <c r="G210" s="245" t="s">
        <v>3268</v>
      </c>
      <c r="H210" s="42" t="s">
        <v>1522</v>
      </c>
      <c r="I210" s="248" t="s">
        <v>3014</v>
      </c>
      <c r="J210" s="233" t="s">
        <v>3921</v>
      </c>
      <c r="K210" s="162" t="s">
        <v>4515</v>
      </c>
      <c r="L210" s="241" t="s">
        <v>4516</v>
      </c>
      <c r="M210" s="241"/>
      <c r="N210" s="161" t="s">
        <v>4256</v>
      </c>
      <c r="O210" s="139" t="s">
        <v>1467</v>
      </c>
      <c r="P210" s="40" t="s">
        <v>1468</v>
      </c>
      <c r="Q210" s="229" t="s">
        <v>3224</v>
      </c>
      <c r="R210" s="201" t="s">
        <v>2987</v>
      </c>
      <c r="S210" s="141" t="s">
        <v>1466</v>
      </c>
      <c r="T210" s="243"/>
    </row>
    <row r="211" spans="1:20" ht="58" customHeight="1">
      <c r="A211" s="231" t="s">
        <v>2435</v>
      </c>
      <c r="B211" s="42" t="s">
        <v>1541</v>
      </c>
      <c r="C211" s="41" t="s">
        <v>1528</v>
      </c>
      <c r="D211" s="41" t="s">
        <v>2730</v>
      </c>
      <c r="E211" s="200" t="s">
        <v>3792</v>
      </c>
      <c r="F211" s="200" t="s">
        <v>2731</v>
      </c>
      <c r="G211" s="245" t="s">
        <v>3004</v>
      </c>
      <c r="H211" s="42" t="s">
        <v>2</v>
      </c>
      <c r="I211" s="248" t="s">
        <v>3012</v>
      </c>
      <c r="J211" s="233" t="s">
        <v>3906</v>
      </c>
      <c r="K211" s="162" t="s">
        <v>958</v>
      </c>
      <c r="L211" s="241"/>
      <c r="M211" s="241"/>
      <c r="N211" s="161"/>
      <c r="O211" s="139" t="s">
        <v>2732</v>
      </c>
      <c r="P211" s="40" t="s">
        <v>2733</v>
      </c>
      <c r="Q211" s="229" t="s">
        <v>3937</v>
      </c>
      <c r="R211" s="201" t="s">
        <v>2996</v>
      </c>
      <c r="S211" s="141" t="s">
        <v>2734</v>
      </c>
      <c r="T211" s="243" t="s">
        <v>3938</v>
      </c>
    </row>
    <row r="212" spans="1:20" ht="58" customHeight="1">
      <c r="A212" s="231" t="s">
        <v>2435</v>
      </c>
      <c r="B212" s="42" t="s">
        <v>1541</v>
      </c>
      <c r="C212" s="41" t="s">
        <v>1529</v>
      </c>
      <c r="D212" s="41" t="s">
        <v>1517</v>
      </c>
      <c r="E212" s="200" t="s">
        <v>3785</v>
      </c>
      <c r="F212" s="200" t="s">
        <v>3327</v>
      </c>
      <c r="G212" s="245" t="s">
        <v>3328</v>
      </c>
      <c r="H212" s="42" t="s">
        <v>3</v>
      </c>
      <c r="I212" s="248" t="s">
        <v>3016</v>
      </c>
      <c r="J212" s="233" t="s">
        <v>3221</v>
      </c>
      <c r="K212" s="162" t="s">
        <v>958</v>
      </c>
      <c r="L212" s="241"/>
      <c r="M212" s="241"/>
      <c r="N212" s="161"/>
      <c r="O212" s="139" t="s">
        <v>1510</v>
      </c>
      <c r="P212" s="40" t="s">
        <v>1516</v>
      </c>
      <c r="Q212" s="229" t="s">
        <v>3224</v>
      </c>
      <c r="R212" s="201" t="s">
        <v>2995</v>
      </c>
      <c r="S212" s="141" t="s">
        <v>1466</v>
      </c>
      <c r="T212" s="243" t="s">
        <v>4610</v>
      </c>
    </row>
    <row r="213" spans="1:20" ht="58" customHeight="1">
      <c r="A213" s="231" t="s">
        <v>2435</v>
      </c>
      <c r="B213" s="42" t="s">
        <v>1541</v>
      </c>
      <c r="C213" s="41" t="s">
        <v>1531</v>
      </c>
      <c r="D213" s="41" t="s">
        <v>3415</v>
      </c>
      <c r="E213" s="200" t="s">
        <v>3416</v>
      </c>
      <c r="F213" s="200" t="s">
        <v>3417</v>
      </c>
      <c r="G213" s="245" t="s">
        <v>3418</v>
      </c>
      <c r="H213" s="42" t="s">
        <v>1522</v>
      </c>
      <c r="I213" s="248" t="s">
        <v>3014</v>
      </c>
      <c r="J213" s="233" t="s">
        <v>3917</v>
      </c>
      <c r="K213" s="162" t="s">
        <v>4523</v>
      </c>
      <c r="L213" s="241" t="s">
        <v>4524</v>
      </c>
      <c r="M213" s="241"/>
      <c r="N213" s="161" t="s">
        <v>4256</v>
      </c>
      <c r="O213" s="139" t="s">
        <v>3419</v>
      </c>
      <c r="P213" s="40" t="s">
        <v>531</v>
      </c>
      <c r="Q213" s="229" t="s">
        <v>3224</v>
      </c>
      <c r="R213" s="201" t="s">
        <v>3420</v>
      </c>
      <c r="S213" s="141" t="s">
        <v>3421</v>
      </c>
      <c r="T213" s="243"/>
    </row>
    <row r="214" spans="1:20" ht="58" customHeight="1">
      <c r="A214" s="231" t="s">
        <v>2435</v>
      </c>
      <c r="B214" s="42" t="s">
        <v>1541</v>
      </c>
      <c r="C214" s="41" t="s">
        <v>1532</v>
      </c>
      <c r="D214" s="41" t="s">
        <v>1512</v>
      </c>
      <c r="E214" s="200" t="s">
        <v>3786</v>
      </c>
      <c r="F214" s="200" t="s">
        <v>1513</v>
      </c>
      <c r="G214" s="245" t="s">
        <v>3008</v>
      </c>
      <c r="H214" s="42" t="s">
        <v>1522</v>
      </c>
      <c r="I214" s="248" t="s">
        <v>3014</v>
      </c>
      <c r="J214" s="233" t="s">
        <v>3898</v>
      </c>
      <c r="K214" s="162" t="s">
        <v>4535</v>
      </c>
      <c r="L214" s="241"/>
      <c r="M214" s="241"/>
      <c r="N214" s="161"/>
      <c r="O214" s="139" t="s">
        <v>1510</v>
      </c>
      <c r="P214" s="40" t="s">
        <v>1511</v>
      </c>
      <c r="Q214" s="229" t="s">
        <v>3224</v>
      </c>
      <c r="R214" s="201" t="s">
        <v>2994</v>
      </c>
      <c r="S214" s="141" t="s">
        <v>1466</v>
      </c>
      <c r="T214" s="243"/>
    </row>
    <row r="215" spans="1:20" ht="58" customHeight="1">
      <c r="A215" s="231" t="s">
        <v>2435</v>
      </c>
      <c r="B215" s="42" t="s">
        <v>1541</v>
      </c>
      <c r="C215" s="41" t="s">
        <v>1532</v>
      </c>
      <c r="D215" s="41" t="s">
        <v>3246</v>
      </c>
      <c r="E215" s="200" t="s">
        <v>3247</v>
      </c>
      <c r="F215" s="200" t="s">
        <v>3248</v>
      </c>
      <c r="G215" s="245" t="s">
        <v>3249</v>
      </c>
      <c r="H215" s="42" t="s">
        <v>1522</v>
      </c>
      <c r="I215" s="248" t="s">
        <v>3014</v>
      </c>
      <c r="J215" s="233" t="s">
        <v>3899</v>
      </c>
      <c r="K215" s="162" t="s">
        <v>4492</v>
      </c>
      <c r="L215" s="241" t="s">
        <v>4493</v>
      </c>
      <c r="M215" s="241" t="s">
        <v>4494</v>
      </c>
      <c r="N215" s="161" t="s">
        <v>4257</v>
      </c>
      <c r="O215" s="139" t="s">
        <v>3250</v>
      </c>
      <c r="P215" s="40" t="s">
        <v>3251</v>
      </c>
      <c r="Q215" s="229" t="s">
        <v>3224</v>
      </c>
      <c r="R215" s="201" t="s">
        <v>3252</v>
      </c>
      <c r="S215" s="141" t="s">
        <v>3238</v>
      </c>
      <c r="T215" s="243"/>
    </row>
    <row r="216" spans="1:20" ht="58" customHeight="1">
      <c r="A216" s="231" t="s">
        <v>2435</v>
      </c>
      <c r="B216" s="42" t="s">
        <v>1541</v>
      </c>
      <c r="C216" s="41" t="s">
        <v>1532</v>
      </c>
      <c r="D216" s="41" t="s">
        <v>3259</v>
      </c>
      <c r="E216" s="200" t="s">
        <v>3260</v>
      </c>
      <c r="F216" s="200" t="s">
        <v>3261</v>
      </c>
      <c r="G216" s="245" t="s">
        <v>3262</v>
      </c>
      <c r="H216" s="42" t="s">
        <v>1522</v>
      </c>
      <c r="I216" s="248" t="s">
        <v>3014</v>
      </c>
      <c r="J216" s="233" t="s">
        <v>3900</v>
      </c>
      <c r="K216" s="162" t="s">
        <v>4506</v>
      </c>
      <c r="L216" s="241" t="s">
        <v>4507</v>
      </c>
      <c r="M216" s="241" t="s">
        <v>4508</v>
      </c>
      <c r="N216" s="161" t="s">
        <v>4257</v>
      </c>
      <c r="O216" s="139" t="s">
        <v>3263</v>
      </c>
      <c r="P216" s="40" t="s">
        <v>3264</v>
      </c>
      <c r="Q216" s="229" t="s">
        <v>3224</v>
      </c>
      <c r="R216" s="201" t="s">
        <v>3252</v>
      </c>
      <c r="S216" s="141" t="s">
        <v>3238</v>
      </c>
      <c r="T216" s="243"/>
    </row>
    <row r="217" spans="1:20" ht="58" customHeight="1">
      <c r="A217" s="231" t="s">
        <v>2435</v>
      </c>
      <c r="B217" s="42" t="s">
        <v>1541</v>
      </c>
      <c r="C217" s="41" t="s">
        <v>1532</v>
      </c>
      <c r="D217" s="41" t="s">
        <v>1472</v>
      </c>
      <c r="E217" s="200" t="s">
        <v>3787</v>
      </c>
      <c r="F217" s="200" t="s">
        <v>1473</v>
      </c>
      <c r="G217" s="245" t="s">
        <v>3005</v>
      </c>
      <c r="H217" s="42" t="s">
        <v>958</v>
      </c>
      <c r="I217" s="248" t="s">
        <v>3013</v>
      </c>
      <c r="J217" s="233" t="s">
        <v>3221</v>
      </c>
      <c r="K217" s="162"/>
      <c r="L217" s="241"/>
      <c r="M217" s="241"/>
      <c r="N217" s="161"/>
      <c r="O217" s="139" t="s">
        <v>1470</v>
      </c>
      <c r="P217" s="40" t="s">
        <v>1471</v>
      </c>
      <c r="Q217" s="229" t="s">
        <v>3224</v>
      </c>
      <c r="R217" s="201" t="s">
        <v>2988</v>
      </c>
      <c r="S217" s="141" t="s">
        <v>1466</v>
      </c>
      <c r="T217" s="243"/>
    </row>
    <row r="218" spans="1:20" ht="58" customHeight="1">
      <c r="A218" s="231" t="s">
        <v>2435</v>
      </c>
      <c r="B218" s="42" t="s">
        <v>1541</v>
      </c>
      <c r="C218" s="41" t="s">
        <v>1534</v>
      </c>
      <c r="D218" s="41" t="s">
        <v>3423</v>
      </c>
      <c r="E218" s="200" t="s">
        <v>3424</v>
      </c>
      <c r="F218" s="200" t="s">
        <v>3425</v>
      </c>
      <c r="G218" s="245" t="s">
        <v>3426</v>
      </c>
      <c r="H218" s="42" t="s">
        <v>1522</v>
      </c>
      <c r="I218" s="248" t="s">
        <v>3014</v>
      </c>
      <c r="J218" s="233" t="s">
        <v>3918</v>
      </c>
      <c r="K218" s="162" t="s">
        <v>4525</v>
      </c>
      <c r="L218" s="241" t="s">
        <v>4526</v>
      </c>
      <c r="M218" s="241"/>
      <c r="N218" s="161" t="s">
        <v>4256</v>
      </c>
      <c r="O218" s="139" t="s">
        <v>3422</v>
      </c>
      <c r="P218" s="40" t="s">
        <v>536</v>
      </c>
      <c r="Q218" s="229" t="s">
        <v>3224</v>
      </c>
      <c r="R218" s="201" t="s">
        <v>3420</v>
      </c>
      <c r="S218" s="141" t="s">
        <v>3421</v>
      </c>
      <c r="T218" s="243"/>
    </row>
    <row r="219" spans="1:20" ht="58" customHeight="1">
      <c r="A219" s="231" t="s">
        <v>2435</v>
      </c>
      <c r="B219" s="42" t="s">
        <v>1541</v>
      </c>
      <c r="C219" s="41" t="s">
        <v>1534</v>
      </c>
      <c r="D219" s="41" t="s">
        <v>3231</v>
      </c>
      <c r="E219" s="200" t="s">
        <v>3232</v>
      </c>
      <c r="F219" s="200" t="s">
        <v>3233</v>
      </c>
      <c r="G219" s="245" t="s">
        <v>3234</v>
      </c>
      <c r="H219" s="42" t="s">
        <v>1522</v>
      </c>
      <c r="I219" s="248" t="s">
        <v>3014</v>
      </c>
      <c r="J219" s="233" t="s">
        <v>3901</v>
      </c>
      <c r="K219" s="162" t="s">
        <v>4254</v>
      </c>
      <c r="L219" s="241" t="s">
        <v>4455</v>
      </c>
      <c r="M219" s="241"/>
      <c r="N219" s="161" t="s">
        <v>4258</v>
      </c>
      <c r="O219" s="139" t="s">
        <v>3235</v>
      </c>
      <c r="P219" s="40" t="s">
        <v>3236</v>
      </c>
      <c r="Q219" s="229" t="s">
        <v>3224</v>
      </c>
      <c r="R219" s="201" t="s">
        <v>3237</v>
      </c>
      <c r="S219" s="141" t="s">
        <v>3238</v>
      </c>
      <c r="T219" s="243"/>
    </row>
    <row r="220" spans="1:20" ht="58" customHeight="1">
      <c r="A220" s="231" t="s">
        <v>2435</v>
      </c>
      <c r="B220" s="42" t="s">
        <v>1541</v>
      </c>
      <c r="C220" s="41" t="s">
        <v>1534</v>
      </c>
      <c r="D220" s="41" t="s">
        <v>1504</v>
      </c>
      <c r="E220" s="200" t="s">
        <v>3788</v>
      </c>
      <c r="F220" s="200" t="s">
        <v>4626</v>
      </c>
      <c r="G220" s="245" t="s">
        <v>4627</v>
      </c>
      <c r="H220" s="42" t="s">
        <v>3</v>
      </c>
      <c r="I220" s="248" t="s">
        <v>3016</v>
      </c>
      <c r="J220" s="233" t="s">
        <v>3221</v>
      </c>
      <c r="K220" s="162" t="s">
        <v>958</v>
      </c>
      <c r="L220" s="241"/>
      <c r="M220" s="241"/>
      <c r="N220" s="161"/>
      <c r="O220" s="139" t="s">
        <v>1502</v>
      </c>
      <c r="P220" s="40" t="s">
        <v>1503</v>
      </c>
      <c r="Q220" s="229" t="s">
        <v>3224</v>
      </c>
      <c r="R220" s="201" t="s">
        <v>2993</v>
      </c>
      <c r="S220" s="141" t="s">
        <v>1466</v>
      </c>
      <c r="T220" s="243"/>
    </row>
    <row r="221" spans="1:20" ht="58" customHeight="1">
      <c r="A221" s="231" t="s">
        <v>2435</v>
      </c>
      <c r="B221" s="42" t="s">
        <v>1541</v>
      </c>
      <c r="C221" s="41" t="s">
        <v>1534</v>
      </c>
      <c r="D221" s="41" t="s">
        <v>3239</v>
      </c>
      <c r="E221" s="200" t="s">
        <v>3240</v>
      </c>
      <c r="F221" s="200" t="s">
        <v>3241</v>
      </c>
      <c r="G221" s="245" t="s">
        <v>3242</v>
      </c>
      <c r="H221" s="42" t="s">
        <v>1522</v>
      </c>
      <c r="I221" s="248" t="s">
        <v>3014</v>
      </c>
      <c r="J221" s="233" t="s">
        <v>3902</v>
      </c>
      <c r="K221" s="162" t="s">
        <v>4529</v>
      </c>
      <c r="L221" s="241" t="s">
        <v>4530</v>
      </c>
      <c r="M221" s="241"/>
      <c r="N221" s="161" t="s">
        <v>4256</v>
      </c>
      <c r="O221" s="139" t="s">
        <v>3243</v>
      </c>
      <c r="P221" s="40" t="s">
        <v>3244</v>
      </c>
      <c r="Q221" s="229" t="s">
        <v>3224</v>
      </c>
      <c r="R221" s="201" t="s">
        <v>3245</v>
      </c>
      <c r="S221" s="141" t="s">
        <v>3238</v>
      </c>
      <c r="T221" s="243"/>
    </row>
    <row r="222" spans="1:20" ht="58" customHeight="1">
      <c r="A222" s="231" t="s">
        <v>2435</v>
      </c>
      <c r="B222" s="42" t="s">
        <v>1541</v>
      </c>
      <c r="C222" s="41" t="s">
        <v>1534</v>
      </c>
      <c r="D222" s="41" t="s">
        <v>1507</v>
      </c>
      <c r="E222" s="200" t="s">
        <v>1508</v>
      </c>
      <c r="F222" s="200" t="s">
        <v>1509</v>
      </c>
      <c r="G222" s="245" t="s">
        <v>3008</v>
      </c>
      <c r="H222" s="42" t="s">
        <v>1522</v>
      </c>
      <c r="I222" s="248" t="s">
        <v>3014</v>
      </c>
      <c r="J222" s="233" t="s">
        <v>3903</v>
      </c>
      <c r="K222" s="162" t="s">
        <v>4535</v>
      </c>
      <c r="L222" s="241"/>
      <c r="M222" s="241"/>
      <c r="N222" s="161"/>
      <c r="O222" s="139" t="s">
        <v>1505</v>
      </c>
      <c r="P222" s="40" t="s">
        <v>1506</v>
      </c>
      <c r="Q222" s="229" t="s">
        <v>3224</v>
      </c>
      <c r="R222" s="201" t="s">
        <v>2922</v>
      </c>
      <c r="S222" s="141" t="s">
        <v>1466</v>
      </c>
      <c r="T222" s="243"/>
    </row>
    <row r="223" spans="1:20" ht="58" customHeight="1">
      <c r="A223" s="231" t="s">
        <v>2435</v>
      </c>
      <c r="B223" s="42" t="s">
        <v>1541</v>
      </c>
      <c r="C223" s="41" t="s">
        <v>1533</v>
      </c>
      <c r="D223" s="41" t="s">
        <v>3427</v>
      </c>
      <c r="E223" s="200" t="s">
        <v>3428</v>
      </c>
      <c r="F223" s="200" t="s">
        <v>3429</v>
      </c>
      <c r="G223" s="245" t="s">
        <v>4557</v>
      </c>
      <c r="H223" s="42" t="s">
        <v>1522</v>
      </c>
      <c r="I223" s="248" t="s">
        <v>3014</v>
      </c>
      <c r="J223" s="233" t="s">
        <v>3919</v>
      </c>
      <c r="K223" s="162" t="s">
        <v>4517</v>
      </c>
      <c r="L223" s="241" t="s">
        <v>4518</v>
      </c>
      <c r="M223" s="241"/>
      <c r="N223" s="161" t="s">
        <v>4257</v>
      </c>
      <c r="O223" s="139" t="s">
        <v>3185</v>
      </c>
      <c r="P223" s="40" t="s">
        <v>542</v>
      </c>
      <c r="Q223" s="229" t="s">
        <v>3224</v>
      </c>
      <c r="R223" s="201" t="s">
        <v>3420</v>
      </c>
      <c r="S223" s="141" t="s">
        <v>3421</v>
      </c>
      <c r="T223" s="243"/>
    </row>
    <row r="224" spans="1:20" ht="58" customHeight="1">
      <c r="A224" s="231" t="s">
        <v>2435</v>
      </c>
      <c r="B224" s="42" t="s">
        <v>1541</v>
      </c>
      <c r="C224" s="41" t="s">
        <v>1533</v>
      </c>
      <c r="D224" s="41" t="s">
        <v>1493</v>
      </c>
      <c r="E224" s="200" t="s">
        <v>3783</v>
      </c>
      <c r="F224" s="200" t="s">
        <v>3329</v>
      </c>
      <c r="G224" s="245" t="s">
        <v>4558</v>
      </c>
      <c r="H224" s="42" t="s">
        <v>1522</v>
      </c>
      <c r="I224" s="248" t="s">
        <v>3014</v>
      </c>
      <c r="J224" s="233" t="s">
        <v>4066</v>
      </c>
      <c r="K224" s="162" t="s">
        <v>4503</v>
      </c>
      <c r="L224" s="241" t="s">
        <v>4504</v>
      </c>
      <c r="M224" s="241" t="s">
        <v>4505</v>
      </c>
      <c r="N224" s="161" t="s">
        <v>4257</v>
      </c>
      <c r="O224" s="139" t="s">
        <v>1491</v>
      </c>
      <c r="P224" s="40" t="s">
        <v>1492</v>
      </c>
      <c r="Q224" s="229" t="s">
        <v>3224</v>
      </c>
      <c r="R224" s="201" t="s">
        <v>2990</v>
      </c>
      <c r="S224" s="141" t="s">
        <v>1466</v>
      </c>
      <c r="T224" s="243"/>
    </row>
    <row r="225" spans="1:20" ht="58" customHeight="1">
      <c r="A225" s="231" t="s">
        <v>2435</v>
      </c>
      <c r="B225" s="42" t="s">
        <v>1541</v>
      </c>
      <c r="C225" s="41" t="s">
        <v>1533</v>
      </c>
      <c r="D225" s="41" t="s">
        <v>3253</v>
      </c>
      <c r="E225" s="200" t="s">
        <v>3254</v>
      </c>
      <c r="F225" s="200" t="s">
        <v>3255</v>
      </c>
      <c r="G225" s="245" t="s">
        <v>3256</v>
      </c>
      <c r="H225" s="42" t="s">
        <v>1522</v>
      </c>
      <c r="I225" s="248" t="s">
        <v>4478</v>
      </c>
      <c r="J225" s="233" t="s">
        <v>3904</v>
      </c>
      <c r="K225" s="162" t="s">
        <v>4271</v>
      </c>
      <c r="L225" s="241" t="s">
        <v>4400</v>
      </c>
      <c r="M225" s="241" t="s">
        <v>4401</v>
      </c>
      <c r="N225" s="161" t="s">
        <v>4257</v>
      </c>
      <c r="O225" s="139" t="s">
        <v>3257</v>
      </c>
      <c r="P225" s="40" t="s">
        <v>3258</v>
      </c>
      <c r="Q225" s="229" t="s">
        <v>3224</v>
      </c>
      <c r="R225" s="201" t="s">
        <v>3252</v>
      </c>
      <c r="S225" s="141" t="s">
        <v>3238</v>
      </c>
      <c r="T225" s="243"/>
    </row>
    <row r="226" spans="1:20" ht="58" customHeight="1">
      <c r="A226" s="231" t="s">
        <v>2435</v>
      </c>
      <c r="B226" s="42" t="s">
        <v>1541</v>
      </c>
      <c r="C226" s="41" t="s">
        <v>1533</v>
      </c>
      <c r="D226" s="41" t="s">
        <v>1485</v>
      </c>
      <c r="E226" s="200" t="s">
        <v>1486</v>
      </c>
      <c r="F226" s="200" t="s">
        <v>1487</v>
      </c>
      <c r="G226" s="245" t="s">
        <v>3008</v>
      </c>
      <c r="H226" s="42" t="s">
        <v>1522</v>
      </c>
      <c r="I226" s="248" t="s">
        <v>3014</v>
      </c>
      <c r="J226" s="233" t="s">
        <v>3905</v>
      </c>
      <c r="K226" s="162" t="s">
        <v>4535</v>
      </c>
      <c r="L226" s="241"/>
      <c r="M226" s="241"/>
      <c r="N226" s="161"/>
      <c r="O226" s="139" t="s">
        <v>1483</v>
      </c>
      <c r="P226" s="40" t="s">
        <v>1484</v>
      </c>
      <c r="Q226" s="229" t="s">
        <v>3224</v>
      </c>
      <c r="R226" s="201" t="s">
        <v>2922</v>
      </c>
      <c r="S226" s="141" t="s">
        <v>1466</v>
      </c>
      <c r="T226" s="243"/>
    </row>
    <row r="227" spans="1:20" ht="58" customHeight="1">
      <c r="A227" s="231" t="s">
        <v>2435</v>
      </c>
      <c r="B227" s="42" t="s">
        <v>1541</v>
      </c>
      <c r="C227" s="41" t="s">
        <v>1536</v>
      </c>
      <c r="D227" s="41" t="s">
        <v>4076</v>
      </c>
      <c r="E227" s="200" t="s">
        <v>4077</v>
      </c>
      <c r="F227" s="200" t="s">
        <v>4078</v>
      </c>
      <c r="G227" s="245" t="s">
        <v>4559</v>
      </c>
      <c r="H227" s="42" t="s">
        <v>1522</v>
      </c>
      <c r="I227" s="248" t="s">
        <v>4478</v>
      </c>
      <c r="J227" s="233" t="s">
        <v>4079</v>
      </c>
      <c r="K227" s="162" t="s">
        <v>4245</v>
      </c>
      <c r="L227" s="241" t="s">
        <v>4372</v>
      </c>
      <c r="M227" s="241" t="s">
        <v>4373</v>
      </c>
      <c r="N227" s="161" t="s">
        <v>4256</v>
      </c>
      <c r="O227" s="139" t="s">
        <v>4080</v>
      </c>
      <c r="P227" s="40" t="s">
        <v>4081</v>
      </c>
      <c r="Q227" s="229" t="s">
        <v>3224</v>
      </c>
      <c r="R227" s="201" t="s">
        <v>4082</v>
      </c>
      <c r="S227" s="141" t="s">
        <v>4083</v>
      </c>
      <c r="T227" s="243"/>
    </row>
    <row r="228" spans="1:20" ht="58" customHeight="1">
      <c r="A228" s="231" t="s">
        <v>2435</v>
      </c>
      <c r="B228" s="42" t="s">
        <v>1541</v>
      </c>
      <c r="C228" s="41" t="s">
        <v>1536</v>
      </c>
      <c r="D228" s="41" t="s">
        <v>4084</v>
      </c>
      <c r="E228" s="200" t="s">
        <v>4085</v>
      </c>
      <c r="F228" s="200" t="s">
        <v>4086</v>
      </c>
      <c r="G228" s="245" t="s">
        <v>4560</v>
      </c>
      <c r="H228" s="42" t="s">
        <v>1522</v>
      </c>
      <c r="I228" s="248" t="s">
        <v>4091</v>
      </c>
      <c r="J228" s="233" t="s">
        <v>4087</v>
      </c>
      <c r="K228" s="162" t="s">
        <v>4248</v>
      </c>
      <c r="L228" s="241" t="s">
        <v>4374</v>
      </c>
      <c r="M228" s="241" t="s">
        <v>4375</v>
      </c>
      <c r="N228" s="161" t="s">
        <v>4256</v>
      </c>
      <c r="O228" s="139" t="s">
        <v>4080</v>
      </c>
      <c r="P228" s="40" t="s">
        <v>4088</v>
      </c>
      <c r="Q228" s="229" t="s">
        <v>3224</v>
      </c>
      <c r="R228" s="201" t="s">
        <v>4089</v>
      </c>
      <c r="S228" s="141" t="s">
        <v>4083</v>
      </c>
      <c r="T228" s="243"/>
    </row>
    <row r="229" spans="1:20" ht="58" customHeight="1">
      <c r="A229" s="231" t="s">
        <v>2436</v>
      </c>
      <c r="B229" s="42" t="s">
        <v>1425</v>
      </c>
      <c r="C229" s="41" t="s">
        <v>1525</v>
      </c>
      <c r="D229" s="41" t="s">
        <v>467</v>
      </c>
      <c r="E229" s="200" t="s">
        <v>804</v>
      </c>
      <c r="F229" s="200" t="s">
        <v>468</v>
      </c>
      <c r="G229" s="245" t="s">
        <v>3008</v>
      </c>
      <c r="H229" s="42" t="s">
        <v>1522</v>
      </c>
      <c r="I229" s="248" t="s">
        <v>4091</v>
      </c>
      <c r="J229" s="233" t="s">
        <v>3908</v>
      </c>
      <c r="K229" s="162" t="s">
        <v>4260</v>
      </c>
      <c r="L229" s="241" t="s">
        <v>4378</v>
      </c>
      <c r="M229" s="241" t="s">
        <v>4379</v>
      </c>
      <c r="N229" s="161" t="s">
        <v>4256</v>
      </c>
      <c r="O229" s="139" t="s">
        <v>465</v>
      </c>
      <c r="P229" s="40" t="s">
        <v>466</v>
      </c>
      <c r="Q229" s="229" t="s">
        <v>3226</v>
      </c>
      <c r="R229" s="201" t="s">
        <v>2922</v>
      </c>
      <c r="S229" s="141" t="s">
        <v>440</v>
      </c>
      <c r="T229" s="243"/>
    </row>
    <row r="230" spans="1:20" ht="58" customHeight="1">
      <c r="A230" s="231" t="s">
        <v>2436</v>
      </c>
      <c r="B230" s="42" t="s">
        <v>1425</v>
      </c>
      <c r="C230" s="41" t="s">
        <v>1525</v>
      </c>
      <c r="D230" s="41" t="s">
        <v>475</v>
      </c>
      <c r="E230" s="200" t="s">
        <v>806</v>
      </c>
      <c r="F230" s="200" t="s">
        <v>476</v>
      </c>
      <c r="G230" s="245" t="s">
        <v>3008</v>
      </c>
      <c r="H230" s="42" t="s">
        <v>1522</v>
      </c>
      <c r="I230" s="248" t="s">
        <v>4091</v>
      </c>
      <c r="J230" s="233" t="s">
        <v>3910</v>
      </c>
      <c r="K230" s="162" t="s">
        <v>4272</v>
      </c>
      <c r="L230" s="241" t="s">
        <v>4402</v>
      </c>
      <c r="M230" s="241" t="s">
        <v>4403</v>
      </c>
      <c r="N230" s="161" t="s">
        <v>4257</v>
      </c>
      <c r="O230" s="139" t="s">
        <v>473</v>
      </c>
      <c r="P230" s="40" t="s">
        <v>474</v>
      </c>
      <c r="Q230" s="229" t="s">
        <v>3226</v>
      </c>
      <c r="R230" s="201" t="s">
        <v>2922</v>
      </c>
      <c r="S230" s="141" t="s">
        <v>440</v>
      </c>
      <c r="T230" s="243"/>
    </row>
    <row r="231" spans="1:20" ht="58" customHeight="1">
      <c r="A231" s="231" t="s">
        <v>2436</v>
      </c>
      <c r="B231" s="42" t="s">
        <v>1425</v>
      </c>
      <c r="C231" s="41" t="s">
        <v>1526</v>
      </c>
      <c r="D231" s="41" t="s">
        <v>457</v>
      </c>
      <c r="E231" s="200" t="s">
        <v>801</v>
      </c>
      <c r="F231" s="200" t="s">
        <v>458</v>
      </c>
      <c r="G231" s="245" t="s">
        <v>3004</v>
      </c>
      <c r="H231" s="42" t="s">
        <v>2</v>
      </c>
      <c r="I231" s="248" t="s">
        <v>3012</v>
      </c>
      <c r="J231" s="233" t="s">
        <v>3221</v>
      </c>
      <c r="K231" s="162"/>
      <c r="L231" s="241"/>
      <c r="M231" s="241"/>
      <c r="N231" s="161"/>
      <c r="O231" s="139" t="s">
        <v>455</v>
      </c>
      <c r="P231" s="40" t="s">
        <v>456</v>
      </c>
      <c r="Q231" s="229" t="s">
        <v>3226</v>
      </c>
      <c r="R231" s="201" t="s">
        <v>2980</v>
      </c>
      <c r="S231" s="141" t="s">
        <v>440</v>
      </c>
      <c r="T231" s="243"/>
    </row>
    <row r="232" spans="1:20" ht="58" customHeight="1">
      <c r="A232" s="231" t="s">
        <v>2436</v>
      </c>
      <c r="B232" s="42" t="s">
        <v>1425</v>
      </c>
      <c r="C232" s="41" t="s">
        <v>1526</v>
      </c>
      <c r="D232" s="41" t="s">
        <v>471</v>
      </c>
      <c r="E232" s="200" t="s">
        <v>805</v>
      </c>
      <c r="F232" s="200" t="s">
        <v>472</v>
      </c>
      <c r="G232" s="245" t="s">
        <v>3008</v>
      </c>
      <c r="H232" s="42" t="s">
        <v>1522</v>
      </c>
      <c r="I232" s="248" t="s">
        <v>3014</v>
      </c>
      <c r="J232" s="233" t="s">
        <v>3909</v>
      </c>
      <c r="K232" s="162" t="s">
        <v>4535</v>
      </c>
      <c r="L232" s="241"/>
      <c r="M232" s="241"/>
      <c r="N232" s="161"/>
      <c r="O232" s="139" t="s">
        <v>469</v>
      </c>
      <c r="P232" s="40" t="s">
        <v>470</v>
      </c>
      <c r="Q232" s="229" t="s">
        <v>3226</v>
      </c>
      <c r="R232" s="201" t="s">
        <v>2922</v>
      </c>
      <c r="S232" s="141" t="s">
        <v>440</v>
      </c>
      <c r="T232" s="243"/>
    </row>
    <row r="233" spans="1:20" ht="58" customHeight="1">
      <c r="A233" s="231" t="s">
        <v>2436</v>
      </c>
      <c r="B233" s="42" t="s">
        <v>1425</v>
      </c>
      <c r="C233" s="41" t="s">
        <v>1527</v>
      </c>
      <c r="D233" s="41" t="s">
        <v>2727</v>
      </c>
      <c r="E233" s="200" t="s">
        <v>2726</v>
      </c>
      <c r="F233" s="200" t="s">
        <v>4474</v>
      </c>
      <c r="G233" s="245" t="s">
        <v>4561</v>
      </c>
      <c r="H233" s="42" t="s">
        <v>2</v>
      </c>
      <c r="I233" s="248" t="s">
        <v>1539</v>
      </c>
      <c r="J233" s="233" t="s">
        <v>3221</v>
      </c>
      <c r="K233" s="162"/>
      <c r="L233" s="241"/>
      <c r="M233" s="241"/>
      <c r="N233" s="161"/>
      <c r="O233" s="139" t="s">
        <v>2728</v>
      </c>
      <c r="P233" s="40" t="s">
        <v>2729</v>
      </c>
      <c r="Q233" s="229" t="s">
        <v>3227</v>
      </c>
      <c r="R233" s="201" t="s">
        <v>4475</v>
      </c>
      <c r="S233" s="141" t="s">
        <v>2501</v>
      </c>
      <c r="T233" s="243"/>
    </row>
    <row r="234" spans="1:20" ht="58" customHeight="1">
      <c r="A234" s="231" t="s">
        <v>2436</v>
      </c>
      <c r="B234" s="42" t="s">
        <v>1425</v>
      </c>
      <c r="C234" s="41" t="s">
        <v>1527</v>
      </c>
      <c r="D234" s="41" t="s">
        <v>461</v>
      </c>
      <c r="E234" s="200" t="s">
        <v>802</v>
      </c>
      <c r="F234" s="200" t="s">
        <v>462</v>
      </c>
      <c r="G234" s="245" t="s">
        <v>3004</v>
      </c>
      <c r="H234" s="42" t="s">
        <v>2</v>
      </c>
      <c r="I234" s="248" t="s">
        <v>3012</v>
      </c>
      <c r="J234" s="233" t="s">
        <v>3221</v>
      </c>
      <c r="K234" s="162"/>
      <c r="L234" s="241"/>
      <c r="M234" s="241"/>
      <c r="N234" s="161"/>
      <c r="O234" s="139" t="s">
        <v>459</v>
      </c>
      <c r="P234" s="40" t="s">
        <v>460</v>
      </c>
      <c r="Q234" s="229" t="s">
        <v>3226</v>
      </c>
      <c r="R234" s="201" t="s">
        <v>2980</v>
      </c>
      <c r="S234" s="141" t="s">
        <v>447</v>
      </c>
      <c r="T234" s="243"/>
    </row>
    <row r="235" spans="1:20" ht="58" customHeight="1">
      <c r="A235" s="231" t="s">
        <v>2436</v>
      </c>
      <c r="B235" s="42" t="s">
        <v>1425</v>
      </c>
      <c r="C235" s="41" t="s">
        <v>1527</v>
      </c>
      <c r="D235" s="41" t="s">
        <v>4176</v>
      </c>
      <c r="E235" s="200" t="s">
        <v>803</v>
      </c>
      <c r="F235" s="200" t="s">
        <v>464</v>
      </c>
      <c r="G235" s="245" t="s">
        <v>3010</v>
      </c>
      <c r="H235" s="42" t="s">
        <v>1522</v>
      </c>
      <c r="I235" s="248" t="s">
        <v>4091</v>
      </c>
      <c r="J235" s="233" t="s">
        <v>3907</v>
      </c>
      <c r="K235" s="162" t="s">
        <v>4177</v>
      </c>
      <c r="L235" s="241" t="s">
        <v>4443</v>
      </c>
      <c r="M235" s="241" t="s">
        <v>4444</v>
      </c>
      <c r="N235" s="161" t="s">
        <v>4257</v>
      </c>
      <c r="O235" s="139" t="s">
        <v>463</v>
      </c>
      <c r="P235" s="40" t="s">
        <v>4175</v>
      </c>
      <c r="Q235" s="229" t="s">
        <v>3226</v>
      </c>
      <c r="R235" s="201" t="s">
        <v>2981</v>
      </c>
      <c r="S235" s="141" t="s">
        <v>440</v>
      </c>
      <c r="T235" s="243"/>
    </row>
    <row r="236" spans="1:20" ht="58" customHeight="1">
      <c r="A236" s="231" t="s">
        <v>2436</v>
      </c>
      <c r="B236" s="42" t="s">
        <v>1425</v>
      </c>
      <c r="C236" s="41" t="s">
        <v>1527</v>
      </c>
      <c r="D236" s="41" t="s">
        <v>4178</v>
      </c>
      <c r="E236" s="200" t="s">
        <v>803</v>
      </c>
      <c r="F236" s="200" t="s">
        <v>464</v>
      </c>
      <c r="G236" s="245" t="s">
        <v>3010</v>
      </c>
      <c r="H236" s="42" t="s">
        <v>1522</v>
      </c>
      <c r="I236" s="248" t="s">
        <v>4091</v>
      </c>
      <c r="J236" s="233" t="s">
        <v>3907</v>
      </c>
      <c r="K236" s="162" t="s">
        <v>4180</v>
      </c>
      <c r="L236" s="241" t="s">
        <v>4417</v>
      </c>
      <c r="M236" s="241" t="s">
        <v>4418</v>
      </c>
      <c r="N236" s="161" t="s">
        <v>4256</v>
      </c>
      <c r="O236" s="139" t="s">
        <v>463</v>
      </c>
      <c r="P236" s="40" t="s">
        <v>4179</v>
      </c>
      <c r="Q236" s="229" t="s">
        <v>3226</v>
      </c>
      <c r="R236" s="201" t="s">
        <v>2981</v>
      </c>
      <c r="S236" s="141" t="s">
        <v>440</v>
      </c>
      <c r="T236" s="243"/>
    </row>
    <row r="237" spans="1:20" ht="58" customHeight="1">
      <c r="A237" s="231" t="s">
        <v>2436</v>
      </c>
      <c r="B237" s="42" t="s">
        <v>1425</v>
      </c>
      <c r="C237" s="41" t="s">
        <v>1527</v>
      </c>
      <c r="D237" s="41" t="s">
        <v>479</v>
      </c>
      <c r="E237" s="200" t="s">
        <v>807</v>
      </c>
      <c r="F237" s="200" t="s">
        <v>480</v>
      </c>
      <c r="G237" s="245" t="s">
        <v>3004</v>
      </c>
      <c r="H237" s="42" t="s">
        <v>2</v>
      </c>
      <c r="I237" s="248" t="s">
        <v>3012</v>
      </c>
      <c r="J237" s="233" t="s">
        <v>3221</v>
      </c>
      <c r="K237" s="162"/>
      <c r="L237" s="241"/>
      <c r="M237" s="241"/>
      <c r="N237" s="161"/>
      <c r="O237" s="139" t="s">
        <v>477</v>
      </c>
      <c r="P237" s="40" t="s">
        <v>478</v>
      </c>
      <c r="Q237" s="229" t="s">
        <v>3226</v>
      </c>
      <c r="R237" s="201" t="s">
        <v>2980</v>
      </c>
      <c r="S237" s="141" t="s">
        <v>440</v>
      </c>
      <c r="T237" s="243"/>
    </row>
    <row r="238" spans="1:20" ht="58" customHeight="1">
      <c r="A238" s="231" t="s">
        <v>2436</v>
      </c>
      <c r="B238" s="42" t="s">
        <v>1425</v>
      </c>
      <c r="C238" s="41" t="s">
        <v>1529</v>
      </c>
      <c r="D238" s="41" t="s">
        <v>483</v>
      </c>
      <c r="E238" s="200" t="s">
        <v>808</v>
      </c>
      <c r="F238" s="200" t="s">
        <v>484</v>
      </c>
      <c r="G238" s="245" t="s">
        <v>3004</v>
      </c>
      <c r="H238" s="42" t="s">
        <v>2</v>
      </c>
      <c r="I238" s="248" t="s">
        <v>3012</v>
      </c>
      <c r="J238" s="233" t="s">
        <v>3221</v>
      </c>
      <c r="K238" s="162"/>
      <c r="L238" s="241"/>
      <c r="M238" s="241"/>
      <c r="N238" s="161"/>
      <c r="O238" s="139" t="s">
        <v>481</v>
      </c>
      <c r="P238" s="40" t="s">
        <v>482</v>
      </c>
      <c r="Q238" s="229" t="s">
        <v>3226</v>
      </c>
      <c r="R238" s="201" t="s">
        <v>2980</v>
      </c>
      <c r="S238" s="141" t="s">
        <v>440</v>
      </c>
      <c r="T238" s="243"/>
    </row>
    <row r="239" spans="1:20" ht="58" customHeight="1">
      <c r="A239" s="231" t="s">
        <v>2436</v>
      </c>
      <c r="B239" s="42" t="s">
        <v>1425</v>
      </c>
      <c r="C239" s="41" t="s">
        <v>1529</v>
      </c>
      <c r="D239" s="41" t="s">
        <v>487</v>
      </c>
      <c r="E239" s="200" t="s">
        <v>809</v>
      </c>
      <c r="F239" s="200" t="s">
        <v>488</v>
      </c>
      <c r="G239" s="245" t="s">
        <v>3010</v>
      </c>
      <c r="H239" s="42" t="s">
        <v>1522</v>
      </c>
      <c r="I239" s="248" t="s">
        <v>4478</v>
      </c>
      <c r="J239" s="233" t="s">
        <v>3911</v>
      </c>
      <c r="K239" s="162" t="s">
        <v>4231</v>
      </c>
      <c r="L239" s="241" t="s">
        <v>4320</v>
      </c>
      <c r="M239" s="241" t="s">
        <v>4321</v>
      </c>
      <c r="N239" s="161" t="s">
        <v>4256</v>
      </c>
      <c r="O239" s="139" t="s">
        <v>485</v>
      </c>
      <c r="P239" s="40" t="s">
        <v>486</v>
      </c>
      <c r="Q239" s="229" t="s">
        <v>3226</v>
      </c>
      <c r="R239" s="201" t="s">
        <v>2981</v>
      </c>
      <c r="S239" s="141" t="s">
        <v>440</v>
      </c>
      <c r="T239" s="243"/>
    </row>
    <row r="240" spans="1:20" ht="58" customHeight="1">
      <c r="A240" s="231" t="s">
        <v>2436</v>
      </c>
      <c r="B240" s="42" t="s">
        <v>1425</v>
      </c>
      <c r="C240" s="41" t="s">
        <v>1529</v>
      </c>
      <c r="D240" s="41" t="s">
        <v>4468</v>
      </c>
      <c r="E240" s="200" t="s">
        <v>4469</v>
      </c>
      <c r="F240" s="200" t="s">
        <v>4470</v>
      </c>
      <c r="G240" s="245" t="s">
        <v>4562</v>
      </c>
      <c r="H240" s="42" t="s">
        <v>2</v>
      </c>
      <c r="I240" s="248" t="s">
        <v>1539</v>
      </c>
      <c r="J240" s="233" t="s">
        <v>3221</v>
      </c>
      <c r="K240" s="162"/>
      <c r="L240" s="241"/>
      <c r="M240" s="241"/>
      <c r="N240" s="161"/>
      <c r="O240" s="139" t="s">
        <v>2725</v>
      </c>
      <c r="P240" s="40" t="s">
        <v>4471</v>
      </c>
      <c r="Q240" s="229" t="s">
        <v>3226</v>
      </c>
      <c r="R240" s="201" t="s">
        <v>4472</v>
      </c>
      <c r="S240" s="141" t="s">
        <v>4473</v>
      </c>
      <c r="T240" s="243"/>
    </row>
    <row r="241" spans="1:20" ht="58" customHeight="1">
      <c r="A241" s="231" t="s">
        <v>2436</v>
      </c>
      <c r="B241" s="42" t="s">
        <v>1425</v>
      </c>
      <c r="C241" s="41" t="s">
        <v>1537</v>
      </c>
      <c r="D241" s="41" t="s">
        <v>439</v>
      </c>
      <c r="E241" s="200" t="s">
        <v>799</v>
      </c>
      <c r="F241" s="200" t="s">
        <v>3294</v>
      </c>
      <c r="G241" s="245" t="s">
        <v>3295</v>
      </c>
      <c r="H241" s="42" t="s">
        <v>1521</v>
      </c>
      <c r="I241" s="248" t="s">
        <v>3016</v>
      </c>
      <c r="J241" s="233" t="s">
        <v>3221</v>
      </c>
      <c r="K241" s="162"/>
      <c r="L241" s="241"/>
      <c r="M241" s="241"/>
      <c r="N241" s="161"/>
      <c r="O241" s="139" t="s">
        <v>437</v>
      </c>
      <c r="P241" s="40" t="s">
        <v>438</v>
      </c>
      <c r="Q241" s="229" t="s">
        <v>3226</v>
      </c>
      <c r="R241" s="201" t="s">
        <v>2977</v>
      </c>
      <c r="S241" s="141" t="s">
        <v>440</v>
      </c>
      <c r="T241" s="243"/>
    </row>
    <row r="242" spans="1:20" ht="58" customHeight="1">
      <c r="A242" s="231" t="s">
        <v>2436</v>
      </c>
      <c r="B242" s="42" t="s">
        <v>1425</v>
      </c>
      <c r="C242" s="41" t="s">
        <v>1537</v>
      </c>
      <c r="D242" s="41" t="s">
        <v>498</v>
      </c>
      <c r="E242" s="200" t="s">
        <v>3797</v>
      </c>
      <c r="F242" s="200" t="s">
        <v>4277</v>
      </c>
      <c r="G242" s="245" t="s">
        <v>4563</v>
      </c>
      <c r="H242" s="42" t="s">
        <v>3</v>
      </c>
      <c r="I242" s="248" t="s">
        <v>3016</v>
      </c>
      <c r="J242" s="233" t="s">
        <v>3221</v>
      </c>
      <c r="K242" s="162"/>
      <c r="L242" s="241"/>
      <c r="M242" s="241"/>
      <c r="N242" s="161"/>
      <c r="O242" s="139" t="s">
        <v>496</v>
      </c>
      <c r="P242" s="40" t="s">
        <v>497</v>
      </c>
      <c r="Q242" s="229" t="s">
        <v>3226</v>
      </c>
      <c r="R242" s="201" t="s">
        <v>2983</v>
      </c>
      <c r="S242" s="141" t="s">
        <v>499</v>
      </c>
      <c r="T242" s="243"/>
    </row>
    <row r="243" spans="1:20" ht="58" customHeight="1">
      <c r="A243" s="231" t="s">
        <v>2436</v>
      </c>
      <c r="B243" s="42" t="s">
        <v>1425</v>
      </c>
      <c r="C243" s="41" t="s">
        <v>1537</v>
      </c>
      <c r="D243" s="41" t="s">
        <v>502</v>
      </c>
      <c r="E243" s="200" t="s">
        <v>812</v>
      </c>
      <c r="F243" s="200" t="s">
        <v>4463</v>
      </c>
      <c r="G243" s="245" t="s">
        <v>4564</v>
      </c>
      <c r="H243" s="42" t="s">
        <v>1522</v>
      </c>
      <c r="I243" s="248" t="s">
        <v>4462</v>
      </c>
      <c r="J243" s="233" t="s">
        <v>3912</v>
      </c>
      <c r="K243" s="162" t="s">
        <v>958</v>
      </c>
      <c r="L243" s="241"/>
      <c r="M243" s="241"/>
      <c r="N243" s="161"/>
      <c r="O243" s="139" t="s">
        <v>500</v>
      </c>
      <c r="P243" s="40" t="s">
        <v>501</v>
      </c>
      <c r="Q243" s="229" t="s">
        <v>3226</v>
      </c>
      <c r="R243" s="201" t="s">
        <v>2922</v>
      </c>
      <c r="S243" s="141" t="s">
        <v>440</v>
      </c>
      <c r="T243" s="243" t="s">
        <v>4464</v>
      </c>
    </row>
    <row r="244" spans="1:20" ht="58" customHeight="1">
      <c r="A244" s="231" t="s">
        <v>2436</v>
      </c>
      <c r="B244" s="42" t="s">
        <v>1425</v>
      </c>
      <c r="C244" s="41" t="s">
        <v>1537</v>
      </c>
      <c r="D244" s="41" t="s">
        <v>2722</v>
      </c>
      <c r="E244" s="200" t="s">
        <v>2721</v>
      </c>
      <c r="F244" s="200" t="s">
        <v>4456</v>
      </c>
      <c r="G244" s="245" t="s">
        <v>4457</v>
      </c>
      <c r="H244" s="42" t="s">
        <v>2</v>
      </c>
      <c r="I244" s="248" t="s">
        <v>1539</v>
      </c>
      <c r="J244" s="233" t="s">
        <v>3221</v>
      </c>
      <c r="K244" s="162"/>
      <c r="L244" s="241"/>
      <c r="M244" s="241"/>
      <c r="N244" s="161"/>
      <c r="O244" s="139" t="s">
        <v>2723</v>
      </c>
      <c r="P244" s="40" t="s">
        <v>4458</v>
      </c>
      <c r="Q244" s="229" t="s">
        <v>3226</v>
      </c>
      <c r="R244" s="201" t="s">
        <v>4459</v>
      </c>
      <c r="S244" s="141" t="s">
        <v>2724</v>
      </c>
      <c r="T244" s="243"/>
    </row>
    <row r="245" spans="1:20" ht="58" customHeight="1">
      <c r="A245" s="231" t="s">
        <v>2436</v>
      </c>
      <c r="B245" s="42" t="s">
        <v>1425</v>
      </c>
      <c r="C245" s="41" t="s">
        <v>1531</v>
      </c>
      <c r="D245" s="41" t="s">
        <v>443</v>
      </c>
      <c r="E245" s="200" t="s">
        <v>3798</v>
      </c>
      <c r="F245" s="200" t="s">
        <v>3922</v>
      </c>
      <c r="G245" s="245" t="s">
        <v>4565</v>
      </c>
      <c r="H245" s="42" t="s">
        <v>2</v>
      </c>
      <c r="I245" s="248" t="s">
        <v>3012</v>
      </c>
      <c r="J245" s="233" t="s">
        <v>3221</v>
      </c>
      <c r="K245" s="162"/>
      <c r="L245" s="241"/>
      <c r="M245" s="241"/>
      <c r="N245" s="161"/>
      <c r="O245" s="139" t="s">
        <v>441</v>
      </c>
      <c r="P245" s="40" t="s">
        <v>442</v>
      </c>
      <c r="Q245" s="229" t="s">
        <v>3226</v>
      </c>
      <c r="R245" s="201" t="s">
        <v>2978</v>
      </c>
      <c r="S245" s="141" t="s">
        <v>440</v>
      </c>
      <c r="T245" s="243"/>
    </row>
    <row r="246" spans="1:20" ht="58" customHeight="1">
      <c r="A246" s="231" t="s">
        <v>2436</v>
      </c>
      <c r="B246" s="42" t="s">
        <v>1425</v>
      </c>
      <c r="C246" s="41" t="s">
        <v>1531</v>
      </c>
      <c r="D246" s="41" t="s">
        <v>495</v>
      </c>
      <c r="E246" s="200" t="s">
        <v>811</v>
      </c>
      <c r="F246" s="200" t="s">
        <v>3323</v>
      </c>
      <c r="G246" s="245" t="s">
        <v>3324</v>
      </c>
      <c r="H246" s="42" t="s">
        <v>1521</v>
      </c>
      <c r="I246" s="248" t="s">
        <v>3016</v>
      </c>
      <c r="J246" s="233" t="s">
        <v>3221</v>
      </c>
      <c r="K246" s="162"/>
      <c r="L246" s="241"/>
      <c r="M246" s="241"/>
      <c r="N246" s="161"/>
      <c r="O246" s="139" t="s">
        <v>493</v>
      </c>
      <c r="P246" s="40" t="s">
        <v>494</v>
      </c>
      <c r="Q246" s="229" t="s">
        <v>3226</v>
      </c>
      <c r="R246" s="201" t="s">
        <v>2982</v>
      </c>
      <c r="S246" s="141" t="s">
        <v>440</v>
      </c>
      <c r="T246" s="243"/>
    </row>
    <row r="247" spans="1:20" ht="58" customHeight="1">
      <c r="A247" s="231" t="s">
        <v>2436</v>
      </c>
      <c r="B247" s="42" t="s">
        <v>1425</v>
      </c>
      <c r="C247" s="41" t="s">
        <v>1530</v>
      </c>
      <c r="D247" s="41" t="s">
        <v>450</v>
      </c>
      <c r="E247" s="200" t="s">
        <v>800</v>
      </c>
      <c r="F247" s="200" t="s">
        <v>451</v>
      </c>
      <c r="G247" s="245" t="s">
        <v>3007</v>
      </c>
      <c r="H247" s="42" t="s">
        <v>1522</v>
      </c>
      <c r="I247" s="248" t="s">
        <v>3014</v>
      </c>
      <c r="J247" s="233" t="s">
        <v>3913</v>
      </c>
      <c r="K247" s="162" t="s">
        <v>4222</v>
      </c>
      <c r="L247" s="241" t="s">
        <v>4294</v>
      </c>
      <c r="M247" s="241" t="s">
        <v>4295</v>
      </c>
      <c r="N247" s="161" t="s">
        <v>4256</v>
      </c>
      <c r="O247" s="139" t="s">
        <v>448</v>
      </c>
      <c r="P247" s="40" t="s">
        <v>449</v>
      </c>
      <c r="Q247" s="229" t="s">
        <v>3226</v>
      </c>
      <c r="R247" s="201" t="s">
        <v>2921</v>
      </c>
      <c r="S247" s="141" t="s">
        <v>440</v>
      </c>
      <c r="T247" s="243"/>
    </row>
    <row r="248" spans="1:20" ht="58" customHeight="1">
      <c r="A248" s="231" t="s">
        <v>2436</v>
      </c>
      <c r="B248" s="42" t="s">
        <v>1425</v>
      </c>
      <c r="C248" s="41" t="s">
        <v>1530</v>
      </c>
      <c r="D248" s="41" t="s">
        <v>454</v>
      </c>
      <c r="E248" s="200" t="s">
        <v>3799</v>
      </c>
      <c r="F248" s="200" t="s">
        <v>3322</v>
      </c>
      <c r="G248" s="245" t="s">
        <v>4566</v>
      </c>
      <c r="H248" s="42" t="s">
        <v>1522</v>
      </c>
      <c r="I248" s="248" t="s">
        <v>3014</v>
      </c>
      <c r="J248" s="233" t="s">
        <v>3934</v>
      </c>
      <c r="K248" s="162" t="s">
        <v>4247</v>
      </c>
      <c r="L248" s="241" t="s">
        <v>4641</v>
      </c>
      <c r="M248" s="241"/>
      <c r="N248" s="161" t="s">
        <v>4256</v>
      </c>
      <c r="O248" s="139" t="s">
        <v>452</v>
      </c>
      <c r="P248" s="40" t="s">
        <v>453</v>
      </c>
      <c r="Q248" s="229" t="s">
        <v>3226</v>
      </c>
      <c r="R248" s="201" t="s">
        <v>2979</v>
      </c>
      <c r="S248" s="141" t="s">
        <v>447</v>
      </c>
      <c r="T248" s="243" t="s">
        <v>3800</v>
      </c>
    </row>
    <row r="249" spans="1:20" ht="58" customHeight="1">
      <c r="A249" s="231" t="s">
        <v>2436</v>
      </c>
      <c r="B249" s="42" t="s">
        <v>1425</v>
      </c>
      <c r="C249" s="41" t="s">
        <v>1530</v>
      </c>
      <c r="D249" s="41" t="s">
        <v>491</v>
      </c>
      <c r="E249" s="200" t="s">
        <v>810</v>
      </c>
      <c r="F249" s="200" t="s">
        <v>492</v>
      </c>
      <c r="G249" s="245" t="s">
        <v>3004</v>
      </c>
      <c r="H249" s="42" t="s">
        <v>2</v>
      </c>
      <c r="I249" s="248" t="s">
        <v>3012</v>
      </c>
      <c r="J249" s="233" t="s">
        <v>3221</v>
      </c>
      <c r="K249" s="162"/>
      <c r="L249" s="241"/>
      <c r="M249" s="241"/>
      <c r="N249" s="161"/>
      <c r="O249" s="139" t="s">
        <v>489</v>
      </c>
      <c r="P249" s="40" t="s">
        <v>490</v>
      </c>
      <c r="Q249" s="229" t="s">
        <v>3226</v>
      </c>
      <c r="R249" s="201" t="s">
        <v>2980</v>
      </c>
      <c r="S249" s="141" t="s">
        <v>440</v>
      </c>
      <c r="T249" s="243"/>
    </row>
    <row r="250" spans="1:20" ht="58" customHeight="1">
      <c r="A250" s="231" t="s">
        <v>2436</v>
      </c>
      <c r="B250" s="42" t="s">
        <v>1425</v>
      </c>
      <c r="C250" s="41" t="s">
        <v>1534</v>
      </c>
      <c r="D250" s="41" t="s">
        <v>446</v>
      </c>
      <c r="E250" s="200" t="s">
        <v>3230</v>
      </c>
      <c r="F250" s="200" t="s">
        <v>4275</v>
      </c>
      <c r="G250" s="245" t="s">
        <v>4276</v>
      </c>
      <c r="H250" s="42" t="s">
        <v>1522</v>
      </c>
      <c r="I250" s="248" t="s">
        <v>3014</v>
      </c>
      <c r="J250" s="233" t="s">
        <v>3221</v>
      </c>
      <c r="K250" s="162" t="s">
        <v>4589</v>
      </c>
      <c r="L250" s="241" t="s">
        <v>4590</v>
      </c>
      <c r="M250" s="241"/>
      <c r="N250" s="161" t="s">
        <v>4258</v>
      </c>
      <c r="O250" s="139" t="s">
        <v>444</v>
      </c>
      <c r="P250" s="40" t="s">
        <v>445</v>
      </c>
      <c r="Q250" s="229" t="s">
        <v>3226</v>
      </c>
      <c r="R250" s="201" t="s">
        <v>3003</v>
      </c>
      <c r="S250" s="141" t="s">
        <v>447</v>
      </c>
      <c r="T250" s="243"/>
    </row>
    <row r="251" spans="1:20" ht="58" customHeight="1">
      <c r="A251" s="231" t="s">
        <v>2436</v>
      </c>
      <c r="B251" s="42" t="s">
        <v>1538</v>
      </c>
      <c r="C251" s="41" t="s">
        <v>1527</v>
      </c>
      <c r="D251" s="41" t="s">
        <v>512</v>
      </c>
      <c r="E251" s="200" t="s">
        <v>814</v>
      </c>
      <c r="F251" s="200" t="s">
        <v>3318</v>
      </c>
      <c r="G251" s="245" t="s">
        <v>4567</v>
      </c>
      <c r="H251" s="42" t="s">
        <v>3</v>
      </c>
      <c r="I251" s="248" t="s">
        <v>1539</v>
      </c>
      <c r="J251" s="233" t="s">
        <v>3221</v>
      </c>
      <c r="K251" s="162"/>
      <c r="L251" s="241"/>
      <c r="M251" s="241"/>
      <c r="N251" s="161"/>
      <c r="O251" s="139" t="s">
        <v>510</v>
      </c>
      <c r="P251" s="40" t="s">
        <v>511</v>
      </c>
      <c r="Q251" s="229" t="s">
        <v>3228</v>
      </c>
      <c r="R251" s="201" t="s">
        <v>2982</v>
      </c>
      <c r="S251" s="141" t="s">
        <v>506</v>
      </c>
      <c r="T251" s="243"/>
    </row>
    <row r="252" spans="1:20" ht="58" customHeight="1">
      <c r="A252" s="231" t="s">
        <v>2436</v>
      </c>
      <c r="B252" s="42" t="s">
        <v>1538</v>
      </c>
      <c r="C252" s="41" t="s">
        <v>1527</v>
      </c>
      <c r="D252" s="41" t="s">
        <v>509</v>
      </c>
      <c r="E252" s="200" t="s">
        <v>813</v>
      </c>
      <c r="F252" s="200" t="s">
        <v>3319</v>
      </c>
      <c r="G252" s="245" t="s">
        <v>3320</v>
      </c>
      <c r="H252" s="42" t="s">
        <v>3</v>
      </c>
      <c r="I252" s="248" t="s">
        <v>1539</v>
      </c>
      <c r="J252" s="233" t="s">
        <v>3221</v>
      </c>
      <c r="K252" s="162"/>
      <c r="L252" s="241"/>
      <c r="M252" s="241"/>
      <c r="N252" s="161"/>
      <c r="O252" s="139" t="s">
        <v>503</v>
      </c>
      <c r="P252" s="40" t="s">
        <v>508</v>
      </c>
      <c r="Q252" s="229" t="s">
        <v>3228</v>
      </c>
      <c r="R252" s="201" t="s">
        <v>2982</v>
      </c>
      <c r="S252" s="141" t="s">
        <v>506</v>
      </c>
      <c r="T252" s="243"/>
    </row>
    <row r="253" spans="1:20" ht="58" customHeight="1">
      <c r="A253" s="231" t="s">
        <v>2436</v>
      </c>
      <c r="B253" s="42" t="s">
        <v>1538</v>
      </c>
      <c r="C253" s="41" t="s">
        <v>1537</v>
      </c>
      <c r="D253" s="41" t="s">
        <v>516</v>
      </c>
      <c r="E253" s="200" t="s">
        <v>815</v>
      </c>
      <c r="F253" s="200" t="s">
        <v>4465</v>
      </c>
      <c r="G253" s="245" t="s">
        <v>4568</v>
      </c>
      <c r="H253" s="42" t="s">
        <v>1522</v>
      </c>
      <c r="I253" s="248" t="s">
        <v>4462</v>
      </c>
      <c r="J253" s="233" t="s">
        <v>3914</v>
      </c>
      <c r="K253" s="162" t="s">
        <v>958</v>
      </c>
      <c r="L253" s="241"/>
      <c r="M253" s="241"/>
      <c r="N253" s="161"/>
      <c r="O253" s="139" t="s">
        <v>514</v>
      </c>
      <c r="P253" s="40" t="s">
        <v>515</v>
      </c>
      <c r="Q253" s="229" t="s">
        <v>3228</v>
      </c>
      <c r="R253" s="201" t="s">
        <v>2922</v>
      </c>
      <c r="S253" s="141" t="s">
        <v>507</v>
      </c>
      <c r="T253" s="243" t="s">
        <v>4466</v>
      </c>
    </row>
    <row r="254" spans="1:20" ht="58" customHeight="1">
      <c r="A254" s="231" t="s">
        <v>2436</v>
      </c>
      <c r="B254" s="42" t="s">
        <v>1538</v>
      </c>
      <c r="C254" s="41" t="s">
        <v>1531</v>
      </c>
      <c r="D254" s="41" t="s">
        <v>505</v>
      </c>
      <c r="E254" s="200" t="s">
        <v>3796</v>
      </c>
      <c r="F254" s="200" t="s">
        <v>3321</v>
      </c>
      <c r="G254" s="245" t="s">
        <v>4569</v>
      </c>
      <c r="H254" s="42" t="s">
        <v>1521</v>
      </c>
      <c r="I254" s="248" t="s">
        <v>1539</v>
      </c>
      <c r="J254" s="233" t="s">
        <v>3221</v>
      </c>
      <c r="K254" s="162"/>
      <c r="L254" s="241"/>
      <c r="M254" s="241"/>
      <c r="N254" s="161"/>
      <c r="O254" s="139" t="s">
        <v>503</v>
      </c>
      <c r="P254" s="40" t="s">
        <v>504</v>
      </c>
      <c r="Q254" s="229" t="s">
        <v>3228</v>
      </c>
      <c r="R254" s="201" t="s">
        <v>2984</v>
      </c>
      <c r="S254" s="141" t="s">
        <v>506</v>
      </c>
      <c r="T254" s="243"/>
    </row>
    <row r="255" spans="1:20" ht="58" customHeight="1">
      <c r="A255" s="231" t="s">
        <v>2436</v>
      </c>
      <c r="B255" s="42" t="s">
        <v>1538</v>
      </c>
      <c r="C255" s="41" t="s">
        <v>1530</v>
      </c>
      <c r="D255" s="41" t="s">
        <v>521</v>
      </c>
      <c r="E255" s="200" t="s">
        <v>3801</v>
      </c>
      <c r="F255" s="200" t="s">
        <v>522</v>
      </c>
      <c r="G255" s="245" t="s">
        <v>4570</v>
      </c>
      <c r="H255" s="42" t="s">
        <v>1522</v>
      </c>
      <c r="I255" s="248" t="s">
        <v>3014</v>
      </c>
      <c r="J255" s="233" t="s">
        <v>3221</v>
      </c>
      <c r="K255" s="162" t="s">
        <v>4247</v>
      </c>
      <c r="L255" s="241" t="s">
        <v>4592</v>
      </c>
      <c r="M255" s="241"/>
      <c r="N255" s="161" t="s">
        <v>4256</v>
      </c>
      <c r="O255" s="139" t="s">
        <v>519</v>
      </c>
      <c r="P255" s="40" t="s">
        <v>520</v>
      </c>
      <c r="Q255" s="229" t="s">
        <v>3228</v>
      </c>
      <c r="R255" s="201" t="s">
        <v>2986</v>
      </c>
      <c r="S255" s="141" t="s">
        <v>507</v>
      </c>
      <c r="T255" s="243" t="s">
        <v>4070</v>
      </c>
    </row>
    <row r="256" spans="1:20" ht="58" customHeight="1">
      <c r="A256" s="231" t="s">
        <v>2436</v>
      </c>
      <c r="B256" s="42" t="s">
        <v>1538</v>
      </c>
      <c r="C256" s="41" t="s">
        <v>1534</v>
      </c>
      <c r="D256" s="41" t="s">
        <v>4182</v>
      </c>
      <c r="E256" s="200" t="s">
        <v>3795</v>
      </c>
      <c r="F256" s="200" t="s">
        <v>518</v>
      </c>
      <c r="G256" s="245" t="s">
        <v>3007</v>
      </c>
      <c r="H256" s="42" t="s">
        <v>1522</v>
      </c>
      <c r="I256" s="248" t="s">
        <v>3014</v>
      </c>
      <c r="J256" s="233" t="s">
        <v>3915</v>
      </c>
      <c r="K256" s="162" t="s">
        <v>4183</v>
      </c>
      <c r="L256" s="241" t="s">
        <v>4419</v>
      </c>
      <c r="M256" s="241" t="s">
        <v>4420</v>
      </c>
      <c r="N256" s="161" t="s">
        <v>4256</v>
      </c>
      <c r="O256" s="139" t="s">
        <v>517</v>
      </c>
      <c r="P256" s="40" t="s">
        <v>4181</v>
      </c>
      <c r="Q256" s="229" t="s">
        <v>3228</v>
      </c>
      <c r="R256" s="201" t="s">
        <v>2985</v>
      </c>
      <c r="S256" s="141" t="s">
        <v>507</v>
      </c>
      <c r="T256" s="243"/>
    </row>
    <row r="257" spans="1:20" ht="58" customHeight="1">
      <c r="A257" s="231" t="s">
        <v>2436</v>
      </c>
      <c r="B257" s="42" t="s">
        <v>1538</v>
      </c>
      <c r="C257" s="41" t="s">
        <v>1534</v>
      </c>
      <c r="D257" s="41" t="s">
        <v>4184</v>
      </c>
      <c r="E257" s="200" t="s">
        <v>3795</v>
      </c>
      <c r="F257" s="200" t="s">
        <v>518</v>
      </c>
      <c r="G257" s="245" t="s">
        <v>3007</v>
      </c>
      <c r="H257" s="42" t="s">
        <v>1522</v>
      </c>
      <c r="I257" s="248" t="s">
        <v>3014</v>
      </c>
      <c r="J257" s="233" t="s">
        <v>3915</v>
      </c>
      <c r="K257" s="162" t="s">
        <v>4186</v>
      </c>
      <c r="L257" s="241" t="s">
        <v>4445</v>
      </c>
      <c r="M257" s="241" t="s">
        <v>4446</v>
      </c>
      <c r="N257" s="161" t="s">
        <v>4257</v>
      </c>
      <c r="O257" s="139" t="s">
        <v>517</v>
      </c>
      <c r="P257" s="40" t="s">
        <v>4185</v>
      </c>
      <c r="Q257" s="229" t="s">
        <v>3228</v>
      </c>
      <c r="R257" s="201" t="s">
        <v>2985</v>
      </c>
      <c r="S257" s="141" t="s">
        <v>507</v>
      </c>
      <c r="T257" s="243"/>
    </row>
    <row r="258" spans="1:20" ht="58" customHeight="1">
      <c r="A258" s="231" t="s">
        <v>2436</v>
      </c>
      <c r="B258" s="42" t="s">
        <v>1538</v>
      </c>
      <c r="C258" s="41" t="s">
        <v>1534</v>
      </c>
      <c r="D258" s="41" t="s">
        <v>4187</v>
      </c>
      <c r="E258" s="200" t="s">
        <v>3795</v>
      </c>
      <c r="F258" s="200" t="s">
        <v>518</v>
      </c>
      <c r="G258" s="245" t="s">
        <v>3007</v>
      </c>
      <c r="H258" s="42" t="s">
        <v>1522</v>
      </c>
      <c r="I258" s="248" t="s">
        <v>3014</v>
      </c>
      <c r="J258" s="233" t="s">
        <v>3915</v>
      </c>
      <c r="K258" s="162" t="s">
        <v>4189</v>
      </c>
      <c r="L258" s="241" t="s">
        <v>4447</v>
      </c>
      <c r="M258" s="241" t="s">
        <v>4448</v>
      </c>
      <c r="N258" s="161" t="s">
        <v>4257</v>
      </c>
      <c r="O258" s="139" t="s">
        <v>517</v>
      </c>
      <c r="P258" s="40" t="s">
        <v>4188</v>
      </c>
      <c r="Q258" s="229" t="s">
        <v>3228</v>
      </c>
      <c r="R258" s="201" t="s">
        <v>2985</v>
      </c>
      <c r="S258" s="141" t="s">
        <v>507</v>
      </c>
      <c r="T258" s="243"/>
    </row>
    <row r="259" spans="1:20" ht="58" customHeight="1">
      <c r="A259" s="231" t="s">
        <v>2436</v>
      </c>
      <c r="B259" s="42" t="s">
        <v>1538</v>
      </c>
      <c r="C259" s="41" t="s">
        <v>1534</v>
      </c>
      <c r="D259" s="41" t="s">
        <v>525</v>
      </c>
      <c r="E259" s="200" t="s">
        <v>816</v>
      </c>
      <c r="F259" s="200" t="s">
        <v>526</v>
      </c>
      <c r="G259" s="245" t="s">
        <v>3005</v>
      </c>
      <c r="H259" s="42" t="s">
        <v>958</v>
      </c>
      <c r="I259" s="248" t="s">
        <v>3013</v>
      </c>
      <c r="J259" s="233" t="s">
        <v>3221</v>
      </c>
      <c r="K259" s="162"/>
      <c r="L259" s="241"/>
      <c r="M259" s="241"/>
      <c r="N259" s="161"/>
      <c r="O259" s="139" t="s">
        <v>523</v>
      </c>
      <c r="P259" s="40" t="s">
        <v>524</v>
      </c>
      <c r="Q259" s="229" t="s">
        <v>3228</v>
      </c>
      <c r="R259" s="201" t="s">
        <v>958</v>
      </c>
      <c r="S259" s="141" t="s">
        <v>507</v>
      </c>
      <c r="T259" s="243"/>
    </row>
    <row r="260" spans="1:20" ht="58" customHeight="1">
      <c r="A260" s="231" t="s">
        <v>2436</v>
      </c>
      <c r="B260" s="42" t="s">
        <v>1539</v>
      </c>
      <c r="C260" s="41" t="s">
        <v>1520</v>
      </c>
      <c r="D260" s="41" t="s">
        <v>532</v>
      </c>
      <c r="E260" s="200" t="s">
        <v>818</v>
      </c>
      <c r="F260" s="200" t="s">
        <v>3333</v>
      </c>
      <c r="G260" s="245" t="s">
        <v>3334</v>
      </c>
      <c r="H260" s="42" t="s">
        <v>3</v>
      </c>
      <c r="I260" s="248" t="s">
        <v>1539</v>
      </c>
      <c r="J260" s="233" t="s">
        <v>3221</v>
      </c>
      <c r="K260" s="162"/>
      <c r="L260" s="241"/>
      <c r="M260" s="241"/>
      <c r="N260" s="161"/>
      <c r="O260" s="139" t="s">
        <v>527</v>
      </c>
      <c r="P260" s="40" t="s">
        <v>531</v>
      </c>
      <c r="Q260" s="229" t="s">
        <v>3225</v>
      </c>
      <c r="R260" s="201" t="s">
        <v>2997</v>
      </c>
      <c r="S260" s="141" t="s">
        <v>533</v>
      </c>
      <c r="T260" s="243"/>
    </row>
    <row r="261" spans="1:20" ht="58" customHeight="1">
      <c r="A261" s="231" t="s">
        <v>2436</v>
      </c>
      <c r="B261" s="42" t="s">
        <v>1539</v>
      </c>
      <c r="C261" s="41" t="s">
        <v>1523</v>
      </c>
      <c r="D261" s="41" t="s">
        <v>537</v>
      </c>
      <c r="E261" s="200" t="s">
        <v>820</v>
      </c>
      <c r="F261" s="200" t="s">
        <v>3337</v>
      </c>
      <c r="G261" s="245" t="s">
        <v>3338</v>
      </c>
      <c r="H261" s="42" t="s">
        <v>958</v>
      </c>
      <c r="I261" s="248" t="s">
        <v>1539</v>
      </c>
      <c r="J261" s="233" t="s">
        <v>3221</v>
      </c>
      <c r="K261" s="162"/>
      <c r="L261" s="241"/>
      <c r="M261" s="241"/>
      <c r="N261" s="161"/>
      <c r="O261" s="139" t="s">
        <v>527</v>
      </c>
      <c r="P261" s="40" t="s">
        <v>536</v>
      </c>
      <c r="Q261" s="229" t="s">
        <v>3225</v>
      </c>
      <c r="R261" s="201" t="s">
        <v>2998</v>
      </c>
      <c r="S261" s="141" t="s">
        <v>530</v>
      </c>
      <c r="T261" s="243"/>
    </row>
    <row r="262" spans="1:20" ht="58" customHeight="1">
      <c r="A262" s="231" t="s">
        <v>2436</v>
      </c>
      <c r="B262" s="42" t="s">
        <v>1539</v>
      </c>
      <c r="C262" s="41" t="s">
        <v>1523</v>
      </c>
      <c r="D262" s="41" t="s">
        <v>539</v>
      </c>
      <c r="E262" s="200" t="s">
        <v>821</v>
      </c>
      <c r="F262" s="200" t="s">
        <v>3339</v>
      </c>
      <c r="G262" s="245" t="s">
        <v>4571</v>
      </c>
      <c r="H262" s="42" t="s">
        <v>3</v>
      </c>
      <c r="I262" s="248" t="s">
        <v>1539</v>
      </c>
      <c r="J262" s="233" t="s">
        <v>3221</v>
      </c>
      <c r="K262" s="162"/>
      <c r="L262" s="241"/>
      <c r="M262" s="241"/>
      <c r="N262" s="161"/>
      <c r="O262" s="139" t="s">
        <v>527</v>
      </c>
      <c r="P262" s="40" t="s">
        <v>538</v>
      </c>
      <c r="Q262" s="229" t="s">
        <v>3225</v>
      </c>
      <c r="R262" s="201"/>
      <c r="S262" s="141" t="s">
        <v>530</v>
      </c>
      <c r="T262" s="243"/>
    </row>
    <row r="263" spans="1:20" ht="58" customHeight="1">
      <c r="A263" s="231" t="s">
        <v>2436</v>
      </c>
      <c r="B263" s="42" t="s">
        <v>1539</v>
      </c>
      <c r="C263" s="41" t="s">
        <v>1523</v>
      </c>
      <c r="D263" s="41" t="s">
        <v>541</v>
      </c>
      <c r="E263" s="200" t="s">
        <v>822</v>
      </c>
      <c r="F263" s="200" t="s">
        <v>3340</v>
      </c>
      <c r="G263" s="245" t="s">
        <v>4572</v>
      </c>
      <c r="H263" s="42" t="s">
        <v>3</v>
      </c>
      <c r="I263" s="248" t="s">
        <v>1539</v>
      </c>
      <c r="J263" s="233" t="s">
        <v>3221</v>
      </c>
      <c r="K263" s="162"/>
      <c r="L263" s="241"/>
      <c r="M263" s="241"/>
      <c r="N263" s="161"/>
      <c r="O263" s="139" t="s">
        <v>527</v>
      </c>
      <c r="P263" s="40" t="s">
        <v>540</v>
      </c>
      <c r="Q263" s="229" t="s">
        <v>3225</v>
      </c>
      <c r="R263" s="201"/>
      <c r="S263" s="141" t="s">
        <v>530</v>
      </c>
      <c r="T263" s="243"/>
    </row>
    <row r="264" spans="1:20" ht="58" customHeight="1">
      <c r="A264" s="231" t="s">
        <v>2436</v>
      </c>
      <c r="B264" s="42" t="s">
        <v>1539</v>
      </c>
      <c r="C264" s="41" t="s">
        <v>1523</v>
      </c>
      <c r="D264" s="41" t="s">
        <v>584</v>
      </c>
      <c r="E264" s="200" t="s">
        <v>841</v>
      </c>
      <c r="F264" s="200" t="s">
        <v>3364</v>
      </c>
      <c r="G264" s="245" t="s">
        <v>3357</v>
      </c>
      <c r="H264" s="42" t="s">
        <v>3</v>
      </c>
      <c r="I264" s="248" t="s">
        <v>1539</v>
      </c>
      <c r="J264" s="233" t="s">
        <v>3221</v>
      </c>
      <c r="K264" s="162"/>
      <c r="L264" s="241"/>
      <c r="M264" s="241"/>
      <c r="N264" s="161"/>
      <c r="O264" s="139" t="s">
        <v>567</v>
      </c>
      <c r="P264" s="40" t="s">
        <v>583</v>
      </c>
      <c r="Q264" s="229" t="s">
        <v>3225</v>
      </c>
      <c r="R264" s="201"/>
      <c r="S264" s="141" t="s">
        <v>570</v>
      </c>
      <c r="T264" s="243"/>
    </row>
    <row r="265" spans="1:20" ht="58" customHeight="1">
      <c r="A265" s="231" t="s">
        <v>2436</v>
      </c>
      <c r="B265" s="42" t="s">
        <v>1539</v>
      </c>
      <c r="C265" s="41" t="s">
        <v>1523</v>
      </c>
      <c r="D265" s="41" t="s">
        <v>587</v>
      </c>
      <c r="E265" s="200" t="s">
        <v>842</v>
      </c>
      <c r="F265" s="200" t="s">
        <v>3365</v>
      </c>
      <c r="G265" s="245" t="s">
        <v>3357</v>
      </c>
      <c r="H265" s="42" t="s">
        <v>3</v>
      </c>
      <c r="I265" s="248" t="s">
        <v>1539</v>
      </c>
      <c r="J265" s="233" t="s">
        <v>3221</v>
      </c>
      <c r="K265" s="162"/>
      <c r="L265" s="241"/>
      <c r="M265" s="241"/>
      <c r="N265" s="161"/>
      <c r="O265" s="139" t="s">
        <v>585</v>
      </c>
      <c r="P265" s="40" t="s">
        <v>586</v>
      </c>
      <c r="Q265" s="229" t="s">
        <v>3225</v>
      </c>
      <c r="R265" s="201"/>
      <c r="S265" s="141" t="s">
        <v>588</v>
      </c>
      <c r="T265" s="243"/>
    </row>
    <row r="266" spans="1:20" ht="58" customHeight="1">
      <c r="A266" s="231" t="s">
        <v>2436</v>
      </c>
      <c r="B266" s="42" t="s">
        <v>1539</v>
      </c>
      <c r="C266" s="41" t="s">
        <v>1523</v>
      </c>
      <c r="D266" s="41" t="s">
        <v>606</v>
      </c>
      <c r="E266" s="200" t="s">
        <v>851</v>
      </c>
      <c r="F266" s="200" t="s">
        <v>3379</v>
      </c>
      <c r="G266" s="245" t="s">
        <v>3380</v>
      </c>
      <c r="H266" s="42" t="s">
        <v>958</v>
      </c>
      <c r="I266" s="248" t="s">
        <v>1539</v>
      </c>
      <c r="J266" s="233" t="s">
        <v>3221</v>
      </c>
      <c r="K266" s="162"/>
      <c r="L266" s="241"/>
      <c r="M266" s="241"/>
      <c r="N266" s="161"/>
      <c r="O266" s="139" t="s">
        <v>585</v>
      </c>
      <c r="P266" s="40" t="s">
        <v>605</v>
      </c>
      <c r="Q266" s="229" t="s">
        <v>3225</v>
      </c>
      <c r="R266" s="201"/>
      <c r="S266" s="141" t="s">
        <v>588</v>
      </c>
      <c r="T266" s="243"/>
    </row>
    <row r="267" spans="1:20" ht="58" customHeight="1">
      <c r="A267" s="231" t="s">
        <v>2436</v>
      </c>
      <c r="B267" s="42" t="s">
        <v>1539</v>
      </c>
      <c r="C267" s="41" t="s">
        <v>1523</v>
      </c>
      <c r="D267" s="41" t="s">
        <v>608</v>
      </c>
      <c r="E267" s="200" t="s">
        <v>852</v>
      </c>
      <c r="F267" s="200" t="s">
        <v>3381</v>
      </c>
      <c r="G267" s="245" t="s">
        <v>4573</v>
      </c>
      <c r="H267" s="42" t="s">
        <v>3</v>
      </c>
      <c r="I267" s="248" t="s">
        <v>1539</v>
      </c>
      <c r="J267" s="233" t="s">
        <v>3221</v>
      </c>
      <c r="K267" s="162"/>
      <c r="L267" s="241"/>
      <c r="M267" s="241"/>
      <c r="N267" s="161"/>
      <c r="O267" s="139" t="s">
        <v>585</v>
      </c>
      <c r="P267" s="40" t="s">
        <v>607</v>
      </c>
      <c r="Q267" s="229" t="s">
        <v>3225</v>
      </c>
      <c r="R267" s="201"/>
      <c r="S267" s="141" t="s">
        <v>588</v>
      </c>
      <c r="T267" s="243"/>
    </row>
    <row r="268" spans="1:20" ht="58" customHeight="1">
      <c r="A268" s="231" t="s">
        <v>2436</v>
      </c>
      <c r="B268" s="42" t="s">
        <v>1539</v>
      </c>
      <c r="C268" s="41" t="s">
        <v>1524</v>
      </c>
      <c r="D268" s="41" t="s">
        <v>590</v>
      </c>
      <c r="E268" s="200" t="s">
        <v>843</v>
      </c>
      <c r="F268" s="200" t="s">
        <v>3366</v>
      </c>
      <c r="G268" s="245" t="s">
        <v>3367</v>
      </c>
      <c r="H268" s="42" t="s">
        <v>3</v>
      </c>
      <c r="I268" s="248" t="s">
        <v>1539</v>
      </c>
      <c r="J268" s="233" t="s">
        <v>3221</v>
      </c>
      <c r="K268" s="162"/>
      <c r="L268" s="241"/>
      <c r="M268" s="241"/>
      <c r="N268" s="161"/>
      <c r="O268" s="139" t="s">
        <v>585</v>
      </c>
      <c r="P268" s="40" t="s">
        <v>589</v>
      </c>
      <c r="Q268" s="229" t="s">
        <v>3225</v>
      </c>
      <c r="R268" s="201"/>
      <c r="S268" s="141" t="s">
        <v>588</v>
      </c>
      <c r="T268" s="243"/>
    </row>
    <row r="269" spans="1:20" ht="58" customHeight="1">
      <c r="A269" s="231" t="s">
        <v>2436</v>
      </c>
      <c r="B269" s="42" t="s">
        <v>1539</v>
      </c>
      <c r="C269" s="41" t="s">
        <v>1526</v>
      </c>
      <c r="D269" s="41" t="s">
        <v>616</v>
      </c>
      <c r="E269" s="200" t="s">
        <v>856</v>
      </c>
      <c r="F269" s="200" t="s">
        <v>3385</v>
      </c>
      <c r="G269" s="245" t="s">
        <v>4574</v>
      </c>
      <c r="H269" s="42" t="s">
        <v>3</v>
      </c>
      <c r="I269" s="248" t="s">
        <v>1539</v>
      </c>
      <c r="J269" s="233" t="s">
        <v>3221</v>
      </c>
      <c r="K269" s="162"/>
      <c r="L269" s="241"/>
      <c r="M269" s="241"/>
      <c r="N269" s="161"/>
      <c r="O269" s="139" t="s">
        <v>585</v>
      </c>
      <c r="P269" s="40" t="s">
        <v>615</v>
      </c>
      <c r="Q269" s="229" t="s">
        <v>3225</v>
      </c>
      <c r="R269" s="201"/>
      <c r="S269" s="141" t="s">
        <v>588</v>
      </c>
      <c r="T269" s="243"/>
    </row>
    <row r="270" spans="1:20" ht="58" customHeight="1">
      <c r="A270" s="231" t="s">
        <v>2436</v>
      </c>
      <c r="B270" s="42" t="s">
        <v>1539</v>
      </c>
      <c r="C270" s="41" t="s">
        <v>1527</v>
      </c>
      <c r="D270" s="41" t="s">
        <v>535</v>
      </c>
      <c r="E270" s="200" t="s">
        <v>819</v>
      </c>
      <c r="F270" s="200" t="s">
        <v>3335</v>
      </c>
      <c r="G270" s="245" t="s">
        <v>3336</v>
      </c>
      <c r="H270" s="42" t="s">
        <v>3</v>
      </c>
      <c r="I270" s="248" t="s">
        <v>1539</v>
      </c>
      <c r="J270" s="233" t="s">
        <v>3221</v>
      </c>
      <c r="K270" s="162"/>
      <c r="L270" s="241"/>
      <c r="M270" s="241"/>
      <c r="N270" s="161"/>
      <c r="O270" s="139" t="s">
        <v>527</v>
      </c>
      <c r="P270" s="40" t="s">
        <v>534</v>
      </c>
      <c r="Q270" s="229" t="s">
        <v>3225</v>
      </c>
      <c r="R270" s="201"/>
      <c r="S270" s="141" t="s">
        <v>530</v>
      </c>
      <c r="T270" s="243"/>
    </row>
    <row r="271" spans="1:20" ht="58" customHeight="1">
      <c r="A271" s="231" t="s">
        <v>2436</v>
      </c>
      <c r="B271" s="42" t="s">
        <v>1539</v>
      </c>
      <c r="C271" s="41" t="s">
        <v>1527</v>
      </c>
      <c r="D271" s="41" t="s">
        <v>592</v>
      </c>
      <c r="E271" s="200" t="s">
        <v>844</v>
      </c>
      <c r="F271" s="200" t="s">
        <v>3368</v>
      </c>
      <c r="G271" s="245" t="s">
        <v>3357</v>
      </c>
      <c r="H271" s="42" t="s">
        <v>2</v>
      </c>
      <c r="I271" s="248" t="s">
        <v>3012</v>
      </c>
      <c r="J271" s="233" t="s">
        <v>3221</v>
      </c>
      <c r="K271" s="162"/>
      <c r="L271" s="241"/>
      <c r="M271" s="241"/>
      <c r="N271" s="161"/>
      <c r="O271" s="139" t="s">
        <v>585</v>
      </c>
      <c r="P271" s="40" t="s">
        <v>591</v>
      </c>
      <c r="Q271" s="229" t="s">
        <v>3225</v>
      </c>
      <c r="R271" s="201" t="s">
        <v>5303</v>
      </c>
      <c r="S271" s="141" t="s">
        <v>588</v>
      </c>
      <c r="T271" s="243"/>
    </row>
    <row r="272" spans="1:20" ht="58" customHeight="1">
      <c r="A272" s="231" t="s">
        <v>2436</v>
      </c>
      <c r="B272" s="42" t="s">
        <v>1539</v>
      </c>
      <c r="C272" s="41" t="s">
        <v>1527</v>
      </c>
      <c r="D272" s="41" t="s">
        <v>594</v>
      </c>
      <c r="E272" s="200" t="s">
        <v>845</v>
      </c>
      <c r="F272" s="200" t="s">
        <v>3369</v>
      </c>
      <c r="G272" s="245" t="s">
        <v>4575</v>
      </c>
      <c r="H272" s="42" t="s">
        <v>2</v>
      </c>
      <c r="I272" s="248" t="s">
        <v>3012</v>
      </c>
      <c r="J272" s="233" t="s">
        <v>3221</v>
      </c>
      <c r="K272" s="162"/>
      <c r="L272" s="241"/>
      <c r="M272" s="241"/>
      <c r="N272" s="161"/>
      <c r="O272" s="139" t="s">
        <v>585</v>
      </c>
      <c r="P272" s="40" t="s">
        <v>593</v>
      </c>
      <c r="Q272" s="229" t="s">
        <v>3225</v>
      </c>
      <c r="R272" s="201" t="s">
        <v>5303</v>
      </c>
      <c r="S272" s="141" t="s">
        <v>588</v>
      </c>
      <c r="T272" s="243"/>
    </row>
    <row r="273" spans="1:20" ht="58" customHeight="1">
      <c r="A273" s="231" t="s">
        <v>2436</v>
      </c>
      <c r="B273" s="42" t="s">
        <v>1539</v>
      </c>
      <c r="C273" s="41" t="s">
        <v>1527</v>
      </c>
      <c r="D273" s="41" t="s">
        <v>602</v>
      </c>
      <c r="E273" s="200" t="s">
        <v>849</v>
      </c>
      <c r="F273" s="200" t="s">
        <v>3375</v>
      </c>
      <c r="G273" s="245" t="s">
        <v>3376</v>
      </c>
      <c r="H273" s="42" t="s">
        <v>3</v>
      </c>
      <c r="I273" s="248" t="s">
        <v>1539</v>
      </c>
      <c r="J273" s="233" t="s">
        <v>3221</v>
      </c>
      <c r="K273" s="162"/>
      <c r="L273" s="241"/>
      <c r="M273" s="241"/>
      <c r="N273" s="161"/>
      <c r="O273" s="139" t="s">
        <v>585</v>
      </c>
      <c r="P273" s="40" t="s">
        <v>601</v>
      </c>
      <c r="Q273" s="229" t="s">
        <v>3225</v>
      </c>
      <c r="R273" s="201"/>
      <c r="S273" s="141" t="s">
        <v>588</v>
      </c>
      <c r="T273" s="243"/>
    </row>
    <row r="274" spans="1:20" ht="58" customHeight="1">
      <c r="A274" s="231" t="s">
        <v>2436</v>
      </c>
      <c r="B274" s="42" t="s">
        <v>1539</v>
      </c>
      <c r="C274" s="41" t="s">
        <v>1527</v>
      </c>
      <c r="D274" s="41" t="s">
        <v>621</v>
      </c>
      <c r="E274" s="200" t="s">
        <v>858</v>
      </c>
      <c r="F274" s="200" t="s">
        <v>3388</v>
      </c>
      <c r="G274" s="245" t="s">
        <v>3389</v>
      </c>
      <c r="H274" s="42" t="s">
        <v>3</v>
      </c>
      <c r="I274" s="248" t="s">
        <v>1539</v>
      </c>
      <c r="J274" s="233" t="s">
        <v>3221</v>
      </c>
      <c r="K274" s="162"/>
      <c r="L274" s="241"/>
      <c r="M274" s="241"/>
      <c r="N274" s="161"/>
      <c r="O274" s="139" t="s">
        <v>585</v>
      </c>
      <c r="P274" s="40" t="s">
        <v>620</v>
      </c>
      <c r="Q274" s="229" t="s">
        <v>3225</v>
      </c>
      <c r="R274" s="201"/>
      <c r="S274" s="141" t="s">
        <v>588</v>
      </c>
      <c r="T274" s="243"/>
    </row>
    <row r="275" spans="1:20" ht="58" customHeight="1">
      <c r="A275" s="231" t="s">
        <v>2436</v>
      </c>
      <c r="B275" s="42" t="s">
        <v>1539</v>
      </c>
      <c r="C275" s="41" t="s">
        <v>1529</v>
      </c>
      <c r="D275" s="41" t="s">
        <v>547</v>
      </c>
      <c r="E275" s="200" t="s">
        <v>825</v>
      </c>
      <c r="F275" s="200" t="s">
        <v>3344</v>
      </c>
      <c r="G275" s="245" t="s">
        <v>4576</v>
      </c>
      <c r="H275" s="42" t="s">
        <v>3</v>
      </c>
      <c r="I275" s="248" t="s">
        <v>1539</v>
      </c>
      <c r="J275" s="233" t="s">
        <v>3221</v>
      </c>
      <c r="K275" s="162"/>
      <c r="L275" s="241"/>
      <c r="M275" s="241"/>
      <c r="N275" s="161"/>
      <c r="O275" s="139" t="s">
        <v>527</v>
      </c>
      <c r="P275" s="40" t="s">
        <v>546</v>
      </c>
      <c r="Q275" s="229" t="s">
        <v>3225</v>
      </c>
      <c r="R275" s="201"/>
      <c r="S275" s="141" t="s">
        <v>530</v>
      </c>
      <c r="T275" s="243"/>
    </row>
    <row r="276" spans="1:20" ht="58" customHeight="1">
      <c r="A276" s="231" t="s">
        <v>2436</v>
      </c>
      <c r="B276" s="42" t="s">
        <v>1539</v>
      </c>
      <c r="C276" s="41" t="s">
        <v>1529</v>
      </c>
      <c r="D276" s="41" t="s">
        <v>553</v>
      </c>
      <c r="E276" s="200" t="s">
        <v>828</v>
      </c>
      <c r="F276" s="200" t="s">
        <v>3347</v>
      </c>
      <c r="G276" s="245" t="s">
        <v>3348</v>
      </c>
      <c r="H276" s="42" t="s">
        <v>3</v>
      </c>
      <c r="I276" s="248" t="s">
        <v>1539</v>
      </c>
      <c r="J276" s="233" t="s">
        <v>3221</v>
      </c>
      <c r="K276" s="162"/>
      <c r="L276" s="241"/>
      <c r="M276" s="241"/>
      <c r="N276" s="161"/>
      <c r="O276" s="139" t="s">
        <v>527</v>
      </c>
      <c r="P276" s="40" t="s">
        <v>552</v>
      </c>
      <c r="Q276" s="229" t="s">
        <v>3225</v>
      </c>
      <c r="R276" s="201"/>
      <c r="S276" s="141" t="s">
        <v>554</v>
      </c>
      <c r="T276" s="243"/>
    </row>
    <row r="277" spans="1:20" ht="58" customHeight="1">
      <c r="A277" s="231" t="s">
        <v>2436</v>
      </c>
      <c r="B277" s="42" t="s">
        <v>1539</v>
      </c>
      <c r="C277" s="41" t="s">
        <v>1529</v>
      </c>
      <c r="D277" s="41" t="s">
        <v>596</v>
      </c>
      <c r="E277" s="200" t="s">
        <v>846</v>
      </c>
      <c r="F277" s="200" t="s">
        <v>3370</v>
      </c>
      <c r="G277" s="245" t="s">
        <v>3371</v>
      </c>
      <c r="H277" s="42" t="s">
        <v>3</v>
      </c>
      <c r="I277" s="248" t="s">
        <v>1539</v>
      </c>
      <c r="J277" s="233" t="s">
        <v>3221</v>
      </c>
      <c r="K277" s="162"/>
      <c r="L277" s="241"/>
      <c r="M277" s="241"/>
      <c r="N277" s="161"/>
      <c r="O277" s="139" t="s">
        <v>585</v>
      </c>
      <c r="P277" s="40" t="s">
        <v>595</v>
      </c>
      <c r="Q277" s="229" t="s">
        <v>3225</v>
      </c>
      <c r="R277" s="201"/>
      <c r="S277" s="141" t="s">
        <v>588</v>
      </c>
      <c r="T277" s="243"/>
    </row>
    <row r="278" spans="1:20" ht="58" customHeight="1">
      <c r="A278" s="231" t="s">
        <v>2436</v>
      </c>
      <c r="B278" s="42" t="s">
        <v>1539</v>
      </c>
      <c r="C278" s="41" t="s">
        <v>1529</v>
      </c>
      <c r="D278" s="41" t="s">
        <v>604</v>
      </c>
      <c r="E278" s="200" t="s">
        <v>850</v>
      </c>
      <c r="F278" s="200" t="s">
        <v>3377</v>
      </c>
      <c r="G278" s="245" t="s">
        <v>3378</v>
      </c>
      <c r="H278" s="42" t="s">
        <v>3</v>
      </c>
      <c r="I278" s="248" t="s">
        <v>1539</v>
      </c>
      <c r="J278" s="233" t="s">
        <v>3221</v>
      </c>
      <c r="K278" s="162"/>
      <c r="L278" s="241"/>
      <c r="M278" s="241"/>
      <c r="N278" s="161"/>
      <c r="O278" s="139" t="s">
        <v>585</v>
      </c>
      <c r="P278" s="40" t="s">
        <v>603</v>
      </c>
      <c r="Q278" s="229" t="s">
        <v>3225</v>
      </c>
      <c r="R278" s="201"/>
      <c r="S278" s="141" t="s">
        <v>588</v>
      </c>
      <c r="T278" s="243"/>
    </row>
    <row r="279" spans="1:20" ht="58" customHeight="1">
      <c r="A279" s="231" t="s">
        <v>2436</v>
      </c>
      <c r="B279" s="42" t="s">
        <v>1539</v>
      </c>
      <c r="C279" s="41" t="s">
        <v>1529</v>
      </c>
      <c r="D279" s="41" t="s">
        <v>618</v>
      </c>
      <c r="E279" s="200" t="s">
        <v>857</v>
      </c>
      <c r="F279" s="200" t="s">
        <v>3386</v>
      </c>
      <c r="G279" s="245" t="s">
        <v>3387</v>
      </c>
      <c r="H279" s="42" t="s">
        <v>3</v>
      </c>
      <c r="I279" s="248" t="s">
        <v>1539</v>
      </c>
      <c r="J279" s="233" t="s">
        <v>3221</v>
      </c>
      <c r="K279" s="162"/>
      <c r="L279" s="241"/>
      <c r="M279" s="241"/>
      <c r="N279" s="161"/>
      <c r="O279" s="139" t="s">
        <v>585</v>
      </c>
      <c r="P279" s="40" t="s">
        <v>617</v>
      </c>
      <c r="Q279" s="229" t="s">
        <v>3225</v>
      </c>
      <c r="R279" s="201"/>
      <c r="S279" s="141" t="s">
        <v>619</v>
      </c>
      <c r="T279" s="243"/>
    </row>
    <row r="280" spans="1:20" ht="58" customHeight="1">
      <c r="A280" s="231" t="s">
        <v>2436</v>
      </c>
      <c r="B280" s="42" t="s">
        <v>1539</v>
      </c>
      <c r="C280" s="41" t="s">
        <v>1537</v>
      </c>
      <c r="D280" s="41" t="s">
        <v>557</v>
      </c>
      <c r="E280" s="200" t="s">
        <v>829</v>
      </c>
      <c r="F280" s="200" t="s">
        <v>3349</v>
      </c>
      <c r="G280" s="245" t="s">
        <v>4617</v>
      </c>
      <c r="H280" s="42" t="s">
        <v>3</v>
      </c>
      <c r="I280" s="248" t="s">
        <v>1539</v>
      </c>
      <c r="J280" s="233" t="s">
        <v>3221</v>
      </c>
      <c r="K280" s="162"/>
      <c r="L280" s="241"/>
      <c r="M280" s="241"/>
      <c r="N280" s="161"/>
      <c r="O280" s="139" t="s">
        <v>555</v>
      </c>
      <c r="P280" s="40" t="s">
        <v>556</v>
      </c>
      <c r="Q280" s="229" t="s">
        <v>3225</v>
      </c>
      <c r="R280" s="201"/>
      <c r="S280" s="141" t="s">
        <v>558</v>
      </c>
      <c r="T280" s="243" t="s">
        <v>4618</v>
      </c>
    </row>
    <row r="281" spans="1:20" ht="58" customHeight="1">
      <c r="A281" s="231" t="s">
        <v>2436</v>
      </c>
      <c r="B281" s="42" t="s">
        <v>1539</v>
      </c>
      <c r="C281" s="41" t="s">
        <v>1537</v>
      </c>
      <c r="D281" s="41" t="s">
        <v>560</v>
      </c>
      <c r="E281" s="200" t="s">
        <v>830</v>
      </c>
      <c r="F281" s="200" t="s">
        <v>3350</v>
      </c>
      <c r="G281" s="245" t="s">
        <v>4577</v>
      </c>
      <c r="H281" s="42" t="s">
        <v>3</v>
      </c>
      <c r="I281" s="248" t="s">
        <v>1539</v>
      </c>
      <c r="J281" s="233" t="s">
        <v>3221</v>
      </c>
      <c r="K281" s="162"/>
      <c r="L281" s="241"/>
      <c r="M281" s="241"/>
      <c r="N281" s="161"/>
      <c r="O281" s="139" t="s">
        <v>555</v>
      </c>
      <c r="P281" s="40" t="s">
        <v>559</v>
      </c>
      <c r="Q281" s="229" t="s">
        <v>3225</v>
      </c>
      <c r="R281" s="201"/>
      <c r="S281" s="141" t="s">
        <v>558</v>
      </c>
      <c r="T281" s="243"/>
    </row>
    <row r="282" spans="1:20" ht="58" customHeight="1">
      <c r="A282" s="231" t="s">
        <v>2436</v>
      </c>
      <c r="B282" s="42" t="s">
        <v>1539</v>
      </c>
      <c r="C282" s="41" t="s">
        <v>1537</v>
      </c>
      <c r="D282" s="41" t="s">
        <v>562</v>
      </c>
      <c r="E282" s="200" t="s">
        <v>831</v>
      </c>
      <c r="F282" s="200" t="s">
        <v>3351</v>
      </c>
      <c r="G282" s="245" t="s">
        <v>4619</v>
      </c>
      <c r="H282" s="42" t="s">
        <v>3</v>
      </c>
      <c r="I282" s="248" t="s">
        <v>1539</v>
      </c>
      <c r="J282" s="233" t="s">
        <v>3221</v>
      </c>
      <c r="K282" s="162"/>
      <c r="L282" s="241"/>
      <c r="M282" s="241"/>
      <c r="N282" s="161"/>
      <c r="O282" s="139" t="s">
        <v>555</v>
      </c>
      <c r="P282" s="40" t="s">
        <v>561</v>
      </c>
      <c r="Q282" s="229" t="s">
        <v>3225</v>
      </c>
      <c r="R282" s="201"/>
      <c r="S282" s="141" t="s">
        <v>558</v>
      </c>
      <c r="T282" s="243" t="s">
        <v>4620</v>
      </c>
    </row>
    <row r="283" spans="1:20" ht="58" customHeight="1">
      <c r="A283" s="231" t="s">
        <v>2436</v>
      </c>
      <c r="B283" s="42" t="s">
        <v>1539</v>
      </c>
      <c r="C283" s="41" t="s">
        <v>1537</v>
      </c>
      <c r="D283" s="41" t="s">
        <v>564</v>
      </c>
      <c r="E283" s="200" t="s">
        <v>832</v>
      </c>
      <c r="F283" s="200" t="s">
        <v>3352</v>
      </c>
      <c r="G283" s="245" t="s">
        <v>4578</v>
      </c>
      <c r="H283" s="42" t="s">
        <v>3</v>
      </c>
      <c r="I283" s="248" t="s">
        <v>1539</v>
      </c>
      <c r="J283" s="233" t="s">
        <v>3221</v>
      </c>
      <c r="K283" s="162"/>
      <c r="L283" s="241"/>
      <c r="M283" s="241"/>
      <c r="N283" s="161"/>
      <c r="O283" s="139" t="s">
        <v>555</v>
      </c>
      <c r="P283" s="40" t="s">
        <v>563</v>
      </c>
      <c r="Q283" s="229" t="s">
        <v>3225</v>
      </c>
      <c r="R283" s="201"/>
      <c r="S283" s="141" t="s">
        <v>558</v>
      </c>
      <c r="T283" s="243"/>
    </row>
    <row r="284" spans="1:20" ht="58" customHeight="1">
      <c r="A284" s="232" t="s">
        <v>2436</v>
      </c>
      <c r="B284" s="46" t="s">
        <v>1539</v>
      </c>
      <c r="C284" s="45" t="s">
        <v>1537</v>
      </c>
      <c r="D284" s="45" t="s">
        <v>566</v>
      </c>
      <c r="E284" s="246" t="s">
        <v>833</v>
      </c>
      <c r="F284" s="246" t="s">
        <v>3353</v>
      </c>
      <c r="G284" s="247" t="s">
        <v>4579</v>
      </c>
      <c r="H284" s="46" t="s">
        <v>3</v>
      </c>
      <c r="I284" s="249" t="s">
        <v>1539</v>
      </c>
      <c r="J284" s="234" t="s">
        <v>3221</v>
      </c>
      <c r="K284" s="162"/>
      <c r="L284" s="241"/>
      <c r="M284" s="241"/>
      <c r="N284" s="161"/>
      <c r="O284" s="140" t="s">
        <v>555</v>
      </c>
      <c r="P284" s="44" t="s">
        <v>565</v>
      </c>
      <c r="Q284" s="230" t="s">
        <v>3225</v>
      </c>
      <c r="R284" s="202"/>
      <c r="S284" s="142" t="s">
        <v>558</v>
      </c>
      <c r="T284" s="244"/>
    </row>
    <row r="285" spans="1:20" ht="58" customHeight="1">
      <c r="A285" s="232" t="s">
        <v>2436</v>
      </c>
      <c r="B285" s="46" t="s">
        <v>1539</v>
      </c>
      <c r="C285" s="45" t="s">
        <v>1537</v>
      </c>
      <c r="D285" s="45" t="s">
        <v>638</v>
      </c>
      <c r="E285" s="246" t="s">
        <v>864</v>
      </c>
      <c r="F285" s="246" t="s">
        <v>3398</v>
      </c>
      <c r="G285" s="247" t="s">
        <v>3357</v>
      </c>
      <c r="H285" s="46" t="s">
        <v>3</v>
      </c>
      <c r="I285" s="249" t="s">
        <v>1539</v>
      </c>
      <c r="J285" s="234" t="s">
        <v>3221</v>
      </c>
      <c r="K285" s="162"/>
      <c r="L285" s="241"/>
      <c r="M285" s="241"/>
      <c r="N285" s="161"/>
      <c r="O285" s="140" t="s">
        <v>624</v>
      </c>
      <c r="P285" s="44" t="s">
        <v>637</v>
      </c>
      <c r="Q285" s="230" t="s">
        <v>3225</v>
      </c>
      <c r="R285" s="202"/>
      <c r="S285" s="142" t="s">
        <v>627</v>
      </c>
      <c r="T285" s="244"/>
    </row>
    <row r="286" spans="1:20" ht="58" customHeight="1">
      <c r="A286" s="232" t="s">
        <v>2436</v>
      </c>
      <c r="B286" s="46" t="s">
        <v>1539</v>
      </c>
      <c r="C286" s="45" t="s">
        <v>1531</v>
      </c>
      <c r="D286" s="45" t="s">
        <v>529</v>
      </c>
      <c r="E286" s="246" t="s">
        <v>817</v>
      </c>
      <c r="F286" s="246" t="s">
        <v>3332</v>
      </c>
      <c r="G286" s="247" t="s">
        <v>4580</v>
      </c>
      <c r="H286" s="46" t="s">
        <v>3</v>
      </c>
      <c r="I286" s="249" t="s">
        <v>1539</v>
      </c>
      <c r="J286" s="234" t="s">
        <v>3221</v>
      </c>
      <c r="K286" s="162"/>
      <c r="L286" s="241"/>
      <c r="M286" s="241"/>
      <c r="N286" s="161"/>
      <c r="O286" s="140" t="s">
        <v>527</v>
      </c>
      <c r="P286" s="44" t="s">
        <v>528</v>
      </c>
      <c r="Q286" s="230" t="s">
        <v>3225</v>
      </c>
      <c r="R286" s="202"/>
      <c r="S286" s="142" t="s">
        <v>530</v>
      </c>
      <c r="T286" s="244"/>
    </row>
    <row r="287" spans="1:20" ht="58" customHeight="1">
      <c r="A287" s="232" t="s">
        <v>2436</v>
      </c>
      <c r="B287" s="46" t="s">
        <v>1539</v>
      </c>
      <c r="C287" s="45" t="s">
        <v>1531</v>
      </c>
      <c r="D287" s="45" t="s">
        <v>545</v>
      </c>
      <c r="E287" s="246" t="s">
        <v>824</v>
      </c>
      <c r="F287" s="246" t="s">
        <v>3343</v>
      </c>
      <c r="G287" s="247" t="s">
        <v>4581</v>
      </c>
      <c r="H287" s="46" t="s">
        <v>3</v>
      </c>
      <c r="I287" s="249" t="s">
        <v>1539</v>
      </c>
      <c r="J287" s="234" t="s">
        <v>3221</v>
      </c>
      <c r="K287" s="162"/>
      <c r="L287" s="241"/>
      <c r="M287" s="241"/>
      <c r="N287" s="161"/>
      <c r="O287" s="140" t="s">
        <v>527</v>
      </c>
      <c r="P287" s="44" t="s">
        <v>544</v>
      </c>
      <c r="Q287" s="230" t="s">
        <v>3225</v>
      </c>
      <c r="R287" s="202"/>
      <c r="S287" s="142" t="s">
        <v>530</v>
      </c>
      <c r="T287" s="244"/>
    </row>
    <row r="288" spans="1:20" ht="58" customHeight="1">
      <c r="A288" s="232" t="s">
        <v>2436</v>
      </c>
      <c r="B288" s="46" t="s">
        <v>1539</v>
      </c>
      <c r="C288" s="45" t="s">
        <v>1531</v>
      </c>
      <c r="D288" s="45" t="s">
        <v>549</v>
      </c>
      <c r="E288" s="246" t="s">
        <v>826</v>
      </c>
      <c r="F288" s="246" t="s">
        <v>3345</v>
      </c>
      <c r="G288" s="247" t="s">
        <v>4582</v>
      </c>
      <c r="H288" s="46" t="s">
        <v>3</v>
      </c>
      <c r="I288" s="249" t="s">
        <v>1539</v>
      </c>
      <c r="J288" s="234" t="s">
        <v>3221</v>
      </c>
      <c r="K288" s="162"/>
      <c r="L288" s="241"/>
      <c r="M288" s="241"/>
      <c r="N288" s="161"/>
      <c r="O288" s="140" t="s">
        <v>527</v>
      </c>
      <c r="P288" s="44" t="s">
        <v>548</v>
      </c>
      <c r="Q288" s="230" t="s">
        <v>3225</v>
      </c>
      <c r="R288" s="202"/>
      <c r="S288" s="142" t="s">
        <v>530</v>
      </c>
      <c r="T288" s="244"/>
    </row>
    <row r="289" spans="1:20" ht="58" customHeight="1">
      <c r="A289" s="232" t="s">
        <v>2436</v>
      </c>
      <c r="B289" s="46" t="s">
        <v>1539</v>
      </c>
      <c r="C289" s="45" t="s">
        <v>1531</v>
      </c>
      <c r="D289" s="45" t="s">
        <v>569</v>
      </c>
      <c r="E289" s="246" t="s">
        <v>834</v>
      </c>
      <c r="F289" s="246" t="s">
        <v>3354</v>
      </c>
      <c r="G289" s="247" t="s">
        <v>3355</v>
      </c>
      <c r="H289" s="46" t="s">
        <v>3</v>
      </c>
      <c r="I289" s="249" t="s">
        <v>1539</v>
      </c>
      <c r="J289" s="234" t="s">
        <v>3221</v>
      </c>
      <c r="K289" s="162"/>
      <c r="L289" s="241"/>
      <c r="M289" s="241"/>
      <c r="N289" s="161"/>
      <c r="O289" s="140" t="s">
        <v>567</v>
      </c>
      <c r="P289" s="44" t="s">
        <v>568</v>
      </c>
      <c r="Q289" s="230" t="s">
        <v>3225</v>
      </c>
      <c r="R289" s="202"/>
      <c r="S289" s="142" t="s">
        <v>570</v>
      </c>
      <c r="T289" s="244"/>
    </row>
    <row r="290" spans="1:20" ht="58" customHeight="1">
      <c r="A290" s="232" t="s">
        <v>2436</v>
      </c>
      <c r="B290" s="46" t="s">
        <v>1539</v>
      </c>
      <c r="C290" s="45" t="s">
        <v>1531</v>
      </c>
      <c r="D290" s="45" t="s">
        <v>629</v>
      </c>
      <c r="E290" s="246" t="s">
        <v>860</v>
      </c>
      <c r="F290" s="246" t="s">
        <v>3393</v>
      </c>
      <c r="G290" s="247" t="s">
        <v>4583</v>
      </c>
      <c r="H290" s="46" t="s">
        <v>3</v>
      </c>
      <c r="I290" s="249" t="s">
        <v>1539</v>
      </c>
      <c r="J290" s="234" t="s">
        <v>3221</v>
      </c>
      <c r="K290" s="162"/>
      <c r="L290" s="241"/>
      <c r="M290" s="241"/>
      <c r="N290" s="161"/>
      <c r="O290" s="140" t="s">
        <v>624</v>
      </c>
      <c r="P290" s="44" t="s">
        <v>628</v>
      </c>
      <c r="Q290" s="230" t="s">
        <v>3225</v>
      </c>
      <c r="R290" s="202"/>
      <c r="S290" s="142" t="s">
        <v>630</v>
      </c>
      <c r="T290" s="244"/>
    </row>
    <row r="291" spans="1:20" ht="58" customHeight="1">
      <c r="A291" s="232" t="s">
        <v>2436</v>
      </c>
      <c r="B291" s="46" t="s">
        <v>1539</v>
      </c>
      <c r="C291" s="45" t="s">
        <v>1531</v>
      </c>
      <c r="D291" s="45" t="s">
        <v>634</v>
      </c>
      <c r="E291" s="246" t="s">
        <v>862</v>
      </c>
      <c r="F291" s="246" t="s">
        <v>3396</v>
      </c>
      <c r="G291" s="247" t="s">
        <v>3357</v>
      </c>
      <c r="H291" s="46" t="s">
        <v>3</v>
      </c>
      <c r="I291" s="249" t="s">
        <v>1539</v>
      </c>
      <c r="J291" s="234" t="s">
        <v>3221</v>
      </c>
      <c r="K291" s="162"/>
      <c r="L291" s="241"/>
      <c r="M291" s="241"/>
      <c r="N291" s="161"/>
      <c r="O291" s="140" t="s">
        <v>624</v>
      </c>
      <c r="P291" s="44" t="s">
        <v>633</v>
      </c>
      <c r="Q291" s="230" t="s">
        <v>3225</v>
      </c>
      <c r="R291" s="202"/>
      <c r="S291" s="142" t="s">
        <v>627</v>
      </c>
      <c r="T291" s="244"/>
    </row>
    <row r="292" spans="1:20" ht="58" customHeight="1">
      <c r="A292" s="232" t="s">
        <v>2436</v>
      </c>
      <c r="B292" s="46" t="s">
        <v>1539</v>
      </c>
      <c r="C292" s="45" t="s">
        <v>1530</v>
      </c>
      <c r="D292" s="45" t="s">
        <v>543</v>
      </c>
      <c r="E292" s="246" t="s">
        <v>823</v>
      </c>
      <c r="F292" s="246" t="s">
        <v>3341</v>
      </c>
      <c r="G292" s="247" t="s">
        <v>3342</v>
      </c>
      <c r="H292" s="46" t="s">
        <v>3</v>
      </c>
      <c r="I292" s="249" t="s">
        <v>1539</v>
      </c>
      <c r="J292" s="234" t="s">
        <v>3221</v>
      </c>
      <c r="K292" s="162"/>
      <c r="L292" s="241"/>
      <c r="M292" s="241"/>
      <c r="N292" s="161"/>
      <c r="O292" s="140" t="s">
        <v>527</v>
      </c>
      <c r="P292" s="44" t="s">
        <v>542</v>
      </c>
      <c r="Q292" s="230" t="s">
        <v>3225</v>
      </c>
      <c r="R292" s="202" t="s">
        <v>2999</v>
      </c>
      <c r="S292" s="142" t="s">
        <v>530</v>
      </c>
      <c r="T292" s="244"/>
    </row>
    <row r="293" spans="1:20" ht="58" customHeight="1">
      <c r="A293" s="232" t="s">
        <v>2436</v>
      </c>
      <c r="B293" s="46" t="s">
        <v>1539</v>
      </c>
      <c r="C293" s="45" t="s">
        <v>1530</v>
      </c>
      <c r="D293" s="45" t="s">
        <v>623</v>
      </c>
      <c r="E293" s="246" t="s">
        <v>3802</v>
      </c>
      <c r="F293" s="246" t="s">
        <v>3390</v>
      </c>
      <c r="G293" s="247" t="s">
        <v>3803</v>
      </c>
      <c r="H293" s="46" t="s">
        <v>3</v>
      </c>
      <c r="I293" s="249" t="s">
        <v>1539</v>
      </c>
      <c r="J293" s="234" t="s">
        <v>3221</v>
      </c>
      <c r="K293" s="162"/>
      <c r="L293" s="241"/>
      <c r="M293" s="241"/>
      <c r="N293" s="161"/>
      <c r="O293" s="140" t="s">
        <v>585</v>
      </c>
      <c r="P293" s="44" t="s">
        <v>622</v>
      </c>
      <c r="Q293" s="230" t="s">
        <v>3225</v>
      </c>
      <c r="R293" s="202"/>
      <c r="S293" s="142" t="s">
        <v>588</v>
      </c>
      <c r="T293" s="244" t="s">
        <v>3804</v>
      </c>
    </row>
    <row r="294" spans="1:20" ht="58" customHeight="1">
      <c r="A294" s="232" t="s">
        <v>2436</v>
      </c>
      <c r="B294" s="46" t="s">
        <v>1539</v>
      </c>
      <c r="C294" s="45" t="s">
        <v>1532</v>
      </c>
      <c r="D294" s="45" t="s">
        <v>600</v>
      </c>
      <c r="E294" s="246" t="s">
        <v>848</v>
      </c>
      <c r="F294" s="246" t="s">
        <v>3373</v>
      </c>
      <c r="G294" s="247" t="s">
        <v>3374</v>
      </c>
      <c r="H294" s="46" t="s">
        <v>3</v>
      </c>
      <c r="I294" s="249" t="s">
        <v>1539</v>
      </c>
      <c r="J294" s="234" t="s">
        <v>3221</v>
      </c>
      <c r="K294" s="162"/>
      <c r="L294" s="241"/>
      <c r="M294" s="241"/>
      <c r="N294" s="161"/>
      <c r="O294" s="140" t="s">
        <v>585</v>
      </c>
      <c r="P294" s="44" t="s">
        <v>599</v>
      </c>
      <c r="Q294" s="230" t="s">
        <v>3225</v>
      </c>
      <c r="R294" s="202"/>
      <c r="S294" s="142" t="s">
        <v>588</v>
      </c>
      <c r="T294" s="244"/>
    </row>
    <row r="295" spans="1:20" ht="58" customHeight="1">
      <c r="A295" s="232" t="s">
        <v>2436</v>
      </c>
      <c r="B295" s="46" t="s">
        <v>1539</v>
      </c>
      <c r="C295" s="45" t="s">
        <v>1532</v>
      </c>
      <c r="D295" s="45" t="s">
        <v>610</v>
      </c>
      <c r="E295" s="246" t="s">
        <v>853</v>
      </c>
      <c r="F295" s="246" t="s">
        <v>3382</v>
      </c>
      <c r="G295" s="247" t="s">
        <v>4584</v>
      </c>
      <c r="H295" s="46" t="s">
        <v>3</v>
      </c>
      <c r="I295" s="249" t="s">
        <v>1539</v>
      </c>
      <c r="J295" s="234" t="s">
        <v>3221</v>
      </c>
      <c r="K295" s="162"/>
      <c r="L295" s="241"/>
      <c r="M295" s="241"/>
      <c r="N295" s="161"/>
      <c r="O295" s="140" t="s">
        <v>585</v>
      </c>
      <c r="P295" s="44" t="s">
        <v>609</v>
      </c>
      <c r="Q295" s="230" t="s">
        <v>3225</v>
      </c>
      <c r="R295" s="202"/>
      <c r="S295" s="142" t="s">
        <v>588</v>
      </c>
      <c r="T295" s="244"/>
    </row>
    <row r="296" spans="1:20" ht="58" customHeight="1">
      <c r="A296" s="232" t="s">
        <v>2436</v>
      </c>
      <c r="B296" s="46" t="s">
        <v>1539</v>
      </c>
      <c r="C296" s="45" t="s">
        <v>1532</v>
      </c>
      <c r="D296" s="45" t="s">
        <v>612</v>
      </c>
      <c r="E296" s="246" t="s">
        <v>854</v>
      </c>
      <c r="F296" s="246" t="s">
        <v>3383</v>
      </c>
      <c r="G296" s="247" t="s">
        <v>3357</v>
      </c>
      <c r="H296" s="46" t="s">
        <v>3</v>
      </c>
      <c r="I296" s="249" t="s">
        <v>1539</v>
      </c>
      <c r="J296" s="234" t="s">
        <v>3221</v>
      </c>
      <c r="K296" s="162"/>
      <c r="L296" s="241"/>
      <c r="M296" s="241"/>
      <c r="N296" s="161"/>
      <c r="O296" s="140" t="s">
        <v>585</v>
      </c>
      <c r="P296" s="44" t="s">
        <v>611</v>
      </c>
      <c r="Q296" s="230" t="s">
        <v>3225</v>
      </c>
      <c r="R296" s="202"/>
      <c r="S296" s="142" t="s">
        <v>588</v>
      </c>
      <c r="T296" s="244"/>
    </row>
    <row r="297" spans="1:20" ht="58" customHeight="1">
      <c r="A297" s="232" t="s">
        <v>2436</v>
      </c>
      <c r="B297" s="46" t="s">
        <v>1539</v>
      </c>
      <c r="C297" s="45" t="s">
        <v>1532</v>
      </c>
      <c r="D297" s="45" t="s">
        <v>614</v>
      </c>
      <c r="E297" s="246" t="s">
        <v>855</v>
      </c>
      <c r="F297" s="246" t="s">
        <v>3384</v>
      </c>
      <c r="G297" s="247" t="s">
        <v>3357</v>
      </c>
      <c r="H297" s="46" t="s">
        <v>3</v>
      </c>
      <c r="I297" s="249" t="s">
        <v>1539</v>
      </c>
      <c r="J297" s="234" t="s">
        <v>3221</v>
      </c>
      <c r="K297" s="162"/>
      <c r="L297" s="241"/>
      <c r="M297" s="241"/>
      <c r="N297" s="161"/>
      <c r="O297" s="140" t="s">
        <v>585</v>
      </c>
      <c r="P297" s="44" t="s">
        <v>613</v>
      </c>
      <c r="Q297" s="230" t="s">
        <v>3225</v>
      </c>
      <c r="R297" s="202"/>
      <c r="S297" s="142" t="s">
        <v>588</v>
      </c>
      <c r="T297" s="244"/>
    </row>
    <row r="298" spans="1:20" ht="58" customHeight="1">
      <c r="A298" s="232" t="s">
        <v>2436</v>
      </c>
      <c r="B298" s="46" t="s">
        <v>1539</v>
      </c>
      <c r="C298" s="45" t="s">
        <v>1532</v>
      </c>
      <c r="D298" s="45" t="s">
        <v>642</v>
      </c>
      <c r="E298" s="246" t="s">
        <v>866</v>
      </c>
      <c r="F298" s="246" t="s">
        <v>3401</v>
      </c>
      <c r="G298" s="247" t="s">
        <v>3357</v>
      </c>
      <c r="H298" s="46" t="s">
        <v>3</v>
      </c>
      <c r="I298" s="249" t="s">
        <v>1539</v>
      </c>
      <c r="J298" s="234" t="s">
        <v>3221</v>
      </c>
      <c r="K298" s="162"/>
      <c r="L298" s="241"/>
      <c r="M298" s="241"/>
      <c r="N298" s="161"/>
      <c r="O298" s="140" t="s">
        <v>624</v>
      </c>
      <c r="P298" s="44" t="s">
        <v>641</v>
      </c>
      <c r="Q298" s="230" t="s">
        <v>3225</v>
      </c>
      <c r="R298" s="202"/>
      <c r="S298" s="142" t="s">
        <v>627</v>
      </c>
      <c r="T298" s="244"/>
    </row>
    <row r="299" spans="1:20" ht="58" customHeight="1">
      <c r="A299" s="232" t="s">
        <v>2436</v>
      </c>
      <c r="B299" s="46" t="s">
        <v>1539</v>
      </c>
      <c r="C299" s="45" t="s">
        <v>1532</v>
      </c>
      <c r="D299" s="45" t="s">
        <v>654</v>
      </c>
      <c r="E299" s="246" t="s">
        <v>870</v>
      </c>
      <c r="F299" s="246" t="s">
        <v>3407</v>
      </c>
      <c r="G299" s="247" t="s">
        <v>4621</v>
      </c>
      <c r="H299" s="46" t="s">
        <v>3</v>
      </c>
      <c r="I299" s="249" t="s">
        <v>1539</v>
      </c>
      <c r="J299" s="234" t="s">
        <v>3221</v>
      </c>
      <c r="K299" s="162"/>
      <c r="L299" s="241"/>
      <c r="M299" s="241"/>
      <c r="N299" s="161"/>
      <c r="O299" s="140" t="s">
        <v>643</v>
      </c>
      <c r="P299" s="44" t="s">
        <v>653</v>
      </c>
      <c r="Q299" s="230" t="s">
        <v>3225</v>
      </c>
      <c r="R299" s="202"/>
      <c r="S299" s="142" t="s">
        <v>649</v>
      </c>
      <c r="T299" s="244" t="s">
        <v>4622</v>
      </c>
    </row>
    <row r="300" spans="1:20" ht="58" customHeight="1">
      <c r="A300" s="232" t="s">
        <v>2436</v>
      </c>
      <c r="B300" s="46" t="s">
        <v>1539</v>
      </c>
      <c r="C300" s="45" t="s">
        <v>1534</v>
      </c>
      <c r="D300" s="45" t="s">
        <v>582</v>
      </c>
      <c r="E300" s="246" t="s">
        <v>840</v>
      </c>
      <c r="F300" s="246" t="s">
        <v>3362</v>
      </c>
      <c r="G300" s="247" t="s">
        <v>3363</v>
      </c>
      <c r="H300" s="46" t="s">
        <v>3</v>
      </c>
      <c r="I300" s="249" t="s">
        <v>1539</v>
      </c>
      <c r="J300" s="234" t="s">
        <v>3221</v>
      </c>
      <c r="K300" s="162"/>
      <c r="L300" s="241"/>
      <c r="M300" s="241"/>
      <c r="N300" s="161"/>
      <c r="O300" s="140" t="s">
        <v>567</v>
      </c>
      <c r="P300" s="44" t="s">
        <v>581</v>
      </c>
      <c r="Q300" s="230" t="s">
        <v>3225</v>
      </c>
      <c r="R300" s="202"/>
      <c r="S300" s="142" t="s">
        <v>570</v>
      </c>
      <c r="T300" s="244"/>
    </row>
    <row r="301" spans="1:20" ht="58" customHeight="1">
      <c r="A301" s="232" t="s">
        <v>2436</v>
      </c>
      <c r="B301" s="46" t="s">
        <v>1539</v>
      </c>
      <c r="C301" s="45" t="s">
        <v>1534</v>
      </c>
      <c r="D301" s="45" t="s">
        <v>651</v>
      </c>
      <c r="E301" s="246" t="s">
        <v>869</v>
      </c>
      <c r="F301" s="246" t="s">
        <v>3406</v>
      </c>
      <c r="G301" s="247" t="s">
        <v>4623</v>
      </c>
      <c r="H301" s="46" t="s">
        <v>3</v>
      </c>
      <c r="I301" s="249" t="s">
        <v>1539</v>
      </c>
      <c r="J301" s="234" t="s">
        <v>3221</v>
      </c>
      <c r="K301" s="162"/>
      <c r="L301" s="241"/>
      <c r="M301" s="241"/>
      <c r="N301" s="161"/>
      <c r="O301" s="140" t="s">
        <v>643</v>
      </c>
      <c r="P301" s="44" t="s">
        <v>650</v>
      </c>
      <c r="Q301" s="230" t="s">
        <v>3225</v>
      </c>
      <c r="R301" s="202"/>
      <c r="S301" s="142" t="s">
        <v>652</v>
      </c>
      <c r="T301" s="244" t="s">
        <v>4624</v>
      </c>
    </row>
    <row r="302" spans="1:20" ht="58" customHeight="1">
      <c r="A302" s="232" t="s">
        <v>2436</v>
      </c>
      <c r="B302" s="46" t="s">
        <v>1539</v>
      </c>
      <c r="C302" s="45" t="s">
        <v>1533</v>
      </c>
      <c r="D302" s="45" t="s">
        <v>551</v>
      </c>
      <c r="E302" s="246" t="s">
        <v>827</v>
      </c>
      <c r="F302" s="246" t="s">
        <v>3346</v>
      </c>
      <c r="G302" s="247" t="s">
        <v>4585</v>
      </c>
      <c r="H302" s="46" t="s">
        <v>3</v>
      </c>
      <c r="I302" s="249" t="s">
        <v>1539</v>
      </c>
      <c r="J302" s="234" t="s">
        <v>3221</v>
      </c>
      <c r="K302" s="162"/>
      <c r="L302" s="241"/>
      <c r="M302" s="241"/>
      <c r="N302" s="161"/>
      <c r="O302" s="140" t="s">
        <v>527</v>
      </c>
      <c r="P302" s="44" t="s">
        <v>550</v>
      </c>
      <c r="Q302" s="230" t="s">
        <v>3225</v>
      </c>
      <c r="R302" s="202"/>
      <c r="S302" s="142" t="s">
        <v>530</v>
      </c>
      <c r="T302" s="244"/>
    </row>
    <row r="303" spans="1:20" ht="58" customHeight="1">
      <c r="A303" s="232" t="s">
        <v>2436</v>
      </c>
      <c r="B303" s="46" t="s">
        <v>1539</v>
      </c>
      <c r="C303" s="45" t="s">
        <v>1533</v>
      </c>
      <c r="D303" s="45" t="s">
        <v>598</v>
      </c>
      <c r="E303" s="246" t="s">
        <v>847</v>
      </c>
      <c r="F303" s="246" t="s">
        <v>3372</v>
      </c>
      <c r="G303" s="247" t="s">
        <v>4586</v>
      </c>
      <c r="H303" s="46" t="s">
        <v>3</v>
      </c>
      <c r="I303" s="249" t="s">
        <v>1539</v>
      </c>
      <c r="J303" s="234" t="s">
        <v>3221</v>
      </c>
      <c r="K303" s="162"/>
      <c r="L303" s="241"/>
      <c r="M303" s="241"/>
      <c r="N303" s="161"/>
      <c r="O303" s="140" t="s">
        <v>585</v>
      </c>
      <c r="P303" s="44" t="s">
        <v>597</v>
      </c>
      <c r="Q303" s="230" t="s">
        <v>3225</v>
      </c>
      <c r="R303" s="202"/>
      <c r="S303" s="142" t="s">
        <v>588</v>
      </c>
      <c r="T303" s="244"/>
    </row>
    <row r="304" spans="1:20" ht="58" customHeight="1">
      <c r="A304" s="232" t="s">
        <v>2436</v>
      </c>
      <c r="B304" s="46" t="s">
        <v>1539</v>
      </c>
      <c r="C304" s="45" t="s">
        <v>1533</v>
      </c>
      <c r="D304" s="45" t="s">
        <v>626</v>
      </c>
      <c r="E304" s="246" t="s">
        <v>859</v>
      </c>
      <c r="F304" s="246" t="s">
        <v>3391</v>
      </c>
      <c r="G304" s="247" t="s">
        <v>3392</v>
      </c>
      <c r="H304" s="46" t="s">
        <v>3</v>
      </c>
      <c r="I304" s="249" t="s">
        <v>1539</v>
      </c>
      <c r="J304" s="234" t="s">
        <v>3221</v>
      </c>
      <c r="K304" s="162"/>
      <c r="L304" s="241"/>
      <c r="M304" s="241"/>
      <c r="N304" s="161"/>
      <c r="O304" s="140" t="s">
        <v>624</v>
      </c>
      <c r="P304" s="44" t="s">
        <v>625</v>
      </c>
      <c r="Q304" s="230" t="s">
        <v>3225</v>
      </c>
      <c r="R304" s="202"/>
      <c r="S304" s="142" t="s">
        <v>627</v>
      </c>
      <c r="T304" s="244"/>
    </row>
    <row r="305" spans="1:20" ht="58" customHeight="1">
      <c r="A305" s="232" t="s">
        <v>2436</v>
      </c>
      <c r="B305" s="46" t="s">
        <v>1539</v>
      </c>
      <c r="C305" s="45" t="s">
        <v>1533</v>
      </c>
      <c r="D305" s="45" t="s">
        <v>636</v>
      </c>
      <c r="E305" s="246" t="s">
        <v>863</v>
      </c>
      <c r="F305" s="246" t="s">
        <v>3397</v>
      </c>
      <c r="G305" s="247" t="s">
        <v>4587</v>
      </c>
      <c r="H305" s="46" t="s">
        <v>3</v>
      </c>
      <c r="I305" s="249" t="s">
        <v>1539</v>
      </c>
      <c r="J305" s="234" t="s">
        <v>3221</v>
      </c>
      <c r="K305" s="162"/>
      <c r="L305" s="241"/>
      <c r="M305" s="241"/>
      <c r="N305" s="161"/>
      <c r="O305" s="140" t="s">
        <v>624</v>
      </c>
      <c r="P305" s="44" t="s">
        <v>635</v>
      </c>
      <c r="Q305" s="230" t="s">
        <v>3225</v>
      </c>
      <c r="R305" s="202"/>
      <c r="S305" s="142" t="s">
        <v>627</v>
      </c>
      <c r="T305" s="244"/>
    </row>
    <row r="306" spans="1:20" ht="58" customHeight="1">
      <c r="A306" s="232" t="s">
        <v>2436</v>
      </c>
      <c r="B306" s="46" t="s">
        <v>1539</v>
      </c>
      <c r="C306" s="45" t="s">
        <v>1533</v>
      </c>
      <c r="D306" s="45" t="s">
        <v>640</v>
      </c>
      <c r="E306" s="246" t="s">
        <v>865</v>
      </c>
      <c r="F306" s="246" t="s">
        <v>3399</v>
      </c>
      <c r="G306" s="247" t="s">
        <v>3400</v>
      </c>
      <c r="H306" s="46" t="s">
        <v>3</v>
      </c>
      <c r="I306" s="249" t="s">
        <v>1539</v>
      </c>
      <c r="J306" s="234" t="s">
        <v>3221</v>
      </c>
      <c r="K306" s="162"/>
      <c r="L306" s="241"/>
      <c r="M306" s="241"/>
      <c r="N306" s="161"/>
      <c r="O306" s="140" t="s">
        <v>624</v>
      </c>
      <c r="P306" s="44" t="s">
        <v>639</v>
      </c>
      <c r="Q306" s="230" t="s">
        <v>3225</v>
      </c>
      <c r="R306" s="202"/>
      <c r="S306" s="142" t="s">
        <v>627</v>
      </c>
      <c r="T306" s="244"/>
    </row>
    <row r="307" spans="1:20" ht="58" customHeight="1">
      <c r="A307" s="232" t="s">
        <v>2436</v>
      </c>
      <c r="B307" s="46" t="s">
        <v>1539</v>
      </c>
      <c r="C307" s="45" t="s">
        <v>1533</v>
      </c>
      <c r="D307" s="45" t="s">
        <v>657</v>
      </c>
      <c r="E307" s="246" t="s">
        <v>871</v>
      </c>
      <c r="F307" s="246" t="s">
        <v>3408</v>
      </c>
      <c r="G307" s="247" t="s">
        <v>3409</v>
      </c>
      <c r="H307" s="46" t="s">
        <v>3</v>
      </c>
      <c r="I307" s="249" t="s">
        <v>1539</v>
      </c>
      <c r="J307" s="234" t="s">
        <v>3221</v>
      </c>
      <c r="K307" s="162"/>
      <c r="L307" s="241"/>
      <c r="M307" s="241"/>
      <c r="N307" s="161"/>
      <c r="O307" s="140" t="s">
        <v>655</v>
      </c>
      <c r="P307" s="44" t="s">
        <v>656</v>
      </c>
      <c r="Q307" s="230" t="s">
        <v>3225</v>
      </c>
      <c r="R307" s="202"/>
      <c r="S307" s="142" t="s">
        <v>658</v>
      </c>
      <c r="T307" s="244"/>
    </row>
    <row r="308" spans="1:20" ht="58" customHeight="1">
      <c r="A308" s="232" t="s">
        <v>2436</v>
      </c>
      <c r="B308" s="46" t="s">
        <v>1539</v>
      </c>
      <c r="C308" s="45" t="s">
        <v>1533</v>
      </c>
      <c r="D308" s="45" t="s">
        <v>660</v>
      </c>
      <c r="E308" s="246" t="s">
        <v>872</v>
      </c>
      <c r="F308" s="246" t="s">
        <v>3410</v>
      </c>
      <c r="G308" s="247" t="s">
        <v>3411</v>
      </c>
      <c r="H308" s="46" t="s">
        <v>958</v>
      </c>
      <c r="I308" s="249" t="s">
        <v>1539</v>
      </c>
      <c r="J308" s="234" t="s">
        <v>3221</v>
      </c>
      <c r="K308" s="162"/>
      <c r="L308" s="241"/>
      <c r="M308" s="241"/>
      <c r="N308" s="161"/>
      <c r="O308" s="140" t="s">
        <v>655</v>
      </c>
      <c r="P308" s="44" t="s">
        <v>659</v>
      </c>
      <c r="Q308" s="230" t="s">
        <v>3225</v>
      </c>
      <c r="R308" s="202"/>
      <c r="S308" s="142" t="s">
        <v>658</v>
      </c>
      <c r="T308" s="244"/>
    </row>
    <row r="309" spans="1:20" ht="58" customHeight="1">
      <c r="A309" s="232" t="s">
        <v>2436</v>
      </c>
      <c r="B309" s="46" t="s">
        <v>1539</v>
      </c>
      <c r="C309" s="45" t="s">
        <v>1533</v>
      </c>
      <c r="D309" s="45" t="s">
        <v>662</v>
      </c>
      <c r="E309" s="246" t="s">
        <v>873</v>
      </c>
      <c r="F309" s="246" t="s">
        <v>3412</v>
      </c>
      <c r="G309" s="247" t="s">
        <v>3413</v>
      </c>
      <c r="H309" s="46" t="s">
        <v>3</v>
      </c>
      <c r="I309" s="249" t="s">
        <v>1539</v>
      </c>
      <c r="J309" s="234" t="s">
        <v>3221</v>
      </c>
      <c r="K309" s="162"/>
      <c r="L309" s="241"/>
      <c r="M309" s="241"/>
      <c r="N309" s="161"/>
      <c r="O309" s="140" t="s">
        <v>655</v>
      </c>
      <c r="P309" s="44" t="s">
        <v>661</v>
      </c>
      <c r="Q309" s="230" t="s">
        <v>3225</v>
      </c>
      <c r="R309" s="202"/>
      <c r="S309" s="142" t="s">
        <v>658</v>
      </c>
      <c r="T309" s="244"/>
    </row>
    <row r="310" spans="1:20" ht="58" customHeight="1">
      <c r="A310" s="232" t="s">
        <v>2436</v>
      </c>
      <c r="B310" s="46" t="s">
        <v>1539</v>
      </c>
      <c r="C310" s="45" t="s">
        <v>1535</v>
      </c>
      <c r="D310" s="45" t="s">
        <v>632</v>
      </c>
      <c r="E310" s="246" t="s">
        <v>861</v>
      </c>
      <c r="F310" s="246" t="s">
        <v>3394</v>
      </c>
      <c r="G310" s="247" t="s">
        <v>3395</v>
      </c>
      <c r="H310" s="46" t="s">
        <v>3</v>
      </c>
      <c r="I310" s="249" t="s">
        <v>1539</v>
      </c>
      <c r="J310" s="234" t="s">
        <v>3221</v>
      </c>
      <c r="K310" s="162"/>
      <c r="L310" s="241"/>
      <c r="M310" s="241"/>
      <c r="N310" s="161"/>
      <c r="O310" s="140" t="s">
        <v>624</v>
      </c>
      <c r="P310" s="44" t="s">
        <v>631</v>
      </c>
      <c r="Q310" s="230" t="s">
        <v>3225</v>
      </c>
      <c r="R310" s="202"/>
      <c r="S310" s="142" t="s">
        <v>627</v>
      </c>
      <c r="T310" s="244"/>
    </row>
    <row r="311" spans="1:20" ht="58" customHeight="1">
      <c r="A311" s="232" t="s">
        <v>2436</v>
      </c>
      <c r="B311" s="46" t="s">
        <v>1539</v>
      </c>
      <c r="C311" s="45" t="s">
        <v>1540</v>
      </c>
      <c r="D311" s="45" t="s">
        <v>572</v>
      </c>
      <c r="E311" s="246" t="s">
        <v>835</v>
      </c>
      <c r="F311" s="246" t="s">
        <v>3356</v>
      </c>
      <c r="G311" s="247" t="s">
        <v>3357</v>
      </c>
      <c r="H311" s="46" t="s">
        <v>3</v>
      </c>
      <c r="I311" s="249" t="s">
        <v>1539</v>
      </c>
      <c r="J311" s="234" t="s">
        <v>3221</v>
      </c>
      <c r="K311" s="162"/>
      <c r="L311" s="241"/>
      <c r="M311" s="241"/>
      <c r="N311" s="161"/>
      <c r="O311" s="140" t="s">
        <v>567</v>
      </c>
      <c r="P311" s="44" t="s">
        <v>571</v>
      </c>
      <c r="Q311" s="230" t="s">
        <v>3225</v>
      </c>
      <c r="R311" s="202"/>
      <c r="S311" s="142" t="s">
        <v>570</v>
      </c>
      <c r="T311" s="244"/>
    </row>
    <row r="312" spans="1:20" ht="58" customHeight="1">
      <c r="A312" s="232" t="s">
        <v>2436</v>
      </c>
      <c r="B312" s="46" t="s">
        <v>1539</v>
      </c>
      <c r="C312" s="45" t="s">
        <v>1540</v>
      </c>
      <c r="D312" s="45" t="s">
        <v>574</v>
      </c>
      <c r="E312" s="246" t="s">
        <v>836</v>
      </c>
      <c r="F312" s="246" t="s">
        <v>3358</v>
      </c>
      <c r="G312" s="247" t="s">
        <v>4588</v>
      </c>
      <c r="H312" s="46" t="s">
        <v>3</v>
      </c>
      <c r="I312" s="249" t="s">
        <v>1539</v>
      </c>
      <c r="J312" s="234" t="s">
        <v>3221</v>
      </c>
      <c r="K312" s="162"/>
      <c r="L312" s="241"/>
      <c r="M312" s="241"/>
      <c r="N312" s="161"/>
      <c r="O312" s="140" t="s">
        <v>567</v>
      </c>
      <c r="P312" s="44" t="s">
        <v>573</v>
      </c>
      <c r="Q312" s="230" t="s">
        <v>3225</v>
      </c>
      <c r="R312" s="202"/>
      <c r="S312" s="142" t="s">
        <v>570</v>
      </c>
      <c r="T312" s="244"/>
    </row>
    <row r="313" spans="1:20" ht="58" customHeight="1">
      <c r="A313" s="232" t="s">
        <v>2436</v>
      </c>
      <c r="B313" s="46" t="s">
        <v>1539</v>
      </c>
      <c r="C313" s="45" t="s">
        <v>1540</v>
      </c>
      <c r="D313" s="45" t="s">
        <v>576</v>
      </c>
      <c r="E313" s="246" t="s">
        <v>837</v>
      </c>
      <c r="F313" s="246" t="s">
        <v>3359</v>
      </c>
      <c r="G313" s="247" t="s">
        <v>3357</v>
      </c>
      <c r="H313" s="46" t="s">
        <v>3</v>
      </c>
      <c r="I313" s="249" t="s">
        <v>1539</v>
      </c>
      <c r="J313" s="234" t="s">
        <v>3221</v>
      </c>
      <c r="K313" s="162"/>
      <c r="L313" s="241"/>
      <c r="M313" s="241"/>
      <c r="N313" s="161"/>
      <c r="O313" s="140" t="s">
        <v>567</v>
      </c>
      <c r="P313" s="44" t="s">
        <v>575</v>
      </c>
      <c r="Q313" s="230" t="s">
        <v>3225</v>
      </c>
      <c r="R313" s="202"/>
      <c r="S313" s="142" t="s">
        <v>570</v>
      </c>
      <c r="T313" s="244"/>
    </row>
    <row r="314" spans="1:20" ht="58" customHeight="1">
      <c r="A314" s="232" t="s">
        <v>2436</v>
      </c>
      <c r="B314" s="46" t="s">
        <v>1539</v>
      </c>
      <c r="C314" s="45" t="s">
        <v>1540</v>
      </c>
      <c r="D314" s="45" t="s">
        <v>578</v>
      </c>
      <c r="E314" s="246" t="s">
        <v>838</v>
      </c>
      <c r="F314" s="246" t="s">
        <v>3360</v>
      </c>
      <c r="G314" s="247" t="s">
        <v>3357</v>
      </c>
      <c r="H314" s="46" t="s">
        <v>3</v>
      </c>
      <c r="I314" s="249" t="s">
        <v>1539</v>
      </c>
      <c r="J314" s="234" t="s">
        <v>3221</v>
      </c>
      <c r="K314" s="162"/>
      <c r="L314" s="241"/>
      <c r="M314" s="241"/>
      <c r="N314" s="161"/>
      <c r="O314" s="140" t="s">
        <v>567</v>
      </c>
      <c r="P314" s="44" t="s">
        <v>577</v>
      </c>
      <c r="Q314" s="230" t="s">
        <v>3225</v>
      </c>
      <c r="R314" s="202"/>
      <c r="S314" s="142" t="s">
        <v>570</v>
      </c>
      <c r="T314" s="244"/>
    </row>
    <row r="315" spans="1:20" ht="58" customHeight="1">
      <c r="A315" s="232" t="s">
        <v>2436</v>
      </c>
      <c r="B315" s="46" t="s">
        <v>1539</v>
      </c>
      <c r="C315" s="45" t="s">
        <v>1540</v>
      </c>
      <c r="D315" s="45" t="s">
        <v>580</v>
      </c>
      <c r="E315" s="246" t="s">
        <v>839</v>
      </c>
      <c r="F315" s="246" t="s">
        <v>3361</v>
      </c>
      <c r="G315" s="247" t="s">
        <v>3357</v>
      </c>
      <c r="H315" s="46" t="s">
        <v>3</v>
      </c>
      <c r="I315" s="249" t="s">
        <v>1539</v>
      </c>
      <c r="J315" s="234" t="s">
        <v>3221</v>
      </c>
      <c r="K315" s="162"/>
      <c r="L315" s="241"/>
      <c r="M315" s="241"/>
      <c r="N315" s="161"/>
      <c r="O315" s="140" t="s">
        <v>567</v>
      </c>
      <c r="P315" s="44" t="s">
        <v>579</v>
      </c>
      <c r="Q315" s="230" t="s">
        <v>3225</v>
      </c>
      <c r="R315" s="202"/>
      <c r="S315" s="142" t="s">
        <v>570</v>
      </c>
      <c r="T315" s="244"/>
    </row>
    <row r="316" spans="1:20" ht="58" customHeight="1">
      <c r="A316" s="232" t="s">
        <v>2436</v>
      </c>
      <c r="B316" s="46" t="s">
        <v>1539</v>
      </c>
      <c r="C316" s="45" t="s">
        <v>1540</v>
      </c>
      <c r="D316" s="45" t="s">
        <v>645</v>
      </c>
      <c r="E316" s="246" t="s">
        <v>867</v>
      </c>
      <c r="F316" s="246" t="s">
        <v>3402</v>
      </c>
      <c r="G316" s="247" t="s">
        <v>3403</v>
      </c>
      <c r="H316" s="46" t="s">
        <v>3</v>
      </c>
      <c r="I316" s="249" t="s">
        <v>1539</v>
      </c>
      <c r="J316" s="234" t="s">
        <v>3221</v>
      </c>
      <c r="K316" s="162"/>
      <c r="L316" s="241"/>
      <c r="M316" s="241"/>
      <c r="N316" s="161"/>
      <c r="O316" s="140" t="s">
        <v>643</v>
      </c>
      <c r="P316" s="44" t="s">
        <v>644</v>
      </c>
      <c r="Q316" s="230" t="s">
        <v>3225</v>
      </c>
      <c r="R316" s="202"/>
      <c r="S316" s="142" t="s">
        <v>646</v>
      </c>
      <c r="T316" s="244"/>
    </row>
    <row r="317" spans="1:20" ht="58" customHeight="1">
      <c r="A317" s="232" t="s">
        <v>2436</v>
      </c>
      <c r="B317" s="46" t="s">
        <v>1539</v>
      </c>
      <c r="C317" s="45" t="s">
        <v>1540</v>
      </c>
      <c r="D317" s="45" t="s">
        <v>648</v>
      </c>
      <c r="E317" s="246" t="s">
        <v>868</v>
      </c>
      <c r="F317" s="246" t="s">
        <v>3404</v>
      </c>
      <c r="G317" s="247" t="s">
        <v>3405</v>
      </c>
      <c r="H317" s="46" t="s">
        <v>1522</v>
      </c>
      <c r="I317" s="249" t="s">
        <v>1539</v>
      </c>
      <c r="J317" s="234" t="s">
        <v>3221</v>
      </c>
      <c r="K317" s="162"/>
      <c r="L317" s="241"/>
      <c r="M317" s="241"/>
      <c r="N317" s="161"/>
      <c r="O317" s="140" t="s">
        <v>643</v>
      </c>
      <c r="P317" s="44" t="s">
        <v>647</v>
      </c>
      <c r="Q317" s="230" t="s">
        <v>3225</v>
      </c>
      <c r="R317" s="202"/>
      <c r="S317" s="142" t="s">
        <v>649</v>
      </c>
      <c r="T317" s="244" t="s">
        <v>4625</v>
      </c>
    </row>
    <row r="318" spans="1:20" ht="58" customHeight="1">
      <c r="A318" s="232" t="s">
        <v>2436</v>
      </c>
      <c r="B318" s="46" t="s">
        <v>1539</v>
      </c>
      <c r="C318" s="45" t="s">
        <v>1540</v>
      </c>
      <c r="D318" s="45" t="s">
        <v>664</v>
      </c>
      <c r="E318" s="246" t="s">
        <v>874</v>
      </c>
      <c r="F318" s="246" t="s">
        <v>3414</v>
      </c>
      <c r="G318" s="247" t="s">
        <v>3357</v>
      </c>
      <c r="H318" s="46" t="s">
        <v>3</v>
      </c>
      <c r="I318" s="249" t="s">
        <v>1539</v>
      </c>
      <c r="J318" s="234" t="s">
        <v>3221</v>
      </c>
      <c r="K318" s="162"/>
      <c r="L318" s="241"/>
      <c r="M318" s="241"/>
      <c r="N318" s="161"/>
      <c r="O318" s="140" t="s">
        <v>655</v>
      </c>
      <c r="P318" s="44" t="s">
        <v>663</v>
      </c>
      <c r="Q318" s="230" t="s">
        <v>3225</v>
      </c>
      <c r="R318" s="202"/>
      <c r="S318" s="142" t="s">
        <v>658</v>
      </c>
      <c r="T318" s="244"/>
    </row>
    <row r="319" spans="1:20" ht="58" customHeight="1">
      <c r="A319" s="232" t="s">
        <v>2436</v>
      </c>
      <c r="B319" s="46" t="s">
        <v>1539</v>
      </c>
      <c r="C319" s="45" t="s">
        <v>1530</v>
      </c>
      <c r="D319" s="45" t="s">
        <v>4796</v>
      </c>
      <c r="E319" s="246" t="s">
        <v>4797</v>
      </c>
      <c r="F319" s="246" t="s">
        <v>4798</v>
      </c>
      <c r="G319" s="247" t="s">
        <v>4799</v>
      </c>
      <c r="H319" s="46" t="s">
        <v>2</v>
      </c>
      <c r="I319" s="249" t="s">
        <v>1539</v>
      </c>
      <c r="J319" s="234" t="s">
        <v>3221</v>
      </c>
      <c r="K319" s="162" t="s">
        <v>958</v>
      </c>
      <c r="L319" s="241"/>
      <c r="M319" s="241"/>
      <c r="N319" s="161"/>
      <c r="O319" s="140" t="s">
        <v>4800</v>
      </c>
      <c r="P319" s="44" t="s">
        <v>4801</v>
      </c>
      <c r="Q319" s="230" t="s">
        <v>4802</v>
      </c>
      <c r="R319" s="202" t="s">
        <v>4803</v>
      </c>
      <c r="S319" s="142" t="s">
        <v>4804</v>
      </c>
      <c r="T319" s="244"/>
    </row>
    <row r="320" spans="1:20" ht="58" customHeight="1">
      <c r="A320" s="232" t="s">
        <v>2436</v>
      </c>
      <c r="B320" s="46" t="s">
        <v>1539</v>
      </c>
      <c r="C320" s="45" t="s">
        <v>1533</v>
      </c>
      <c r="D320" s="45" t="s">
        <v>4805</v>
      </c>
      <c r="E320" s="246" t="s">
        <v>4806</v>
      </c>
      <c r="F320" s="246" t="s">
        <v>4807</v>
      </c>
      <c r="G320" s="247" t="s">
        <v>4808</v>
      </c>
      <c r="H320" s="46" t="s">
        <v>2</v>
      </c>
      <c r="I320" s="249" t="s">
        <v>1539</v>
      </c>
      <c r="J320" s="234" t="s">
        <v>3221</v>
      </c>
      <c r="K320" s="162" t="s">
        <v>958</v>
      </c>
      <c r="L320" s="241"/>
      <c r="M320" s="241"/>
      <c r="N320" s="161"/>
      <c r="O320" s="140" t="s">
        <v>4800</v>
      </c>
      <c r="P320" s="44" t="s">
        <v>4809</v>
      </c>
      <c r="Q320" s="230" t="s">
        <v>4802</v>
      </c>
      <c r="R320" s="202" t="s">
        <v>4803</v>
      </c>
      <c r="S320" s="142" t="s">
        <v>4810</v>
      </c>
      <c r="T320" s="244"/>
    </row>
    <row r="321" spans="1:20" ht="58" customHeight="1">
      <c r="A321" s="232" t="s">
        <v>2436</v>
      </c>
      <c r="B321" s="46" t="s">
        <v>1539</v>
      </c>
      <c r="C321" s="45" t="s">
        <v>1533</v>
      </c>
      <c r="D321" s="45" t="s">
        <v>4811</v>
      </c>
      <c r="E321" s="246" t="s">
        <v>4812</v>
      </c>
      <c r="F321" s="246" t="s">
        <v>4813</v>
      </c>
      <c r="G321" s="247" t="s">
        <v>4814</v>
      </c>
      <c r="H321" s="46" t="s">
        <v>2</v>
      </c>
      <c r="I321" s="249" t="s">
        <v>1539</v>
      </c>
      <c r="J321" s="234" t="s">
        <v>3221</v>
      </c>
      <c r="K321" s="162" t="s">
        <v>958</v>
      </c>
      <c r="L321" s="241"/>
      <c r="M321" s="241"/>
      <c r="N321" s="161"/>
      <c r="O321" s="140" t="s">
        <v>4800</v>
      </c>
      <c r="P321" s="44" t="s">
        <v>4815</v>
      </c>
      <c r="Q321" s="230" t="s">
        <v>4802</v>
      </c>
      <c r="R321" s="202" t="s">
        <v>4803</v>
      </c>
      <c r="S321" s="142" t="s">
        <v>4810</v>
      </c>
      <c r="T321" s="244"/>
    </row>
    <row r="322" spans="1:20" ht="58" customHeight="1">
      <c r="A322" s="232" t="s">
        <v>2436</v>
      </c>
      <c r="B322" s="46" t="s">
        <v>1539</v>
      </c>
      <c r="C322" s="45" t="s">
        <v>1533</v>
      </c>
      <c r="D322" s="45" t="s">
        <v>4816</v>
      </c>
      <c r="E322" s="246" t="s">
        <v>4817</v>
      </c>
      <c r="F322" s="246" t="s">
        <v>4818</v>
      </c>
      <c r="G322" s="247" t="s">
        <v>4819</v>
      </c>
      <c r="H322" s="46" t="s">
        <v>2</v>
      </c>
      <c r="I322" s="249" t="s">
        <v>1539</v>
      </c>
      <c r="J322" s="234" t="s">
        <v>3221</v>
      </c>
      <c r="K322" s="162" t="s">
        <v>958</v>
      </c>
      <c r="L322" s="241"/>
      <c r="M322" s="241"/>
      <c r="N322" s="161"/>
      <c r="O322" s="140" t="s">
        <v>4800</v>
      </c>
      <c r="P322" s="44" t="s">
        <v>4820</v>
      </c>
      <c r="Q322" s="230" t="s">
        <v>4802</v>
      </c>
      <c r="R322" s="202" t="s">
        <v>4803</v>
      </c>
      <c r="S322" s="142" t="s">
        <v>4810</v>
      </c>
      <c r="T322" s="244"/>
    </row>
    <row r="323" spans="1:20" ht="58" customHeight="1">
      <c r="A323" s="232" t="s">
        <v>2436</v>
      </c>
      <c r="B323" s="46" t="s">
        <v>1539</v>
      </c>
      <c r="C323" s="45" t="s">
        <v>1537</v>
      </c>
      <c r="D323" s="45" t="s">
        <v>4821</v>
      </c>
      <c r="E323" s="246" t="s">
        <v>4822</v>
      </c>
      <c r="F323" s="246" t="s">
        <v>4823</v>
      </c>
      <c r="G323" s="247" t="s">
        <v>4824</v>
      </c>
      <c r="H323" s="46" t="s">
        <v>2</v>
      </c>
      <c r="I323" s="249" t="s">
        <v>1539</v>
      </c>
      <c r="J323" s="234" t="s">
        <v>3221</v>
      </c>
      <c r="K323" s="162" t="s">
        <v>958</v>
      </c>
      <c r="L323" s="241"/>
      <c r="M323" s="241"/>
      <c r="N323" s="161"/>
      <c r="O323" s="140" t="s">
        <v>4800</v>
      </c>
      <c r="P323" s="44" t="s">
        <v>4825</v>
      </c>
      <c r="Q323" s="230" t="s">
        <v>4802</v>
      </c>
      <c r="R323" s="202" t="s">
        <v>4803</v>
      </c>
      <c r="S323" s="142" t="s">
        <v>4826</v>
      </c>
      <c r="T323" s="244"/>
    </row>
    <row r="324" spans="1:20" ht="58" customHeight="1">
      <c r="A324" s="232" t="s">
        <v>2436</v>
      </c>
      <c r="B324" s="46" t="s">
        <v>1539</v>
      </c>
      <c r="C324" s="45" t="s">
        <v>1537</v>
      </c>
      <c r="D324" s="45" t="s">
        <v>4827</v>
      </c>
      <c r="E324" s="246" t="s">
        <v>4828</v>
      </c>
      <c r="F324" s="246" t="s">
        <v>4829</v>
      </c>
      <c r="G324" s="247" t="s">
        <v>4830</v>
      </c>
      <c r="H324" s="46" t="s">
        <v>2</v>
      </c>
      <c r="I324" s="249" t="s">
        <v>1539</v>
      </c>
      <c r="J324" s="234" t="s">
        <v>3221</v>
      </c>
      <c r="K324" s="162" t="s">
        <v>958</v>
      </c>
      <c r="L324" s="241"/>
      <c r="M324" s="241"/>
      <c r="N324" s="161"/>
      <c r="O324" s="140" t="s">
        <v>4800</v>
      </c>
      <c r="P324" s="44" t="s">
        <v>4831</v>
      </c>
      <c r="Q324" s="230" t="s">
        <v>4802</v>
      </c>
      <c r="R324" s="202" t="s">
        <v>4803</v>
      </c>
      <c r="S324" s="142" t="s">
        <v>4832</v>
      </c>
      <c r="T324" s="244"/>
    </row>
    <row r="325" spans="1:20" ht="58" customHeight="1">
      <c r="A325" s="232" t="s">
        <v>2436</v>
      </c>
      <c r="B325" s="46" t="s">
        <v>1539</v>
      </c>
      <c r="C325" s="45" t="s">
        <v>1533</v>
      </c>
      <c r="D325" s="45" t="s">
        <v>4833</v>
      </c>
      <c r="E325" s="246" t="s">
        <v>4834</v>
      </c>
      <c r="F325" s="246" t="s">
        <v>4835</v>
      </c>
      <c r="G325" s="247" t="s">
        <v>4836</v>
      </c>
      <c r="H325" s="46" t="s">
        <v>2</v>
      </c>
      <c r="I325" s="249" t="s">
        <v>1539</v>
      </c>
      <c r="J325" s="234" t="s">
        <v>3221</v>
      </c>
      <c r="K325" s="162" t="s">
        <v>958</v>
      </c>
      <c r="L325" s="241"/>
      <c r="M325" s="241"/>
      <c r="N325" s="161"/>
      <c r="O325" s="140" t="s">
        <v>4800</v>
      </c>
      <c r="P325" s="44" t="s">
        <v>4837</v>
      </c>
      <c r="Q325" s="230" t="s">
        <v>4802</v>
      </c>
      <c r="R325" s="202" t="s">
        <v>4803</v>
      </c>
      <c r="S325" s="142" t="s">
        <v>4802</v>
      </c>
      <c r="T325" s="244"/>
    </row>
    <row r="326" spans="1:20" ht="58" customHeight="1">
      <c r="A326" s="232" t="s">
        <v>2436</v>
      </c>
      <c r="B326" s="46" t="s">
        <v>1539</v>
      </c>
      <c r="C326" s="45" t="s">
        <v>1540</v>
      </c>
      <c r="D326" s="45" t="s">
        <v>4838</v>
      </c>
      <c r="E326" s="246" t="s">
        <v>4839</v>
      </c>
      <c r="F326" s="246" t="s">
        <v>4840</v>
      </c>
      <c r="G326" s="247" t="s">
        <v>4841</v>
      </c>
      <c r="H326" s="46" t="s">
        <v>2</v>
      </c>
      <c r="I326" s="249" t="s">
        <v>1539</v>
      </c>
      <c r="J326" s="234" t="s">
        <v>3221</v>
      </c>
      <c r="K326" s="162" t="s">
        <v>958</v>
      </c>
      <c r="L326" s="241"/>
      <c r="M326" s="241"/>
      <c r="N326" s="161"/>
      <c r="O326" s="140" t="s">
        <v>4800</v>
      </c>
      <c r="P326" s="44" t="s">
        <v>4842</v>
      </c>
      <c r="Q326" s="230" t="s">
        <v>4802</v>
      </c>
      <c r="R326" s="202" t="s">
        <v>4803</v>
      </c>
      <c r="S326" s="142" t="s">
        <v>4843</v>
      </c>
      <c r="T326" s="244"/>
    </row>
    <row r="327" spans="1:20" ht="58" customHeight="1">
      <c r="A327" s="232" t="s">
        <v>2435</v>
      </c>
      <c r="B327" s="46" t="s">
        <v>1541</v>
      </c>
      <c r="C327" s="45" t="s">
        <v>1526</v>
      </c>
      <c r="D327" s="45" t="s">
        <v>5228</v>
      </c>
      <c r="E327" s="246" t="s">
        <v>5229</v>
      </c>
      <c r="F327" s="246" t="s">
        <v>5230</v>
      </c>
      <c r="G327" s="247" t="s">
        <v>5231</v>
      </c>
      <c r="H327" s="46" t="s">
        <v>1522</v>
      </c>
      <c r="I327" s="249" t="s">
        <v>4478</v>
      </c>
      <c r="J327" s="234" t="s">
        <v>5232</v>
      </c>
      <c r="K327" s="162" t="s">
        <v>5174</v>
      </c>
      <c r="L327" s="241"/>
      <c r="M327" s="241"/>
      <c r="N327" s="161" t="s">
        <v>4256</v>
      </c>
      <c r="O327" s="140" t="s">
        <v>5233</v>
      </c>
      <c r="P327" s="44" t="s">
        <v>5174</v>
      </c>
      <c r="Q327" s="230" t="s">
        <v>5235</v>
      </c>
      <c r="R327" s="202" t="s">
        <v>5234</v>
      </c>
      <c r="S327" s="142" t="s">
        <v>5236</v>
      </c>
      <c r="T327" s="244"/>
    </row>
    <row r="328" spans="1:20" ht="58" customHeight="1">
      <c r="A328" s="232" t="s">
        <v>2435</v>
      </c>
      <c r="B328" s="46" t="s">
        <v>1541</v>
      </c>
      <c r="C328" s="45" t="s">
        <v>1526</v>
      </c>
      <c r="D328" s="45" t="s">
        <v>5237</v>
      </c>
      <c r="E328" s="246" t="s">
        <v>5238</v>
      </c>
      <c r="F328" s="246" t="s">
        <v>5239</v>
      </c>
      <c r="G328" s="247" t="s">
        <v>5240</v>
      </c>
      <c r="H328" s="46" t="s">
        <v>1522</v>
      </c>
      <c r="I328" s="249" t="s">
        <v>4478</v>
      </c>
      <c r="J328" s="234" t="s">
        <v>5241</v>
      </c>
      <c r="K328" s="162" t="s">
        <v>5182</v>
      </c>
      <c r="L328" s="241"/>
      <c r="M328" s="241"/>
      <c r="N328" s="161" t="s">
        <v>4256</v>
      </c>
      <c r="O328" s="140" t="s">
        <v>5233</v>
      </c>
      <c r="P328" s="44" t="s">
        <v>5182</v>
      </c>
      <c r="Q328" s="230" t="s">
        <v>5235</v>
      </c>
      <c r="R328" s="202" t="s">
        <v>5234</v>
      </c>
      <c r="S328" s="142" t="s">
        <v>5236</v>
      </c>
      <c r="T328" s="244"/>
    </row>
    <row r="329" spans="1:20" ht="58" customHeight="1">
      <c r="A329" s="232" t="s">
        <v>2435</v>
      </c>
      <c r="B329" s="46" t="s">
        <v>1541</v>
      </c>
      <c r="C329" s="45" t="s">
        <v>1526</v>
      </c>
      <c r="D329" s="45" t="s">
        <v>5242</v>
      </c>
      <c r="E329" s="246" t="s">
        <v>5243</v>
      </c>
      <c r="F329" s="246" t="s">
        <v>5244</v>
      </c>
      <c r="G329" s="247" t="s">
        <v>5245</v>
      </c>
      <c r="H329" s="46" t="s">
        <v>1522</v>
      </c>
      <c r="I329" s="249" t="s">
        <v>4478</v>
      </c>
      <c r="J329" s="234" t="s">
        <v>5246</v>
      </c>
      <c r="K329" s="162" t="s">
        <v>5189</v>
      </c>
      <c r="L329" s="241"/>
      <c r="M329" s="241"/>
      <c r="N329" s="161" t="s">
        <v>4257</v>
      </c>
      <c r="O329" s="140" t="s">
        <v>5233</v>
      </c>
      <c r="P329" s="44" t="s">
        <v>5189</v>
      </c>
      <c r="Q329" s="230" t="s">
        <v>5235</v>
      </c>
      <c r="R329" s="202" t="s">
        <v>5247</v>
      </c>
      <c r="S329" s="142" t="s">
        <v>5236</v>
      </c>
      <c r="T329" s="244"/>
    </row>
    <row r="330" spans="1:20" ht="58" customHeight="1">
      <c r="A330" s="232" t="s">
        <v>2435</v>
      </c>
      <c r="B330" s="46" t="s">
        <v>1541</v>
      </c>
      <c r="C330" s="45" t="s">
        <v>1527</v>
      </c>
      <c r="D330" s="45" t="s">
        <v>5248</v>
      </c>
      <c r="E330" s="246" t="s">
        <v>5249</v>
      </c>
      <c r="F330" s="246" t="s">
        <v>5250</v>
      </c>
      <c r="G330" s="247" t="s">
        <v>5251</v>
      </c>
      <c r="H330" s="46" t="s">
        <v>1522</v>
      </c>
      <c r="I330" s="249" t="s">
        <v>4478</v>
      </c>
      <c r="J330" s="234" t="s">
        <v>5252</v>
      </c>
      <c r="K330" s="162" t="s">
        <v>5196</v>
      </c>
      <c r="L330" s="241"/>
      <c r="M330" s="241"/>
      <c r="N330" s="161" t="s">
        <v>4257</v>
      </c>
      <c r="O330" s="140" t="s">
        <v>5233</v>
      </c>
      <c r="P330" s="44" t="s">
        <v>5196</v>
      </c>
      <c r="Q330" s="230" t="s">
        <v>5235</v>
      </c>
      <c r="R330" s="202" t="s">
        <v>5247</v>
      </c>
      <c r="S330" s="142" t="s">
        <v>5236</v>
      </c>
      <c r="T330" s="244"/>
    </row>
    <row r="331" spans="1:20" ht="58" customHeight="1">
      <c r="A331" s="232" t="s">
        <v>2435</v>
      </c>
      <c r="B331" s="46" t="s">
        <v>1541</v>
      </c>
      <c r="C331" s="45" t="s">
        <v>1534</v>
      </c>
      <c r="D331" s="45" t="s">
        <v>5253</v>
      </c>
      <c r="E331" s="246" t="s">
        <v>5254</v>
      </c>
      <c r="F331" s="246" t="s">
        <v>5255</v>
      </c>
      <c r="G331" s="247" t="s">
        <v>5256</v>
      </c>
      <c r="H331" s="46" t="s">
        <v>1522</v>
      </c>
      <c r="I331" s="249" t="s">
        <v>3014</v>
      </c>
      <c r="J331" s="234" t="s">
        <v>5257</v>
      </c>
      <c r="K331" s="162" t="s">
        <v>5203</v>
      </c>
      <c r="L331" s="241"/>
      <c r="M331" s="241"/>
      <c r="N331" s="161" t="s">
        <v>4256</v>
      </c>
      <c r="O331" s="140" t="s">
        <v>5233</v>
      </c>
      <c r="P331" s="44" t="s">
        <v>5203</v>
      </c>
      <c r="Q331" s="230" t="s">
        <v>5235</v>
      </c>
      <c r="R331" s="202" t="s">
        <v>5258</v>
      </c>
      <c r="S331" s="142" t="s">
        <v>5236</v>
      </c>
      <c r="T331" s="244"/>
    </row>
    <row r="332" spans="1:20" ht="58" customHeight="1">
      <c r="A332" s="232" t="s">
        <v>2435</v>
      </c>
      <c r="B332" s="46" t="s">
        <v>1541</v>
      </c>
      <c r="C332" s="45" t="s">
        <v>1527</v>
      </c>
      <c r="D332" s="45" t="s">
        <v>5259</v>
      </c>
      <c r="E332" s="246" t="s">
        <v>5260</v>
      </c>
      <c r="F332" s="246" t="s">
        <v>5261</v>
      </c>
      <c r="G332" s="247" t="s">
        <v>5262</v>
      </c>
      <c r="H332" s="46" t="s">
        <v>1522</v>
      </c>
      <c r="I332" s="249" t="s">
        <v>3014</v>
      </c>
      <c r="J332" s="234" t="s">
        <v>5263</v>
      </c>
      <c r="K332" s="162" t="s">
        <v>5211</v>
      </c>
      <c r="L332" s="241"/>
      <c r="M332" s="241"/>
      <c r="N332" s="161" t="s">
        <v>4256</v>
      </c>
      <c r="O332" s="140" t="s">
        <v>5233</v>
      </c>
      <c r="P332" s="44" t="s">
        <v>5211</v>
      </c>
      <c r="Q332" s="230" t="s">
        <v>5235</v>
      </c>
      <c r="R332" s="202" t="s">
        <v>5264</v>
      </c>
      <c r="S332" s="142" t="s">
        <v>5236</v>
      </c>
      <c r="T332" s="244" t="s">
        <v>5265</v>
      </c>
    </row>
    <row r="333" spans="1:20" ht="58" customHeight="1">
      <c r="A333" s="232" t="s">
        <v>2435</v>
      </c>
      <c r="B333" s="46" t="s">
        <v>1541</v>
      </c>
      <c r="C333" s="45" t="s">
        <v>1527</v>
      </c>
      <c r="D333" s="45" t="s">
        <v>5266</v>
      </c>
      <c r="E333" s="246" t="s">
        <v>5267</v>
      </c>
      <c r="F333" s="246" t="s">
        <v>5268</v>
      </c>
      <c r="G333" s="247" t="s">
        <v>5269</v>
      </c>
      <c r="H333" s="46" t="s">
        <v>1522</v>
      </c>
      <c r="I333" s="249" t="s">
        <v>3014</v>
      </c>
      <c r="J333" s="234" t="s">
        <v>5270</v>
      </c>
      <c r="K333" s="162" t="s">
        <v>5218</v>
      </c>
      <c r="L333" s="241"/>
      <c r="M333" s="241"/>
      <c r="N333" s="161" t="s">
        <v>4257</v>
      </c>
      <c r="O333" s="140" t="s">
        <v>5233</v>
      </c>
      <c r="P333" s="44" t="s">
        <v>5218</v>
      </c>
      <c r="Q333" s="230" t="s">
        <v>5235</v>
      </c>
      <c r="R333" s="202" t="s">
        <v>5247</v>
      </c>
      <c r="S333" s="142" t="s">
        <v>5236</v>
      </c>
      <c r="T333" s="244"/>
    </row>
    <row r="334" spans="1:20" ht="58" customHeight="1">
      <c r="A334" s="232" t="s">
        <v>2436</v>
      </c>
      <c r="B334" s="46" t="s">
        <v>1538</v>
      </c>
      <c r="C334" s="45" t="s">
        <v>1532</v>
      </c>
      <c r="D334" s="45" t="s">
        <v>5273</v>
      </c>
      <c r="E334" s="246" t="s">
        <v>5274</v>
      </c>
      <c r="F334" s="246" t="s">
        <v>5275</v>
      </c>
      <c r="G334" s="247" t="s">
        <v>5276</v>
      </c>
      <c r="H334" s="46" t="s">
        <v>1522</v>
      </c>
      <c r="I334" s="249" t="s">
        <v>4462</v>
      </c>
      <c r="J334" s="234" t="s">
        <v>3221</v>
      </c>
      <c r="K334" s="162" t="s">
        <v>958</v>
      </c>
      <c r="L334" s="241"/>
      <c r="M334" s="241"/>
      <c r="N334" s="161" t="s">
        <v>4256</v>
      </c>
      <c r="O334" s="140" t="s">
        <v>5277</v>
      </c>
      <c r="P334" s="44" t="s">
        <v>5278</v>
      </c>
      <c r="Q334" s="230" t="s">
        <v>3228</v>
      </c>
      <c r="R334" s="202" t="s">
        <v>5279</v>
      </c>
      <c r="S334" s="142" t="s">
        <v>5280</v>
      </c>
      <c r="T334" s="244"/>
    </row>
    <row r="335" spans="1:20" ht="58" customHeight="1">
      <c r="A335" s="232" t="s">
        <v>2436</v>
      </c>
      <c r="B335" s="46" t="s">
        <v>1538</v>
      </c>
      <c r="C335" s="45" t="s">
        <v>1532</v>
      </c>
      <c r="D335" s="45" t="s">
        <v>5281</v>
      </c>
      <c r="E335" s="246" t="s">
        <v>5282</v>
      </c>
      <c r="F335" s="246" t="s">
        <v>5283</v>
      </c>
      <c r="G335" s="247" t="s">
        <v>5284</v>
      </c>
      <c r="H335" s="46" t="s">
        <v>1522</v>
      </c>
      <c r="I335" s="249" t="s">
        <v>4462</v>
      </c>
      <c r="J335" s="234" t="s">
        <v>3221</v>
      </c>
      <c r="K335" s="162" t="s">
        <v>958</v>
      </c>
      <c r="L335" s="241"/>
      <c r="M335" s="241"/>
      <c r="N335" s="161" t="s">
        <v>4256</v>
      </c>
      <c r="O335" s="140" t="s">
        <v>5285</v>
      </c>
      <c r="P335" s="44" t="s">
        <v>5286</v>
      </c>
      <c r="Q335" s="230" t="s">
        <v>3224</v>
      </c>
      <c r="R335" s="202" t="s">
        <v>5287</v>
      </c>
      <c r="S335" s="142" t="s">
        <v>5288</v>
      </c>
      <c r="T335" s="244"/>
    </row>
    <row r="336" spans="1:20" ht="58" customHeight="1">
      <c r="A336" s="232" t="s">
        <v>2436</v>
      </c>
      <c r="B336" s="46" t="s">
        <v>1538</v>
      </c>
      <c r="C336" s="45" t="s">
        <v>1532</v>
      </c>
      <c r="D336" s="45" t="s">
        <v>5289</v>
      </c>
      <c r="E336" s="246" t="s">
        <v>5290</v>
      </c>
      <c r="F336" s="246" t="s">
        <v>5291</v>
      </c>
      <c r="G336" s="247" t="s">
        <v>5292</v>
      </c>
      <c r="H336" s="46" t="s">
        <v>1522</v>
      </c>
      <c r="I336" s="249" t="s">
        <v>4462</v>
      </c>
      <c r="J336" s="234" t="s">
        <v>3221</v>
      </c>
      <c r="K336" s="162" t="s">
        <v>958</v>
      </c>
      <c r="L336" s="241"/>
      <c r="M336" s="241"/>
      <c r="N336" s="161" t="s">
        <v>4256</v>
      </c>
      <c r="O336" s="140" t="s">
        <v>5285</v>
      </c>
      <c r="P336" s="44" t="s">
        <v>5293</v>
      </c>
      <c r="Q336" s="230" t="s">
        <v>3224</v>
      </c>
      <c r="R336" s="202" t="s">
        <v>5287</v>
      </c>
      <c r="S336" s="142" t="s">
        <v>5294</v>
      </c>
      <c r="T336" s="244"/>
    </row>
    <row r="337" spans="1:20" ht="58" customHeight="1">
      <c r="A337" s="232" t="s">
        <v>2436</v>
      </c>
      <c r="B337" s="46" t="s">
        <v>1538</v>
      </c>
      <c r="C337" s="45" t="s">
        <v>1525</v>
      </c>
      <c r="D337" s="45" t="s">
        <v>5295</v>
      </c>
      <c r="E337" s="246" t="s">
        <v>5296</v>
      </c>
      <c r="F337" s="246" t="s">
        <v>5297</v>
      </c>
      <c r="G337" s="247" t="s">
        <v>5298</v>
      </c>
      <c r="H337" s="46" t="s">
        <v>3</v>
      </c>
      <c r="I337" s="249" t="s">
        <v>1539</v>
      </c>
      <c r="J337" s="234" t="s">
        <v>3221</v>
      </c>
      <c r="K337" s="162" t="s">
        <v>958</v>
      </c>
      <c r="L337" s="241"/>
      <c r="M337" s="241"/>
      <c r="N337" s="161" t="s">
        <v>4257</v>
      </c>
      <c r="O337" s="140" t="s">
        <v>5299</v>
      </c>
      <c r="P337" s="44" t="s">
        <v>1442</v>
      </c>
      <c r="Q337" s="230" t="s">
        <v>3228</v>
      </c>
      <c r="R337" s="202" t="s">
        <v>5300</v>
      </c>
      <c r="S337" s="142" t="s">
        <v>5301</v>
      </c>
      <c r="T337" s="244" t="s">
        <v>5302</v>
      </c>
    </row>
  </sheetData>
  <autoFilter ref="A3:T337" xr:uid="{4F6F187A-C144-EF41-838F-8FD30632C19C}"/>
  <phoneticPr fontId="3"/>
  <conditionalFormatting sqref="A4:S1000">
    <cfRule type="expression" dxfId="99" priority="1">
      <formula>AND($P4&lt;&gt;"",$H4="確定")</formula>
    </cfRule>
  </conditionalFormatting>
  <conditionalFormatting sqref="A4:S1000">
    <cfRule type="expression" dxfId="98" priority="2">
      <formula>AND($P4&lt;&gt;"",$H4="方向性確定（条件付き）")</formula>
    </cfRule>
  </conditionalFormatting>
  <conditionalFormatting sqref="A4:S1000">
    <cfRule type="expression" dxfId="97" priority="3">
      <formula>AND($P4&lt;&gt;"",$H4="検討中")</formula>
    </cfRule>
  </conditionalFormatting>
  <conditionalFormatting sqref="A4:S1000">
    <cfRule type="expression" dxfId="96" priority="4">
      <formula>AND($P4&lt;&gt;"",$H4="外部待ち")</formula>
    </cfRule>
  </conditionalFormatting>
  <conditionalFormatting sqref="A4:S1000">
    <cfRule type="expression" dxfId="95" priority="5">
      <formula>AND($P4&lt;&gt;"",$H4="対象外")</formula>
    </cfRule>
  </conditionalFormatting>
  <conditionalFormatting sqref="I4:I1000">
    <cfRule type="expression" dxfId="94" priority="6">
      <formula>$I4="顧客ヒアリング"</formula>
    </cfRule>
  </conditionalFormatting>
  <conditionalFormatting sqref="I4:I1000">
    <cfRule type="expression" dxfId="93" priority="7">
      <formula>$I4="顧客ヒアリング（アプリチーム）"</formula>
    </cfRule>
  </conditionalFormatting>
  <conditionalFormatting sqref="I4:I1000">
    <cfRule type="expression" dxfId="92" priority="8">
      <formula>$I4="顧客ヒアリング→アプリ確認"</formula>
    </cfRule>
  </conditionalFormatting>
  <conditionalFormatting sqref="I4:I1000">
    <cfRule type="expression" dxfId="91" priority="9">
      <formula>$I4="他組織ヒアリング（要求仕様）"</formula>
    </cfRule>
  </conditionalFormatting>
  <conditionalFormatting sqref="I4:I1000">
    <cfRule type="expression" dxfId="90" priority="10">
      <formula>$I4="社内判断待ち"</formula>
    </cfRule>
  </conditionalFormatting>
  <conditionalFormatting sqref="I4:I1000">
    <cfRule type="expression" dxfId="89" priority="11">
      <formula>$I4="設計タスク"</formula>
    </cfRule>
  </conditionalFormatting>
  <conditionalFormatting sqref="I4:I1000">
    <cfRule type="expression" dxfId="88" priority="12">
      <formula>$I4="確定（反映のみ）"</formula>
    </cfRule>
  </conditionalFormatting>
  <conditionalFormatting sqref="I4:I1000">
    <cfRule type="expression" dxfId="87" priority="13">
      <formula>$I4="スコープ外"</formula>
    </cfRule>
  </conditionalFormatting>
  <conditionalFormatting sqref="T4:T1000">
    <cfRule type="expression" dxfId="86" priority="14">
      <formula>$T4&lt;&gt;""</formula>
    </cfRule>
  </conditionalFormatting>
  <conditionalFormatting sqref="N4:N1000">
    <cfRule type="expression" dxfId="85" priority="15">
      <formula>$N4="最優先"</formula>
    </cfRule>
  </conditionalFormatting>
  <conditionalFormatting sqref="N4:N1000">
    <cfRule type="expression" dxfId="84" priority="16">
      <formula>$N4="通常"</formula>
    </cfRule>
  </conditionalFormatting>
  <conditionalFormatting sqref="N4:N1000">
    <cfRule type="expression" dxfId="83" priority="17">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4" customWidth="1"/>
    <col min="2" max="2" width="24.28515625" style="64" customWidth="1"/>
    <col min="3" max="3" width="100" style="64" customWidth="1"/>
    <col min="4" max="4" width="18.5703125" style="64" customWidth="1"/>
    <col min="5" max="5" width="40" style="64" customWidth="1"/>
    <col min="6" max="16384" width="10.7109375" style="64"/>
  </cols>
  <sheetData>
    <row r="1" spans="1:5">
      <c r="A1" s="63" t="s">
        <v>875</v>
      </c>
    </row>
    <row r="2" spans="1:5">
      <c r="A2" s="65" t="s">
        <v>1518</v>
      </c>
    </row>
    <row r="4" spans="1:5" ht="22" customHeight="1">
      <c r="A4" s="37" t="s">
        <v>1546</v>
      </c>
      <c r="B4" s="38" t="s">
        <v>1547</v>
      </c>
      <c r="C4" s="38" t="s">
        <v>1548</v>
      </c>
      <c r="D4" s="38" t="s">
        <v>1549</v>
      </c>
      <c r="E4" s="39" t="s">
        <v>1550</v>
      </c>
    </row>
    <row r="5" spans="1:5">
      <c r="A5" s="129" t="s">
        <v>1551</v>
      </c>
      <c r="B5" s="67" t="s">
        <v>1552</v>
      </c>
      <c r="C5" s="67" t="s">
        <v>1553</v>
      </c>
      <c r="D5" s="132" t="s">
        <v>1554</v>
      </c>
      <c r="E5" s="43" t="s">
        <v>1555</v>
      </c>
    </row>
    <row r="6" spans="1:5">
      <c r="A6" s="129" t="s">
        <v>1556</v>
      </c>
      <c r="B6" s="67" t="s">
        <v>1552</v>
      </c>
      <c r="C6" s="67" t="s">
        <v>1557</v>
      </c>
      <c r="D6" s="132" t="s">
        <v>1558</v>
      </c>
      <c r="E6" s="43" t="s">
        <v>1555</v>
      </c>
    </row>
    <row r="7" spans="1:5">
      <c r="A7" s="129" t="s">
        <v>1559</v>
      </c>
      <c r="B7" s="67" t="s">
        <v>1552</v>
      </c>
      <c r="C7" s="67" t="s">
        <v>1560</v>
      </c>
      <c r="D7" s="132" t="s">
        <v>1561</v>
      </c>
      <c r="E7" s="43" t="s">
        <v>1555</v>
      </c>
    </row>
    <row r="8" spans="1:5">
      <c r="A8" s="129" t="s">
        <v>1562</v>
      </c>
      <c r="B8" s="67" t="s">
        <v>1552</v>
      </c>
      <c r="C8" s="67" t="s">
        <v>1563</v>
      </c>
      <c r="D8" s="132" t="s">
        <v>1564</v>
      </c>
      <c r="E8" s="43" t="s">
        <v>1555</v>
      </c>
    </row>
    <row r="9" spans="1:5">
      <c r="A9" s="129" t="s">
        <v>1565</v>
      </c>
      <c r="B9" s="67" t="s">
        <v>1552</v>
      </c>
      <c r="C9" s="67" t="s">
        <v>1566</v>
      </c>
      <c r="D9" s="132" t="s">
        <v>1567</v>
      </c>
      <c r="E9" s="43" t="s">
        <v>1555</v>
      </c>
    </row>
    <row r="10" spans="1:5">
      <c r="A10" s="129" t="s">
        <v>1568</v>
      </c>
      <c r="B10" s="67" t="s">
        <v>1552</v>
      </c>
      <c r="C10" s="67" t="s">
        <v>1569</v>
      </c>
      <c r="D10" s="132" t="s">
        <v>1570</v>
      </c>
      <c r="E10" s="43" t="s">
        <v>1555</v>
      </c>
    </row>
    <row r="11" spans="1:5">
      <c r="A11" s="129" t="s">
        <v>1571</v>
      </c>
      <c r="B11" s="67" t="s">
        <v>1552</v>
      </c>
      <c r="C11" s="67" t="s">
        <v>1572</v>
      </c>
      <c r="D11" s="132" t="s">
        <v>1573</v>
      </c>
      <c r="E11" s="43" t="s">
        <v>1555</v>
      </c>
    </row>
    <row r="12" spans="1:5">
      <c r="A12" s="129" t="s">
        <v>1574</v>
      </c>
      <c r="B12" s="67" t="s">
        <v>1552</v>
      </c>
      <c r="C12" s="67" t="s">
        <v>1575</v>
      </c>
      <c r="D12" s="132" t="s">
        <v>1576</v>
      </c>
      <c r="E12" s="43" t="s">
        <v>1555</v>
      </c>
    </row>
    <row r="13" spans="1:5">
      <c r="A13" s="129" t="s">
        <v>1577</v>
      </c>
      <c r="B13" s="67" t="s">
        <v>1552</v>
      </c>
      <c r="C13" s="67" t="s">
        <v>1578</v>
      </c>
      <c r="D13" s="132" t="s">
        <v>1579</v>
      </c>
      <c r="E13" s="43" t="s">
        <v>1555</v>
      </c>
    </row>
    <row r="14" spans="1:5">
      <c r="A14" s="129" t="s">
        <v>1580</v>
      </c>
      <c r="B14" s="67" t="s">
        <v>1552</v>
      </c>
      <c r="C14" s="67" t="s">
        <v>1581</v>
      </c>
      <c r="D14" s="132" t="s">
        <v>1582</v>
      </c>
      <c r="E14" s="43" t="s">
        <v>1555</v>
      </c>
    </row>
    <row r="15" spans="1:5">
      <c r="A15" s="129" t="s">
        <v>1583</v>
      </c>
      <c r="B15" s="67" t="s">
        <v>1552</v>
      </c>
      <c r="C15" s="67" t="s">
        <v>1584</v>
      </c>
      <c r="D15" s="132" t="s">
        <v>1585</v>
      </c>
      <c r="E15" s="43" t="s">
        <v>1555</v>
      </c>
    </row>
    <row r="16" spans="1:5">
      <c r="A16" s="129" t="s">
        <v>1586</v>
      </c>
      <c r="B16" s="67" t="s">
        <v>1552</v>
      </c>
      <c r="C16" s="67" t="s">
        <v>1587</v>
      </c>
      <c r="D16" s="132" t="s">
        <v>1588</v>
      </c>
      <c r="E16" s="43" t="s">
        <v>1555</v>
      </c>
    </row>
    <row r="17" spans="1:5">
      <c r="A17" s="129" t="s">
        <v>1589</v>
      </c>
      <c r="B17" s="67" t="s">
        <v>1552</v>
      </c>
      <c r="C17" s="67" t="s">
        <v>1590</v>
      </c>
      <c r="D17" s="132" t="s">
        <v>1591</v>
      </c>
      <c r="E17" s="43" t="s">
        <v>1555</v>
      </c>
    </row>
    <row r="18" spans="1:5">
      <c r="A18" s="129" t="s">
        <v>1592</v>
      </c>
      <c r="B18" s="67" t="s">
        <v>1552</v>
      </c>
      <c r="C18" s="67" t="s">
        <v>1593</v>
      </c>
      <c r="D18" s="132" t="s">
        <v>1594</v>
      </c>
      <c r="E18" s="43" t="s">
        <v>1555</v>
      </c>
    </row>
    <row r="19" spans="1:5">
      <c r="A19" s="129" t="s">
        <v>1595</v>
      </c>
      <c r="B19" s="67" t="s">
        <v>1552</v>
      </c>
      <c r="C19" s="67" t="s">
        <v>1596</v>
      </c>
      <c r="D19" s="132" t="s">
        <v>1597</v>
      </c>
      <c r="E19" s="43" t="s">
        <v>1555</v>
      </c>
    </row>
    <row r="20" spans="1:5">
      <c r="A20" s="129" t="s">
        <v>1598</v>
      </c>
      <c r="B20" s="67" t="s">
        <v>1552</v>
      </c>
      <c r="C20" s="67" t="s">
        <v>1599</v>
      </c>
      <c r="D20" s="132" t="s">
        <v>1600</v>
      </c>
      <c r="E20" s="43" t="s">
        <v>1555</v>
      </c>
    </row>
    <row r="21" spans="1:5">
      <c r="A21" s="129" t="s">
        <v>1601</v>
      </c>
      <c r="B21" s="67" t="s">
        <v>1552</v>
      </c>
      <c r="C21" s="67" t="s">
        <v>1602</v>
      </c>
      <c r="D21" s="132" t="s">
        <v>1603</v>
      </c>
      <c r="E21" s="43" t="s">
        <v>1555</v>
      </c>
    </row>
    <row r="22" spans="1:5">
      <c r="A22" s="129" t="s">
        <v>1604</v>
      </c>
      <c r="B22" s="67" t="s">
        <v>1552</v>
      </c>
      <c r="C22" s="67" t="s">
        <v>1605</v>
      </c>
      <c r="D22" s="132" t="s">
        <v>1606</v>
      </c>
      <c r="E22" s="43" t="s">
        <v>1555</v>
      </c>
    </row>
    <row r="23" spans="1:5">
      <c r="A23" s="129" t="s">
        <v>1607</v>
      </c>
      <c r="B23" s="67" t="s">
        <v>1552</v>
      </c>
      <c r="C23" s="67" t="s">
        <v>1608</v>
      </c>
      <c r="D23" s="132" t="s">
        <v>1609</v>
      </c>
      <c r="E23" s="43" t="s">
        <v>1555</v>
      </c>
    </row>
    <row r="24" spans="1:5">
      <c r="A24" s="129" t="s">
        <v>1610</v>
      </c>
      <c r="B24" s="67" t="s">
        <v>1552</v>
      </c>
      <c r="C24" s="67" t="s">
        <v>1611</v>
      </c>
      <c r="D24" s="132" t="s">
        <v>1612</v>
      </c>
      <c r="E24" s="43" t="s">
        <v>1555</v>
      </c>
    </row>
    <row r="25" spans="1:5">
      <c r="A25" s="129" t="s">
        <v>1613</v>
      </c>
      <c r="B25" s="67" t="s">
        <v>1552</v>
      </c>
      <c r="C25" s="67" t="s">
        <v>1614</v>
      </c>
      <c r="D25" s="132" t="s">
        <v>1615</v>
      </c>
      <c r="E25" s="43" t="s">
        <v>1555</v>
      </c>
    </row>
    <row r="26" spans="1:5">
      <c r="A26" s="129" t="s">
        <v>1616</v>
      </c>
      <c r="B26" s="67" t="s">
        <v>1552</v>
      </c>
      <c r="C26" s="67" t="s">
        <v>1617</v>
      </c>
      <c r="D26" s="132" t="s">
        <v>1618</v>
      </c>
      <c r="E26" s="43" t="s">
        <v>1555</v>
      </c>
    </row>
    <row r="27" spans="1:5">
      <c r="A27" s="129" t="s">
        <v>1619</v>
      </c>
      <c r="B27" s="67" t="s">
        <v>1552</v>
      </c>
      <c r="C27" s="67" t="s">
        <v>1620</v>
      </c>
      <c r="D27" s="132" t="s">
        <v>1621</v>
      </c>
      <c r="E27" s="43" t="s">
        <v>1555</v>
      </c>
    </row>
    <row r="28" spans="1:5">
      <c r="A28" s="129" t="s">
        <v>1622</v>
      </c>
      <c r="B28" s="67" t="s">
        <v>1552</v>
      </c>
      <c r="C28" s="67" t="s">
        <v>1623</v>
      </c>
      <c r="D28" s="132" t="s">
        <v>1624</v>
      </c>
      <c r="E28" s="43" t="s">
        <v>1555</v>
      </c>
    </row>
    <row r="29" spans="1:5">
      <c r="A29" s="129" t="s">
        <v>1625</v>
      </c>
      <c r="B29" s="67" t="s">
        <v>1552</v>
      </c>
      <c r="C29" s="67" t="s">
        <v>1626</v>
      </c>
      <c r="D29" s="132" t="s">
        <v>1627</v>
      </c>
      <c r="E29" s="43" t="s">
        <v>1555</v>
      </c>
    </row>
    <row r="30" spans="1:5">
      <c r="A30" s="129" t="s">
        <v>1628</v>
      </c>
      <c r="B30" s="67" t="s">
        <v>1552</v>
      </c>
      <c r="C30" s="67" t="s">
        <v>1629</v>
      </c>
      <c r="D30" s="132" t="s">
        <v>1630</v>
      </c>
      <c r="E30" s="43" t="s">
        <v>1555</v>
      </c>
    </row>
    <row r="31" spans="1:5">
      <c r="A31" s="129" t="s">
        <v>1631</v>
      </c>
      <c r="B31" s="67" t="s">
        <v>1552</v>
      </c>
      <c r="C31" s="67" t="s">
        <v>1632</v>
      </c>
      <c r="D31" s="132" t="s">
        <v>1633</v>
      </c>
      <c r="E31" s="43" t="s">
        <v>1555</v>
      </c>
    </row>
    <row r="32" spans="1:5">
      <c r="A32" s="129" t="s">
        <v>1634</v>
      </c>
      <c r="B32" s="67" t="s">
        <v>1552</v>
      </c>
      <c r="C32" s="67" t="s">
        <v>1635</v>
      </c>
      <c r="D32" s="132" t="s">
        <v>1636</v>
      </c>
      <c r="E32" s="43" t="s">
        <v>1555</v>
      </c>
    </row>
    <row r="33" spans="1:5">
      <c r="A33" s="129" t="s">
        <v>1637</v>
      </c>
      <c r="B33" s="67" t="s">
        <v>1552</v>
      </c>
      <c r="C33" s="67" t="s">
        <v>1638</v>
      </c>
      <c r="D33" s="132" t="s">
        <v>1639</v>
      </c>
      <c r="E33" s="43" t="s">
        <v>1555</v>
      </c>
    </row>
    <row r="34" spans="1:5">
      <c r="A34" s="129" t="s">
        <v>1640</v>
      </c>
      <c r="B34" s="67" t="s">
        <v>1552</v>
      </c>
      <c r="C34" s="67" t="s">
        <v>1641</v>
      </c>
      <c r="D34" s="132" t="s">
        <v>1642</v>
      </c>
      <c r="E34" s="43" t="s">
        <v>1555</v>
      </c>
    </row>
    <row r="35" spans="1:5">
      <c r="A35" s="129" t="s">
        <v>1643</v>
      </c>
      <c r="B35" s="67" t="s">
        <v>1552</v>
      </c>
      <c r="C35" s="67" t="s">
        <v>1644</v>
      </c>
      <c r="D35" s="132" t="s">
        <v>1645</v>
      </c>
      <c r="E35" s="43" t="s">
        <v>1555</v>
      </c>
    </row>
    <row r="36" spans="1:5">
      <c r="A36" s="129" t="s">
        <v>1646</v>
      </c>
      <c r="B36" s="67" t="s">
        <v>1552</v>
      </c>
      <c r="C36" s="67" t="s">
        <v>1647</v>
      </c>
      <c r="D36" s="132" t="s">
        <v>1648</v>
      </c>
      <c r="E36" s="43" t="s">
        <v>1555</v>
      </c>
    </row>
    <row r="37" spans="1:5">
      <c r="A37" s="129" t="s">
        <v>1649</v>
      </c>
      <c r="B37" s="67" t="s">
        <v>1552</v>
      </c>
      <c r="C37" s="67" t="s">
        <v>1650</v>
      </c>
      <c r="D37" s="132" t="s">
        <v>1651</v>
      </c>
      <c r="E37" s="43" t="s">
        <v>1555</v>
      </c>
    </row>
    <row r="38" spans="1:5">
      <c r="A38" s="129" t="s">
        <v>1652</v>
      </c>
      <c r="B38" s="67" t="s">
        <v>1552</v>
      </c>
      <c r="C38" s="67" t="s">
        <v>1653</v>
      </c>
      <c r="D38" s="132" t="s">
        <v>1654</v>
      </c>
      <c r="E38" s="43" t="s">
        <v>1555</v>
      </c>
    </row>
    <row r="39" spans="1:5">
      <c r="A39" s="129" t="s">
        <v>1655</v>
      </c>
      <c r="B39" s="67" t="s">
        <v>1552</v>
      </c>
      <c r="C39" s="67" t="s">
        <v>1656</v>
      </c>
      <c r="D39" s="132" t="s">
        <v>1657</v>
      </c>
      <c r="E39" s="43" t="s">
        <v>1555</v>
      </c>
    </row>
    <row r="40" spans="1:5">
      <c r="A40" s="129" t="s">
        <v>1658</v>
      </c>
      <c r="B40" s="67" t="s">
        <v>1552</v>
      </c>
      <c r="C40" s="67" t="s">
        <v>1659</v>
      </c>
      <c r="D40" s="132" t="s">
        <v>1660</v>
      </c>
      <c r="E40" s="43" t="s">
        <v>1555</v>
      </c>
    </row>
    <row r="41" spans="1:5">
      <c r="A41" s="129" t="s">
        <v>1661</v>
      </c>
      <c r="B41" s="67" t="s">
        <v>1552</v>
      </c>
      <c r="C41" s="67" t="s">
        <v>1662</v>
      </c>
      <c r="D41" s="132" t="s">
        <v>1663</v>
      </c>
      <c r="E41" s="43" t="s">
        <v>1555</v>
      </c>
    </row>
    <row r="42" spans="1:5">
      <c r="A42" s="129" t="s">
        <v>1664</v>
      </c>
      <c r="B42" s="67" t="s">
        <v>1665</v>
      </c>
      <c r="C42" s="67" t="s">
        <v>1666</v>
      </c>
      <c r="D42" s="132" t="s">
        <v>1667</v>
      </c>
      <c r="E42" s="43" t="s">
        <v>1668</v>
      </c>
    </row>
    <row r="43" spans="1:5">
      <c r="A43" s="129" t="s">
        <v>1669</v>
      </c>
      <c r="B43" s="67" t="s">
        <v>1665</v>
      </c>
      <c r="C43" s="67" t="s">
        <v>1670</v>
      </c>
      <c r="D43" s="132" t="s">
        <v>1671</v>
      </c>
      <c r="E43" s="43" t="s">
        <v>1668</v>
      </c>
    </row>
    <row r="44" spans="1:5">
      <c r="A44" s="129" t="s">
        <v>1672</v>
      </c>
      <c r="B44" s="67" t="s">
        <v>1665</v>
      </c>
      <c r="C44" s="67" t="s">
        <v>1673</v>
      </c>
      <c r="D44" s="132" t="s">
        <v>1674</v>
      </c>
      <c r="E44" s="43" t="s">
        <v>1668</v>
      </c>
    </row>
    <row r="45" spans="1:5">
      <c r="A45" s="129" t="s">
        <v>1675</v>
      </c>
      <c r="B45" s="67" t="s">
        <v>1665</v>
      </c>
      <c r="C45" s="67" t="s">
        <v>1676</v>
      </c>
      <c r="D45" s="132" t="s">
        <v>1677</v>
      </c>
      <c r="E45" s="43" t="s">
        <v>1678</v>
      </c>
    </row>
    <row r="46" spans="1:5">
      <c r="A46" s="129" t="s">
        <v>1679</v>
      </c>
      <c r="B46" s="67" t="s">
        <v>1665</v>
      </c>
      <c r="C46" s="67" t="s">
        <v>1680</v>
      </c>
      <c r="D46" s="132" t="s">
        <v>1681</v>
      </c>
      <c r="E46" s="43" t="s">
        <v>1678</v>
      </c>
    </row>
    <row r="47" spans="1:5">
      <c r="A47" s="129" t="s">
        <v>1682</v>
      </c>
      <c r="B47" s="67" t="s">
        <v>1665</v>
      </c>
      <c r="C47" s="67" t="s">
        <v>1683</v>
      </c>
      <c r="D47" s="132" t="s">
        <v>1684</v>
      </c>
      <c r="E47" s="43" t="s">
        <v>1678</v>
      </c>
    </row>
    <row r="48" spans="1:5">
      <c r="A48" s="129" t="s">
        <v>1685</v>
      </c>
      <c r="B48" s="67" t="s">
        <v>1665</v>
      </c>
      <c r="C48" s="67" t="s">
        <v>1686</v>
      </c>
      <c r="D48" s="132" t="s">
        <v>1687</v>
      </c>
      <c r="E48" s="43" t="s">
        <v>1688</v>
      </c>
    </row>
    <row r="49" spans="1:5">
      <c r="A49" s="129" t="s">
        <v>1689</v>
      </c>
      <c r="B49" s="67" t="s">
        <v>1665</v>
      </c>
      <c r="C49" s="67" t="s">
        <v>1690</v>
      </c>
      <c r="D49" s="132" t="s">
        <v>1691</v>
      </c>
      <c r="E49" s="43" t="s">
        <v>1688</v>
      </c>
    </row>
    <row r="50" spans="1:5">
      <c r="A50" s="129" t="s">
        <v>1692</v>
      </c>
      <c r="B50" s="67" t="s">
        <v>1665</v>
      </c>
      <c r="C50" s="67" t="s">
        <v>1693</v>
      </c>
      <c r="D50" s="132" t="s">
        <v>1694</v>
      </c>
      <c r="E50" s="43" t="s">
        <v>1695</v>
      </c>
    </row>
    <row r="51" spans="1:5">
      <c r="A51" s="129" t="s">
        <v>1696</v>
      </c>
      <c r="B51" s="67" t="s">
        <v>1665</v>
      </c>
      <c r="C51" s="67" t="s">
        <v>1697</v>
      </c>
      <c r="D51" s="132" t="s">
        <v>1698</v>
      </c>
      <c r="E51" s="43" t="s">
        <v>1695</v>
      </c>
    </row>
    <row r="52" spans="1:5">
      <c r="A52" s="129" t="s">
        <v>1699</v>
      </c>
      <c r="B52" s="67" t="s">
        <v>1665</v>
      </c>
      <c r="C52" s="67" t="s">
        <v>1700</v>
      </c>
      <c r="D52" s="132" t="s">
        <v>1701</v>
      </c>
      <c r="E52" s="43" t="s">
        <v>1702</v>
      </c>
    </row>
    <row r="53" spans="1:5">
      <c r="A53" s="129" t="s">
        <v>1703</v>
      </c>
      <c r="B53" s="67" t="s">
        <v>1665</v>
      </c>
      <c r="C53" s="67" t="s">
        <v>1704</v>
      </c>
      <c r="D53" s="132" t="s">
        <v>1705</v>
      </c>
      <c r="E53" s="43" t="s">
        <v>1695</v>
      </c>
    </row>
    <row r="54" spans="1:5">
      <c r="A54" s="129" t="s">
        <v>1706</v>
      </c>
      <c r="B54" s="67" t="s">
        <v>1665</v>
      </c>
      <c r="C54" s="67" t="s">
        <v>1707</v>
      </c>
      <c r="D54" s="132" t="s">
        <v>1708</v>
      </c>
      <c r="E54" s="43" t="s">
        <v>1709</v>
      </c>
    </row>
    <row r="55" spans="1:5">
      <c r="A55" s="129" t="s">
        <v>1710</v>
      </c>
      <c r="B55" s="67" t="s">
        <v>1665</v>
      </c>
      <c r="C55" s="67" t="s">
        <v>1711</v>
      </c>
      <c r="D55" s="132" t="s">
        <v>1712</v>
      </c>
      <c r="E55" s="43" t="s">
        <v>1713</v>
      </c>
    </row>
    <row r="56" spans="1:5">
      <c r="A56" s="129" t="s">
        <v>1714</v>
      </c>
      <c r="B56" s="67" t="s">
        <v>1665</v>
      </c>
      <c r="C56" s="67" t="s">
        <v>1715</v>
      </c>
      <c r="D56" s="132" t="s">
        <v>1716</v>
      </c>
      <c r="E56" s="43" t="s">
        <v>1713</v>
      </c>
    </row>
    <row r="57" spans="1:5">
      <c r="A57" s="129" t="s">
        <v>1717</v>
      </c>
      <c r="B57" s="67" t="s">
        <v>1665</v>
      </c>
      <c r="C57" s="67" t="s">
        <v>1718</v>
      </c>
      <c r="D57" s="132" t="s">
        <v>1719</v>
      </c>
      <c r="E57" s="43" t="s">
        <v>1713</v>
      </c>
    </row>
    <row r="58" spans="1:5">
      <c r="A58" s="129" t="s">
        <v>1720</v>
      </c>
      <c r="B58" s="67" t="s">
        <v>1665</v>
      </c>
      <c r="C58" s="67" t="s">
        <v>1721</v>
      </c>
      <c r="D58" s="132" t="s">
        <v>1722</v>
      </c>
      <c r="E58" s="43" t="s">
        <v>1713</v>
      </c>
    </row>
    <row r="59" spans="1:5">
      <c r="A59" s="129" t="s">
        <v>1723</v>
      </c>
      <c r="B59" s="67" t="s">
        <v>1724</v>
      </c>
      <c r="C59" s="67" t="s">
        <v>1725</v>
      </c>
      <c r="D59" s="132" t="s">
        <v>1726</v>
      </c>
      <c r="E59" s="43" t="s">
        <v>1727</v>
      </c>
    </row>
    <row r="60" spans="1:5">
      <c r="A60" s="129" t="s">
        <v>1728</v>
      </c>
      <c r="B60" s="67" t="s">
        <v>1724</v>
      </c>
      <c r="C60" s="67" t="s">
        <v>1729</v>
      </c>
      <c r="D60" s="132" t="s">
        <v>1730</v>
      </c>
      <c r="E60" s="43" t="s">
        <v>1727</v>
      </c>
    </row>
    <row r="61" spans="1:5">
      <c r="A61" s="129" t="s">
        <v>1731</v>
      </c>
      <c r="B61" s="67" t="s">
        <v>1724</v>
      </c>
      <c r="C61" s="67" t="s">
        <v>1732</v>
      </c>
      <c r="D61" s="132" t="s">
        <v>1733</v>
      </c>
      <c r="E61" s="43" t="s">
        <v>1727</v>
      </c>
    </row>
    <row r="62" spans="1:5">
      <c r="A62" s="129" t="s">
        <v>1734</v>
      </c>
      <c r="B62" s="67" t="s">
        <v>1724</v>
      </c>
      <c r="C62" s="67" t="s">
        <v>1735</v>
      </c>
      <c r="D62" s="132" t="s">
        <v>1736</v>
      </c>
      <c r="E62" s="43" t="s">
        <v>1727</v>
      </c>
    </row>
    <row r="63" spans="1:5">
      <c r="A63" s="129" t="s">
        <v>1737</v>
      </c>
      <c r="B63" s="67" t="s">
        <v>1724</v>
      </c>
      <c r="C63" s="67" t="s">
        <v>1738</v>
      </c>
      <c r="D63" s="132" t="s">
        <v>1739</v>
      </c>
      <c r="E63" s="43" t="s">
        <v>1727</v>
      </c>
    </row>
    <row r="64" spans="1:5">
      <c r="A64" s="129" t="s">
        <v>1740</v>
      </c>
      <c r="B64" s="67" t="s">
        <v>1724</v>
      </c>
      <c r="C64" s="67" t="s">
        <v>1741</v>
      </c>
      <c r="D64" s="132" t="s">
        <v>1742</v>
      </c>
      <c r="E64" s="43" t="s">
        <v>1727</v>
      </c>
    </row>
    <row r="65" spans="1:5">
      <c r="A65" s="129" t="s">
        <v>1743</v>
      </c>
      <c r="B65" s="67" t="s">
        <v>1724</v>
      </c>
      <c r="C65" s="67" t="s">
        <v>1744</v>
      </c>
      <c r="D65" s="132" t="s">
        <v>1745</v>
      </c>
      <c r="E65" s="43" t="s">
        <v>1727</v>
      </c>
    </row>
    <row r="66" spans="1:5">
      <c r="A66" s="129" t="s">
        <v>1746</v>
      </c>
      <c r="B66" s="67" t="s">
        <v>1724</v>
      </c>
      <c r="C66" s="67" t="s">
        <v>1747</v>
      </c>
      <c r="D66" s="132" t="s">
        <v>1748</v>
      </c>
      <c r="E66" s="43" t="s">
        <v>1727</v>
      </c>
    </row>
    <row r="67" spans="1:5">
      <c r="A67" s="129" t="s">
        <v>1749</v>
      </c>
      <c r="B67" s="67" t="s">
        <v>1724</v>
      </c>
      <c r="C67" s="67" t="s">
        <v>1750</v>
      </c>
      <c r="D67" s="132" t="s">
        <v>1751</v>
      </c>
      <c r="E67" s="43" t="s">
        <v>1727</v>
      </c>
    </row>
    <row r="68" spans="1:5">
      <c r="A68" s="129" t="s">
        <v>1752</v>
      </c>
      <c r="B68" s="67" t="s">
        <v>1724</v>
      </c>
      <c r="C68" s="67" t="s">
        <v>1753</v>
      </c>
      <c r="D68" s="132" t="s">
        <v>1754</v>
      </c>
      <c r="E68" s="43" t="s">
        <v>1727</v>
      </c>
    </row>
    <row r="69" spans="1:5">
      <c r="A69" s="129" t="s">
        <v>1755</v>
      </c>
      <c r="B69" s="67" t="s">
        <v>1724</v>
      </c>
      <c r="C69" s="67" t="s">
        <v>1756</v>
      </c>
      <c r="D69" s="132" t="s">
        <v>1757</v>
      </c>
      <c r="E69" s="43" t="s">
        <v>1727</v>
      </c>
    </row>
    <row r="70" spans="1:5">
      <c r="A70" s="129" t="s">
        <v>1758</v>
      </c>
      <c r="B70" s="67" t="s">
        <v>1724</v>
      </c>
      <c r="C70" s="67" t="s">
        <v>1759</v>
      </c>
      <c r="D70" s="132" t="s">
        <v>1760</v>
      </c>
      <c r="E70" s="43" t="s">
        <v>1727</v>
      </c>
    </row>
    <row r="71" spans="1:5">
      <c r="A71" s="129" t="s">
        <v>1761</v>
      </c>
      <c r="B71" s="67" t="s">
        <v>1724</v>
      </c>
      <c r="C71" s="67" t="s">
        <v>1762</v>
      </c>
      <c r="D71" s="132" t="s">
        <v>1763</v>
      </c>
      <c r="E71" s="43" t="s">
        <v>1727</v>
      </c>
    </row>
    <row r="72" spans="1:5">
      <c r="A72" s="129" t="s">
        <v>1764</v>
      </c>
      <c r="B72" s="67" t="s">
        <v>1724</v>
      </c>
      <c r="C72" s="67" t="s">
        <v>1765</v>
      </c>
      <c r="D72" s="132" t="s">
        <v>1766</v>
      </c>
      <c r="E72" s="43" t="s">
        <v>1727</v>
      </c>
    </row>
    <row r="73" spans="1:5">
      <c r="A73" s="129" t="s">
        <v>1767</v>
      </c>
      <c r="B73" s="67" t="s">
        <v>1724</v>
      </c>
      <c r="C73" s="67" t="s">
        <v>1768</v>
      </c>
      <c r="D73" s="132" t="s">
        <v>1769</v>
      </c>
      <c r="E73" s="43" t="s">
        <v>1727</v>
      </c>
    </row>
    <row r="74" spans="1:5">
      <c r="A74" s="129" t="s">
        <v>1770</v>
      </c>
      <c r="B74" s="67" t="s">
        <v>1724</v>
      </c>
      <c r="C74" s="67" t="s">
        <v>1771</v>
      </c>
      <c r="D74" s="132" t="s">
        <v>1772</v>
      </c>
      <c r="E74" s="43" t="s">
        <v>1727</v>
      </c>
    </row>
    <row r="75" spans="1:5">
      <c r="A75" s="129" t="s">
        <v>1773</v>
      </c>
      <c r="B75" s="67" t="s">
        <v>1724</v>
      </c>
      <c r="C75" s="67" t="s">
        <v>1774</v>
      </c>
      <c r="D75" s="132" t="s">
        <v>1775</v>
      </c>
      <c r="E75" s="43" t="s">
        <v>1727</v>
      </c>
    </row>
    <row r="76" spans="1:5">
      <c r="A76" s="129" t="s">
        <v>1776</v>
      </c>
      <c r="B76" s="67" t="s">
        <v>1724</v>
      </c>
      <c r="C76" s="67" t="s">
        <v>1777</v>
      </c>
      <c r="D76" s="132" t="s">
        <v>1778</v>
      </c>
      <c r="E76" s="43" t="s">
        <v>1727</v>
      </c>
    </row>
    <row r="77" spans="1:5">
      <c r="A77" s="129" t="s">
        <v>1779</v>
      </c>
      <c r="B77" s="67" t="s">
        <v>1724</v>
      </c>
      <c r="C77" s="67" t="s">
        <v>1780</v>
      </c>
      <c r="D77" s="132" t="s">
        <v>1781</v>
      </c>
      <c r="E77" s="43" t="s">
        <v>1727</v>
      </c>
    </row>
    <row r="78" spans="1:5">
      <c r="A78" s="129" t="s">
        <v>1782</v>
      </c>
      <c r="B78" s="67" t="s">
        <v>1724</v>
      </c>
      <c r="C78" s="67" t="s">
        <v>1783</v>
      </c>
      <c r="D78" s="132" t="s">
        <v>1784</v>
      </c>
      <c r="E78" s="43" t="s">
        <v>1727</v>
      </c>
    </row>
    <row r="79" spans="1:5">
      <c r="A79" s="129" t="s">
        <v>1427</v>
      </c>
      <c r="B79" s="67" t="s">
        <v>1724</v>
      </c>
      <c r="C79" s="67" t="s">
        <v>1428</v>
      </c>
      <c r="D79" s="132" t="s">
        <v>1785</v>
      </c>
      <c r="E79" s="43" t="s">
        <v>1727</v>
      </c>
    </row>
    <row r="80" spans="1:5">
      <c r="A80" s="129" t="s">
        <v>1786</v>
      </c>
      <c r="B80" s="67" t="s">
        <v>1724</v>
      </c>
      <c r="C80" s="67" t="s">
        <v>1787</v>
      </c>
      <c r="D80" s="132" t="s">
        <v>1788</v>
      </c>
      <c r="E80" s="43" t="s">
        <v>1727</v>
      </c>
    </row>
    <row r="81" spans="1:5">
      <c r="A81" s="129" t="s">
        <v>1789</v>
      </c>
      <c r="B81" s="67" t="s">
        <v>1724</v>
      </c>
      <c r="C81" s="67" t="s">
        <v>1790</v>
      </c>
      <c r="D81" s="132" t="s">
        <v>1791</v>
      </c>
      <c r="E81" s="43" t="s">
        <v>1727</v>
      </c>
    </row>
    <row r="82" spans="1:5">
      <c r="A82" s="129" t="s">
        <v>1792</v>
      </c>
      <c r="B82" s="67" t="s">
        <v>1724</v>
      </c>
      <c r="C82" s="67" t="s">
        <v>1793</v>
      </c>
      <c r="D82" s="132" t="s">
        <v>1794</v>
      </c>
      <c r="E82" s="43" t="s">
        <v>1727</v>
      </c>
    </row>
    <row r="83" spans="1:5">
      <c r="A83" s="129" t="s">
        <v>1795</v>
      </c>
      <c r="B83" s="67" t="s">
        <v>1724</v>
      </c>
      <c r="C83" s="67" t="s">
        <v>1796</v>
      </c>
      <c r="D83" s="132" t="s">
        <v>1797</v>
      </c>
      <c r="E83" s="43" t="s">
        <v>1727</v>
      </c>
    </row>
    <row r="84" spans="1:5">
      <c r="A84" s="130" t="s">
        <v>1798</v>
      </c>
      <c r="B84" s="71" t="s">
        <v>1724</v>
      </c>
      <c r="C84" s="71" t="s">
        <v>1799</v>
      </c>
      <c r="D84" s="133" t="s">
        <v>1800</v>
      </c>
      <c r="E84" s="47" t="s">
        <v>1727</v>
      </c>
    </row>
    <row r="85" spans="1:5">
      <c r="A85" s="131" t="s">
        <v>1801</v>
      </c>
      <c r="B85" s="64" t="s">
        <v>1802</v>
      </c>
      <c r="C85" s="64" t="s">
        <v>1803</v>
      </c>
      <c r="D85" s="134" t="s">
        <v>1804</v>
      </c>
      <c r="E85" s="135" t="s">
        <v>1805</v>
      </c>
    </row>
    <row r="86" spans="1:5">
      <c r="A86" s="131" t="s">
        <v>1806</v>
      </c>
      <c r="B86" s="64" t="s">
        <v>1802</v>
      </c>
      <c r="C86" s="64" t="s">
        <v>1807</v>
      </c>
      <c r="D86" s="134" t="s">
        <v>1808</v>
      </c>
      <c r="E86" s="135" t="s">
        <v>1809</v>
      </c>
    </row>
    <row r="87" spans="1:5">
      <c r="A87" s="131" t="s">
        <v>1810</v>
      </c>
      <c r="B87" s="64" t="s">
        <v>1802</v>
      </c>
      <c r="C87" s="64" t="s">
        <v>1811</v>
      </c>
      <c r="D87" s="134" t="s">
        <v>1061</v>
      </c>
      <c r="E87" s="135" t="s">
        <v>1812</v>
      </c>
    </row>
    <row r="88" spans="1:5">
      <c r="A88" s="131" t="s">
        <v>1813</v>
      </c>
      <c r="B88" s="64" t="s">
        <v>1802</v>
      </c>
      <c r="C88" s="64" t="s">
        <v>1814</v>
      </c>
      <c r="D88" s="134" t="s">
        <v>1071</v>
      </c>
      <c r="E88" s="135" t="s">
        <v>1815</v>
      </c>
    </row>
    <row r="89" spans="1:5">
      <c r="A89" s="131" t="s">
        <v>1816</v>
      </c>
      <c r="B89" s="64" t="s">
        <v>1802</v>
      </c>
      <c r="C89" s="64" t="s">
        <v>1817</v>
      </c>
      <c r="D89" s="134" t="s">
        <v>1818</v>
      </c>
      <c r="E89" s="135" t="s">
        <v>1819</v>
      </c>
    </row>
    <row r="90" spans="1:5">
      <c r="A90" s="131" t="s">
        <v>1820</v>
      </c>
      <c r="B90" s="64" t="s">
        <v>1802</v>
      </c>
      <c r="C90" s="64" t="s">
        <v>1821</v>
      </c>
      <c r="D90" s="134" t="s">
        <v>1055</v>
      </c>
      <c r="E90" s="135" t="s">
        <v>1822</v>
      </c>
    </row>
    <row r="91" spans="1:5">
      <c r="A91" s="131" t="s">
        <v>1823</v>
      </c>
      <c r="B91" s="64" t="s">
        <v>1802</v>
      </c>
      <c r="C91" s="64" t="s">
        <v>1824</v>
      </c>
      <c r="D91" s="134" t="s">
        <v>1825</v>
      </c>
      <c r="E91" s="135" t="s">
        <v>1826</v>
      </c>
    </row>
    <row r="92" spans="1:5">
      <c r="A92" s="131" t="s">
        <v>1827</v>
      </c>
      <c r="B92" s="64" t="s">
        <v>1802</v>
      </c>
      <c r="C92" s="64" t="s">
        <v>1828</v>
      </c>
      <c r="D92" s="134" t="s">
        <v>1829</v>
      </c>
      <c r="E92" s="135" t="s">
        <v>1830</v>
      </c>
    </row>
    <row r="93" spans="1:5">
      <c r="A93" s="131" t="s">
        <v>1831</v>
      </c>
      <c r="B93" s="64" t="s">
        <v>1802</v>
      </c>
      <c r="C93" s="64" t="s">
        <v>1832</v>
      </c>
      <c r="D93" s="134" t="s">
        <v>1833</v>
      </c>
      <c r="E93" s="135" t="s">
        <v>1834</v>
      </c>
    </row>
    <row r="94" spans="1:5">
      <c r="A94" s="131" t="s">
        <v>1835</v>
      </c>
      <c r="B94" s="64" t="s">
        <v>1802</v>
      </c>
      <c r="C94" s="64" t="s">
        <v>1836</v>
      </c>
      <c r="D94" s="134" t="s">
        <v>1837</v>
      </c>
      <c r="E94" s="135" t="s">
        <v>1838</v>
      </c>
    </row>
    <row r="95" spans="1:5">
      <c r="A95" s="131" t="s">
        <v>1839</v>
      </c>
      <c r="B95" s="64" t="s">
        <v>1802</v>
      </c>
      <c r="C95" s="64" t="s">
        <v>1840</v>
      </c>
      <c r="D95" s="134" t="s">
        <v>1081</v>
      </c>
      <c r="E95" s="135" t="s">
        <v>1841</v>
      </c>
    </row>
    <row r="96" spans="1:5">
      <c r="A96" s="131" t="s">
        <v>1842</v>
      </c>
      <c r="B96" s="64" t="s">
        <v>1802</v>
      </c>
      <c r="C96" s="64" t="s">
        <v>1843</v>
      </c>
      <c r="D96" s="134" t="s">
        <v>1079</v>
      </c>
      <c r="E96" s="135" t="s">
        <v>1844</v>
      </c>
    </row>
    <row r="97" spans="1:5">
      <c r="A97" s="131" t="s">
        <v>1845</v>
      </c>
      <c r="B97" s="64" t="s">
        <v>1846</v>
      </c>
      <c r="C97" s="64" t="s">
        <v>1847</v>
      </c>
      <c r="D97" s="134" t="s">
        <v>1848</v>
      </c>
      <c r="E97" s="135" t="s">
        <v>1849</v>
      </c>
    </row>
    <row r="98" spans="1:5">
      <c r="A98" s="131" t="s">
        <v>1850</v>
      </c>
      <c r="B98" s="64" t="s">
        <v>1846</v>
      </c>
      <c r="C98" s="64" t="s">
        <v>1851</v>
      </c>
      <c r="D98" s="134" t="s">
        <v>1852</v>
      </c>
      <c r="E98" s="135" t="s">
        <v>1853</v>
      </c>
    </row>
    <row r="99" spans="1:5">
      <c r="A99" s="131" t="s">
        <v>1854</v>
      </c>
      <c r="B99" s="64" t="s">
        <v>1846</v>
      </c>
      <c r="C99" s="64" t="s">
        <v>1855</v>
      </c>
      <c r="D99" s="134" t="s">
        <v>1856</v>
      </c>
      <c r="E99" s="135" t="s">
        <v>1857</v>
      </c>
    </row>
    <row r="100" spans="1:5">
      <c r="A100" s="131" t="s">
        <v>1858</v>
      </c>
      <c r="B100" s="64" t="s">
        <v>1846</v>
      </c>
      <c r="C100" s="64" t="s">
        <v>1859</v>
      </c>
      <c r="D100" s="134" t="s">
        <v>1860</v>
      </c>
      <c r="E100" s="135" t="s">
        <v>1861</v>
      </c>
    </row>
    <row r="101" spans="1:5">
      <c r="A101" s="131" t="s">
        <v>1862</v>
      </c>
      <c r="B101" s="64" t="s">
        <v>1846</v>
      </c>
      <c r="C101" s="64" t="s">
        <v>1863</v>
      </c>
      <c r="D101" s="134" t="s">
        <v>1116</v>
      </c>
      <c r="E101" s="135" t="s">
        <v>1864</v>
      </c>
    </row>
    <row r="102" spans="1:5">
      <c r="A102" s="131" t="s">
        <v>1865</v>
      </c>
      <c r="B102" s="64" t="s">
        <v>1846</v>
      </c>
      <c r="C102" s="64" t="s">
        <v>1866</v>
      </c>
      <c r="D102" s="134" t="s">
        <v>1867</v>
      </c>
      <c r="E102" s="135" t="s">
        <v>1868</v>
      </c>
    </row>
    <row r="103" spans="1:5">
      <c r="A103" s="131" t="s">
        <v>1869</v>
      </c>
      <c r="B103" s="64" t="s">
        <v>1846</v>
      </c>
      <c r="C103" s="64" t="s">
        <v>1870</v>
      </c>
      <c r="D103" s="134" t="s">
        <v>1871</v>
      </c>
      <c r="E103" s="135" t="s">
        <v>1872</v>
      </c>
    </row>
    <row r="104" spans="1:5">
      <c r="A104" s="131" t="s">
        <v>1873</v>
      </c>
      <c r="B104" s="64" t="s">
        <v>1846</v>
      </c>
      <c r="C104" s="64" t="s">
        <v>1874</v>
      </c>
      <c r="D104" s="134" t="s">
        <v>1875</v>
      </c>
      <c r="E104" s="135" t="s">
        <v>1876</v>
      </c>
    </row>
    <row r="105" spans="1:5">
      <c r="A105" s="131" t="s">
        <v>1877</v>
      </c>
      <c r="B105" s="64" t="s">
        <v>1846</v>
      </c>
      <c r="C105" s="64" t="s">
        <v>1878</v>
      </c>
      <c r="D105" s="134" t="s">
        <v>1879</v>
      </c>
      <c r="E105" s="135" t="s">
        <v>1880</v>
      </c>
    </row>
    <row r="106" spans="1:5">
      <c r="A106" s="131" t="s">
        <v>1881</v>
      </c>
      <c r="B106" s="64" t="s">
        <v>1846</v>
      </c>
      <c r="C106" s="64" t="s">
        <v>1882</v>
      </c>
      <c r="D106" s="134" t="s">
        <v>1883</v>
      </c>
      <c r="E106" s="135" t="s">
        <v>1884</v>
      </c>
    </row>
    <row r="107" spans="1:5">
      <c r="A107" s="131" t="s">
        <v>1885</v>
      </c>
      <c r="B107" s="64" t="s">
        <v>1846</v>
      </c>
      <c r="C107" s="64" t="s">
        <v>1886</v>
      </c>
      <c r="D107" s="134" t="s">
        <v>1887</v>
      </c>
      <c r="E107" s="135" t="s">
        <v>1888</v>
      </c>
    </row>
    <row r="108" spans="1:5">
      <c r="A108" s="131" t="s">
        <v>1889</v>
      </c>
      <c r="B108" s="64" t="s">
        <v>1846</v>
      </c>
      <c r="C108" s="64" t="s">
        <v>1890</v>
      </c>
      <c r="D108" s="134" t="s">
        <v>1891</v>
      </c>
      <c r="E108" s="135" t="s">
        <v>1892</v>
      </c>
    </row>
    <row r="109" spans="1:5">
      <c r="A109" s="131" t="s">
        <v>1893</v>
      </c>
      <c r="B109" s="64" t="s">
        <v>1846</v>
      </c>
      <c r="C109" s="64" t="s">
        <v>1894</v>
      </c>
      <c r="D109" s="134" t="s">
        <v>1895</v>
      </c>
      <c r="E109" s="135" t="s">
        <v>1896</v>
      </c>
    </row>
    <row r="110" spans="1:5">
      <c r="A110" s="131" t="s">
        <v>1897</v>
      </c>
      <c r="B110" s="64" t="s">
        <v>1846</v>
      </c>
      <c r="C110" s="64" t="s">
        <v>1898</v>
      </c>
      <c r="D110" s="134" t="s">
        <v>1121</v>
      </c>
      <c r="E110" s="135" t="s">
        <v>1899</v>
      </c>
    </row>
    <row r="111" spans="1:5">
      <c r="A111" s="131" t="s">
        <v>1900</v>
      </c>
      <c r="B111" s="64" t="s">
        <v>1846</v>
      </c>
      <c r="C111" s="64" t="s">
        <v>1901</v>
      </c>
      <c r="D111" s="134" t="s">
        <v>1106</v>
      </c>
      <c r="E111" s="135" t="s">
        <v>1902</v>
      </c>
    </row>
    <row r="112" spans="1:5">
      <c r="A112" s="131" t="s">
        <v>1903</v>
      </c>
      <c r="B112" s="64" t="s">
        <v>1846</v>
      </c>
      <c r="C112" s="64" t="s">
        <v>1904</v>
      </c>
      <c r="D112" s="134" t="s">
        <v>1094</v>
      </c>
      <c r="E112" s="135" t="s">
        <v>1905</v>
      </c>
    </row>
    <row r="113" spans="1:5">
      <c r="A113" s="131" t="s">
        <v>1906</v>
      </c>
      <c r="B113" s="64" t="s">
        <v>1846</v>
      </c>
      <c r="C113" s="64" t="s">
        <v>1907</v>
      </c>
      <c r="D113" s="134" t="s">
        <v>1908</v>
      </c>
      <c r="E113" s="135" t="s">
        <v>1909</v>
      </c>
    </row>
    <row r="114" spans="1:5">
      <c r="A114" s="131" t="s">
        <v>1910</v>
      </c>
      <c r="B114" s="64" t="s">
        <v>1846</v>
      </c>
      <c r="C114" s="64" t="s">
        <v>1911</v>
      </c>
      <c r="D114" s="134" t="s">
        <v>1112</v>
      </c>
      <c r="E114" s="135" t="s">
        <v>1912</v>
      </c>
    </row>
    <row r="115" spans="1:5">
      <c r="A115" s="131" t="s">
        <v>1913</v>
      </c>
      <c r="B115" s="64" t="s">
        <v>1846</v>
      </c>
      <c r="C115" s="64" t="s">
        <v>1914</v>
      </c>
      <c r="D115" s="134" t="s">
        <v>1107</v>
      </c>
      <c r="E115" s="135" t="s">
        <v>1915</v>
      </c>
    </row>
    <row r="116" spans="1:5">
      <c r="A116" s="131" t="s">
        <v>1916</v>
      </c>
      <c r="B116" s="64" t="s">
        <v>1846</v>
      </c>
      <c r="C116" s="64" t="s">
        <v>1917</v>
      </c>
      <c r="D116" s="134" t="s">
        <v>1088</v>
      </c>
      <c r="E116" s="135" t="s">
        <v>1918</v>
      </c>
    </row>
    <row r="117" spans="1:5">
      <c r="A117" s="131" t="s">
        <v>1919</v>
      </c>
      <c r="B117" s="64" t="s">
        <v>1920</v>
      </c>
      <c r="C117" s="64" t="s">
        <v>1921</v>
      </c>
      <c r="D117" s="134" t="s">
        <v>1135</v>
      </c>
      <c r="E117" s="135" t="s">
        <v>1922</v>
      </c>
    </row>
    <row r="118" spans="1:5">
      <c r="A118" s="131" t="s">
        <v>1923</v>
      </c>
      <c r="B118" s="64" t="s">
        <v>1920</v>
      </c>
      <c r="C118" s="64" t="s">
        <v>1924</v>
      </c>
      <c r="D118" s="134" t="s">
        <v>1140</v>
      </c>
      <c r="E118" s="135" t="s">
        <v>1925</v>
      </c>
    </row>
    <row r="119" spans="1:5">
      <c r="A119" s="131" t="s">
        <v>1926</v>
      </c>
      <c r="B119" s="64" t="s">
        <v>1920</v>
      </c>
      <c r="C119" s="64" t="s">
        <v>1927</v>
      </c>
      <c r="D119" s="134" t="s">
        <v>1928</v>
      </c>
      <c r="E119" s="135" t="s">
        <v>1929</v>
      </c>
    </row>
    <row r="120" spans="1:5">
      <c r="A120" s="131" t="s">
        <v>1930</v>
      </c>
      <c r="B120" s="64" t="s">
        <v>1920</v>
      </c>
      <c r="C120" s="64" t="s">
        <v>1931</v>
      </c>
      <c r="D120" s="134" t="s">
        <v>1145</v>
      </c>
      <c r="E120" s="135" t="s">
        <v>1932</v>
      </c>
    </row>
    <row r="121" spans="1:5">
      <c r="A121" s="131" t="s">
        <v>1933</v>
      </c>
      <c r="B121" s="64" t="s">
        <v>1920</v>
      </c>
      <c r="C121" s="64" t="s">
        <v>1934</v>
      </c>
      <c r="D121" s="134" t="s">
        <v>1935</v>
      </c>
      <c r="E121" s="135" t="s">
        <v>1936</v>
      </c>
    </row>
    <row r="122" spans="1:5">
      <c r="A122" s="131" t="s">
        <v>1937</v>
      </c>
      <c r="B122" s="64" t="s">
        <v>1920</v>
      </c>
      <c r="C122" s="64" t="s">
        <v>1938</v>
      </c>
      <c r="D122" s="134" t="s">
        <v>1939</v>
      </c>
      <c r="E122" s="135" t="s">
        <v>1940</v>
      </c>
    </row>
    <row r="123" spans="1:5">
      <c r="A123" s="131" t="s">
        <v>1941</v>
      </c>
      <c r="B123" s="64" t="s">
        <v>1920</v>
      </c>
      <c r="C123" s="64" t="s">
        <v>1942</v>
      </c>
      <c r="D123" s="134" t="s">
        <v>1153</v>
      </c>
      <c r="E123" s="135" t="s">
        <v>1943</v>
      </c>
    </row>
    <row r="124" spans="1:5">
      <c r="A124" s="131" t="s">
        <v>1944</v>
      </c>
      <c r="B124" s="64" t="s">
        <v>1920</v>
      </c>
      <c r="C124" s="64" t="s">
        <v>1945</v>
      </c>
      <c r="D124" s="134" t="s">
        <v>1946</v>
      </c>
      <c r="E124" s="135" t="s">
        <v>1943</v>
      </c>
    </row>
    <row r="125" spans="1:5">
      <c r="A125" s="131" t="s">
        <v>1947</v>
      </c>
      <c r="B125" s="64" t="s">
        <v>1920</v>
      </c>
      <c r="C125" s="64" t="s">
        <v>1948</v>
      </c>
      <c r="D125" s="134" t="s">
        <v>1949</v>
      </c>
      <c r="E125" s="135" t="s">
        <v>1950</v>
      </c>
    </row>
    <row r="126" spans="1:5">
      <c r="A126" s="131" t="s">
        <v>1951</v>
      </c>
      <c r="B126" s="64" t="s">
        <v>1920</v>
      </c>
      <c r="C126" s="64" t="s">
        <v>1952</v>
      </c>
      <c r="D126" s="134" t="s">
        <v>1953</v>
      </c>
      <c r="E126" s="135" t="s">
        <v>1954</v>
      </c>
    </row>
    <row r="127" spans="1:5">
      <c r="A127" s="131" t="s">
        <v>1955</v>
      </c>
      <c r="B127" s="64" t="s">
        <v>1920</v>
      </c>
      <c r="C127" s="64" t="s">
        <v>1956</v>
      </c>
      <c r="D127" s="134" t="s">
        <v>1160</v>
      </c>
      <c r="E127" s="135" t="s">
        <v>1957</v>
      </c>
    </row>
    <row r="128" spans="1:5">
      <c r="A128" s="131" t="s">
        <v>1958</v>
      </c>
      <c r="B128" s="64" t="s">
        <v>1920</v>
      </c>
      <c r="C128" s="64" t="s">
        <v>1959</v>
      </c>
      <c r="D128" s="134" t="s">
        <v>1960</v>
      </c>
      <c r="E128" s="135" t="s">
        <v>1961</v>
      </c>
    </row>
    <row r="129" spans="1:5">
      <c r="A129" s="131" t="s">
        <v>1962</v>
      </c>
      <c r="B129" s="64" t="s">
        <v>1920</v>
      </c>
      <c r="C129" s="64" t="s">
        <v>1963</v>
      </c>
      <c r="D129" s="134" t="s">
        <v>1158</v>
      </c>
      <c r="E129" s="135" t="s">
        <v>1964</v>
      </c>
    </row>
    <row r="130" spans="1:5">
      <c r="A130" s="131" t="s">
        <v>1965</v>
      </c>
      <c r="B130" s="64" t="s">
        <v>1920</v>
      </c>
      <c r="C130" s="64" t="s">
        <v>1966</v>
      </c>
      <c r="D130" s="134" t="s">
        <v>1967</v>
      </c>
      <c r="E130" s="135" t="s">
        <v>1968</v>
      </c>
    </row>
    <row r="131" spans="1:5">
      <c r="A131" s="131" t="s">
        <v>1969</v>
      </c>
      <c r="B131" s="64" t="s">
        <v>1970</v>
      </c>
      <c r="C131" s="64" t="s">
        <v>1971</v>
      </c>
      <c r="D131" s="134" t="s">
        <v>1972</v>
      </c>
      <c r="E131" s="135" t="s">
        <v>1973</v>
      </c>
    </row>
    <row r="132" spans="1:5">
      <c r="A132" s="131" t="s">
        <v>1974</v>
      </c>
      <c r="B132" s="64" t="s">
        <v>1970</v>
      </c>
      <c r="C132" s="64" t="s">
        <v>1975</v>
      </c>
      <c r="D132" s="134" t="s">
        <v>1976</v>
      </c>
      <c r="E132" s="135" t="s">
        <v>1977</v>
      </c>
    </row>
    <row r="133" spans="1:5">
      <c r="A133" s="131" t="s">
        <v>1978</v>
      </c>
      <c r="B133" s="64" t="s">
        <v>1970</v>
      </c>
      <c r="C133" s="64" t="s">
        <v>1979</v>
      </c>
      <c r="D133" s="134" t="s">
        <v>1980</v>
      </c>
      <c r="E133" s="135" t="s">
        <v>1981</v>
      </c>
    </row>
    <row r="134" spans="1:5">
      <c r="A134" s="131" t="s">
        <v>1982</v>
      </c>
      <c r="B134" s="64" t="s">
        <v>1970</v>
      </c>
      <c r="C134" s="64" t="s">
        <v>1983</v>
      </c>
      <c r="D134" s="134" t="s">
        <v>1186</v>
      </c>
      <c r="E134" s="135" t="s">
        <v>1984</v>
      </c>
    </row>
    <row r="135" spans="1:5">
      <c r="A135" s="131" t="s">
        <v>1985</v>
      </c>
      <c r="B135" s="64" t="s">
        <v>1970</v>
      </c>
      <c r="C135" s="64" t="s">
        <v>1986</v>
      </c>
      <c r="D135" s="134" t="s">
        <v>1202</v>
      </c>
      <c r="E135" s="135" t="s">
        <v>1987</v>
      </c>
    </row>
    <row r="136" spans="1:5">
      <c r="A136" s="131" t="s">
        <v>1988</v>
      </c>
      <c r="B136" s="64" t="s">
        <v>1970</v>
      </c>
      <c r="C136" s="64" t="s">
        <v>1989</v>
      </c>
      <c r="D136" s="134" t="s">
        <v>1990</v>
      </c>
      <c r="E136" s="135" t="s">
        <v>1991</v>
      </c>
    </row>
    <row r="137" spans="1:5">
      <c r="A137" s="131" t="s">
        <v>1992</v>
      </c>
      <c r="B137" s="64" t="s">
        <v>1970</v>
      </c>
      <c r="C137" s="64" t="s">
        <v>1993</v>
      </c>
      <c r="D137" s="134" t="s">
        <v>1994</v>
      </c>
      <c r="E137" s="135" t="s">
        <v>1995</v>
      </c>
    </row>
    <row r="138" spans="1:5">
      <c r="A138" s="131" t="s">
        <v>1996</v>
      </c>
      <c r="B138" s="64" t="s">
        <v>1970</v>
      </c>
      <c r="C138" s="64" t="s">
        <v>1997</v>
      </c>
      <c r="D138" s="134" t="s">
        <v>1998</v>
      </c>
      <c r="E138" s="135" t="s">
        <v>1999</v>
      </c>
    </row>
    <row r="139" spans="1:5">
      <c r="A139" s="131" t="s">
        <v>2000</v>
      </c>
      <c r="B139" s="64" t="s">
        <v>1970</v>
      </c>
      <c r="C139" s="64" t="s">
        <v>2001</v>
      </c>
      <c r="D139" s="134" t="s">
        <v>2002</v>
      </c>
      <c r="E139" s="135" t="s">
        <v>2003</v>
      </c>
    </row>
    <row r="140" spans="1:5">
      <c r="A140" s="131" t="s">
        <v>2004</v>
      </c>
      <c r="B140" s="64" t="s">
        <v>1970</v>
      </c>
      <c r="C140" s="64" t="s">
        <v>2005</v>
      </c>
      <c r="D140" s="134" t="s">
        <v>1190</v>
      </c>
      <c r="E140" s="135" t="s">
        <v>2006</v>
      </c>
    </row>
    <row r="141" spans="1:5">
      <c r="A141" s="131" t="s">
        <v>2007</v>
      </c>
      <c r="B141" s="64" t="s">
        <v>1970</v>
      </c>
      <c r="C141" s="64" t="s">
        <v>2008</v>
      </c>
      <c r="D141" s="134" t="s">
        <v>2009</v>
      </c>
      <c r="E141" s="135" t="s">
        <v>2010</v>
      </c>
    </row>
    <row r="142" spans="1:5">
      <c r="A142" s="131" t="s">
        <v>2011</v>
      </c>
      <c r="B142" s="64" t="s">
        <v>1970</v>
      </c>
      <c r="C142" s="64" t="s">
        <v>2012</v>
      </c>
      <c r="D142" s="134" t="s">
        <v>2013</v>
      </c>
      <c r="E142" s="135" t="s">
        <v>2014</v>
      </c>
    </row>
    <row r="143" spans="1:5">
      <c r="A143" s="131" t="s">
        <v>2015</v>
      </c>
      <c r="B143" s="64" t="s">
        <v>1970</v>
      </c>
      <c r="C143" s="64" t="s">
        <v>2016</v>
      </c>
      <c r="D143" s="134" t="s">
        <v>1184</v>
      </c>
      <c r="E143" s="135" t="s">
        <v>2017</v>
      </c>
    </row>
    <row r="144" spans="1:5">
      <c r="A144" s="131" t="s">
        <v>2018</v>
      </c>
      <c r="B144" s="64" t="s">
        <v>2019</v>
      </c>
      <c r="C144" s="64" t="s">
        <v>2020</v>
      </c>
      <c r="D144" s="134" t="s">
        <v>2021</v>
      </c>
      <c r="E144" s="135" t="s">
        <v>2022</v>
      </c>
    </row>
    <row r="145" spans="1:5">
      <c r="A145" s="131" t="s">
        <v>2023</v>
      </c>
      <c r="B145" s="64" t="s">
        <v>2019</v>
      </c>
      <c r="C145" s="64" t="s">
        <v>2024</v>
      </c>
      <c r="D145" s="134" t="s">
        <v>2025</v>
      </c>
      <c r="E145" s="135" t="s">
        <v>2026</v>
      </c>
    </row>
    <row r="146" spans="1:5">
      <c r="A146" s="131" t="s">
        <v>2027</v>
      </c>
      <c r="B146" s="64" t="s">
        <v>2019</v>
      </c>
      <c r="C146" s="64" t="s">
        <v>2028</v>
      </c>
      <c r="D146" s="134" t="s">
        <v>2029</v>
      </c>
      <c r="E146" s="135" t="s">
        <v>2030</v>
      </c>
    </row>
    <row r="147" spans="1:5">
      <c r="A147" s="131" t="s">
        <v>2031</v>
      </c>
      <c r="B147" s="64" t="s">
        <v>2019</v>
      </c>
      <c r="C147" s="64" t="s">
        <v>2032</v>
      </c>
      <c r="D147" s="134" t="s">
        <v>1398</v>
      </c>
      <c r="E147" s="135" t="s">
        <v>2033</v>
      </c>
    </row>
    <row r="148" spans="1:5">
      <c r="A148" s="131" t="s">
        <v>2034</v>
      </c>
      <c r="B148" s="64" t="s">
        <v>2019</v>
      </c>
      <c r="C148" s="64" t="s">
        <v>2035</v>
      </c>
      <c r="D148" s="134" t="s">
        <v>1220</v>
      </c>
      <c r="E148" s="135" t="s">
        <v>2036</v>
      </c>
    </row>
    <row r="149" spans="1:5">
      <c r="A149" s="131" t="s">
        <v>2037</v>
      </c>
      <c r="B149" s="64" t="s">
        <v>2019</v>
      </c>
      <c r="C149" s="64" t="s">
        <v>2038</v>
      </c>
      <c r="D149" s="134" t="s">
        <v>1222</v>
      </c>
      <c r="E149" s="135" t="s">
        <v>2039</v>
      </c>
    </row>
    <row r="150" spans="1:5">
      <c r="A150" s="131" t="s">
        <v>2040</v>
      </c>
      <c r="B150" s="64" t="s">
        <v>2019</v>
      </c>
      <c r="C150" s="64" t="s">
        <v>2041</v>
      </c>
      <c r="D150" s="134" t="s">
        <v>2042</v>
      </c>
      <c r="E150" s="135" t="s">
        <v>2043</v>
      </c>
    </row>
    <row r="151" spans="1:5">
      <c r="A151" s="131" t="s">
        <v>2044</v>
      </c>
      <c r="B151" s="64" t="s">
        <v>2019</v>
      </c>
      <c r="C151" s="64" t="s">
        <v>2045</v>
      </c>
      <c r="D151" s="134" t="s">
        <v>2046</v>
      </c>
      <c r="E151" s="135" t="s">
        <v>2047</v>
      </c>
    </row>
    <row r="152" spans="1:5">
      <c r="A152" s="131" t="s">
        <v>2048</v>
      </c>
      <c r="B152" s="64" t="s">
        <v>2019</v>
      </c>
      <c r="C152" s="64" t="s">
        <v>2049</v>
      </c>
      <c r="D152" s="134" t="s">
        <v>2050</v>
      </c>
      <c r="E152" s="135" t="s">
        <v>2051</v>
      </c>
    </row>
    <row r="153" spans="1:5">
      <c r="A153" s="131" t="s">
        <v>2052</v>
      </c>
      <c r="B153" s="64" t="s">
        <v>2019</v>
      </c>
      <c r="C153" s="64" t="s">
        <v>2053</v>
      </c>
      <c r="D153" s="134" t="s">
        <v>2054</v>
      </c>
      <c r="E153" s="135" t="s">
        <v>2055</v>
      </c>
    </row>
    <row r="154" spans="1:5">
      <c r="A154" s="131" t="s">
        <v>2056</v>
      </c>
      <c r="B154" s="64" t="s">
        <v>2019</v>
      </c>
      <c r="C154" s="64" t="s">
        <v>2057</v>
      </c>
      <c r="D154" s="134" t="s">
        <v>2058</v>
      </c>
      <c r="E154" s="135" t="s">
        <v>2059</v>
      </c>
    </row>
    <row r="155" spans="1:5">
      <c r="A155" s="131" t="s">
        <v>2060</v>
      </c>
      <c r="B155" s="64" t="s">
        <v>2019</v>
      </c>
      <c r="C155" s="64" t="s">
        <v>2061</v>
      </c>
      <c r="D155" s="134" t="s">
        <v>2062</v>
      </c>
      <c r="E155" s="135" t="s">
        <v>2063</v>
      </c>
    </row>
    <row r="156" spans="1:5">
      <c r="A156" s="131" t="s">
        <v>2064</v>
      </c>
      <c r="B156" s="64" t="s">
        <v>2019</v>
      </c>
      <c r="C156" s="64" t="s">
        <v>2065</v>
      </c>
      <c r="D156" s="134" t="s">
        <v>2066</v>
      </c>
      <c r="E156" s="135" t="s">
        <v>2067</v>
      </c>
    </row>
    <row r="157" spans="1:5">
      <c r="A157" s="131" t="s">
        <v>2068</v>
      </c>
      <c r="B157" s="64" t="s">
        <v>2019</v>
      </c>
      <c r="C157" s="64" t="s">
        <v>2069</v>
      </c>
      <c r="D157" s="134" t="s">
        <v>2070</v>
      </c>
      <c r="E157" s="135" t="s">
        <v>2071</v>
      </c>
    </row>
    <row r="158" spans="1:5">
      <c r="A158" s="131" t="s">
        <v>2072</v>
      </c>
      <c r="B158" s="64" t="s">
        <v>2019</v>
      </c>
      <c r="C158" s="64" t="s">
        <v>2073</v>
      </c>
      <c r="D158" s="134" t="s">
        <v>2074</v>
      </c>
      <c r="E158" s="135" t="s">
        <v>2075</v>
      </c>
    </row>
    <row r="159" spans="1:5">
      <c r="A159" s="131" t="s">
        <v>2076</v>
      </c>
      <c r="B159" s="64" t="s">
        <v>2019</v>
      </c>
      <c r="C159" s="64" t="s">
        <v>2077</v>
      </c>
      <c r="D159" s="134" t="s">
        <v>2078</v>
      </c>
      <c r="E159" s="135" t="s">
        <v>2079</v>
      </c>
    </row>
    <row r="160" spans="1:5">
      <c r="A160" s="131" t="s">
        <v>2080</v>
      </c>
      <c r="B160" s="64" t="s">
        <v>2019</v>
      </c>
      <c r="C160" s="64" t="s">
        <v>2081</v>
      </c>
      <c r="D160" s="134" t="s">
        <v>1238</v>
      </c>
      <c r="E160" s="135" t="s">
        <v>2082</v>
      </c>
    </row>
    <row r="161" spans="1:5">
      <c r="A161" s="131" t="s">
        <v>2083</v>
      </c>
      <c r="B161" s="64" t="s">
        <v>2019</v>
      </c>
      <c r="C161" s="64" t="s">
        <v>2084</v>
      </c>
      <c r="D161" s="134" t="s">
        <v>2085</v>
      </c>
      <c r="E161" s="135" t="s">
        <v>2086</v>
      </c>
    </row>
    <row r="162" spans="1:5">
      <c r="A162" s="131" t="s">
        <v>2087</v>
      </c>
      <c r="B162" s="64" t="s">
        <v>2088</v>
      </c>
      <c r="C162" s="64" t="s">
        <v>2089</v>
      </c>
      <c r="D162" s="134" t="s">
        <v>2090</v>
      </c>
      <c r="E162" s="135" t="s">
        <v>2091</v>
      </c>
    </row>
    <row r="163" spans="1:5">
      <c r="A163" s="131" t="s">
        <v>2092</v>
      </c>
      <c r="B163" s="64" t="s">
        <v>2088</v>
      </c>
      <c r="C163" s="64" t="s">
        <v>2093</v>
      </c>
      <c r="D163" s="134" t="s">
        <v>1270</v>
      </c>
      <c r="E163" s="135" t="s">
        <v>2094</v>
      </c>
    </row>
    <row r="164" spans="1:5">
      <c r="A164" s="131" t="s">
        <v>2095</v>
      </c>
      <c r="B164" s="64" t="s">
        <v>2088</v>
      </c>
      <c r="C164" s="64" t="s">
        <v>2096</v>
      </c>
      <c r="D164" s="134" t="s">
        <v>2097</v>
      </c>
      <c r="E164" s="135" t="s">
        <v>2098</v>
      </c>
    </row>
    <row r="165" spans="1:5">
      <c r="A165" s="131" t="s">
        <v>2099</v>
      </c>
      <c r="B165" s="64" t="s">
        <v>2088</v>
      </c>
      <c r="C165" s="64" t="s">
        <v>2100</v>
      </c>
      <c r="D165" s="134" t="s">
        <v>2101</v>
      </c>
      <c r="E165" s="135" t="s">
        <v>2102</v>
      </c>
    </row>
    <row r="166" spans="1:5">
      <c r="A166" s="131" t="s">
        <v>2103</v>
      </c>
      <c r="B166" s="64" t="s">
        <v>2088</v>
      </c>
      <c r="C166" s="64" t="s">
        <v>2104</v>
      </c>
      <c r="D166" s="134" t="s">
        <v>2105</v>
      </c>
      <c r="E166" s="135" t="s">
        <v>2106</v>
      </c>
    </row>
    <row r="167" spans="1:5">
      <c r="A167" s="131" t="s">
        <v>2107</v>
      </c>
      <c r="B167" s="64" t="s">
        <v>2088</v>
      </c>
      <c r="C167" s="64" t="s">
        <v>2108</v>
      </c>
      <c r="D167" s="134" t="s">
        <v>2109</v>
      </c>
      <c r="E167" s="135" t="s">
        <v>2110</v>
      </c>
    </row>
    <row r="168" spans="1:5">
      <c r="A168" s="131" t="s">
        <v>2111</v>
      </c>
      <c r="B168" s="64" t="s">
        <v>2088</v>
      </c>
      <c r="C168" s="64" t="s">
        <v>2112</v>
      </c>
      <c r="D168" s="134" t="s">
        <v>2113</v>
      </c>
      <c r="E168" s="135" t="s">
        <v>2114</v>
      </c>
    </row>
    <row r="169" spans="1:5">
      <c r="A169" s="131" t="s">
        <v>2115</v>
      </c>
      <c r="B169" s="64" t="s">
        <v>2088</v>
      </c>
      <c r="C169" s="64" t="s">
        <v>2116</v>
      </c>
      <c r="D169" s="134" t="s">
        <v>2117</v>
      </c>
      <c r="E169" s="135" t="s">
        <v>2118</v>
      </c>
    </row>
    <row r="170" spans="1:5">
      <c r="A170" s="131" t="s">
        <v>2119</v>
      </c>
      <c r="B170" s="64" t="s">
        <v>2088</v>
      </c>
      <c r="C170" s="64" t="s">
        <v>2120</v>
      </c>
      <c r="D170" s="134" t="s">
        <v>2121</v>
      </c>
      <c r="E170" s="135" t="s">
        <v>2122</v>
      </c>
    </row>
    <row r="171" spans="1:5">
      <c r="A171" s="131" t="s">
        <v>2123</v>
      </c>
      <c r="B171" s="64" t="s">
        <v>2088</v>
      </c>
      <c r="C171" s="64" t="s">
        <v>2124</v>
      </c>
      <c r="D171" s="134" t="s">
        <v>2125</v>
      </c>
      <c r="E171" s="135" t="s">
        <v>2126</v>
      </c>
    </row>
    <row r="172" spans="1:5">
      <c r="A172" s="131" t="s">
        <v>2127</v>
      </c>
      <c r="B172" s="64" t="s">
        <v>2088</v>
      </c>
      <c r="C172" s="64" t="s">
        <v>2128</v>
      </c>
      <c r="D172" s="134" t="s">
        <v>2129</v>
      </c>
      <c r="E172" s="135" t="s">
        <v>2130</v>
      </c>
    </row>
    <row r="173" spans="1:5">
      <c r="A173" s="131" t="s">
        <v>2131</v>
      </c>
      <c r="B173" s="64" t="s">
        <v>2088</v>
      </c>
      <c r="C173" s="64" t="s">
        <v>2132</v>
      </c>
      <c r="D173" s="134" t="s">
        <v>1277</v>
      </c>
      <c r="E173" s="135" t="s">
        <v>2133</v>
      </c>
    </row>
    <row r="174" spans="1:5">
      <c r="A174" s="131" t="s">
        <v>2134</v>
      </c>
      <c r="B174" s="64" t="s">
        <v>2088</v>
      </c>
      <c r="C174" s="64" t="s">
        <v>2135</v>
      </c>
      <c r="D174" s="134" t="s">
        <v>2136</v>
      </c>
      <c r="E174" s="135" t="s">
        <v>2137</v>
      </c>
    </row>
    <row r="175" spans="1:5">
      <c r="A175" s="131" t="s">
        <v>2138</v>
      </c>
      <c r="B175" s="64" t="s">
        <v>1724</v>
      </c>
      <c r="C175" s="64" t="s">
        <v>2139</v>
      </c>
      <c r="D175" s="134" t="s">
        <v>2140</v>
      </c>
      <c r="E175" s="135" t="s">
        <v>2141</v>
      </c>
    </row>
    <row r="176" spans="1:5">
      <c r="A176" s="131" t="s">
        <v>2142</v>
      </c>
      <c r="B176" s="64" t="s">
        <v>1724</v>
      </c>
      <c r="C176" s="64" t="s">
        <v>2143</v>
      </c>
      <c r="D176" s="134" t="s">
        <v>2144</v>
      </c>
      <c r="E176" s="135" t="s">
        <v>2145</v>
      </c>
    </row>
    <row r="177" spans="1:5">
      <c r="A177" s="131" t="s">
        <v>2146</v>
      </c>
      <c r="B177" s="64" t="s">
        <v>1724</v>
      </c>
      <c r="C177" s="64" t="s">
        <v>2147</v>
      </c>
      <c r="D177" s="134" t="s">
        <v>2148</v>
      </c>
      <c r="E177" s="135" t="s">
        <v>2149</v>
      </c>
    </row>
    <row r="178" spans="1:5">
      <c r="A178" s="131" t="s">
        <v>2150</v>
      </c>
      <c r="B178" s="64" t="s">
        <v>1724</v>
      </c>
      <c r="C178" s="64" t="s">
        <v>2151</v>
      </c>
      <c r="D178" s="134" t="s">
        <v>2152</v>
      </c>
      <c r="E178" s="135" t="s">
        <v>2153</v>
      </c>
    </row>
    <row r="179" spans="1:5">
      <c r="A179" s="131" t="s">
        <v>2154</v>
      </c>
      <c r="B179" s="64" t="s">
        <v>1724</v>
      </c>
      <c r="C179" s="64" t="s">
        <v>2155</v>
      </c>
      <c r="D179" s="134" t="s">
        <v>2156</v>
      </c>
      <c r="E179" s="135" t="s">
        <v>2157</v>
      </c>
    </row>
    <row r="180" spans="1:5">
      <c r="A180" s="131" t="s">
        <v>2158</v>
      </c>
      <c r="B180" s="64" t="s">
        <v>1724</v>
      </c>
      <c r="C180" s="64" t="s">
        <v>2159</v>
      </c>
      <c r="D180" s="134" t="s">
        <v>2160</v>
      </c>
      <c r="E180" s="135" t="s">
        <v>2161</v>
      </c>
    </row>
    <row r="181" spans="1:5">
      <c r="A181" s="131" t="s">
        <v>2162</v>
      </c>
      <c r="B181" s="64" t="s">
        <v>1802</v>
      </c>
      <c r="C181" s="64" t="s">
        <v>2163</v>
      </c>
      <c r="D181" s="134" t="s">
        <v>2164</v>
      </c>
      <c r="E181" s="135" t="s">
        <v>2165</v>
      </c>
    </row>
    <row r="182" spans="1:5">
      <c r="A182" s="131" t="s">
        <v>2166</v>
      </c>
      <c r="B182" s="64" t="s">
        <v>1802</v>
      </c>
      <c r="C182" s="64" t="s">
        <v>2167</v>
      </c>
      <c r="D182" s="134" t="s">
        <v>2168</v>
      </c>
      <c r="E182" s="135" t="s">
        <v>1819</v>
      </c>
    </row>
    <row r="183" spans="1:5">
      <c r="A183" s="131" t="s">
        <v>2169</v>
      </c>
      <c r="B183" s="64" t="s">
        <v>1802</v>
      </c>
      <c r="C183" s="64" t="s">
        <v>2170</v>
      </c>
      <c r="D183" s="134" t="s">
        <v>2171</v>
      </c>
      <c r="E183" s="135" t="s">
        <v>1822</v>
      </c>
    </row>
    <row r="184" spans="1:5">
      <c r="A184" s="131" t="s">
        <v>2172</v>
      </c>
      <c r="B184" s="64" t="s">
        <v>1846</v>
      </c>
      <c r="C184" s="64" t="s">
        <v>2173</v>
      </c>
      <c r="D184" s="134" t="s">
        <v>2174</v>
      </c>
      <c r="E184" s="135" t="s">
        <v>2175</v>
      </c>
    </row>
    <row r="185" spans="1:5">
      <c r="A185" s="131" t="s">
        <v>2176</v>
      </c>
      <c r="B185" s="64" t="s">
        <v>1846</v>
      </c>
      <c r="C185" s="64" t="s">
        <v>2177</v>
      </c>
      <c r="D185" s="134" t="s">
        <v>2178</v>
      </c>
      <c r="E185" s="135" t="s">
        <v>2179</v>
      </c>
    </row>
    <row r="186" spans="1:5">
      <c r="A186" s="131" t="s">
        <v>2180</v>
      </c>
      <c r="B186" s="64" t="s">
        <v>2019</v>
      </c>
      <c r="C186" s="64" t="s">
        <v>2181</v>
      </c>
      <c r="D186" s="134" t="s">
        <v>2182</v>
      </c>
      <c r="E186" s="135" t="s">
        <v>2183</v>
      </c>
    </row>
    <row r="187" spans="1:5">
      <c r="A187" s="131" t="s">
        <v>2184</v>
      </c>
      <c r="B187" s="64" t="s">
        <v>2019</v>
      </c>
      <c r="C187" s="64" t="s">
        <v>2185</v>
      </c>
      <c r="D187" s="134" t="s">
        <v>2186</v>
      </c>
      <c r="E187" s="135" t="s">
        <v>2187</v>
      </c>
    </row>
    <row r="188" spans="1:5">
      <c r="A188" s="131" t="s">
        <v>2188</v>
      </c>
      <c r="B188" s="64" t="s">
        <v>1970</v>
      </c>
      <c r="C188" s="64" t="s">
        <v>2189</v>
      </c>
      <c r="D188" s="134" t="s">
        <v>2190</v>
      </c>
      <c r="E188" s="135" t="s">
        <v>2191</v>
      </c>
    </row>
    <row r="189" spans="1:5">
      <c r="A189" s="131" t="s">
        <v>2192</v>
      </c>
      <c r="B189" s="64" t="s">
        <v>2088</v>
      </c>
      <c r="C189" s="64" t="s">
        <v>2193</v>
      </c>
      <c r="D189" s="134" t="s">
        <v>2194</v>
      </c>
      <c r="E189" s="135" t="s">
        <v>2137</v>
      </c>
    </row>
  </sheetData>
  <autoFilter ref="A4:E189" xr:uid="{310581F7-ECDF-C64A-A7B0-C540D55B3FA1}"/>
  <phoneticPr fontId="3"/>
  <conditionalFormatting sqref="A5:E189">
    <cfRule type="expression" dxfId="82" priority="1">
      <formula>$B5="U2 Keycloak論理"</formula>
    </cfRule>
  </conditionalFormatting>
  <conditionalFormatting sqref="A5:E189">
    <cfRule type="expression" dxfId="81" priority="2">
      <formula>$B5="U3 ID・プロビジョニング"</formula>
    </cfRule>
  </conditionalFormatting>
  <conditionalFormatting sqref="A5:E189">
    <cfRule type="expression" dxfId="80" priority="3">
      <formula>$B5="U5 トークン・認可"</formula>
    </cfRule>
  </conditionalFormatting>
  <conditionalFormatting sqref="A5:E189">
    <cfRule type="expression" dxfId="79" priority="4">
      <formula>$B5="U4 認証体験・UX"</formula>
    </cfRule>
  </conditionalFormatting>
  <conditionalFormatting sqref="A5:E189">
    <cfRule type="expression" dxfId="78" priority="5">
      <formula>$B5="U7 セキュリティ"</formula>
    </cfRule>
  </conditionalFormatting>
  <conditionalFormatting sqref="A5:E189">
    <cfRule type="expression" dxfId="77" priority="6">
      <formula>$B5="U8 可用性・DR"</formula>
    </cfRule>
  </conditionalFormatting>
  <conditionalFormatting sqref="A5:E189">
    <cfRule type="expression" dxfId="76" priority="7">
      <formula>$B5="U6 インフラ・NW"</formula>
    </cfRule>
  </conditionalFormatting>
  <conditionalFormatting sqref="A5:E189">
    <cfRule type="expression" dxfId="75" priority="8">
      <formula>$B5="U9 運用・監視・IaC"</formula>
    </cfRule>
  </conditionalFormatting>
  <conditionalFormatting sqref="A5:E189">
    <cfRule type="expression" dxfId="74"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88" activePane="bottomLeft" state="frozen"/>
      <selection pane="bottomLeft" activeCell="C38" sqref="C38"/>
    </sheetView>
  </sheetViews>
  <sheetFormatPr baseColWidth="10" defaultRowHeight="15"/>
  <cols>
    <col min="1" max="1" width="15.7109375" style="64" customWidth="1"/>
    <col min="2" max="2" width="28.5703125" style="64" customWidth="1"/>
    <col min="3" max="3" width="61.42578125" style="64" customWidth="1"/>
    <col min="4" max="4" width="11.42578125" style="64" customWidth="1"/>
    <col min="5" max="5" width="32.85546875" style="64" customWidth="1"/>
    <col min="6" max="6" width="12.85546875" style="64" customWidth="1"/>
    <col min="7" max="7" width="14.28515625" style="64" customWidth="1"/>
    <col min="8" max="8" width="57.140625" style="64" customWidth="1"/>
    <col min="9" max="16384" width="10.7109375" style="64"/>
  </cols>
  <sheetData>
    <row r="1" spans="1:8">
      <c r="A1" s="63" t="s">
        <v>879</v>
      </c>
    </row>
    <row r="2" spans="1:8">
      <c r="A2" s="76" t="s">
        <v>880</v>
      </c>
    </row>
    <row r="4" spans="1:8" ht="22" customHeight="1">
      <c r="A4" s="37" t="s">
        <v>881</v>
      </c>
      <c r="B4" s="38" t="s">
        <v>882</v>
      </c>
      <c r="C4" s="38" t="s">
        <v>667</v>
      </c>
      <c r="D4" s="38" t="s">
        <v>2203</v>
      </c>
      <c r="E4" s="38" t="s">
        <v>883</v>
      </c>
      <c r="F4" s="38" t="s">
        <v>877</v>
      </c>
      <c r="G4" s="38" t="s">
        <v>884</v>
      </c>
      <c r="H4" s="39" t="s">
        <v>885</v>
      </c>
    </row>
    <row r="5" spans="1:8" ht="16">
      <c r="A5" s="66" t="s">
        <v>14</v>
      </c>
      <c r="B5" s="67" t="str">
        <f>IFERROR(INDEX(進捗一覧!$O:$O,MATCH($A5,進捗一覧!$P:$P,0)),"⚠未検出")</f>
        <v>FR-AUTH 認証フロー/Grant Type</v>
      </c>
      <c r="C5" s="68" t="str">
        <f>IFERROR(INDEX(進捗一覧!$E:$E,MATCH($A5,進捗一覧!$P:$P,0)),"⚠未検出")</f>
        <v>ローカルユーザーにIDとパスワードでのログインを認めるか。</v>
      </c>
      <c r="D5" s="69" t="str">
        <f>IFERROR(INDEX(進捗一覧!$H:$H,MATCH($A5,進捗一覧!$P:$P,0)),"⚠未検出")</f>
        <v>確定</v>
      </c>
      <c r="E5" s="67" t="s">
        <v>895</v>
      </c>
      <c r="F5" s="69" t="s">
        <v>937</v>
      </c>
      <c r="G5" s="69" t="s">
        <v>938</v>
      </c>
      <c r="H5" s="77" t="s">
        <v>939</v>
      </c>
    </row>
    <row r="6" spans="1:8" ht="16">
      <c r="A6" s="66" t="s">
        <v>17</v>
      </c>
      <c r="B6" s="67" t="str">
        <f>IFERROR(INDEX(進捗一覧!$O:$O,MATCH($A6,進捗一覧!$P:$P,0)),"⚠未検出")</f>
        <v>FR-AUTH 認証フロー/Grant Type</v>
      </c>
      <c r="C6" s="68" t="str">
        <f>IFERROR(INDEX(進捗一覧!$E:$E,MATCH($A6,進捗一覧!$P:$P,0)),"⚠未検出")</f>
        <v>スマホアプリや画面だけで動くWebアプリから安全にログインさせる標準方式を採用するか</v>
      </c>
      <c r="D6" s="69" t="str">
        <f>IFERROR(INDEX(進捗一覧!$H:$H,MATCH($A6,進捗一覧!$P:$P,0)),"⚠未検出")</f>
        <v>確定</v>
      </c>
      <c r="E6" s="67" t="s">
        <v>940</v>
      </c>
      <c r="F6" s="69" t="s">
        <v>941</v>
      </c>
      <c r="G6" s="69" t="s">
        <v>938</v>
      </c>
      <c r="H6" s="77" t="s">
        <v>942</v>
      </c>
    </row>
    <row r="7" spans="1:8" ht="16">
      <c r="A7" s="66" t="s">
        <v>19</v>
      </c>
      <c r="B7" s="67" t="str">
        <f>IFERROR(INDEX(進捗一覧!$O:$O,MATCH($A7,進捗一覧!$P:$P,0)),"⚠未検出")</f>
        <v>FR-AUTH 認証フロー/Grant Type</v>
      </c>
      <c r="C7" s="68" t="str">
        <f>IFERROR(INDEX(進捗一覧!$E:$E,MATCH($A7,進捗一覧!$P:$P,0)),"⚠未検出")</f>
        <v>サーバー側で画面を組み立てるWebアプリのログイン方式をどうするか</v>
      </c>
      <c r="D7" s="69" t="str">
        <f>IFERROR(INDEX(進捗一覧!$H:$H,MATCH($A7,進捗一覧!$P:$P,0)),"⚠未検出")</f>
        <v>確定</v>
      </c>
      <c r="E7" s="67" t="s">
        <v>931</v>
      </c>
      <c r="F7" s="69" t="s">
        <v>941</v>
      </c>
      <c r="G7" s="69" t="s">
        <v>938</v>
      </c>
      <c r="H7" s="77" t="s">
        <v>943</v>
      </c>
    </row>
    <row r="8" spans="1:8" ht="16">
      <c r="A8" s="66" t="s">
        <v>21</v>
      </c>
      <c r="B8" s="67" t="str">
        <f>IFERROR(INDEX(進捗一覧!$O:$O,MATCH($A8,進捗一覧!$P:$P,0)),"⚠未検出")</f>
        <v>FR-AUTH 認証フロー/Grant Type</v>
      </c>
      <c r="C8" s="68" t="str">
        <f>IFERROR(INDEX(進捗一覧!$E:$E,MATCH($A8,進捗一覧!$P:$P,0)),"⚠未検出")</f>
        <v>人を介さないシステム同士の通信で、機械が自分の身元を証明する仕組みを用意するか</v>
      </c>
      <c r="D8" s="69" t="str">
        <f>IFERROR(INDEX(進捗一覧!$H:$H,MATCH($A8,進捗一覧!$P:$P,0)),"⚠未検出")</f>
        <v>対象外</v>
      </c>
      <c r="E8" s="67" t="s">
        <v>936</v>
      </c>
      <c r="F8" s="69" t="s">
        <v>941</v>
      </c>
      <c r="G8" s="69" t="s">
        <v>938</v>
      </c>
      <c r="H8" s="77" t="s">
        <v>944</v>
      </c>
    </row>
    <row r="9" spans="1:8" ht="16">
      <c r="A9" s="66" t="s">
        <v>23</v>
      </c>
      <c r="B9" s="67" t="str">
        <f>IFERROR(INDEX(進捗一覧!$O:$O,MATCH($A9,進捗一覧!$P:$P,0)),"⚠未検出")</f>
        <v>FR-AUTH 認証フロー/Grant Type</v>
      </c>
      <c r="C9" s="68" t="str">
        <f>IFERROR(INDEX(進捗一覧!$E:$E,MATCH($A9,進捗一覧!$P:$P,0)),"⚠未検出")</f>
        <v>あるシステム向けの通行証を別システム向けに引き換える仕組みが必要か</v>
      </c>
      <c r="D9" s="69" t="str">
        <f>IFERROR(INDEX(進捗一覧!$H:$H,MATCH($A9,進捗一覧!$P:$P,0)),"⚠未検出")</f>
        <v>外部待ち</v>
      </c>
      <c r="E9" s="67" t="s">
        <v>945</v>
      </c>
      <c r="F9" s="69" t="s">
        <v>941</v>
      </c>
      <c r="G9" s="69" t="s">
        <v>938</v>
      </c>
      <c r="H9" s="77" t="s">
        <v>946</v>
      </c>
    </row>
    <row r="10" spans="1:8" ht="16">
      <c r="A10" s="66" t="s">
        <v>25</v>
      </c>
      <c r="B10" s="67" t="str">
        <f>IFERROR(INDEX(進捗一覧!$O:$O,MATCH($A10,進捗一覧!$P:$P,0)),"⚠未検出")</f>
        <v>FR-AUTH 認証フロー/Grant Type</v>
      </c>
      <c r="C10" s="68" t="str">
        <f>IFERROR(INDEX(進捗一覧!$E:$E,MATCH($A10,進捗一覧!$P:$P,0)),"⚠未検出")</f>
        <v>テレビやプリンタのように文字入力が難しい機器からログインする必要があるか</v>
      </c>
      <c r="D10" s="69" t="str">
        <f>IFERROR(INDEX(進捗一覧!$H:$H,MATCH($A10,進捗一覧!$P:$P,0)),"⚠未検出")</f>
        <v>対象外</v>
      </c>
      <c r="E10" s="67" t="s">
        <v>1059</v>
      </c>
      <c r="F10" s="69" t="s">
        <v>1401</v>
      </c>
      <c r="G10" s="69" t="s">
        <v>1060</v>
      </c>
      <c r="H10" s="77" t="s">
        <v>1402</v>
      </c>
    </row>
    <row r="11" spans="1:8" ht="16">
      <c r="A11" s="66" t="s">
        <v>27</v>
      </c>
      <c r="B11" s="67" t="str">
        <f>IFERROR(INDEX(進捗一覧!$O:$O,MATCH($A11,進捗一覧!$P:$P,0)),"⚠未検出")</f>
        <v>FR-AUTH 認証フロー/Grant Type</v>
      </c>
      <c r="C11" s="68" t="str">
        <f>IFERROR(INDEX(進捗一覧!$E:$E,MATCH($A11,進捗一覧!$P:$P,0)),"⚠未検出")</f>
        <v>電子証明書を使ってアプリ自身の身元を証明させる必要があるか</v>
      </c>
      <c r="D11" s="69" t="str">
        <f>IFERROR(INDEX(進捗一覧!$H:$H,MATCH($A11,進捗一覧!$P:$P,0)),"⚠未検出")</f>
        <v>対象外</v>
      </c>
      <c r="E11" s="67" t="s">
        <v>1443</v>
      </c>
      <c r="F11" s="69" t="s">
        <v>1444</v>
      </c>
      <c r="G11" s="69" t="s">
        <v>1057</v>
      </c>
      <c r="H11" s="77" t="s">
        <v>1445</v>
      </c>
    </row>
    <row r="12" spans="1:8" ht="16">
      <c r="A12" s="66" t="s">
        <v>29</v>
      </c>
      <c r="B12" s="67" t="str">
        <f>IFERROR(INDEX(進捗一覧!$O:$O,MATCH($A12,進捗一覧!$P:$P,0)),"⚠未検出")</f>
        <v>FR-AUTH 認証フロー/Grant Type</v>
      </c>
      <c r="C12" s="68" t="str">
        <f>IFERROR(INDEX(進捗一覧!$E:$E,MATCH($A12,進捗一覧!$P:$P,0)),"⚠未検出")</f>
        <v>IDとパスワードを直接アプリに預ける古い方式は使わない、という方針を確認する</v>
      </c>
      <c r="D12" s="69" t="str">
        <f>IFERROR(INDEX(進捗一覧!$H:$H,MATCH($A12,進捗一覧!$P:$P,0)),"⚠未検出")</f>
        <v>確定</v>
      </c>
      <c r="E12" s="67" t="s">
        <v>930</v>
      </c>
      <c r="F12" s="69" t="s">
        <v>941</v>
      </c>
      <c r="G12" s="69" t="s">
        <v>948</v>
      </c>
      <c r="H12" s="77" t="s">
        <v>949</v>
      </c>
    </row>
    <row r="13" spans="1:8" ht="16">
      <c r="A13" s="66" t="s">
        <v>32</v>
      </c>
      <c r="B13" s="67" t="str">
        <f>IFERROR(INDEX(進捗一覧!$O:$O,MATCH($A13,進捗一覧!$P:$P,0)),"⚠未検出")</f>
        <v>FR-AUTH パスワード・ローカルユーザー管理</v>
      </c>
      <c r="C13" s="68" t="str">
        <f>IFERROR(INDEX(進捗一覧!$E:$E,MATCH($A13,進捗一覧!$P:$P,0)),"⚠未検出")</f>
        <v>パスワードの最低文字数や、記号・数字を混ぜる条件をどう決めるか</v>
      </c>
      <c r="D13" s="69" t="str">
        <f>IFERROR(INDEX(進捗一覧!$H:$H,MATCH($A13,進捗一覧!$P:$P,0)),"⚠未検出")</f>
        <v>確定</v>
      </c>
      <c r="E13" s="67" t="s">
        <v>1088</v>
      </c>
      <c r="F13" s="69" t="s">
        <v>1089</v>
      </c>
      <c r="G13" s="69" t="s">
        <v>1065</v>
      </c>
      <c r="H13" s="77" t="s">
        <v>1090</v>
      </c>
    </row>
    <row r="14" spans="1:8" ht="16">
      <c r="A14" s="66" t="s">
        <v>35</v>
      </c>
      <c r="B14" s="67" t="str">
        <f>IFERROR(INDEX(進捗一覧!$O:$O,MATCH($A14,進捗一覧!$P:$P,0)),"⚠未検出")</f>
        <v>FR-AUTH パスワード・ローカルユーザー管理</v>
      </c>
      <c r="C14" s="68" t="str">
        <f>IFERROR(INDEX(進捗一覧!$E:$E,MATCH($A14,進捗一覧!$P:$P,0)),"⚠未検出")</f>
        <v>過去に使ったパスワードの再利用を禁止するか。禁止するなら何世代さかのぼるか</v>
      </c>
      <c r="D14" s="69" t="str">
        <f>IFERROR(INDEX(進捗一覧!$H:$H,MATCH($A14,進捗一覧!$P:$P,0)),"⚠未検出")</f>
        <v>外部待ち</v>
      </c>
      <c r="E14" s="67" t="s">
        <v>1088</v>
      </c>
      <c r="F14" s="69" t="s">
        <v>1089</v>
      </c>
      <c r="G14" s="69" t="s">
        <v>1065</v>
      </c>
      <c r="H14" s="77" t="s">
        <v>1395</v>
      </c>
    </row>
    <row r="15" spans="1:8" ht="16">
      <c r="A15" s="66" t="s">
        <v>37</v>
      </c>
      <c r="B15" s="67" t="str">
        <f>IFERROR(INDEX(進捗一覧!$O:$O,MATCH($A15,進捗一覧!$P:$P,0)),"⚠未検出")</f>
        <v>⚠未検出</v>
      </c>
      <c r="C15" s="68" t="str">
        <f>IFERROR(INDEX(進捗一覧!$E:$E,MATCH($A15,進捗一覧!$P:$P,0)),"⚠未検出")</f>
        <v>⚠未検出</v>
      </c>
      <c r="D15" s="69" t="str">
        <f>IFERROR(INDEX(進捗一覧!$H:$H,MATCH($A15,進捗一覧!$P:$P,0)),"⚠未検出")</f>
        <v>⚠未検出</v>
      </c>
      <c r="E15" s="67" t="s">
        <v>1091</v>
      </c>
      <c r="F15" s="69" t="s">
        <v>1092</v>
      </c>
      <c r="G15" s="69" t="s">
        <v>1065</v>
      </c>
      <c r="H15" s="77" t="s">
        <v>1093</v>
      </c>
    </row>
    <row r="16" spans="1:8" ht="16">
      <c r="A16" s="66" t="s">
        <v>38</v>
      </c>
      <c r="B16" s="67" t="str">
        <f>IFERROR(INDEX(進捗一覧!$O:$O,MATCH($A16,進捗一覧!$P:$P,0)),"⚠未検出")</f>
        <v>FR-AUTH パスワード・ローカルユーザー管理</v>
      </c>
      <c r="C16" s="68" t="str">
        <f>IFERROR(INDEX(進捗一覧!$E:$E,MATCH($A16,進捗一覧!$P:$P,0)),"⚠未検出")</f>
        <v>パスワードに有効期限を設けて定期変更を求めるか。何日で切るか</v>
      </c>
      <c r="D16" s="69" t="str">
        <f>IFERROR(INDEX(進捗一覧!$H:$H,MATCH($A16,進捗一覧!$P:$P,0)),"⚠未検出")</f>
        <v>外部待ち</v>
      </c>
      <c r="E16" s="67" t="s">
        <v>1094</v>
      </c>
      <c r="F16" s="69" t="s">
        <v>1089</v>
      </c>
      <c r="G16" s="69" t="s">
        <v>1072</v>
      </c>
      <c r="H16" s="77" t="s">
        <v>1095</v>
      </c>
    </row>
    <row r="17" spans="1:8" ht="16">
      <c r="A17" s="66" t="s">
        <v>40</v>
      </c>
      <c r="B17" s="67" t="str">
        <f>IFERROR(INDEX(進捗一覧!$O:$O,MATCH($A17,進捗一覧!$P:$P,0)),"⚠未検出")</f>
        <v>⚠未検出</v>
      </c>
      <c r="C17" s="68" t="str">
        <f>IFERROR(INDEX(進捗一覧!$E:$E,MATCH($A17,進捗一覧!$P:$P,0)),"⚠未検出")</f>
        <v>⚠未検出</v>
      </c>
      <c r="D17" s="69" t="str">
        <f>IFERROR(INDEX(進捗一覧!$H:$H,MATCH($A17,進捗一覧!$P:$P,0)),"⚠未検出")</f>
        <v>⚠未検出</v>
      </c>
      <c r="E17" s="67" t="s">
        <v>1055</v>
      </c>
      <c r="F17" s="69" t="s">
        <v>1056</v>
      </c>
      <c r="G17" s="69" t="s">
        <v>1057</v>
      </c>
      <c r="H17" s="77" t="s">
        <v>1058</v>
      </c>
    </row>
    <row r="18" spans="1:8" ht="16">
      <c r="A18" s="66" t="s">
        <v>41</v>
      </c>
      <c r="B18" s="67" t="str">
        <f>IFERROR(INDEX(進捗一覧!$O:$O,MATCH($A18,進捗一覧!$P:$P,0)),"⚠未検出")</f>
        <v>FR-AUTH パスワード・ローカルユーザー管理</v>
      </c>
      <c r="C18" s="68" t="str">
        <f>IFERROR(INDEX(進捗一覧!$E:$E,MATCH($A18,進捗一覧!$P:$P,0)),"⚠未検出")</f>
        <v>初回ログイン時にパスワードの変更を強制するか</v>
      </c>
      <c r="D18" s="69" t="str">
        <f>IFERROR(INDEX(進捗一覧!$H:$H,MATCH($A18,進捗一覧!$P:$P,0)),"⚠未検出")</f>
        <v>外部待ち</v>
      </c>
      <c r="E18" s="67" t="s">
        <v>1088</v>
      </c>
      <c r="F18" s="69" t="s">
        <v>1089</v>
      </c>
      <c r="G18" s="69" t="s">
        <v>1065</v>
      </c>
      <c r="H18" s="77" t="s">
        <v>1396</v>
      </c>
    </row>
    <row r="19" spans="1:8" ht="16">
      <c r="A19" s="66" t="s">
        <v>44</v>
      </c>
      <c r="B19" s="67" t="str">
        <f>IFERROR(INDEX(進捗一覧!$O:$O,MATCH($A19,進捗一覧!$P:$P,0)),"⚠未検出")</f>
        <v>FR-FED IdP接続種別</v>
      </c>
      <c r="C19" s="68" t="str">
        <f>IFERROR(INDEX(進捗一覧!$E:$E,MATCH($A19,進捗一覧!$P:$P,0)),"⚠未検出")</f>
        <v>既存の認証サービス（Auth0）と連携してログインさせるか</v>
      </c>
      <c r="D19" s="69" t="str">
        <f>IFERROR(INDEX(進捗一覧!$H:$H,MATCH($A19,進捗一覧!$P:$P,0)),"⚠未検出")</f>
        <v>外部待ち</v>
      </c>
      <c r="E19" s="67" t="s">
        <v>950</v>
      </c>
      <c r="F19" s="69" t="s">
        <v>937</v>
      </c>
      <c r="G19" s="69" t="s">
        <v>938</v>
      </c>
      <c r="H19" s="77" t="s">
        <v>951</v>
      </c>
    </row>
    <row r="20" spans="1:8" ht="16">
      <c r="A20" s="66" t="s">
        <v>47</v>
      </c>
      <c r="B20" s="67" t="str">
        <f>IFERROR(INDEX(進捗一覧!$O:$O,MATCH($A20,進捗一覧!$P:$P,0)),"⚠未検出")</f>
        <v>FR-FED IdP接続種別</v>
      </c>
      <c r="C20" s="68" t="str">
        <f>IFERROR(INDEX(進捗一覧!$E:$E,MATCH($A20,進捗一覧!$P:$P,0)),"⚠未検出")</f>
        <v>顧客が使っているMicrosoftのID基盤と連携するか。最優先で確認したい項目</v>
      </c>
      <c r="D20" s="69" t="str">
        <f>IFERROR(INDEX(進捗一覧!$H:$H,MATCH($A20,進捗一覧!$P:$P,0)),"⚠未検出")</f>
        <v>外部待ち</v>
      </c>
      <c r="E20" s="67" t="s">
        <v>952</v>
      </c>
      <c r="F20" s="69" t="s">
        <v>937</v>
      </c>
      <c r="G20" s="69" t="s">
        <v>948</v>
      </c>
      <c r="H20" s="77" t="s">
        <v>953</v>
      </c>
    </row>
    <row r="21" spans="1:8" ht="16">
      <c r="A21" s="66" t="s">
        <v>49</v>
      </c>
      <c r="B21" s="67" t="str">
        <f>IFERROR(INDEX(進捗一覧!$O:$O,MATCH($A21,進捗一覧!$P:$P,0)),"⚠未検出")</f>
        <v>FR-FED IdP接続種別</v>
      </c>
      <c r="C21" s="68" t="str">
        <f>IFERROR(INDEX(進捗一覧!$E:$E,MATCH($A21,進捗一覧!$P:$P,0)),"⚠未検出")</f>
        <v>顧客が使っているOktaと連携するか</v>
      </c>
      <c r="D21" s="69" t="str">
        <f>IFERROR(INDEX(進捗一覧!$H:$H,MATCH($A21,進捗一覧!$P:$P,0)),"⚠未検出")</f>
        <v>外部待ち</v>
      </c>
      <c r="E21" s="67" t="s">
        <v>952</v>
      </c>
      <c r="F21" s="69" t="s">
        <v>937</v>
      </c>
      <c r="G21" s="69" t="s">
        <v>948</v>
      </c>
      <c r="H21" s="77" t="s">
        <v>954</v>
      </c>
    </row>
    <row r="22" spans="1:8" ht="16">
      <c r="A22" s="66" t="s">
        <v>51</v>
      </c>
      <c r="B22" s="67" t="str">
        <f>IFERROR(INDEX(進捗一覧!$O:$O,MATCH($A22,進捗一覧!$P:$P,0)),"⚠未検出")</f>
        <v>FR-FED IdP接続種別</v>
      </c>
      <c r="C22" s="68" t="str">
        <f>IFERROR(INDEX(進捗一覧!$E:$E,MATCH($A22,進捗一覧!$P:$P,0)),"⚠未検出")</f>
        <v>Google Workspaceのアカウントでログインできるようにするか</v>
      </c>
      <c r="D22" s="69" t="str">
        <f>IFERROR(INDEX(進捗一覧!$H:$H,MATCH($A22,進捗一覧!$P:$P,0)),"⚠未検出")</f>
        <v>外部待ち</v>
      </c>
      <c r="E22" s="67" t="s">
        <v>896</v>
      </c>
      <c r="F22" s="69" t="s">
        <v>937</v>
      </c>
      <c r="G22" s="69" t="s">
        <v>948</v>
      </c>
      <c r="H22" s="77" t="s">
        <v>955</v>
      </c>
    </row>
    <row r="23" spans="1:8" ht="16">
      <c r="A23" s="66" t="s">
        <v>53</v>
      </c>
      <c r="B23" s="67" t="str">
        <f>IFERROR(INDEX(進捗一覧!$O:$O,MATCH($A23,進捗一覧!$P:$P,0)),"⚠未検出")</f>
        <v>FR-FED IdP接続種別</v>
      </c>
      <c r="C23" s="68" t="str">
        <f>IFERROR(INDEX(進捗一覧!$E:$E,MATCH($A23,進捗一覧!$P:$P,0)),"⚠未検出")</f>
        <v>顧客側の旧来方式（SAML）のID基盤を受け入れる必要があるか</v>
      </c>
      <c r="D23" s="69" t="str">
        <f>IFERROR(INDEX(進捗一覧!$H:$H,MATCH($A23,進捗一覧!$P:$P,0)),"⚠未検出")</f>
        <v>外部待ち</v>
      </c>
      <c r="E23" s="67" t="s">
        <v>900</v>
      </c>
      <c r="F23" s="69" t="s">
        <v>937</v>
      </c>
      <c r="G23" s="69" t="s">
        <v>948</v>
      </c>
      <c r="H23" s="77" t="s">
        <v>956</v>
      </c>
    </row>
    <row r="24" spans="1:8" ht="16">
      <c r="A24" s="66" t="s">
        <v>55</v>
      </c>
      <c r="B24" s="67" t="str">
        <f>IFERROR(INDEX(進捗一覧!$O:$O,MATCH($A24,進捗一覧!$P:$P,0)),"⚠未検出")</f>
        <v>FR-FED IdP接続種別</v>
      </c>
      <c r="C24" s="68" t="str">
        <f>IFERROR(INDEX(進捗一覧!$E:$E,MATCH($A24,進捗一覧!$P:$P,0)),"⚠未検出")</f>
        <v>自分たちが旧来方式（SAML）のID提供元として振る舞う必要があるか</v>
      </c>
      <c r="D24" s="69" t="str">
        <f>IFERROR(INDEX(進捗一覧!$H:$H,MATCH($A24,進捗一覧!$P:$P,0)),"⚠未検出")</f>
        <v>外部待ち</v>
      </c>
      <c r="E24" s="67" t="s">
        <v>1403</v>
      </c>
      <c r="F24" s="69" t="s">
        <v>1263</v>
      </c>
      <c r="G24" s="69" t="s">
        <v>1065</v>
      </c>
      <c r="H24" s="77" t="s">
        <v>1404</v>
      </c>
    </row>
    <row r="25" spans="1:8" ht="16">
      <c r="A25" s="66" t="s">
        <v>57</v>
      </c>
      <c r="B25" s="67" t="str">
        <f>IFERROR(INDEX(進捗一覧!$O:$O,MATCH($A25,進捗一覧!$P:$P,0)),"⚠未検出")</f>
        <v>FR-FED IdP接続種別</v>
      </c>
      <c r="C25" s="68" t="str">
        <f>IFERROR(INDEX(進捗一覧!$E:$E,MATCH($A25,進捗一覧!$P:$P,0)),"⚠未検出")</f>
        <v>社内のディレクトリサーバー（LDAP/AD）と直接つなぐ必要があるか</v>
      </c>
      <c r="D25" s="69" t="str">
        <f>IFERROR(INDEX(進捗一覧!$H:$H,MATCH($A25,進捗一覧!$P:$P,0)),"⚠未検出")</f>
        <v>確定</v>
      </c>
      <c r="E25" s="67" t="s">
        <v>907</v>
      </c>
      <c r="F25" s="69" t="s">
        <v>957</v>
      </c>
      <c r="G25" s="69" t="s">
        <v>958</v>
      </c>
      <c r="H25" s="77" t="s">
        <v>959</v>
      </c>
    </row>
    <row r="26" spans="1:8" ht="16">
      <c r="A26" s="66" t="s">
        <v>59</v>
      </c>
      <c r="B26" s="67" t="str">
        <f>IFERROR(INDEX(進捗一覧!$O:$O,MATCH($A26,進捗一覧!$P:$P,0)),"⚠未検出")</f>
        <v>⚠未検出</v>
      </c>
      <c r="C26" s="68" t="str">
        <f>IFERROR(INDEX(進捗一覧!$E:$E,MATCH($A26,進捗一覧!$P:$P,0)),"⚠未検出")</f>
        <v>⚠未検出</v>
      </c>
      <c r="D26" s="69" t="str">
        <f>IFERROR(INDEX(進捗一覧!$H:$H,MATCH($A26,進捗一覧!$P:$P,0)),"⚠未検出")</f>
        <v>⚠未検出</v>
      </c>
      <c r="E26" s="67" t="s">
        <v>1061</v>
      </c>
      <c r="F26" s="69" t="s">
        <v>1056</v>
      </c>
      <c r="G26" s="69" t="s">
        <v>1057</v>
      </c>
      <c r="H26" s="77" t="s">
        <v>1062</v>
      </c>
    </row>
    <row r="27" spans="1:8" ht="16">
      <c r="A27" s="66" t="s">
        <v>61</v>
      </c>
      <c r="B27" s="67" t="str">
        <f>IFERROR(INDEX(進捗一覧!$O:$O,MATCH($A27,進捗一覧!$P:$P,0)),"⚠未検出")</f>
        <v>FR-FED フェデレーションユーザー処理</v>
      </c>
      <c r="C27" s="68"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69" t="str">
        <f>IFERROR(INDEX(進捗一覧!$H:$H,MATCH($A27,進捗一覧!$P:$P,0)),"⚠未検出")</f>
        <v>外部待ち</v>
      </c>
      <c r="E27" s="67" t="s">
        <v>960</v>
      </c>
      <c r="F27" s="69" t="s">
        <v>961</v>
      </c>
      <c r="G27" s="69" t="s">
        <v>938</v>
      </c>
      <c r="H27" s="77" t="s">
        <v>962</v>
      </c>
    </row>
    <row r="28" spans="1:8" ht="16">
      <c r="A28" s="66" t="s">
        <v>64</v>
      </c>
      <c r="B28" s="67" t="str">
        <f>IFERROR(INDEX(進捗一覧!$O:$O,MATCH($A28,進捗一覧!$P:$P,0)),"⚠未検出")</f>
        <v>⚠未検出</v>
      </c>
      <c r="C28" s="68" t="str">
        <f>IFERROR(INDEX(進捗一覧!$E:$E,MATCH($A28,進捗一覧!$P:$P,0)),"⚠未検出")</f>
        <v>⚠未検出</v>
      </c>
      <c r="D28" s="69" t="str">
        <f>IFERROR(INDEX(進捗一覧!$H:$H,MATCH($A28,進捗一覧!$P:$P,0)),"⚠未検出")</f>
        <v>⚠未検出</v>
      </c>
      <c r="E28" s="67" t="s">
        <v>963</v>
      </c>
      <c r="F28" s="69" t="s">
        <v>961</v>
      </c>
      <c r="G28" s="69" t="s">
        <v>938</v>
      </c>
      <c r="H28" s="77" t="s">
        <v>964</v>
      </c>
    </row>
    <row r="29" spans="1:8" ht="16">
      <c r="A29" s="66" t="s">
        <v>65</v>
      </c>
      <c r="B29" s="67" t="str">
        <f>IFERROR(INDEX(進捗一覧!$O:$O,MATCH($A29,進捗一覧!$P:$P,0)),"⚠未検出")</f>
        <v>FR-FED フェデレーションユーザー処理</v>
      </c>
      <c r="C29" s="68" t="str">
        <f>IFERROR(INDEX(進捗一覧!$E:$E,MATCH($A29,進捗一覧!$P:$P,0)),"⚠未検出")</f>
        <v>顧客側で追加認証を済ませた利用者に、こちらで二重に求めないための条件をどうするか</v>
      </c>
      <c r="D29" s="69" t="str">
        <f>IFERROR(INDEX(進捗一覧!$H:$H,MATCH($A29,進捗一覧!$P:$P,0)),"⚠未検出")</f>
        <v>確定</v>
      </c>
      <c r="E29" s="67" t="s">
        <v>965</v>
      </c>
      <c r="F29" s="69" t="s">
        <v>937</v>
      </c>
      <c r="G29" s="69" t="s">
        <v>938</v>
      </c>
      <c r="H29" s="77" t="s">
        <v>966</v>
      </c>
    </row>
    <row r="30" spans="1:8" ht="16">
      <c r="A30" s="66" t="s">
        <v>68</v>
      </c>
      <c r="B30" s="67" t="str">
        <f>IFERROR(INDEX(進捗一覧!$O:$O,MATCH($A30,進捗一覧!$P:$P,0)),"⚠未検出")</f>
        <v>FR-FED マルチテナント運用</v>
      </c>
      <c r="C30" s="68" t="str">
        <f>IFERROR(INDEX(進捗一覧!$E:$E,MATCH($A30,進捗一覧!$P:$P,0)),"⚠未検出")</f>
        <v>複数の顧客のID基盤を同時に並行運用する前提でよいか</v>
      </c>
      <c r="D30" s="69" t="str">
        <f>IFERROR(INDEX(進捗一覧!$H:$H,MATCH($A30,進捗一覧!$P:$P,0)),"⚠未検出")</f>
        <v>確定</v>
      </c>
      <c r="E30" s="67" t="s">
        <v>967</v>
      </c>
      <c r="F30" s="69" t="s">
        <v>937</v>
      </c>
      <c r="G30" s="69" t="s">
        <v>938</v>
      </c>
      <c r="H30" s="77" t="s">
        <v>968</v>
      </c>
    </row>
    <row r="31" spans="1:8" ht="16">
      <c r="A31" s="66" t="s">
        <v>71</v>
      </c>
      <c r="B31" s="67" t="str">
        <f>IFERROR(INDEX(進捗一覧!$O:$O,MATCH($A31,進捗一覧!$P:$P,0)),"⚠未検出")</f>
        <v>FR-FED マルチテナント運用</v>
      </c>
      <c r="C31" s="68" t="str">
        <f>IFERROR(INDEX(進捗一覧!$E:$E,MATCH($A31,進捗一覧!$P:$P,0)),"⚠未検出")</f>
        <v>新しい顧客を追加するときの申請から開通までの手順と、所要日数をどうするか</v>
      </c>
      <c r="D31" s="69" t="str">
        <f>IFERROR(INDEX(進捗一覧!$H:$H,MATCH($A31,進捗一覧!$P:$P,0)),"⚠未検出")</f>
        <v>外部待ち</v>
      </c>
      <c r="E31" s="67" t="s">
        <v>904</v>
      </c>
      <c r="F31" s="69" t="s">
        <v>937</v>
      </c>
      <c r="G31" s="69" t="s">
        <v>948</v>
      </c>
      <c r="H31" s="77" t="s">
        <v>969</v>
      </c>
    </row>
    <row r="32" spans="1:8" ht="16">
      <c r="A32" s="66" t="s">
        <v>73</v>
      </c>
      <c r="B32" s="67" t="str">
        <f>IFERROR(INDEX(進捗一覧!$O:$O,MATCH($A32,進捗一覧!$P:$P,0)),"⚠未検出")</f>
        <v>⚠未検出</v>
      </c>
      <c r="C32" s="68" t="str">
        <f>IFERROR(INDEX(進捗一覧!$E:$E,MATCH($A32,進捗一覧!$P:$P,0)),"⚠未検出")</f>
        <v>⚠未検出</v>
      </c>
      <c r="D32" s="69" t="str">
        <f>IFERROR(INDEX(進捗一覧!$H:$H,MATCH($A32,進捗一覧!$P:$P,0)),"⚠未検出")</f>
        <v>⚠未検出</v>
      </c>
      <c r="E32" s="67" t="s">
        <v>1063</v>
      </c>
      <c r="F32" s="69" t="s">
        <v>1064</v>
      </c>
      <c r="G32" s="69" t="s">
        <v>1065</v>
      </c>
      <c r="H32" s="77" t="s">
        <v>1066</v>
      </c>
    </row>
    <row r="33" spans="1:8" ht="16">
      <c r="A33" s="66" t="s">
        <v>75</v>
      </c>
      <c r="B33" s="67" t="str">
        <f>IFERROR(INDEX(進捗一覧!$O:$O,MATCH($A33,進捗一覧!$P:$P,0)),"⚠未検出")</f>
        <v>FR-MFA MFA要素</v>
      </c>
      <c r="C33" s="68" t="str">
        <f>IFERROR(INDEX(進捗一覧!$E:$E,MATCH($A33,進捗一覧!$P:$P,0)),"⚠未検出")</f>
        <v>スマホの認証アプリによる追加確認を用意するか</v>
      </c>
      <c r="D33" s="69" t="str">
        <f>IFERROR(INDEX(進捗一覧!$H:$H,MATCH($A33,進捗一覧!$P:$P,0)),"⚠未検出")</f>
        <v>外部待ち</v>
      </c>
      <c r="E33" s="67" t="s">
        <v>1067</v>
      </c>
      <c r="F33" s="69" t="s">
        <v>1064</v>
      </c>
      <c r="G33" s="69" t="s">
        <v>1065</v>
      </c>
      <c r="H33" s="77" t="s">
        <v>1068</v>
      </c>
    </row>
    <row r="34" spans="1:8" ht="16">
      <c r="A34" s="66" t="s">
        <v>78</v>
      </c>
      <c r="B34" s="67" t="str">
        <f>IFERROR(INDEX(進捗一覧!$O:$O,MATCH($A34,進捗一覧!$P:$P,0)),"⚠未検出")</f>
        <v>FR-MFA MFA要素</v>
      </c>
      <c r="C34" s="68" t="str">
        <f>IFERROR(INDEX(進捗一覧!$E:$E,MATCH($A34,進捗一覧!$P:$P,0)),"⚠未検出")</f>
        <v>指紋・顔認証やセキュリティキーを使ったパスワード不要のログインを用意するか</v>
      </c>
      <c r="D34" s="69" t="str">
        <f>IFERROR(INDEX(進捗一覧!$H:$H,MATCH($A34,進捗一覧!$P:$P,0)),"⚠未検出")</f>
        <v>外部待ち</v>
      </c>
      <c r="E34" s="67" t="s">
        <v>1069</v>
      </c>
      <c r="F34" s="69" t="s">
        <v>1064</v>
      </c>
      <c r="G34" s="69" t="s">
        <v>1065</v>
      </c>
      <c r="H34" s="77" t="s">
        <v>1070</v>
      </c>
    </row>
    <row r="35" spans="1:8" ht="16">
      <c r="A35" s="66" t="s">
        <v>80</v>
      </c>
      <c r="B35" s="67" t="str">
        <f>IFERROR(INDEX(進捗一覧!$O:$O,MATCH($A35,進捗一覧!$P:$P,0)),"⚠未検出")</f>
        <v>FR-MFA MFA要素</v>
      </c>
      <c r="C35" s="68" t="str">
        <f>IFERROR(INDEX(進捗一覧!$E:$E,MATCH($A35,進捗一覧!$P:$P,0)),"⚠未検出")</f>
        <v>SMS（携帯メッセージ）による追加確認を用意するか。費用と安全性をどう見るか</v>
      </c>
      <c r="D35" s="69" t="str">
        <f>IFERROR(INDEX(進捗一覧!$H:$H,MATCH($A35,進捗一覧!$P:$P,0)),"⚠未検出")</f>
        <v>外部待ち</v>
      </c>
      <c r="E35" s="67" t="s">
        <v>1071</v>
      </c>
      <c r="F35" s="69" t="s">
        <v>1056</v>
      </c>
      <c r="G35" s="69" t="s">
        <v>1072</v>
      </c>
      <c r="H35" s="77" t="s">
        <v>1073</v>
      </c>
    </row>
    <row r="36" spans="1:8" ht="16">
      <c r="A36" s="66" t="s">
        <v>82</v>
      </c>
      <c r="B36" s="67" t="str">
        <f>IFERROR(INDEX(進捗一覧!$O:$O,MATCH($A36,進捗一覧!$P:$P,0)),"⚠未検出")</f>
        <v>FR-MFA MFA要素</v>
      </c>
      <c r="C36" s="68" t="str">
        <f>IFERROR(INDEX(進捗一覧!$E:$E,MATCH($A36,進捗一覧!$P:$P,0)),"⚠未検出")</f>
        <v>メールによる追加確認を用意するか</v>
      </c>
      <c r="D36" s="69" t="str">
        <f>IFERROR(INDEX(進捗一覧!$H:$H,MATCH($A36,進捗一覧!$P:$P,0)),"⚠未検出")</f>
        <v>外部待ち</v>
      </c>
      <c r="E36" s="67" t="s">
        <v>1094</v>
      </c>
      <c r="F36" s="69" t="s">
        <v>1089</v>
      </c>
      <c r="G36" s="69" t="s">
        <v>1072</v>
      </c>
      <c r="H36" s="77" t="s">
        <v>1397</v>
      </c>
    </row>
    <row r="37" spans="1:8" ht="16">
      <c r="A37" s="66" t="s">
        <v>84</v>
      </c>
      <c r="B37" s="67" t="str">
        <f>IFERROR(INDEX(進捗一覧!$O:$O,MATCH($A37,進捗一覧!$P:$P,0)),"⚠未検出")</f>
        <v>⚠未検出</v>
      </c>
      <c r="C37" s="68" t="str">
        <f>IFERROR(INDEX(進捗一覧!$E:$E,MATCH($A37,進捗一覧!$P:$P,0)),"⚠未検出")</f>
        <v>⚠未検出</v>
      </c>
      <c r="D37" s="69" t="str">
        <f>IFERROR(INDEX(進捗一覧!$H:$H,MATCH($A37,進捗一覧!$P:$P,0)),"⚠未検出")</f>
        <v>⚠未検出</v>
      </c>
      <c r="E37" s="67" t="s">
        <v>1055</v>
      </c>
      <c r="F37" s="69" t="s">
        <v>1056</v>
      </c>
      <c r="G37" s="69" t="s">
        <v>1065</v>
      </c>
      <c r="H37" s="77" t="s">
        <v>1074</v>
      </c>
    </row>
    <row r="38" spans="1:8" ht="16">
      <c r="A38" s="66" t="s">
        <v>86</v>
      </c>
      <c r="B38" s="67" t="str">
        <f>IFERROR(INDEX(進捗一覧!$O:$O,MATCH($A38,進捗一覧!$P:$P,0)),"⚠未検出")</f>
        <v>FR-MFA MFA適用ポリシー</v>
      </c>
      <c r="C38" s="68" t="str">
        <f>IFERROR(INDEX(進捗一覧!$E:$E,MATCH($A38,進捗一覧!$P:$P,0)),"⚠未検出")</f>
        <v>普段と違う場所や不審な状況のときだけ追加確認を求めるか。その判定基準をどうするか</v>
      </c>
      <c r="D38" s="69" t="str">
        <f>IFERROR(INDEX(進捗一覧!$H:$H,MATCH($A38,進捗一覧!$P:$P,0)),"⚠未検出")</f>
        <v>確定</v>
      </c>
      <c r="E38" s="67" t="s">
        <v>1075</v>
      </c>
      <c r="F38" s="69" t="s">
        <v>1064</v>
      </c>
      <c r="G38" s="69" t="s">
        <v>1057</v>
      </c>
      <c r="H38" s="77" t="s">
        <v>1076</v>
      </c>
    </row>
    <row r="39" spans="1:8" ht="16">
      <c r="A39" s="66" t="s">
        <v>89</v>
      </c>
      <c r="B39" s="67" t="str">
        <f>IFERROR(INDEX(進捗一覧!$O:$O,MATCH($A39,進捗一覧!$P:$P,0)),"⚠未検出")</f>
        <v>FR-MFA MFA適用ポリシー</v>
      </c>
      <c r="C39" s="68" t="str">
        <f>IFERROR(INDEX(進捗一覧!$E:$E,MATCH($A39,進捗一覧!$P:$P,0)),"⚠未検出")</f>
        <v>追加確認を全員必須にするか、役割ごとに任意とするか</v>
      </c>
      <c r="D39" s="69" t="str">
        <f>IFERROR(INDEX(進捗一覧!$H:$H,MATCH($A39,進捗一覧!$P:$P,0)),"⚠未検出")</f>
        <v>確定</v>
      </c>
      <c r="E39" s="67" t="s">
        <v>1067</v>
      </c>
      <c r="F39" s="69" t="s">
        <v>1064</v>
      </c>
      <c r="G39" s="69" t="s">
        <v>1065</v>
      </c>
      <c r="H39" s="77" t="s">
        <v>1077</v>
      </c>
    </row>
    <row r="40" spans="1:8" ht="16">
      <c r="A40" s="66" t="s">
        <v>91</v>
      </c>
      <c r="B40" s="67" t="str">
        <f>IFERROR(INDEX(進捗一覧!$O:$O,MATCH($A40,進捗一覧!$P:$P,0)),"⚠未検出")</f>
        <v>⚠未検出</v>
      </c>
      <c r="C40" s="68" t="str">
        <f>IFERROR(INDEX(進捗一覧!$E:$E,MATCH($A40,進捗一覧!$P:$P,0)),"⚠未検出")</f>
        <v>⚠未検出</v>
      </c>
      <c r="D40" s="69" t="str">
        <f>IFERROR(INDEX(進捗一覧!$H:$H,MATCH($A40,進捗一覧!$P:$P,0)),"⚠未検出")</f>
        <v>⚠未検出</v>
      </c>
      <c r="E40" s="67" t="s">
        <v>1059</v>
      </c>
      <c r="F40" s="69" t="s">
        <v>1056</v>
      </c>
      <c r="G40" s="69" t="s">
        <v>1057</v>
      </c>
      <c r="H40" s="77" t="s">
        <v>1078</v>
      </c>
    </row>
    <row r="41" spans="1:8" ht="16">
      <c r="A41" s="66" t="s">
        <v>92</v>
      </c>
      <c r="B41" s="67" t="str">
        <f>IFERROR(INDEX(進捗一覧!$O:$O,MATCH($A41,進捗一覧!$P:$P,0)),"⚠未検出")</f>
        <v>FR-MFA MFA適用ポリシー</v>
      </c>
      <c r="C41" s="68" t="str">
        <f>IFERROR(INDEX(進捗一覧!$E:$E,MATCH($A41,進捗一覧!$P:$P,0)),"⚠未検出")</f>
        <v>管理者権限を持つ人には追加確認を必須にするか</v>
      </c>
      <c r="D41" s="69" t="str">
        <f>IFERROR(INDEX(進捗一覧!$H:$H,MATCH($A41,進捗一覧!$P:$P,0)),"⚠未検出")</f>
        <v>確定</v>
      </c>
      <c r="E41" s="67" t="s">
        <v>895</v>
      </c>
      <c r="F41" s="69" t="s">
        <v>937</v>
      </c>
      <c r="G41" s="69" t="s">
        <v>938</v>
      </c>
      <c r="H41" s="77" t="s">
        <v>970</v>
      </c>
    </row>
    <row r="42" spans="1:8" ht="16">
      <c r="A42" s="66" t="s">
        <v>95</v>
      </c>
      <c r="B42" s="67" t="str">
        <f>IFERROR(INDEX(進捗一覧!$O:$O,MATCH($A42,進捗一覧!$P:$P,0)),"⚠未検出")</f>
        <v>FR-SSO SSO</v>
      </c>
      <c r="C42" s="68" t="str">
        <f>IFERROR(INDEX(進捗一覧!$E:$E,MATCH($A42,進捗一覧!$P:$P,0)),"⚠未検出")</f>
        <v>一度ログインすれば複数のアプリを使い回せる状態にするか</v>
      </c>
      <c r="D42" s="69" t="str">
        <f>IFERROR(INDEX(進捗一覧!$H:$H,MATCH($A42,進捗一覧!$P:$P,0)),"⚠未検出")</f>
        <v>確定</v>
      </c>
      <c r="E42" s="67" t="s">
        <v>920</v>
      </c>
      <c r="F42" s="69" t="s">
        <v>941</v>
      </c>
      <c r="G42" s="69" t="s">
        <v>938</v>
      </c>
      <c r="H42" s="77" t="s">
        <v>971</v>
      </c>
    </row>
    <row r="43" spans="1:8" ht="16">
      <c r="A43" s="66" t="s">
        <v>98</v>
      </c>
      <c r="B43" s="67" t="str">
        <f>IFERROR(INDEX(進捗一覧!$O:$O,MATCH($A43,進捗一覧!$P:$P,0)),"⚠未検出")</f>
        <v>FR-SSO SSO</v>
      </c>
      <c r="C43" s="68" t="str">
        <f>IFERROR(INDEX(進捗一覧!$E:$E,MATCH($A43,進捗一覧!$P:$P,0)),"⚠未検出")</f>
        <v>顧客側のID基盤を経由した場合も同じく使い回せるようにするか</v>
      </c>
      <c r="D43" s="69" t="str">
        <f>IFERROR(INDEX(進捗一覧!$H:$H,MATCH($A43,進捗一覧!$P:$P,0)),"⚠未検出")</f>
        <v>外部待ち</v>
      </c>
      <c r="E43" s="67" t="s">
        <v>972</v>
      </c>
      <c r="F43" s="69" t="s">
        <v>937</v>
      </c>
      <c r="G43" s="69" t="s">
        <v>938</v>
      </c>
      <c r="H43" s="77" t="s">
        <v>973</v>
      </c>
    </row>
    <row r="44" spans="1:8" ht="16">
      <c r="A44" s="66" t="s">
        <v>101</v>
      </c>
      <c r="B44" s="67" t="str">
        <f>IFERROR(INDEX(進捗一覧!$O:$O,MATCH($A44,進捗一覧!$P:$P,0)),"⚠未検出")</f>
        <v>⚠未検出</v>
      </c>
      <c r="C44" s="68" t="str">
        <f>IFERROR(INDEX(進捗一覧!$E:$E,MATCH($A44,進捗一覧!$P:$P,0)),"⚠未検出")</f>
        <v>⚠未検出</v>
      </c>
      <c r="D44" s="69" t="str">
        <f>IFERROR(INDEX(進捗一覧!$H:$H,MATCH($A44,進捗一覧!$P:$P,0)),"⚠未検出")</f>
        <v>⚠未検出</v>
      </c>
      <c r="E44" s="67" t="s">
        <v>927</v>
      </c>
      <c r="F44" s="69" t="s">
        <v>941</v>
      </c>
      <c r="G44" s="69" t="s">
        <v>938</v>
      </c>
      <c r="H44" s="77" t="s">
        <v>974</v>
      </c>
    </row>
    <row r="45" spans="1:8" ht="16">
      <c r="A45" s="66" t="s">
        <v>103</v>
      </c>
      <c r="B45" s="67" t="str">
        <f>IFERROR(INDEX(進捗一覧!$O:$O,MATCH($A45,進捗一覧!$P:$P,0)),"⚠未検出")</f>
        <v>FR-SSO ログアウト</v>
      </c>
      <c r="C45" s="68" t="str">
        <f>IFERROR(INDEX(進捗一覧!$E:$E,MATCH($A45,進捗一覧!$P:$P,0)),"⚠未検出")</f>
        <v>ログアウト時に認証基盤側のログイン状態も併せて消すか</v>
      </c>
      <c r="D45" s="69" t="str">
        <f>IFERROR(INDEX(進捗一覧!$H:$H,MATCH($A45,進捗一覧!$P:$P,0)),"⚠未検出")</f>
        <v>外部待ち</v>
      </c>
      <c r="E45" s="67" t="s">
        <v>927</v>
      </c>
      <c r="F45" s="69" t="s">
        <v>941</v>
      </c>
      <c r="G45" s="69" t="s">
        <v>938</v>
      </c>
      <c r="H45" s="77" t="s">
        <v>975</v>
      </c>
    </row>
    <row r="46" spans="1:8" ht="16">
      <c r="A46" s="66" t="s">
        <v>105</v>
      </c>
      <c r="B46" s="67" t="str">
        <f>IFERROR(INDEX(進捗一覧!$O:$O,MATCH($A46,進捗一覧!$P:$P,0)),"⚠未検出")</f>
        <v>FR-SSO ログアウト</v>
      </c>
      <c r="C46" s="68" t="str">
        <f>IFERROR(INDEX(進捗一覧!$E:$E,MATCH($A46,進捗一覧!$P:$P,0)),"⚠未検出")</f>
        <v>ログアウト時に顧客側のID基盤のログイン状態まで消すか。どこまで連動させるか</v>
      </c>
      <c r="D46" s="69" t="str">
        <f>IFERROR(INDEX(進捗一覧!$H:$H,MATCH($A46,進捗一覧!$P:$P,0)),"⚠未検出")</f>
        <v>外部待ち</v>
      </c>
      <c r="E46" s="67" t="s">
        <v>976</v>
      </c>
      <c r="F46" s="69" t="s">
        <v>977</v>
      </c>
      <c r="G46" s="69" t="s">
        <v>938</v>
      </c>
      <c r="H46" s="77" t="s">
        <v>978</v>
      </c>
    </row>
    <row r="47" spans="1:8" ht="16">
      <c r="A47" s="66" t="s">
        <v>107</v>
      </c>
      <c r="B47" s="67" t="str">
        <f>IFERROR(INDEX(進捗一覧!$O:$O,MATCH($A47,進捗一覧!$P:$P,0)),"⚠未検出")</f>
        <v>FR-SSO ログアウト</v>
      </c>
      <c r="C47" s="68" t="str">
        <f>IFERROR(INDEX(進捗一覧!$E:$E,MATCH($A47,進捗一覧!$P:$P,0)),"⚠未検出")</f>
        <v>利用者のブラウザ経由で各アプリに一斉ログアウトを伝える方式を使うか</v>
      </c>
      <c r="D47" s="69" t="str">
        <f>IFERROR(INDEX(進捗一覧!$H:$H,MATCH($A47,進捗一覧!$P:$P,0)),"⚠未検出")</f>
        <v>外部待ち</v>
      </c>
      <c r="E47" s="67" t="s">
        <v>927</v>
      </c>
      <c r="F47" s="69" t="s">
        <v>941</v>
      </c>
      <c r="G47" s="69" t="s">
        <v>938</v>
      </c>
      <c r="H47" s="77" t="s">
        <v>979</v>
      </c>
    </row>
    <row r="48" spans="1:8" ht="16">
      <c r="A48" s="66" t="s">
        <v>109</v>
      </c>
      <c r="B48" s="67" t="str">
        <f>IFERROR(INDEX(進捗一覧!$O:$O,MATCH($A48,進捗一覧!$P:$P,0)),"⚠未検出")</f>
        <v>FR-SSO ログアウト</v>
      </c>
      <c r="C48" s="68" t="str">
        <f>IFERROR(INDEX(進捗一覧!$E:$E,MATCH($A48,進捗一覧!$P:$P,0)),"⚠未検出")</f>
        <v>サーバー同士の通信で各アプリに確実にログアウトを伝える方式を使うか</v>
      </c>
      <c r="D48" s="69" t="str">
        <f>IFERROR(INDEX(進捗一覧!$H:$H,MATCH($A48,進捗一覧!$P:$P,0)),"⚠未検出")</f>
        <v>外部待ち</v>
      </c>
      <c r="E48" s="67" t="s">
        <v>980</v>
      </c>
      <c r="F48" s="69" t="s">
        <v>941</v>
      </c>
      <c r="G48" s="69" t="s">
        <v>938</v>
      </c>
      <c r="H48" s="77" t="s">
        <v>981</v>
      </c>
    </row>
    <row r="49" spans="1:8" ht="16">
      <c r="A49" s="66" t="s">
        <v>112</v>
      </c>
      <c r="B49" s="67" t="str">
        <f>IFERROR(INDEX(進捗一覧!$O:$O,MATCH($A49,進捗一覧!$P:$P,0)),"⚠未検出")</f>
        <v>FR-SSO セッション管理</v>
      </c>
      <c r="C49" s="68" t="str">
        <f>IFERROR(INDEX(進捗一覧!$E:$E,MATCH($A49,進捗一覧!$P:$P,0)),"⚠未検出")</f>
        <v>無操作が続いたときに自動ログアウトするまでの時間をどうするか</v>
      </c>
      <c r="D49" s="69" t="str">
        <f>IFERROR(INDEX(進捗一覧!$H:$H,MATCH($A49,進捗一覧!$P:$P,0)),"⚠未検出")</f>
        <v>外部待ち</v>
      </c>
      <c r="E49" s="67" t="s">
        <v>1446</v>
      </c>
      <c r="F49" s="69" t="s">
        <v>1447</v>
      </c>
      <c r="G49" s="69" t="s">
        <v>1065</v>
      </c>
      <c r="H49" s="77" t="s">
        <v>1448</v>
      </c>
    </row>
    <row r="50" spans="1:8" ht="16">
      <c r="A50" s="66" t="s">
        <v>115</v>
      </c>
      <c r="B50" s="67" t="str">
        <f>IFERROR(INDEX(進捗一覧!$O:$O,MATCH($A50,進捗一覧!$P:$P,0)),"⚠未検出")</f>
        <v>FR-SSO セッション管理</v>
      </c>
      <c r="C50" s="68" t="str">
        <f>IFERROR(INDEX(進捗一覧!$E:$E,MATCH($A50,進捗一覧!$P:$P,0)),"⚠未検出")</f>
        <v>発行済みの通行証を有効期限前に強制的に無効化できる必要があるか</v>
      </c>
      <c r="D50" s="69" t="str">
        <f>IFERROR(INDEX(進捗一覧!$H:$H,MATCH($A50,進捗一覧!$P:$P,0)),"⚠未検出")</f>
        <v>外部待ち</v>
      </c>
      <c r="E50" s="67" t="s">
        <v>1449</v>
      </c>
      <c r="F50" s="69" t="s">
        <v>1450</v>
      </c>
      <c r="G50" s="69" t="s">
        <v>1065</v>
      </c>
      <c r="H50" s="77" t="s">
        <v>1451</v>
      </c>
    </row>
    <row r="51" spans="1:8" ht="16">
      <c r="A51" s="66" t="s">
        <v>117</v>
      </c>
      <c r="B51" s="67" t="str">
        <f>IFERROR(INDEX(進捗一覧!$O:$O,MATCH($A51,進捗一覧!$P:$P,0)),"⚠未検出")</f>
        <v>FR-SSO セッション管理</v>
      </c>
      <c r="C51" s="68" t="str">
        <f>IFERROR(INDEX(進捗一覧!$E:$E,MATCH($A51,進捗一覧!$P:$P,0)),"⚠未検出")</f>
        <v>管理者が特定の利用者のログイン状態を一括で切断できる機能を用意するか</v>
      </c>
      <c r="D51" s="69" t="str">
        <f>IFERROR(INDEX(進捗一覧!$H:$H,MATCH($A51,進捗一覧!$P:$P,0)),"⚠未検出")</f>
        <v>外部待ち</v>
      </c>
      <c r="E51" s="67" t="s">
        <v>1452</v>
      </c>
      <c r="F51" s="69" t="s">
        <v>1453</v>
      </c>
      <c r="G51" s="69" t="s">
        <v>1065</v>
      </c>
      <c r="H51" s="77" t="s">
        <v>1454</v>
      </c>
    </row>
    <row r="52" spans="1:8" ht="16">
      <c r="A52" s="66" t="s">
        <v>120</v>
      </c>
      <c r="B52" s="67" t="str">
        <f>IFERROR(INDEX(進捗一覧!$O:$O,MATCH($A52,進捗一覧!$P:$P,0)),"⚠未検出")</f>
        <v>FR-AUTHZ クレームベース基本認可</v>
      </c>
      <c r="C52" s="68" t="str">
        <f>IFERROR(INDEX(進捗一覧!$E:$E,MATCH($A52,進捗一覧!$P:$P,0)),"⚠未検出")</f>
        <v>通行証に含まれる情報をもとに各アプリが権限を判定する方式でよいか</v>
      </c>
      <c r="D52" s="69" t="str">
        <f>IFERROR(INDEX(進捗一覧!$H:$H,MATCH($A52,進捗一覧!$P:$P,0)),"⚠未検出")</f>
        <v>確定</v>
      </c>
      <c r="E52" s="67" t="s">
        <v>982</v>
      </c>
      <c r="F52" s="69" t="s">
        <v>941</v>
      </c>
      <c r="G52" s="69" t="s">
        <v>938</v>
      </c>
      <c r="H52" s="77" t="s">
        <v>983</v>
      </c>
    </row>
    <row r="53" spans="1:8" ht="16">
      <c r="A53" s="66" t="s">
        <v>123</v>
      </c>
      <c r="B53" s="67" t="str">
        <f>IFERROR(INDEX(進捗一覧!$O:$O,MATCH($A53,進捗一覧!$P:$P,0)),"⚠未検出")</f>
        <v>FR-AUTHZ クレームベース基本認可</v>
      </c>
      <c r="C53" s="68" t="str">
        <f>IFERROR(INDEX(進捗一覧!$E:$E,MATCH($A53,進捗一覧!$P:$P,0)),"⚠未検出")</f>
        <v>顧客ごとのデータが混ざらないよう、所属情報を通行証に必ず載せるか</v>
      </c>
      <c r="D53" s="69" t="str">
        <f>IFERROR(INDEX(進捗一覧!$H:$H,MATCH($A53,進捗一覧!$P:$P,0)),"⚠未検出")</f>
        <v>確定</v>
      </c>
      <c r="E53" s="67" t="s">
        <v>984</v>
      </c>
      <c r="F53" s="69" t="s">
        <v>977</v>
      </c>
      <c r="G53" s="69" t="s">
        <v>938</v>
      </c>
      <c r="H53" s="77" t="s">
        <v>985</v>
      </c>
    </row>
    <row r="54" spans="1:8" ht="16">
      <c r="A54" s="66" t="s">
        <v>125</v>
      </c>
      <c r="B54" s="67" t="str">
        <f>IFERROR(INDEX(進捗一覧!$O:$O,MATCH($A54,進捗一覧!$P:$P,0)),"⚠未検出")</f>
        <v>FR-AUTHZ クレームベース基本認可</v>
      </c>
      <c r="C54" s="68" t="str">
        <f>IFERROR(INDEX(進捗一覧!$E:$E,MATCH($A54,進捗一覧!$P:$P,0)),"⚠未検出")</f>
        <v>役割（ロール）の情報を通行証に載せて権限判定に使うか</v>
      </c>
      <c r="D54" s="69" t="str">
        <f>IFERROR(INDEX(進捗一覧!$H:$H,MATCH($A54,進捗一覧!$P:$P,0)),"⚠未検出")</f>
        <v>外部待ち</v>
      </c>
      <c r="E54" s="67" t="s">
        <v>986</v>
      </c>
      <c r="F54" s="69" t="s">
        <v>987</v>
      </c>
      <c r="G54" s="69" t="s">
        <v>938</v>
      </c>
      <c r="H54" s="77" t="s">
        <v>988</v>
      </c>
    </row>
    <row r="55" spans="1:8" ht="16">
      <c r="A55" s="66" t="s">
        <v>127</v>
      </c>
      <c r="B55" s="67" t="str">
        <f>IFERROR(INDEX(進捗一覧!$O:$O,MATCH($A55,進捗一覧!$P:$P,0)),"⚠未検出")</f>
        <v>FR-AUTHZ クレームベース基本認可</v>
      </c>
      <c r="C55" s="68" t="str">
        <f>IFERROR(INDEX(進捗一覧!$E:$E,MATCH($A55,進捗一覧!$P:$P,0)),"⚠未検出")</f>
        <v>役割に上下関係（上位が下位を兼ねる）を持たせるか</v>
      </c>
      <c r="D55" s="69" t="str">
        <f>IFERROR(INDEX(進捗一覧!$H:$H,MATCH($A55,進捗一覧!$P:$P,0)),"⚠未検出")</f>
        <v>外部待ち</v>
      </c>
      <c r="E55" s="67" t="s">
        <v>895</v>
      </c>
      <c r="F55" s="69" t="s">
        <v>937</v>
      </c>
      <c r="G55" s="69" t="s">
        <v>948</v>
      </c>
      <c r="H55" s="77" t="s">
        <v>989</v>
      </c>
    </row>
    <row r="56" spans="1:8" ht="16">
      <c r="A56" s="66" t="s">
        <v>129</v>
      </c>
      <c r="B56" s="67" t="str">
        <f>IFERROR(INDEX(進捗一覧!$O:$O,MATCH($A56,進捗一覧!$P:$P,0)),"⚠未検出")</f>
        <v>FR-AUTHZ クレームベース基本認可</v>
      </c>
      <c r="C56" s="68" t="str">
        <f>IFERROR(INDEX(進捗一覧!$E:$E,MATCH($A56,進捗一覧!$P:$P,0)),"⚠未検出")</f>
        <v>システム同士の通信でも、呼び出せる機能の範囲を絞り込む仕組みを使うか</v>
      </c>
      <c r="D56" s="69" t="str">
        <f>IFERROR(INDEX(進捗一覧!$H:$H,MATCH($A56,進捗一覧!$P:$P,0)),"⚠未検出")</f>
        <v>対象外</v>
      </c>
      <c r="E56" s="67" t="s">
        <v>990</v>
      </c>
      <c r="F56" s="69" t="s">
        <v>941</v>
      </c>
      <c r="G56" s="69" t="s">
        <v>938</v>
      </c>
      <c r="H56" s="77" t="s">
        <v>991</v>
      </c>
    </row>
    <row r="57" spans="1:8" ht="16">
      <c r="A57" s="66" t="s">
        <v>131</v>
      </c>
      <c r="B57" s="67" t="str">
        <f>IFERROR(INDEX(進捗一覧!$O:$O,MATCH($A57,進捗一覧!$P:$P,0)),"⚠未検出")</f>
        <v>FR-AUTHZ クレームベース基本認可</v>
      </c>
      <c r="C57" s="68" t="str">
        <f>IFERROR(INDEX(進捗一覧!$E:$E,MATCH($A57,進捗一覧!$P:$P,0)),"⚠未検出")</f>
        <v>顧客固有の項目を通行証に追加できるようにするか。追加を認める範囲をどこまでにするか</v>
      </c>
      <c r="D57" s="69" t="str">
        <f>IFERROR(INDEX(進捗一覧!$H:$H,MATCH($A57,進捗一覧!$P:$P,0)),"⚠未検出")</f>
        <v>外部待ち</v>
      </c>
      <c r="E57" s="67" t="s">
        <v>918</v>
      </c>
      <c r="F57" s="69" t="s">
        <v>941</v>
      </c>
      <c r="G57" s="69" t="s">
        <v>938</v>
      </c>
      <c r="H57" s="77" t="s">
        <v>992</v>
      </c>
    </row>
    <row r="58" spans="1:8" ht="16">
      <c r="A58" s="66" t="s">
        <v>133</v>
      </c>
      <c r="B58" s="67" t="str">
        <f>IFERROR(INDEX(進捗一覧!$O:$O,MATCH($A58,進捗一覧!$P:$P,0)),"⚠未検出")</f>
        <v>FR-AUTHZ クレームベース基本認可</v>
      </c>
      <c r="C58" s="68" t="str">
        <f>IFERROR(INDEX(進捗一覧!$E:$E,MATCH($A58,進捗一覧!$P:$P,0)),"⚠未検出")</f>
        <v>AWSのAPI入口で通行証を検証する共通部品を用意するか</v>
      </c>
      <c r="D58" s="69" t="str">
        <f>IFERROR(INDEX(進捗一覧!$H:$H,MATCH($A58,進捗一覧!$P:$P,0)),"⚠未検出")</f>
        <v>対象外</v>
      </c>
      <c r="E58" s="67" t="s">
        <v>932</v>
      </c>
      <c r="F58" s="69" t="s">
        <v>941</v>
      </c>
      <c r="G58" s="69" t="s">
        <v>948</v>
      </c>
      <c r="H58" s="77" t="s">
        <v>993</v>
      </c>
    </row>
    <row r="59" spans="1:8" ht="16">
      <c r="A59" s="66" t="s">
        <v>135</v>
      </c>
      <c r="B59" s="67" t="str">
        <f>IFERROR(INDEX(進捗一覧!$O:$O,MATCH($A59,進捗一覧!$P:$P,0)),"⚠未検出")</f>
        <v>FR-AUTHZ クレームベース基本認可</v>
      </c>
      <c r="C59" s="68"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69" t="str">
        <f>IFERROR(INDEX(進捗一覧!$H:$H,MATCH($A59,進捗一覧!$P:$P,0)),"⚠未検出")</f>
        <v>確定</v>
      </c>
      <c r="E59" s="67" t="s">
        <v>994</v>
      </c>
      <c r="F59" s="69" t="s">
        <v>987</v>
      </c>
      <c r="G59" s="69" t="s">
        <v>938</v>
      </c>
      <c r="H59" s="77" t="s">
        <v>995</v>
      </c>
    </row>
    <row r="60" spans="1:8" ht="16">
      <c r="A60" s="66" t="s">
        <v>138</v>
      </c>
      <c r="B60" s="67" t="str">
        <f>IFERROR(INDEX(進捗一覧!$O:$O,MATCH($A60,進捗一覧!$P:$P,0)),"⚠未検出")</f>
        <v>FR-AUTHZ 細粒度認可</v>
      </c>
      <c r="C60" s="68"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69" t="str">
        <f>IFERROR(INDEX(進捗一覧!$H:$H,MATCH($A60,進捗一覧!$P:$P,0)),"⚠未検出")</f>
        <v>対象外</v>
      </c>
      <c r="E60" s="67" t="s">
        <v>913</v>
      </c>
      <c r="F60" s="69" t="s">
        <v>957</v>
      </c>
      <c r="G60" s="69" t="s">
        <v>958</v>
      </c>
      <c r="H60" s="77" t="s">
        <v>996</v>
      </c>
    </row>
    <row r="61" spans="1:8" ht="16">
      <c r="A61" s="66" t="s">
        <v>141</v>
      </c>
      <c r="B61" s="67" t="str">
        <f>IFERROR(INDEX(進捗一覧!$O:$O,MATCH($A61,進捗一覧!$P:$P,0)),"⚠未検出")</f>
        <v>FR-AUTHZ 細粒度認可</v>
      </c>
      <c r="C61" s="68"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69" t="str">
        <f>IFERROR(INDEX(進捗一覧!$H:$H,MATCH($A61,進捗一覧!$P:$P,0)),"⚠未検出")</f>
        <v>対象外</v>
      </c>
      <c r="E61" s="67" t="s">
        <v>997</v>
      </c>
      <c r="F61" s="69" t="s">
        <v>957</v>
      </c>
      <c r="G61" s="69" t="s">
        <v>958</v>
      </c>
      <c r="H61" s="77" t="s">
        <v>998</v>
      </c>
    </row>
    <row r="62" spans="1:8" ht="16">
      <c r="A62" s="66" t="s">
        <v>144</v>
      </c>
      <c r="B62" s="67" t="str">
        <f>IFERROR(INDEX(進捗一覧!$O:$O,MATCH($A62,進捗一覧!$P:$P,0)),"⚠未検出")</f>
        <v>FR-USER ユーザーCRUD</v>
      </c>
      <c r="C62" s="68" t="str">
        <f>IFERROR(INDEX(進捗一覧!$E:$E,MATCH($A62,進捗一覧!$P:$P,0)),"⚠未検出")</f>
        <v>利用者情報の登録・変更・削除を、誰がどの画面やAPIから行えるようにするか</v>
      </c>
      <c r="D62" s="69" t="str">
        <f>IFERROR(INDEX(進捗一覧!$H:$H,MATCH($A62,進捗一覧!$P:$P,0)),"⚠未検出")</f>
        <v>外部待ち</v>
      </c>
      <c r="E62" s="67" t="s">
        <v>999</v>
      </c>
      <c r="F62" s="69" t="s">
        <v>1000</v>
      </c>
      <c r="G62" s="69" t="s">
        <v>938</v>
      </c>
      <c r="H62" s="77" t="s">
        <v>1001</v>
      </c>
    </row>
    <row r="63" spans="1:8" ht="16">
      <c r="A63" s="66" t="s">
        <v>147</v>
      </c>
      <c r="B63" s="67" t="str">
        <f>IFERROR(INDEX(進捗一覧!$O:$O,MATCH($A63,進捗一覧!$P:$P,0)),"⚠未検出")</f>
        <v>FR-USER ユーザーCRUD</v>
      </c>
      <c r="C63" s="68" t="str">
        <f>IFERROR(INDEX(進捗一覧!$E:$E,MATCH($A63,進捗一覧!$P:$P,0)),"⚠未検出")</f>
        <v>利用者の検索・一覧表示に必要な検索条件と表示項目をどうするか</v>
      </c>
      <c r="D63" s="69" t="str">
        <f>IFERROR(INDEX(進捗一覧!$H:$H,MATCH($A63,進捗一覧!$P:$P,0)),"⚠未検出")</f>
        <v>確定</v>
      </c>
      <c r="E63" s="67" t="s">
        <v>1255</v>
      </c>
      <c r="F63" s="69" t="s">
        <v>1256</v>
      </c>
      <c r="G63" s="69" t="s">
        <v>1065</v>
      </c>
      <c r="H63" s="77" t="s">
        <v>1257</v>
      </c>
    </row>
    <row r="64" spans="1:8" ht="16">
      <c r="A64" s="66" t="s">
        <v>149</v>
      </c>
      <c r="B64" s="67" t="str">
        <f>IFERROR(INDEX(進捗一覧!$O:$O,MATCH($A64,進捗一覧!$P:$P,0)),"⚠未検出")</f>
        <v>FR-USER ユーザーCRUD</v>
      </c>
      <c r="C64" s="68" t="str">
        <f>IFERROR(INDEX(進捗一覧!$E:$E,MATCH($A64,進捗一覧!$P:$P,0)),"⚠未検出")</f>
        <v>利用者を削除せず一時停止できる状態を用意するか。停止は無効化フラグで行い、復旧は同じフラグを戻すだけとする想定</v>
      </c>
      <c r="D64" s="69" t="str">
        <f>IFERROR(INDEX(進捗一覧!$H:$H,MATCH($A64,進捗一覧!$P:$P,0)),"⚠未検出")</f>
        <v>確定</v>
      </c>
      <c r="E64" s="67" t="s">
        <v>1002</v>
      </c>
      <c r="F64" s="69" t="s">
        <v>1000</v>
      </c>
      <c r="G64" s="69" t="s">
        <v>938</v>
      </c>
      <c r="H64" s="77" t="s">
        <v>1003</v>
      </c>
    </row>
    <row r="65" spans="1:8" ht="16">
      <c r="A65" s="66" t="s">
        <v>151</v>
      </c>
      <c r="B65" s="67" t="str">
        <f>IFERROR(INDEX(進捗一覧!$O:$O,MATCH($A65,進捗一覧!$P:$P,0)),"⚠未検出")</f>
        <v>FR-USER ユーザーCRUD</v>
      </c>
      <c r="C65" s="68" t="str">
        <f>IFERROR(INDEX(進捗一覧!$E:$E,MATCH($A65,進捗一覧!$P:$P,0)),"⚠未検出")</f>
        <v>退職・解約時に利用者情報と関連データをどこまで消すか。保存期間をどうするか</v>
      </c>
      <c r="D65" s="69" t="str">
        <f>IFERROR(INDEX(進捗一覧!$H:$H,MATCH($A65,進捗一覧!$P:$P,0)),"⚠未検出")</f>
        <v>外部待ち</v>
      </c>
      <c r="E65" s="67" t="s">
        <v>1004</v>
      </c>
      <c r="F65" s="69" t="s">
        <v>957</v>
      </c>
      <c r="G65" s="69" t="s">
        <v>938</v>
      </c>
      <c r="H65" s="77" t="s">
        <v>1005</v>
      </c>
    </row>
    <row r="66" spans="1:8" ht="16">
      <c r="A66" s="66" t="s">
        <v>154</v>
      </c>
      <c r="B66" s="67" t="str">
        <f>IFERROR(INDEX(進捗一覧!$O:$O,MATCH($A66,進捗一覧!$P:$P,0)),"⚠未検出")</f>
        <v>FR-USER 属性・ロール</v>
      </c>
      <c r="C66" s="68" t="str">
        <f>IFERROR(INDEX(進捗一覧!$E:$E,MATCH($A66,進捗一覧!$P:$P,0)),"⚠未検出")</f>
        <v>標準で用意される項目以外に、独自に持たせたい項目を何にするか</v>
      </c>
      <c r="D66" s="69" t="str">
        <f>IFERROR(INDEX(進捗一覧!$H:$H,MATCH($A66,進捗一覧!$P:$P,0)),"⚠未検出")</f>
        <v>外部待ち</v>
      </c>
      <c r="E66" s="67" t="s">
        <v>1006</v>
      </c>
      <c r="F66" s="69" t="s">
        <v>961</v>
      </c>
      <c r="G66" s="69" t="s">
        <v>938</v>
      </c>
      <c r="H66" s="77" t="s">
        <v>1007</v>
      </c>
    </row>
    <row r="67" spans="1:8" ht="16">
      <c r="A67" s="66" t="s">
        <v>157</v>
      </c>
      <c r="B67" s="67" t="str">
        <f>IFERROR(INDEX(進捗一覧!$O:$O,MATCH($A67,進捗一覧!$P:$P,0)),"⚠未検出")</f>
        <v>FR-USER 属性・ロール</v>
      </c>
      <c r="C67" s="68" t="str">
        <f>IFERROR(INDEX(進捗一覧!$E:$E,MATCH($A67,進捗一覧!$P:$P,0)),"⚠未検出")</f>
        <v>利用者をグループにまとめて管理する必要があるか</v>
      </c>
      <c r="D67" s="69" t="str">
        <f>IFERROR(INDEX(進捗一覧!$H:$H,MATCH($A67,進捗一覧!$P:$P,0)),"⚠未検出")</f>
        <v>確定</v>
      </c>
      <c r="E67" s="67" t="s">
        <v>1405</v>
      </c>
      <c r="F67" s="69" t="s">
        <v>1406</v>
      </c>
      <c r="G67" s="69" t="s">
        <v>1072</v>
      </c>
      <c r="H67" s="77" t="s">
        <v>1407</v>
      </c>
    </row>
    <row r="68" spans="1:8" ht="16">
      <c r="A68" s="66" t="s">
        <v>159</v>
      </c>
      <c r="B68" s="67" t="str">
        <f>IFERROR(INDEX(進捗一覧!$O:$O,MATCH($A68,進捗一覧!$P:$P,0)),"⚠未検出")</f>
        <v>FR-USER 属性・ロール</v>
      </c>
      <c r="C68" s="68" t="str">
        <f>IFERROR(INDEX(進捗一覧!$E:$E,MATCH($A68,進捗一覧!$P:$P,0)),"⚠未検出")</f>
        <v>誰がどの役割を割り当てられるようにするか</v>
      </c>
      <c r="D68" s="69" t="str">
        <f>IFERROR(INDEX(進捗一覧!$H:$H,MATCH($A68,進捗一覧!$P:$P,0)),"⚠未検出")</f>
        <v>確定</v>
      </c>
      <c r="E68" s="67" t="s">
        <v>1008</v>
      </c>
      <c r="F68" s="69" t="s">
        <v>1000</v>
      </c>
      <c r="G68" s="69" t="s">
        <v>938</v>
      </c>
      <c r="H68" s="77" t="s">
        <v>1009</v>
      </c>
    </row>
    <row r="69" spans="1:8" ht="16">
      <c r="A69" s="66" t="s">
        <v>162</v>
      </c>
      <c r="B69" s="67" t="str">
        <f>IFERROR(INDEX(進捗一覧!$O:$O,MATCH($A69,進捗一覧!$P:$P,0)),"⚠未検出")</f>
        <v>FR-USER セルフサービス</v>
      </c>
      <c r="C69" s="68" t="str">
        <f>IFERROR(INDEX(進捗一覧!$E:$E,MATCH($A69,進捗一覧!$P:$P,0)),"⚠未検出")</f>
        <v>利用者が自分のプロフィールを自分で編集できる範囲をどこまでにするか</v>
      </c>
      <c r="D69" s="69" t="str">
        <f>IFERROR(INDEX(進捗一覧!$H:$H,MATCH($A69,進捗一覧!$P:$P,0)),"⚠未検出")</f>
        <v>外部待ち</v>
      </c>
      <c r="E69" s="67" t="s">
        <v>1079</v>
      </c>
      <c r="F69" s="69" t="s">
        <v>1064</v>
      </c>
      <c r="G69" s="69" t="s">
        <v>1057</v>
      </c>
      <c r="H69" s="77" t="s">
        <v>1080</v>
      </c>
    </row>
    <row r="70" spans="1:8" ht="16">
      <c r="A70" s="66" t="s">
        <v>165</v>
      </c>
      <c r="B70" s="67" t="str">
        <f>IFERROR(INDEX(進捗一覧!$O:$O,MATCH($A70,進捗一覧!$P:$P,0)),"⚠未検出")</f>
        <v>FR-USER セルフサービス</v>
      </c>
      <c r="C70" s="68" t="str">
        <f>IFERROR(INDEX(進捗一覧!$E:$E,MATCH($A70,進捗一覧!$P:$P,0)),"⚠未検出")</f>
        <v>新規登録時に招待メールを送る運用にするか。文面と有効期限をどうするか</v>
      </c>
      <c r="D70" s="69" t="str">
        <f>IFERROR(INDEX(進捗一覧!$H:$H,MATCH($A70,進捗一覧!$P:$P,0)),"⚠未検出")</f>
        <v>検討中</v>
      </c>
      <c r="E70" s="67" t="s">
        <v>1259</v>
      </c>
      <c r="F70" s="69" t="s">
        <v>1260</v>
      </c>
      <c r="G70" s="69" t="s">
        <v>1057</v>
      </c>
      <c r="H70" s="77" t="s">
        <v>1261</v>
      </c>
    </row>
    <row r="71" spans="1:8" ht="16">
      <c r="A71" s="66" t="s">
        <v>168</v>
      </c>
      <c r="B71" s="67" t="str">
        <f>IFERROR(INDEX(進捗一覧!$O:$O,MATCH($A71,進捗一覧!$P:$P,0)),"⚠未検出")</f>
        <v>FR-USER プロビジョニング</v>
      </c>
      <c r="C71" s="68"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69" t="str">
        <f>IFERROR(INDEX(進捗一覧!$H:$H,MATCH($A71,進捗一覧!$P:$P,0)),"⚠未検出")</f>
        <v>確定</v>
      </c>
      <c r="E71" s="67" t="s">
        <v>1010</v>
      </c>
      <c r="F71" s="69" t="s">
        <v>957</v>
      </c>
      <c r="G71" s="69" t="s">
        <v>938</v>
      </c>
      <c r="H71" s="77" t="s">
        <v>1011</v>
      </c>
    </row>
    <row r="72" spans="1:8" ht="16">
      <c r="A72" s="66" t="s">
        <v>171</v>
      </c>
      <c r="B72" s="67" t="str">
        <f>IFERROR(INDEX(進捗一覧!$O:$O,MATCH($A72,進捗一覧!$P:$P,0)),"⚠未検出")</f>
        <v>FR-USER プロビジョニング</v>
      </c>
      <c r="C72" s="68" t="str">
        <f>IFERROR(INDEX(進捗一覧!$E:$E,MATCH($A72,進捗一覧!$P:$P,0)),"⚠未検出")</f>
        <v>表形式ファイルによる一括登録を用意するか。1回あたりの上限件数をどうするか</v>
      </c>
      <c r="D72" s="69" t="str">
        <f>IFERROR(INDEX(進捗一覧!$H:$H,MATCH($A72,進捗一覧!$P:$P,0)),"⚠未検出")</f>
        <v>外部待ち</v>
      </c>
      <c r="E72" s="67" t="s">
        <v>910</v>
      </c>
      <c r="F72" s="69" t="s">
        <v>957</v>
      </c>
      <c r="G72" s="69" t="s">
        <v>948</v>
      </c>
      <c r="H72" s="77" t="s">
        <v>1012</v>
      </c>
    </row>
    <row r="73" spans="1:8" ht="16">
      <c r="A73" s="66" t="s">
        <v>173</v>
      </c>
      <c r="B73" s="67" t="str">
        <f>IFERROR(INDEX(進捗一覧!$O:$O,MATCH($A73,進捗一覧!$P:$P,0)),"⚠未検出")</f>
        <v>FR-USER プロビジョニング</v>
      </c>
      <c r="C73" s="68"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69" t="str">
        <f>IFERROR(INDEX(進捗一覧!$H:$H,MATCH($A73,進捗一覧!$P:$P,0)),"⚠未検出")</f>
        <v>外部待ち</v>
      </c>
      <c r="E73" s="67" t="s">
        <v>905</v>
      </c>
      <c r="F73" s="69" t="s">
        <v>957</v>
      </c>
      <c r="G73" s="69" t="s">
        <v>948</v>
      </c>
      <c r="H73" s="77" t="s">
        <v>1013</v>
      </c>
    </row>
    <row r="74" spans="1:8" ht="16">
      <c r="A74" s="66" t="s">
        <v>176</v>
      </c>
      <c r="B74" s="67" t="str">
        <f>IFERROR(INDEX(進捗一覧!$O:$O,MATCH($A74,進捗一覧!$P:$P,0)),"⚠未検出")</f>
        <v>FR-ADMIN 基盤設定管理</v>
      </c>
      <c r="C74" s="68" t="str">
        <f>IFERROR(INDEX(進捗一覧!$E:$E,MATCH($A74,進捗一覧!$P:$P,0)),"⚠未検出")</f>
        <v>運用担当者が使う管理画面を、どこまで自前で作るか</v>
      </c>
      <c r="D74" s="69" t="str">
        <f>IFERROR(INDEX(進捗一覧!$H:$H,MATCH($A74,進捗一覧!$P:$P,0)),"⚠未検出")</f>
        <v>確定</v>
      </c>
      <c r="E74" s="67" t="s">
        <v>1014</v>
      </c>
      <c r="F74" s="69" t="s">
        <v>957</v>
      </c>
      <c r="G74" s="69" t="s">
        <v>938</v>
      </c>
      <c r="H74" s="77" t="s">
        <v>1015</v>
      </c>
    </row>
    <row r="75" spans="1:8" ht="16">
      <c r="A75" s="66" t="s">
        <v>179</v>
      </c>
      <c r="B75" s="67" t="str">
        <f>IFERROR(INDEX(進捗一覧!$O:$O,MATCH($A75,進捗一覧!$P:$P,0)),"⚠未検出")</f>
        <v>FR-ADMIN 基盤設定管理</v>
      </c>
      <c r="C75" s="68" t="str">
        <f>IFERROR(INDEX(進捗一覧!$E:$E,MATCH($A75,進捗一覧!$P:$P,0)),"⚠未検出")</f>
        <v>顧客テナントの追加・削除を誰がどの手順で行うか</v>
      </c>
      <c r="D75" s="69" t="str">
        <f>IFERROR(INDEX(進捗一覧!$H:$H,MATCH($A75,進捗一覧!$P:$P,0)),"⚠未検出")</f>
        <v>外部待ち</v>
      </c>
      <c r="E75" s="67" t="s">
        <v>1262</v>
      </c>
      <c r="F75" s="69" t="s">
        <v>1263</v>
      </c>
      <c r="G75" s="69" t="s">
        <v>1057</v>
      </c>
      <c r="H75" s="77" t="s">
        <v>1264</v>
      </c>
    </row>
    <row r="76" spans="1:8" ht="16">
      <c r="A76" s="66" t="s">
        <v>181</v>
      </c>
      <c r="B76" s="67" t="str">
        <f>IFERROR(INDEX(進捗一覧!$O:$O,MATCH($A76,進捗一覧!$P:$P,0)),"⚠未検出")</f>
        <v>FR-ADMIN 基盤設定管理</v>
      </c>
      <c r="C76" s="68" t="str">
        <f>IFERROR(INDEX(進捗一覧!$E:$E,MATCH($A76,進捗一覧!$P:$P,0)),"⚠未検出")</f>
        <v>顧客のID基盤の登録・変更・削除を誰がどの手順で行うか</v>
      </c>
      <c r="D76" s="69" t="str">
        <f>IFERROR(INDEX(進捗一覧!$H:$H,MATCH($A76,進捗一覧!$P:$P,0)),"⚠未検出")</f>
        <v>外部待ち</v>
      </c>
      <c r="E76" s="67" t="s">
        <v>1016</v>
      </c>
      <c r="F76" s="69" t="s">
        <v>937</v>
      </c>
      <c r="G76" s="69" t="s">
        <v>938</v>
      </c>
      <c r="H76" s="77" t="s">
        <v>1017</v>
      </c>
    </row>
    <row r="77" spans="1:8" ht="16">
      <c r="A77" s="66" t="s">
        <v>183</v>
      </c>
      <c r="B77" s="67" t="str">
        <f>IFERROR(INDEX(進捗一覧!$O:$O,MATCH($A77,進捗一覧!$P:$P,0)),"⚠未検出")</f>
        <v>FR-ADMIN 基盤設定管理</v>
      </c>
      <c r="C77" s="68" t="str">
        <f>IFERROR(INDEX(進捗一覧!$E:$E,MATCH($A77,進捗一覧!$P:$P,0)),"⚠未検出")</f>
        <v>アプリの登録と設定変更を誰がどの手順で行うか</v>
      </c>
      <c r="D77" s="69" t="str">
        <f>IFERROR(INDEX(進捗一覧!$H:$H,MATCH($A77,進捗一覧!$P:$P,0)),"⚠未検出")</f>
        <v>検討中</v>
      </c>
      <c r="E77" s="67" t="s">
        <v>904</v>
      </c>
      <c r="F77" s="69" t="s">
        <v>937</v>
      </c>
      <c r="G77" s="69" t="s">
        <v>938</v>
      </c>
      <c r="H77" s="77" t="s">
        <v>1018</v>
      </c>
    </row>
    <row r="78" spans="1:8" ht="16">
      <c r="A78" s="66" t="s">
        <v>185</v>
      </c>
      <c r="B78" s="67" t="str">
        <f>IFERROR(INDEX(進捗一覧!$O:$O,MATCH($A78,進捗一覧!$P:$P,0)),"⚠未検出")</f>
        <v>FR-ADMIN 基盤設定管理</v>
      </c>
      <c r="C78" s="68" t="str">
        <f>IFERROR(INDEX(進捗一覧!$E:$E,MATCH($A78,進捗一覧!$P:$P,0)),"⚠未検出")</f>
        <v>どんな役割を用意するかの定義を、誰が管理するか</v>
      </c>
      <c r="D78" s="69" t="str">
        <f>IFERROR(INDEX(進捗一覧!$H:$H,MATCH($A78,進捗一覧!$P:$P,0)),"⚠未検出")</f>
        <v>外部待ち</v>
      </c>
      <c r="E78" s="67" t="s">
        <v>1265</v>
      </c>
      <c r="F78" s="69" t="s">
        <v>1266</v>
      </c>
      <c r="G78" s="69" t="s">
        <v>1065</v>
      </c>
      <c r="H78" s="77" t="s">
        <v>1267</v>
      </c>
    </row>
    <row r="79" spans="1:8" ht="16">
      <c r="A79" s="66" t="s">
        <v>187</v>
      </c>
      <c r="B79" s="67" t="str">
        <f>IFERROR(INDEX(進捗一覧!$O:$O,MATCH($A79,進捗一覧!$P:$P,0)),"⚠未検出")</f>
        <v>FR-ADMIN 基盤設定管理</v>
      </c>
      <c r="C79" s="68"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69" t="str">
        <f>IFERROR(INDEX(進捗一覧!$H:$H,MATCH($A79,進捗一覧!$P:$P,0)),"⚠未検出")</f>
        <v>確定</v>
      </c>
      <c r="E79" s="67" t="s">
        <v>1019</v>
      </c>
      <c r="F79" s="69" t="s">
        <v>987</v>
      </c>
      <c r="G79" s="69" t="s">
        <v>938</v>
      </c>
      <c r="H79" s="77" t="s">
        <v>1020</v>
      </c>
    </row>
    <row r="80" spans="1:8" ht="16">
      <c r="A80" s="66" t="s">
        <v>190</v>
      </c>
      <c r="B80" s="67" t="str">
        <f>IFERROR(INDEX(進捗一覧!$O:$O,MATCH($A80,進捗一覧!$P:$P,0)),"⚠未検出")</f>
        <v>FR-ADMIN 監査・可視性</v>
      </c>
      <c r="C80" s="68" t="str">
        <f>IFERROR(INDEX(進捗一覧!$E:$E,MATCH($A80,進捗一覧!$P:$P,0)),"⚠未検出")</f>
        <v>誰がいつ何をしたかの記録を、誰がどの画面で見られるようにするか</v>
      </c>
      <c r="D80" s="69" t="str">
        <f>IFERROR(INDEX(進捗一覧!$H:$H,MATCH($A80,進捗一覧!$P:$P,0)),"⚠未検出")</f>
        <v>外部待ち</v>
      </c>
      <c r="E80" s="67" t="s">
        <v>1214</v>
      </c>
      <c r="F80" s="69" t="s">
        <v>1215</v>
      </c>
      <c r="G80" s="69" t="s">
        <v>1065</v>
      </c>
      <c r="H80" s="77" t="s">
        <v>1216</v>
      </c>
    </row>
    <row r="81" spans="1:8" ht="16">
      <c r="A81" s="66" t="s">
        <v>193</v>
      </c>
      <c r="B81" s="67" t="str">
        <f>IFERROR(INDEX(進捗一覧!$O:$O,MATCH($A81,進捗一覧!$P:$P,0)),"⚠未検出")</f>
        <v>FR-ADMIN 監査・可視性</v>
      </c>
      <c r="C81" s="68" t="str">
        <f>IFERROR(INDEX(進捗一覧!$E:$E,MATCH($A81,進捗一覧!$P:$P,0)),"⚠未検出")</f>
        <v>設定変更の履歴をどこまで残し、いつまで保存するか</v>
      </c>
      <c r="D81" s="69" t="str">
        <f>IFERROR(INDEX(進捗一覧!$H:$H,MATCH($A81,進捗一覧!$P:$P,0)),"⚠未検出")</f>
        <v>外部待ち</v>
      </c>
      <c r="E81" s="67" t="s">
        <v>1217</v>
      </c>
      <c r="F81" s="69" t="s">
        <v>1218</v>
      </c>
      <c r="G81" s="69" t="s">
        <v>1065</v>
      </c>
      <c r="H81" s="77" t="s">
        <v>1219</v>
      </c>
    </row>
    <row r="82" spans="1:8" ht="16">
      <c r="A82" s="66" t="s">
        <v>196</v>
      </c>
      <c r="B82" s="67" t="str">
        <f>IFERROR(INDEX(進捗一覧!$O:$O,MATCH($A82,進捗一覧!$P:$P,0)),"⚠未検出")</f>
        <v>FR-ADMIN 権限委譲・カスタマイズ</v>
      </c>
      <c r="C82" s="68" t="str">
        <f>IFERROR(INDEX(進捗一覧!$E:$E,MATCH($A82,進捗一覧!$P:$P,0)),"⚠未検出")</f>
        <v>管理画面の操作権限をどこまで分ける必要があるか。細かくしすぎると権限定義が破綻するため、実際に必要な粒度を確認する</v>
      </c>
      <c r="D82" s="69" t="str">
        <f>IFERROR(INDEX(進捗一覧!$H:$H,MATCH($A82,進捗一覧!$P:$P,0)),"⚠未検出")</f>
        <v>外部待ち</v>
      </c>
      <c r="E82" s="67" t="s">
        <v>1268</v>
      </c>
      <c r="F82" s="69" t="s">
        <v>1256</v>
      </c>
      <c r="G82" s="69" t="s">
        <v>1065</v>
      </c>
      <c r="H82" s="77" t="s">
        <v>1269</v>
      </c>
    </row>
    <row r="83" spans="1:8" ht="16">
      <c r="A83" s="66" t="s">
        <v>199</v>
      </c>
      <c r="B83" s="67" t="str">
        <f>IFERROR(INDEX(進捗一覧!$O:$O,MATCH($A83,進捗一覧!$P:$P,0)),"⚠未検出")</f>
        <v>FR-ADMIN 権限委譲・カスタマイズ</v>
      </c>
      <c r="C83" s="68" t="str">
        <f>IFERROR(INDEX(進捗一覧!$E:$E,MATCH($A83,進捗一覧!$P:$P,0)),"⚠未検出")</f>
        <v>運用担当者側の役割分担（見るだけ／変更できる等）をどう分けるか</v>
      </c>
      <c r="D83" s="69" t="str">
        <f>IFERROR(INDEX(進捗一覧!$H:$H,MATCH($A83,進捗一覧!$P:$P,0)),"⚠未検出")</f>
        <v>外部待ち</v>
      </c>
      <c r="E83" s="67" t="s">
        <v>1021</v>
      </c>
      <c r="F83" s="69" t="s">
        <v>961</v>
      </c>
      <c r="G83" s="69" t="s">
        <v>948</v>
      </c>
      <c r="H83" s="77" t="s">
        <v>1022</v>
      </c>
    </row>
    <row r="84" spans="1:8" ht="16">
      <c r="A84" s="66" t="s">
        <v>201</v>
      </c>
      <c r="B84" s="67" t="str">
        <f>IFERROR(INDEX(進捗一覧!$O:$O,MATCH($A84,進捗一覧!$P:$P,0)),"⚠未検出")</f>
        <v>FR-ADMIN 権限委譲・カスタマイズ</v>
      </c>
      <c r="C84" s="68" t="str">
        <f>IFERROR(INDEX(進捗一覧!$E:$E,MATCH($A84,進捗一覧!$P:$P,0)),"⚠未検出")</f>
        <v>顧客自身に自社の利用者管理を任せるか。任せる範囲をどこまでにするか</v>
      </c>
      <c r="D84" s="69" t="str">
        <f>IFERROR(INDEX(進捗一覧!$H:$H,MATCH($A84,進捗一覧!$P:$P,0)),"⚠未検出")</f>
        <v>外部待ち</v>
      </c>
      <c r="E84" s="67" t="s">
        <v>1023</v>
      </c>
      <c r="F84" s="69" t="s">
        <v>1024</v>
      </c>
      <c r="G84" s="69" t="s">
        <v>938</v>
      </c>
      <c r="H84" s="77" t="s">
        <v>1025</v>
      </c>
    </row>
    <row r="85" spans="1:8" ht="16">
      <c r="A85" s="66" t="s">
        <v>203</v>
      </c>
      <c r="B85" s="67" t="str">
        <f>IFERROR(INDEX(進捗一覧!$O:$O,MATCH($A85,進捗一覧!$P:$P,0)),"⚠未検出")</f>
        <v>FR-ADMIN 権限委譲・カスタマイズ</v>
      </c>
      <c r="C85" s="68" t="str">
        <f>IFERROR(INDEX(進捗一覧!$E:$E,MATCH($A85,進捗一覧!$P:$P,0)),"⚠未検出")</f>
        <v>ログイン画面を顧客ごとのロゴや配色に変えられるようにするか。どこまで変えられるか</v>
      </c>
      <c r="D85" s="69" t="str">
        <f>IFERROR(INDEX(進捗一覧!$H:$H,MATCH($A85,進捗一覧!$P:$P,0)),"⚠未検出")</f>
        <v>外部待ち</v>
      </c>
      <c r="E85" s="67" t="s">
        <v>1082</v>
      </c>
      <c r="F85" s="69" t="s">
        <v>1056</v>
      </c>
      <c r="G85" s="69" t="s">
        <v>1065</v>
      </c>
      <c r="H85" s="77" t="s">
        <v>1083</v>
      </c>
    </row>
    <row r="86" spans="1:8" ht="16">
      <c r="A86" s="66" t="s">
        <v>206</v>
      </c>
      <c r="B86" s="67" t="str">
        <f>IFERROR(INDEX(進捗一覧!$O:$O,MATCH($A86,進捗一覧!$P:$P,0)),"⚠未検出")</f>
        <v>FR-INT プロトコル準拠</v>
      </c>
      <c r="C86" s="68" t="str">
        <f>IFERROR(INDEX(進捗一覧!$E:$E,MATCH($A86,進捗一覧!$P:$P,0)),"⚠未検出")</f>
        <v>業界標準の認証仕様は OIDC に準拠すると決定済み。SAML は顧客のID基盤との接続にのみ使い、アプリとの間では使わない</v>
      </c>
      <c r="D86" s="69" t="str">
        <f>IFERROR(INDEX(進捗一覧!$H:$H,MATCH($A86,進捗一覧!$P:$P,0)),"⚠未検出")</f>
        <v>確定</v>
      </c>
      <c r="E86" s="67" t="s">
        <v>1026</v>
      </c>
      <c r="F86" s="69" t="s">
        <v>941</v>
      </c>
      <c r="G86" s="69" t="s">
        <v>938</v>
      </c>
      <c r="H86" s="77" t="s">
        <v>1027</v>
      </c>
    </row>
    <row r="87" spans="1:8" ht="16">
      <c r="A87" s="66" t="s">
        <v>209</v>
      </c>
      <c r="B87" s="67" t="str">
        <f>IFERROR(INDEX(進捗一覧!$O:$O,MATCH($A87,進捗一覧!$P:$P,0)),"⚠未検出")</f>
        <v>FR-INT プロトコル準拠</v>
      </c>
      <c r="C87" s="68" t="str">
        <f>IFERROR(INDEX(進捗一覧!$E:$E,MATCH($A87,進捗一覧!$P:$P,0)),"⚠未検出")</f>
        <v>アプリが接続設定を自動取得する窓口（.well-known の OIDC Discovery）は公開で決定済み。残るのは、別形式（RFC 8414）も併せて出すかどうか</v>
      </c>
      <c r="D87" s="69" t="str">
        <f>IFERROR(INDEX(進捗一覧!$H:$H,MATCH($A87,進捗一覧!$P:$P,0)),"⚠未検出")</f>
        <v>確定</v>
      </c>
      <c r="E87" s="67" t="s">
        <v>1408</v>
      </c>
      <c r="F87" s="69" t="s">
        <v>1256</v>
      </c>
      <c r="G87" s="69" t="s">
        <v>1065</v>
      </c>
      <c r="H87" s="77" t="s">
        <v>1409</v>
      </c>
    </row>
    <row r="88" spans="1:8" ht="16">
      <c r="A88" s="66" t="s">
        <v>211</v>
      </c>
      <c r="B88" s="67" t="str">
        <f>IFERROR(INDEX(進捗一覧!$O:$O,MATCH($A88,進捗一覧!$P:$P,0)),"⚠未検出")</f>
        <v>FR-INT プロトコル準拠</v>
      </c>
      <c r="C88" s="68"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69" t="str">
        <f>IFERROR(INDEX(進捗一覧!$H:$H,MATCH($A88,進捗一覧!$P:$P,0)),"⚠未検出")</f>
        <v>確定</v>
      </c>
      <c r="E88" s="67" t="s">
        <v>932</v>
      </c>
      <c r="F88" s="69" t="s">
        <v>941</v>
      </c>
      <c r="G88" s="69" t="s">
        <v>938</v>
      </c>
      <c r="H88" s="77" t="s">
        <v>1028</v>
      </c>
    </row>
    <row r="89" spans="1:8" ht="16">
      <c r="A89" s="66" t="s">
        <v>213</v>
      </c>
      <c r="B89" s="67" t="str">
        <f>IFERROR(INDEX(進捗一覧!$O:$O,MATCH($A89,進捗一覧!$P:$P,0)),"⚠未検出")</f>
        <v>FR-INT プロトコル準拠</v>
      </c>
      <c r="C89" s="68"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69" t="str">
        <f>IFERROR(INDEX(進捗一覧!$H:$H,MATCH($A89,進捗一覧!$P:$P,0)),"⚠未検出")</f>
        <v>検討中</v>
      </c>
      <c r="E89" s="67" t="s">
        <v>1270</v>
      </c>
      <c r="F89" s="69" t="s">
        <v>1266</v>
      </c>
      <c r="G89" s="69" t="s">
        <v>1065</v>
      </c>
      <c r="H89" s="77" t="s">
        <v>1271</v>
      </c>
    </row>
    <row r="90" spans="1:8" ht="16">
      <c r="A90" s="66" t="s">
        <v>215</v>
      </c>
      <c r="B90" s="67" t="str">
        <f>IFERROR(INDEX(進捗一覧!$O:$O,MATCH($A90,進捗一覧!$P:$P,0)),"⚠未検出")</f>
        <v>FR-INT プロトコル準拠</v>
      </c>
      <c r="C90" s="68" t="str">
        <f>IFERROR(INDEX(進捗一覧!$E:$E,MATCH($A90,進捗一覧!$P:$P,0)),"⚠未検出")</f>
        <v>AWSのAPI入口との接続方法を標準化するか</v>
      </c>
      <c r="D90" s="69" t="str">
        <f>IFERROR(INDEX(進捗一覧!$H:$H,MATCH($A90,進捗一覧!$P:$P,0)),"⚠未検出")</f>
        <v>確定</v>
      </c>
      <c r="E90" s="67" t="s">
        <v>932</v>
      </c>
      <c r="F90" s="69" t="s">
        <v>941</v>
      </c>
      <c r="G90" s="69" t="s">
        <v>948</v>
      </c>
      <c r="H90" s="77" t="s">
        <v>993</v>
      </c>
    </row>
    <row r="91" spans="1:8" ht="16">
      <c r="A91" s="66" t="s">
        <v>218</v>
      </c>
      <c r="B91" s="67" t="str">
        <f>IFERROR(INDEX(進捗一覧!$O:$O,MATCH($A91,進捗一覧!$P:$P,0)),"⚠未検出")</f>
        <v>FR-INT ログ・監視</v>
      </c>
      <c r="C91" s="68" t="str">
        <f>IFERROR(INDEX(進捗一覧!$E:$E,MATCH($A91,進捗一覧!$P:$P,0)),"⚠未検出")</f>
        <v>操作記録を外部にどの形式・どの頻度で出すか</v>
      </c>
      <c r="D91" s="69" t="str">
        <f>IFERROR(INDEX(進捗一覧!$H:$H,MATCH($A91,進捗一覧!$P:$P,0)),"⚠未検出")</f>
        <v>確定</v>
      </c>
      <c r="E91" s="67" t="s">
        <v>1220</v>
      </c>
      <c r="F91" s="69" t="s">
        <v>1218</v>
      </c>
      <c r="G91" s="69" t="s">
        <v>1065</v>
      </c>
      <c r="H91" s="77" t="s">
        <v>1221</v>
      </c>
    </row>
    <row r="92" spans="1:8" ht="16">
      <c r="A92" s="66" t="s">
        <v>221</v>
      </c>
      <c r="B92" s="67" t="str">
        <f>IFERROR(INDEX(進捗一覧!$O:$O,MATCH($A92,進捗一覧!$P:$P,0)),"⚠未検出")</f>
        <v>FR-INT ログ・監視</v>
      </c>
      <c r="C92" s="68" t="str">
        <f>IFERROR(INDEX(進捗一覧!$E:$E,MATCH($A92,進捗一覧!$P:$P,0)),"⚠未検出")</f>
        <v>操作記録をセキュリティ監視製品（SIEM）へ送る必要があるか。送付先は設けない方針で決定済み</v>
      </c>
      <c r="D92" s="69" t="str">
        <f>IFERROR(INDEX(進捗一覧!$H:$H,MATCH($A92,進捗一覧!$P:$P,0)),"⚠未検出")</f>
        <v>確定</v>
      </c>
      <c r="E92" s="67" t="s">
        <v>1272</v>
      </c>
      <c r="F92" s="69" t="s">
        <v>1273</v>
      </c>
      <c r="G92" s="69" t="s">
        <v>1057</v>
      </c>
      <c r="H92" s="77" t="s">
        <v>1274</v>
      </c>
    </row>
    <row r="93" spans="1:8" ht="16">
      <c r="A93" s="66" t="s">
        <v>224</v>
      </c>
      <c r="B93" s="67" t="str">
        <f>IFERROR(INDEX(進捗一覧!$O:$O,MATCH($A93,進捗一覧!$P:$P,0)),"⚠未検出")</f>
        <v>FR-INT API・IaC・Webhook</v>
      </c>
      <c r="C93" s="68"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69" t="str">
        <f>IFERROR(INDEX(進捗一覧!$H:$H,MATCH($A93,進捗一覧!$P:$P,0)),"⚠未検出")</f>
        <v>外部待ち</v>
      </c>
      <c r="E93" s="67" t="s">
        <v>1275</v>
      </c>
      <c r="F93" s="69" t="s">
        <v>1258</v>
      </c>
      <c r="G93" s="69" t="s">
        <v>1065</v>
      </c>
      <c r="H93" s="77" t="s">
        <v>1276</v>
      </c>
    </row>
    <row r="94" spans="1:8" ht="16">
      <c r="A94" s="66" t="s">
        <v>227</v>
      </c>
      <c r="B94" s="67" t="str">
        <f>IFERROR(INDEX(進捗一覧!$O:$O,MATCH($A94,進捗一覧!$P:$P,0)),"⚠未検出")</f>
        <v>FR-INT API・IaC・Webhook</v>
      </c>
      <c r="C94" s="68"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69" t="str">
        <f>IFERROR(INDEX(進捗一覧!$H:$H,MATCH($A94,進捗一覧!$P:$P,0)),"⚠未検出")</f>
        <v>方向性確定（条件付き）</v>
      </c>
      <c r="E94" s="67" t="s">
        <v>1029</v>
      </c>
      <c r="F94" s="69" t="s">
        <v>1024</v>
      </c>
      <c r="G94" s="69" t="s">
        <v>938</v>
      </c>
      <c r="H94" s="77" t="s">
        <v>1030</v>
      </c>
    </row>
    <row r="95" spans="1:8" ht="16">
      <c r="A95" s="66" t="s">
        <v>229</v>
      </c>
      <c r="B95" s="67" t="str">
        <f>IFERROR(INDEX(進捗一覧!$O:$O,MATCH($A95,進捗一覧!$P:$P,0)),"⚠未検出")</f>
        <v>FR-INT API・IaC・Webhook</v>
      </c>
      <c r="C95" s="68" t="str">
        <f>IFERROR(INDEX(進捗一覧!$E:$E,MATCH($A95,進捗一覧!$P:$P,0)),"⚠未検出")</f>
        <v>設定を手作業ではなくコードで管理する方針は採用。決めるのは、どの範囲までをコード管理の対象にするか</v>
      </c>
      <c r="D95" s="69" t="str">
        <f>IFERROR(INDEX(進捗一覧!$H:$H,MATCH($A95,進捗一覧!$P:$P,0)),"⚠未検出")</f>
        <v>検討中</v>
      </c>
      <c r="E95" s="67" t="s">
        <v>904</v>
      </c>
      <c r="F95" s="69" t="s">
        <v>937</v>
      </c>
      <c r="G95" s="69" t="s">
        <v>938</v>
      </c>
      <c r="H95" s="77" t="s">
        <v>1031</v>
      </c>
    </row>
    <row r="96" spans="1:8" ht="16">
      <c r="A96" s="66" t="s">
        <v>232</v>
      </c>
      <c r="B96" s="67" t="str">
        <f>IFERROR(INDEX(進捗一覧!$O:$O,MATCH($A96,進捗一覧!$P:$P,0)),"⚠未検出")</f>
        <v>⚠未検出</v>
      </c>
      <c r="C96" s="68" t="str">
        <f>IFERROR(INDEX(進捗一覧!$E:$E,MATCH($A96,進捗一覧!$P:$P,0)),"⚠未検出")</f>
        <v>⚠未検出</v>
      </c>
      <c r="D96" s="69" t="str">
        <f>IFERROR(INDEX(進捗一覧!$H:$H,MATCH($A96,進捗一覧!$P:$P,0)),"⚠未検出")</f>
        <v>⚠未検出</v>
      </c>
      <c r="E96" s="67" t="s">
        <v>1135</v>
      </c>
      <c r="F96" s="69" t="s">
        <v>1136</v>
      </c>
      <c r="G96" s="69" t="s">
        <v>1065</v>
      </c>
      <c r="H96" s="77" t="s">
        <v>1137</v>
      </c>
    </row>
    <row r="97" spans="1:8" ht="16">
      <c r="A97" s="66" t="s">
        <v>234</v>
      </c>
      <c r="B97" s="67" t="str">
        <f>IFERROR(INDEX(進捗一覧!$O:$O,MATCH($A97,進捗一覧!$P:$P,0)),"⚠未検出")</f>
        <v>⚠未検出</v>
      </c>
      <c r="C97" s="68" t="str">
        <f>IFERROR(INDEX(進捗一覧!$E:$E,MATCH($A97,進捗一覧!$P:$P,0)),"⚠未検出")</f>
        <v>⚠未検出</v>
      </c>
      <c r="D97" s="69" t="str">
        <f>IFERROR(INDEX(進捗一覧!$H:$H,MATCH($A97,進捗一覧!$P:$P,0)),"⚠未検出")</f>
        <v>⚠未検出</v>
      </c>
      <c r="E97" s="67" t="s">
        <v>1138</v>
      </c>
      <c r="F97" s="69" t="s">
        <v>1136</v>
      </c>
      <c r="G97" s="69" t="s">
        <v>1065</v>
      </c>
      <c r="H97" s="77" t="s">
        <v>1139</v>
      </c>
    </row>
    <row r="98" spans="1:8" ht="16">
      <c r="A98" s="66" t="s">
        <v>235</v>
      </c>
      <c r="B98" s="67" t="str">
        <f>IFERROR(INDEX(進捗一覧!$O:$O,MATCH($A98,進捗一覧!$P:$P,0)),"⚠未検出")</f>
        <v>NFR-AVL 可用性</v>
      </c>
      <c r="C98" s="68" t="str">
        <f>IFERROR(INDEX(進捗一覧!$E:$E,MATCH($A98,進捗一覧!$P:$P,0)),"⚠未検出")</f>
        <v>障害に備えて設備を複数の場所に分けて置くか</v>
      </c>
      <c r="D98" s="69" t="str">
        <f>IFERROR(INDEX(進捗一覧!$H:$H,MATCH($A98,進捗一覧!$P:$P,0)),"⚠未検出")</f>
        <v>確定</v>
      </c>
      <c r="E98" s="67" t="s">
        <v>1140</v>
      </c>
      <c r="F98" s="69" t="s">
        <v>1136</v>
      </c>
      <c r="G98" s="69" t="s">
        <v>1065</v>
      </c>
      <c r="H98" s="77" t="s">
        <v>1141</v>
      </c>
    </row>
    <row r="99" spans="1:8" ht="16">
      <c r="A99" s="66" t="s">
        <v>237</v>
      </c>
      <c r="B99" s="67" t="str">
        <f>IFERROR(INDEX(進捗一覧!$O:$O,MATCH($A99,進捗一覧!$P:$P,0)),"⚠未検出")</f>
        <v>NFR-AVL 可用性</v>
      </c>
      <c r="C99" s="68" t="str">
        <f>IFERROR(INDEX(進捗一覧!$E:$E,MATCH($A99,進捗一覧!$P:$P,0)),"⚠未検出")</f>
        <v>部品が落ちたときに自動で立ち上げ直す仕組みを入れるか</v>
      </c>
      <c r="D99" s="69" t="str">
        <f>IFERROR(INDEX(進捗一覧!$H:$H,MATCH($A99,進捗一覧!$P:$P,0)),"⚠未検出")</f>
        <v>確定</v>
      </c>
      <c r="E99" s="67" t="s">
        <v>1140</v>
      </c>
      <c r="F99" s="69" t="s">
        <v>1136</v>
      </c>
      <c r="G99" s="69" t="s">
        <v>1065</v>
      </c>
      <c r="H99" s="77" t="s">
        <v>1142</v>
      </c>
    </row>
    <row r="100" spans="1:8" ht="16">
      <c r="A100" s="66" t="s">
        <v>239</v>
      </c>
      <c r="B100" s="67" t="str">
        <f>IFERROR(INDEX(進捗一覧!$O:$O,MATCH($A100,進捗一覧!$P:$P,0)),"⚠未検出")</f>
        <v>NFR-AVL 可用性</v>
      </c>
      <c r="C100" s="68" t="str">
        <f>IFERROR(INDEX(進捗一覧!$E:$E,MATCH($A100,進捗一覧!$P:$P,0)),"⚠未検出")</f>
        <v>1か所壊れると全部止まる箇所をなくす方針でよいか</v>
      </c>
      <c r="D100" s="69" t="str">
        <f>IFERROR(INDEX(進捗一覧!$H:$H,MATCH($A100,進捗一覧!$P:$P,0)),"⚠未検出")</f>
        <v>確定</v>
      </c>
      <c r="E100" s="67" t="s">
        <v>1143</v>
      </c>
      <c r="F100" s="69" t="s">
        <v>1136</v>
      </c>
      <c r="G100" s="69" t="s">
        <v>1065</v>
      </c>
      <c r="H100" s="77" t="s">
        <v>1144</v>
      </c>
    </row>
    <row r="101" spans="1:8" ht="16">
      <c r="A101" s="66" t="s">
        <v>241</v>
      </c>
      <c r="B101" s="67" t="str">
        <f>IFERROR(INDEX(進捗一覧!$O:$O,MATCH($A101,進捗一覧!$P:$P,0)),"⚠未検出")</f>
        <v>NFR-AVL 可用性</v>
      </c>
      <c r="C101" s="68" t="str">
        <f>IFERROR(INDEX(進捗一覧!$E:$E,MATCH($A101,進捗一覧!$P:$P,0)),"⚠未検出")</f>
        <v>更新作業中もサービスを止めない方式にするか</v>
      </c>
      <c r="D101" s="69" t="str">
        <f>IFERROR(INDEX(進捗一覧!$H:$H,MATCH($A101,進捗一覧!$P:$P,0)),"⚠未検出")</f>
        <v>確定</v>
      </c>
      <c r="E101" s="67" t="s">
        <v>1145</v>
      </c>
      <c r="F101" s="69" t="s">
        <v>1136</v>
      </c>
      <c r="G101" s="69" t="s">
        <v>1065</v>
      </c>
      <c r="H101" s="77" t="s">
        <v>1146</v>
      </c>
    </row>
    <row r="102" spans="1:8" ht="16">
      <c r="A102" s="66" t="s">
        <v>244</v>
      </c>
      <c r="B102" s="67" t="str">
        <f>IFERROR(INDEX(進捗一覧!$O:$O,MATCH($A102,進捗一覧!$P:$P,0)),"⚠未検出")</f>
        <v>NFR-PERF 応答時間/レイテンシ</v>
      </c>
      <c r="C102" s="68" t="str">
        <f>IFERROR(INDEX(進捗一覧!$E:$E,MATCH($A102,進捗一覧!$P:$P,0)),"⚠未検出")</f>
        <v>ログインが何秒以内に返れば合格とするか</v>
      </c>
      <c r="D102" s="69" t="str">
        <f>IFERROR(INDEX(進捗一覧!$H:$H,MATCH($A102,進捗一覧!$P:$P,0)),"⚠未検出")</f>
        <v>外部待ち</v>
      </c>
      <c r="E102" s="67" t="s">
        <v>1174</v>
      </c>
      <c r="F102" s="69" t="s">
        <v>1175</v>
      </c>
      <c r="G102" s="69" t="s">
        <v>1057</v>
      </c>
      <c r="H102" s="77" t="s">
        <v>1176</v>
      </c>
    </row>
    <row r="103" spans="1:8" ht="16">
      <c r="A103" s="66" t="s">
        <v>247</v>
      </c>
      <c r="B103" s="67" t="str">
        <f>IFERROR(INDEX(進捗一覧!$O:$O,MATCH($A103,進捗一覧!$P:$P,0)),"⚠未検出")</f>
        <v>NFR-PERF 応答時間/レイテンシ</v>
      </c>
      <c r="C103" s="68" t="str">
        <f>IFERROR(INDEX(進捗一覧!$E:$E,MATCH($A103,進捗一覧!$P:$P,0)),"⚠未検出")</f>
        <v>権限チェック部分の応答時間の目標をどこに置くか</v>
      </c>
      <c r="D103" s="69" t="str">
        <f>IFERROR(INDEX(進捗一覧!$H:$H,MATCH($A103,進捗一覧!$P:$P,0)),"⚠未検出")</f>
        <v>対象外</v>
      </c>
      <c r="E103" s="67" t="s">
        <v>1398</v>
      </c>
      <c r="F103" s="69" t="s">
        <v>1218</v>
      </c>
      <c r="G103" s="69" t="s">
        <v>1057</v>
      </c>
      <c r="H103" s="77" t="s">
        <v>1399</v>
      </c>
    </row>
    <row r="104" spans="1:8" ht="16">
      <c r="A104" s="66" t="s">
        <v>249</v>
      </c>
      <c r="B104" s="67" t="str">
        <f>IFERROR(INDEX(進捗一覧!$O:$O,MATCH($A104,進捗一覧!$P:$P,0)),"⚠未検出")</f>
        <v>NFR-PERF 応答時間/レイテンシ</v>
      </c>
      <c r="C104" s="68"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69" t="str">
        <f>IFERROR(INDEX(進捗一覧!$H:$H,MATCH($A104,進捗一覧!$P:$P,0)),"⚠未検出")</f>
        <v>確定</v>
      </c>
      <c r="E104" s="67" t="s">
        <v>1398</v>
      </c>
      <c r="F104" s="69" t="s">
        <v>1218</v>
      </c>
      <c r="G104" s="69" t="s">
        <v>1057</v>
      </c>
      <c r="H104" s="77" t="s">
        <v>1400</v>
      </c>
    </row>
    <row r="105" spans="1:8" ht="16">
      <c r="A105" s="66" t="s">
        <v>251</v>
      </c>
      <c r="B105" s="67" t="str">
        <f>IFERROR(INDEX(進捗一覧!$O:$O,MATCH($A105,進捗一覧!$P:$P,0)),"⚠未検出")</f>
        <v>NFR-PERF 応答時間/レイテンシ</v>
      </c>
      <c r="C105" s="68"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69" t="str">
        <f>IFERROR(INDEX(進捗一覧!$H:$H,MATCH($A105,進捗一覧!$P:$P,0)),"⚠未検出")</f>
        <v>確定</v>
      </c>
      <c r="E105" s="67" t="s">
        <v>1178</v>
      </c>
      <c r="F105" s="69" t="s">
        <v>1177</v>
      </c>
      <c r="G105" s="69" t="s">
        <v>1057</v>
      </c>
      <c r="H105" s="77" t="s">
        <v>1179</v>
      </c>
    </row>
    <row r="106" spans="1:8" ht="16">
      <c r="A106" s="66" t="s">
        <v>253</v>
      </c>
      <c r="B106" s="67" t="str">
        <f>IFERROR(INDEX(進捗一覧!$O:$O,MATCH($A106,進捗一覧!$P:$P,0)),"⚠未検出")</f>
        <v>NFR-PERF 応答時間/レイテンシ</v>
      </c>
      <c r="C106" s="68" t="str">
        <f>IFERROR(INDEX(進捗一覧!$E:$E,MATCH($A106,進捗一覧!$P:$P,0)),"⚠未検出")</f>
        <v>データベースの応答時間を独立した目標として置くか、通行証発行の応答時間の中に含めてしまうか</v>
      </c>
      <c r="D106" s="69" t="str">
        <f>IFERROR(INDEX(進捗一覧!$H:$H,MATCH($A106,進捗一覧!$P:$P,0)),"⚠未検出")</f>
        <v>検討中</v>
      </c>
      <c r="E106" s="67" t="s">
        <v>1180</v>
      </c>
      <c r="F106" s="69" t="s">
        <v>1175</v>
      </c>
      <c r="G106" s="69" t="s">
        <v>1057</v>
      </c>
      <c r="H106" s="77" t="s">
        <v>1181</v>
      </c>
    </row>
    <row r="107" spans="1:8" ht="16">
      <c r="A107" s="66" t="s">
        <v>256</v>
      </c>
      <c r="B107" s="67" t="str">
        <f>IFERROR(INDEX(進捗一覧!$O:$O,MATCH($A107,進捗一覧!$P:$P,0)),"⚠未検出")</f>
        <v>NFR-PERF スループット/スケール耐性</v>
      </c>
      <c r="C107" s="68" t="str">
        <f>IFERROR(INDEX(進捗一覧!$E:$E,MATCH($A107,進捗一覧!$P:$P,0)),"⚠未検出")</f>
        <v>ログインが集中したとき、同時に何件まで耐える必要があるか</v>
      </c>
      <c r="D107" s="69" t="str">
        <f>IFERROR(INDEX(進捗一覧!$H:$H,MATCH($A107,進捗一覧!$P:$P,0)),"⚠未検出")</f>
        <v>外部待ち</v>
      </c>
      <c r="E107" s="67" t="s">
        <v>1182</v>
      </c>
      <c r="F107" s="69" t="s">
        <v>1175</v>
      </c>
      <c r="G107" s="69" t="s">
        <v>1065</v>
      </c>
      <c r="H107" s="77" t="s">
        <v>1183</v>
      </c>
    </row>
    <row r="108" spans="1:8" ht="16">
      <c r="A108" s="66" t="s">
        <v>259</v>
      </c>
      <c r="B108" s="67" t="str">
        <f>IFERROR(INDEX(進捗一覧!$O:$O,MATCH($A108,進捗一覧!$P:$P,0)),"⚠未検出")</f>
        <v>NFR-PERF スループット/スケール耐性</v>
      </c>
      <c r="C108" s="68" t="str">
        <f>IFERROR(INDEX(進捗一覧!$E:$E,MATCH($A108,進捗一覧!$P:$P,0)),"⚠未検出")</f>
        <v>入口で1秒あたりの受付上限をいくつにするか</v>
      </c>
      <c r="D108" s="69" t="str">
        <f>IFERROR(INDEX(進捗一覧!$H:$H,MATCH($A108,進捗一覧!$P:$P,0)),"⚠未検出")</f>
        <v>外部待ち</v>
      </c>
      <c r="E108" s="67" t="s">
        <v>1184</v>
      </c>
      <c r="F108" s="69" t="s">
        <v>1175</v>
      </c>
      <c r="G108" s="69" t="s">
        <v>1057</v>
      </c>
      <c r="H108" s="77" t="s">
        <v>1185</v>
      </c>
    </row>
    <row r="109" spans="1:8" ht="16">
      <c r="A109" s="66" t="s">
        <v>261</v>
      </c>
      <c r="B109" s="67" t="str">
        <f>IFERROR(INDEX(進捗一覧!$O:$O,MATCH($A109,進捗一覧!$P:$P,0)),"⚠未検出")</f>
        <v>NFR-PERF スループット/スケール耐性</v>
      </c>
      <c r="C109" s="68" t="str">
        <f>IFERROR(INDEX(進捗一覧!$E:$E,MATCH($A109,進捗一覧!$P:$P,0)),"⚠未検出")</f>
        <v>始業時など混み合う時間帯の想定と、その山をどう吸収するか</v>
      </c>
      <c r="D109" s="69" t="str">
        <f>IFERROR(INDEX(進捗一覧!$H:$H,MATCH($A109,進捗一覧!$P:$P,0)),"⚠未検出")</f>
        <v>外部待ち</v>
      </c>
      <c r="E109" s="67" t="s">
        <v>1186</v>
      </c>
      <c r="F109" s="69" t="s">
        <v>1175</v>
      </c>
      <c r="G109" s="69" t="s">
        <v>1065</v>
      </c>
      <c r="H109" s="77" t="s">
        <v>1187</v>
      </c>
    </row>
    <row r="110" spans="1:8" ht="16">
      <c r="A110" s="66" t="s">
        <v>264</v>
      </c>
      <c r="B110" s="67" t="str">
        <f>IFERROR(INDEX(進捗一覧!$O:$O,MATCH($A110,進捗一覧!$P:$P,0)),"⚠未検出")</f>
        <v>⚠未検出</v>
      </c>
      <c r="C110" s="68" t="str">
        <f>IFERROR(INDEX(進捗一覧!$E:$E,MATCH($A110,進捗一覧!$P:$P,0)),"⚠未検出")</f>
        <v>⚠未検出</v>
      </c>
      <c r="D110" s="69" t="str">
        <f>IFERROR(INDEX(進捗一覧!$H:$H,MATCH($A110,進捗一覧!$P:$P,0)),"⚠未検出")</f>
        <v>⚠未検出</v>
      </c>
      <c r="E110" s="67" t="s">
        <v>1188</v>
      </c>
      <c r="F110" s="69" t="s">
        <v>1175</v>
      </c>
      <c r="G110" s="69" t="s">
        <v>1065</v>
      </c>
      <c r="H110" s="77" t="s">
        <v>1189</v>
      </c>
    </row>
    <row r="111" spans="1:8" ht="16">
      <c r="A111" s="66" t="s">
        <v>266</v>
      </c>
      <c r="B111" s="67" t="str">
        <f>IFERROR(INDEX(進捗一覧!$O:$O,MATCH($A111,進捗一覧!$P:$P,0)),"⚠未検出")</f>
        <v>NFR-SCL 拡張性</v>
      </c>
      <c r="C111" s="68" t="str">
        <f>IFERROR(INDEX(進捗一覧!$E:$E,MATCH($A111,進捗一覧!$P:$P,0)),"⚠未検出")</f>
        <v>同時にログイン状態になる人数を、最大いくらと見込むか</v>
      </c>
      <c r="D111" s="69" t="str">
        <f>IFERROR(INDEX(進捗一覧!$H:$H,MATCH($A111,進捗一覧!$P:$P,0)),"⚠未検出")</f>
        <v>外部待ち</v>
      </c>
      <c r="E111" s="67" t="s">
        <v>1190</v>
      </c>
      <c r="F111" s="69" t="s">
        <v>1175</v>
      </c>
      <c r="G111" s="69" t="s">
        <v>1057</v>
      </c>
      <c r="H111" s="77" t="s">
        <v>1191</v>
      </c>
    </row>
    <row r="112" spans="1:8" ht="16">
      <c r="A112" s="66" t="s">
        <v>268</v>
      </c>
      <c r="B112" s="67" t="str">
        <f>IFERROR(INDEX(進捗一覧!$O:$O,MATCH($A112,進捗一覧!$P:$P,0)),"⚠未検出")</f>
        <v>NFR-SCL 拡張性</v>
      </c>
      <c r="C112" s="68" t="str">
        <f>IFERROR(INDEX(進捗一覧!$E:$E,MATCH($A112,進捗一覧!$P:$P,0)),"⚠未検出")</f>
        <v>顧客の数（接続するID基盤の数）を最大いくらと見込むか</v>
      </c>
      <c r="D112" s="69" t="str">
        <f>IFERROR(INDEX(進捗一覧!$H:$H,MATCH($A112,進捗一覧!$P:$P,0)),"⚠未検出")</f>
        <v>外部待ち</v>
      </c>
      <c r="E112" s="67" t="s">
        <v>1032</v>
      </c>
      <c r="F112" s="69" t="s">
        <v>937</v>
      </c>
      <c r="G112" s="69" t="s">
        <v>938</v>
      </c>
      <c r="H112" s="77" t="s">
        <v>1033</v>
      </c>
    </row>
    <row r="113" spans="1:8" ht="16">
      <c r="A113" s="66" t="s">
        <v>270</v>
      </c>
      <c r="B113" s="67" t="str">
        <f>IFERROR(INDEX(進捗一覧!$O:$O,MATCH($A113,進捗一覧!$P:$P,0)),"⚠未検出")</f>
        <v>NFR-SCL 拡張性</v>
      </c>
      <c r="C113" s="68" t="str">
        <f>IFERROR(INDEX(進捗一覧!$E:$E,MATCH($A113,進捗一覧!$P:$P,0)),"⚠未検出")</f>
        <v>新しい顧客の接続を、依頼から何日で開通させるか</v>
      </c>
      <c r="D113" s="69" t="str">
        <f>IFERROR(INDEX(進捗一覧!$H:$H,MATCH($A113,進捗一覧!$P:$P,0)),"⚠未検出")</f>
        <v>外部待ち</v>
      </c>
      <c r="E113" s="67" t="s">
        <v>1184</v>
      </c>
      <c r="F113" s="69" t="s">
        <v>1175</v>
      </c>
      <c r="G113" s="69" t="s">
        <v>1057</v>
      </c>
      <c r="H113" s="77" t="s">
        <v>1192</v>
      </c>
    </row>
    <row r="114" spans="1:8" ht="16">
      <c r="A114" s="66" t="s">
        <v>272</v>
      </c>
      <c r="B114" s="67" t="str">
        <f>IFERROR(INDEX(進捗一覧!$O:$O,MATCH($A114,進捗一覧!$P:$P,0)),"⚠未検出")</f>
        <v>NFR-SCL 拡張性</v>
      </c>
      <c r="C114" s="68" t="str">
        <f>IFERROR(INDEX(進捗一覧!$E:$E,MATCH($A114,進捗一覧!$P:$P,0)),"⚠未検出")</f>
        <v>混雑に応じて設備を自動で増減させるか。増やす・減らす判定基準をどうするか</v>
      </c>
      <c r="D114" s="69" t="str">
        <f>IFERROR(INDEX(進捗一覧!$H:$H,MATCH($A114,進捗一覧!$P:$P,0)),"⚠未検出")</f>
        <v>確定</v>
      </c>
      <c r="E114" s="67" t="s">
        <v>1186</v>
      </c>
      <c r="F114" s="69" t="s">
        <v>1175</v>
      </c>
      <c r="G114" s="69" t="s">
        <v>1065</v>
      </c>
      <c r="H114" s="77" t="s">
        <v>1193</v>
      </c>
    </row>
    <row r="115" spans="1:8" ht="16">
      <c r="A115" s="66" t="s">
        <v>274</v>
      </c>
      <c r="B115" s="67" t="str">
        <f>IFERROR(INDEX(進捗一覧!$O:$O,MATCH($A115,進捗一覧!$P:$P,0)),"⚠未検出")</f>
        <v>NFR-SCL 拡張性</v>
      </c>
      <c r="C115" s="68" t="str">
        <f>IFERROR(INDEX(進捗一覧!$E:$E,MATCH($A115,進捗一覧!$P:$P,0)),"⚠未検出")</f>
        <v>複数の地域で同時に稼働させる必要があるか</v>
      </c>
      <c r="D115" s="69" t="str">
        <f>IFERROR(INDEX(進捗一覧!$H:$H,MATCH($A115,進捗一覧!$P:$P,0)),"⚠未検出")</f>
        <v>外部待ち</v>
      </c>
      <c r="E115" s="67" t="s">
        <v>1194</v>
      </c>
      <c r="F115" s="69" t="s">
        <v>1195</v>
      </c>
      <c r="G115" s="69" t="s">
        <v>1065</v>
      </c>
      <c r="H115" s="77" t="s">
        <v>1196</v>
      </c>
    </row>
    <row r="116" spans="1:8" ht="16">
      <c r="A116" s="66" t="s">
        <v>276</v>
      </c>
      <c r="B116" s="67" t="str">
        <f>IFERROR(INDEX(進捗一覧!$O:$O,MATCH($A116,進捗一覧!$P:$P,0)),"⚠未検出")</f>
        <v>NFR-SCL 拡張性</v>
      </c>
      <c r="C116" s="68" t="str">
        <f>IFERROR(INDEX(進捗一覧!$E:$E,MATCH($A116,進捗一覧!$P:$P,0)),"⚠未検出")</f>
        <v>データベースの拡張余地をどこまで確保するか。実規模での実測が難しいため、見積もり値で置く</v>
      </c>
      <c r="D116" s="69" t="str">
        <f>IFERROR(INDEX(進捗一覧!$H:$H,MATCH($A116,進捗一覧!$P:$P,0)),"⚠未検出")</f>
        <v>検討中</v>
      </c>
      <c r="E116" s="67" t="s">
        <v>1197</v>
      </c>
      <c r="F116" s="69" t="s">
        <v>1175</v>
      </c>
      <c r="G116" s="69" t="s">
        <v>1065</v>
      </c>
      <c r="H116" s="77" t="s">
        <v>1198</v>
      </c>
    </row>
    <row r="117" spans="1:8" ht="16">
      <c r="A117" s="66" t="s">
        <v>279</v>
      </c>
      <c r="B117" s="67" t="str">
        <f>IFERROR(INDEX(進捗一覧!$O:$O,MATCH($A117,進捗一覧!$P:$P,0)),"⚠未検出")</f>
        <v>NFR-SEC 暗号化・鍵管理</v>
      </c>
      <c r="C117" s="68" t="str">
        <f>IFERROR(INDEX(進捗一覧!$E:$E,MATCH($A117,進捗一覧!$P:$P,0)),"⚠未検出")</f>
        <v>通信の暗号化をどの水準で必須にするか</v>
      </c>
      <c r="D117" s="69" t="str">
        <f>IFERROR(INDEX(進捗一覧!$H:$H,MATCH($A117,進捗一覧!$P:$P,0)),"⚠未検出")</f>
        <v>確定</v>
      </c>
      <c r="E117" s="67" t="s">
        <v>1199</v>
      </c>
      <c r="F117" s="69" t="s">
        <v>1175</v>
      </c>
      <c r="G117" s="69" t="s">
        <v>1065</v>
      </c>
      <c r="H117" s="77" t="s">
        <v>1200</v>
      </c>
    </row>
    <row r="118" spans="1:8" ht="16">
      <c r="A118" s="66" t="s">
        <v>282</v>
      </c>
      <c r="B118" s="67" t="str">
        <f>IFERROR(INDEX(進捗一覧!$O:$O,MATCH($A118,進捗一覧!$P:$P,0)),"⚠未検出")</f>
        <v>NFR-SEC 暗号化・鍵管理</v>
      </c>
      <c r="C118" s="68" t="str">
        <f>IFERROR(INDEX(進捗一覧!$E:$E,MATCH($A118,進捗一覧!$P:$P,0)),"⚠未検出")</f>
        <v>保存データの暗号化をどこまで必須にするか。暗号鍵を誰が持つか</v>
      </c>
      <c r="D118" s="69" t="str">
        <f>IFERROR(INDEX(進捗一覧!$H:$H,MATCH($A118,進捗一覧!$P:$P,0)),"⚠未検出")</f>
        <v>確定</v>
      </c>
      <c r="E118" s="67" t="s">
        <v>1096</v>
      </c>
      <c r="F118" s="69" t="s">
        <v>1089</v>
      </c>
      <c r="G118" s="69" t="s">
        <v>1065</v>
      </c>
      <c r="H118" s="77" t="s">
        <v>1097</v>
      </c>
    </row>
    <row r="119" spans="1:8" ht="16">
      <c r="A119" s="66" t="s">
        <v>284</v>
      </c>
      <c r="B119" s="67" t="str">
        <f>IFERROR(INDEX(進捗一覧!$O:$O,MATCH($A119,進捗一覧!$P:$P,0)),"⚠未検出")</f>
        <v>NFR-SEC 暗号化・鍵管理</v>
      </c>
      <c r="C119" s="68" t="str">
        <f>IFERROR(INDEX(進捗一覧!$E:$E,MATCH($A119,進捗一覧!$P:$P,0)),"⚠未検出")</f>
        <v>通行証の署名方式に何を使うか</v>
      </c>
      <c r="D119" s="69" t="str">
        <f>IFERROR(INDEX(進捗一覧!$H:$H,MATCH($A119,進捗一覧!$P:$P,0)),"⚠未検出")</f>
        <v>外部待ち</v>
      </c>
      <c r="E119" s="67" t="s">
        <v>1098</v>
      </c>
      <c r="F119" s="69" t="s">
        <v>1099</v>
      </c>
      <c r="G119" s="69" t="s">
        <v>1065</v>
      </c>
      <c r="H119" s="77" t="s">
        <v>1100</v>
      </c>
    </row>
    <row r="120" spans="1:8" ht="16">
      <c r="A120" s="66" t="s">
        <v>286</v>
      </c>
      <c r="B120" s="67" t="str">
        <f>IFERROR(INDEX(進捗一覧!$O:$O,MATCH($A120,進捗一覧!$P:$P,0)),"⚠未検出")</f>
        <v>NFR-SEC 暗号化・鍵管理</v>
      </c>
      <c r="C120" s="68" t="str">
        <f>IFERROR(INDEX(進捗一覧!$E:$E,MATCH($A120,進捗一覧!$P:$P,0)),"⚠未検出")</f>
        <v>パスワードをどの方式で保管するか。強度の設定値をどうするか</v>
      </c>
      <c r="D120" s="69" t="str">
        <f>IFERROR(INDEX(進捗一覧!$H:$H,MATCH($A120,進捗一覧!$P:$P,0)),"⚠未検出")</f>
        <v>外部待ち</v>
      </c>
      <c r="E120" s="67" t="s">
        <v>1088</v>
      </c>
      <c r="F120" s="69" t="s">
        <v>1089</v>
      </c>
      <c r="G120" s="69" t="s">
        <v>1057</v>
      </c>
      <c r="H120" s="77" t="s">
        <v>1101</v>
      </c>
    </row>
    <row r="121" spans="1:8" ht="16">
      <c r="A121" s="66" t="s">
        <v>288</v>
      </c>
      <c r="B121" s="67" t="str">
        <f>IFERROR(INDEX(進捗一覧!$O:$O,MATCH($A121,進捗一覧!$P:$P,0)),"⚠未検出")</f>
        <v>NFR-SEC 暗号化・鍵管理</v>
      </c>
      <c r="C121" s="68" t="str">
        <f>IFERROR(INDEX(進捗一覧!$E:$E,MATCH($A121,進捗一覧!$P:$P,0)),"⚠未検出")</f>
        <v>接続用の秘密情報をどこに保管し、誰が取り出せるようにするか</v>
      </c>
      <c r="D121" s="69" t="str">
        <f>IFERROR(INDEX(進捗一覧!$H:$H,MATCH($A121,進捗一覧!$P:$P,0)),"⚠未検出")</f>
        <v>確定</v>
      </c>
      <c r="E121" s="67" t="s">
        <v>1102</v>
      </c>
      <c r="F121" s="69" t="s">
        <v>1089</v>
      </c>
      <c r="G121" s="69" t="s">
        <v>1065</v>
      </c>
      <c r="H121" s="77" t="s">
        <v>1103</v>
      </c>
    </row>
    <row r="122" spans="1:8" ht="16">
      <c r="A122" s="66" t="s">
        <v>291</v>
      </c>
      <c r="B122" s="67" t="str">
        <f>IFERROR(INDEX(進捗一覧!$O:$O,MATCH($A122,進捗一覧!$P:$P,0)),"⚠未検出")</f>
        <v>NFR-SEC トークン・セッション</v>
      </c>
      <c r="C122" s="68" t="str">
        <f>IFERROR(INDEX(進捗一覧!$E:$E,MATCH($A122,進捗一覧!$P:$P,0)),"⚠未検出")</f>
        <v>通行証の有効時間を何分にするか</v>
      </c>
      <c r="D122" s="69" t="str">
        <f>IFERROR(INDEX(進捗一覧!$H:$H,MATCH($A122,進捗一覧!$P:$P,0)),"⚠未検出")</f>
        <v>外部待ち</v>
      </c>
      <c r="E122" s="67" t="s">
        <v>1034</v>
      </c>
      <c r="F122" s="69" t="s">
        <v>941</v>
      </c>
      <c r="G122" s="69" t="s">
        <v>938</v>
      </c>
      <c r="H122" s="77" t="s">
        <v>1035</v>
      </c>
    </row>
    <row r="123" spans="1:8" ht="16">
      <c r="A123" s="66" t="s">
        <v>294</v>
      </c>
      <c r="B123" s="67" t="str">
        <f>IFERROR(INDEX(進捗一覧!$O:$O,MATCH($A123,進捗一覧!$P:$P,0)),"⚠未検出")</f>
        <v>NFR-SEC トークン・セッション</v>
      </c>
      <c r="C123" s="68" t="str">
        <f>IFERROR(INDEX(進捗一覧!$E:$E,MATCH($A123,進捗一覧!$P:$P,0)),"⚠未検出")</f>
        <v>再ログインなしで使い続けられる期間を何日にするか</v>
      </c>
      <c r="D123" s="69" t="str">
        <f>IFERROR(INDEX(進捗一覧!$H:$H,MATCH($A123,進捗一覧!$P:$P,0)),"⚠未検出")</f>
        <v>外部待ち</v>
      </c>
      <c r="E123" s="67" t="s">
        <v>1036</v>
      </c>
      <c r="F123" s="69" t="s">
        <v>941</v>
      </c>
      <c r="G123" s="69" t="s">
        <v>938</v>
      </c>
      <c r="H123" s="77" t="s">
        <v>1037</v>
      </c>
    </row>
    <row r="124" spans="1:8" ht="16">
      <c r="A124" s="66" t="s">
        <v>296</v>
      </c>
      <c r="B124" s="67" t="str">
        <f>IFERROR(INDEX(進捗一覧!$O:$O,MATCH($A124,進捗一覧!$P:$P,0)),"⚠未検出")</f>
        <v>NFR-SEC トークン・セッション</v>
      </c>
      <c r="C124" s="68" t="str">
        <f>IFERROR(INDEX(進捗一覧!$E:$E,MATCH($A124,進捗一覧!$P:$P,0)),"⚠未検出")</f>
        <v>本人確認情報の有効時間を何分にするか</v>
      </c>
      <c r="D124" s="69" t="str">
        <f>IFERROR(INDEX(進捗一覧!$H:$H,MATCH($A124,進捗一覧!$P:$P,0)),"⚠未検出")</f>
        <v>外部待ち</v>
      </c>
      <c r="E124" s="67" t="s">
        <v>1038</v>
      </c>
      <c r="F124" s="69" t="s">
        <v>941</v>
      </c>
      <c r="G124" s="69" t="s">
        <v>938</v>
      </c>
      <c r="H124" s="77" t="s">
        <v>1039</v>
      </c>
    </row>
    <row r="125" spans="1:8" ht="16">
      <c r="A125" s="66" t="s">
        <v>298</v>
      </c>
      <c r="B125" s="67" t="str">
        <f>IFERROR(INDEX(進捗一覧!$O:$O,MATCH($A125,進捗一覧!$P:$P,0)),"⚠未検出")</f>
        <v>NFR-SEC トークン・セッション</v>
      </c>
      <c r="C125" s="68" t="str">
        <f>IFERROR(INDEX(進捗一覧!$E:$E,MATCH($A125,進捗一覧!$P:$P,0)),"⚠未検出")</f>
        <v>使い回しを防ぐため、更新のたびに引換券を作り替える方式にするか</v>
      </c>
      <c r="D125" s="69" t="str">
        <f>IFERROR(INDEX(進捗一覧!$H:$H,MATCH($A125,進捗一覧!$P:$P,0)),"⚠未検出")</f>
        <v>外部待ち</v>
      </c>
      <c r="E125" s="67" t="s">
        <v>920</v>
      </c>
      <c r="F125" s="69" t="s">
        <v>941</v>
      </c>
      <c r="G125" s="69" t="s">
        <v>938</v>
      </c>
      <c r="H125" s="77" t="s">
        <v>1040</v>
      </c>
    </row>
    <row r="126" spans="1:8" ht="16">
      <c r="A126" s="66" t="s">
        <v>300</v>
      </c>
      <c r="B126" s="67" t="str">
        <f>IFERROR(INDEX(進捗一覧!$O:$O,MATCH($A126,進捗一覧!$P:$P,0)),"⚠未検出")</f>
        <v>NFR-SEC トークン・セッション</v>
      </c>
      <c r="C126" s="68" t="str">
        <f>IFERROR(INDEX(進捗一覧!$E:$E,MATCH($A126,進捗一覧!$P:$P,0)),"⚠未検出")</f>
        <v>発行済みの通行証を有効期限前に取り消せる仕組みを用意するか</v>
      </c>
      <c r="D126" s="69" t="str">
        <f>IFERROR(INDEX(進捗一覧!$H:$H,MATCH($A126,進捗一覧!$P:$P,0)),"⚠未検出")</f>
        <v>外部待ち</v>
      </c>
      <c r="E126" s="67" t="s">
        <v>1041</v>
      </c>
      <c r="F126" s="69" t="s">
        <v>941</v>
      </c>
      <c r="G126" s="69" t="s">
        <v>938</v>
      </c>
      <c r="H126" s="77" t="s">
        <v>1042</v>
      </c>
    </row>
    <row r="127" spans="1:8" ht="16">
      <c r="A127" s="66" t="s">
        <v>302</v>
      </c>
      <c r="B127" s="67" t="str">
        <f>IFERROR(INDEX(進捗一覧!$O:$O,MATCH($A127,進捗一覧!$P:$P,0)),"⚠未検出")</f>
        <v>NFR-SEC トークン・セッション</v>
      </c>
      <c r="C127" s="68" t="str">
        <f>IFERROR(INDEX(進捗一覧!$E:$E,MATCH($A127,進捗一覧!$P:$P,0)),"⚠未検出")</f>
        <v>なりすましを防ぐため、ログイン時に識別子を作り替えるか</v>
      </c>
      <c r="D127" s="69" t="str">
        <f>IFERROR(INDEX(進捗一覧!$H:$H,MATCH($A127,進捗一覧!$P:$P,0)),"⚠未検出")</f>
        <v>確定</v>
      </c>
      <c r="E127" s="67" t="s">
        <v>1088</v>
      </c>
      <c r="F127" s="69" t="s">
        <v>1089</v>
      </c>
      <c r="G127" s="69" t="s">
        <v>1057</v>
      </c>
      <c r="H127" s="77" t="s">
        <v>1115</v>
      </c>
    </row>
    <row r="128" spans="1:8" ht="16">
      <c r="A128" s="66" t="s">
        <v>305</v>
      </c>
      <c r="B128" s="67" t="str">
        <f>IFERROR(INDEX(進捗一覧!$O:$O,MATCH($A128,進捗一覧!$P:$P,0)),"⚠未検出")</f>
        <v>NFR-SEC 攻撃対策</v>
      </c>
      <c r="C128" s="68" t="str">
        <f>IFERROR(INDEX(進捗一覧!$E:$E,MATCH($A128,進捗一覧!$P:$P,0)),"⚠未検出")</f>
        <v>パスワードの総当たり攻撃への対処方式をどれにするか</v>
      </c>
      <c r="D128" s="69" t="str">
        <f>IFERROR(INDEX(進捗一覧!$H:$H,MATCH($A128,進捗一覧!$P:$P,0)),"⚠未検出")</f>
        <v>外部待ち</v>
      </c>
      <c r="E128" s="67" t="s">
        <v>1104</v>
      </c>
      <c r="F128" s="69" t="s">
        <v>1089</v>
      </c>
      <c r="G128" s="69" t="s">
        <v>1065</v>
      </c>
      <c r="H128" s="77" t="s">
        <v>1105</v>
      </c>
    </row>
    <row r="129" spans="1:8" ht="16">
      <c r="A129" s="66" t="s">
        <v>308</v>
      </c>
      <c r="B129" s="67" t="str">
        <f>IFERROR(INDEX(進捗一覧!$O:$O,MATCH($A129,進捗一覧!$P:$P,0)),"⚠未検出")</f>
        <v>NFR-SEC 攻撃対策</v>
      </c>
      <c r="C129" s="68" t="str">
        <f>IFERROR(INDEX(進捗一覧!$E:$E,MATCH($A129,進捗一覧!$P:$P,0)),"⚠未検出")</f>
        <v>世の中に漏れていると分かっているパスワードの使用を拒否するか</v>
      </c>
      <c r="D129" s="69" t="str">
        <f>IFERROR(INDEX(進捗一覧!$H:$H,MATCH($A129,進捗一覧!$P:$P,0)),"⚠未検出")</f>
        <v>外部待ち</v>
      </c>
      <c r="E129" s="67" t="s">
        <v>1116</v>
      </c>
      <c r="F129" s="69" t="s">
        <v>1089</v>
      </c>
      <c r="G129" s="69" t="s">
        <v>1065</v>
      </c>
      <c r="H129" s="77" t="s">
        <v>1117</v>
      </c>
    </row>
    <row r="130" spans="1:8" ht="16">
      <c r="A130" s="66" t="s">
        <v>310</v>
      </c>
      <c r="B130" s="67" t="str">
        <f>IFERROR(INDEX(進捗一覧!$O:$O,MATCH($A130,進捗一覧!$P:$P,0)),"⚠未検出")</f>
        <v>NFR-SEC 攻撃対策</v>
      </c>
      <c r="C130" s="68" t="str">
        <f>IFERROR(INDEX(進捗一覧!$E:$E,MATCH($A130,進捗一覧!$P:$P,0)),"⚠未検出")</f>
        <v>大量アクセス攻撃への備えをどこまで行うか。誰が担うか</v>
      </c>
      <c r="D130" s="69" t="str">
        <f>IFERROR(INDEX(進捗一覧!$H:$H,MATCH($A130,進捗一覧!$P:$P,0)),"⚠未検出")</f>
        <v>確定</v>
      </c>
      <c r="E130" s="67" t="s">
        <v>1088</v>
      </c>
      <c r="F130" s="69" t="s">
        <v>1089</v>
      </c>
      <c r="G130" s="69" t="s">
        <v>1057</v>
      </c>
      <c r="H130" s="77" t="s">
        <v>1118</v>
      </c>
    </row>
    <row r="131" spans="1:8" ht="16">
      <c r="A131" s="66" t="s">
        <v>312</v>
      </c>
      <c r="B131" s="67" t="str">
        <f>IFERROR(INDEX(進捗一覧!$O:$O,MATCH($A131,進捗一覧!$P:$P,0)),"⚠未検出")</f>
        <v>NFR-SEC 攻撃対策</v>
      </c>
      <c r="C131" s="68" t="str">
        <f>IFERROR(INDEX(進捗一覧!$E:$E,MATCH($A131,進捗一覧!$P:$P,0)),"⚠未検出")</f>
        <v>疑似攻撃による検査を行うか。頻度と実施者をどうするか</v>
      </c>
      <c r="D131" s="69" t="str">
        <f>IFERROR(INDEX(進捗一覧!$H:$H,MATCH($A131,進捗一覧!$P:$P,0)),"⚠未検出")</f>
        <v>外部待ち</v>
      </c>
      <c r="E131" s="67" t="s">
        <v>1410</v>
      </c>
      <c r="F131" s="69" t="s">
        <v>1089</v>
      </c>
      <c r="G131" s="69" t="s">
        <v>1057</v>
      </c>
      <c r="H131" s="77" t="s">
        <v>1411</v>
      </c>
    </row>
    <row r="132" spans="1:8" ht="16">
      <c r="A132" s="66" t="s">
        <v>315</v>
      </c>
      <c r="B132" s="67" t="str">
        <f>IFERROR(INDEX(進捗一覧!$O:$O,MATCH($A132,進捗一覧!$P:$P,0)),"⚠未検出")</f>
        <v>NFR-SEC 攻撃対策</v>
      </c>
      <c r="C132" s="68" t="str">
        <f>IFERROR(INDEX(進捗一覧!$E:$E,MATCH($A132,進捗一覧!$P:$P,0)),"⚠未検出")</f>
        <v>弱点の自動検査をどの頻度で行うか。何を合格とするか</v>
      </c>
      <c r="D132" s="69" t="str">
        <f>IFERROR(INDEX(進捗一覧!$H:$H,MATCH($A132,進捗一覧!$P:$P,0)),"⚠未検出")</f>
        <v>検討中</v>
      </c>
      <c r="E132" s="67" t="s">
        <v>1107</v>
      </c>
      <c r="F132" s="69" t="s">
        <v>1089</v>
      </c>
      <c r="G132" s="69" t="s">
        <v>1057</v>
      </c>
      <c r="H132" s="77" t="s">
        <v>1119</v>
      </c>
    </row>
    <row r="133" spans="1:8" ht="16">
      <c r="A133" s="66" t="s">
        <v>318</v>
      </c>
      <c r="B133" s="67" t="str">
        <f>IFERROR(INDEX(進捗一覧!$O:$O,MATCH($A133,進捗一覧!$P:$P,0)),"⚠未検出")</f>
        <v>NFR-SEC ネットワーク・境界制御</v>
      </c>
      <c r="C133" s="68" t="str">
        <f>IFERROR(INDEX(進捗一覧!$E:$E,MATCH($A133,進捗一覧!$P:$P,0)),"⚠未検出")</f>
        <v>不正アクセスを入口で遮る仕組み（WAF）を適用するか。適用は必須で決定済み。設定はネットワーク監査アカウント側が管理する</v>
      </c>
      <c r="D133" s="69" t="str">
        <f>IFERROR(INDEX(進捗一覧!$H:$H,MATCH($A133,進捗一覧!$P:$P,0)),"⚠未検出")</f>
        <v>確定</v>
      </c>
      <c r="E133" s="67" t="s">
        <v>1088</v>
      </c>
      <c r="F133" s="69" t="s">
        <v>1089</v>
      </c>
      <c r="G133" s="69" t="s">
        <v>1057</v>
      </c>
      <c r="H133" s="77" t="s">
        <v>1120</v>
      </c>
    </row>
    <row r="134" spans="1:8" ht="16">
      <c r="A134" s="66" t="s">
        <v>321</v>
      </c>
      <c r="B134" s="67" t="str">
        <f>IFERROR(INDEX(進捗一覧!$O:$O,MATCH($A134,進捗一覧!$P:$P,0)),"⚠未検出")</f>
        <v>NFR-SEC ネットワーク・境界制御</v>
      </c>
      <c r="C134" s="68" t="str">
        <f>IFERROR(INDEX(進捗一覧!$E:$E,MATCH($A134,進捗一覧!$P:$P,0)),"⚠未検出")</f>
        <v>サーバーを外部から直接触れない場所に置くか</v>
      </c>
      <c r="D134" s="69" t="str">
        <f>IFERROR(INDEX(進捗一覧!$H:$H,MATCH($A134,進捗一覧!$P:$P,0)),"⚠未検出")</f>
        <v>確定</v>
      </c>
      <c r="E134" s="67" t="s">
        <v>1393</v>
      </c>
      <c r="F134" s="69" t="s">
        <v>1201</v>
      </c>
      <c r="G134" s="69" t="s">
        <v>1065</v>
      </c>
      <c r="H134" s="77" t="s">
        <v>1394</v>
      </c>
    </row>
    <row r="135" spans="1:8" ht="16">
      <c r="A135" s="66" t="s">
        <v>323</v>
      </c>
      <c r="B135" s="67" t="str">
        <f>IFERROR(INDEX(進捗一覧!$O:$O,MATCH($A135,進捗一覧!$P:$P,0)),"⚠未検出")</f>
        <v>NFR-SEC ネットワーク・境界制御</v>
      </c>
      <c r="C135" s="68" t="str">
        <f>IFERROR(INDEX(進捗一覧!$E:$E,MATCH($A135,進捗一覧!$P:$P,0)),"⚠未検出")</f>
        <v>管理画面に誰がどこからアクセスできるようにするか。方針は、管理者向けの入口をインターネットから遮断し、踏み台サーバー経由に限定する</v>
      </c>
      <c r="D135" s="69" t="str">
        <f>IFERROR(INDEX(進捗一覧!$H:$H,MATCH($A135,進捗一覧!$P:$P,0)),"⚠未検出")</f>
        <v>確定</v>
      </c>
      <c r="E135" s="67" t="s">
        <v>1391</v>
      </c>
      <c r="F135" s="69" t="s">
        <v>1201</v>
      </c>
      <c r="G135" s="69" t="s">
        <v>1065</v>
      </c>
      <c r="H135" s="77" t="s">
        <v>1392</v>
      </c>
    </row>
    <row r="136" spans="1:8" ht="16">
      <c r="A136" s="66" t="s">
        <v>325</v>
      </c>
      <c r="B136" s="67" t="str">
        <f>IFERROR(INDEX(進捗一覧!$O:$O,MATCH($A136,進捗一覧!$P:$P,0)),"⚠未検出")</f>
        <v>NFR-SEC ネットワーク・境界制御</v>
      </c>
      <c r="C136" s="68" t="str">
        <f>IFERROR(INDEX(進捗一覧!$E:$E,MATCH($A136,進捗一覧!$P:$P,0)),"⚠未検出")</f>
        <v>鍵情報の公開窓口をどこまで守るか</v>
      </c>
      <c r="D136" s="69" t="str">
        <f>IFERROR(INDEX(進捗一覧!$H:$H,MATCH($A136,進捗一覧!$P:$P,0)),"⚠未検出")</f>
        <v>確定</v>
      </c>
      <c r="E136" s="67" t="s">
        <v>1122</v>
      </c>
      <c r="F136" s="69" t="s">
        <v>1099</v>
      </c>
      <c r="G136" s="69" t="s">
        <v>1057</v>
      </c>
      <c r="H136" s="77" t="s">
        <v>1123</v>
      </c>
    </row>
    <row r="137" spans="1:8" ht="16">
      <c r="A137" s="66" t="s">
        <v>327</v>
      </c>
      <c r="B137" s="67" t="str">
        <f>IFERROR(INDEX(進捗一覧!$O:$O,MATCH($A137,進捗一覧!$P:$P,0)),"⚠未検出")</f>
        <v>NFR-SEC ネットワーク・境界制御</v>
      </c>
      <c r="C137" s="68" t="str">
        <f>IFERROR(INDEX(進捗一覧!$E:$E,MATCH($A137,進捗一覧!$P:$P,0)),"⚠未検出")</f>
        <v>内部の部品同士の通信でも身元確認を必須にするか</v>
      </c>
      <c r="D137" s="69" t="str">
        <f>IFERROR(INDEX(進捗一覧!$H:$H,MATCH($A137,進捗一覧!$P:$P,0)),"⚠未検出")</f>
        <v>確定</v>
      </c>
      <c r="E137" s="67" t="s">
        <v>1125</v>
      </c>
      <c r="F137" s="69" t="s">
        <v>1089</v>
      </c>
      <c r="G137" s="69" t="s">
        <v>1065</v>
      </c>
      <c r="H137" s="77" t="s">
        <v>1126</v>
      </c>
    </row>
    <row r="138" spans="1:8" ht="16">
      <c r="A138" s="66" t="s">
        <v>330</v>
      </c>
      <c r="B138" s="67" t="str">
        <f>IFERROR(INDEX(進捗一覧!$O:$O,MATCH($A138,進捗一覧!$P:$P,0)),"⚠未検出")</f>
        <v>NFR-DR 災害復旧</v>
      </c>
      <c r="C138" s="68"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69" t="str">
        <f>IFERROR(INDEX(進捗一覧!$H:$H,MATCH($A138,進捗一覧!$P:$P,0)),"⚠未検出")</f>
        <v>外部待ち</v>
      </c>
      <c r="E138" s="67" t="s">
        <v>1147</v>
      </c>
      <c r="F138" s="69" t="s">
        <v>1136</v>
      </c>
      <c r="G138" s="69" t="s">
        <v>1065</v>
      </c>
      <c r="H138" s="77" t="s">
        <v>1148</v>
      </c>
    </row>
    <row r="139" spans="1:8" ht="16">
      <c r="A139" s="66" t="s">
        <v>333</v>
      </c>
      <c r="B139" s="67" t="str">
        <f>IFERROR(INDEX(進捗一覧!$O:$O,MATCH($A139,進捗一覧!$P:$P,0)),"⚠未検出")</f>
        <v>NFR-DR 災害復旧</v>
      </c>
      <c r="C139" s="68"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69" t="str">
        <f>IFERROR(INDEX(進捗一覧!$H:$H,MATCH($A139,進捗一覧!$P:$P,0)),"⚠未検出")</f>
        <v>外部待ち</v>
      </c>
      <c r="E139" s="67" t="s">
        <v>1149</v>
      </c>
      <c r="F139" s="69" t="s">
        <v>1136</v>
      </c>
      <c r="G139" s="69" t="s">
        <v>1057</v>
      </c>
      <c r="H139" s="77" t="s">
        <v>1150</v>
      </c>
    </row>
    <row r="140" spans="1:8" ht="16">
      <c r="A140" s="66" t="s">
        <v>335</v>
      </c>
      <c r="B140" s="67" t="str">
        <f>IFERROR(INDEX(進捗一覧!$O:$O,MATCH($A140,進捗一覧!$P:$P,0)),"⚠未検出")</f>
        <v>NFR-DR 災害復旧</v>
      </c>
      <c r="C140" s="68" t="str">
        <f>IFERROR(INDEX(進捗一覧!$E:$E,MATCH($A140,進捗一覧!$P:$P,0)),"⚠未検出")</f>
        <v>予備側への切替を自動で行うか、人の判断で行うか。手動でGit側と一致しており確定。ただしDR方式の3択（P-05）の結論次第では見直しになる</v>
      </c>
      <c r="D140" s="69" t="str">
        <f>IFERROR(INDEX(進捗一覧!$H:$H,MATCH($A140,進捗一覧!$P:$P,0)),"⚠未検出")</f>
        <v>確定</v>
      </c>
      <c r="E140" s="67" t="s">
        <v>1151</v>
      </c>
      <c r="F140" s="69" t="s">
        <v>1136</v>
      </c>
      <c r="G140" s="69" t="s">
        <v>1065</v>
      </c>
      <c r="H140" s="77" t="s">
        <v>1152</v>
      </c>
    </row>
    <row r="141" spans="1:8" ht="16">
      <c r="A141" s="66" t="s">
        <v>337</v>
      </c>
      <c r="B141" s="67" t="str">
        <f>IFERROR(INDEX(進捗一覧!$O:$O,MATCH($A141,進捗一覧!$P:$P,0)),"⚠未検出")</f>
        <v>NFR-DR 災害復旧</v>
      </c>
      <c r="C141" s="68" t="str">
        <f>IFERROR(INDEX(進捗一覧!$E:$E,MATCH($A141,進捗一覧!$P:$P,0)),"⚠未検出")</f>
        <v>バックアップを何日分保持するか</v>
      </c>
      <c r="D141" s="69" t="str">
        <f>IFERROR(INDEX(進捗一覧!$H:$H,MATCH($A141,進捗一覧!$P:$P,0)),"⚠未検出")</f>
        <v>外部待ち</v>
      </c>
      <c r="E141" s="67" t="s">
        <v>1153</v>
      </c>
      <c r="F141" s="69" t="s">
        <v>1136</v>
      </c>
      <c r="G141" s="69" t="s">
        <v>1057</v>
      </c>
      <c r="H141" s="77" t="s">
        <v>1154</v>
      </c>
    </row>
    <row r="142" spans="1:8" ht="16">
      <c r="A142" s="66" t="s">
        <v>339</v>
      </c>
      <c r="B142" s="67" t="str">
        <f>IFERROR(INDEX(進捗一覧!$O:$O,MATCH($A142,進捗一覧!$P:$P,0)),"⚠未検出")</f>
        <v>NFR-DR 災害復旧</v>
      </c>
      <c r="C142" s="68" t="str">
        <f>IFERROR(INDEX(進捗一覧!$E:$E,MATCH($A142,進捗一覧!$P:$P,0)),"⚠未検出")</f>
        <v>任意の時点まで巻き戻せる仕組みを用意するか。遡れる範囲を何日にするか</v>
      </c>
      <c r="D142" s="69" t="str">
        <f>IFERROR(INDEX(進捗一覧!$H:$H,MATCH($A142,進捗一覧!$P:$P,0)),"⚠未検出")</f>
        <v>外部待ち</v>
      </c>
      <c r="E142" s="67" t="s">
        <v>1155</v>
      </c>
      <c r="F142" s="69" t="s">
        <v>1136</v>
      </c>
      <c r="G142" s="69" t="s">
        <v>1065</v>
      </c>
      <c r="H142" s="77" t="s">
        <v>1156</v>
      </c>
    </row>
    <row r="143" spans="1:8" ht="16">
      <c r="A143" s="66" t="s">
        <v>341</v>
      </c>
      <c r="B143" s="67" t="str">
        <f>IFERROR(INDEX(進捗一覧!$O:$O,MATCH($A143,進捗一覧!$P:$P,0)),"⚠未検出")</f>
        <v>NFR-DR 災害復旧</v>
      </c>
      <c r="C143" s="68" t="str">
        <f>IFERROR(INDEX(進捗一覧!$E:$E,MATCH($A143,進捗一覧!$P:$P,0)),"⚠未検出")</f>
        <v>バックアップを別の地域にも複製するか</v>
      </c>
      <c r="D143" s="69" t="str">
        <f>IFERROR(INDEX(進捗一覧!$H:$H,MATCH($A143,進捗一覧!$P:$P,0)),"⚠未検出")</f>
        <v>外部待ち</v>
      </c>
      <c r="E143" s="67" t="s">
        <v>1153</v>
      </c>
      <c r="F143" s="69" t="s">
        <v>1136</v>
      </c>
      <c r="G143" s="69" t="s">
        <v>1065</v>
      </c>
      <c r="H143" s="77" t="s">
        <v>1157</v>
      </c>
    </row>
    <row r="144" spans="1:8" ht="16">
      <c r="A144" s="66" t="s">
        <v>343</v>
      </c>
      <c r="B144" s="67" t="str">
        <f>IFERROR(INDEX(進捗一覧!$O:$O,MATCH($A144,進捗一覧!$P:$P,0)),"⚠未検出")</f>
        <v>NFR-DR 災害復旧</v>
      </c>
      <c r="C144" s="68" t="str">
        <f>IFERROR(INDEX(進捗一覧!$E:$E,MATCH($A144,進捗一覧!$P:$P,0)),"⚠未検出")</f>
        <v>復旧手順の訓練をどの頻度で行うか。誰が参加するか</v>
      </c>
      <c r="D144" s="69" t="str">
        <f>IFERROR(INDEX(進捗一覧!$H:$H,MATCH($A144,進捗一覧!$P:$P,0)),"⚠未検出")</f>
        <v>外部待ち</v>
      </c>
      <c r="E144" s="67" t="s">
        <v>1158</v>
      </c>
      <c r="F144" s="69" t="s">
        <v>1136</v>
      </c>
      <c r="G144" s="69" t="s">
        <v>1065</v>
      </c>
      <c r="H144" s="77" t="s">
        <v>1159</v>
      </c>
    </row>
    <row r="145" spans="1:8" ht="16">
      <c r="A145" s="66" t="s">
        <v>346</v>
      </c>
      <c r="B145" s="67" t="str">
        <f>IFERROR(INDEX(進捗一覧!$O:$O,MATCH($A145,進捗一覧!$P:$P,0)),"⚠未検出")</f>
        <v>NFR-DR 災害復旧</v>
      </c>
      <c r="C145" s="68" t="str">
        <f>IFERROR(INDEX(進捗一覧!$E:$E,MATCH($A145,進捗一覧!$P:$P,0)),"⚠未検出")</f>
        <v>切替時にログイン状態を維持するか、利用者に再ログインを求めるか</v>
      </c>
      <c r="D145" s="69" t="str">
        <f>IFERROR(INDEX(進捗一覧!$H:$H,MATCH($A145,進捗一覧!$P:$P,0)),"⚠未検出")</f>
        <v>外部待ち</v>
      </c>
      <c r="E145" s="67" t="s">
        <v>1160</v>
      </c>
      <c r="F145" s="69" t="s">
        <v>1136</v>
      </c>
      <c r="G145" s="69" t="s">
        <v>1065</v>
      </c>
      <c r="H145" s="77" t="s">
        <v>1161</v>
      </c>
    </row>
    <row r="146" spans="1:8" ht="16">
      <c r="A146" s="66" t="s">
        <v>349</v>
      </c>
      <c r="B146" s="67" t="str">
        <f>IFERROR(INDEX(進捗一覧!$O:$O,MATCH($A146,進捗一覧!$P:$P,0)),"⚠未検出")</f>
        <v>NFR-OPS 監視・ロギング</v>
      </c>
      <c r="C146" s="68" t="str">
        <f>IFERROR(INDEX(進捗一覧!$E:$E,MATCH($A146,進捗一覧!$P:$P,0)),"⚠未検出")</f>
        <v>何を監視項目とし、どの値を異常とみなすか</v>
      </c>
      <c r="D146" s="69" t="str">
        <f>IFERROR(INDEX(進捗一覧!$H:$H,MATCH($A146,進捗一覧!$P:$P,0)),"⚠未検出")</f>
        <v>外部待ち</v>
      </c>
      <c r="E146" s="67" t="s">
        <v>1223</v>
      </c>
      <c r="F146" s="69" t="s">
        <v>1162</v>
      </c>
      <c r="G146" s="69" t="s">
        <v>1065</v>
      </c>
      <c r="H146" s="77" t="s">
        <v>1224</v>
      </c>
    </row>
    <row r="147" spans="1:8" ht="16">
      <c r="A147" s="66" t="s">
        <v>352</v>
      </c>
      <c r="B147" s="67" t="str">
        <f>IFERROR(INDEX(進捗一覧!$O:$O,MATCH($A147,進捗一覧!$P:$P,0)),"⚠未検出")</f>
        <v>NFR-OPS 監視・ロギング</v>
      </c>
      <c r="C147" s="68" t="str">
        <f>IFERROR(INDEX(進捗一覧!$E:$E,MATCH($A147,進捗一覧!$P:$P,0)),"⚠未検出")</f>
        <v>誰にどの経路で通知するか。夜間・休日の対応をどうするか</v>
      </c>
      <c r="D147" s="69" t="str">
        <f>IFERROR(INDEX(進捗一覧!$H:$H,MATCH($A147,進捗一覧!$P:$P,0)),"⚠未検出")</f>
        <v>外部待ち</v>
      </c>
      <c r="E147" s="67" t="s">
        <v>1225</v>
      </c>
      <c r="F147" s="69" t="s">
        <v>1218</v>
      </c>
      <c r="G147" s="69" t="s">
        <v>1065</v>
      </c>
      <c r="H147" s="77" t="s">
        <v>1226</v>
      </c>
    </row>
    <row r="148" spans="1:8" ht="16">
      <c r="A148" s="66" t="s">
        <v>354</v>
      </c>
      <c r="B148" s="67" t="str">
        <f>IFERROR(INDEX(進捗一覧!$O:$O,MATCH($A148,進捗一覧!$P:$P,0)),"⚠未検出")</f>
        <v>NFR-OPS 監視・ロギング</v>
      </c>
      <c r="C148" s="68" t="str">
        <f>IFERROR(INDEX(進捗一覧!$E:$E,MATCH($A148,進捗一覧!$P:$P,0)),"⚠未検出")</f>
        <v>各種ログを何日保存するか</v>
      </c>
      <c r="D148" s="69" t="str">
        <f>IFERROR(INDEX(進捗一覧!$H:$H,MATCH($A148,進捗一覧!$P:$P,0)),"⚠未検出")</f>
        <v>外部待ち</v>
      </c>
      <c r="E148" s="67" t="s">
        <v>1108</v>
      </c>
      <c r="F148" s="69" t="s">
        <v>1109</v>
      </c>
      <c r="G148" s="69" t="s">
        <v>1065</v>
      </c>
      <c r="H148" s="77" t="s">
        <v>1110</v>
      </c>
    </row>
    <row r="149" spans="1:8" ht="16">
      <c r="A149" s="66" t="s">
        <v>357</v>
      </c>
      <c r="B149" s="67" t="str">
        <f>IFERROR(INDEX(進捗一覧!$O:$O,MATCH($A149,進捗一覧!$P:$P,0)),"⚠未検出")</f>
        <v>NFR-OPS 監視・ロギング</v>
      </c>
      <c r="C149" s="68" t="str">
        <f>IFERROR(INDEX(進捗一覧!$E:$E,MATCH($A149,進捗一覧!$P:$P,0)),"⚠未検出")</f>
        <v>障害時にログをどれだけ速く探せる状態にしておくか</v>
      </c>
      <c r="D149" s="69" t="str">
        <f>IFERROR(INDEX(進捗一覧!$H:$H,MATCH($A149,進捗一覧!$P:$P,0)),"⚠未検出")</f>
        <v>外部待ち</v>
      </c>
      <c r="E149" s="67" t="s">
        <v>1108</v>
      </c>
      <c r="F149" s="69" t="s">
        <v>1109</v>
      </c>
      <c r="G149" s="69" t="s">
        <v>1057</v>
      </c>
      <c r="H149" s="77" t="s">
        <v>1111</v>
      </c>
    </row>
    <row r="150" spans="1:8" ht="16">
      <c r="A150" s="66" t="s">
        <v>360</v>
      </c>
      <c r="B150" s="67" t="str">
        <f>IFERROR(INDEX(進捗一覧!$O:$O,MATCH($A150,進捗一覧!$P:$P,0)),"⚠未検出")</f>
        <v>NFR-OPS デプロイ・パッチ</v>
      </c>
      <c r="C150" s="68" t="str">
        <f>IFERROR(INDEX(進捗一覧!$E:$E,MATCH($A150,進捗一覧!$P:$P,0)),"⚠未検出")</f>
        <v>製品の更新をどの頻度・どの手順で当てるか</v>
      </c>
      <c r="D150" s="69" t="str">
        <f>IFERROR(INDEX(進捗一覧!$H:$H,MATCH($A150,進捗一覧!$P:$P,0)),"⚠未検出")</f>
        <v>外部待ち</v>
      </c>
      <c r="E150" s="67" t="s">
        <v>1227</v>
      </c>
      <c r="F150" s="69" t="s">
        <v>1228</v>
      </c>
      <c r="G150" s="69" t="s">
        <v>1065</v>
      </c>
      <c r="H150" s="77" t="s">
        <v>1229</v>
      </c>
    </row>
    <row r="151" spans="1:8" ht="16">
      <c r="A151" s="66" t="s">
        <v>363</v>
      </c>
      <c r="B151" s="67" t="str">
        <f>IFERROR(INDEX(進捗一覧!$O:$O,MATCH($A151,進捗一覧!$P:$P,0)),"⚠未検出")</f>
        <v>⚠未検出</v>
      </c>
      <c r="C151" s="68" t="str">
        <f>IFERROR(INDEX(進捗一覧!$E:$E,MATCH($A151,進捗一覧!$P:$P,0)),"⚠未検出")</f>
        <v>⚠未検出</v>
      </c>
      <c r="D151" s="69" t="str">
        <f>IFERROR(INDEX(進捗一覧!$H:$H,MATCH($A151,進捗一覧!$P:$P,0)),"⚠未検出")</f>
        <v>⚠未検出</v>
      </c>
      <c r="E151" s="67" t="s">
        <v>1230</v>
      </c>
      <c r="F151" s="69" t="s">
        <v>1218</v>
      </c>
      <c r="G151" s="69" t="s">
        <v>1065</v>
      </c>
      <c r="H151" s="77" t="s">
        <v>1231</v>
      </c>
    </row>
    <row r="152" spans="1:8" ht="16">
      <c r="A152" s="66" t="s">
        <v>364</v>
      </c>
      <c r="B152" s="67" t="str">
        <f>IFERROR(INDEX(進捗一覧!$O:$O,MATCH($A152,進捗一覧!$P:$P,0)),"⚠未検出")</f>
        <v>⚠未検出</v>
      </c>
      <c r="C152" s="68" t="str">
        <f>IFERROR(INDEX(進捗一覧!$E:$E,MATCH($A152,進捗一覧!$P:$P,0)),"⚠未検出")</f>
        <v>⚠未検出</v>
      </c>
      <c r="D152" s="69" t="str">
        <f>IFERROR(INDEX(進捗一覧!$H:$H,MATCH($A152,進捗一覧!$P:$P,0)),"⚠未検出")</f>
        <v>⚠未検出</v>
      </c>
      <c r="E152" s="67" t="s">
        <v>1232</v>
      </c>
      <c r="F152" s="69" t="s">
        <v>1218</v>
      </c>
      <c r="G152" s="69" t="s">
        <v>1065</v>
      </c>
      <c r="H152" s="77" t="s">
        <v>1233</v>
      </c>
    </row>
    <row r="153" spans="1:8" ht="16">
      <c r="A153" s="66" t="s">
        <v>366</v>
      </c>
      <c r="B153" s="67" t="str">
        <f>IFERROR(INDEX(進捗一覧!$O:$O,MATCH($A153,進捗一覧!$P:$P,0)),"⚠未検出")</f>
        <v>NFR-OPS デプロイ・パッチ</v>
      </c>
      <c r="C153" s="68" t="str">
        <f>IFERROR(INDEX(進捗一覧!$E:$E,MATCH($A153,進捗一覧!$P:$P,0)),"⚠未検出")</f>
        <v>更新作業の自動化をどこまで行うか</v>
      </c>
      <c r="D153" s="69" t="str">
        <f>IFERROR(INDEX(進捗一覧!$H:$H,MATCH($A153,進捗一覧!$P:$P,0)),"⚠未検出")</f>
        <v>検討中</v>
      </c>
      <c r="E153" s="67" t="s">
        <v>1234</v>
      </c>
      <c r="F153" s="69" t="s">
        <v>1218</v>
      </c>
      <c r="G153" s="69" t="s">
        <v>1065</v>
      </c>
      <c r="H153" s="77" t="s">
        <v>1235</v>
      </c>
    </row>
    <row r="154" spans="1:8" ht="16">
      <c r="A154" s="66" t="s">
        <v>369</v>
      </c>
      <c r="B154" s="67" t="str">
        <f>IFERROR(INDEX(進捗一覧!$O:$O,MATCH($A154,進捗一覧!$P:$P,0)),"⚠未検出")</f>
        <v>⚠未検出</v>
      </c>
      <c r="C154" s="68" t="str">
        <f>IFERROR(INDEX(進捗一覧!$E:$E,MATCH($A154,進捗一覧!$P:$P,0)),"⚠未検出")</f>
        <v>⚠未検出</v>
      </c>
      <c r="D154" s="69" t="str">
        <f>IFERROR(INDEX(進捗一覧!$H:$H,MATCH($A154,進捗一覧!$P:$P,0)),"⚠未検出")</f>
        <v>⚠未検出</v>
      </c>
      <c r="E154" s="67" t="s">
        <v>1236</v>
      </c>
      <c r="F154" s="69" t="s">
        <v>1218</v>
      </c>
      <c r="G154" s="69" t="s">
        <v>1057</v>
      </c>
      <c r="H154" s="77" t="s">
        <v>1237</v>
      </c>
    </row>
    <row r="155" spans="1:8" ht="16">
      <c r="A155" s="66" t="s">
        <v>371</v>
      </c>
      <c r="B155" s="67" t="str">
        <f>IFERROR(INDEX(進捗一覧!$O:$O,MATCH($A155,進捗一覧!$P:$P,0)),"⚠未検出")</f>
        <v>NFR-OPS 体制・運用SLA</v>
      </c>
      <c r="C155" s="68" t="str">
        <f>IFERROR(INDEX(進捗一覧!$E:$E,MATCH($A155,進捗一覧!$P:$P,0)),"⚠未検出")</f>
        <v>運用に何人月かかる前提とするか。誰が担当するか</v>
      </c>
      <c r="D155" s="69" t="str">
        <f>IFERROR(INDEX(進捗一覧!$H:$H,MATCH($A155,進捗一覧!$P:$P,0)),"⚠未検出")</f>
        <v>外部待ち</v>
      </c>
      <c r="E155" s="67" t="s">
        <v>1412</v>
      </c>
      <c r="F155" s="69" t="s">
        <v>1413</v>
      </c>
      <c r="G155" s="69" t="s">
        <v>1065</v>
      </c>
      <c r="H155" s="77" t="s">
        <v>1414</v>
      </c>
    </row>
    <row r="156" spans="1:8" ht="16">
      <c r="A156" s="66" t="s">
        <v>373</v>
      </c>
      <c r="B156" s="67" t="str">
        <f>IFERROR(INDEX(進捗一覧!$O:$O,MATCH($A156,進捗一覧!$P:$P,0)),"⚠未検出")</f>
        <v>NFR-OPS 体制・運用SLA</v>
      </c>
      <c r="C156" s="68" t="str">
        <f>IFERROR(INDEX(進捗一覧!$E:$E,MATCH($A156,進捗一覧!$P:$P,0)),"⚠未検出")</f>
        <v>顧客追加の作業を何営業日で完了させるか</v>
      </c>
      <c r="D156" s="69" t="str">
        <f>IFERROR(INDEX(進捗一覧!$H:$H,MATCH($A156,進捗一覧!$P:$P,0)),"⚠未検出")</f>
        <v>外部待ち</v>
      </c>
      <c r="E156" s="67" t="s">
        <v>1238</v>
      </c>
      <c r="F156" s="69" t="s">
        <v>1218</v>
      </c>
      <c r="G156" s="69" t="s">
        <v>1065</v>
      </c>
      <c r="H156" s="77" t="s">
        <v>1239</v>
      </c>
    </row>
    <row r="157" spans="1:8" ht="16">
      <c r="A157" s="66" t="s">
        <v>376</v>
      </c>
      <c r="B157" s="67" t="str">
        <f>IFERROR(INDEX(進捗一覧!$O:$O,MATCH($A157,進捗一覧!$P:$P,0)),"⚠未検出")</f>
        <v>NFR-COMP 規制・法令対応</v>
      </c>
      <c r="C157" s="68" t="str">
        <f>IFERROR(INDEX(進捗一覧!$E:$E,MATCH($A157,進捗一覧!$P:$P,0)),"⚠未検出")</f>
        <v>日本の個人情報保護法への対応範囲をどこまでにするか</v>
      </c>
      <c r="D157" s="69" t="str">
        <f>IFERROR(INDEX(進捗一覧!$H:$H,MATCH($A157,進捗一覧!$P:$P,0)),"⚠未検出")</f>
        <v>外部待ち</v>
      </c>
      <c r="E157" s="67" t="s">
        <v>1455</v>
      </c>
      <c r="F157" s="69" t="s">
        <v>1092</v>
      </c>
      <c r="G157" s="69" t="s">
        <v>1065</v>
      </c>
      <c r="H157" s="77" t="s">
        <v>1456</v>
      </c>
    </row>
    <row r="158" spans="1:8" ht="16">
      <c r="A158" s="66" t="s">
        <v>379</v>
      </c>
      <c r="B158" s="67" t="str">
        <f>IFERROR(INDEX(進捗一覧!$O:$O,MATCH($A158,進捗一覧!$P:$P,0)),"⚠未検出")</f>
        <v>NFR-COMP 規制・法令対応</v>
      </c>
      <c r="C158" s="68" t="str">
        <f>IFERROR(INDEX(進捗一覧!$E:$E,MATCH($A158,進捗一覧!$P:$P,0)),"⚠未検出")</f>
        <v>海外展開に伴う規制対応が必要か。現時点は不要の認識だが、顧客に改めて確認する</v>
      </c>
      <c r="D158" s="69" t="str">
        <f>IFERROR(INDEX(進捗一覧!$H:$H,MATCH($A158,進捗一覧!$P:$P,0)),"⚠未検出")</f>
        <v>外部待ち</v>
      </c>
      <c r="E158" s="67" t="s">
        <v>1415</v>
      </c>
      <c r="F158" s="69" t="s">
        <v>1413</v>
      </c>
      <c r="G158" s="69" t="s">
        <v>1072</v>
      </c>
      <c r="H158" s="77" t="s">
        <v>1416</v>
      </c>
    </row>
    <row r="159" spans="1:8" ht="16">
      <c r="A159" s="66" t="s">
        <v>381</v>
      </c>
      <c r="B159" s="67" t="str">
        <f>IFERROR(INDEX(進捗一覧!$O:$O,MATCH($A159,進捗一覧!$P:$P,0)),"⚠未検出")</f>
        <v>NFR-COMP 規制・法令対応</v>
      </c>
      <c r="C159" s="68"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69" t="str">
        <f>IFERROR(INDEX(進捗一覧!$H:$H,MATCH($A159,進捗一覧!$P:$P,0)),"⚠未検出")</f>
        <v>外部待ち</v>
      </c>
      <c r="E159" s="67" t="s">
        <v>1457</v>
      </c>
      <c r="F159" s="69" t="s">
        <v>1089</v>
      </c>
      <c r="G159" s="69" t="s">
        <v>1057</v>
      </c>
      <c r="H159" s="77" t="s">
        <v>1458</v>
      </c>
    </row>
    <row r="160" spans="1:8" ht="16">
      <c r="A160" s="66" t="s">
        <v>384</v>
      </c>
      <c r="B160" s="67" t="str">
        <f>IFERROR(INDEX(進捗一覧!$O:$O,MATCH($A160,進捗一覧!$P:$P,0)),"⚠未検出")</f>
        <v>NFR-COMP 業界認定・監査</v>
      </c>
      <c r="C160" s="68" t="str">
        <f>IFERROR(INDEX(進捗一覧!$E:$E,MATCH($A160,進捗一覧!$P:$P,0)),"⚠未検出")</f>
        <v>第三者による内部統制の証明が必要か</v>
      </c>
      <c r="D160" s="69" t="str">
        <f>IFERROR(INDEX(進捗一覧!$H:$H,MATCH($A160,進捗一覧!$P:$P,0)),"⚠未検出")</f>
        <v>外部待ち</v>
      </c>
      <c r="E160" s="67" t="s">
        <v>1415</v>
      </c>
      <c r="F160" s="69" t="s">
        <v>1413</v>
      </c>
      <c r="G160" s="69" t="s">
        <v>1072</v>
      </c>
      <c r="H160" s="77" t="s">
        <v>1417</v>
      </c>
    </row>
    <row r="161" spans="1:8" ht="16">
      <c r="A161" s="66" t="s">
        <v>387</v>
      </c>
      <c r="B161" s="67" t="str">
        <f>IFERROR(INDEX(進捗一覧!$O:$O,MATCH($A161,進捗一覧!$P:$P,0)),"⚠未検出")</f>
        <v>NFR-COMP 業界認定・監査</v>
      </c>
      <c r="C161" s="68" t="str">
        <f>IFERROR(INDEX(進捗一覧!$E:$E,MATCH($A161,進捗一覧!$P:$P,0)),"⚠未検出")</f>
        <v>情報セキュリティの認証（ISMS等）の取得が必要か。不要と確認済み</v>
      </c>
      <c r="D161" s="69" t="str">
        <f>IFERROR(INDEX(進捗一覧!$H:$H,MATCH($A161,進捗一覧!$P:$P,0)),"⚠未検出")</f>
        <v>確定</v>
      </c>
      <c r="E161" s="67" t="s">
        <v>1415</v>
      </c>
      <c r="F161" s="69" t="s">
        <v>1413</v>
      </c>
      <c r="G161" s="69" t="s">
        <v>1072</v>
      </c>
      <c r="H161" s="77" t="s">
        <v>1418</v>
      </c>
    </row>
    <row r="162" spans="1:8" ht="16">
      <c r="A162" s="66" t="s">
        <v>389</v>
      </c>
      <c r="B162" s="67" t="str">
        <f>IFERROR(INDEX(進捗一覧!$O:$O,MATCH($A162,進捗一覧!$P:$P,0)),"⚠未検出")</f>
        <v>⚠未検出</v>
      </c>
      <c r="C162" s="68" t="str">
        <f>IFERROR(INDEX(進捗一覧!$E:$E,MATCH($A162,進捗一覧!$P:$P,0)),"⚠未検出")</f>
        <v>⚠未検出</v>
      </c>
      <c r="D162" s="69" t="str">
        <f>IFERROR(INDEX(進捗一覧!$H:$H,MATCH($A162,進捗一覧!$P:$P,0)),"⚠未検出")</f>
        <v>⚠未検出</v>
      </c>
      <c r="E162" s="67" t="s">
        <v>1419</v>
      </c>
      <c r="F162" s="69" t="s">
        <v>1413</v>
      </c>
      <c r="G162" s="69" t="s">
        <v>1072</v>
      </c>
      <c r="H162" s="77" t="s">
        <v>1420</v>
      </c>
    </row>
    <row r="163" spans="1:8" ht="16">
      <c r="A163" s="66" t="s">
        <v>390</v>
      </c>
      <c r="B163" s="67" t="str">
        <f>IFERROR(INDEX(進捗一覧!$O:$O,MATCH($A163,進捗一覧!$P:$P,0)),"⚠未検出")</f>
        <v>⚠未検出</v>
      </c>
      <c r="C163" s="68" t="str">
        <f>IFERROR(INDEX(進捗一覧!$E:$E,MATCH($A163,進捗一覧!$P:$P,0)),"⚠未検出")</f>
        <v>⚠未検出</v>
      </c>
      <c r="D163" s="69" t="str">
        <f>IFERROR(INDEX(進捗一覧!$H:$H,MATCH($A163,進捗一覧!$P:$P,0)),"⚠未検出")</f>
        <v>⚠未検出</v>
      </c>
      <c r="E163" s="67" t="s">
        <v>1059</v>
      </c>
      <c r="F163" s="69" t="s">
        <v>1089</v>
      </c>
      <c r="G163" s="69" t="s">
        <v>1072</v>
      </c>
      <c r="H163" s="77" t="s">
        <v>1124</v>
      </c>
    </row>
    <row r="164" spans="1:8" ht="16">
      <c r="A164" s="66" t="s">
        <v>391</v>
      </c>
      <c r="B164" s="67" t="str">
        <f>IFERROR(INDEX(進捗一覧!$O:$O,MATCH($A164,進捗一覧!$P:$P,0)),"⚠未検出")</f>
        <v>⚠未検出</v>
      </c>
      <c r="C164" s="68" t="str">
        <f>IFERROR(INDEX(進捗一覧!$E:$E,MATCH($A164,進捗一覧!$P:$P,0)),"⚠未検出")</f>
        <v>⚠未検出</v>
      </c>
      <c r="D164" s="69" t="str">
        <f>IFERROR(INDEX(進捗一覧!$H:$H,MATCH($A164,進捗一覧!$P:$P,0)),"⚠未検出")</f>
        <v>⚠未検出</v>
      </c>
      <c r="E164" s="67" t="s">
        <v>1113</v>
      </c>
      <c r="F164" s="69" t="s">
        <v>1109</v>
      </c>
      <c r="G164" s="69" t="s">
        <v>1065</v>
      </c>
      <c r="H164" s="77" t="s">
        <v>1114</v>
      </c>
    </row>
    <row r="165" spans="1:8" ht="16">
      <c r="A165" s="66" t="s">
        <v>392</v>
      </c>
      <c r="B165" s="67" t="str">
        <f>IFERROR(INDEX(進捗一覧!$O:$O,MATCH($A165,進捗一覧!$P:$P,0)),"⚠未検出")</f>
        <v>NFR-COMP 業界認定・監査</v>
      </c>
      <c r="C165" s="68"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69" t="str">
        <f>IFERROR(INDEX(進捗一覧!$H:$H,MATCH($A165,進捗一覧!$P:$P,0)),"⚠未検出")</f>
        <v>外部待ち</v>
      </c>
      <c r="E165" s="67" t="s">
        <v>1459</v>
      </c>
      <c r="F165" s="69" t="s">
        <v>1109</v>
      </c>
      <c r="G165" s="69" t="s">
        <v>1065</v>
      </c>
      <c r="H165" s="77" t="s">
        <v>1460</v>
      </c>
    </row>
    <row r="166" spans="1:8" ht="16">
      <c r="A166" s="66" t="s">
        <v>395</v>
      </c>
      <c r="B166" s="67" t="str">
        <f>IFERROR(INDEX(進捗一覧!$O:$O,MATCH($A166,進捗一覧!$P:$P,0)),"⚠未検出")</f>
        <v>⚠未検出</v>
      </c>
      <c r="C166" s="68" t="str">
        <f>IFERROR(INDEX(進捗一覧!$E:$E,MATCH($A166,進捗一覧!$P:$P,0)),"⚠未検出")</f>
        <v>⚠未検出</v>
      </c>
      <c r="D166" s="69" t="str">
        <f>IFERROR(INDEX(進捗一覧!$H:$H,MATCH($A166,進捗一覧!$P:$P,0)),"⚠未検出")</f>
        <v>⚠未検出</v>
      </c>
      <c r="E166" s="67" t="s">
        <v>1461</v>
      </c>
      <c r="F166" s="69" t="s">
        <v>1258</v>
      </c>
      <c r="G166" s="69" t="s">
        <v>1065</v>
      </c>
      <c r="H166" s="77" t="s">
        <v>1462</v>
      </c>
    </row>
    <row r="167" spans="1:8" ht="16">
      <c r="A167" s="66" t="s">
        <v>397</v>
      </c>
      <c r="B167" s="67" t="str">
        <f>IFERROR(INDEX(進捗一覧!$O:$O,MATCH($A167,進捗一覧!$P:$P,0)),"⚠未検出")</f>
        <v>NFR-COMP データガバナンス</v>
      </c>
      <c r="C167" s="68" t="str">
        <f>IFERROR(INDEX(進捗一覧!$E:$E,MATCH($A167,進捗一覧!$P:$P,0)),"⚠未検出")</f>
        <v>暗号鍵をどの頻度で入れ替えるか。対象は ①通行証の署名鍵 ②保存データの暗号鍵（KMS） の2種類あり、それぞれ別に決める</v>
      </c>
      <c r="D167" s="69" t="str">
        <f>IFERROR(INDEX(進捗一覧!$H:$H,MATCH($A167,進捗一覧!$P:$P,0)),"⚠未検出")</f>
        <v>確定</v>
      </c>
      <c r="E167" s="67" t="s">
        <v>1043</v>
      </c>
      <c r="F167" s="69" t="s">
        <v>1044</v>
      </c>
      <c r="G167" s="69" t="s">
        <v>948</v>
      </c>
      <c r="H167" s="77" t="s">
        <v>1045</v>
      </c>
    </row>
    <row r="168" spans="1:8" ht="16">
      <c r="A168" s="66" t="s">
        <v>400</v>
      </c>
      <c r="B168" s="67" t="str">
        <f>IFERROR(INDEX(進捗一覧!$O:$O,MATCH($A168,進捗一覧!$P:$P,0)),"⚠未検出")</f>
        <v>NFR-COST コスト</v>
      </c>
      <c r="C168" s="68" t="str">
        <f>IFERROR(INDEX(進捗一覧!$E:$E,MATCH($A168,進捗一覧!$P:$P,0)),"⚠未検出")</f>
        <v>初期構築費をいくらと見るか。金額は WBS の積み上げ工数を根拠とする（基本設計の工数枠とは別枠）</v>
      </c>
      <c r="D168" s="69" t="str">
        <f>IFERROR(INDEX(進捗一覧!$H:$H,MATCH($A168,進捗一覧!$P:$P,0)),"⚠未検出")</f>
        <v>検討中</v>
      </c>
      <c r="E168" s="67" t="s">
        <v>1421</v>
      </c>
      <c r="F168" s="69" t="s">
        <v>1413</v>
      </c>
      <c r="G168" s="69" t="s">
        <v>1072</v>
      </c>
      <c r="H168" s="77" t="s">
        <v>1422</v>
      </c>
    </row>
    <row r="169" spans="1:8" ht="16">
      <c r="A169" s="66" t="s">
        <v>403</v>
      </c>
      <c r="B169" s="67" t="str">
        <f>IFERROR(INDEX(進捗一覧!$O:$O,MATCH($A169,進捗一覧!$P:$P,0)),"⚠未検出")</f>
        <v>NFR-COST コスト</v>
      </c>
      <c r="C169" s="68" t="str">
        <f>IFERROR(INDEX(進捗一覧!$E:$E,MATCH($A169,進捗一覧!$P:$P,0)),"⚠未検出")</f>
        <v>毎月の設備費をいくらまでとするか。AWS のリソースごとに ROSA 前提で詳細見積もりを作って積み上げる</v>
      </c>
      <c r="D169" s="69" t="str">
        <f>IFERROR(INDEX(進捗一覧!$H:$H,MATCH($A169,進捗一覧!$P:$P,0)),"⚠未検出")</f>
        <v>検討中</v>
      </c>
      <c r="E169" s="67" t="s">
        <v>1202</v>
      </c>
      <c r="F169" s="69" t="s">
        <v>1175</v>
      </c>
      <c r="G169" s="69" t="s">
        <v>1057</v>
      </c>
      <c r="H169" s="77" t="s">
        <v>1203</v>
      </c>
    </row>
    <row r="170" spans="1:8" ht="16">
      <c r="A170" s="66" t="s">
        <v>405</v>
      </c>
      <c r="B170" s="67" t="str">
        <f>IFERROR(INDEX(進捗一覧!$O:$O,MATCH($A170,進捗一覧!$P:$P,0)),"⚠未検出")</f>
        <v>NFR-COST コスト</v>
      </c>
      <c r="C170" s="68" t="str">
        <f>IFERROR(INDEX(進捗一覧!$E:$E,MATCH($A170,進捗一覧!$P:$P,0)),"⚠未検出")</f>
        <v>利用者1人あたりの単価をいくらと見るか</v>
      </c>
      <c r="D170" s="69" t="str">
        <f>IFERROR(INDEX(進捗一覧!$H:$H,MATCH($A170,進捗一覧!$P:$P,0)),"⚠未検出")</f>
        <v>確定</v>
      </c>
      <c r="E170" s="67" t="s">
        <v>1421</v>
      </c>
      <c r="F170" s="69" t="s">
        <v>1413</v>
      </c>
      <c r="G170" s="69" t="s">
        <v>1072</v>
      </c>
      <c r="H170" s="77" t="s">
        <v>1423</v>
      </c>
    </row>
    <row r="171" spans="1:8" ht="16">
      <c r="A171" s="66" t="s">
        <v>407</v>
      </c>
      <c r="B171" s="67" t="str">
        <f>IFERROR(INDEX(進捗一覧!$O:$O,MATCH($A171,進捗一覧!$P:$P,0)),"⚠未検出")</f>
        <v>NFR-COST コスト</v>
      </c>
      <c r="C171" s="68" t="str">
        <f>IFERROR(INDEX(進捗一覧!$E:$E,MATCH($A171,進捗一覧!$P:$P,0)),"⚠未検出")</f>
        <v>上位プランを使う場合の追加費用をどう見るか。Keycloak 採用（前提P-01）により、Cognito の上位プランを前提とした本項は不要になる可能性が高い</v>
      </c>
      <c r="D171" s="69" t="str">
        <f>IFERROR(INDEX(進捗一覧!$H:$H,MATCH($A171,進捗一覧!$P:$P,0)),"⚠未検出")</f>
        <v>対象外</v>
      </c>
      <c r="E171" s="67" t="s">
        <v>1421</v>
      </c>
      <c r="F171" s="69" t="s">
        <v>1413</v>
      </c>
      <c r="G171" s="69" t="s">
        <v>1072</v>
      </c>
      <c r="H171" s="77" t="s">
        <v>1423</v>
      </c>
    </row>
    <row r="172" spans="1:8" ht="16">
      <c r="A172" s="66" t="s">
        <v>409</v>
      </c>
      <c r="B172" s="67" t="str">
        <f>IFERROR(INDEX(進捗一覧!$O:$O,MATCH($A172,進捗一覧!$P:$P,0)),"⚠未検出")</f>
        <v>NFR-COST コスト</v>
      </c>
      <c r="C172" s="68" t="str">
        <f>IFERROR(INDEX(進捗一覧!$E:$E,MATCH($A172,進捗一覧!$P:$P,0)),"⚠未検出")</f>
        <v>災害対策のために毎月いくら追加でかけるか。設備費（NFR-COST-002）の詳細見積もりを作るときに一緒に算出する</v>
      </c>
      <c r="D172" s="69" t="str">
        <f>IFERROR(INDEX(進捗一覧!$H:$H,MATCH($A172,進捗一覧!$P:$P,0)),"⚠未検出")</f>
        <v>検討中</v>
      </c>
      <c r="E172" s="67" t="s">
        <v>1163</v>
      </c>
      <c r="F172" s="69" t="s">
        <v>1164</v>
      </c>
      <c r="G172" s="69" t="s">
        <v>1057</v>
      </c>
      <c r="H172" s="77" t="s">
        <v>1165</v>
      </c>
    </row>
    <row r="173" spans="1:8" ht="16">
      <c r="A173" s="66" t="s">
        <v>411</v>
      </c>
      <c r="B173" s="67" t="str">
        <f>IFERROR(INDEX(進捗一覧!$O:$O,MATCH($A173,進捗一覧!$P:$P,0)),"⚠未検出")</f>
        <v>NFR-COST コスト</v>
      </c>
      <c r="C173" s="68" t="str">
        <f>IFERROR(INDEX(進捗一覧!$E:$E,MATCH($A173,進捗一覧!$P:$P,0)),"⚠未検出")</f>
        <v>運用担当の人件費をいくらと見込むか。ADR-040 の運用者10名体制を金額に換算して置く</v>
      </c>
      <c r="D173" s="69" t="str">
        <f>IFERROR(INDEX(進捗一覧!$H:$H,MATCH($A173,進捗一覧!$P:$P,0)),"⚠未検出")</f>
        <v>検討中</v>
      </c>
      <c r="E173" s="67" t="s">
        <v>1412</v>
      </c>
      <c r="F173" s="69" t="s">
        <v>1413</v>
      </c>
      <c r="G173" s="69" t="s">
        <v>1065</v>
      </c>
      <c r="H173" s="77" t="s">
        <v>1424</v>
      </c>
    </row>
    <row r="174" spans="1:8" ht="16">
      <c r="A174" s="66" t="s">
        <v>413</v>
      </c>
      <c r="B174" s="67" t="str">
        <f>IFERROR(INDEX(進捗一覧!$O:$O,MATCH($A174,進捗一覧!$P:$P,0)),"⚠未検出")</f>
        <v>NFR-COST コスト</v>
      </c>
      <c r="C174" s="68" t="str">
        <f>IFERROR(INDEX(進捗一覧!$E:$E,MATCH($A174,進捗一覧!$P:$P,0)),"⚠未検出")</f>
        <v>製品サポート契約の費用をどう扱うか。固定の設備費に合算して計上する方針で、単価が未定</v>
      </c>
      <c r="D174" s="69" t="str">
        <f>IFERROR(INDEX(進捗一覧!$H:$H,MATCH($A174,進捗一覧!$P:$P,0)),"⚠未検出")</f>
        <v>確定</v>
      </c>
      <c r="E174" s="67" t="s">
        <v>1204</v>
      </c>
      <c r="F174" s="69" t="s">
        <v>1175</v>
      </c>
      <c r="G174" s="69" t="s">
        <v>1065</v>
      </c>
      <c r="H174" s="77" t="s">
        <v>1205</v>
      </c>
    </row>
    <row r="175" spans="1:8" ht="16">
      <c r="A175" s="66" t="s">
        <v>415</v>
      </c>
      <c r="B175" s="67" t="str">
        <f>IFERROR(INDEX(進捗一覧!$O:$O,MATCH($A175,進捗一覧!$P:$P,0)),"⚠未検出")</f>
        <v>NFR-COST コスト</v>
      </c>
      <c r="C175" s="68" t="str">
        <f>IFERROR(INDEX(進捗一覧!$E:$E,MATCH($A175,進捗一覧!$P:$P,0)),"⚠未検出")</f>
        <v>何人以上の規模なら自前で構築するほうが有利になるか。概算はこの行で持ち、細かい計算はコスト見積もりシートで行う</v>
      </c>
      <c r="D175" s="69" t="str">
        <f>IFERROR(INDEX(進捗一覧!$H:$H,MATCH($A175,進捗一覧!$P:$P,0)),"⚠未検出")</f>
        <v>確定</v>
      </c>
      <c r="E175" s="67" t="s">
        <v>1421</v>
      </c>
      <c r="F175" s="69" t="s">
        <v>1413</v>
      </c>
      <c r="G175" s="69" t="s">
        <v>1072</v>
      </c>
      <c r="H175" s="77" t="s">
        <v>1423</v>
      </c>
    </row>
    <row r="176" spans="1:8" ht="16">
      <c r="A176" s="66" t="s">
        <v>418</v>
      </c>
      <c r="B176" s="67" t="str">
        <f>IFERROR(INDEX(進捗一覧!$O:$O,MATCH($A176,進捗一覧!$P:$P,0)),"⚠未検出")</f>
        <v>NFR-COST コスト</v>
      </c>
      <c r="C176" s="68" t="str">
        <f>IFERROR(INDEX(進捗一覧!$E:$E,MATCH($A176,進捗一覧!$P:$P,0)),"⚠未検出")</f>
        <v>上位プランと比べた場合に有利になる規模の境目をどこに置くか。細かい計算はコスト見積もりシートで行う</v>
      </c>
      <c r="D176" s="69" t="str">
        <f>IFERROR(INDEX(進捗一覧!$H:$H,MATCH($A176,進捗一覧!$P:$P,0)),"⚠未検出")</f>
        <v>確定</v>
      </c>
      <c r="E176" s="67" t="s">
        <v>1421</v>
      </c>
      <c r="F176" s="69" t="s">
        <v>1413</v>
      </c>
      <c r="G176" s="69" t="s">
        <v>1072</v>
      </c>
      <c r="H176" s="77" t="s">
        <v>1423</v>
      </c>
    </row>
    <row r="177" spans="1:8" ht="16">
      <c r="A177" s="66" t="s">
        <v>421</v>
      </c>
      <c r="B177" s="67" t="str">
        <f>IFERROR(INDEX(進捗一覧!$O:$O,MATCH($A177,進捗一覧!$P:$P,0)),"⚠未検出")</f>
        <v>NFR-COST コスト</v>
      </c>
      <c r="C177" s="68" t="str">
        <f>IFERROR(INDEX(進捗一覧!$E:$E,MATCH($A177,進捗一覧!$P:$P,0)),"⚠未検出")</f>
        <v>10万人規模で3年間の総額をいくらと見るか。Keycloak 採用により Cognito 比較を前提とした本項は不要になる可能性が高い</v>
      </c>
      <c r="D177" s="69" t="str">
        <f>IFERROR(INDEX(進捗一覧!$H:$H,MATCH($A177,進捗一覧!$P:$P,0)),"⚠未検出")</f>
        <v>検討中</v>
      </c>
      <c r="E177" s="67" t="s">
        <v>1202</v>
      </c>
      <c r="F177" s="69" t="s">
        <v>1175</v>
      </c>
      <c r="G177" s="69" t="s">
        <v>1057</v>
      </c>
      <c r="H177" s="77" t="s">
        <v>1206</v>
      </c>
    </row>
    <row r="178" spans="1:8" ht="16">
      <c r="A178" s="66" t="s">
        <v>423</v>
      </c>
      <c r="B178" s="67" t="str">
        <f>IFERROR(INDEX(進捗一覧!$O:$O,MATCH($A178,進捗一覧!$P:$P,0)),"⚠未検出")</f>
        <v>NFR-COST コスト</v>
      </c>
      <c r="C178" s="68" t="str">
        <f>IFERROR(INDEX(進捗一覧!$E:$E,MATCH($A178,進捗一覧!$P:$P,0)),"⚠未検出")</f>
        <v>50万人規模で3年間の総額をいくらと見るか。Keycloak 採用により Cognito 比較を前提とした本項は不要になる可能性が高い</v>
      </c>
      <c r="D178" s="69" t="str">
        <f>IFERROR(INDEX(進捗一覧!$H:$H,MATCH($A178,進捗一覧!$P:$P,0)),"⚠未検出")</f>
        <v>検討中</v>
      </c>
      <c r="E178" s="67" t="s">
        <v>1202</v>
      </c>
      <c r="F178" s="69" t="s">
        <v>1175</v>
      </c>
      <c r="G178" s="69" t="s">
        <v>1057</v>
      </c>
      <c r="H178" s="77" t="s">
        <v>1207</v>
      </c>
    </row>
    <row r="179" spans="1:8" ht="16">
      <c r="A179" s="66" t="s">
        <v>426</v>
      </c>
      <c r="B179" s="67" t="str">
        <f>IFERROR(INDEX(進捗一覧!$O:$O,MATCH($A179,進捗一覧!$P:$P,0)),"⚠未検出")</f>
        <v>NFR-MIG 移行性</v>
      </c>
      <c r="C179" s="68" t="str">
        <f>IFERROR(INDEX(進捗一覧!$E:$E,MATCH($A179,進捗一覧!$P:$P,0)),"⚠未検出")</f>
        <v>今の認証システムから利用者情報をどう移すか。件数と期間をどう見るか</v>
      </c>
      <c r="D179" s="69" t="str">
        <f>IFERROR(INDEX(進捗一覧!$H:$H,MATCH($A179,進捗一覧!$P:$P,0)),"⚠未検出")</f>
        <v>対象外</v>
      </c>
      <c r="E179" s="67" t="s">
        <v>1277</v>
      </c>
      <c r="F179" s="69" t="s">
        <v>1266</v>
      </c>
      <c r="G179" s="69" t="s">
        <v>1065</v>
      </c>
      <c r="H179" s="77" t="s">
        <v>1278</v>
      </c>
    </row>
    <row r="180" spans="1:8" ht="16">
      <c r="A180" s="66" t="s">
        <v>429</v>
      </c>
      <c r="B180" s="67" t="str">
        <f>IFERROR(INDEX(進捗一覧!$O:$O,MATCH($A180,進捗一覧!$P:$P,0)),"⚠未検出")</f>
        <v>NFR-MIG 移行性</v>
      </c>
      <c r="C180" s="68"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69" t="str">
        <f>IFERROR(INDEX(進捗一覧!$H:$H,MATCH($A180,進捗一覧!$P:$P,0)),"⚠未検出")</f>
        <v>外部待ち</v>
      </c>
      <c r="E180" s="67" t="s">
        <v>1277</v>
      </c>
      <c r="F180" s="69" t="s">
        <v>1266</v>
      </c>
      <c r="G180" s="69" t="s">
        <v>1065</v>
      </c>
      <c r="H180" s="77" t="s">
        <v>1279</v>
      </c>
    </row>
    <row r="181" spans="1:8" ht="16">
      <c r="A181" s="66" t="s">
        <v>431</v>
      </c>
      <c r="B181" s="67" t="str">
        <f>IFERROR(INDEX(進捗一覧!$O:$O,MATCH($A181,進捗一覧!$P:$P,0)),"⚠未検出")</f>
        <v>NFR-MIG 移行性</v>
      </c>
      <c r="C181" s="68" t="str">
        <f>IFERROR(INDEX(進捗一覧!$E:$E,MATCH($A181,進捗一覧!$P:$P,0)),"⚠未検出")</f>
        <v>将来ほかの製品に乗り換えられる状態を、どこまで保つか</v>
      </c>
      <c r="D181" s="69" t="str">
        <f>IFERROR(INDEX(進捗一覧!$H:$H,MATCH($A181,進捗一覧!$P:$P,0)),"⚠未検出")</f>
        <v>確定</v>
      </c>
      <c r="E181" s="67" t="s">
        <v>1280</v>
      </c>
      <c r="F181" s="69" t="s">
        <v>1281</v>
      </c>
      <c r="G181" s="69" t="s">
        <v>1057</v>
      </c>
      <c r="H181" s="77" t="s">
        <v>1282</v>
      </c>
    </row>
    <row r="182" spans="1:8" ht="16">
      <c r="A182" s="66" t="s">
        <v>433</v>
      </c>
      <c r="B182" s="67" t="str">
        <f>IFERROR(INDEX(進捗一覧!$O:$O,MATCH($A182,進捗一覧!$P:$P,0)),"⚠未検出")</f>
        <v>NFR-MIG 移行性</v>
      </c>
      <c r="C182" s="68"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69" t="str">
        <f>IFERROR(INDEX(進捗一覧!$H:$H,MATCH($A182,進捗一覧!$P:$P,0)),"⚠未検出")</f>
        <v>検討中</v>
      </c>
      <c r="E182" s="67" t="s">
        <v>1283</v>
      </c>
      <c r="F182" s="69" t="s">
        <v>1284</v>
      </c>
      <c r="G182" s="69" t="s">
        <v>1065</v>
      </c>
      <c r="H182" s="77" t="s">
        <v>1285</v>
      </c>
    </row>
    <row r="183" spans="1:8" ht="16">
      <c r="A183" s="70" t="s">
        <v>435</v>
      </c>
      <c r="B183" s="71" t="str">
        <f>IFERROR(INDEX(進捗一覧!$O:$O,MATCH($A183,進捗一覧!$P:$P,0)),"⚠未検出")</f>
        <v>NFR-MIG 移行性</v>
      </c>
      <c r="C183" s="72" t="str">
        <f>IFERROR(INDEX(進捗一覧!$E:$E,MATCH($A183,進捗一覧!$P:$P,0)),"⚠未検出")</f>
        <v>新旧を並行稼働させて少しずつ移す方針で決定済み。顧客テナント単位で順次移していく。決めるのは並行期間の長さ</v>
      </c>
      <c r="D183" s="73" t="str">
        <f>IFERROR(INDEX(進捗一覧!$H:$H,MATCH($A183,進捗一覧!$P:$P,0)),"⚠未検出")</f>
        <v>確定</v>
      </c>
      <c r="E183" s="71" t="s">
        <v>1286</v>
      </c>
      <c r="F183" s="73" t="s">
        <v>1266</v>
      </c>
      <c r="G183" s="73" t="s">
        <v>1065</v>
      </c>
      <c r="H183" s="78" t="s">
        <v>1287</v>
      </c>
    </row>
  </sheetData>
  <autoFilter ref="A4:H183" xr:uid="{F6284182-FD2C-E145-9717-734327A3CD4B}"/>
  <phoneticPr fontId="3"/>
  <conditionalFormatting sqref="A5:H183">
    <cfRule type="expression" dxfId="73" priority="1">
      <formula>$G5="未対応"</formula>
    </cfRule>
  </conditionalFormatting>
  <conditionalFormatting sqref="A5:H183">
    <cfRule type="expression" dxfId="72" priority="2">
      <formula>$G5="単元未取込"</formula>
    </cfRule>
  </conditionalFormatting>
  <conditionalFormatting sqref="A5:H183">
    <cfRule type="expression" dxfId="71" priority="3">
      <formula>$G5="部分"</formula>
    </cfRule>
  </conditionalFormatting>
  <conditionalFormatting sqref="A5:H183">
    <cfRule type="expression" dxfId="70" priority="4">
      <formula>$G5="設計済"</formula>
    </cfRule>
  </conditionalFormatting>
  <conditionalFormatting sqref="A5:H183">
    <cfRule type="expression" dxfId="69"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64" customWidth="1"/>
    <col min="2" max="2" width="24.28515625" style="64" customWidth="1"/>
    <col min="3" max="3" width="40" style="64" customWidth="1"/>
    <col min="4" max="4" width="18.5703125" style="64" customWidth="1"/>
    <col min="5" max="5" width="88.5703125" style="64" customWidth="1"/>
    <col min="6" max="6" width="32.85546875" style="64" customWidth="1"/>
    <col min="7" max="16384" width="10.7109375" style="64"/>
  </cols>
  <sheetData>
    <row r="1" spans="1:6">
      <c r="A1" s="63" t="s">
        <v>1288</v>
      </c>
    </row>
    <row r="2" spans="1:6">
      <c r="A2" s="76" t="s">
        <v>1519</v>
      </c>
    </row>
    <row r="3" spans="1:6">
      <c r="A3" s="81" t="s">
        <v>1289</v>
      </c>
    </row>
    <row r="5" spans="1:6" ht="22" customHeight="1">
      <c r="A5" s="82" t="s">
        <v>876</v>
      </c>
      <c r="B5" s="83" t="s">
        <v>877</v>
      </c>
      <c r="C5" s="83" t="s">
        <v>878</v>
      </c>
      <c r="D5" s="83" t="s">
        <v>1290</v>
      </c>
      <c r="E5" s="83" t="s">
        <v>1291</v>
      </c>
      <c r="F5" s="84" t="s">
        <v>1292</v>
      </c>
    </row>
    <row r="6" spans="1:6" ht="32">
      <c r="A6" s="74" t="s">
        <v>1053</v>
      </c>
      <c r="B6" s="67" t="s">
        <v>1047</v>
      </c>
      <c r="C6" s="67" t="s">
        <v>1054</v>
      </c>
      <c r="D6" s="69" t="s">
        <v>1293</v>
      </c>
      <c r="E6" s="68" t="s">
        <v>1294</v>
      </c>
      <c r="F6" s="77" t="s">
        <v>1295</v>
      </c>
    </row>
    <row r="7" spans="1:6" ht="32">
      <c r="A7" s="74" t="s">
        <v>1049</v>
      </c>
      <c r="B7" s="67" t="s">
        <v>1047</v>
      </c>
      <c r="C7" s="67" t="s">
        <v>1050</v>
      </c>
      <c r="D7" s="69" t="s">
        <v>1293</v>
      </c>
      <c r="E7" s="68" t="s">
        <v>1296</v>
      </c>
      <c r="F7" s="77" t="s">
        <v>1295</v>
      </c>
    </row>
    <row r="8" spans="1:6" ht="16">
      <c r="A8" s="74" t="s">
        <v>1252</v>
      </c>
      <c r="B8" s="67" t="s">
        <v>1241</v>
      </c>
      <c r="C8" s="67" t="s">
        <v>1253</v>
      </c>
      <c r="D8" s="69" t="s">
        <v>1293</v>
      </c>
      <c r="E8" s="68" t="s">
        <v>1297</v>
      </c>
      <c r="F8" s="77" t="s">
        <v>1295</v>
      </c>
    </row>
    <row r="9" spans="1:6" ht="16">
      <c r="A9" s="74" t="s">
        <v>1051</v>
      </c>
      <c r="B9" s="67" t="s">
        <v>1047</v>
      </c>
      <c r="C9" s="67" t="s">
        <v>1052</v>
      </c>
      <c r="D9" s="69" t="s">
        <v>1293</v>
      </c>
      <c r="E9" s="68" t="s">
        <v>1298</v>
      </c>
      <c r="F9" s="77" t="s">
        <v>1295</v>
      </c>
    </row>
    <row r="10" spans="1:6" ht="16">
      <c r="A10" s="74" t="s">
        <v>935</v>
      </c>
      <c r="B10" s="67" t="s">
        <v>917</v>
      </c>
      <c r="C10" s="67" t="s">
        <v>1299</v>
      </c>
      <c r="D10" s="69" t="s">
        <v>1293</v>
      </c>
      <c r="E10" s="68" t="s">
        <v>1300</v>
      </c>
      <c r="F10" s="77" t="s">
        <v>120</v>
      </c>
    </row>
    <row r="11" spans="1:6" ht="32">
      <c r="A11" s="74" t="s">
        <v>1250</v>
      </c>
      <c r="B11" s="67" t="s">
        <v>1241</v>
      </c>
      <c r="C11" s="67" t="s">
        <v>1251</v>
      </c>
      <c r="D11" s="69" t="s">
        <v>1293</v>
      </c>
      <c r="E11" s="68" t="s">
        <v>1301</v>
      </c>
      <c r="F11" s="77" t="s">
        <v>176</v>
      </c>
    </row>
    <row r="12" spans="1:6" ht="16">
      <c r="A12" s="74" t="s">
        <v>1084</v>
      </c>
      <c r="B12" s="67" t="s">
        <v>517</v>
      </c>
      <c r="C12" s="67" t="s">
        <v>1085</v>
      </c>
      <c r="D12" s="69" t="s">
        <v>1293</v>
      </c>
      <c r="E12" s="68" t="s">
        <v>1302</v>
      </c>
      <c r="F12" s="77" t="s">
        <v>1303</v>
      </c>
    </row>
    <row r="13" spans="1:6" ht="16">
      <c r="A13" s="74" t="s">
        <v>915</v>
      </c>
      <c r="B13" s="67" t="s">
        <v>510</v>
      </c>
      <c r="C13" s="67" t="s">
        <v>1304</v>
      </c>
      <c r="D13" s="69" t="s">
        <v>1293</v>
      </c>
      <c r="E13" s="68" t="s">
        <v>1305</v>
      </c>
      <c r="F13" s="77" t="s">
        <v>1295</v>
      </c>
    </row>
    <row r="14" spans="1:6" ht="16">
      <c r="A14" s="74" t="s">
        <v>1212</v>
      </c>
      <c r="B14" s="67" t="s">
        <v>1208</v>
      </c>
      <c r="C14" s="67" t="s">
        <v>1213</v>
      </c>
      <c r="D14" s="69" t="s">
        <v>1293</v>
      </c>
      <c r="E14" s="68" t="s">
        <v>1306</v>
      </c>
      <c r="F14" s="77" t="s">
        <v>349</v>
      </c>
    </row>
    <row r="15" spans="1:6" ht="16">
      <c r="A15" s="74" t="s">
        <v>1246</v>
      </c>
      <c r="B15" s="67" t="s">
        <v>1241</v>
      </c>
      <c r="C15" s="67" t="s">
        <v>1247</v>
      </c>
      <c r="D15" s="69" t="s">
        <v>1293</v>
      </c>
      <c r="E15" s="68" t="s">
        <v>1307</v>
      </c>
      <c r="F15" s="77" t="s">
        <v>1295</v>
      </c>
    </row>
    <row r="16" spans="1:6" ht="16">
      <c r="A16" s="74" t="s">
        <v>922</v>
      </c>
      <c r="B16" s="67" t="s">
        <v>917</v>
      </c>
      <c r="C16" s="67" t="s">
        <v>1308</v>
      </c>
      <c r="D16" s="69" t="s">
        <v>1293</v>
      </c>
      <c r="E16" s="68" t="s">
        <v>1309</v>
      </c>
      <c r="F16" s="77" t="s">
        <v>291</v>
      </c>
    </row>
    <row r="17" spans="1:6" ht="32">
      <c r="A17" s="74" t="s">
        <v>1240</v>
      </c>
      <c r="B17" s="67" t="s">
        <v>1241</v>
      </c>
      <c r="C17" s="67" t="s">
        <v>1242</v>
      </c>
      <c r="D17" s="69" t="s">
        <v>1310</v>
      </c>
      <c r="E17" s="68" t="s">
        <v>1311</v>
      </c>
      <c r="F17" s="77" t="s">
        <v>1312</v>
      </c>
    </row>
    <row r="18" spans="1:6" ht="16">
      <c r="A18" s="74" t="s">
        <v>1243</v>
      </c>
      <c r="B18" s="67" t="s">
        <v>1241</v>
      </c>
      <c r="C18" s="67" t="s">
        <v>1244</v>
      </c>
      <c r="D18" s="69" t="s">
        <v>1310</v>
      </c>
      <c r="E18" s="68" t="s">
        <v>1313</v>
      </c>
      <c r="F18" s="77" t="s">
        <v>1312</v>
      </c>
    </row>
    <row r="19" spans="1:6" ht="16">
      <c r="A19" s="74" t="s">
        <v>1248</v>
      </c>
      <c r="B19" s="67" t="s">
        <v>1241</v>
      </c>
      <c r="C19" s="67" t="s">
        <v>1249</v>
      </c>
      <c r="D19" s="69" t="s">
        <v>1310</v>
      </c>
      <c r="E19" s="68" t="s">
        <v>1314</v>
      </c>
      <c r="F19" s="77" t="s">
        <v>1315</v>
      </c>
    </row>
    <row r="20" spans="1:6" ht="16">
      <c r="A20" s="74" t="s">
        <v>923</v>
      </c>
      <c r="B20" s="67" t="s">
        <v>917</v>
      </c>
      <c r="C20" s="67" t="s">
        <v>1316</v>
      </c>
      <c r="D20" s="69" t="s">
        <v>1310</v>
      </c>
      <c r="E20" s="68" t="s">
        <v>1317</v>
      </c>
      <c r="F20" s="77" t="s">
        <v>1318</v>
      </c>
    </row>
    <row r="21" spans="1:6" ht="16">
      <c r="A21" s="74" t="s">
        <v>921</v>
      </c>
      <c r="B21" s="67" t="s">
        <v>917</v>
      </c>
      <c r="C21" s="67" t="s">
        <v>1319</v>
      </c>
      <c r="D21" s="69" t="s">
        <v>1310</v>
      </c>
      <c r="E21" s="68" t="s">
        <v>1320</v>
      </c>
      <c r="F21" s="77" t="s">
        <v>294</v>
      </c>
    </row>
    <row r="22" spans="1:6" ht="16">
      <c r="A22" s="74" t="s">
        <v>928</v>
      </c>
      <c r="B22" s="67" t="s">
        <v>917</v>
      </c>
      <c r="C22" s="67" t="s">
        <v>1321</v>
      </c>
      <c r="D22" s="69" t="s">
        <v>1310</v>
      </c>
      <c r="E22" s="68" t="s">
        <v>1322</v>
      </c>
      <c r="F22" s="77" t="s">
        <v>1323</v>
      </c>
    </row>
    <row r="23" spans="1:6" ht="32">
      <c r="A23" s="74" t="s">
        <v>929</v>
      </c>
      <c r="B23" s="67" t="s">
        <v>917</v>
      </c>
      <c r="C23" s="67" t="s">
        <v>1324</v>
      </c>
      <c r="D23" s="69" t="s">
        <v>1310</v>
      </c>
      <c r="E23" s="68" t="s">
        <v>1325</v>
      </c>
      <c r="F23" s="77" t="s">
        <v>109</v>
      </c>
    </row>
    <row r="24" spans="1:6" ht="16">
      <c r="A24" s="74" t="s">
        <v>926</v>
      </c>
      <c r="B24" s="67" t="s">
        <v>917</v>
      </c>
      <c r="C24" s="67" t="s">
        <v>1326</v>
      </c>
      <c r="D24" s="69" t="s">
        <v>1310</v>
      </c>
      <c r="E24" s="68" t="s">
        <v>1327</v>
      </c>
      <c r="F24" s="77" t="s">
        <v>300</v>
      </c>
    </row>
    <row r="25" spans="1:6" ht="16">
      <c r="A25" s="74" t="s">
        <v>919</v>
      </c>
      <c r="B25" s="67" t="s">
        <v>917</v>
      </c>
      <c r="C25" s="67" t="s">
        <v>1328</v>
      </c>
      <c r="D25" s="69" t="s">
        <v>1310</v>
      </c>
      <c r="E25" s="68" t="s">
        <v>1329</v>
      </c>
      <c r="F25" s="77" t="s">
        <v>1330</v>
      </c>
    </row>
    <row r="26" spans="1:6" ht="16">
      <c r="A26" s="74" t="s">
        <v>1048</v>
      </c>
      <c r="B26" s="67" t="s">
        <v>1047</v>
      </c>
      <c r="C26" s="67" t="s">
        <v>1331</v>
      </c>
      <c r="D26" s="69" t="s">
        <v>1310</v>
      </c>
      <c r="E26" s="68" t="s">
        <v>1332</v>
      </c>
      <c r="F26" s="77" t="s">
        <v>89</v>
      </c>
    </row>
    <row r="27" spans="1:6" ht="16">
      <c r="A27" s="74" t="s">
        <v>891</v>
      </c>
      <c r="B27" s="67" t="s">
        <v>503</v>
      </c>
      <c r="C27" s="67" t="s">
        <v>1333</v>
      </c>
      <c r="D27" s="69" t="s">
        <v>1310</v>
      </c>
      <c r="E27" s="68" t="s">
        <v>1334</v>
      </c>
      <c r="F27" s="77" t="s">
        <v>89</v>
      </c>
    </row>
    <row r="28" spans="1:6" ht="16">
      <c r="A28" s="74" t="s">
        <v>1133</v>
      </c>
      <c r="B28" s="67" t="s">
        <v>519</v>
      </c>
      <c r="C28" s="67" t="s">
        <v>1134</v>
      </c>
      <c r="D28" s="69" t="s">
        <v>1310</v>
      </c>
      <c r="E28" s="68" t="s">
        <v>1335</v>
      </c>
      <c r="F28" s="77" t="s">
        <v>335</v>
      </c>
    </row>
    <row r="29" spans="1:6" ht="16">
      <c r="A29" s="74" t="s">
        <v>1172</v>
      </c>
      <c r="B29" s="67" t="s">
        <v>513</v>
      </c>
      <c r="C29" s="67" t="s">
        <v>1173</v>
      </c>
      <c r="D29" s="69" t="s">
        <v>1310</v>
      </c>
      <c r="E29" s="68" t="s">
        <v>1336</v>
      </c>
      <c r="F29" s="77" t="s">
        <v>1337</v>
      </c>
    </row>
    <row r="30" spans="1:6" ht="32">
      <c r="A30" s="74" t="s">
        <v>908</v>
      </c>
      <c r="B30" s="67" t="s">
        <v>510</v>
      </c>
      <c r="C30" s="67" t="s">
        <v>1338</v>
      </c>
      <c r="D30" s="69" t="s">
        <v>1310</v>
      </c>
      <c r="E30" s="68" t="s">
        <v>1339</v>
      </c>
      <c r="F30" s="77" t="s">
        <v>1340</v>
      </c>
    </row>
    <row r="31" spans="1:6" ht="16">
      <c r="A31" s="74" t="s">
        <v>1170</v>
      </c>
      <c r="B31" s="67" t="s">
        <v>513</v>
      </c>
      <c r="C31" s="67" t="s">
        <v>1171</v>
      </c>
      <c r="D31" s="69" t="s">
        <v>1341</v>
      </c>
      <c r="E31" s="68" t="s">
        <v>1342</v>
      </c>
      <c r="F31" s="77" t="s">
        <v>1343</v>
      </c>
    </row>
    <row r="32" spans="1:6" ht="16">
      <c r="A32" s="74" t="s">
        <v>1130</v>
      </c>
      <c r="B32" s="67" t="s">
        <v>519</v>
      </c>
      <c r="C32" s="67" t="s">
        <v>1131</v>
      </c>
      <c r="D32" s="69" t="s">
        <v>1344</v>
      </c>
      <c r="E32" s="68" t="s">
        <v>1345</v>
      </c>
      <c r="F32" s="77" t="s">
        <v>330</v>
      </c>
    </row>
    <row r="33" spans="1:6" ht="16">
      <c r="A33" s="74" t="s">
        <v>887</v>
      </c>
      <c r="B33" s="67" t="s">
        <v>503</v>
      </c>
      <c r="C33" s="67" t="s">
        <v>1346</v>
      </c>
      <c r="D33" s="69" t="s">
        <v>1347</v>
      </c>
      <c r="E33" s="68" t="s">
        <v>1348</v>
      </c>
      <c r="F33" s="77" t="s">
        <v>947</v>
      </c>
    </row>
    <row r="34" spans="1:6" ht="16">
      <c r="A34" s="74" t="s">
        <v>888</v>
      </c>
      <c r="B34" s="67" t="s">
        <v>503</v>
      </c>
      <c r="C34" s="67" t="s">
        <v>1349</v>
      </c>
      <c r="D34" s="69" t="s">
        <v>1347</v>
      </c>
      <c r="E34" s="68" t="s">
        <v>1350</v>
      </c>
      <c r="F34" s="77" t="s">
        <v>947</v>
      </c>
    </row>
    <row r="35" spans="1:6" ht="16">
      <c r="A35" s="74" t="s">
        <v>889</v>
      </c>
      <c r="B35" s="67" t="s">
        <v>503</v>
      </c>
      <c r="C35" s="67" t="s">
        <v>1351</v>
      </c>
      <c r="D35" s="69" t="s">
        <v>1347</v>
      </c>
      <c r="E35" s="68" t="s">
        <v>1352</v>
      </c>
      <c r="F35" s="77" t="s">
        <v>947</v>
      </c>
    </row>
    <row r="36" spans="1:6" ht="16">
      <c r="A36" s="74" t="s">
        <v>890</v>
      </c>
      <c r="B36" s="67" t="s">
        <v>503</v>
      </c>
      <c r="C36" s="67" t="s">
        <v>1353</v>
      </c>
      <c r="D36" s="69" t="s">
        <v>1347</v>
      </c>
      <c r="E36" s="68" t="s">
        <v>1354</v>
      </c>
      <c r="F36" s="77" t="s">
        <v>947</v>
      </c>
    </row>
    <row r="37" spans="1:6" ht="16">
      <c r="A37" s="74" t="s">
        <v>892</v>
      </c>
      <c r="B37" s="67" t="s">
        <v>503</v>
      </c>
      <c r="C37" s="67" t="s">
        <v>1355</v>
      </c>
      <c r="D37" s="69" t="s">
        <v>1347</v>
      </c>
      <c r="E37" s="68" t="s">
        <v>1356</v>
      </c>
      <c r="F37" s="77" t="s">
        <v>947</v>
      </c>
    </row>
    <row r="38" spans="1:6" ht="16">
      <c r="A38" s="74" t="s">
        <v>893</v>
      </c>
      <c r="B38" s="67" t="s">
        <v>503</v>
      </c>
      <c r="C38" s="67" t="s">
        <v>1357</v>
      </c>
      <c r="D38" s="69" t="s">
        <v>1347</v>
      </c>
      <c r="E38" s="68" t="s">
        <v>1358</v>
      </c>
      <c r="F38" s="77" t="s">
        <v>947</v>
      </c>
    </row>
    <row r="39" spans="1:6" ht="16">
      <c r="A39" s="74" t="s">
        <v>894</v>
      </c>
      <c r="B39" s="67" t="s">
        <v>503</v>
      </c>
      <c r="C39" s="67" t="s">
        <v>1359</v>
      </c>
      <c r="D39" s="69" t="s">
        <v>1347</v>
      </c>
      <c r="E39" s="68" t="s">
        <v>1360</v>
      </c>
      <c r="F39" s="77" t="s">
        <v>947</v>
      </c>
    </row>
    <row r="40" spans="1:6" ht="16">
      <c r="A40" s="74" t="s">
        <v>897</v>
      </c>
      <c r="B40" s="67" t="s">
        <v>503</v>
      </c>
      <c r="C40" s="67" t="s">
        <v>1361</v>
      </c>
      <c r="D40" s="69" t="s">
        <v>1347</v>
      </c>
      <c r="E40" s="68" t="s">
        <v>1362</v>
      </c>
      <c r="F40" s="77" t="s">
        <v>947</v>
      </c>
    </row>
    <row r="41" spans="1:6" ht="16">
      <c r="A41" s="74" t="s">
        <v>898</v>
      </c>
      <c r="B41" s="67" t="s">
        <v>503</v>
      </c>
      <c r="C41" s="67" t="s">
        <v>1363</v>
      </c>
      <c r="D41" s="69" t="s">
        <v>1347</v>
      </c>
      <c r="E41" s="68" t="s">
        <v>1364</v>
      </c>
      <c r="F41" s="77" t="s">
        <v>947</v>
      </c>
    </row>
    <row r="42" spans="1:6" ht="16">
      <c r="A42" s="74" t="s">
        <v>899</v>
      </c>
      <c r="B42" s="67" t="s">
        <v>503</v>
      </c>
      <c r="C42" s="67" t="s">
        <v>1365</v>
      </c>
      <c r="D42" s="69" t="s">
        <v>1347</v>
      </c>
      <c r="E42" s="68" t="s">
        <v>1366</v>
      </c>
      <c r="F42" s="77" t="s">
        <v>947</v>
      </c>
    </row>
    <row r="43" spans="1:6" ht="16">
      <c r="A43" s="74" t="s">
        <v>901</v>
      </c>
      <c r="B43" s="67" t="s">
        <v>503</v>
      </c>
      <c r="C43" s="67" t="s">
        <v>1367</v>
      </c>
      <c r="D43" s="69" t="s">
        <v>1347</v>
      </c>
      <c r="E43" s="68" t="s">
        <v>1368</v>
      </c>
      <c r="F43" s="77" t="s">
        <v>947</v>
      </c>
    </row>
    <row r="44" spans="1:6" ht="16">
      <c r="A44" s="74" t="s">
        <v>902</v>
      </c>
      <c r="B44" s="67" t="s">
        <v>503</v>
      </c>
      <c r="C44" s="67" t="s">
        <v>1369</v>
      </c>
      <c r="D44" s="69" t="s">
        <v>1347</v>
      </c>
      <c r="E44" s="68" t="s">
        <v>1370</v>
      </c>
      <c r="F44" s="77" t="s">
        <v>947</v>
      </c>
    </row>
    <row r="45" spans="1:6" ht="16">
      <c r="A45" s="74" t="s">
        <v>924</v>
      </c>
      <c r="B45" s="67" t="s">
        <v>917</v>
      </c>
      <c r="C45" s="67" t="s">
        <v>1371</v>
      </c>
      <c r="D45" s="69" t="s">
        <v>1347</v>
      </c>
      <c r="E45" s="68" t="s">
        <v>1372</v>
      </c>
      <c r="F45" s="77" t="s">
        <v>947</v>
      </c>
    </row>
    <row r="46" spans="1:6" ht="16">
      <c r="A46" s="74" t="s">
        <v>925</v>
      </c>
      <c r="B46" s="67" t="s">
        <v>917</v>
      </c>
      <c r="C46" s="67" t="s">
        <v>1373</v>
      </c>
      <c r="D46" s="69" t="s">
        <v>1347</v>
      </c>
      <c r="E46" s="68" t="s">
        <v>1374</v>
      </c>
      <c r="F46" s="77" t="s">
        <v>947</v>
      </c>
    </row>
    <row r="47" spans="1:6" ht="16">
      <c r="A47" s="74" t="s">
        <v>933</v>
      </c>
      <c r="B47" s="67" t="s">
        <v>917</v>
      </c>
      <c r="C47" s="67" t="s">
        <v>1375</v>
      </c>
      <c r="D47" s="69" t="s">
        <v>1347</v>
      </c>
      <c r="E47" s="68" t="s">
        <v>1376</v>
      </c>
      <c r="F47" s="77" t="s">
        <v>947</v>
      </c>
    </row>
    <row r="48" spans="1:6" ht="16">
      <c r="A48" s="74" t="s">
        <v>934</v>
      </c>
      <c r="B48" s="67" t="s">
        <v>917</v>
      </c>
      <c r="C48" s="67" t="s">
        <v>1377</v>
      </c>
      <c r="D48" s="69" t="s">
        <v>1347</v>
      </c>
      <c r="E48" s="68" t="s">
        <v>1378</v>
      </c>
      <c r="F48" s="77" t="s">
        <v>947</v>
      </c>
    </row>
    <row r="49" spans="1:6" ht="16">
      <c r="A49" s="74" t="s">
        <v>906</v>
      </c>
      <c r="B49" s="67" t="s">
        <v>510</v>
      </c>
      <c r="C49" s="67" t="s">
        <v>1379</v>
      </c>
      <c r="D49" s="69" t="s">
        <v>1347</v>
      </c>
      <c r="E49" s="68" t="s">
        <v>1380</v>
      </c>
      <c r="F49" s="77" t="s">
        <v>947</v>
      </c>
    </row>
    <row r="50" spans="1:6" ht="16">
      <c r="A50" s="74" t="s">
        <v>911</v>
      </c>
      <c r="B50" s="67" t="s">
        <v>510</v>
      </c>
      <c r="C50" s="67" t="s">
        <v>1381</v>
      </c>
      <c r="D50" s="69" t="s">
        <v>1347</v>
      </c>
      <c r="E50" s="68" t="s">
        <v>1382</v>
      </c>
      <c r="F50" s="77" t="s">
        <v>947</v>
      </c>
    </row>
    <row r="51" spans="1:6" ht="16">
      <c r="A51" s="74" t="s">
        <v>912</v>
      </c>
      <c r="B51" s="67" t="s">
        <v>510</v>
      </c>
      <c r="C51" s="67" t="s">
        <v>1383</v>
      </c>
      <c r="D51" s="69" t="s">
        <v>1347</v>
      </c>
      <c r="E51" s="68" t="s">
        <v>1384</v>
      </c>
      <c r="F51" s="77" t="s">
        <v>947</v>
      </c>
    </row>
    <row r="52" spans="1:6" ht="16">
      <c r="A52" s="74" t="s">
        <v>1166</v>
      </c>
      <c r="B52" s="67" t="s">
        <v>513</v>
      </c>
      <c r="C52" s="67" t="s">
        <v>1167</v>
      </c>
      <c r="D52" s="69" t="s">
        <v>1347</v>
      </c>
      <c r="E52" s="68" t="s">
        <v>1385</v>
      </c>
      <c r="F52" s="77" t="s">
        <v>947</v>
      </c>
    </row>
    <row r="53" spans="1:6" ht="16">
      <c r="A53" s="74" t="s">
        <v>1168</v>
      </c>
      <c r="B53" s="67" t="s">
        <v>513</v>
      </c>
      <c r="C53" s="67" t="s">
        <v>1169</v>
      </c>
      <c r="D53" s="69" t="s">
        <v>1347</v>
      </c>
      <c r="E53" s="68" t="s">
        <v>1386</v>
      </c>
      <c r="F53" s="77" t="s">
        <v>947</v>
      </c>
    </row>
    <row r="54" spans="1:6" ht="16">
      <c r="A54" s="74" t="s">
        <v>1209</v>
      </c>
      <c r="B54" s="67" t="s">
        <v>1208</v>
      </c>
      <c r="C54" s="67" t="s">
        <v>1387</v>
      </c>
      <c r="D54" s="69" t="s">
        <v>1347</v>
      </c>
      <c r="E54" s="68" t="s">
        <v>1388</v>
      </c>
      <c r="F54" s="77" t="s">
        <v>947</v>
      </c>
    </row>
    <row r="55" spans="1:6" ht="16">
      <c r="A55" s="75" t="s">
        <v>1210</v>
      </c>
      <c r="B55" s="71" t="s">
        <v>1208</v>
      </c>
      <c r="C55" s="71" t="s">
        <v>1389</v>
      </c>
      <c r="D55" s="73" t="s">
        <v>1347</v>
      </c>
      <c r="E55" s="72" t="s">
        <v>1390</v>
      </c>
      <c r="F55" s="78" t="s">
        <v>947</v>
      </c>
    </row>
  </sheetData>
  <autoFilter ref="A5:F55" xr:uid="{8B2CA42E-305E-3549-A119-1311DF775CFA}"/>
  <phoneticPr fontId="3"/>
  <conditionalFormatting sqref="A6:F55">
    <cfRule type="expression" dxfId="68" priority="1">
      <formula>$D6="スコープ増"</formula>
    </cfRule>
  </conditionalFormatting>
  <conditionalFormatting sqref="A6:F55">
    <cfRule type="expression" dxfId="67" priority="2">
      <formula>$D6="要件側の書き漏れ"</formula>
    </cfRule>
  </conditionalFormatting>
  <conditionalFormatting sqref="A6:F55">
    <cfRule type="expression" dxfId="66" priority="3">
      <formula>$D6="参照漏れ"</formula>
    </cfRule>
  </conditionalFormatting>
  <conditionalFormatting sqref="A6:F55">
    <cfRule type="expression" dxfId="65" priority="4">
      <formula>$D6="内部技術判断"</formula>
    </cfRule>
  </conditionalFormatting>
  <conditionalFormatting sqref="A6:F55">
    <cfRule type="expression" dxfId="64"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2531</v>
      </c>
    </row>
    <row r="2" spans="1:9">
      <c r="A2" s="3" t="s">
        <v>2532</v>
      </c>
    </row>
    <row r="3" spans="1:9">
      <c r="A3" s="55" t="s">
        <v>4851</v>
      </c>
    </row>
    <row r="4" spans="1:9" ht="22" customHeight="1"/>
    <row r="5" spans="1:9" ht="22" customHeight="1">
      <c r="A5" s="11" t="s">
        <v>1433</v>
      </c>
      <c r="B5" s="12" t="s">
        <v>1434</v>
      </c>
      <c r="C5" s="12" t="s">
        <v>1435</v>
      </c>
      <c r="D5" s="12" t="s">
        <v>2533</v>
      </c>
      <c r="E5" s="13" t="s">
        <v>2534</v>
      </c>
      <c r="G5" s="158" t="s">
        <v>2700</v>
      </c>
    </row>
    <row r="6" spans="1:9">
      <c r="A6" s="50" t="s">
        <v>2535</v>
      </c>
      <c r="B6" s="8" t="s">
        <v>2536</v>
      </c>
      <c r="C6" s="14" t="s">
        <v>2537</v>
      </c>
      <c r="D6" s="177" t="s">
        <v>2701</v>
      </c>
      <c r="E6" s="175"/>
      <c r="G6" s="20" t="s">
        <v>1435</v>
      </c>
      <c r="H6" s="22" t="s">
        <v>1046</v>
      </c>
    </row>
    <row r="7" spans="1:9">
      <c r="A7" s="50" t="s">
        <v>2538</v>
      </c>
      <c r="B7" s="8" t="s">
        <v>2539</v>
      </c>
      <c r="C7" s="14" t="s">
        <v>2537</v>
      </c>
      <c r="D7" s="177" t="s">
        <v>2701</v>
      </c>
      <c r="E7" s="175"/>
      <c r="G7" s="23" t="s">
        <v>2548</v>
      </c>
      <c r="H7" s="159">
        <f>COUNTIF($C$6:$C$72,$G7)</f>
        <v>48</v>
      </c>
    </row>
    <row r="8" spans="1:9">
      <c r="A8" s="50" t="s">
        <v>2540</v>
      </c>
      <c r="B8" s="8" t="s">
        <v>2541</v>
      </c>
      <c r="C8" s="14" t="s">
        <v>2537</v>
      </c>
      <c r="D8" s="177" t="s">
        <v>2701</v>
      </c>
      <c r="E8" s="175"/>
      <c r="G8" s="23" t="s">
        <v>2537</v>
      </c>
      <c r="H8" s="159">
        <f>COUNTIF($C$6:$C$72,$G8)</f>
        <v>12</v>
      </c>
    </row>
    <row r="9" spans="1:9">
      <c r="A9" s="50" t="s">
        <v>2542</v>
      </c>
      <c r="B9" s="8" t="s">
        <v>2543</v>
      </c>
      <c r="C9" s="14" t="s">
        <v>2537</v>
      </c>
      <c r="D9" s="177" t="s">
        <v>2701</v>
      </c>
      <c r="E9" s="175"/>
      <c r="G9" s="23" t="s">
        <v>2665</v>
      </c>
      <c r="H9" s="159">
        <f>COUNTIF($C$6:$C$72,$G9)</f>
        <v>1</v>
      </c>
    </row>
    <row r="10" spans="1:9">
      <c r="A10" s="50" t="s">
        <v>2544</v>
      </c>
      <c r="B10" s="8" t="s">
        <v>2545</v>
      </c>
      <c r="C10" s="14" t="s">
        <v>2537</v>
      </c>
      <c r="D10" s="177" t="s">
        <v>2701</v>
      </c>
      <c r="E10" s="175"/>
      <c r="G10" s="23" t="s">
        <v>2669</v>
      </c>
      <c r="H10" s="159">
        <f>COUNTIF($C$6:$C$72,$G10)</f>
        <v>1</v>
      </c>
    </row>
    <row r="11" spans="1:9">
      <c r="A11" s="50" t="s">
        <v>2546</v>
      </c>
      <c r="B11" s="8" t="s">
        <v>2547</v>
      </c>
      <c r="C11" s="14" t="s">
        <v>2548</v>
      </c>
      <c r="D11" s="177" t="s">
        <v>2701</v>
      </c>
      <c r="E11" s="175"/>
      <c r="G11" s="23" t="s">
        <v>2617</v>
      </c>
      <c r="H11" s="159">
        <f>COUNTIF($C$6:$C$72,$G11)</f>
        <v>2</v>
      </c>
    </row>
    <row r="12" spans="1:9">
      <c r="A12" s="50" t="s">
        <v>2549</v>
      </c>
      <c r="B12" s="8" t="s">
        <v>2550</v>
      </c>
      <c r="C12" s="14" t="s">
        <v>2537</v>
      </c>
      <c r="D12" s="177" t="s">
        <v>2702</v>
      </c>
      <c r="E12" s="175"/>
      <c r="G12" s="23" t="s">
        <v>2629</v>
      </c>
      <c r="H12" s="159">
        <f>COUNTIF($C$6:$C$72,$G12)</f>
        <v>1</v>
      </c>
    </row>
    <row r="13" spans="1:9">
      <c r="A13" s="50" t="s">
        <v>2551</v>
      </c>
      <c r="B13" s="8" t="s">
        <v>2552</v>
      </c>
      <c r="C13" s="14" t="s">
        <v>2537</v>
      </c>
      <c r="D13" s="177" t="s">
        <v>2703</v>
      </c>
      <c r="E13" s="175"/>
      <c r="G13" s="25" t="s">
        <v>7</v>
      </c>
      <c r="H13" s="160">
        <f>SUM(H7:H12)</f>
        <v>65</v>
      </c>
      <c r="I13" s="49" t="str">
        <f>IF(H13=COUNTA($A$6:$A$72),"✓ 明細行数と一致","⚠ 不一致")</f>
        <v>⚠ 不一致</v>
      </c>
    </row>
    <row r="14" spans="1:9">
      <c r="A14" s="50" t="s">
        <v>2553</v>
      </c>
      <c r="B14" s="8" t="s">
        <v>2554</v>
      </c>
      <c r="C14" s="14" t="s">
        <v>2537</v>
      </c>
      <c r="D14" s="177" t="s">
        <v>2704</v>
      </c>
      <c r="E14" s="175"/>
    </row>
    <row r="15" spans="1:9">
      <c r="A15" s="50" t="s">
        <v>2555</v>
      </c>
      <c r="B15" s="8" t="s">
        <v>2556</v>
      </c>
      <c r="C15" s="14" t="s">
        <v>2537</v>
      </c>
      <c r="D15" s="177" t="s">
        <v>2705</v>
      </c>
      <c r="E15" s="175"/>
    </row>
    <row r="16" spans="1:9">
      <c r="A16" s="50" t="s">
        <v>2557</v>
      </c>
      <c r="B16" s="8" t="s">
        <v>2558</v>
      </c>
      <c r="C16" s="14" t="s">
        <v>2548</v>
      </c>
      <c r="D16" s="177" t="s">
        <v>2705</v>
      </c>
      <c r="E16" s="175" t="s">
        <v>2559</v>
      </c>
    </row>
    <row r="17" spans="1:5">
      <c r="A17" s="50" t="s">
        <v>2560</v>
      </c>
      <c r="B17" s="8" t="s">
        <v>2561</v>
      </c>
      <c r="C17" s="14" t="s">
        <v>2537</v>
      </c>
      <c r="D17" s="177" t="s">
        <v>2706</v>
      </c>
      <c r="E17" s="175"/>
    </row>
    <row r="18" spans="1:5">
      <c r="A18" s="50" t="s">
        <v>2562</v>
      </c>
      <c r="B18" s="8" t="s">
        <v>2563</v>
      </c>
      <c r="C18" s="14" t="s">
        <v>2548</v>
      </c>
      <c r="D18" s="177" t="s">
        <v>2707</v>
      </c>
      <c r="E18" s="175"/>
    </row>
    <row r="19" spans="1:5">
      <c r="A19" s="50" t="s">
        <v>2564</v>
      </c>
      <c r="B19" s="8" t="s">
        <v>2565</v>
      </c>
      <c r="C19" s="14" t="s">
        <v>2548</v>
      </c>
      <c r="D19" s="177" t="s">
        <v>2707</v>
      </c>
      <c r="E19" s="175"/>
    </row>
    <row r="20" spans="1:5">
      <c r="A20" s="50" t="s">
        <v>2566</v>
      </c>
      <c r="B20" s="8" t="s">
        <v>2567</v>
      </c>
      <c r="C20" s="14" t="s">
        <v>2548</v>
      </c>
      <c r="D20" s="177" t="s">
        <v>2707</v>
      </c>
      <c r="E20" s="175"/>
    </row>
    <row r="21" spans="1:5">
      <c r="A21" s="50" t="s">
        <v>2568</v>
      </c>
      <c r="B21" s="8" t="s">
        <v>2569</v>
      </c>
      <c r="C21" s="14" t="s">
        <v>2548</v>
      </c>
      <c r="D21" s="177" t="s">
        <v>2708</v>
      </c>
      <c r="E21" s="175" t="s">
        <v>2570</v>
      </c>
    </row>
    <row r="22" spans="1:5">
      <c r="A22" s="50" t="s">
        <v>2571</v>
      </c>
      <c r="B22" s="8" t="s">
        <v>2572</v>
      </c>
      <c r="C22" s="14" t="s">
        <v>2548</v>
      </c>
      <c r="D22" s="177" t="s">
        <v>2573</v>
      </c>
      <c r="E22" s="175" t="s">
        <v>2574</v>
      </c>
    </row>
    <row r="23" spans="1:5">
      <c r="A23" s="50" t="s">
        <v>2575</v>
      </c>
      <c r="B23" s="8" t="s">
        <v>2576</v>
      </c>
      <c r="C23" s="14" t="s">
        <v>2548</v>
      </c>
      <c r="D23" s="177" t="s">
        <v>2709</v>
      </c>
      <c r="E23" s="175"/>
    </row>
    <row r="24" spans="1:5">
      <c r="A24" s="50" t="s">
        <v>2577</v>
      </c>
      <c r="B24" s="8" t="s">
        <v>2578</v>
      </c>
      <c r="C24" s="14" t="s">
        <v>2548</v>
      </c>
      <c r="D24" s="177" t="s">
        <v>2709</v>
      </c>
      <c r="E24" s="175"/>
    </row>
    <row r="25" spans="1:5">
      <c r="A25" s="50" t="s">
        <v>2579</v>
      </c>
      <c r="B25" s="8" t="s">
        <v>2580</v>
      </c>
      <c r="C25" s="14" t="s">
        <v>2548</v>
      </c>
      <c r="D25" s="177" t="s">
        <v>2709</v>
      </c>
      <c r="E25" s="175"/>
    </row>
    <row r="26" spans="1:5">
      <c r="A26" s="50" t="s">
        <v>2581</v>
      </c>
      <c r="B26" s="8" t="s">
        <v>2582</v>
      </c>
      <c r="C26" s="14" t="s">
        <v>2548</v>
      </c>
      <c r="D26" s="177" t="s">
        <v>2709</v>
      </c>
      <c r="E26" s="175"/>
    </row>
    <row r="27" spans="1:5">
      <c r="A27" s="50" t="s">
        <v>2583</v>
      </c>
      <c r="B27" s="8" t="s">
        <v>2584</v>
      </c>
      <c r="C27" s="14" t="s">
        <v>2548</v>
      </c>
      <c r="D27" s="177" t="s">
        <v>2709</v>
      </c>
      <c r="E27" s="175"/>
    </row>
    <row r="28" spans="1:5">
      <c r="A28" s="50" t="s">
        <v>2585</v>
      </c>
      <c r="B28" s="8" t="s">
        <v>2586</v>
      </c>
      <c r="C28" s="14" t="s">
        <v>2548</v>
      </c>
      <c r="D28" s="177" t="s">
        <v>2710</v>
      </c>
      <c r="E28" s="175" t="s">
        <v>2587</v>
      </c>
    </row>
    <row r="29" spans="1:5">
      <c r="A29" s="50" t="s">
        <v>2588</v>
      </c>
      <c r="B29" s="8" t="s">
        <v>2589</v>
      </c>
      <c r="C29" s="14" t="s">
        <v>2548</v>
      </c>
      <c r="D29" s="177" t="s">
        <v>2710</v>
      </c>
      <c r="E29" s="175"/>
    </row>
    <row r="30" spans="1:5">
      <c r="A30" s="50" t="s">
        <v>2590</v>
      </c>
      <c r="B30" s="8" t="s">
        <v>2591</v>
      </c>
      <c r="C30" s="14" t="s">
        <v>2548</v>
      </c>
      <c r="D30" s="177" t="s">
        <v>2710</v>
      </c>
      <c r="E30" s="175" t="s">
        <v>2592</v>
      </c>
    </row>
    <row r="31" spans="1:5">
      <c r="A31" s="50" t="s">
        <v>2593</v>
      </c>
      <c r="B31" s="8" t="s">
        <v>2594</v>
      </c>
      <c r="C31" s="14" t="s">
        <v>2548</v>
      </c>
      <c r="D31" s="177" t="s">
        <v>2710</v>
      </c>
      <c r="E31" s="175"/>
    </row>
    <row r="32" spans="1:5">
      <c r="A32" s="50" t="s">
        <v>2595</v>
      </c>
      <c r="B32" s="8" t="s">
        <v>2596</v>
      </c>
      <c r="C32" s="14" t="s">
        <v>2548</v>
      </c>
      <c r="D32" s="177" t="s">
        <v>2710</v>
      </c>
      <c r="E32" s="175"/>
    </row>
    <row r="33" spans="1:9">
      <c r="A33" s="283" t="s">
        <v>2597</v>
      </c>
      <c r="B33" s="284" t="s">
        <v>2598</v>
      </c>
      <c r="C33" s="285" t="s">
        <v>4847</v>
      </c>
      <c r="D33" s="286" t="s">
        <v>2710</v>
      </c>
      <c r="E33" s="287" t="s">
        <v>4848</v>
      </c>
      <c r="F33" s="235"/>
      <c r="G33" s="235"/>
      <c r="H33" s="235"/>
      <c r="I33" s="235"/>
    </row>
    <row r="34" spans="1:9">
      <c r="A34" s="283" t="s">
        <v>2599</v>
      </c>
      <c r="B34" s="284" t="s">
        <v>2600</v>
      </c>
      <c r="C34" s="285" t="s">
        <v>4847</v>
      </c>
      <c r="D34" s="286" t="s">
        <v>2710</v>
      </c>
      <c r="E34" s="287" t="s">
        <v>4849</v>
      </c>
      <c r="F34" s="235"/>
      <c r="G34" s="235"/>
      <c r="H34" s="235"/>
      <c r="I34" s="235"/>
    </row>
    <row r="35" spans="1:9">
      <c r="A35" s="50" t="s">
        <v>2601</v>
      </c>
      <c r="B35" s="8" t="s">
        <v>2602</v>
      </c>
      <c r="C35" s="14" t="s">
        <v>2548</v>
      </c>
      <c r="D35" s="177" t="s">
        <v>2710</v>
      </c>
      <c r="E35" s="175"/>
    </row>
    <row r="36" spans="1:9">
      <c r="A36" s="50" t="s">
        <v>2603</v>
      </c>
      <c r="B36" s="8" t="s">
        <v>2604</v>
      </c>
      <c r="C36" s="14" t="s">
        <v>2548</v>
      </c>
      <c r="D36" s="177" t="s">
        <v>2710</v>
      </c>
      <c r="E36" s="175"/>
    </row>
    <row r="37" spans="1:9">
      <c r="A37" s="50" t="s">
        <v>2605</v>
      </c>
      <c r="B37" s="8" t="s">
        <v>2606</v>
      </c>
      <c r="C37" s="14" t="s">
        <v>2548</v>
      </c>
      <c r="D37" s="177" t="s">
        <v>2709</v>
      </c>
      <c r="E37" s="175"/>
    </row>
    <row r="38" spans="1:9">
      <c r="A38" s="50" t="s">
        <v>2607</v>
      </c>
      <c r="B38" s="8" t="s">
        <v>2608</v>
      </c>
      <c r="C38" s="14" t="s">
        <v>2548</v>
      </c>
      <c r="D38" s="177" t="s">
        <v>2609</v>
      </c>
      <c r="E38" s="175" t="s">
        <v>2610</v>
      </c>
    </row>
    <row r="39" spans="1:9">
      <c r="A39" s="50" t="s">
        <v>2611</v>
      </c>
      <c r="B39" s="8" t="s">
        <v>2612</v>
      </c>
      <c r="C39" s="14" t="s">
        <v>2548</v>
      </c>
      <c r="D39" s="177" t="s">
        <v>2711</v>
      </c>
      <c r="E39" s="175"/>
    </row>
    <row r="40" spans="1:9">
      <c r="A40" s="50" t="s">
        <v>2613</v>
      </c>
      <c r="B40" s="8" t="s">
        <v>2614</v>
      </c>
      <c r="C40" s="14" t="s">
        <v>2548</v>
      </c>
      <c r="D40" s="177" t="s">
        <v>2711</v>
      </c>
      <c r="E40" s="175"/>
    </row>
    <row r="41" spans="1:9">
      <c r="A41" s="50" t="s">
        <v>2615</v>
      </c>
      <c r="B41" s="8" t="s">
        <v>2616</v>
      </c>
      <c r="C41" s="14" t="s">
        <v>2617</v>
      </c>
      <c r="D41" s="177" t="s">
        <v>2711</v>
      </c>
      <c r="E41" s="175" t="s">
        <v>2618</v>
      </c>
    </row>
    <row r="42" spans="1:9">
      <c r="A42" s="50" t="s">
        <v>2619</v>
      </c>
      <c r="B42" s="8" t="s">
        <v>2620</v>
      </c>
      <c r="C42" s="14" t="s">
        <v>2548</v>
      </c>
      <c r="D42" s="177" t="s">
        <v>2711</v>
      </c>
      <c r="E42" s="175"/>
    </row>
    <row r="43" spans="1:9">
      <c r="A43" s="50" t="s">
        <v>2621</v>
      </c>
      <c r="B43" s="8" t="s">
        <v>2622</v>
      </c>
      <c r="C43" s="14" t="s">
        <v>2548</v>
      </c>
      <c r="D43" s="177" t="s">
        <v>2711</v>
      </c>
      <c r="E43" s="175"/>
    </row>
    <row r="44" spans="1:9">
      <c r="A44" s="50" t="s">
        <v>2623</v>
      </c>
      <c r="B44" s="8" t="s">
        <v>2624</v>
      </c>
      <c r="C44" s="14" t="s">
        <v>2548</v>
      </c>
      <c r="D44" s="177" t="s">
        <v>2625</v>
      </c>
      <c r="E44" s="175" t="s">
        <v>2626</v>
      </c>
    </row>
    <row r="45" spans="1:9">
      <c r="A45" s="50" t="s">
        <v>2627</v>
      </c>
      <c r="B45" s="8" t="s">
        <v>2628</v>
      </c>
      <c r="C45" s="14" t="s">
        <v>2629</v>
      </c>
      <c r="D45" s="177" t="s">
        <v>2712</v>
      </c>
      <c r="E45" s="175" t="s">
        <v>2630</v>
      </c>
    </row>
    <row r="46" spans="1:9">
      <c r="A46" s="50" t="s">
        <v>2631</v>
      </c>
      <c r="B46" s="8" t="s">
        <v>2632</v>
      </c>
      <c r="C46" s="14" t="s">
        <v>2548</v>
      </c>
      <c r="D46" s="177" t="s">
        <v>2625</v>
      </c>
      <c r="E46" s="175" t="s">
        <v>2633</v>
      </c>
    </row>
    <row r="47" spans="1:9">
      <c r="A47" s="50" t="s">
        <v>2634</v>
      </c>
      <c r="B47" s="8" t="s">
        <v>2635</v>
      </c>
      <c r="C47" s="14" t="s">
        <v>2548</v>
      </c>
      <c r="D47" s="177" t="s">
        <v>2712</v>
      </c>
      <c r="E47" s="175"/>
    </row>
    <row r="48" spans="1:9">
      <c r="A48" s="50" t="s">
        <v>2636</v>
      </c>
      <c r="B48" s="8" t="s">
        <v>2637</v>
      </c>
      <c r="C48" s="14" t="s">
        <v>2548</v>
      </c>
      <c r="D48" s="177" t="s">
        <v>2712</v>
      </c>
      <c r="E48" s="175" t="s">
        <v>2638</v>
      </c>
    </row>
    <row r="49" spans="1:9">
      <c r="A49" s="50" t="s">
        <v>2639</v>
      </c>
      <c r="B49" s="8" t="s">
        <v>2640</v>
      </c>
      <c r="C49" s="14" t="s">
        <v>2548</v>
      </c>
      <c r="D49" s="177" t="s">
        <v>2712</v>
      </c>
      <c r="E49" s="175"/>
    </row>
    <row r="50" spans="1:9">
      <c r="A50" s="50" t="s">
        <v>2641</v>
      </c>
      <c r="B50" s="8" t="s">
        <v>2642</v>
      </c>
      <c r="C50" s="14" t="s">
        <v>2548</v>
      </c>
      <c r="D50" s="177" t="s">
        <v>2712</v>
      </c>
      <c r="E50" s="175"/>
    </row>
    <row r="51" spans="1:9">
      <c r="A51" s="50" t="s">
        <v>2643</v>
      </c>
      <c r="B51" s="8" t="s">
        <v>2644</v>
      </c>
      <c r="C51" s="14" t="s">
        <v>2548</v>
      </c>
      <c r="D51" s="177" t="s">
        <v>2712</v>
      </c>
      <c r="E51" s="175"/>
    </row>
    <row r="52" spans="1:9">
      <c r="A52" s="50" t="s">
        <v>2645</v>
      </c>
      <c r="B52" s="8" t="s">
        <v>2646</v>
      </c>
      <c r="C52" s="14" t="s">
        <v>2548</v>
      </c>
      <c r="D52" s="177" t="s">
        <v>2712</v>
      </c>
      <c r="E52" s="175"/>
    </row>
    <row r="53" spans="1:9">
      <c r="A53" s="50" t="s">
        <v>2647</v>
      </c>
      <c r="B53" s="8" t="s">
        <v>2648</v>
      </c>
      <c r="C53" s="14" t="s">
        <v>2548</v>
      </c>
      <c r="D53" s="177" t="s">
        <v>2712</v>
      </c>
      <c r="E53" s="175"/>
    </row>
    <row r="54" spans="1:9">
      <c r="A54" s="50" t="s">
        <v>2649</v>
      </c>
      <c r="B54" s="8" t="s">
        <v>2650</v>
      </c>
      <c r="C54" s="14" t="s">
        <v>2548</v>
      </c>
      <c r="D54" s="177" t="s">
        <v>2712</v>
      </c>
      <c r="E54" s="175"/>
    </row>
    <row r="55" spans="1:9">
      <c r="A55" s="50" t="s">
        <v>2651</v>
      </c>
      <c r="B55" s="8" t="s">
        <v>2652</v>
      </c>
      <c r="C55" s="14" t="s">
        <v>2548</v>
      </c>
      <c r="D55" s="177" t="s">
        <v>2712</v>
      </c>
      <c r="E55" s="175"/>
    </row>
    <row r="56" spans="1:9">
      <c r="A56" s="50" t="s">
        <v>2653</v>
      </c>
      <c r="B56" s="8" t="s">
        <v>2654</v>
      </c>
      <c r="C56" s="14" t="s">
        <v>2548</v>
      </c>
      <c r="D56" s="177" t="s">
        <v>2625</v>
      </c>
      <c r="E56" s="175" t="s">
        <v>2655</v>
      </c>
    </row>
    <row r="57" spans="1:9">
      <c r="A57" s="288" t="s">
        <v>2656</v>
      </c>
      <c r="B57" s="276" t="s">
        <v>2657</v>
      </c>
      <c r="C57" s="279" t="s">
        <v>2617</v>
      </c>
      <c r="D57" s="289" t="s">
        <v>2712</v>
      </c>
      <c r="E57" s="290" t="s">
        <v>4850</v>
      </c>
      <c r="F57" s="228"/>
      <c r="G57" s="228"/>
      <c r="H57" s="228"/>
      <c r="I57" s="228"/>
    </row>
    <row r="58" spans="1:9">
      <c r="A58" s="50" t="s">
        <v>2658</v>
      </c>
      <c r="B58" s="8" t="s">
        <v>2659</v>
      </c>
      <c r="C58" s="14" t="s">
        <v>2548</v>
      </c>
      <c r="D58" s="177" t="s">
        <v>2712</v>
      </c>
      <c r="E58" s="175"/>
    </row>
    <row r="59" spans="1:9">
      <c r="A59" s="50" t="s">
        <v>2660</v>
      </c>
      <c r="B59" s="8" t="s">
        <v>2661</v>
      </c>
      <c r="C59" s="14" t="s">
        <v>2548</v>
      </c>
      <c r="D59" s="177" t="s">
        <v>2713</v>
      </c>
      <c r="E59" s="175" t="s">
        <v>2662</v>
      </c>
    </row>
    <row r="60" spans="1:9">
      <c r="A60" s="50" t="s">
        <v>2663</v>
      </c>
      <c r="B60" s="8" t="s">
        <v>2664</v>
      </c>
      <c r="C60" s="14" t="s">
        <v>2665</v>
      </c>
      <c r="D60" s="177" t="s">
        <v>2714</v>
      </c>
      <c r="E60" s="175" t="s">
        <v>2666</v>
      </c>
    </row>
    <row r="61" spans="1:9">
      <c r="A61" s="50" t="s">
        <v>2667</v>
      </c>
      <c r="B61" s="8" t="s">
        <v>2668</v>
      </c>
      <c r="C61" s="14" t="s">
        <v>2669</v>
      </c>
      <c r="D61" s="177" t="s">
        <v>2670</v>
      </c>
      <c r="E61" s="175" t="s">
        <v>2671</v>
      </c>
    </row>
    <row r="62" spans="1:9">
      <c r="A62" s="50" t="s">
        <v>2672</v>
      </c>
      <c r="B62" s="8" t="s">
        <v>2673</v>
      </c>
      <c r="C62" s="14" t="s">
        <v>2548</v>
      </c>
      <c r="D62" s="177" t="s">
        <v>2715</v>
      </c>
      <c r="E62" s="175" t="s">
        <v>2674</v>
      </c>
    </row>
    <row r="63" spans="1:9">
      <c r="A63" s="50" t="s">
        <v>2675</v>
      </c>
      <c r="B63" s="8" t="s">
        <v>2676</v>
      </c>
      <c r="C63" s="14" t="s">
        <v>2537</v>
      </c>
      <c r="D63" s="177" t="s">
        <v>2716</v>
      </c>
      <c r="E63" s="175" t="s">
        <v>2677</v>
      </c>
    </row>
    <row r="64" spans="1:9">
      <c r="A64" s="50" t="s">
        <v>2678</v>
      </c>
      <c r="B64" s="8" t="s">
        <v>2679</v>
      </c>
      <c r="C64" s="14" t="s">
        <v>2548</v>
      </c>
      <c r="D64" s="177" t="s">
        <v>2715</v>
      </c>
      <c r="E64" s="175" t="s">
        <v>2680</v>
      </c>
    </row>
    <row r="65" spans="1:5">
      <c r="A65" s="50" t="s">
        <v>2681</v>
      </c>
      <c r="B65" s="8" t="s">
        <v>2682</v>
      </c>
      <c r="C65" s="14" t="s">
        <v>2548</v>
      </c>
      <c r="D65" s="177" t="s">
        <v>2717</v>
      </c>
      <c r="E65" s="175" t="s">
        <v>2683</v>
      </c>
    </row>
    <row r="66" spans="1:5">
      <c r="A66" s="50" t="s">
        <v>2684</v>
      </c>
      <c r="B66" s="8" t="s">
        <v>2685</v>
      </c>
      <c r="C66" s="14" t="s">
        <v>2537</v>
      </c>
      <c r="D66" s="177" t="s">
        <v>2686</v>
      </c>
      <c r="E66" s="175" t="s">
        <v>2687</v>
      </c>
    </row>
    <row r="67" spans="1:5">
      <c r="A67" s="50" t="s">
        <v>2688</v>
      </c>
      <c r="B67" s="8" t="s">
        <v>2689</v>
      </c>
      <c r="C67" s="14" t="s">
        <v>2548</v>
      </c>
      <c r="D67" s="177" t="s">
        <v>2690</v>
      </c>
      <c r="E67" s="175" t="s">
        <v>2691</v>
      </c>
    </row>
    <row r="68" spans="1:5">
      <c r="A68" s="50" t="s">
        <v>2692</v>
      </c>
      <c r="B68" s="8" t="s">
        <v>2693</v>
      </c>
      <c r="C68" s="14" t="s">
        <v>2548</v>
      </c>
      <c r="D68" s="177" t="s">
        <v>2718</v>
      </c>
      <c r="E68" s="175" t="s">
        <v>2694</v>
      </c>
    </row>
    <row r="69" spans="1:5">
      <c r="A69" s="50" t="s">
        <v>2501</v>
      </c>
      <c r="B69" s="8" t="s">
        <v>2695</v>
      </c>
      <c r="C69" s="14" t="s">
        <v>2548</v>
      </c>
      <c r="D69" s="177" t="s">
        <v>2719</v>
      </c>
      <c r="E69" s="175" t="s">
        <v>2696</v>
      </c>
    </row>
    <row r="70" spans="1:5">
      <c r="A70" s="50" t="s">
        <v>1436</v>
      </c>
      <c r="B70" s="8" t="s">
        <v>1463</v>
      </c>
      <c r="C70" s="14" t="s">
        <v>2548</v>
      </c>
      <c r="D70" s="177" t="s">
        <v>2720</v>
      </c>
      <c r="E70" s="175" t="s">
        <v>2697</v>
      </c>
    </row>
    <row r="71" spans="1:5">
      <c r="A71" s="50" t="s">
        <v>1437</v>
      </c>
      <c r="B71" s="8" t="s">
        <v>1438</v>
      </c>
      <c r="C71" s="14" t="s">
        <v>2548</v>
      </c>
      <c r="D71" s="177" t="s">
        <v>2720</v>
      </c>
      <c r="E71" s="175" t="s">
        <v>2698</v>
      </c>
    </row>
    <row r="72" spans="1:5">
      <c r="A72" s="51" t="s">
        <v>1439</v>
      </c>
      <c r="B72" s="10" t="s">
        <v>1440</v>
      </c>
      <c r="C72" s="15" t="s">
        <v>2548</v>
      </c>
      <c r="D72" s="178" t="s">
        <v>2720</v>
      </c>
      <c r="E72" s="176" t="s">
        <v>2699</v>
      </c>
    </row>
  </sheetData>
  <autoFilter ref="A5:E72" xr:uid="{A4DEADF9-EFAE-A14D-BC4F-3F04ADDCB1E4}"/>
  <phoneticPr fontId="3"/>
  <conditionalFormatting sqref="A6:E72">
    <cfRule type="expression" dxfId="63" priority="1">
      <formula>$C6="Accepted"</formula>
    </cfRule>
  </conditionalFormatting>
  <conditionalFormatting sqref="A6:E72">
    <cfRule type="expression" dxfId="62" priority="2">
      <formula>$C6="Accepted (Phase 1)"</formula>
    </cfRule>
  </conditionalFormatting>
  <conditionalFormatting sqref="A6:E72">
    <cfRule type="expression" dxfId="61" priority="3">
      <formula>$C6="Accepted（条件付き）"</formula>
    </cfRule>
  </conditionalFormatting>
  <conditionalFormatting sqref="A6:E72">
    <cfRule type="expression" dxfId="60" priority="4">
      <formula>$C6="Scope Reduced"</formula>
    </cfRule>
  </conditionalFormatting>
  <conditionalFormatting sqref="A6:E72">
    <cfRule type="expression" dxfId="59" priority="5">
      <formula>$C6="Out of Scope"</formula>
    </cfRule>
  </conditionalFormatting>
  <conditionalFormatting sqref="A6:E72">
    <cfRule type="expression" dxfId="58"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AB456"/>
  <sheetViews>
    <sheetView tabSelected="1" topLeftCell="I1" zoomScaleNormal="100" workbookViewId="0">
      <pane ySplit="6" topLeftCell="A223" activePane="bottomLeft" state="frozen"/>
      <selection activeCell="C1" sqref="C1"/>
      <selection pane="bottomLeft" activeCell="O241" sqref="O241"/>
    </sheetView>
  </sheetViews>
  <sheetFormatPr baseColWidth="10" defaultRowHeight="22" customHeight="1"/>
  <cols>
    <col min="1" max="1" width="12.5703125" style="117" customWidth="1"/>
    <col min="2" max="2" width="21.42578125" style="117" customWidth="1"/>
    <col min="3" max="3" width="24.28515625" style="117" customWidth="1"/>
    <col min="4" max="4" width="21.42578125" style="117" customWidth="1"/>
    <col min="5" max="5" width="35.7109375" style="117" customWidth="1"/>
    <col min="6" max="7" width="48.5703125" style="117" customWidth="1"/>
    <col min="8" max="8" width="7.42578125" style="117" customWidth="1"/>
    <col min="9" max="10" width="28.5703125" style="117" customWidth="1"/>
    <col min="11" max="11" width="17.140625" style="117" customWidth="1"/>
    <col min="12" max="12" width="20" style="117" customWidth="1"/>
    <col min="13" max="13" width="45.7109375" style="117" customWidth="1"/>
    <col min="14" max="14" width="30" style="117" customWidth="1"/>
    <col min="15" max="15" width="21.42578125" style="117" customWidth="1"/>
    <col min="16" max="16" width="24.28515625" style="117" customWidth="1"/>
    <col min="17" max="17" width="15.7109375" style="117" customWidth="1"/>
    <col min="18" max="18" width="10" style="117" customWidth="1"/>
    <col min="19" max="19" width="28.5703125" style="117" customWidth="1"/>
    <col min="20" max="20" width="21.42578125" style="117" customWidth="1"/>
    <col min="21" max="21" width="10" style="117" customWidth="1"/>
    <col min="22" max="22" width="15.7109375" style="117" customWidth="1"/>
    <col min="23" max="23" width="10" style="117" customWidth="1"/>
    <col min="24" max="24" width="14.28515625" style="117" customWidth="1"/>
    <col min="25" max="25" width="12.85546875" style="117" customWidth="1"/>
    <col min="26" max="26" width="28.5703125" style="117" customWidth="1"/>
    <col min="27" max="27" width="24.28515625" style="117" customWidth="1"/>
    <col min="28" max="16384" width="10.7109375" style="117"/>
  </cols>
  <sheetData>
    <row r="1" spans="1:20" ht="22" customHeight="1">
      <c r="A1" s="85" t="s">
        <v>8714</v>
      </c>
      <c r="B1" s="34"/>
      <c r="C1" s="34"/>
      <c r="D1" s="34"/>
      <c r="E1" s="34"/>
      <c r="F1" s="34"/>
      <c r="G1" s="34"/>
      <c r="H1" s="34"/>
      <c r="I1" s="34"/>
      <c r="J1" s="34"/>
      <c r="K1" s="34"/>
      <c r="L1" s="34"/>
      <c r="M1" s="34"/>
      <c r="N1" s="34"/>
      <c r="O1" s="34"/>
      <c r="P1" s="34"/>
      <c r="Q1" s="34"/>
      <c r="R1" s="34"/>
      <c r="S1" s="34"/>
      <c r="T1" s="34"/>
    </row>
    <row r="2" spans="1:20" ht="22" customHeight="1">
      <c r="A2" s="453" t="s">
        <v>8710</v>
      </c>
      <c r="B2" s="34"/>
      <c r="C2" s="34"/>
      <c r="D2" s="34"/>
      <c r="E2" s="34"/>
      <c r="F2" s="34"/>
      <c r="G2" s="34"/>
      <c r="H2" s="34"/>
      <c r="I2" s="34"/>
      <c r="J2" s="34"/>
      <c r="K2" s="34"/>
      <c r="L2" s="34"/>
      <c r="M2" s="34"/>
      <c r="N2" s="34"/>
      <c r="O2" s="34"/>
      <c r="P2" s="34"/>
      <c r="Q2" s="34"/>
      <c r="R2" s="34"/>
      <c r="S2" s="34"/>
      <c r="T2" s="34"/>
    </row>
    <row r="3" spans="1:20" ht="22" customHeight="1">
      <c r="A3" s="440" t="s">
        <v>8715</v>
      </c>
      <c r="B3" s="34"/>
      <c r="C3" s="34"/>
      <c r="D3" s="34"/>
      <c r="E3" s="34"/>
      <c r="F3" s="34"/>
      <c r="G3" s="34"/>
      <c r="H3" s="34"/>
      <c r="I3" s="34"/>
      <c r="J3" s="34"/>
      <c r="K3" s="34"/>
      <c r="L3" s="34"/>
      <c r="M3" s="34"/>
      <c r="N3" s="34"/>
      <c r="O3" s="34"/>
      <c r="P3" s="34"/>
      <c r="Q3" s="34"/>
      <c r="R3" s="34"/>
      <c r="S3" s="34"/>
      <c r="T3" s="34"/>
    </row>
    <row r="4" spans="1:20" ht="22" customHeight="1">
      <c r="A4" s="441" t="s">
        <v>8716</v>
      </c>
      <c r="B4" s="34"/>
      <c r="C4" s="34"/>
      <c r="D4" s="34"/>
      <c r="E4" s="34"/>
      <c r="F4" s="34"/>
      <c r="G4" s="34"/>
      <c r="H4" s="34"/>
      <c r="I4" s="34"/>
      <c r="J4" s="34"/>
      <c r="K4" s="34"/>
      <c r="L4" s="34"/>
      <c r="M4" s="34"/>
      <c r="N4" s="34"/>
      <c r="O4" s="34"/>
      <c r="P4" s="34"/>
      <c r="Q4" s="34"/>
      <c r="R4" s="34"/>
      <c r="S4" s="34"/>
      <c r="T4" s="34"/>
    </row>
    <row r="5" spans="1:20" ht="22" customHeight="1">
      <c r="A5" s="442" t="s">
        <v>8711</v>
      </c>
      <c r="B5" s="34"/>
      <c r="C5" s="34"/>
      <c r="D5" s="34"/>
      <c r="E5" s="34"/>
      <c r="F5" s="34"/>
      <c r="G5" s="34"/>
      <c r="H5" s="34"/>
      <c r="I5" s="34"/>
      <c r="J5" s="34"/>
      <c r="K5" s="34"/>
      <c r="L5" s="34"/>
      <c r="M5" s="34"/>
      <c r="N5" s="34"/>
      <c r="O5" s="34"/>
      <c r="P5" s="34"/>
      <c r="Q5" s="34"/>
      <c r="R5" s="34"/>
      <c r="S5" s="34"/>
      <c r="T5" s="34"/>
    </row>
    <row r="6" spans="1:20" ht="22" customHeight="1">
      <c r="A6" s="431" t="s">
        <v>3483</v>
      </c>
      <c r="B6" s="431" t="s">
        <v>8019</v>
      </c>
      <c r="C6" s="431" t="s">
        <v>8702</v>
      </c>
      <c r="D6" s="431" t="s">
        <v>8632</v>
      </c>
      <c r="E6" s="431" t="s">
        <v>8020</v>
      </c>
      <c r="F6" s="431" t="s">
        <v>7389</v>
      </c>
      <c r="G6" s="431" t="s">
        <v>7390</v>
      </c>
      <c r="H6" s="431" t="s">
        <v>3578</v>
      </c>
      <c r="I6" s="431" t="s">
        <v>7814</v>
      </c>
      <c r="J6" s="431" t="s">
        <v>7287</v>
      </c>
      <c r="K6" s="431" t="s">
        <v>8276</v>
      </c>
      <c r="L6" s="431" t="s">
        <v>8291</v>
      </c>
      <c r="M6" s="431" t="s">
        <v>8309</v>
      </c>
      <c r="N6" s="431" t="s">
        <v>2742</v>
      </c>
      <c r="O6" s="431" t="s">
        <v>8664</v>
      </c>
      <c r="P6" s="431" t="s">
        <v>8709</v>
      </c>
      <c r="Q6" s="431" t="s">
        <v>7391</v>
      </c>
      <c r="R6" s="431" t="s">
        <v>2444</v>
      </c>
      <c r="S6" s="431" t="s">
        <v>1550</v>
      </c>
      <c r="T6" s="431" t="s">
        <v>6532</v>
      </c>
    </row>
    <row r="7" spans="1:20" ht="22" customHeight="1">
      <c r="A7" s="432" t="s">
        <v>5304</v>
      </c>
      <c r="B7" s="432" t="s">
        <v>7629</v>
      </c>
      <c r="C7" s="451" t="s">
        <v>8703</v>
      </c>
      <c r="D7" s="432"/>
      <c r="E7" s="433" t="s">
        <v>7495</v>
      </c>
      <c r="F7" s="433" t="s">
        <v>7630</v>
      </c>
      <c r="G7" s="433" t="s">
        <v>7631</v>
      </c>
      <c r="H7" s="434">
        <v>2</v>
      </c>
      <c r="I7" s="433" t="s">
        <v>2740</v>
      </c>
      <c r="J7" s="433" t="s">
        <v>7290</v>
      </c>
      <c r="K7" s="438" t="s">
        <v>8277</v>
      </c>
      <c r="L7" s="439" t="s">
        <v>8307</v>
      </c>
      <c r="M7" s="448" t="s">
        <v>8315</v>
      </c>
      <c r="N7" s="448" t="s">
        <v>8588</v>
      </c>
      <c r="O7" s="439" t="s">
        <v>8666</v>
      </c>
      <c r="P7" s="439" t="s">
        <v>8671</v>
      </c>
      <c r="Q7" s="432" t="s">
        <v>2234</v>
      </c>
      <c r="R7" s="432" t="s">
        <v>4</v>
      </c>
      <c r="S7" s="432"/>
      <c r="T7" s="432" t="s">
        <v>2740</v>
      </c>
    </row>
    <row r="8" spans="1:20" ht="22" customHeight="1">
      <c r="A8" s="432" t="s">
        <v>5305</v>
      </c>
      <c r="B8" s="432" t="s">
        <v>7632</v>
      </c>
      <c r="C8" s="451" t="s">
        <v>8703</v>
      </c>
      <c r="D8" s="432"/>
      <c r="E8" s="433" t="s">
        <v>7633</v>
      </c>
      <c r="F8" s="433" t="s">
        <v>7634</v>
      </c>
      <c r="G8" s="433" t="s">
        <v>7635</v>
      </c>
      <c r="H8" s="434">
        <v>2</v>
      </c>
      <c r="I8" s="433" t="s">
        <v>2740</v>
      </c>
      <c r="J8" s="433" t="s">
        <v>7636</v>
      </c>
      <c r="K8" s="438" t="s">
        <v>8277</v>
      </c>
      <c r="L8" s="439" t="s">
        <v>8307</v>
      </c>
      <c r="M8" s="448" t="s">
        <v>8315</v>
      </c>
      <c r="N8" s="448" t="s">
        <v>8712</v>
      </c>
      <c r="O8" s="439" t="s">
        <v>8666</v>
      </c>
      <c r="P8" s="439" t="s">
        <v>8671</v>
      </c>
      <c r="Q8" s="432" t="s">
        <v>2234</v>
      </c>
      <c r="R8" s="432" t="s">
        <v>4</v>
      </c>
      <c r="S8" s="432"/>
      <c r="T8" s="432" t="s">
        <v>2740</v>
      </c>
    </row>
    <row r="9" spans="1:20" ht="22" customHeight="1">
      <c r="A9" s="432" t="s">
        <v>5306</v>
      </c>
      <c r="B9" s="432" t="s">
        <v>7632</v>
      </c>
      <c r="C9" s="451" t="s">
        <v>8703</v>
      </c>
      <c r="D9" s="432"/>
      <c r="E9" s="433" t="s">
        <v>7637</v>
      </c>
      <c r="F9" s="433" t="s">
        <v>7638</v>
      </c>
      <c r="G9" s="433" t="s">
        <v>7639</v>
      </c>
      <c r="H9" s="434">
        <v>3</v>
      </c>
      <c r="I9" s="433" t="s">
        <v>7950</v>
      </c>
      <c r="J9" s="433" t="s">
        <v>7951</v>
      </c>
      <c r="K9" s="438" t="s">
        <v>8277</v>
      </c>
      <c r="L9" s="439" t="s">
        <v>8293</v>
      </c>
      <c r="M9" s="448" t="s">
        <v>8327</v>
      </c>
      <c r="N9" s="448" t="s">
        <v>8588</v>
      </c>
      <c r="O9" s="439" t="s">
        <v>8668</v>
      </c>
      <c r="P9" s="439" t="s">
        <v>8672</v>
      </c>
      <c r="Q9" s="432" t="s">
        <v>2234</v>
      </c>
      <c r="R9" s="432" t="s">
        <v>4</v>
      </c>
      <c r="S9" s="432"/>
      <c r="T9" s="432" t="s">
        <v>7949</v>
      </c>
    </row>
    <row r="10" spans="1:20" ht="22" customHeight="1">
      <c r="A10" s="432" t="s">
        <v>5307</v>
      </c>
      <c r="B10" s="432" t="s">
        <v>7632</v>
      </c>
      <c r="C10" s="451" t="s">
        <v>8703</v>
      </c>
      <c r="D10" s="432"/>
      <c r="E10" s="433" t="s">
        <v>7640</v>
      </c>
      <c r="F10" s="433" t="s">
        <v>7641</v>
      </c>
      <c r="G10" s="433" t="s">
        <v>7642</v>
      </c>
      <c r="H10" s="434">
        <v>2</v>
      </c>
      <c r="I10" s="433" t="s">
        <v>2740</v>
      </c>
      <c r="J10" s="433" t="s">
        <v>7636</v>
      </c>
      <c r="K10" s="438" t="s">
        <v>8277</v>
      </c>
      <c r="L10" s="439" t="s">
        <v>8307</v>
      </c>
      <c r="M10" s="448" t="s">
        <v>8315</v>
      </c>
      <c r="N10" s="448" t="s">
        <v>8588</v>
      </c>
      <c r="O10" s="439" t="s">
        <v>8666</v>
      </c>
      <c r="P10" s="439" t="s">
        <v>8671</v>
      </c>
      <c r="Q10" s="432" t="s">
        <v>2234</v>
      </c>
      <c r="R10" s="432" t="s">
        <v>4</v>
      </c>
      <c r="S10" s="432"/>
      <c r="T10" s="432" t="s">
        <v>2740</v>
      </c>
    </row>
    <row r="11" spans="1:20" ht="22" customHeight="1">
      <c r="A11" s="432" t="s">
        <v>5308</v>
      </c>
      <c r="B11" s="432" t="s">
        <v>7632</v>
      </c>
      <c r="C11" s="451" t="s">
        <v>8703</v>
      </c>
      <c r="D11" s="432"/>
      <c r="E11" s="433" t="s">
        <v>7643</v>
      </c>
      <c r="F11" s="433" t="s">
        <v>7644</v>
      </c>
      <c r="G11" s="433" t="s">
        <v>7645</v>
      </c>
      <c r="H11" s="434">
        <v>1</v>
      </c>
      <c r="I11" s="433" t="s">
        <v>2740</v>
      </c>
      <c r="J11" s="433" t="s">
        <v>7646</v>
      </c>
      <c r="K11" s="438" t="s">
        <v>8277</v>
      </c>
      <c r="L11" s="439" t="s">
        <v>8307</v>
      </c>
      <c r="M11" s="448" t="s">
        <v>8315</v>
      </c>
      <c r="N11" s="448" t="s">
        <v>8588</v>
      </c>
      <c r="O11" s="439" t="s">
        <v>8666</v>
      </c>
      <c r="P11" s="439" t="s">
        <v>8671</v>
      </c>
      <c r="Q11" s="432" t="s">
        <v>2234</v>
      </c>
      <c r="R11" s="432" t="s">
        <v>4</v>
      </c>
      <c r="S11" s="432"/>
      <c r="T11" s="432" t="s">
        <v>2740</v>
      </c>
    </row>
    <row r="12" spans="1:20" ht="22" customHeight="1">
      <c r="A12" s="432" t="s">
        <v>5309</v>
      </c>
      <c r="B12" s="432" t="s">
        <v>7647</v>
      </c>
      <c r="C12" s="451" t="s">
        <v>8703</v>
      </c>
      <c r="D12" s="432"/>
      <c r="E12" s="433" t="s">
        <v>7648</v>
      </c>
      <c r="F12" s="433" t="s">
        <v>7649</v>
      </c>
      <c r="G12" s="433" t="s">
        <v>7650</v>
      </c>
      <c r="H12" s="434">
        <v>5</v>
      </c>
      <c r="I12" s="433" t="s">
        <v>7826</v>
      </c>
      <c r="J12" s="433" t="s">
        <v>7325</v>
      </c>
      <c r="K12" s="438" t="s">
        <v>8277</v>
      </c>
      <c r="L12" s="439" t="s">
        <v>8295</v>
      </c>
      <c r="M12" s="448" t="s">
        <v>8332</v>
      </c>
      <c r="N12" s="448" t="s">
        <v>8588</v>
      </c>
      <c r="O12" s="439" t="s">
        <v>8669</v>
      </c>
      <c r="P12" s="439" t="s">
        <v>8672</v>
      </c>
      <c r="Q12" s="432" t="s">
        <v>2234</v>
      </c>
      <c r="R12" s="432" t="s">
        <v>4</v>
      </c>
      <c r="S12" s="432"/>
      <c r="T12" s="432" t="s">
        <v>6341</v>
      </c>
    </row>
    <row r="13" spans="1:20" ht="22" customHeight="1">
      <c r="A13" s="432" t="s">
        <v>5310</v>
      </c>
      <c r="B13" s="432" t="s">
        <v>7647</v>
      </c>
      <c r="C13" s="451" t="s">
        <v>8703</v>
      </c>
      <c r="D13" s="432"/>
      <c r="E13" s="433" t="s">
        <v>7652</v>
      </c>
      <c r="F13" s="433" t="s">
        <v>7653</v>
      </c>
      <c r="G13" s="433" t="s">
        <v>7654</v>
      </c>
      <c r="H13" s="434">
        <v>3</v>
      </c>
      <c r="I13" s="433" t="s">
        <v>7826</v>
      </c>
      <c r="J13" s="433" t="s">
        <v>7325</v>
      </c>
      <c r="K13" s="438" t="s">
        <v>8277</v>
      </c>
      <c r="L13" s="439" t="s">
        <v>8295</v>
      </c>
      <c r="M13" s="448" t="s">
        <v>8332</v>
      </c>
      <c r="N13" s="448" t="s">
        <v>8588</v>
      </c>
      <c r="O13" s="439" t="s">
        <v>8669</v>
      </c>
      <c r="P13" s="439" t="s">
        <v>8672</v>
      </c>
      <c r="Q13" s="432" t="s">
        <v>2234</v>
      </c>
      <c r="R13" s="432" t="s">
        <v>4</v>
      </c>
      <c r="S13" s="432"/>
      <c r="T13" s="432" t="s">
        <v>6341</v>
      </c>
    </row>
    <row r="14" spans="1:20" ht="22" customHeight="1">
      <c r="A14" s="432" t="s">
        <v>5311</v>
      </c>
      <c r="B14" s="432" t="s">
        <v>7647</v>
      </c>
      <c r="C14" s="451" t="s">
        <v>8703</v>
      </c>
      <c r="D14" s="432"/>
      <c r="E14" s="433" t="s">
        <v>7655</v>
      </c>
      <c r="F14" s="433" t="s">
        <v>7656</v>
      </c>
      <c r="G14" s="433" t="s">
        <v>7657</v>
      </c>
      <c r="H14" s="434">
        <v>1</v>
      </c>
      <c r="I14" s="433" t="s">
        <v>7828</v>
      </c>
      <c r="J14" s="433" t="s">
        <v>7332</v>
      </c>
      <c r="K14" s="438" t="s">
        <v>8277</v>
      </c>
      <c r="L14" s="439" t="s">
        <v>8296</v>
      </c>
      <c r="M14" s="448" t="s">
        <v>8311</v>
      </c>
      <c r="N14" s="448" t="s">
        <v>8588</v>
      </c>
      <c r="O14" s="439" t="s">
        <v>8669</v>
      </c>
      <c r="P14" s="439" t="s">
        <v>8672</v>
      </c>
      <c r="Q14" s="432" t="s">
        <v>2234</v>
      </c>
      <c r="R14" s="432" t="s">
        <v>4</v>
      </c>
      <c r="S14" s="432"/>
      <c r="T14" s="432" t="s">
        <v>6360</v>
      </c>
    </row>
    <row r="15" spans="1:20" ht="22" customHeight="1">
      <c r="A15" s="432" t="s">
        <v>5313</v>
      </c>
      <c r="B15" s="432" t="s">
        <v>7658</v>
      </c>
      <c r="C15" s="451" t="s">
        <v>8703</v>
      </c>
      <c r="D15" s="432"/>
      <c r="E15" s="433" t="s">
        <v>7659</v>
      </c>
      <c r="F15" s="433" t="s">
        <v>7660</v>
      </c>
      <c r="G15" s="433" t="s">
        <v>7661</v>
      </c>
      <c r="H15" s="434">
        <v>3</v>
      </c>
      <c r="I15" s="433" t="s">
        <v>7817</v>
      </c>
      <c r="J15" s="433" t="s">
        <v>7298</v>
      </c>
      <c r="K15" s="438" t="s">
        <v>8277</v>
      </c>
      <c r="L15" s="439" t="s">
        <v>8292</v>
      </c>
      <c r="M15" s="448" t="s">
        <v>8318</v>
      </c>
      <c r="N15" s="448" t="s">
        <v>8588</v>
      </c>
      <c r="O15" s="439" t="s">
        <v>8668</v>
      </c>
      <c r="P15" s="439" t="s">
        <v>8671</v>
      </c>
      <c r="Q15" s="432" t="s">
        <v>7709</v>
      </c>
      <c r="R15" s="432" t="s">
        <v>4</v>
      </c>
      <c r="S15" s="432" t="s">
        <v>7710</v>
      </c>
      <c r="T15" s="432" t="s">
        <v>6283</v>
      </c>
    </row>
    <row r="16" spans="1:20" ht="22" customHeight="1">
      <c r="A16" s="432" t="s">
        <v>5314</v>
      </c>
      <c r="B16" s="432" t="s">
        <v>7658</v>
      </c>
      <c r="C16" s="451" t="s">
        <v>8703</v>
      </c>
      <c r="D16" s="432"/>
      <c r="E16" s="433" t="s">
        <v>7662</v>
      </c>
      <c r="F16" s="433" t="s">
        <v>7663</v>
      </c>
      <c r="G16" s="433" t="s">
        <v>7664</v>
      </c>
      <c r="H16" s="434">
        <v>2</v>
      </c>
      <c r="I16" s="433" t="s">
        <v>7817</v>
      </c>
      <c r="J16" s="433" t="s">
        <v>7298</v>
      </c>
      <c r="K16" s="438" t="s">
        <v>8277</v>
      </c>
      <c r="L16" s="439" t="s">
        <v>8292</v>
      </c>
      <c r="M16" s="448" t="s">
        <v>8318</v>
      </c>
      <c r="N16" s="448" t="s">
        <v>8588</v>
      </c>
      <c r="O16" s="439" t="s">
        <v>8668</v>
      </c>
      <c r="P16" s="439" t="s">
        <v>8671</v>
      </c>
      <c r="Q16" s="432" t="s">
        <v>7709</v>
      </c>
      <c r="R16" s="432" t="s">
        <v>4</v>
      </c>
      <c r="S16" s="432"/>
      <c r="T16" s="432" t="s">
        <v>6283</v>
      </c>
    </row>
    <row r="17" spans="1:20" ht="22" customHeight="1">
      <c r="A17" s="432" t="s">
        <v>5315</v>
      </c>
      <c r="B17" s="432" t="s">
        <v>7658</v>
      </c>
      <c r="C17" s="451" t="s">
        <v>8703</v>
      </c>
      <c r="D17" s="432"/>
      <c r="E17" s="433" t="s">
        <v>7665</v>
      </c>
      <c r="F17" s="433" t="s">
        <v>7666</v>
      </c>
      <c r="G17" s="433" t="s">
        <v>7667</v>
      </c>
      <c r="H17" s="434">
        <v>2</v>
      </c>
      <c r="I17" s="433" t="s">
        <v>7817</v>
      </c>
      <c r="J17" s="433" t="s">
        <v>7953</v>
      </c>
      <c r="K17" s="438" t="s">
        <v>8277</v>
      </c>
      <c r="L17" s="439" t="s">
        <v>8292</v>
      </c>
      <c r="M17" s="448" t="s">
        <v>8318</v>
      </c>
      <c r="N17" s="448" t="s">
        <v>8588</v>
      </c>
      <c r="O17" s="439" t="s">
        <v>8668</v>
      </c>
      <c r="P17" s="439" t="s">
        <v>8671</v>
      </c>
      <c r="Q17" s="432" t="s">
        <v>7709</v>
      </c>
      <c r="R17" s="432" t="s">
        <v>4</v>
      </c>
      <c r="S17" s="432"/>
      <c r="T17" s="432" t="s">
        <v>7952</v>
      </c>
    </row>
    <row r="18" spans="1:20" ht="22" customHeight="1">
      <c r="A18" s="432" t="s">
        <v>5316</v>
      </c>
      <c r="B18" s="432" t="s">
        <v>7658</v>
      </c>
      <c r="C18" s="451" t="s">
        <v>8703</v>
      </c>
      <c r="D18" s="432"/>
      <c r="E18" s="433" t="s">
        <v>7668</v>
      </c>
      <c r="F18" s="433" t="s">
        <v>7669</v>
      </c>
      <c r="G18" s="433" t="s">
        <v>7670</v>
      </c>
      <c r="H18" s="434">
        <v>1</v>
      </c>
      <c r="I18" s="433" t="s">
        <v>7817</v>
      </c>
      <c r="J18" s="433" t="s">
        <v>7298</v>
      </c>
      <c r="K18" s="438" t="s">
        <v>8277</v>
      </c>
      <c r="L18" s="439" t="s">
        <v>8292</v>
      </c>
      <c r="M18" s="448" t="s">
        <v>8318</v>
      </c>
      <c r="N18" s="448" t="s">
        <v>8588</v>
      </c>
      <c r="O18" s="439" t="s">
        <v>8668</v>
      </c>
      <c r="P18" s="439" t="s">
        <v>8671</v>
      </c>
      <c r="Q18" s="432" t="s">
        <v>7709</v>
      </c>
      <c r="R18" s="432" t="s">
        <v>4</v>
      </c>
      <c r="S18" s="432"/>
      <c r="T18" s="432" t="s">
        <v>6283</v>
      </c>
    </row>
    <row r="19" spans="1:20" ht="22" customHeight="1">
      <c r="A19" s="432" t="s">
        <v>5317</v>
      </c>
      <c r="B19" s="432" t="s">
        <v>7671</v>
      </c>
      <c r="C19" s="451" t="s">
        <v>8703</v>
      </c>
      <c r="D19" s="432"/>
      <c r="E19" s="433" t="s">
        <v>7672</v>
      </c>
      <c r="F19" s="433" t="s">
        <v>7673</v>
      </c>
      <c r="G19" s="433" t="s">
        <v>7674</v>
      </c>
      <c r="H19" s="434">
        <v>3</v>
      </c>
      <c r="I19" s="433" t="s">
        <v>7819</v>
      </c>
      <c r="J19" s="433" t="s">
        <v>7319</v>
      </c>
      <c r="K19" s="438" t="s">
        <v>8277</v>
      </c>
      <c r="L19" s="439" t="s">
        <v>8293</v>
      </c>
      <c r="M19" s="448" t="s">
        <v>8322</v>
      </c>
      <c r="N19" s="448" t="s">
        <v>8588</v>
      </c>
      <c r="O19" s="439" t="s">
        <v>8669</v>
      </c>
      <c r="P19" s="439" t="s">
        <v>8672</v>
      </c>
      <c r="Q19" s="432" t="s">
        <v>2234</v>
      </c>
      <c r="R19" s="432" t="s">
        <v>4</v>
      </c>
      <c r="S19" s="432"/>
      <c r="T19" s="432" t="s">
        <v>6315</v>
      </c>
    </row>
    <row r="20" spans="1:20" ht="22" customHeight="1">
      <c r="A20" s="432" t="s">
        <v>7675</v>
      </c>
      <c r="B20" s="432" t="s">
        <v>7676</v>
      </c>
      <c r="C20" s="451" t="s">
        <v>8703</v>
      </c>
      <c r="D20" s="432"/>
      <c r="E20" s="433" t="s">
        <v>7677</v>
      </c>
      <c r="F20" s="433" t="s">
        <v>7678</v>
      </c>
      <c r="G20" s="433" t="s">
        <v>7679</v>
      </c>
      <c r="H20" s="434">
        <v>3</v>
      </c>
      <c r="I20" s="433" t="s">
        <v>2740</v>
      </c>
      <c r="J20" s="433" t="s">
        <v>7954</v>
      </c>
      <c r="K20" s="438" t="s">
        <v>8277</v>
      </c>
      <c r="L20" s="439" t="s">
        <v>8307</v>
      </c>
      <c r="M20" s="448" t="s">
        <v>8315</v>
      </c>
      <c r="N20" s="448" t="s">
        <v>8588</v>
      </c>
      <c r="O20" s="439" t="s">
        <v>8666</v>
      </c>
      <c r="P20" s="439" t="s">
        <v>8671</v>
      </c>
      <c r="Q20" s="432" t="s">
        <v>2234</v>
      </c>
      <c r="R20" s="432" t="s">
        <v>4</v>
      </c>
      <c r="S20" s="432"/>
      <c r="T20" s="432" t="s">
        <v>2740</v>
      </c>
    </row>
    <row r="21" spans="1:20" ht="22" customHeight="1">
      <c r="A21" s="432" t="s">
        <v>7680</v>
      </c>
      <c r="B21" s="432" t="s">
        <v>7681</v>
      </c>
      <c r="C21" s="451" t="s">
        <v>8703</v>
      </c>
      <c r="D21" s="432"/>
      <c r="E21" s="433" t="s">
        <v>7682</v>
      </c>
      <c r="F21" s="433" t="s">
        <v>7683</v>
      </c>
      <c r="G21" s="433" t="s">
        <v>7684</v>
      </c>
      <c r="H21" s="434">
        <v>3</v>
      </c>
      <c r="I21" s="433" t="s">
        <v>2740</v>
      </c>
      <c r="J21" s="433" t="s">
        <v>7290</v>
      </c>
      <c r="K21" s="438" t="s">
        <v>8277</v>
      </c>
      <c r="L21" s="439" t="s">
        <v>8307</v>
      </c>
      <c r="M21" s="448" t="s">
        <v>8676</v>
      </c>
      <c r="N21" s="448" t="s">
        <v>8588</v>
      </c>
      <c r="O21" s="439" t="s">
        <v>8666</v>
      </c>
      <c r="P21" s="439" t="s">
        <v>8671</v>
      </c>
      <c r="Q21" s="432" t="s">
        <v>2234</v>
      </c>
      <c r="R21" s="432" t="s">
        <v>4</v>
      </c>
      <c r="S21" s="432"/>
      <c r="T21" s="432" t="s">
        <v>2740</v>
      </c>
    </row>
    <row r="22" spans="1:20" ht="22" customHeight="1">
      <c r="A22" s="432" t="s">
        <v>7685</v>
      </c>
      <c r="B22" s="432" t="s">
        <v>7686</v>
      </c>
      <c r="C22" s="451" t="s">
        <v>8703</v>
      </c>
      <c r="D22" s="432"/>
      <c r="E22" s="433" t="s">
        <v>7687</v>
      </c>
      <c r="F22" s="433" t="s">
        <v>7688</v>
      </c>
      <c r="G22" s="433" t="s">
        <v>7689</v>
      </c>
      <c r="H22" s="434">
        <v>1</v>
      </c>
      <c r="I22" s="433" t="s">
        <v>2740</v>
      </c>
      <c r="J22" s="433" t="s">
        <v>7290</v>
      </c>
      <c r="K22" s="438" t="s">
        <v>8277</v>
      </c>
      <c r="L22" s="439" t="s">
        <v>8307</v>
      </c>
      <c r="M22" s="448" t="s">
        <v>8315</v>
      </c>
      <c r="N22" s="448" t="s">
        <v>8588</v>
      </c>
      <c r="O22" s="439" t="s">
        <v>8666</v>
      </c>
      <c r="P22" s="439" t="s">
        <v>8671</v>
      </c>
      <c r="Q22" s="432" t="s">
        <v>2234</v>
      </c>
      <c r="R22" s="432" t="s">
        <v>4</v>
      </c>
      <c r="S22" s="432"/>
      <c r="T22" s="432" t="s">
        <v>2740</v>
      </c>
    </row>
    <row r="23" spans="1:20" ht="22" customHeight="1">
      <c r="A23" s="432" t="s">
        <v>8602</v>
      </c>
      <c r="B23" s="432" t="s">
        <v>7686</v>
      </c>
      <c r="C23" s="451" t="s">
        <v>8703</v>
      </c>
      <c r="D23" s="432"/>
      <c r="E23" s="433" t="s">
        <v>8603</v>
      </c>
      <c r="F23" s="433" t="s">
        <v>8604</v>
      </c>
      <c r="G23" s="433" t="s">
        <v>8605</v>
      </c>
      <c r="H23" s="434">
        <v>3</v>
      </c>
      <c r="I23" s="433" t="s">
        <v>2740</v>
      </c>
      <c r="J23" s="433" t="s">
        <v>7290</v>
      </c>
      <c r="K23" s="438" t="s">
        <v>8277</v>
      </c>
      <c r="L23" s="439" t="s">
        <v>8296</v>
      </c>
      <c r="M23" s="448" t="s">
        <v>8606</v>
      </c>
      <c r="N23" s="448" t="s">
        <v>8588</v>
      </c>
      <c r="O23" s="439" t="s">
        <v>8668</v>
      </c>
      <c r="P23" s="439" t="s">
        <v>8671</v>
      </c>
      <c r="Q23" s="432" t="s">
        <v>2234</v>
      </c>
      <c r="R23" s="432" t="s">
        <v>4</v>
      </c>
      <c r="S23" s="432"/>
      <c r="T23" s="432" t="s">
        <v>2740</v>
      </c>
    </row>
    <row r="24" spans="1:20" ht="22" customHeight="1">
      <c r="A24" s="432" t="s">
        <v>8607</v>
      </c>
      <c r="B24" s="432" t="s">
        <v>7686</v>
      </c>
      <c r="C24" s="451" t="s">
        <v>8703</v>
      </c>
      <c r="D24" s="432"/>
      <c r="E24" s="433" t="s">
        <v>8608</v>
      </c>
      <c r="F24" s="433" t="s">
        <v>8609</v>
      </c>
      <c r="G24" s="433" t="s">
        <v>8610</v>
      </c>
      <c r="H24" s="434">
        <v>0.5</v>
      </c>
      <c r="I24" s="433" t="s">
        <v>2740</v>
      </c>
      <c r="J24" s="433" t="s">
        <v>7290</v>
      </c>
      <c r="K24" s="438" t="s">
        <v>8277</v>
      </c>
      <c r="L24" s="439" t="s">
        <v>8296</v>
      </c>
      <c r="M24" s="448" t="s">
        <v>8677</v>
      </c>
      <c r="N24" s="448" t="s">
        <v>8588</v>
      </c>
      <c r="O24" s="439" t="s">
        <v>8666</v>
      </c>
      <c r="P24" s="439" t="s">
        <v>8671</v>
      </c>
      <c r="Q24" s="432" t="s">
        <v>2234</v>
      </c>
      <c r="R24" s="432" t="s">
        <v>4</v>
      </c>
      <c r="S24" s="432"/>
      <c r="T24" s="432" t="s">
        <v>2740</v>
      </c>
    </row>
    <row r="25" spans="1:20" ht="22" customHeight="1">
      <c r="A25" s="432" t="s">
        <v>542</v>
      </c>
      <c r="B25" s="432" t="s">
        <v>7690</v>
      </c>
      <c r="C25" s="451" t="s">
        <v>8703</v>
      </c>
      <c r="D25" s="432"/>
      <c r="E25" s="433" t="s">
        <v>7691</v>
      </c>
      <c r="F25" s="433" t="s">
        <v>7692</v>
      </c>
      <c r="G25" s="433" t="s">
        <v>7693</v>
      </c>
      <c r="H25" s="434">
        <v>1</v>
      </c>
      <c r="I25" s="433" t="s">
        <v>2740</v>
      </c>
      <c r="J25" s="433" t="s">
        <v>7290</v>
      </c>
      <c r="K25" s="438" t="s">
        <v>8277</v>
      </c>
      <c r="L25" s="439" t="s">
        <v>8307</v>
      </c>
      <c r="M25" s="448" t="s">
        <v>8315</v>
      </c>
      <c r="N25" s="448" t="s">
        <v>8713</v>
      </c>
      <c r="O25" s="439" t="s">
        <v>8666</v>
      </c>
      <c r="P25" s="439" t="s">
        <v>8671</v>
      </c>
      <c r="Q25" s="432" t="s">
        <v>2234</v>
      </c>
      <c r="R25" s="432" t="s">
        <v>4</v>
      </c>
      <c r="S25" s="432"/>
      <c r="T25" s="432" t="s">
        <v>2740</v>
      </c>
    </row>
    <row r="26" spans="1:20" ht="22" customHeight="1">
      <c r="A26" s="432" t="s">
        <v>546</v>
      </c>
      <c r="B26" s="432" t="s">
        <v>7694</v>
      </c>
      <c r="C26" s="451" t="s">
        <v>8703</v>
      </c>
      <c r="D26" s="432"/>
      <c r="E26" s="433" t="s">
        <v>7366</v>
      </c>
      <c r="F26" s="433" t="s">
        <v>7695</v>
      </c>
      <c r="G26" s="433" t="s">
        <v>7696</v>
      </c>
      <c r="H26" s="434">
        <v>0.5</v>
      </c>
      <c r="I26" s="433" t="s">
        <v>7840</v>
      </c>
      <c r="J26" s="433" t="s">
        <v>7350</v>
      </c>
      <c r="K26" s="438" t="s">
        <v>8277</v>
      </c>
      <c r="L26" s="439" t="s">
        <v>8292</v>
      </c>
      <c r="M26" s="448" t="s">
        <v>8339</v>
      </c>
      <c r="N26" s="448" t="s">
        <v>8588</v>
      </c>
      <c r="O26" s="439" t="s">
        <v>8669</v>
      </c>
      <c r="P26" s="439" t="s">
        <v>8672</v>
      </c>
      <c r="Q26" s="432" t="s">
        <v>2234</v>
      </c>
      <c r="R26" s="432" t="s">
        <v>4</v>
      </c>
      <c r="S26" s="432"/>
      <c r="T26" s="432" t="s">
        <v>6422</v>
      </c>
    </row>
    <row r="27" spans="1:20" ht="22" customHeight="1">
      <c r="A27" s="432" t="s">
        <v>550</v>
      </c>
      <c r="B27" s="432" t="s">
        <v>7697</v>
      </c>
      <c r="C27" s="451" t="s">
        <v>8703</v>
      </c>
      <c r="D27" s="432"/>
      <c r="E27" s="433" t="s">
        <v>7698</v>
      </c>
      <c r="F27" s="433" t="s">
        <v>7699</v>
      </c>
      <c r="G27" s="433" t="s">
        <v>7700</v>
      </c>
      <c r="H27" s="434">
        <v>0.5</v>
      </c>
      <c r="I27" s="433" t="s">
        <v>7816</v>
      </c>
      <c r="J27" s="433" t="s">
        <v>7306</v>
      </c>
      <c r="K27" s="438" t="s">
        <v>8277</v>
      </c>
      <c r="L27" s="439" t="s">
        <v>8293</v>
      </c>
      <c r="M27" s="448" t="s">
        <v>8327</v>
      </c>
      <c r="N27" s="448" t="s">
        <v>8588</v>
      </c>
      <c r="O27" s="439" t="s">
        <v>8665</v>
      </c>
      <c r="P27" s="439" t="s">
        <v>8672</v>
      </c>
      <c r="Q27" s="432" t="s">
        <v>2234</v>
      </c>
      <c r="R27" s="432" t="s">
        <v>4</v>
      </c>
      <c r="S27" s="432"/>
      <c r="T27" s="432" t="s">
        <v>6274</v>
      </c>
    </row>
    <row r="28" spans="1:20" ht="22" customHeight="1">
      <c r="A28" s="432" t="s">
        <v>5318</v>
      </c>
      <c r="B28" s="432" t="s">
        <v>7701</v>
      </c>
      <c r="C28" s="451" t="s">
        <v>8703</v>
      </c>
      <c r="D28" s="432"/>
      <c r="E28" s="433" t="s">
        <v>7702</v>
      </c>
      <c r="F28" s="433" t="s">
        <v>7703</v>
      </c>
      <c r="G28" s="433" t="s">
        <v>7704</v>
      </c>
      <c r="H28" s="434">
        <v>1</v>
      </c>
      <c r="I28" s="433" t="s">
        <v>7854</v>
      </c>
      <c r="J28" s="433" t="s">
        <v>7304</v>
      </c>
      <c r="K28" s="438" t="s">
        <v>8277</v>
      </c>
      <c r="L28" s="439" t="s">
        <v>8295</v>
      </c>
      <c r="M28" s="448" t="s">
        <v>8325</v>
      </c>
      <c r="N28" s="448" t="s">
        <v>8588</v>
      </c>
      <c r="O28" s="439" t="s">
        <v>8669</v>
      </c>
      <c r="P28" s="439" t="s">
        <v>8672</v>
      </c>
      <c r="Q28" s="432" t="s">
        <v>2234</v>
      </c>
      <c r="R28" s="432" t="s">
        <v>4</v>
      </c>
      <c r="S28" s="432"/>
      <c r="T28" s="432" t="s">
        <v>6497</v>
      </c>
    </row>
    <row r="29" spans="1:20" ht="22" customHeight="1">
      <c r="A29" s="432" t="s">
        <v>5319</v>
      </c>
      <c r="B29" s="432" t="s">
        <v>7705</v>
      </c>
      <c r="C29" s="451" t="s">
        <v>8703</v>
      </c>
      <c r="D29" s="432"/>
      <c r="E29" s="433" t="s">
        <v>7706</v>
      </c>
      <c r="F29" s="433" t="s">
        <v>7707</v>
      </c>
      <c r="G29" s="433" t="s">
        <v>7708</v>
      </c>
      <c r="H29" s="434">
        <v>1</v>
      </c>
      <c r="I29" s="433" t="s">
        <v>2740</v>
      </c>
      <c r="J29" s="433" t="s">
        <v>7290</v>
      </c>
      <c r="K29" s="438" t="s">
        <v>8277</v>
      </c>
      <c r="L29" s="439" t="s">
        <v>8307</v>
      </c>
      <c r="M29" s="448" t="s">
        <v>8315</v>
      </c>
      <c r="N29" s="448" t="s">
        <v>8588</v>
      </c>
      <c r="O29" s="439" t="s">
        <v>8666</v>
      </c>
      <c r="P29" s="439" t="s">
        <v>8671</v>
      </c>
      <c r="Q29" s="432" t="s">
        <v>2234</v>
      </c>
      <c r="R29" s="432" t="s">
        <v>4</v>
      </c>
      <c r="S29" s="432"/>
      <c r="T29" s="432" t="s">
        <v>2740</v>
      </c>
    </row>
    <row r="30" spans="1:20" ht="22" customHeight="1">
      <c r="A30" s="432" t="s">
        <v>536</v>
      </c>
      <c r="B30" s="432" t="s">
        <v>536</v>
      </c>
      <c r="C30" s="451" t="s">
        <v>8703</v>
      </c>
      <c r="D30" s="432"/>
      <c r="E30" s="433" t="s">
        <v>7779</v>
      </c>
      <c r="F30" s="433" t="s">
        <v>6730</v>
      </c>
      <c r="G30" s="433" t="s">
        <v>6731</v>
      </c>
      <c r="H30" s="434">
        <v>0</v>
      </c>
      <c r="I30" s="433" t="s">
        <v>2740</v>
      </c>
      <c r="J30" s="433" t="s">
        <v>7288</v>
      </c>
      <c r="K30" s="438" t="s">
        <v>8277</v>
      </c>
      <c r="L30" s="439" t="s">
        <v>8307</v>
      </c>
      <c r="M30" s="448" t="s">
        <v>8315</v>
      </c>
      <c r="N30" s="448" t="s">
        <v>8588</v>
      </c>
      <c r="O30" s="439" t="s">
        <v>8666</v>
      </c>
      <c r="P30" s="439" t="s">
        <v>8671</v>
      </c>
      <c r="Q30" s="432" t="s">
        <v>2234</v>
      </c>
      <c r="R30" s="432" t="s">
        <v>5312</v>
      </c>
      <c r="S30" s="432"/>
      <c r="T30" s="432" t="s">
        <v>2234</v>
      </c>
    </row>
    <row r="31" spans="1:20" ht="22" customHeight="1">
      <c r="A31" s="432" t="s">
        <v>5320</v>
      </c>
      <c r="B31" s="432" t="s">
        <v>556</v>
      </c>
      <c r="C31" s="451" t="s">
        <v>8706</v>
      </c>
      <c r="D31" s="432"/>
      <c r="E31" s="433" t="s">
        <v>7736</v>
      </c>
      <c r="F31" s="433" t="s">
        <v>7868</v>
      </c>
      <c r="G31" s="433" t="s">
        <v>7869</v>
      </c>
      <c r="H31" s="434">
        <v>4</v>
      </c>
      <c r="I31" s="433" t="s">
        <v>2740</v>
      </c>
      <c r="J31" s="433" t="s">
        <v>7290</v>
      </c>
      <c r="K31" s="438" t="s">
        <v>8277</v>
      </c>
      <c r="L31" s="439" t="s">
        <v>8306</v>
      </c>
      <c r="M31" s="448" t="s">
        <v>8370</v>
      </c>
      <c r="N31" s="448" t="s">
        <v>8588</v>
      </c>
      <c r="O31" s="439" t="s">
        <v>8666</v>
      </c>
      <c r="P31" s="439" t="s">
        <v>8671</v>
      </c>
      <c r="Q31" s="432" t="s">
        <v>5321</v>
      </c>
      <c r="R31" s="432" t="s">
        <v>4</v>
      </c>
      <c r="S31" s="432"/>
      <c r="T31" s="432" t="s">
        <v>2740</v>
      </c>
    </row>
    <row r="32" spans="1:20" ht="22" customHeight="1">
      <c r="A32" s="432" t="s">
        <v>5322</v>
      </c>
      <c r="B32" s="432" t="s">
        <v>556</v>
      </c>
      <c r="C32" s="451" t="s">
        <v>8706</v>
      </c>
      <c r="D32" s="432"/>
      <c r="E32" s="433" t="s">
        <v>7737</v>
      </c>
      <c r="F32" s="433" t="s">
        <v>7870</v>
      </c>
      <c r="G32" s="433" t="s">
        <v>7871</v>
      </c>
      <c r="H32" s="434">
        <v>3</v>
      </c>
      <c r="I32" s="433" t="s">
        <v>2740</v>
      </c>
      <c r="J32" s="433" t="s">
        <v>7290</v>
      </c>
      <c r="K32" s="438" t="s">
        <v>8277</v>
      </c>
      <c r="L32" s="439" t="s">
        <v>8306</v>
      </c>
      <c r="M32" s="448" t="s">
        <v>8370</v>
      </c>
      <c r="N32" s="448" t="s">
        <v>8588</v>
      </c>
      <c r="O32" s="439" t="s">
        <v>8666</v>
      </c>
      <c r="P32" s="439" t="s">
        <v>8671</v>
      </c>
      <c r="Q32" s="432" t="s">
        <v>5320</v>
      </c>
      <c r="R32" s="432" t="s">
        <v>4</v>
      </c>
      <c r="S32" s="432"/>
      <c r="T32" s="432" t="s">
        <v>2740</v>
      </c>
    </row>
    <row r="33" spans="1:20" ht="22" customHeight="1">
      <c r="A33" s="432" t="s">
        <v>5323</v>
      </c>
      <c r="B33" s="432" t="s">
        <v>556</v>
      </c>
      <c r="C33" s="451" t="s">
        <v>8706</v>
      </c>
      <c r="D33" s="432"/>
      <c r="E33" s="433" t="s">
        <v>7738</v>
      </c>
      <c r="F33" s="433" t="s">
        <v>7872</v>
      </c>
      <c r="G33" s="433" t="s">
        <v>7873</v>
      </c>
      <c r="H33" s="434">
        <v>5</v>
      </c>
      <c r="I33" s="433" t="s">
        <v>2740</v>
      </c>
      <c r="J33" s="433" t="s">
        <v>7290</v>
      </c>
      <c r="K33" s="438" t="s">
        <v>8277</v>
      </c>
      <c r="L33" s="439" t="s">
        <v>8306</v>
      </c>
      <c r="M33" s="448" t="s">
        <v>8370</v>
      </c>
      <c r="N33" s="448" t="s">
        <v>8588</v>
      </c>
      <c r="O33" s="439" t="s">
        <v>8666</v>
      </c>
      <c r="P33" s="439" t="s">
        <v>8671</v>
      </c>
      <c r="Q33" s="432" t="s">
        <v>5322</v>
      </c>
      <c r="R33" s="432" t="s">
        <v>4</v>
      </c>
      <c r="S33" s="432"/>
      <c r="T33" s="432" t="s">
        <v>2740</v>
      </c>
    </row>
    <row r="34" spans="1:20" ht="22" customHeight="1">
      <c r="A34" s="432" t="s">
        <v>5324</v>
      </c>
      <c r="B34" s="432" t="s">
        <v>559</v>
      </c>
      <c r="C34" s="451" t="s">
        <v>8706</v>
      </c>
      <c r="D34" s="432"/>
      <c r="E34" s="433" t="s">
        <v>7739</v>
      </c>
      <c r="F34" s="433" t="s">
        <v>7874</v>
      </c>
      <c r="G34" s="433" t="s">
        <v>7875</v>
      </c>
      <c r="H34" s="434">
        <v>3</v>
      </c>
      <c r="I34" s="433" t="s">
        <v>2740</v>
      </c>
      <c r="J34" s="433" t="s">
        <v>7290</v>
      </c>
      <c r="K34" s="438" t="s">
        <v>8277</v>
      </c>
      <c r="L34" s="439" t="s">
        <v>8306</v>
      </c>
      <c r="M34" s="448" t="s">
        <v>8370</v>
      </c>
      <c r="N34" s="448" t="s">
        <v>8588</v>
      </c>
      <c r="O34" s="439" t="s">
        <v>8666</v>
      </c>
      <c r="P34" s="439" t="s">
        <v>8671</v>
      </c>
      <c r="Q34" s="432" t="s">
        <v>2234</v>
      </c>
      <c r="R34" s="432" t="s">
        <v>4</v>
      </c>
      <c r="S34" s="432"/>
      <c r="T34" s="432" t="s">
        <v>2740</v>
      </c>
    </row>
    <row r="35" spans="1:20" ht="22" customHeight="1">
      <c r="A35" s="432" t="s">
        <v>5325</v>
      </c>
      <c r="B35" s="432" t="s">
        <v>559</v>
      </c>
      <c r="C35" s="451" t="s">
        <v>8706</v>
      </c>
      <c r="D35" s="432"/>
      <c r="E35" s="433" t="s">
        <v>7740</v>
      </c>
      <c r="F35" s="433" t="s">
        <v>7876</v>
      </c>
      <c r="G35" s="433" t="s">
        <v>7877</v>
      </c>
      <c r="H35" s="434">
        <v>2</v>
      </c>
      <c r="I35" s="433" t="s">
        <v>2740</v>
      </c>
      <c r="J35" s="433" t="s">
        <v>7290</v>
      </c>
      <c r="K35" s="438" t="s">
        <v>8277</v>
      </c>
      <c r="L35" s="439" t="s">
        <v>8306</v>
      </c>
      <c r="M35" s="448" t="s">
        <v>8370</v>
      </c>
      <c r="N35" s="448" t="s">
        <v>8588</v>
      </c>
      <c r="O35" s="439" t="s">
        <v>8666</v>
      </c>
      <c r="P35" s="439" t="s">
        <v>8671</v>
      </c>
      <c r="Q35" s="432" t="s">
        <v>5324</v>
      </c>
      <c r="R35" s="432" t="s">
        <v>4</v>
      </c>
      <c r="S35" s="432"/>
      <c r="T35" s="432" t="s">
        <v>2740</v>
      </c>
    </row>
    <row r="36" spans="1:20" ht="22" customHeight="1">
      <c r="A36" s="432" t="s">
        <v>561</v>
      </c>
      <c r="B36" s="432" t="s">
        <v>561</v>
      </c>
      <c r="C36" s="451" t="s">
        <v>8706</v>
      </c>
      <c r="D36" s="432"/>
      <c r="E36" s="433" t="s">
        <v>7741</v>
      </c>
      <c r="F36" s="433" t="s">
        <v>7878</v>
      </c>
      <c r="G36" s="433" t="s">
        <v>7879</v>
      </c>
      <c r="H36" s="434">
        <v>2</v>
      </c>
      <c r="I36" s="433" t="s">
        <v>2740</v>
      </c>
      <c r="J36" s="433" t="s">
        <v>7290</v>
      </c>
      <c r="K36" s="438" t="s">
        <v>8277</v>
      </c>
      <c r="L36" s="439" t="s">
        <v>8306</v>
      </c>
      <c r="M36" s="448" t="s">
        <v>8676</v>
      </c>
      <c r="N36" s="448" t="s">
        <v>8588</v>
      </c>
      <c r="O36" s="439" t="s">
        <v>8666</v>
      </c>
      <c r="P36" s="439" t="s">
        <v>8671</v>
      </c>
      <c r="Q36" s="432" t="s">
        <v>5326</v>
      </c>
      <c r="R36" s="432" t="s">
        <v>4</v>
      </c>
      <c r="S36" s="432"/>
      <c r="T36" s="432" t="s">
        <v>2740</v>
      </c>
    </row>
    <row r="37" spans="1:20" ht="22" customHeight="1">
      <c r="A37" s="432" t="s">
        <v>5327</v>
      </c>
      <c r="B37" s="432" t="s">
        <v>563</v>
      </c>
      <c r="C37" s="451" t="s">
        <v>8706</v>
      </c>
      <c r="D37" s="432"/>
      <c r="E37" s="433" t="s">
        <v>7742</v>
      </c>
      <c r="F37" s="433" t="s">
        <v>7880</v>
      </c>
      <c r="G37" s="433" t="s">
        <v>7881</v>
      </c>
      <c r="H37" s="434">
        <v>1</v>
      </c>
      <c r="I37" s="433" t="s">
        <v>2740</v>
      </c>
      <c r="J37" s="433" t="s">
        <v>7290</v>
      </c>
      <c r="K37" s="438" t="s">
        <v>8277</v>
      </c>
      <c r="L37" s="439" t="s">
        <v>8306</v>
      </c>
      <c r="M37" s="448" t="s">
        <v>8370</v>
      </c>
      <c r="N37" s="448" t="s">
        <v>8588</v>
      </c>
      <c r="O37" s="439" t="s">
        <v>8666</v>
      </c>
      <c r="P37" s="439" t="s">
        <v>8671</v>
      </c>
      <c r="Q37" s="432" t="s">
        <v>5320</v>
      </c>
      <c r="R37" s="432" t="s">
        <v>4</v>
      </c>
      <c r="S37" s="432"/>
      <c r="T37" s="432" t="s">
        <v>2740</v>
      </c>
    </row>
    <row r="38" spans="1:20" ht="22" customHeight="1">
      <c r="A38" s="432" t="s">
        <v>5328</v>
      </c>
      <c r="B38" s="432" t="s">
        <v>563</v>
      </c>
      <c r="C38" s="451" t="s">
        <v>8706</v>
      </c>
      <c r="D38" s="432"/>
      <c r="E38" s="433" t="s">
        <v>7743</v>
      </c>
      <c r="F38" s="433" t="s">
        <v>7882</v>
      </c>
      <c r="G38" s="433" t="s">
        <v>7883</v>
      </c>
      <c r="H38" s="434">
        <v>2</v>
      </c>
      <c r="I38" s="433" t="s">
        <v>2740</v>
      </c>
      <c r="J38" s="433" t="s">
        <v>7290</v>
      </c>
      <c r="K38" s="438" t="s">
        <v>8277</v>
      </c>
      <c r="L38" s="439" t="s">
        <v>8306</v>
      </c>
      <c r="M38" s="448" t="s">
        <v>8370</v>
      </c>
      <c r="N38" s="448" t="s">
        <v>8713</v>
      </c>
      <c r="O38" s="439" t="s">
        <v>8666</v>
      </c>
      <c r="P38" s="439" t="s">
        <v>8671</v>
      </c>
      <c r="Q38" s="432" t="s">
        <v>5329</v>
      </c>
      <c r="R38" s="432" t="s">
        <v>4</v>
      </c>
      <c r="S38" s="432"/>
      <c r="T38" s="432" t="s">
        <v>2740</v>
      </c>
    </row>
    <row r="39" spans="1:20" ht="22" customHeight="1">
      <c r="A39" s="432" t="s">
        <v>565</v>
      </c>
      <c r="B39" s="432" t="s">
        <v>565</v>
      </c>
      <c r="C39" s="451" t="s">
        <v>8706</v>
      </c>
      <c r="D39" s="432"/>
      <c r="E39" s="433" t="s">
        <v>7744</v>
      </c>
      <c r="F39" s="433" t="s">
        <v>7884</v>
      </c>
      <c r="G39" s="433" t="s">
        <v>7885</v>
      </c>
      <c r="H39" s="434">
        <v>1</v>
      </c>
      <c r="I39" s="433" t="s">
        <v>7858</v>
      </c>
      <c r="J39" s="433" t="s">
        <v>7364</v>
      </c>
      <c r="K39" s="438" t="s">
        <v>8277</v>
      </c>
      <c r="L39" s="439" t="s">
        <v>8293</v>
      </c>
      <c r="M39" s="448" t="s">
        <v>8344</v>
      </c>
      <c r="N39" s="448" t="s">
        <v>8588</v>
      </c>
      <c r="O39" s="439" t="s">
        <v>8667</v>
      </c>
      <c r="P39" s="439" t="s">
        <v>8672</v>
      </c>
      <c r="Q39" s="432" t="s">
        <v>5320</v>
      </c>
      <c r="R39" s="432" t="s">
        <v>4</v>
      </c>
      <c r="S39" s="432"/>
      <c r="T39" s="432" t="s">
        <v>6490</v>
      </c>
    </row>
    <row r="40" spans="1:20" ht="22" customHeight="1">
      <c r="A40" s="432" t="s">
        <v>586</v>
      </c>
      <c r="B40" s="432" t="s">
        <v>586</v>
      </c>
      <c r="C40" s="451" t="s">
        <v>8705</v>
      </c>
      <c r="D40" s="432"/>
      <c r="E40" s="433" t="s">
        <v>7518</v>
      </c>
      <c r="F40" s="433" t="s">
        <v>7573</v>
      </c>
      <c r="G40" s="433" t="s">
        <v>7574</v>
      </c>
      <c r="H40" s="434">
        <v>2</v>
      </c>
      <c r="I40" s="433" t="s">
        <v>2740</v>
      </c>
      <c r="J40" s="433" t="s">
        <v>7575</v>
      </c>
      <c r="K40" s="438" t="s">
        <v>8277</v>
      </c>
      <c r="L40" s="439" t="s">
        <v>8307</v>
      </c>
      <c r="M40" s="448" t="s">
        <v>8316</v>
      </c>
      <c r="N40" s="448" t="s">
        <v>8588</v>
      </c>
      <c r="O40" s="439" t="s">
        <v>8669</v>
      </c>
      <c r="P40" s="439" t="s">
        <v>8671</v>
      </c>
      <c r="Q40" s="432" t="s">
        <v>2234</v>
      </c>
      <c r="R40" s="432" t="s">
        <v>4</v>
      </c>
      <c r="S40" s="432"/>
      <c r="T40" s="432" t="s">
        <v>2740</v>
      </c>
    </row>
    <row r="41" spans="1:20" ht="22" customHeight="1">
      <c r="A41" s="432" t="s">
        <v>589</v>
      </c>
      <c r="B41" s="432" t="s">
        <v>589</v>
      </c>
      <c r="C41" s="451" t="s">
        <v>8704</v>
      </c>
      <c r="D41" s="432" t="s">
        <v>8633</v>
      </c>
      <c r="E41" s="433" t="s">
        <v>8631</v>
      </c>
      <c r="F41" s="433" t="s">
        <v>7576</v>
      </c>
      <c r="G41" s="433" t="s">
        <v>7577</v>
      </c>
      <c r="H41" s="434">
        <v>3</v>
      </c>
      <c r="I41" s="433" t="s">
        <v>7818</v>
      </c>
      <c r="J41" s="433" t="s">
        <v>7302</v>
      </c>
      <c r="K41" s="438" t="s">
        <v>8277</v>
      </c>
      <c r="L41" s="439" t="s">
        <v>8293</v>
      </c>
      <c r="M41" s="448" t="s">
        <v>8322</v>
      </c>
      <c r="N41" s="448" t="s">
        <v>8588</v>
      </c>
      <c r="O41" s="439" t="s">
        <v>8668</v>
      </c>
      <c r="P41" s="439" t="s">
        <v>8672</v>
      </c>
      <c r="Q41" s="432" t="s">
        <v>5333</v>
      </c>
      <c r="R41" s="432" t="s">
        <v>4</v>
      </c>
      <c r="S41" s="432"/>
      <c r="T41" s="432" t="s">
        <v>6317</v>
      </c>
    </row>
    <row r="42" spans="1:20" ht="22" customHeight="1">
      <c r="A42" s="432" t="s">
        <v>591</v>
      </c>
      <c r="B42" s="432" t="s">
        <v>591</v>
      </c>
      <c r="C42" s="451" t="s">
        <v>8705</v>
      </c>
      <c r="D42" s="432"/>
      <c r="E42" s="433" t="s">
        <v>592</v>
      </c>
      <c r="F42" s="433" t="s">
        <v>6732</v>
      </c>
      <c r="G42" s="433" t="s">
        <v>6733</v>
      </c>
      <c r="H42" s="434">
        <v>0</v>
      </c>
      <c r="I42" s="433" t="s">
        <v>2740</v>
      </c>
      <c r="J42" s="433" t="s">
        <v>7289</v>
      </c>
      <c r="K42" s="438" t="s">
        <v>8277</v>
      </c>
      <c r="L42" s="439" t="s">
        <v>8307</v>
      </c>
      <c r="M42" s="448" t="s">
        <v>8316</v>
      </c>
      <c r="N42" s="448" t="s">
        <v>8588</v>
      </c>
      <c r="O42" s="439" t="s">
        <v>8669</v>
      </c>
      <c r="P42" s="439" t="s">
        <v>8671</v>
      </c>
      <c r="Q42" s="432" t="s">
        <v>2234</v>
      </c>
      <c r="R42" s="432" t="s">
        <v>5334</v>
      </c>
      <c r="S42" s="432"/>
      <c r="T42" s="432" t="s">
        <v>2234</v>
      </c>
    </row>
    <row r="43" spans="1:20" ht="22" customHeight="1">
      <c r="A43" s="432" t="s">
        <v>593</v>
      </c>
      <c r="B43" s="432" t="s">
        <v>593</v>
      </c>
      <c r="C43" s="451" t="s">
        <v>8705</v>
      </c>
      <c r="D43" s="432"/>
      <c r="E43" s="433" t="s">
        <v>7780</v>
      </c>
      <c r="F43" s="433" t="s">
        <v>6734</v>
      </c>
      <c r="G43" s="433" t="s">
        <v>6733</v>
      </c>
      <c r="H43" s="434">
        <v>0</v>
      </c>
      <c r="I43" s="433" t="s">
        <v>2740</v>
      </c>
      <c r="J43" s="433" t="s">
        <v>7289</v>
      </c>
      <c r="K43" s="438" t="s">
        <v>8277</v>
      </c>
      <c r="L43" s="439" t="s">
        <v>8307</v>
      </c>
      <c r="M43" s="448" t="s">
        <v>8316</v>
      </c>
      <c r="N43" s="448" t="s">
        <v>8588</v>
      </c>
      <c r="O43" s="439" t="s">
        <v>8669</v>
      </c>
      <c r="P43" s="439" t="s">
        <v>8671</v>
      </c>
      <c r="Q43" s="432" t="s">
        <v>2234</v>
      </c>
      <c r="R43" s="432" t="s">
        <v>5334</v>
      </c>
      <c r="S43" s="432"/>
      <c r="T43" s="432" t="s">
        <v>2234</v>
      </c>
    </row>
    <row r="44" spans="1:20" ht="22" customHeight="1">
      <c r="A44" s="432" t="s">
        <v>595</v>
      </c>
      <c r="B44" s="432" t="s">
        <v>595</v>
      </c>
      <c r="C44" s="451" t="s">
        <v>8705</v>
      </c>
      <c r="D44" s="432"/>
      <c r="E44" s="433" t="s">
        <v>7519</v>
      </c>
      <c r="F44" s="433" t="s">
        <v>7578</v>
      </c>
      <c r="G44" s="433" t="s">
        <v>7579</v>
      </c>
      <c r="H44" s="434">
        <v>1</v>
      </c>
      <c r="I44" s="433" t="s">
        <v>7847</v>
      </c>
      <c r="J44" s="433" t="s">
        <v>7848</v>
      </c>
      <c r="K44" s="438" t="s">
        <v>8277</v>
      </c>
      <c r="L44" s="439" t="s">
        <v>8296</v>
      </c>
      <c r="M44" s="448" t="s">
        <v>8319</v>
      </c>
      <c r="N44" s="448" t="s">
        <v>8588</v>
      </c>
      <c r="O44" s="439" t="s">
        <v>8667</v>
      </c>
      <c r="P44" s="439" t="s">
        <v>8672</v>
      </c>
      <c r="Q44" s="432" t="s">
        <v>2234</v>
      </c>
      <c r="R44" s="432" t="s">
        <v>4</v>
      </c>
      <c r="S44" s="432"/>
      <c r="T44" s="432" t="s">
        <v>6459</v>
      </c>
    </row>
    <row r="45" spans="1:20" ht="22" customHeight="1">
      <c r="A45" s="432" t="s">
        <v>597</v>
      </c>
      <c r="B45" s="432" t="s">
        <v>597</v>
      </c>
      <c r="C45" s="451" t="s">
        <v>8705</v>
      </c>
      <c r="D45" s="432" t="s">
        <v>8634</v>
      </c>
      <c r="E45" s="433" t="s">
        <v>8636</v>
      </c>
      <c r="F45" s="433" t="s">
        <v>7580</v>
      </c>
      <c r="G45" s="433" t="s">
        <v>7581</v>
      </c>
      <c r="H45" s="434">
        <v>3</v>
      </c>
      <c r="I45" s="433" t="s">
        <v>7854</v>
      </c>
      <c r="J45" s="433" t="s">
        <v>7362</v>
      </c>
      <c r="K45" s="438" t="s">
        <v>8277</v>
      </c>
      <c r="L45" s="439" t="s">
        <v>8294</v>
      </c>
      <c r="M45" s="448" t="s">
        <v>8343</v>
      </c>
      <c r="N45" s="448" t="s">
        <v>8588</v>
      </c>
      <c r="O45" s="439" t="s">
        <v>8667</v>
      </c>
      <c r="P45" s="439" t="s">
        <v>8671</v>
      </c>
      <c r="Q45" s="432" t="s">
        <v>2234</v>
      </c>
      <c r="R45" s="432" t="s">
        <v>4</v>
      </c>
      <c r="S45" s="432"/>
      <c r="T45" s="432" t="s">
        <v>6483</v>
      </c>
    </row>
    <row r="46" spans="1:20" ht="22" customHeight="1">
      <c r="A46" s="432" t="s">
        <v>7520</v>
      </c>
      <c r="B46" s="432" t="s">
        <v>599</v>
      </c>
      <c r="C46" s="451" t="s">
        <v>8705</v>
      </c>
      <c r="D46" s="432"/>
      <c r="E46" s="433" t="s">
        <v>7521</v>
      </c>
      <c r="F46" s="433" t="s">
        <v>7522</v>
      </c>
      <c r="G46" s="433" t="s">
        <v>7523</v>
      </c>
      <c r="H46" s="434">
        <v>1.5</v>
      </c>
      <c r="I46" s="433" t="s">
        <v>7852</v>
      </c>
      <c r="J46" s="433" t="s">
        <v>7358</v>
      </c>
      <c r="K46" s="438" t="s">
        <v>8277</v>
      </c>
      <c r="L46" s="439" t="s">
        <v>8295</v>
      </c>
      <c r="M46" s="448" t="s">
        <v>8323</v>
      </c>
      <c r="N46" s="448" t="s">
        <v>8713</v>
      </c>
      <c r="O46" s="439" t="s">
        <v>8667</v>
      </c>
      <c r="P46" s="439" t="s">
        <v>8671</v>
      </c>
      <c r="Q46" s="432" t="s">
        <v>5329</v>
      </c>
      <c r="R46" s="432" t="s">
        <v>4</v>
      </c>
      <c r="S46" s="432"/>
      <c r="T46" s="432" t="s">
        <v>6465</v>
      </c>
    </row>
    <row r="47" spans="1:20" ht="22" customHeight="1">
      <c r="A47" s="432" t="s">
        <v>7524</v>
      </c>
      <c r="B47" s="432" t="s">
        <v>599</v>
      </c>
      <c r="C47" s="451" t="s">
        <v>8705</v>
      </c>
      <c r="D47" s="432" t="s">
        <v>8635</v>
      </c>
      <c r="E47" s="433" t="s">
        <v>7525</v>
      </c>
      <c r="F47" s="433" t="s">
        <v>7526</v>
      </c>
      <c r="G47" s="433" t="s">
        <v>7527</v>
      </c>
      <c r="H47" s="434">
        <v>1.5</v>
      </c>
      <c r="I47" s="433" t="s">
        <v>2740</v>
      </c>
      <c r="J47" s="433" t="s">
        <v>7931</v>
      </c>
      <c r="K47" s="438" t="s">
        <v>8277</v>
      </c>
      <c r="L47" s="439" t="s">
        <v>8307</v>
      </c>
      <c r="M47" s="448" t="s">
        <v>8316</v>
      </c>
      <c r="N47" s="448" t="s">
        <v>8713</v>
      </c>
      <c r="O47" s="439" t="s">
        <v>8669</v>
      </c>
      <c r="P47" s="439" t="s">
        <v>8671</v>
      </c>
      <c r="Q47" s="432" t="s">
        <v>5329</v>
      </c>
      <c r="R47" s="432" t="s">
        <v>4</v>
      </c>
      <c r="S47" s="432"/>
      <c r="T47" s="432" t="s">
        <v>2740</v>
      </c>
    </row>
    <row r="48" spans="1:20" ht="22" customHeight="1">
      <c r="A48" s="432" t="s">
        <v>7528</v>
      </c>
      <c r="B48" s="432" t="s">
        <v>601</v>
      </c>
      <c r="C48" s="451" t="s">
        <v>8705</v>
      </c>
      <c r="D48" s="432" t="s">
        <v>8637</v>
      </c>
      <c r="E48" s="433" t="s">
        <v>7529</v>
      </c>
      <c r="F48" s="433" t="s">
        <v>7530</v>
      </c>
      <c r="G48" s="433" t="s">
        <v>7531</v>
      </c>
      <c r="H48" s="434">
        <v>1</v>
      </c>
      <c r="I48" s="433" t="s">
        <v>7827</v>
      </c>
      <c r="J48" s="433" t="s">
        <v>7331</v>
      </c>
      <c r="K48" s="438" t="s">
        <v>8277</v>
      </c>
      <c r="L48" s="439" t="s">
        <v>8292</v>
      </c>
      <c r="M48" s="448" t="s">
        <v>8334</v>
      </c>
      <c r="N48" s="448" t="s">
        <v>8588</v>
      </c>
      <c r="O48" s="439" t="s">
        <v>8669</v>
      </c>
      <c r="P48" s="439" t="s">
        <v>8672</v>
      </c>
      <c r="Q48" s="432" t="s">
        <v>2234</v>
      </c>
      <c r="R48" s="432" t="s">
        <v>4</v>
      </c>
      <c r="S48" s="432"/>
      <c r="T48" s="432" t="s">
        <v>6358</v>
      </c>
    </row>
    <row r="49" spans="1:20" ht="22" customHeight="1">
      <c r="A49" s="432" t="s">
        <v>7532</v>
      </c>
      <c r="B49" s="432" t="s">
        <v>601</v>
      </c>
      <c r="C49" s="451" t="s">
        <v>8705</v>
      </c>
      <c r="D49" s="432" t="s">
        <v>8637</v>
      </c>
      <c r="E49" s="433" t="s">
        <v>7533</v>
      </c>
      <c r="F49" s="433" t="s">
        <v>7534</v>
      </c>
      <c r="G49" s="433" t="s">
        <v>7535</v>
      </c>
      <c r="H49" s="434">
        <v>0.5</v>
      </c>
      <c r="I49" s="433" t="s">
        <v>7827</v>
      </c>
      <c r="J49" s="433" t="s">
        <v>7330</v>
      </c>
      <c r="K49" s="438" t="s">
        <v>8277</v>
      </c>
      <c r="L49" s="439" t="s">
        <v>8292</v>
      </c>
      <c r="M49" s="448" t="s">
        <v>8333</v>
      </c>
      <c r="N49" s="448" t="s">
        <v>8588</v>
      </c>
      <c r="O49" s="439" t="s">
        <v>8669</v>
      </c>
      <c r="P49" s="439" t="s">
        <v>8672</v>
      </c>
      <c r="Q49" s="432" t="s">
        <v>2234</v>
      </c>
      <c r="R49" s="432" t="s">
        <v>4</v>
      </c>
      <c r="S49" s="432"/>
      <c r="T49" s="432" t="s">
        <v>6355</v>
      </c>
    </row>
    <row r="50" spans="1:20" ht="22" customHeight="1">
      <c r="A50" s="432" t="s">
        <v>7536</v>
      </c>
      <c r="B50" s="432" t="s">
        <v>601</v>
      </c>
      <c r="C50" s="451" t="s">
        <v>8705</v>
      </c>
      <c r="D50" s="432"/>
      <c r="E50" s="433" t="s">
        <v>7537</v>
      </c>
      <c r="F50" s="433" t="s">
        <v>7538</v>
      </c>
      <c r="G50" s="433" t="s">
        <v>7539</v>
      </c>
      <c r="H50" s="434">
        <v>0.5</v>
      </c>
      <c r="I50" s="433" t="s">
        <v>7860</v>
      </c>
      <c r="J50" s="433" t="s">
        <v>7367</v>
      </c>
      <c r="K50" s="438" t="s">
        <v>8277</v>
      </c>
      <c r="L50" s="439" t="s">
        <v>8296</v>
      </c>
      <c r="M50" s="448" t="s">
        <v>8311</v>
      </c>
      <c r="N50" s="448" t="s">
        <v>8588</v>
      </c>
      <c r="O50" s="439" t="s">
        <v>8669</v>
      </c>
      <c r="P50" s="439" t="s">
        <v>8672</v>
      </c>
      <c r="Q50" s="432" t="s">
        <v>2234</v>
      </c>
      <c r="R50" s="432" t="s">
        <v>4</v>
      </c>
      <c r="S50" s="432"/>
      <c r="T50" s="432" t="s">
        <v>6500</v>
      </c>
    </row>
    <row r="51" spans="1:20" ht="22" customHeight="1">
      <c r="A51" s="432" t="s">
        <v>5335</v>
      </c>
      <c r="B51" s="432" t="s">
        <v>603</v>
      </c>
      <c r="C51" s="451" t="s">
        <v>8705</v>
      </c>
      <c r="D51" s="432"/>
      <c r="E51" s="433" t="s">
        <v>7540</v>
      </c>
      <c r="F51" s="433" t="s">
        <v>7582</v>
      </c>
      <c r="G51" s="433" t="s">
        <v>7583</v>
      </c>
      <c r="H51" s="434">
        <v>1.5</v>
      </c>
      <c r="I51" s="433" t="s">
        <v>7834</v>
      </c>
      <c r="J51" s="433" t="s">
        <v>7347</v>
      </c>
      <c r="K51" s="438" t="s">
        <v>8275</v>
      </c>
      <c r="L51" s="439" t="s">
        <v>8300</v>
      </c>
      <c r="M51" s="448" t="s">
        <v>8337</v>
      </c>
      <c r="N51" s="448" t="s">
        <v>8588</v>
      </c>
      <c r="O51" s="439" t="s">
        <v>8669</v>
      </c>
      <c r="P51" s="439" t="s">
        <v>8672</v>
      </c>
      <c r="Q51" s="432" t="s">
        <v>2234</v>
      </c>
      <c r="R51" s="432" t="s">
        <v>4</v>
      </c>
      <c r="S51" s="432"/>
      <c r="T51" s="432" t="s">
        <v>6408</v>
      </c>
    </row>
    <row r="52" spans="1:20" ht="22" customHeight="1">
      <c r="A52" s="432" t="s">
        <v>5336</v>
      </c>
      <c r="B52" s="432" t="s">
        <v>603</v>
      </c>
      <c r="C52" s="451" t="s">
        <v>8705</v>
      </c>
      <c r="D52" s="432"/>
      <c r="E52" s="433" t="s">
        <v>7541</v>
      </c>
      <c r="F52" s="433" t="s">
        <v>7584</v>
      </c>
      <c r="G52" s="433" t="s">
        <v>7585</v>
      </c>
      <c r="H52" s="434">
        <v>1.5</v>
      </c>
      <c r="I52" s="433" t="s">
        <v>7841</v>
      </c>
      <c r="J52" s="433" t="s">
        <v>7352</v>
      </c>
      <c r="K52" s="438" t="s">
        <v>8278</v>
      </c>
      <c r="L52" s="439" t="s">
        <v>8299</v>
      </c>
      <c r="M52" s="448" t="s">
        <v>8340</v>
      </c>
      <c r="N52" s="448" t="s">
        <v>8588</v>
      </c>
      <c r="O52" s="439" t="s">
        <v>8667</v>
      </c>
      <c r="P52" s="439" t="s">
        <v>8671</v>
      </c>
      <c r="Q52" s="432" t="s">
        <v>2234</v>
      </c>
      <c r="R52" s="432" t="s">
        <v>4</v>
      </c>
      <c r="S52" s="432"/>
      <c r="T52" s="432" t="s">
        <v>6427</v>
      </c>
    </row>
    <row r="53" spans="1:20" ht="22" customHeight="1">
      <c r="A53" s="432" t="s">
        <v>7542</v>
      </c>
      <c r="B53" s="432" t="s">
        <v>603</v>
      </c>
      <c r="C53" s="451" t="s">
        <v>8705</v>
      </c>
      <c r="D53" s="432"/>
      <c r="E53" s="433" t="s">
        <v>7543</v>
      </c>
      <c r="F53" s="433" t="s">
        <v>7544</v>
      </c>
      <c r="G53" s="433" t="s">
        <v>7545</v>
      </c>
      <c r="H53" s="434">
        <v>0.5</v>
      </c>
      <c r="I53" s="433" t="s">
        <v>7840</v>
      </c>
      <c r="J53" s="433" t="s">
        <v>7350</v>
      </c>
      <c r="K53" s="438" t="s">
        <v>8277</v>
      </c>
      <c r="L53" s="439" t="s">
        <v>8292</v>
      </c>
      <c r="M53" s="448" t="s">
        <v>8339</v>
      </c>
      <c r="N53" s="448" t="s">
        <v>8588</v>
      </c>
      <c r="O53" s="439" t="s">
        <v>8669</v>
      </c>
      <c r="P53" s="439" t="s">
        <v>8672</v>
      </c>
      <c r="Q53" s="432" t="s">
        <v>2234</v>
      </c>
      <c r="R53" s="432" t="s">
        <v>4</v>
      </c>
      <c r="S53" s="432"/>
      <c r="T53" s="432" t="s">
        <v>6422</v>
      </c>
    </row>
    <row r="54" spans="1:20" ht="22" customHeight="1">
      <c r="A54" s="432" t="s">
        <v>7546</v>
      </c>
      <c r="B54" s="432" t="s">
        <v>603</v>
      </c>
      <c r="C54" s="451" t="s">
        <v>8705</v>
      </c>
      <c r="D54" s="432"/>
      <c r="E54" s="433" t="s">
        <v>7547</v>
      </c>
      <c r="F54" s="433" t="s">
        <v>7548</v>
      </c>
      <c r="G54" s="433" t="s">
        <v>7549</v>
      </c>
      <c r="H54" s="434">
        <v>1</v>
      </c>
      <c r="I54" s="433" t="s">
        <v>7858</v>
      </c>
      <c r="J54" s="433" t="s">
        <v>7363</v>
      </c>
      <c r="K54" s="438" t="s">
        <v>8277</v>
      </c>
      <c r="L54" s="439" t="s">
        <v>8296</v>
      </c>
      <c r="M54" s="448" t="s">
        <v>8680</v>
      </c>
      <c r="N54" s="448" t="s">
        <v>8588</v>
      </c>
      <c r="O54" s="439" t="s">
        <v>8667</v>
      </c>
      <c r="P54" s="439" t="s">
        <v>8672</v>
      </c>
      <c r="Q54" s="432" t="s">
        <v>2234</v>
      </c>
      <c r="R54" s="432" t="s">
        <v>4</v>
      </c>
      <c r="S54" s="432"/>
      <c r="T54" s="432" t="s">
        <v>6487</v>
      </c>
    </row>
    <row r="55" spans="1:20" ht="22" customHeight="1">
      <c r="A55" s="432" t="s">
        <v>7550</v>
      </c>
      <c r="B55" s="432" t="s">
        <v>603</v>
      </c>
      <c r="C55" s="451" t="s">
        <v>8705</v>
      </c>
      <c r="D55" s="432"/>
      <c r="E55" s="433" t="s">
        <v>7551</v>
      </c>
      <c r="F55" s="433" t="s">
        <v>7552</v>
      </c>
      <c r="G55" s="433" t="s">
        <v>7553</v>
      </c>
      <c r="H55" s="434">
        <v>0.5</v>
      </c>
      <c r="I55" s="433" t="s">
        <v>2740</v>
      </c>
      <c r="J55" s="433" t="s">
        <v>7955</v>
      </c>
      <c r="K55" s="438" t="s">
        <v>8277</v>
      </c>
      <c r="L55" s="439" t="s">
        <v>8307</v>
      </c>
      <c r="M55" s="448" t="s">
        <v>8316</v>
      </c>
      <c r="N55" s="448" t="s">
        <v>8588</v>
      </c>
      <c r="O55" s="439" t="s">
        <v>8669</v>
      </c>
      <c r="P55" s="439" t="s">
        <v>8671</v>
      </c>
      <c r="Q55" s="432" t="s">
        <v>2234</v>
      </c>
      <c r="R55" s="432" t="s">
        <v>4</v>
      </c>
      <c r="S55" s="432"/>
      <c r="T55" s="432" t="s">
        <v>2740</v>
      </c>
    </row>
    <row r="56" spans="1:20" ht="22" customHeight="1">
      <c r="A56" s="432" t="s">
        <v>605</v>
      </c>
      <c r="B56" s="432" t="s">
        <v>605</v>
      </c>
      <c r="C56" s="451" t="s">
        <v>8705</v>
      </c>
      <c r="D56" s="432"/>
      <c r="E56" s="433" t="s">
        <v>606</v>
      </c>
      <c r="F56" s="433" t="s">
        <v>6735</v>
      </c>
      <c r="G56" s="433" t="s">
        <v>6731</v>
      </c>
      <c r="H56" s="434">
        <v>0</v>
      </c>
      <c r="I56" s="433" t="s">
        <v>2740</v>
      </c>
      <c r="J56" s="433" t="s">
        <v>7289</v>
      </c>
      <c r="K56" s="438" t="s">
        <v>8277</v>
      </c>
      <c r="L56" s="439" t="s">
        <v>8307</v>
      </c>
      <c r="M56" s="448" t="s">
        <v>8316</v>
      </c>
      <c r="N56" s="448" t="s">
        <v>8588</v>
      </c>
      <c r="O56" s="439" t="s">
        <v>8669</v>
      </c>
      <c r="P56" s="439" t="s">
        <v>8671</v>
      </c>
      <c r="Q56" s="432" t="s">
        <v>2234</v>
      </c>
      <c r="R56" s="432" t="s">
        <v>5312</v>
      </c>
      <c r="S56" s="432"/>
      <c r="T56" s="432" t="s">
        <v>2234</v>
      </c>
    </row>
    <row r="57" spans="1:20" ht="22" customHeight="1">
      <c r="A57" s="432" t="s">
        <v>607</v>
      </c>
      <c r="B57" s="432" t="s">
        <v>607</v>
      </c>
      <c r="C57" s="451" t="s">
        <v>8705</v>
      </c>
      <c r="D57" s="432"/>
      <c r="E57" s="433" t="s">
        <v>7554</v>
      </c>
      <c r="F57" s="433" t="s">
        <v>7251</v>
      </c>
      <c r="G57" s="433" t="s">
        <v>7252</v>
      </c>
      <c r="H57" s="434">
        <v>2</v>
      </c>
      <c r="I57" s="433" t="s">
        <v>7817</v>
      </c>
      <c r="J57" s="433" t="s">
        <v>7309</v>
      </c>
      <c r="K57" s="438" t="s">
        <v>8277</v>
      </c>
      <c r="L57" s="439" t="s">
        <v>8292</v>
      </c>
      <c r="M57" s="448" t="s">
        <v>8318</v>
      </c>
      <c r="N57" s="448" t="s">
        <v>8588</v>
      </c>
      <c r="O57" s="439" t="s">
        <v>8668</v>
      </c>
      <c r="P57" s="439" t="s">
        <v>8671</v>
      </c>
      <c r="Q57" s="432" t="s">
        <v>538</v>
      </c>
      <c r="R57" s="432" t="s">
        <v>4</v>
      </c>
      <c r="S57" s="432"/>
      <c r="T57" s="432" t="s">
        <v>6287</v>
      </c>
    </row>
    <row r="58" spans="1:20" ht="22" customHeight="1">
      <c r="A58" s="432" t="s">
        <v>609</v>
      </c>
      <c r="B58" s="432" t="s">
        <v>609</v>
      </c>
      <c r="C58" s="451" t="s">
        <v>8705</v>
      </c>
      <c r="D58" s="432"/>
      <c r="E58" s="433" t="s">
        <v>7555</v>
      </c>
      <c r="F58" s="433" t="s">
        <v>7253</v>
      </c>
      <c r="G58" s="433" t="s">
        <v>7254</v>
      </c>
      <c r="H58" s="434">
        <v>3</v>
      </c>
      <c r="I58" s="433" t="s">
        <v>7956</v>
      </c>
      <c r="J58" s="433" t="s">
        <v>7386</v>
      </c>
      <c r="K58" s="438" t="s">
        <v>8277</v>
      </c>
      <c r="L58" s="439" t="s">
        <v>8293</v>
      </c>
      <c r="M58" s="448" t="s">
        <v>8344</v>
      </c>
      <c r="N58" s="448" t="s">
        <v>8588</v>
      </c>
      <c r="O58" s="439" t="s">
        <v>8669</v>
      </c>
      <c r="P58" s="439" t="s">
        <v>8671</v>
      </c>
      <c r="Q58" s="432" t="s">
        <v>546</v>
      </c>
      <c r="R58" s="432" t="s">
        <v>4</v>
      </c>
      <c r="S58" s="432"/>
      <c r="T58" s="432" t="s">
        <v>6712</v>
      </c>
    </row>
    <row r="59" spans="1:20" ht="22" customHeight="1">
      <c r="A59" s="432" t="s">
        <v>611</v>
      </c>
      <c r="B59" s="432" t="s">
        <v>611</v>
      </c>
      <c r="C59" s="451" t="s">
        <v>8705</v>
      </c>
      <c r="D59" s="432"/>
      <c r="E59" s="433" t="s">
        <v>7556</v>
      </c>
      <c r="F59" s="433" t="s">
        <v>7255</v>
      </c>
      <c r="G59" s="433" t="s">
        <v>7256</v>
      </c>
      <c r="H59" s="434">
        <v>2</v>
      </c>
      <c r="I59" s="433" t="s">
        <v>7820</v>
      </c>
      <c r="J59" s="433" t="s">
        <v>7322</v>
      </c>
      <c r="K59" s="438" t="s">
        <v>8277</v>
      </c>
      <c r="L59" s="439" t="s">
        <v>8296</v>
      </c>
      <c r="M59" s="448" t="s">
        <v>8330</v>
      </c>
      <c r="N59" s="448" t="s">
        <v>8588</v>
      </c>
      <c r="O59" s="439" t="s">
        <v>8665</v>
      </c>
      <c r="P59" s="439" t="s">
        <v>8671</v>
      </c>
      <c r="Q59" s="432" t="s">
        <v>2234</v>
      </c>
      <c r="R59" s="432" t="s">
        <v>4</v>
      </c>
      <c r="S59" s="432"/>
      <c r="T59" s="432" t="s">
        <v>6324</v>
      </c>
    </row>
    <row r="60" spans="1:20" ht="22" customHeight="1">
      <c r="A60" s="432" t="s">
        <v>613</v>
      </c>
      <c r="B60" s="432" t="s">
        <v>613</v>
      </c>
      <c r="C60" s="451" t="s">
        <v>8705</v>
      </c>
      <c r="D60" s="432"/>
      <c r="E60" s="433" t="s">
        <v>7557</v>
      </c>
      <c r="F60" s="433" t="s">
        <v>7257</v>
      </c>
      <c r="G60" s="433" t="s">
        <v>7258</v>
      </c>
      <c r="H60" s="434">
        <v>1</v>
      </c>
      <c r="I60" s="433" t="s">
        <v>7816</v>
      </c>
      <c r="J60" s="433" t="s">
        <v>7387</v>
      </c>
      <c r="K60" s="438" t="s">
        <v>8277</v>
      </c>
      <c r="L60" s="439" t="s">
        <v>8293</v>
      </c>
      <c r="M60" s="448" t="s">
        <v>8327</v>
      </c>
      <c r="N60" s="448" t="s">
        <v>8588</v>
      </c>
      <c r="O60" s="439" t="s">
        <v>8665</v>
      </c>
      <c r="P60" s="439" t="s">
        <v>8672</v>
      </c>
      <c r="Q60" s="432" t="s">
        <v>2234</v>
      </c>
      <c r="R60" s="432" t="s">
        <v>4</v>
      </c>
      <c r="S60" s="432"/>
      <c r="T60" s="432" t="s">
        <v>6713</v>
      </c>
    </row>
    <row r="61" spans="1:20" ht="22" customHeight="1">
      <c r="A61" s="432" t="s">
        <v>615</v>
      </c>
      <c r="B61" s="432" t="s">
        <v>615</v>
      </c>
      <c r="C61" s="451" t="s">
        <v>8705</v>
      </c>
      <c r="D61" s="432"/>
      <c r="E61" s="433" t="s">
        <v>7558</v>
      </c>
      <c r="F61" s="433" t="s">
        <v>7259</v>
      </c>
      <c r="G61" s="433" t="s">
        <v>7260</v>
      </c>
      <c r="H61" s="434">
        <v>2</v>
      </c>
      <c r="I61" s="433" t="s">
        <v>2740</v>
      </c>
      <c r="J61" s="433" t="s">
        <v>7289</v>
      </c>
      <c r="K61" s="438" t="s">
        <v>8277</v>
      </c>
      <c r="L61" s="439" t="s">
        <v>8307</v>
      </c>
      <c r="M61" s="448" t="s">
        <v>8316</v>
      </c>
      <c r="N61" s="448" t="s">
        <v>8588</v>
      </c>
      <c r="O61" s="439" t="s">
        <v>8669</v>
      </c>
      <c r="P61" s="439" t="s">
        <v>8671</v>
      </c>
      <c r="Q61" s="432" t="s">
        <v>653</v>
      </c>
      <c r="R61" s="432" t="s">
        <v>4</v>
      </c>
      <c r="S61" s="432"/>
      <c r="T61" s="432" t="s">
        <v>2234</v>
      </c>
    </row>
    <row r="62" spans="1:20" ht="22" customHeight="1">
      <c r="A62" s="432" t="s">
        <v>5337</v>
      </c>
      <c r="B62" s="432" t="s">
        <v>6102</v>
      </c>
      <c r="C62" s="451" t="s">
        <v>8704</v>
      </c>
      <c r="D62" s="432"/>
      <c r="E62" s="433" t="s">
        <v>7559</v>
      </c>
      <c r="F62" s="433" t="s">
        <v>7261</v>
      </c>
      <c r="G62" s="433" t="s">
        <v>7262</v>
      </c>
      <c r="H62" s="434">
        <v>2</v>
      </c>
      <c r="I62" s="433" t="s">
        <v>7853</v>
      </c>
      <c r="J62" s="433" t="s">
        <v>7385</v>
      </c>
      <c r="K62" s="438" t="s">
        <v>8277</v>
      </c>
      <c r="L62" s="439" t="s">
        <v>8295</v>
      </c>
      <c r="M62" s="448" t="s">
        <v>8320</v>
      </c>
      <c r="N62" s="448" t="s">
        <v>8588</v>
      </c>
      <c r="O62" s="439" t="s">
        <v>8669</v>
      </c>
      <c r="P62" s="439" t="s">
        <v>8672</v>
      </c>
      <c r="Q62" s="432" t="s">
        <v>5338</v>
      </c>
      <c r="R62" s="432" t="s">
        <v>4</v>
      </c>
      <c r="S62" s="432"/>
      <c r="T62" s="432" t="s">
        <v>6710</v>
      </c>
    </row>
    <row r="63" spans="1:20" ht="22" customHeight="1">
      <c r="A63" s="432" t="s">
        <v>5339</v>
      </c>
      <c r="B63" s="432" t="s">
        <v>6102</v>
      </c>
      <c r="C63" s="451" t="s">
        <v>8704</v>
      </c>
      <c r="D63" s="432"/>
      <c r="E63" s="433" t="s">
        <v>7560</v>
      </c>
      <c r="F63" s="433" t="s">
        <v>7263</v>
      </c>
      <c r="G63" s="433" t="s">
        <v>7264</v>
      </c>
      <c r="H63" s="434">
        <v>1</v>
      </c>
      <c r="I63" s="433" t="s">
        <v>7853</v>
      </c>
      <c r="J63" s="433" t="s">
        <v>7385</v>
      </c>
      <c r="K63" s="438" t="s">
        <v>8277</v>
      </c>
      <c r="L63" s="439" t="s">
        <v>8295</v>
      </c>
      <c r="M63" s="448" t="s">
        <v>8320</v>
      </c>
      <c r="N63" s="448" t="s">
        <v>8588</v>
      </c>
      <c r="O63" s="439" t="s">
        <v>8669</v>
      </c>
      <c r="P63" s="439" t="s">
        <v>8672</v>
      </c>
      <c r="Q63" s="432" t="s">
        <v>2234</v>
      </c>
      <c r="R63" s="432" t="s">
        <v>4</v>
      </c>
      <c r="S63" s="432"/>
      <c r="T63" s="432" t="s">
        <v>6710</v>
      </c>
    </row>
    <row r="64" spans="1:20" ht="22" customHeight="1">
      <c r="A64" s="432" t="s">
        <v>5340</v>
      </c>
      <c r="B64" s="432" t="s">
        <v>6102</v>
      </c>
      <c r="C64" s="451" t="s">
        <v>8704</v>
      </c>
      <c r="D64" s="432"/>
      <c r="E64" s="433" t="s">
        <v>7561</v>
      </c>
      <c r="F64" s="433" t="s">
        <v>7265</v>
      </c>
      <c r="G64" s="433" t="s">
        <v>7266</v>
      </c>
      <c r="H64" s="434">
        <v>1</v>
      </c>
      <c r="I64" s="433" t="s">
        <v>7853</v>
      </c>
      <c r="J64" s="433" t="s">
        <v>7385</v>
      </c>
      <c r="K64" s="438" t="s">
        <v>8277</v>
      </c>
      <c r="L64" s="439" t="s">
        <v>8295</v>
      </c>
      <c r="M64" s="448" t="s">
        <v>8320</v>
      </c>
      <c r="N64" s="448" t="s">
        <v>8588</v>
      </c>
      <c r="O64" s="439" t="s">
        <v>8669</v>
      </c>
      <c r="P64" s="439" t="s">
        <v>8672</v>
      </c>
      <c r="Q64" s="432" t="s">
        <v>2234</v>
      </c>
      <c r="R64" s="432" t="s">
        <v>4</v>
      </c>
      <c r="S64" s="432"/>
      <c r="T64" s="432" t="s">
        <v>6710</v>
      </c>
    </row>
    <row r="65" spans="1:20" ht="22" customHeight="1">
      <c r="A65" s="432" t="s">
        <v>5341</v>
      </c>
      <c r="B65" s="432" t="s">
        <v>6103</v>
      </c>
      <c r="C65" s="451" t="s">
        <v>8705</v>
      </c>
      <c r="D65" s="432"/>
      <c r="E65" s="433" t="s">
        <v>7562</v>
      </c>
      <c r="F65" s="433" t="s">
        <v>7267</v>
      </c>
      <c r="G65" s="433" t="s">
        <v>7268</v>
      </c>
      <c r="H65" s="434">
        <v>1</v>
      </c>
      <c r="I65" s="433" t="s">
        <v>7957</v>
      </c>
      <c r="J65" s="433" t="s">
        <v>7388</v>
      </c>
      <c r="K65" s="438" t="s">
        <v>8277</v>
      </c>
      <c r="L65" s="439" t="s">
        <v>8292</v>
      </c>
      <c r="M65" s="448" t="s">
        <v>8329</v>
      </c>
      <c r="N65" s="448" t="s">
        <v>8588</v>
      </c>
      <c r="O65" s="439" t="s">
        <v>8668</v>
      </c>
      <c r="P65" s="439" t="s">
        <v>8671</v>
      </c>
      <c r="Q65" s="432" t="s">
        <v>2234</v>
      </c>
      <c r="R65" s="432" t="s">
        <v>4</v>
      </c>
      <c r="S65" s="432"/>
      <c r="T65" s="432" t="s">
        <v>6714</v>
      </c>
    </row>
    <row r="66" spans="1:20" ht="22" customHeight="1">
      <c r="A66" s="432" t="s">
        <v>5342</v>
      </c>
      <c r="B66" s="432" t="s">
        <v>6103</v>
      </c>
      <c r="C66" s="451" t="s">
        <v>8705</v>
      </c>
      <c r="D66" s="432"/>
      <c r="E66" s="433" t="s">
        <v>7563</v>
      </c>
      <c r="F66" s="433" t="s">
        <v>7269</v>
      </c>
      <c r="G66" s="433" t="s">
        <v>7270</v>
      </c>
      <c r="H66" s="434">
        <v>1.5</v>
      </c>
      <c r="I66" s="433" t="s">
        <v>7827</v>
      </c>
      <c r="J66" s="433" t="s">
        <v>7331</v>
      </c>
      <c r="K66" s="438" t="s">
        <v>8277</v>
      </c>
      <c r="L66" s="439" t="s">
        <v>8292</v>
      </c>
      <c r="M66" s="448" t="s">
        <v>8334</v>
      </c>
      <c r="N66" s="448" t="s">
        <v>8588</v>
      </c>
      <c r="O66" s="439" t="s">
        <v>8669</v>
      </c>
      <c r="P66" s="439" t="s">
        <v>8672</v>
      </c>
      <c r="Q66" s="432" t="s">
        <v>2234</v>
      </c>
      <c r="R66" s="432" t="s">
        <v>4</v>
      </c>
      <c r="S66" s="432"/>
      <c r="T66" s="432" t="s">
        <v>6358</v>
      </c>
    </row>
    <row r="67" spans="1:20" ht="22" customHeight="1">
      <c r="A67" s="432" t="s">
        <v>5343</v>
      </c>
      <c r="B67" s="432" t="s">
        <v>6103</v>
      </c>
      <c r="C67" s="451" t="s">
        <v>8705</v>
      </c>
      <c r="D67" s="432"/>
      <c r="E67" s="433" t="s">
        <v>7564</v>
      </c>
      <c r="F67" s="433" t="s">
        <v>7271</v>
      </c>
      <c r="G67" s="433" t="s">
        <v>7268</v>
      </c>
      <c r="H67" s="434">
        <v>1</v>
      </c>
      <c r="I67" s="433" t="s">
        <v>7818</v>
      </c>
      <c r="J67" s="433" t="s">
        <v>7314</v>
      </c>
      <c r="K67" s="438" t="s">
        <v>8277</v>
      </c>
      <c r="L67" s="439" t="s">
        <v>8294</v>
      </c>
      <c r="M67" s="448" t="s">
        <v>8329</v>
      </c>
      <c r="N67" s="448" t="s">
        <v>8588</v>
      </c>
      <c r="O67" s="439" t="s">
        <v>8668</v>
      </c>
      <c r="P67" s="439" t="s">
        <v>8671</v>
      </c>
      <c r="Q67" s="432" t="s">
        <v>2234</v>
      </c>
      <c r="R67" s="432" t="s">
        <v>4</v>
      </c>
      <c r="S67" s="432"/>
      <c r="T67" s="432" t="s">
        <v>6303</v>
      </c>
    </row>
    <row r="68" spans="1:20" ht="22" customHeight="1">
      <c r="A68" s="432" t="s">
        <v>5344</v>
      </c>
      <c r="B68" s="432" t="s">
        <v>6103</v>
      </c>
      <c r="C68" s="451" t="s">
        <v>8705</v>
      </c>
      <c r="D68" s="432"/>
      <c r="E68" s="433" t="s">
        <v>7565</v>
      </c>
      <c r="F68" s="433" t="s">
        <v>7272</v>
      </c>
      <c r="G68" s="433" t="s">
        <v>7273</v>
      </c>
      <c r="H68" s="434">
        <v>1</v>
      </c>
      <c r="I68" s="433" t="s">
        <v>7818</v>
      </c>
      <c r="J68" s="433" t="s">
        <v>7314</v>
      </c>
      <c r="K68" s="438" t="s">
        <v>8277</v>
      </c>
      <c r="L68" s="439" t="s">
        <v>8294</v>
      </c>
      <c r="M68" s="448" t="s">
        <v>8329</v>
      </c>
      <c r="N68" s="448" t="s">
        <v>8588</v>
      </c>
      <c r="O68" s="439" t="s">
        <v>8668</v>
      </c>
      <c r="P68" s="439" t="s">
        <v>8671</v>
      </c>
      <c r="Q68" s="432" t="s">
        <v>2234</v>
      </c>
      <c r="R68" s="432" t="s">
        <v>4</v>
      </c>
      <c r="S68" s="432"/>
      <c r="T68" s="432" t="s">
        <v>6303</v>
      </c>
    </row>
    <row r="69" spans="1:20" ht="22" customHeight="1">
      <c r="A69" s="432" t="s">
        <v>5345</v>
      </c>
      <c r="B69" s="432" t="s">
        <v>6103</v>
      </c>
      <c r="C69" s="451" t="s">
        <v>8705</v>
      </c>
      <c r="D69" s="432"/>
      <c r="E69" s="433" t="s">
        <v>7566</v>
      </c>
      <c r="F69" s="433" t="s">
        <v>7274</v>
      </c>
      <c r="G69" s="433" t="s">
        <v>7115</v>
      </c>
      <c r="H69" s="434">
        <v>0.5</v>
      </c>
      <c r="I69" s="433" t="s">
        <v>7957</v>
      </c>
      <c r="J69" s="433" t="s">
        <v>7388</v>
      </c>
      <c r="K69" s="438" t="s">
        <v>8277</v>
      </c>
      <c r="L69" s="439" t="s">
        <v>8292</v>
      </c>
      <c r="M69" s="448" t="s">
        <v>8329</v>
      </c>
      <c r="N69" s="448" t="s">
        <v>8588</v>
      </c>
      <c r="O69" s="439" t="s">
        <v>8668</v>
      </c>
      <c r="P69" s="439" t="s">
        <v>8671</v>
      </c>
      <c r="Q69" s="432" t="s">
        <v>5346</v>
      </c>
      <c r="R69" s="432" t="s">
        <v>4</v>
      </c>
      <c r="S69" s="432"/>
      <c r="T69" s="432" t="s">
        <v>6714</v>
      </c>
    </row>
    <row r="70" spans="1:20" ht="22" customHeight="1">
      <c r="A70" s="432" t="s">
        <v>5347</v>
      </c>
      <c r="B70" s="432" t="s">
        <v>6104</v>
      </c>
      <c r="C70" s="451" t="s">
        <v>8705</v>
      </c>
      <c r="D70" s="432"/>
      <c r="E70" s="433" t="s">
        <v>7567</v>
      </c>
      <c r="F70" s="433" t="s">
        <v>7275</v>
      </c>
      <c r="G70" s="433" t="s">
        <v>7276</v>
      </c>
      <c r="H70" s="434">
        <v>2</v>
      </c>
      <c r="I70" s="433" t="s">
        <v>2740</v>
      </c>
      <c r="J70" s="433" t="s">
        <v>7289</v>
      </c>
      <c r="K70" s="438" t="s">
        <v>8277</v>
      </c>
      <c r="L70" s="439" t="s">
        <v>8307</v>
      </c>
      <c r="M70" s="448" t="s">
        <v>8316</v>
      </c>
      <c r="N70" s="448" t="s">
        <v>8713</v>
      </c>
      <c r="O70" s="439" t="s">
        <v>8669</v>
      </c>
      <c r="P70" s="439" t="s">
        <v>8671</v>
      </c>
      <c r="Q70" s="432" t="s">
        <v>2234</v>
      </c>
      <c r="R70" s="432" t="s">
        <v>4</v>
      </c>
      <c r="S70" s="432"/>
      <c r="T70" s="432" t="s">
        <v>2234</v>
      </c>
    </row>
    <row r="71" spans="1:20" ht="22" customHeight="1">
      <c r="A71" s="432" t="s">
        <v>5329</v>
      </c>
      <c r="B71" s="432" t="s">
        <v>6104</v>
      </c>
      <c r="C71" s="451" t="s">
        <v>8705</v>
      </c>
      <c r="D71" s="432"/>
      <c r="E71" s="433" t="s">
        <v>7568</v>
      </c>
      <c r="F71" s="433" t="s">
        <v>7277</v>
      </c>
      <c r="G71" s="433" t="s">
        <v>7278</v>
      </c>
      <c r="H71" s="434">
        <v>3</v>
      </c>
      <c r="I71" s="433" t="s">
        <v>2740</v>
      </c>
      <c r="J71" s="433" t="s">
        <v>7289</v>
      </c>
      <c r="K71" s="438" t="s">
        <v>8277</v>
      </c>
      <c r="L71" s="439" t="s">
        <v>8307</v>
      </c>
      <c r="M71" s="448" t="s">
        <v>8316</v>
      </c>
      <c r="N71" s="448" t="s">
        <v>8713</v>
      </c>
      <c r="O71" s="439" t="s">
        <v>8669</v>
      </c>
      <c r="P71" s="439" t="s">
        <v>8671</v>
      </c>
      <c r="Q71" s="432" t="s">
        <v>5347</v>
      </c>
      <c r="R71" s="432" t="s">
        <v>4</v>
      </c>
      <c r="S71" s="432"/>
      <c r="T71" s="432" t="s">
        <v>2234</v>
      </c>
    </row>
    <row r="72" spans="1:20" ht="22" customHeight="1">
      <c r="A72" s="432" t="s">
        <v>5348</v>
      </c>
      <c r="B72" s="432" t="s">
        <v>6105</v>
      </c>
      <c r="C72" s="451" t="s">
        <v>8705</v>
      </c>
      <c r="D72" s="432"/>
      <c r="E72" s="433" t="s">
        <v>7569</v>
      </c>
      <c r="F72" s="433" t="s">
        <v>7279</v>
      </c>
      <c r="G72" s="433" t="s">
        <v>7280</v>
      </c>
      <c r="H72" s="434">
        <v>4</v>
      </c>
      <c r="I72" s="433" t="s">
        <v>2740</v>
      </c>
      <c r="J72" s="433" t="s">
        <v>7289</v>
      </c>
      <c r="K72" s="438" t="s">
        <v>8277</v>
      </c>
      <c r="L72" s="439" t="s">
        <v>8307</v>
      </c>
      <c r="M72" s="448" t="s">
        <v>8316</v>
      </c>
      <c r="N72" s="448" t="s">
        <v>8713</v>
      </c>
      <c r="O72" s="439" t="s">
        <v>8669</v>
      </c>
      <c r="P72" s="439" t="s">
        <v>8671</v>
      </c>
      <c r="Q72" s="432" t="s">
        <v>5329</v>
      </c>
      <c r="R72" s="432" t="s">
        <v>4</v>
      </c>
      <c r="S72" s="432"/>
      <c r="T72" s="432" t="s">
        <v>2234</v>
      </c>
    </row>
    <row r="73" spans="1:20" ht="22" customHeight="1">
      <c r="A73" s="432" t="s">
        <v>5349</v>
      </c>
      <c r="B73" s="432" t="s">
        <v>6105</v>
      </c>
      <c r="C73" s="451" t="s">
        <v>8705</v>
      </c>
      <c r="D73" s="432"/>
      <c r="E73" s="433" t="s">
        <v>7570</v>
      </c>
      <c r="F73" s="433" t="s">
        <v>7281</v>
      </c>
      <c r="G73" s="433" t="s">
        <v>7282</v>
      </c>
      <c r="H73" s="434">
        <v>2</v>
      </c>
      <c r="I73" s="433" t="s">
        <v>2740</v>
      </c>
      <c r="J73" s="433" t="s">
        <v>7289</v>
      </c>
      <c r="K73" s="438" t="s">
        <v>8277</v>
      </c>
      <c r="L73" s="439" t="s">
        <v>8307</v>
      </c>
      <c r="M73" s="448" t="s">
        <v>8316</v>
      </c>
      <c r="N73" s="448" t="s">
        <v>8713</v>
      </c>
      <c r="O73" s="439" t="s">
        <v>8669</v>
      </c>
      <c r="P73" s="439" t="s">
        <v>8671</v>
      </c>
      <c r="Q73" s="432" t="s">
        <v>5348</v>
      </c>
      <c r="R73" s="432" t="s">
        <v>4</v>
      </c>
      <c r="S73" s="432"/>
      <c r="T73" s="432" t="s">
        <v>2234</v>
      </c>
    </row>
    <row r="74" spans="1:20" ht="22" customHeight="1">
      <c r="A74" s="432" t="s">
        <v>8590</v>
      </c>
      <c r="B74" s="432" t="s">
        <v>6105</v>
      </c>
      <c r="C74" s="451" t="s">
        <v>8704</v>
      </c>
      <c r="D74" s="432"/>
      <c r="E74" s="433" t="s">
        <v>8591</v>
      </c>
      <c r="F74" s="433" t="s">
        <v>8592</v>
      </c>
      <c r="G74" s="433" t="s">
        <v>8593</v>
      </c>
      <c r="H74" s="434">
        <v>2</v>
      </c>
      <c r="I74" s="433" t="s">
        <v>2740</v>
      </c>
      <c r="J74" s="433" t="s">
        <v>7290</v>
      </c>
      <c r="K74" s="438" t="s">
        <v>8277</v>
      </c>
      <c r="L74" s="439" t="s">
        <v>8302</v>
      </c>
      <c r="M74" s="448" t="s">
        <v>8678</v>
      </c>
      <c r="N74" s="448" t="s">
        <v>8588</v>
      </c>
      <c r="O74" s="439" t="s">
        <v>8669</v>
      </c>
      <c r="P74" s="439" t="s">
        <v>8671</v>
      </c>
      <c r="Q74" s="432" t="s">
        <v>2234</v>
      </c>
      <c r="R74" s="432" t="s">
        <v>4</v>
      </c>
      <c r="S74" s="432"/>
      <c r="T74" s="432" t="s">
        <v>2234</v>
      </c>
    </row>
    <row r="75" spans="1:20" ht="22" customHeight="1">
      <c r="A75" s="432" t="s">
        <v>8594</v>
      </c>
      <c r="B75" s="432" t="s">
        <v>6105</v>
      </c>
      <c r="C75" s="451" t="s">
        <v>8705</v>
      </c>
      <c r="D75" s="432"/>
      <c r="E75" s="433" t="s">
        <v>8595</v>
      </c>
      <c r="F75" s="433" t="s">
        <v>8596</v>
      </c>
      <c r="G75" s="433" t="s">
        <v>8597</v>
      </c>
      <c r="H75" s="434">
        <v>0.5</v>
      </c>
      <c r="I75" s="433" t="s">
        <v>2740</v>
      </c>
      <c r="J75" s="433" t="s">
        <v>7290</v>
      </c>
      <c r="K75" s="438" t="s">
        <v>8277</v>
      </c>
      <c r="L75" s="439" t="s">
        <v>8307</v>
      </c>
      <c r="M75" s="448" t="s">
        <v>8679</v>
      </c>
      <c r="N75" s="448" t="s">
        <v>8588</v>
      </c>
      <c r="O75" s="439" t="s">
        <v>8669</v>
      </c>
      <c r="P75" s="439" t="s">
        <v>8671</v>
      </c>
      <c r="Q75" s="432" t="s">
        <v>2234</v>
      </c>
      <c r="R75" s="432" t="s">
        <v>4</v>
      </c>
      <c r="S75" s="432"/>
      <c r="T75" s="432" t="s">
        <v>2234</v>
      </c>
    </row>
    <row r="76" spans="1:20" ht="22" customHeight="1">
      <c r="A76" s="432" t="s">
        <v>5331</v>
      </c>
      <c r="B76" s="432" t="s">
        <v>5331</v>
      </c>
      <c r="C76" s="451" t="s">
        <v>8705</v>
      </c>
      <c r="D76" s="432"/>
      <c r="E76" s="433" t="s">
        <v>7571</v>
      </c>
      <c r="F76" s="433" t="s">
        <v>7283</v>
      </c>
      <c r="G76" s="433" t="s">
        <v>7284</v>
      </c>
      <c r="H76" s="434">
        <v>5</v>
      </c>
      <c r="I76" s="433" t="s">
        <v>2740</v>
      </c>
      <c r="J76" s="433" t="s">
        <v>7289</v>
      </c>
      <c r="K76" s="438" t="s">
        <v>8277</v>
      </c>
      <c r="L76" s="439" t="s">
        <v>8307</v>
      </c>
      <c r="M76" s="448" t="s">
        <v>8316</v>
      </c>
      <c r="N76" s="448" t="s">
        <v>8588</v>
      </c>
      <c r="O76" s="439" t="s">
        <v>8665</v>
      </c>
      <c r="P76" s="439" t="s">
        <v>8671</v>
      </c>
      <c r="Q76" s="432" t="s">
        <v>2234</v>
      </c>
      <c r="R76" s="432" t="s">
        <v>4</v>
      </c>
      <c r="S76" s="432"/>
      <c r="T76" s="432" t="s">
        <v>2234</v>
      </c>
    </row>
    <row r="77" spans="1:20" ht="22" customHeight="1">
      <c r="A77" s="432" t="s">
        <v>5350</v>
      </c>
      <c r="B77" s="432" t="s">
        <v>5350</v>
      </c>
      <c r="C77" s="451" t="s">
        <v>8705</v>
      </c>
      <c r="D77" s="432"/>
      <c r="E77" s="433" t="s">
        <v>7572</v>
      </c>
      <c r="F77" s="433" t="s">
        <v>7285</v>
      </c>
      <c r="G77" s="433" t="s">
        <v>7286</v>
      </c>
      <c r="H77" s="434">
        <v>2</v>
      </c>
      <c r="I77" s="433" t="s">
        <v>2740</v>
      </c>
      <c r="J77" s="433" t="s">
        <v>7289</v>
      </c>
      <c r="K77" s="438" t="s">
        <v>8277</v>
      </c>
      <c r="L77" s="439" t="s">
        <v>8307</v>
      </c>
      <c r="M77" s="448" t="s">
        <v>8316</v>
      </c>
      <c r="N77" s="448" t="s">
        <v>8588</v>
      </c>
      <c r="O77" s="439" t="s">
        <v>8669</v>
      </c>
      <c r="P77" s="439" t="s">
        <v>8671</v>
      </c>
      <c r="Q77" s="432" t="s">
        <v>2234</v>
      </c>
      <c r="R77" s="432" t="s">
        <v>4</v>
      </c>
      <c r="S77" s="432"/>
      <c r="T77" s="432" t="s">
        <v>2234</v>
      </c>
    </row>
    <row r="78" spans="1:20" ht="22" customHeight="1">
      <c r="A78" s="432" t="s">
        <v>5351</v>
      </c>
      <c r="B78" s="432" t="s">
        <v>6106</v>
      </c>
      <c r="C78" s="451" t="s">
        <v>8705</v>
      </c>
      <c r="D78" s="432"/>
      <c r="E78" s="433" t="s">
        <v>7745</v>
      </c>
      <c r="F78" s="433" t="s">
        <v>7886</v>
      </c>
      <c r="G78" s="433" t="s">
        <v>7887</v>
      </c>
      <c r="H78" s="434">
        <v>2</v>
      </c>
      <c r="I78" s="433" t="s">
        <v>2740</v>
      </c>
      <c r="J78" s="433" t="s">
        <v>7290</v>
      </c>
      <c r="K78" s="438" t="s">
        <v>8277</v>
      </c>
      <c r="L78" s="439" t="s">
        <v>8307</v>
      </c>
      <c r="M78" s="448" t="s">
        <v>8371</v>
      </c>
      <c r="N78" s="448" t="s">
        <v>8588</v>
      </c>
      <c r="O78" s="439" t="s">
        <v>8666</v>
      </c>
      <c r="P78" s="439" t="s">
        <v>8671</v>
      </c>
      <c r="Q78" s="432" t="s">
        <v>2234</v>
      </c>
      <c r="R78" s="432" t="s">
        <v>4</v>
      </c>
      <c r="S78" s="432"/>
      <c r="T78" s="432" t="s">
        <v>2740</v>
      </c>
    </row>
    <row r="79" spans="1:20" ht="22" customHeight="1">
      <c r="A79" s="432" t="s">
        <v>5352</v>
      </c>
      <c r="B79" s="432" t="s">
        <v>6106</v>
      </c>
      <c r="C79" s="451" t="s">
        <v>8705</v>
      </c>
      <c r="D79" s="432"/>
      <c r="E79" s="433" t="s">
        <v>7746</v>
      </c>
      <c r="F79" s="433" t="s">
        <v>7888</v>
      </c>
      <c r="G79" s="433" t="s">
        <v>7889</v>
      </c>
      <c r="H79" s="434">
        <v>3</v>
      </c>
      <c r="I79" s="433" t="s">
        <v>2740</v>
      </c>
      <c r="J79" s="433" t="s">
        <v>7290</v>
      </c>
      <c r="K79" s="438" t="s">
        <v>8277</v>
      </c>
      <c r="L79" s="439" t="s">
        <v>8307</v>
      </c>
      <c r="M79" s="448" t="s">
        <v>8371</v>
      </c>
      <c r="N79" s="448" t="s">
        <v>8588</v>
      </c>
      <c r="O79" s="439" t="s">
        <v>8666</v>
      </c>
      <c r="P79" s="439" t="s">
        <v>8671</v>
      </c>
      <c r="Q79" s="432" t="s">
        <v>5351</v>
      </c>
      <c r="R79" s="432" t="s">
        <v>4</v>
      </c>
      <c r="S79" s="432"/>
      <c r="T79" s="432" t="s">
        <v>2740</v>
      </c>
    </row>
    <row r="80" spans="1:20" ht="22" customHeight="1">
      <c r="A80" s="432" t="s">
        <v>5353</v>
      </c>
      <c r="B80" s="432" t="s">
        <v>6106</v>
      </c>
      <c r="C80" s="451" t="s">
        <v>8705</v>
      </c>
      <c r="D80" s="432"/>
      <c r="E80" s="433" t="s">
        <v>7747</v>
      </c>
      <c r="F80" s="433" t="s">
        <v>7890</v>
      </c>
      <c r="G80" s="433" t="s">
        <v>7891</v>
      </c>
      <c r="H80" s="434">
        <v>3</v>
      </c>
      <c r="I80" s="433" t="s">
        <v>2740</v>
      </c>
      <c r="J80" s="433" t="s">
        <v>7290</v>
      </c>
      <c r="K80" s="438" t="s">
        <v>8277</v>
      </c>
      <c r="L80" s="439" t="s">
        <v>8307</v>
      </c>
      <c r="M80" s="448" t="s">
        <v>8371</v>
      </c>
      <c r="N80" s="448" t="s">
        <v>8588</v>
      </c>
      <c r="O80" s="439" t="s">
        <v>8666</v>
      </c>
      <c r="P80" s="439" t="s">
        <v>8671</v>
      </c>
      <c r="Q80" s="432" t="s">
        <v>5351</v>
      </c>
      <c r="R80" s="432" t="s">
        <v>4</v>
      </c>
      <c r="S80" s="432"/>
      <c r="T80" s="432" t="s">
        <v>2740</v>
      </c>
    </row>
    <row r="81" spans="1:20" ht="22" customHeight="1">
      <c r="A81" s="432" t="s">
        <v>628</v>
      </c>
      <c r="B81" s="432" t="s">
        <v>628</v>
      </c>
      <c r="C81" s="451" t="s">
        <v>8705</v>
      </c>
      <c r="D81" s="432"/>
      <c r="E81" s="433" t="s">
        <v>7748</v>
      </c>
      <c r="F81" s="433" t="s">
        <v>7892</v>
      </c>
      <c r="G81" s="433" t="s">
        <v>7893</v>
      </c>
      <c r="H81" s="434">
        <v>4</v>
      </c>
      <c r="I81" s="433" t="s">
        <v>2740</v>
      </c>
      <c r="J81" s="433" t="s">
        <v>7290</v>
      </c>
      <c r="K81" s="438" t="s">
        <v>8277</v>
      </c>
      <c r="L81" s="439" t="s">
        <v>8307</v>
      </c>
      <c r="M81" s="448" t="s">
        <v>8371</v>
      </c>
      <c r="N81" s="448" t="s">
        <v>8588</v>
      </c>
      <c r="O81" s="439" t="s">
        <v>8665</v>
      </c>
      <c r="P81" s="439" t="s">
        <v>8671</v>
      </c>
      <c r="Q81" s="432" t="s">
        <v>2234</v>
      </c>
      <c r="R81" s="432" t="s">
        <v>4</v>
      </c>
      <c r="S81" s="432"/>
      <c r="T81" s="432" t="s">
        <v>2740</v>
      </c>
    </row>
    <row r="82" spans="1:20" ht="22" customHeight="1">
      <c r="A82" s="432" t="s">
        <v>631</v>
      </c>
      <c r="B82" s="432" t="s">
        <v>631</v>
      </c>
      <c r="C82" s="451" t="s">
        <v>8705</v>
      </c>
      <c r="D82" s="432"/>
      <c r="E82" s="433" t="s">
        <v>7749</v>
      </c>
      <c r="F82" s="433" t="s">
        <v>7894</v>
      </c>
      <c r="G82" s="433" t="s">
        <v>7895</v>
      </c>
      <c r="H82" s="434">
        <v>4</v>
      </c>
      <c r="I82" s="433" t="s">
        <v>2740</v>
      </c>
      <c r="J82" s="433" t="s">
        <v>7290</v>
      </c>
      <c r="K82" s="438" t="s">
        <v>8277</v>
      </c>
      <c r="L82" s="439" t="s">
        <v>8307</v>
      </c>
      <c r="M82" s="448" t="s">
        <v>8371</v>
      </c>
      <c r="N82" s="448" t="s">
        <v>8588</v>
      </c>
      <c r="O82" s="439" t="s">
        <v>8666</v>
      </c>
      <c r="P82" s="439" t="s">
        <v>8671</v>
      </c>
      <c r="Q82" s="432" t="s">
        <v>2234</v>
      </c>
      <c r="R82" s="432" t="s">
        <v>4</v>
      </c>
      <c r="S82" s="432"/>
      <c r="T82" s="432" t="s">
        <v>2740</v>
      </c>
    </row>
    <row r="83" spans="1:20" ht="22" customHeight="1">
      <c r="A83" s="432" t="s">
        <v>633</v>
      </c>
      <c r="B83" s="432" t="s">
        <v>633</v>
      </c>
      <c r="C83" s="451" t="s">
        <v>8705</v>
      </c>
      <c r="D83" s="432"/>
      <c r="E83" s="433" t="s">
        <v>7750</v>
      </c>
      <c r="F83" s="433" t="s">
        <v>7896</v>
      </c>
      <c r="G83" s="433" t="s">
        <v>7897</v>
      </c>
      <c r="H83" s="434">
        <v>5</v>
      </c>
      <c r="I83" s="433" t="s">
        <v>2740</v>
      </c>
      <c r="J83" s="433" t="s">
        <v>7395</v>
      </c>
      <c r="K83" s="438" t="s">
        <v>8277</v>
      </c>
      <c r="L83" s="439" t="s">
        <v>8307</v>
      </c>
      <c r="M83" s="448" t="s">
        <v>8371</v>
      </c>
      <c r="N83" s="448" t="s">
        <v>8588</v>
      </c>
      <c r="O83" s="439" t="s">
        <v>8666</v>
      </c>
      <c r="P83" s="439" t="s">
        <v>8671</v>
      </c>
      <c r="Q83" s="432" t="s">
        <v>2234</v>
      </c>
      <c r="R83" s="432" t="s">
        <v>4</v>
      </c>
      <c r="S83" s="432"/>
      <c r="T83" s="432" t="s">
        <v>2740</v>
      </c>
    </row>
    <row r="84" spans="1:20" ht="22" customHeight="1">
      <c r="A84" s="432" t="s">
        <v>635</v>
      </c>
      <c r="B84" s="432" t="s">
        <v>635</v>
      </c>
      <c r="C84" s="451" t="s">
        <v>8705</v>
      </c>
      <c r="D84" s="432"/>
      <c r="E84" s="433" t="s">
        <v>7751</v>
      </c>
      <c r="F84" s="433" t="s">
        <v>7898</v>
      </c>
      <c r="G84" s="433" t="s">
        <v>7899</v>
      </c>
      <c r="H84" s="434">
        <v>5</v>
      </c>
      <c r="I84" s="433" t="s">
        <v>2740</v>
      </c>
      <c r="J84" s="433" t="s">
        <v>7290</v>
      </c>
      <c r="K84" s="438" t="s">
        <v>8277</v>
      </c>
      <c r="L84" s="439" t="s">
        <v>8307</v>
      </c>
      <c r="M84" s="448" t="s">
        <v>8371</v>
      </c>
      <c r="N84" s="448" t="s">
        <v>8588</v>
      </c>
      <c r="O84" s="439" t="s">
        <v>8666</v>
      </c>
      <c r="P84" s="439" t="s">
        <v>8671</v>
      </c>
      <c r="Q84" s="432" t="s">
        <v>550</v>
      </c>
      <c r="R84" s="432" t="s">
        <v>4</v>
      </c>
      <c r="S84" s="432"/>
      <c r="T84" s="432" t="s">
        <v>2740</v>
      </c>
    </row>
    <row r="85" spans="1:20" ht="22" customHeight="1">
      <c r="A85" s="432" t="s">
        <v>637</v>
      </c>
      <c r="B85" s="432" t="s">
        <v>637</v>
      </c>
      <c r="C85" s="451" t="s">
        <v>8705</v>
      </c>
      <c r="D85" s="432"/>
      <c r="E85" s="433" t="s">
        <v>7752</v>
      </c>
      <c r="F85" s="433" t="s">
        <v>7900</v>
      </c>
      <c r="G85" s="433" t="s">
        <v>7901</v>
      </c>
      <c r="H85" s="434">
        <v>3</v>
      </c>
      <c r="I85" s="433" t="s">
        <v>2740</v>
      </c>
      <c r="J85" s="433" t="s">
        <v>7290</v>
      </c>
      <c r="K85" s="438" t="s">
        <v>8277</v>
      </c>
      <c r="L85" s="439" t="s">
        <v>8307</v>
      </c>
      <c r="M85" s="448" t="s">
        <v>8371</v>
      </c>
      <c r="N85" s="448" t="s">
        <v>8588</v>
      </c>
      <c r="O85" s="439" t="s">
        <v>8666</v>
      </c>
      <c r="P85" s="439" t="s">
        <v>8671</v>
      </c>
      <c r="Q85" s="432" t="s">
        <v>2234</v>
      </c>
      <c r="R85" s="432" t="s">
        <v>4</v>
      </c>
      <c r="S85" s="432"/>
      <c r="T85" s="432" t="s">
        <v>2740</v>
      </c>
    </row>
    <row r="86" spans="1:20" ht="22" customHeight="1">
      <c r="A86" s="432" t="s">
        <v>639</v>
      </c>
      <c r="B86" s="432" t="s">
        <v>639</v>
      </c>
      <c r="C86" s="451" t="s">
        <v>8705</v>
      </c>
      <c r="D86" s="432"/>
      <c r="E86" s="433" t="s">
        <v>7753</v>
      </c>
      <c r="F86" s="433" t="s">
        <v>7902</v>
      </c>
      <c r="G86" s="433" t="s">
        <v>7903</v>
      </c>
      <c r="H86" s="434">
        <v>3</v>
      </c>
      <c r="I86" s="433" t="s">
        <v>7841</v>
      </c>
      <c r="J86" s="433" t="s">
        <v>7352</v>
      </c>
      <c r="K86" s="438" t="s">
        <v>8278</v>
      </c>
      <c r="L86" s="439" t="s">
        <v>8299</v>
      </c>
      <c r="M86" s="448" t="s">
        <v>8340</v>
      </c>
      <c r="N86" s="448" t="s">
        <v>8588</v>
      </c>
      <c r="O86" s="439" t="s">
        <v>8667</v>
      </c>
      <c r="P86" s="439" t="s">
        <v>8671</v>
      </c>
      <c r="Q86" s="432" t="s">
        <v>2234</v>
      </c>
      <c r="R86" s="432" t="s">
        <v>4</v>
      </c>
      <c r="S86" s="432"/>
      <c r="T86" s="432" t="s">
        <v>6427</v>
      </c>
    </row>
    <row r="87" spans="1:20" ht="22" customHeight="1">
      <c r="A87" s="432" t="s">
        <v>641</v>
      </c>
      <c r="B87" s="432" t="s">
        <v>641</v>
      </c>
      <c r="C87" s="451" t="s">
        <v>8705</v>
      </c>
      <c r="D87" s="432"/>
      <c r="E87" s="433" t="s">
        <v>7754</v>
      </c>
      <c r="F87" s="433" t="s">
        <v>7904</v>
      </c>
      <c r="G87" s="433" t="s">
        <v>7905</v>
      </c>
      <c r="H87" s="434">
        <v>1</v>
      </c>
      <c r="I87" s="433" t="s">
        <v>7820</v>
      </c>
      <c r="J87" s="433" t="s">
        <v>7906</v>
      </c>
      <c r="K87" s="438" t="s">
        <v>8277</v>
      </c>
      <c r="L87" s="439" t="s">
        <v>8296</v>
      </c>
      <c r="M87" s="448" t="s">
        <v>8330</v>
      </c>
      <c r="N87" s="448" t="s">
        <v>8588</v>
      </c>
      <c r="O87" s="439" t="s">
        <v>8665</v>
      </c>
      <c r="P87" s="439" t="s">
        <v>8671</v>
      </c>
      <c r="Q87" s="432" t="s">
        <v>2234</v>
      </c>
      <c r="R87" s="432" t="s">
        <v>4</v>
      </c>
      <c r="S87" s="432"/>
      <c r="T87" s="432" t="s">
        <v>6715</v>
      </c>
    </row>
    <row r="88" spans="1:20" ht="22" customHeight="1">
      <c r="A88" s="432" t="s">
        <v>644</v>
      </c>
      <c r="B88" s="432" t="s">
        <v>644</v>
      </c>
      <c r="C88" s="451" t="s">
        <v>8706</v>
      </c>
      <c r="D88" s="432"/>
      <c r="E88" s="433" t="s">
        <v>7755</v>
      </c>
      <c r="F88" s="433" t="s">
        <v>7907</v>
      </c>
      <c r="G88" s="433" t="s">
        <v>7908</v>
      </c>
      <c r="H88" s="434">
        <v>2</v>
      </c>
      <c r="I88" s="433" t="s">
        <v>2740</v>
      </c>
      <c r="J88" s="433" t="s">
        <v>7290</v>
      </c>
      <c r="K88" s="438" t="s">
        <v>8277</v>
      </c>
      <c r="L88" s="439" t="s">
        <v>8302</v>
      </c>
      <c r="M88" s="448" t="s">
        <v>8372</v>
      </c>
      <c r="N88" s="448" t="s">
        <v>8588</v>
      </c>
      <c r="O88" s="439" t="s">
        <v>8667</v>
      </c>
      <c r="P88" s="439" t="s">
        <v>8671</v>
      </c>
      <c r="Q88" s="432" t="s">
        <v>2234</v>
      </c>
      <c r="R88" s="432" t="s">
        <v>4</v>
      </c>
      <c r="S88" s="432"/>
      <c r="T88" s="432" t="s">
        <v>2740</v>
      </c>
    </row>
    <row r="89" spans="1:20" ht="22" customHeight="1">
      <c r="A89" s="432" t="s">
        <v>647</v>
      </c>
      <c r="B89" s="432" t="s">
        <v>647</v>
      </c>
      <c r="C89" s="451" t="s">
        <v>8706</v>
      </c>
      <c r="D89" s="432"/>
      <c r="E89" s="433" t="s">
        <v>7756</v>
      </c>
      <c r="F89" s="433" t="s">
        <v>7909</v>
      </c>
      <c r="G89" s="433" t="s">
        <v>7910</v>
      </c>
      <c r="H89" s="434">
        <v>8</v>
      </c>
      <c r="I89" s="433" t="s">
        <v>2740</v>
      </c>
      <c r="J89" s="433" t="s">
        <v>7290</v>
      </c>
      <c r="K89" s="438" t="s">
        <v>8277</v>
      </c>
      <c r="L89" s="439" t="s">
        <v>8302</v>
      </c>
      <c r="M89" s="448" t="s">
        <v>8372</v>
      </c>
      <c r="N89" s="448" t="s">
        <v>8588</v>
      </c>
      <c r="O89" s="439" t="s">
        <v>8667</v>
      </c>
      <c r="P89" s="439" t="s">
        <v>8671</v>
      </c>
      <c r="Q89" s="432" t="s">
        <v>644</v>
      </c>
      <c r="R89" s="432" t="s">
        <v>4</v>
      </c>
      <c r="S89" s="432"/>
      <c r="T89" s="432" t="s">
        <v>2740</v>
      </c>
    </row>
    <row r="90" spans="1:20" ht="22" customHeight="1">
      <c r="A90" s="432" t="s">
        <v>650</v>
      </c>
      <c r="B90" s="432" t="s">
        <v>650</v>
      </c>
      <c r="C90" s="451" t="s">
        <v>8706</v>
      </c>
      <c r="D90" s="432"/>
      <c r="E90" s="433" t="s">
        <v>7757</v>
      </c>
      <c r="F90" s="433" t="s">
        <v>7911</v>
      </c>
      <c r="G90" s="433" t="s">
        <v>7912</v>
      </c>
      <c r="H90" s="434">
        <v>3</v>
      </c>
      <c r="I90" s="433" t="s">
        <v>2740</v>
      </c>
      <c r="J90" s="433" t="s">
        <v>7290</v>
      </c>
      <c r="K90" s="438" t="s">
        <v>8277</v>
      </c>
      <c r="L90" s="439" t="s">
        <v>8302</v>
      </c>
      <c r="M90" s="448" t="s">
        <v>8372</v>
      </c>
      <c r="N90" s="448" t="s">
        <v>8588</v>
      </c>
      <c r="O90" s="439" t="s">
        <v>8667</v>
      </c>
      <c r="P90" s="439" t="s">
        <v>8671</v>
      </c>
      <c r="Q90" s="432" t="s">
        <v>2234</v>
      </c>
      <c r="R90" s="432" t="s">
        <v>4</v>
      </c>
      <c r="S90" s="432"/>
      <c r="T90" s="432" t="s">
        <v>2740</v>
      </c>
    </row>
    <row r="91" spans="1:20" ht="22" customHeight="1">
      <c r="A91" s="432" t="s">
        <v>653</v>
      </c>
      <c r="B91" s="432" t="s">
        <v>653</v>
      </c>
      <c r="C91" s="451" t="s">
        <v>8706</v>
      </c>
      <c r="D91" s="432"/>
      <c r="E91" s="433" t="s">
        <v>7758</v>
      </c>
      <c r="F91" s="433" t="s">
        <v>7913</v>
      </c>
      <c r="G91" s="433" t="s">
        <v>7914</v>
      </c>
      <c r="H91" s="434">
        <v>2</v>
      </c>
      <c r="I91" s="433" t="s">
        <v>2740</v>
      </c>
      <c r="J91" s="433" t="s">
        <v>7290</v>
      </c>
      <c r="K91" s="438" t="s">
        <v>8277</v>
      </c>
      <c r="L91" s="439" t="s">
        <v>8302</v>
      </c>
      <c r="M91" s="448" t="s">
        <v>8372</v>
      </c>
      <c r="N91" s="448" t="s">
        <v>8588</v>
      </c>
      <c r="O91" s="439" t="s">
        <v>8667</v>
      </c>
      <c r="P91" s="439" t="s">
        <v>8671</v>
      </c>
      <c r="Q91" s="432" t="s">
        <v>2234</v>
      </c>
      <c r="R91" s="432" t="s">
        <v>4</v>
      </c>
      <c r="S91" s="432"/>
      <c r="T91" s="432" t="s">
        <v>2740</v>
      </c>
    </row>
    <row r="92" spans="1:20" ht="22" customHeight="1">
      <c r="A92" s="432" t="s">
        <v>5354</v>
      </c>
      <c r="B92" s="432" t="s">
        <v>6107</v>
      </c>
      <c r="C92" s="451" t="s">
        <v>8707</v>
      </c>
      <c r="D92" s="432"/>
      <c r="E92" s="433" t="s">
        <v>7759</v>
      </c>
      <c r="F92" s="433" t="s">
        <v>7915</v>
      </c>
      <c r="G92" s="433" t="s">
        <v>7916</v>
      </c>
      <c r="H92" s="434">
        <v>1.5</v>
      </c>
      <c r="I92" s="433" t="s">
        <v>7840</v>
      </c>
      <c r="J92" s="433" t="s">
        <v>7350</v>
      </c>
      <c r="K92" s="438" t="s">
        <v>8277</v>
      </c>
      <c r="L92" s="439" t="s">
        <v>8292</v>
      </c>
      <c r="M92" s="448" t="s">
        <v>8339</v>
      </c>
      <c r="N92" s="448" t="s">
        <v>8588</v>
      </c>
      <c r="O92" s="439" t="s">
        <v>8669</v>
      </c>
      <c r="P92" s="439" t="s">
        <v>8672</v>
      </c>
      <c r="Q92" s="432" t="s">
        <v>2234</v>
      </c>
      <c r="R92" s="432" t="s">
        <v>4</v>
      </c>
      <c r="S92" s="432"/>
      <c r="T92" s="432" t="s">
        <v>6422</v>
      </c>
    </row>
    <row r="93" spans="1:20" ht="22" customHeight="1">
      <c r="A93" s="432" t="s">
        <v>5355</v>
      </c>
      <c r="B93" s="432" t="s">
        <v>6107</v>
      </c>
      <c r="C93" s="451" t="s">
        <v>8707</v>
      </c>
      <c r="D93" s="432"/>
      <c r="E93" s="433" t="s">
        <v>7760</v>
      </c>
      <c r="F93" s="433" t="s">
        <v>7917</v>
      </c>
      <c r="G93" s="433" t="s">
        <v>7918</v>
      </c>
      <c r="H93" s="434">
        <v>1.5</v>
      </c>
      <c r="I93" s="433" t="s">
        <v>2740</v>
      </c>
      <c r="J93" s="433" t="s">
        <v>7919</v>
      </c>
      <c r="K93" s="438" t="s">
        <v>8277</v>
      </c>
      <c r="L93" s="439" t="s">
        <v>8305</v>
      </c>
      <c r="M93" s="448" t="s">
        <v>8373</v>
      </c>
      <c r="N93" s="448" t="s">
        <v>8588</v>
      </c>
      <c r="O93" s="439" t="s">
        <v>8667</v>
      </c>
      <c r="P93" s="439" t="s">
        <v>8671</v>
      </c>
      <c r="Q93" s="432" t="s">
        <v>2234</v>
      </c>
      <c r="R93" s="432" t="s">
        <v>4</v>
      </c>
      <c r="S93" s="432"/>
      <c r="T93" s="432" t="s">
        <v>2740</v>
      </c>
    </row>
    <row r="94" spans="1:20" ht="22" customHeight="1">
      <c r="A94" s="432" t="s">
        <v>5356</v>
      </c>
      <c r="B94" s="432" t="s">
        <v>6107</v>
      </c>
      <c r="C94" s="451" t="s">
        <v>8707</v>
      </c>
      <c r="D94" s="432"/>
      <c r="E94" s="433" t="s">
        <v>7761</v>
      </c>
      <c r="F94" s="433" t="s">
        <v>7920</v>
      </c>
      <c r="G94" s="433" t="s">
        <v>7921</v>
      </c>
      <c r="H94" s="434">
        <v>1.5</v>
      </c>
      <c r="I94" s="433" t="s">
        <v>7858</v>
      </c>
      <c r="J94" s="433" t="s">
        <v>7363</v>
      </c>
      <c r="K94" s="438" t="s">
        <v>8277</v>
      </c>
      <c r="L94" s="439" t="s">
        <v>8296</v>
      </c>
      <c r="M94" s="448" t="s">
        <v>8611</v>
      </c>
      <c r="N94" s="448" t="s">
        <v>8588</v>
      </c>
      <c r="O94" s="439" t="s">
        <v>8667</v>
      </c>
      <c r="P94" s="439" t="s">
        <v>8672</v>
      </c>
      <c r="Q94" s="432" t="s">
        <v>2234</v>
      </c>
      <c r="R94" s="432" t="s">
        <v>4</v>
      </c>
      <c r="S94" s="432"/>
      <c r="T94" s="432" t="s">
        <v>6487</v>
      </c>
    </row>
    <row r="95" spans="1:20" ht="22" customHeight="1">
      <c r="A95" s="432" t="s">
        <v>5357</v>
      </c>
      <c r="B95" s="432" t="s">
        <v>6107</v>
      </c>
      <c r="C95" s="451" t="s">
        <v>8707</v>
      </c>
      <c r="D95" s="432"/>
      <c r="E95" s="433" t="s">
        <v>7762</v>
      </c>
      <c r="F95" s="433" t="s">
        <v>7922</v>
      </c>
      <c r="G95" s="433" t="s">
        <v>7923</v>
      </c>
      <c r="H95" s="434">
        <v>1.5</v>
      </c>
      <c r="I95" s="433" t="s">
        <v>2740</v>
      </c>
      <c r="J95" s="433" t="s">
        <v>7924</v>
      </c>
      <c r="K95" s="438" t="s">
        <v>8277</v>
      </c>
      <c r="L95" s="439" t="s">
        <v>8305</v>
      </c>
      <c r="M95" s="448" t="s">
        <v>8373</v>
      </c>
      <c r="N95" s="448" t="s">
        <v>8588</v>
      </c>
      <c r="O95" s="439" t="s">
        <v>8667</v>
      </c>
      <c r="P95" s="439" t="s">
        <v>8671</v>
      </c>
      <c r="Q95" s="432" t="s">
        <v>2234</v>
      </c>
      <c r="R95" s="432" t="s">
        <v>4</v>
      </c>
      <c r="S95" s="432"/>
      <c r="T95" s="432" t="s">
        <v>2740</v>
      </c>
    </row>
    <row r="96" spans="1:20" ht="22" customHeight="1">
      <c r="A96" s="432" t="s">
        <v>5358</v>
      </c>
      <c r="B96" s="432" t="s">
        <v>6107</v>
      </c>
      <c r="C96" s="451" t="s">
        <v>8707</v>
      </c>
      <c r="D96" s="432"/>
      <c r="E96" s="433" t="s">
        <v>7763</v>
      </c>
      <c r="F96" s="433" t="s">
        <v>7925</v>
      </c>
      <c r="G96" s="433" t="s">
        <v>7926</v>
      </c>
      <c r="H96" s="434">
        <v>1</v>
      </c>
      <c r="I96" s="433" t="s">
        <v>7862</v>
      </c>
      <c r="J96" s="433" t="s">
        <v>7928</v>
      </c>
      <c r="K96" s="438" t="s">
        <v>8277</v>
      </c>
      <c r="L96" s="439" t="s">
        <v>8296</v>
      </c>
      <c r="M96" s="448" t="s">
        <v>8346</v>
      </c>
      <c r="N96" s="448" t="s">
        <v>8588</v>
      </c>
      <c r="O96" s="439" t="s">
        <v>8667</v>
      </c>
      <c r="P96" s="439" t="s">
        <v>8671</v>
      </c>
      <c r="Q96" s="432" t="s">
        <v>2234</v>
      </c>
      <c r="R96" s="432" t="s">
        <v>4</v>
      </c>
      <c r="S96" s="432"/>
      <c r="T96" s="432" t="s">
        <v>7927</v>
      </c>
    </row>
    <row r="97" spans="1:20" ht="22" customHeight="1">
      <c r="A97" s="432" t="s">
        <v>5359</v>
      </c>
      <c r="B97" s="432" t="s">
        <v>6107</v>
      </c>
      <c r="C97" s="451" t="s">
        <v>8707</v>
      </c>
      <c r="D97" s="432"/>
      <c r="E97" s="433" t="s">
        <v>7764</v>
      </c>
      <c r="F97" s="433" t="s">
        <v>7929</v>
      </c>
      <c r="G97" s="433" t="s">
        <v>7930</v>
      </c>
      <c r="H97" s="434">
        <v>1.5</v>
      </c>
      <c r="I97" s="433" t="s">
        <v>2740</v>
      </c>
      <c r="J97" s="433" t="s">
        <v>7931</v>
      </c>
      <c r="K97" s="438" t="s">
        <v>8277</v>
      </c>
      <c r="L97" s="439" t="s">
        <v>8305</v>
      </c>
      <c r="M97" s="448" t="s">
        <v>8373</v>
      </c>
      <c r="N97" s="448" t="s">
        <v>8588</v>
      </c>
      <c r="O97" s="439" t="s">
        <v>8667</v>
      </c>
      <c r="P97" s="439" t="s">
        <v>8671</v>
      </c>
      <c r="Q97" s="432" t="s">
        <v>2234</v>
      </c>
      <c r="R97" s="432" t="s">
        <v>4</v>
      </c>
      <c r="S97" s="432"/>
      <c r="T97" s="432" t="s">
        <v>2740</v>
      </c>
    </row>
    <row r="98" spans="1:20" ht="22" customHeight="1">
      <c r="A98" s="432" t="s">
        <v>5360</v>
      </c>
      <c r="B98" s="432" t="s">
        <v>6107</v>
      </c>
      <c r="C98" s="451" t="s">
        <v>8707</v>
      </c>
      <c r="D98" s="432"/>
      <c r="E98" s="433" t="s">
        <v>7765</v>
      </c>
      <c r="F98" s="433" t="s">
        <v>7932</v>
      </c>
      <c r="G98" s="433" t="s">
        <v>7933</v>
      </c>
      <c r="H98" s="434">
        <v>1</v>
      </c>
      <c r="I98" s="433" t="s">
        <v>7833</v>
      </c>
      <c r="J98" s="433" t="s">
        <v>7346</v>
      </c>
      <c r="K98" s="438" t="s">
        <v>8277</v>
      </c>
      <c r="L98" s="439" t="s">
        <v>8292</v>
      </c>
      <c r="M98" s="448" t="s">
        <v>8373</v>
      </c>
      <c r="N98" s="448" t="s">
        <v>8588</v>
      </c>
      <c r="O98" s="439" t="s">
        <v>8667</v>
      </c>
      <c r="P98" s="439" t="s">
        <v>8672</v>
      </c>
      <c r="Q98" s="432" t="s">
        <v>2234</v>
      </c>
      <c r="R98" s="432" t="s">
        <v>4</v>
      </c>
      <c r="S98" s="432"/>
      <c r="T98" s="432" t="s">
        <v>6405</v>
      </c>
    </row>
    <row r="99" spans="1:20" ht="22" customHeight="1">
      <c r="A99" s="432" t="s">
        <v>5361</v>
      </c>
      <c r="B99" s="432" t="s">
        <v>6107</v>
      </c>
      <c r="C99" s="451" t="s">
        <v>8707</v>
      </c>
      <c r="D99" s="432"/>
      <c r="E99" s="433" t="s">
        <v>7766</v>
      </c>
      <c r="F99" s="433" t="s">
        <v>7934</v>
      </c>
      <c r="G99" s="433" t="s">
        <v>7935</v>
      </c>
      <c r="H99" s="434">
        <v>1</v>
      </c>
      <c r="I99" s="433" t="s">
        <v>2740</v>
      </c>
      <c r="J99" s="433" t="s">
        <v>7936</v>
      </c>
      <c r="K99" s="438" t="s">
        <v>8277</v>
      </c>
      <c r="L99" s="439" t="s">
        <v>8305</v>
      </c>
      <c r="M99" s="448" t="s">
        <v>8373</v>
      </c>
      <c r="N99" s="448" t="s">
        <v>8713</v>
      </c>
      <c r="O99" s="439" t="s">
        <v>8667</v>
      </c>
      <c r="P99" s="439" t="s">
        <v>8671</v>
      </c>
      <c r="Q99" s="432" t="s">
        <v>2234</v>
      </c>
      <c r="R99" s="432" t="s">
        <v>4</v>
      </c>
      <c r="S99" s="432"/>
      <c r="T99" s="432" t="s">
        <v>2740</v>
      </c>
    </row>
    <row r="100" spans="1:20" ht="22" customHeight="1">
      <c r="A100" s="432" t="s">
        <v>5362</v>
      </c>
      <c r="B100" s="432" t="s">
        <v>6107</v>
      </c>
      <c r="C100" s="451" t="s">
        <v>8707</v>
      </c>
      <c r="D100" s="432"/>
      <c r="E100" s="433" t="s">
        <v>7767</v>
      </c>
      <c r="F100" s="433" t="s">
        <v>7937</v>
      </c>
      <c r="G100" s="433" t="s">
        <v>7938</v>
      </c>
      <c r="H100" s="434">
        <v>2.5</v>
      </c>
      <c r="I100" s="433" t="s">
        <v>2740</v>
      </c>
      <c r="J100" s="433" t="s">
        <v>7936</v>
      </c>
      <c r="K100" s="438" t="s">
        <v>8277</v>
      </c>
      <c r="L100" s="439" t="s">
        <v>8305</v>
      </c>
      <c r="M100" s="448" t="s">
        <v>8373</v>
      </c>
      <c r="N100" s="448" t="s">
        <v>8713</v>
      </c>
      <c r="O100" s="439" t="s">
        <v>8667</v>
      </c>
      <c r="P100" s="439" t="s">
        <v>8671</v>
      </c>
      <c r="Q100" s="432" t="s">
        <v>5329</v>
      </c>
      <c r="R100" s="432" t="s">
        <v>4</v>
      </c>
      <c r="S100" s="432"/>
      <c r="T100" s="432" t="s">
        <v>2740</v>
      </c>
    </row>
    <row r="101" spans="1:20" ht="22" customHeight="1">
      <c r="A101" s="432" t="s">
        <v>5363</v>
      </c>
      <c r="B101" s="432" t="s">
        <v>6107</v>
      </c>
      <c r="C101" s="451" t="s">
        <v>8707</v>
      </c>
      <c r="D101" s="432"/>
      <c r="E101" s="433" t="s">
        <v>7768</v>
      </c>
      <c r="F101" s="433" t="s">
        <v>7939</v>
      </c>
      <c r="G101" s="433" t="s">
        <v>7940</v>
      </c>
      <c r="H101" s="434">
        <v>2</v>
      </c>
      <c r="I101" s="433" t="s">
        <v>2740</v>
      </c>
      <c r="J101" s="433" t="s">
        <v>7936</v>
      </c>
      <c r="K101" s="438" t="s">
        <v>8277</v>
      </c>
      <c r="L101" s="439" t="s">
        <v>8305</v>
      </c>
      <c r="M101" s="448" t="s">
        <v>8373</v>
      </c>
      <c r="N101" s="448" t="s">
        <v>8588</v>
      </c>
      <c r="O101" s="439" t="s">
        <v>8667</v>
      </c>
      <c r="P101" s="439" t="s">
        <v>8671</v>
      </c>
      <c r="Q101" s="432" t="s">
        <v>5348</v>
      </c>
      <c r="R101" s="432" t="s">
        <v>4</v>
      </c>
      <c r="S101" s="432"/>
      <c r="T101" s="432" t="s">
        <v>2740</v>
      </c>
    </row>
    <row r="102" spans="1:20" ht="22" customHeight="1">
      <c r="A102" s="432" t="s">
        <v>5364</v>
      </c>
      <c r="B102" s="432" t="s">
        <v>6107</v>
      </c>
      <c r="C102" s="451" t="s">
        <v>8707</v>
      </c>
      <c r="D102" s="432"/>
      <c r="E102" s="433" t="s">
        <v>7769</v>
      </c>
      <c r="F102" s="433" t="s">
        <v>7941</v>
      </c>
      <c r="G102" s="433" t="s">
        <v>7942</v>
      </c>
      <c r="H102" s="434">
        <v>1</v>
      </c>
      <c r="I102" s="433" t="s">
        <v>2740</v>
      </c>
      <c r="J102" s="433" t="s">
        <v>7936</v>
      </c>
      <c r="K102" s="438" t="s">
        <v>8277</v>
      </c>
      <c r="L102" s="439" t="s">
        <v>8305</v>
      </c>
      <c r="M102" s="448" t="s">
        <v>8373</v>
      </c>
      <c r="N102" s="448" t="s">
        <v>8713</v>
      </c>
      <c r="O102" s="439" t="s">
        <v>8667</v>
      </c>
      <c r="P102" s="439" t="s">
        <v>8671</v>
      </c>
      <c r="Q102" s="432" t="s">
        <v>2234</v>
      </c>
      <c r="R102" s="432" t="s">
        <v>4</v>
      </c>
      <c r="S102" s="432"/>
      <c r="T102" s="432" t="s">
        <v>2740</v>
      </c>
    </row>
    <row r="103" spans="1:20" ht="22" customHeight="1">
      <c r="A103" s="432" t="s">
        <v>661</v>
      </c>
      <c r="B103" s="432" t="s">
        <v>661</v>
      </c>
      <c r="C103" s="451" t="s">
        <v>8708</v>
      </c>
      <c r="D103" s="432"/>
      <c r="E103" s="433" t="s">
        <v>7770</v>
      </c>
      <c r="F103" s="433" t="s">
        <v>7943</v>
      </c>
      <c r="G103" s="433" t="s">
        <v>7944</v>
      </c>
      <c r="H103" s="434">
        <v>2</v>
      </c>
      <c r="I103" s="433" t="s">
        <v>2740</v>
      </c>
      <c r="J103" s="433" t="s">
        <v>7290</v>
      </c>
      <c r="K103" s="438" t="s">
        <v>8277</v>
      </c>
      <c r="L103" s="439" t="s">
        <v>8305</v>
      </c>
      <c r="M103" s="448" t="s">
        <v>8373</v>
      </c>
      <c r="N103" s="448" t="s">
        <v>8588</v>
      </c>
      <c r="O103" s="439" t="s">
        <v>8667</v>
      </c>
      <c r="P103" s="439" t="s">
        <v>8671</v>
      </c>
      <c r="Q103" s="432" t="s">
        <v>2234</v>
      </c>
      <c r="R103" s="432" t="s">
        <v>4</v>
      </c>
      <c r="S103" s="432"/>
      <c r="T103" s="432" t="s">
        <v>2740</v>
      </c>
    </row>
    <row r="104" spans="1:20" ht="22" customHeight="1">
      <c r="A104" s="432" t="s">
        <v>5365</v>
      </c>
      <c r="B104" s="432" t="s">
        <v>6108</v>
      </c>
      <c r="C104" s="451" t="s">
        <v>8708</v>
      </c>
      <c r="D104" s="432"/>
      <c r="E104" s="433" t="s">
        <v>7771</v>
      </c>
      <c r="F104" s="433" t="s">
        <v>7945</v>
      </c>
      <c r="G104" s="433" t="s">
        <v>7946</v>
      </c>
      <c r="H104" s="434">
        <v>2</v>
      </c>
      <c r="I104" s="433" t="s">
        <v>2740</v>
      </c>
      <c r="J104" s="433" t="s">
        <v>7290</v>
      </c>
      <c r="K104" s="438" t="s">
        <v>8277</v>
      </c>
      <c r="L104" s="439" t="s">
        <v>8305</v>
      </c>
      <c r="M104" s="448" t="s">
        <v>8373</v>
      </c>
      <c r="N104" s="448" t="s">
        <v>8588</v>
      </c>
      <c r="O104" s="439" t="s">
        <v>8667</v>
      </c>
      <c r="P104" s="439" t="s">
        <v>8671</v>
      </c>
      <c r="Q104" s="432" t="s">
        <v>5330</v>
      </c>
      <c r="R104" s="432" t="s">
        <v>4</v>
      </c>
      <c r="S104" s="432"/>
      <c r="T104" s="432" t="s">
        <v>2740</v>
      </c>
    </row>
    <row r="105" spans="1:20" ht="22" customHeight="1">
      <c r="A105" s="432" t="s">
        <v>5366</v>
      </c>
      <c r="B105" s="432" t="s">
        <v>6108</v>
      </c>
      <c r="C105" s="451" t="s">
        <v>8708</v>
      </c>
      <c r="D105" s="432"/>
      <c r="E105" s="433" t="s">
        <v>7772</v>
      </c>
      <c r="F105" s="433" t="s">
        <v>7947</v>
      </c>
      <c r="G105" s="433" t="s">
        <v>7948</v>
      </c>
      <c r="H105" s="434">
        <v>2</v>
      </c>
      <c r="I105" s="433" t="s">
        <v>2740</v>
      </c>
      <c r="J105" s="433" t="s">
        <v>7290</v>
      </c>
      <c r="K105" s="438" t="s">
        <v>8277</v>
      </c>
      <c r="L105" s="439" t="s">
        <v>8305</v>
      </c>
      <c r="M105" s="448" t="s">
        <v>8676</v>
      </c>
      <c r="N105" s="448" t="s">
        <v>8588</v>
      </c>
      <c r="O105" s="439" t="s">
        <v>8667</v>
      </c>
      <c r="P105" s="439" t="s">
        <v>8671</v>
      </c>
      <c r="Q105" s="432" t="s">
        <v>5332</v>
      </c>
      <c r="R105" s="432" t="s">
        <v>4</v>
      </c>
      <c r="S105" s="432"/>
      <c r="T105" s="432" t="s">
        <v>2740</v>
      </c>
    </row>
    <row r="106" spans="1:20" ht="22" customHeight="1">
      <c r="A106" s="432" t="s">
        <v>5648</v>
      </c>
      <c r="B106" s="432" t="s">
        <v>5786</v>
      </c>
      <c r="C106" s="451" t="s">
        <v>8708</v>
      </c>
      <c r="D106" s="432"/>
      <c r="E106" s="433" t="s">
        <v>6109</v>
      </c>
      <c r="F106" s="433" t="s">
        <v>7039</v>
      </c>
      <c r="G106" s="433" t="s">
        <v>7040</v>
      </c>
      <c r="H106" s="434">
        <v>1.5</v>
      </c>
      <c r="I106" s="433" t="s">
        <v>2740</v>
      </c>
      <c r="J106" s="433" t="s">
        <v>7290</v>
      </c>
      <c r="K106" s="438" t="s">
        <v>8279</v>
      </c>
      <c r="L106" s="439" t="s">
        <v>8304</v>
      </c>
      <c r="M106" s="448" t="s">
        <v>8368</v>
      </c>
      <c r="N106" s="448" t="s">
        <v>8588</v>
      </c>
      <c r="O106" s="439" t="s">
        <v>8668</v>
      </c>
      <c r="P106" s="439" t="s">
        <v>8671</v>
      </c>
      <c r="Q106" s="432" t="s">
        <v>2234</v>
      </c>
      <c r="R106" s="432" t="s">
        <v>4</v>
      </c>
      <c r="S106" s="432"/>
      <c r="T106" s="432" t="s">
        <v>2740</v>
      </c>
    </row>
    <row r="107" spans="1:20" ht="22" customHeight="1">
      <c r="A107" s="432" t="s">
        <v>5649</v>
      </c>
      <c r="B107" s="432" t="s">
        <v>5786</v>
      </c>
      <c r="C107" s="451" t="s">
        <v>8708</v>
      </c>
      <c r="D107" s="432"/>
      <c r="E107" s="433" t="s">
        <v>6110</v>
      </c>
      <c r="F107" s="433" t="s">
        <v>7041</v>
      </c>
      <c r="G107" s="433" t="s">
        <v>7042</v>
      </c>
      <c r="H107" s="434">
        <v>1.5</v>
      </c>
      <c r="I107" s="433" t="s">
        <v>2740</v>
      </c>
      <c r="J107" s="433" t="s">
        <v>7290</v>
      </c>
      <c r="K107" s="438" t="s">
        <v>8279</v>
      </c>
      <c r="L107" s="439" t="s">
        <v>8304</v>
      </c>
      <c r="M107" s="448" t="s">
        <v>8368</v>
      </c>
      <c r="N107" s="448" t="s">
        <v>8588</v>
      </c>
      <c r="O107" s="439" t="s">
        <v>8668</v>
      </c>
      <c r="P107" s="439" t="s">
        <v>8671</v>
      </c>
      <c r="Q107" s="432" t="s">
        <v>2234</v>
      </c>
      <c r="R107" s="432" t="s">
        <v>4</v>
      </c>
      <c r="S107" s="432"/>
      <c r="T107" s="432" t="s">
        <v>2740</v>
      </c>
    </row>
    <row r="108" spans="1:20" ht="22" customHeight="1">
      <c r="A108" s="432" t="s">
        <v>5650</v>
      </c>
      <c r="B108" s="432" t="s">
        <v>5786</v>
      </c>
      <c r="C108" s="451" t="s">
        <v>8708</v>
      </c>
      <c r="D108" s="432"/>
      <c r="E108" s="433" t="s">
        <v>6111</v>
      </c>
      <c r="F108" s="433" t="s">
        <v>7043</v>
      </c>
      <c r="G108" s="433" t="s">
        <v>7044</v>
      </c>
      <c r="H108" s="434">
        <v>1</v>
      </c>
      <c r="I108" s="433" t="s">
        <v>2740</v>
      </c>
      <c r="J108" s="433" t="s">
        <v>7290</v>
      </c>
      <c r="K108" s="438" t="s">
        <v>8279</v>
      </c>
      <c r="L108" s="439" t="s">
        <v>8304</v>
      </c>
      <c r="M108" s="448" t="s">
        <v>8368</v>
      </c>
      <c r="N108" s="448" t="s">
        <v>8588</v>
      </c>
      <c r="O108" s="439" t="s">
        <v>8668</v>
      </c>
      <c r="P108" s="439" t="s">
        <v>8671</v>
      </c>
      <c r="Q108" s="432" t="s">
        <v>2234</v>
      </c>
      <c r="R108" s="432" t="s">
        <v>4</v>
      </c>
      <c r="S108" s="432"/>
      <c r="T108" s="432" t="s">
        <v>2740</v>
      </c>
    </row>
    <row r="109" spans="1:20" ht="22" customHeight="1">
      <c r="A109" s="432" t="s">
        <v>5651</v>
      </c>
      <c r="B109" s="432" t="s">
        <v>5786</v>
      </c>
      <c r="C109" s="451" t="s">
        <v>8708</v>
      </c>
      <c r="D109" s="432"/>
      <c r="E109" s="433" t="s">
        <v>6112</v>
      </c>
      <c r="F109" s="433" t="s">
        <v>7045</v>
      </c>
      <c r="G109" s="433" t="s">
        <v>7046</v>
      </c>
      <c r="H109" s="434">
        <v>1.5</v>
      </c>
      <c r="I109" s="433" t="s">
        <v>2740</v>
      </c>
      <c r="J109" s="433" t="s">
        <v>7290</v>
      </c>
      <c r="K109" s="438" t="s">
        <v>8279</v>
      </c>
      <c r="L109" s="439" t="s">
        <v>8304</v>
      </c>
      <c r="M109" s="448" t="s">
        <v>8368</v>
      </c>
      <c r="N109" s="448" t="s">
        <v>8588</v>
      </c>
      <c r="O109" s="439" t="s">
        <v>8668</v>
      </c>
      <c r="P109" s="439" t="s">
        <v>8671</v>
      </c>
      <c r="Q109" s="432" t="s">
        <v>2234</v>
      </c>
      <c r="R109" s="432" t="s">
        <v>4</v>
      </c>
      <c r="S109" s="432"/>
      <c r="T109" s="432" t="s">
        <v>2740</v>
      </c>
    </row>
    <row r="110" spans="1:20" ht="22" customHeight="1">
      <c r="A110" s="432" t="s">
        <v>5652</v>
      </c>
      <c r="B110" s="432" t="s">
        <v>5786</v>
      </c>
      <c r="C110" s="451" t="s">
        <v>8708</v>
      </c>
      <c r="D110" s="432"/>
      <c r="E110" s="433" t="s">
        <v>6113</v>
      </c>
      <c r="F110" s="433" t="s">
        <v>7047</v>
      </c>
      <c r="G110" s="433" t="s">
        <v>7048</v>
      </c>
      <c r="H110" s="434">
        <v>1.5</v>
      </c>
      <c r="I110" s="433" t="s">
        <v>2740</v>
      </c>
      <c r="J110" s="433" t="s">
        <v>7290</v>
      </c>
      <c r="K110" s="438" t="s">
        <v>8279</v>
      </c>
      <c r="L110" s="439" t="s">
        <v>8304</v>
      </c>
      <c r="M110" s="448" t="s">
        <v>8676</v>
      </c>
      <c r="N110" s="448" t="s">
        <v>8588</v>
      </c>
      <c r="O110" s="439" t="s">
        <v>8668</v>
      </c>
      <c r="P110" s="439" t="s">
        <v>8671</v>
      </c>
      <c r="Q110" s="432" t="s">
        <v>2234</v>
      </c>
      <c r="R110" s="432" t="s">
        <v>4</v>
      </c>
      <c r="S110" s="432"/>
      <c r="T110" s="432" t="s">
        <v>2740</v>
      </c>
    </row>
    <row r="111" spans="1:20" ht="22" customHeight="1">
      <c r="A111" s="432" t="s">
        <v>5653</v>
      </c>
      <c r="B111" s="432" t="s">
        <v>5786</v>
      </c>
      <c r="C111" s="451" t="s">
        <v>8708</v>
      </c>
      <c r="D111" s="432"/>
      <c r="E111" s="433" t="s">
        <v>6114</v>
      </c>
      <c r="F111" s="433" t="s">
        <v>7049</v>
      </c>
      <c r="G111" s="433" t="s">
        <v>7050</v>
      </c>
      <c r="H111" s="434">
        <v>2</v>
      </c>
      <c r="I111" s="433" t="s">
        <v>2740</v>
      </c>
      <c r="J111" s="433" t="s">
        <v>7290</v>
      </c>
      <c r="K111" s="438" t="s">
        <v>8279</v>
      </c>
      <c r="L111" s="439" t="s">
        <v>8304</v>
      </c>
      <c r="M111" s="448" t="s">
        <v>8368</v>
      </c>
      <c r="N111" s="448" t="s">
        <v>8588</v>
      </c>
      <c r="O111" s="439" t="s">
        <v>8668</v>
      </c>
      <c r="P111" s="439" t="s">
        <v>8672</v>
      </c>
      <c r="Q111" s="432" t="s">
        <v>2234</v>
      </c>
      <c r="R111" s="432" t="s">
        <v>4</v>
      </c>
      <c r="S111" s="432"/>
      <c r="T111" s="432" t="s">
        <v>2740</v>
      </c>
    </row>
    <row r="112" spans="1:20" ht="22" customHeight="1">
      <c r="A112" s="432" t="s">
        <v>5654</v>
      </c>
      <c r="B112" s="432" t="s">
        <v>5786</v>
      </c>
      <c r="C112" s="451" t="s">
        <v>8708</v>
      </c>
      <c r="D112" s="432"/>
      <c r="E112" s="433" t="s">
        <v>6115</v>
      </c>
      <c r="F112" s="433" t="s">
        <v>7051</v>
      </c>
      <c r="G112" s="433" t="s">
        <v>7052</v>
      </c>
      <c r="H112" s="434">
        <v>2</v>
      </c>
      <c r="I112" s="433" t="s">
        <v>2740</v>
      </c>
      <c r="J112" s="433" t="s">
        <v>7290</v>
      </c>
      <c r="K112" s="438" t="s">
        <v>8279</v>
      </c>
      <c r="L112" s="439" t="s">
        <v>8304</v>
      </c>
      <c r="M112" s="448" t="s">
        <v>8368</v>
      </c>
      <c r="N112" s="448" t="s">
        <v>8588</v>
      </c>
      <c r="O112" s="439" t="s">
        <v>8668</v>
      </c>
      <c r="P112" s="439" t="s">
        <v>8672</v>
      </c>
      <c r="Q112" s="432" t="s">
        <v>2234</v>
      </c>
      <c r="R112" s="432" t="s">
        <v>4</v>
      </c>
      <c r="S112" s="432"/>
      <c r="T112" s="432" t="s">
        <v>2740</v>
      </c>
    </row>
    <row r="113" spans="1:20" ht="22" customHeight="1">
      <c r="A113" s="432" t="s">
        <v>5655</v>
      </c>
      <c r="B113" s="432" t="s">
        <v>5786</v>
      </c>
      <c r="C113" s="451" t="s">
        <v>8708</v>
      </c>
      <c r="D113" s="432"/>
      <c r="E113" s="433" t="s">
        <v>6116</v>
      </c>
      <c r="F113" s="433" t="s">
        <v>7053</v>
      </c>
      <c r="G113" s="433" t="s">
        <v>7054</v>
      </c>
      <c r="H113" s="434">
        <v>2</v>
      </c>
      <c r="I113" s="433" t="s">
        <v>2740</v>
      </c>
      <c r="J113" s="433" t="s">
        <v>7290</v>
      </c>
      <c r="K113" s="438" t="s">
        <v>8279</v>
      </c>
      <c r="L113" s="439" t="s">
        <v>8304</v>
      </c>
      <c r="M113" s="448" t="s">
        <v>8368</v>
      </c>
      <c r="N113" s="448" t="s">
        <v>8588</v>
      </c>
      <c r="O113" s="439" t="s">
        <v>8668</v>
      </c>
      <c r="P113" s="439" t="s">
        <v>8672</v>
      </c>
      <c r="Q113" s="432" t="s">
        <v>2234</v>
      </c>
      <c r="R113" s="432" t="s">
        <v>4</v>
      </c>
      <c r="S113" s="432"/>
      <c r="T113" s="432" t="s">
        <v>2740</v>
      </c>
    </row>
    <row r="114" spans="1:20" ht="22" customHeight="1">
      <c r="A114" s="432" t="s">
        <v>5656</v>
      </c>
      <c r="B114" s="432" t="s">
        <v>5786</v>
      </c>
      <c r="C114" s="451" t="s">
        <v>8708</v>
      </c>
      <c r="D114" s="432"/>
      <c r="E114" s="433" t="s">
        <v>6117</v>
      </c>
      <c r="F114" s="433" t="s">
        <v>7055</v>
      </c>
      <c r="G114" s="433" t="s">
        <v>7056</v>
      </c>
      <c r="H114" s="434">
        <v>2</v>
      </c>
      <c r="I114" s="433" t="s">
        <v>2234</v>
      </c>
      <c r="J114" s="433" t="s">
        <v>7374</v>
      </c>
      <c r="K114" s="438" t="s">
        <v>8279</v>
      </c>
      <c r="L114" s="439" t="s">
        <v>8299</v>
      </c>
      <c r="M114" s="448" t="s">
        <v>8313</v>
      </c>
      <c r="N114" s="448" t="s">
        <v>8588</v>
      </c>
      <c r="O114" s="439" t="s">
        <v>8668</v>
      </c>
      <c r="P114" s="439" t="s">
        <v>8672</v>
      </c>
      <c r="Q114" s="432" t="s">
        <v>2234</v>
      </c>
      <c r="R114" s="432" t="s">
        <v>4</v>
      </c>
      <c r="S114" s="432"/>
      <c r="T114" s="432" t="s">
        <v>6716</v>
      </c>
    </row>
    <row r="115" spans="1:20" ht="22" customHeight="1">
      <c r="A115" s="432" t="s">
        <v>5657</v>
      </c>
      <c r="B115" s="432" t="s">
        <v>5786</v>
      </c>
      <c r="C115" s="451" t="s">
        <v>8708</v>
      </c>
      <c r="D115" s="432"/>
      <c r="E115" s="433" t="s">
        <v>6118</v>
      </c>
      <c r="F115" s="433" t="s">
        <v>7057</v>
      </c>
      <c r="G115" s="433" t="s">
        <v>7058</v>
      </c>
      <c r="H115" s="434">
        <v>2</v>
      </c>
      <c r="I115" s="433" t="s">
        <v>2740</v>
      </c>
      <c r="J115" s="433" t="s">
        <v>7290</v>
      </c>
      <c r="K115" s="438" t="s">
        <v>8279</v>
      </c>
      <c r="L115" s="439" t="s">
        <v>8304</v>
      </c>
      <c r="M115" s="448" t="s">
        <v>8686</v>
      </c>
      <c r="N115" s="448" t="s">
        <v>8588</v>
      </c>
      <c r="O115" s="439" t="s">
        <v>8668</v>
      </c>
      <c r="P115" s="439" t="s">
        <v>8673</v>
      </c>
      <c r="Q115" s="432" t="s">
        <v>2234</v>
      </c>
      <c r="R115" s="432" t="s">
        <v>4</v>
      </c>
      <c r="S115" s="432"/>
      <c r="T115" s="432" t="s">
        <v>2740</v>
      </c>
    </row>
    <row r="116" spans="1:20" ht="22" customHeight="1">
      <c r="A116" s="432" t="s">
        <v>5658</v>
      </c>
      <c r="B116" s="432" t="s">
        <v>5786</v>
      </c>
      <c r="C116" s="451" t="s">
        <v>8708</v>
      </c>
      <c r="D116" s="432"/>
      <c r="E116" s="433" t="s">
        <v>6119</v>
      </c>
      <c r="F116" s="433" t="s">
        <v>7059</v>
      </c>
      <c r="G116" s="433" t="s">
        <v>7060</v>
      </c>
      <c r="H116" s="434">
        <v>1.5</v>
      </c>
      <c r="I116" s="433" t="s">
        <v>2740</v>
      </c>
      <c r="J116" s="433" t="s">
        <v>7290</v>
      </c>
      <c r="K116" s="438" t="s">
        <v>8279</v>
      </c>
      <c r="L116" s="439" t="s">
        <v>8304</v>
      </c>
      <c r="M116" s="448" t="s">
        <v>8368</v>
      </c>
      <c r="N116" s="448" t="s">
        <v>8588</v>
      </c>
      <c r="O116" s="439" t="s">
        <v>8668</v>
      </c>
      <c r="P116" s="439" t="s">
        <v>8671</v>
      </c>
      <c r="Q116" s="432" t="s">
        <v>2234</v>
      </c>
      <c r="R116" s="432" t="s">
        <v>4</v>
      </c>
      <c r="S116" s="432"/>
      <c r="T116" s="432" t="s">
        <v>2740</v>
      </c>
    </row>
    <row r="117" spans="1:20" ht="22" customHeight="1">
      <c r="A117" s="432" t="s">
        <v>5659</v>
      </c>
      <c r="B117" s="432" t="s">
        <v>5786</v>
      </c>
      <c r="C117" s="451" t="s">
        <v>8708</v>
      </c>
      <c r="D117" s="432"/>
      <c r="E117" s="433" t="s">
        <v>6120</v>
      </c>
      <c r="F117" s="433" t="s">
        <v>7061</v>
      </c>
      <c r="G117" s="433" t="s">
        <v>7062</v>
      </c>
      <c r="H117" s="434">
        <v>1.5</v>
      </c>
      <c r="I117" s="433" t="s">
        <v>2740</v>
      </c>
      <c r="J117" s="433" t="s">
        <v>7290</v>
      </c>
      <c r="K117" s="438" t="s">
        <v>8279</v>
      </c>
      <c r="L117" s="439" t="s">
        <v>8304</v>
      </c>
      <c r="M117" s="448" t="s">
        <v>8368</v>
      </c>
      <c r="N117" s="448" t="s">
        <v>8588</v>
      </c>
      <c r="O117" s="439" t="s">
        <v>8668</v>
      </c>
      <c r="P117" s="439" t="s">
        <v>8672</v>
      </c>
      <c r="Q117" s="432" t="s">
        <v>2234</v>
      </c>
      <c r="R117" s="432" t="s">
        <v>4</v>
      </c>
      <c r="S117" s="432"/>
      <c r="T117" s="432" t="s">
        <v>2740</v>
      </c>
    </row>
    <row r="118" spans="1:20" ht="22" customHeight="1">
      <c r="A118" s="432" t="s">
        <v>5660</v>
      </c>
      <c r="B118" s="432" t="s">
        <v>5786</v>
      </c>
      <c r="C118" s="451" t="s">
        <v>8708</v>
      </c>
      <c r="D118" s="432"/>
      <c r="E118" s="433" t="s">
        <v>6121</v>
      </c>
      <c r="F118" s="433" t="s">
        <v>7063</v>
      </c>
      <c r="G118" s="433" t="s">
        <v>7064</v>
      </c>
      <c r="H118" s="434">
        <v>2</v>
      </c>
      <c r="I118" s="433" t="s">
        <v>7816</v>
      </c>
      <c r="J118" s="433" t="s">
        <v>7306</v>
      </c>
      <c r="K118" s="438" t="s">
        <v>8277</v>
      </c>
      <c r="L118" s="439" t="s">
        <v>8293</v>
      </c>
      <c r="M118" s="448" t="s">
        <v>8687</v>
      </c>
      <c r="N118" s="448" t="s">
        <v>8588</v>
      </c>
      <c r="O118" s="439" t="s">
        <v>8665</v>
      </c>
      <c r="P118" s="439" t="s">
        <v>8673</v>
      </c>
      <c r="Q118" s="432" t="s">
        <v>2234</v>
      </c>
      <c r="R118" s="432" t="s">
        <v>4</v>
      </c>
      <c r="S118" s="432"/>
      <c r="T118" s="432" t="s">
        <v>6274</v>
      </c>
    </row>
    <row r="119" spans="1:20" ht="22" customHeight="1">
      <c r="A119" s="432" t="s">
        <v>5661</v>
      </c>
      <c r="B119" s="432" t="s">
        <v>5786</v>
      </c>
      <c r="C119" s="451" t="s">
        <v>8708</v>
      </c>
      <c r="D119" s="432"/>
      <c r="E119" s="433" t="s">
        <v>6122</v>
      </c>
      <c r="F119" s="433" t="s">
        <v>7065</v>
      </c>
      <c r="G119" s="433" t="s">
        <v>7066</v>
      </c>
      <c r="H119" s="434">
        <v>2</v>
      </c>
      <c r="I119" s="433" t="s">
        <v>7830</v>
      </c>
      <c r="J119" s="433" t="s">
        <v>7337</v>
      </c>
      <c r="K119" s="438" t="s">
        <v>8275</v>
      </c>
      <c r="L119" s="439" t="s">
        <v>8298</v>
      </c>
      <c r="M119" s="448" t="s">
        <v>8688</v>
      </c>
      <c r="N119" s="448" t="s">
        <v>8588</v>
      </c>
      <c r="O119" s="439" t="s">
        <v>8669</v>
      </c>
      <c r="P119" s="439" t="s">
        <v>8673</v>
      </c>
      <c r="Q119" s="432" t="s">
        <v>2234</v>
      </c>
      <c r="R119" s="432" t="s">
        <v>4</v>
      </c>
      <c r="S119" s="432"/>
      <c r="T119" s="432" t="s">
        <v>6376</v>
      </c>
    </row>
    <row r="120" spans="1:20" ht="22" customHeight="1">
      <c r="A120" s="432" t="s">
        <v>5662</v>
      </c>
      <c r="B120" s="432" t="s">
        <v>5786</v>
      </c>
      <c r="C120" s="451" t="s">
        <v>8708</v>
      </c>
      <c r="D120" s="432"/>
      <c r="E120" s="433" t="s">
        <v>6123</v>
      </c>
      <c r="F120" s="433" t="s">
        <v>7067</v>
      </c>
      <c r="G120" s="433" t="s">
        <v>7068</v>
      </c>
      <c r="H120" s="434">
        <v>1.5</v>
      </c>
      <c r="I120" s="433" t="s">
        <v>2740</v>
      </c>
      <c r="J120" s="433" t="s">
        <v>7290</v>
      </c>
      <c r="K120" s="438" t="s">
        <v>8279</v>
      </c>
      <c r="L120" s="439" t="s">
        <v>8304</v>
      </c>
      <c r="M120" s="448" t="s">
        <v>8368</v>
      </c>
      <c r="N120" s="448" t="s">
        <v>8588</v>
      </c>
      <c r="O120" s="439" t="s">
        <v>8668</v>
      </c>
      <c r="P120" s="439" t="s">
        <v>8672</v>
      </c>
      <c r="Q120" s="432" t="s">
        <v>2234</v>
      </c>
      <c r="R120" s="432" t="s">
        <v>4</v>
      </c>
      <c r="S120" s="432"/>
      <c r="T120" s="432" t="s">
        <v>2740</v>
      </c>
    </row>
    <row r="121" spans="1:20" ht="22" customHeight="1">
      <c r="A121" s="432" t="s">
        <v>5663</v>
      </c>
      <c r="B121" s="432" t="s">
        <v>5786</v>
      </c>
      <c r="C121" s="451" t="s">
        <v>8708</v>
      </c>
      <c r="D121" s="432"/>
      <c r="E121" s="433" t="s">
        <v>6124</v>
      </c>
      <c r="F121" s="433" t="s">
        <v>7069</v>
      </c>
      <c r="G121" s="433" t="s">
        <v>7070</v>
      </c>
      <c r="H121" s="434">
        <v>2</v>
      </c>
      <c r="I121" s="433" t="s">
        <v>2740</v>
      </c>
      <c r="J121" s="433" t="s">
        <v>7290</v>
      </c>
      <c r="K121" s="438" t="s">
        <v>8279</v>
      </c>
      <c r="L121" s="439" t="s">
        <v>8304</v>
      </c>
      <c r="M121" s="448" t="s">
        <v>8368</v>
      </c>
      <c r="N121" s="448" t="s">
        <v>8588</v>
      </c>
      <c r="O121" s="439" t="s">
        <v>8668</v>
      </c>
      <c r="P121" s="439" t="s">
        <v>8671</v>
      </c>
      <c r="Q121" s="432" t="s">
        <v>2234</v>
      </c>
      <c r="R121" s="432" t="s">
        <v>4</v>
      </c>
      <c r="S121" s="432"/>
      <c r="T121" s="432" t="s">
        <v>2740</v>
      </c>
    </row>
    <row r="122" spans="1:20" ht="22" customHeight="1">
      <c r="A122" s="432" t="s">
        <v>5664</v>
      </c>
      <c r="B122" s="432" t="s">
        <v>5786</v>
      </c>
      <c r="C122" s="451" t="s">
        <v>8708</v>
      </c>
      <c r="D122" s="432"/>
      <c r="E122" s="433" t="s">
        <v>7781</v>
      </c>
      <c r="F122" s="433" t="s">
        <v>7071</v>
      </c>
      <c r="G122" s="433" t="s">
        <v>7072</v>
      </c>
      <c r="H122" s="434">
        <v>2</v>
      </c>
      <c r="I122" s="433" t="s">
        <v>2740</v>
      </c>
      <c r="J122" s="433" t="s">
        <v>7290</v>
      </c>
      <c r="K122" s="438" t="s">
        <v>8279</v>
      </c>
      <c r="L122" s="439" t="s">
        <v>8304</v>
      </c>
      <c r="M122" s="448" t="s">
        <v>8368</v>
      </c>
      <c r="N122" s="448" t="s">
        <v>8588</v>
      </c>
      <c r="O122" s="439" t="s">
        <v>8666</v>
      </c>
      <c r="P122" s="439" t="s">
        <v>8671</v>
      </c>
      <c r="Q122" s="432" t="s">
        <v>2234</v>
      </c>
      <c r="R122" s="432" t="s">
        <v>4</v>
      </c>
      <c r="S122" s="432"/>
      <c r="T122" s="432" t="s">
        <v>2740</v>
      </c>
    </row>
    <row r="123" spans="1:20" ht="22" customHeight="1">
      <c r="A123" s="432" t="s">
        <v>5665</v>
      </c>
      <c r="B123" s="432" t="s">
        <v>5786</v>
      </c>
      <c r="C123" s="451" t="s">
        <v>8708</v>
      </c>
      <c r="D123" s="432"/>
      <c r="E123" s="433" t="s">
        <v>6125</v>
      </c>
      <c r="F123" s="433" t="s">
        <v>7073</v>
      </c>
      <c r="G123" s="433" t="s">
        <v>7074</v>
      </c>
      <c r="H123" s="434">
        <v>1</v>
      </c>
      <c r="I123" s="433" t="s">
        <v>2740</v>
      </c>
      <c r="J123" s="433" t="s">
        <v>7290</v>
      </c>
      <c r="K123" s="438" t="s">
        <v>8279</v>
      </c>
      <c r="L123" s="439" t="s">
        <v>8304</v>
      </c>
      <c r="M123" s="448" t="s">
        <v>8368</v>
      </c>
      <c r="N123" s="448" t="s">
        <v>8588</v>
      </c>
      <c r="O123" s="439" t="s">
        <v>8668</v>
      </c>
      <c r="P123" s="439" t="s">
        <v>8672</v>
      </c>
      <c r="Q123" s="432" t="s">
        <v>2234</v>
      </c>
      <c r="R123" s="432" t="s">
        <v>4</v>
      </c>
      <c r="S123" s="432"/>
      <c r="T123" s="432" t="s">
        <v>2740</v>
      </c>
    </row>
    <row r="124" spans="1:20" ht="22" customHeight="1">
      <c r="A124" s="432" t="s">
        <v>5666</v>
      </c>
      <c r="B124" s="432" t="s">
        <v>5786</v>
      </c>
      <c r="C124" s="451" t="s">
        <v>8708</v>
      </c>
      <c r="D124" s="432"/>
      <c r="E124" s="433" t="s">
        <v>6126</v>
      </c>
      <c r="F124" s="433" t="s">
        <v>7075</v>
      </c>
      <c r="G124" s="433" t="s">
        <v>7076</v>
      </c>
      <c r="H124" s="434">
        <v>1</v>
      </c>
      <c r="I124" s="433" t="s">
        <v>2740</v>
      </c>
      <c r="J124" s="433" t="s">
        <v>7290</v>
      </c>
      <c r="K124" s="438" t="s">
        <v>8279</v>
      </c>
      <c r="L124" s="439" t="s">
        <v>8304</v>
      </c>
      <c r="M124" s="448" t="s">
        <v>8368</v>
      </c>
      <c r="N124" s="448" t="s">
        <v>8588</v>
      </c>
      <c r="O124" s="439" t="s">
        <v>8668</v>
      </c>
      <c r="P124" s="439" t="s">
        <v>8672</v>
      </c>
      <c r="Q124" s="432" t="s">
        <v>2234</v>
      </c>
      <c r="R124" s="432" t="s">
        <v>4</v>
      </c>
      <c r="S124" s="432"/>
      <c r="T124" s="432" t="s">
        <v>2740</v>
      </c>
    </row>
    <row r="125" spans="1:20" ht="22" customHeight="1">
      <c r="A125" s="432" t="s">
        <v>5667</v>
      </c>
      <c r="B125" s="432" t="s">
        <v>5786</v>
      </c>
      <c r="C125" s="451" t="s">
        <v>8708</v>
      </c>
      <c r="D125" s="432"/>
      <c r="E125" s="433" t="s">
        <v>6127</v>
      </c>
      <c r="F125" s="433" t="s">
        <v>7077</v>
      </c>
      <c r="G125" s="433" t="s">
        <v>7078</v>
      </c>
      <c r="H125" s="434">
        <v>3</v>
      </c>
      <c r="I125" s="433" t="s">
        <v>2740</v>
      </c>
      <c r="J125" s="433" t="s">
        <v>7290</v>
      </c>
      <c r="K125" s="438" t="s">
        <v>8279</v>
      </c>
      <c r="L125" s="439" t="s">
        <v>8304</v>
      </c>
      <c r="M125" s="448" t="s">
        <v>8689</v>
      </c>
      <c r="N125" s="448" t="s">
        <v>8588</v>
      </c>
      <c r="O125" s="439" t="s">
        <v>8665</v>
      </c>
      <c r="P125" s="439" t="s">
        <v>8673</v>
      </c>
      <c r="Q125" s="432" t="s">
        <v>2234</v>
      </c>
      <c r="R125" s="432" t="s">
        <v>4</v>
      </c>
      <c r="S125" s="432"/>
      <c r="T125" s="432" t="s">
        <v>2740</v>
      </c>
    </row>
    <row r="126" spans="1:20" ht="22" customHeight="1">
      <c r="A126" s="432" t="s">
        <v>5668</v>
      </c>
      <c r="B126" s="432" t="s">
        <v>5786</v>
      </c>
      <c r="C126" s="451" t="s">
        <v>8708</v>
      </c>
      <c r="D126" s="432"/>
      <c r="E126" s="433" t="s">
        <v>6128</v>
      </c>
      <c r="F126" s="433" t="s">
        <v>7079</v>
      </c>
      <c r="G126" s="433" t="s">
        <v>7080</v>
      </c>
      <c r="H126" s="434">
        <v>4</v>
      </c>
      <c r="I126" s="433" t="s">
        <v>2740</v>
      </c>
      <c r="J126" s="433" t="s">
        <v>7290</v>
      </c>
      <c r="K126" s="438" t="s">
        <v>8279</v>
      </c>
      <c r="L126" s="439" t="s">
        <v>8304</v>
      </c>
      <c r="M126" s="448" t="s">
        <v>8690</v>
      </c>
      <c r="N126" s="448" t="s">
        <v>8588</v>
      </c>
      <c r="O126" s="439" t="s">
        <v>8665</v>
      </c>
      <c r="P126" s="439" t="s">
        <v>8673</v>
      </c>
      <c r="Q126" s="432" t="s">
        <v>2234</v>
      </c>
      <c r="R126" s="432" t="s">
        <v>4</v>
      </c>
      <c r="S126" s="432"/>
      <c r="T126" s="432" t="s">
        <v>2740</v>
      </c>
    </row>
    <row r="127" spans="1:20" ht="22" customHeight="1">
      <c r="A127" s="432" t="s">
        <v>5669</v>
      </c>
      <c r="B127" s="432" t="s">
        <v>5786</v>
      </c>
      <c r="C127" s="451" t="s">
        <v>8708</v>
      </c>
      <c r="D127" s="432"/>
      <c r="E127" s="433" t="s">
        <v>6129</v>
      </c>
      <c r="F127" s="433" t="s">
        <v>7081</v>
      </c>
      <c r="G127" s="433" t="s">
        <v>7082</v>
      </c>
      <c r="H127" s="434">
        <v>4</v>
      </c>
      <c r="I127" s="433" t="s">
        <v>2740</v>
      </c>
      <c r="J127" s="433" t="s">
        <v>7290</v>
      </c>
      <c r="K127" s="438" t="s">
        <v>8279</v>
      </c>
      <c r="L127" s="439" t="s">
        <v>8304</v>
      </c>
      <c r="M127" s="448" t="s">
        <v>8368</v>
      </c>
      <c r="N127" s="448" t="s">
        <v>8588</v>
      </c>
      <c r="O127" s="439" t="s">
        <v>8665</v>
      </c>
      <c r="P127" s="439" t="s">
        <v>8671</v>
      </c>
      <c r="Q127" s="432" t="s">
        <v>2234</v>
      </c>
      <c r="R127" s="432" t="s">
        <v>4</v>
      </c>
      <c r="S127" s="432"/>
      <c r="T127" s="432" t="s">
        <v>2740</v>
      </c>
    </row>
    <row r="128" spans="1:20" ht="22" customHeight="1">
      <c r="A128" s="432" t="s">
        <v>5670</v>
      </c>
      <c r="B128" s="432" t="s">
        <v>5786</v>
      </c>
      <c r="C128" s="451" t="s">
        <v>8708</v>
      </c>
      <c r="D128" s="432"/>
      <c r="E128" s="433" t="s">
        <v>6130</v>
      </c>
      <c r="F128" s="433" t="s">
        <v>7083</v>
      </c>
      <c r="G128" s="433" t="s">
        <v>7084</v>
      </c>
      <c r="H128" s="434">
        <v>1.5</v>
      </c>
      <c r="I128" s="433" t="s">
        <v>2740</v>
      </c>
      <c r="J128" s="433" t="s">
        <v>7290</v>
      </c>
      <c r="K128" s="438" t="s">
        <v>8279</v>
      </c>
      <c r="L128" s="439" t="s">
        <v>8304</v>
      </c>
      <c r="M128" s="448" t="s">
        <v>8368</v>
      </c>
      <c r="N128" s="448" t="s">
        <v>8588</v>
      </c>
      <c r="O128" s="439" t="s">
        <v>8668</v>
      </c>
      <c r="P128" s="439" t="s">
        <v>8672</v>
      </c>
      <c r="Q128" s="432" t="s">
        <v>2234</v>
      </c>
      <c r="R128" s="432" t="s">
        <v>4</v>
      </c>
      <c r="S128" s="432"/>
      <c r="T128" s="432" t="s">
        <v>2740</v>
      </c>
    </row>
    <row r="129" spans="1:20" ht="22" customHeight="1">
      <c r="A129" s="432" t="s">
        <v>5671</v>
      </c>
      <c r="B129" s="432" t="s">
        <v>5786</v>
      </c>
      <c r="C129" s="451" t="s">
        <v>8708</v>
      </c>
      <c r="D129" s="432"/>
      <c r="E129" s="433" t="s">
        <v>6131</v>
      </c>
      <c r="F129" s="433" t="s">
        <v>7085</v>
      </c>
      <c r="G129" s="433" t="s">
        <v>7086</v>
      </c>
      <c r="H129" s="434">
        <v>5</v>
      </c>
      <c r="I129" s="433" t="s">
        <v>2740</v>
      </c>
      <c r="J129" s="433" t="s">
        <v>7290</v>
      </c>
      <c r="K129" s="438" t="s">
        <v>8279</v>
      </c>
      <c r="L129" s="439" t="s">
        <v>8304</v>
      </c>
      <c r="M129" s="448" t="s">
        <v>8368</v>
      </c>
      <c r="N129" s="448" t="s">
        <v>8588</v>
      </c>
      <c r="O129" s="439" t="s">
        <v>8668</v>
      </c>
      <c r="P129" s="439" t="s">
        <v>8671</v>
      </c>
      <c r="Q129" s="432" t="s">
        <v>2234</v>
      </c>
      <c r="R129" s="432" t="s">
        <v>4</v>
      </c>
      <c r="S129" s="432"/>
      <c r="T129" s="432" t="s">
        <v>2740</v>
      </c>
    </row>
    <row r="130" spans="1:20" ht="22" customHeight="1">
      <c r="A130" s="432" t="s">
        <v>5672</v>
      </c>
      <c r="B130" s="432" t="s">
        <v>5786</v>
      </c>
      <c r="C130" s="451" t="s">
        <v>8708</v>
      </c>
      <c r="D130" s="432"/>
      <c r="E130" s="433" t="s">
        <v>6132</v>
      </c>
      <c r="F130" s="433" t="s">
        <v>7087</v>
      </c>
      <c r="G130" s="433" t="s">
        <v>7088</v>
      </c>
      <c r="H130" s="434">
        <v>2</v>
      </c>
      <c r="I130" s="433" t="s">
        <v>2740</v>
      </c>
      <c r="J130" s="433" t="s">
        <v>7290</v>
      </c>
      <c r="K130" s="438" t="s">
        <v>8279</v>
      </c>
      <c r="L130" s="439" t="s">
        <v>8304</v>
      </c>
      <c r="M130" s="448" t="s">
        <v>8368</v>
      </c>
      <c r="N130" s="448" t="s">
        <v>8588</v>
      </c>
      <c r="O130" s="439" t="s">
        <v>8668</v>
      </c>
      <c r="P130" s="439" t="s">
        <v>8671</v>
      </c>
      <c r="Q130" s="432" t="s">
        <v>2234</v>
      </c>
      <c r="R130" s="432" t="s">
        <v>4</v>
      </c>
      <c r="S130" s="432"/>
      <c r="T130" s="432" t="s">
        <v>2740</v>
      </c>
    </row>
    <row r="131" spans="1:20" ht="22" customHeight="1">
      <c r="A131" s="432" t="s">
        <v>5673</v>
      </c>
      <c r="B131" s="432" t="s">
        <v>5786</v>
      </c>
      <c r="C131" s="451" t="s">
        <v>8708</v>
      </c>
      <c r="D131" s="432"/>
      <c r="E131" s="433" t="s">
        <v>7782</v>
      </c>
      <c r="F131" s="433" t="s">
        <v>7089</v>
      </c>
      <c r="G131" s="433" t="s">
        <v>7090</v>
      </c>
      <c r="H131" s="434">
        <v>3</v>
      </c>
      <c r="I131" s="433" t="s">
        <v>7862</v>
      </c>
      <c r="J131" s="433" t="s">
        <v>7370</v>
      </c>
      <c r="K131" s="438" t="s">
        <v>8277</v>
      </c>
      <c r="L131" s="439" t="s">
        <v>8296</v>
      </c>
      <c r="M131" s="448" t="s">
        <v>8346</v>
      </c>
      <c r="N131" s="448" t="s">
        <v>8588</v>
      </c>
      <c r="O131" s="439" t="s">
        <v>8667</v>
      </c>
      <c r="P131" s="439" t="s">
        <v>8671</v>
      </c>
      <c r="Q131" s="432" t="s">
        <v>2234</v>
      </c>
      <c r="R131" s="432" t="s">
        <v>4</v>
      </c>
      <c r="S131" s="432"/>
      <c r="T131" s="432" t="s">
        <v>6510</v>
      </c>
    </row>
    <row r="132" spans="1:20" ht="22" customHeight="1">
      <c r="A132" s="432" t="s">
        <v>5674</v>
      </c>
      <c r="B132" s="432" t="s">
        <v>5786</v>
      </c>
      <c r="C132" s="451" t="s">
        <v>8708</v>
      </c>
      <c r="D132" s="432"/>
      <c r="E132" s="433" t="s">
        <v>7783</v>
      </c>
      <c r="F132" s="433" t="s">
        <v>7091</v>
      </c>
      <c r="G132" s="433" t="s">
        <v>7092</v>
      </c>
      <c r="H132" s="434">
        <v>2</v>
      </c>
      <c r="I132" s="433" t="s">
        <v>7841</v>
      </c>
      <c r="J132" s="433" t="s">
        <v>7353</v>
      </c>
      <c r="K132" s="438" t="s">
        <v>8277</v>
      </c>
      <c r="L132" s="439" t="s">
        <v>8295</v>
      </c>
      <c r="M132" s="448" t="s">
        <v>8323</v>
      </c>
      <c r="N132" s="448" t="s">
        <v>8588</v>
      </c>
      <c r="O132" s="439" t="s">
        <v>8669</v>
      </c>
      <c r="P132" s="439" t="s">
        <v>8671</v>
      </c>
      <c r="Q132" s="432" t="s">
        <v>2234</v>
      </c>
      <c r="R132" s="432" t="s">
        <v>4</v>
      </c>
      <c r="S132" s="432"/>
      <c r="T132" s="432" t="s">
        <v>6439</v>
      </c>
    </row>
    <row r="133" spans="1:20" ht="22" customHeight="1">
      <c r="A133" s="432" t="s">
        <v>5675</v>
      </c>
      <c r="B133" s="432" t="s">
        <v>5398</v>
      </c>
      <c r="C133" s="451" t="s">
        <v>8708</v>
      </c>
      <c r="D133" s="432"/>
      <c r="E133" s="433" t="s">
        <v>8444</v>
      </c>
      <c r="F133" s="433" t="s">
        <v>8445</v>
      </c>
      <c r="G133" s="433" t="s">
        <v>8446</v>
      </c>
      <c r="H133" s="434">
        <v>2</v>
      </c>
      <c r="I133" s="433" t="s">
        <v>2740</v>
      </c>
      <c r="J133" s="433" t="s">
        <v>7290</v>
      </c>
      <c r="K133" s="438" t="s">
        <v>8277</v>
      </c>
      <c r="L133" s="439" t="s">
        <v>8304</v>
      </c>
      <c r="M133" s="448" t="s">
        <v>8310</v>
      </c>
      <c r="N133" s="448" t="s">
        <v>8588</v>
      </c>
      <c r="O133" s="439" t="s">
        <v>8668</v>
      </c>
      <c r="P133" s="439" t="s">
        <v>8672</v>
      </c>
      <c r="Q133" s="432" t="s">
        <v>2234</v>
      </c>
      <c r="R133" s="432" t="s">
        <v>4</v>
      </c>
      <c r="S133" s="432"/>
      <c r="T133" s="432" t="s">
        <v>2740</v>
      </c>
    </row>
    <row r="134" spans="1:20" ht="22" customHeight="1">
      <c r="A134" s="432" t="s">
        <v>5676</v>
      </c>
      <c r="B134" s="432" t="s">
        <v>5398</v>
      </c>
      <c r="C134" s="451" t="s">
        <v>8708</v>
      </c>
      <c r="D134" s="432"/>
      <c r="E134" s="433" t="s">
        <v>8447</v>
      </c>
      <c r="F134" s="433" t="s">
        <v>8448</v>
      </c>
      <c r="G134" s="433" t="s">
        <v>8449</v>
      </c>
      <c r="H134" s="434">
        <v>2</v>
      </c>
      <c r="I134" s="433" t="s">
        <v>2740</v>
      </c>
      <c r="J134" s="433" t="s">
        <v>7290</v>
      </c>
      <c r="K134" s="438" t="s">
        <v>8277</v>
      </c>
      <c r="L134" s="439" t="s">
        <v>8304</v>
      </c>
      <c r="M134" s="448" t="s">
        <v>8310</v>
      </c>
      <c r="N134" s="448" t="s">
        <v>8588</v>
      </c>
      <c r="O134" s="439" t="s">
        <v>8668</v>
      </c>
      <c r="P134" s="439" t="s">
        <v>8672</v>
      </c>
      <c r="Q134" s="432" t="s">
        <v>8450</v>
      </c>
      <c r="R134" s="432" t="s">
        <v>4</v>
      </c>
      <c r="S134" s="432"/>
      <c r="T134" s="432" t="s">
        <v>2740</v>
      </c>
    </row>
    <row r="135" spans="1:20" ht="22" customHeight="1">
      <c r="A135" s="432" t="s">
        <v>5677</v>
      </c>
      <c r="B135" s="432" t="s">
        <v>5398</v>
      </c>
      <c r="C135" s="451" t="s">
        <v>8708</v>
      </c>
      <c r="D135" s="432"/>
      <c r="E135" s="433" t="s">
        <v>6133</v>
      </c>
      <c r="F135" s="433" t="s">
        <v>6736</v>
      </c>
      <c r="G135" s="433" t="s">
        <v>6737</v>
      </c>
      <c r="H135" s="434">
        <v>0</v>
      </c>
      <c r="I135" s="433" t="s">
        <v>2740</v>
      </c>
      <c r="J135" s="433" t="s">
        <v>7291</v>
      </c>
      <c r="K135" s="438" t="s">
        <v>8277</v>
      </c>
      <c r="L135" s="439" t="s">
        <v>8304</v>
      </c>
      <c r="M135" s="448" t="s">
        <v>8310</v>
      </c>
      <c r="N135" s="448" t="s">
        <v>8588</v>
      </c>
      <c r="O135" s="439" t="s">
        <v>8668</v>
      </c>
      <c r="P135" s="439" t="s">
        <v>8672</v>
      </c>
      <c r="Q135" s="432" t="s">
        <v>2234</v>
      </c>
      <c r="R135" s="432" t="s">
        <v>6533</v>
      </c>
      <c r="S135" s="432"/>
      <c r="T135" s="432" t="s">
        <v>2234</v>
      </c>
    </row>
    <row r="136" spans="1:20" ht="22" customHeight="1">
      <c r="A136" s="432" t="s">
        <v>5678</v>
      </c>
      <c r="B136" s="432" t="s">
        <v>5398</v>
      </c>
      <c r="C136" s="451" t="s">
        <v>8708</v>
      </c>
      <c r="D136" s="432"/>
      <c r="E136" s="433" t="s">
        <v>6134</v>
      </c>
      <c r="F136" s="433" t="s">
        <v>6738</v>
      </c>
      <c r="G136" s="433" t="s">
        <v>6737</v>
      </c>
      <c r="H136" s="434">
        <v>0</v>
      </c>
      <c r="I136" s="433" t="s">
        <v>2740</v>
      </c>
      <c r="J136" s="433" t="s">
        <v>7291</v>
      </c>
      <c r="K136" s="438" t="s">
        <v>8277</v>
      </c>
      <c r="L136" s="439" t="s">
        <v>8304</v>
      </c>
      <c r="M136" s="448" t="s">
        <v>8310</v>
      </c>
      <c r="N136" s="448" t="s">
        <v>8588</v>
      </c>
      <c r="O136" s="439" t="s">
        <v>8668</v>
      </c>
      <c r="P136" s="439" t="s">
        <v>8672</v>
      </c>
      <c r="Q136" s="432" t="s">
        <v>2234</v>
      </c>
      <c r="R136" s="432" t="s">
        <v>6533</v>
      </c>
      <c r="S136" s="432"/>
      <c r="T136" s="432" t="s">
        <v>2234</v>
      </c>
    </row>
    <row r="137" spans="1:20" ht="22" customHeight="1">
      <c r="A137" s="432" t="s">
        <v>5679</v>
      </c>
      <c r="B137" s="432" t="s">
        <v>5398</v>
      </c>
      <c r="C137" s="451" t="s">
        <v>8708</v>
      </c>
      <c r="D137" s="432"/>
      <c r="E137" s="433" t="s">
        <v>6135</v>
      </c>
      <c r="F137" s="433" t="s">
        <v>6739</v>
      </c>
      <c r="G137" s="433" t="s">
        <v>6737</v>
      </c>
      <c r="H137" s="434">
        <v>0</v>
      </c>
      <c r="I137" s="433" t="s">
        <v>2740</v>
      </c>
      <c r="J137" s="433" t="s">
        <v>7291</v>
      </c>
      <c r="K137" s="438" t="s">
        <v>8277</v>
      </c>
      <c r="L137" s="439" t="s">
        <v>8304</v>
      </c>
      <c r="M137" s="448" t="s">
        <v>8310</v>
      </c>
      <c r="N137" s="448" t="s">
        <v>8588</v>
      </c>
      <c r="O137" s="439" t="s">
        <v>8668</v>
      </c>
      <c r="P137" s="439" t="s">
        <v>8672</v>
      </c>
      <c r="Q137" s="432" t="s">
        <v>2234</v>
      </c>
      <c r="R137" s="432" t="s">
        <v>6533</v>
      </c>
      <c r="S137" s="432"/>
      <c r="T137" s="432" t="s">
        <v>2234</v>
      </c>
    </row>
    <row r="138" spans="1:20" ht="22" customHeight="1">
      <c r="A138" s="432" t="s">
        <v>5680</v>
      </c>
      <c r="B138" s="432" t="s">
        <v>5398</v>
      </c>
      <c r="C138" s="451" t="s">
        <v>8708</v>
      </c>
      <c r="D138" s="432"/>
      <c r="E138" s="433" t="s">
        <v>6136</v>
      </c>
      <c r="F138" s="433" t="s">
        <v>6740</v>
      </c>
      <c r="G138" s="433" t="s">
        <v>6737</v>
      </c>
      <c r="H138" s="434">
        <v>0</v>
      </c>
      <c r="I138" s="433" t="s">
        <v>2740</v>
      </c>
      <c r="J138" s="433" t="s">
        <v>7291</v>
      </c>
      <c r="K138" s="438" t="s">
        <v>8277</v>
      </c>
      <c r="L138" s="439" t="s">
        <v>8304</v>
      </c>
      <c r="M138" s="448" t="s">
        <v>8310</v>
      </c>
      <c r="N138" s="448" t="s">
        <v>8588</v>
      </c>
      <c r="O138" s="439" t="s">
        <v>8668</v>
      </c>
      <c r="P138" s="439" t="s">
        <v>8672</v>
      </c>
      <c r="Q138" s="432" t="s">
        <v>2234</v>
      </c>
      <c r="R138" s="432" t="s">
        <v>6533</v>
      </c>
      <c r="S138" s="432"/>
      <c r="T138" s="432" t="s">
        <v>2234</v>
      </c>
    </row>
    <row r="139" spans="1:20" ht="22" customHeight="1">
      <c r="A139" s="432" t="s">
        <v>5681</v>
      </c>
      <c r="B139" s="432" t="s">
        <v>5398</v>
      </c>
      <c r="C139" s="451" t="s">
        <v>8708</v>
      </c>
      <c r="D139" s="432"/>
      <c r="E139" s="433" t="s">
        <v>6137</v>
      </c>
      <c r="F139" s="433" t="s">
        <v>6741</v>
      </c>
      <c r="G139" s="433" t="s">
        <v>6737</v>
      </c>
      <c r="H139" s="434">
        <v>0</v>
      </c>
      <c r="I139" s="433" t="s">
        <v>2740</v>
      </c>
      <c r="J139" s="433" t="s">
        <v>7291</v>
      </c>
      <c r="K139" s="438" t="s">
        <v>8277</v>
      </c>
      <c r="L139" s="439" t="s">
        <v>8304</v>
      </c>
      <c r="M139" s="448" t="s">
        <v>8310</v>
      </c>
      <c r="N139" s="448" t="s">
        <v>8588</v>
      </c>
      <c r="O139" s="439" t="s">
        <v>8668</v>
      </c>
      <c r="P139" s="439" t="s">
        <v>8672</v>
      </c>
      <c r="Q139" s="432" t="s">
        <v>2234</v>
      </c>
      <c r="R139" s="432" t="s">
        <v>6533</v>
      </c>
      <c r="S139" s="432"/>
      <c r="T139" s="432" t="s">
        <v>2234</v>
      </c>
    </row>
    <row r="140" spans="1:20" ht="22" customHeight="1">
      <c r="A140" s="432" t="s">
        <v>5682</v>
      </c>
      <c r="B140" s="432" t="s">
        <v>5398</v>
      </c>
      <c r="C140" s="451" t="s">
        <v>8708</v>
      </c>
      <c r="D140" s="432"/>
      <c r="E140" s="433" t="s">
        <v>6138</v>
      </c>
      <c r="F140" s="433" t="s">
        <v>6742</v>
      </c>
      <c r="G140" s="433" t="s">
        <v>6737</v>
      </c>
      <c r="H140" s="434">
        <v>0</v>
      </c>
      <c r="I140" s="433" t="s">
        <v>2740</v>
      </c>
      <c r="J140" s="433" t="s">
        <v>7291</v>
      </c>
      <c r="K140" s="438" t="s">
        <v>8277</v>
      </c>
      <c r="L140" s="439" t="s">
        <v>8304</v>
      </c>
      <c r="M140" s="448" t="s">
        <v>8310</v>
      </c>
      <c r="N140" s="448" t="s">
        <v>8588</v>
      </c>
      <c r="O140" s="439" t="s">
        <v>8668</v>
      </c>
      <c r="P140" s="439" t="s">
        <v>8672</v>
      </c>
      <c r="Q140" s="432" t="s">
        <v>2234</v>
      </c>
      <c r="R140" s="432" t="s">
        <v>6533</v>
      </c>
      <c r="S140" s="432"/>
      <c r="T140" s="432" t="s">
        <v>2234</v>
      </c>
    </row>
    <row r="141" spans="1:20" ht="22" customHeight="1">
      <c r="A141" s="432" t="s">
        <v>5683</v>
      </c>
      <c r="B141" s="432" t="s">
        <v>5398</v>
      </c>
      <c r="C141" s="451" t="s">
        <v>8708</v>
      </c>
      <c r="D141" s="432"/>
      <c r="E141" s="433" t="s">
        <v>6139</v>
      </c>
      <c r="F141" s="433" t="s">
        <v>6743</v>
      </c>
      <c r="G141" s="433" t="s">
        <v>6744</v>
      </c>
      <c r="H141" s="434">
        <v>4</v>
      </c>
      <c r="I141" s="433" t="s">
        <v>2740</v>
      </c>
      <c r="J141" s="433" t="s">
        <v>7292</v>
      </c>
      <c r="K141" s="438" t="s">
        <v>8277</v>
      </c>
      <c r="L141" s="439" t="s">
        <v>8304</v>
      </c>
      <c r="M141" s="448" t="s">
        <v>8310</v>
      </c>
      <c r="N141" s="448" t="s">
        <v>8588</v>
      </c>
      <c r="O141" s="439" t="s">
        <v>8668</v>
      </c>
      <c r="P141" s="439" t="s">
        <v>8672</v>
      </c>
      <c r="Q141" s="432" t="s">
        <v>2234</v>
      </c>
      <c r="R141" s="432" t="s">
        <v>4</v>
      </c>
      <c r="S141" s="432"/>
      <c r="T141" s="432" t="s">
        <v>2740</v>
      </c>
    </row>
    <row r="142" spans="1:20" ht="22" customHeight="1">
      <c r="A142" s="432" t="s">
        <v>5684</v>
      </c>
      <c r="B142" s="432" t="s">
        <v>5398</v>
      </c>
      <c r="C142" s="451" t="s">
        <v>8708</v>
      </c>
      <c r="D142" s="432"/>
      <c r="E142" s="433" t="s">
        <v>6140</v>
      </c>
      <c r="F142" s="433" t="s">
        <v>6745</v>
      </c>
      <c r="G142" s="433" t="s">
        <v>6746</v>
      </c>
      <c r="H142" s="434">
        <v>3.5</v>
      </c>
      <c r="I142" s="433" t="s">
        <v>2740</v>
      </c>
      <c r="J142" s="433" t="s">
        <v>7292</v>
      </c>
      <c r="K142" s="438" t="s">
        <v>8277</v>
      </c>
      <c r="L142" s="439" t="s">
        <v>8304</v>
      </c>
      <c r="M142" s="448" t="s">
        <v>8310</v>
      </c>
      <c r="N142" s="448" t="s">
        <v>8588</v>
      </c>
      <c r="O142" s="439" t="s">
        <v>8668</v>
      </c>
      <c r="P142" s="439" t="s">
        <v>8672</v>
      </c>
      <c r="Q142" s="432" t="s">
        <v>2234</v>
      </c>
      <c r="R142" s="432" t="s">
        <v>4</v>
      </c>
      <c r="S142" s="432"/>
      <c r="T142" s="432" t="s">
        <v>2740</v>
      </c>
    </row>
    <row r="143" spans="1:20" ht="22" customHeight="1">
      <c r="A143" s="432" t="s">
        <v>5685</v>
      </c>
      <c r="B143" s="432" t="s">
        <v>5398</v>
      </c>
      <c r="C143" s="451" t="s">
        <v>8708</v>
      </c>
      <c r="D143" s="432"/>
      <c r="E143" s="433" t="s">
        <v>6141</v>
      </c>
      <c r="F143" s="433" t="s">
        <v>6747</v>
      </c>
      <c r="G143" s="433" t="s">
        <v>6748</v>
      </c>
      <c r="H143" s="434">
        <v>2.5</v>
      </c>
      <c r="I143" s="433" t="s">
        <v>2740</v>
      </c>
      <c r="J143" s="433" t="s">
        <v>7292</v>
      </c>
      <c r="K143" s="438" t="s">
        <v>8277</v>
      </c>
      <c r="L143" s="439" t="s">
        <v>8304</v>
      </c>
      <c r="M143" s="448" t="s">
        <v>8310</v>
      </c>
      <c r="N143" s="448" t="s">
        <v>8588</v>
      </c>
      <c r="O143" s="439" t="s">
        <v>8668</v>
      </c>
      <c r="P143" s="439" t="s">
        <v>8672</v>
      </c>
      <c r="Q143" s="432" t="s">
        <v>2234</v>
      </c>
      <c r="R143" s="432" t="s">
        <v>4</v>
      </c>
      <c r="S143" s="432"/>
      <c r="T143" s="432" t="s">
        <v>2740</v>
      </c>
    </row>
    <row r="144" spans="1:20" ht="22" customHeight="1">
      <c r="A144" s="432" t="s">
        <v>5686</v>
      </c>
      <c r="B144" s="432" t="s">
        <v>5398</v>
      </c>
      <c r="C144" s="451" t="s">
        <v>8708</v>
      </c>
      <c r="D144" s="432"/>
      <c r="E144" s="433" t="s">
        <v>6142</v>
      </c>
      <c r="F144" s="433" t="s">
        <v>6749</v>
      </c>
      <c r="G144" s="433" t="s">
        <v>6750</v>
      </c>
      <c r="H144" s="434">
        <v>3</v>
      </c>
      <c r="I144" s="433" t="s">
        <v>7828</v>
      </c>
      <c r="J144" s="433" t="s">
        <v>7968</v>
      </c>
      <c r="K144" s="438" t="s">
        <v>8277</v>
      </c>
      <c r="L144" s="439" t="s">
        <v>8296</v>
      </c>
      <c r="M144" s="448" t="s">
        <v>8311</v>
      </c>
      <c r="N144" s="448" t="s">
        <v>8588</v>
      </c>
      <c r="O144" s="439" t="s">
        <v>8669</v>
      </c>
      <c r="P144" s="439" t="s">
        <v>8672</v>
      </c>
      <c r="Q144" s="432" t="s">
        <v>2234</v>
      </c>
      <c r="R144" s="432" t="s">
        <v>4</v>
      </c>
      <c r="S144" s="432"/>
      <c r="T144" s="432" t="s">
        <v>6718</v>
      </c>
    </row>
    <row r="145" spans="1:20" ht="22" customHeight="1">
      <c r="A145" s="432" t="s">
        <v>5687</v>
      </c>
      <c r="B145" s="432" t="s">
        <v>5398</v>
      </c>
      <c r="C145" s="451" t="s">
        <v>8708</v>
      </c>
      <c r="D145" s="432"/>
      <c r="E145" s="433" t="s">
        <v>6143</v>
      </c>
      <c r="F145" s="433" t="s">
        <v>6751</v>
      </c>
      <c r="G145" s="433" t="s">
        <v>6752</v>
      </c>
      <c r="H145" s="434">
        <v>3</v>
      </c>
      <c r="I145" s="433" t="s">
        <v>7846</v>
      </c>
      <c r="J145" s="433" t="s">
        <v>7293</v>
      </c>
      <c r="K145" s="438" t="s">
        <v>8277</v>
      </c>
      <c r="L145" s="439" t="s">
        <v>8296</v>
      </c>
      <c r="M145" s="448" t="s">
        <v>8312</v>
      </c>
      <c r="N145" s="448" t="s">
        <v>8588</v>
      </c>
      <c r="O145" s="439" t="s">
        <v>8669</v>
      </c>
      <c r="P145" s="439" t="s">
        <v>8672</v>
      </c>
      <c r="Q145" s="432" t="s">
        <v>2234</v>
      </c>
      <c r="R145" s="432" t="s">
        <v>4</v>
      </c>
      <c r="S145" s="432"/>
      <c r="T145" s="432" t="s">
        <v>6453</v>
      </c>
    </row>
    <row r="146" spans="1:20" ht="22" customHeight="1">
      <c r="A146" s="432" t="s">
        <v>5688</v>
      </c>
      <c r="B146" s="432" t="s">
        <v>5398</v>
      </c>
      <c r="C146" s="451" t="s">
        <v>8708</v>
      </c>
      <c r="D146" s="432"/>
      <c r="E146" s="433" t="s">
        <v>6144</v>
      </c>
      <c r="F146" s="433" t="s">
        <v>6753</v>
      </c>
      <c r="G146" s="433" t="s">
        <v>6754</v>
      </c>
      <c r="H146" s="434">
        <v>2</v>
      </c>
      <c r="I146" s="433" t="s">
        <v>7831</v>
      </c>
      <c r="J146" s="433" t="s">
        <v>7294</v>
      </c>
      <c r="K146" s="438" t="s">
        <v>8275</v>
      </c>
      <c r="L146" s="439" t="s">
        <v>8299</v>
      </c>
      <c r="M146" s="448" t="s">
        <v>8453</v>
      </c>
      <c r="N146" s="448" t="s">
        <v>8588</v>
      </c>
      <c r="O146" s="439" t="s">
        <v>8668</v>
      </c>
      <c r="P146" s="439" t="s">
        <v>8672</v>
      </c>
      <c r="Q146" s="432" t="s">
        <v>2234</v>
      </c>
      <c r="R146" s="432" t="s">
        <v>4</v>
      </c>
      <c r="S146" s="432"/>
      <c r="T146" s="432" t="s">
        <v>6382</v>
      </c>
    </row>
    <row r="147" spans="1:20" ht="22" customHeight="1">
      <c r="A147" s="432" t="s">
        <v>5689</v>
      </c>
      <c r="B147" s="432" t="s">
        <v>5398</v>
      </c>
      <c r="C147" s="451" t="s">
        <v>8708</v>
      </c>
      <c r="D147" s="432"/>
      <c r="E147" s="433" t="s">
        <v>6145</v>
      </c>
      <c r="F147" s="433" t="s">
        <v>6755</v>
      </c>
      <c r="G147" s="433" t="s">
        <v>6756</v>
      </c>
      <c r="H147" s="434">
        <v>3</v>
      </c>
      <c r="I147" s="433" t="s">
        <v>7841</v>
      </c>
      <c r="J147" s="433" t="s">
        <v>7295</v>
      </c>
      <c r="K147" s="438" t="s">
        <v>8277</v>
      </c>
      <c r="L147" s="439" t="s">
        <v>8292</v>
      </c>
      <c r="M147" s="448" t="s">
        <v>8454</v>
      </c>
      <c r="N147" s="448" t="s">
        <v>8588</v>
      </c>
      <c r="O147" s="439" t="s">
        <v>8669</v>
      </c>
      <c r="P147" s="439" t="s">
        <v>8672</v>
      </c>
      <c r="Q147" s="432" t="s">
        <v>2234</v>
      </c>
      <c r="R147" s="432" t="s">
        <v>4</v>
      </c>
      <c r="S147" s="432"/>
      <c r="T147" s="432" t="s">
        <v>6433</v>
      </c>
    </row>
    <row r="148" spans="1:20" ht="22" customHeight="1">
      <c r="A148" s="432" t="s">
        <v>5690</v>
      </c>
      <c r="B148" s="432" t="s">
        <v>5398</v>
      </c>
      <c r="C148" s="451" t="s">
        <v>8708</v>
      </c>
      <c r="D148" s="432"/>
      <c r="E148" s="433" t="s">
        <v>6146</v>
      </c>
      <c r="F148" s="433" t="s">
        <v>6757</v>
      </c>
      <c r="G148" s="433" t="s">
        <v>6758</v>
      </c>
      <c r="H148" s="434">
        <v>3</v>
      </c>
      <c r="I148" s="433" t="s">
        <v>7841</v>
      </c>
      <c r="J148" s="433" t="s">
        <v>7296</v>
      </c>
      <c r="K148" s="438" t="s">
        <v>8277</v>
      </c>
      <c r="L148" s="439" t="s">
        <v>8292</v>
      </c>
      <c r="M148" s="448" t="s">
        <v>8454</v>
      </c>
      <c r="N148" s="448" t="s">
        <v>8588</v>
      </c>
      <c r="O148" s="439" t="s">
        <v>8669</v>
      </c>
      <c r="P148" s="439" t="s">
        <v>8672</v>
      </c>
      <c r="Q148" s="432" t="s">
        <v>2234</v>
      </c>
      <c r="R148" s="432" t="s">
        <v>4</v>
      </c>
      <c r="S148" s="432"/>
      <c r="T148" s="432" t="s">
        <v>6436</v>
      </c>
    </row>
    <row r="149" spans="1:20" ht="22" customHeight="1">
      <c r="A149" s="432" t="s">
        <v>6534</v>
      </c>
      <c r="B149" s="432" t="s">
        <v>5398</v>
      </c>
      <c r="C149" s="451" t="s">
        <v>8708</v>
      </c>
      <c r="D149" s="432"/>
      <c r="E149" s="433" t="s">
        <v>6535</v>
      </c>
      <c r="F149" s="433" t="s">
        <v>6867</v>
      </c>
      <c r="G149" s="433" t="s">
        <v>6868</v>
      </c>
      <c r="H149" s="434">
        <v>0.75</v>
      </c>
      <c r="I149" s="433" t="s">
        <v>7815</v>
      </c>
      <c r="J149" s="433" t="s">
        <v>7305</v>
      </c>
      <c r="K149" s="438" t="s">
        <v>8277</v>
      </c>
      <c r="L149" s="439" t="s">
        <v>8292</v>
      </c>
      <c r="M149" s="448" t="s">
        <v>8326</v>
      </c>
      <c r="N149" s="448" t="s">
        <v>8588</v>
      </c>
      <c r="O149" s="439" t="s">
        <v>8668</v>
      </c>
      <c r="P149" s="439" t="s">
        <v>8671</v>
      </c>
      <c r="Q149" s="432" t="s">
        <v>6527</v>
      </c>
      <c r="R149" s="432" t="s">
        <v>4</v>
      </c>
      <c r="S149" s="432" t="s">
        <v>6271</v>
      </c>
      <c r="T149" s="432" t="s">
        <v>6268</v>
      </c>
    </row>
    <row r="150" spans="1:20" ht="22" customHeight="1">
      <c r="A150" s="432" t="s">
        <v>6536</v>
      </c>
      <c r="B150" s="432" t="s">
        <v>5398</v>
      </c>
      <c r="C150" s="451" t="s">
        <v>8708</v>
      </c>
      <c r="D150" s="432"/>
      <c r="E150" s="433" t="s">
        <v>6537</v>
      </c>
      <c r="F150" s="433" t="s">
        <v>6869</v>
      </c>
      <c r="G150" s="433" t="s">
        <v>6870</v>
      </c>
      <c r="H150" s="434">
        <v>1</v>
      </c>
      <c r="I150" s="433" t="s">
        <v>7816</v>
      </c>
      <c r="J150" s="433" t="s">
        <v>7306</v>
      </c>
      <c r="K150" s="438" t="s">
        <v>8277</v>
      </c>
      <c r="L150" s="439" t="s">
        <v>8293</v>
      </c>
      <c r="M150" s="448" t="s">
        <v>8327</v>
      </c>
      <c r="N150" s="448" t="s">
        <v>8588</v>
      </c>
      <c r="O150" s="439" t="s">
        <v>8665</v>
      </c>
      <c r="P150" s="439" t="s">
        <v>8672</v>
      </c>
      <c r="Q150" s="432" t="s">
        <v>6527</v>
      </c>
      <c r="R150" s="432" t="s">
        <v>4</v>
      </c>
      <c r="S150" s="432" t="s">
        <v>6276</v>
      </c>
      <c r="T150" s="432" t="s">
        <v>6274</v>
      </c>
    </row>
    <row r="151" spans="1:20" ht="22" customHeight="1">
      <c r="A151" s="432" t="s">
        <v>6538</v>
      </c>
      <c r="B151" s="432" t="s">
        <v>5398</v>
      </c>
      <c r="C151" s="451" t="s">
        <v>8708</v>
      </c>
      <c r="D151" s="432"/>
      <c r="E151" s="433" t="s">
        <v>6539</v>
      </c>
      <c r="F151" s="433" t="s">
        <v>6871</v>
      </c>
      <c r="G151" s="433" t="s">
        <v>6872</v>
      </c>
      <c r="H151" s="434">
        <v>0.5</v>
      </c>
      <c r="I151" s="433" t="s">
        <v>7816</v>
      </c>
      <c r="J151" s="433" t="s">
        <v>7307</v>
      </c>
      <c r="K151" s="438" t="s">
        <v>8277</v>
      </c>
      <c r="L151" s="439" t="s">
        <v>8293</v>
      </c>
      <c r="M151" s="448" t="s">
        <v>8327</v>
      </c>
      <c r="N151" s="448" t="s">
        <v>8588</v>
      </c>
      <c r="O151" s="439" t="s">
        <v>8665</v>
      </c>
      <c r="P151" s="439" t="s">
        <v>8672</v>
      </c>
      <c r="Q151" s="432" t="s">
        <v>6527</v>
      </c>
      <c r="R151" s="432" t="s">
        <v>4</v>
      </c>
      <c r="S151" s="432" t="s">
        <v>6279</v>
      </c>
      <c r="T151" s="432" t="s">
        <v>6277</v>
      </c>
    </row>
    <row r="152" spans="1:20" ht="22" customHeight="1">
      <c r="A152" s="432" t="s">
        <v>6540</v>
      </c>
      <c r="B152" s="432" t="s">
        <v>5398</v>
      </c>
      <c r="C152" s="451" t="s">
        <v>8708</v>
      </c>
      <c r="D152" s="432"/>
      <c r="E152" s="433" t="s">
        <v>6541</v>
      </c>
      <c r="F152" s="433" t="s">
        <v>6873</v>
      </c>
      <c r="G152" s="433" t="s">
        <v>6874</v>
      </c>
      <c r="H152" s="434">
        <v>0.5</v>
      </c>
      <c r="I152" s="433" t="s">
        <v>7816</v>
      </c>
      <c r="J152" s="433" t="s">
        <v>7308</v>
      </c>
      <c r="K152" s="438" t="s">
        <v>8277</v>
      </c>
      <c r="L152" s="439" t="s">
        <v>8293</v>
      </c>
      <c r="M152" s="448" t="s">
        <v>8327</v>
      </c>
      <c r="N152" s="448" t="s">
        <v>8588</v>
      </c>
      <c r="O152" s="439" t="s">
        <v>8665</v>
      </c>
      <c r="P152" s="439" t="s">
        <v>8672</v>
      </c>
      <c r="Q152" s="432" t="s">
        <v>6527</v>
      </c>
      <c r="R152" s="432" t="s">
        <v>4</v>
      </c>
      <c r="S152" s="432" t="s">
        <v>6282</v>
      </c>
      <c r="T152" s="432" t="s">
        <v>6280</v>
      </c>
    </row>
    <row r="153" spans="1:20" ht="22" customHeight="1">
      <c r="A153" s="432" t="s">
        <v>6542</v>
      </c>
      <c r="B153" s="432" t="s">
        <v>5398</v>
      </c>
      <c r="C153" s="451" t="s">
        <v>8708</v>
      </c>
      <c r="D153" s="432"/>
      <c r="E153" s="433" t="s">
        <v>6543</v>
      </c>
      <c r="F153" s="433" t="s">
        <v>6875</v>
      </c>
      <c r="G153" s="433" t="s">
        <v>6876</v>
      </c>
      <c r="H153" s="434">
        <v>0.75</v>
      </c>
      <c r="I153" s="433" t="s">
        <v>7817</v>
      </c>
      <c r="J153" s="433" t="s">
        <v>7298</v>
      </c>
      <c r="K153" s="438" t="s">
        <v>8277</v>
      </c>
      <c r="L153" s="439" t="s">
        <v>8292</v>
      </c>
      <c r="M153" s="448" t="s">
        <v>8318</v>
      </c>
      <c r="N153" s="448" t="s">
        <v>8588</v>
      </c>
      <c r="O153" s="439" t="s">
        <v>8668</v>
      </c>
      <c r="P153" s="439" t="s">
        <v>8671</v>
      </c>
      <c r="Q153" s="432" t="s">
        <v>6527</v>
      </c>
      <c r="R153" s="432" t="s">
        <v>4</v>
      </c>
      <c r="S153" s="432" t="s">
        <v>6285</v>
      </c>
      <c r="T153" s="432" t="s">
        <v>6283</v>
      </c>
    </row>
    <row r="154" spans="1:20" ht="22" customHeight="1">
      <c r="A154" s="432" t="s">
        <v>6544</v>
      </c>
      <c r="B154" s="432" t="s">
        <v>5398</v>
      </c>
      <c r="C154" s="451" t="s">
        <v>8708</v>
      </c>
      <c r="D154" s="432"/>
      <c r="E154" s="433" t="s">
        <v>6545</v>
      </c>
      <c r="F154" s="433" t="s">
        <v>6877</v>
      </c>
      <c r="G154" s="433" t="s">
        <v>6878</v>
      </c>
      <c r="H154" s="434">
        <v>0.75</v>
      </c>
      <c r="I154" s="433" t="s">
        <v>7817</v>
      </c>
      <c r="J154" s="433" t="s">
        <v>7309</v>
      </c>
      <c r="K154" s="438" t="s">
        <v>8277</v>
      </c>
      <c r="L154" s="439" t="s">
        <v>8292</v>
      </c>
      <c r="M154" s="448" t="s">
        <v>8318</v>
      </c>
      <c r="N154" s="448" t="s">
        <v>8588</v>
      </c>
      <c r="O154" s="439" t="s">
        <v>8668</v>
      </c>
      <c r="P154" s="439" t="s">
        <v>8671</v>
      </c>
      <c r="Q154" s="432" t="s">
        <v>6527</v>
      </c>
      <c r="R154" s="432" t="s">
        <v>4</v>
      </c>
      <c r="S154" s="432" t="s">
        <v>6289</v>
      </c>
      <c r="T154" s="432" t="s">
        <v>6287</v>
      </c>
    </row>
    <row r="155" spans="1:20" ht="22" customHeight="1">
      <c r="A155" s="432" t="s">
        <v>6546</v>
      </c>
      <c r="B155" s="432" t="s">
        <v>5398</v>
      </c>
      <c r="C155" s="451" t="s">
        <v>8708</v>
      </c>
      <c r="D155" s="432"/>
      <c r="E155" s="433" t="s">
        <v>6547</v>
      </c>
      <c r="F155" s="433" t="s">
        <v>6879</v>
      </c>
      <c r="G155" s="433" t="s">
        <v>6880</v>
      </c>
      <c r="H155" s="434">
        <v>1</v>
      </c>
      <c r="I155" s="433" t="s">
        <v>7817</v>
      </c>
      <c r="J155" s="433" t="s">
        <v>7310</v>
      </c>
      <c r="K155" s="438" t="s">
        <v>8277</v>
      </c>
      <c r="L155" s="439" t="s">
        <v>8292</v>
      </c>
      <c r="M155" s="448" t="s">
        <v>8328</v>
      </c>
      <c r="N155" s="448" t="s">
        <v>8588</v>
      </c>
      <c r="O155" s="439" t="s">
        <v>8668</v>
      </c>
      <c r="P155" s="439" t="s">
        <v>8672</v>
      </c>
      <c r="Q155" s="432" t="s">
        <v>6527</v>
      </c>
      <c r="R155" s="432" t="s">
        <v>4</v>
      </c>
      <c r="S155" s="432" t="s">
        <v>6292</v>
      </c>
      <c r="T155" s="432" t="s">
        <v>6290</v>
      </c>
    </row>
    <row r="156" spans="1:20" ht="22" customHeight="1">
      <c r="A156" s="432" t="s">
        <v>6548</v>
      </c>
      <c r="B156" s="432" t="s">
        <v>5398</v>
      </c>
      <c r="C156" s="451" t="s">
        <v>8708</v>
      </c>
      <c r="D156" s="432"/>
      <c r="E156" s="433" t="s">
        <v>6549</v>
      </c>
      <c r="F156" s="433" t="s">
        <v>6881</v>
      </c>
      <c r="G156" s="433" t="s">
        <v>6882</v>
      </c>
      <c r="H156" s="434">
        <v>0.5</v>
      </c>
      <c r="I156" s="433" t="s">
        <v>7817</v>
      </c>
      <c r="J156" s="433" t="s">
        <v>7311</v>
      </c>
      <c r="K156" s="438" t="s">
        <v>8277</v>
      </c>
      <c r="L156" s="439" t="s">
        <v>8292</v>
      </c>
      <c r="M156" s="448" t="s">
        <v>8328</v>
      </c>
      <c r="N156" s="448" t="s">
        <v>8588</v>
      </c>
      <c r="O156" s="439" t="s">
        <v>8668</v>
      </c>
      <c r="P156" s="439" t="s">
        <v>8672</v>
      </c>
      <c r="Q156" s="432" t="s">
        <v>6527</v>
      </c>
      <c r="R156" s="432" t="s">
        <v>4</v>
      </c>
      <c r="S156" s="432" t="s">
        <v>6295</v>
      </c>
      <c r="T156" s="432" t="s">
        <v>6293</v>
      </c>
    </row>
    <row r="157" spans="1:20" ht="22" customHeight="1">
      <c r="A157" s="432" t="s">
        <v>6550</v>
      </c>
      <c r="B157" s="432" t="s">
        <v>5398</v>
      </c>
      <c r="C157" s="451" t="s">
        <v>8708</v>
      </c>
      <c r="D157" s="432"/>
      <c r="E157" s="433" t="s">
        <v>6551</v>
      </c>
      <c r="F157" s="433" t="s">
        <v>6883</v>
      </c>
      <c r="G157" s="433" t="s">
        <v>6884</v>
      </c>
      <c r="H157" s="434">
        <v>0.75</v>
      </c>
      <c r="I157" s="433" t="s">
        <v>7817</v>
      </c>
      <c r="J157" s="433" t="s">
        <v>7312</v>
      </c>
      <c r="K157" s="438" t="s">
        <v>8277</v>
      </c>
      <c r="L157" s="439" t="s">
        <v>8612</v>
      </c>
      <c r="M157" s="448" t="s">
        <v>8613</v>
      </c>
      <c r="N157" s="448" t="s">
        <v>8712</v>
      </c>
      <c r="O157" s="439" t="s">
        <v>8665</v>
      </c>
      <c r="P157" s="439" t="s">
        <v>8672</v>
      </c>
      <c r="Q157" s="432" t="s">
        <v>6527</v>
      </c>
      <c r="R157" s="432" t="s">
        <v>4</v>
      </c>
      <c r="S157" s="432" t="s">
        <v>6298</v>
      </c>
      <c r="T157" s="432" t="s">
        <v>6296</v>
      </c>
    </row>
    <row r="158" spans="1:20" ht="22" customHeight="1">
      <c r="A158" s="432" t="s">
        <v>6552</v>
      </c>
      <c r="B158" s="432" t="s">
        <v>5398</v>
      </c>
      <c r="C158" s="451" t="s">
        <v>8708</v>
      </c>
      <c r="D158" s="432"/>
      <c r="E158" s="433" t="s">
        <v>6553</v>
      </c>
      <c r="F158" s="433" t="s">
        <v>6885</v>
      </c>
      <c r="G158" s="433" t="s">
        <v>6886</v>
      </c>
      <c r="H158" s="434">
        <v>0.5</v>
      </c>
      <c r="I158" s="433" t="s">
        <v>7818</v>
      </c>
      <c r="J158" s="433" t="s">
        <v>7313</v>
      </c>
      <c r="K158" s="438" t="s">
        <v>8277</v>
      </c>
      <c r="L158" s="439" t="s">
        <v>8294</v>
      </c>
      <c r="M158" s="448" t="s">
        <v>8329</v>
      </c>
      <c r="N158" s="448" t="s">
        <v>8588</v>
      </c>
      <c r="O158" s="439" t="s">
        <v>8668</v>
      </c>
      <c r="P158" s="439" t="s">
        <v>8671</v>
      </c>
      <c r="Q158" s="432" t="s">
        <v>6527</v>
      </c>
      <c r="R158" s="432" t="s">
        <v>4</v>
      </c>
      <c r="S158" s="432" t="s">
        <v>6301</v>
      </c>
      <c r="T158" s="432" t="s">
        <v>6299</v>
      </c>
    </row>
    <row r="159" spans="1:20" ht="22" customHeight="1">
      <c r="A159" s="432" t="s">
        <v>6554</v>
      </c>
      <c r="B159" s="432" t="s">
        <v>5398</v>
      </c>
      <c r="C159" s="451" t="s">
        <v>8708</v>
      </c>
      <c r="D159" s="432"/>
      <c r="E159" s="433" t="s">
        <v>6555</v>
      </c>
      <c r="F159" s="433" t="s">
        <v>6887</v>
      </c>
      <c r="G159" s="433" t="s">
        <v>6888</v>
      </c>
      <c r="H159" s="434">
        <v>0.75</v>
      </c>
      <c r="I159" s="433" t="s">
        <v>7818</v>
      </c>
      <c r="J159" s="433" t="s">
        <v>7314</v>
      </c>
      <c r="K159" s="438" t="s">
        <v>8277</v>
      </c>
      <c r="L159" s="439" t="s">
        <v>8294</v>
      </c>
      <c r="M159" s="448" t="s">
        <v>8329</v>
      </c>
      <c r="N159" s="448" t="s">
        <v>8588</v>
      </c>
      <c r="O159" s="439" t="s">
        <v>8668</v>
      </c>
      <c r="P159" s="439" t="s">
        <v>8671</v>
      </c>
      <c r="Q159" s="432" t="s">
        <v>6527</v>
      </c>
      <c r="R159" s="432" t="s">
        <v>4</v>
      </c>
      <c r="S159" s="432" t="s">
        <v>6301</v>
      </c>
      <c r="T159" s="432" t="s">
        <v>6303</v>
      </c>
    </row>
    <row r="160" spans="1:20" ht="22" customHeight="1">
      <c r="A160" s="432" t="s">
        <v>6556</v>
      </c>
      <c r="B160" s="432" t="s">
        <v>5398</v>
      </c>
      <c r="C160" s="451" t="s">
        <v>8708</v>
      </c>
      <c r="D160" s="432"/>
      <c r="E160" s="433" t="s">
        <v>6557</v>
      </c>
      <c r="F160" s="433" t="s">
        <v>6889</v>
      </c>
      <c r="G160" s="433" t="s">
        <v>6890</v>
      </c>
      <c r="H160" s="434">
        <v>0.5</v>
      </c>
      <c r="I160" s="433" t="s">
        <v>7818</v>
      </c>
      <c r="J160" s="433" t="s">
        <v>7315</v>
      </c>
      <c r="K160" s="438" t="s">
        <v>8277</v>
      </c>
      <c r="L160" s="439" t="s">
        <v>8294</v>
      </c>
      <c r="M160" s="448" t="s">
        <v>8329</v>
      </c>
      <c r="N160" s="448" t="s">
        <v>8588</v>
      </c>
      <c r="O160" s="439" t="s">
        <v>8668</v>
      </c>
      <c r="P160" s="439" t="s">
        <v>8671</v>
      </c>
      <c r="Q160" s="432" t="s">
        <v>6527</v>
      </c>
      <c r="R160" s="432" t="s">
        <v>4</v>
      </c>
      <c r="S160" s="432" t="s">
        <v>6307</v>
      </c>
      <c r="T160" s="432" t="s">
        <v>6305</v>
      </c>
    </row>
    <row r="161" spans="1:20" ht="22" customHeight="1">
      <c r="A161" s="432" t="s">
        <v>6558</v>
      </c>
      <c r="B161" s="432" t="s">
        <v>5398</v>
      </c>
      <c r="C161" s="451" t="s">
        <v>8708</v>
      </c>
      <c r="D161" s="432"/>
      <c r="E161" s="433" t="s">
        <v>6559</v>
      </c>
      <c r="F161" s="433" t="s">
        <v>6891</v>
      </c>
      <c r="G161" s="433" t="s">
        <v>6892</v>
      </c>
      <c r="H161" s="434">
        <v>0.5</v>
      </c>
      <c r="I161" s="433" t="s">
        <v>7818</v>
      </c>
      <c r="J161" s="433" t="s">
        <v>7316</v>
      </c>
      <c r="K161" s="438" t="s">
        <v>8277</v>
      </c>
      <c r="L161" s="439" t="s">
        <v>8294</v>
      </c>
      <c r="M161" s="448" t="s">
        <v>8329</v>
      </c>
      <c r="N161" s="448" t="s">
        <v>8588</v>
      </c>
      <c r="O161" s="439" t="s">
        <v>8668</v>
      </c>
      <c r="P161" s="439" t="s">
        <v>8671</v>
      </c>
      <c r="Q161" s="432" t="s">
        <v>6527</v>
      </c>
      <c r="R161" s="432" t="s">
        <v>4</v>
      </c>
      <c r="S161" s="432" t="s">
        <v>6307</v>
      </c>
      <c r="T161" s="432" t="s">
        <v>6308</v>
      </c>
    </row>
    <row r="162" spans="1:20" ht="22" customHeight="1">
      <c r="A162" s="432" t="s">
        <v>6560</v>
      </c>
      <c r="B162" s="432" t="s">
        <v>5398</v>
      </c>
      <c r="C162" s="451" t="s">
        <v>8708</v>
      </c>
      <c r="D162" s="432"/>
      <c r="E162" s="433" t="s">
        <v>6561</v>
      </c>
      <c r="F162" s="433" t="s">
        <v>6893</v>
      </c>
      <c r="G162" s="433" t="s">
        <v>6894</v>
      </c>
      <c r="H162" s="434">
        <v>0.5</v>
      </c>
      <c r="I162" s="433" t="s">
        <v>7818</v>
      </c>
      <c r="J162" s="433" t="s">
        <v>7317</v>
      </c>
      <c r="K162" s="438" t="s">
        <v>8277</v>
      </c>
      <c r="L162" s="439" t="s">
        <v>8295</v>
      </c>
      <c r="M162" s="448" t="s">
        <v>8323</v>
      </c>
      <c r="N162" s="448" t="s">
        <v>8588</v>
      </c>
      <c r="O162" s="439" t="s">
        <v>8669</v>
      </c>
      <c r="P162" s="439" t="s">
        <v>8672</v>
      </c>
      <c r="Q162" s="432" t="s">
        <v>6527</v>
      </c>
      <c r="R162" s="432" t="s">
        <v>4</v>
      </c>
      <c r="S162" s="432" t="s">
        <v>1430</v>
      </c>
      <c r="T162" s="432" t="s">
        <v>6310</v>
      </c>
    </row>
    <row r="163" spans="1:20" ht="22" customHeight="1">
      <c r="A163" s="432" t="s">
        <v>6562</v>
      </c>
      <c r="B163" s="432" t="s">
        <v>5398</v>
      </c>
      <c r="C163" s="451" t="s">
        <v>8708</v>
      </c>
      <c r="D163" s="432"/>
      <c r="E163" s="433" t="s">
        <v>6563</v>
      </c>
      <c r="F163" s="433" t="s">
        <v>6895</v>
      </c>
      <c r="G163" s="433" t="s">
        <v>6896</v>
      </c>
      <c r="H163" s="434">
        <v>0.5</v>
      </c>
      <c r="I163" s="433" t="s">
        <v>7819</v>
      </c>
      <c r="J163" s="433" t="s">
        <v>7318</v>
      </c>
      <c r="K163" s="438" t="s">
        <v>8277</v>
      </c>
      <c r="L163" s="439" t="s">
        <v>8294</v>
      </c>
      <c r="M163" s="448" t="s">
        <v>8329</v>
      </c>
      <c r="N163" s="448" t="s">
        <v>8588</v>
      </c>
      <c r="O163" s="439" t="s">
        <v>8668</v>
      </c>
      <c r="P163" s="439" t="s">
        <v>8671</v>
      </c>
      <c r="Q163" s="432" t="s">
        <v>6527</v>
      </c>
      <c r="R163" s="432" t="s">
        <v>4</v>
      </c>
      <c r="S163" s="432" t="s">
        <v>1432</v>
      </c>
      <c r="T163" s="432" t="s">
        <v>6312</v>
      </c>
    </row>
    <row r="164" spans="1:20" ht="22" customHeight="1">
      <c r="A164" s="432" t="s">
        <v>6564</v>
      </c>
      <c r="B164" s="432" t="s">
        <v>5398</v>
      </c>
      <c r="C164" s="451" t="s">
        <v>8708</v>
      </c>
      <c r="D164" s="432"/>
      <c r="E164" s="433" t="s">
        <v>6565</v>
      </c>
      <c r="F164" s="433" t="s">
        <v>6897</v>
      </c>
      <c r="G164" s="433" t="s">
        <v>6898</v>
      </c>
      <c r="H164" s="434">
        <v>0.5</v>
      </c>
      <c r="I164" s="433" t="s">
        <v>7819</v>
      </c>
      <c r="J164" s="433" t="s">
        <v>7319</v>
      </c>
      <c r="K164" s="438" t="s">
        <v>8277</v>
      </c>
      <c r="L164" s="439" t="s">
        <v>8293</v>
      </c>
      <c r="M164" s="448" t="s">
        <v>8322</v>
      </c>
      <c r="N164" s="448" t="s">
        <v>8588</v>
      </c>
      <c r="O164" s="439" t="s">
        <v>8669</v>
      </c>
      <c r="P164" s="439" t="s">
        <v>8672</v>
      </c>
      <c r="Q164" s="432" t="s">
        <v>6527</v>
      </c>
      <c r="R164" s="432" t="s">
        <v>4</v>
      </c>
      <c r="S164" s="432" t="s">
        <v>1432</v>
      </c>
      <c r="T164" s="432" t="s">
        <v>6315</v>
      </c>
    </row>
    <row r="165" spans="1:20" ht="22" customHeight="1">
      <c r="A165" s="432" t="s">
        <v>6566</v>
      </c>
      <c r="B165" s="432" t="s">
        <v>5398</v>
      </c>
      <c r="C165" s="451" t="s">
        <v>8708</v>
      </c>
      <c r="D165" s="432"/>
      <c r="E165" s="433" t="s">
        <v>6567</v>
      </c>
      <c r="F165" s="433" t="s">
        <v>6899</v>
      </c>
      <c r="G165" s="433" t="s">
        <v>6900</v>
      </c>
      <c r="H165" s="434">
        <v>0.75</v>
      </c>
      <c r="I165" s="433" t="s">
        <v>7818</v>
      </c>
      <c r="J165" s="433" t="s">
        <v>7302</v>
      </c>
      <c r="K165" s="438" t="s">
        <v>8277</v>
      </c>
      <c r="L165" s="439" t="s">
        <v>8293</v>
      </c>
      <c r="M165" s="448" t="s">
        <v>8322</v>
      </c>
      <c r="N165" s="448" t="s">
        <v>8588</v>
      </c>
      <c r="O165" s="439" t="s">
        <v>8668</v>
      </c>
      <c r="P165" s="439" t="s">
        <v>8672</v>
      </c>
      <c r="Q165" s="432" t="s">
        <v>6527</v>
      </c>
      <c r="R165" s="432" t="s">
        <v>4</v>
      </c>
      <c r="S165" s="432" t="s">
        <v>6319</v>
      </c>
      <c r="T165" s="432" t="s">
        <v>6317</v>
      </c>
    </row>
    <row r="166" spans="1:20" ht="22" customHeight="1">
      <c r="A166" s="432" t="s">
        <v>6568</v>
      </c>
      <c r="B166" s="432" t="s">
        <v>5398</v>
      </c>
      <c r="C166" s="451" t="s">
        <v>8708</v>
      </c>
      <c r="D166" s="432"/>
      <c r="E166" s="433" t="s">
        <v>6569</v>
      </c>
      <c r="F166" s="433" t="s">
        <v>6901</v>
      </c>
      <c r="G166" s="433" t="s">
        <v>6902</v>
      </c>
      <c r="H166" s="434">
        <v>0.5</v>
      </c>
      <c r="I166" s="433" t="s">
        <v>7819</v>
      </c>
      <c r="J166" s="433" t="s">
        <v>7320</v>
      </c>
      <c r="K166" s="438" t="s">
        <v>8277</v>
      </c>
      <c r="L166" s="439" t="s">
        <v>8293</v>
      </c>
      <c r="M166" s="448" t="s">
        <v>8322</v>
      </c>
      <c r="N166" s="448" t="s">
        <v>8588</v>
      </c>
      <c r="O166" s="439" t="s">
        <v>8668</v>
      </c>
      <c r="P166" s="439" t="s">
        <v>8672</v>
      </c>
      <c r="Q166" s="432" t="s">
        <v>6527</v>
      </c>
      <c r="R166" s="432" t="s">
        <v>4</v>
      </c>
      <c r="S166" s="432" t="s">
        <v>40</v>
      </c>
      <c r="T166" s="432" t="s">
        <v>6320</v>
      </c>
    </row>
    <row r="167" spans="1:20" ht="22" customHeight="1">
      <c r="A167" s="432" t="s">
        <v>6570</v>
      </c>
      <c r="B167" s="432" t="s">
        <v>5398</v>
      </c>
      <c r="C167" s="451" t="s">
        <v>8708</v>
      </c>
      <c r="D167" s="432"/>
      <c r="E167" s="433" t="s">
        <v>6571</v>
      </c>
      <c r="F167" s="433" t="s">
        <v>6903</v>
      </c>
      <c r="G167" s="433" t="s">
        <v>6904</v>
      </c>
      <c r="H167" s="434">
        <v>0.5</v>
      </c>
      <c r="I167" s="433" t="s">
        <v>7819</v>
      </c>
      <c r="J167" s="433" t="s">
        <v>7321</v>
      </c>
      <c r="K167" s="438" t="s">
        <v>8277</v>
      </c>
      <c r="L167" s="439" t="s">
        <v>8294</v>
      </c>
      <c r="M167" s="448" t="s">
        <v>8329</v>
      </c>
      <c r="N167" s="448" t="s">
        <v>8588</v>
      </c>
      <c r="O167" s="439" t="s">
        <v>8668</v>
      </c>
      <c r="P167" s="439" t="s">
        <v>8671</v>
      </c>
      <c r="Q167" s="432" t="s">
        <v>6527</v>
      </c>
      <c r="R167" s="432" t="s">
        <v>4</v>
      </c>
      <c r="S167" s="432" t="s">
        <v>6301</v>
      </c>
      <c r="T167" s="432" t="s">
        <v>6322</v>
      </c>
    </row>
    <row r="168" spans="1:20" ht="22" customHeight="1">
      <c r="A168" s="432" t="s">
        <v>6572</v>
      </c>
      <c r="B168" s="432" t="s">
        <v>5398</v>
      </c>
      <c r="C168" s="451" t="s">
        <v>8708</v>
      </c>
      <c r="D168" s="432"/>
      <c r="E168" s="433" t="s">
        <v>6573</v>
      </c>
      <c r="F168" s="433" t="s">
        <v>6905</v>
      </c>
      <c r="G168" s="433" t="s">
        <v>6906</v>
      </c>
      <c r="H168" s="434">
        <v>0.5</v>
      </c>
      <c r="I168" s="433" t="s">
        <v>7820</v>
      </c>
      <c r="J168" s="433" t="s">
        <v>7322</v>
      </c>
      <c r="K168" s="438" t="s">
        <v>8277</v>
      </c>
      <c r="L168" s="439" t="s">
        <v>8296</v>
      </c>
      <c r="M168" s="448" t="s">
        <v>8330</v>
      </c>
      <c r="N168" s="448" t="s">
        <v>8588</v>
      </c>
      <c r="O168" s="439" t="s">
        <v>8665</v>
      </c>
      <c r="P168" s="439" t="s">
        <v>8671</v>
      </c>
      <c r="Q168" s="432" t="s">
        <v>6527</v>
      </c>
      <c r="R168" s="432" t="s">
        <v>4</v>
      </c>
      <c r="S168" s="432" t="s">
        <v>6326</v>
      </c>
      <c r="T168" s="432" t="s">
        <v>6324</v>
      </c>
    </row>
    <row r="169" spans="1:20" ht="22" customHeight="1">
      <c r="A169" s="432" t="s">
        <v>6574</v>
      </c>
      <c r="B169" s="432" t="s">
        <v>5398</v>
      </c>
      <c r="C169" s="451" t="s">
        <v>8708</v>
      </c>
      <c r="D169" s="432"/>
      <c r="E169" s="433" t="s">
        <v>6575</v>
      </c>
      <c r="F169" s="433" t="s">
        <v>7822</v>
      </c>
      <c r="G169" s="433" t="s">
        <v>6907</v>
      </c>
      <c r="H169" s="434">
        <v>0.5</v>
      </c>
      <c r="I169" s="433" t="s">
        <v>7820</v>
      </c>
      <c r="J169" s="433" t="s">
        <v>7821</v>
      </c>
      <c r="K169" s="438" t="s">
        <v>8277</v>
      </c>
      <c r="L169" s="439" t="s">
        <v>8296</v>
      </c>
      <c r="M169" s="448" t="s">
        <v>8330</v>
      </c>
      <c r="N169" s="448" t="s">
        <v>8588</v>
      </c>
      <c r="O169" s="439" t="s">
        <v>8665</v>
      </c>
      <c r="P169" s="439" t="s">
        <v>8672</v>
      </c>
      <c r="Q169" s="432" t="s">
        <v>6527</v>
      </c>
      <c r="R169" s="432" t="s">
        <v>4</v>
      </c>
      <c r="S169" s="432" t="s">
        <v>6330</v>
      </c>
      <c r="T169" s="432" t="s">
        <v>6328</v>
      </c>
    </row>
    <row r="170" spans="1:20" ht="22" customHeight="1">
      <c r="A170" s="432" t="s">
        <v>6576</v>
      </c>
      <c r="B170" s="432" t="s">
        <v>5398</v>
      </c>
      <c r="C170" s="451" t="s">
        <v>8708</v>
      </c>
      <c r="D170" s="432"/>
      <c r="E170" s="433" t="s">
        <v>6577</v>
      </c>
      <c r="F170" s="433" t="s">
        <v>7824</v>
      </c>
      <c r="G170" s="433" t="s">
        <v>6908</v>
      </c>
      <c r="H170" s="434">
        <v>0.5</v>
      </c>
      <c r="I170" s="433" t="s">
        <v>7820</v>
      </c>
      <c r="J170" s="433" t="s">
        <v>7823</v>
      </c>
      <c r="K170" s="438" t="s">
        <v>8277</v>
      </c>
      <c r="L170" s="439" t="s">
        <v>8293</v>
      </c>
      <c r="M170" s="448" t="s">
        <v>8331</v>
      </c>
      <c r="N170" s="448" t="s">
        <v>8588</v>
      </c>
      <c r="O170" s="439" t="s">
        <v>8665</v>
      </c>
      <c r="P170" s="439" t="s">
        <v>8672</v>
      </c>
      <c r="Q170" s="432" t="s">
        <v>6527</v>
      </c>
      <c r="R170" s="432" t="s">
        <v>4</v>
      </c>
      <c r="S170" s="432" t="s">
        <v>2613</v>
      </c>
      <c r="T170" s="432" t="s">
        <v>6331</v>
      </c>
    </row>
    <row r="171" spans="1:20" ht="22" customHeight="1">
      <c r="A171" s="432" t="s">
        <v>6578</v>
      </c>
      <c r="B171" s="432" t="s">
        <v>5398</v>
      </c>
      <c r="C171" s="451" t="s">
        <v>8708</v>
      </c>
      <c r="D171" s="432"/>
      <c r="E171" s="433" t="s">
        <v>6579</v>
      </c>
      <c r="F171" s="433" t="s">
        <v>6909</v>
      </c>
      <c r="G171" s="433" t="s">
        <v>6910</v>
      </c>
      <c r="H171" s="434">
        <v>0.75</v>
      </c>
      <c r="I171" s="433" t="s">
        <v>7825</v>
      </c>
      <c r="J171" s="433" t="s">
        <v>7323</v>
      </c>
      <c r="K171" s="438" t="s">
        <v>8277</v>
      </c>
      <c r="L171" s="439" t="s">
        <v>8292</v>
      </c>
      <c r="M171" s="448" t="s">
        <v>8328</v>
      </c>
      <c r="N171" s="448" t="s">
        <v>8588</v>
      </c>
      <c r="O171" s="439" t="s">
        <v>8669</v>
      </c>
      <c r="P171" s="439" t="s">
        <v>8672</v>
      </c>
      <c r="Q171" s="432" t="s">
        <v>6527</v>
      </c>
      <c r="R171" s="432" t="s">
        <v>4</v>
      </c>
      <c r="S171" s="432" t="s">
        <v>6336</v>
      </c>
      <c r="T171" s="432" t="s">
        <v>6333</v>
      </c>
    </row>
    <row r="172" spans="1:20" ht="22" customHeight="1">
      <c r="A172" s="432" t="s">
        <v>6580</v>
      </c>
      <c r="B172" s="432" t="s">
        <v>5398</v>
      </c>
      <c r="C172" s="451" t="s">
        <v>8708</v>
      </c>
      <c r="D172" s="432"/>
      <c r="E172" s="433" t="s">
        <v>6581</v>
      </c>
      <c r="F172" s="433" t="s">
        <v>6911</v>
      </c>
      <c r="G172" s="433" t="s">
        <v>6912</v>
      </c>
      <c r="H172" s="434">
        <v>0.5</v>
      </c>
      <c r="I172" s="433" t="s">
        <v>7825</v>
      </c>
      <c r="J172" s="433" t="s">
        <v>7324</v>
      </c>
      <c r="K172" s="438" t="s">
        <v>8277</v>
      </c>
      <c r="L172" s="439" t="s">
        <v>8292</v>
      </c>
      <c r="M172" s="448" t="s">
        <v>8328</v>
      </c>
      <c r="N172" s="448" t="s">
        <v>8588</v>
      </c>
      <c r="O172" s="439" t="s">
        <v>8669</v>
      </c>
      <c r="P172" s="439" t="s">
        <v>8672</v>
      </c>
      <c r="Q172" s="432" t="s">
        <v>6527</v>
      </c>
      <c r="R172" s="432" t="s">
        <v>4</v>
      </c>
      <c r="S172" s="432" t="s">
        <v>6340</v>
      </c>
      <c r="T172" s="432" t="s">
        <v>6338</v>
      </c>
    </row>
    <row r="173" spans="1:20" ht="22" customHeight="1">
      <c r="A173" s="432" t="s">
        <v>6582</v>
      </c>
      <c r="B173" s="432" t="s">
        <v>5398</v>
      </c>
      <c r="C173" s="451" t="s">
        <v>8708</v>
      </c>
      <c r="D173" s="432"/>
      <c r="E173" s="433" t="s">
        <v>7784</v>
      </c>
      <c r="F173" s="433" t="s">
        <v>6913</v>
      </c>
      <c r="G173" s="433" t="s">
        <v>6914</v>
      </c>
      <c r="H173" s="434">
        <v>1</v>
      </c>
      <c r="I173" s="433" t="s">
        <v>7826</v>
      </c>
      <c r="J173" s="433" t="s">
        <v>7325</v>
      </c>
      <c r="K173" s="438" t="s">
        <v>8277</v>
      </c>
      <c r="L173" s="439" t="s">
        <v>8295</v>
      </c>
      <c r="M173" s="448" t="s">
        <v>8332</v>
      </c>
      <c r="N173" s="448" t="s">
        <v>8588</v>
      </c>
      <c r="O173" s="439" t="s">
        <v>8669</v>
      </c>
      <c r="P173" s="439" t="s">
        <v>8672</v>
      </c>
      <c r="Q173" s="432" t="s">
        <v>6527</v>
      </c>
      <c r="R173" s="432" t="s">
        <v>4</v>
      </c>
      <c r="S173" s="432" t="s">
        <v>6343</v>
      </c>
      <c r="T173" s="432" t="s">
        <v>6341</v>
      </c>
    </row>
    <row r="174" spans="1:20" ht="22" customHeight="1">
      <c r="A174" s="432" t="s">
        <v>6583</v>
      </c>
      <c r="B174" s="432" t="s">
        <v>5398</v>
      </c>
      <c r="C174" s="451" t="s">
        <v>8708</v>
      </c>
      <c r="D174" s="432"/>
      <c r="E174" s="433" t="s">
        <v>7785</v>
      </c>
      <c r="F174" s="433" t="s">
        <v>6915</v>
      </c>
      <c r="G174" s="433" t="s">
        <v>6916</v>
      </c>
      <c r="H174" s="434">
        <v>0.75</v>
      </c>
      <c r="I174" s="433" t="s">
        <v>7826</v>
      </c>
      <c r="J174" s="433" t="s">
        <v>7326</v>
      </c>
      <c r="K174" s="438" t="s">
        <v>8277</v>
      </c>
      <c r="L174" s="439" t="s">
        <v>8295</v>
      </c>
      <c r="M174" s="448" t="s">
        <v>8332</v>
      </c>
      <c r="N174" s="448" t="s">
        <v>8588</v>
      </c>
      <c r="O174" s="439" t="s">
        <v>8669</v>
      </c>
      <c r="P174" s="439" t="s">
        <v>8672</v>
      </c>
      <c r="Q174" s="432" t="s">
        <v>6527</v>
      </c>
      <c r="R174" s="432" t="s">
        <v>4</v>
      </c>
      <c r="S174" s="432" t="s">
        <v>6347</v>
      </c>
      <c r="T174" s="432" t="s">
        <v>6345</v>
      </c>
    </row>
    <row r="175" spans="1:20" ht="22" customHeight="1">
      <c r="A175" s="432" t="s">
        <v>6584</v>
      </c>
      <c r="B175" s="432" t="s">
        <v>5398</v>
      </c>
      <c r="C175" s="451" t="s">
        <v>8708</v>
      </c>
      <c r="D175" s="432"/>
      <c r="E175" s="433" t="s">
        <v>7786</v>
      </c>
      <c r="F175" s="433" t="s">
        <v>6917</v>
      </c>
      <c r="G175" s="433" t="s">
        <v>6918</v>
      </c>
      <c r="H175" s="434">
        <v>1</v>
      </c>
      <c r="I175" s="433" t="s">
        <v>7826</v>
      </c>
      <c r="J175" s="433" t="s">
        <v>7327</v>
      </c>
      <c r="K175" s="438" t="s">
        <v>8277</v>
      </c>
      <c r="L175" s="439" t="s">
        <v>8295</v>
      </c>
      <c r="M175" s="448" t="s">
        <v>8332</v>
      </c>
      <c r="N175" s="448" t="s">
        <v>8588</v>
      </c>
      <c r="O175" s="439" t="s">
        <v>8669</v>
      </c>
      <c r="P175" s="439" t="s">
        <v>8672</v>
      </c>
      <c r="Q175" s="432" t="s">
        <v>6527</v>
      </c>
      <c r="R175" s="432" t="s">
        <v>4</v>
      </c>
      <c r="S175" s="432" t="s">
        <v>6350</v>
      </c>
      <c r="T175" s="432" t="s">
        <v>6348</v>
      </c>
    </row>
    <row r="176" spans="1:20" ht="22" customHeight="1">
      <c r="A176" s="432" t="s">
        <v>6585</v>
      </c>
      <c r="B176" s="432" t="s">
        <v>5398</v>
      </c>
      <c r="C176" s="451" t="s">
        <v>8708</v>
      </c>
      <c r="D176" s="432"/>
      <c r="E176" s="433" t="s">
        <v>7787</v>
      </c>
      <c r="F176" s="433" t="s">
        <v>6919</v>
      </c>
      <c r="G176" s="433" t="s">
        <v>6920</v>
      </c>
      <c r="H176" s="434">
        <v>0.5</v>
      </c>
      <c r="I176" s="433" t="s">
        <v>7826</v>
      </c>
      <c r="J176" s="433" t="s">
        <v>7328</v>
      </c>
      <c r="K176" s="438" t="s">
        <v>8277</v>
      </c>
      <c r="L176" s="439" t="s">
        <v>8295</v>
      </c>
      <c r="M176" s="448" t="s">
        <v>8332</v>
      </c>
      <c r="N176" s="448" t="s">
        <v>8588</v>
      </c>
      <c r="O176" s="439" t="s">
        <v>8669</v>
      </c>
      <c r="P176" s="439" t="s">
        <v>8672</v>
      </c>
      <c r="Q176" s="432" t="s">
        <v>6527</v>
      </c>
      <c r="R176" s="432" t="s">
        <v>4</v>
      </c>
      <c r="S176" s="432" t="s">
        <v>511</v>
      </c>
      <c r="T176" s="432" t="s">
        <v>6351</v>
      </c>
    </row>
    <row r="177" spans="1:20" ht="22" customHeight="1">
      <c r="A177" s="432" t="s">
        <v>6586</v>
      </c>
      <c r="B177" s="432" t="s">
        <v>5398</v>
      </c>
      <c r="C177" s="451" t="s">
        <v>8708</v>
      </c>
      <c r="D177" s="432"/>
      <c r="E177" s="433" t="s">
        <v>7788</v>
      </c>
      <c r="F177" s="433" t="s">
        <v>6921</v>
      </c>
      <c r="G177" s="433" t="s">
        <v>6922</v>
      </c>
      <c r="H177" s="434">
        <v>0.5</v>
      </c>
      <c r="I177" s="433" t="s">
        <v>7826</v>
      </c>
      <c r="J177" s="433" t="s">
        <v>7329</v>
      </c>
      <c r="K177" s="438" t="s">
        <v>8277</v>
      </c>
      <c r="L177" s="439" t="s">
        <v>8295</v>
      </c>
      <c r="M177" s="448" t="s">
        <v>8332</v>
      </c>
      <c r="N177" s="448" t="s">
        <v>8588</v>
      </c>
      <c r="O177" s="439" t="s">
        <v>8669</v>
      </c>
      <c r="P177" s="439" t="s">
        <v>8672</v>
      </c>
      <c r="Q177" s="432" t="s">
        <v>6527</v>
      </c>
      <c r="R177" s="432" t="s">
        <v>4</v>
      </c>
      <c r="S177" s="432" t="s">
        <v>2590</v>
      </c>
      <c r="T177" s="432" t="s">
        <v>6353</v>
      </c>
    </row>
    <row r="178" spans="1:20" ht="22" customHeight="1">
      <c r="A178" s="432" t="s">
        <v>6587</v>
      </c>
      <c r="B178" s="432" t="s">
        <v>5398</v>
      </c>
      <c r="C178" s="451" t="s">
        <v>8708</v>
      </c>
      <c r="D178" s="432"/>
      <c r="E178" s="433" t="s">
        <v>6588</v>
      </c>
      <c r="F178" s="433" t="s">
        <v>6923</v>
      </c>
      <c r="G178" s="433" t="s">
        <v>6924</v>
      </c>
      <c r="H178" s="434">
        <v>1</v>
      </c>
      <c r="I178" s="433" t="s">
        <v>7827</v>
      </c>
      <c r="J178" s="433" t="s">
        <v>7330</v>
      </c>
      <c r="K178" s="438" t="s">
        <v>8277</v>
      </c>
      <c r="L178" s="439" t="s">
        <v>8292</v>
      </c>
      <c r="M178" s="448" t="s">
        <v>8333</v>
      </c>
      <c r="N178" s="448" t="s">
        <v>8588</v>
      </c>
      <c r="O178" s="439" t="s">
        <v>8669</v>
      </c>
      <c r="P178" s="439" t="s">
        <v>8672</v>
      </c>
      <c r="Q178" s="432" t="s">
        <v>6527</v>
      </c>
      <c r="R178" s="432" t="s">
        <v>4</v>
      </c>
      <c r="S178" s="432" t="s">
        <v>914</v>
      </c>
      <c r="T178" s="432" t="s">
        <v>6355</v>
      </c>
    </row>
    <row r="179" spans="1:20" ht="22" customHeight="1">
      <c r="A179" s="432" t="s">
        <v>6589</v>
      </c>
      <c r="B179" s="432" t="s">
        <v>5398</v>
      </c>
      <c r="C179" s="451" t="s">
        <v>8708</v>
      </c>
      <c r="D179" s="432"/>
      <c r="E179" s="433" t="s">
        <v>6590</v>
      </c>
      <c r="F179" s="433" t="s">
        <v>6925</v>
      </c>
      <c r="G179" s="433" t="s">
        <v>6926</v>
      </c>
      <c r="H179" s="434">
        <v>0.75</v>
      </c>
      <c r="I179" s="433" t="s">
        <v>7827</v>
      </c>
      <c r="J179" s="433" t="s">
        <v>7331</v>
      </c>
      <c r="K179" s="438" t="s">
        <v>8277</v>
      </c>
      <c r="L179" s="439" t="s">
        <v>8292</v>
      </c>
      <c r="M179" s="448" t="s">
        <v>8334</v>
      </c>
      <c r="N179" s="448" t="s">
        <v>8588</v>
      </c>
      <c r="O179" s="439" t="s">
        <v>8669</v>
      </c>
      <c r="P179" s="439" t="s">
        <v>8672</v>
      </c>
      <c r="Q179" s="432" t="s">
        <v>6527</v>
      </c>
      <c r="R179" s="432" t="s">
        <v>4</v>
      </c>
      <c r="S179" s="432" t="s">
        <v>909</v>
      </c>
      <c r="T179" s="432" t="s">
        <v>6358</v>
      </c>
    </row>
    <row r="180" spans="1:20" ht="22" customHeight="1">
      <c r="A180" s="432" t="s">
        <v>6591</v>
      </c>
      <c r="B180" s="432" t="s">
        <v>5398</v>
      </c>
      <c r="C180" s="451" t="s">
        <v>8708</v>
      </c>
      <c r="D180" s="432"/>
      <c r="E180" s="433" t="s">
        <v>6592</v>
      </c>
      <c r="F180" s="433" t="s">
        <v>6927</v>
      </c>
      <c r="G180" s="433" t="s">
        <v>6928</v>
      </c>
      <c r="H180" s="434">
        <v>0.75</v>
      </c>
      <c r="I180" s="433" t="s">
        <v>7828</v>
      </c>
      <c r="J180" s="433" t="s">
        <v>7332</v>
      </c>
      <c r="K180" s="438" t="s">
        <v>8277</v>
      </c>
      <c r="L180" s="439" t="s">
        <v>8296</v>
      </c>
      <c r="M180" s="448" t="s">
        <v>8311</v>
      </c>
      <c r="N180" s="448" t="s">
        <v>8588</v>
      </c>
      <c r="O180" s="439" t="s">
        <v>8669</v>
      </c>
      <c r="P180" s="439" t="s">
        <v>8672</v>
      </c>
      <c r="Q180" s="432" t="s">
        <v>6527</v>
      </c>
      <c r="R180" s="432" t="s">
        <v>4</v>
      </c>
      <c r="S180" s="432" t="s">
        <v>6362</v>
      </c>
      <c r="T180" s="432" t="s">
        <v>6360</v>
      </c>
    </row>
    <row r="181" spans="1:20" ht="22" customHeight="1">
      <c r="A181" s="432" t="s">
        <v>6593</v>
      </c>
      <c r="B181" s="432" t="s">
        <v>5398</v>
      </c>
      <c r="C181" s="451" t="s">
        <v>8708</v>
      </c>
      <c r="D181" s="432"/>
      <c r="E181" s="433" t="s">
        <v>6594</v>
      </c>
      <c r="F181" s="433" t="s">
        <v>6929</v>
      </c>
      <c r="G181" s="433" t="s">
        <v>6930</v>
      </c>
      <c r="H181" s="434">
        <v>0.75</v>
      </c>
      <c r="I181" s="433" t="s">
        <v>7828</v>
      </c>
      <c r="J181" s="433" t="s">
        <v>7829</v>
      </c>
      <c r="K181" s="438" t="s">
        <v>8277</v>
      </c>
      <c r="L181" s="439" t="s">
        <v>8296</v>
      </c>
      <c r="M181" s="448" t="s">
        <v>8311</v>
      </c>
      <c r="N181" s="448" t="s">
        <v>8588</v>
      </c>
      <c r="O181" s="439" t="s">
        <v>8669</v>
      </c>
      <c r="P181" s="439" t="s">
        <v>8672</v>
      </c>
      <c r="Q181" s="432" t="s">
        <v>6527</v>
      </c>
      <c r="R181" s="432" t="s">
        <v>4</v>
      </c>
      <c r="S181" s="432" t="s">
        <v>6366</v>
      </c>
      <c r="T181" s="432" t="s">
        <v>6364</v>
      </c>
    </row>
    <row r="182" spans="1:20" ht="22" customHeight="1">
      <c r="A182" s="432" t="s">
        <v>6595</v>
      </c>
      <c r="B182" s="432" t="s">
        <v>5398</v>
      </c>
      <c r="C182" s="451" t="s">
        <v>8708</v>
      </c>
      <c r="D182" s="432"/>
      <c r="E182" s="433" t="s">
        <v>6596</v>
      </c>
      <c r="F182" s="433" t="s">
        <v>6931</v>
      </c>
      <c r="G182" s="433" t="s">
        <v>6932</v>
      </c>
      <c r="H182" s="434">
        <v>1</v>
      </c>
      <c r="I182" s="433" t="s">
        <v>7828</v>
      </c>
      <c r="J182" s="433" t="s">
        <v>7333</v>
      </c>
      <c r="K182" s="438" t="s">
        <v>8277</v>
      </c>
      <c r="L182" s="439" t="s">
        <v>8612</v>
      </c>
      <c r="M182" s="448" t="s">
        <v>8697</v>
      </c>
      <c r="N182" s="448" t="s">
        <v>8712</v>
      </c>
      <c r="O182" s="439" t="s">
        <v>8669</v>
      </c>
      <c r="P182" s="439" t="s">
        <v>8672</v>
      </c>
      <c r="Q182" s="432" t="s">
        <v>6527</v>
      </c>
      <c r="R182" s="432" t="s">
        <v>4</v>
      </c>
      <c r="S182" s="432" t="s">
        <v>2501</v>
      </c>
      <c r="T182" s="432" t="s">
        <v>6367</v>
      </c>
    </row>
    <row r="183" spans="1:20" ht="22" customHeight="1">
      <c r="A183" s="432" t="s">
        <v>6597</v>
      </c>
      <c r="B183" s="432" t="s">
        <v>5398</v>
      </c>
      <c r="C183" s="451" t="s">
        <v>8708</v>
      </c>
      <c r="D183" s="432"/>
      <c r="E183" s="433" t="s">
        <v>6598</v>
      </c>
      <c r="F183" s="433" t="s">
        <v>6933</v>
      </c>
      <c r="G183" s="433" t="s">
        <v>6934</v>
      </c>
      <c r="H183" s="434">
        <v>0.5</v>
      </c>
      <c r="I183" s="433" t="s">
        <v>7828</v>
      </c>
      <c r="J183" s="433" t="s">
        <v>7334</v>
      </c>
      <c r="K183" s="438" t="s">
        <v>8277</v>
      </c>
      <c r="L183" s="439" t="s">
        <v>8612</v>
      </c>
      <c r="M183" s="448" t="s">
        <v>8698</v>
      </c>
      <c r="N183" s="448" t="s">
        <v>8712</v>
      </c>
      <c r="O183" s="439" t="s">
        <v>8669</v>
      </c>
      <c r="P183" s="439" t="s">
        <v>8672</v>
      </c>
      <c r="Q183" s="432" t="s">
        <v>6527</v>
      </c>
      <c r="R183" s="432" t="s">
        <v>4</v>
      </c>
      <c r="S183" s="432" t="s">
        <v>2457</v>
      </c>
      <c r="T183" s="432" t="s">
        <v>6369</v>
      </c>
    </row>
    <row r="184" spans="1:20" ht="22" customHeight="1">
      <c r="A184" s="432" t="s">
        <v>6599</v>
      </c>
      <c r="B184" s="432" t="s">
        <v>5398</v>
      </c>
      <c r="C184" s="451" t="s">
        <v>8708</v>
      </c>
      <c r="D184" s="432"/>
      <c r="E184" s="433" t="s">
        <v>6600</v>
      </c>
      <c r="F184" s="433" t="s">
        <v>6935</v>
      </c>
      <c r="G184" s="433" t="s">
        <v>6936</v>
      </c>
      <c r="H184" s="434">
        <v>0.5</v>
      </c>
      <c r="I184" s="433" t="s">
        <v>7830</v>
      </c>
      <c r="J184" s="433" t="s">
        <v>7335</v>
      </c>
      <c r="K184" s="438" t="s">
        <v>8275</v>
      </c>
      <c r="L184" s="439" t="s">
        <v>8612</v>
      </c>
      <c r="M184" s="448" t="s">
        <v>8615</v>
      </c>
      <c r="N184" s="448" t="s">
        <v>8712</v>
      </c>
      <c r="O184" s="439" t="s">
        <v>8669</v>
      </c>
      <c r="P184" s="439" t="s">
        <v>8672</v>
      </c>
      <c r="Q184" s="432" t="s">
        <v>6527</v>
      </c>
      <c r="R184" s="432" t="s">
        <v>4</v>
      </c>
      <c r="S184" s="432" t="s">
        <v>6372</v>
      </c>
      <c r="T184" s="432" t="s">
        <v>6370</v>
      </c>
    </row>
    <row r="185" spans="1:20" ht="22" customHeight="1">
      <c r="A185" s="432" t="s">
        <v>6601</v>
      </c>
      <c r="B185" s="432" t="s">
        <v>5398</v>
      </c>
      <c r="C185" s="451" t="s">
        <v>8708</v>
      </c>
      <c r="D185" s="432"/>
      <c r="E185" s="433" t="s">
        <v>6602</v>
      </c>
      <c r="F185" s="433" t="s">
        <v>6937</v>
      </c>
      <c r="G185" s="433" t="s">
        <v>6938</v>
      </c>
      <c r="H185" s="434">
        <v>0.5</v>
      </c>
      <c r="I185" s="433" t="s">
        <v>7830</v>
      </c>
      <c r="J185" s="433" t="s">
        <v>7336</v>
      </c>
      <c r="K185" s="438" t="s">
        <v>8275</v>
      </c>
      <c r="L185" s="439" t="s">
        <v>8297</v>
      </c>
      <c r="M185" s="448" t="s">
        <v>8335</v>
      </c>
      <c r="N185" s="448" t="s">
        <v>8588</v>
      </c>
      <c r="O185" s="439" t="s">
        <v>8669</v>
      </c>
      <c r="P185" s="439" t="s">
        <v>8672</v>
      </c>
      <c r="Q185" s="432" t="s">
        <v>6527</v>
      </c>
      <c r="R185" s="432" t="s">
        <v>4</v>
      </c>
      <c r="S185" s="432" t="s">
        <v>2692</v>
      </c>
      <c r="T185" s="432" t="s">
        <v>6374</v>
      </c>
    </row>
    <row r="186" spans="1:20" ht="22" customHeight="1">
      <c r="A186" s="432" t="s">
        <v>6603</v>
      </c>
      <c r="B186" s="432" t="s">
        <v>5398</v>
      </c>
      <c r="C186" s="451" t="s">
        <v>8708</v>
      </c>
      <c r="D186" s="432"/>
      <c r="E186" s="433" t="s">
        <v>6604</v>
      </c>
      <c r="F186" s="433" t="s">
        <v>6939</v>
      </c>
      <c r="G186" s="433" t="s">
        <v>6940</v>
      </c>
      <c r="H186" s="434">
        <v>0.5</v>
      </c>
      <c r="I186" s="433" t="s">
        <v>7830</v>
      </c>
      <c r="J186" s="433" t="s">
        <v>7337</v>
      </c>
      <c r="K186" s="438" t="s">
        <v>8275</v>
      </c>
      <c r="L186" s="439" t="s">
        <v>8298</v>
      </c>
      <c r="M186" s="448" t="s">
        <v>8336</v>
      </c>
      <c r="N186" s="448" t="s">
        <v>8588</v>
      </c>
      <c r="O186" s="439" t="s">
        <v>8669</v>
      </c>
      <c r="P186" s="439" t="s">
        <v>8672</v>
      </c>
      <c r="Q186" s="432" t="s">
        <v>6527</v>
      </c>
      <c r="R186" s="432" t="s">
        <v>4</v>
      </c>
      <c r="S186" s="432" t="s">
        <v>6378</v>
      </c>
      <c r="T186" s="432" t="s">
        <v>6376</v>
      </c>
    </row>
    <row r="187" spans="1:20" ht="22" customHeight="1">
      <c r="A187" s="432" t="s">
        <v>6605</v>
      </c>
      <c r="B187" s="432" t="s">
        <v>5398</v>
      </c>
      <c r="C187" s="451" t="s">
        <v>8708</v>
      </c>
      <c r="D187" s="432"/>
      <c r="E187" s="433" t="s">
        <v>6606</v>
      </c>
      <c r="F187" s="433" t="s">
        <v>6941</v>
      </c>
      <c r="G187" s="433" t="s">
        <v>6942</v>
      </c>
      <c r="H187" s="434">
        <v>1</v>
      </c>
      <c r="I187" s="433" t="s">
        <v>7830</v>
      </c>
      <c r="J187" s="433" t="s">
        <v>7338</v>
      </c>
      <c r="K187" s="438" t="s">
        <v>8275</v>
      </c>
      <c r="L187" s="439" t="s">
        <v>8297</v>
      </c>
      <c r="M187" s="448" t="s">
        <v>8335</v>
      </c>
      <c r="N187" s="448" t="s">
        <v>8588</v>
      </c>
      <c r="O187" s="439" t="s">
        <v>8669</v>
      </c>
      <c r="P187" s="439" t="s">
        <v>8672</v>
      </c>
      <c r="Q187" s="432" t="s">
        <v>6527</v>
      </c>
      <c r="R187" s="432" t="s">
        <v>4</v>
      </c>
      <c r="S187" s="432" t="s">
        <v>6381</v>
      </c>
      <c r="T187" s="432" t="s">
        <v>6379</v>
      </c>
    </row>
    <row r="188" spans="1:20" ht="22" customHeight="1">
      <c r="A188" s="432" t="s">
        <v>6607</v>
      </c>
      <c r="B188" s="432" t="s">
        <v>5398</v>
      </c>
      <c r="C188" s="451" t="s">
        <v>8708</v>
      </c>
      <c r="D188" s="432"/>
      <c r="E188" s="433" t="s">
        <v>6608</v>
      </c>
      <c r="F188" s="433" t="s">
        <v>6943</v>
      </c>
      <c r="G188" s="433" t="s">
        <v>6944</v>
      </c>
      <c r="H188" s="434">
        <v>0.75</v>
      </c>
      <c r="I188" s="433" t="s">
        <v>7831</v>
      </c>
      <c r="J188" s="433" t="s">
        <v>7294</v>
      </c>
      <c r="K188" s="438" t="s">
        <v>8277</v>
      </c>
      <c r="L188" s="439" t="s">
        <v>8292</v>
      </c>
      <c r="M188" s="448" t="s">
        <v>8454</v>
      </c>
      <c r="N188" s="448" t="s">
        <v>8588</v>
      </c>
      <c r="O188" s="439" t="s">
        <v>8668</v>
      </c>
      <c r="P188" s="439" t="s">
        <v>8672</v>
      </c>
      <c r="Q188" s="432" t="s">
        <v>6527</v>
      </c>
      <c r="R188" s="432" t="s">
        <v>4</v>
      </c>
      <c r="S188" s="432" t="s">
        <v>2621</v>
      </c>
      <c r="T188" s="432" t="s">
        <v>6382</v>
      </c>
    </row>
    <row r="189" spans="1:20" ht="22" customHeight="1">
      <c r="A189" s="432" t="s">
        <v>6609</v>
      </c>
      <c r="B189" s="432" t="s">
        <v>5398</v>
      </c>
      <c r="C189" s="451" t="s">
        <v>8708</v>
      </c>
      <c r="D189" s="432"/>
      <c r="E189" s="433" t="s">
        <v>6610</v>
      </c>
      <c r="F189" s="433" t="s">
        <v>6945</v>
      </c>
      <c r="G189" s="433" t="s">
        <v>6946</v>
      </c>
      <c r="H189" s="434">
        <v>0.5</v>
      </c>
      <c r="I189" s="433" t="s">
        <v>7831</v>
      </c>
      <c r="J189" s="433" t="s">
        <v>7339</v>
      </c>
      <c r="K189" s="438" t="s">
        <v>8277</v>
      </c>
      <c r="L189" s="439" t="s">
        <v>8292</v>
      </c>
      <c r="M189" s="448" t="s">
        <v>8454</v>
      </c>
      <c r="N189" s="448" t="s">
        <v>8588</v>
      </c>
      <c r="O189" s="439" t="s">
        <v>8668</v>
      </c>
      <c r="P189" s="439" t="s">
        <v>8672</v>
      </c>
      <c r="Q189" s="432" t="s">
        <v>6527</v>
      </c>
      <c r="R189" s="432" t="s">
        <v>4</v>
      </c>
      <c r="S189" s="432" t="s">
        <v>2621</v>
      </c>
      <c r="T189" s="432" t="s">
        <v>6386</v>
      </c>
    </row>
    <row r="190" spans="1:20" ht="22" customHeight="1">
      <c r="A190" s="432" t="s">
        <v>6611</v>
      </c>
      <c r="B190" s="432" t="s">
        <v>5398</v>
      </c>
      <c r="C190" s="451" t="s">
        <v>8708</v>
      </c>
      <c r="D190" s="432"/>
      <c r="E190" s="433" t="s">
        <v>6612</v>
      </c>
      <c r="F190" s="433" t="s">
        <v>6947</v>
      </c>
      <c r="G190" s="433" t="s">
        <v>6948</v>
      </c>
      <c r="H190" s="434">
        <v>0.75</v>
      </c>
      <c r="I190" s="433" t="s">
        <v>7831</v>
      </c>
      <c r="J190" s="433" t="s">
        <v>7340</v>
      </c>
      <c r="K190" s="438" t="s">
        <v>8277</v>
      </c>
      <c r="L190" s="439" t="s">
        <v>8292</v>
      </c>
      <c r="M190" s="448" t="s">
        <v>8454</v>
      </c>
      <c r="N190" s="448" t="s">
        <v>8588</v>
      </c>
      <c r="O190" s="439" t="s">
        <v>8668</v>
      </c>
      <c r="P190" s="439" t="s">
        <v>8672</v>
      </c>
      <c r="Q190" s="432" t="s">
        <v>6527</v>
      </c>
      <c r="R190" s="432" t="s">
        <v>4</v>
      </c>
      <c r="S190" s="432" t="s">
        <v>6390</v>
      </c>
      <c r="T190" s="432" t="s">
        <v>6388</v>
      </c>
    </row>
    <row r="191" spans="1:20" ht="22" customHeight="1">
      <c r="A191" s="432" t="s">
        <v>6613</v>
      </c>
      <c r="B191" s="432" t="s">
        <v>5398</v>
      </c>
      <c r="C191" s="451" t="s">
        <v>8708</v>
      </c>
      <c r="D191" s="432"/>
      <c r="E191" s="433" t="s">
        <v>6614</v>
      </c>
      <c r="F191" s="433" t="s">
        <v>6949</v>
      </c>
      <c r="G191" s="433" t="s">
        <v>6950</v>
      </c>
      <c r="H191" s="434">
        <v>0.75</v>
      </c>
      <c r="I191" s="433" t="s">
        <v>7831</v>
      </c>
      <c r="J191" s="433" t="s">
        <v>7341</v>
      </c>
      <c r="K191" s="438" t="s">
        <v>8277</v>
      </c>
      <c r="L191" s="439" t="s">
        <v>8292</v>
      </c>
      <c r="M191" s="448" t="s">
        <v>8454</v>
      </c>
      <c r="N191" s="448" t="s">
        <v>8588</v>
      </c>
      <c r="O191" s="439" t="s">
        <v>8668</v>
      </c>
      <c r="P191" s="439" t="s">
        <v>8672</v>
      </c>
      <c r="Q191" s="432" t="s">
        <v>6527</v>
      </c>
      <c r="R191" s="432" t="s">
        <v>4</v>
      </c>
      <c r="S191" s="432" t="s">
        <v>2621</v>
      </c>
      <c r="T191" s="432" t="s">
        <v>6391</v>
      </c>
    </row>
    <row r="192" spans="1:20" ht="22" customHeight="1">
      <c r="A192" s="432" t="s">
        <v>6615</v>
      </c>
      <c r="B192" s="432" t="s">
        <v>5398</v>
      </c>
      <c r="C192" s="451" t="s">
        <v>8708</v>
      </c>
      <c r="D192" s="432"/>
      <c r="E192" s="433" t="s">
        <v>6616</v>
      </c>
      <c r="F192" s="433" t="s">
        <v>6951</v>
      </c>
      <c r="G192" s="433" t="s">
        <v>6952</v>
      </c>
      <c r="H192" s="434">
        <v>0.75</v>
      </c>
      <c r="I192" s="433" t="s">
        <v>7831</v>
      </c>
      <c r="J192" s="433" t="s">
        <v>7832</v>
      </c>
      <c r="K192" s="438" t="s">
        <v>8277</v>
      </c>
      <c r="L192" s="439" t="s">
        <v>8292</v>
      </c>
      <c r="M192" s="448" t="s">
        <v>8454</v>
      </c>
      <c r="N192" s="448" t="s">
        <v>8588</v>
      </c>
      <c r="O192" s="439" t="s">
        <v>8667</v>
      </c>
      <c r="P192" s="439" t="s">
        <v>8672</v>
      </c>
      <c r="Q192" s="432" t="s">
        <v>6527</v>
      </c>
      <c r="R192" s="432" t="s">
        <v>4</v>
      </c>
      <c r="S192" s="432" t="s">
        <v>2621</v>
      </c>
      <c r="T192" s="432" t="s">
        <v>6393</v>
      </c>
    </row>
    <row r="193" spans="1:20" ht="22" customHeight="1">
      <c r="A193" s="432" t="s">
        <v>6617</v>
      </c>
      <c r="B193" s="432" t="s">
        <v>5398</v>
      </c>
      <c r="C193" s="451" t="s">
        <v>8708</v>
      </c>
      <c r="D193" s="432"/>
      <c r="E193" s="433" t="s">
        <v>6618</v>
      </c>
      <c r="F193" s="433" t="s">
        <v>6953</v>
      </c>
      <c r="G193" s="433" t="s">
        <v>6954</v>
      </c>
      <c r="H193" s="434">
        <v>0.75</v>
      </c>
      <c r="I193" s="433" t="s">
        <v>7831</v>
      </c>
      <c r="J193" s="433" t="s">
        <v>7342</v>
      </c>
      <c r="K193" s="438" t="s">
        <v>8277</v>
      </c>
      <c r="L193" s="439" t="s">
        <v>8292</v>
      </c>
      <c r="M193" s="448" t="s">
        <v>8454</v>
      </c>
      <c r="N193" s="448" t="s">
        <v>8588</v>
      </c>
      <c r="O193" s="439" t="s">
        <v>8668</v>
      </c>
      <c r="P193" s="439" t="s">
        <v>8672</v>
      </c>
      <c r="Q193" s="432" t="s">
        <v>6527</v>
      </c>
      <c r="R193" s="432" t="s">
        <v>4</v>
      </c>
      <c r="S193" s="432" t="s">
        <v>2501</v>
      </c>
      <c r="T193" s="432" t="s">
        <v>6395</v>
      </c>
    </row>
    <row r="194" spans="1:20" ht="22" customHeight="1">
      <c r="A194" s="432" t="s">
        <v>6619</v>
      </c>
      <c r="B194" s="432" t="s">
        <v>5398</v>
      </c>
      <c r="C194" s="451" t="s">
        <v>8708</v>
      </c>
      <c r="D194" s="432"/>
      <c r="E194" s="433" t="s">
        <v>6620</v>
      </c>
      <c r="F194" s="433" t="s">
        <v>6955</v>
      </c>
      <c r="G194" s="433" t="s">
        <v>6956</v>
      </c>
      <c r="H194" s="434">
        <v>0.5</v>
      </c>
      <c r="I194" s="433" t="s">
        <v>7833</v>
      </c>
      <c r="J194" s="433" t="s">
        <v>7343</v>
      </c>
      <c r="K194" s="438" t="s">
        <v>8277</v>
      </c>
      <c r="L194" s="439" t="s">
        <v>8292</v>
      </c>
      <c r="M194" s="448" t="s">
        <v>8454</v>
      </c>
      <c r="N194" s="448" t="s">
        <v>8588</v>
      </c>
      <c r="O194" s="439" t="s">
        <v>8668</v>
      </c>
      <c r="P194" s="439" t="s">
        <v>8672</v>
      </c>
      <c r="Q194" s="432" t="s">
        <v>6527</v>
      </c>
      <c r="R194" s="432" t="s">
        <v>4</v>
      </c>
      <c r="S194" s="432" t="s">
        <v>2621</v>
      </c>
      <c r="T194" s="432" t="s">
        <v>6397</v>
      </c>
    </row>
    <row r="195" spans="1:20" ht="22" customHeight="1">
      <c r="A195" s="432" t="s">
        <v>6621</v>
      </c>
      <c r="B195" s="432" t="s">
        <v>5398</v>
      </c>
      <c r="C195" s="451" t="s">
        <v>8708</v>
      </c>
      <c r="D195" s="432"/>
      <c r="E195" s="433" t="s">
        <v>6622</v>
      </c>
      <c r="F195" s="433" t="s">
        <v>6957</v>
      </c>
      <c r="G195" s="433" t="s">
        <v>6958</v>
      </c>
      <c r="H195" s="434">
        <v>0.5</v>
      </c>
      <c r="I195" s="433" t="s">
        <v>7833</v>
      </c>
      <c r="J195" s="433" t="s">
        <v>7344</v>
      </c>
      <c r="K195" s="438" t="s">
        <v>8277</v>
      </c>
      <c r="L195" s="439" t="s">
        <v>8292</v>
      </c>
      <c r="M195" s="448" t="s">
        <v>8454</v>
      </c>
      <c r="N195" s="448" t="s">
        <v>8588</v>
      </c>
      <c r="O195" s="439" t="s">
        <v>8669</v>
      </c>
      <c r="P195" s="439" t="s">
        <v>8672</v>
      </c>
      <c r="Q195" s="432" t="s">
        <v>6527</v>
      </c>
      <c r="R195" s="432" t="s">
        <v>4</v>
      </c>
      <c r="S195" s="432" t="s">
        <v>6402</v>
      </c>
      <c r="T195" s="432" t="s">
        <v>6400</v>
      </c>
    </row>
    <row r="196" spans="1:20" ht="22" customHeight="1">
      <c r="A196" s="432" t="s">
        <v>6623</v>
      </c>
      <c r="B196" s="432" t="s">
        <v>5398</v>
      </c>
      <c r="C196" s="451" t="s">
        <v>8708</v>
      </c>
      <c r="D196" s="432"/>
      <c r="E196" s="433" t="s">
        <v>6624</v>
      </c>
      <c r="F196" s="433" t="s">
        <v>6959</v>
      </c>
      <c r="G196" s="433" t="s">
        <v>6960</v>
      </c>
      <c r="H196" s="434">
        <v>0.5</v>
      </c>
      <c r="I196" s="433" t="s">
        <v>7833</v>
      </c>
      <c r="J196" s="433" t="s">
        <v>7345</v>
      </c>
      <c r="K196" s="438" t="s">
        <v>8277</v>
      </c>
      <c r="L196" s="439" t="s">
        <v>8292</v>
      </c>
      <c r="M196" s="448" t="s">
        <v>8454</v>
      </c>
      <c r="N196" s="448" t="s">
        <v>8588</v>
      </c>
      <c r="O196" s="439" t="s">
        <v>8667</v>
      </c>
      <c r="P196" s="439" t="s">
        <v>8672</v>
      </c>
      <c r="Q196" s="432" t="s">
        <v>6527</v>
      </c>
      <c r="R196" s="432" t="s">
        <v>4</v>
      </c>
      <c r="S196" s="432" t="s">
        <v>2621</v>
      </c>
      <c r="T196" s="432" t="s">
        <v>6403</v>
      </c>
    </row>
    <row r="197" spans="1:20" ht="22" customHeight="1">
      <c r="A197" s="432" t="s">
        <v>6625</v>
      </c>
      <c r="B197" s="432" t="s">
        <v>5398</v>
      </c>
      <c r="C197" s="451" t="s">
        <v>8708</v>
      </c>
      <c r="D197" s="432"/>
      <c r="E197" s="433" t="s">
        <v>6626</v>
      </c>
      <c r="F197" s="433" t="s">
        <v>6961</v>
      </c>
      <c r="G197" s="433" t="s">
        <v>6962</v>
      </c>
      <c r="H197" s="434">
        <v>0.5</v>
      </c>
      <c r="I197" s="433" t="s">
        <v>7833</v>
      </c>
      <c r="J197" s="433" t="s">
        <v>7346</v>
      </c>
      <c r="K197" s="438" t="s">
        <v>8277</v>
      </c>
      <c r="L197" s="439" t="s">
        <v>8292</v>
      </c>
      <c r="M197" s="448" t="s">
        <v>8310</v>
      </c>
      <c r="N197" s="448" t="s">
        <v>8588</v>
      </c>
      <c r="O197" s="439" t="s">
        <v>8667</v>
      </c>
      <c r="P197" s="439" t="s">
        <v>8672</v>
      </c>
      <c r="Q197" s="432" t="s">
        <v>6527</v>
      </c>
      <c r="R197" s="432" t="s">
        <v>4</v>
      </c>
      <c r="S197" s="432" t="s">
        <v>6407</v>
      </c>
      <c r="T197" s="432" t="s">
        <v>6405</v>
      </c>
    </row>
    <row r="198" spans="1:20" ht="22" customHeight="1">
      <c r="A198" s="432" t="s">
        <v>6627</v>
      </c>
      <c r="B198" s="432" t="s">
        <v>5398</v>
      </c>
      <c r="C198" s="451" t="s">
        <v>8708</v>
      </c>
      <c r="D198" s="432"/>
      <c r="E198" s="433" t="s">
        <v>7600</v>
      </c>
      <c r="F198" s="433" t="s">
        <v>6963</v>
      </c>
      <c r="G198" s="433" t="s">
        <v>6964</v>
      </c>
      <c r="H198" s="434">
        <v>1</v>
      </c>
      <c r="I198" s="433" t="s">
        <v>7834</v>
      </c>
      <c r="J198" s="433" t="s">
        <v>7347</v>
      </c>
      <c r="K198" s="438" t="s">
        <v>8275</v>
      </c>
      <c r="L198" s="439" t="s">
        <v>8300</v>
      </c>
      <c r="M198" s="448" t="s">
        <v>8337</v>
      </c>
      <c r="N198" s="448" t="s">
        <v>8588</v>
      </c>
      <c r="O198" s="439" t="s">
        <v>8669</v>
      </c>
      <c r="P198" s="439" t="s">
        <v>8672</v>
      </c>
      <c r="Q198" s="432" t="s">
        <v>6527</v>
      </c>
      <c r="R198" s="432" t="s">
        <v>4</v>
      </c>
      <c r="S198" s="432" t="s">
        <v>6410</v>
      </c>
      <c r="T198" s="432" t="s">
        <v>6408</v>
      </c>
    </row>
    <row r="199" spans="1:20" ht="22" customHeight="1">
      <c r="A199" s="432" t="s">
        <v>6628</v>
      </c>
      <c r="B199" s="432" t="s">
        <v>5398</v>
      </c>
      <c r="C199" s="451" t="s">
        <v>8708</v>
      </c>
      <c r="D199" s="432"/>
      <c r="E199" s="433" t="s">
        <v>6629</v>
      </c>
      <c r="F199" s="433" t="s">
        <v>6965</v>
      </c>
      <c r="G199" s="433" t="s">
        <v>6966</v>
      </c>
      <c r="H199" s="434">
        <v>0.75</v>
      </c>
      <c r="I199" s="433" t="s">
        <v>7834</v>
      </c>
      <c r="J199" s="433" t="s">
        <v>7348</v>
      </c>
      <c r="K199" s="438" t="s">
        <v>8275</v>
      </c>
      <c r="L199" s="439" t="s">
        <v>8300</v>
      </c>
      <c r="M199" s="448" t="s">
        <v>8337</v>
      </c>
      <c r="N199" s="448" t="s">
        <v>8588</v>
      </c>
      <c r="O199" s="439" t="s">
        <v>8669</v>
      </c>
      <c r="P199" s="439" t="s">
        <v>8672</v>
      </c>
      <c r="Q199" s="432" t="s">
        <v>6527</v>
      </c>
      <c r="R199" s="432" t="s">
        <v>4</v>
      </c>
      <c r="S199" s="432" t="s">
        <v>6414</v>
      </c>
      <c r="T199" s="432" t="s">
        <v>6412</v>
      </c>
    </row>
    <row r="200" spans="1:20" ht="22" customHeight="1">
      <c r="A200" s="432" t="s">
        <v>6630</v>
      </c>
      <c r="B200" s="432" t="s">
        <v>5398</v>
      </c>
      <c r="C200" s="451" t="s">
        <v>8708</v>
      </c>
      <c r="D200" s="432"/>
      <c r="E200" s="433" t="s">
        <v>6631</v>
      </c>
      <c r="F200" s="433" t="s">
        <v>6967</v>
      </c>
      <c r="G200" s="433" t="s">
        <v>6968</v>
      </c>
      <c r="H200" s="434">
        <v>0.5</v>
      </c>
      <c r="I200" s="433" t="s">
        <v>7835</v>
      </c>
      <c r="J200" s="433" t="s">
        <v>7349</v>
      </c>
      <c r="K200" s="438" t="s">
        <v>8277</v>
      </c>
      <c r="L200" s="439" t="s">
        <v>8293</v>
      </c>
      <c r="M200" s="448" t="s">
        <v>8338</v>
      </c>
      <c r="N200" s="448" t="s">
        <v>8588</v>
      </c>
      <c r="O200" s="439" t="s">
        <v>8669</v>
      </c>
      <c r="P200" s="439" t="s">
        <v>8672</v>
      </c>
      <c r="Q200" s="432" t="s">
        <v>6527</v>
      </c>
      <c r="R200" s="432" t="s">
        <v>4</v>
      </c>
      <c r="S200" s="432" t="s">
        <v>2621</v>
      </c>
      <c r="T200" s="432" t="s">
        <v>6415</v>
      </c>
    </row>
    <row r="201" spans="1:20" ht="22" customHeight="1">
      <c r="A201" s="432" t="s">
        <v>6632</v>
      </c>
      <c r="B201" s="432" t="s">
        <v>5398</v>
      </c>
      <c r="C201" s="451" t="s">
        <v>8708</v>
      </c>
      <c r="D201" s="432"/>
      <c r="E201" s="433" t="s">
        <v>6633</v>
      </c>
      <c r="F201" s="433" t="s">
        <v>7837</v>
      </c>
      <c r="G201" s="433" t="s">
        <v>6969</v>
      </c>
      <c r="H201" s="434">
        <v>0.5</v>
      </c>
      <c r="I201" s="433" t="s">
        <v>7835</v>
      </c>
      <c r="J201" s="433" t="s">
        <v>7836</v>
      </c>
      <c r="K201" s="438" t="s">
        <v>8277</v>
      </c>
      <c r="L201" s="439" t="s">
        <v>8292</v>
      </c>
      <c r="M201" s="448" t="s">
        <v>8339</v>
      </c>
      <c r="N201" s="448" t="s">
        <v>8588</v>
      </c>
      <c r="O201" s="439" t="s">
        <v>8669</v>
      </c>
      <c r="P201" s="439" t="s">
        <v>8672</v>
      </c>
      <c r="Q201" s="432" t="s">
        <v>6527</v>
      </c>
      <c r="R201" s="432" t="s">
        <v>4</v>
      </c>
      <c r="S201" s="432" t="s">
        <v>886</v>
      </c>
      <c r="T201" s="432" t="s">
        <v>6417</v>
      </c>
    </row>
    <row r="202" spans="1:20" ht="22" customHeight="1">
      <c r="A202" s="432" t="s">
        <v>6634</v>
      </c>
      <c r="B202" s="432" t="s">
        <v>5398</v>
      </c>
      <c r="C202" s="451" t="s">
        <v>8708</v>
      </c>
      <c r="D202" s="432"/>
      <c r="E202" s="433" t="s">
        <v>6635</v>
      </c>
      <c r="F202" s="433" t="s">
        <v>7839</v>
      </c>
      <c r="G202" s="433" t="s">
        <v>6970</v>
      </c>
      <c r="H202" s="434">
        <v>0.5</v>
      </c>
      <c r="I202" s="433" t="s">
        <v>7835</v>
      </c>
      <c r="J202" s="433" t="s">
        <v>7838</v>
      </c>
      <c r="K202" s="438" t="s">
        <v>8278</v>
      </c>
      <c r="L202" s="439" t="s">
        <v>8299</v>
      </c>
      <c r="M202" s="448" t="s">
        <v>8313</v>
      </c>
      <c r="N202" s="448" t="s">
        <v>8588</v>
      </c>
      <c r="O202" s="439" t="s">
        <v>8669</v>
      </c>
      <c r="P202" s="439" t="s">
        <v>8672</v>
      </c>
      <c r="Q202" s="432" t="s">
        <v>6527</v>
      </c>
      <c r="R202" s="432" t="s">
        <v>4</v>
      </c>
      <c r="S202" s="432" t="s">
        <v>886</v>
      </c>
      <c r="T202" s="432" t="s">
        <v>6420</v>
      </c>
    </row>
    <row r="203" spans="1:20" ht="22" customHeight="1">
      <c r="A203" s="432" t="s">
        <v>6636</v>
      </c>
      <c r="B203" s="432" t="s">
        <v>5398</v>
      </c>
      <c r="C203" s="451" t="s">
        <v>8708</v>
      </c>
      <c r="D203" s="432"/>
      <c r="E203" s="433" t="s">
        <v>6637</v>
      </c>
      <c r="F203" s="433" t="s">
        <v>6971</v>
      </c>
      <c r="G203" s="433" t="s">
        <v>6972</v>
      </c>
      <c r="H203" s="434">
        <v>0.75</v>
      </c>
      <c r="I203" s="433" t="s">
        <v>7840</v>
      </c>
      <c r="J203" s="433" t="s">
        <v>7350</v>
      </c>
      <c r="K203" s="438" t="s">
        <v>8277</v>
      </c>
      <c r="L203" s="439" t="s">
        <v>8292</v>
      </c>
      <c r="M203" s="448" t="s">
        <v>8339</v>
      </c>
      <c r="N203" s="448" t="s">
        <v>8588</v>
      </c>
      <c r="O203" s="439" t="s">
        <v>8669</v>
      </c>
      <c r="P203" s="439" t="s">
        <v>8672</v>
      </c>
      <c r="Q203" s="432" t="s">
        <v>6527</v>
      </c>
      <c r="R203" s="432" t="s">
        <v>4</v>
      </c>
      <c r="S203" s="432" t="s">
        <v>1211</v>
      </c>
      <c r="T203" s="432" t="s">
        <v>6422</v>
      </c>
    </row>
    <row r="204" spans="1:20" ht="22" customHeight="1">
      <c r="A204" s="432" t="s">
        <v>6638</v>
      </c>
      <c r="B204" s="432" t="s">
        <v>5398</v>
      </c>
      <c r="C204" s="451" t="s">
        <v>8708</v>
      </c>
      <c r="D204" s="432"/>
      <c r="E204" s="433" t="s">
        <v>6639</v>
      </c>
      <c r="F204" s="433" t="s">
        <v>6973</v>
      </c>
      <c r="G204" s="433" t="s">
        <v>6974</v>
      </c>
      <c r="H204" s="434">
        <v>0.5</v>
      </c>
      <c r="I204" s="433" t="s">
        <v>7840</v>
      </c>
      <c r="J204" s="433" t="s">
        <v>7351</v>
      </c>
      <c r="K204" s="438" t="s">
        <v>8277</v>
      </c>
      <c r="L204" s="439" t="s">
        <v>8292</v>
      </c>
      <c r="M204" s="448" t="s">
        <v>8339</v>
      </c>
      <c r="N204" s="448" t="s">
        <v>8588</v>
      </c>
      <c r="O204" s="439" t="s">
        <v>8669</v>
      </c>
      <c r="P204" s="439" t="s">
        <v>8672</v>
      </c>
      <c r="Q204" s="432" t="s">
        <v>6527</v>
      </c>
      <c r="R204" s="432" t="s">
        <v>4</v>
      </c>
      <c r="S204" s="432" t="s">
        <v>6426</v>
      </c>
      <c r="T204" s="432" t="s">
        <v>6424</v>
      </c>
    </row>
    <row r="205" spans="1:20" ht="22" customHeight="1">
      <c r="A205" s="432" t="s">
        <v>6640</v>
      </c>
      <c r="B205" s="432" t="s">
        <v>5398</v>
      </c>
      <c r="C205" s="451" t="s">
        <v>8708</v>
      </c>
      <c r="D205" s="432"/>
      <c r="E205" s="433" t="s">
        <v>6641</v>
      </c>
      <c r="F205" s="433" t="s">
        <v>6975</v>
      </c>
      <c r="G205" s="433" t="s">
        <v>6976</v>
      </c>
      <c r="H205" s="434">
        <v>0.5</v>
      </c>
      <c r="I205" s="433" t="s">
        <v>7841</v>
      </c>
      <c r="J205" s="433" t="s">
        <v>7352</v>
      </c>
      <c r="K205" s="438" t="s">
        <v>8278</v>
      </c>
      <c r="L205" s="439" t="s">
        <v>8299</v>
      </c>
      <c r="M205" s="448" t="s">
        <v>8340</v>
      </c>
      <c r="N205" s="448" t="s">
        <v>8588</v>
      </c>
      <c r="O205" s="439" t="s">
        <v>8667</v>
      </c>
      <c r="P205" s="439" t="s">
        <v>8671</v>
      </c>
      <c r="Q205" s="432" t="s">
        <v>6527</v>
      </c>
      <c r="R205" s="432" t="s">
        <v>4</v>
      </c>
      <c r="S205" s="432" t="s">
        <v>6429</v>
      </c>
      <c r="T205" s="432" t="s">
        <v>6427</v>
      </c>
    </row>
    <row r="206" spans="1:20" ht="22" customHeight="1">
      <c r="A206" s="432" t="s">
        <v>6642</v>
      </c>
      <c r="B206" s="432" t="s">
        <v>5398</v>
      </c>
      <c r="C206" s="451" t="s">
        <v>8708</v>
      </c>
      <c r="D206" s="432"/>
      <c r="E206" s="433" t="s">
        <v>6643</v>
      </c>
      <c r="F206" s="433" t="s">
        <v>7843</v>
      </c>
      <c r="G206" s="433" t="s">
        <v>6977</v>
      </c>
      <c r="H206" s="434">
        <v>0.5</v>
      </c>
      <c r="I206" s="433" t="s">
        <v>7834</v>
      </c>
      <c r="J206" s="433" t="s">
        <v>7842</v>
      </c>
      <c r="K206" s="438" t="s">
        <v>8275</v>
      </c>
      <c r="L206" s="439" t="s">
        <v>8300</v>
      </c>
      <c r="M206" s="448" t="s">
        <v>8341</v>
      </c>
      <c r="N206" s="448" t="s">
        <v>8588</v>
      </c>
      <c r="O206" s="439" t="s">
        <v>8669</v>
      </c>
      <c r="P206" s="439" t="s">
        <v>8672</v>
      </c>
      <c r="Q206" s="432" t="s">
        <v>6527</v>
      </c>
      <c r="R206" s="432" t="s">
        <v>4</v>
      </c>
      <c r="S206" s="432" t="s">
        <v>1439</v>
      </c>
      <c r="T206" s="432" t="s">
        <v>6431</v>
      </c>
    </row>
    <row r="207" spans="1:20" ht="22" customHeight="1">
      <c r="A207" s="432" t="s">
        <v>6644</v>
      </c>
      <c r="B207" s="432" t="s">
        <v>5398</v>
      </c>
      <c r="C207" s="451" t="s">
        <v>8708</v>
      </c>
      <c r="D207" s="432"/>
      <c r="E207" s="433" t="s">
        <v>6645</v>
      </c>
      <c r="F207" s="433" t="s">
        <v>6978</v>
      </c>
      <c r="G207" s="433" t="s">
        <v>6979</v>
      </c>
      <c r="H207" s="434">
        <v>0.5</v>
      </c>
      <c r="I207" s="433" t="s">
        <v>7841</v>
      </c>
      <c r="J207" s="433" t="s">
        <v>7295</v>
      </c>
      <c r="K207" s="438" t="s">
        <v>8277</v>
      </c>
      <c r="L207" s="439" t="s">
        <v>8292</v>
      </c>
      <c r="M207" s="448" t="s">
        <v>8454</v>
      </c>
      <c r="N207" s="448" t="s">
        <v>8588</v>
      </c>
      <c r="O207" s="439" t="s">
        <v>8669</v>
      </c>
      <c r="P207" s="439" t="s">
        <v>8672</v>
      </c>
      <c r="Q207" s="432" t="s">
        <v>6527</v>
      </c>
      <c r="R207" s="432" t="s">
        <v>4</v>
      </c>
      <c r="S207" s="432" t="s">
        <v>6435</v>
      </c>
      <c r="T207" s="432" t="s">
        <v>6433</v>
      </c>
    </row>
    <row r="208" spans="1:20" ht="22" customHeight="1">
      <c r="A208" s="432" t="s">
        <v>6646</v>
      </c>
      <c r="B208" s="432" t="s">
        <v>5398</v>
      </c>
      <c r="C208" s="451" t="s">
        <v>8708</v>
      </c>
      <c r="D208" s="432"/>
      <c r="E208" s="433" t="s">
        <v>6647</v>
      </c>
      <c r="F208" s="433" t="s">
        <v>6980</v>
      </c>
      <c r="G208" s="433" t="s">
        <v>6981</v>
      </c>
      <c r="H208" s="434">
        <v>0.5</v>
      </c>
      <c r="I208" s="433" t="s">
        <v>7841</v>
      </c>
      <c r="J208" s="433" t="s">
        <v>7296</v>
      </c>
      <c r="K208" s="438" t="s">
        <v>8277</v>
      </c>
      <c r="L208" s="439" t="s">
        <v>8292</v>
      </c>
      <c r="M208" s="448" t="s">
        <v>8454</v>
      </c>
      <c r="N208" s="448" t="s">
        <v>8588</v>
      </c>
      <c r="O208" s="439" t="s">
        <v>8669</v>
      </c>
      <c r="P208" s="439" t="s">
        <v>8672</v>
      </c>
      <c r="Q208" s="432" t="s">
        <v>6527</v>
      </c>
      <c r="R208" s="432" t="s">
        <v>4</v>
      </c>
      <c r="S208" s="432" t="s">
        <v>6438</v>
      </c>
      <c r="T208" s="432" t="s">
        <v>6436</v>
      </c>
    </row>
    <row r="209" spans="1:20" ht="22" customHeight="1">
      <c r="A209" s="432" t="s">
        <v>6648</v>
      </c>
      <c r="B209" s="432" t="s">
        <v>5398</v>
      </c>
      <c r="C209" s="451" t="s">
        <v>8708</v>
      </c>
      <c r="D209" s="432"/>
      <c r="E209" s="433" t="s">
        <v>6649</v>
      </c>
      <c r="F209" s="433" t="s">
        <v>6982</v>
      </c>
      <c r="G209" s="433" t="s">
        <v>6983</v>
      </c>
      <c r="H209" s="434">
        <v>0.5</v>
      </c>
      <c r="I209" s="433" t="s">
        <v>7841</v>
      </c>
      <c r="J209" s="433" t="s">
        <v>7353</v>
      </c>
      <c r="K209" s="438" t="s">
        <v>8277</v>
      </c>
      <c r="L209" s="439" t="s">
        <v>8295</v>
      </c>
      <c r="M209" s="448" t="s">
        <v>8323</v>
      </c>
      <c r="N209" s="448" t="s">
        <v>8588</v>
      </c>
      <c r="O209" s="439" t="s">
        <v>8669</v>
      </c>
      <c r="P209" s="439" t="s">
        <v>8672</v>
      </c>
      <c r="Q209" s="432" t="s">
        <v>6527</v>
      </c>
      <c r="R209" s="432" t="s">
        <v>4</v>
      </c>
      <c r="S209" s="432" t="s">
        <v>1437</v>
      </c>
      <c r="T209" s="432" t="s">
        <v>6439</v>
      </c>
    </row>
    <row r="210" spans="1:20" ht="22" customHeight="1">
      <c r="A210" s="432" t="s">
        <v>6650</v>
      </c>
      <c r="B210" s="432" t="s">
        <v>5398</v>
      </c>
      <c r="C210" s="451" t="s">
        <v>8708</v>
      </c>
      <c r="D210" s="432"/>
      <c r="E210" s="433" t="s">
        <v>6651</v>
      </c>
      <c r="F210" s="433" t="s">
        <v>6984</v>
      </c>
      <c r="G210" s="433" t="s">
        <v>6985</v>
      </c>
      <c r="H210" s="434">
        <v>1</v>
      </c>
      <c r="I210" s="433" t="s">
        <v>7844</v>
      </c>
      <c r="J210" s="433" t="s">
        <v>7301</v>
      </c>
      <c r="K210" s="438" t="s">
        <v>8275</v>
      </c>
      <c r="L210" s="439" t="s">
        <v>8300</v>
      </c>
      <c r="M210" s="448" t="s">
        <v>8321</v>
      </c>
      <c r="N210" s="448" t="s">
        <v>8588</v>
      </c>
      <c r="O210" s="439" t="s">
        <v>8669</v>
      </c>
      <c r="P210" s="439" t="s">
        <v>8672</v>
      </c>
      <c r="Q210" s="432" t="s">
        <v>6527</v>
      </c>
      <c r="R210" s="432" t="s">
        <v>4</v>
      </c>
      <c r="S210" s="432" t="s">
        <v>6444</v>
      </c>
      <c r="T210" s="432" t="s">
        <v>6441</v>
      </c>
    </row>
    <row r="211" spans="1:20" ht="22" customHeight="1">
      <c r="A211" s="432" t="s">
        <v>6652</v>
      </c>
      <c r="B211" s="432" t="s">
        <v>5398</v>
      </c>
      <c r="C211" s="451" t="s">
        <v>8708</v>
      </c>
      <c r="D211" s="432"/>
      <c r="E211" s="433" t="s">
        <v>6653</v>
      </c>
      <c r="F211" s="433" t="s">
        <v>6986</v>
      </c>
      <c r="G211" s="433" t="s">
        <v>6987</v>
      </c>
      <c r="H211" s="434">
        <v>0.5</v>
      </c>
      <c r="I211" s="433" t="s">
        <v>7844</v>
      </c>
      <c r="J211" s="433" t="s">
        <v>7354</v>
      </c>
      <c r="K211" s="438" t="s">
        <v>8275</v>
      </c>
      <c r="L211" s="439" t="s">
        <v>8300</v>
      </c>
      <c r="M211" s="448" t="s">
        <v>8321</v>
      </c>
      <c r="N211" s="448" t="s">
        <v>8588</v>
      </c>
      <c r="O211" s="439" t="s">
        <v>8669</v>
      </c>
      <c r="P211" s="439" t="s">
        <v>8672</v>
      </c>
      <c r="Q211" s="432" t="s">
        <v>6527</v>
      </c>
      <c r="R211" s="432" t="s">
        <v>4</v>
      </c>
      <c r="S211" s="432" t="s">
        <v>1049</v>
      </c>
      <c r="T211" s="432" t="s">
        <v>6446</v>
      </c>
    </row>
    <row r="212" spans="1:20" ht="22" customHeight="1">
      <c r="A212" s="432" t="s">
        <v>6654</v>
      </c>
      <c r="B212" s="432" t="s">
        <v>5398</v>
      </c>
      <c r="C212" s="451" t="s">
        <v>8708</v>
      </c>
      <c r="D212" s="432"/>
      <c r="E212" s="433" t="s">
        <v>7601</v>
      </c>
      <c r="F212" s="433" t="s">
        <v>6988</v>
      </c>
      <c r="G212" s="433" t="s">
        <v>6989</v>
      </c>
      <c r="H212" s="434">
        <v>0.75</v>
      </c>
      <c r="I212" s="433" t="s">
        <v>7845</v>
      </c>
      <c r="J212" s="433" t="s">
        <v>7355</v>
      </c>
      <c r="K212" s="438" t="s">
        <v>8275</v>
      </c>
      <c r="L212" s="439" t="s">
        <v>8300</v>
      </c>
      <c r="M212" s="448" t="s">
        <v>8342</v>
      </c>
      <c r="N212" s="448" t="s">
        <v>8588</v>
      </c>
      <c r="O212" s="439" t="s">
        <v>8669</v>
      </c>
      <c r="P212" s="439" t="s">
        <v>8672</v>
      </c>
      <c r="Q212" s="432" t="s">
        <v>6527</v>
      </c>
      <c r="R212" s="432" t="s">
        <v>4</v>
      </c>
      <c r="S212" s="432" t="s">
        <v>913</v>
      </c>
      <c r="T212" s="432" t="s">
        <v>6448</v>
      </c>
    </row>
    <row r="213" spans="1:20" ht="22" customHeight="1">
      <c r="A213" s="432" t="s">
        <v>6655</v>
      </c>
      <c r="B213" s="432" t="s">
        <v>5398</v>
      </c>
      <c r="C213" s="451" t="s">
        <v>8708</v>
      </c>
      <c r="D213" s="432"/>
      <c r="E213" s="433" t="s">
        <v>6656</v>
      </c>
      <c r="F213" s="433" t="s">
        <v>6990</v>
      </c>
      <c r="G213" s="433" t="s">
        <v>6991</v>
      </c>
      <c r="H213" s="434">
        <v>0.5</v>
      </c>
      <c r="I213" s="433" t="s">
        <v>7845</v>
      </c>
      <c r="J213" s="433" t="s">
        <v>7356</v>
      </c>
      <c r="K213" s="438" t="s">
        <v>8275</v>
      </c>
      <c r="L213" s="439" t="s">
        <v>8300</v>
      </c>
      <c r="M213" s="448" t="s">
        <v>8342</v>
      </c>
      <c r="N213" s="448" t="s">
        <v>8588</v>
      </c>
      <c r="O213" s="439" t="s">
        <v>8669</v>
      </c>
      <c r="P213" s="439" t="s">
        <v>8672</v>
      </c>
      <c r="Q213" s="432" t="s">
        <v>6527</v>
      </c>
      <c r="R213" s="432" t="s">
        <v>4</v>
      </c>
      <c r="S213" s="432" t="s">
        <v>6452</v>
      </c>
      <c r="T213" s="432" t="s">
        <v>6450</v>
      </c>
    </row>
    <row r="214" spans="1:20" ht="22" customHeight="1">
      <c r="A214" s="432" t="s">
        <v>6657</v>
      </c>
      <c r="B214" s="432" t="s">
        <v>5398</v>
      </c>
      <c r="C214" s="451" t="s">
        <v>8708</v>
      </c>
      <c r="D214" s="432"/>
      <c r="E214" s="433" t="s">
        <v>6658</v>
      </c>
      <c r="F214" s="433" t="s">
        <v>6992</v>
      </c>
      <c r="G214" s="433" t="s">
        <v>6993</v>
      </c>
      <c r="H214" s="434">
        <v>0.75</v>
      </c>
      <c r="I214" s="433" t="s">
        <v>7846</v>
      </c>
      <c r="J214" s="433" t="s">
        <v>7293</v>
      </c>
      <c r="K214" s="438" t="s">
        <v>8277</v>
      </c>
      <c r="L214" s="439" t="s">
        <v>8296</v>
      </c>
      <c r="M214" s="448" t="s">
        <v>8312</v>
      </c>
      <c r="N214" s="448" t="s">
        <v>8588</v>
      </c>
      <c r="O214" s="439" t="s">
        <v>8669</v>
      </c>
      <c r="P214" s="439" t="s">
        <v>8672</v>
      </c>
      <c r="Q214" s="432" t="s">
        <v>6527</v>
      </c>
      <c r="R214" s="432" t="s">
        <v>4</v>
      </c>
      <c r="S214" s="432" t="s">
        <v>6455</v>
      </c>
      <c r="T214" s="432" t="s">
        <v>6453</v>
      </c>
    </row>
    <row r="215" spans="1:20" ht="22" customHeight="1">
      <c r="A215" s="432" t="s">
        <v>6659</v>
      </c>
      <c r="B215" s="432" t="s">
        <v>5398</v>
      </c>
      <c r="C215" s="451" t="s">
        <v>8708</v>
      </c>
      <c r="D215" s="432"/>
      <c r="E215" s="433" t="s">
        <v>6660</v>
      </c>
      <c r="F215" s="433" t="s">
        <v>6994</v>
      </c>
      <c r="G215" s="433" t="s">
        <v>6995</v>
      </c>
      <c r="H215" s="434">
        <v>0.75</v>
      </c>
      <c r="I215" s="433" t="s">
        <v>7846</v>
      </c>
      <c r="J215" s="433" t="s">
        <v>7357</v>
      </c>
      <c r="K215" s="438" t="s">
        <v>8277</v>
      </c>
      <c r="L215" s="439" t="s">
        <v>8296</v>
      </c>
      <c r="M215" s="448" t="s">
        <v>8312</v>
      </c>
      <c r="N215" s="448" t="s">
        <v>8588</v>
      </c>
      <c r="O215" s="439" t="s">
        <v>8669</v>
      </c>
      <c r="P215" s="439" t="s">
        <v>8672</v>
      </c>
      <c r="Q215" s="432" t="s">
        <v>6527</v>
      </c>
      <c r="R215" s="432" t="s">
        <v>4</v>
      </c>
      <c r="S215" s="432" t="s">
        <v>2621</v>
      </c>
      <c r="T215" s="432" t="s">
        <v>6457</v>
      </c>
    </row>
    <row r="216" spans="1:20" ht="22" customHeight="1">
      <c r="A216" s="432" t="s">
        <v>6661</v>
      </c>
      <c r="B216" s="432" t="s">
        <v>5398</v>
      </c>
      <c r="C216" s="451" t="s">
        <v>8708</v>
      </c>
      <c r="D216" s="432"/>
      <c r="E216" s="433" t="s">
        <v>6662</v>
      </c>
      <c r="F216" s="433" t="s">
        <v>7849</v>
      </c>
      <c r="G216" s="433" t="s">
        <v>6996</v>
      </c>
      <c r="H216" s="434">
        <v>0.5</v>
      </c>
      <c r="I216" s="433" t="s">
        <v>7847</v>
      </c>
      <c r="J216" s="433" t="s">
        <v>7848</v>
      </c>
      <c r="K216" s="438" t="s">
        <v>8277</v>
      </c>
      <c r="L216" s="439" t="s">
        <v>8296</v>
      </c>
      <c r="M216" s="448" t="s">
        <v>8319</v>
      </c>
      <c r="N216" s="448" t="s">
        <v>8588</v>
      </c>
      <c r="O216" s="439" t="s">
        <v>8667</v>
      </c>
      <c r="P216" s="439" t="s">
        <v>8672</v>
      </c>
      <c r="Q216" s="432" t="s">
        <v>6527</v>
      </c>
      <c r="R216" s="432" t="s">
        <v>4</v>
      </c>
      <c r="S216" s="432" t="s">
        <v>6461</v>
      </c>
      <c r="T216" s="432" t="s">
        <v>6459</v>
      </c>
    </row>
    <row r="217" spans="1:20" ht="22" customHeight="1">
      <c r="A217" s="432" t="s">
        <v>6663</v>
      </c>
      <c r="B217" s="432" t="s">
        <v>5398</v>
      </c>
      <c r="C217" s="451" t="s">
        <v>8708</v>
      </c>
      <c r="D217" s="432"/>
      <c r="E217" s="433" t="s">
        <v>6664</v>
      </c>
      <c r="F217" s="433" t="s">
        <v>7851</v>
      </c>
      <c r="G217" s="433" t="s">
        <v>6997</v>
      </c>
      <c r="H217" s="434">
        <v>0.5</v>
      </c>
      <c r="I217" s="433" t="s">
        <v>7847</v>
      </c>
      <c r="J217" s="433" t="s">
        <v>7850</v>
      </c>
      <c r="K217" s="438" t="s">
        <v>8277</v>
      </c>
      <c r="L217" s="439" t="s">
        <v>8295</v>
      </c>
      <c r="M217" s="448" t="s">
        <v>8323</v>
      </c>
      <c r="N217" s="448" t="s">
        <v>8588</v>
      </c>
      <c r="O217" s="439" t="s">
        <v>8669</v>
      </c>
      <c r="P217" s="439" t="s">
        <v>8672</v>
      </c>
      <c r="Q217" s="432" t="s">
        <v>6527</v>
      </c>
      <c r="R217" s="432" t="s">
        <v>4</v>
      </c>
      <c r="S217" s="432" t="s">
        <v>6464</v>
      </c>
      <c r="T217" s="432" t="s">
        <v>6462</v>
      </c>
    </row>
    <row r="218" spans="1:20" ht="22" customHeight="1">
      <c r="A218" s="432" t="s">
        <v>6665</v>
      </c>
      <c r="B218" s="432" t="s">
        <v>5398</v>
      </c>
      <c r="C218" s="451" t="s">
        <v>8708</v>
      </c>
      <c r="D218" s="432"/>
      <c r="E218" s="433" t="s">
        <v>6666</v>
      </c>
      <c r="F218" s="433" t="s">
        <v>6998</v>
      </c>
      <c r="G218" s="433" t="s">
        <v>6999</v>
      </c>
      <c r="H218" s="434">
        <v>0.5</v>
      </c>
      <c r="I218" s="433" t="s">
        <v>7852</v>
      </c>
      <c r="J218" s="433" t="s">
        <v>7358</v>
      </c>
      <c r="K218" s="438" t="s">
        <v>8277</v>
      </c>
      <c r="L218" s="439" t="s">
        <v>8295</v>
      </c>
      <c r="M218" s="448" t="s">
        <v>8323</v>
      </c>
      <c r="N218" s="448" t="s">
        <v>8588</v>
      </c>
      <c r="O218" s="439" t="s">
        <v>8667</v>
      </c>
      <c r="P218" s="439" t="s">
        <v>8671</v>
      </c>
      <c r="Q218" s="432" t="s">
        <v>6527</v>
      </c>
      <c r="R218" s="432" t="s">
        <v>4</v>
      </c>
      <c r="S218" s="432" t="s">
        <v>1439</v>
      </c>
      <c r="T218" s="432" t="s">
        <v>6465</v>
      </c>
    </row>
    <row r="219" spans="1:20" ht="22" customHeight="1">
      <c r="A219" s="432" t="s">
        <v>6667</v>
      </c>
      <c r="B219" s="432" t="s">
        <v>5398</v>
      </c>
      <c r="C219" s="451" t="s">
        <v>8708</v>
      </c>
      <c r="D219" s="432"/>
      <c r="E219" s="433" t="s">
        <v>6668</v>
      </c>
      <c r="F219" s="433" t="s">
        <v>7000</v>
      </c>
      <c r="G219" s="433" t="s">
        <v>7001</v>
      </c>
      <c r="H219" s="434">
        <v>0.75</v>
      </c>
      <c r="I219" s="433" t="s">
        <v>7853</v>
      </c>
      <c r="J219" s="433" t="s">
        <v>7300</v>
      </c>
      <c r="K219" s="438" t="s">
        <v>8277</v>
      </c>
      <c r="L219" s="439" t="s">
        <v>8295</v>
      </c>
      <c r="M219" s="448" t="s">
        <v>8320</v>
      </c>
      <c r="N219" s="448" t="s">
        <v>8588</v>
      </c>
      <c r="O219" s="439" t="s">
        <v>8669</v>
      </c>
      <c r="P219" s="439" t="s">
        <v>8672</v>
      </c>
      <c r="Q219" s="432" t="s">
        <v>6527</v>
      </c>
      <c r="R219" s="432" t="s">
        <v>4</v>
      </c>
      <c r="S219" s="432" t="s">
        <v>2585</v>
      </c>
      <c r="T219" s="432" t="s">
        <v>6467</v>
      </c>
    </row>
    <row r="220" spans="1:20" ht="22" customHeight="1">
      <c r="A220" s="432" t="s">
        <v>6669</v>
      </c>
      <c r="B220" s="432" t="s">
        <v>5398</v>
      </c>
      <c r="C220" s="451" t="s">
        <v>8708</v>
      </c>
      <c r="D220" s="432"/>
      <c r="E220" s="433" t="s">
        <v>6670</v>
      </c>
      <c r="F220" s="433" t="s">
        <v>7002</v>
      </c>
      <c r="G220" s="433" t="s">
        <v>7003</v>
      </c>
      <c r="H220" s="434">
        <v>0.5</v>
      </c>
      <c r="I220" s="433" t="s">
        <v>7853</v>
      </c>
      <c r="J220" s="433" t="s">
        <v>7359</v>
      </c>
      <c r="K220" s="438" t="s">
        <v>8277</v>
      </c>
      <c r="L220" s="439" t="s">
        <v>8295</v>
      </c>
      <c r="M220" s="448" t="s">
        <v>8320</v>
      </c>
      <c r="N220" s="448" t="s">
        <v>8588</v>
      </c>
      <c r="O220" s="439" t="s">
        <v>8669</v>
      </c>
      <c r="P220" s="439" t="s">
        <v>8672</v>
      </c>
      <c r="Q220" s="432" t="s">
        <v>6527</v>
      </c>
      <c r="R220" s="432" t="s">
        <v>4</v>
      </c>
      <c r="S220" s="432" t="s">
        <v>6473</v>
      </c>
      <c r="T220" s="432" t="s">
        <v>6471</v>
      </c>
    </row>
    <row r="221" spans="1:20" ht="22" customHeight="1">
      <c r="A221" s="432" t="s">
        <v>6671</v>
      </c>
      <c r="B221" s="432" t="s">
        <v>5398</v>
      </c>
      <c r="C221" s="451" t="s">
        <v>8708</v>
      </c>
      <c r="D221" s="432"/>
      <c r="E221" s="433" t="s">
        <v>6672</v>
      </c>
      <c r="F221" s="433" t="s">
        <v>7004</v>
      </c>
      <c r="G221" s="433" t="s">
        <v>7005</v>
      </c>
      <c r="H221" s="434">
        <v>0.5</v>
      </c>
      <c r="I221" s="433" t="s">
        <v>7853</v>
      </c>
      <c r="J221" s="433" t="s">
        <v>7360</v>
      </c>
      <c r="K221" s="438" t="s">
        <v>8277</v>
      </c>
      <c r="L221" s="439" t="s">
        <v>8295</v>
      </c>
      <c r="M221" s="448" t="s">
        <v>8320</v>
      </c>
      <c r="N221" s="448" t="s">
        <v>8588</v>
      </c>
      <c r="O221" s="439" t="s">
        <v>8669</v>
      </c>
      <c r="P221" s="439" t="s">
        <v>8672</v>
      </c>
      <c r="Q221" s="432" t="s">
        <v>6527</v>
      </c>
      <c r="R221" s="432" t="s">
        <v>4</v>
      </c>
      <c r="S221" s="432" t="s">
        <v>2520</v>
      </c>
      <c r="T221" s="432" t="s">
        <v>6474</v>
      </c>
    </row>
    <row r="222" spans="1:20" ht="22" customHeight="1">
      <c r="A222" s="432" t="s">
        <v>6673</v>
      </c>
      <c r="B222" s="432" t="s">
        <v>5398</v>
      </c>
      <c r="C222" s="451" t="s">
        <v>8708</v>
      </c>
      <c r="D222" s="432"/>
      <c r="E222" s="433" t="s">
        <v>6674</v>
      </c>
      <c r="F222" s="433" t="s">
        <v>7006</v>
      </c>
      <c r="G222" s="433" t="s">
        <v>7007</v>
      </c>
      <c r="H222" s="434">
        <v>1</v>
      </c>
      <c r="I222" s="433" t="s">
        <v>7854</v>
      </c>
      <c r="J222" s="433" t="s">
        <v>7303</v>
      </c>
      <c r="K222" s="438" t="s">
        <v>8275</v>
      </c>
      <c r="L222" s="439" t="s">
        <v>8293</v>
      </c>
      <c r="M222" s="448" t="s">
        <v>8324</v>
      </c>
      <c r="N222" s="448" t="s">
        <v>8588</v>
      </c>
      <c r="O222" s="439" t="s">
        <v>8669</v>
      </c>
      <c r="P222" s="439" t="s">
        <v>8672</v>
      </c>
      <c r="Q222" s="432" t="s">
        <v>6527</v>
      </c>
      <c r="R222" s="432" t="s">
        <v>4</v>
      </c>
      <c r="S222" s="432" t="s">
        <v>1254</v>
      </c>
      <c r="T222" s="432" t="s">
        <v>6476</v>
      </c>
    </row>
    <row r="223" spans="1:20" ht="22" customHeight="1">
      <c r="A223" s="432" t="s">
        <v>6675</v>
      </c>
      <c r="B223" s="432" t="s">
        <v>5398</v>
      </c>
      <c r="C223" s="451" t="s">
        <v>8708</v>
      </c>
      <c r="D223" s="432"/>
      <c r="E223" s="433" t="s">
        <v>6676</v>
      </c>
      <c r="F223" s="433" t="s">
        <v>7857</v>
      </c>
      <c r="G223" s="433" t="s">
        <v>7008</v>
      </c>
      <c r="H223" s="434">
        <v>0.5</v>
      </c>
      <c r="I223" s="433" t="s">
        <v>7855</v>
      </c>
      <c r="J223" s="433" t="s">
        <v>7856</v>
      </c>
      <c r="K223" s="438" t="s">
        <v>8277</v>
      </c>
      <c r="L223" s="439" t="s">
        <v>8612</v>
      </c>
      <c r="M223" s="448" t="s">
        <v>8616</v>
      </c>
      <c r="N223" s="448" t="s">
        <v>8712</v>
      </c>
      <c r="O223" s="439" t="s">
        <v>8669</v>
      </c>
      <c r="P223" s="439" t="s">
        <v>8672</v>
      </c>
      <c r="Q223" s="432" t="s">
        <v>6527</v>
      </c>
      <c r="R223" s="432" t="s">
        <v>4</v>
      </c>
      <c r="S223" s="432" t="s">
        <v>2501</v>
      </c>
      <c r="T223" s="432" t="s">
        <v>6479</v>
      </c>
    </row>
    <row r="224" spans="1:20" ht="22" customHeight="1">
      <c r="A224" s="432" t="s">
        <v>6677</v>
      </c>
      <c r="B224" s="432" t="s">
        <v>5398</v>
      </c>
      <c r="C224" s="451" t="s">
        <v>8708</v>
      </c>
      <c r="D224" s="432"/>
      <c r="E224" s="433" t="s">
        <v>6678</v>
      </c>
      <c r="F224" s="433" t="s">
        <v>7009</v>
      </c>
      <c r="G224" s="433" t="s">
        <v>7010</v>
      </c>
      <c r="H224" s="434">
        <v>0.5</v>
      </c>
      <c r="I224" s="433" t="s">
        <v>7855</v>
      </c>
      <c r="J224" s="433" t="s">
        <v>7361</v>
      </c>
      <c r="K224" s="438" t="s">
        <v>8275</v>
      </c>
      <c r="L224" s="439" t="s">
        <v>8612</v>
      </c>
      <c r="M224" s="448" t="s">
        <v>8699</v>
      </c>
      <c r="N224" s="448" t="s">
        <v>8712</v>
      </c>
      <c r="O224" s="439" t="s">
        <v>8669</v>
      </c>
      <c r="P224" s="439" t="s">
        <v>8672</v>
      </c>
      <c r="Q224" s="432" t="s">
        <v>6527</v>
      </c>
      <c r="R224" s="432" t="s">
        <v>4</v>
      </c>
      <c r="S224" s="432" t="s">
        <v>2692</v>
      </c>
      <c r="T224" s="432" t="s">
        <v>6481</v>
      </c>
    </row>
    <row r="225" spans="1:20" ht="22" customHeight="1">
      <c r="A225" s="432" t="s">
        <v>6679</v>
      </c>
      <c r="B225" s="432" t="s">
        <v>5398</v>
      </c>
      <c r="C225" s="451" t="s">
        <v>8708</v>
      </c>
      <c r="D225" s="432"/>
      <c r="E225" s="433" t="s">
        <v>6680</v>
      </c>
      <c r="F225" s="433" t="s">
        <v>7011</v>
      </c>
      <c r="G225" s="433" t="s">
        <v>7012</v>
      </c>
      <c r="H225" s="434">
        <v>0.5</v>
      </c>
      <c r="I225" s="433" t="s">
        <v>7854</v>
      </c>
      <c r="J225" s="433" t="s">
        <v>7362</v>
      </c>
      <c r="K225" s="438" t="s">
        <v>8277</v>
      </c>
      <c r="L225" s="439" t="s">
        <v>8294</v>
      </c>
      <c r="M225" s="448" t="s">
        <v>8343</v>
      </c>
      <c r="N225" s="448" t="s">
        <v>8588</v>
      </c>
      <c r="O225" s="439" t="s">
        <v>8667</v>
      </c>
      <c r="P225" s="439" t="s">
        <v>8671</v>
      </c>
      <c r="Q225" s="432" t="s">
        <v>6527</v>
      </c>
      <c r="R225" s="432" t="s">
        <v>4</v>
      </c>
      <c r="S225" s="432" t="s">
        <v>6485</v>
      </c>
      <c r="T225" s="432" t="s">
        <v>6483</v>
      </c>
    </row>
    <row r="226" spans="1:20" ht="22" customHeight="1">
      <c r="A226" s="432" t="s">
        <v>6681</v>
      </c>
      <c r="B226" s="432" t="s">
        <v>5398</v>
      </c>
      <c r="C226" s="451" t="s">
        <v>8708</v>
      </c>
      <c r="D226" s="432"/>
      <c r="E226" s="433" t="s">
        <v>7602</v>
      </c>
      <c r="F226" s="433" t="s">
        <v>7013</v>
      </c>
      <c r="G226" s="433" t="s">
        <v>7014</v>
      </c>
      <c r="H226" s="434">
        <v>1</v>
      </c>
      <c r="I226" s="433" t="s">
        <v>7858</v>
      </c>
      <c r="J226" s="433" t="s">
        <v>7363</v>
      </c>
      <c r="K226" s="438" t="s">
        <v>8277</v>
      </c>
      <c r="L226" s="439" t="s">
        <v>8296</v>
      </c>
      <c r="M226" s="448" t="s">
        <v>8700</v>
      </c>
      <c r="N226" s="448" t="s">
        <v>8588</v>
      </c>
      <c r="O226" s="439" t="s">
        <v>8667</v>
      </c>
      <c r="P226" s="439" t="s">
        <v>8672</v>
      </c>
      <c r="Q226" s="432" t="s">
        <v>6527</v>
      </c>
      <c r="R226" s="432" t="s">
        <v>4</v>
      </c>
      <c r="S226" s="432" t="s">
        <v>6489</v>
      </c>
      <c r="T226" s="432" t="s">
        <v>6487</v>
      </c>
    </row>
    <row r="227" spans="1:20" ht="22" customHeight="1">
      <c r="A227" s="432" t="s">
        <v>6682</v>
      </c>
      <c r="B227" s="432" t="s">
        <v>5398</v>
      </c>
      <c r="C227" s="451" t="s">
        <v>8708</v>
      </c>
      <c r="D227" s="432"/>
      <c r="E227" s="433" t="s">
        <v>7789</v>
      </c>
      <c r="F227" s="433" t="s">
        <v>7015</v>
      </c>
      <c r="G227" s="433" t="s">
        <v>7016</v>
      </c>
      <c r="H227" s="434">
        <v>0.5</v>
      </c>
      <c r="I227" s="433" t="s">
        <v>7858</v>
      </c>
      <c r="J227" s="433" t="s">
        <v>7364</v>
      </c>
      <c r="K227" s="438" t="s">
        <v>8277</v>
      </c>
      <c r="L227" s="439" t="s">
        <v>8293</v>
      </c>
      <c r="M227" s="448" t="s">
        <v>8344</v>
      </c>
      <c r="N227" s="448" t="s">
        <v>8588</v>
      </c>
      <c r="O227" s="439" t="s">
        <v>8667</v>
      </c>
      <c r="P227" s="439" t="s">
        <v>8672</v>
      </c>
      <c r="Q227" s="432" t="s">
        <v>6527</v>
      </c>
      <c r="R227" s="432" t="s">
        <v>4</v>
      </c>
      <c r="S227" s="432" t="s">
        <v>2678</v>
      </c>
      <c r="T227" s="432" t="s">
        <v>6490</v>
      </c>
    </row>
    <row r="228" spans="1:20" ht="22" customHeight="1">
      <c r="A228" s="432" t="s">
        <v>6683</v>
      </c>
      <c r="B228" s="432" t="s">
        <v>5398</v>
      </c>
      <c r="C228" s="451" t="s">
        <v>8708</v>
      </c>
      <c r="D228" s="432"/>
      <c r="E228" s="433" t="s">
        <v>6684</v>
      </c>
      <c r="F228" s="433" t="s">
        <v>7017</v>
      </c>
      <c r="G228" s="433" t="s">
        <v>7018</v>
      </c>
      <c r="H228" s="434">
        <v>0.5</v>
      </c>
      <c r="I228" s="433" t="s">
        <v>7858</v>
      </c>
      <c r="J228" s="433" t="s">
        <v>7365</v>
      </c>
      <c r="K228" s="438" t="s">
        <v>8277</v>
      </c>
      <c r="L228" s="439" t="s">
        <v>8293</v>
      </c>
      <c r="M228" s="448" t="s">
        <v>8344</v>
      </c>
      <c r="N228" s="448" t="s">
        <v>8588</v>
      </c>
      <c r="O228" s="439" t="s">
        <v>8669</v>
      </c>
      <c r="P228" s="439" t="s">
        <v>8672</v>
      </c>
      <c r="Q228" s="432" t="s">
        <v>6527</v>
      </c>
      <c r="R228" s="432" t="s">
        <v>4</v>
      </c>
      <c r="S228" s="432" t="s">
        <v>2684</v>
      </c>
      <c r="T228" s="432" t="s">
        <v>6492</v>
      </c>
    </row>
    <row r="229" spans="1:20" ht="22" customHeight="1">
      <c r="A229" s="432" t="s">
        <v>6685</v>
      </c>
      <c r="B229" s="432" t="s">
        <v>5398</v>
      </c>
      <c r="C229" s="451" t="s">
        <v>8708</v>
      </c>
      <c r="D229" s="432"/>
      <c r="E229" s="433" t="s">
        <v>6686</v>
      </c>
      <c r="F229" s="433" t="s">
        <v>7019</v>
      </c>
      <c r="G229" s="433" t="s">
        <v>7020</v>
      </c>
      <c r="H229" s="434">
        <v>0.5</v>
      </c>
      <c r="I229" s="433" t="s">
        <v>7859</v>
      </c>
      <c r="J229" s="433" t="s">
        <v>7366</v>
      </c>
      <c r="K229" s="438" t="s">
        <v>8277</v>
      </c>
      <c r="L229" s="439" t="s">
        <v>8293</v>
      </c>
      <c r="M229" s="448" t="s">
        <v>8344</v>
      </c>
      <c r="N229" s="448" t="s">
        <v>8588</v>
      </c>
      <c r="O229" s="439" t="s">
        <v>8669</v>
      </c>
      <c r="P229" s="439" t="s">
        <v>8672</v>
      </c>
      <c r="Q229" s="432" t="s">
        <v>6527</v>
      </c>
      <c r="R229" s="432" t="s">
        <v>4</v>
      </c>
      <c r="S229" s="432" t="s">
        <v>6496</v>
      </c>
      <c r="T229" s="432" t="s">
        <v>6494</v>
      </c>
    </row>
    <row r="230" spans="1:20" ht="22" customHeight="1">
      <c r="A230" s="432" t="s">
        <v>6687</v>
      </c>
      <c r="B230" s="432" t="s">
        <v>5398</v>
      </c>
      <c r="C230" s="451" t="s">
        <v>8708</v>
      </c>
      <c r="D230" s="432"/>
      <c r="E230" s="433" t="s">
        <v>6688</v>
      </c>
      <c r="F230" s="433" t="s">
        <v>7021</v>
      </c>
      <c r="G230" s="433" t="s">
        <v>7022</v>
      </c>
      <c r="H230" s="434">
        <v>0.5</v>
      </c>
      <c r="I230" s="433" t="s">
        <v>7854</v>
      </c>
      <c r="J230" s="433" t="s">
        <v>7304</v>
      </c>
      <c r="K230" s="438" t="s">
        <v>8277</v>
      </c>
      <c r="L230" s="439" t="s">
        <v>8295</v>
      </c>
      <c r="M230" s="448" t="s">
        <v>8325</v>
      </c>
      <c r="N230" s="448" t="s">
        <v>8588</v>
      </c>
      <c r="O230" s="439" t="s">
        <v>8669</v>
      </c>
      <c r="P230" s="439" t="s">
        <v>8672</v>
      </c>
      <c r="Q230" s="432" t="s">
        <v>6527</v>
      </c>
      <c r="R230" s="432" t="s">
        <v>4</v>
      </c>
      <c r="S230" s="432" t="s">
        <v>6499</v>
      </c>
      <c r="T230" s="432" t="s">
        <v>6497</v>
      </c>
    </row>
    <row r="231" spans="1:20" ht="22" customHeight="1">
      <c r="A231" s="432" t="s">
        <v>6689</v>
      </c>
      <c r="B231" s="432" t="s">
        <v>5398</v>
      </c>
      <c r="C231" s="451" t="s">
        <v>8708</v>
      </c>
      <c r="D231" s="432"/>
      <c r="E231" s="433" t="s">
        <v>6690</v>
      </c>
      <c r="F231" s="433" t="s">
        <v>7023</v>
      </c>
      <c r="G231" s="433" t="s">
        <v>7024</v>
      </c>
      <c r="H231" s="434">
        <v>0.75</v>
      </c>
      <c r="I231" s="433" t="s">
        <v>7860</v>
      </c>
      <c r="J231" s="433" t="s">
        <v>7367</v>
      </c>
      <c r="K231" s="438" t="s">
        <v>8277</v>
      </c>
      <c r="L231" s="439" t="s">
        <v>8296</v>
      </c>
      <c r="M231" s="448" t="s">
        <v>8311</v>
      </c>
      <c r="N231" s="448" t="s">
        <v>8588</v>
      </c>
      <c r="O231" s="439" t="s">
        <v>8669</v>
      </c>
      <c r="P231" s="439" t="s">
        <v>8672</v>
      </c>
      <c r="Q231" s="432" t="s">
        <v>6527</v>
      </c>
      <c r="R231" s="432" t="s">
        <v>4</v>
      </c>
      <c r="S231" s="432" t="s">
        <v>6503</v>
      </c>
      <c r="T231" s="432" t="s">
        <v>6500</v>
      </c>
    </row>
    <row r="232" spans="1:20" ht="22" customHeight="1">
      <c r="A232" s="432" t="s">
        <v>6691</v>
      </c>
      <c r="B232" s="432" t="s">
        <v>5398</v>
      </c>
      <c r="C232" s="451" t="s">
        <v>8708</v>
      </c>
      <c r="D232" s="432"/>
      <c r="E232" s="433" t="s">
        <v>6692</v>
      </c>
      <c r="F232" s="433" t="s">
        <v>7025</v>
      </c>
      <c r="G232" s="433" t="s">
        <v>7026</v>
      </c>
      <c r="H232" s="434">
        <v>0.75</v>
      </c>
      <c r="I232" s="433" t="s">
        <v>7861</v>
      </c>
      <c r="J232" s="433" t="s">
        <v>7368</v>
      </c>
      <c r="K232" s="438" t="s">
        <v>8277</v>
      </c>
      <c r="L232" s="439" t="s">
        <v>8612</v>
      </c>
      <c r="M232" s="448" t="s">
        <v>8617</v>
      </c>
      <c r="N232" s="448" t="s">
        <v>8712</v>
      </c>
      <c r="O232" s="439" t="s">
        <v>8667</v>
      </c>
      <c r="P232" s="439" t="s">
        <v>8672</v>
      </c>
      <c r="Q232" s="432" t="s">
        <v>6527</v>
      </c>
      <c r="R232" s="432" t="s">
        <v>4</v>
      </c>
      <c r="S232" s="432" t="s">
        <v>2501</v>
      </c>
      <c r="T232" s="432" t="s">
        <v>6505</v>
      </c>
    </row>
    <row r="233" spans="1:20" ht="22" customHeight="1">
      <c r="A233" s="432" t="s">
        <v>6693</v>
      </c>
      <c r="B233" s="432" t="s">
        <v>5398</v>
      </c>
      <c r="C233" s="451" t="s">
        <v>8708</v>
      </c>
      <c r="D233" s="432"/>
      <c r="E233" s="433" t="s">
        <v>6694</v>
      </c>
      <c r="F233" s="433" t="s">
        <v>7027</v>
      </c>
      <c r="G233" s="433" t="s">
        <v>7028</v>
      </c>
      <c r="H233" s="434">
        <v>0.5</v>
      </c>
      <c r="I233" s="433" t="s">
        <v>7861</v>
      </c>
      <c r="J233" s="433" t="s">
        <v>7369</v>
      </c>
      <c r="K233" s="438" t="s">
        <v>8277</v>
      </c>
      <c r="L233" s="439" t="s">
        <v>8296</v>
      </c>
      <c r="M233" s="448" t="s">
        <v>8345</v>
      </c>
      <c r="N233" s="448" t="s">
        <v>8588</v>
      </c>
      <c r="O233" s="439" t="s">
        <v>8667</v>
      </c>
      <c r="P233" s="439" t="s">
        <v>8672</v>
      </c>
      <c r="Q233" s="432" t="s">
        <v>6527</v>
      </c>
      <c r="R233" s="432" t="s">
        <v>4</v>
      </c>
      <c r="S233" s="432" t="s">
        <v>6509</v>
      </c>
      <c r="T233" s="432" t="s">
        <v>6507</v>
      </c>
    </row>
    <row r="234" spans="1:20" ht="22" customHeight="1">
      <c r="A234" s="432" t="s">
        <v>6695</v>
      </c>
      <c r="B234" s="432" t="s">
        <v>5398</v>
      </c>
      <c r="C234" s="451" t="s">
        <v>8708</v>
      </c>
      <c r="D234" s="432"/>
      <c r="E234" s="433" t="s">
        <v>6696</v>
      </c>
      <c r="F234" s="433" t="s">
        <v>7029</v>
      </c>
      <c r="G234" s="433" t="s">
        <v>7030</v>
      </c>
      <c r="H234" s="434">
        <v>0.5</v>
      </c>
      <c r="I234" s="433" t="s">
        <v>7862</v>
      </c>
      <c r="J234" s="433" t="s">
        <v>7370</v>
      </c>
      <c r="K234" s="438" t="s">
        <v>8277</v>
      </c>
      <c r="L234" s="439" t="s">
        <v>8296</v>
      </c>
      <c r="M234" s="448" t="s">
        <v>8346</v>
      </c>
      <c r="N234" s="448" t="s">
        <v>8588</v>
      </c>
      <c r="O234" s="439" t="s">
        <v>8667</v>
      </c>
      <c r="P234" s="439" t="s">
        <v>8671</v>
      </c>
      <c r="Q234" s="432" t="s">
        <v>6527</v>
      </c>
      <c r="R234" s="432" t="s">
        <v>4</v>
      </c>
      <c r="S234" s="432" t="s">
        <v>6512</v>
      </c>
      <c r="T234" s="432" t="s">
        <v>6510</v>
      </c>
    </row>
    <row r="235" spans="1:20" ht="22" customHeight="1">
      <c r="A235" s="432" t="s">
        <v>6697</v>
      </c>
      <c r="B235" s="432" t="s">
        <v>5398</v>
      </c>
      <c r="C235" s="451" t="s">
        <v>8708</v>
      </c>
      <c r="D235" s="432"/>
      <c r="E235" s="433" t="s">
        <v>6698</v>
      </c>
      <c r="F235" s="433" t="s">
        <v>7031</v>
      </c>
      <c r="G235" s="433" t="s">
        <v>7032</v>
      </c>
      <c r="H235" s="434">
        <v>0.5</v>
      </c>
      <c r="I235" s="433" t="s">
        <v>7862</v>
      </c>
      <c r="J235" s="433" t="s">
        <v>7371</v>
      </c>
      <c r="K235" s="438" t="s">
        <v>8277</v>
      </c>
      <c r="L235" s="439" t="s">
        <v>8296</v>
      </c>
      <c r="M235" s="448" t="s">
        <v>8346</v>
      </c>
      <c r="N235" s="448" t="s">
        <v>8588</v>
      </c>
      <c r="O235" s="439" t="s">
        <v>8667</v>
      </c>
      <c r="P235" s="439" t="s">
        <v>8671</v>
      </c>
      <c r="Q235" s="432" t="s">
        <v>6527</v>
      </c>
      <c r="R235" s="432" t="s">
        <v>4</v>
      </c>
      <c r="S235" s="432" t="s">
        <v>6516</v>
      </c>
      <c r="T235" s="432" t="s">
        <v>6514</v>
      </c>
    </row>
    <row r="236" spans="1:20" ht="22" customHeight="1">
      <c r="A236" s="432" t="s">
        <v>6699</v>
      </c>
      <c r="B236" s="432" t="s">
        <v>5398</v>
      </c>
      <c r="C236" s="451" t="s">
        <v>8708</v>
      </c>
      <c r="D236" s="432"/>
      <c r="E236" s="433" t="s">
        <v>6700</v>
      </c>
      <c r="F236" s="433" t="s">
        <v>7865</v>
      </c>
      <c r="G236" s="433" t="s">
        <v>7033</v>
      </c>
      <c r="H236" s="434">
        <v>0.5</v>
      </c>
      <c r="I236" s="433" t="s">
        <v>7863</v>
      </c>
      <c r="J236" s="433" t="s">
        <v>7864</v>
      </c>
      <c r="K236" s="438" t="s">
        <v>8277</v>
      </c>
      <c r="L236" s="439" t="s">
        <v>8295</v>
      </c>
      <c r="M236" s="448" t="s">
        <v>8323</v>
      </c>
      <c r="N236" s="448" t="s">
        <v>8588</v>
      </c>
      <c r="O236" s="439" t="s">
        <v>8669</v>
      </c>
      <c r="P236" s="439" t="s">
        <v>8672</v>
      </c>
      <c r="Q236" s="432" t="s">
        <v>6527</v>
      </c>
      <c r="R236" s="432" t="s">
        <v>4</v>
      </c>
      <c r="S236" s="432" t="s">
        <v>1437</v>
      </c>
      <c r="T236" s="432" t="s">
        <v>6517</v>
      </c>
    </row>
    <row r="237" spans="1:20" ht="22" customHeight="1">
      <c r="A237" s="432" t="s">
        <v>6701</v>
      </c>
      <c r="B237" s="432" t="s">
        <v>5398</v>
      </c>
      <c r="C237" s="451" t="s">
        <v>8708</v>
      </c>
      <c r="D237" s="432"/>
      <c r="E237" s="433" t="s">
        <v>6702</v>
      </c>
      <c r="F237" s="433" t="s">
        <v>7034</v>
      </c>
      <c r="G237" s="433" t="s">
        <v>7035</v>
      </c>
      <c r="H237" s="434">
        <v>0.5</v>
      </c>
      <c r="I237" s="433" t="s">
        <v>7862</v>
      </c>
      <c r="J237" s="433" t="s">
        <v>7372</v>
      </c>
      <c r="K237" s="438" t="s">
        <v>8277</v>
      </c>
      <c r="L237" s="439" t="s">
        <v>8296</v>
      </c>
      <c r="M237" s="448" t="s">
        <v>8347</v>
      </c>
      <c r="N237" s="448" t="s">
        <v>8588</v>
      </c>
      <c r="O237" s="439" t="s">
        <v>8667</v>
      </c>
      <c r="P237" s="439" t="s">
        <v>8671</v>
      </c>
      <c r="Q237" s="432" t="s">
        <v>6527</v>
      </c>
      <c r="R237" s="432" t="s">
        <v>4</v>
      </c>
      <c r="S237" s="432" t="s">
        <v>609</v>
      </c>
      <c r="T237" s="432" t="s">
        <v>6519</v>
      </c>
    </row>
    <row r="238" spans="1:20" ht="22" customHeight="1">
      <c r="A238" s="432" t="s">
        <v>6703</v>
      </c>
      <c r="B238" s="432" t="s">
        <v>5398</v>
      </c>
      <c r="C238" s="451" t="s">
        <v>8708</v>
      </c>
      <c r="D238" s="432"/>
      <c r="E238" s="433" t="s">
        <v>6704</v>
      </c>
      <c r="F238" s="433" t="s">
        <v>7867</v>
      </c>
      <c r="G238" s="433" t="s">
        <v>7036</v>
      </c>
      <c r="H238" s="434">
        <v>0.5</v>
      </c>
      <c r="I238" s="433" t="s">
        <v>7863</v>
      </c>
      <c r="J238" s="433" t="s">
        <v>7866</v>
      </c>
      <c r="K238" s="438" t="s">
        <v>8275</v>
      </c>
      <c r="L238" s="439" t="s">
        <v>8300</v>
      </c>
      <c r="M238" s="448" t="s">
        <v>8341</v>
      </c>
      <c r="N238" s="448" t="s">
        <v>8588</v>
      </c>
      <c r="O238" s="439" t="s">
        <v>8667</v>
      </c>
      <c r="P238" s="439" t="s">
        <v>8672</v>
      </c>
      <c r="Q238" s="432" t="s">
        <v>6527</v>
      </c>
      <c r="R238" s="432" t="s">
        <v>4</v>
      </c>
      <c r="S238" s="432" t="s">
        <v>1439</v>
      </c>
      <c r="T238" s="432" t="s">
        <v>6521</v>
      </c>
    </row>
    <row r="239" spans="1:20" ht="22" customHeight="1">
      <c r="A239" s="432" t="s">
        <v>6705</v>
      </c>
      <c r="B239" s="432" t="s">
        <v>5398</v>
      </c>
      <c r="C239" s="451" t="s">
        <v>8708</v>
      </c>
      <c r="D239" s="432"/>
      <c r="E239" s="433" t="s">
        <v>6706</v>
      </c>
      <c r="F239" s="433" t="s">
        <v>7037</v>
      </c>
      <c r="G239" s="433" t="s">
        <v>7038</v>
      </c>
      <c r="H239" s="434">
        <v>0.5</v>
      </c>
      <c r="I239" s="433" t="s">
        <v>7860</v>
      </c>
      <c r="J239" s="433" t="s">
        <v>7373</v>
      </c>
      <c r="K239" s="438" t="s">
        <v>8277</v>
      </c>
      <c r="L239" s="439" t="s">
        <v>8295</v>
      </c>
      <c r="M239" s="448" t="s">
        <v>8323</v>
      </c>
      <c r="N239" s="448" t="s">
        <v>8588</v>
      </c>
      <c r="O239" s="439" t="s">
        <v>8669</v>
      </c>
      <c r="P239" s="439" t="s">
        <v>8672</v>
      </c>
      <c r="Q239" s="432" t="s">
        <v>6527</v>
      </c>
      <c r="R239" s="432" t="s">
        <v>4</v>
      </c>
      <c r="S239" s="432" t="s">
        <v>6525</v>
      </c>
      <c r="T239" s="432" t="s">
        <v>6523</v>
      </c>
    </row>
    <row r="240" spans="1:20" ht="22" customHeight="1">
      <c r="A240" s="432" t="s">
        <v>5691</v>
      </c>
      <c r="B240" s="432" t="s">
        <v>5399</v>
      </c>
      <c r="C240" s="451" t="s">
        <v>8708</v>
      </c>
      <c r="D240" s="432"/>
      <c r="E240" s="433" t="s">
        <v>6147</v>
      </c>
      <c r="F240" s="433" t="s">
        <v>7093</v>
      </c>
      <c r="G240" s="433" t="s">
        <v>7094</v>
      </c>
      <c r="H240" s="434">
        <v>2</v>
      </c>
      <c r="I240" s="433" t="s">
        <v>2740</v>
      </c>
      <c r="J240" s="433" t="s">
        <v>7290</v>
      </c>
      <c r="K240" s="438" t="s">
        <v>8277</v>
      </c>
      <c r="L240" s="439" t="s">
        <v>8299</v>
      </c>
      <c r="M240" s="448" t="s">
        <v>8361</v>
      </c>
      <c r="N240" s="448" t="s">
        <v>8588</v>
      </c>
      <c r="O240" s="439" t="s">
        <v>8668</v>
      </c>
      <c r="P240" s="439" t="s">
        <v>8672</v>
      </c>
      <c r="Q240" s="432" t="s">
        <v>2234</v>
      </c>
      <c r="R240" s="432" t="s">
        <v>4</v>
      </c>
      <c r="S240" s="432"/>
      <c r="T240" s="432" t="s">
        <v>2740</v>
      </c>
    </row>
    <row r="241" spans="1:20" ht="22" customHeight="1">
      <c r="A241" s="432" t="s">
        <v>5692</v>
      </c>
      <c r="B241" s="432" t="s">
        <v>5399</v>
      </c>
      <c r="C241" s="451" t="s">
        <v>8708</v>
      </c>
      <c r="D241" s="432"/>
      <c r="E241" s="433" t="s">
        <v>6148</v>
      </c>
      <c r="F241" s="433" t="s">
        <v>7095</v>
      </c>
      <c r="G241" s="433" t="s">
        <v>7096</v>
      </c>
      <c r="H241" s="434">
        <v>2</v>
      </c>
      <c r="I241" s="433" t="s">
        <v>2740</v>
      </c>
      <c r="J241" s="433" t="s">
        <v>7290</v>
      </c>
      <c r="K241" s="438" t="s">
        <v>8277</v>
      </c>
      <c r="L241" s="439" t="s">
        <v>8299</v>
      </c>
      <c r="M241" s="448" t="s">
        <v>8361</v>
      </c>
      <c r="N241" s="448" t="s">
        <v>8588</v>
      </c>
      <c r="O241" s="439" t="s">
        <v>8668</v>
      </c>
      <c r="P241" s="439" t="s">
        <v>8672</v>
      </c>
      <c r="Q241" s="432" t="s">
        <v>2234</v>
      </c>
      <c r="R241" s="432" t="s">
        <v>4</v>
      </c>
      <c r="S241" s="432"/>
      <c r="T241" s="432" t="s">
        <v>2740</v>
      </c>
    </row>
    <row r="242" spans="1:20" ht="22" customHeight="1">
      <c r="A242" s="432" t="s">
        <v>8374</v>
      </c>
      <c r="B242" s="432" t="s">
        <v>5399</v>
      </c>
      <c r="C242" s="451" t="s">
        <v>8708</v>
      </c>
      <c r="D242" s="432"/>
      <c r="E242" s="433" t="s">
        <v>8375</v>
      </c>
      <c r="F242" s="433" t="s">
        <v>8376</v>
      </c>
      <c r="G242" s="433" t="s">
        <v>8377</v>
      </c>
      <c r="H242" s="434">
        <v>1</v>
      </c>
      <c r="I242" s="433" t="s">
        <v>2740</v>
      </c>
      <c r="J242" s="433" t="s">
        <v>7290</v>
      </c>
      <c r="K242" s="438" t="s">
        <v>8279</v>
      </c>
      <c r="L242" s="439" t="s">
        <v>8299</v>
      </c>
      <c r="M242" s="448" t="s">
        <v>8378</v>
      </c>
      <c r="N242" s="448" t="s">
        <v>8588</v>
      </c>
      <c r="O242" s="439" t="s">
        <v>8668</v>
      </c>
      <c r="P242" s="439" t="s">
        <v>8672</v>
      </c>
      <c r="Q242" s="432" t="s">
        <v>2234</v>
      </c>
      <c r="R242" s="432" t="s">
        <v>4</v>
      </c>
      <c r="S242" s="432"/>
      <c r="T242" s="432" t="s">
        <v>2740</v>
      </c>
    </row>
    <row r="243" spans="1:20" ht="22" customHeight="1">
      <c r="A243" s="432" t="s">
        <v>8379</v>
      </c>
      <c r="B243" s="432" t="s">
        <v>5399</v>
      </c>
      <c r="C243" s="451" t="s">
        <v>8708</v>
      </c>
      <c r="D243" s="432"/>
      <c r="E243" s="433" t="s">
        <v>8380</v>
      </c>
      <c r="F243" s="433" t="s">
        <v>8381</v>
      </c>
      <c r="G243" s="433" t="s">
        <v>8382</v>
      </c>
      <c r="H243" s="434">
        <v>1</v>
      </c>
      <c r="I243" s="433" t="s">
        <v>7831</v>
      </c>
      <c r="J243" s="433" t="s">
        <v>7294</v>
      </c>
      <c r="K243" s="438" t="s">
        <v>8275</v>
      </c>
      <c r="L243" s="439" t="s">
        <v>8299</v>
      </c>
      <c r="M243" s="448" t="s">
        <v>8453</v>
      </c>
      <c r="N243" s="448" t="s">
        <v>8588</v>
      </c>
      <c r="O243" s="439" t="s">
        <v>8668</v>
      </c>
      <c r="P243" s="439" t="s">
        <v>8672</v>
      </c>
      <c r="Q243" s="432" t="s">
        <v>2234</v>
      </c>
      <c r="R243" s="432" t="s">
        <v>4</v>
      </c>
      <c r="S243" s="432"/>
      <c r="T243" s="432" t="s">
        <v>2740</v>
      </c>
    </row>
    <row r="244" spans="1:20" ht="22" customHeight="1">
      <c r="A244" s="432" t="s">
        <v>8470</v>
      </c>
      <c r="B244" s="432" t="s">
        <v>5399</v>
      </c>
      <c r="C244" s="451" t="s">
        <v>8708</v>
      </c>
      <c r="D244" s="432"/>
      <c r="E244" s="433" t="s">
        <v>8471</v>
      </c>
      <c r="F244" s="433" t="s">
        <v>8472</v>
      </c>
      <c r="G244" s="433" t="s">
        <v>8473</v>
      </c>
      <c r="H244" s="434">
        <v>0.5</v>
      </c>
      <c r="I244" s="433" t="s">
        <v>7816</v>
      </c>
      <c r="J244" s="433" t="s">
        <v>7306</v>
      </c>
      <c r="K244" s="438" t="s">
        <v>8277</v>
      </c>
      <c r="L244" s="439" t="s">
        <v>8294</v>
      </c>
      <c r="M244" s="448" t="s">
        <v>8362</v>
      </c>
      <c r="N244" s="448" t="s">
        <v>8588</v>
      </c>
      <c r="O244" s="439" t="s">
        <v>8665</v>
      </c>
      <c r="P244" s="439" t="s">
        <v>8672</v>
      </c>
      <c r="Q244" s="432" t="s">
        <v>2234</v>
      </c>
      <c r="R244" s="432" t="s">
        <v>4</v>
      </c>
      <c r="S244" s="432"/>
      <c r="T244" s="432" t="s">
        <v>6274</v>
      </c>
    </row>
    <row r="245" spans="1:20" ht="22" customHeight="1">
      <c r="A245" s="432" t="s">
        <v>8474</v>
      </c>
      <c r="B245" s="432" t="s">
        <v>5399</v>
      </c>
      <c r="C245" s="451" t="s">
        <v>8708</v>
      </c>
      <c r="D245" s="432"/>
      <c r="E245" s="433" t="s">
        <v>8475</v>
      </c>
      <c r="F245" s="433" t="s">
        <v>8476</v>
      </c>
      <c r="G245" s="433" t="s">
        <v>8473</v>
      </c>
      <c r="H245" s="434">
        <v>0.5</v>
      </c>
      <c r="I245" s="433" t="s">
        <v>7815</v>
      </c>
      <c r="J245" s="433" t="s">
        <v>7305</v>
      </c>
      <c r="K245" s="438" t="s">
        <v>8277</v>
      </c>
      <c r="L245" s="439" t="s">
        <v>8294</v>
      </c>
      <c r="M245" s="448" t="s">
        <v>8362</v>
      </c>
      <c r="N245" s="448" t="s">
        <v>8588</v>
      </c>
      <c r="O245" s="439" t="s">
        <v>8668</v>
      </c>
      <c r="P245" s="439" t="s">
        <v>8671</v>
      </c>
      <c r="Q245" s="432" t="s">
        <v>2234</v>
      </c>
      <c r="R245" s="432" t="s">
        <v>4</v>
      </c>
      <c r="S245" s="432"/>
      <c r="T245" s="432" t="s">
        <v>6268</v>
      </c>
    </row>
    <row r="246" spans="1:20" ht="22" customHeight="1">
      <c r="A246" s="432" t="s">
        <v>8477</v>
      </c>
      <c r="B246" s="432" t="s">
        <v>5399</v>
      </c>
      <c r="C246" s="451" t="s">
        <v>8708</v>
      </c>
      <c r="D246" s="432"/>
      <c r="E246" s="433" t="s">
        <v>8478</v>
      </c>
      <c r="F246" s="433" t="s">
        <v>8479</v>
      </c>
      <c r="G246" s="433" t="s">
        <v>8473</v>
      </c>
      <c r="H246" s="434">
        <v>0.5</v>
      </c>
      <c r="I246" s="433" t="s">
        <v>7816</v>
      </c>
      <c r="J246" s="433" t="s">
        <v>7308</v>
      </c>
      <c r="K246" s="438" t="s">
        <v>8277</v>
      </c>
      <c r="L246" s="439" t="s">
        <v>8294</v>
      </c>
      <c r="M246" s="448" t="s">
        <v>8362</v>
      </c>
      <c r="N246" s="448" t="s">
        <v>8588</v>
      </c>
      <c r="O246" s="439" t="s">
        <v>8665</v>
      </c>
      <c r="P246" s="439" t="s">
        <v>8672</v>
      </c>
      <c r="Q246" s="432" t="s">
        <v>2234</v>
      </c>
      <c r="R246" s="432" t="s">
        <v>4</v>
      </c>
      <c r="S246" s="432"/>
      <c r="T246" s="432" t="s">
        <v>6280</v>
      </c>
    </row>
    <row r="247" spans="1:20" ht="22" customHeight="1">
      <c r="A247" s="432" t="s">
        <v>8480</v>
      </c>
      <c r="B247" s="432" t="s">
        <v>5399</v>
      </c>
      <c r="C247" s="451" t="s">
        <v>8708</v>
      </c>
      <c r="D247" s="432"/>
      <c r="E247" s="433" t="s">
        <v>8481</v>
      </c>
      <c r="F247" s="433" t="s">
        <v>8482</v>
      </c>
      <c r="G247" s="433" t="s">
        <v>8473</v>
      </c>
      <c r="H247" s="434">
        <v>0.5</v>
      </c>
      <c r="I247" s="433" t="s">
        <v>7818</v>
      </c>
      <c r="J247" s="433" t="s">
        <v>8483</v>
      </c>
      <c r="K247" s="438" t="s">
        <v>8277</v>
      </c>
      <c r="L247" s="439" t="s">
        <v>8294</v>
      </c>
      <c r="M247" s="448" t="s">
        <v>8362</v>
      </c>
      <c r="N247" s="448" t="s">
        <v>8588</v>
      </c>
      <c r="O247" s="439" t="s">
        <v>8668</v>
      </c>
      <c r="P247" s="439" t="s">
        <v>8671</v>
      </c>
      <c r="Q247" s="432" t="s">
        <v>2234</v>
      </c>
      <c r="R247" s="432" t="s">
        <v>4</v>
      </c>
      <c r="S247" s="432"/>
      <c r="T247" s="432" t="s">
        <v>8484</v>
      </c>
    </row>
    <row r="248" spans="1:20" ht="22" customHeight="1">
      <c r="A248" s="432" t="s">
        <v>8485</v>
      </c>
      <c r="B248" s="432" t="s">
        <v>5399</v>
      </c>
      <c r="C248" s="451" t="s">
        <v>8708</v>
      </c>
      <c r="D248" s="432"/>
      <c r="E248" s="433" t="s">
        <v>8486</v>
      </c>
      <c r="F248" s="433" t="s">
        <v>8487</v>
      </c>
      <c r="G248" s="433" t="s">
        <v>8473</v>
      </c>
      <c r="H248" s="434">
        <v>0.5</v>
      </c>
      <c r="I248" s="433" t="s">
        <v>7818</v>
      </c>
      <c r="J248" s="433" t="s">
        <v>8488</v>
      </c>
      <c r="K248" s="438" t="s">
        <v>8277</v>
      </c>
      <c r="L248" s="439" t="s">
        <v>8294</v>
      </c>
      <c r="M248" s="448" t="s">
        <v>8362</v>
      </c>
      <c r="N248" s="448" t="s">
        <v>8588</v>
      </c>
      <c r="O248" s="439" t="s">
        <v>8668</v>
      </c>
      <c r="P248" s="439" t="s">
        <v>8671</v>
      </c>
      <c r="Q248" s="432" t="s">
        <v>2234</v>
      </c>
      <c r="R248" s="432" t="s">
        <v>4</v>
      </c>
      <c r="S248" s="432"/>
      <c r="T248" s="432" t="s">
        <v>8489</v>
      </c>
    </row>
    <row r="249" spans="1:20" ht="22" customHeight="1">
      <c r="A249" s="432" t="s">
        <v>8490</v>
      </c>
      <c r="B249" s="432" t="s">
        <v>5399</v>
      </c>
      <c r="C249" s="451" t="s">
        <v>8708</v>
      </c>
      <c r="D249" s="432"/>
      <c r="E249" s="433" t="s">
        <v>8491</v>
      </c>
      <c r="F249" s="433" t="s">
        <v>8492</v>
      </c>
      <c r="G249" s="433" t="s">
        <v>8473</v>
      </c>
      <c r="H249" s="434">
        <v>0.5</v>
      </c>
      <c r="I249" s="433" t="s">
        <v>7819</v>
      </c>
      <c r="J249" s="433" t="s">
        <v>7318</v>
      </c>
      <c r="K249" s="438" t="s">
        <v>8277</v>
      </c>
      <c r="L249" s="439" t="s">
        <v>8294</v>
      </c>
      <c r="M249" s="448" t="s">
        <v>8362</v>
      </c>
      <c r="N249" s="448" t="s">
        <v>8588</v>
      </c>
      <c r="O249" s="439" t="s">
        <v>8668</v>
      </c>
      <c r="P249" s="439" t="s">
        <v>8671</v>
      </c>
      <c r="Q249" s="432" t="s">
        <v>2234</v>
      </c>
      <c r="R249" s="432" t="s">
        <v>4</v>
      </c>
      <c r="S249" s="432"/>
      <c r="T249" s="432" t="s">
        <v>6312</v>
      </c>
    </row>
    <row r="250" spans="1:20" ht="22" customHeight="1">
      <c r="A250" s="432" t="s">
        <v>8493</v>
      </c>
      <c r="B250" s="432" t="s">
        <v>5399</v>
      </c>
      <c r="C250" s="451" t="s">
        <v>8708</v>
      </c>
      <c r="D250" s="432"/>
      <c r="E250" s="433" t="s">
        <v>8494</v>
      </c>
      <c r="F250" s="433" t="s">
        <v>8495</v>
      </c>
      <c r="G250" s="433" t="s">
        <v>8473</v>
      </c>
      <c r="H250" s="434">
        <v>0.5</v>
      </c>
      <c r="I250" s="433" t="s">
        <v>7819</v>
      </c>
      <c r="J250" s="433" t="s">
        <v>7318</v>
      </c>
      <c r="K250" s="438" t="s">
        <v>8277</v>
      </c>
      <c r="L250" s="439" t="s">
        <v>8294</v>
      </c>
      <c r="M250" s="448" t="s">
        <v>8362</v>
      </c>
      <c r="N250" s="448" t="s">
        <v>8588</v>
      </c>
      <c r="O250" s="439" t="s">
        <v>8668</v>
      </c>
      <c r="P250" s="439" t="s">
        <v>8671</v>
      </c>
      <c r="Q250" s="432" t="s">
        <v>2234</v>
      </c>
      <c r="R250" s="432" t="s">
        <v>4</v>
      </c>
      <c r="S250" s="432"/>
      <c r="T250" s="432" t="s">
        <v>6312</v>
      </c>
    </row>
    <row r="251" spans="1:20" ht="22" customHeight="1">
      <c r="A251" s="432" t="s">
        <v>8496</v>
      </c>
      <c r="B251" s="432" t="s">
        <v>5399</v>
      </c>
      <c r="C251" s="451" t="s">
        <v>8708</v>
      </c>
      <c r="D251" s="432"/>
      <c r="E251" s="433" t="s">
        <v>8497</v>
      </c>
      <c r="F251" s="433" t="s">
        <v>8498</v>
      </c>
      <c r="G251" s="433" t="s">
        <v>8473</v>
      </c>
      <c r="H251" s="434">
        <v>0.5</v>
      </c>
      <c r="I251" s="433" t="s">
        <v>7819</v>
      </c>
      <c r="J251" s="433" t="s">
        <v>7321</v>
      </c>
      <c r="K251" s="438" t="s">
        <v>8277</v>
      </c>
      <c r="L251" s="439" t="s">
        <v>8294</v>
      </c>
      <c r="M251" s="448" t="s">
        <v>8362</v>
      </c>
      <c r="N251" s="448" t="s">
        <v>8588</v>
      </c>
      <c r="O251" s="439" t="s">
        <v>8668</v>
      </c>
      <c r="P251" s="439" t="s">
        <v>8671</v>
      </c>
      <c r="Q251" s="432" t="s">
        <v>2234</v>
      </c>
      <c r="R251" s="432" t="s">
        <v>4</v>
      </c>
      <c r="S251" s="432"/>
      <c r="T251" s="432" t="s">
        <v>6322</v>
      </c>
    </row>
    <row r="252" spans="1:20" ht="22" customHeight="1">
      <c r="A252" s="432" t="s">
        <v>8499</v>
      </c>
      <c r="B252" s="432" t="s">
        <v>5399</v>
      </c>
      <c r="C252" s="451" t="s">
        <v>8708</v>
      </c>
      <c r="D252" s="432"/>
      <c r="E252" s="433" t="s">
        <v>8500</v>
      </c>
      <c r="F252" s="433" t="s">
        <v>8501</v>
      </c>
      <c r="G252" s="433" t="s">
        <v>8473</v>
      </c>
      <c r="H252" s="434">
        <v>0.5</v>
      </c>
      <c r="I252" s="433" t="s">
        <v>7819</v>
      </c>
      <c r="J252" s="433" t="s">
        <v>7320</v>
      </c>
      <c r="K252" s="438" t="s">
        <v>8277</v>
      </c>
      <c r="L252" s="439" t="s">
        <v>8294</v>
      </c>
      <c r="M252" s="448" t="s">
        <v>8362</v>
      </c>
      <c r="N252" s="448" t="s">
        <v>8588</v>
      </c>
      <c r="O252" s="439" t="s">
        <v>8668</v>
      </c>
      <c r="P252" s="439" t="s">
        <v>8672</v>
      </c>
      <c r="Q252" s="432" t="s">
        <v>2234</v>
      </c>
      <c r="R252" s="432" t="s">
        <v>4</v>
      </c>
      <c r="S252" s="432"/>
      <c r="T252" s="432" t="s">
        <v>6320</v>
      </c>
    </row>
    <row r="253" spans="1:20" ht="22" customHeight="1">
      <c r="A253" s="432" t="s">
        <v>8502</v>
      </c>
      <c r="B253" s="432" t="s">
        <v>5399</v>
      </c>
      <c r="C253" s="451" t="s">
        <v>8708</v>
      </c>
      <c r="D253" s="432"/>
      <c r="E253" s="433" t="s">
        <v>8503</v>
      </c>
      <c r="F253" s="433" t="s">
        <v>8504</v>
      </c>
      <c r="G253" s="433" t="s">
        <v>8473</v>
      </c>
      <c r="H253" s="434">
        <v>0.5</v>
      </c>
      <c r="I253" s="433" t="s">
        <v>7816</v>
      </c>
      <c r="J253" s="433" t="s">
        <v>7307</v>
      </c>
      <c r="K253" s="438" t="s">
        <v>8277</v>
      </c>
      <c r="L253" s="439" t="s">
        <v>8294</v>
      </c>
      <c r="M253" s="448" t="s">
        <v>8362</v>
      </c>
      <c r="N253" s="448" t="s">
        <v>8588</v>
      </c>
      <c r="O253" s="439" t="s">
        <v>8668</v>
      </c>
      <c r="P253" s="439" t="s">
        <v>8672</v>
      </c>
      <c r="Q253" s="432" t="s">
        <v>2234</v>
      </c>
      <c r="R253" s="432" t="s">
        <v>4</v>
      </c>
      <c r="S253" s="432"/>
      <c r="T253" s="432" t="s">
        <v>6277</v>
      </c>
    </row>
    <row r="254" spans="1:20" ht="22" customHeight="1">
      <c r="A254" s="432" t="s">
        <v>8505</v>
      </c>
      <c r="B254" s="432" t="s">
        <v>5399</v>
      </c>
      <c r="C254" s="451" t="s">
        <v>8708</v>
      </c>
      <c r="D254" s="432"/>
      <c r="E254" s="433" t="s">
        <v>8506</v>
      </c>
      <c r="F254" s="433" t="s">
        <v>8507</v>
      </c>
      <c r="G254" s="433" t="s">
        <v>8473</v>
      </c>
      <c r="H254" s="434">
        <v>0.5</v>
      </c>
      <c r="I254" s="433" t="s">
        <v>7844</v>
      </c>
      <c r="J254" s="433" t="s">
        <v>7354</v>
      </c>
      <c r="K254" s="438" t="s">
        <v>8277</v>
      </c>
      <c r="L254" s="439" t="s">
        <v>8294</v>
      </c>
      <c r="M254" s="448" t="s">
        <v>8362</v>
      </c>
      <c r="N254" s="448" t="s">
        <v>8588</v>
      </c>
      <c r="O254" s="439" t="s">
        <v>8668</v>
      </c>
      <c r="P254" s="439" t="s">
        <v>8672</v>
      </c>
      <c r="Q254" s="432" t="s">
        <v>2234</v>
      </c>
      <c r="R254" s="432" t="s">
        <v>4</v>
      </c>
      <c r="S254" s="432"/>
      <c r="T254" s="432" t="s">
        <v>6446</v>
      </c>
    </row>
    <row r="255" spans="1:20" ht="22" customHeight="1">
      <c r="A255" s="432" t="s">
        <v>8508</v>
      </c>
      <c r="B255" s="432" t="s">
        <v>5399</v>
      </c>
      <c r="C255" s="451" t="s">
        <v>8708</v>
      </c>
      <c r="D255" s="432"/>
      <c r="E255" s="433" t="s">
        <v>8509</v>
      </c>
      <c r="F255" s="433" t="s">
        <v>8510</v>
      </c>
      <c r="G255" s="433" t="s">
        <v>8473</v>
      </c>
      <c r="H255" s="434">
        <v>0.5</v>
      </c>
      <c r="I255" s="433" t="s">
        <v>7817</v>
      </c>
      <c r="J255" s="433" t="s">
        <v>7311</v>
      </c>
      <c r="K255" s="438" t="s">
        <v>8277</v>
      </c>
      <c r="L255" s="439" t="s">
        <v>8294</v>
      </c>
      <c r="M255" s="448" t="s">
        <v>8362</v>
      </c>
      <c r="N255" s="448" t="s">
        <v>8588</v>
      </c>
      <c r="O255" s="439" t="s">
        <v>8668</v>
      </c>
      <c r="P255" s="439" t="s">
        <v>8672</v>
      </c>
      <c r="Q255" s="432" t="s">
        <v>2234</v>
      </c>
      <c r="R255" s="432" t="s">
        <v>4</v>
      </c>
      <c r="S255" s="432"/>
      <c r="T255" s="432" t="s">
        <v>6293</v>
      </c>
    </row>
    <row r="256" spans="1:20" ht="22" customHeight="1">
      <c r="A256" s="432" t="s">
        <v>8383</v>
      </c>
      <c r="B256" s="432" t="s">
        <v>5399</v>
      </c>
      <c r="C256" s="451" t="s">
        <v>8708</v>
      </c>
      <c r="D256" s="432"/>
      <c r="E256" s="433" t="s">
        <v>8384</v>
      </c>
      <c r="F256" s="433" t="s">
        <v>8385</v>
      </c>
      <c r="G256" s="433" t="s">
        <v>8386</v>
      </c>
      <c r="H256" s="434">
        <v>3</v>
      </c>
      <c r="I256" s="433" t="s">
        <v>7840</v>
      </c>
      <c r="J256" s="433" t="s">
        <v>7350</v>
      </c>
      <c r="K256" s="438" t="s">
        <v>8277</v>
      </c>
      <c r="L256" s="439" t="s">
        <v>8292</v>
      </c>
      <c r="M256" s="448" t="s">
        <v>8339</v>
      </c>
      <c r="N256" s="448" t="s">
        <v>8588</v>
      </c>
      <c r="O256" s="439" t="s">
        <v>8669</v>
      </c>
      <c r="P256" s="439" t="s">
        <v>8672</v>
      </c>
      <c r="Q256" s="432" t="s">
        <v>2234</v>
      </c>
      <c r="R256" s="432" t="s">
        <v>4</v>
      </c>
      <c r="S256" s="432"/>
      <c r="T256" s="432" t="s">
        <v>6717</v>
      </c>
    </row>
    <row r="257" spans="1:20" ht="22" customHeight="1">
      <c r="A257" s="432" t="s">
        <v>8387</v>
      </c>
      <c r="B257" s="432" t="s">
        <v>5399</v>
      </c>
      <c r="C257" s="451" t="s">
        <v>8708</v>
      </c>
      <c r="D257" s="432"/>
      <c r="E257" s="433" t="s">
        <v>8388</v>
      </c>
      <c r="F257" s="433" t="s">
        <v>8389</v>
      </c>
      <c r="G257" s="433" t="s">
        <v>8390</v>
      </c>
      <c r="H257" s="434">
        <v>4</v>
      </c>
      <c r="I257" s="433" t="s">
        <v>7831</v>
      </c>
      <c r="J257" s="433" t="s">
        <v>8391</v>
      </c>
      <c r="K257" s="438" t="s">
        <v>8275</v>
      </c>
      <c r="L257" s="439" t="s">
        <v>8300</v>
      </c>
      <c r="M257" s="448" t="s">
        <v>8453</v>
      </c>
      <c r="N257" s="448" t="s">
        <v>8588</v>
      </c>
      <c r="O257" s="439" t="s">
        <v>8668</v>
      </c>
      <c r="P257" s="439" t="s">
        <v>8672</v>
      </c>
      <c r="Q257" s="432" t="s">
        <v>2234</v>
      </c>
      <c r="R257" s="432" t="s">
        <v>4</v>
      </c>
      <c r="S257" s="432"/>
      <c r="T257" s="432" t="s">
        <v>6717</v>
      </c>
    </row>
    <row r="258" spans="1:20" ht="22" customHeight="1">
      <c r="A258" s="432" t="s">
        <v>8392</v>
      </c>
      <c r="B258" s="432" t="s">
        <v>5399</v>
      </c>
      <c r="C258" s="451" t="s">
        <v>8708</v>
      </c>
      <c r="D258" s="432"/>
      <c r="E258" s="433" t="s">
        <v>8393</v>
      </c>
      <c r="F258" s="433" t="s">
        <v>8394</v>
      </c>
      <c r="G258" s="433" t="s">
        <v>8395</v>
      </c>
      <c r="H258" s="434">
        <v>2</v>
      </c>
      <c r="I258" s="433" t="s">
        <v>7834</v>
      </c>
      <c r="J258" s="433" t="s">
        <v>8396</v>
      </c>
      <c r="K258" s="438" t="s">
        <v>8275</v>
      </c>
      <c r="L258" s="439" t="s">
        <v>8300</v>
      </c>
      <c r="M258" s="448" t="s">
        <v>8337</v>
      </c>
      <c r="N258" s="448" t="s">
        <v>8588</v>
      </c>
      <c r="O258" s="439" t="s">
        <v>8669</v>
      </c>
      <c r="P258" s="439" t="s">
        <v>8672</v>
      </c>
      <c r="Q258" s="432" t="s">
        <v>2234</v>
      </c>
      <c r="R258" s="432" t="s">
        <v>4</v>
      </c>
      <c r="S258" s="432"/>
      <c r="T258" s="432" t="s">
        <v>6717</v>
      </c>
    </row>
    <row r="259" spans="1:20" ht="22" customHeight="1">
      <c r="A259" s="432" t="s">
        <v>8397</v>
      </c>
      <c r="B259" s="432" t="s">
        <v>5399</v>
      </c>
      <c r="C259" s="451" t="s">
        <v>8708</v>
      </c>
      <c r="D259" s="432"/>
      <c r="E259" s="433" t="s">
        <v>8398</v>
      </c>
      <c r="F259" s="433" t="s">
        <v>8399</v>
      </c>
      <c r="G259" s="433" t="s">
        <v>8400</v>
      </c>
      <c r="H259" s="434">
        <v>1</v>
      </c>
      <c r="I259" s="433" t="s">
        <v>7841</v>
      </c>
      <c r="J259" s="433" t="s">
        <v>7352</v>
      </c>
      <c r="K259" s="438" t="s">
        <v>8275</v>
      </c>
      <c r="L259" s="439" t="s">
        <v>8299</v>
      </c>
      <c r="M259" s="448" t="s">
        <v>8453</v>
      </c>
      <c r="N259" s="448" t="s">
        <v>8588</v>
      </c>
      <c r="O259" s="439" t="s">
        <v>8667</v>
      </c>
      <c r="P259" s="439" t="s">
        <v>8671</v>
      </c>
      <c r="Q259" s="432" t="s">
        <v>2234</v>
      </c>
      <c r="R259" s="432" t="s">
        <v>4</v>
      </c>
      <c r="S259" s="432"/>
      <c r="T259" s="432" t="s">
        <v>6717</v>
      </c>
    </row>
    <row r="260" spans="1:20" ht="22" customHeight="1">
      <c r="A260" s="432" t="s">
        <v>5694</v>
      </c>
      <c r="B260" s="432" t="s">
        <v>5399</v>
      </c>
      <c r="C260" s="451" t="s">
        <v>8708</v>
      </c>
      <c r="D260" s="432"/>
      <c r="E260" s="433" t="s">
        <v>6149</v>
      </c>
      <c r="F260" s="433" t="s">
        <v>7097</v>
      </c>
      <c r="G260" s="433" t="s">
        <v>7098</v>
      </c>
      <c r="H260" s="434">
        <v>3</v>
      </c>
      <c r="I260" s="433" t="s">
        <v>2740</v>
      </c>
      <c r="J260" s="433" t="s">
        <v>7290</v>
      </c>
      <c r="K260" s="438" t="s">
        <v>8277</v>
      </c>
      <c r="L260" s="439" t="s">
        <v>8299</v>
      </c>
      <c r="M260" s="448" t="s">
        <v>8361</v>
      </c>
      <c r="N260" s="448" t="s">
        <v>8588</v>
      </c>
      <c r="O260" s="439" t="s">
        <v>8668</v>
      </c>
      <c r="P260" s="439" t="s">
        <v>8672</v>
      </c>
      <c r="Q260" s="432" t="s">
        <v>2234</v>
      </c>
      <c r="R260" s="432" t="s">
        <v>4</v>
      </c>
      <c r="S260" s="432"/>
      <c r="T260" s="432" t="s">
        <v>2740</v>
      </c>
    </row>
    <row r="261" spans="1:20" ht="22" customHeight="1">
      <c r="A261" s="432" t="s">
        <v>5695</v>
      </c>
      <c r="B261" s="432" t="s">
        <v>5399</v>
      </c>
      <c r="C261" s="451" t="s">
        <v>8708</v>
      </c>
      <c r="D261" s="432"/>
      <c r="E261" s="433" t="s">
        <v>6150</v>
      </c>
      <c r="F261" s="433" t="s">
        <v>7099</v>
      </c>
      <c r="G261" s="433" t="s">
        <v>7100</v>
      </c>
      <c r="H261" s="434">
        <v>3</v>
      </c>
      <c r="I261" s="433" t="s">
        <v>2740</v>
      </c>
      <c r="J261" s="433" t="s">
        <v>7290</v>
      </c>
      <c r="K261" s="438" t="s">
        <v>8277</v>
      </c>
      <c r="L261" s="439" t="s">
        <v>8299</v>
      </c>
      <c r="M261" s="448" t="s">
        <v>8361</v>
      </c>
      <c r="N261" s="448" t="s">
        <v>8588</v>
      </c>
      <c r="O261" s="439" t="s">
        <v>8668</v>
      </c>
      <c r="P261" s="439" t="s">
        <v>8672</v>
      </c>
      <c r="Q261" s="432" t="s">
        <v>2234</v>
      </c>
      <c r="R261" s="432" t="s">
        <v>4</v>
      </c>
      <c r="S261" s="432"/>
      <c r="T261" s="432" t="s">
        <v>2740</v>
      </c>
    </row>
    <row r="262" spans="1:20" ht="22" customHeight="1">
      <c r="A262" s="432" t="s">
        <v>5696</v>
      </c>
      <c r="B262" s="432" t="s">
        <v>5399</v>
      </c>
      <c r="C262" s="451" t="s">
        <v>8708</v>
      </c>
      <c r="D262" s="432"/>
      <c r="E262" s="433" t="s">
        <v>6151</v>
      </c>
      <c r="F262" s="433" t="s">
        <v>7101</v>
      </c>
      <c r="G262" s="433" t="s">
        <v>7102</v>
      </c>
      <c r="H262" s="434">
        <v>3</v>
      </c>
      <c r="I262" s="433" t="s">
        <v>2740</v>
      </c>
      <c r="J262" s="433" t="s">
        <v>7290</v>
      </c>
      <c r="K262" s="438" t="s">
        <v>8277</v>
      </c>
      <c r="L262" s="439" t="s">
        <v>8299</v>
      </c>
      <c r="M262" s="448" t="s">
        <v>8361</v>
      </c>
      <c r="N262" s="448" t="s">
        <v>8588</v>
      </c>
      <c r="O262" s="439" t="s">
        <v>8668</v>
      </c>
      <c r="P262" s="439" t="s">
        <v>8672</v>
      </c>
      <c r="Q262" s="432" t="s">
        <v>2234</v>
      </c>
      <c r="R262" s="432" t="s">
        <v>4</v>
      </c>
      <c r="S262" s="432"/>
      <c r="T262" s="432" t="s">
        <v>2740</v>
      </c>
    </row>
    <row r="263" spans="1:20" ht="22" customHeight="1">
      <c r="A263" s="432" t="s">
        <v>8511</v>
      </c>
      <c r="B263" s="432" t="s">
        <v>8512</v>
      </c>
      <c r="C263" s="451" t="s">
        <v>8708</v>
      </c>
      <c r="D263" s="432"/>
      <c r="E263" s="433" t="s">
        <v>6152</v>
      </c>
      <c r="F263" s="433" t="s">
        <v>8513</v>
      </c>
      <c r="G263" s="433" t="s">
        <v>7103</v>
      </c>
      <c r="H263" s="434">
        <v>3</v>
      </c>
      <c r="I263" s="433" t="s">
        <v>2740</v>
      </c>
      <c r="J263" s="433" t="s">
        <v>7290</v>
      </c>
      <c r="K263" s="438" t="s">
        <v>8277</v>
      </c>
      <c r="L263" s="439" t="s">
        <v>8299</v>
      </c>
      <c r="M263" s="448" t="s">
        <v>8361</v>
      </c>
      <c r="N263" s="448" t="s">
        <v>8588</v>
      </c>
      <c r="O263" s="439" t="s">
        <v>8669</v>
      </c>
      <c r="P263" s="439" t="s">
        <v>8672</v>
      </c>
      <c r="Q263" s="432" t="s">
        <v>2234</v>
      </c>
      <c r="R263" s="432" t="s">
        <v>4</v>
      </c>
      <c r="S263" s="432"/>
      <c r="T263" s="432" t="s">
        <v>2740</v>
      </c>
    </row>
    <row r="264" spans="1:20" ht="22" customHeight="1">
      <c r="A264" s="432" t="s">
        <v>5697</v>
      </c>
      <c r="B264" s="432" t="s">
        <v>5399</v>
      </c>
      <c r="C264" s="451" t="s">
        <v>8708</v>
      </c>
      <c r="D264" s="432"/>
      <c r="E264" s="433" t="s">
        <v>6153</v>
      </c>
      <c r="F264" s="433" t="s">
        <v>7104</v>
      </c>
      <c r="G264" s="433" t="s">
        <v>7105</v>
      </c>
      <c r="H264" s="434">
        <v>2</v>
      </c>
      <c r="I264" s="433" t="s">
        <v>2740</v>
      </c>
      <c r="J264" s="433" t="s">
        <v>7290</v>
      </c>
      <c r="K264" s="438" t="s">
        <v>8277</v>
      </c>
      <c r="L264" s="439" t="s">
        <v>8299</v>
      </c>
      <c r="M264" s="448" t="s">
        <v>8361</v>
      </c>
      <c r="N264" s="448" t="s">
        <v>8588</v>
      </c>
      <c r="O264" s="439" t="s">
        <v>8668</v>
      </c>
      <c r="P264" s="439" t="s">
        <v>8672</v>
      </c>
      <c r="Q264" s="432" t="s">
        <v>2234</v>
      </c>
      <c r="R264" s="432" t="s">
        <v>4</v>
      </c>
      <c r="S264" s="432"/>
      <c r="T264" s="432" t="s">
        <v>2740</v>
      </c>
    </row>
    <row r="265" spans="1:20" ht="22" customHeight="1">
      <c r="A265" s="432" t="s">
        <v>5698</v>
      </c>
      <c r="B265" s="432" t="s">
        <v>5399</v>
      </c>
      <c r="C265" s="451" t="s">
        <v>8708</v>
      </c>
      <c r="D265" s="432"/>
      <c r="E265" s="433" t="s">
        <v>6154</v>
      </c>
      <c r="F265" s="433" t="s">
        <v>7106</v>
      </c>
      <c r="G265" s="433" t="s">
        <v>7107</v>
      </c>
      <c r="H265" s="434">
        <v>3</v>
      </c>
      <c r="I265" s="433" t="s">
        <v>7960</v>
      </c>
      <c r="J265" s="433" t="s">
        <v>7376</v>
      </c>
      <c r="K265" s="438" t="s">
        <v>8277</v>
      </c>
      <c r="L265" s="439" t="s">
        <v>8299</v>
      </c>
      <c r="M265" s="448" t="s">
        <v>8313</v>
      </c>
      <c r="N265" s="448" t="s">
        <v>8588</v>
      </c>
      <c r="O265" s="439" t="s">
        <v>8668</v>
      </c>
      <c r="P265" s="439" t="s">
        <v>8671</v>
      </c>
      <c r="Q265" s="432" t="s">
        <v>2234</v>
      </c>
      <c r="R265" s="432" t="s">
        <v>4</v>
      </c>
      <c r="S265" s="432"/>
      <c r="T265" s="432" t="s">
        <v>6719</v>
      </c>
    </row>
    <row r="266" spans="1:20" ht="22" customHeight="1">
      <c r="A266" s="432" t="s">
        <v>5699</v>
      </c>
      <c r="B266" s="432" t="s">
        <v>5400</v>
      </c>
      <c r="C266" s="451" t="s">
        <v>8708</v>
      </c>
      <c r="D266" s="432"/>
      <c r="E266" s="433" t="s">
        <v>7392</v>
      </c>
      <c r="F266" s="433" t="s">
        <v>8451</v>
      </c>
      <c r="G266" s="433" t="s">
        <v>8452</v>
      </c>
      <c r="H266" s="434">
        <v>0.5</v>
      </c>
      <c r="I266" s="433" t="s">
        <v>2740</v>
      </c>
      <c r="J266" s="433" t="s">
        <v>7290</v>
      </c>
      <c r="K266" s="438" t="s">
        <v>8279</v>
      </c>
      <c r="L266" s="439" t="s">
        <v>8292</v>
      </c>
      <c r="M266" s="448" t="s">
        <v>8348</v>
      </c>
      <c r="N266" s="448" t="s">
        <v>8588</v>
      </c>
      <c r="O266" s="439" t="s">
        <v>8669</v>
      </c>
      <c r="P266" s="439" t="s">
        <v>8672</v>
      </c>
      <c r="Q266" s="432"/>
      <c r="R266" s="432" t="s">
        <v>4</v>
      </c>
      <c r="S266" s="432"/>
      <c r="T266" s="432" t="s">
        <v>2740</v>
      </c>
    </row>
    <row r="267" spans="1:20" ht="22" customHeight="1">
      <c r="A267" s="432" t="s">
        <v>5700</v>
      </c>
      <c r="B267" s="432" t="s">
        <v>5400</v>
      </c>
      <c r="C267" s="451" t="s">
        <v>8708</v>
      </c>
      <c r="D267" s="432"/>
      <c r="E267" s="433" t="s">
        <v>7393</v>
      </c>
      <c r="F267" s="433" t="s">
        <v>7444</v>
      </c>
      <c r="G267" s="433" t="s">
        <v>7445</v>
      </c>
      <c r="H267" s="434">
        <v>2</v>
      </c>
      <c r="I267" s="433" t="s">
        <v>2740</v>
      </c>
      <c r="J267" s="433" t="s">
        <v>7290</v>
      </c>
      <c r="K267" s="438" t="s">
        <v>8279</v>
      </c>
      <c r="L267" s="439" t="s">
        <v>8292</v>
      </c>
      <c r="M267" s="448" t="s">
        <v>8348</v>
      </c>
      <c r="N267" s="448" t="s">
        <v>8588</v>
      </c>
      <c r="O267" s="439" t="s">
        <v>8669</v>
      </c>
      <c r="P267" s="439" t="s">
        <v>8672</v>
      </c>
      <c r="Q267" s="432"/>
      <c r="R267" s="432" t="s">
        <v>4</v>
      </c>
      <c r="S267" s="432"/>
      <c r="T267" s="432" t="s">
        <v>2740</v>
      </c>
    </row>
    <row r="268" spans="1:20" ht="22" customHeight="1">
      <c r="A268" s="432" t="s">
        <v>5701</v>
      </c>
      <c r="B268" s="432" t="s">
        <v>5400</v>
      </c>
      <c r="C268" s="451" t="s">
        <v>8708</v>
      </c>
      <c r="D268" s="432"/>
      <c r="E268" s="433" t="s">
        <v>7394</v>
      </c>
      <c r="F268" s="433" t="s">
        <v>7446</v>
      </c>
      <c r="G268" s="433" t="s">
        <v>7447</v>
      </c>
      <c r="H268" s="434">
        <v>2</v>
      </c>
      <c r="I268" s="433" t="s">
        <v>2740</v>
      </c>
      <c r="J268" s="433" t="s">
        <v>7395</v>
      </c>
      <c r="K268" s="438" t="s">
        <v>8277</v>
      </c>
      <c r="L268" s="439" t="s">
        <v>8294</v>
      </c>
      <c r="M268" s="448" t="s">
        <v>8349</v>
      </c>
      <c r="N268" s="448" t="s">
        <v>8588</v>
      </c>
      <c r="O268" s="439" t="s">
        <v>8666</v>
      </c>
      <c r="P268" s="439" t="s">
        <v>8672</v>
      </c>
      <c r="Q268" s="432"/>
      <c r="R268" s="432" t="s">
        <v>4</v>
      </c>
      <c r="S268" s="432"/>
      <c r="T268" s="432" t="s">
        <v>2740</v>
      </c>
    </row>
    <row r="269" spans="1:20" ht="22" customHeight="1">
      <c r="A269" s="432" t="s">
        <v>5702</v>
      </c>
      <c r="B269" s="432" t="s">
        <v>5400</v>
      </c>
      <c r="C269" s="451" t="s">
        <v>8708</v>
      </c>
      <c r="D269" s="432"/>
      <c r="E269" s="433" t="s">
        <v>7396</v>
      </c>
      <c r="F269" s="433" t="s">
        <v>7448</v>
      </c>
      <c r="G269" s="433" t="s">
        <v>7449</v>
      </c>
      <c r="H269" s="434">
        <v>2</v>
      </c>
      <c r="I269" s="433" t="s">
        <v>7815</v>
      </c>
      <c r="J269" s="433" t="s">
        <v>7305</v>
      </c>
      <c r="K269" s="438" t="s">
        <v>8277</v>
      </c>
      <c r="L269" s="439" t="s">
        <v>8612</v>
      </c>
      <c r="M269" s="448" t="s">
        <v>8681</v>
      </c>
      <c r="N269" s="448" t="s">
        <v>8712</v>
      </c>
      <c r="O269" s="439" t="s">
        <v>8668</v>
      </c>
      <c r="P269" s="439" t="s">
        <v>8671</v>
      </c>
      <c r="Q269" s="432"/>
      <c r="R269" s="432" t="s">
        <v>4</v>
      </c>
      <c r="S269" s="432"/>
      <c r="T269" s="432" t="s">
        <v>6268</v>
      </c>
    </row>
    <row r="270" spans="1:20" ht="22" customHeight="1">
      <c r="A270" s="432" t="s">
        <v>5703</v>
      </c>
      <c r="B270" s="432" t="s">
        <v>5400</v>
      </c>
      <c r="C270" s="451" t="s">
        <v>8708</v>
      </c>
      <c r="D270" s="432"/>
      <c r="E270" s="433" t="s">
        <v>7397</v>
      </c>
      <c r="F270" s="433" t="s">
        <v>7450</v>
      </c>
      <c r="G270" s="433" t="s">
        <v>7451</v>
      </c>
      <c r="H270" s="434">
        <v>3</v>
      </c>
      <c r="I270" s="433" t="s">
        <v>7827</v>
      </c>
      <c r="J270" s="433" t="s">
        <v>7399</v>
      </c>
      <c r="K270" s="438" t="s">
        <v>8277</v>
      </c>
      <c r="L270" s="439" t="s">
        <v>8292</v>
      </c>
      <c r="M270" s="448" t="s">
        <v>8333</v>
      </c>
      <c r="N270" s="448" t="s">
        <v>8588</v>
      </c>
      <c r="O270" s="439" t="s">
        <v>8669</v>
      </c>
      <c r="P270" s="439" t="s">
        <v>8672</v>
      </c>
      <c r="Q270" s="432"/>
      <c r="R270" s="432" t="s">
        <v>4</v>
      </c>
      <c r="S270" s="432"/>
      <c r="T270" s="432" t="s">
        <v>7398</v>
      </c>
    </row>
    <row r="271" spans="1:20" ht="22" customHeight="1">
      <c r="A271" s="432" t="s">
        <v>5704</v>
      </c>
      <c r="B271" s="432" t="s">
        <v>5400</v>
      </c>
      <c r="C271" s="451" t="s">
        <v>8708</v>
      </c>
      <c r="D271" s="432"/>
      <c r="E271" s="433" t="s">
        <v>7400</v>
      </c>
      <c r="F271" s="433" t="s">
        <v>7452</v>
      </c>
      <c r="G271" s="433" t="s">
        <v>7453</v>
      </c>
      <c r="H271" s="434">
        <v>3</v>
      </c>
      <c r="I271" s="433" t="s">
        <v>7845</v>
      </c>
      <c r="J271" s="433" t="s">
        <v>7355</v>
      </c>
      <c r="K271" s="438" t="s">
        <v>8275</v>
      </c>
      <c r="L271" s="439" t="s">
        <v>8300</v>
      </c>
      <c r="M271" s="448" t="s">
        <v>8350</v>
      </c>
      <c r="N271" s="448" t="s">
        <v>8588</v>
      </c>
      <c r="O271" s="439" t="s">
        <v>8669</v>
      </c>
      <c r="P271" s="439" t="s">
        <v>8672</v>
      </c>
      <c r="Q271" s="432"/>
      <c r="R271" s="432" t="s">
        <v>4</v>
      </c>
      <c r="S271" s="432"/>
      <c r="T271" s="432" t="s">
        <v>6448</v>
      </c>
    </row>
    <row r="272" spans="1:20" ht="22" customHeight="1">
      <c r="A272" s="432" t="s">
        <v>5705</v>
      </c>
      <c r="B272" s="432" t="s">
        <v>5400</v>
      </c>
      <c r="C272" s="451" t="s">
        <v>8708</v>
      </c>
      <c r="D272" s="432"/>
      <c r="E272" s="433" t="s">
        <v>7401</v>
      </c>
      <c r="F272" s="433" t="s">
        <v>7454</v>
      </c>
      <c r="G272" s="433" t="s">
        <v>7455</v>
      </c>
      <c r="H272" s="434">
        <v>2</v>
      </c>
      <c r="I272" s="433" t="s">
        <v>7845</v>
      </c>
      <c r="J272" s="433" t="s">
        <v>7355</v>
      </c>
      <c r="K272" s="438" t="s">
        <v>8275</v>
      </c>
      <c r="L272" s="439" t="s">
        <v>8300</v>
      </c>
      <c r="M272" s="448" t="s">
        <v>8351</v>
      </c>
      <c r="N272" s="448" t="s">
        <v>8588</v>
      </c>
      <c r="O272" s="439" t="s">
        <v>8669</v>
      </c>
      <c r="P272" s="439" t="s">
        <v>8672</v>
      </c>
      <c r="Q272" s="432"/>
      <c r="R272" s="432" t="s">
        <v>4</v>
      </c>
      <c r="S272" s="432"/>
      <c r="T272" s="432" t="s">
        <v>6448</v>
      </c>
    </row>
    <row r="273" spans="1:20" ht="22" customHeight="1">
      <c r="A273" s="432" t="s">
        <v>5706</v>
      </c>
      <c r="B273" s="432" t="s">
        <v>5400</v>
      </c>
      <c r="C273" s="451" t="s">
        <v>8708</v>
      </c>
      <c r="D273" s="432"/>
      <c r="E273" s="433" t="s">
        <v>7402</v>
      </c>
      <c r="F273" s="433" t="s">
        <v>7456</v>
      </c>
      <c r="G273" s="433" t="s">
        <v>7457</v>
      </c>
      <c r="H273" s="434">
        <v>3</v>
      </c>
      <c r="I273" s="433" t="s">
        <v>7958</v>
      </c>
      <c r="J273" s="433" t="s">
        <v>7377</v>
      </c>
      <c r="K273" s="438" t="s">
        <v>8275</v>
      </c>
      <c r="L273" s="439" t="s">
        <v>8300</v>
      </c>
      <c r="M273" s="448" t="s">
        <v>8352</v>
      </c>
      <c r="N273" s="448" t="s">
        <v>8588</v>
      </c>
      <c r="O273" s="439" t="s">
        <v>8669</v>
      </c>
      <c r="P273" s="439" t="s">
        <v>8672</v>
      </c>
      <c r="Q273" s="432"/>
      <c r="R273" s="432" t="s">
        <v>4</v>
      </c>
      <c r="S273" s="432"/>
      <c r="T273" s="432" t="s">
        <v>6720</v>
      </c>
    </row>
    <row r="274" spans="1:20" ht="22" customHeight="1">
      <c r="A274" s="432" t="s">
        <v>5707</v>
      </c>
      <c r="B274" s="432" t="s">
        <v>5400</v>
      </c>
      <c r="C274" s="451" t="s">
        <v>8708</v>
      </c>
      <c r="D274" s="432"/>
      <c r="E274" s="433" t="s">
        <v>7403</v>
      </c>
      <c r="F274" s="433" t="s">
        <v>7458</v>
      </c>
      <c r="G274" s="433" t="s">
        <v>7459</v>
      </c>
      <c r="H274" s="434">
        <v>2</v>
      </c>
      <c r="I274" s="433" t="s">
        <v>7830</v>
      </c>
      <c r="J274" s="433" t="s">
        <v>7337</v>
      </c>
      <c r="K274" s="438" t="s">
        <v>8275</v>
      </c>
      <c r="L274" s="439" t="s">
        <v>8298</v>
      </c>
      <c r="M274" s="448" t="s">
        <v>8336</v>
      </c>
      <c r="N274" s="448" t="s">
        <v>8588</v>
      </c>
      <c r="O274" s="439" t="s">
        <v>8669</v>
      </c>
      <c r="P274" s="439" t="s">
        <v>8672</v>
      </c>
      <c r="Q274" s="432"/>
      <c r="R274" s="432" t="s">
        <v>4</v>
      </c>
      <c r="S274" s="432"/>
      <c r="T274" s="432" t="s">
        <v>6376</v>
      </c>
    </row>
    <row r="275" spans="1:20" ht="22" customHeight="1">
      <c r="A275" s="432" t="s">
        <v>5708</v>
      </c>
      <c r="B275" s="432" t="s">
        <v>5400</v>
      </c>
      <c r="C275" s="451" t="s">
        <v>8708</v>
      </c>
      <c r="D275" s="432"/>
      <c r="E275" s="433" t="s">
        <v>7404</v>
      </c>
      <c r="F275" s="433" t="s">
        <v>7460</v>
      </c>
      <c r="G275" s="433" t="s">
        <v>7461</v>
      </c>
      <c r="H275" s="434">
        <v>3</v>
      </c>
      <c r="I275" s="433" t="s">
        <v>7959</v>
      </c>
      <c r="J275" s="433" t="s">
        <v>7406</v>
      </c>
      <c r="K275" s="438" t="s">
        <v>8275</v>
      </c>
      <c r="L275" s="439" t="s">
        <v>8300</v>
      </c>
      <c r="M275" s="448" t="s">
        <v>8353</v>
      </c>
      <c r="N275" s="448" t="s">
        <v>8588</v>
      </c>
      <c r="O275" s="439" t="s">
        <v>8669</v>
      </c>
      <c r="P275" s="439" t="s">
        <v>8672</v>
      </c>
      <c r="Q275" s="432"/>
      <c r="R275" s="432" t="s">
        <v>4</v>
      </c>
      <c r="S275" s="432"/>
      <c r="T275" s="432" t="s">
        <v>7405</v>
      </c>
    </row>
    <row r="276" spans="1:20" ht="22" customHeight="1">
      <c r="A276" s="432" t="s">
        <v>5709</v>
      </c>
      <c r="B276" s="432" t="s">
        <v>5400</v>
      </c>
      <c r="C276" s="451" t="s">
        <v>8708</v>
      </c>
      <c r="D276" s="432"/>
      <c r="E276" s="433" t="s">
        <v>7407</v>
      </c>
      <c r="F276" s="433" t="s">
        <v>7462</v>
      </c>
      <c r="G276" s="433" t="s">
        <v>7463</v>
      </c>
      <c r="H276" s="434">
        <v>2</v>
      </c>
      <c r="I276" s="433" t="s">
        <v>7828</v>
      </c>
      <c r="J276" s="433" t="s">
        <v>7333</v>
      </c>
      <c r="K276" s="438" t="s">
        <v>8277</v>
      </c>
      <c r="L276" s="439" t="s">
        <v>8612</v>
      </c>
      <c r="M276" s="448" t="s">
        <v>8682</v>
      </c>
      <c r="N276" s="448" t="s">
        <v>8712</v>
      </c>
      <c r="O276" s="439" t="s">
        <v>8669</v>
      </c>
      <c r="P276" s="439" t="s">
        <v>8672</v>
      </c>
      <c r="Q276" s="432"/>
      <c r="R276" s="432" t="s">
        <v>4</v>
      </c>
      <c r="S276" s="432"/>
      <c r="T276" s="432" t="s">
        <v>6367</v>
      </c>
    </row>
    <row r="277" spans="1:20" ht="22" customHeight="1">
      <c r="A277" s="432" t="s">
        <v>5710</v>
      </c>
      <c r="B277" s="432" t="s">
        <v>5400</v>
      </c>
      <c r="C277" s="451" t="s">
        <v>8708</v>
      </c>
      <c r="D277" s="432"/>
      <c r="E277" s="433" t="s">
        <v>7408</v>
      </c>
      <c r="F277" s="433" t="s">
        <v>7464</v>
      </c>
      <c r="G277" s="433" t="s">
        <v>7465</v>
      </c>
      <c r="H277" s="434">
        <v>2</v>
      </c>
      <c r="I277" s="433" t="s">
        <v>7841</v>
      </c>
      <c r="J277" s="433" t="s">
        <v>7353</v>
      </c>
      <c r="K277" s="438" t="s">
        <v>8277</v>
      </c>
      <c r="L277" s="439" t="s">
        <v>8302</v>
      </c>
      <c r="M277" s="448" t="s">
        <v>8354</v>
      </c>
      <c r="N277" s="448" t="s">
        <v>8588</v>
      </c>
      <c r="O277" s="439" t="s">
        <v>8669</v>
      </c>
      <c r="P277" s="439" t="s">
        <v>8672</v>
      </c>
      <c r="Q277" s="432"/>
      <c r="R277" s="432" t="s">
        <v>4</v>
      </c>
      <c r="S277" s="432"/>
      <c r="T277" s="432" t="s">
        <v>6439</v>
      </c>
    </row>
    <row r="278" spans="1:20" ht="22" customHeight="1">
      <c r="A278" s="432" t="s">
        <v>5711</v>
      </c>
      <c r="B278" s="432" t="s">
        <v>5400</v>
      </c>
      <c r="C278" s="451" t="s">
        <v>8708</v>
      </c>
      <c r="D278" s="432"/>
      <c r="E278" s="433" t="s">
        <v>7409</v>
      </c>
      <c r="F278" s="433" t="s">
        <v>7466</v>
      </c>
      <c r="G278" s="433" t="s">
        <v>7467</v>
      </c>
      <c r="H278" s="434">
        <v>2</v>
      </c>
      <c r="I278" s="433" t="s">
        <v>2740</v>
      </c>
      <c r="J278" s="433" t="s">
        <v>7410</v>
      </c>
      <c r="K278" s="438" t="s">
        <v>8278</v>
      </c>
      <c r="L278" s="439" t="s">
        <v>8298</v>
      </c>
      <c r="M278" s="448" t="s">
        <v>8355</v>
      </c>
      <c r="N278" s="448" t="s">
        <v>8588</v>
      </c>
      <c r="O278" s="439" t="s">
        <v>8669</v>
      </c>
      <c r="P278" s="439" t="s">
        <v>8672</v>
      </c>
      <c r="Q278" s="432"/>
      <c r="R278" s="432" t="s">
        <v>4</v>
      </c>
      <c r="S278" s="432"/>
      <c r="T278" s="432" t="s">
        <v>2740</v>
      </c>
    </row>
    <row r="279" spans="1:20" ht="22" customHeight="1">
      <c r="A279" s="432" t="s">
        <v>5712</v>
      </c>
      <c r="B279" s="432" t="s">
        <v>5400</v>
      </c>
      <c r="C279" s="451" t="s">
        <v>8708</v>
      </c>
      <c r="D279" s="432"/>
      <c r="E279" s="433" t="s">
        <v>7411</v>
      </c>
      <c r="F279" s="433" t="s">
        <v>7468</v>
      </c>
      <c r="G279" s="433" t="s">
        <v>7469</v>
      </c>
      <c r="H279" s="434">
        <v>2</v>
      </c>
      <c r="I279" s="433" t="s">
        <v>7841</v>
      </c>
      <c r="J279" s="433" t="s">
        <v>7352</v>
      </c>
      <c r="K279" s="438" t="s">
        <v>8277</v>
      </c>
      <c r="L279" s="439" t="s">
        <v>8303</v>
      </c>
      <c r="M279" s="448" t="s">
        <v>8356</v>
      </c>
      <c r="N279" s="448" t="s">
        <v>8588</v>
      </c>
      <c r="O279" s="439" t="s">
        <v>8667</v>
      </c>
      <c r="P279" s="439" t="s">
        <v>8671</v>
      </c>
      <c r="Q279" s="432"/>
      <c r="R279" s="432" t="s">
        <v>4</v>
      </c>
      <c r="S279" s="432"/>
      <c r="T279" s="432" t="s">
        <v>6427</v>
      </c>
    </row>
    <row r="280" spans="1:20" ht="22" customHeight="1">
      <c r="A280" s="432" t="s">
        <v>7412</v>
      </c>
      <c r="B280" s="432" t="s">
        <v>5400</v>
      </c>
      <c r="C280" s="451" t="s">
        <v>8708</v>
      </c>
      <c r="D280" s="432"/>
      <c r="E280" s="433" t="s">
        <v>7413</v>
      </c>
      <c r="F280" s="433" t="s">
        <v>7470</v>
      </c>
      <c r="G280" s="433" t="s">
        <v>7471</v>
      </c>
      <c r="H280" s="434">
        <v>2</v>
      </c>
      <c r="I280" s="433" t="s">
        <v>7841</v>
      </c>
      <c r="J280" s="433" t="s">
        <v>7352</v>
      </c>
      <c r="K280" s="438" t="s">
        <v>8277</v>
      </c>
      <c r="L280" s="439" t="s">
        <v>8303</v>
      </c>
      <c r="M280" s="448" t="s">
        <v>8357</v>
      </c>
      <c r="N280" s="448" t="s">
        <v>8588</v>
      </c>
      <c r="O280" s="439" t="s">
        <v>8667</v>
      </c>
      <c r="P280" s="439" t="s">
        <v>8671</v>
      </c>
      <c r="Q280" s="432"/>
      <c r="R280" s="432" t="s">
        <v>4</v>
      </c>
      <c r="S280" s="432"/>
      <c r="T280" s="432" t="s">
        <v>6427</v>
      </c>
    </row>
    <row r="281" spans="1:20" ht="22" customHeight="1">
      <c r="A281" s="432" t="s">
        <v>7414</v>
      </c>
      <c r="B281" s="432" t="s">
        <v>5400</v>
      </c>
      <c r="C281" s="451" t="s">
        <v>8708</v>
      </c>
      <c r="D281" s="432"/>
      <c r="E281" s="433" t="s">
        <v>7415</v>
      </c>
      <c r="F281" s="433" t="s">
        <v>7472</v>
      </c>
      <c r="G281" s="433" t="s">
        <v>7473</v>
      </c>
      <c r="H281" s="434">
        <v>2</v>
      </c>
      <c r="I281" s="433" t="s">
        <v>7844</v>
      </c>
      <c r="J281" s="433" t="s">
        <v>7301</v>
      </c>
      <c r="K281" s="438" t="s">
        <v>8275</v>
      </c>
      <c r="L281" s="439" t="s">
        <v>8300</v>
      </c>
      <c r="M281" s="448" t="s">
        <v>8358</v>
      </c>
      <c r="N281" s="448" t="s">
        <v>8588</v>
      </c>
      <c r="O281" s="439" t="s">
        <v>8669</v>
      </c>
      <c r="P281" s="439" t="s">
        <v>8672</v>
      </c>
      <c r="Q281" s="432"/>
      <c r="R281" s="432" t="s">
        <v>4</v>
      </c>
      <c r="S281" s="432"/>
      <c r="T281" s="432" t="s">
        <v>6441</v>
      </c>
    </row>
    <row r="282" spans="1:20" ht="22" customHeight="1">
      <c r="A282" s="432" t="s">
        <v>7416</v>
      </c>
      <c r="B282" s="432" t="s">
        <v>5400</v>
      </c>
      <c r="C282" s="451" t="s">
        <v>8708</v>
      </c>
      <c r="D282" s="432"/>
      <c r="E282" s="433" t="s">
        <v>7417</v>
      </c>
      <c r="F282" s="433" t="s">
        <v>7474</v>
      </c>
      <c r="G282" s="433" t="s">
        <v>7108</v>
      </c>
      <c r="H282" s="434">
        <v>3</v>
      </c>
      <c r="I282" s="433" t="s">
        <v>2740</v>
      </c>
      <c r="J282" s="433" t="s">
        <v>7290</v>
      </c>
      <c r="K282" s="438" t="s">
        <v>8277</v>
      </c>
      <c r="L282" s="439" t="s">
        <v>8292</v>
      </c>
      <c r="M282" s="448" t="s">
        <v>8348</v>
      </c>
      <c r="N282" s="448" t="s">
        <v>8588</v>
      </c>
      <c r="O282" s="439" t="s">
        <v>8669</v>
      </c>
      <c r="P282" s="439" t="s">
        <v>8672</v>
      </c>
      <c r="Q282" s="432"/>
      <c r="R282" s="432" t="s">
        <v>4</v>
      </c>
      <c r="S282" s="432"/>
      <c r="T282" s="432" t="s">
        <v>2740</v>
      </c>
    </row>
    <row r="283" spans="1:20" ht="22" customHeight="1">
      <c r="A283" s="432" t="s">
        <v>7418</v>
      </c>
      <c r="B283" s="432" t="s">
        <v>5400</v>
      </c>
      <c r="C283" s="451" t="s">
        <v>8708</v>
      </c>
      <c r="D283" s="432"/>
      <c r="E283" s="433" t="s">
        <v>7419</v>
      </c>
      <c r="F283" s="433" t="s">
        <v>7475</v>
      </c>
      <c r="G283" s="433" t="s">
        <v>7109</v>
      </c>
      <c r="H283" s="434">
        <v>3</v>
      </c>
      <c r="I283" s="433" t="s">
        <v>7827</v>
      </c>
      <c r="J283" s="433" t="s">
        <v>7330</v>
      </c>
      <c r="K283" s="438" t="s">
        <v>8277</v>
      </c>
      <c r="L283" s="439" t="s">
        <v>8292</v>
      </c>
      <c r="M283" s="448" t="s">
        <v>8333</v>
      </c>
      <c r="N283" s="448" t="s">
        <v>8588</v>
      </c>
      <c r="O283" s="439" t="s">
        <v>8669</v>
      </c>
      <c r="P283" s="439" t="s">
        <v>8672</v>
      </c>
      <c r="Q283" s="432"/>
      <c r="R283" s="432" t="s">
        <v>4</v>
      </c>
      <c r="S283" s="432"/>
      <c r="T283" s="432" t="s">
        <v>6355</v>
      </c>
    </row>
    <row r="284" spans="1:20" ht="22" customHeight="1">
      <c r="A284" s="432" t="s">
        <v>7420</v>
      </c>
      <c r="B284" s="432" t="s">
        <v>5400</v>
      </c>
      <c r="C284" s="451" t="s">
        <v>8708</v>
      </c>
      <c r="D284" s="432"/>
      <c r="E284" s="433" t="s">
        <v>7421</v>
      </c>
      <c r="F284" s="433" t="s">
        <v>7110</v>
      </c>
      <c r="G284" s="433" t="s">
        <v>7111</v>
      </c>
      <c r="H284" s="434">
        <v>2</v>
      </c>
      <c r="I284" s="433" t="s">
        <v>7830</v>
      </c>
      <c r="J284" s="433" t="s">
        <v>7337</v>
      </c>
      <c r="K284" s="438" t="s">
        <v>8275</v>
      </c>
      <c r="L284" s="439" t="s">
        <v>8298</v>
      </c>
      <c r="M284" s="448" t="s">
        <v>8336</v>
      </c>
      <c r="N284" s="448" t="s">
        <v>8588</v>
      </c>
      <c r="O284" s="439" t="s">
        <v>8669</v>
      </c>
      <c r="P284" s="439" t="s">
        <v>8672</v>
      </c>
      <c r="Q284" s="432"/>
      <c r="R284" s="432" t="s">
        <v>4</v>
      </c>
      <c r="S284" s="432"/>
      <c r="T284" s="432" t="s">
        <v>6376</v>
      </c>
    </row>
    <row r="285" spans="1:20" ht="22" customHeight="1">
      <c r="A285" s="432" t="s">
        <v>7422</v>
      </c>
      <c r="B285" s="432" t="s">
        <v>5400</v>
      </c>
      <c r="C285" s="451" t="s">
        <v>8708</v>
      </c>
      <c r="D285" s="432"/>
      <c r="E285" s="433" t="s">
        <v>7423</v>
      </c>
      <c r="F285" s="433" t="s">
        <v>7476</v>
      </c>
      <c r="G285" s="433" t="s">
        <v>7112</v>
      </c>
      <c r="H285" s="434">
        <v>1</v>
      </c>
      <c r="I285" s="433" t="s">
        <v>7846</v>
      </c>
      <c r="J285" s="433" t="s">
        <v>7293</v>
      </c>
      <c r="K285" s="438" t="s">
        <v>8277</v>
      </c>
      <c r="L285" s="439" t="s">
        <v>8296</v>
      </c>
      <c r="M285" s="448" t="s">
        <v>8312</v>
      </c>
      <c r="N285" s="448" t="s">
        <v>8588</v>
      </c>
      <c r="O285" s="439" t="s">
        <v>8669</v>
      </c>
      <c r="P285" s="439" t="s">
        <v>8672</v>
      </c>
      <c r="Q285" s="432"/>
      <c r="R285" s="432" t="s">
        <v>4</v>
      </c>
      <c r="S285" s="432"/>
      <c r="T285" s="432" t="s">
        <v>6453</v>
      </c>
    </row>
    <row r="286" spans="1:20" ht="22" customHeight="1">
      <c r="A286" s="432" t="s">
        <v>7424</v>
      </c>
      <c r="B286" s="432" t="s">
        <v>5400</v>
      </c>
      <c r="C286" s="451" t="s">
        <v>8708</v>
      </c>
      <c r="D286" s="432"/>
      <c r="E286" s="433" t="s">
        <v>7425</v>
      </c>
      <c r="F286" s="433" t="s">
        <v>7477</v>
      </c>
      <c r="G286" s="433" t="s">
        <v>7113</v>
      </c>
      <c r="H286" s="434">
        <v>2</v>
      </c>
      <c r="I286" s="433" t="s">
        <v>7827</v>
      </c>
      <c r="J286" s="433" t="s">
        <v>7331</v>
      </c>
      <c r="K286" s="438" t="s">
        <v>8277</v>
      </c>
      <c r="L286" s="439" t="s">
        <v>8292</v>
      </c>
      <c r="M286" s="448" t="s">
        <v>8334</v>
      </c>
      <c r="N286" s="448" t="s">
        <v>8588</v>
      </c>
      <c r="O286" s="439" t="s">
        <v>8669</v>
      </c>
      <c r="P286" s="439" t="s">
        <v>8672</v>
      </c>
      <c r="Q286" s="432"/>
      <c r="R286" s="432" t="s">
        <v>4</v>
      </c>
      <c r="S286" s="432"/>
      <c r="T286" s="432" t="s">
        <v>6358</v>
      </c>
    </row>
    <row r="287" spans="1:20" ht="22" customHeight="1">
      <c r="A287" s="432" t="s">
        <v>7426</v>
      </c>
      <c r="B287" s="432" t="s">
        <v>5400</v>
      </c>
      <c r="C287" s="451" t="s">
        <v>8708</v>
      </c>
      <c r="D287" s="432"/>
      <c r="E287" s="433" t="s">
        <v>7427</v>
      </c>
      <c r="F287" s="433" t="s">
        <v>7478</v>
      </c>
      <c r="G287" s="433" t="s">
        <v>7114</v>
      </c>
      <c r="H287" s="434">
        <v>3</v>
      </c>
      <c r="I287" s="433" t="s">
        <v>2740</v>
      </c>
      <c r="J287" s="433" t="s">
        <v>7290</v>
      </c>
      <c r="K287" s="438" t="s">
        <v>8279</v>
      </c>
      <c r="L287" s="439" t="s">
        <v>8292</v>
      </c>
      <c r="M287" s="448" t="s">
        <v>8348</v>
      </c>
      <c r="N287" s="448" t="s">
        <v>8588</v>
      </c>
      <c r="O287" s="439" t="s">
        <v>8669</v>
      </c>
      <c r="P287" s="439" t="s">
        <v>8672</v>
      </c>
      <c r="Q287" s="432"/>
      <c r="R287" s="432" t="s">
        <v>4</v>
      </c>
      <c r="S287" s="432"/>
      <c r="T287" s="432" t="s">
        <v>2740</v>
      </c>
    </row>
    <row r="288" spans="1:20" ht="22" customHeight="1">
      <c r="A288" s="432" t="s">
        <v>7428</v>
      </c>
      <c r="B288" s="432" t="s">
        <v>5400</v>
      </c>
      <c r="C288" s="451" t="s">
        <v>8708</v>
      </c>
      <c r="D288" s="432"/>
      <c r="E288" s="433" t="s">
        <v>7429</v>
      </c>
      <c r="F288" s="433" t="s">
        <v>7479</v>
      </c>
      <c r="G288" s="433" t="s">
        <v>7480</v>
      </c>
      <c r="H288" s="434">
        <v>2</v>
      </c>
      <c r="I288" s="433" t="s">
        <v>7846</v>
      </c>
      <c r="J288" s="433" t="s">
        <v>7357</v>
      </c>
      <c r="K288" s="438" t="s">
        <v>8275</v>
      </c>
      <c r="L288" s="439" t="s">
        <v>8296</v>
      </c>
      <c r="M288" s="448" t="s">
        <v>8359</v>
      </c>
      <c r="N288" s="448" t="s">
        <v>8588</v>
      </c>
      <c r="O288" s="439" t="s">
        <v>8669</v>
      </c>
      <c r="P288" s="439" t="s">
        <v>8672</v>
      </c>
      <c r="Q288" s="432"/>
      <c r="R288" s="432" t="s">
        <v>4</v>
      </c>
      <c r="S288" s="432"/>
      <c r="T288" s="432" t="s">
        <v>6457</v>
      </c>
    </row>
    <row r="289" spans="1:20" ht="22" customHeight="1">
      <c r="A289" s="432" t="s">
        <v>7430</v>
      </c>
      <c r="B289" s="432" t="s">
        <v>5400</v>
      </c>
      <c r="C289" s="451" t="s">
        <v>8708</v>
      </c>
      <c r="D289" s="432"/>
      <c r="E289" s="433" t="s">
        <v>7431</v>
      </c>
      <c r="F289" s="433" t="s">
        <v>7116</v>
      </c>
      <c r="G289" s="433" t="s">
        <v>7117</v>
      </c>
      <c r="H289" s="434">
        <v>3</v>
      </c>
      <c r="I289" s="433" t="s">
        <v>7828</v>
      </c>
      <c r="J289" s="433" t="s">
        <v>7332</v>
      </c>
      <c r="K289" s="438" t="s">
        <v>8279</v>
      </c>
      <c r="L289" s="439" t="s">
        <v>8296</v>
      </c>
      <c r="M289" s="448" t="s">
        <v>8311</v>
      </c>
      <c r="N289" s="448" t="s">
        <v>8588</v>
      </c>
      <c r="O289" s="439" t="s">
        <v>8669</v>
      </c>
      <c r="P289" s="439" t="s">
        <v>8672</v>
      </c>
      <c r="Q289" s="432"/>
      <c r="R289" s="432" t="s">
        <v>4</v>
      </c>
      <c r="S289" s="432"/>
      <c r="T289" s="432" t="s">
        <v>6360</v>
      </c>
    </row>
    <row r="290" spans="1:20" ht="22" customHeight="1">
      <c r="A290" s="432" t="s">
        <v>7432</v>
      </c>
      <c r="B290" s="432" t="s">
        <v>5400</v>
      </c>
      <c r="C290" s="451" t="s">
        <v>8708</v>
      </c>
      <c r="D290" s="432"/>
      <c r="E290" s="433" t="s">
        <v>7433</v>
      </c>
      <c r="F290" s="433" t="s">
        <v>7481</v>
      </c>
      <c r="G290" s="433" t="s">
        <v>7118</v>
      </c>
      <c r="H290" s="434">
        <v>3</v>
      </c>
      <c r="I290" s="433" t="s">
        <v>7844</v>
      </c>
      <c r="J290" s="433" t="s">
        <v>7301</v>
      </c>
      <c r="K290" s="438" t="s">
        <v>8279</v>
      </c>
      <c r="L290" s="439" t="s">
        <v>8300</v>
      </c>
      <c r="M290" s="448" t="s">
        <v>8360</v>
      </c>
      <c r="N290" s="448" t="s">
        <v>8588</v>
      </c>
      <c r="O290" s="439" t="s">
        <v>8669</v>
      </c>
      <c r="P290" s="439" t="s">
        <v>8672</v>
      </c>
      <c r="Q290" s="432"/>
      <c r="R290" s="432" t="s">
        <v>4</v>
      </c>
      <c r="S290" s="432"/>
      <c r="T290" s="432" t="s">
        <v>6441</v>
      </c>
    </row>
    <row r="291" spans="1:20" ht="22" customHeight="1">
      <c r="A291" s="432" t="s">
        <v>5713</v>
      </c>
      <c r="B291" s="432" t="s">
        <v>5401</v>
      </c>
      <c r="C291" s="451" t="s">
        <v>8708</v>
      </c>
      <c r="D291" s="432"/>
      <c r="E291" s="433" t="s">
        <v>6155</v>
      </c>
      <c r="F291" s="433" t="s">
        <v>7119</v>
      </c>
      <c r="G291" s="433" t="s">
        <v>7120</v>
      </c>
      <c r="H291" s="434">
        <v>2</v>
      </c>
      <c r="I291" s="433" t="s">
        <v>2740</v>
      </c>
      <c r="J291" s="433" t="s">
        <v>7290</v>
      </c>
      <c r="K291" s="438" t="s">
        <v>8277</v>
      </c>
      <c r="L291" s="439" t="s">
        <v>8292</v>
      </c>
      <c r="M291" s="448" t="s">
        <v>8363</v>
      </c>
      <c r="N291" s="448" t="s">
        <v>8588</v>
      </c>
      <c r="O291" s="439" t="s">
        <v>8669</v>
      </c>
      <c r="P291" s="439" t="s">
        <v>8672</v>
      </c>
      <c r="Q291" s="432" t="s">
        <v>2234</v>
      </c>
      <c r="R291" s="432" t="s">
        <v>4</v>
      </c>
      <c r="S291" s="432"/>
      <c r="T291" s="432" t="s">
        <v>2740</v>
      </c>
    </row>
    <row r="292" spans="1:20" ht="22" customHeight="1">
      <c r="A292" s="432" t="s">
        <v>5714</v>
      </c>
      <c r="B292" s="432" t="s">
        <v>5401</v>
      </c>
      <c r="C292" s="451" t="s">
        <v>8708</v>
      </c>
      <c r="D292" s="432"/>
      <c r="E292" s="433" t="s">
        <v>6156</v>
      </c>
      <c r="F292" s="433" t="s">
        <v>7121</v>
      </c>
      <c r="G292" s="433" t="s">
        <v>7122</v>
      </c>
      <c r="H292" s="434">
        <v>2</v>
      </c>
      <c r="I292" s="433" t="s">
        <v>2740</v>
      </c>
      <c r="J292" s="433" t="s">
        <v>7290</v>
      </c>
      <c r="K292" s="438" t="s">
        <v>8277</v>
      </c>
      <c r="L292" s="439" t="s">
        <v>8292</v>
      </c>
      <c r="M292" s="448" t="s">
        <v>8363</v>
      </c>
      <c r="N292" s="448" t="s">
        <v>8588</v>
      </c>
      <c r="O292" s="439" t="s">
        <v>8669</v>
      </c>
      <c r="P292" s="439" t="s">
        <v>8672</v>
      </c>
      <c r="Q292" s="432" t="s">
        <v>2234</v>
      </c>
      <c r="R292" s="432" t="s">
        <v>4</v>
      </c>
      <c r="S292" s="432"/>
      <c r="T292" s="432" t="s">
        <v>2740</v>
      </c>
    </row>
    <row r="293" spans="1:20" ht="22" customHeight="1">
      <c r="A293" s="432" t="s">
        <v>5715</v>
      </c>
      <c r="B293" s="432" t="s">
        <v>5401</v>
      </c>
      <c r="C293" s="451" t="s">
        <v>8708</v>
      </c>
      <c r="D293" s="432"/>
      <c r="E293" s="433" t="s">
        <v>6157</v>
      </c>
      <c r="F293" s="433" t="s">
        <v>7123</v>
      </c>
      <c r="G293" s="433" t="s">
        <v>7124</v>
      </c>
      <c r="H293" s="434">
        <v>2</v>
      </c>
      <c r="I293" s="433" t="s">
        <v>2740</v>
      </c>
      <c r="J293" s="433" t="s">
        <v>7290</v>
      </c>
      <c r="K293" s="438" t="s">
        <v>8277</v>
      </c>
      <c r="L293" s="439" t="s">
        <v>8292</v>
      </c>
      <c r="M293" s="448" t="s">
        <v>8363</v>
      </c>
      <c r="N293" s="448" t="s">
        <v>8588</v>
      </c>
      <c r="O293" s="439" t="s">
        <v>8669</v>
      </c>
      <c r="P293" s="439" t="s">
        <v>8672</v>
      </c>
      <c r="Q293" s="432" t="s">
        <v>2234</v>
      </c>
      <c r="R293" s="432" t="s">
        <v>4</v>
      </c>
      <c r="S293" s="432"/>
      <c r="T293" s="432" t="s">
        <v>2740</v>
      </c>
    </row>
    <row r="294" spans="1:20" ht="22" customHeight="1">
      <c r="A294" s="432" t="s">
        <v>8420</v>
      </c>
      <c r="B294" s="432" t="s">
        <v>5401</v>
      </c>
      <c r="C294" s="451" t="s">
        <v>8708</v>
      </c>
      <c r="D294" s="432"/>
      <c r="E294" s="433" t="s">
        <v>8421</v>
      </c>
      <c r="F294" s="433" t="s">
        <v>8455</v>
      </c>
      <c r="G294" s="433" t="s">
        <v>8456</v>
      </c>
      <c r="H294" s="434">
        <v>0.5</v>
      </c>
      <c r="I294" s="433" t="s">
        <v>7831</v>
      </c>
      <c r="J294" s="433" t="s">
        <v>7340</v>
      </c>
      <c r="K294" s="438" t="s">
        <v>8277</v>
      </c>
      <c r="L294" s="439" t="s">
        <v>8292</v>
      </c>
      <c r="M294" s="448" t="s">
        <v>8457</v>
      </c>
      <c r="N294" s="448" t="s">
        <v>8588</v>
      </c>
      <c r="O294" s="439" t="s">
        <v>8668</v>
      </c>
      <c r="P294" s="439" t="s">
        <v>8672</v>
      </c>
      <c r="Q294" s="432" t="s">
        <v>2234</v>
      </c>
      <c r="R294" s="432" t="s">
        <v>4</v>
      </c>
      <c r="S294" s="432"/>
      <c r="T294" s="432" t="s">
        <v>6388</v>
      </c>
    </row>
    <row r="295" spans="1:20" ht="22" customHeight="1">
      <c r="A295" s="432" t="s">
        <v>8422</v>
      </c>
      <c r="B295" s="432" t="s">
        <v>5401</v>
      </c>
      <c r="C295" s="451" t="s">
        <v>8708</v>
      </c>
      <c r="D295" s="432"/>
      <c r="E295" s="433" t="s">
        <v>8423</v>
      </c>
      <c r="F295" s="433" t="s">
        <v>8458</v>
      </c>
      <c r="G295" s="433" t="s">
        <v>8456</v>
      </c>
      <c r="H295" s="434">
        <v>0.5</v>
      </c>
      <c r="I295" s="433" t="s">
        <v>7831</v>
      </c>
      <c r="J295" s="433" t="s">
        <v>7294</v>
      </c>
      <c r="K295" s="438" t="s">
        <v>8277</v>
      </c>
      <c r="L295" s="439" t="s">
        <v>8292</v>
      </c>
      <c r="M295" s="448" t="s">
        <v>8457</v>
      </c>
      <c r="N295" s="448" t="s">
        <v>8588</v>
      </c>
      <c r="O295" s="439" t="s">
        <v>8668</v>
      </c>
      <c r="P295" s="439" t="s">
        <v>8672</v>
      </c>
      <c r="Q295" s="432" t="s">
        <v>2234</v>
      </c>
      <c r="R295" s="432" t="s">
        <v>4</v>
      </c>
      <c r="S295" s="432"/>
      <c r="T295" s="432" t="s">
        <v>6382</v>
      </c>
    </row>
    <row r="296" spans="1:20" ht="22" customHeight="1">
      <c r="A296" s="432" t="s">
        <v>8424</v>
      </c>
      <c r="B296" s="432" t="s">
        <v>5401</v>
      </c>
      <c r="C296" s="451" t="s">
        <v>8708</v>
      </c>
      <c r="D296" s="432"/>
      <c r="E296" s="433" t="s">
        <v>8425</v>
      </c>
      <c r="F296" s="433" t="s">
        <v>8459</v>
      </c>
      <c r="G296" s="433" t="s">
        <v>8456</v>
      </c>
      <c r="H296" s="434">
        <v>0.5</v>
      </c>
      <c r="I296" s="433" t="s">
        <v>7831</v>
      </c>
      <c r="J296" s="433" t="s">
        <v>7339</v>
      </c>
      <c r="K296" s="438" t="s">
        <v>8277</v>
      </c>
      <c r="L296" s="439" t="s">
        <v>8292</v>
      </c>
      <c r="M296" s="448" t="s">
        <v>8457</v>
      </c>
      <c r="N296" s="448" t="s">
        <v>8588</v>
      </c>
      <c r="O296" s="439" t="s">
        <v>8668</v>
      </c>
      <c r="P296" s="439" t="s">
        <v>8672</v>
      </c>
      <c r="Q296" s="432" t="s">
        <v>2234</v>
      </c>
      <c r="R296" s="432" t="s">
        <v>4</v>
      </c>
      <c r="S296" s="432"/>
      <c r="T296" s="432" t="s">
        <v>6386</v>
      </c>
    </row>
    <row r="297" spans="1:20" ht="22" customHeight="1">
      <c r="A297" s="432" t="s">
        <v>8426</v>
      </c>
      <c r="B297" s="432" t="s">
        <v>5401</v>
      </c>
      <c r="C297" s="451" t="s">
        <v>8708</v>
      </c>
      <c r="D297" s="432"/>
      <c r="E297" s="433" t="s">
        <v>8427</v>
      </c>
      <c r="F297" s="433" t="s">
        <v>8460</v>
      </c>
      <c r="G297" s="433" t="s">
        <v>8456</v>
      </c>
      <c r="H297" s="434">
        <v>0.5</v>
      </c>
      <c r="I297" s="433" t="s">
        <v>7831</v>
      </c>
      <c r="J297" s="433" t="s">
        <v>7341</v>
      </c>
      <c r="K297" s="438" t="s">
        <v>8277</v>
      </c>
      <c r="L297" s="439" t="s">
        <v>8292</v>
      </c>
      <c r="M297" s="448" t="s">
        <v>8457</v>
      </c>
      <c r="N297" s="448" t="s">
        <v>8588</v>
      </c>
      <c r="O297" s="439" t="s">
        <v>8668</v>
      </c>
      <c r="P297" s="439" t="s">
        <v>8672</v>
      </c>
      <c r="Q297" s="432" t="s">
        <v>2234</v>
      </c>
      <c r="R297" s="432" t="s">
        <v>4</v>
      </c>
      <c r="S297" s="432"/>
      <c r="T297" s="432" t="s">
        <v>6391</v>
      </c>
    </row>
    <row r="298" spans="1:20" ht="22" customHeight="1">
      <c r="A298" s="432" t="s">
        <v>8428</v>
      </c>
      <c r="B298" s="432" t="s">
        <v>5401</v>
      </c>
      <c r="C298" s="451" t="s">
        <v>8708</v>
      </c>
      <c r="D298" s="432"/>
      <c r="E298" s="433" t="s">
        <v>8429</v>
      </c>
      <c r="F298" s="433" t="s">
        <v>8461</v>
      </c>
      <c r="G298" s="433" t="s">
        <v>8456</v>
      </c>
      <c r="H298" s="434">
        <v>0.5</v>
      </c>
      <c r="I298" s="433" t="s">
        <v>7831</v>
      </c>
      <c r="J298" s="433" t="s">
        <v>7832</v>
      </c>
      <c r="K298" s="438" t="s">
        <v>8277</v>
      </c>
      <c r="L298" s="439" t="s">
        <v>8292</v>
      </c>
      <c r="M298" s="448" t="s">
        <v>8457</v>
      </c>
      <c r="N298" s="448" t="s">
        <v>8588</v>
      </c>
      <c r="O298" s="439" t="s">
        <v>8667</v>
      </c>
      <c r="P298" s="439" t="s">
        <v>8672</v>
      </c>
      <c r="Q298" s="432" t="s">
        <v>2234</v>
      </c>
      <c r="R298" s="432" t="s">
        <v>4</v>
      </c>
      <c r="S298" s="432"/>
      <c r="T298" s="432" t="s">
        <v>6393</v>
      </c>
    </row>
    <row r="299" spans="1:20" ht="22" customHeight="1">
      <c r="A299" s="432" t="s">
        <v>8430</v>
      </c>
      <c r="B299" s="432" t="s">
        <v>5401</v>
      </c>
      <c r="C299" s="451" t="s">
        <v>8708</v>
      </c>
      <c r="D299" s="432"/>
      <c r="E299" s="433" t="s">
        <v>8431</v>
      </c>
      <c r="F299" s="433" t="s">
        <v>8462</v>
      </c>
      <c r="G299" s="433" t="s">
        <v>8456</v>
      </c>
      <c r="H299" s="434">
        <v>0.5</v>
      </c>
      <c r="I299" s="433" t="s">
        <v>7831</v>
      </c>
      <c r="J299" s="433" t="s">
        <v>7342</v>
      </c>
      <c r="K299" s="438" t="s">
        <v>8277</v>
      </c>
      <c r="L299" s="439" t="s">
        <v>8292</v>
      </c>
      <c r="M299" s="448" t="s">
        <v>8457</v>
      </c>
      <c r="N299" s="448" t="s">
        <v>8588</v>
      </c>
      <c r="O299" s="439" t="s">
        <v>8668</v>
      </c>
      <c r="P299" s="439" t="s">
        <v>8672</v>
      </c>
      <c r="Q299" s="432" t="s">
        <v>2234</v>
      </c>
      <c r="R299" s="432" t="s">
        <v>4</v>
      </c>
      <c r="S299" s="432"/>
      <c r="T299" s="432" t="s">
        <v>6395</v>
      </c>
    </row>
    <row r="300" spans="1:20" ht="22" customHeight="1">
      <c r="A300" s="432" t="s">
        <v>8432</v>
      </c>
      <c r="B300" s="432" t="s">
        <v>5401</v>
      </c>
      <c r="C300" s="451" t="s">
        <v>8708</v>
      </c>
      <c r="D300" s="432"/>
      <c r="E300" s="433" t="s">
        <v>8433</v>
      </c>
      <c r="F300" s="433" t="s">
        <v>8463</v>
      </c>
      <c r="G300" s="433" t="s">
        <v>8456</v>
      </c>
      <c r="H300" s="434">
        <v>0.5</v>
      </c>
      <c r="I300" s="433" t="s">
        <v>7833</v>
      </c>
      <c r="J300" s="433" t="s">
        <v>7343</v>
      </c>
      <c r="K300" s="438" t="s">
        <v>8277</v>
      </c>
      <c r="L300" s="439" t="s">
        <v>8292</v>
      </c>
      <c r="M300" s="448" t="s">
        <v>8457</v>
      </c>
      <c r="N300" s="448" t="s">
        <v>8588</v>
      </c>
      <c r="O300" s="439" t="s">
        <v>8668</v>
      </c>
      <c r="P300" s="439" t="s">
        <v>8672</v>
      </c>
      <c r="Q300" s="432" t="s">
        <v>2234</v>
      </c>
      <c r="R300" s="432" t="s">
        <v>4</v>
      </c>
      <c r="S300" s="432"/>
      <c r="T300" s="432" t="s">
        <v>6397</v>
      </c>
    </row>
    <row r="301" spans="1:20" ht="22" customHeight="1">
      <c r="A301" s="432" t="s">
        <v>8434</v>
      </c>
      <c r="B301" s="432" t="s">
        <v>5401</v>
      </c>
      <c r="C301" s="451" t="s">
        <v>8708</v>
      </c>
      <c r="D301" s="432"/>
      <c r="E301" s="433" t="s">
        <v>8435</v>
      </c>
      <c r="F301" s="433" t="s">
        <v>8464</v>
      </c>
      <c r="G301" s="433" t="s">
        <v>8456</v>
      </c>
      <c r="H301" s="434">
        <v>0.5</v>
      </c>
      <c r="I301" s="433" t="s">
        <v>7833</v>
      </c>
      <c r="J301" s="433" t="s">
        <v>7345</v>
      </c>
      <c r="K301" s="438" t="s">
        <v>8277</v>
      </c>
      <c r="L301" s="439" t="s">
        <v>8292</v>
      </c>
      <c r="M301" s="448" t="s">
        <v>8457</v>
      </c>
      <c r="N301" s="448" t="s">
        <v>8588</v>
      </c>
      <c r="O301" s="439" t="s">
        <v>8667</v>
      </c>
      <c r="P301" s="439" t="s">
        <v>8672</v>
      </c>
      <c r="Q301" s="432" t="s">
        <v>2234</v>
      </c>
      <c r="R301" s="432" t="s">
        <v>4</v>
      </c>
      <c r="S301" s="432"/>
      <c r="T301" s="432" t="s">
        <v>6403</v>
      </c>
    </row>
    <row r="302" spans="1:20" ht="22" customHeight="1">
      <c r="A302" s="432" t="s">
        <v>8436</v>
      </c>
      <c r="B302" s="432" t="s">
        <v>5401</v>
      </c>
      <c r="C302" s="451" t="s">
        <v>8708</v>
      </c>
      <c r="D302" s="432"/>
      <c r="E302" s="433" t="s">
        <v>8437</v>
      </c>
      <c r="F302" s="433" t="s">
        <v>8465</v>
      </c>
      <c r="G302" s="433" t="s">
        <v>8456</v>
      </c>
      <c r="H302" s="434">
        <v>0.5</v>
      </c>
      <c r="I302" s="433" t="s">
        <v>7833</v>
      </c>
      <c r="J302" s="433" t="s">
        <v>7346</v>
      </c>
      <c r="K302" s="438" t="s">
        <v>8277</v>
      </c>
      <c r="L302" s="439" t="s">
        <v>8296</v>
      </c>
      <c r="M302" s="448" t="s">
        <v>8466</v>
      </c>
      <c r="N302" s="448" t="s">
        <v>8588</v>
      </c>
      <c r="O302" s="439" t="s">
        <v>8667</v>
      </c>
      <c r="P302" s="439" t="s">
        <v>8672</v>
      </c>
      <c r="Q302" s="432" t="s">
        <v>2234</v>
      </c>
      <c r="R302" s="432" t="s">
        <v>4</v>
      </c>
      <c r="S302" s="432"/>
      <c r="T302" s="432" t="s">
        <v>6405</v>
      </c>
    </row>
    <row r="303" spans="1:20" ht="22" customHeight="1">
      <c r="A303" s="432" t="s">
        <v>8438</v>
      </c>
      <c r="B303" s="432" t="s">
        <v>5401</v>
      </c>
      <c r="C303" s="451" t="s">
        <v>8708</v>
      </c>
      <c r="D303" s="432"/>
      <c r="E303" s="433" t="s">
        <v>8439</v>
      </c>
      <c r="F303" s="433" t="s">
        <v>8467</v>
      </c>
      <c r="G303" s="433" t="s">
        <v>8456</v>
      </c>
      <c r="H303" s="434">
        <v>0.5</v>
      </c>
      <c r="I303" s="433" t="s">
        <v>7833</v>
      </c>
      <c r="J303" s="433" t="s">
        <v>7344</v>
      </c>
      <c r="K303" s="438" t="s">
        <v>8277</v>
      </c>
      <c r="L303" s="439" t="s">
        <v>8292</v>
      </c>
      <c r="M303" s="448" t="s">
        <v>8457</v>
      </c>
      <c r="N303" s="448" t="s">
        <v>8588</v>
      </c>
      <c r="O303" s="439" t="s">
        <v>8669</v>
      </c>
      <c r="P303" s="439" t="s">
        <v>8672</v>
      </c>
      <c r="Q303" s="432" t="s">
        <v>2234</v>
      </c>
      <c r="R303" s="432" t="s">
        <v>4</v>
      </c>
      <c r="S303" s="432"/>
      <c r="T303" s="432" t="s">
        <v>6400</v>
      </c>
    </row>
    <row r="304" spans="1:20" ht="22" customHeight="1">
      <c r="A304" s="432" t="s">
        <v>8440</v>
      </c>
      <c r="B304" s="432" t="s">
        <v>5401</v>
      </c>
      <c r="C304" s="451" t="s">
        <v>8708</v>
      </c>
      <c r="D304" s="432"/>
      <c r="E304" s="433" t="s">
        <v>8441</v>
      </c>
      <c r="F304" s="433" t="s">
        <v>8468</v>
      </c>
      <c r="G304" s="433" t="s">
        <v>8456</v>
      </c>
      <c r="H304" s="434">
        <v>0.5</v>
      </c>
      <c r="I304" s="433" t="s">
        <v>7841</v>
      </c>
      <c r="J304" s="433" t="s">
        <v>7295</v>
      </c>
      <c r="K304" s="438" t="s">
        <v>8277</v>
      </c>
      <c r="L304" s="439" t="s">
        <v>8292</v>
      </c>
      <c r="M304" s="448" t="s">
        <v>8457</v>
      </c>
      <c r="N304" s="448" t="s">
        <v>8588</v>
      </c>
      <c r="O304" s="439" t="s">
        <v>8669</v>
      </c>
      <c r="P304" s="439" t="s">
        <v>8672</v>
      </c>
      <c r="Q304" s="432" t="s">
        <v>2234</v>
      </c>
      <c r="R304" s="432" t="s">
        <v>4</v>
      </c>
      <c r="S304" s="432"/>
      <c r="T304" s="432" t="s">
        <v>6433</v>
      </c>
    </row>
    <row r="305" spans="1:20" ht="22" customHeight="1">
      <c r="A305" s="432" t="s">
        <v>8442</v>
      </c>
      <c r="B305" s="432" t="s">
        <v>5401</v>
      </c>
      <c r="C305" s="451" t="s">
        <v>8708</v>
      </c>
      <c r="D305" s="432"/>
      <c r="E305" s="433" t="s">
        <v>8443</v>
      </c>
      <c r="F305" s="433" t="s">
        <v>8469</v>
      </c>
      <c r="G305" s="433" t="s">
        <v>8456</v>
      </c>
      <c r="H305" s="434">
        <v>0.5</v>
      </c>
      <c r="I305" s="433" t="s">
        <v>7841</v>
      </c>
      <c r="J305" s="433" t="s">
        <v>7296</v>
      </c>
      <c r="K305" s="438" t="s">
        <v>8277</v>
      </c>
      <c r="L305" s="439" t="s">
        <v>8292</v>
      </c>
      <c r="M305" s="448" t="s">
        <v>8457</v>
      </c>
      <c r="N305" s="448" t="s">
        <v>8588</v>
      </c>
      <c r="O305" s="439" t="s">
        <v>8669</v>
      </c>
      <c r="P305" s="439" t="s">
        <v>8672</v>
      </c>
      <c r="Q305" s="432" t="s">
        <v>2234</v>
      </c>
      <c r="R305" s="432" t="s">
        <v>4</v>
      </c>
      <c r="S305" s="432"/>
      <c r="T305" s="432" t="s">
        <v>6436</v>
      </c>
    </row>
    <row r="306" spans="1:20" ht="22" customHeight="1">
      <c r="A306" s="432" t="s">
        <v>8514</v>
      </c>
      <c r="B306" s="432" t="s">
        <v>5401</v>
      </c>
      <c r="C306" s="451" t="s">
        <v>8708</v>
      </c>
      <c r="D306" s="432"/>
      <c r="E306" s="433" t="s">
        <v>8515</v>
      </c>
      <c r="F306" s="433" t="s">
        <v>8516</v>
      </c>
      <c r="G306" s="433" t="s">
        <v>8456</v>
      </c>
      <c r="H306" s="434">
        <v>0.5</v>
      </c>
      <c r="I306" s="433" t="s">
        <v>7834</v>
      </c>
      <c r="J306" s="433" t="s">
        <v>7347</v>
      </c>
      <c r="K306" s="438" t="s">
        <v>8275</v>
      </c>
      <c r="L306" s="439" t="s">
        <v>8300</v>
      </c>
      <c r="M306" s="448" t="s">
        <v>8337</v>
      </c>
      <c r="N306" s="448" t="s">
        <v>8588</v>
      </c>
      <c r="O306" s="439" t="s">
        <v>8669</v>
      </c>
      <c r="P306" s="439" t="s">
        <v>8672</v>
      </c>
      <c r="Q306" s="432" t="s">
        <v>2234</v>
      </c>
      <c r="R306" s="432" t="s">
        <v>4</v>
      </c>
      <c r="S306" s="432"/>
      <c r="T306" s="432" t="s">
        <v>6408</v>
      </c>
    </row>
    <row r="307" spans="1:20" ht="22" customHeight="1">
      <c r="A307" s="432" t="s">
        <v>8517</v>
      </c>
      <c r="B307" s="432" t="s">
        <v>5401</v>
      </c>
      <c r="C307" s="451" t="s">
        <v>8708</v>
      </c>
      <c r="D307" s="432"/>
      <c r="E307" s="433" t="s">
        <v>8518</v>
      </c>
      <c r="F307" s="433" t="s">
        <v>8519</v>
      </c>
      <c r="G307" s="433" t="s">
        <v>8456</v>
      </c>
      <c r="H307" s="434">
        <v>0.5</v>
      </c>
      <c r="I307" s="433" t="s">
        <v>7834</v>
      </c>
      <c r="J307" s="433" t="s">
        <v>7347</v>
      </c>
      <c r="K307" s="438" t="s">
        <v>8275</v>
      </c>
      <c r="L307" s="439" t="s">
        <v>8300</v>
      </c>
      <c r="M307" s="448" t="s">
        <v>8337</v>
      </c>
      <c r="N307" s="448" t="s">
        <v>8588</v>
      </c>
      <c r="O307" s="439" t="s">
        <v>8669</v>
      </c>
      <c r="P307" s="439" t="s">
        <v>8672</v>
      </c>
      <c r="Q307" s="432" t="s">
        <v>2234</v>
      </c>
      <c r="R307" s="432" t="s">
        <v>4</v>
      </c>
      <c r="S307" s="432"/>
      <c r="T307" s="432" t="s">
        <v>6408</v>
      </c>
    </row>
    <row r="308" spans="1:20" ht="22" customHeight="1">
      <c r="A308" s="432" t="s">
        <v>8520</v>
      </c>
      <c r="B308" s="432" t="s">
        <v>5401</v>
      </c>
      <c r="C308" s="451" t="s">
        <v>8708</v>
      </c>
      <c r="D308" s="432"/>
      <c r="E308" s="433" t="s">
        <v>8521</v>
      </c>
      <c r="F308" s="433" t="s">
        <v>8522</v>
      </c>
      <c r="G308" s="433" t="s">
        <v>8456</v>
      </c>
      <c r="H308" s="434">
        <v>0.5</v>
      </c>
      <c r="I308" s="433" t="s">
        <v>7834</v>
      </c>
      <c r="J308" s="433" t="s">
        <v>7348</v>
      </c>
      <c r="K308" s="438" t="s">
        <v>8275</v>
      </c>
      <c r="L308" s="439" t="s">
        <v>8300</v>
      </c>
      <c r="M308" s="448" t="s">
        <v>8337</v>
      </c>
      <c r="N308" s="448" t="s">
        <v>8588</v>
      </c>
      <c r="O308" s="439" t="s">
        <v>8669</v>
      </c>
      <c r="P308" s="439" t="s">
        <v>8672</v>
      </c>
      <c r="Q308" s="432" t="s">
        <v>2234</v>
      </c>
      <c r="R308" s="432" t="s">
        <v>4</v>
      </c>
      <c r="S308" s="432"/>
      <c r="T308" s="432" t="s">
        <v>6412</v>
      </c>
    </row>
    <row r="309" spans="1:20" ht="22" customHeight="1">
      <c r="A309" s="432" t="s">
        <v>8523</v>
      </c>
      <c r="B309" s="432" t="s">
        <v>5401</v>
      </c>
      <c r="C309" s="451" t="s">
        <v>8708</v>
      </c>
      <c r="D309" s="432"/>
      <c r="E309" s="433" t="s">
        <v>8524</v>
      </c>
      <c r="F309" s="433" t="s">
        <v>8525</v>
      </c>
      <c r="G309" s="433" t="s">
        <v>8456</v>
      </c>
      <c r="H309" s="434">
        <v>0.5</v>
      </c>
      <c r="I309" s="433" t="s">
        <v>7834</v>
      </c>
      <c r="J309" s="433" t="s">
        <v>7348</v>
      </c>
      <c r="K309" s="438" t="s">
        <v>8275</v>
      </c>
      <c r="L309" s="439" t="s">
        <v>8300</v>
      </c>
      <c r="M309" s="448" t="s">
        <v>8337</v>
      </c>
      <c r="N309" s="448" t="s">
        <v>8588</v>
      </c>
      <c r="O309" s="439" t="s">
        <v>8669</v>
      </c>
      <c r="P309" s="439" t="s">
        <v>8672</v>
      </c>
      <c r="Q309" s="432" t="s">
        <v>2234</v>
      </c>
      <c r="R309" s="432" t="s">
        <v>4</v>
      </c>
      <c r="S309" s="432"/>
      <c r="T309" s="432" t="s">
        <v>6412</v>
      </c>
    </row>
    <row r="310" spans="1:20" ht="22" customHeight="1">
      <c r="A310" s="432" t="s">
        <v>8526</v>
      </c>
      <c r="B310" s="432" t="s">
        <v>5401</v>
      </c>
      <c r="C310" s="451" t="s">
        <v>8708</v>
      </c>
      <c r="D310" s="432"/>
      <c r="E310" s="433" t="s">
        <v>8527</v>
      </c>
      <c r="F310" s="433" t="s">
        <v>8528</v>
      </c>
      <c r="G310" s="433" t="s">
        <v>8456</v>
      </c>
      <c r="H310" s="434">
        <v>0.5</v>
      </c>
      <c r="I310" s="433" t="s">
        <v>7834</v>
      </c>
      <c r="J310" s="433" t="s">
        <v>8396</v>
      </c>
      <c r="K310" s="438" t="s">
        <v>8275</v>
      </c>
      <c r="L310" s="439" t="s">
        <v>8300</v>
      </c>
      <c r="M310" s="448" t="s">
        <v>8337</v>
      </c>
      <c r="N310" s="448" t="s">
        <v>8588</v>
      </c>
      <c r="O310" s="439" t="s">
        <v>8669</v>
      </c>
      <c r="P310" s="439" t="s">
        <v>8672</v>
      </c>
      <c r="Q310" s="432" t="s">
        <v>2234</v>
      </c>
      <c r="R310" s="432" t="s">
        <v>4</v>
      </c>
      <c r="S310" s="432"/>
      <c r="T310" s="432" t="s">
        <v>8529</v>
      </c>
    </row>
    <row r="311" spans="1:20" ht="22" customHeight="1">
      <c r="A311" s="432" t="s">
        <v>8530</v>
      </c>
      <c r="B311" s="432" t="s">
        <v>5401</v>
      </c>
      <c r="C311" s="451" t="s">
        <v>8708</v>
      </c>
      <c r="D311" s="432"/>
      <c r="E311" s="433" t="s">
        <v>8531</v>
      </c>
      <c r="F311" s="433" t="s">
        <v>8532</v>
      </c>
      <c r="G311" s="433" t="s">
        <v>8456</v>
      </c>
      <c r="H311" s="434">
        <v>0.5</v>
      </c>
      <c r="I311" s="433" t="s">
        <v>7834</v>
      </c>
      <c r="J311" s="433" t="s">
        <v>7842</v>
      </c>
      <c r="K311" s="438" t="s">
        <v>8275</v>
      </c>
      <c r="L311" s="439" t="s">
        <v>8300</v>
      </c>
      <c r="M311" s="448" t="s">
        <v>8337</v>
      </c>
      <c r="N311" s="448" t="s">
        <v>8588</v>
      </c>
      <c r="O311" s="439" t="s">
        <v>8669</v>
      </c>
      <c r="P311" s="439" t="s">
        <v>8672</v>
      </c>
      <c r="Q311" s="432" t="s">
        <v>2234</v>
      </c>
      <c r="R311" s="432" t="s">
        <v>4</v>
      </c>
      <c r="S311" s="432"/>
      <c r="T311" s="432" t="s">
        <v>6431</v>
      </c>
    </row>
    <row r="312" spans="1:20" ht="22" customHeight="1">
      <c r="A312" s="432" t="s">
        <v>8533</v>
      </c>
      <c r="B312" s="432" t="s">
        <v>5401</v>
      </c>
      <c r="C312" s="451" t="s">
        <v>8708</v>
      </c>
      <c r="D312" s="432"/>
      <c r="E312" s="433" t="s">
        <v>8534</v>
      </c>
      <c r="F312" s="433" t="s">
        <v>8535</v>
      </c>
      <c r="G312" s="433" t="s">
        <v>8456</v>
      </c>
      <c r="H312" s="434">
        <v>0.5</v>
      </c>
      <c r="I312" s="433" t="s">
        <v>7834</v>
      </c>
      <c r="J312" s="433" t="s">
        <v>7349</v>
      </c>
      <c r="K312" s="438" t="s">
        <v>8275</v>
      </c>
      <c r="L312" s="439" t="s">
        <v>8300</v>
      </c>
      <c r="M312" s="448" t="s">
        <v>8337</v>
      </c>
      <c r="N312" s="448" t="s">
        <v>8588</v>
      </c>
      <c r="O312" s="439" t="s">
        <v>8669</v>
      </c>
      <c r="P312" s="439" t="s">
        <v>8672</v>
      </c>
      <c r="Q312" s="432" t="s">
        <v>2234</v>
      </c>
      <c r="R312" s="432" t="s">
        <v>4</v>
      </c>
      <c r="S312" s="432"/>
      <c r="T312" s="432" t="s">
        <v>6415</v>
      </c>
    </row>
    <row r="313" spans="1:20" ht="22" customHeight="1">
      <c r="A313" s="432" t="s">
        <v>8536</v>
      </c>
      <c r="B313" s="432" t="s">
        <v>5401</v>
      </c>
      <c r="C313" s="451" t="s">
        <v>8708</v>
      </c>
      <c r="D313" s="432"/>
      <c r="E313" s="433" t="s">
        <v>8537</v>
      </c>
      <c r="F313" s="433" t="s">
        <v>8538</v>
      </c>
      <c r="G313" s="433" t="s">
        <v>8456</v>
      </c>
      <c r="H313" s="434">
        <v>0.5</v>
      </c>
      <c r="I313" s="433" t="s">
        <v>7834</v>
      </c>
      <c r="J313" s="433" t="s">
        <v>7347</v>
      </c>
      <c r="K313" s="438" t="s">
        <v>8275</v>
      </c>
      <c r="L313" s="439" t="s">
        <v>8300</v>
      </c>
      <c r="M313" s="448" t="s">
        <v>8337</v>
      </c>
      <c r="N313" s="448" t="s">
        <v>8588</v>
      </c>
      <c r="O313" s="439" t="s">
        <v>8669</v>
      </c>
      <c r="P313" s="439" t="s">
        <v>8672</v>
      </c>
      <c r="Q313" s="432" t="s">
        <v>2234</v>
      </c>
      <c r="R313" s="432" t="s">
        <v>4</v>
      </c>
      <c r="S313" s="432"/>
      <c r="T313" s="432" t="s">
        <v>6408</v>
      </c>
    </row>
    <row r="314" spans="1:20" ht="22" customHeight="1">
      <c r="A314" s="432" t="s">
        <v>8539</v>
      </c>
      <c r="B314" s="432" t="s">
        <v>5401</v>
      </c>
      <c r="C314" s="451" t="s">
        <v>8708</v>
      </c>
      <c r="D314" s="432"/>
      <c r="E314" s="433" t="s">
        <v>8540</v>
      </c>
      <c r="F314" s="433" t="s">
        <v>8541</v>
      </c>
      <c r="G314" s="433" t="s">
        <v>8456</v>
      </c>
      <c r="H314" s="434">
        <v>0.5</v>
      </c>
      <c r="I314" s="433" t="s">
        <v>7834</v>
      </c>
      <c r="J314" s="433" t="s">
        <v>7842</v>
      </c>
      <c r="K314" s="438" t="s">
        <v>8275</v>
      </c>
      <c r="L314" s="439" t="s">
        <v>8300</v>
      </c>
      <c r="M314" s="448" t="s">
        <v>8337</v>
      </c>
      <c r="N314" s="448" t="s">
        <v>8588</v>
      </c>
      <c r="O314" s="439" t="s">
        <v>8669</v>
      </c>
      <c r="P314" s="439" t="s">
        <v>8672</v>
      </c>
      <c r="Q314" s="432" t="s">
        <v>2234</v>
      </c>
      <c r="R314" s="432" t="s">
        <v>4</v>
      </c>
      <c r="S314" s="432"/>
      <c r="T314" s="432" t="s">
        <v>6431</v>
      </c>
    </row>
    <row r="315" spans="1:20" ht="22" customHeight="1">
      <c r="A315" s="432" t="s">
        <v>8542</v>
      </c>
      <c r="B315" s="432" t="s">
        <v>5401</v>
      </c>
      <c r="C315" s="451" t="s">
        <v>8708</v>
      </c>
      <c r="D315" s="432"/>
      <c r="E315" s="433" t="s">
        <v>8543</v>
      </c>
      <c r="F315" s="433" t="s">
        <v>8544</v>
      </c>
      <c r="G315" s="433" t="s">
        <v>8456</v>
      </c>
      <c r="H315" s="434">
        <v>0.5</v>
      </c>
      <c r="I315" s="433" t="s">
        <v>7834</v>
      </c>
      <c r="J315" s="433" t="s">
        <v>8396</v>
      </c>
      <c r="K315" s="438" t="s">
        <v>8275</v>
      </c>
      <c r="L315" s="439" t="s">
        <v>8300</v>
      </c>
      <c r="M315" s="448" t="s">
        <v>8337</v>
      </c>
      <c r="N315" s="448" t="s">
        <v>8588</v>
      </c>
      <c r="O315" s="439" t="s">
        <v>8669</v>
      </c>
      <c r="P315" s="439" t="s">
        <v>8672</v>
      </c>
      <c r="Q315" s="432" t="s">
        <v>2234</v>
      </c>
      <c r="R315" s="432" t="s">
        <v>4</v>
      </c>
      <c r="S315" s="432"/>
      <c r="T315" s="432" t="s">
        <v>8529</v>
      </c>
    </row>
    <row r="316" spans="1:20" ht="22" customHeight="1">
      <c r="A316" s="432" t="s">
        <v>8545</v>
      </c>
      <c r="B316" s="432" t="s">
        <v>5401</v>
      </c>
      <c r="C316" s="451" t="s">
        <v>8708</v>
      </c>
      <c r="D316" s="432"/>
      <c r="E316" s="433" t="s">
        <v>8546</v>
      </c>
      <c r="F316" s="433" t="s">
        <v>8547</v>
      </c>
      <c r="G316" s="433" t="s">
        <v>8548</v>
      </c>
      <c r="H316" s="434">
        <v>0.5</v>
      </c>
      <c r="I316" s="433" t="s">
        <v>7844</v>
      </c>
      <c r="J316" s="433" t="s">
        <v>7301</v>
      </c>
      <c r="K316" s="438" t="s">
        <v>8275</v>
      </c>
      <c r="L316" s="439" t="s">
        <v>8300</v>
      </c>
      <c r="M316" s="448" t="s">
        <v>8337</v>
      </c>
      <c r="N316" s="448" t="s">
        <v>8588</v>
      </c>
      <c r="O316" s="439" t="s">
        <v>8669</v>
      </c>
      <c r="P316" s="439" t="s">
        <v>8672</v>
      </c>
      <c r="Q316" s="432" t="s">
        <v>2234</v>
      </c>
      <c r="R316" s="432" t="s">
        <v>4</v>
      </c>
      <c r="S316" s="432"/>
      <c r="T316" s="432" t="s">
        <v>6441</v>
      </c>
    </row>
    <row r="317" spans="1:20" ht="22" customHeight="1">
      <c r="A317" s="432" t="s">
        <v>8549</v>
      </c>
      <c r="B317" s="432" t="s">
        <v>5401</v>
      </c>
      <c r="C317" s="451" t="s">
        <v>8708</v>
      </c>
      <c r="D317" s="432"/>
      <c r="E317" s="433" t="s">
        <v>8550</v>
      </c>
      <c r="F317" s="433" t="s">
        <v>8551</v>
      </c>
      <c r="G317" s="433" t="s">
        <v>8548</v>
      </c>
      <c r="H317" s="434">
        <v>0.5</v>
      </c>
      <c r="I317" s="433" t="s">
        <v>7844</v>
      </c>
      <c r="J317" s="433" t="s">
        <v>7354</v>
      </c>
      <c r="K317" s="438" t="s">
        <v>8275</v>
      </c>
      <c r="L317" s="439" t="s">
        <v>8300</v>
      </c>
      <c r="M317" s="448" t="s">
        <v>8337</v>
      </c>
      <c r="N317" s="448" t="s">
        <v>8588</v>
      </c>
      <c r="O317" s="439" t="s">
        <v>8669</v>
      </c>
      <c r="P317" s="439" t="s">
        <v>8672</v>
      </c>
      <c r="Q317" s="432" t="s">
        <v>2234</v>
      </c>
      <c r="R317" s="432" t="s">
        <v>4</v>
      </c>
      <c r="S317" s="432"/>
      <c r="T317" s="432" t="s">
        <v>6446</v>
      </c>
    </row>
    <row r="318" spans="1:20" ht="22" customHeight="1">
      <c r="A318" s="432" t="s">
        <v>8552</v>
      </c>
      <c r="B318" s="432" t="s">
        <v>5401</v>
      </c>
      <c r="C318" s="451" t="s">
        <v>8708</v>
      </c>
      <c r="D318" s="432"/>
      <c r="E318" s="433" t="s">
        <v>8425</v>
      </c>
      <c r="F318" s="433" t="s">
        <v>8553</v>
      </c>
      <c r="G318" s="433" t="s">
        <v>8548</v>
      </c>
      <c r="H318" s="434">
        <v>0.5</v>
      </c>
      <c r="I318" s="433" t="s">
        <v>7831</v>
      </c>
      <c r="J318" s="433" t="s">
        <v>7339</v>
      </c>
      <c r="K318" s="438" t="s">
        <v>8277</v>
      </c>
      <c r="L318" s="439" t="s">
        <v>8292</v>
      </c>
      <c r="M318" s="448" t="s">
        <v>8457</v>
      </c>
      <c r="N318" s="448" t="s">
        <v>8588</v>
      </c>
      <c r="O318" s="439" t="s">
        <v>8668</v>
      </c>
      <c r="P318" s="439" t="s">
        <v>8672</v>
      </c>
      <c r="Q318" s="432" t="s">
        <v>2234</v>
      </c>
      <c r="R318" s="432" t="s">
        <v>4</v>
      </c>
      <c r="S318" s="432"/>
      <c r="T318" s="432" t="s">
        <v>6386</v>
      </c>
    </row>
    <row r="319" spans="1:20" ht="22" customHeight="1">
      <c r="A319" s="432" t="s">
        <v>8554</v>
      </c>
      <c r="B319" s="432" t="s">
        <v>5401</v>
      </c>
      <c r="C319" s="451" t="s">
        <v>8708</v>
      </c>
      <c r="D319" s="432"/>
      <c r="E319" s="433" t="s">
        <v>8555</v>
      </c>
      <c r="F319" s="433" t="s">
        <v>8556</v>
      </c>
      <c r="G319" s="433" t="s">
        <v>8548</v>
      </c>
      <c r="H319" s="434">
        <v>0.5</v>
      </c>
      <c r="I319" s="433" t="s">
        <v>7834</v>
      </c>
      <c r="J319" s="433" t="s">
        <v>7347</v>
      </c>
      <c r="K319" s="438" t="s">
        <v>8275</v>
      </c>
      <c r="L319" s="439" t="s">
        <v>8300</v>
      </c>
      <c r="M319" s="448" t="s">
        <v>8337</v>
      </c>
      <c r="N319" s="448" t="s">
        <v>8588</v>
      </c>
      <c r="O319" s="439" t="s">
        <v>8669</v>
      </c>
      <c r="P319" s="439" t="s">
        <v>8672</v>
      </c>
      <c r="Q319" s="432" t="s">
        <v>2234</v>
      </c>
      <c r="R319" s="432" t="s">
        <v>4</v>
      </c>
      <c r="S319" s="432"/>
      <c r="T319" s="432" t="s">
        <v>6408</v>
      </c>
    </row>
    <row r="320" spans="1:20" ht="22" customHeight="1">
      <c r="A320" s="432" t="s">
        <v>8557</v>
      </c>
      <c r="B320" s="432" t="s">
        <v>5401</v>
      </c>
      <c r="C320" s="451" t="s">
        <v>8708</v>
      </c>
      <c r="D320" s="432"/>
      <c r="E320" s="433" t="s">
        <v>8558</v>
      </c>
      <c r="F320" s="433" t="s">
        <v>8559</v>
      </c>
      <c r="G320" s="433" t="s">
        <v>8548</v>
      </c>
      <c r="H320" s="434">
        <v>0.5</v>
      </c>
      <c r="I320" s="433" t="s">
        <v>7834</v>
      </c>
      <c r="J320" s="433" t="s">
        <v>7348</v>
      </c>
      <c r="K320" s="438" t="s">
        <v>8275</v>
      </c>
      <c r="L320" s="439" t="s">
        <v>8300</v>
      </c>
      <c r="M320" s="448" t="s">
        <v>8337</v>
      </c>
      <c r="N320" s="448" t="s">
        <v>8588</v>
      </c>
      <c r="O320" s="439" t="s">
        <v>8669</v>
      </c>
      <c r="P320" s="439" t="s">
        <v>8672</v>
      </c>
      <c r="Q320" s="432" t="s">
        <v>2234</v>
      </c>
      <c r="R320" s="432" t="s">
        <v>4</v>
      </c>
      <c r="S320" s="432"/>
      <c r="T320" s="432" t="s">
        <v>6412</v>
      </c>
    </row>
    <row r="321" spans="1:20" ht="22" customHeight="1">
      <c r="A321" s="432" t="s">
        <v>8560</v>
      </c>
      <c r="B321" s="432" t="s">
        <v>5401</v>
      </c>
      <c r="C321" s="451" t="s">
        <v>8708</v>
      </c>
      <c r="D321" s="432"/>
      <c r="E321" s="433" t="s">
        <v>8561</v>
      </c>
      <c r="F321" s="433" t="s">
        <v>8562</v>
      </c>
      <c r="G321" s="433" t="s">
        <v>8548</v>
      </c>
      <c r="H321" s="434">
        <v>0.5</v>
      </c>
      <c r="I321" s="433" t="s">
        <v>7830</v>
      </c>
      <c r="J321" s="433" t="s">
        <v>7337</v>
      </c>
      <c r="K321" s="438" t="s">
        <v>8275</v>
      </c>
      <c r="L321" s="439" t="s">
        <v>8298</v>
      </c>
      <c r="M321" s="448" t="s">
        <v>8336</v>
      </c>
      <c r="N321" s="448" t="s">
        <v>8588</v>
      </c>
      <c r="O321" s="439" t="s">
        <v>8669</v>
      </c>
      <c r="P321" s="439" t="s">
        <v>8672</v>
      </c>
      <c r="Q321" s="432" t="s">
        <v>2234</v>
      </c>
      <c r="R321" s="432" t="s">
        <v>4</v>
      </c>
      <c r="S321" s="432"/>
      <c r="T321" s="432" t="s">
        <v>6376</v>
      </c>
    </row>
    <row r="322" spans="1:20" ht="22" customHeight="1">
      <c r="A322" s="432" t="s">
        <v>8563</v>
      </c>
      <c r="B322" s="432" t="s">
        <v>5401</v>
      </c>
      <c r="C322" s="451" t="s">
        <v>8708</v>
      </c>
      <c r="D322" s="432"/>
      <c r="E322" s="433" t="s">
        <v>8564</v>
      </c>
      <c r="F322" s="433" t="s">
        <v>8565</v>
      </c>
      <c r="G322" s="433" t="s">
        <v>8548</v>
      </c>
      <c r="H322" s="434">
        <v>0.5</v>
      </c>
      <c r="I322" s="433" t="s">
        <v>7833</v>
      </c>
      <c r="J322" s="433" t="s">
        <v>7344</v>
      </c>
      <c r="K322" s="438" t="s">
        <v>8277</v>
      </c>
      <c r="L322" s="439" t="s">
        <v>8292</v>
      </c>
      <c r="M322" s="448" t="s">
        <v>8457</v>
      </c>
      <c r="N322" s="448" t="s">
        <v>8588</v>
      </c>
      <c r="O322" s="439" t="s">
        <v>8669</v>
      </c>
      <c r="P322" s="439" t="s">
        <v>8672</v>
      </c>
      <c r="Q322" s="432" t="s">
        <v>2234</v>
      </c>
      <c r="R322" s="432" t="s">
        <v>4</v>
      </c>
      <c r="S322" s="432"/>
      <c r="T322" s="432" t="s">
        <v>6400</v>
      </c>
    </row>
    <row r="323" spans="1:20" ht="22" customHeight="1">
      <c r="A323" s="432" t="s">
        <v>8566</v>
      </c>
      <c r="B323" s="432" t="s">
        <v>5401</v>
      </c>
      <c r="C323" s="451" t="s">
        <v>8708</v>
      </c>
      <c r="D323" s="432"/>
      <c r="E323" s="433" t="s">
        <v>8567</v>
      </c>
      <c r="F323" s="433" t="s">
        <v>8568</v>
      </c>
      <c r="G323" s="433" t="s">
        <v>8548</v>
      </c>
      <c r="H323" s="434">
        <v>0.5</v>
      </c>
      <c r="I323" s="433" t="s">
        <v>7841</v>
      </c>
      <c r="J323" s="433" t="s">
        <v>7352</v>
      </c>
      <c r="K323" s="438" t="s">
        <v>8277</v>
      </c>
      <c r="L323" s="439" t="s">
        <v>8303</v>
      </c>
      <c r="M323" s="448" t="s">
        <v>8356</v>
      </c>
      <c r="N323" s="448" t="s">
        <v>8588</v>
      </c>
      <c r="O323" s="439" t="s">
        <v>8667</v>
      </c>
      <c r="P323" s="439" t="s">
        <v>8671</v>
      </c>
      <c r="Q323" s="432" t="s">
        <v>2234</v>
      </c>
      <c r="R323" s="432" t="s">
        <v>4</v>
      </c>
      <c r="S323" s="432"/>
      <c r="T323" s="432" t="s">
        <v>6427</v>
      </c>
    </row>
    <row r="324" spans="1:20" ht="22" customHeight="1">
      <c r="A324" s="432" t="s">
        <v>5716</v>
      </c>
      <c r="B324" s="432" t="s">
        <v>5401</v>
      </c>
      <c r="C324" s="451" t="s">
        <v>8708</v>
      </c>
      <c r="D324" s="432"/>
      <c r="E324" s="433" t="s">
        <v>6158</v>
      </c>
      <c r="F324" s="433" t="s">
        <v>7125</v>
      </c>
      <c r="G324" s="433" t="s">
        <v>7126</v>
      </c>
      <c r="H324" s="434">
        <v>3</v>
      </c>
      <c r="I324" s="433" t="s">
        <v>2740</v>
      </c>
      <c r="J324" s="433" t="s">
        <v>7290</v>
      </c>
      <c r="K324" s="438" t="s">
        <v>8277</v>
      </c>
      <c r="L324" s="439" t="s">
        <v>8292</v>
      </c>
      <c r="M324" s="448" t="s">
        <v>8363</v>
      </c>
      <c r="N324" s="448" t="s">
        <v>8588</v>
      </c>
      <c r="O324" s="439" t="s">
        <v>8669</v>
      </c>
      <c r="P324" s="439" t="s">
        <v>8672</v>
      </c>
      <c r="Q324" s="432" t="s">
        <v>2234</v>
      </c>
      <c r="R324" s="432" t="s">
        <v>4</v>
      </c>
      <c r="S324" s="432"/>
      <c r="T324" s="432" t="s">
        <v>2740</v>
      </c>
    </row>
    <row r="325" spans="1:20" ht="22" customHeight="1">
      <c r="A325" s="432" t="s">
        <v>5717</v>
      </c>
      <c r="B325" s="432" t="s">
        <v>5401</v>
      </c>
      <c r="C325" s="451" t="s">
        <v>8708</v>
      </c>
      <c r="D325" s="432"/>
      <c r="E325" s="433" t="s">
        <v>6159</v>
      </c>
      <c r="F325" s="433" t="s">
        <v>7127</v>
      </c>
      <c r="G325" s="433" t="s">
        <v>7128</v>
      </c>
      <c r="H325" s="434">
        <v>2</v>
      </c>
      <c r="I325" s="433" t="s">
        <v>2740</v>
      </c>
      <c r="J325" s="433" t="s">
        <v>7290</v>
      </c>
      <c r="K325" s="438" t="s">
        <v>8277</v>
      </c>
      <c r="L325" s="439" t="s">
        <v>8292</v>
      </c>
      <c r="M325" s="448" t="s">
        <v>8363</v>
      </c>
      <c r="N325" s="448" t="s">
        <v>8588</v>
      </c>
      <c r="O325" s="439" t="s">
        <v>8669</v>
      </c>
      <c r="P325" s="439" t="s">
        <v>8672</v>
      </c>
      <c r="Q325" s="432" t="s">
        <v>2234</v>
      </c>
      <c r="R325" s="432" t="s">
        <v>4</v>
      </c>
      <c r="S325" s="432"/>
      <c r="T325" s="432" t="s">
        <v>2740</v>
      </c>
    </row>
    <row r="326" spans="1:20" ht="22" customHeight="1">
      <c r="A326" s="432" t="s">
        <v>8569</v>
      </c>
      <c r="B326" s="432" t="s">
        <v>5401</v>
      </c>
      <c r="C326" s="451" t="s">
        <v>8708</v>
      </c>
      <c r="D326" s="432"/>
      <c r="E326" s="433" t="s">
        <v>8570</v>
      </c>
      <c r="F326" s="433" t="s">
        <v>8571</v>
      </c>
      <c r="G326" s="433" t="s">
        <v>8456</v>
      </c>
      <c r="H326" s="434">
        <v>0.5</v>
      </c>
      <c r="I326" s="433" t="s">
        <v>7835</v>
      </c>
      <c r="J326" s="433" t="s">
        <v>7836</v>
      </c>
      <c r="K326" s="438" t="s">
        <v>8277</v>
      </c>
      <c r="L326" s="439" t="s">
        <v>8292</v>
      </c>
      <c r="M326" s="448" t="s">
        <v>8339</v>
      </c>
      <c r="N326" s="448" t="s">
        <v>8588</v>
      </c>
      <c r="O326" s="439" t="s">
        <v>8669</v>
      </c>
      <c r="P326" s="439" t="s">
        <v>8672</v>
      </c>
      <c r="Q326" s="432" t="s">
        <v>2234</v>
      </c>
      <c r="R326" s="432" t="s">
        <v>4</v>
      </c>
      <c r="S326" s="432"/>
      <c r="T326" s="432" t="s">
        <v>6417</v>
      </c>
    </row>
    <row r="327" spans="1:20" ht="22" customHeight="1">
      <c r="A327" s="432" t="s">
        <v>8572</v>
      </c>
      <c r="B327" s="432" t="s">
        <v>5401</v>
      </c>
      <c r="C327" s="451" t="s">
        <v>8708</v>
      </c>
      <c r="D327" s="432"/>
      <c r="E327" s="433" t="s">
        <v>8573</v>
      </c>
      <c r="F327" s="433" t="s">
        <v>8574</v>
      </c>
      <c r="G327" s="433" t="s">
        <v>8456</v>
      </c>
      <c r="H327" s="434">
        <v>0.5</v>
      </c>
      <c r="I327" s="433" t="s">
        <v>7835</v>
      </c>
      <c r="J327" s="433" t="s">
        <v>7838</v>
      </c>
      <c r="K327" s="438" t="s">
        <v>8277</v>
      </c>
      <c r="L327" s="439" t="s">
        <v>8292</v>
      </c>
      <c r="M327" s="448" t="s">
        <v>8339</v>
      </c>
      <c r="N327" s="448" t="s">
        <v>8588</v>
      </c>
      <c r="O327" s="439" t="s">
        <v>8669</v>
      </c>
      <c r="P327" s="439" t="s">
        <v>8672</v>
      </c>
      <c r="Q327" s="432" t="s">
        <v>2234</v>
      </c>
      <c r="R327" s="432" t="s">
        <v>4</v>
      </c>
      <c r="S327" s="432"/>
      <c r="T327" s="432" t="s">
        <v>6420</v>
      </c>
    </row>
    <row r="328" spans="1:20" ht="22" customHeight="1">
      <c r="A328" s="432" t="s">
        <v>8575</v>
      </c>
      <c r="B328" s="432" t="s">
        <v>5401</v>
      </c>
      <c r="C328" s="451" t="s">
        <v>8708</v>
      </c>
      <c r="D328" s="432"/>
      <c r="E328" s="433" t="s">
        <v>8576</v>
      </c>
      <c r="F328" s="433" t="s">
        <v>8577</v>
      </c>
      <c r="G328" s="433" t="s">
        <v>8456</v>
      </c>
      <c r="H328" s="434">
        <v>0.5</v>
      </c>
      <c r="I328" s="433" t="s">
        <v>7835</v>
      </c>
      <c r="J328" s="433" t="s">
        <v>7838</v>
      </c>
      <c r="K328" s="438" t="s">
        <v>8277</v>
      </c>
      <c r="L328" s="439" t="s">
        <v>8292</v>
      </c>
      <c r="M328" s="448" t="s">
        <v>8339</v>
      </c>
      <c r="N328" s="448" t="s">
        <v>8588</v>
      </c>
      <c r="O328" s="439" t="s">
        <v>8669</v>
      </c>
      <c r="P328" s="439" t="s">
        <v>8672</v>
      </c>
      <c r="Q328" s="432" t="s">
        <v>2234</v>
      </c>
      <c r="R328" s="432" t="s">
        <v>4</v>
      </c>
      <c r="S328" s="432"/>
      <c r="T328" s="432" t="s">
        <v>6420</v>
      </c>
    </row>
    <row r="329" spans="1:20" ht="22" customHeight="1">
      <c r="A329" s="432" t="s">
        <v>8578</v>
      </c>
      <c r="B329" s="432" t="s">
        <v>5401</v>
      </c>
      <c r="C329" s="451" t="s">
        <v>8708</v>
      </c>
      <c r="D329" s="432"/>
      <c r="E329" s="433" t="s">
        <v>8579</v>
      </c>
      <c r="F329" s="433" t="s">
        <v>8580</v>
      </c>
      <c r="G329" s="433" t="s">
        <v>8456</v>
      </c>
      <c r="H329" s="434">
        <v>0.5</v>
      </c>
      <c r="I329" s="433" t="s">
        <v>7840</v>
      </c>
      <c r="J329" s="433" t="s">
        <v>7350</v>
      </c>
      <c r="K329" s="438" t="s">
        <v>8277</v>
      </c>
      <c r="L329" s="439" t="s">
        <v>8292</v>
      </c>
      <c r="M329" s="448" t="s">
        <v>8339</v>
      </c>
      <c r="N329" s="448" t="s">
        <v>8588</v>
      </c>
      <c r="O329" s="439" t="s">
        <v>8669</v>
      </c>
      <c r="P329" s="439" t="s">
        <v>8672</v>
      </c>
      <c r="Q329" s="432" t="s">
        <v>2234</v>
      </c>
      <c r="R329" s="432" t="s">
        <v>4</v>
      </c>
      <c r="S329" s="432"/>
      <c r="T329" s="432" t="s">
        <v>6422</v>
      </c>
    </row>
    <row r="330" spans="1:20" ht="22" customHeight="1">
      <c r="A330" s="432" t="s">
        <v>8581</v>
      </c>
      <c r="B330" s="432" t="s">
        <v>5401</v>
      </c>
      <c r="C330" s="451" t="s">
        <v>8708</v>
      </c>
      <c r="D330" s="432"/>
      <c r="E330" s="433" t="s">
        <v>8582</v>
      </c>
      <c r="F330" s="433" t="s">
        <v>8583</v>
      </c>
      <c r="G330" s="433" t="s">
        <v>8456</v>
      </c>
      <c r="H330" s="434">
        <v>0.5</v>
      </c>
      <c r="I330" s="433" t="s">
        <v>7840</v>
      </c>
      <c r="J330" s="433" t="s">
        <v>7351</v>
      </c>
      <c r="K330" s="438" t="s">
        <v>8277</v>
      </c>
      <c r="L330" s="439" t="s">
        <v>8292</v>
      </c>
      <c r="M330" s="448" t="s">
        <v>8339</v>
      </c>
      <c r="N330" s="448" t="s">
        <v>8588</v>
      </c>
      <c r="O330" s="439" t="s">
        <v>8669</v>
      </c>
      <c r="P330" s="439" t="s">
        <v>8672</v>
      </c>
      <c r="Q330" s="432" t="s">
        <v>2234</v>
      </c>
      <c r="R330" s="432" t="s">
        <v>4</v>
      </c>
      <c r="S330" s="432"/>
      <c r="T330" s="432" t="s">
        <v>6424</v>
      </c>
    </row>
    <row r="331" spans="1:20" ht="22" customHeight="1">
      <c r="A331" s="432" t="s">
        <v>8584</v>
      </c>
      <c r="B331" s="432" t="s">
        <v>5401</v>
      </c>
      <c r="C331" s="451" t="s">
        <v>8708</v>
      </c>
      <c r="D331" s="432"/>
      <c r="E331" s="433" t="s">
        <v>8585</v>
      </c>
      <c r="F331" s="433" t="s">
        <v>8586</v>
      </c>
      <c r="G331" s="433" t="s">
        <v>8456</v>
      </c>
      <c r="H331" s="434">
        <v>0.5</v>
      </c>
      <c r="I331" s="433" t="s">
        <v>7840</v>
      </c>
      <c r="J331" s="433" t="s">
        <v>7351</v>
      </c>
      <c r="K331" s="438" t="s">
        <v>8277</v>
      </c>
      <c r="L331" s="439" t="s">
        <v>8292</v>
      </c>
      <c r="M331" s="448" t="s">
        <v>8339</v>
      </c>
      <c r="N331" s="448" t="s">
        <v>8588</v>
      </c>
      <c r="O331" s="439" t="s">
        <v>8669</v>
      </c>
      <c r="P331" s="439" t="s">
        <v>8672</v>
      </c>
      <c r="Q331" s="432" t="s">
        <v>2234</v>
      </c>
      <c r="R331" s="432" t="s">
        <v>4</v>
      </c>
      <c r="S331" s="432"/>
      <c r="T331" s="432" t="s">
        <v>6424</v>
      </c>
    </row>
    <row r="332" spans="1:20" ht="22" customHeight="1">
      <c r="A332" s="432" t="s">
        <v>5718</v>
      </c>
      <c r="B332" s="432" t="s">
        <v>5401</v>
      </c>
      <c r="C332" s="451" t="s">
        <v>8708</v>
      </c>
      <c r="D332" s="432"/>
      <c r="E332" s="433" t="s">
        <v>7790</v>
      </c>
      <c r="F332" s="433" t="s">
        <v>7129</v>
      </c>
      <c r="G332" s="433" t="s">
        <v>7130</v>
      </c>
      <c r="H332" s="434">
        <v>4</v>
      </c>
      <c r="I332" s="433" t="s">
        <v>2234</v>
      </c>
      <c r="J332" s="433" t="s">
        <v>7378</v>
      </c>
      <c r="K332" s="438" t="s">
        <v>8277</v>
      </c>
      <c r="L332" s="439" t="s">
        <v>8292</v>
      </c>
      <c r="M332" s="448" t="s">
        <v>8363</v>
      </c>
      <c r="N332" s="448" t="s">
        <v>8588</v>
      </c>
      <c r="O332" s="439" t="s">
        <v>8669</v>
      </c>
      <c r="P332" s="439" t="s">
        <v>8672</v>
      </c>
      <c r="Q332" s="432" t="s">
        <v>2234</v>
      </c>
      <c r="R332" s="432" t="s">
        <v>4</v>
      </c>
      <c r="S332" s="432"/>
      <c r="T332" s="432" t="s">
        <v>6721</v>
      </c>
    </row>
    <row r="333" spans="1:20" ht="22" customHeight="1">
      <c r="A333" s="432" t="s">
        <v>5719</v>
      </c>
      <c r="B333" s="432" t="s">
        <v>5401</v>
      </c>
      <c r="C333" s="451" t="s">
        <v>8708</v>
      </c>
      <c r="D333" s="432"/>
      <c r="E333" s="433" t="s">
        <v>7791</v>
      </c>
      <c r="F333" s="433" t="s">
        <v>7131</v>
      </c>
      <c r="G333" s="433" t="s">
        <v>7132</v>
      </c>
      <c r="H333" s="434">
        <v>2</v>
      </c>
      <c r="I333" s="433" t="s">
        <v>7826</v>
      </c>
      <c r="J333" s="433" t="s">
        <v>7327</v>
      </c>
      <c r="K333" s="438" t="s">
        <v>8277</v>
      </c>
      <c r="L333" s="439" t="s">
        <v>8295</v>
      </c>
      <c r="M333" s="448" t="s">
        <v>8332</v>
      </c>
      <c r="N333" s="448" t="s">
        <v>8588</v>
      </c>
      <c r="O333" s="439" t="s">
        <v>8669</v>
      </c>
      <c r="P333" s="439" t="s">
        <v>8672</v>
      </c>
      <c r="Q333" s="432" t="s">
        <v>2234</v>
      </c>
      <c r="R333" s="432" t="s">
        <v>4</v>
      </c>
      <c r="S333" s="432"/>
      <c r="T333" s="432" t="s">
        <v>6348</v>
      </c>
    </row>
    <row r="334" spans="1:20" ht="22" customHeight="1">
      <c r="A334" s="432" t="s">
        <v>5720</v>
      </c>
      <c r="B334" s="432" t="s">
        <v>5401</v>
      </c>
      <c r="C334" s="451" t="s">
        <v>8708</v>
      </c>
      <c r="D334" s="432"/>
      <c r="E334" s="433" t="s">
        <v>6160</v>
      </c>
      <c r="F334" s="433" t="s">
        <v>7133</v>
      </c>
      <c r="G334" s="433" t="s">
        <v>7134</v>
      </c>
      <c r="H334" s="434">
        <v>3</v>
      </c>
      <c r="I334" s="433" t="s">
        <v>7855</v>
      </c>
      <c r="J334" s="433" t="s">
        <v>7961</v>
      </c>
      <c r="K334" s="438" t="s">
        <v>8277</v>
      </c>
      <c r="L334" s="439" t="s">
        <v>8612</v>
      </c>
      <c r="M334" s="448" t="s">
        <v>8691</v>
      </c>
      <c r="N334" s="448" t="s">
        <v>8712</v>
      </c>
      <c r="O334" s="439" t="s">
        <v>8669</v>
      </c>
      <c r="P334" s="439" t="s">
        <v>8672</v>
      </c>
      <c r="Q334" s="432" t="s">
        <v>2234</v>
      </c>
      <c r="R334" s="432" t="s">
        <v>4</v>
      </c>
      <c r="S334" s="432"/>
      <c r="T334" s="432" t="s">
        <v>6722</v>
      </c>
    </row>
    <row r="335" spans="1:20" ht="22" customHeight="1">
      <c r="A335" s="432" t="s">
        <v>5721</v>
      </c>
      <c r="B335" s="432" t="s">
        <v>5401</v>
      </c>
      <c r="C335" s="451" t="s">
        <v>8708</v>
      </c>
      <c r="D335" s="432"/>
      <c r="E335" s="433" t="s">
        <v>6161</v>
      </c>
      <c r="F335" s="433" t="s">
        <v>7135</v>
      </c>
      <c r="G335" s="433" t="s">
        <v>7136</v>
      </c>
      <c r="H335" s="434">
        <v>2</v>
      </c>
      <c r="I335" s="433" t="s">
        <v>7828</v>
      </c>
      <c r="J335" s="433" t="s">
        <v>7333</v>
      </c>
      <c r="K335" s="438" t="s">
        <v>8277</v>
      </c>
      <c r="L335" s="439" t="s">
        <v>8612</v>
      </c>
      <c r="M335" s="448" t="s">
        <v>8692</v>
      </c>
      <c r="N335" s="448" t="s">
        <v>8712</v>
      </c>
      <c r="O335" s="439" t="s">
        <v>8669</v>
      </c>
      <c r="P335" s="439" t="s">
        <v>8672</v>
      </c>
      <c r="Q335" s="432" t="s">
        <v>2234</v>
      </c>
      <c r="R335" s="432" t="s">
        <v>4</v>
      </c>
      <c r="S335" s="432"/>
      <c r="T335" s="432" t="s">
        <v>6367</v>
      </c>
    </row>
    <row r="336" spans="1:20" ht="22" customHeight="1">
      <c r="A336" s="432" t="s">
        <v>5722</v>
      </c>
      <c r="B336" s="432" t="s">
        <v>5401</v>
      </c>
      <c r="C336" s="451" t="s">
        <v>8708</v>
      </c>
      <c r="D336" s="432"/>
      <c r="E336" s="433" t="s">
        <v>6162</v>
      </c>
      <c r="F336" s="433" t="s">
        <v>7137</v>
      </c>
      <c r="G336" s="433" t="s">
        <v>7138</v>
      </c>
      <c r="H336" s="434">
        <v>3</v>
      </c>
      <c r="I336" s="433" t="s">
        <v>7854</v>
      </c>
      <c r="J336" s="433" t="s">
        <v>7303</v>
      </c>
      <c r="K336" s="438" t="s">
        <v>8275</v>
      </c>
      <c r="L336" s="439" t="s">
        <v>8293</v>
      </c>
      <c r="M336" s="448" t="s">
        <v>8324</v>
      </c>
      <c r="N336" s="448" t="s">
        <v>8588</v>
      </c>
      <c r="O336" s="439" t="s">
        <v>8669</v>
      </c>
      <c r="P336" s="439" t="s">
        <v>8672</v>
      </c>
      <c r="Q336" s="432" t="s">
        <v>2234</v>
      </c>
      <c r="R336" s="432" t="s">
        <v>4</v>
      </c>
      <c r="S336" s="432"/>
      <c r="T336" s="432" t="s">
        <v>6476</v>
      </c>
    </row>
    <row r="337" spans="1:20" ht="22" customHeight="1">
      <c r="A337" s="432" t="s">
        <v>5723</v>
      </c>
      <c r="B337" s="432" t="s">
        <v>5401</v>
      </c>
      <c r="C337" s="451" t="s">
        <v>8708</v>
      </c>
      <c r="D337" s="432"/>
      <c r="E337" s="433" t="s">
        <v>6163</v>
      </c>
      <c r="F337" s="433" t="s">
        <v>7139</v>
      </c>
      <c r="G337" s="433" t="s">
        <v>7140</v>
      </c>
      <c r="H337" s="434">
        <v>4</v>
      </c>
      <c r="I337" s="433" t="s">
        <v>7817</v>
      </c>
      <c r="J337" s="433" t="s">
        <v>7298</v>
      </c>
      <c r="K337" s="438" t="s">
        <v>8277</v>
      </c>
      <c r="L337" s="439" t="s">
        <v>8292</v>
      </c>
      <c r="M337" s="448" t="s">
        <v>8318</v>
      </c>
      <c r="N337" s="448" t="s">
        <v>8588</v>
      </c>
      <c r="O337" s="439" t="s">
        <v>8668</v>
      </c>
      <c r="P337" s="439" t="s">
        <v>8671</v>
      </c>
      <c r="Q337" s="432" t="s">
        <v>2234</v>
      </c>
      <c r="R337" s="432" t="s">
        <v>4</v>
      </c>
      <c r="S337" s="432"/>
      <c r="T337" s="432" t="s">
        <v>6283</v>
      </c>
    </row>
    <row r="338" spans="1:20" ht="22" customHeight="1">
      <c r="A338" s="432" t="s">
        <v>5724</v>
      </c>
      <c r="B338" s="432" t="s">
        <v>5401</v>
      </c>
      <c r="C338" s="451" t="s">
        <v>8708</v>
      </c>
      <c r="D338" s="432"/>
      <c r="E338" s="433" t="s">
        <v>6164</v>
      </c>
      <c r="F338" s="433" t="s">
        <v>7141</v>
      </c>
      <c r="G338" s="433" t="s">
        <v>7142</v>
      </c>
      <c r="H338" s="434">
        <v>4</v>
      </c>
      <c r="I338" s="433" t="s">
        <v>7817</v>
      </c>
      <c r="J338" s="433" t="s">
        <v>7309</v>
      </c>
      <c r="K338" s="438" t="s">
        <v>8277</v>
      </c>
      <c r="L338" s="439" t="s">
        <v>8292</v>
      </c>
      <c r="M338" s="448" t="s">
        <v>8318</v>
      </c>
      <c r="N338" s="448" t="s">
        <v>8588</v>
      </c>
      <c r="O338" s="439" t="s">
        <v>8668</v>
      </c>
      <c r="P338" s="439" t="s">
        <v>8671</v>
      </c>
      <c r="Q338" s="432" t="s">
        <v>2234</v>
      </c>
      <c r="R338" s="432" t="s">
        <v>4</v>
      </c>
      <c r="S338" s="432"/>
      <c r="T338" s="432" t="s">
        <v>6287</v>
      </c>
    </row>
    <row r="339" spans="1:20" ht="22" customHeight="1">
      <c r="A339" s="432" t="s">
        <v>5725</v>
      </c>
      <c r="B339" s="432" t="s">
        <v>5401</v>
      </c>
      <c r="C339" s="451" t="s">
        <v>8708</v>
      </c>
      <c r="D339" s="432"/>
      <c r="E339" s="433" t="s">
        <v>6165</v>
      </c>
      <c r="F339" s="433" t="s">
        <v>7143</v>
      </c>
      <c r="G339" s="433" t="s">
        <v>7144</v>
      </c>
      <c r="H339" s="434">
        <v>2</v>
      </c>
      <c r="I339" s="433" t="s">
        <v>7853</v>
      </c>
      <c r="J339" s="433" t="s">
        <v>7300</v>
      </c>
      <c r="K339" s="438" t="s">
        <v>8277</v>
      </c>
      <c r="L339" s="439" t="s">
        <v>8295</v>
      </c>
      <c r="M339" s="448" t="s">
        <v>8320</v>
      </c>
      <c r="N339" s="448" t="s">
        <v>8588</v>
      </c>
      <c r="O339" s="439" t="s">
        <v>8669</v>
      </c>
      <c r="P339" s="439" t="s">
        <v>8672</v>
      </c>
      <c r="Q339" s="432" t="s">
        <v>2234</v>
      </c>
      <c r="R339" s="432" t="s">
        <v>4</v>
      </c>
      <c r="S339" s="432"/>
      <c r="T339" s="432" t="s">
        <v>6467</v>
      </c>
    </row>
    <row r="340" spans="1:20" ht="22" customHeight="1">
      <c r="A340" s="432" t="s">
        <v>5726</v>
      </c>
      <c r="B340" s="432" t="s">
        <v>5401</v>
      </c>
      <c r="C340" s="451" t="s">
        <v>8708</v>
      </c>
      <c r="D340" s="432"/>
      <c r="E340" s="433" t="s">
        <v>6166</v>
      </c>
      <c r="F340" s="433" t="s">
        <v>7145</v>
      </c>
      <c r="G340" s="433" t="s">
        <v>7146</v>
      </c>
      <c r="H340" s="434">
        <v>2</v>
      </c>
      <c r="I340" s="433" t="s">
        <v>7817</v>
      </c>
      <c r="J340" s="433" t="s">
        <v>7298</v>
      </c>
      <c r="K340" s="438" t="s">
        <v>8277</v>
      </c>
      <c r="L340" s="439" t="s">
        <v>8292</v>
      </c>
      <c r="M340" s="448" t="s">
        <v>8318</v>
      </c>
      <c r="N340" s="448" t="s">
        <v>8588</v>
      </c>
      <c r="O340" s="439" t="s">
        <v>8668</v>
      </c>
      <c r="P340" s="439" t="s">
        <v>8671</v>
      </c>
      <c r="Q340" s="432" t="s">
        <v>2234</v>
      </c>
      <c r="R340" s="432" t="s">
        <v>4</v>
      </c>
      <c r="S340" s="432"/>
      <c r="T340" s="432" t="s">
        <v>6283</v>
      </c>
    </row>
    <row r="341" spans="1:20" ht="22" customHeight="1">
      <c r="A341" s="432" t="s">
        <v>5727</v>
      </c>
      <c r="B341" s="432" t="s">
        <v>5401</v>
      </c>
      <c r="C341" s="451" t="s">
        <v>8708</v>
      </c>
      <c r="D341" s="432"/>
      <c r="E341" s="433" t="s">
        <v>6167</v>
      </c>
      <c r="F341" s="433" t="s">
        <v>7147</v>
      </c>
      <c r="G341" s="433" t="s">
        <v>7148</v>
      </c>
      <c r="H341" s="434">
        <v>2</v>
      </c>
      <c r="I341" s="433" t="s">
        <v>7962</v>
      </c>
      <c r="J341" s="433" t="s">
        <v>7963</v>
      </c>
      <c r="K341" s="438" t="s">
        <v>8277</v>
      </c>
      <c r="L341" s="439" t="s">
        <v>8294</v>
      </c>
      <c r="M341" s="448" t="s">
        <v>8343</v>
      </c>
      <c r="N341" s="448" t="s">
        <v>8588</v>
      </c>
      <c r="O341" s="439" t="s">
        <v>8665</v>
      </c>
      <c r="P341" s="439" t="s">
        <v>8671</v>
      </c>
      <c r="Q341" s="432" t="s">
        <v>2234</v>
      </c>
      <c r="R341" s="432" t="s">
        <v>4</v>
      </c>
      <c r="S341" s="432"/>
      <c r="T341" s="432" t="s">
        <v>6723</v>
      </c>
    </row>
    <row r="342" spans="1:20" ht="22" customHeight="1">
      <c r="A342" s="432" t="s">
        <v>8401</v>
      </c>
      <c r="B342" s="432" t="s">
        <v>5401</v>
      </c>
      <c r="C342" s="451" t="s">
        <v>8708</v>
      </c>
      <c r="D342" s="432"/>
      <c r="E342" s="433" t="s">
        <v>8402</v>
      </c>
      <c r="F342" s="433" t="s">
        <v>8403</v>
      </c>
      <c r="G342" s="433" t="s">
        <v>8404</v>
      </c>
      <c r="H342" s="434">
        <v>1</v>
      </c>
      <c r="I342" s="433" t="s">
        <v>7862</v>
      </c>
      <c r="J342" s="433" t="s">
        <v>7370</v>
      </c>
      <c r="K342" s="438" t="s">
        <v>8277</v>
      </c>
      <c r="L342" s="439" t="s">
        <v>8296</v>
      </c>
      <c r="M342" s="448" t="s">
        <v>8346</v>
      </c>
      <c r="N342" s="448" t="s">
        <v>8588</v>
      </c>
      <c r="O342" s="439" t="s">
        <v>8667</v>
      </c>
      <c r="P342" s="439" t="s">
        <v>8671</v>
      </c>
      <c r="Q342" s="432" t="s">
        <v>2234</v>
      </c>
      <c r="R342" s="432" t="s">
        <v>4</v>
      </c>
      <c r="S342" s="432"/>
      <c r="T342" s="432" t="s">
        <v>2740</v>
      </c>
    </row>
    <row r="343" spans="1:20" ht="22" customHeight="1">
      <c r="A343" s="432" t="s">
        <v>8405</v>
      </c>
      <c r="B343" s="432" t="s">
        <v>5401</v>
      </c>
      <c r="C343" s="451" t="s">
        <v>8708</v>
      </c>
      <c r="D343" s="432"/>
      <c r="E343" s="433" t="s">
        <v>8406</v>
      </c>
      <c r="F343" s="433" t="s">
        <v>8407</v>
      </c>
      <c r="G343" s="433" t="s">
        <v>8408</v>
      </c>
      <c r="H343" s="434">
        <v>1</v>
      </c>
      <c r="I343" s="433" t="s">
        <v>7290</v>
      </c>
      <c r="J343" s="433" t="s">
        <v>7290</v>
      </c>
      <c r="K343" s="438" t="s">
        <v>8277</v>
      </c>
      <c r="L343" s="439" t="s">
        <v>8296</v>
      </c>
      <c r="M343" s="448" t="s">
        <v>8409</v>
      </c>
      <c r="N343" s="448" t="s">
        <v>8588</v>
      </c>
      <c r="O343" s="439" t="s">
        <v>8669</v>
      </c>
      <c r="P343" s="439" t="s">
        <v>8672</v>
      </c>
      <c r="Q343" s="432" t="s">
        <v>2234</v>
      </c>
      <c r="R343" s="432" t="s">
        <v>4</v>
      </c>
      <c r="S343" s="432"/>
      <c r="T343" s="432" t="s">
        <v>2740</v>
      </c>
    </row>
    <row r="344" spans="1:20" ht="22" customHeight="1">
      <c r="A344" s="432" t="s">
        <v>8410</v>
      </c>
      <c r="B344" s="432" t="s">
        <v>5401</v>
      </c>
      <c r="C344" s="451" t="s">
        <v>8708</v>
      </c>
      <c r="D344" s="432"/>
      <c r="E344" s="433" t="s">
        <v>8411</v>
      </c>
      <c r="F344" s="433" t="s">
        <v>8412</v>
      </c>
      <c r="G344" s="433" t="s">
        <v>8413</v>
      </c>
      <c r="H344" s="434">
        <v>0.5</v>
      </c>
      <c r="I344" s="433" t="s">
        <v>7290</v>
      </c>
      <c r="J344" s="433" t="s">
        <v>7290</v>
      </c>
      <c r="K344" s="438" t="s">
        <v>8277</v>
      </c>
      <c r="L344" s="439" t="s">
        <v>8296</v>
      </c>
      <c r="M344" s="448" t="s">
        <v>8414</v>
      </c>
      <c r="N344" s="448" t="s">
        <v>8588</v>
      </c>
      <c r="O344" s="439" t="s">
        <v>8669</v>
      </c>
      <c r="P344" s="439" t="s">
        <v>8672</v>
      </c>
      <c r="Q344" s="432" t="s">
        <v>2234</v>
      </c>
      <c r="R344" s="432" t="s">
        <v>4</v>
      </c>
      <c r="S344" s="432"/>
      <c r="T344" s="432" t="s">
        <v>2740</v>
      </c>
    </row>
    <row r="345" spans="1:20" ht="22" customHeight="1">
      <c r="A345" s="432" t="s">
        <v>8415</v>
      </c>
      <c r="B345" s="432" t="s">
        <v>5401</v>
      </c>
      <c r="C345" s="451" t="s">
        <v>8708</v>
      </c>
      <c r="D345" s="432"/>
      <c r="E345" s="433" t="s">
        <v>8416</v>
      </c>
      <c r="F345" s="433" t="s">
        <v>8417</v>
      </c>
      <c r="G345" s="433" t="s">
        <v>8418</v>
      </c>
      <c r="H345" s="434">
        <v>0.5</v>
      </c>
      <c r="I345" s="433" t="s">
        <v>7840</v>
      </c>
      <c r="J345" s="433" t="s">
        <v>7351</v>
      </c>
      <c r="K345" s="438" t="s">
        <v>8277</v>
      </c>
      <c r="L345" s="439" t="s">
        <v>8296</v>
      </c>
      <c r="M345" s="448" t="s">
        <v>8347</v>
      </c>
      <c r="N345" s="448" t="s">
        <v>8588</v>
      </c>
      <c r="O345" s="439" t="s">
        <v>8669</v>
      </c>
      <c r="P345" s="439" t="s">
        <v>8672</v>
      </c>
      <c r="Q345" s="432" t="s">
        <v>2234</v>
      </c>
      <c r="R345" s="432" t="s">
        <v>4</v>
      </c>
      <c r="S345" s="432"/>
      <c r="T345" s="432" t="s">
        <v>2740</v>
      </c>
    </row>
    <row r="346" spans="1:20" ht="22" customHeight="1">
      <c r="A346" s="432" t="s">
        <v>5728</v>
      </c>
      <c r="B346" s="432" t="s">
        <v>5401</v>
      </c>
      <c r="C346" s="451" t="s">
        <v>8708</v>
      </c>
      <c r="D346" s="432"/>
      <c r="E346" s="433" t="s">
        <v>6168</v>
      </c>
      <c r="F346" s="433" t="s">
        <v>7149</v>
      </c>
      <c r="G346" s="433" t="s">
        <v>7150</v>
      </c>
      <c r="H346" s="434">
        <v>2</v>
      </c>
      <c r="I346" s="433" t="s">
        <v>2740</v>
      </c>
      <c r="J346" s="433" t="s">
        <v>7290</v>
      </c>
      <c r="K346" s="438" t="s">
        <v>8277</v>
      </c>
      <c r="L346" s="439" t="s">
        <v>8292</v>
      </c>
      <c r="M346" s="448" t="s">
        <v>8363</v>
      </c>
      <c r="N346" s="448" t="s">
        <v>8588</v>
      </c>
      <c r="O346" s="439" t="s">
        <v>8669</v>
      </c>
      <c r="P346" s="439" t="s">
        <v>8672</v>
      </c>
      <c r="Q346" s="432" t="s">
        <v>2234</v>
      </c>
      <c r="R346" s="432" t="s">
        <v>4</v>
      </c>
      <c r="S346" s="432"/>
      <c r="T346" s="432" t="s">
        <v>2740</v>
      </c>
    </row>
    <row r="347" spans="1:20" ht="22" customHeight="1">
      <c r="A347" s="432" t="s">
        <v>5729</v>
      </c>
      <c r="B347" s="432" t="s">
        <v>5402</v>
      </c>
      <c r="C347" s="451" t="s">
        <v>8708</v>
      </c>
      <c r="D347" s="432"/>
      <c r="E347" s="433" t="s">
        <v>6169</v>
      </c>
      <c r="F347" s="433" t="s">
        <v>7151</v>
      </c>
      <c r="G347" s="433" t="s">
        <v>7152</v>
      </c>
      <c r="H347" s="434">
        <v>2.5</v>
      </c>
      <c r="I347" s="433" t="s">
        <v>2234</v>
      </c>
      <c r="J347" s="433" t="s">
        <v>7379</v>
      </c>
      <c r="K347" s="438" t="s">
        <v>8277</v>
      </c>
      <c r="L347" s="439" t="s">
        <v>8292</v>
      </c>
      <c r="M347" s="448" t="s">
        <v>8364</v>
      </c>
      <c r="N347" s="448" t="s">
        <v>8588</v>
      </c>
      <c r="O347" s="439" t="s">
        <v>8669</v>
      </c>
      <c r="P347" s="439" t="s">
        <v>8672</v>
      </c>
      <c r="Q347" s="432" t="s">
        <v>2234</v>
      </c>
      <c r="R347" s="432" t="s">
        <v>4</v>
      </c>
      <c r="S347" s="432"/>
      <c r="T347" s="432" t="s">
        <v>6724</v>
      </c>
    </row>
    <row r="348" spans="1:20" ht="22" customHeight="1">
      <c r="A348" s="432" t="s">
        <v>5730</v>
      </c>
      <c r="B348" s="432" t="s">
        <v>5402</v>
      </c>
      <c r="C348" s="451" t="s">
        <v>8708</v>
      </c>
      <c r="D348" s="432"/>
      <c r="E348" s="433" t="s">
        <v>6170</v>
      </c>
      <c r="F348" s="433" t="s">
        <v>7153</v>
      </c>
      <c r="G348" s="433" t="s">
        <v>7154</v>
      </c>
      <c r="H348" s="434">
        <v>1.5</v>
      </c>
      <c r="I348" s="433" t="s">
        <v>2740</v>
      </c>
      <c r="J348" s="433" t="s">
        <v>7380</v>
      </c>
      <c r="K348" s="438" t="s">
        <v>8277</v>
      </c>
      <c r="L348" s="439" t="s">
        <v>8296</v>
      </c>
      <c r="M348" s="448" t="s">
        <v>8364</v>
      </c>
      <c r="N348" s="448" t="s">
        <v>8588</v>
      </c>
      <c r="O348" s="439" t="s">
        <v>8669</v>
      </c>
      <c r="P348" s="439" t="s">
        <v>8672</v>
      </c>
      <c r="Q348" s="432" t="s">
        <v>2234</v>
      </c>
      <c r="R348" s="432" t="s">
        <v>4</v>
      </c>
      <c r="S348" s="432"/>
      <c r="T348" s="432" t="s">
        <v>2740</v>
      </c>
    </row>
    <row r="349" spans="1:20" ht="22" customHeight="1">
      <c r="A349" s="432" t="s">
        <v>5731</v>
      </c>
      <c r="B349" s="432" t="s">
        <v>5402</v>
      </c>
      <c r="C349" s="451" t="s">
        <v>8708</v>
      </c>
      <c r="D349" s="432"/>
      <c r="E349" s="433" t="s">
        <v>6171</v>
      </c>
      <c r="F349" s="433" t="s">
        <v>7155</v>
      </c>
      <c r="G349" s="433" t="s">
        <v>7156</v>
      </c>
      <c r="H349" s="434">
        <v>1.5</v>
      </c>
      <c r="I349" s="433" t="s">
        <v>7860</v>
      </c>
      <c r="J349" s="433" t="s">
        <v>7381</v>
      </c>
      <c r="K349" s="438" t="s">
        <v>8277</v>
      </c>
      <c r="L349" s="439" t="s">
        <v>8296</v>
      </c>
      <c r="M349" s="448" t="s">
        <v>8311</v>
      </c>
      <c r="N349" s="448" t="s">
        <v>8588</v>
      </c>
      <c r="O349" s="439" t="s">
        <v>8669</v>
      </c>
      <c r="P349" s="439" t="s">
        <v>8672</v>
      </c>
      <c r="Q349" s="432" t="s">
        <v>5729</v>
      </c>
      <c r="R349" s="432" t="s">
        <v>4</v>
      </c>
      <c r="S349" s="432"/>
      <c r="T349" s="432" t="s">
        <v>6725</v>
      </c>
    </row>
    <row r="350" spans="1:20" ht="22" customHeight="1">
      <c r="A350" s="432" t="s">
        <v>5732</v>
      </c>
      <c r="B350" s="432" t="s">
        <v>5402</v>
      </c>
      <c r="C350" s="451" t="s">
        <v>8708</v>
      </c>
      <c r="D350" s="432"/>
      <c r="E350" s="433" t="s">
        <v>6172</v>
      </c>
      <c r="F350" s="433" t="s">
        <v>7157</v>
      </c>
      <c r="G350" s="433" t="s">
        <v>7158</v>
      </c>
      <c r="H350" s="434">
        <v>2</v>
      </c>
      <c r="I350" s="433" t="s">
        <v>7861</v>
      </c>
      <c r="J350" s="433" t="s">
        <v>7964</v>
      </c>
      <c r="K350" s="438" t="s">
        <v>8277</v>
      </c>
      <c r="L350" s="439" t="s">
        <v>8612</v>
      </c>
      <c r="M350" s="448" t="s">
        <v>8693</v>
      </c>
      <c r="N350" s="448" t="s">
        <v>8712</v>
      </c>
      <c r="O350" s="439" t="s">
        <v>8667</v>
      </c>
      <c r="P350" s="439" t="s">
        <v>8672</v>
      </c>
      <c r="Q350" s="432" t="s">
        <v>5729</v>
      </c>
      <c r="R350" s="432" t="s">
        <v>4</v>
      </c>
      <c r="S350" s="432"/>
      <c r="T350" s="432" t="s">
        <v>6726</v>
      </c>
    </row>
    <row r="351" spans="1:20" ht="22" customHeight="1">
      <c r="A351" s="432" t="s">
        <v>5733</v>
      </c>
      <c r="B351" s="432" t="s">
        <v>5402</v>
      </c>
      <c r="C351" s="451" t="s">
        <v>8708</v>
      </c>
      <c r="D351" s="432"/>
      <c r="E351" s="433" t="s">
        <v>6173</v>
      </c>
      <c r="F351" s="433" t="s">
        <v>7159</v>
      </c>
      <c r="G351" s="433" t="s">
        <v>7160</v>
      </c>
      <c r="H351" s="434">
        <v>2.5</v>
      </c>
      <c r="I351" s="433" t="s">
        <v>2234</v>
      </c>
      <c r="J351" s="433" t="s">
        <v>7382</v>
      </c>
      <c r="K351" s="438" t="s">
        <v>8277</v>
      </c>
      <c r="L351" s="439" t="s">
        <v>8292</v>
      </c>
      <c r="M351" s="448" t="s">
        <v>8364</v>
      </c>
      <c r="N351" s="448" t="s">
        <v>8588</v>
      </c>
      <c r="O351" s="439" t="s">
        <v>8669</v>
      </c>
      <c r="P351" s="439" t="s">
        <v>8672</v>
      </c>
      <c r="Q351" s="432" t="s">
        <v>5729</v>
      </c>
      <c r="R351" s="432" t="s">
        <v>4</v>
      </c>
      <c r="S351" s="432"/>
      <c r="T351" s="432" t="s">
        <v>6528</v>
      </c>
    </row>
    <row r="352" spans="1:20" ht="22" customHeight="1">
      <c r="A352" s="432" t="s">
        <v>5734</v>
      </c>
      <c r="B352" s="432" t="s">
        <v>5402</v>
      </c>
      <c r="C352" s="451" t="s">
        <v>8708</v>
      </c>
      <c r="D352" s="432"/>
      <c r="E352" s="433" t="s">
        <v>6174</v>
      </c>
      <c r="F352" s="433" t="s">
        <v>7161</v>
      </c>
      <c r="G352" s="433" t="s">
        <v>7162</v>
      </c>
      <c r="H352" s="434">
        <v>2</v>
      </c>
      <c r="I352" s="433" t="s">
        <v>2234</v>
      </c>
      <c r="J352" s="433" t="s">
        <v>7379</v>
      </c>
      <c r="K352" s="438" t="s">
        <v>8277</v>
      </c>
      <c r="L352" s="439" t="s">
        <v>8292</v>
      </c>
      <c r="M352" s="448" t="s">
        <v>8364</v>
      </c>
      <c r="N352" s="448" t="s">
        <v>8588</v>
      </c>
      <c r="O352" s="439" t="s">
        <v>8669</v>
      </c>
      <c r="P352" s="439" t="s">
        <v>8672</v>
      </c>
      <c r="Q352" s="432" t="s">
        <v>5729</v>
      </c>
      <c r="R352" s="432" t="s">
        <v>4</v>
      </c>
      <c r="S352" s="432"/>
      <c r="T352" s="432" t="s">
        <v>6724</v>
      </c>
    </row>
    <row r="353" spans="1:20" ht="22" customHeight="1">
      <c r="A353" s="432" t="s">
        <v>5735</v>
      </c>
      <c r="B353" s="432" t="s">
        <v>5402</v>
      </c>
      <c r="C353" s="451" t="s">
        <v>8708</v>
      </c>
      <c r="D353" s="432"/>
      <c r="E353" s="433" t="s">
        <v>6175</v>
      </c>
      <c r="F353" s="433" t="s">
        <v>7163</v>
      </c>
      <c r="G353" s="433" t="s">
        <v>7164</v>
      </c>
      <c r="H353" s="434">
        <v>1.5</v>
      </c>
      <c r="I353" s="433" t="s">
        <v>2234</v>
      </c>
      <c r="J353" s="433" t="s">
        <v>7379</v>
      </c>
      <c r="K353" s="438" t="s">
        <v>8277</v>
      </c>
      <c r="L353" s="439" t="s">
        <v>8292</v>
      </c>
      <c r="M353" s="448" t="s">
        <v>8364</v>
      </c>
      <c r="N353" s="448" t="s">
        <v>8588</v>
      </c>
      <c r="O353" s="439" t="s">
        <v>8669</v>
      </c>
      <c r="P353" s="439" t="s">
        <v>8672</v>
      </c>
      <c r="Q353" s="432" t="s">
        <v>5734</v>
      </c>
      <c r="R353" s="432" t="s">
        <v>4</v>
      </c>
      <c r="S353" s="432"/>
      <c r="T353" s="432" t="s">
        <v>6724</v>
      </c>
    </row>
    <row r="354" spans="1:20" ht="22" customHeight="1">
      <c r="A354" s="432" t="s">
        <v>5736</v>
      </c>
      <c r="B354" s="432" t="s">
        <v>5403</v>
      </c>
      <c r="C354" s="451" t="s">
        <v>8708</v>
      </c>
      <c r="D354" s="432"/>
      <c r="E354" s="433" t="s">
        <v>6176</v>
      </c>
      <c r="F354" s="433" t="s">
        <v>7165</v>
      </c>
      <c r="G354" s="433" t="s">
        <v>7166</v>
      </c>
      <c r="H354" s="434">
        <v>2</v>
      </c>
      <c r="I354" s="433" t="s">
        <v>7846</v>
      </c>
      <c r="J354" s="433" t="s">
        <v>7357</v>
      </c>
      <c r="K354" s="438" t="s">
        <v>8277</v>
      </c>
      <c r="L354" s="439" t="s">
        <v>8296</v>
      </c>
      <c r="M354" s="448" t="s">
        <v>8312</v>
      </c>
      <c r="N354" s="448" t="s">
        <v>8588</v>
      </c>
      <c r="O354" s="439" t="s">
        <v>8669</v>
      </c>
      <c r="P354" s="439" t="s">
        <v>8672</v>
      </c>
      <c r="Q354" s="432" t="s">
        <v>2234</v>
      </c>
      <c r="R354" s="432" t="s">
        <v>4</v>
      </c>
      <c r="S354" s="432"/>
      <c r="T354" s="432" t="s">
        <v>6457</v>
      </c>
    </row>
    <row r="355" spans="1:20" ht="22" customHeight="1">
      <c r="A355" s="432" t="s">
        <v>5737</v>
      </c>
      <c r="B355" s="432" t="s">
        <v>5403</v>
      </c>
      <c r="C355" s="451" t="s">
        <v>8708</v>
      </c>
      <c r="D355" s="432"/>
      <c r="E355" s="433" t="s">
        <v>6177</v>
      </c>
      <c r="F355" s="433" t="s">
        <v>7167</v>
      </c>
      <c r="G355" s="433" t="s">
        <v>7168</v>
      </c>
      <c r="H355" s="434">
        <v>3</v>
      </c>
      <c r="I355" s="433" t="s">
        <v>7846</v>
      </c>
      <c r="J355" s="433" t="s">
        <v>7383</v>
      </c>
      <c r="K355" s="438" t="s">
        <v>8277</v>
      </c>
      <c r="L355" s="439" t="s">
        <v>8296</v>
      </c>
      <c r="M355" s="448" t="s">
        <v>8312</v>
      </c>
      <c r="N355" s="448" t="s">
        <v>8588</v>
      </c>
      <c r="O355" s="439" t="s">
        <v>8669</v>
      </c>
      <c r="P355" s="439" t="s">
        <v>8672</v>
      </c>
      <c r="Q355" s="432" t="s">
        <v>5675</v>
      </c>
      <c r="R355" s="432" t="s">
        <v>4</v>
      </c>
      <c r="S355" s="432"/>
      <c r="T355" s="432" t="s">
        <v>6727</v>
      </c>
    </row>
    <row r="356" spans="1:20" ht="22" customHeight="1">
      <c r="A356" s="432" t="s">
        <v>5738</v>
      </c>
      <c r="B356" s="432" t="s">
        <v>5403</v>
      </c>
      <c r="C356" s="451" t="s">
        <v>8708</v>
      </c>
      <c r="D356" s="432"/>
      <c r="E356" s="433" t="s">
        <v>6178</v>
      </c>
      <c r="F356" s="433" t="s">
        <v>7169</v>
      </c>
      <c r="G356" s="433" t="s">
        <v>7170</v>
      </c>
      <c r="H356" s="434">
        <v>3</v>
      </c>
      <c r="I356" s="433" t="s">
        <v>7846</v>
      </c>
      <c r="J356" s="433" t="s">
        <v>7383</v>
      </c>
      <c r="K356" s="438" t="s">
        <v>8277</v>
      </c>
      <c r="L356" s="439" t="s">
        <v>8296</v>
      </c>
      <c r="M356" s="448" t="s">
        <v>8312</v>
      </c>
      <c r="N356" s="448" t="s">
        <v>8588</v>
      </c>
      <c r="O356" s="439" t="s">
        <v>8669</v>
      </c>
      <c r="P356" s="439" t="s">
        <v>8672</v>
      </c>
      <c r="Q356" s="432" t="s">
        <v>5736</v>
      </c>
      <c r="R356" s="432" t="s">
        <v>4</v>
      </c>
      <c r="S356" s="432"/>
      <c r="T356" s="432" t="s">
        <v>6727</v>
      </c>
    </row>
    <row r="357" spans="1:20" ht="22" customHeight="1">
      <c r="A357" s="432" t="s">
        <v>5739</v>
      </c>
      <c r="B357" s="432" t="s">
        <v>5403</v>
      </c>
      <c r="C357" s="451" t="s">
        <v>8708</v>
      </c>
      <c r="D357" s="432"/>
      <c r="E357" s="433" t="s">
        <v>6179</v>
      </c>
      <c r="F357" s="433" t="s">
        <v>7171</v>
      </c>
      <c r="G357" s="433" t="s">
        <v>7172</v>
      </c>
      <c r="H357" s="434">
        <v>3</v>
      </c>
      <c r="I357" s="433" t="s">
        <v>7841</v>
      </c>
      <c r="J357" s="433" t="s">
        <v>7352</v>
      </c>
      <c r="K357" s="438" t="s">
        <v>8278</v>
      </c>
      <c r="L357" s="439" t="s">
        <v>8299</v>
      </c>
      <c r="M357" s="448" t="s">
        <v>8340</v>
      </c>
      <c r="N357" s="448" t="s">
        <v>8588</v>
      </c>
      <c r="O357" s="439" t="s">
        <v>8667</v>
      </c>
      <c r="P357" s="439" t="s">
        <v>8671</v>
      </c>
      <c r="Q357" s="432" t="s">
        <v>2234</v>
      </c>
      <c r="R357" s="432" t="s">
        <v>4</v>
      </c>
      <c r="S357" s="432"/>
      <c r="T357" s="432" t="s">
        <v>6427</v>
      </c>
    </row>
    <row r="358" spans="1:20" ht="22" customHeight="1">
      <c r="A358" s="432" t="s">
        <v>5740</v>
      </c>
      <c r="B358" s="432" t="s">
        <v>5403</v>
      </c>
      <c r="C358" s="451" t="s">
        <v>8708</v>
      </c>
      <c r="D358" s="432"/>
      <c r="E358" s="433" t="s">
        <v>6180</v>
      </c>
      <c r="F358" s="433" t="s">
        <v>7173</v>
      </c>
      <c r="G358" s="433" t="s">
        <v>7174</v>
      </c>
      <c r="H358" s="434">
        <v>2</v>
      </c>
      <c r="I358" s="433" t="s">
        <v>7841</v>
      </c>
      <c r="J358" s="433" t="s">
        <v>7352</v>
      </c>
      <c r="K358" s="438" t="s">
        <v>8278</v>
      </c>
      <c r="L358" s="439" t="s">
        <v>8299</v>
      </c>
      <c r="M358" s="448" t="s">
        <v>8340</v>
      </c>
      <c r="N358" s="448" t="s">
        <v>8588</v>
      </c>
      <c r="O358" s="439" t="s">
        <v>8667</v>
      </c>
      <c r="P358" s="439" t="s">
        <v>8671</v>
      </c>
      <c r="Q358" s="432" t="s">
        <v>5739</v>
      </c>
      <c r="R358" s="432" t="s">
        <v>4</v>
      </c>
      <c r="S358" s="432"/>
      <c r="T358" s="432" t="s">
        <v>6427</v>
      </c>
    </row>
    <row r="359" spans="1:20" ht="22" customHeight="1">
      <c r="A359" s="432" t="s">
        <v>5741</v>
      </c>
      <c r="B359" s="432" t="s">
        <v>5403</v>
      </c>
      <c r="C359" s="451" t="s">
        <v>8708</v>
      </c>
      <c r="D359" s="432"/>
      <c r="E359" s="433" t="s">
        <v>7792</v>
      </c>
      <c r="F359" s="433" t="s">
        <v>7175</v>
      </c>
      <c r="G359" s="433" t="s">
        <v>7176</v>
      </c>
      <c r="H359" s="434">
        <v>2</v>
      </c>
      <c r="I359" s="433" t="s">
        <v>7852</v>
      </c>
      <c r="J359" s="433" t="s">
        <v>7358</v>
      </c>
      <c r="K359" s="438" t="s">
        <v>8277</v>
      </c>
      <c r="L359" s="439" t="s">
        <v>8295</v>
      </c>
      <c r="M359" s="448" t="s">
        <v>8323</v>
      </c>
      <c r="N359" s="448" t="s">
        <v>8588</v>
      </c>
      <c r="O359" s="439" t="s">
        <v>8667</v>
      </c>
      <c r="P359" s="439" t="s">
        <v>8671</v>
      </c>
      <c r="Q359" s="432" t="s">
        <v>5739</v>
      </c>
      <c r="R359" s="432" t="s">
        <v>4</v>
      </c>
      <c r="S359" s="432"/>
      <c r="T359" s="432" t="s">
        <v>6465</v>
      </c>
    </row>
    <row r="360" spans="1:20" ht="22" customHeight="1">
      <c r="A360" s="432" t="s">
        <v>5742</v>
      </c>
      <c r="B360" s="432" t="s">
        <v>5403</v>
      </c>
      <c r="C360" s="451" t="s">
        <v>8708</v>
      </c>
      <c r="D360" s="432"/>
      <c r="E360" s="433" t="s">
        <v>7603</v>
      </c>
      <c r="F360" s="433" t="s">
        <v>7177</v>
      </c>
      <c r="G360" s="433" t="s">
        <v>7178</v>
      </c>
      <c r="H360" s="434">
        <v>3</v>
      </c>
      <c r="I360" s="433" t="s">
        <v>7858</v>
      </c>
      <c r="J360" s="433" t="s">
        <v>7363</v>
      </c>
      <c r="K360" s="438" t="s">
        <v>8277</v>
      </c>
      <c r="L360" s="439" t="s">
        <v>8296</v>
      </c>
      <c r="M360" s="448" t="s">
        <v>8618</v>
      </c>
      <c r="N360" s="448" t="s">
        <v>8588</v>
      </c>
      <c r="O360" s="439" t="s">
        <v>8667</v>
      </c>
      <c r="P360" s="439" t="s">
        <v>8672</v>
      </c>
      <c r="Q360" s="432" t="s">
        <v>2234</v>
      </c>
      <c r="R360" s="432" t="s">
        <v>4</v>
      </c>
      <c r="S360" s="432"/>
      <c r="T360" s="432" t="s">
        <v>6487</v>
      </c>
    </row>
    <row r="361" spans="1:20" ht="22" customHeight="1">
      <c r="A361" s="432" t="s">
        <v>5743</v>
      </c>
      <c r="B361" s="432" t="s">
        <v>5403</v>
      </c>
      <c r="C361" s="451" t="s">
        <v>8708</v>
      </c>
      <c r="D361" s="432"/>
      <c r="E361" s="433" t="s">
        <v>7793</v>
      </c>
      <c r="F361" s="433" t="s">
        <v>7179</v>
      </c>
      <c r="G361" s="433" t="s">
        <v>7180</v>
      </c>
      <c r="H361" s="434">
        <v>3</v>
      </c>
      <c r="I361" s="433" t="s">
        <v>2740</v>
      </c>
      <c r="J361" s="433" t="s">
        <v>7290</v>
      </c>
      <c r="K361" s="438" t="s">
        <v>8277</v>
      </c>
      <c r="L361" s="439" t="s">
        <v>8303</v>
      </c>
      <c r="M361" s="448" t="s">
        <v>8365</v>
      </c>
      <c r="N361" s="448" t="s">
        <v>8588</v>
      </c>
      <c r="O361" s="439" t="s">
        <v>8667</v>
      </c>
      <c r="P361" s="439" t="s">
        <v>8671</v>
      </c>
      <c r="Q361" s="432" t="s">
        <v>2234</v>
      </c>
      <c r="R361" s="432" t="s">
        <v>4</v>
      </c>
      <c r="S361" s="432"/>
      <c r="T361" s="432" t="s">
        <v>2740</v>
      </c>
    </row>
    <row r="362" spans="1:20" ht="22" customHeight="1">
      <c r="A362" s="432" t="s">
        <v>5744</v>
      </c>
      <c r="B362" s="432" t="s">
        <v>5404</v>
      </c>
      <c r="C362" s="451" t="s">
        <v>8708</v>
      </c>
      <c r="D362" s="432"/>
      <c r="E362" s="433" t="s">
        <v>6181</v>
      </c>
      <c r="F362" s="433" t="s">
        <v>7181</v>
      </c>
      <c r="G362" s="433" t="s">
        <v>7182</v>
      </c>
      <c r="H362" s="434">
        <v>2</v>
      </c>
      <c r="I362" s="433" t="s">
        <v>2740</v>
      </c>
      <c r="J362" s="433" t="s">
        <v>7290</v>
      </c>
      <c r="K362" s="438" t="s">
        <v>8277</v>
      </c>
      <c r="L362" s="439" t="s">
        <v>8305</v>
      </c>
      <c r="M362" s="448" t="s">
        <v>8366</v>
      </c>
      <c r="N362" s="448" t="s">
        <v>8588</v>
      </c>
      <c r="O362" s="439" t="s">
        <v>8667</v>
      </c>
      <c r="P362" s="439" t="s">
        <v>8671</v>
      </c>
      <c r="Q362" s="432" t="s">
        <v>5394</v>
      </c>
      <c r="R362" s="432" t="s">
        <v>4</v>
      </c>
      <c r="S362" s="432"/>
      <c r="T362" s="432" t="s">
        <v>2740</v>
      </c>
    </row>
    <row r="363" spans="1:20" ht="22" customHeight="1">
      <c r="A363" s="432" t="s">
        <v>5745</v>
      </c>
      <c r="B363" s="432" t="s">
        <v>5404</v>
      </c>
      <c r="C363" s="451" t="s">
        <v>8708</v>
      </c>
      <c r="D363" s="432"/>
      <c r="E363" s="433" t="s">
        <v>6182</v>
      </c>
      <c r="F363" s="433" t="s">
        <v>7183</v>
      </c>
      <c r="G363" s="433" t="s">
        <v>7184</v>
      </c>
      <c r="H363" s="434">
        <v>2</v>
      </c>
      <c r="I363" s="433" t="s">
        <v>2740</v>
      </c>
      <c r="J363" s="433" t="s">
        <v>7290</v>
      </c>
      <c r="K363" s="438" t="s">
        <v>8277</v>
      </c>
      <c r="L363" s="439" t="s">
        <v>8305</v>
      </c>
      <c r="M363" s="448" t="s">
        <v>8366</v>
      </c>
      <c r="N363" s="448" t="s">
        <v>8588</v>
      </c>
      <c r="O363" s="439" t="s">
        <v>8667</v>
      </c>
      <c r="P363" s="439" t="s">
        <v>8671</v>
      </c>
      <c r="Q363" s="432" t="s">
        <v>4809</v>
      </c>
      <c r="R363" s="432" t="s">
        <v>4</v>
      </c>
      <c r="S363" s="432"/>
      <c r="T363" s="432" t="s">
        <v>2740</v>
      </c>
    </row>
    <row r="364" spans="1:20" ht="22" customHeight="1">
      <c r="A364" s="432" t="s">
        <v>5746</v>
      </c>
      <c r="B364" s="432" t="s">
        <v>5404</v>
      </c>
      <c r="C364" s="451" t="s">
        <v>8708</v>
      </c>
      <c r="D364" s="432"/>
      <c r="E364" s="433" t="s">
        <v>6183</v>
      </c>
      <c r="F364" s="433" t="s">
        <v>7185</v>
      </c>
      <c r="G364" s="433" t="s">
        <v>7186</v>
      </c>
      <c r="H364" s="434">
        <v>2</v>
      </c>
      <c r="I364" s="433" t="s">
        <v>2740</v>
      </c>
      <c r="J364" s="433" t="s">
        <v>7290</v>
      </c>
      <c r="K364" s="438" t="s">
        <v>8277</v>
      </c>
      <c r="L364" s="439" t="s">
        <v>8305</v>
      </c>
      <c r="M364" s="448" t="s">
        <v>8366</v>
      </c>
      <c r="N364" s="448" t="s">
        <v>8588</v>
      </c>
      <c r="O364" s="439" t="s">
        <v>8667</v>
      </c>
      <c r="P364" s="439" t="s">
        <v>8671</v>
      </c>
      <c r="Q364" s="432" t="s">
        <v>5747</v>
      </c>
      <c r="R364" s="432" t="s">
        <v>4</v>
      </c>
      <c r="S364" s="432"/>
      <c r="T364" s="432" t="s">
        <v>2740</v>
      </c>
    </row>
    <row r="365" spans="1:20" ht="22" customHeight="1">
      <c r="A365" s="432" t="s">
        <v>5748</v>
      </c>
      <c r="B365" s="432" t="s">
        <v>5404</v>
      </c>
      <c r="C365" s="451" t="s">
        <v>8708</v>
      </c>
      <c r="D365" s="432"/>
      <c r="E365" s="433" t="s">
        <v>7794</v>
      </c>
      <c r="F365" s="433" t="s">
        <v>7187</v>
      </c>
      <c r="G365" s="433" t="s">
        <v>7188</v>
      </c>
      <c r="H365" s="434">
        <v>3</v>
      </c>
      <c r="I365" s="433" t="s">
        <v>7840</v>
      </c>
      <c r="J365" s="433" t="s">
        <v>7350</v>
      </c>
      <c r="K365" s="438" t="s">
        <v>8277</v>
      </c>
      <c r="L365" s="439" t="s">
        <v>8292</v>
      </c>
      <c r="M365" s="448" t="s">
        <v>8339</v>
      </c>
      <c r="N365" s="448" t="s">
        <v>8588</v>
      </c>
      <c r="O365" s="439" t="s">
        <v>8669</v>
      </c>
      <c r="P365" s="439" t="s">
        <v>8672</v>
      </c>
      <c r="Q365" s="432" t="s">
        <v>2234</v>
      </c>
      <c r="R365" s="432" t="s">
        <v>4</v>
      </c>
      <c r="S365" s="432"/>
      <c r="T365" s="432" t="s">
        <v>6422</v>
      </c>
    </row>
    <row r="366" spans="1:20" ht="22" customHeight="1">
      <c r="A366" s="432" t="s">
        <v>5749</v>
      </c>
      <c r="B366" s="432" t="s">
        <v>5404</v>
      </c>
      <c r="C366" s="451" t="s">
        <v>8708</v>
      </c>
      <c r="D366" s="432"/>
      <c r="E366" s="433" t="s">
        <v>6184</v>
      </c>
      <c r="F366" s="433" t="s">
        <v>7189</v>
      </c>
      <c r="G366" s="433" t="s">
        <v>7190</v>
      </c>
      <c r="H366" s="434">
        <v>3</v>
      </c>
      <c r="I366" s="433" t="s">
        <v>2740</v>
      </c>
      <c r="J366" s="433" t="s">
        <v>7289</v>
      </c>
      <c r="K366" s="438" t="s">
        <v>8277</v>
      </c>
      <c r="L366" s="439" t="s">
        <v>8305</v>
      </c>
      <c r="M366" s="448" t="s">
        <v>8366</v>
      </c>
      <c r="N366" s="448" t="s">
        <v>8588</v>
      </c>
      <c r="O366" s="439" t="s">
        <v>8667</v>
      </c>
      <c r="P366" s="439" t="s">
        <v>8671</v>
      </c>
      <c r="Q366" s="432" t="s">
        <v>625</v>
      </c>
      <c r="R366" s="432" t="s">
        <v>4</v>
      </c>
      <c r="S366" s="432"/>
      <c r="T366" s="432" t="s">
        <v>2234</v>
      </c>
    </row>
    <row r="367" spans="1:20" ht="22" customHeight="1">
      <c r="A367" s="432" t="s">
        <v>5750</v>
      </c>
      <c r="B367" s="432" t="s">
        <v>5405</v>
      </c>
      <c r="C367" s="451" t="s">
        <v>8704</v>
      </c>
      <c r="D367" s="432"/>
      <c r="E367" s="433" t="s">
        <v>6185</v>
      </c>
      <c r="F367" s="433" t="s">
        <v>7191</v>
      </c>
      <c r="G367" s="433" t="s">
        <v>7192</v>
      </c>
      <c r="H367" s="434">
        <v>3</v>
      </c>
      <c r="I367" s="433" t="s">
        <v>2740</v>
      </c>
      <c r="J367" s="433" t="s">
        <v>7290</v>
      </c>
      <c r="K367" s="438" t="s">
        <v>8279</v>
      </c>
      <c r="L367" s="439" t="s">
        <v>8304</v>
      </c>
      <c r="M367" s="448" t="s">
        <v>8369</v>
      </c>
      <c r="N367" s="448" t="s">
        <v>8588</v>
      </c>
      <c r="O367" s="439" t="s">
        <v>8668</v>
      </c>
      <c r="P367" s="439" t="s">
        <v>8671</v>
      </c>
      <c r="Q367" s="432" t="s">
        <v>5751</v>
      </c>
      <c r="R367" s="432" t="s">
        <v>4</v>
      </c>
      <c r="S367" s="432"/>
      <c r="T367" s="432" t="s">
        <v>2740</v>
      </c>
    </row>
    <row r="368" spans="1:20" ht="22" customHeight="1">
      <c r="A368" s="432" t="s">
        <v>5752</v>
      </c>
      <c r="B368" s="432" t="s">
        <v>5405</v>
      </c>
      <c r="C368" s="451" t="s">
        <v>8704</v>
      </c>
      <c r="D368" s="432"/>
      <c r="E368" s="433" t="s">
        <v>5950</v>
      </c>
      <c r="F368" s="433" t="s">
        <v>7193</v>
      </c>
      <c r="G368" s="433" t="s">
        <v>7194</v>
      </c>
      <c r="H368" s="434">
        <v>3</v>
      </c>
      <c r="I368" s="433" t="s">
        <v>2740</v>
      </c>
      <c r="J368" s="433" t="s">
        <v>7290</v>
      </c>
      <c r="K368" s="438" t="s">
        <v>8279</v>
      </c>
      <c r="L368" s="439" t="s">
        <v>8304</v>
      </c>
      <c r="M368" s="448" t="s">
        <v>8369</v>
      </c>
      <c r="N368" s="448" t="s">
        <v>8588</v>
      </c>
      <c r="O368" s="439" t="s">
        <v>8668</v>
      </c>
      <c r="P368" s="439" t="s">
        <v>8671</v>
      </c>
      <c r="Q368" s="432" t="s">
        <v>5750</v>
      </c>
      <c r="R368" s="432" t="s">
        <v>4</v>
      </c>
      <c r="S368" s="432"/>
      <c r="T368" s="432" t="s">
        <v>2740</v>
      </c>
    </row>
    <row r="369" spans="1:20" ht="22" customHeight="1">
      <c r="A369" s="432" t="s">
        <v>5753</v>
      </c>
      <c r="B369" s="432" t="s">
        <v>5405</v>
      </c>
      <c r="C369" s="451" t="s">
        <v>8704</v>
      </c>
      <c r="D369" s="432"/>
      <c r="E369" s="433" t="s">
        <v>6186</v>
      </c>
      <c r="F369" s="433" t="s">
        <v>7195</v>
      </c>
      <c r="G369" s="433" t="s">
        <v>7196</v>
      </c>
      <c r="H369" s="434">
        <v>3</v>
      </c>
      <c r="I369" s="433" t="s">
        <v>2740</v>
      </c>
      <c r="J369" s="433" t="s">
        <v>7290</v>
      </c>
      <c r="K369" s="438" t="s">
        <v>8279</v>
      </c>
      <c r="L369" s="439" t="s">
        <v>8304</v>
      </c>
      <c r="M369" s="448" t="s">
        <v>8369</v>
      </c>
      <c r="N369" s="448" t="s">
        <v>8588</v>
      </c>
      <c r="O369" s="439" t="s">
        <v>8668</v>
      </c>
      <c r="P369" s="439" t="s">
        <v>8671</v>
      </c>
      <c r="Q369" s="432" t="s">
        <v>5752</v>
      </c>
      <c r="R369" s="432" t="s">
        <v>4</v>
      </c>
      <c r="S369" s="432"/>
      <c r="T369" s="432" t="s">
        <v>2740</v>
      </c>
    </row>
    <row r="370" spans="1:20" ht="22" customHeight="1">
      <c r="A370" s="432" t="s">
        <v>5754</v>
      </c>
      <c r="B370" s="432" t="s">
        <v>5405</v>
      </c>
      <c r="C370" s="451" t="s">
        <v>8704</v>
      </c>
      <c r="D370" s="432"/>
      <c r="E370" s="433" t="s">
        <v>5954</v>
      </c>
      <c r="F370" s="433" t="s">
        <v>7197</v>
      </c>
      <c r="G370" s="433" t="s">
        <v>7198</v>
      </c>
      <c r="H370" s="434">
        <v>3</v>
      </c>
      <c r="I370" s="433" t="s">
        <v>2740</v>
      </c>
      <c r="J370" s="433" t="s">
        <v>7290</v>
      </c>
      <c r="K370" s="438" t="s">
        <v>8279</v>
      </c>
      <c r="L370" s="439" t="s">
        <v>8304</v>
      </c>
      <c r="M370" s="448" t="s">
        <v>8369</v>
      </c>
      <c r="N370" s="448" t="s">
        <v>8588</v>
      </c>
      <c r="O370" s="439" t="s">
        <v>8668</v>
      </c>
      <c r="P370" s="439" t="s">
        <v>8671</v>
      </c>
      <c r="Q370" s="432" t="s">
        <v>5753</v>
      </c>
      <c r="R370" s="432" t="s">
        <v>4</v>
      </c>
      <c r="S370" s="432"/>
      <c r="T370" s="432" t="s">
        <v>2740</v>
      </c>
    </row>
    <row r="371" spans="1:20" ht="22" customHeight="1">
      <c r="A371" s="432" t="s">
        <v>5755</v>
      </c>
      <c r="B371" s="432" t="s">
        <v>5405</v>
      </c>
      <c r="C371" s="451" t="s">
        <v>8704</v>
      </c>
      <c r="D371" s="432"/>
      <c r="E371" s="433" t="s">
        <v>6187</v>
      </c>
      <c r="F371" s="433" t="s">
        <v>7199</v>
      </c>
      <c r="G371" s="433" t="s">
        <v>7200</v>
      </c>
      <c r="H371" s="434">
        <v>5</v>
      </c>
      <c r="I371" s="433" t="s">
        <v>2740</v>
      </c>
      <c r="J371" s="433" t="s">
        <v>7290</v>
      </c>
      <c r="K371" s="438" t="s">
        <v>8279</v>
      </c>
      <c r="L371" s="439" t="s">
        <v>8304</v>
      </c>
      <c r="M371" s="448" t="s">
        <v>8369</v>
      </c>
      <c r="N371" s="448" t="s">
        <v>8588</v>
      </c>
      <c r="O371" s="439" t="s">
        <v>8668</v>
      </c>
      <c r="P371" s="439" t="s">
        <v>8671</v>
      </c>
      <c r="Q371" s="432" t="s">
        <v>5754</v>
      </c>
      <c r="R371" s="432" t="s">
        <v>4</v>
      </c>
      <c r="S371" s="432"/>
      <c r="T371" s="432" t="s">
        <v>2740</v>
      </c>
    </row>
    <row r="372" spans="1:20" ht="22" customHeight="1">
      <c r="A372" s="432" t="s">
        <v>5756</v>
      </c>
      <c r="B372" s="432" t="s">
        <v>5405</v>
      </c>
      <c r="C372" s="451" t="s">
        <v>8704</v>
      </c>
      <c r="D372" s="432"/>
      <c r="E372" s="433" t="s">
        <v>6188</v>
      </c>
      <c r="F372" s="433" t="s">
        <v>7201</v>
      </c>
      <c r="G372" s="433" t="s">
        <v>7202</v>
      </c>
      <c r="H372" s="434">
        <v>5</v>
      </c>
      <c r="I372" s="433" t="s">
        <v>2740</v>
      </c>
      <c r="J372" s="433" t="s">
        <v>7290</v>
      </c>
      <c r="K372" s="438" t="s">
        <v>8279</v>
      </c>
      <c r="L372" s="439" t="s">
        <v>8304</v>
      </c>
      <c r="M372" s="448" t="s">
        <v>8369</v>
      </c>
      <c r="N372" s="448" t="s">
        <v>8588</v>
      </c>
      <c r="O372" s="439" t="s">
        <v>8668</v>
      </c>
      <c r="P372" s="439" t="s">
        <v>8671</v>
      </c>
      <c r="Q372" s="432" t="s">
        <v>5755</v>
      </c>
      <c r="R372" s="432" t="s">
        <v>4</v>
      </c>
      <c r="S372" s="432"/>
      <c r="T372" s="432" t="s">
        <v>2740</v>
      </c>
    </row>
    <row r="373" spans="1:20" ht="22" customHeight="1">
      <c r="A373" s="432" t="s">
        <v>7434</v>
      </c>
      <c r="B373" s="432" t="s">
        <v>5787</v>
      </c>
      <c r="C373" s="451" t="s">
        <v>8708</v>
      </c>
      <c r="D373" s="432"/>
      <c r="E373" s="433" t="s">
        <v>7435</v>
      </c>
      <c r="F373" s="433" t="s">
        <v>7482</v>
      </c>
      <c r="G373" s="433" t="s">
        <v>7483</v>
      </c>
      <c r="H373" s="434">
        <v>2</v>
      </c>
      <c r="I373" s="433" t="s">
        <v>7817</v>
      </c>
      <c r="J373" s="433" t="s">
        <v>7298</v>
      </c>
      <c r="K373" s="438" t="s">
        <v>8277</v>
      </c>
      <c r="L373" s="439" t="s">
        <v>8292</v>
      </c>
      <c r="M373" s="448" t="s">
        <v>8318</v>
      </c>
      <c r="N373" s="448" t="s">
        <v>8588</v>
      </c>
      <c r="O373" s="439" t="s">
        <v>8668</v>
      </c>
      <c r="P373" s="439" t="s">
        <v>8671</v>
      </c>
      <c r="Q373" s="432" t="s">
        <v>5331</v>
      </c>
      <c r="R373" s="432" t="s">
        <v>4</v>
      </c>
      <c r="S373" s="432"/>
      <c r="T373" s="432" t="s">
        <v>6283</v>
      </c>
    </row>
    <row r="374" spans="1:20" ht="22" customHeight="1">
      <c r="A374" s="432" t="s">
        <v>7436</v>
      </c>
      <c r="B374" s="432" t="s">
        <v>5787</v>
      </c>
      <c r="C374" s="451" t="s">
        <v>8708</v>
      </c>
      <c r="D374" s="432"/>
      <c r="E374" s="433" t="s">
        <v>7437</v>
      </c>
      <c r="F374" s="433" t="s">
        <v>7484</v>
      </c>
      <c r="G374" s="433" t="s">
        <v>7485</v>
      </c>
      <c r="H374" s="434">
        <v>2</v>
      </c>
      <c r="I374" s="433" t="s">
        <v>7815</v>
      </c>
      <c r="J374" s="433" t="s">
        <v>7305</v>
      </c>
      <c r="K374" s="438" t="s">
        <v>8277</v>
      </c>
      <c r="L374" s="439" t="s">
        <v>8612</v>
      </c>
      <c r="M374" s="448" t="s">
        <v>8683</v>
      </c>
      <c r="N374" s="448" t="s">
        <v>8712</v>
      </c>
      <c r="O374" s="439" t="s">
        <v>8668</v>
      </c>
      <c r="P374" s="439" t="s">
        <v>8671</v>
      </c>
      <c r="Q374" s="432" t="s">
        <v>5331</v>
      </c>
      <c r="R374" s="432" t="s">
        <v>4</v>
      </c>
      <c r="S374" s="432"/>
      <c r="T374" s="432" t="s">
        <v>6268</v>
      </c>
    </row>
    <row r="375" spans="1:20" ht="22" customHeight="1">
      <c r="A375" s="432" t="s">
        <v>7438</v>
      </c>
      <c r="B375" s="432" t="s">
        <v>5787</v>
      </c>
      <c r="C375" s="451" t="s">
        <v>8708</v>
      </c>
      <c r="D375" s="432"/>
      <c r="E375" s="433" t="s">
        <v>7439</v>
      </c>
      <c r="F375" s="433" t="s">
        <v>7486</v>
      </c>
      <c r="G375" s="433" t="s">
        <v>7487</v>
      </c>
      <c r="H375" s="434">
        <v>3</v>
      </c>
      <c r="I375" s="433" t="s">
        <v>7817</v>
      </c>
      <c r="J375" s="433" t="s">
        <v>7298</v>
      </c>
      <c r="K375" s="438" t="s">
        <v>8277</v>
      </c>
      <c r="L375" s="439" t="s">
        <v>8292</v>
      </c>
      <c r="M375" s="448" t="s">
        <v>8318</v>
      </c>
      <c r="N375" s="448" t="s">
        <v>8588</v>
      </c>
      <c r="O375" s="439" t="s">
        <v>8668</v>
      </c>
      <c r="P375" s="439" t="s">
        <v>8671</v>
      </c>
      <c r="Q375" s="432" t="s">
        <v>531</v>
      </c>
      <c r="R375" s="432" t="s">
        <v>4</v>
      </c>
      <c r="S375" s="432"/>
      <c r="T375" s="432" t="s">
        <v>6283</v>
      </c>
    </row>
    <row r="376" spans="1:20" ht="22" customHeight="1">
      <c r="A376" s="432" t="s">
        <v>7440</v>
      </c>
      <c r="B376" s="432" t="s">
        <v>5787</v>
      </c>
      <c r="C376" s="451" t="s">
        <v>8708</v>
      </c>
      <c r="D376" s="432"/>
      <c r="E376" s="433" t="s">
        <v>7441</v>
      </c>
      <c r="F376" s="433" t="s">
        <v>7488</v>
      </c>
      <c r="G376" s="433" t="s">
        <v>7489</v>
      </c>
      <c r="H376" s="434">
        <v>2</v>
      </c>
      <c r="I376" s="433" t="s">
        <v>7815</v>
      </c>
      <c r="J376" s="433" t="s">
        <v>7305</v>
      </c>
      <c r="K376" s="438" t="s">
        <v>8277</v>
      </c>
      <c r="L376" s="439" t="s">
        <v>8612</v>
      </c>
      <c r="M376" s="448" t="s">
        <v>8684</v>
      </c>
      <c r="N376" s="448" t="s">
        <v>8712</v>
      </c>
      <c r="O376" s="439" t="s">
        <v>8668</v>
      </c>
      <c r="P376" s="439" t="s">
        <v>8671</v>
      </c>
      <c r="Q376" s="432" t="s">
        <v>531</v>
      </c>
      <c r="R376" s="432" t="s">
        <v>4</v>
      </c>
      <c r="S376" s="432"/>
      <c r="T376" s="432" t="s">
        <v>6268</v>
      </c>
    </row>
    <row r="377" spans="1:20" ht="22" customHeight="1">
      <c r="A377" s="432" t="s">
        <v>5757</v>
      </c>
      <c r="B377" s="432" t="s">
        <v>5787</v>
      </c>
      <c r="C377" s="451" t="s">
        <v>8708</v>
      </c>
      <c r="D377" s="432"/>
      <c r="E377" s="433" t="s">
        <v>7795</v>
      </c>
      <c r="F377" s="433" t="s">
        <v>7203</v>
      </c>
      <c r="G377" s="433" t="s">
        <v>7204</v>
      </c>
      <c r="H377" s="434">
        <v>3</v>
      </c>
      <c r="I377" s="433" t="s">
        <v>7816</v>
      </c>
      <c r="J377" s="433" t="s">
        <v>7306</v>
      </c>
      <c r="K377" s="438" t="s">
        <v>8277</v>
      </c>
      <c r="L377" s="439" t="s">
        <v>8293</v>
      </c>
      <c r="M377" s="448" t="s">
        <v>8327</v>
      </c>
      <c r="N377" s="448" t="s">
        <v>8588</v>
      </c>
      <c r="O377" s="439" t="s">
        <v>8665</v>
      </c>
      <c r="P377" s="439" t="s">
        <v>8672</v>
      </c>
      <c r="Q377" s="432" t="s">
        <v>531</v>
      </c>
      <c r="R377" s="432" t="s">
        <v>4</v>
      </c>
      <c r="S377" s="432"/>
      <c r="T377" s="432" t="s">
        <v>6274</v>
      </c>
    </row>
    <row r="378" spans="1:20" ht="22" customHeight="1">
      <c r="A378" s="432" t="s">
        <v>5758</v>
      </c>
      <c r="B378" s="432" t="s">
        <v>5787</v>
      </c>
      <c r="C378" s="451" t="s">
        <v>8708</v>
      </c>
      <c r="D378" s="432"/>
      <c r="E378" s="433" t="s">
        <v>7796</v>
      </c>
      <c r="F378" s="433" t="s">
        <v>7205</v>
      </c>
      <c r="G378" s="433" t="s">
        <v>7206</v>
      </c>
      <c r="H378" s="434">
        <v>3</v>
      </c>
      <c r="I378" s="433" t="s">
        <v>7965</v>
      </c>
      <c r="J378" s="433" t="s">
        <v>7966</v>
      </c>
      <c r="K378" s="438" t="s">
        <v>8277</v>
      </c>
      <c r="L378" s="439" t="s">
        <v>8292</v>
      </c>
      <c r="M378" s="448" t="s">
        <v>8328</v>
      </c>
      <c r="N378" s="448" t="s">
        <v>8588</v>
      </c>
      <c r="O378" s="439" t="s">
        <v>8669</v>
      </c>
      <c r="P378" s="439" t="s">
        <v>8672</v>
      </c>
      <c r="Q378" s="432" t="s">
        <v>531</v>
      </c>
      <c r="R378" s="432" t="s">
        <v>4</v>
      </c>
      <c r="S378" s="432"/>
      <c r="T378" s="432" t="s">
        <v>6728</v>
      </c>
    </row>
    <row r="379" spans="1:20" ht="22" customHeight="1">
      <c r="A379" s="432" t="s">
        <v>5759</v>
      </c>
      <c r="B379" s="432" t="s">
        <v>5787</v>
      </c>
      <c r="C379" s="451" t="s">
        <v>8708</v>
      </c>
      <c r="D379" s="432"/>
      <c r="E379" s="433" t="s">
        <v>7797</v>
      </c>
      <c r="F379" s="433" t="s">
        <v>7207</v>
      </c>
      <c r="G379" s="433" t="s">
        <v>7208</v>
      </c>
      <c r="H379" s="434">
        <v>2</v>
      </c>
      <c r="I379" s="433" t="s">
        <v>7858</v>
      </c>
      <c r="J379" s="433" t="s">
        <v>7363</v>
      </c>
      <c r="K379" s="438" t="s">
        <v>8277</v>
      </c>
      <c r="L379" s="439" t="s">
        <v>8296</v>
      </c>
      <c r="M379" s="448" t="s">
        <v>8694</v>
      </c>
      <c r="N379" s="448" t="s">
        <v>8588</v>
      </c>
      <c r="O379" s="439" t="s">
        <v>8667</v>
      </c>
      <c r="P379" s="439" t="s">
        <v>8672</v>
      </c>
      <c r="Q379" s="432" t="s">
        <v>531</v>
      </c>
      <c r="R379" s="432" t="s">
        <v>4</v>
      </c>
      <c r="S379" s="432"/>
      <c r="T379" s="432" t="s">
        <v>6487</v>
      </c>
    </row>
    <row r="380" spans="1:20" ht="22" customHeight="1">
      <c r="A380" s="432" t="s">
        <v>5760</v>
      </c>
      <c r="B380" s="432" t="s">
        <v>5787</v>
      </c>
      <c r="C380" s="451" t="s">
        <v>8708</v>
      </c>
      <c r="D380" s="432"/>
      <c r="E380" s="433" t="s">
        <v>7798</v>
      </c>
      <c r="F380" s="433" t="s">
        <v>7209</v>
      </c>
      <c r="G380" s="433" t="s">
        <v>7210</v>
      </c>
      <c r="H380" s="434">
        <v>2</v>
      </c>
      <c r="I380" s="433" t="s">
        <v>2740</v>
      </c>
      <c r="J380" s="433" t="s">
        <v>7290</v>
      </c>
      <c r="K380" s="438" t="s">
        <v>8277</v>
      </c>
      <c r="L380" s="439" t="s">
        <v>8294</v>
      </c>
      <c r="M380" s="448" t="s">
        <v>8367</v>
      </c>
      <c r="N380" s="448" t="s">
        <v>8588</v>
      </c>
      <c r="O380" s="439" t="s">
        <v>8666</v>
      </c>
      <c r="P380" s="439" t="s">
        <v>8671</v>
      </c>
      <c r="Q380" s="432" t="s">
        <v>5761</v>
      </c>
      <c r="R380" s="432" t="s">
        <v>4</v>
      </c>
      <c r="S380" s="432"/>
      <c r="T380" s="432" t="s">
        <v>2740</v>
      </c>
    </row>
    <row r="381" spans="1:20" ht="22" customHeight="1">
      <c r="A381" s="432" t="s">
        <v>5762</v>
      </c>
      <c r="B381" s="432" t="s">
        <v>5787</v>
      </c>
      <c r="C381" s="451" t="s">
        <v>8708</v>
      </c>
      <c r="D381" s="432"/>
      <c r="E381" s="433" t="s">
        <v>7799</v>
      </c>
      <c r="F381" s="433" t="s">
        <v>7211</v>
      </c>
      <c r="G381" s="433" t="s">
        <v>7212</v>
      </c>
      <c r="H381" s="434">
        <v>3</v>
      </c>
      <c r="I381" s="433" t="s">
        <v>2740</v>
      </c>
      <c r="J381" s="433" t="s">
        <v>7290</v>
      </c>
      <c r="K381" s="438" t="s">
        <v>8277</v>
      </c>
      <c r="L381" s="439" t="s">
        <v>8294</v>
      </c>
      <c r="M381" s="448" t="s">
        <v>8367</v>
      </c>
      <c r="N381" s="448" t="s">
        <v>8588</v>
      </c>
      <c r="O381" s="439" t="s">
        <v>8666</v>
      </c>
      <c r="P381" s="439" t="s">
        <v>8671</v>
      </c>
      <c r="Q381" s="432" t="s">
        <v>2234</v>
      </c>
      <c r="R381" s="432" t="s">
        <v>4</v>
      </c>
      <c r="S381" s="432"/>
      <c r="T381" s="432" t="s">
        <v>2740</v>
      </c>
    </row>
    <row r="382" spans="1:20" ht="22" customHeight="1">
      <c r="A382" s="432" t="s">
        <v>5763</v>
      </c>
      <c r="B382" s="432" t="s">
        <v>5787</v>
      </c>
      <c r="C382" s="451" t="s">
        <v>8708</v>
      </c>
      <c r="D382" s="432"/>
      <c r="E382" s="433" t="s">
        <v>6189</v>
      </c>
      <c r="F382" s="433" t="s">
        <v>7213</v>
      </c>
      <c r="G382" s="433" t="s">
        <v>7214</v>
      </c>
      <c r="H382" s="434">
        <v>2</v>
      </c>
      <c r="I382" s="433" t="s">
        <v>7967</v>
      </c>
      <c r="J382" s="433" t="s">
        <v>7384</v>
      </c>
      <c r="K382" s="438" t="s">
        <v>8277</v>
      </c>
      <c r="L382" s="439" t="s">
        <v>8292</v>
      </c>
      <c r="M382" s="448" t="s">
        <v>8328</v>
      </c>
      <c r="N382" s="448" t="s">
        <v>8588</v>
      </c>
      <c r="O382" s="439" t="s">
        <v>8669</v>
      </c>
      <c r="P382" s="439" t="s">
        <v>8672</v>
      </c>
      <c r="Q382" s="432" t="s">
        <v>5317</v>
      </c>
      <c r="R382" s="432" t="s">
        <v>4</v>
      </c>
      <c r="S382" s="432"/>
      <c r="T382" s="432" t="s">
        <v>6711</v>
      </c>
    </row>
    <row r="383" spans="1:20" ht="22" customHeight="1">
      <c r="A383" s="432" t="s">
        <v>5764</v>
      </c>
      <c r="B383" s="432" t="s">
        <v>5787</v>
      </c>
      <c r="C383" s="451" t="s">
        <v>8708</v>
      </c>
      <c r="D383" s="432"/>
      <c r="E383" s="433" t="s">
        <v>6190</v>
      </c>
      <c r="F383" s="433" t="s">
        <v>7215</v>
      </c>
      <c r="G383" s="433" t="s">
        <v>7216</v>
      </c>
      <c r="H383" s="434">
        <v>3</v>
      </c>
      <c r="I383" s="433" t="s">
        <v>2740</v>
      </c>
      <c r="J383" s="433" t="s">
        <v>7290</v>
      </c>
      <c r="K383" s="438" t="s">
        <v>8277</v>
      </c>
      <c r="L383" s="439" t="s">
        <v>8294</v>
      </c>
      <c r="M383" s="448" t="s">
        <v>8367</v>
      </c>
      <c r="N383" s="448" t="s">
        <v>8588</v>
      </c>
      <c r="O383" s="439" t="s">
        <v>8666</v>
      </c>
      <c r="P383" s="439" t="s">
        <v>8671</v>
      </c>
      <c r="Q383" s="432" t="s">
        <v>2234</v>
      </c>
      <c r="R383" s="432" t="s">
        <v>4</v>
      </c>
      <c r="S383" s="432"/>
      <c r="T383" s="432" t="s">
        <v>2740</v>
      </c>
    </row>
    <row r="384" spans="1:20" ht="22" customHeight="1">
      <c r="A384" s="432" t="s">
        <v>7442</v>
      </c>
      <c r="B384" s="432" t="s">
        <v>5787</v>
      </c>
      <c r="C384" s="451" t="s">
        <v>8708</v>
      </c>
      <c r="D384" s="432"/>
      <c r="E384" s="433" t="s">
        <v>7800</v>
      </c>
      <c r="F384" s="433" t="s">
        <v>7490</v>
      </c>
      <c r="G384" s="433" t="s">
        <v>7491</v>
      </c>
      <c r="H384" s="434">
        <v>2</v>
      </c>
      <c r="I384" s="433" t="s">
        <v>7817</v>
      </c>
      <c r="J384" s="433" t="s">
        <v>7298</v>
      </c>
      <c r="K384" s="438" t="s">
        <v>8277</v>
      </c>
      <c r="L384" s="439" t="s">
        <v>8292</v>
      </c>
      <c r="M384" s="448" t="s">
        <v>8318</v>
      </c>
      <c r="N384" s="448" t="s">
        <v>8588</v>
      </c>
      <c r="O384" s="439" t="s">
        <v>8668</v>
      </c>
      <c r="P384" s="439" t="s">
        <v>8671</v>
      </c>
      <c r="Q384" s="432" t="s">
        <v>528</v>
      </c>
      <c r="R384" s="432" t="s">
        <v>4</v>
      </c>
      <c r="S384" s="432"/>
      <c r="T384" s="432" t="s">
        <v>6283</v>
      </c>
    </row>
    <row r="385" spans="1:20" ht="22" customHeight="1">
      <c r="A385" s="432" t="s">
        <v>7443</v>
      </c>
      <c r="B385" s="432" t="s">
        <v>5787</v>
      </c>
      <c r="C385" s="451" t="s">
        <v>8708</v>
      </c>
      <c r="D385" s="432"/>
      <c r="E385" s="433" t="s">
        <v>7801</v>
      </c>
      <c r="F385" s="433" t="s">
        <v>7492</v>
      </c>
      <c r="G385" s="433" t="s">
        <v>7493</v>
      </c>
      <c r="H385" s="434">
        <v>2</v>
      </c>
      <c r="I385" s="433" t="s">
        <v>7815</v>
      </c>
      <c r="J385" s="433" t="s">
        <v>7305</v>
      </c>
      <c r="K385" s="438" t="s">
        <v>8277</v>
      </c>
      <c r="L385" s="439" t="s">
        <v>8612</v>
      </c>
      <c r="M385" s="448" t="s">
        <v>8685</v>
      </c>
      <c r="N385" s="448" t="s">
        <v>8712</v>
      </c>
      <c r="O385" s="439" t="s">
        <v>8668</v>
      </c>
      <c r="P385" s="439" t="s">
        <v>8671</v>
      </c>
      <c r="Q385" s="432" t="s">
        <v>528</v>
      </c>
      <c r="R385" s="432" t="s">
        <v>4</v>
      </c>
      <c r="S385" s="432"/>
      <c r="T385" s="432" t="s">
        <v>6268</v>
      </c>
    </row>
    <row r="386" spans="1:20" ht="22" customHeight="1">
      <c r="A386" s="432" t="s">
        <v>5765</v>
      </c>
      <c r="B386" s="432" t="s">
        <v>5787</v>
      </c>
      <c r="C386" s="451" t="s">
        <v>8708</v>
      </c>
      <c r="D386" s="432"/>
      <c r="E386" s="433" t="s">
        <v>7802</v>
      </c>
      <c r="F386" s="433" t="s">
        <v>7217</v>
      </c>
      <c r="G386" s="433" t="s">
        <v>7218</v>
      </c>
      <c r="H386" s="434">
        <v>3</v>
      </c>
      <c r="I386" s="433" t="s">
        <v>7817</v>
      </c>
      <c r="J386" s="433" t="s">
        <v>7312</v>
      </c>
      <c r="K386" s="438" t="s">
        <v>8277</v>
      </c>
      <c r="L386" s="439" t="s">
        <v>8612</v>
      </c>
      <c r="M386" s="448" t="s">
        <v>8695</v>
      </c>
      <c r="N386" s="448" t="s">
        <v>8712</v>
      </c>
      <c r="O386" s="439" t="s">
        <v>8665</v>
      </c>
      <c r="P386" s="439" t="s">
        <v>8672</v>
      </c>
      <c r="Q386" s="432" t="s">
        <v>5331</v>
      </c>
      <c r="R386" s="432" t="s">
        <v>4</v>
      </c>
      <c r="S386" s="432"/>
      <c r="T386" s="432" t="s">
        <v>6296</v>
      </c>
    </row>
    <row r="387" spans="1:20" ht="22" customHeight="1">
      <c r="A387" s="432" t="s">
        <v>5766</v>
      </c>
      <c r="B387" s="432" t="s">
        <v>5787</v>
      </c>
      <c r="C387" s="451" t="s">
        <v>8708</v>
      </c>
      <c r="D387" s="432"/>
      <c r="E387" s="433" t="s">
        <v>7803</v>
      </c>
      <c r="F387" s="433" t="s">
        <v>7219</v>
      </c>
      <c r="G387" s="433" t="s">
        <v>7220</v>
      </c>
      <c r="H387" s="434">
        <v>3</v>
      </c>
      <c r="I387" s="433" t="s">
        <v>2740</v>
      </c>
      <c r="J387" s="433" t="s">
        <v>7290</v>
      </c>
      <c r="K387" s="438" t="s">
        <v>8277</v>
      </c>
      <c r="L387" s="439" t="s">
        <v>8294</v>
      </c>
      <c r="M387" s="448" t="s">
        <v>8676</v>
      </c>
      <c r="N387" s="448" t="s">
        <v>8588</v>
      </c>
      <c r="O387" s="439" t="s">
        <v>8666</v>
      </c>
      <c r="P387" s="439" t="s">
        <v>8671</v>
      </c>
      <c r="Q387" s="432" t="s">
        <v>2234</v>
      </c>
      <c r="R387" s="432" t="s">
        <v>4</v>
      </c>
      <c r="S387" s="432"/>
      <c r="T387" s="432" t="s">
        <v>2740</v>
      </c>
    </row>
    <row r="388" spans="1:20" ht="22" customHeight="1">
      <c r="A388" s="432" t="s">
        <v>5767</v>
      </c>
      <c r="B388" s="432" t="s">
        <v>5787</v>
      </c>
      <c r="C388" s="451" t="s">
        <v>8708</v>
      </c>
      <c r="D388" s="432"/>
      <c r="E388" s="433" t="s">
        <v>7804</v>
      </c>
      <c r="F388" s="433" t="s">
        <v>7221</v>
      </c>
      <c r="G388" s="433" t="s">
        <v>7222</v>
      </c>
      <c r="H388" s="434">
        <v>2</v>
      </c>
      <c r="I388" s="433" t="s">
        <v>7828</v>
      </c>
      <c r="J388" s="433" t="s">
        <v>7333</v>
      </c>
      <c r="K388" s="438" t="s">
        <v>8277</v>
      </c>
      <c r="L388" s="439" t="s">
        <v>8612</v>
      </c>
      <c r="M388" s="448" t="s">
        <v>8696</v>
      </c>
      <c r="N388" s="448" t="s">
        <v>8712</v>
      </c>
      <c r="O388" s="439" t="s">
        <v>8669</v>
      </c>
      <c r="P388" s="439" t="s">
        <v>8672</v>
      </c>
      <c r="Q388" s="432" t="s">
        <v>2234</v>
      </c>
      <c r="R388" s="432" t="s">
        <v>4</v>
      </c>
      <c r="S388" s="432"/>
      <c r="T388" s="432" t="s">
        <v>6367</v>
      </c>
    </row>
    <row r="389" spans="1:20" ht="22" customHeight="1">
      <c r="A389" s="432" t="s">
        <v>5768</v>
      </c>
      <c r="B389" s="432" t="s">
        <v>5787</v>
      </c>
      <c r="C389" s="451" t="s">
        <v>8708</v>
      </c>
      <c r="D389" s="432"/>
      <c r="E389" s="433" t="s">
        <v>6191</v>
      </c>
      <c r="F389" s="433" t="s">
        <v>7223</v>
      </c>
      <c r="G389" s="433" t="s">
        <v>7224</v>
      </c>
      <c r="H389" s="434">
        <v>4</v>
      </c>
      <c r="I389" s="433" t="s">
        <v>7840</v>
      </c>
      <c r="J389" s="433" t="s">
        <v>7350</v>
      </c>
      <c r="K389" s="438" t="s">
        <v>8277</v>
      </c>
      <c r="L389" s="439" t="s">
        <v>8292</v>
      </c>
      <c r="M389" s="448" t="s">
        <v>8339</v>
      </c>
      <c r="N389" s="448" t="s">
        <v>8588</v>
      </c>
      <c r="O389" s="439" t="s">
        <v>8669</v>
      </c>
      <c r="P389" s="439" t="s">
        <v>8672</v>
      </c>
      <c r="Q389" s="432" t="s">
        <v>5769</v>
      </c>
      <c r="R389" s="432" t="s">
        <v>4</v>
      </c>
      <c r="S389" s="432"/>
      <c r="T389" s="432" t="s">
        <v>6422</v>
      </c>
    </row>
    <row r="390" spans="1:20" ht="22" customHeight="1">
      <c r="A390" s="432" t="s">
        <v>5770</v>
      </c>
      <c r="B390" s="432" t="s">
        <v>5787</v>
      </c>
      <c r="C390" s="451" t="s">
        <v>8708</v>
      </c>
      <c r="D390" s="432"/>
      <c r="E390" s="433" t="s">
        <v>6192</v>
      </c>
      <c r="F390" s="433" t="s">
        <v>7225</v>
      </c>
      <c r="G390" s="433" t="s">
        <v>7226</v>
      </c>
      <c r="H390" s="434">
        <v>3</v>
      </c>
      <c r="I390" s="433" t="s">
        <v>7827</v>
      </c>
      <c r="J390" s="433" t="s">
        <v>7330</v>
      </c>
      <c r="K390" s="438" t="s">
        <v>8277</v>
      </c>
      <c r="L390" s="439" t="s">
        <v>8292</v>
      </c>
      <c r="M390" s="448" t="s">
        <v>8333</v>
      </c>
      <c r="N390" s="448" t="s">
        <v>8588</v>
      </c>
      <c r="O390" s="439" t="s">
        <v>8669</v>
      </c>
      <c r="P390" s="439" t="s">
        <v>8672</v>
      </c>
      <c r="Q390" s="432" t="s">
        <v>540</v>
      </c>
      <c r="R390" s="432" t="s">
        <v>4</v>
      </c>
      <c r="S390" s="432"/>
      <c r="T390" s="432" t="s">
        <v>6355</v>
      </c>
    </row>
    <row r="391" spans="1:20" ht="22" customHeight="1">
      <c r="A391" s="432" t="s">
        <v>5771</v>
      </c>
      <c r="B391" s="432" t="s">
        <v>5787</v>
      </c>
      <c r="C391" s="451" t="s">
        <v>8708</v>
      </c>
      <c r="D391" s="432"/>
      <c r="E391" s="433" t="s">
        <v>7805</v>
      </c>
      <c r="F391" s="433" t="s">
        <v>7227</v>
      </c>
      <c r="G391" s="433" t="s">
        <v>7228</v>
      </c>
      <c r="H391" s="434">
        <v>3</v>
      </c>
      <c r="I391" s="433" t="s">
        <v>7816</v>
      </c>
      <c r="J391" s="433" t="s">
        <v>7306</v>
      </c>
      <c r="K391" s="438" t="s">
        <v>8277</v>
      </c>
      <c r="L391" s="439" t="s">
        <v>8293</v>
      </c>
      <c r="M391" s="448" t="s">
        <v>8327</v>
      </c>
      <c r="N391" s="448" t="s">
        <v>8588</v>
      </c>
      <c r="O391" s="439" t="s">
        <v>8665</v>
      </c>
      <c r="P391" s="439" t="s">
        <v>8672</v>
      </c>
      <c r="Q391" s="432" t="s">
        <v>2234</v>
      </c>
      <c r="R391" s="432" t="s">
        <v>4</v>
      </c>
      <c r="S391" s="432"/>
      <c r="T391" s="432" t="s">
        <v>6274</v>
      </c>
    </row>
    <row r="392" spans="1:20" ht="22" customHeight="1">
      <c r="A392" s="432" t="s">
        <v>5772</v>
      </c>
      <c r="B392" s="432" t="s">
        <v>5787</v>
      </c>
      <c r="C392" s="451" t="s">
        <v>8708</v>
      </c>
      <c r="D392" s="432"/>
      <c r="E392" s="433" t="s">
        <v>7806</v>
      </c>
      <c r="F392" s="433" t="s">
        <v>7229</v>
      </c>
      <c r="G392" s="433" t="s">
        <v>7230</v>
      </c>
      <c r="H392" s="434">
        <v>4</v>
      </c>
      <c r="I392" s="433" t="s">
        <v>2740</v>
      </c>
      <c r="J392" s="433" t="s">
        <v>7289</v>
      </c>
      <c r="K392" s="438" t="s">
        <v>8277</v>
      </c>
      <c r="L392" s="439" t="s">
        <v>8294</v>
      </c>
      <c r="M392" s="448" t="s">
        <v>8367</v>
      </c>
      <c r="N392" s="448" t="s">
        <v>8588</v>
      </c>
      <c r="O392" s="439" t="s">
        <v>8666</v>
      </c>
      <c r="P392" s="439" t="s">
        <v>8671</v>
      </c>
      <c r="Q392" s="432" t="s">
        <v>5331</v>
      </c>
      <c r="R392" s="432" t="s">
        <v>4</v>
      </c>
      <c r="S392" s="432"/>
      <c r="T392" s="432" t="s">
        <v>2234</v>
      </c>
    </row>
    <row r="393" spans="1:20" ht="22" customHeight="1">
      <c r="A393" s="432" t="s">
        <v>5773</v>
      </c>
      <c r="B393" s="432" t="s">
        <v>5787</v>
      </c>
      <c r="C393" s="451" t="s">
        <v>8708</v>
      </c>
      <c r="D393" s="432"/>
      <c r="E393" s="433" t="s">
        <v>7807</v>
      </c>
      <c r="F393" s="433" t="s">
        <v>7231</v>
      </c>
      <c r="G393" s="433" t="s">
        <v>7232</v>
      </c>
      <c r="H393" s="434">
        <v>3</v>
      </c>
      <c r="I393" s="433" t="s">
        <v>2740</v>
      </c>
      <c r="J393" s="433" t="s">
        <v>7289</v>
      </c>
      <c r="K393" s="438" t="s">
        <v>8277</v>
      </c>
      <c r="L393" s="439" t="s">
        <v>8294</v>
      </c>
      <c r="M393" s="448" t="s">
        <v>8367</v>
      </c>
      <c r="N393" s="448" t="s">
        <v>8588</v>
      </c>
      <c r="O393" s="439" t="s">
        <v>8666</v>
      </c>
      <c r="P393" s="439" t="s">
        <v>8671</v>
      </c>
      <c r="Q393" s="432" t="s">
        <v>531</v>
      </c>
      <c r="R393" s="432" t="s">
        <v>4</v>
      </c>
      <c r="S393" s="432"/>
      <c r="T393" s="432" t="s">
        <v>2234</v>
      </c>
    </row>
    <row r="394" spans="1:20" ht="22" customHeight="1">
      <c r="A394" s="432" t="s">
        <v>5774</v>
      </c>
      <c r="B394" s="432" t="s">
        <v>5787</v>
      </c>
      <c r="C394" s="451" t="s">
        <v>8708</v>
      </c>
      <c r="D394" s="432"/>
      <c r="E394" s="433" t="s">
        <v>7808</v>
      </c>
      <c r="F394" s="433" t="s">
        <v>7233</v>
      </c>
      <c r="G394" s="433" t="s">
        <v>7234</v>
      </c>
      <c r="H394" s="434">
        <v>2</v>
      </c>
      <c r="I394" s="433" t="s">
        <v>2740</v>
      </c>
      <c r="J394" s="433" t="s">
        <v>7289</v>
      </c>
      <c r="K394" s="438" t="s">
        <v>8277</v>
      </c>
      <c r="L394" s="439" t="s">
        <v>8294</v>
      </c>
      <c r="M394" s="448" t="s">
        <v>8367</v>
      </c>
      <c r="N394" s="448" t="s">
        <v>8588</v>
      </c>
      <c r="O394" s="439" t="s">
        <v>8666</v>
      </c>
      <c r="P394" s="439" t="s">
        <v>8671</v>
      </c>
      <c r="Q394" s="432" t="s">
        <v>5775</v>
      </c>
      <c r="R394" s="432" t="s">
        <v>4</v>
      </c>
      <c r="S394" s="432"/>
      <c r="T394" s="432" t="s">
        <v>2234</v>
      </c>
    </row>
    <row r="395" spans="1:20" ht="22" customHeight="1">
      <c r="A395" s="432" t="s">
        <v>5776</v>
      </c>
      <c r="B395" s="432" t="s">
        <v>5788</v>
      </c>
      <c r="C395" s="451" t="s">
        <v>8704</v>
      </c>
      <c r="D395" s="432"/>
      <c r="E395" s="433" t="s">
        <v>7809</v>
      </c>
      <c r="F395" s="433" t="s">
        <v>7235</v>
      </c>
      <c r="G395" s="433" t="s">
        <v>7236</v>
      </c>
      <c r="H395" s="434">
        <v>4</v>
      </c>
      <c r="I395" s="433" t="s">
        <v>2740</v>
      </c>
      <c r="J395" s="433" t="s">
        <v>7290</v>
      </c>
      <c r="K395" s="438" t="s">
        <v>8279</v>
      </c>
      <c r="L395" s="439" t="s">
        <v>8302</v>
      </c>
      <c r="M395" s="448" t="s">
        <v>8314</v>
      </c>
      <c r="N395" s="448" t="s">
        <v>8588</v>
      </c>
      <c r="O395" s="439" t="s">
        <v>8667</v>
      </c>
      <c r="P395" s="439" t="s">
        <v>8671</v>
      </c>
      <c r="Q395" s="432" t="s">
        <v>2234</v>
      </c>
      <c r="R395" s="432" t="s">
        <v>4</v>
      </c>
      <c r="S395" s="432"/>
      <c r="T395" s="432" t="s">
        <v>2740</v>
      </c>
    </row>
    <row r="396" spans="1:20" ht="22" customHeight="1">
      <c r="A396" s="432" t="s">
        <v>5777</v>
      </c>
      <c r="B396" s="432" t="s">
        <v>5788</v>
      </c>
      <c r="C396" s="451" t="s">
        <v>8704</v>
      </c>
      <c r="D396" s="432"/>
      <c r="E396" s="433" t="s">
        <v>6193</v>
      </c>
      <c r="F396" s="433" t="s">
        <v>7237</v>
      </c>
      <c r="G396" s="433" t="s">
        <v>7238</v>
      </c>
      <c r="H396" s="434">
        <v>3</v>
      </c>
      <c r="I396" s="433" t="s">
        <v>2740</v>
      </c>
      <c r="J396" s="433" t="s">
        <v>7290</v>
      </c>
      <c r="K396" s="438" t="s">
        <v>8279</v>
      </c>
      <c r="L396" s="439" t="s">
        <v>8302</v>
      </c>
      <c r="M396" s="448" t="s">
        <v>8314</v>
      </c>
      <c r="N396" s="448" t="s">
        <v>8588</v>
      </c>
      <c r="O396" s="439" t="s">
        <v>8667</v>
      </c>
      <c r="P396" s="439" t="s">
        <v>8671</v>
      </c>
      <c r="Q396" s="432" t="s">
        <v>5329</v>
      </c>
      <c r="R396" s="432" t="s">
        <v>4</v>
      </c>
      <c r="S396" s="432"/>
      <c r="T396" s="432" t="s">
        <v>2740</v>
      </c>
    </row>
    <row r="397" spans="1:20" ht="22" customHeight="1">
      <c r="A397" s="432" t="s">
        <v>5778</v>
      </c>
      <c r="B397" s="432" t="s">
        <v>5788</v>
      </c>
      <c r="C397" s="451" t="s">
        <v>8707</v>
      </c>
      <c r="D397" s="432"/>
      <c r="E397" s="433" t="s">
        <v>7810</v>
      </c>
      <c r="F397" s="433" t="s">
        <v>6759</v>
      </c>
      <c r="G397" s="433" t="s">
        <v>6760</v>
      </c>
      <c r="H397" s="434">
        <v>0</v>
      </c>
      <c r="I397" s="433" t="s">
        <v>2740</v>
      </c>
      <c r="J397" s="433" t="s">
        <v>7297</v>
      </c>
      <c r="K397" s="438" t="s">
        <v>8279</v>
      </c>
      <c r="L397" s="439" t="s">
        <v>8302</v>
      </c>
      <c r="M397" s="448" t="s">
        <v>8314</v>
      </c>
      <c r="N397" s="448" t="s">
        <v>8588</v>
      </c>
      <c r="O397" s="439" t="s">
        <v>8667</v>
      </c>
      <c r="P397" s="439" t="s">
        <v>8671</v>
      </c>
      <c r="Q397" s="432" t="s">
        <v>5779</v>
      </c>
      <c r="R397" s="432" t="s">
        <v>6197</v>
      </c>
      <c r="S397" s="432"/>
      <c r="T397" s="432" t="s">
        <v>2234</v>
      </c>
    </row>
    <row r="398" spans="1:20" ht="22" customHeight="1">
      <c r="A398" s="432" t="s">
        <v>5780</v>
      </c>
      <c r="B398" s="432" t="s">
        <v>5788</v>
      </c>
      <c r="C398" s="451" t="s">
        <v>8707</v>
      </c>
      <c r="D398" s="432"/>
      <c r="E398" s="433" t="s">
        <v>6729</v>
      </c>
      <c r="F398" s="433" t="s">
        <v>7239</v>
      </c>
      <c r="G398" s="433" t="s">
        <v>7240</v>
      </c>
      <c r="H398" s="434">
        <v>4</v>
      </c>
      <c r="I398" s="433" t="s">
        <v>2234</v>
      </c>
      <c r="J398" s="433" t="s">
        <v>7375</v>
      </c>
      <c r="K398" s="438" t="s">
        <v>8279</v>
      </c>
      <c r="L398" s="439" t="s">
        <v>8302</v>
      </c>
      <c r="M398" s="448" t="s">
        <v>8314</v>
      </c>
      <c r="N398" s="448" t="s">
        <v>8588</v>
      </c>
      <c r="O398" s="439" t="s">
        <v>8667</v>
      </c>
      <c r="P398" s="439" t="s">
        <v>8672</v>
      </c>
      <c r="Q398" s="432" t="s">
        <v>5693</v>
      </c>
      <c r="R398" s="432" t="s">
        <v>4</v>
      </c>
      <c r="S398" s="432"/>
      <c r="T398" s="432" t="s">
        <v>6717</v>
      </c>
    </row>
    <row r="399" spans="1:20" ht="22" customHeight="1">
      <c r="A399" s="432" t="s">
        <v>5781</v>
      </c>
      <c r="B399" s="432" t="s">
        <v>5788</v>
      </c>
      <c r="C399" s="451" t="s">
        <v>8707</v>
      </c>
      <c r="D399" s="432"/>
      <c r="E399" s="433" t="s">
        <v>6194</v>
      </c>
      <c r="F399" s="433" t="s">
        <v>7241</v>
      </c>
      <c r="G399" s="433" t="s">
        <v>7242</v>
      </c>
      <c r="H399" s="434">
        <v>4</v>
      </c>
      <c r="I399" s="433" t="s">
        <v>7840</v>
      </c>
      <c r="J399" s="433" t="s">
        <v>7350</v>
      </c>
      <c r="K399" s="438" t="s">
        <v>8277</v>
      </c>
      <c r="L399" s="439" t="s">
        <v>8292</v>
      </c>
      <c r="M399" s="448" t="s">
        <v>8339</v>
      </c>
      <c r="N399" s="448" t="s">
        <v>8588</v>
      </c>
      <c r="O399" s="439" t="s">
        <v>8669</v>
      </c>
      <c r="P399" s="439" t="s">
        <v>8672</v>
      </c>
      <c r="Q399" s="432" t="s">
        <v>5768</v>
      </c>
      <c r="R399" s="432" t="s">
        <v>4</v>
      </c>
      <c r="S399" s="432"/>
      <c r="T399" s="432" t="s">
        <v>6422</v>
      </c>
    </row>
    <row r="400" spans="1:20" ht="22" customHeight="1">
      <c r="A400" s="432" t="s">
        <v>5782</v>
      </c>
      <c r="B400" s="432" t="s">
        <v>5788</v>
      </c>
      <c r="C400" s="451" t="s">
        <v>8707</v>
      </c>
      <c r="D400" s="432"/>
      <c r="E400" s="433" t="s">
        <v>7811</v>
      </c>
      <c r="F400" s="433" t="s">
        <v>7243</v>
      </c>
      <c r="G400" s="433" t="s">
        <v>7244</v>
      </c>
      <c r="H400" s="434">
        <v>3</v>
      </c>
      <c r="I400" s="433" t="s">
        <v>7841</v>
      </c>
      <c r="J400" s="433" t="s">
        <v>7352</v>
      </c>
      <c r="K400" s="438" t="s">
        <v>8278</v>
      </c>
      <c r="L400" s="439" t="s">
        <v>8299</v>
      </c>
      <c r="M400" s="448" t="s">
        <v>8340</v>
      </c>
      <c r="N400" s="448" t="s">
        <v>8588</v>
      </c>
      <c r="O400" s="439" t="s">
        <v>8667</v>
      </c>
      <c r="P400" s="439" t="s">
        <v>8671</v>
      </c>
      <c r="Q400" s="432" t="s">
        <v>2234</v>
      </c>
      <c r="R400" s="432" t="s">
        <v>4</v>
      </c>
      <c r="S400" s="432"/>
      <c r="T400" s="432" t="s">
        <v>6427</v>
      </c>
    </row>
    <row r="401" spans="1:26" ht="22" customHeight="1">
      <c r="A401" s="432" t="s">
        <v>5783</v>
      </c>
      <c r="B401" s="432" t="s">
        <v>5788</v>
      </c>
      <c r="C401" s="451" t="s">
        <v>8707</v>
      </c>
      <c r="D401" s="432"/>
      <c r="E401" s="433" t="s">
        <v>7812</v>
      </c>
      <c r="F401" s="433" t="s">
        <v>7245</v>
      </c>
      <c r="G401" s="433" t="s">
        <v>7246</v>
      </c>
      <c r="H401" s="434">
        <v>2</v>
      </c>
      <c r="I401" s="433" t="s">
        <v>7828</v>
      </c>
      <c r="J401" s="433" t="s">
        <v>7332</v>
      </c>
      <c r="K401" s="438" t="s">
        <v>8277</v>
      </c>
      <c r="L401" s="439" t="s">
        <v>8296</v>
      </c>
      <c r="M401" s="448" t="s">
        <v>8311</v>
      </c>
      <c r="N401" s="448" t="s">
        <v>8588</v>
      </c>
      <c r="O401" s="439" t="s">
        <v>8669</v>
      </c>
      <c r="P401" s="439" t="s">
        <v>8672</v>
      </c>
      <c r="Q401" s="432" t="s">
        <v>2234</v>
      </c>
      <c r="R401" s="432" t="s">
        <v>4</v>
      </c>
      <c r="S401" s="432"/>
      <c r="T401" s="432" t="s">
        <v>6360</v>
      </c>
    </row>
    <row r="402" spans="1:26" ht="22" customHeight="1">
      <c r="A402" s="432" t="s">
        <v>5784</v>
      </c>
      <c r="B402" s="432" t="s">
        <v>5788</v>
      </c>
      <c r="C402" s="451" t="s">
        <v>8707</v>
      </c>
      <c r="D402" s="432"/>
      <c r="E402" s="433" t="s">
        <v>6195</v>
      </c>
      <c r="F402" s="433" t="s">
        <v>7247</v>
      </c>
      <c r="G402" s="433" t="s">
        <v>7248</v>
      </c>
      <c r="H402" s="434">
        <v>2</v>
      </c>
      <c r="I402" s="433" t="s">
        <v>7835</v>
      </c>
      <c r="J402" s="433" t="s">
        <v>7836</v>
      </c>
      <c r="K402" s="438" t="s">
        <v>8277</v>
      </c>
      <c r="L402" s="439" t="s">
        <v>8292</v>
      </c>
      <c r="M402" s="448" t="s">
        <v>8339</v>
      </c>
      <c r="N402" s="448" t="s">
        <v>8588</v>
      </c>
      <c r="O402" s="439" t="s">
        <v>8669</v>
      </c>
      <c r="P402" s="439" t="s">
        <v>8672</v>
      </c>
      <c r="Q402" s="432" t="s">
        <v>5748</v>
      </c>
      <c r="R402" s="432" t="s">
        <v>4</v>
      </c>
      <c r="S402" s="432"/>
      <c r="T402" s="432" t="s">
        <v>6417</v>
      </c>
    </row>
    <row r="403" spans="1:26" ht="22" customHeight="1">
      <c r="A403" s="432" t="s">
        <v>5785</v>
      </c>
      <c r="B403" s="432" t="s">
        <v>5788</v>
      </c>
      <c r="C403" s="451" t="s">
        <v>8707</v>
      </c>
      <c r="D403" s="432"/>
      <c r="E403" s="433" t="s">
        <v>6196</v>
      </c>
      <c r="F403" s="433" t="s">
        <v>7249</v>
      </c>
      <c r="G403" s="433" t="s">
        <v>7250</v>
      </c>
      <c r="H403" s="434">
        <v>3</v>
      </c>
      <c r="I403" s="433" t="s">
        <v>2740</v>
      </c>
      <c r="J403" s="433" t="s">
        <v>7290</v>
      </c>
      <c r="K403" s="438" t="s">
        <v>8279</v>
      </c>
      <c r="L403" s="439" t="s">
        <v>8302</v>
      </c>
      <c r="M403" s="448" t="s">
        <v>8314</v>
      </c>
      <c r="N403" s="448" t="s">
        <v>8588</v>
      </c>
      <c r="O403" s="439" t="s">
        <v>8667</v>
      </c>
      <c r="P403" s="439" t="s">
        <v>8671</v>
      </c>
      <c r="Q403" s="432" t="s">
        <v>2234</v>
      </c>
      <c r="R403" s="432" t="s">
        <v>4</v>
      </c>
      <c r="S403" s="432"/>
      <c r="T403" s="432" t="s">
        <v>2740</v>
      </c>
    </row>
    <row r="404" spans="1:26" ht="22" customHeight="1">
      <c r="A404" s="432" t="s">
        <v>6198</v>
      </c>
      <c r="B404" s="432" t="s">
        <v>6199</v>
      </c>
      <c r="C404" s="451" t="s">
        <v>8707</v>
      </c>
      <c r="D404" s="432"/>
      <c r="E404" s="433" t="s">
        <v>7969</v>
      </c>
      <c r="F404" s="433" t="s">
        <v>6761</v>
      </c>
      <c r="G404" s="433" t="s">
        <v>6762</v>
      </c>
      <c r="H404" s="434">
        <v>1</v>
      </c>
      <c r="I404" s="433" t="s">
        <v>2740</v>
      </c>
      <c r="J404" s="433" t="s">
        <v>7290</v>
      </c>
      <c r="K404" s="438" t="s">
        <v>8277</v>
      </c>
      <c r="L404" s="439" t="s">
        <v>8292</v>
      </c>
      <c r="M404" s="448" t="s">
        <v>8317</v>
      </c>
      <c r="N404" s="448" t="s">
        <v>8588</v>
      </c>
      <c r="O404" s="439" t="s">
        <v>8669</v>
      </c>
      <c r="P404" s="439" t="s">
        <v>8672</v>
      </c>
      <c r="Q404" s="432" t="s">
        <v>2234</v>
      </c>
      <c r="R404" s="432" t="s">
        <v>4</v>
      </c>
      <c r="S404" s="432"/>
      <c r="T404" s="432" t="s">
        <v>2740</v>
      </c>
    </row>
    <row r="405" spans="1:26" ht="22" customHeight="1">
      <c r="A405" s="432" t="s">
        <v>6200</v>
      </c>
      <c r="B405" s="432" t="s">
        <v>6199</v>
      </c>
      <c r="C405" s="451" t="s">
        <v>8707</v>
      </c>
      <c r="D405" s="432"/>
      <c r="E405" s="433" t="s">
        <v>7970</v>
      </c>
      <c r="F405" s="433" t="s">
        <v>6763</v>
      </c>
      <c r="G405" s="433" t="s">
        <v>6764</v>
      </c>
      <c r="H405" s="434">
        <v>2</v>
      </c>
      <c r="I405" s="433" t="s">
        <v>2740</v>
      </c>
      <c r="J405" s="433" t="s">
        <v>7290</v>
      </c>
      <c r="K405" s="438" t="s">
        <v>8277</v>
      </c>
      <c r="L405" s="439" t="s">
        <v>8292</v>
      </c>
      <c r="M405" s="448" t="s">
        <v>8317</v>
      </c>
      <c r="N405" s="448" t="s">
        <v>8588</v>
      </c>
      <c r="O405" s="439" t="s">
        <v>8669</v>
      </c>
      <c r="P405" s="439" t="s">
        <v>8672</v>
      </c>
      <c r="Q405" s="432" t="s">
        <v>2234</v>
      </c>
      <c r="R405" s="432" t="s">
        <v>4</v>
      </c>
      <c r="S405" s="432"/>
      <c r="T405" s="432" t="s">
        <v>2740</v>
      </c>
    </row>
    <row r="406" spans="1:26" ht="22" customHeight="1">
      <c r="A406" s="432" t="s">
        <v>6201</v>
      </c>
      <c r="B406" s="432" t="s">
        <v>6199</v>
      </c>
      <c r="C406" s="451" t="s">
        <v>8707</v>
      </c>
      <c r="D406" s="432"/>
      <c r="E406" s="433" t="s">
        <v>7971</v>
      </c>
      <c r="F406" s="433" t="s">
        <v>6765</v>
      </c>
      <c r="G406" s="433" t="s">
        <v>6766</v>
      </c>
      <c r="H406" s="434">
        <v>1</v>
      </c>
      <c r="I406" s="433" t="s">
        <v>2740</v>
      </c>
      <c r="J406" s="433" t="s">
        <v>7290</v>
      </c>
      <c r="K406" s="438" t="s">
        <v>8277</v>
      </c>
      <c r="L406" s="439" t="s">
        <v>8292</v>
      </c>
      <c r="M406" s="448" t="s">
        <v>8317</v>
      </c>
      <c r="N406" s="448" t="s">
        <v>8588</v>
      </c>
      <c r="O406" s="439" t="s">
        <v>8669</v>
      </c>
      <c r="P406" s="439" t="s">
        <v>8672</v>
      </c>
      <c r="Q406" s="432" t="s">
        <v>2234</v>
      </c>
      <c r="R406" s="432" t="s">
        <v>4</v>
      </c>
      <c r="S406" s="432"/>
      <c r="T406" s="432" t="s">
        <v>2740</v>
      </c>
    </row>
    <row r="407" spans="1:26" ht="22" customHeight="1">
      <c r="A407" s="432" t="s">
        <v>6202</v>
      </c>
      <c r="B407" s="432" t="s">
        <v>6199</v>
      </c>
      <c r="C407" s="451" t="s">
        <v>8707</v>
      </c>
      <c r="D407" s="432"/>
      <c r="E407" s="433" t="s">
        <v>7972</v>
      </c>
      <c r="F407" s="433" t="s">
        <v>6767</v>
      </c>
      <c r="G407" s="433" t="s">
        <v>6768</v>
      </c>
      <c r="H407" s="434">
        <v>3</v>
      </c>
      <c r="I407" s="433" t="s">
        <v>2740</v>
      </c>
      <c r="J407" s="433" t="s">
        <v>7290</v>
      </c>
      <c r="K407" s="438" t="s">
        <v>8277</v>
      </c>
      <c r="L407" s="439" t="s">
        <v>8292</v>
      </c>
      <c r="M407" s="448" t="s">
        <v>8317</v>
      </c>
      <c r="N407" s="448" t="s">
        <v>8588</v>
      </c>
      <c r="O407" s="439" t="s">
        <v>8669</v>
      </c>
      <c r="P407" s="439" t="s">
        <v>8672</v>
      </c>
      <c r="Q407" s="432" t="s">
        <v>2234</v>
      </c>
      <c r="R407" s="432" t="s">
        <v>4</v>
      </c>
      <c r="S407" s="432"/>
      <c r="T407" s="432" t="s">
        <v>2740</v>
      </c>
    </row>
    <row r="408" spans="1:26" ht="22" customHeight="1">
      <c r="A408" s="432" t="s">
        <v>6204</v>
      </c>
      <c r="B408" s="432" t="s">
        <v>6199</v>
      </c>
      <c r="C408" s="451" t="s">
        <v>8707</v>
      </c>
      <c r="D408" s="432"/>
      <c r="E408" s="433" t="s">
        <v>7973</v>
      </c>
      <c r="F408" s="433" t="s">
        <v>6769</v>
      </c>
      <c r="G408" s="433" t="s">
        <v>6770</v>
      </c>
      <c r="H408" s="434">
        <v>2</v>
      </c>
      <c r="I408" s="433" t="s">
        <v>2740</v>
      </c>
      <c r="J408" s="433" t="s">
        <v>7290</v>
      </c>
      <c r="K408" s="438" t="s">
        <v>8277</v>
      </c>
      <c r="L408" s="438" t="s">
        <v>8292</v>
      </c>
      <c r="M408" s="449" t="s">
        <v>8317</v>
      </c>
      <c r="N408" s="448" t="s">
        <v>8588</v>
      </c>
      <c r="O408" s="439" t="s">
        <v>8669</v>
      </c>
      <c r="P408" s="439" t="s">
        <v>8672</v>
      </c>
      <c r="Q408" s="432" t="s">
        <v>2234</v>
      </c>
      <c r="R408" s="432" t="s">
        <v>4</v>
      </c>
      <c r="S408" s="432"/>
      <c r="T408" s="432" t="s">
        <v>2740</v>
      </c>
    </row>
    <row r="409" spans="1:26" ht="22" customHeight="1">
      <c r="A409" s="432" t="s">
        <v>6205</v>
      </c>
      <c r="B409" s="432" t="s">
        <v>6199</v>
      </c>
      <c r="C409" s="451" t="s">
        <v>8707</v>
      </c>
      <c r="D409" s="432"/>
      <c r="E409" s="433" t="s">
        <v>7974</v>
      </c>
      <c r="F409" s="433" t="s">
        <v>6771</v>
      </c>
      <c r="G409" s="433" t="s">
        <v>6772</v>
      </c>
      <c r="H409" s="434">
        <v>2</v>
      </c>
      <c r="I409" s="433" t="s">
        <v>2740</v>
      </c>
      <c r="J409" s="433" t="s">
        <v>7290</v>
      </c>
      <c r="K409" s="438" t="s">
        <v>8277</v>
      </c>
      <c r="L409" s="438" t="s">
        <v>8292</v>
      </c>
      <c r="M409" s="449" t="s">
        <v>8317</v>
      </c>
      <c r="N409" s="448" t="s">
        <v>8588</v>
      </c>
      <c r="O409" s="439" t="s">
        <v>8669</v>
      </c>
      <c r="P409" s="439" t="s">
        <v>8672</v>
      </c>
      <c r="Q409" s="432" t="s">
        <v>2234</v>
      </c>
      <c r="R409" s="432" t="s">
        <v>4</v>
      </c>
      <c r="S409" s="432"/>
      <c r="T409" s="432" t="s">
        <v>2740</v>
      </c>
    </row>
    <row r="410" spans="1:26" ht="22" customHeight="1">
      <c r="A410" s="432" t="s">
        <v>6206</v>
      </c>
      <c r="B410" s="432" t="s">
        <v>6199</v>
      </c>
      <c r="C410" s="451" t="s">
        <v>8707</v>
      </c>
      <c r="D410" s="432"/>
      <c r="E410" s="433" t="s">
        <v>7975</v>
      </c>
      <c r="F410" s="433" t="s">
        <v>6773</v>
      </c>
      <c r="G410" s="433" t="s">
        <v>6774</v>
      </c>
      <c r="H410" s="434">
        <v>2</v>
      </c>
      <c r="I410" s="433" t="s">
        <v>2740</v>
      </c>
      <c r="J410" s="433" t="s">
        <v>7290</v>
      </c>
      <c r="K410" s="438" t="s">
        <v>8277</v>
      </c>
      <c r="L410" s="438" t="s">
        <v>8292</v>
      </c>
      <c r="M410" s="449" t="s">
        <v>8317</v>
      </c>
      <c r="N410" s="448" t="s">
        <v>8588</v>
      </c>
      <c r="O410" s="439" t="s">
        <v>8669</v>
      </c>
      <c r="P410" s="439" t="s">
        <v>8672</v>
      </c>
      <c r="Q410" s="432" t="s">
        <v>2234</v>
      </c>
      <c r="R410" s="432" t="s">
        <v>4</v>
      </c>
      <c r="S410" s="432"/>
      <c r="T410" s="432" t="s">
        <v>2740</v>
      </c>
    </row>
    <row r="411" spans="1:26" ht="22" customHeight="1">
      <c r="A411" s="432" t="s">
        <v>6207</v>
      </c>
      <c r="B411" s="432" t="s">
        <v>6199</v>
      </c>
      <c r="C411" s="451" t="s">
        <v>8707</v>
      </c>
      <c r="D411" s="432"/>
      <c r="E411" s="433" t="s">
        <v>7976</v>
      </c>
      <c r="F411" s="433" t="s">
        <v>6775</v>
      </c>
      <c r="G411" s="433" t="s">
        <v>6776</v>
      </c>
      <c r="H411" s="434">
        <v>2</v>
      </c>
      <c r="I411" s="433" t="s">
        <v>2740</v>
      </c>
      <c r="J411" s="433" t="s">
        <v>7290</v>
      </c>
      <c r="K411" s="438" t="s">
        <v>8277</v>
      </c>
      <c r="L411" s="438" t="s">
        <v>8292</v>
      </c>
      <c r="M411" s="449" t="s">
        <v>8317</v>
      </c>
      <c r="N411" s="448" t="s">
        <v>8588</v>
      </c>
      <c r="O411" s="439" t="s">
        <v>8669</v>
      </c>
      <c r="P411" s="439" t="s">
        <v>8672</v>
      </c>
      <c r="Q411" s="432" t="s">
        <v>2234</v>
      </c>
      <c r="R411" s="432" t="s">
        <v>4</v>
      </c>
      <c r="S411" s="432"/>
      <c r="T411" s="432" t="s">
        <v>2740</v>
      </c>
    </row>
    <row r="412" spans="1:26" ht="22" customHeight="1">
      <c r="A412" s="432" t="s">
        <v>6208</v>
      </c>
      <c r="B412" s="432" t="s">
        <v>6199</v>
      </c>
      <c r="C412" s="451" t="s">
        <v>8707</v>
      </c>
      <c r="D412" s="432"/>
      <c r="E412" s="433" t="s">
        <v>7977</v>
      </c>
      <c r="F412" s="433" t="s">
        <v>6777</v>
      </c>
      <c r="G412" s="433" t="s">
        <v>6778</v>
      </c>
      <c r="H412" s="434">
        <v>3</v>
      </c>
      <c r="I412" s="433" t="s">
        <v>7817</v>
      </c>
      <c r="J412" s="433" t="s">
        <v>7298</v>
      </c>
      <c r="K412" s="438" t="s">
        <v>8277</v>
      </c>
      <c r="L412" s="438" t="s">
        <v>8292</v>
      </c>
      <c r="M412" s="449" t="s">
        <v>8318</v>
      </c>
      <c r="N412" s="448" t="s">
        <v>8588</v>
      </c>
      <c r="O412" s="439" t="s">
        <v>8668</v>
      </c>
      <c r="P412" s="439" t="s">
        <v>8671</v>
      </c>
      <c r="Q412" s="432" t="s">
        <v>2234</v>
      </c>
      <c r="R412" s="432" t="s">
        <v>4</v>
      </c>
      <c r="S412" s="432"/>
      <c r="T412" s="432" t="s">
        <v>6283</v>
      </c>
    </row>
    <row r="413" spans="1:26" ht="22" customHeight="1">
      <c r="A413" s="443" t="s">
        <v>6209</v>
      </c>
      <c r="B413" s="443" t="s">
        <v>6199</v>
      </c>
      <c r="C413" s="451" t="s">
        <v>8707</v>
      </c>
      <c r="D413" s="443"/>
      <c r="E413" s="444" t="s">
        <v>7978</v>
      </c>
      <c r="F413" s="433" t="s">
        <v>6779</v>
      </c>
      <c r="G413" s="444" t="s">
        <v>6780</v>
      </c>
      <c r="H413" s="445">
        <v>3</v>
      </c>
      <c r="I413" s="444" t="s">
        <v>7817</v>
      </c>
      <c r="J413" s="445" t="s">
        <v>7298</v>
      </c>
      <c r="K413" s="446" t="s">
        <v>8277</v>
      </c>
      <c r="L413" s="446" t="s">
        <v>8292</v>
      </c>
      <c r="M413" s="450" t="s">
        <v>8318</v>
      </c>
      <c r="N413" s="448" t="s">
        <v>8588</v>
      </c>
      <c r="O413" s="439" t="s">
        <v>8668</v>
      </c>
      <c r="P413" s="439" t="s">
        <v>8671</v>
      </c>
      <c r="Q413" s="443" t="s">
        <v>2234</v>
      </c>
      <c r="R413" s="443" t="s">
        <v>4</v>
      </c>
      <c r="S413" s="432"/>
      <c r="T413" s="443" t="s">
        <v>6283</v>
      </c>
      <c r="U413" s="375"/>
      <c r="V413" s="376"/>
      <c r="W413" s="376"/>
      <c r="X413" s="376"/>
      <c r="Y413" s="399"/>
      <c r="Z413" s="400"/>
    </row>
    <row r="414" spans="1:26" ht="22" customHeight="1">
      <c r="A414" s="443" t="s">
        <v>6210</v>
      </c>
      <c r="B414" s="443" t="s">
        <v>6199</v>
      </c>
      <c r="C414" s="451" t="s">
        <v>8707</v>
      </c>
      <c r="D414" s="443"/>
      <c r="E414" s="444" t="s">
        <v>7979</v>
      </c>
      <c r="F414" s="433" t="s">
        <v>6781</v>
      </c>
      <c r="G414" s="444" t="s">
        <v>6782</v>
      </c>
      <c r="H414" s="445">
        <v>2</v>
      </c>
      <c r="I414" s="444" t="s">
        <v>2740</v>
      </c>
      <c r="J414" s="445" t="s">
        <v>7299</v>
      </c>
      <c r="K414" s="446" t="s">
        <v>8277</v>
      </c>
      <c r="L414" s="446" t="s">
        <v>8292</v>
      </c>
      <c r="M414" s="450" t="s">
        <v>8317</v>
      </c>
      <c r="N414" s="448" t="s">
        <v>8588</v>
      </c>
      <c r="O414" s="439" t="s">
        <v>8669</v>
      </c>
      <c r="P414" s="439" t="s">
        <v>8672</v>
      </c>
      <c r="Q414" s="443" t="s">
        <v>2234</v>
      </c>
      <c r="R414" s="443" t="s">
        <v>4</v>
      </c>
      <c r="S414" s="432"/>
      <c r="T414" s="443" t="s">
        <v>2234</v>
      </c>
      <c r="U414" s="375"/>
      <c r="V414" s="376"/>
      <c r="W414" s="376"/>
      <c r="X414" s="376"/>
      <c r="Y414" s="399"/>
      <c r="Z414" s="400"/>
    </row>
    <row r="415" spans="1:26" ht="22" customHeight="1">
      <c r="A415" s="443" t="s">
        <v>6212</v>
      </c>
      <c r="B415" s="443" t="s">
        <v>6199</v>
      </c>
      <c r="C415" s="451" t="s">
        <v>8707</v>
      </c>
      <c r="D415" s="443"/>
      <c r="E415" s="444" t="s">
        <v>7980</v>
      </c>
      <c r="F415" s="433" t="s">
        <v>6783</v>
      </c>
      <c r="G415" s="444" t="s">
        <v>6784</v>
      </c>
      <c r="H415" s="445">
        <v>2</v>
      </c>
      <c r="I415" s="444" t="s">
        <v>7847</v>
      </c>
      <c r="J415" s="445" t="s">
        <v>7848</v>
      </c>
      <c r="K415" s="446" t="s">
        <v>8277</v>
      </c>
      <c r="L415" s="446" t="s">
        <v>8296</v>
      </c>
      <c r="M415" s="450" t="s">
        <v>8319</v>
      </c>
      <c r="N415" s="448" t="s">
        <v>8588</v>
      </c>
      <c r="O415" s="439" t="s">
        <v>8667</v>
      </c>
      <c r="P415" s="439" t="s">
        <v>8672</v>
      </c>
      <c r="Q415" s="443" t="s">
        <v>2234</v>
      </c>
      <c r="R415" s="443" t="s">
        <v>4</v>
      </c>
      <c r="S415" s="432"/>
      <c r="T415" s="443" t="s">
        <v>6459</v>
      </c>
      <c r="U415" s="375"/>
      <c r="V415" s="376"/>
      <c r="W415" s="376"/>
      <c r="X415" s="376"/>
      <c r="Y415" s="399"/>
      <c r="Z415" s="400"/>
    </row>
    <row r="416" spans="1:26" ht="22" customHeight="1">
      <c r="A416" s="443" t="s">
        <v>6213</v>
      </c>
      <c r="B416" s="443" t="s">
        <v>6199</v>
      </c>
      <c r="C416" s="451" t="s">
        <v>8707</v>
      </c>
      <c r="D416" s="443"/>
      <c r="E416" s="444" t="s">
        <v>7981</v>
      </c>
      <c r="F416" s="433" t="s">
        <v>6785</v>
      </c>
      <c r="G416" s="444" t="s">
        <v>6786</v>
      </c>
      <c r="H416" s="445">
        <v>3</v>
      </c>
      <c r="I416" s="444" t="s">
        <v>7853</v>
      </c>
      <c r="J416" s="445" t="s">
        <v>7300</v>
      </c>
      <c r="K416" s="446" t="s">
        <v>8277</v>
      </c>
      <c r="L416" s="446" t="s">
        <v>8295</v>
      </c>
      <c r="M416" s="450" t="s">
        <v>8320</v>
      </c>
      <c r="N416" s="448" t="s">
        <v>8588</v>
      </c>
      <c r="O416" s="439" t="s">
        <v>8669</v>
      </c>
      <c r="P416" s="439" t="s">
        <v>8672</v>
      </c>
      <c r="Q416" s="443" t="s">
        <v>2234</v>
      </c>
      <c r="R416" s="443" t="s">
        <v>4</v>
      </c>
      <c r="S416" s="432"/>
      <c r="T416" s="443" t="s">
        <v>6467</v>
      </c>
      <c r="U416" s="375"/>
      <c r="V416" s="376"/>
      <c r="W416" s="376"/>
      <c r="X416" s="376"/>
      <c r="Y416" s="399"/>
      <c r="Z416" s="400"/>
    </row>
    <row r="417" spans="1:26" ht="22" customHeight="1">
      <c r="A417" s="443" t="s">
        <v>6214</v>
      </c>
      <c r="B417" s="443" t="s">
        <v>6199</v>
      </c>
      <c r="C417" s="451" t="s">
        <v>8707</v>
      </c>
      <c r="D417" s="443"/>
      <c r="E417" s="444" t="s">
        <v>7982</v>
      </c>
      <c r="F417" s="433" t="s">
        <v>6787</v>
      </c>
      <c r="G417" s="444" t="s">
        <v>6788</v>
      </c>
      <c r="H417" s="445">
        <v>2</v>
      </c>
      <c r="I417" s="444" t="s">
        <v>7817</v>
      </c>
      <c r="J417" s="445" t="s">
        <v>7298</v>
      </c>
      <c r="K417" s="446" t="s">
        <v>8277</v>
      </c>
      <c r="L417" s="446" t="s">
        <v>8292</v>
      </c>
      <c r="M417" s="450" t="s">
        <v>8318</v>
      </c>
      <c r="N417" s="448" t="s">
        <v>8588</v>
      </c>
      <c r="O417" s="439" t="s">
        <v>8668</v>
      </c>
      <c r="P417" s="439" t="s">
        <v>8671</v>
      </c>
      <c r="Q417" s="443" t="s">
        <v>2234</v>
      </c>
      <c r="R417" s="443" t="s">
        <v>4</v>
      </c>
      <c r="S417" s="432"/>
      <c r="T417" s="443" t="s">
        <v>6283</v>
      </c>
      <c r="U417" s="375"/>
      <c r="V417" s="376"/>
      <c r="W417" s="376"/>
      <c r="X417" s="376"/>
      <c r="Y417" s="399"/>
      <c r="Z417" s="400"/>
    </row>
    <row r="418" spans="1:26" ht="22" customHeight="1">
      <c r="A418" s="443" t="s">
        <v>6215</v>
      </c>
      <c r="B418" s="443" t="s">
        <v>6199</v>
      </c>
      <c r="C418" s="451" t="s">
        <v>8707</v>
      </c>
      <c r="D418" s="443"/>
      <c r="E418" s="444" t="s">
        <v>7983</v>
      </c>
      <c r="F418" s="433" t="s">
        <v>6789</v>
      </c>
      <c r="G418" s="444" t="s">
        <v>6790</v>
      </c>
      <c r="H418" s="445">
        <v>2</v>
      </c>
      <c r="I418" s="444" t="s">
        <v>7817</v>
      </c>
      <c r="J418" s="445" t="s">
        <v>7298</v>
      </c>
      <c r="K418" s="446" t="s">
        <v>8277</v>
      </c>
      <c r="L418" s="446" t="s">
        <v>8292</v>
      </c>
      <c r="M418" s="450" t="s">
        <v>8318</v>
      </c>
      <c r="N418" s="448" t="s">
        <v>8588</v>
      </c>
      <c r="O418" s="439" t="s">
        <v>8668</v>
      </c>
      <c r="P418" s="439" t="s">
        <v>8671</v>
      </c>
      <c r="Q418" s="443" t="s">
        <v>2234</v>
      </c>
      <c r="R418" s="443" t="s">
        <v>4</v>
      </c>
      <c r="S418" s="432"/>
      <c r="T418" s="443" t="s">
        <v>6283</v>
      </c>
      <c r="U418" s="435"/>
      <c r="V418" s="436"/>
      <c r="W418" s="436"/>
      <c r="X418" s="436"/>
      <c r="Y418" s="437"/>
      <c r="Z418" s="400"/>
    </row>
    <row r="419" spans="1:26" ht="22" customHeight="1">
      <c r="A419" s="432" t="s">
        <v>6216</v>
      </c>
      <c r="B419" s="432" t="s">
        <v>6199</v>
      </c>
      <c r="C419" s="451" t="s">
        <v>8707</v>
      </c>
      <c r="D419" s="432"/>
      <c r="E419" s="433" t="s">
        <v>7984</v>
      </c>
      <c r="F419" s="433" t="s">
        <v>6791</v>
      </c>
      <c r="G419" s="433" t="s">
        <v>6792</v>
      </c>
      <c r="H419" s="447">
        <v>4</v>
      </c>
      <c r="I419" s="433" t="s">
        <v>7817</v>
      </c>
      <c r="J419" s="447" t="s">
        <v>7298</v>
      </c>
      <c r="K419" s="446" t="s">
        <v>8277</v>
      </c>
      <c r="L419" s="446" t="s">
        <v>8292</v>
      </c>
      <c r="M419" s="450" t="s">
        <v>8318</v>
      </c>
      <c r="N419" s="448" t="s">
        <v>8588</v>
      </c>
      <c r="O419" s="439" t="s">
        <v>8668</v>
      </c>
      <c r="P419" s="439" t="s">
        <v>8671</v>
      </c>
      <c r="Q419" s="432" t="s">
        <v>2234</v>
      </c>
      <c r="R419" s="432" t="s">
        <v>4</v>
      </c>
      <c r="S419" s="432"/>
      <c r="T419" s="432" t="s">
        <v>6283</v>
      </c>
      <c r="U419" s="398"/>
      <c r="V419" s="398"/>
      <c r="W419" s="398"/>
      <c r="X419" s="398"/>
      <c r="Y419" s="398"/>
      <c r="Z419" s="398"/>
    </row>
    <row r="420" spans="1:26" ht="22" customHeight="1">
      <c r="A420" s="432" t="s">
        <v>6217</v>
      </c>
      <c r="B420" s="432" t="s">
        <v>6199</v>
      </c>
      <c r="C420" s="451" t="s">
        <v>8707</v>
      </c>
      <c r="D420" s="432"/>
      <c r="E420" s="433" t="s">
        <v>7985</v>
      </c>
      <c r="F420" s="433" t="s">
        <v>6793</v>
      </c>
      <c r="G420" s="433" t="s">
        <v>6794</v>
      </c>
      <c r="H420" s="447">
        <v>2</v>
      </c>
      <c r="I420" s="433" t="s">
        <v>7817</v>
      </c>
      <c r="J420" s="447" t="s">
        <v>7298</v>
      </c>
      <c r="K420" s="446" t="s">
        <v>8277</v>
      </c>
      <c r="L420" s="446" t="s">
        <v>8292</v>
      </c>
      <c r="M420" s="450" t="s">
        <v>8318</v>
      </c>
      <c r="N420" s="448" t="s">
        <v>8588</v>
      </c>
      <c r="O420" s="439" t="s">
        <v>8668</v>
      </c>
      <c r="P420" s="439" t="s">
        <v>8671</v>
      </c>
      <c r="Q420" s="432" t="s">
        <v>2234</v>
      </c>
      <c r="R420" s="432" t="s">
        <v>4</v>
      </c>
      <c r="S420" s="432"/>
      <c r="T420" s="432" t="s">
        <v>6283</v>
      </c>
      <c r="U420" s="398"/>
      <c r="V420" s="398"/>
      <c r="W420" s="398"/>
      <c r="X420" s="398"/>
      <c r="Y420" s="398"/>
      <c r="Z420" s="398"/>
    </row>
    <row r="421" spans="1:26" ht="22" customHeight="1">
      <c r="A421" s="432" t="s">
        <v>6218</v>
      </c>
      <c r="B421" s="432" t="s">
        <v>6199</v>
      </c>
      <c r="C421" s="451" t="s">
        <v>8707</v>
      </c>
      <c r="D421" s="432"/>
      <c r="E421" s="433" t="s">
        <v>7986</v>
      </c>
      <c r="F421" s="433" t="s">
        <v>6795</v>
      </c>
      <c r="G421" s="433" t="s">
        <v>6796</v>
      </c>
      <c r="H421" s="447">
        <v>3</v>
      </c>
      <c r="I421" s="433" t="s">
        <v>7817</v>
      </c>
      <c r="J421" s="447" t="s">
        <v>7298</v>
      </c>
      <c r="K421" s="446" t="s">
        <v>8277</v>
      </c>
      <c r="L421" s="446" t="s">
        <v>8292</v>
      </c>
      <c r="M421" s="450" t="s">
        <v>8318</v>
      </c>
      <c r="N421" s="448" t="s">
        <v>8588</v>
      </c>
      <c r="O421" s="439" t="s">
        <v>8668</v>
      </c>
      <c r="P421" s="439" t="s">
        <v>8671</v>
      </c>
      <c r="Q421" s="432" t="s">
        <v>2234</v>
      </c>
      <c r="R421" s="432" t="s">
        <v>4</v>
      </c>
      <c r="S421" s="432"/>
      <c r="T421" s="432" t="s">
        <v>6283</v>
      </c>
      <c r="U421" s="398"/>
      <c r="V421" s="398"/>
      <c r="W421" s="398"/>
      <c r="X421" s="398"/>
      <c r="Y421" s="398"/>
      <c r="Z421" s="398"/>
    </row>
    <row r="422" spans="1:26" ht="22" customHeight="1">
      <c r="A422" s="432" t="s">
        <v>6219</v>
      </c>
      <c r="B422" s="432" t="s">
        <v>6199</v>
      </c>
      <c r="C422" s="451" t="s">
        <v>8707</v>
      </c>
      <c r="D422" s="432"/>
      <c r="E422" s="433" t="s">
        <v>7987</v>
      </c>
      <c r="F422" s="433" t="s">
        <v>6797</v>
      </c>
      <c r="G422" s="433" t="s">
        <v>6798</v>
      </c>
      <c r="H422" s="447">
        <v>3</v>
      </c>
      <c r="I422" s="433" t="s">
        <v>7846</v>
      </c>
      <c r="J422" s="447" t="s">
        <v>7293</v>
      </c>
      <c r="K422" s="446" t="s">
        <v>8277</v>
      </c>
      <c r="L422" s="446" t="s">
        <v>8296</v>
      </c>
      <c r="M422" s="450" t="s">
        <v>8312</v>
      </c>
      <c r="N422" s="448" t="s">
        <v>8588</v>
      </c>
      <c r="O422" s="439" t="s">
        <v>8669</v>
      </c>
      <c r="P422" s="439" t="s">
        <v>8672</v>
      </c>
      <c r="Q422" s="432" t="s">
        <v>2234</v>
      </c>
      <c r="R422" s="432" t="s">
        <v>4</v>
      </c>
      <c r="S422" s="432"/>
      <c r="T422" s="432" t="s">
        <v>6453</v>
      </c>
      <c r="U422" s="398"/>
      <c r="V422" s="398"/>
      <c r="W422" s="398"/>
      <c r="X422" s="398"/>
      <c r="Y422" s="398"/>
      <c r="Z422" s="398"/>
    </row>
    <row r="423" spans="1:26" ht="22" customHeight="1">
      <c r="A423" s="432" t="s">
        <v>6220</v>
      </c>
      <c r="B423" s="432" t="s">
        <v>6199</v>
      </c>
      <c r="C423" s="451" t="s">
        <v>8707</v>
      </c>
      <c r="D423" s="432"/>
      <c r="E423" s="433" t="s">
        <v>7988</v>
      </c>
      <c r="F423" s="433" t="s">
        <v>6799</v>
      </c>
      <c r="G423" s="433" t="s">
        <v>6800</v>
      </c>
      <c r="H423" s="447">
        <v>3</v>
      </c>
      <c r="I423" s="433" t="s">
        <v>7844</v>
      </c>
      <c r="J423" s="447" t="s">
        <v>7301</v>
      </c>
      <c r="K423" s="446" t="s">
        <v>8275</v>
      </c>
      <c r="L423" s="446" t="s">
        <v>8300</v>
      </c>
      <c r="M423" s="450" t="s">
        <v>8321</v>
      </c>
      <c r="N423" s="448" t="s">
        <v>8588</v>
      </c>
      <c r="O423" s="439" t="s">
        <v>8669</v>
      </c>
      <c r="P423" s="439" t="s">
        <v>8672</v>
      </c>
      <c r="Q423" s="432" t="s">
        <v>2234</v>
      </c>
      <c r="R423" s="432" t="s">
        <v>4</v>
      </c>
      <c r="S423" s="432"/>
      <c r="T423" s="432" t="s">
        <v>6441</v>
      </c>
      <c r="U423" s="398"/>
      <c r="V423" s="398"/>
      <c r="W423" s="398"/>
      <c r="X423" s="398"/>
      <c r="Y423" s="398"/>
      <c r="Z423" s="398"/>
    </row>
    <row r="424" spans="1:26" ht="22" customHeight="1">
      <c r="A424" s="432" t="s">
        <v>6221</v>
      </c>
      <c r="B424" s="432" t="s">
        <v>6199</v>
      </c>
      <c r="C424" s="451" t="s">
        <v>8707</v>
      </c>
      <c r="D424" s="432"/>
      <c r="E424" s="433" t="s">
        <v>7989</v>
      </c>
      <c r="F424" s="433" t="s">
        <v>6801</v>
      </c>
      <c r="G424" s="433" t="s">
        <v>6802</v>
      </c>
      <c r="H424" s="447">
        <v>2</v>
      </c>
      <c r="I424" s="433" t="s">
        <v>7817</v>
      </c>
      <c r="J424" s="447" t="s">
        <v>7298</v>
      </c>
      <c r="K424" s="446" t="s">
        <v>8277</v>
      </c>
      <c r="L424" s="446" t="s">
        <v>8292</v>
      </c>
      <c r="M424" s="450" t="s">
        <v>8318</v>
      </c>
      <c r="N424" s="448" t="s">
        <v>8588</v>
      </c>
      <c r="O424" s="439" t="s">
        <v>8668</v>
      </c>
      <c r="P424" s="439" t="s">
        <v>8671</v>
      </c>
      <c r="Q424" s="432" t="s">
        <v>2234</v>
      </c>
      <c r="R424" s="432" t="s">
        <v>4</v>
      </c>
      <c r="S424" s="432"/>
      <c r="T424" s="432" t="s">
        <v>6283</v>
      </c>
      <c r="U424" s="398"/>
      <c r="V424" s="398"/>
      <c r="W424" s="398"/>
      <c r="X424" s="398"/>
      <c r="Y424" s="398"/>
      <c r="Z424" s="398"/>
    </row>
    <row r="425" spans="1:26" ht="22" customHeight="1">
      <c r="A425" s="432" t="s">
        <v>6222</v>
      </c>
      <c r="B425" s="432" t="s">
        <v>6199</v>
      </c>
      <c r="C425" s="451" t="s">
        <v>8707</v>
      </c>
      <c r="D425" s="432"/>
      <c r="E425" s="433" t="s">
        <v>7990</v>
      </c>
      <c r="F425" s="433" t="s">
        <v>6803</v>
      </c>
      <c r="G425" s="433" t="s">
        <v>6804</v>
      </c>
      <c r="H425" s="447">
        <v>2</v>
      </c>
      <c r="I425" s="433" t="s">
        <v>7817</v>
      </c>
      <c r="J425" s="447" t="s">
        <v>7298</v>
      </c>
      <c r="K425" s="446" t="s">
        <v>8277</v>
      </c>
      <c r="L425" s="446" t="s">
        <v>8292</v>
      </c>
      <c r="M425" s="450" t="s">
        <v>8318</v>
      </c>
      <c r="N425" s="448" t="s">
        <v>8588</v>
      </c>
      <c r="O425" s="439" t="s">
        <v>8668</v>
      </c>
      <c r="P425" s="439" t="s">
        <v>8671</v>
      </c>
      <c r="Q425" s="432" t="s">
        <v>2234</v>
      </c>
      <c r="R425" s="432" t="s">
        <v>4</v>
      </c>
      <c r="S425" s="432"/>
      <c r="T425" s="432" t="s">
        <v>6283</v>
      </c>
      <c r="U425" s="398"/>
      <c r="V425" s="398"/>
      <c r="W425" s="398"/>
      <c r="X425" s="398"/>
      <c r="Y425" s="398"/>
      <c r="Z425" s="398"/>
    </row>
    <row r="426" spans="1:26" ht="22" customHeight="1">
      <c r="A426" s="432" t="s">
        <v>6223</v>
      </c>
      <c r="B426" s="432" t="s">
        <v>6199</v>
      </c>
      <c r="C426" s="451" t="s">
        <v>8707</v>
      </c>
      <c r="D426" s="432"/>
      <c r="E426" s="433" t="s">
        <v>7991</v>
      </c>
      <c r="F426" s="433" t="s">
        <v>6805</v>
      </c>
      <c r="G426" s="433" t="s">
        <v>6806</v>
      </c>
      <c r="H426" s="447">
        <v>3</v>
      </c>
      <c r="I426" s="433" t="s">
        <v>7817</v>
      </c>
      <c r="J426" s="447" t="s">
        <v>7298</v>
      </c>
      <c r="K426" s="446" t="s">
        <v>8277</v>
      </c>
      <c r="L426" s="446" t="s">
        <v>8292</v>
      </c>
      <c r="M426" s="450" t="s">
        <v>8318</v>
      </c>
      <c r="N426" s="448" t="s">
        <v>8588</v>
      </c>
      <c r="O426" s="439" t="s">
        <v>8668</v>
      </c>
      <c r="P426" s="439" t="s">
        <v>8671</v>
      </c>
      <c r="Q426" s="432" t="s">
        <v>2234</v>
      </c>
      <c r="R426" s="432" t="s">
        <v>4</v>
      </c>
      <c r="S426" s="432"/>
      <c r="T426" s="432" t="s">
        <v>6283</v>
      </c>
      <c r="U426" s="398"/>
      <c r="V426" s="398"/>
      <c r="W426" s="398"/>
      <c r="X426" s="398"/>
      <c r="Y426" s="398"/>
      <c r="Z426" s="398"/>
    </row>
    <row r="427" spans="1:26" ht="22" customHeight="1">
      <c r="A427" s="432" t="s">
        <v>6224</v>
      </c>
      <c r="B427" s="432" t="s">
        <v>6199</v>
      </c>
      <c r="C427" s="451" t="s">
        <v>8707</v>
      </c>
      <c r="D427" s="432"/>
      <c r="E427" s="433" t="s">
        <v>7992</v>
      </c>
      <c r="F427" s="433" t="s">
        <v>6807</v>
      </c>
      <c r="G427" s="433" t="s">
        <v>6808</v>
      </c>
      <c r="H427" s="447">
        <v>2</v>
      </c>
      <c r="I427" s="433" t="s">
        <v>7817</v>
      </c>
      <c r="J427" s="447" t="s">
        <v>7298</v>
      </c>
      <c r="K427" s="446" t="s">
        <v>8277</v>
      </c>
      <c r="L427" s="446" t="s">
        <v>8292</v>
      </c>
      <c r="M427" s="450" t="s">
        <v>8318</v>
      </c>
      <c r="N427" s="448" t="s">
        <v>8588</v>
      </c>
      <c r="O427" s="439" t="s">
        <v>8668</v>
      </c>
      <c r="P427" s="439" t="s">
        <v>8671</v>
      </c>
      <c r="Q427" s="432" t="s">
        <v>2234</v>
      </c>
      <c r="R427" s="432" t="s">
        <v>4</v>
      </c>
      <c r="S427" s="432"/>
      <c r="T427" s="432" t="s">
        <v>6283</v>
      </c>
      <c r="U427" s="398"/>
      <c r="V427" s="398"/>
      <c r="W427" s="398"/>
      <c r="X427" s="398"/>
      <c r="Y427" s="398"/>
      <c r="Z427" s="398"/>
    </row>
    <row r="428" spans="1:26" ht="22" customHeight="1">
      <c r="A428" s="432" t="s">
        <v>6225</v>
      </c>
      <c r="B428" s="432" t="s">
        <v>6199</v>
      </c>
      <c r="C428" s="451" t="s">
        <v>8707</v>
      </c>
      <c r="D428" s="432"/>
      <c r="E428" s="433" t="s">
        <v>7993</v>
      </c>
      <c r="F428" s="433" t="s">
        <v>6809</v>
      </c>
      <c r="G428" s="433" t="s">
        <v>6810</v>
      </c>
      <c r="H428" s="447">
        <v>2</v>
      </c>
      <c r="I428" s="433" t="s">
        <v>7818</v>
      </c>
      <c r="J428" s="447" t="s">
        <v>7302</v>
      </c>
      <c r="K428" s="446" t="s">
        <v>8277</v>
      </c>
      <c r="L428" s="446" t="s">
        <v>8293</v>
      </c>
      <c r="M428" s="450" t="s">
        <v>8322</v>
      </c>
      <c r="N428" s="448" t="s">
        <v>8588</v>
      </c>
      <c r="O428" s="439" t="s">
        <v>8668</v>
      </c>
      <c r="P428" s="439" t="s">
        <v>8672</v>
      </c>
      <c r="Q428" s="432" t="s">
        <v>2234</v>
      </c>
      <c r="R428" s="432" t="s">
        <v>4</v>
      </c>
      <c r="S428" s="432"/>
      <c r="T428" s="432" t="s">
        <v>6317</v>
      </c>
      <c r="U428" s="398"/>
      <c r="V428" s="398"/>
      <c r="W428" s="398"/>
      <c r="X428" s="398"/>
      <c r="Y428" s="398"/>
      <c r="Z428" s="398"/>
    </row>
    <row r="429" spans="1:26" ht="22" customHeight="1">
      <c r="A429" s="432" t="s">
        <v>6226</v>
      </c>
      <c r="B429" s="432" t="s">
        <v>6199</v>
      </c>
      <c r="C429" s="451" t="s">
        <v>8707</v>
      </c>
      <c r="D429" s="432"/>
      <c r="E429" s="433" t="s">
        <v>7994</v>
      </c>
      <c r="F429" s="433" t="s">
        <v>6811</v>
      </c>
      <c r="G429" s="433" t="s">
        <v>6812</v>
      </c>
      <c r="H429" s="447">
        <v>2</v>
      </c>
      <c r="I429" s="433" t="s">
        <v>2740</v>
      </c>
      <c r="J429" s="447" t="s">
        <v>7290</v>
      </c>
      <c r="K429" s="446" t="s">
        <v>8277</v>
      </c>
      <c r="L429" s="446" t="s">
        <v>8292</v>
      </c>
      <c r="M429" s="450" t="s">
        <v>8317</v>
      </c>
      <c r="N429" s="448" t="s">
        <v>8588</v>
      </c>
      <c r="O429" s="439" t="s">
        <v>8669</v>
      </c>
      <c r="P429" s="439" t="s">
        <v>8672</v>
      </c>
      <c r="Q429" s="432" t="s">
        <v>2234</v>
      </c>
      <c r="R429" s="432" t="s">
        <v>4</v>
      </c>
      <c r="S429" s="432"/>
      <c r="T429" s="432" t="s">
        <v>2740</v>
      </c>
      <c r="U429" s="398"/>
      <c r="V429" s="398"/>
      <c r="W429" s="398"/>
      <c r="X429" s="398"/>
      <c r="Y429" s="398"/>
      <c r="Z429" s="398"/>
    </row>
    <row r="430" spans="1:26" ht="22" customHeight="1">
      <c r="A430" s="432" t="s">
        <v>6227</v>
      </c>
      <c r="B430" s="432" t="s">
        <v>6199</v>
      </c>
      <c r="C430" s="451" t="s">
        <v>8707</v>
      </c>
      <c r="D430" s="432"/>
      <c r="E430" s="433" t="s">
        <v>7995</v>
      </c>
      <c r="F430" s="433" t="s">
        <v>6813</v>
      </c>
      <c r="G430" s="433" t="s">
        <v>6814</v>
      </c>
      <c r="H430" s="447">
        <v>2</v>
      </c>
      <c r="I430" s="433" t="s">
        <v>2740</v>
      </c>
      <c r="J430" s="447" t="s">
        <v>7290</v>
      </c>
      <c r="K430" s="446" t="s">
        <v>8277</v>
      </c>
      <c r="L430" s="446" t="s">
        <v>8292</v>
      </c>
      <c r="M430" s="450" t="s">
        <v>8317</v>
      </c>
      <c r="N430" s="448" t="s">
        <v>8588</v>
      </c>
      <c r="O430" s="439" t="s">
        <v>8669</v>
      </c>
      <c r="P430" s="439" t="s">
        <v>8672</v>
      </c>
      <c r="Q430" s="432" t="s">
        <v>2234</v>
      </c>
      <c r="R430" s="432" t="s">
        <v>4</v>
      </c>
      <c r="S430" s="432"/>
      <c r="T430" s="432" t="s">
        <v>2740</v>
      </c>
      <c r="U430" s="398"/>
      <c r="V430" s="398"/>
      <c r="W430" s="398"/>
      <c r="X430" s="398"/>
      <c r="Y430" s="398"/>
      <c r="Z430" s="398"/>
    </row>
    <row r="431" spans="1:26" ht="22" customHeight="1">
      <c r="A431" s="432" t="s">
        <v>6228</v>
      </c>
      <c r="B431" s="432" t="s">
        <v>6199</v>
      </c>
      <c r="C431" s="451" t="s">
        <v>8707</v>
      </c>
      <c r="D431" s="432"/>
      <c r="E431" s="433" t="s">
        <v>7996</v>
      </c>
      <c r="F431" s="433" t="s">
        <v>6815</v>
      </c>
      <c r="G431" s="433" t="s">
        <v>6816</v>
      </c>
      <c r="H431" s="447">
        <v>3</v>
      </c>
      <c r="I431" s="433" t="s">
        <v>2740</v>
      </c>
      <c r="J431" s="447" t="s">
        <v>7290</v>
      </c>
      <c r="K431" s="446" t="s">
        <v>8277</v>
      </c>
      <c r="L431" s="446" t="s">
        <v>8292</v>
      </c>
      <c r="M431" s="450" t="s">
        <v>8317</v>
      </c>
      <c r="N431" s="448" t="s">
        <v>8588</v>
      </c>
      <c r="O431" s="439" t="s">
        <v>8669</v>
      </c>
      <c r="P431" s="439" t="s">
        <v>8672</v>
      </c>
      <c r="Q431" s="432" t="s">
        <v>2234</v>
      </c>
      <c r="R431" s="432" t="s">
        <v>4</v>
      </c>
      <c r="S431" s="432"/>
      <c r="T431" s="432" t="s">
        <v>2740</v>
      </c>
      <c r="U431" s="398"/>
      <c r="V431" s="398"/>
      <c r="W431" s="398"/>
      <c r="X431" s="398"/>
      <c r="Y431" s="398"/>
      <c r="Z431" s="398"/>
    </row>
    <row r="432" spans="1:26" ht="22" customHeight="1">
      <c r="A432" s="432" t="s">
        <v>6229</v>
      </c>
      <c r="B432" s="432" t="s">
        <v>6199</v>
      </c>
      <c r="C432" s="451" t="s">
        <v>8707</v>
      </c>
      <c r="D432" s="432"/>
      <c r="E432" s="433" t="s">
        <v>7997</v>
      </c>
      <c r="F432" s="433" t="s">
        <v>6817</v>
      </c>
      <c r="G432" s="433" t="s">
        <v>6818</v>
      </c>
      <c r="H432" s="447">
        <v>1</v>
      </c>
      <c r="I432" s="433" t="s">
        <v>2740</v>
      </c>
      <c r="J432" s="447" t="s">
        <v>7290</v>
      </c>
      <c r="K432" s="446" t="s">
        <v>8277</v>
      </c>
      <c r="L432" s="446" t="s">
        <v>8292</v>
      </c>
      <c r="M432" s="450" t="s">
        <v>8317</v>
      </c>
      <c r="N432" s="448" t="s">
        <v>8588</v>
      </c>
      <c r="O432" s="439" t="s">
        <v>8669</v>
      </c>
      <c r="P432" s="439" t="s">
        <v>8672</v>
      </c>
      <c r="Q432" s="432" t="s">
        <v>2234</v>
      </c>
      <c r="R432" s="432" t="s">
        <v>4</v>
      </c>
      <c r="S432" s="432"/>
      <c r="T432" s="432" t="s">
        <v>2740</v>
      </c>
      <c r="U432" s="398"/>
      <c r="V432" s="398"/>
      <c r="W432" s="398"/>
      <c r="X432" s="398"/>
      <c r="Y432" s="398"/>
      <c r="Z432" s="398"/>
    </row>
    <row r="433" spans="1:20" ht="22" customHeight="1">
      <c r="A433" s="432" t="s">
        <v>6230</v>
      </c>
      <c r="B433" s="432" t="s">
        <v>6199</v>
      </c>
      <c r="C433" s="451" t="s">
        <v>8707</v>
      </c>
      <c r="D433" s="432"/>
      <c r="E433" s="433" t="s">
        <v>7998</v>
      </c>
      <c r="F433" s="433" t="s">
        <v>6819</v>
      </c>
      <c r="G433" s="433" t="s">
        <v>6820</v>
      </c>
      <c r="H433" s="434">
        <v>3</v>
      </c>
      <c r="I433" s="433" t="s">
        <v>2740</v>
      </c>
      <c r="J433" s="433" t="s">
        <v>7290</v>
      </c>
      <c r="K433" s="438" t="s">
        <v>8277</v>
      </c>
      <c r="L433" s="438" t="s">
        <v>8292</v>
      </c>
      <c r="M433" s="449" t="s">
        <v>8317</v>
      </c>
      <c r="N433" s="448" t="s">
        <v>8588</v>
      </c>
      <c r="O433" s="439" t="s">
        <v>8669</v>
      </c>
      <c r="P433" s="439" t="s">
        <v>8672</v>
      </c>
      <c r="Q433" s="432" t="s">
        <v>2234</v>
      </c>
      <c r="R433" s="432" t="s">
        <v>4</v>
      </c>
      <c r="S433" s="432"/>
      <c r="T433" s="432" t="s">
        <v>2740</v>
      </c>
    </row>
    <row r="434" spans="1:20" ht="22" customHeight="1">
      <c r="A434" s="432" t="s">
        <v>6231</v>
      </c>
      <c r="B434" s="432" t="s">
        <v>6199</v>
      </c>
      <c r="C434" s="451" t="s">
        <v>8707</v>
      </c>
      <c r="D434" s="432"/>
      <c r="E434" s="433" t="s">
        <v>7999</v>
      </c>
      <c r="F434" s="433" t="s">
        <v>6821</v>
      </c>
      <c r="G434" s="433" t="s">
        <v>6822</v>
      </c>
      <c r="H434" s="434">
        <v>1</v>
      </c>
      <c r="I434" s="433" t="s">
        <v>2740</v>
      </c>
      <c r="J434" s="433" t="s">
        <v>7290</v>
      </c>
      <c r="K434" s="438" t="s">
        <v>8277</v>
      </c>
      <c r="L434" s="438" t="s">
        <v>8292</v>
      </c>
      <c r="M434" s="449" t="s">
        <v>8317</v>
      </c>
      <c r="N434" s="448" t="s">
        <v>8588</v>
      </c>
      <c r="O434" s="439" t="s">
        <v>8669</v>
      </c>
      <c r="P434" s="439" t="s">
        <v>8672</v>
      </c>
      <c r="Q434" s="432" t="s">
        <v>2234</v>
      </c>
      <c r="R434" s="432" t="s">
        <v>4</v>
      </c>
      <c r="S434" s="432"/>
      <c r="T434" s="432" t="s">
        <v>2740</v>
      </c>
    </row>
    <row r="435" spans="1:20" ht="22" customHeight="1">
      <c r="A435" s="432" t="s">
        <v>6232</v>
      </c>
      <c r="B435" s="432" t="s">
        <v>6199</v>
      </c>
      <c r="C435" s="451" t="s">
        <v>8707</v>
      </c>
      <c r="D435" s="432"/>
      <c r="E435" s="433" t="s">
        <v>8000</v>
      </c>
      <c r="F435" s="433" t="s">
        <v>6823</v>
      </c>
      <c r="G435" s="433" t="s">
        <v>6824</v>
      </c>
      <c r="H435" s="434">
        <v>1</v>
      </c>
      <c r="I435" s="433" t="s">
        <v>2740</v>
      </c>
      <c r="J435" s="433" t="s">
        <v>7290</v>
      </c>
      <c r="K435" s="438" t="s">
        <v>8277</v>
      </c>
      <c r="L435" s="438" t="s">
        <v>8292</v>
      </c>
      <c r="M435" s="449" t="s">
        <v>8317</v>
      </c>
      <c r="N435" s="448" t="s">
        <v>8588</v>
      </c>
      <c r="O435" s="439" t="s">
        <v>8669</v>
      </c>
      <c r="P435" s="439" t="s">
        <v>8672</v>
      </c>
      <c r="Q435" s="432" t="s">
        <v>2234</v>
      </c>
      <c r="R435" s="432" t="s">
        <v>4</v>
      </c>
      <c r="S435" s="432"/>
      <c r="T435" s="432" t="s">
        <v>2740</v>
      </c>
    </row>
    <row r="436" spans="1:20" ht="22" customHeight="1">
      <c r="A436" s="432" t="s">
        <v>6233</v>
      </c>
      <c r="B436" s="432" t="s">
        <v>6199</v>
      </c>
      <c r="C436" s="451" t="s">
        <v>8707</v>
      </c>
      <c r="D436" s="432"/>
      <c r="E436" s="433" t="s">
        <v>8001</v>
      </c>
      <c r="F436" s="433" t="s">
        <v>6825</v>
      </c>
      <c r="G436" s="433" t="s">
        <v>6826</v>
      </c>
      <c r="H436" s="434">
        <v>1</v>
      </c>
      <c r="I436" s="433" t="s">
        <v>2740</v>
      </c>
      <c r="J436" s="433" t="s">
        <v>7290</v>
      </c>
      <c r="K436" s="438" t="s">
        <v>8277</v>
      </c>
      <c r="L436" s="438" t="s">
        <v>8292</v>
      </c>
      <c r="M436" s="449" t="s">
        <v>8317</v>
      </c>
      <c r="N436" s="448" t="s">
        <v>8588</v>
      </c>
      <c r="O436" s="439" t="s">
        <v>8669</v>
      </c>
      <c r="P436" s="439" t="s">
        <v>8672</v>
      </c>
      <c r="Q436" s="432" t="s">
        <v>2234</v>
      </c>
      <c r="R436" s="432" t="s">
        <v>4</v>
      </c>
      <c r="S436" s="432"/>
      <c r="T436" s="432" t="s">
        <v>2740</v>
      </c>
    </row>
    <row r="437" spans="1:20" ht="22" customHeight="1">
      <c r="A437" s="432" t="s">
        <v>6234</v>
      </c>
      <c r="B437" s="432" t="s">
        <v>6199</v>
      </c>
      <c r="C437" s="451" t="s">
        <v>8707</v>
      </c>
      <c r="D437" s="432"/>
      <c r="E437" s="433" t="s">
        <v>8002</v>
      </c>
      <c r="F437" s="433" t="s">
        <v>6827</v>
      </c>
      <c r="G437" s="433" t="s">
        <v>6828</v>
      </c>
      <c r="H437" s="434">
        <v>2</v>
      </c>
      <c r="I437" s="433" t="s">
        <v>7847</v>
      </c>
      <c r="J437" s="433" t="s">
        <v>7850</v>
      </c>
      <c r="K437" s="438" t="s">
        <v>8277</v>
      </c>
      <c r="L437" s="438" t="s">
        <v>8295</v>
      </c>
      <c r="M437" s="449" t="s">
        <v>8323</v>
      </c>
      <c r="N437" s="448" t="s">
        <v>8588</v>
      </c>
      <c r="O437" s="439" t="s">
        <v>8669</v>
      </c>
      <c r="P437" s="439" t="s">
        <v>8672</v>
      </c>
      <c r="Q437" s="432" t="s">
        <v>2234</v>
      </c>
      <c r="R437" s="432" t="s">
        <v>4</v>
      </c>
      <c r="S437" s="432"/>
      <c r="T437" s="432" t="s">
        <v>6462</v>
      </c>
    </row>
    <row r="438" spans="1:20" ht="22" customHeight="1">
      <c r="A438" s="432" t="s">
        <v>6235</v>
      </c>
      <c r="B438" s="432" t="s">
        <v>6199</v>
      </c>
      <c r="C438" s="451" t="s">
        <v>8707</v>
      </c>
      <c r="D438" s="432"/>
      <c r="E438" s="433" t="s">
        <v>8003</v>
      </c>
      <c r="F438" s="433" t="s">
        <v>6829</v>
      </c>
      <c r="G438" s="433" t="s">
        <v>6830</v>
      </c>
      <c r="H438" s="434">
        <v>2</v>
      </c>
      <c r="I438" s="433" t="s">
        <v>7854</v>
      </c>
      <c r="J438" s="433" t="s">
        <v>7303</v>
      </c>
      <c r="K438" s="438" t="s">
        <v>8275</v>
      </c>
      <c r="L438" s="438" t="s">
        <v>8293</v>
      </c>
      <c r="M438" s="449" t="s">
        <v>8324</v>
      </c>
      <c r="N438" s="448" t="s">
        <v>8588</v>
      </c>
      <c r="O438" s="439" t="s">
        <v>8669</v>
      </c>
      <c r="P438" s="439" t="s">
        <v>8672</v>
      </c>
      <c r="Q438" s="432" t="s">
        <v>2234</v>
      </c>
      <c r="R438" s="432" t="s">
        <v>4</v>
      </c>
      <c r="S438" s="432"/>
      <c r="T438" s="432" t="s">
        <v>6476</v>
      </c>
    </row>
    <row r="439" spans="1:20" ht="22" customHeight="1">
      <c r="A439" s="432" t="s">
        <v>6236</v>
      </c>
      <c r="B439" s="432" t="s">
        <v>6199</v>
      </c>
      <c r="C439" s="451" t="s">
        <v>8707</v>
      </c>
      <c r="D439" s="432"/>
      <c r="E439" s="433" t="s">
        <v>8004</v>
      </c>
      <c r="F439" s="433" t="s">
        <v>6831</v>
      </c>
      <c r="G439" s="433" t="s">
        <v>6832</v>
      </c>
      <c r="H439" s="434">
        <v>1</v>
      </c>
      <c r="I439" s="433" t="s">
        <v>7854</v>
      </c>
      <c r="J439" s="433" t="s">
        <v>7304</v>
      </c>
      <c r="K439" s="438" t="s">
        <v>8277</v>
      </c>
      <c r="L439" s="438" t="s">
        <v>8295</v>
      </c>
      <c r="M439" s="449" t="s">
        <v>8325</v>
      </c>
      <c r="N439" s="448" t="s">
        <v>8588</v>
      </c>
      <c r="O439" s="439" t="s">
        <v>8669</v>
      </c>
      <c r="P439" s="439" t="s">
        <v>8672</v>
      </c>
      <c r="Q439" s="432" t="s">
        <v>2234</v>
      </c>
      <c r="R439" s="432" t="s">
        <v>4</v>
      </c>
      <c r="S439" s="432"/>
      <c r="T439" s="432" t="s">
        <v>6497</v>
      </c>
    </row>
    <row r="440" spans="1:20" ht="22" customHeight="1">
      <c r="A440" s="432" t="s">
        <v>6237</v>
      </c>
      <c r="B440" s="432" t="s">
        <v>6199</v>
      </c>
      <c r="C440" s="451" t="s">
        <v>8707</v>
      </c>
      <c r="D440" s="432"/>
      <c r="E440" s="433" t="s">
        <v>8005</v>
      </c>
      <c r="F440" s="433" t="s">
        <v>6833</v>
      </c>
      <c r="G440" s="433" t="s">
        <v>6834</v>
      </c>
      <c r="H440" s="434">
        <v>2</v>
      </c>
      <c r="I440" s="433" t="s">
        <v>2740</v>
      </c>
      <c r="J440" s="433" t="s">
        <v>7290</v>
      </c>
      <c r="K440" s="438" t="s">
        <v>8277</v>
      </c>
      <c r="L440" s="438" t="s">
        <v>8292</v>
      </c>
      <c r="M440" s="449" t="s">
        <v>8317</v>
      </c>
      <c r="N440" s="448" t="s">
        <v>8588</v>
      </c>
      <c r="O440" s="439" t="s">
        <v>8669</v>
      </c>
      <c r="P440" s="439" t="s">
        <v>8672</v>
      </c>
      <c r="Q440" s="432" t="s">
        <v>2234</v>
      </c>
      <c r="R440" s="432" t="s">
        <v>4</v>
      </c>
      <c r="S440" s="432"/>
      <c r="T440" s="432" t="s">
        <v>2740</v>
      </c>
    </row>
    <row r="441" spans="1:20" ht="22" customHeight="1">
      <c r="A441" s="432" t="s">
        <v>6238</v>
      </c>
      <c r="B441" s="432" t="s">
        <v>6199</v>
      </c>
      <c r="C441" s="451" t="s">
        <v>8707</v>
      </c>
      <c r="D441" s="432"/>
      <c r="E441" s="433" t="s">
        <v>8006</v>
      </c>
      <c r="F441" s="433" t="s">
        <v>6835</v>
      </c>
      <c r="G441" s="433" t="s">
        <v>6836</v>
      </c>
      <c r="H441" s="434">
        <v>2</v>
      </c>
      <c r="I441" s="433" t="s">
        <v>2740</v>
      </c>
      <c r="J441" s="433" t="s">
        <v>7290</v>
      </c>
      <c r="K441" s="438" t="s">
        <v>8277</v>
      </c>
      <c r="L441" s="438" t="s">
        <v>8292</v>
      </c>
      <c r="M441" s="449" t="s">
        <v>8317</v>
      </c>
      <c r="N441" s="448" t="s">
        <v>8588</v>
      </c>
      <c r="O441" s="439" t="s">
        <v>8669</v>
      </c>
      <c r="P441" s="439" t="s">
        <v>8672</v>
      </c>
      <c r="Q441" s="432" t="s">
        <v>2234</v>
      </c>
      <c r="R441" s="432" t="s">
        <v>4</v>
      </c>
      <c r="S441" s="432"/>
      <c r="T441" s="432" t="s">
        <v>2740</v>
      </c>
    </row>
    <row r="442" spans="1:20" ht="22" customHeight="1">
      <c r="A442" s="432" t="s">
        <v>6239</v>
      </c>
      <c r="B442" s="432" t="s">
        <v>6199</v>
      </c>
      <c r="C442" s="451" t="s">
        <v>8707</v>
      </c>
      <c r="D442" s="432"/>
      <c r="E442" s="433" t="s">
        <v>8007</v>
      </c>
      <c r="F442" s="433" t="s">
        <v>6837</v>
      </c>
      <c r="G442" s="433" t="s">
        <v>6838</v>
      </c>
      <c r="H442" s="434">
        <v>2</v>
      </c>
      <c r="I442" s="433" t="s">
        <v>2740</v>
      </c>
      <c r="J442" s="433" t="s">
        <v>7290</v>
      </c>
      <c r="K442" s="438" t="s">
        <v>8277</v>
      </c>
      <c r="L442" s="438" t="s">
        <v>8292</v>
      </c>
      <c r="M442" s="449" t="s">
        <v>8317</v>
      </c>
      <c r="N442" s="448" t="s">
        <v>8588</v>
      </c>
      <c r="O442" s="439" t="s">
        <v>8669</v>
      </c>
      <c r="P442" s="439" t="s">
        <v>8672</v>
      </c>
      <c r="Q442" s="432" t="s">
        <v>2234</v>
      </c>
      <c r="R442" s="432" t="s">
        <v>4</v>
      </c>
      <c r="S442" s="432"/>
      <c r="T442" s="432" t="s">
        <v>2740</v>
      </c>
    </row>
    <row r="443" spans="1:20" ht="22" customHeight="1">
      <c r="A443" s="432" t="s">
        <v>6240</v>
      </c>
      <c r="B443" s="432" t="s">
        <v>6199</v>
      </c>
      <c r="C443" s="451" t="s">
        <v>8707</v>
      </c>
      <c r="D443" s="432"/>
      <c r="E443" s="433" t="s">
        <v>8008</v>
      </c>
      <c r="F443" s="433" t="s">
        <v>6839</v>
      </c>
      <c r="G443" s="433" t="s">
        <v>6840</v>
      </c>
      <c r="H443" s="434">
        <v>2</v>
      </c>
      <c r="I443" s="433" t="s">
        <v>2740</v>
      </c>
      <c r="J443" s="433" t="s">
        <v>7290</v>
      </c>
      <c r="K443" s="438" t="s">
        <v>8277</v>
      </c>
      <c r="L443" s="438" t="s">
        <v>8292</v>
      </c>
      <c r="M443" s="449" t="s">
        <v>8317</v>
      </c>
      <c r="N443" s="448" t="s">
        <v>8588</v>
      </c>
      <c r="O443" s="439" t="s">
        <v>8669</v>
      </c>
      <c r="P443" s="439" t="s">
        <v>8672</v>
      </c>
      <c r="Q443" s="432" t="s">
        <v>2234</v>
      </c>
      <c r="R443" s="432" t="s">
        <v>4</v>
      </c>
      <c r="S443" s="432"/>
      <c r="T443" s="432" t="s">
        <v>2740</v>
      </c>
    </row>
    <row r="444" spans="1:20" ht="22" customHeight="1">
      <c r="A444" s="432" t="s">
        <v>6241</v>
      </c>
      <c r="B444" s="432" t="s">
        <v>6199</v>
      </c>
      <c r="C444" s="451" t="s">
        <v>8707</v>
      </c>
      <c r="D444" s="432"/>
      <c r="E444" s="433" t="s">
        <v>8009</v>
      </c>
      <c r="F444" s="433" t="s">
        <v>6841</v>
      </c>
      <c r="G444" s="433" t="s">
        <v>6842</v>
      </c>
      <c r="H444" s="434">
        <v>1</v>
      </c>
      <c r="I444" s="433" t="s">
        <v>2740</v>
      </c>
      <c r="J444" s="433" t="s">
        <v>7290</v>
      </c>
      <c r="K444" s="438" t="s">
        <v>8277</v>
      </c>
      <c r="L444" s="438" t="s">
        <v>8292</v>
      </c>
      <c r="M444" s="449" t="s">
        <v>8317</v>
      </c>
      <c r="N444" s="448" t="s">
        <v>8588</v>
      </c>
      <c r="O444" s="439" t="s">
        <v>8669</v>
      </c>
      <c r="P444" s="439" t="s">
        <v>8672</v>
      </c>
      <c r="Q444" s="432" t="s">
        <v>2234</v>
      </c>
      <c r="R444" s="432" t="s">
        <v>4</v>
      </c>
      <c r="S444" s="432"/>
      <c r="T444" s="432" t="s">
        <v>2740</v>
      </c>
    </row>
    <row r="445" spans="1:20" ht="22" customHeight="1">
      <c r="A445" s="432" t="s">
        <v>6242</v>
      </c>
      <c r="B445" s="432" t="s">
        <v>6199</v>
      </c>
      <c r="C445" s="451" t="s">
        <v>8707</v>
      </c>
      <c r="D445" s="432"/>
      <c r="E445" s="433" t="s">
        <v>8010</v>
      </c>
      <c r="F445" s="433" t="s">
        <v>6843</v>
      </c>
      <c r="G445" s="433" t="s">
        <v>6844</v>
      </c>
      <c r="H445" s="434">
        <v>2</v>
      </c>
      <c r="I445" s="433" t="s">
        <v>2740</v>
      </c>
      <c r="J445" s="433" t="s">
        <v>7290</v>
      </c>
      <c r="K445" s="438" t="s">
        <v>8277</v>
      </c>
      <c r="L445" s="438" t="s">
        <v>8292</v>
      </c>
      <c r="M445" s="449" t="s">
        <v>8317</v>
      </c>
      <c r="N445" s="448" t="s">
        <v>8588</v>
      </c>
      <c r="O445" s="439" t="s">
        <v>8669</v>
      </c>
      <c r="P445" s="439" t="s">
        <v>8672</v>
      </c>
      <c r="Q445" s="432" t="s">
        <v>2234</v>
      </c>
      <c r="R445" s="432" t="s">
        <v>4</v>
      </c>
      <c r="S445" s="432"/>
      <c r="T445" s="432" t="s">
        <v>2740</v>
      </c>
    </row>
    <row r="446" spans="1:20" ht="22" customHeight="1">
      <c r="A446" s="432" t="s">
        <v>6243</v>
      </c>
      <c r="B446" s="432" t="s">
        <v>6199</v>
      </c>
      <c r="C446" s="451" t="s">
        <v>8707</v>
      </c>
      <c r="D446" s="432"/>
      <c r="E446" s="433" t="s">
        <v>8011</v>
      </c>
      <c r="F446" s="433" t="s">
        <v>6845</v>
      </c>
      <c r="G446" s="433" t="s">
        <v>6846</v>
      </c>
      <c r="H446" s="434">
        <v>3</v>
      </c>
      <c r="I446" s="433" t="s">
        <v>2740</v>
      </c>
      <c r="J446" s="433" t="s">
        <v>7290</v>
      </c>
      <c r="K446" s="438" t="s">
        <v>8277</v>
      </c>
      <c r="L446" s="438" t="s">
        <v>8292</v>
      </c>
      <c r="M446" s="449" t="s">
        <v>8317</v>
      </c>
      <c r="N446" s="448" t="s">
        <v>8588</v>
      </c>
      <c r="O446" s="439" t="s">
        <v>8669</v>
      </c>
      <c r="P446" s="439" t="s">
        <v>8672</v>
      </c>
      <c r="Q446" s="432" t="s">
        <v>2234</v>
      </c>
      <c r="R446" s="432" t="s">
        <v>4</v>
      </c>
      <c r="S446" s="432"/>
      <c r="T446" s="432" t="s">
        <v>2740</v>
      </c>
    </row>
    <row r="447" spans="1:20" ht="22" customHeight="1">
      <c r="A447" s="432" t="s">
        <v>6244</v>
      </c>
      <c r="B447" s="432" t="s">
        <v>6199</v>
      </c>
      <c r="C447" s="451" t="s">
        <v>8707</v>
      </c>
      <c r="D447" s="432"/>
      <c r="E447" s="433" t="s">
        <v>8012</v>
      </c>
      <c r="F447" s="433" t="s">
        <v>6847</v>
      </c>
      <c r="G447" s="433" t="s">
        <v>6848</v>
      </c>
      <c r="H447" s="434">
        <v>1</v>
      </c>
      <c r="I447" s="433" t="s">
        <v>2740</v>
      </c>
      <c r="J447" s="433" t="s">
        <v>7290</v>
      </c>
      <c r="K447" s="438" t="s">
        <v>8277</v>
      </c>
      <c r="L447" s="438" t="s">
        <v>8292</v>
      </c>
      <c r="M447" s="449" t="s">
        <v>8317</v>
      </c>
      <c r="N447" s="448" t="s">
        <v>8588</v>
      </c>
      <c r="O447" s="439" t="s">
        <v>8669</v>
      </c>
      <c r="P447" s="439" t="s">
        <v>8672</v>
      </c>
      <c r="Q447" s="432" t="s">
        <v>2234</v>
      </c>
      <c r="R447" s="432" t="s">
        <v>4</v>
      </c>
      <c r="S447" s="432"/>
      <c r="T447" s="432" t="s">
        <v>2740</v>
      </c>
    </row>
    <row r="448" spans="1:20" ht="22" customHeight="1">
      <c r="A448" s="432" t="s">
        <v>6245</v>
      </c>
      <c r="B448" s="432" t="s">
        <v>6199</v>
      </c>
      <c r="C448" s="451" t="s">
        <v>8707</v>
      </c>
      <c r="D448" s="432"/>
      <c r="E448" s="433" t="s">
        <v>8013</v>
      </c>
      <c r="F448" s="433" t="s">
        <v>6849</v>
      </c>
      <c r="G448" s="433" t="s">
        <v>6850</v>
      </c>
      <c r="H448" s="434">
        <v>1</v>
      </c>
      <c r="I448" s="433" t="s">
        <v>2740</v>
      </c>
      <c r="J448" s="433" t="s">
        <v>7290</v>
      </c>
      <c r="K448" s="438" t="s">
        <v>8277</v>
      </c>
      <c r="L448" s="438" t="s">
        <v>8292</v>
      </c>
      <c r="M448" s="449" t="s">
        <v>8317</v>
      </c>
      <c r="N448" s="448" t="s">
        <v>8588</v>
      </c>
      <c r="O448" s="439" t="s">
        <v>8669</v>
      </c>
      <c r="P448" s="439" t="s">
        <v>8672</v>
      </c>
      <c r="Q448" s="432" t="s">
        <v>2234</v>
      </c>
      <c r="R448" s="432" t="s">
        <v>4</v>
      </c>
      <c r="S448" s="432"/>
      <c r="T448" s="432" t="s">
        <v>2740</v>
      </c>
    </row>
    <row r="449" spans="1:20" ht="22" customHeight="1">
      <c r="A449" s="432" t="s">
        <v>6246</v>
      </c>
      <c r="B449" s="432" t="s">
        <v>6199</v>
      </c>
      <c r="C449" s="451" t="s">
        <v>8707</v>
      </c>
      <c r="D449" s="432"/>
      <c r="E449" s="433" t="s">
        <v>8014</v>
      </c>
      <c r="F449" s="433" t="s">
        <v>6851</v>
      </c>
      <c r="G449" s="433" t="s">
        <v>6852</v>
      </c>
      <c r="H449" s="434">
        <v>1</v>
      </c>
      <c r="I449" s="433" t="s">
        <v>2740</v>
      </c>
      <c r="J449" s="433" t="s">
        <v>7290</v>
      </c>
      <c r="K449" s="438" t="s">
        <v>8277</v>
      </c>
      <c r="L449" s="438" t="s">
        <v>8292</v>
      </c>
      <c r="M449" s="449" t="s">
        <v>8317</v>
      </c>
      <c r="N449" s="448" t="s">
        <v>8588</v>
      </c>
      <c r="O449" s="439" t="s">
        <v>8669</v>
      </c>
      <c r="P449" s="439" t="s">
        <v>8672</v>
      </c>
      <c r="Q449" s="432" t="s">
        <v>2234</v>
      </c>
      <c r="R449" s="432" t="s">
        <v>4</v>
      </c>
      <c r="S449" s="432"/>
      <c r="T449" s="432" t="s">
        <v>2740</v>
      </c>
    </row>
    <row r="450" spans="1:20" ht="22" customHeight="1">
      <c r="A450" s="432" t="s">
        <v>6247</v>
      </c>
      <c r="B450" s="432" t="s">
        <v>6199</v>
      </c>
      <c r="C450" s="451" t="s">
        <v>8707</v>
      </c>
      <c r="D450" s="432"/>
      <c r="E450" s="433" t="s">
        <v>8015</v>
      </c>
      <c r="F450" s="433" t="s">
        <v>6853</v>
      </c>
      <c r="G450" s="433" t="s">
        <v>6854</v>
      </c>
      <c r="H450" s="434">
        <v>2</v>
      </c>
      <c r="I450" s="433" t="s">
        <v>2740</v>
      </c>
      <c r="J450" s="433" t="s">
        <v>7290</v>
      </c>
      <c r="K450" s="438" t="s">
        <v>8277</v>
      </c>
      <c r="L450" s="438" t="s">
        <v>8292</v>
      </c>
      <c r="M450" s="449" t="s">
        <v>8317</v>
      </c>
      <c r="N450" s="448" t="s">
        <v>8588</v>
      </c>
      <c r="O450" s="439" t="s">
        <v>8669</v>
      </c>
      <c r="P450" s="439" t="s">
        <v>8672</v>
      </c>
      <c r="Q450" s="432" t="s">
        <v>2234</v>
      </c>
      <c r="R450" s="432" t="s">
        <v>4</v>
      </c>
      <c r="S450" s="432"/>
      <c r="T450" s="432" t="s">
        <v>2740</v>
      </c>
    </row>
    <row r="451" spans="1:20" ht="22" customHeight="1">
      <c r="A451" s="432" t="s">
        <v>6248</v>
      </c>
      <c r="B451" s="432" t="s">
        <v>6199</v>
      </c>
      <c r="C451" s="451" t="s">
        <v>8707</v>
      </c>
      <c r="D451" s="432"/>
      <c r="E451" s="433" t="s">
        <v>8016</v>
      </c>
      <c r="F451" s="433" t="s">
        <v>6855</v>
      </c>
      <c r="G451" s="433" t="s">
        <v>6856</v>
      </c>
      <c r="H451" s="434">
        <v>1</v>
      </c>
      <c r="I451" s="433" t="s">
        <v>2740</v>
      </c>
      <c r="J451" s="433" t="s">
        <v>7290</v>
      </c>
      <c r="K451" s="438" t="s">
        <v>8277</v>
      </c>
      <c r="L451" s="438" t="s">
        <v>8292</v>
      </c>
      <c r="M451" s="449" t="s">
        <v>8317</v>
      </c>
      <c r="N451" s="448" t="s">
        <v>8588</v>
      </c>
      <c r="O451" s="439" t="s">
        <v>8669</v>
      </c>
      <c r="P451" s="439" t="s">
        <v>8672</v>
      </c>
      <c r="Q451" s="432" t="s">
        <v>2234</v>
      </c>
      <c r="R451" s="432" t="s">
        <v>4</v>
      </c>
      <c r="S451" s="432"/>
      <c r="T451" s="432" t="s">
        <v>2740</v>
      </c>
    </row>
    <row r="452" spans="1:20" ht="22" customHeight="1">
      <c r="A452" s="432" t="s">
        <v>6249</v>
      </c>
      <c r="B452" s="432" t="s">
        <v>6199</v>
      </c>
      <c r="C452" s="451" t="s">
        <v>8707</v>
      </c>
      <c r="D452" s="432"/>
      <c r="E452" s="433" t="s">
        <v>8017</v>
      </c>
      <c r="F452" s="433" t="s">
        <v>6857</v>
      </c>
      <c r="G452" s="433" t="s">
        <v>6858</v>
      </c>
      <c r="H452" s="434">
        <v>1</v>
      </c>
      <c r="I452" s="433" t="s">
        <v>2740</v>
      </c>
      <c r="J452" s="433" t="s">
        <v>7290</v>
      </c>
      <c r="K452" s="438" t="s">
        <v>8277</v>
      </c>
      <c r="L452" s="438" t="s">
        <v>8292</v>
      </c>
      <c r="M452" s="449" t="s">
        <v>8317</v>
      </c>
      <c r="N452" s="448" t="s">
        <v>8588</v>
      </c>
      <c r="O452" s="439" t="s">
        <v>8669</v>
      </c>
      <c r="P452" s="439" t="s">
        <v>8672</v>
      </c>
      <c r="Q452" s="432" t="s">
        <v>2234</v>
      </c>
      <c r="R452" s="432" t="s">
        <v>4</v>
      </c>
      <c r="S452" s="432"/>
      <c r="T452" s="432" t="s">
        <v>2740</v>
      </c>
    </row>
    <row r="453" spans="1:20" ht="22" customHeight="1">
      <c r="A453" s="432" t="s">
        <v>6250</v>
      </c>
      <c r="B453" s="432" t="s">
        <v>6199</v>
      </c>
      <c r="C453" s="451" t="s">
        <v>8707</v>
      </c>
      <c r="D453" s="432"/>
      <c r="E453" s="433" t="s">
        <v>8018</v>
      </c>
      <c r="F453" s="433" t="s">
        <v>6859</v>
      </c>
      <c r="G453" s="433" t="s">
        <v>6860</v>
      </c>
      <c r="H453" s="434">
        <v>1</v>
      </c>
      <c r="I453" s="433" t="s">
        <v>2740</v>
      </c>
      <c r="J453" s="433" t="s">
        <v>7290</v>
      </c>
      <c r="K453" s="438" t="s">
        <v>8277</v>
      </c>
      <c r="L453" s="438" t="s">
        <v>8292</v>
      </c>
      <c r="M453" s="449" t="s">
        <v>8317</v>
      </c>
      <c r="N453" s="448" t="s">
        <v>8588</v>
      </c>
      <c r="O453" s="439" t="s">
        <v>8669</v>
      </c>
      <c r="P453" s="439" t="s">
        <v>8672</v>
      </c>
      <c r="Q453" s="432" t="s">
        <v>2234</v>
      </c>
      <c r="R453" s="432" t="s">
        <v>4</v>
      </c>
      <c r="S453" s="432"/>
      <c r="T453" s="432" t="s">
        <v>2740</v>
      </c>
    </row>
    <row r="454" spans="1:20" ht="22" customHeight="1">
      <c r="A454" s="432" t="s">
        <v>6251</v>
      </c>
      <c r="B454" s="432" t="s">
        <v>6199</v>
      </c>
      <c r="C454" s="451" t="s">
        <v>8707</v>
      </c>
      <c r="D454" s="432"/>
      <c r="E454" s="433" t="s">
        <v>6252</v>
      </c>
      <c r="F454" s="433" t="s">
        <v>6861</v>
      </c>
      <c r="G454" s="433" t="s">
        <v>6862</v>
      </c>
      <c r="H454" s="434">
        <v>3</v>
      </c>
      <c r="I454" s="433" t="s">
        <v>2740</v>
      </c>
      <c r="J454" s="433" t="s">
        <v>7290</v>
      </c>
      <c r="K454" s="438" t="s">
        <v>8277</v>
      </c>
      <c r="L454" s="438" t="s">
        <v>8292</v>
      </c>
      <c r="M454" s="449" t="s">
        <v>8317</v>
      </c>
      <c r="N454" s="448" t="s">
        <v>8588</v>
      </c>
      <c r="O454" s="439" t="s">
        <v>8669</v>
      </c>
      <c r="P454" s="439" t="s">
        <v>8672</v>
      </c>
      <c r="Q454" s="432" t="s">
        <v>2234</v>
      </c>
      <c r="R454" s="432" t="s">
        <v>4</v>
      </c>
      <c r="S454" s="432"/>
      <c r="T454" s="432" t="s">
        <v>2740</v>
      </c>
    </row>
    <row r="455" spans="1:20" ht="22" customHeight="1">
      <c r="A455" s="432" t="s">
        <v>6253</v>
      </c>
      <c r="B455" s="432" t="s">
        <v>6199</v>
      </c>
      <c r="C455" s="451" t="s">
        <v>8707</v>
      </c>
      <c r="D455" s="432"/>
      <c r="E455" s="433" t="s">
        <v>6254</v>
      </c>
      <c r="F455" s="433" t="s">
        <v>6863</v>
      </c>
      <c r="G455" s="433" t="s">
        <v>6864</v>
      </c>
      <c r="H455" s="434">
        <v>3</v>
      </c>
      <c r="I455" s="433" t="s">
        <v>2740</v>
      </c>
      <c r="J455" s="433" t="s">
        <v>7290</v>
      </c>
      <c r="K455" s="438" t="s">
        <v>8277</v>
      </c>
      <c r="L455" s="438" t="s">
        <v>8292</v>
      </c>
      <c r="M455" s="433" t="s">
        <v>8317</v>
      </c>
      <c r="N455" s="449" t="s">
        <v>8588</v>
      </c>
      <c r="O455" s="439" t="s">
        <v>8669</v>
      </c>
      <c r="P455" s="439" t="s">
        <v>8672</v>
      </c>
      <c r="Q455" s="432" t="s">
        <v>2234</v>
      </c>
      <c r="R455" s="432" t="s">
        <v>4</v>
      </c>
      <c r="S455" s="432"/>
      <c r="T455" s="432" t="s">
        <v>2740</v>
      </c>
    </row>
    <row r="456" spans="1:20" ht="22" customHeight="1">
      <c r="A456" s="432" t="s">
        <v>6255</v>
      </c>
      <c r="B456" s="432" t="s">
        <v>6199</v>
      </c>
      <c r="C456" s="451" t="s">
        <v>8707</v>
      </c>
      <c r="D456" s="432"/>
      <c r="E456" s="433" t="s">
        <v>6256</v>
      </c>
      <c r="F456" s="433" t="s">
        <v>6865</v>
      </c>
      <c r="G456" s="433" t="s">
        <v>6866</v>
      </c>
      <c r="H456" s="434">
        <v>3</v>
      </c>
      <c r="I456" s="433" t="s">
        <v>2740</v>
      </c>
      <c r="J456" s="433" t="s">
        <v>7290</v>
      </c>
      <c r="K456" s="438" t="s">
        <v>8277</v>
      </c>
      <c r="L456" s="438" t="s">
        <v>8292</v>
      </c>
      <c r="M456" s="433" t="s">
        <v>8317</v>
      </c>
      <c r="N456" s="449" t="s">
        <v>8588</v>
      </c>
      <c r="O456" s="439" t="s">
        <v>8669</v>
      </c>
      <c r="P456" s="439" t="s">
        <v>8672</v>
      </c>
      <c r="Q456" s="432" t="s">
        <v>2234</v>
      </c>
      <c r="R456" s="432" t="s">
        <v>4</v>
      </c>
      <c r="S456" s="432"/>
      <c r="T456" s="432" t="s">
        <v>2740</v>
      </c>
    </row>
  </sheetData>
  <autoFilter ref="A6:T456" xr:uid="{66250CDA-FE4E-E74B-968F-00BE7CB94CEE}"/>
  <phoneticPr fontId="3"/>
  <conditionalFormatting sqref="A7:T456">
    <cfRule type="expression" dxfId="16" priority="1">
      <formula>LEFT($N7,3)="対象外"</formula>
    </cfRule>
  </conditionalFormatting>
  <conditionalFormatting sqref="N7:N456">
    <cfRule type="expression" dxfId="15" priority="2">
      <formula>LEFT($N7,3)="対象外"</formula>
    </cfRule>
  </conditionalFormatting>
  <conditionalFormatting sqref="N7:N456">
    <cfRule type="expression" dxfId="14" priority="3">
      <formula>$N7="対象"</formula>
    </cfRule>
  </conditionalFormatting>
  <conditionalFormatting sqref="C7:C456">
    <cfRule type="expression" dxfId="13" priority="4">
      <formula>$C7="設計書の執筆"</formula>
    </cfRule>
  </conditionalFormatting>
  <conditionalFormatting sqref="C7:C456">
    <cfRule type="expression" dxfId="12" priority="5">
      <formula>$C7="ガイド・手順書の執筆"</formula>
    </cfRule>
  </conditionalFormatting>
  <conditionalFormatting sqref="C7:C456">
    <cfRule type="expression" dxfId="11" priority="6">
      <formula>$C7="調査・計画"</formula>
    </cfRule>
  </conditionalFormatting>
  <conditionalFormatting sqref="C7:C456">
    <cfRule type="expression" dxfId="10" priority="7">
      <formula>$C7="実機検証・照会"</formula>
    </cfRule>
  </conditionalFormatting>
  <conditionalFormatting sqref="C7:C456">
    <cfRule type="expression" dxfId="9" priority="8">
      <formula>$C7="レビュー・合意"</formula>
    </cfRule>
  </conditionalFormatting>
  <conditionalFormatting sqref="C7:C456">
    <cfRule type="expression" dxfId="8" priority="9">
      <formula>$C7="外部調整"</formula>
    </cfRule>
  </conditionalFormatting>
  <conditionalFormatting sqref="O7:O456">
    <cfRule type="expression" dxfId="7" priority="10">
      <formula>$O7="当初あり"</formula>
    </cfRule>
  </conditionalFormatting>
  <conditionalFormatting sqref="O7:O456">
    <cfRule type="expression" dxfId="6" priority="11">
      <formula>LEFT($O7,2)="新規"</formula>
    </cfRule>
  </conditionalFormatting>
  <conditionalFormatting sqref="P7:P456">
    <cfRule type="expression" dxfId="5" priority="12">
      <formula>$P7="基盤チーム（器・運用）"</formula>
    </cfRule>
  </conditionalFormatting>
  <conditionalFormatting sqref="P7:P456">
    <cfRule type="expression" dxfId="4" priority="13">
      <formula>$P7="アプリチーム（作り込み）"</formula>
    </cfRule>
  </conditionalFormatting>
  <conditionalFormatting sqref="P7:P456">
    <cfRule type="expression" dxfId="3" priority="14">
      <formula>$P7="共同（分けきれない）"</formula>
    </cfRule>
  </conditionalFormatting>
  <conditionalFormatting sqref="K7:K456">
    <cfRule type="expression" dxfId="2" priority="15">
      <formula>$K7="アプリ移管"</formula>
    </cfRule>
  </conditionalFormatting>
  <conditionalFormatting sqref="L7:L456">
    <cfRule type="expression" dxfId="1" priority="16">
      <formula>$L7="利用者が 1 箇所になり不要"</formula>
    </cfRule>
  </conditionalFormatting>
  <conditionalFormatting sqref="T7:T456">
    <cfRule type="expression" dxfId="0" priority="17">
      <formula>LEFT($T7,2)="F-"</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AC227"/>
  <sheetViews>
    <sheetView topLeftCell="I1" zoomScale="161" zoomScaleNormal="120" workbookViewId="0">
      <pane ySplit="5" topLeftCell="A215" activePane="bottomLeft" state="frozen"/>
      <selection pane="bottomLeft" activeCell="H4" sqref="H4"/>
    </sheetView>
  </sheetViews>
  <sheetFormatPr baseColWidth="10" defaultRowHeight="20"/>
  <cols>
    <col min="1" max="1" width="14.28515625" customWidth="1"/>
    <col min="2" max="2" width="12.85546875" customWidth="1"/>
    <col min="3" max="3" width="24.28515625" customWidth="1"/>
    <col min="4" max="4" width="35.7109375" customWidth="1"/>
    <col min="5" max="5" width="48.5703125" customWidth="1"/>
    <col min="6" max="6" width="7.42578125" customWidth="1"/>
    <col min="7" max="7" width="27.140625" customWidth="1"/>
    <col min="8" max="9" width="28.5703125" customWidth="1"/>
    <col min="10" max="10" width="18.5703125" customWidth="1"/>
    <col min="11" max="11" width="12.85546875" customWidth="1"/>
    <col min="12" max="12" width="17.140625" customWidth="1"/>
    <col min="13" max="13" width="12.85546875" customWidth="1"/>
    <col min="14" max="14" width="15.7109375" customWidth="1"/>
    <col min="15" max="16" width="27.140625" customWidth="1"/>
    <col min="17" max="17" width="19.28515625" customWidth="1"/>
    <col min="18" max="18" width="24.28515625" customWidth="1"/>
    <col min="19" max="19" width="60" customWidth="1"/>
    <col min="20" max="20" width="25.7109375" customWidth="1"/>
    <col min="21" max="21" width="10" customWidth="1"/>
    <col min="22" max="22" width="40" customWidth="1"/>
    <col min="23" max="23" width="100" customWidth="1"/>
    <col min="24" max="24" width="74.28515625" customWidth="1"/>
    <col min="25" max="27" width="13.5703125" customWidth="1"/>
    <col min="28" max="28" width="15.7109375" customWidth="1"/>
    <col min="29" max="29" width="65.7109375" customWidth="1"/>
  </cols>
  <sheetData>
    <row r="1" spans="1:29">
      <c r="A1" s="367" t="s">
        <v>8239</v>
      </c>
      <c r="B1" s="34"/>
      <c r="C1" s="34"/>
      <c r="D1" s="34"/>
      <c r="E1" s="34"/>
      <c r="F1" s="34"/>
      <c r="G1" s="34"/>
      <c r="H1" s="34">
        <v>700</v>
      </c>
      <c r="I1" s="34"/>
      <c r="J1" s="34"/>
      <c r="K1" s="34"/>
      <c r="L1" s="34"/>
      <c r="M1" s="34"/>
      <c r="N1" s="34"/>
      <c r="O1" s="34"/>
      <c r="P1" s="34"/>
    </row>
    <row r="2" spans="1:29">
      <c r="A2" s="62" t="s">
        <v>6101</v>
      </c>
      <c r="B2" s="34"/>
      <c r="C2" s="34"/>
      <c r="D2" s="34"/>
      <c r="E2" s="34"/>
      <c r="F2" s="34"/>
      <c r="G2" s="34"/>
      <c r="H2" s="34">
        <v>1600</v>
      </c>
      <c r="I2" s="34"/>
      <c r="J2" s="34"/>
      <c r="K2" s="34"/>
      <c r="L2" s="34"/>
      <c r="M2" s="34"/>
      <c r="N2" s="34"/>
      <c r="O2" s="34"/>
      <c r="P2" s="34"/>
    </row>
    <row r="3" spans="1:29">
      <c r="A3" s="292" t="s">
        <v>8240</v>
      </c>
      <c r="B3" s="34"/>
      <c r="C3" s="34"/>
      <c r="D3" s="34"/>
      <c r="E3" s="34"/>
      <c r="F3" s="34"/>
      <c r="G3" s="34"/>
      <c r="H3" s="34">
        <v>429</v>
      </c>
      <c r="I3" s="34"/>
      <c r="J3" s="34"/>
      <c r="K3" s="34"/>
      <c r="L3" s="34"/>
      <c r="M3" s="34"/>
      <c r="N3" s="34"/>
      <c r="O3" s="34"/>
      <c r="P3" s="34"/>
    </row>
    <row r="4" spans="1:29">
      <c r="A4" s="306" t="s">
        <v>8241</v>
      </c>
      <c r="B4" s="34"/>
      <c r="C4" s="34"/>
      <c r="D4" s="34"/>
      <c r="E4" s="34"/>
      <c r="F4" s="34"/>
      <c r="G4" s="34"/>
      <c r="H4" s="34">
        <f>SUM(H1:H3)/20</f>
        <v>136.44999999999999</v>
      </c>
      <c r="I4" s="34"/>
      <c r="J4" s="34"/>
      <c r="K4" s="34"/>
      <c r="L4" s="34"/>
      <c r="M4" s="34"/>
      <c r="N4" s="34"/>
      <c r="O4" s="34"/>
      <c r="P4" s="34"/>
      <c r="V4" s="168" t="s">
        <v>2523</v>
      </c>
    </row>
    <row r="5" spans="1:29" ht="26" customHeight="1">
      <c r="A5" s="401" t="s">
        <v>3577</v>
      </c>
      <c r="B5" s="402" t="s">
        <v>3483</v>
      </c>
      <c r="C5" s="402" t="s">
        <v>8019</v>
      </c>
      <c r="D5" s="402" t="s">
        <v>8020</v>
      </c>
      <c r="E5" s="402" t="s">
        <v>8021</v>
      </c>
      <c r="F5" s="402" t="s">
        <v>3578</v>
      </c>
      <c r="G5" s="402" t="s">
        <v>7814</v>
      </c>
      <c r="H5" s="402" t="s">
        <v>7287</v>
      </c>
      <c r="I5" s="402" t="s">
        <v>8022</v>
      </c>
      <c r="J5" s="402" t="s">
        <v>8023</v>
      </c>
      <c r="K5" s="402" t="s">
        <v>2440</v>
      </c>
      <c r="L5" s="402" t="s">
        <v>8024</v>
      </c>
      <c r="M5" s="402" t="s">
        <v>2444</v>
      </c>
      <c r="N5" s="402" t="s">
        <v>2445</v>
      </c>
      <c r="O5" s="402" t="s">
        <v>1550</v>
      </c>
      <c r="P5" s="403" t="s">
        <v>8025</v>
      </c>
      <c r="V5" s="20" t="s">
        <v>2524</v>
      </c>
      <c r="W5" s="21" t="s">
        <v>2433</v>
      </c>
      <c r="X5" s="21" t="s">
        <v>2525</v>
      </c>
      <c r="Y5" s="21" t="s">
        <v>2441</v>
      </c>
      <c r="Z5" s="21" t="s">
        <v>2442</v>
      </c>
      <c r="AA5" s="21" t="s">
        <v>2526</v>
      </c>
      <c r="AB5" s="22" t="s">
        <v>2913</v>
      </c>
      <c r="AC5" s="191" t="s">
        <v>5807</v>
      </c>
    </row>
    <row r="6" spans="1:29" ht="19" customHeight="1">
      <c r="A6" s="369" t="s">
        <v>2529</v>
      </c>
      <c r="B6" s="373" t="s">
        <v>5888</v>
      </c>
      <c r="C6" s="370" t="s">
        <v>8273</v>
      </c>
      <c r="D6" s="371" t="s">
        <v>8243</v>
      </c>
      <c r="E6" s="371" t="s">
        <v>8026</v>
      </c>
      <c r="F6" s="404">
        <v>3</v>
      </c>
      <c r="G6" s="372" t="s">
        <v>2740</v>
      </c>
      <c r="H6" s="372" t="s">
        <v>7290</v>
      </c>
      <c r="I6" s="371"/>
      <c r="J6" s="371"/>
      <c r="K6" s="370"/>
      <c r="L6" s="370"/>
      <c r="M6" s="370" t="s">
        <v>4</v>
      </c>
      <c r="N6" s="370" t="s">
        <v>8027</v>
      </c>
      <c r="O6" s="370" t="s">
        <v>8028</v>
      </c>
      <c r="P6" s="405"/>
      <c r="V6" s="23"/>
      <c r="W6" s="31"/>
      <c r="X6" s="31"/>
      <c r="Y6" s="31"/>
      <c r="Z6" s="31"/>
      <c r="AA6" s="31"/>
      <c r="AB6" s="159"/>
    </row>
    <row r="7" spans="1:29" ht="19" customHeight="1">
      <c r="A7" s="369" t="s">
        <v>2529</v>
      </c>
      <c r="B7" s="373" t="s">
        <v>5889</v>
      </c>
      <c r="C7" s="370" t="s">
        <v>8273</v>
      </c>
      <c r="D7" s="371" t="s">
        <v>8244</v>
      </c>
      <c r="E7" s="371" t="s">
        <v>8029</v>
      </c>
      <c r="F7" s="404">
        <v>3</v>
      </c>
      <c r="G7" s="372" t="s">
        <v>2740</v>
      </c>
      <c r="H7" s="372" t="s">
        <v>7290</v>
      </c>
      <c r="I7" s="371"/>
      <c r="J7" s="371"/>
      <c r="K7" s="370"/>
      <c r="L7" s="370"/>
      <c r="M7" s="370" t="s">
        <v>4</v>
      </c>
      <c r="N7" s="370" t="s">
        <v>8027</v>
      </c>
      <c r="O7" s="370" t="s">
        <v>8028</v>
      </c>
      <c r="P7" s="405"/>
      <c r="V7" s="23"/>
      <c r="W7" s="31"/>
      <c r="X7" s="31"/>
      <c r="Y7" s="31"/>
      <c r="Z7" s="31"/>
      <c r="AA7" s="31"/>
      <c r="AB7" s="159"/>
    </row>
    <row r="8" spans="1:29" ht="19" customHeight="1">
      <c r="A8" s="369" t="s">
        <v>2529</v>
      </c>
      <c r="B8" s="373" t="s">
        <v>5890</v>
      </c>
      <c r="C8" s="370" t="s">
        <v>8273</v>
      </c>
      <c r="D8" s="371" t="s">
        <v>8245</v>
      </c>
      <c r="E8" s="371" t="s">
        <v>8030</v>
      </c>
      <c r="F8" s="404">
        <v>3</v>
      </c>
      <c r="G8" s="372" t="s">
        <v>2740</v>
      </c>
      <c r="H8" s="372" t="s">
        <v>7290</v>
      </c>
      <c r="I8" s="371"/>
      <c r="J8" s="371"/>
      <c r="K8" s="370"/>
      <c r="L8" s="370"/>
      <c r="M8" s="370" t="s">
        <v>4</v>
      </c>
      <c r="N8" s="370" t="s">
        <v>8027</v>
      </c>
      <c r="O8" s="370" t="s">
        <v>8028</v>
      </c>
      <c r="P8" s="405"/>
      <c r="V8" s="23"/>
      <c r="W8" s="31"/>
      <c r="X8" s="31"/>
      <c r="Y8" s="31"/>
      <c r="Z8" s="31"/>
      <c r="AA8" s="31"/>
      <c r="AB8" s="159"/>
    </row>
    <row r="9" spans="1:29" ht="19" customHeight="1">
      <c r="A9" s="369" t="s">
        <v>2529</v>
      </c>
      <c r="B9" s="373" t="s">
        <v>5891</v>
      </c>
      <c r="C9" s="370" t="s">
        <v>8273</v>
      </c>
      <c r="D9" s="371" t="s">
        <v>8246</v>
      </c>
      <c r="E9" s="371" t="s">
        <v>8031</v>
      </c>
      <c r="F9" s="404">
        <v>3</v>
      </c>
      <c r="G9" s="372" t="s">
        <v>2740</v>
      </c>
      <c r="H9" s="372" t="s">
        <v>7290</v>
      </c>
      <c r="I9" s="371"/>
      <c r="J9" s="371"/>
      <c r="K9" s="370"/>
      <c r="L9" s="370"/>
      <c r="M9" s="370" t="s">
        <v>4</v>
      </c>
      <c r="N9" s="370" t="s">
        <v>8027</v>
      </c>
      <c r="O9" s="370" t="s">
        <v>8028</v>
      </c>
      <c r="P9" s="405"/>
      <c r="V9" s="23"/>
      <c r="W9" s="31"/>
      <c r="X9" s="31"/>
      <c r="Y9" s="31"/>
      <c r="Z9" s="31"/>
      <c r="AA9" s="31"/>
      <c r="AB9" s="159"/>
    </row>
    <row r="10" spans="1:29" ht="19" customHeight="1">
      <c r="A10" s="369" t="s">
        <v>2529</v>
      </c>
      <c r="B10" s="373" t="s">
        <v>5892</v>
      </c>
      <c r="C10" s="370" t="s">
        <v>8273</v>
      </c>
      <c r="D10" s="371" t="s">
        <v>8247</v>
      </c>
      <c r="E10" s="371" t="s">
        <v>8032</v>
      </c>
      <c r="F10" s="404">
        <v>3</v>
      </c>
      <c r="G10" s="372" t="s">
        <v>2740</v>
      </c>
      <c r="H10" s="372" t="s">
        <v>7290</v>
      </c>
      <c r="I10" s="371"/>
      <c r="J10" s="371"/>
      <c r="K10" s="370"/>
      <c r="L10" s="370"/>
      <c r="M10" s="370" t="s">
        <v>4</v>
      </c>
      <c r="N10" s="370" t="s">
        <v>8027</v>
      </c>
      <c r="O10" s="370" t="s">
        <v>8028</v>
      </c>
      <c r="P10" s="405"/>
      <c r="V10" s="23"/>
      <c r="W10" s="31"/>
      <c r="X10" s="31"/>
      <c r="Y10" s="31"/>
      <c r="Z10" s="31"/>
      <c r="AA10" s="31"/>
      <c r="AB10" s="159"/>
    </row>
    <row r="11" spans="1:29" ht="19" customHeight="1">
      <c r="A11" s="369" t="s">
        <v>2529</v>
      </c>
      <c r="B11" s="373" t="s">
        <v>5893</v>
      </c>
      <c r="C11" s="370" t="s">
        <v>8273</v>
      </c>
      <c r="D11" s="371" t="s">
        <v>8248</v>
      </c>
      <c r="E11" s="371" t="s">
        <v>8033</v>
      </c>
      <c r="F11" s="404">
        <v>2</v>
      </c>
      <c r="G11" s="372" t="s">
        <v>2740</v>
      </c>
      <c r="H11" s="372" t="s">
        <v>7290</v>
      </c>
      <c r="I11" s="371"/>
      <c r="J11" s="371"/>
      <c r="K11" s="370"/>
      <c r="L11" s="370"/>
      <c r="M11" s="370" t="s">
        <v>4</v>
      </c>
      <c r="N11" s="370" t="s">
        <v>8027</v>
      </c>
      <c r="O11" s="370" t="s">
        <v>8028</v>
      </c>
      <c r="P11" s="405"/>
      <c r="V11" s="23"/>
      <c r="W11" s="31"/>
      <c r="X11" s="31"/>
      <c r="Y11" s="31"/>
      <c r="Z11" s="31"/>
      <c r="AA11" s="31"/>
      <c r="AB11" s="159"/>
    </row>
    <row r="12" spans="1:29" ht="19" customHeight="1">
      <c r="A12" s="369" t="s">
        <v>2529</v>
      </c>
      <c r="B12" s="373" t="s">
        <v>5894</v>
      </c>
      <c r="C12" s="370" t="s">
        <v>8273</v>
      </c>
      <c r="D12" s="371" t="s">
        <v>8249</v>
      </c>
      <c r="E12" s="371" t="s">
        <v>8034</v>
      </c>
      <c r="F12" s="404">
        <v>4</v>
      </c>
      <c r="G12" s="372" t="s">
        <v>2740</v>
      </c>
      <c r="H12" s="372" t="s">
        <v>7290</v>
      </c>
      <c r="I12" s="371"/>
      <c r="J12" s="371"/>
      <c r="K12" s="370"/>
      <c r="L12" s="370"/>
      <c r="M12" s="370" t="s">
        <v>4</v>
      </c>
      <c r="N12" s="370" t="s">
        <v>8027</v>
      </c>
      <c r="O12" s="370" t="s">
        <v>8028</v>
      </c>
      <c r="P12" s="405"/>
      <c r="V12" s="23"/>
      <c r="W12" s="31"/>
      <c r="X12" s="31"/>
      <c r="Y12" s="31"/>
      <c r="Z12" s="31"/>
      <c r="AA12" s="31"/>
      <c r="AB12" s="159"/>
    </row>
    <row r="13" spans="1:29" ht="19" customHeight="1">
      <c r="A13" s="369" t="s">
        <v>2529</v>
      </c>
      <c r="B13" s="373" t="s">
        <v>5895</v>
      </c>
      <c r="C13" s="370" t="s">
        <v>8273</v>
      </c>
      <c r="D13" s="371" t="s">
        <v>8250</v>
      </c>
      <c r="E13" s="371" t="s">
        <v>8035</v>
      </c>
      <c r="F13" s="404">
        <v>2</v>
      </c>
      <c r="G13" s="372" t="s">
        <v>2740</v>
      </c>
      <c r="H13" s="372" t="s">
        <v>7290</v>
      </c>
      <c r="I13" s="371"/>
      <c r="J13" s="371"/>
      <c r="K13" s="370"/>
      <c r="L13" s="370"/>
      <c r="M13" s="370" t="s">
        <v>4</v>
      </c>
      <c r="N13" s="370" t="s">
        <v>8027</v>
      </c>
      <c r="O13" s="370" t="s">
        <v>8028</v>
      </c>
      <c r="P13" s="405"/>
      <c r="V13" s="23"/>
      <c r="W13" s="31"/>
      <c r="X13" s="31"/>
      <c r="Y13" s="31"/>
      <c r="Z13" s="31"/>
      <c r="AA13" s="31"/>
      <c r="AB13" s="159"/>
    </row>
    <row r="14" spans="1:29" ht="19" customHeight="1">
      <c r="A14" s="369" t="s">
        <v>2529</v>
      </c>
      <c r="B14" s="373" t="s">
        <v>5896</v>
      </c>
      <c r="C14" s="370" t="s">
        <v>8273</v>
      </c>
      <c r="D14" s="371" t="s">
        <v>8251</v>
      </c>
      <c r="E14" s="371" t="s">
        <v>8036</v>
      </c>
      <c r="F14" s="404">
        <v>2</v>
      </c>
      <c r="G14" s="372" t="s">
        <v>2740</v>
      </c>
      <c r="H14" s="372" t="s">
        <v>7290</v>
      </c>
      <c r="I14" s="371"/>
      <c r="J14" s="371"/>
      <c r="K14" s="370"/>
      <c r="L14" s="370"/>
      <c r="M14" s="370" t="s">
        <v>4</v>
      </c>
      <c r="N14" s="370" t="s">
        <v>8027</v>
      </c>
      <c r="O14" s="370" t="s">
        <v>8028</v>
      </c>
      <c r="P14" s="405"/>
      <c r="V14" s="23"/>
      <c r="W14" s="31"/>
      <c r="X14" s="31"/>
      <c r="Y14" s="31"/>
      <c r="Z14" s="31"/>
      <c r="AA14" s="31"/>
      <c r="AB14" s="159"/>
    </row>
    <row r="15" spans="1:29" ht="19" customHeight="1">
      <c r="A15" s="369" t="s">
        <v>2529</v>
      </c>
      <c r="B15" s="373" t="s">
        <v>5897</v>
      </c>
      <c r="C15" s="370" t="s">
        <v>8273</v>
      </c>
      <c r="D15" s="371" t="s">
        <v>8037</v>
      </c>
      <c r="E15" s="371" t="s">
        <v>8038</v>
      </c>
      <c r="F15" s="404">
        <v>7</v>
      </c>
      <c r="G15" s="372" t="s">
        <v>2740</v>
      </c>
      <c r="H15" s="372" t="s">
        <v>7290</v>
      </c>
      <c r="I15" s="371"/>
      <c r="J15" s="371"/>
      <c r="K15" s="370"/>
      <c r="L15" s="370"/>
      <c r="M15" s="370" t="s">
        <v>4</v>
      </c>
      <c r="N15" s="370" t="s">
        <v>8027</v>
      </c>
      <c r="O15" s="370" t="s">
        <v>8028</v>
      </c>
      <c r="P15" s="405"/>
      <c r="V15" s="23"/>
      <c r="W15" s="31"/>
      <c r="X15" s="31"/>
      <c r="Y15" s="31"/>
      <c r="Z15" s="31"/>
      <c r="AA15" s="31"/>
      <c r="AB15" s="159"/>
    </row>
    <row r="16" spans="1:29" ht="19" customHeight="1">
      <c r="A16" s="369" t="s">
        <v>2529</v>
      </c>
      <c r="B16" s="373" t="s">
        <v>5898</v>
      </c>
      <c r="C16" s="370" t="s">
        <v>8039</v>
      </c>
      <c r="D16" s="371" t="s">
        <v>8040</v>
      </c>
      <c r="E16" s="371" t="s">
        <v>8041</v>
      </c>
      <c r="F16" s="404">
        <v>2</v>
      </c>
      <c r="G16" s="372" t="s">
        <v>7815</v>
      </c>
      <c r="H16" s="372" t="s">
        <v>8042</v>
      </c>
      <c r="I16" s="371"/>
      <c r="J16" s="371"/>
      <c r="K16" s="370"/>
      <c r="L16" s="370" t="s">
        <v>6269</v>
      </c>
      <c r="M16" s="370" t="s">
        <v>4</v>
      </c>
      <c r="N16" s="370" t="s">
        <v>8027</v>
      </c>
      <c r="O16" s="370" t="s">
        <v>8028</v>
      </c>
      <c r="P16" s="405" t="s">
        <v>8043</v>
      </c>
      <c r="V16" s="23"/>
      <c r="W16" s="31"/>
      <c r="X16" s="31"/>
      <c r="Y16" s="31"/>
      <c r="Z16" s="31"/>
      <c r="AA16" s="31"/>
      <c r="AB16" s="159"/>
    </row>
    <row r="17" spans="1:28" ht="19" customHeight="1">
      <c r="A17" s="369" t="s">
        <v>2529</v>
      </c>
      <c r="B17" s="373" t="s">
        <v>5899</v>
      </c>
      <c r="C17" s="370" t="s">
        <v>8039</v>
      </c>
      <c r="D17" s="371" t="s">
        <v>8044</v>
      </c>
      <c r="E17" s="371" t="s">
        <v>8041</v>
      </c>
      <c r="F17" s="404">
        <v>4</v>
      </c>
      <c r="G17" s="372" t="s">
        <v>7816</v>
      </c>
      <c r="H17" s="372" t="s">
        <v>8042</v>
      </c>
      <c r="I17" s="371"/>
      <c r="J17" s="371"/>
      <c r="K17" s="370"/>
      <c r="L17" s="370" t="s">
        <v>6269</v>
      </c>
      <c r="M17" s="370" t="s">
        <v>4</v>
      </c>
      <c r="N17" s="370" t="s">
        <v>8027</v>
      </c>
      <c r="O17" s="370" t="s">
        <v>8028</v>
      </c>
      <c r="P17" s="405" t="s">
        <v>8043</v>
      </c>
      <c r="V17" s="25"/>
      <c r="W17" s="32"/>
      <c r="X17" s="32"/>
      <c r="Y17" s="32"/>
      <c r="Z17" s="32"/>
      <c r="AA17" s="32"/>
      <c r="AB17" s="160"/>
    </row>
    <row r="18" spans="1:28" ht="19" customHeight="1">
      <c r="A18" s="369" t="s">
        <v>2529</v>
      </c>
      <c r="B18" s="373" t="s">
        <v>5900</v>
      </c>
      <c r="C18" s="370" t="s">
        <v>8039</v>
      </c>
      <c r="D18" s="371" t="s">
        <v>8045</v>
      </c>
      <c r="E18" s="371" t="s">
        <v>8041</v>
      </c>
      <c r="F18" s="404">
        <v>7</v>
      </c>
      <c r="G18" s="372" t="s">
        <v>7817</v>
      </c>
      <c r="H18" s="372" t="s">
        <v>8042</v>
      </c>
      <c r="I18" s="371"/>
      <c r="J18" s="371"/>
      <c r="K18" s="370"/>
      <c r="L18" s="370" t="s">
        <v>6269</v>
      </c>
      <c r="M18" s="370" t="s">
        <v>4</v>
      </c>
      <c r="N18" s="370" t="s">
        <v>8027</v>
      </c>
      <c r="O18" s="370" t="s">
        <v>8028</v>
      </c>
      <c r="P18" s="405" t="s">
        <v>8043</v>
      </c>
      <c r="V18" s="1"/>
      <c r="W18" s="1"/>
      <c r="X18" s="1"/>
      <c r="Y18" s="1"/>
      <c r="Z18" s="1"/>
      <c r="AA18" s="1"/>
      <c r="AB18" s="1"/>
    </row>
    <row r="19" spans="1:28" ht="19" customHeight="1">
      <c r="A19" s="369" t="s">
        <v>2529</v>
      </c>
      <c r="B19" s="373" t="s">
        <v>5901</v>
      </c>
      <c r="C19" s="370" t="s">
        <v>8039</v>
      </c>
      <c r="D19" s="371" t="s">
        <v>8046</v>
      </c>
      <c r="E19" s="371" t="s">
        <v>8041</v>
      </c>
      <c r="F19" s="404">
        <v>6</v>
      </c>
      <c r="G19" s="372" t="s">
        <v>7818</v>
      </c>
      <c r="H19" s="372" t="s">
        <v>8042</v>
      </c>
      <c r="I19" s="371"/>
      <c r="J19" s="371"/>
      <c r="K19" s="370"/>
      <c r="L19" s="370" t="s">
        <v>6269</v>
      </c>
      <c r="M19" s="370" t="s">
        <v>4</v>
      </c>
      <c r="N19" s="370" t="s">
        <v>8027</v>
      </c>
      <c r="O19" s="370" t="s">
        <v>8028</v>
      </c>
      <c r="P19" s="405" t="s">
        <v>8043</v>
      </c>
      <c r="V19" s="2"/>
      <c r="W19" s="1"/>
      <c r="X19" s="1"/>
      <c r="Y19" s="1"/>
      <c r="Z19" s="1"/>
      <c r="AA19" s="1"/>
      <c r="AB19" s="1"/>
    </row>
    <row r="20" spans="1:28" ht="19" customHeight="1">
      <c r="A20" s="369" t="s">
        <v>2529</v>
      </c>
      <c r="B20" s="373" t="s">
        <v>5902</v>
      </c>
      <c r="C20" s="370" t="s">
        <v>8039</v>
      </c>
      <c r="D20" s="371" t="s">
        <v>8047</v>
      </c>
      <c r="E20" s="371" t="s">
        <v>8041</v>
      </c>
      <c r="F20" s="404">
        <v>4</v>
      </c>
      <c r="G20" s="372" t="s">
        <v>7819</v>
      </c>
      <c r="H20" s="372" t="s">
        <v>8042</v>
      </c>
      <c r="I20" s="371"/>
      <c r="J20" s="371"/>
      <c r="K20" s="370"/>
      <c r="L20" s="370" t="s">
        <v>6269</v>
      </c>
      <c r="M20" s="370" t="s">
        <v>4</v>
      </c>
      <c r="N20" s="370" t="s">
        <v>8027</v>
      </c>
      <c r="O20" s="370" t="s">
        <v>8028</v>
      </c>
      <c r="P20" s="405" t="s">
        <v>8043</v>
      </c>
      <c r="V20" s="171"/>
      <c r="W20" s="172"/>
      <c r="X20" s="173"/>
      <c r="Y20" s="1"/>
      <c r="Z20" s="1"/>
      <c r="AA20" s="1"/>
      <c r="AB20" s="1"/>
    </row>
    <row r="21" spans="1:28" ht="19" customHeight="1">
      <c r="A21" s="369" t="s">
        <v>2529</v>
      </c>
      <c r="B21" s="373" t="s">
        <v>5903</v>
      </c>
      <c r="C21" s="370" t="s">
        <v>8039</v>
      </c>
      <c r="D21" s="371" t="s">
        <v>8048</v>
      </c>
      <c r="E21" s="371" t="s">
        <v>8041</v>
      </c>
      <c r="F21" s="404">
        <v>3</v>
      </c>
      <c r="G21" s="372" t="s">
        <v>7820</v>
      </c>
      <c r="H21" s="372" t="s">
        <v>8042</v>
      </c>
      <c r="I21" s="371"/>
      <c r="J21" s="371"/>
      <c r="K21" s="370"/>
      <c r="L21" s="370" t="s">
        <v>6269</v>
      </c>
      <c r="M21" s="370" t="s">
        <v>4</v>
      </c>
      <c r="N21" s="370" t="s">
        <v>8027</v>
      </c>
      <c r="O21" s="370" t="s">
        <v>8028</v>
      </c>
      <c r="P21" s="405" t="s">
        <v>8043</v>
      </c>
      <c r="V21" s="23"/>
      <c r="W21" s="31"/>
      <c r="X21" s="29"/>
      <c r="Y21" s="1"/>
      <c r="Z21" s="1"/>
      <c r="AA21" s="1"/>
      <c r="AB21" s="1"/>
    </row>
    <row r="22" spans="1:28" ht="19" customHeight="1">
      <c r="A22" s="369" t="s">
        <v>2529</v>
      </c>
      <c r="B22" s="373" t="s">
        <v>5904</v>
      </c>
      <c r="C22" s="370" t="s">
        <v>8039</v>
      </c>
      <c r="D22" s="371" t="s">
        <v>8049</v>
      </c>
      <c r="E22" s="371" t="s">
        <v>8041</v>
      </c>
      <c r="F22" s="404">
        <v>3</v>
      </c>
      <c r="G22" s="372" t="s">
        <v>7825</v>
      </c>
      <c r="H22" s="372" t="s">
        <v>8042</v>
      </c>
      <c r="I22" s="371"/>
      <c r="J22" s="371"/>
      <c r="K22" s="370"/>
      <c r="L22" s="370" t="s">
        <v>8050</v>
      </c>
      <c r="M22" s="370" t="s">
        <v>4</v>
      </c>
      <c r="N22" s="370" t="s">
        <v>8027</v>
      </c>
      <c r="O22" s="370" t="s">
        <v>8028</v>
      </c>
      <c r="P22" s="405" t="s">
        <v>8043</v>
      </c>
      <c r="V22" s="23"/>
      <c r="W22" s="31"/>
      <c r="X22" s="29"/>
      <c r="Y22" s="1"/>
      <c r="Z22" s="1"/>
      <c r="AA22" s="1"/>
      <c r="AB22" s="1"/>
    </row>
    <row r="23" spans="1:28" ht="19" customHeight="1">
      <c r="A23" s="369" t="s">
        <v>2529</v>
      </c>
      <c r="B23" s="373" t="s">
        <v>5905</v>
      </c>
      <c r="C23" s="370" t="s">
        <v>8039</v>
      </c>
      <c r="D23" s="371" t="s">
        <v>8051</v>
      </c>
      <c r="E23" s="371" t="s">
        <v>8041</v>
      </c>
      <c r="F23" s="404">
        <v>7</v>
      </c>
      <c r="G23" s="372" t="s">
        <v>7651</v>
      </c>
      <c r="H23" s="372" t="s">
        <v>8042</v>
      </c>
      <c r="I23" s="371"/>
      <c r="J23" s="371"/>
      <c r="K23" s="370"/>
      <c r="L23" s="370" t="s">
        <v>8050</v>
      </c>
      <c r="M23" s="370" t="s">
        <v>4</v>
      </c>
      <c r="N23" s="370" t="s">
        <v>8027</v>
      </c>
      <c r="O23" s="370" t="s">
        <v>8028</v>
      </c>
      <c r="P23" s="405" t="s">
        <v>8043</v>
      </c>
      <c r="V23" s="23"/>
      <c r="W23" s="31"/>
      <c r="X23" s="29"/>
      <c r="Y23" s="1"/>
      <c r="Z23" s="1"/>
      <c r="AA23" s="1"/>
      <c r="AB23" s="1"/>
    </row>
    <row r="24" spans="1:28" ht="19" customHeight="1">
      <c r="A24" s="369" t="s">
        <v>2529</v>
      </c>
      <c r="B24" s="373" t="s">
        <v>5906</v>
      </c>
      <c r="C24" s="370" t="s">
        <v>8039</v>
      </c>
      <c r="D24" s="371" t="s">
        <v>8052</v>
      </c>
      <c r="E24" s="371" t="s">
        <v>8041</v>
      </c>
      <c r="F24" s="404">
        <v>3</v>
      </c>
      <c r="G24" s="372" t="s">
        <v>8053</v>
      </c>
      <c r="H24" s="372" t="s">
        <v>8042</v>
      </c>
      <c r="I24" s="371"/>
      <c r="J24" s="371"/>
      <c r="K24" s="370"/>
      <c r="L24" s="370" t="s">
        <v>8050</v>
      </c>
      <c r="M24" s="370" t="s">
        <v>4</v>
      </c>
      <c r="N24" s="370" t="s">
        <v>8027</v>
      </c>
      <c r="O24" s="370" t="s">
        <v>8028</v>
      </c>
      <c r="P24" s="405" t="s">
        <v>8043</v>
      </c>
      <c r="V24" s="23"/>
      <c r="W24" s="31"/>
      <c r="X24" s="29"/>
      <c r="Y24" s="1"/>
      <c r="Z24" s="1"/>
      <c r="AA24" s="1"/>
      <c r="AB24" s="1"/>
    </row>
    <row r="25" spans="1:28" ht="19" customHeight="1">
      <c r="A25" s="369" t="s">
        <v>2529</v>
      </c>
      <c r="B25" s="373" t="s">
        <v>8054</v>
      </c>
      <c r="C25" s="370" t="s">
        <v>8039</v>
      </c>
      <c r="D25" s="371" t="s">
        <v>8055</v>
      </c>
      <c r="E25" s="371" t="s">
        <v>8041</v>
      </c>
      <c r="F25" s="404">
        <v>6</v>
      </c>
      <c r="G25" s="372" t="s">
        <v>8056</v>
      </c>
      <c r="H25" s="372" t="s">
        <v>8042</v>
      </c>
      <c r="I25" s="371"/>
      <c r="J25" s="371"/>
      <c r="K25" s="370"/>
      <c r="L25" s="370" t="s">
        <v>8050</v>
      </c>
      <c r="M25" s="370" t="s">
        <v>4</v>
      </c>
      <c r="N25" s="370" t="s">
        <v>8027</v>
      </c>
      <c r="O25" s="370" t="s">
        <v>8028</v>
      </c>
      <c r="P25" s="405" t="s">
        <v>8043</v>
      </c>
      <c r="V25" s="169"/>
      <c r="W25" s="163"/>
      <c r="X25" s="170"/>
      <c r="Y25" s="1"/>
      <c r="Z25" s="1"/>
      <c r="AA25" s="1"/>
      <c r="AB25" s="1"/>
    </row>
    <row r="26" spans="1:28" ht="19" customHeight="1">
      <c r="A26" s="369" t="s">
        <v>2529</v>
      </c>
      <c r="B26" s="373" t="s">
        <v>8057</v>
      </c>
      <c r="C26" s="370" t="s">
        <v>8039</v>
      </c>
      <c r="D26" s="371" t="s">
        <v>8058</v>
      </c>
      <c r="E26" s="371" t="s">
        <v>8041</v>
      </c>
      <c r="F26" s="404">
        <v>5</v>
      </c>
      <c r="G26" s="372" t="s">
        <v>8059</v>
      </c>
      <c r="H26" s="372" t="s">
        <v>8042</v>
      </c>
      <c r="I26" s="371"/>
      <c r="J26" s="371"/>
      <c r="K26" s="370"/>
      <c r="L26" s="370" t="s">
        <v>8050</v>
      </c>
      <c r="M26" s="370" t="s">
        <v>4</v>
      </c>
      <c r="N26" s="370" t="s">
        <v>8027</v>
      </c>
      <c r="O26" s="370" t="s">
        <v>8028</v>
      </c>
      <c r="P26" s="405" t="s">
        <v>8043</v>
      </c>
      <c r="V26" s="25"/>
      <c r="W26" s="32"/>
      <c r="X26" s="174"/>
      <c r="Y26" s="1"/>
      <c r="Z26" s="1"/>
      <c r="AA26" s="1"/>
      <c r="AB26" s="1"/>
    </row>
    <row r="27" spans="1:28" ht="19" customHeight="1">
      <c r="A27" s="369" t="s">
        <v>2529</v>
      </c>
      <c r="B27" s="373" t="s">
        <v>8060</v>
      </c>
      <c r="C27" s="370" t="s">
        <v>8039</v>
      </c>
      <c r="D27" s="371" t="s">
        <v>8061</v>
      </c>
      <c r="E27" s="371" t="s">
        <v>8041</v>
      </c>
      <c r="F27" s="404">
        <v>5</v>
      </c>
      <c r="G27" s="372" t="s">
        <v>7831</v>
      </c>
      <c r="H27" s="372" t="s">
        <v>8042</v>
      </c>
      <c r="I27" s="371"/>
      <c r="J27" s="371"/>
      <c r="K27" s="370"/>
      <c r="L27" s="370" t="s">
        <v>8062</v>
      </c>
      <c r="M27" s="370" t="s">
        <v>4</v>
      </c>
      <c r="N27" s="370" t="s">
        <v>8027</v>
      </c>
      <c r="O27" s="370" t="s">
        <v>8028</v>
      </c>
      <c r="P27" s="405" t="s">
        <v>8043</v>
      </c>
    </row>
    <row r="28" spans="1:28" ht="19" customHeight="1">
      <c r="A28" s="369" t="s">
        <v>2529</v>
      </c>
      <c r="B28" s="373" t="s">
        <v>8063</v>
      </c>
      <c r="C28" s="370" t="s">
        <v>8039</v>
      </c>
      <c r="D28" s="371" t="s">
        <v>8064</v>
      </c>
      <c r="E28" s="371" t="s">
        <v>8041</v>
      </c>
      <c r="F28" s="404">
        <v>3</v>
      </c>
      <c r="G28" s="372" t="s">
        <v>7833</v>
      </c>
      <c r="H28" s="372" t="s">
        <v>8042</v>
      </c>
      <c r="I28" s="371"/>
      <c r="J28" s="371"/>
      <c r="K28" s="370"/>
      <c r="L28" s="370" t="s">
        <v>8062</v>
      </c>
      <c r="M28" s="370" t="s">
        <v>4</v>
      </c>
      <c r="N28" s="370" t="s">
        <v>8027</v>
      </c>
      <c r="O28" s="370" t="s">
        <v>8028</v>
      </c>
      <c r="P28" s="405" t="s">
        <v>8043</v>
      </c>
      <c r="V28" s="168"/>
    </row>
    <row r="29" spans="1:28" ht="19" customHeight="1">
      <c r="A29" s="369" t="s">
        <v>2529</v>
      </c>
      <c r="B29" s="373" t="s">
        <v>8065</v>
      </c>
      <c r="C29" s="370" t="s">
        <v>8039</v>
      </c>
      <c r="D29" s="371" t="s">
        <v>8066</v>
      </c>
      <c r="E29" s="371" t="s">
        <v>8041</v>
      </c>
      <c r="F29" s="404">
        <v>3</v>
      </c>
      <c r="G29" s="372" t="s">
        <v>7834</v>
      </c>
      <c r="H29" s="372" t="s">
        <v>8042</v>
      </c>
      <c r="I29" s="371"/>
      <c r="J29" s="371"/>
      <c r="K29" s="370"/>
      <c r="L29" s="370" t="s">
        <v>8062</v>
      </c>
      <c r="M29" s="370" t="s">
        <v>4</v>
      </c>
      <c r="N29" s="370" t="s">
        <v>8027</v>
      </c>
      <c r="O29" s="370" t="s">
        <v>8028</v>
      </c>
      <c r="P29" s="405" t="s">
        <v>8043</v>
      </c>
      <c r="V29" s="57"/>
      <c r="W29" s="58"/>
    </row>
    <row r="30" spans="1:28" ht="19" customHeight="1">
      <c r="A30" s="369" t="s">
        <v>2529</v>
      </c>
      <c r="B30" s="373" t="s">
        <v>8067</v>
      </c>
      <c r="C30" s="370" t="s">
        <v>8039</v>
      </c>
      <c r="D30" s="371" t="s">
        <v>8068</v>
      </c>
      <c r="E30" s="371" t="s">
        <v>8041</v>
      </c>
      <c r="F30" s="404">
        <v>2</v>
      </c>
      <c r="G30" s="372" t="s">
        <v>7835</v>
      </c>
      <c r="H30" s="372" t="s">
        <v>8042</v>
      </c>
      <c r="I30" s="371"/>
      <c r="J30" s="371"/>
      <c r="K30" s="370"/>
      <c r="L30" s="370" t="s">
        <v>8062</v>
      </c>
      <c r="M30" s="370" t="s">
        <v>4</v>
      </c>
      <c r="N30" s="370" t="s">
        <v>8027</v>
      </c>
      <c r="O30" s="370" t="s">
        <v>8028</v>
      </c>
      <c r="P30" s="405" t="s">
        <v>8043</v>
      </c>
      <c r="V30" s="57"/>
      <c r="W30" s="58"/>
    </row>
    <row r="31" spans="1:28" ht="19" customHeight="1">
      <c r="A31" s="369" t="s">
        <v>2529</v>
      </c>
      <c r="B31" s="373" t="s">
        <v>8069</v>
      </c>
      <c r="C31" s="370" t="s">
        <v>8039</v>
      </c>
      <c r="D31" s="371" t="s">
        <v>8070</v>
      </c>
      <c r="E31" s="371" t="s">
        <v>8041</v>
      </c>
      <c r="F31" s="404">
        <v>3</v>
      </c>
      <c r="G31" s="372" t="s">
        <v>7840</v>
      </c>
      <c r="H31" s="372" t="s">
        <v>8042</v>
      </c>
      <c r="I31" s="371"/>
      <c r="J31" s="371"/>
      <c r="K31" s="370"/>
      <c r="L31" s="370" t="s">
        <v>8062</v>
      </c>
      <c r="M31" s="370" t="s">
        <v>4</v>
      </c>
      <c r="N31" s="370" t="s">
        <v>8027</v>
      </c>
      <c r="O31" s="370" t="s">
        <v>8028</v>
      </c>
      <c r="P31" s="405" t="s">
        <v>8043</v>
      </c>
      <c r="V31" s="57"/>
      <c r="W31" s="58"/>
    </row>
    <row r="32" spans="1:28" ht="19" customHeight="1">
      <c r="A32" s="369" t="s">
        <v>2529</v>
      </c>
      <c r="B32" s="373" t="s">
        <v>8071</v>
      </c>
      <c r="C32" s="370" t="s">
        <v>8039</v>
      </c>
      <c r="D32" s="371" t="s">
        <v>8072</v>
      </c>
      <c r="E32" s="371" t="s">
        <v>8041</v>
      </c>
      <c r="F32" s="404">
        <v>2</v>
      </c>
      <c r="G32" s="372" t="s">
        <v>7841</v>
      </c>
      <c r="H32" s="372" t="s">
        <v>8042</v>
      </c>
      <c r="I32" s="371"/>
      <c r="J32" s="371"/>
      <c r="K32" s="370"/>
      <c r="L32" s="370" t="s">
        <v>8062</v>
      </c>
      <c r="M32" s="370" t="s">
        <v>4</v>
      </c>
      <c r="N32" s="370" t="s">
        <v>8027</v>
      </c>
      <c r="O32" s="370" t="s">
        <v>8028</v>
      </c>
      <c r="P32" s="405" t="s">
        <v>8043</v>
      </c>
      <c r="V32" s="57"/>
      <c r="W32" s="58"/>
    </row>
    <row r="33" spans="1:23" ht="19" customHeight="1">
      <c r="A33" s="369" t="s">
        <v>2529</v>
      </c>
      <c r="B33" s="373" t="s">
        <v>8073</v>
      </c>
      <c r="C33" s="370" t="s">
        <v>8039</v>
      </c>
      <c r="D33" s="371" t="s">
        <v>8074</v>
      </c>
      <c r="E33" s="371" t="s">
        <v>8041</v>
      </c>
      <c r="F33" s="404">
        <v>3</v>
      </c>
      <c r="G33" s="372" t="s">
        <v>7844</v>
      </c>
      <c r="H33" s="372" t="s">
        <v>8042</v>
      </c>
      <c r="I33" s="371"/>
      <c r="J33" s="371"/>
      <c r="K33" s="370"/>
      <c r="L33" s="370" t="s">
        <v>6442</v>
      </c>
      <c r="M33" s="370" t="s">
        <v>4</v>
      </c>
      <c r="N33" s="370" t="s">
        <v>8027</v>
      </c>
      <c r="O33" s="370" t="s">
        <v>8028</v>
      </c>
      <c r="P33" s="405" t="s">
        <v>8043</v>
      </c>
      <c r="V33" s="57"/>
      <c r="W33" s="58"/>
    </row>
    <row r="34" spans="1:23" ht="19" customHeight="1">
      <c r="A34" s="369" t="s">
        <v>2529</v>
      </c>
      <c r="B34" s="373" t="s">
        <v>8075</v>
      </c>
      <c r="C34" s="370" t="s">
        <v>8039</v>
      </c>
      <c r="D34" s="371" t="s">
        <v>8076</v>
      </c>
      <c r="E34" s="371" t="s">
        <v>8041</v>
      </c>
      <c r="F34" s="404">
        <v>2</v>
      </c>
      <c r="G34" s="372" t="s">
        <v>7845</v>
      </c>
      <c r="H34" s="372" t="s">
        <v>8042</v>
      </c>
      <c r="I34" s="371"/>
      <c r="J34" s="371"/>
      <c r="K34" s="370"/>
      <c r="L34" s="370" t="s">
        <v>6442</v>
      </c>
      <c r="M34" s="370" t="s">
        <v>4</v>
      </c>
      <c r="N34" s="370" t="s">
        <v>8027</v>
      </c>
      <c r="O34" s="370" t="s">
        <v>8028</v>
      </c>
      <c r="P34" s="405" t="s">
        <v>8043</v>
      </c>
      <c r="V34" s="57"/>
      <c r="W34" s="58"/>
    </row>
    <row r="35" spans="1:23" ht="19" customHeight="1">
      <c r="A35" s="369" t="s">
        <v>2529</v>
      </c>
      <c r="B35" s="373" t="s">
        <v>8077</v>
      </c>
      <c r="C35" s="370" t="s">
        <v>8039</v>
      </c>
      <c r="D35" s="371" t="s">
        <v>8078</v>
      </c>
      <c r="E35" s="371" t="s">
        <v>8041</v>
      </c>
      <c r="F35" s="404">
        <v>2</v>
      </c>
      <c r="G35" s="372" t="s">
        <v>7846</v>
      </c>
      <c r="H35" s="372" t="s">
        <v>8042</v>
      </c>
      <c r="I35" s="371"/>
      <c r="J35" s="371"/>
      <c r="K35" s="370"/>
      <c r="L35" s="370" t="s">
        <v>6442</v>
      </c>
      <c r="M35" s="370" t="s">
        <v>4</v>
      </c>
      <c r="N35" s="370" t="s">
        <v>8027</v>
      </c>
      <c r="O35" s="370" t="s">
        <v>8028</v>
      </c>
      <c r="P35" s="405" t="s">
        <v>8043</v>
      </c>
      <c r="V35" s="57"/>
      <c r="W35" s="58"/>
    </row>
    <row r="36" spans="1:23" ht="19" customHeight="1">
      <c r="A36" s="369" t="s">
        <v>2529</v>
      </c>
      <c r="B36" s="373" t="s">
        <v>8079</v>
      </c>
      <c r="C36" s="370" t="s">
        <v>8039</v>
      </c>
      <c r="D36" s="371" t="s">
        <v>8080</v>
      </c>
      <c r="E36" s="371" t="s">
        <v>8041</v>
      </c>
      <c r="F36" s="404">
        <v>2</v>
      </c>
      <c r="G36" s="372" t="s">
        <v>7847</v>
      </c>
      <c r="H36" s="372" t="s">
        <v>8042</v>
      </c>
      <c r="I36" s="371"/>
      <c r="J36" s="371"/>
      <c r="K36" s="370"/>
      <c r="L36" s="370" t="s">
        <v>6442</v>
      </c>
      <c r="M36" s="370" t="s">
        <v>4</v>
      </c>
      <c r="N36" s="370" t="s">
        <v>8027</v>
      </c>
      <c r="O36" s="370" t="s">
        <v>8028</v>
      </c>
      <c r="P36" s="405" t="s">
        <v>8043</v>
      </c>
    </row>
    <row r="37" spans="1:23" ht="19" customHeight="1">
      <c r="A37" s="369" t="s">
        <v>2529</v>
      </c>
      <c r="B37" s="373" t="s">
        <v>8081</v>
      </c>
      <c r="C37" s="370" t="s">
        <v>8039</v>
      </c>
      <c r="D37" s="371" t="s">
        <v>8082</v>
      </c>
      <c r="E37" s="371" t="s">
        <v>8041</v>
      </c>
      <c r="F37" s="404">
        <v>1</v>
      </c>
      <c r="G37" s="372" t="s">
        <v>7852</v>
      </c>
      <c r="H37" s="372" t="s">
        <v>8042</v>
      </c>
      <c r="I37" s="371"/>
      <c r="J37" s="371"/>
      <c r="K37" s="370"/>
      <c r="L37" s="370" t="s">
        <v>6442</v>
      </c>
      <c r="M37" s="370" t="s">
        <v>4</v>
      </c>
      <c r="N37" s="370" t="s">
        <v>8027</v>
      </c>
      <c r="O37" s="370" t="s">
        <v>8028</v>
      </c>
      <c r="P37" s="405" t="s">
        <v>8043</v>
      </c>
    </row>
    <row r="38" spans="1:23" ht="19" customHeight="1">
      <c r="A38" s="369" t="s">
        <v>2529</v>
      </c>
      <c r="B38" s="373" t="s">
        <v>8083</v>
      </c>
      <c r="C38" s="370" t="s">
        <v>8039</v>
      </c>
      <c r="D38" s="371" t="s">
        <v>8084</v>
      </c>
      <c r="E38" s="371" t="s">
        <v>8041</v>
      </c>
      <c r="F38" s="404">
        <v>3</v>
      </c>
      <c r="G38" s="372" t="s">
        <v>2417</v>
      </c>
      <c r="H38" s="372" t="s">
        <v>8042</v>
      </c>
      <c r="I38" s="371"/>
      <c r="J38" s="371"/>
      <c r="K38" s="370"/>
      <c r="L38" s="370" t="s">
        <v>6468</v>
      </c>
      <c r="M38" s="370" t="s">
        <v>4</v>
      </c>
      <c r="N38" s="370" t="s">
        <v>8027</v>
      </c>
      <c r="O38" s="370" t="s">
        <v>8028</v>
      </c>
      <c r="P38" s="405" t="s">
        <v>8043</v>
      </c>
    </row>
    <row r="39" spans="1:23" ht="19" customHeight="1">
      <c r="A39" s="369" t="s">
        <v>2529</v>
      </c>
      <c r="B39" s="373" t="s">
        <v>8085</v>
      </c>
      <c r="C39" s="370" t="s">
        <v>8039</v>
      </c>
      <c r="D39" s="371" t="s">
        <v>8086</v>
      </c>
      <c r="E39" s="371" t="s">
        <v>8041</v>
      </c>
      <c r="F39" s="404">
        <v>3</v>
      </c>
      <c r="G39" s="372" t="s">
        <v>7854</v>
      </c>
      <c r="H39" s="372" t="s">
        <v>8042</v>
      </c>
      <c r="I39" s="371"/>
      <c r="J39" s="371"/>
      <c r="K39" s="370"/>
      <c r="L39" s="370" t="s">
        <v>6468</v>
      </c>
      <c r="M39" s="370" t="s">
        <v>4</v>
      </c>
      <c r="N39" s="370" t="s">
        <v>8027</v>
      </c>
      <c r="O39" s="370" t="s">
        <v>8028</v>
      </c>
      <c r="P39" s="405" t="s">
        <v>8043</v>
      </c>
    </row>
    <row r="40" spans="1:23" ht="19" customHeight="1">
      <c r="A40" s="369" t="s">
        <v>2529</v>
      </c>
      <c r="B40" s="373" t="s">
        <v>8087</v>
      </c>
      <c r="C40" s="370" t="s">
        <v>8039</v>
      </c>
      <c r="D40" s="371" t="s">
        <v>8088</v>
      </c>
      <c r="E40" s="371" t="s">
        <v>8041</v>
      </c>
      <c r="F40" s="404">
        <v>2</v>
      </c>
      <c r="G40" s="372" t="s">
        <v>7855</v>
      </c>
      <c r="H40" s="372" t="s">
        <v>8042</v>
      </c>
      <c r="I40" s="371"/>
      <c r="J40" s="371"/>
      <c r="K40" s="370"/>
      <c r="L40" s="370" t="s">
        <v>6468</v>
      </c>
      <c r="M40" s="370" t="s">
        <v>4</v>
      </c>
      <c r="N40" s="370" t="s">
        <v>8027</v>
      </c>
      <c r="O40" s="370" t="s">
        <v>8028</v>
      </c>
      <c r="P40" s="405" t="s">
        <v>8043</v>
      </c>
    </row>
    <row r="41" spans="1:23" ht="19" customHeight="1">
      <c r="A41" s="369" t="s">
        <v>2529</v>
      </c>
      <c r="B41" s="373" t="s">
        <v>8089</v>
      </c>
      <c r="C41" s="370" t="s">
        <v>8039</v>
      </c>
      <c r="D41" s="371" t="s">
        <v>8090</v>
      </c>
      <c r="E41" s="371" t="s">
        <v>8041</v>
      </c>
      <c r="F41" s="404">
        <v>1</v>
      </c>
      <c r="G41" s="372" t="s">
        <v>7858</v>
      </c>
      <c r="H41" s="372" t="s">
        <v>8042</v>
      </c>
      <c r="I41" s="371"/>
      <c r="J41" s="371"/>
      <c r="K41" s="370"/>
      <c r="L41" s="370" t="s">
        <v>6468</v>
      </c>
      <c r="M41" s="370" t="s">
        <v>4</v>
      </c>
      <c r="N41" s="370" t="s">
        <v>8027</v>
      </c>
      <c r="O41" s="370" t="s">
        <v>8028</v>
      </c>
      <c r="P41" s="405" t="s">
        <v>8043</v>
      </c>
    </row>
    <row r="42" spans="1:23" ht="19" customHeight="1">
      <c r="A42" s="369" t="s">
        <v>2529</v>
      </c>
      <c r="B42" s="373" t="s">
        <v>8091</v>
      </c>
      <c r="C42" s="370" t="s">
        <v>8039</v>
      </c>
      <c r="D42" s="371" t="s">
        <v>8092</v>
      </c>
      <c r="E42" s="371" t="s">
        <v>8041</v>
      </c>
      <c r="F42" s="404">
        <v>1</v>
      </c>
      <c r="G42" s="372" t="s">
        <v>7859</v>
      </c>
      <c r="H42" s="372" t="s">
        <v>8042</v>
      </c>
      <c r="I42" s="371"/>
      <c r="J42" s="371"/>
      <c r="K42" s="370"/>
      <c r="L42" s="370" t="s">
        <v>6468</v>
      </c>
      <c r="M42" s="370" t="s">
        <v>4</v>
      </c>
      <c r="N42" s="370" t="s">
        <v>8027</v>
      </c>
      <c r="O42" s="370" t="s">
        <v>8028</v>
      </c>
      <c r="P42" s="405" t="s">
        <v>8043</v>
      </c>
    </row>
    <row r="43" spans="1:23" ht="19" customHeight="1">
      <c r="A43" s="369" t="s">
        <v>2529</v>
      </c>
      <c r="B43" s="373" t="s">
        <v>8093</v>
      </c>
      <c r="C43" s="370" t="s">
        <v>8094</v>
      </c>
      <c r="D43" s="371" t="s">
        <v>8095</v>
      </c>
      <c r="E43" s="371" t="s">
        <v>8096</v>
      </c>
      <c r="F43" s="404">
        <v>8</v>
      </c>
      <c r="G43" s="372" t="s">
        <v>2740</v>
      </c>
      <c r="H43" s="372" t="s">
        <v>7290</v>
      </c>
      <c r="I43" s="371"/>
      <c r="J43" s="371"/>
      <c r="K43" s="370"/>
      <c r="L43" s="370"/>
      <c r="M43" s="370" t="s">
        <v>4</v>
      </c>
      <c r="N43" s="370" t="s">
        <v>8027</v>
      </c>
      <c r="O43" s="370" t="s">
        <v>8028</v>
      </c>
      <c r="P43" s="405" t="s">
        <v>8097</v>
      </c>
    </row>
    <row r="44" spans="1:23" ht="19" customHeight="1">
      <c r="A44" s="369" t="s">
        <v>2529</v>
      </c>
      <c r="B44" s="373" t="s">
        <v>8098</v>
      </c>
      <c r="C44" s="370" t="s">
        <v>8094</v>
      </c>
      <c r="D44" s="371" t="s">
        <v>8099</v>
      </c>
      <c r="E44" s="371" t="s">
        <v>8100</v>
      </c>
      <c r="F44" s="404">
        <v>6</v>
      </c>
      <c r="G44" s="372" t="s">
        <v>2740</v>
      </c>
      <c r="H44" s="372" t="s">
        <v>7290</v>
      </c>
      <c r="I44" s="371"/>
      <c r="J44" s="371"/>
      <c r="K44" s="370"/>
      <c r="L44" s="370"/>
      <c r="M44" s="370" t="s">
        <v>4</v>
      </c>
      <c r="N44" s="370" t="s">
        <v>8027</v>
      </c>
      <c r="O44" s="370" t="s">
        <v>8028</v>
      </c>
      <c r="P44" s="405" t="s">
        <v>8097</v>
      </c>
    </row>
    <row r="45" spans="1:23" ht="19" customHeight="1">
      <c r="A45" s="369" t="s">
        <v>2529</v>
      </c>
      <c r="B45" s="373" t="s">
        <v>8101</v>
      </c>
      <c r="C45" s="370" t="s">
        <v>8094</v>
      </c>
      <c r="D45" s="371" t="s">
        <v>8102</v>
      </c>
      <c r="E45" s="371" t="s">
        <v>8103</v>
      </c>
      <c r="F45" s="404">
        <v>6</v>
      </c>
      <c r="G45" s="372" t="s">
        <v>2740</v>
      </c>
      <c r="H45" s="372" t="s">
        <v>7290</v>
      </c>
      <c r="I45" s="371"/>
      <c r="J45" s="371"/>
      <c r="K45" s="370"/>
      <c r="L45" s="370"/>
      <c r="M45" s="370" t="s">
        <v>4</v>
      </c>
      <c r="N45" s="370" t="s">
        <v>8027</v>
      </c>
      <c r="O45" s="370" t="s">
        <v>8028</v>
      </c>
      <c r="P45" s="405" t="s">
        <v>8097</v>
      </c>
    </row>
    <row r="46" spans="1:23" ht="19" customHeight="1">
      <c r="A46" s="369" t="s">
        <v>2529</v>
      </c>
      <c r="B46" s="373" t="s">
        <v>8104</v>
      </c>
      <c r="C46" s="370" t="s">
        <v>8094</v>
      </c>
      <c r="D46" s="371" t="s">
        <v>8105</v>
      </c>
      <c r="E46" s="371" t="s">
        <v>8106</v>
      </c>
      <c r="F46" s="404">
        <v>8</v>
      </c>
      <c r="G46" s="372" t="s">
        <v>2740</v>
      </c>
      <c r="H46" s="372" t="s">
        <v>7290</v>
      </c>
      <c r="I46" s="371"/>
      <c r="J46" s="371"/>
      <c r="K46" s="370"/>
      <c r="L46" s="370"/>
      <c r="M46" s="370" t="s">
        <v>4</v>
      </c>
      <c r="N46" s="370" t="s">
        <v>8027</v>
      </c>
      <c r="O46" s="370" t="s">
        <v>8028</v>
      </c>
      <c r="P46" s="405" t="s">
        <v>8097</v>
      </c>
    </row>
    <row r="47" spans="1:23" ht="19" customHeight="1">
      <c r="A47" s="369" t="s">
        <v>2529</v>
      </c>
      <c r="B47" s="373" t="s">
        <v>8107</v>
      </c>
      <c r="C47" s="370" t="s">
        <v>8094</v>
      </c>
      <c r="D47" s="371" t="s">
        <v>8108</v>
      </c>
      <c r="E47" s="371" t="s">
        <v>8109</v>
      </c>
      <c r="F47" s="404">
        <v>8</v>
      </c>
      <c r="G47" s="372" t="s">
        <v>2740</v>
      </c>
      <c r="H47" s="372" t="s">
        <v>7290</v>
      </c>
      <c r="I47" s="371"/>
      <c r="J47" s="371"/>
      <c r="K47" s="370"/>
      <c r="L47" s="370"/>
      <c r="M47" s="370" t="s">
        <v>4</v>
      </c>
      <c r="N47" s="370" t="s">
        <v>8027</v>
      </c>
      <c r="O47" s="370" t="s">
        <v>8028</v>
      </c>
      <c r="P47" s="405" t="s">
        <v>8097</v>
      </c>
    </row>
    <row r="48" spans="1:23" ht="19" customHeight="1">
      <c r="A48" s="369" t="s">
        <v>2529</v>
      </c>
      <c r="B48" s="373" t="s">
        <v>8110</v>
      </c>
      <c r="C48" s="370" t="s">
        <v>8094</v>
      </c>
      <c r="D48" s="371" t="s">
        <v>8111</v>
      </c>
      <c r="E48" s="371" t="s">
        <v>8112</v>
      </c>
      <c r="F48" s="404">
        <v>10</v>
      </c>
      <c r="G48" s="372" t="s">
        <v>2740</v>
      </c>
      <c r="H48" s="372" t="s">
        <v>7290</v>
      </c>
      <c r="I48" s="371"/>
      <c r="J48" s="371"/>
      <c r="K48" s="370"/>
      <c r="L48" s="370"/>
      <c r="M48" s="370" t="s">
        <v>4</v>
      </c>
      <c r="N48" s="370" t="s">
        <v>8027</v>
      </c>
      <c r="O48" s="370" t="s">
        <v>8028</v>
      </c>
      <c r="P48" s="405" t="s">
        <v>8097</v>
      </c>
    </row>
    <row r="49" spans="1:16" ht="19" customHeight="1">
      <c r="A49" s="369" t="s">
        <v>2529</v>
      </c>
      <c r="B49" s="373" t="s">
        <v>8113</v>
      </c>
      <c r="C49" s="370" t="s">
        <v>8094</v>
      </c>
      <c r="D49" s="371" t="s">
        <v>8114</v>
      </c>
      <c r="E49" s="371" t="s">
        <v>8115</v>
      </c>
      <c r="F49" s="404">
        <v>14</v>
      </c>
      <c r="G49" s="372" t="s">
        <v>2740</v>
      </c>
      <c r="H49" s="372" t="s">
        <v>7290</v>
      </c>
      <c r="I49" s="371"/>
      <c r="J49" s="371"/>
      <c r="K49" s="370"/>
      <c r="L49" s="370"/>
      <c r="M49" s="370" t="s">
        <v>4</v>
      </c>
      <c r="N49" s="370" t="s">
        <v>8027</v>
      </c>
      <c r="O49" s="370" t="s">
        <v>8028</v>
      </c>
      <c r="P49" s="405" t="s">
        <v>8097</v>
      </c>
    </row>
    <row r="50" spans="1:16" ht="19" customHeight="1">
      <c r="A50" s="369" t="s">
        <v>2529</v>
      </c>
      <c r="B50" s="373" t="s">
        <v>8116</v>
      </c>
      <c r="C50" s="370" t="s">
        <v>8094</v>
      </c>
      <c r="D50" s="371" t="s">
        <v>8117</v>
      </c>
      <c r="E50" s="371" t="s">
        <v>8118</v>
      </c>
      <c r="F50" s="404">
        <v>24</v>
      </c>
      <c r="G50" s="372" t="s">
        <v>2740</v>
      </c>
      <c r="H50" s="372" t="s">
        <v>7290</v>
      </c>
      <c r="I50" s="371"/>
      <c r="J50" s="371"/>
      <c r="K50" s="370"/>
      <c r="L50" s="370"/>
      <c r="M50" s="370" t="s">
        <v>4</v>
      </c>
      <c r="N50" s="370" t="s">
        <v>8027</v>
      </c>
      <c r="O50" s="370" t="s">
        <v>8028</v>
      </c>
      <c r="P50" s="405" t="s">
        <v>8097</v>
      </c>
    </row>
    <row r="51" spans="1:16" ht="19" customHeight="1">
      <c r="A51" s="369" t="s">
        <v>2529</v>
      </c>
      <c r="B51" s="373" t="s">
        <v>5907</v>
      </c>
      <c r="C51" s="370" t="s">
        <v>8119</v>
      </c>
      <c r="D51" s="371" t="s">
        <v>8252</v>
      </c>
      <c r="E51" s="371" t="s">
        <v>8120</v>
      </c>
      <c r="F51" s="404">
        <v>7</v>
      </c>
      <c r="G51" s="372" t="s">
        <v>2740</v>
      </c>
      <c r="H51" s="372" t="s">
        <v>8121</v>
      </c>
      <c r="I51" s="371"/>
      <c r="J51" s="371"/>
      <c r="K51" s="370"/>
      <c r="L51" s="370"/>
      <c r="M51" s="370" t="s">
        <v>4</v>
      </c>
      <c r="N51" s="370" t="s">
        <v>8027</v>
      </c>
      <c r="O51" s="370" t="s">
        <v>8028</v>
      </c>
      <c r="P51" s="405"/>
    </row>
    <row r="52" spans="1:16" ht="19" customHeight="1">
      <c r="A52" s="369" t="s">
        <v>2529</v>
      </c>
      <c r="B52" s="373" t="s">
        <v>5908</v>
      </c>
      <c r="C52" s="370" t="s">
        <v>8119</v>
      </c>
      <c r="D52" s="371" t="s">
        <v>8253</v>
      </c>
      <c r="E52" s="371" t="s">
        <v>8122</v>
      </c>
      <c r="F52" s="404">
        <v>12</v>
      </c>
      <c r="G52" s="372" t="s">
        <v>2740</v>
      </c>
      <c r="H52" s="372" t="s">
        <v>8123</v>
      </c>
      <c r="I52" s="371"/>
      <c r="J52" s="371"/>
      <c r="K52" s="370"/>
      <c r="L52" s="370"/>
      <c r="M52" s="370" t="s">
        <v>4</v>
      </c>
      <c r="N52" s="370" t="s">
        <v>8027</v>
      </c>
      <c r="O52" s="370" t="s">
        <v>8028</v>
      </c>
      <c r="P52" s="405"/>
    </row>
    <row r="53" spans="1:16" ht="19" customHeight="1">
      <c r="A53" s="369" t="s">
        <v>2529</v>
      </c>
      <c r="B53" s="373" t="s">
        <v>5909</v>
      </c>
      <c r="C53" s="370" t="s">
        <v>8119</v>
      </c>
      <c r="D53" s="371" t="s">
        <v>8254</v>
      </c>
      <c r="E53" s="371" t="s">
        <v>8124</v>
      </c>
      <c r="F53" s="404">
        <v>4</v>
      </c>
      <c r="G53" s="372" t="s">
        <v>2740</v>
      </c>
      <c r="H53" s="372" t="s">
        <v>7290</v>
      </c>
      <c r="I53" s="371"/>
      <c r="J53" s="371"/>
      <c r="K53" s="370"/>
      <c r="L53" s="370"/>
      <c r="M53" s="370" t="s">
        <v>4</v>
      </c>
      <c r="N53" s="370" t="s">
        <v>8027</v>
      </c>
      <c r="O53" s="370" t="s">
        <v>8028</v>
      </c>
      <c r="P53" s="405"/>
    </row>
    <row r="54" spans="1:16" ht="19" customHeight="1">
      <c r="A54" s="369" t="s">
        <v>2529</v>
      </c>
      <c r="B54" s="373" t="s">
        <v>5910</v>
      </c>
      <c r="C54" s="370" t="s">
        <v>8119</v>
      </c>
      <c r="D54" s="371" t="s">
        <v>8255</v>
      </c>
      <c r="E54" s="371" t="s">
        <v>8125</v>
      </c>
      <c r="F54" s="404">
        <v>3</v>
      </c>
      <c r="G54" s="372" t="s">
        <v>2740</v>
      </c>
      <c r="H54" s="372" t="s">
        <v>7290</v>
      </c>
      <c r="I54" s="371"/>
      <c r="J54" s="371"/>
      <c r="K54" s="370"/>
      <c r="L54" s="370"/>
      <c r="M54" s="370" t="s">
        <v>4</v>
      </c>
      <c r="N54" s="370" t="s">
        <v>8027</v>
      </c>
      <c r="O54" s="370" t="s">
        <v>8028</v>
      </c>
      <c r="P54" s="405"/>
    </row>
    <row r="55" spans="1:16" ht="19" customHeight="1">
      <c r="A55" s="369" t="s">
        <v>2529</v>
      </c>
      <c r="B55" s="373" t="s">
        <v>5911</v>
      </c>
      <c r="C55" s="370" t="s">
        <v>8119</v>
      </c>
      <c r="D55" s="371" t="s">
        <v>8256</v>
      </c>
      <c r="E55" s="371" t="s">
        <v>8126</v>
      </c>
      <c r="F55" s="404">
        <v>3</v>
      </c>
      <c r="G55" s="372" t="s">
        <v>2740</v>
      </c>
      <c r="H55" s="372" t="s">
        <v>7290</v>
      </c>
      <c r="I55" s="371"/>
      <c r="J55" s="371"/>
      <c r="K55" s="370"/>
      <c r="L55" s="370"/>
      <c r="M55" s="370" t="s">
        <v>4</v>
      </c>
      <c r="N55" s="370" t="s">
        <v>8027</v>
      </c>
      <c r="O55" s="370" t="s">
        <v>8028</v>
      </c>
      <c r="P55" s="405"/>
    </row>
    <row r="56" spans="1:16" ht="19" customHeight="1">
      <c r="A56" s="369" t="s">
        <v>2529</v>
      </c>
      <c r="B56" s="373" t="s">
        <v>8127</v>
      </c>
      <c r="C56" s="370" t="s">
        <v>8119</v>
      </c>
      <c r="D56" s="371" t="s">
        <v>8128</v>
      </c>
      <c r="E56" s="371" t="s">
        <v>8129</v>
      </c>
      <c r="F56" s="404">
        <v>3</v>
      </c>
      <c r="G56" s="372" t="s">
        <v>2740</v>
      </c>
      <c r="H56" s="372" t="s">
        <v>8130</v>
      </c>
      <c r="I56" s="371"/>
      <c r="J56" s="371"/>
      <c r="K56" s="370"/>
      <c r="L56" s="370"/>
      <c r="M56" s="370" t="s">
        <v>4</v>
      </c>
      <c r="N56" s="370" t="s">
        <v>8027</v>
      </c>
      <c r="O56" s="370" t="s">
        <v>8028</v>
      </c>
      <c r="P56" s="405" t="s">
        <v>8131</v>
      </c>
    </row>
    <row r="57" spans="1:16" ht="19" customHeight="1">
      <c r="A57" s="369" t="s">
        <v>2529</v>
      </c>
      <c r="B57" s="373" t="s">
        <v>5912</v>
      </c>
      <c r="C57" s="370" t="s">
        <v>8132</v>
      </c>
      <c r="D57" s="371" t="s">
        <v>8133</v>
      </c>
      <c r="E57" s="371" t="s">
        <v>8134</v>
      </c>
      <c r="F57" s="404">
        <v>3</v>
      </c>
      <c r="G57" s="372" t="s">
        <v>7834</v>
      </c>
      <c r="H57" s="372" t="s">
        <v>7347</v>
      </c>
      <c r="I57" s="371"/>
      <c r="J57" s="371"/>
      <c r="K57" s="370"/>
      <c r="L57" s="370" t="s">
        <v>8135</v>
      </c>
      <c r="M57" s="370" t="s">
        <v>4</v>
      </c>
      <c r="N57" s="370" t="s">
        <v>8027</v>
      </c>
      <c r="O57" s="370" t="s">
        <v>8028</v>
      </c>
      <c r="P57" s="405"/>
    </row>
    <row r="58" spans="1:16" ht="19" customHeight="1">
      <c r="A58" s="369" t="s">
        <v>2529</v>
      </c>
      <c r="B58" s="373" t="s">
        <v>5913</v>
      </c>
      <c r="C58" s="370" t="s">
        <v>8132</v>
      </c>
      <c r="D58" s="371" t="s">
        <v>8136</v>
      </c>
      <c r="E58" s="371" t="s">
        <v>8137</v>
      </c>
      <c r="F58" s="404">
        <v>2</v>
      </c>
      <c r="G58" s="372" t="s">
        <v>8059</v>
      </c>
      <c r="H58" s="372" t="s">
        <v>7337</v>
      </c>
      <c r="I58" s="371"/>
      <c r="J58" s="371"/>
      <c r="K58" s="370"/>
      <c r="L58" s="370" t="s">
        <v>8138</v>
      </c>
      <c r="M58" s="370" t="s">
        <v>4</v>
      </c>
      <c r="N58" s="370" t="s">
        <v>8027</v>
      </c>
      <c r="O58" s="370" t="s">
        <v>8028</v>
      </c>
      <c r="P58" s="405"/>
    </row>
    <row r="59" spans="1:16" ht="19" customHeight="1">
      <c r="A59" s="369" t="s">
        <v>2529</v>
      </c>
      <c r="B59" s="373" t="s">
        <v>5914</v>
      </c>
      <c r="C59" s="370" t="s">
        <v>8132</v>
      </c>
      <c r="D59" s="371" t="s">
        <v>8139</v>
      </c>
      <c r="E59" s="371" t="s">
        <v>8140</v>
      </c>
      <c r="F59" s="404">
        <v>3</v>
      </c>
      <c r="G59" s="372" t="s">
        <v>8059</v>
      </c>
      <c r="H59" s="372" t="s">
        <v>7338</v>
      </c>
      <c r="I59" s="371"/>
      <c r="J59" s="371"/>
      <c r="K59" s="370"/>
      <c r="L59" s="370" t="s">
        <v>8141</v>
      </c>
      <c r="M59" s="370" t="s">
        <v>4</v>
      </c>
      <c r="N59" s="370" t="s">
        <v>8027</v>
      </c>
      <c r="O59" s="370" t="s">
        <v>8028</v>
      </c>
      <c r="P59" s="405"/>
    </row>
    <row r="60" spans="1:16" ht="19" customHeight="1">
      <c r="A60" s="369" t="s">
        <v>2529</v>
      </c>
      <c r="B60" s="373" t="s">
        <v>5915</v>
      </c>
      <c r="C60" s="370" t="s">
        <v>8132</v>
      </c>
      <c r="D60" s="371" t="s">
        <v>8142</v>
      </c>
      <c r="E60" s="371" t="s">
        <v>8143</v>
      </c>
      <c r="F60" s="404">
        <v>2</v>
      </c>
      <c r="G60" s="372" t="s">
        <v>8056</v>
      </c>
      <c r="H60" s="372" t="s">
        <v>7333</v>
      </c>
      <c r="I60" s="371"/>
      <c r="J60" s="371"/>
      <c r="K60" s="370"/>
      <c r="L60" s="370" t="s">
        <v>8144</v>
      </c>
      <c r="M60" s="370" t="s">
        <v>4</v>
      </c>
      <c r="N60" s="370" t="s">
        <v>8027</v>
      </c>
      <c r="O60" s="370" t="s">
        <v>8028</v>
      </c>
      <c r="P60" s="405"/>
    </row>
    <row r="61" spans="1:16" ht="19" customHeight="1">
      <c r="A61" s="369" t="s">
        <v>2529</v>
      </c>
      <c r="B61" s="373" t="s">
        <v>5916</v>
      </c>
      <c r="C61" s="370" t="s">
        <v>8132</v>
      </c>
      <c r="D61" s="371" t="s">
        <v>8145</v>
      </c>
      <c r="E61" s="371" t="s">
        <v>8146</v>
      </c>
      <c r="F61" s="404">
        <v>2</v>
      </c>
      <c r="G61" s="372" t="s">
        <v>7841</v>
      </c>
      <c r="H61" s="372" t="s">
        <v>7353</v>
      </c>
      <c r="I61" s="371"/>
      <c r="J61" s="371"/>
      <c r="K61" s="370"/>
      <c r="L61" s="370" t="s">
        <v>8147</v>
      </c>
      <c r="M61" s="370" t="s">
        <v>4</v>
      </c>
      <c r="N61" s="370" t="s">
        <v>8027</v>
      </c>
      <c r="O61" s="370" t="s">
        <v>8028</v>
      </c>
      <c r="P61" s="405"/>
    </row>
    <row r="62" spans="1:16" ht="19" customHeight="1">
      <c r="A62" s="369" t="s">
        <v>2529</v>
      </c>
      <c r="B62" s="373" t="s">
        <v>5917</v>
      </c>
      <c r="C62" s="370" t="s">
        <v>8132</v>
      </c>
      <c r="D62" s="371" t="s">
        <v>8148</v>
      </c>
      <c r="E62" s="371" t="s">
        <v>8149</v>
      </c>
      <c r="F62" s="404">
        <v>2</v>
      </c>
      <c r="G62" s="372" t="s">
        <v>2740</v>
      </c>
      <c r="H62" s="372" t="s">
        <v>7410</v>
      </c>
      <c r="I62" s="371"/>
      <c r="J62" s="371"/>
      <c r="K62" s="370"/>
      <c r="L62" s="370" t="s">
        <v>8150</v>
      </c>
      <c r="M62" s="370" t="s">
        <v>4</v>
      </c>
      <c r="N62" s="370" t="s">
        <v>8027</v>
      </c>
      <c r="O62" s="370" t="s">
        <v>8028</v>
      </c>
      <c r="P62" s="405" t="s">
        <v>8097</v>
      </c>
    </row>
    <row r="63" spans="1:16" ht="19" customHeight="1">
      <c r="A63" s="369" t="s">
        <v>2529</v>
      </c>
      <c r="B63" s="373" t="s">
        <v>5918</v>
      </c>
      <c r="C63" s="370" t="s">
        <v>8132</v>
      </c>
      <c r="D63" s="371" t="s">
        <v>8151</v>
      </c>
      <c r="E63" s="371" t="s">
        <v>8152</v>
      </c>
      <c r="F63" s="404">
        <v>2</v>
      </c>
      <c r="G63" s="372" t="s">
        <v>7841</v>
      </c>
      <c r="H63" s="372" t="s">
        <v>7352</v>
      </c>
      <c r="I63" s="371"/>
      <c r="J63" s="371"/>
      <c r="K63" s="370"/>
      <c r="L63" s="370" t="s">
        <v>8153</v>
      </c>
      <c r="M63" s="370" t="s">
        <v>4</v>
      </c>
      <c r="N63" s="370" t="s">
        <v>8027</v>
      </c>
      <c r="O63" s="370" t="s">
        <v>8028</v>
      </c>
      <c r="P63" s="405" t="s">
        <v>8097</v>
      </c>
    </row>
    <row r="64" spans="1:16" ht="19" customHeight="1">
      <c r="A64" s="369" t="s">
        <v>2529</v>
      </c>
      <c r="B64" s="373" t="s">
        <v>5919</v>
      </c>
      <c r="C64" s="370" t="s">
        <v>8132</v>
      </c>
      <c r="D64" s="371" t="s">
        <v>8154</v>
      </c>
      <c r="E64" s="371" t="s">
        <v>8155</v>
      </c>
      <c r="F64" s="404">
        <v>3</v>
      </c>
      <c r="G64" s="372" t="s">
        <v>7841</v>
      </c>
      <c r="H64" s="372" t="s">
        <v>7352</v>
      </c>
      <c r="I64" s="371"/>
      <c r="J64" s="371"/>
      <c r="K64" s="370"/>
      <c r="L64" s="370" t="s">
        <v>8156</v>
      </c>
      <c r="M64" s="370" t="s">
        <v>4</v>
      </c>
      <c r="N64" s="370" t="s">
        <v>8027</v>
      </c>
      <c r="O64" s="370" t="s">
        <v>8028</v>
      </c>
      <c r="P64" s="405" t="s">
        <v>8097</v>
      </c>
    </row>
    <row r="65" spans="1:16" ht="19" customHeight="1">
      <c r="A65" s="369" t="s">
        <v>2529</v>
      </c>
      <c r="B65" s="373" t="s">
        <v>8157</v>
      </c>
      <c r="C65" s="370" t="s">
        <v>8132</v>
      </c>
      <c r="D65" s="371" t="s">
        <v>8158</v>
      </c>
      <c r="E65" s="371" t="s">
        <v>8159</v>
      </c>
      <c r="F65" s="404">
        <v>5</v>
      </c>
      <c r="G65" s="372" t="s">
        <v>2740</v>
      </c>
      <c r="H65" s="372" t="s">
        <v>7290</v>
      </c>
      <c r="I65" s="371"/>
      <c r="J65" s="371"/>
      <c r="K65" s="370"/>
      <c r="L65" s="370" t="s">
        <v>8160</v>
      </c>
      <c r="M65" s="370" t="s">
        <v>4</v>
      </c>
      <c r="N65" s="370" t="s">
        <v>8027</v>
      </c>
      <c r="O65" s="370" t="s">
        <v>8028</v>
      </c>
      <c r="P65" s="405"/>
    </row>
    <row r="66" spans="1:16" ht="19" customHeight="1">
      <c r="A66" s="369" t="s">
        <v>2529</v>
      </c>
      <c r="B66" s="373" t="s">
        <v>8161</v>
      </c>
      <c r="C66" s="370" t="s">
        <v>8132</v>
      </c>
      <c r="D66" s="371" t="s">
        <v>8162</v>
      </c>
      <c r="E66" s="371" t="s">
        <v>8159</v>
      </c>
      <c r="F66" s="404">
        <v>3</v>
      </c>
      <c r="G66" s="372" t="s">
        <v>2740</v>
      </c>
      <c r="H66" s="372" t="s">
        <v>7290</v>
      </c>
      <c r="I66" s="371"/>
      <c r="J66" s="371"/>
      <c r="K66" s="370"/>
      <c r="L66" s="370" t="s">
        <v>8160</v>
      </c>
      <c r="M66" s="370" t="s">
        <v>4</v>
      </c>
      <c r="N66" s="370" t="s">
        <v>8027</v>
      </c>
      <c r="O66" s="370" t="s">
        <v>8028</v>
      </c>
      <c r="P66" s="405"/>
    </row>
    <row r="67" spans="1:16" ht="19" customHeight="1">
      <c r="A67" s="369" t="s">
        <v>2529</v>
      </c>
      <c r="B67" s="373" t="s">
        <v>8163</v>
      </c>
      <c r="C67" s="370" t="s">
        <v>8132</v>
      </c>
      <c r="D67" s="371" t="s">
        <v>8164</v>
      </c>
      <c r="E67" s="371" t="s">
        <v>8159</v>
      </c>
      <c r="F67" s="404">
        <v>4</v>
      </c>
      <c r="G67" s="372" t="s">
        <v>2740</v>
      </c>
      <c r="H67" s="372" t="s">
        <v>7290</v>
      </c>
      <c r="I67" s="371"/>
      <c r="J67" s="371"/>
      <c r="K67" s="370"/>
      <c r="L67" s="370" t="s">
        <v>8160</v>
      </c>
      <c r="M67" s="370" t="s">
        <v>4</v>
      </c>
      <c r="N67" s="370" t="s">
        <v>8027</v>
      </c>
      <c r="O67" s="370" t="s">
        <v>8028</v>
      </c>
      <c r="P67" s="405"/>
    </row>
    <row r="68" spans="1:16" ht="19" customHeight="1">
      <c r="A68" s="369" t="s">
        <v>2529</v>
      </c>
      <c r="B68" s="373" t="s">
        <v>8165</v>
      </c>
      <c r="C68" s="370" t="s">
        <v>8132</v>
      </c>
      <c r="D68" s="371" t="s">
        <v>8166</v>
      </c>
      <c r="E68" s="371" t="s">
        <v>8159</v>
      </c>
      <c r="F68" s="404">
        <v>3</v>
      </c>
      <c r="G68" s="372" t="s">
        <v>2740</v>
      </c>
      <c r="H68" s="372" t="s">
        <v>7290</v>
      </c>
      <c r="I68" s="371"/>
      <c r="J68" s="371"/>
      <c r="K68" s="370"/>
      <c r="L68" s="370" t="s">
        <v>8160</v>
      </c>
      <c r="M68" s="370" t="s">
        <v>4</v>
      </c>
      <c r="N68" s="370" t="s">
        <v>8027</v>
      </c>
      <c r="O68" s="370" t="s">
        <v>8028</v>
      </c>
      <c r="P68" s="405"/>
    </row>
    <row r="69" spans="1:16" ht="19" customHeight="1">
      <c r="A69" s="369" t="s">
        <v>2529</v>
      </c>
      <c r="B69" s="373" t="s">
        <v>8167</v>
      </c>
      <c r="C69" s="370" t="s">
        <v>8132</v>
      </c>
      <c r="D69" s="371" t="s">
        <v>8168</v>
      </c>
      <c r="E69" s="371" t="s">
        <v>8169</v>
      </c>
      <c r="F69" s="404">
        <v>1</v>
      </c>
      <c r="G69" s="372" t="s">
        <v>2740</v>
      </c>
      <c r="H69" s="372" t="s">
        <v>7395</v>
      </c>
      <c r="I69" s="371"/>
      <c r="J69" s="371"/>
      <c r="K69" s="370"/>
      <c r="L69" s="370" t="s">
        <v>8170</v>
      </c>
      <c r="M69" s="370" t="s">
        <v>4</v>
      </c>
      <c r="N69" s="370" t="s">
        <v>8027</v>
      </c>
      <c r="O69" s="370" t="s">
        <v>8028</v>
      </c>
      <c r="P69" s="405" t="s">
        <v>8097</v>
      </c>
    </row>
    <row r="70" spans="1:16" ht="19" customHeight="1">
      <c r="A70" s="369" t="s">
        <v>2529</v>
      </c>
      <c r="B70" s="373" t="s">
        <v>8171</v>
      </c>
      <c r="C70" s="370" t="s">
        <v>8132</v>
      </c>
      <c r="D70" s="371" t="s">
        <v>8172</v>
      </c>
      <c r="E70" s="371" t="s">
        <v>8173</v>
      </c>
      <c r="F70" s="404">
        <v>1</v>
      </c>
      <c r="G70" s="372" t="s">
        <v>7815</v>
      </c>
      <c r="H70" s="372" t="s">
        <v>7305</v>
      </c>
      <c r="I70" s="371"/>
      <c r="J70" s="371"/>
      <c r="K70" s="370"/>
      <c r="L70" s="370" t="s">
        <v>8174</v>
      </c>
      <c r="M70" s="370" t="s">
        <v>4</v>
      </c>
      <c r="N70" s="370" t="s">
        <v>8027</v>
      </c>
      <c r="O70" s="370" t="s">
        <v>8028</v>
      </c>
      <c r="P70" s="405" t="s">
        <v>8097</v>
      </c>
    </row>
    <row r="71" spans="1:16" ht="19" customHeight="1">
      <c r="A71" s="369" t="s">
        <v>2529</v>
      </c>
      <c r="B71" s="373" t="s">
        <v>8175</v>
      </c>
      <c r="C71" s="370" t="s">
        <v>8132</v>
      </c>
      <c r="D71" s="371" t="s">
        <v>8176</v>
      </c>
      <c r="E71" s="371" t="s">
        <v>8177</v>
      </c>
      <c r="F71" s="404">
        <v>2</v>
      </c>
      <c r="G71" s="372" t="s">
        <v>7827</v>
      </c>
      <c r="H71" s="372" t="s">
        <v>7399</v>
      </c>
      <c r="I71" s="371"/>
      <c r="J71" s="371"/>
      <c r="K71" s="370"/>
      <c r="L71" s="370" t="s">
        <v>8178</v>
      </c>
      <c r="M71" s="370" t="s">
        <v>4</v>
      </c>
      <c r="N71" s="370" t="s">
        <v>8027</v>
      </c>
      <c r="O71" s="370" t="s">
        <v>8028</v>
      </c>
      <c r="P71" s="405"/>
    </row>
    <row r="72" spans="1:16" ht="19" customHeight="1">
      <c r="A72" s="369" t="s">
        <v>2529</v>
      </c>
      <c r="B72" s="373" t="s">
        <v>8179</v>
      </c>
      <c r="C72" s="370" t="s">
        <v>8132</v>
      </c>
      <c r="D72" s="371" t="s">
        <v>8180</v>
      </c>
      <c r="E72" s="371" t="s">
        <v>8181</v>
      </c>
      <c r="F72" s="404">
        <v>2</v>
      </c>
      <c r="G72" s="372" t="s">
        <v>8056</v>
      </c>
      <c r="H72" s="372" t="s">
        <v>7332</v>
      </c>
      <c r="I72" s="371"/>
      <c r="J72" s="371"/>
      <c r="K72" s="370"/>
      <c r="L72" s="370" t="s">
        <v>8182</v>
      </c>
      <c r="M72" s="370" t="s">
        <v>4</v>
      </c>
      <c r="N72" s="370" t="s">
        <v>8027</v>
      </c>
      <c r="O72" s="370" t="s">
        <v>8028</v>
      </c>
      <c r="P72" s="405" t="s">
        <v>8097</v>
      </c>
    </row>
    <row r="73" spans="1:16" ht="19" customHeight="1">
      <c r="A73" s="369" t="s">
        <v>2529</v>
      </c>
      <c r="B73" s="373" t="s">
        <v>5920</v>
      </c>
      <c r="C73" s="370" t="s">
        <v>8183</v>
      </c>
      <c r="D73" s="371" t="s">
        <v>8184</v>
      </c>
      <c r="E73" s="371" t="s">
        <v>8185</v>
      </c>
      <c r="F73" s="404">
        <v>12</v>
      </c>
      <c r="G73" s="372" t="s">
        <v>2740</v>
      </c>
      <c r="H73" s="372" t="s">
        <v>8186</v>
      </c>
      <c r="I73" s="371"/>
      <c r="J73" s="371"/>
      <c r="K73" s="370"/>
      <c r="L73" s="370"/>
      <c r="M73" s="370" t="s">
        <v>4</v>
      </c>
      <c r="N73" s="370" t="s">
        <v>8027</v>
      </c>
      <c r="O73" s="370" t="s">
        <v>8028</v>
      </c>
      <c r="P73" s="405"/>
    </row>
    <row r="74" spans="1:16" ht="19" customHeight="1">
      <c r="A74" s="369" t="s">
        <v>2529</v>
      </c>
      <c r="B74" s="373" t="s">
        <v>5921</v>
      </c>
      <c r="C74" s="370" t="s">
        <v>8183</v>
      </c>
      <c r="D74" s="371" t="s">
        <v>8257</v>
      </c>
      <c r="E74" s="371" t="s">
        <v>8187</v>
      </c>
      <c r="F74" s="404">
        <v>5</v>
      </c>
      <c r="G74" s="372" t="s">
        <v>7826</v>
      </c>
      <c r="H74" s="372" t="s">
        <v>7325</v>
      </c>
      <c r="I74" s="371"/>
      <c r="J74" s="371"/>
      <c r="K74" s="370"/>
      <c r="L74" s="370"/>
      <c r="M74" s="370" t="s">
        <v>4</v>
      </c>
      <c r="N74" s="370" t="s">
        <v>8027</v>
      </c>
      <c r="O74" s="370" t="s">
        <v>8028</v>
      </c>
      <c r="P74" s="405"/>
    </row>
    <row r="75" spans="1:16" ht="19" customHeight="1">
      <c r="A75" s="369" t="s">
        <v>2529</v>
      </c>
      <c r="B75" s="373" t="s">
        <v>5922</v>
      </c>
      <c r="C75" s="370" t="s">
        <v>8183</v>
      </c>
      <c r="D75" s="371" t="s">
        <v>8188</v>
      </c>
      <c r="E75" s="371" t="s">
        <v>8189</v>
      </c>
      <c r="F75" s="404">
        <v>4</v>
      </c>
      <c r="G75" s="372" t="s">
        <v>7855</v>
      </c>
      <c r="H75" s="372" t="s">
        <v>7961</v>
      </c>
      <c r="I75" s="371"/>
      <c r="J75" s="371"/>
      <c r="K75" s="370"/>
      <c r="L75" s="370"/>
      <c r="M75" s="370" t="s">
        <v>4</v>
      </c>
      <c r="N75" s="370" t="s">
        <v>8027</v>
      </c>
      <c r="O75" s="370" t="s">
        <v>8028</v>
      </c>
      <c r="P75" s="405"/>
    </row>
    <row r="76" spans="1:16" ht="19" customHeight="1">
      <c r="A76" s="369" t="s">
        <v>2529</v>
      </c>
      <c r="B76" s="373" t="s">
        <v>5923</v>
      </c>
      <c r="C76" s="370" t="s">
        <v>8183</v>
      </c>
      <c r="D76" s="371" t="s">
        <v>8190</v>
      </c>
      <c r="E76" s="371" t="s">
        <v>8191</v>
      </c>
      <c r="F76" s="404">
        <v>4</v>
      </c>
      <c r="G76" s="372" t="s">
        <v>7854</v>
      </c>
      <c r="H76" s="372" t="s">
        <v>7303</v>
      </c>
      <c r="I76" s="371"/>
      <c r="J76" s="371"/>
      <c r="K76" s="370"/>
      <c r="L76" s="370"/>
      <c r="M76" s="370" t="s">
        <v>4</v>
      </c>
      <c r="N76" s="370" t="s">
        <v>8027</v>
      </c>
      <c r="O76" s="370" t="s">
        <v>8028</v>
      </c>
      <c r="P76" s="405"/>
    </row>
    <row r="77" spans="1:16" ht="19" customHeight="1">
      <c r="A77" s="369" t="s">
        <v>2529</v>
      </c>
      <c r="B77" s="373" t="s">
        <v>5924</v>
      </c>
      <c r="C77" s="370" t="s">
        <v>8183</v>
      </c>
      <c r="D77" s="371" t="s">
        <v>8258</v>
      </c>
      <c r="E77" s="371" t="s">
        <v>8192</v>
      </c>
      <c r="F77" s="404">
        <v>6</v>
      </c>
      <c r="G77" s="372" t="s">
        <v>2740</v>
      </c>
      <c r="H77" s="372" t="s">
        <v>7290</v>
      </c>
      <c r="I77" s="371"/>
      <c r="J77" s="371"/>
      <c r="K77" s="370"/>
      <c r="L77" s="370"/>
      <c r="M77" s="370" t="s">
        <v>4</v>
      </c>
      <c r="N77" s="370" t="s">
        <v>8027</v>
      </c>
      <c r="O77" s="370" t="s">
        <v>8028</v>
      </c>
      <c r="P77" s="405"/>
    </row>
    <row r="78" spans="1:16" ht="19" customHeight="1">
      <c r="A78" s="369" t="s">
        <v>2529</v>
      </c>
      <c r="B78" s="373" t="s">
        <v>5925</v>
      </c>
      <c r="C78" s="370" t="s">
        <v>8183</v>
      </c>
      <c r="D78" s="371" t="s">
        <v>8259</v>
      </c>
      <c r="E78" s="371" t="s">
        <v>8193</v>
      </c>
      <c r="F78" s="404">
        <v>5</v>
      </c>
      <c r="G78" s="372" t="s">
        <v>7817</v>
      </c>
      <c r="H78" s="372" t="s">
        <v>7298</v>
      </c>
      <c r="I78" s="371"/>
      <c r="J78" s="371"/>
      <c r="K78" s="370"/>
      <c r="L78" s="370"/>
      <c r="M78" s="370" t="s">
        <v>4</v>
      </c>
      <c r="N78" s="370" t="s">
        <v>8027</v>
      </c>
      <c r="O78" s="370" t="s">
        <v>8028</v>
      </c>
      <c r="P78" s="405"/>
    </row>
    <row r="79" spans="1:16" ht="19" customHeight="1">
      <c r="A79" s="369" t="s">
        <v>2529</v>
      </c>
      <c r="B79" s="373" t="s">
        <v>5926</v>
      </c>
      <c r="C79" s="370" t="s">
        <v>8194</v>
      </c>
      <c r="D79" s="371" t="s">
        <v>8260</v>
      </c>
      <c r="E79" s="371" t="s">
        <v>8195</v>
      </c>
      <c r="F79" s="404">
        <v>8</v>
      </c>
      <c r="G79" s="372" t="s">
        <v>2740</v>
      </c>
      <c r="H79" s="372" t="s">
        <v>7380</v>
      </c>
      <c r="I79" s="371"/>
      <c r="J79" s="371"/>
      <c r="K79" s="370"/>
      <c r="L79" s="370"/>
      <c r="M79" s="370" t="s">
        <v>4</v>
      </c>
      <c r="N79" s="370" t="s">
        <v>8027</v>
      </c>
      <c r="O79" s="370" t="s">
        <v>8028</v>
      </c>
      <c r="P79" s="405"/>
    </row>
    <row r="80" spans="1:16" ht="19" customHeight="1">
      <c r="A80" s="369" t="s">
        <v>2529</v>
      </c>
      <c r="B80" s="373" t="s">
        <v>5927</v>
      </c>
      <c r="C80" s="370" t="s">
        <v>8194</v>
      </c>
      <c r="D80" s="371" t="s">
        <v>8261</v>
      </c>
      <c r="E80" s="371" t="s">
        <v>8196</v>
      </c>
      <c r="F80" s="404">
        <v>3</v>
      </c>
      <c r="G80" s="372" t="s">
        <v>2740</v>
      </c>
      <c r="H80" s="372" t="s">
        <v>7380</v>
      </c>
      <c r="I80" s="371"/>
      <c r="J80" s="371"/>
      <c r="K80" s="370"/>
      <c r="L80" s="370"/>
      <c r="M80" s="370" t="s">
        <v>4</v>
      </c>
      <c r="N80" s="370" t="s">
        <v>8027</v>
      </c>
      <c r="O80" s="370" t="s">
        <v>8028</v>
      </c>
      <c r="P80" s="405"/>
    </row>
    <row r="81" spans="1:16" ht="19" customHeight="1">
      <c r="A81" s="369" t="s">
        <v>2529</v>
      </c>
      <c r="B81" s="373" t="s">
        <v>5928</v>
      </c>
      <c r="C81" s="370" t="s">
        <v>8194</v>
      </c>
      <c r="D81" s="371" t="s">
        <v>8262</v>
      </c>
      <c r="E81" s="371" t="s">
        <v>8197</v>
      </c>
      <c r="F81" s="404">
        <v>2</v>
      </c>
      <c r="G81" s="372" t="s">
        <v>2740</v>
      </c>
      <c r="H81" s="372" t="s">
        <v>7380</v>
      </c>
      <c r="I81" s="371"/>
      <c r="J81" s="371"/>
      <c r="K81" s="370"/>
      <c r="L81" s="370"/>
      <c r="M81" s="370" t="s">
        <v>4</v>
      </c>
      <c r="N81" s="370" t="s">
        <v>8027</v>
      </c>
      <c r="O81" s="370" t="s">
        <v>8028</v>
      </c>
      <c r="P81" s="405"/>
    </row>
    <row r="82" spans="1:16" ht="19" customHeight="1">
      <c r="A82" s="369" t="s">
        <v>2529</v>
      </c>
      <c r="B82" s="373" t="s">
        <v>5929</v>
      </c>
      <c r="C82" s="370" t="s">
        <v>8270</v>
      </c>
      <c r="D82" s="371" t="s">
        <v>8198</v>
      </c>
      <c r="E82" s="371" t="s">
        <v>8199</v>
      </c>
      <c r="F82" s="404">
        <v>8</v>
      </c>
      <c r="G82" s="372" t="s">
        <v>2740</v>
      </c>
      <c r="H82" s="372" t="s">
        <v>7290</v>
      </c>
      <c r="I82" s="371"/>
      <c r="J82" s="371"/>
      <c r="K82" s="370"/>
      <c r="L82" s="370"/>
      <c r="M82" s="370" t="s">
        <v>4</v>
      </c>
      <c r="N82" s="370" t="s">
        <v>8027</v>
      </c>
      <c r="O82" s="370" t="s">
        <v>8028</v>
      </c>
      <c r="P82" s="405"/>
    </row>
    <row r="83" spans="1:16" ht="19" customHeight="1">
      <c r="A83" s="369" t="s">
        <v>2529</v>
      </c>
      <c r="B83" s="373" t="s">
        <v>5930</v>
      </c>
      <c r="C83" s="370" t="s">
        <v>8270</v>
      </c>
      <c r="D83" s="371" t="s">
        <v>8200</v>
      </c>
      <c r="E83" s="371" t="s">
        <v>8201</v>
      </c>
      <c r="F83" s="404">
        <v>4</v>
      </c>
      <c r="G83" s="372" t="s">
        <v>2740</v>
      </c>
      <c r="H83" s="372" t="s">
        <v>7290</v>
      </c>
      <c r="I83" s="371"/>
      <c r="J83" s="371"/>
      <c r="K83" s="370"/>
      <c r="L83" s="370"/>
      <c r="M83" s="370" t="s">
        <v>4</v>
      </c>
      <c r="N83" s="370" t="s">
        <v>8027</v>
      </c>
      <c r="O83" s="370" t="s">
        <v>8028</v>
      </c>
      <c r="P83" s="405"/>
    </row>
    <row r="84" spans="1:16" ht="19" customHeight="1">
      <c r="A84" s="369" t="s">
        <v>2529</v>
      </c>
      <c r="B84" s="373" t="s">
        <v>5931</v>
      </c>
      <c r="C84" s="370" t="s">
        <v>8270</v>
      </c>
      <c r="D84" s="371" t="s">
        <v>8263</v>
      </c>
      <c r="E84" s="371" t="s">
        <v>8202</v>
      </c>
      <c r="F84" s="404">
        <v>4</v>
      </c>
      <c r="G84" s="372" t="s">
        <v>2740</v>
      </c>
      <c r="H84" s="372" t="s">
        <v>7290</v>
      </c>
      <c r="I84" s="371"/>
      <c r="J84" s="371"/>
      <c r="K84" s="370"/>
      <c r="L84" s="370"/>
      <c r="M84" s="370" t="s">
        <v>4</v>
      </c>
      <c r="N84" s="370" t="s">
        <v>8027</v>
      </c>
      <c r="O84" s="370" t="s">
        <v>8028</v>
      </c>
      <c r="P84" s="405"/>
    </row>
    <row r="85" spans="1:16" ht="19" customHeight="1">
      <c r="A85" s="369" t="s">
        <v>2529</v>
      </c>
      <c r="B85" s="373" t="s">
        <v>5932</v>
      </c>
      <c r="C85" s="370" t="s">
        <v>8270</v>
      </c>
      <c r="D85" s="371" t="s">
        <v>8203</v>
      </c>
      <c r="E85" s="371" t="s">
        <v>8204</v>
      </c>
      <c r="F85" s="404">
        <v>4</v>
      </c>
      <c r="G85" s="372" t="s">
        <v>2740</v>
      </c>
      <c r="H85" s="372" t="s">
        <v>7290</v>
      </c>
      <c r="I85" s="371"/>
      <c r="J85" s="371"/>
      <c r="K85" s="370"/>
      <c r="L85" s="370"/>
      <c r="M85" s="370" t="s">
        <v>4</v>
      </c>
      <c r="N85" s="370" t="s">
        <v>8027</v>
      </c>
      <c r="O85" s="370" t="s">
        <v>8028</v>
      </c>
      <c r="P85" s="405"/>
    </row>
    <row r="86" spans="1:16" ht="19" customHeight="1">
      <c r="A86" s="369" t="s">
        <v>2529</v>
      </c>
      <c r="B86" s="373" t="s">
        <v>5933</v>
      </c>
      <c r="C86" s="370" t="s">
        <v>8270</v>
      </c>
      <c r="D86" s="371" t="s">
        <v>8205</v>
      </c>
      <c r="E86" s="371" t="s">
        <v>8206</v>
      </c>
      <c r="F86" s="404">
        <v>3</v>
      </c>
      <c r="G86" s="372" t="s">
        <v>2740</v>
      </c>
      <c r="H86" s="372" t="s">
        <v>7290</v>
      </c>
      <c r="I86" s="371"/>
      <c r="J86" s="371"/>
      <c r="K86" s="370"/>
      <c r="L86" s="370"/>
      <c r="M86" s="370" t="s">
        <v>4</v>
      </c>
      <c r="N86" s="370" t="s">
        <v>8027</v>
      </c>
      <c r="O86" s="370" t="s">
        <v>8028</v>
      </c>
      <c r="P86" s="405"/>
    </row>
    <row r="87" spans="1:16" ht="19" customHeight="1">
      <c r="A87" s="369" t="s">
        <v>2529</v>
      </c>
      <c r="B87" s="373" t="s">
        <v>5934</v>
      </c>
      <c r="C87" s="370" t="s">
        <v>8270</v>
      </c>
      <c r="D87" s="371" t="s">
        <v>8207</v>
      </c>
      <c r="E87" s="371" t="s">
        <v>8208</v>
      </c>
      <c r="F87" s="404">
        <v>2</v>
      </c>
      <c r="G87" s="372" t="s">
        <v>2740</v>
      </c>
      <c r="H87" s="372" t="s">
        <v>7290</v>
      </c>
      <c r="I87" s="371"/>
      <c r="J87" s="371"/>
      <c r="K87" s="370"/>
      <c r="L87" s="370"/>
      <c r="M87" s="370" t="s">
        <v>4</v>
      </c>
      <c r="N87" s="370" t="s">
        <v>8027</v>
      </c>
      <c r="O87" s="370" t="s">
        <v>8028</v>
      </c>
      <c r="P87" s="405" t="s">
        <v>8097</v>
      </c>
    </row>
    <row r="88" spans="1:16" ht="19" customHeight="1">
      <c r="A88" s="369" t="s">
        <v>2529</v>
      </c>
      <c r="B88" s="373" t="s">
        <v>8209</v>
      </c>
      <c r="C88" s="370" t="s">
        <v>8270</v>
      </c>
      <c r="D88" s="371" t="s">
        <v>8210</v>
      </c>
      <c r="E88" s="371" t="s">
        <v>8211</v>
      </c>
      <c r="F88" s="404">
        <v>2</v>
      </c>
      <c r="G88" s="372" t="s">
        <v>2740</v>
      </c>
      <c r="H88" s="372" t="s">
        <v>7290</v>
      </c>
      <c r="I88" s="371"/>
      <c r="J88" s="371"/>
      <c r="K88" s="370"/>
      <c r="L88" s="370"/>
      <c r="M88" s="370" t="s">
        <v>4</v>
      </c>
      <c r="N88" s="370" t="s">
        <v>8027</v>
      </c>
      <c r="O88" s="370" t="s">
        <v>8028</v>
      </c>
      <c r="P88" s="405" t="s">
        <v>8097</v>
      </c>
    </row>
    <row r="89" spans="1:16" ht="19" customHeight="1">
      <c r="A89" s="369" t="s">
        <v>2529</v>
      </c>
      <c r="B89" s="373" t="s">
        <v>8212</v>
      </c>
      <c r="C89" s="370" t="s">
        <v>8270</v>
      </c>
      <c r="D89" s="371" t="s">
        <v>8264</v>
      </c>
      <c r="E89" s="371" t="s">
        <v>8213</v>
      </c>
      <c r="F89" s="404">
        <v>3</v>
      </c>
      <c r="G89" s="372" t="s">
        <v>2740</v>
      </c>
      <c r="H89" s="372" t="s">
        <v>7290</v>
      </c>
      <c r="I89" s="371"/>
      <c r="J89" s="371"/>
      <c r="K89" s="370"/>
      <c r="L89" s="370"/>
      <c r="M89" s="370" t="s">
        <v>4</v>
      </c>
      <c r="N89" s="370" t="s">
        <v>8027</v>
      </c>
      <c r="O89" s="370" t="s">
        <v>8028</v>
      </c>
      <c r="P89" s="405" t="s">
        <v>8097</v>
      </c>
    </row>
    <row r="90" spans="1:16" ht="19" customHeight="1">
      <c r="A90" s="369" t="s">
        <v>2529</v>
      </c>
      <c r="B90" s="373" t="s">
        <v>5935</v>
      </c>
      <c r="C90" s="370" t="s">
        <v>8271</v>
      </c>
      <c r="D90" s="371" t="s">
        <v>8214</v>
      </c>
      <c r="E90" s="371" t="s">
        <v>8215</v>
      </c>
      <c r="F90" s="404">
        <v>3</v>
      </c>
      <c r="G90" s="372" t="s">
        <v>7816</v>
      </c>
      <c r="H90" s="372" t="s">
        <v>7306</v>
      </c>
      <c r="I90" s="371"/>
      <c r="J90" s="371"/>
      <c r="K90" s="370"/>
      <c r="L90" s="370"/>
      <c r="M90" s="370" t="s">
        <v>4</v>
      </c>
      <c r="N90" s="370" t="s">
        <v>8027</v>
      </c>
      <c r="O90" s="370" t="s">
        <v>8028</v>
      </c>
      <c r="P90" s="405"/>
    </row>
    <row r="91" spans="1:16" ht="19" customHeight="1">
      <c r="A91" s="369" t="s">
        <v>2529</v>
      </c>
      <c r="B91" s="373" t="s">
        <v>5936</v>
      </c>
      <c r="C91" s="370" t="s">
        <v>8271</v>
      </c>
      <c r="D91" s="371" t="s">
        <v>8265</v>
      </c>
      <c r="E91" s="371" t="s">
        <v>8216</v>
      </c>
      <c r="F91" s="404">
        <v>4</v>
      </c>
      <c r="G91" s="372" t="s">
        <v>8217</v>
      </c>
      <c r="H91" s="372" t="s">
        <v>7966</v>
      </c>
      <c r="I91" s="371"/>
      <c r="J91" s="371"/>
      <c r="K91" s="370"/>
      <c r="L91" s="370"/>
      <c r="M91" s="370" t="s">
        <v>4</v>
      </c>
      <c r="N91" s="370" t="s">
        <v>8027</v>
      </c>
      <c r="O91" s="370" t="s">
        <v>8028</v>
      </c>
      <c r="P91" s="405"/>
    </row>
    <row r="92" spans="1:16" ht="19" customHeight="1">
      <c r="A92" s="369" t="s">
        <v>2529</v>
      </c>
      <c r="B92" s="373" t="s">
        <v>5937</v>
      </c>
      <c r="C92" s="370" t="s">
        <v>8271</v>
      </c>
      <c r="D92" s="371" t="s">
        <v>8218</v>
      </c>
      <c r="E92" s="371" t="s">
        <v>8219</v>
      </c>
      <c r="F92" s="404">
        <v>3</v>
      </c>
      <c r="G92" s="372" t="s">
        <v>7818</v>
      </c>
      <c r="H92" s="372" t="s">
        <v>7302</v>
      </c>
      <c r="I92" s="371"/>
      <c r="J92" s="371"/>
      <c r="K92" s="370"/>
      <c r="L92" s="370"/>
      <c r="M92" s="370" t="s">
        <v>4</v>
      </c>
      <c r="N92" s="370" t="s">
        <v>8027</v>
      </c>
      <c r="O92" s="370" t="s">
        <v>8028</v>
      </c>
      <c r="P92" s="405"/>
    </row>
    <row r="93" spans="1:16" ht="19" customHeight="1">
      <c r="A93" s="369" t="s">
        <v>2529</v>
      </c>
      <c r="B93" s="373" t="s">
        <v>5938</v>
      </c>
      <c r="C93" s="370" t="s">
        <v>8271</v>
      </c>
      <c r="D93" s="371" t="s">
        <v>8266</v>
      </c>
      <c r="E93" s="371" t="s">
        <v>8220</v>
      </c>
      <c r="F93" s="404">
        <v>3</v>
      </c>
      <c r="G93" s="372" t="s">
        <v>2740</v>
      </c>
      <c r="H93" s="372" t="s">
        <v>7636</v>
      </c>
      <c r="I93" s="371"/>
      <c r="J93" s="371"/>
      <c r="K93" s="370"/>
      <c r="L93" s="370"/>
      <c r="M93" s="370" t="s">
        <v>4</v>
      </c>
      <c r="N93" s="370" t="s">
        <v>8027</v>
      </c>
      <c r="O93" s="370" t="s">
        <v>8028</v>
      </c>
      <c r="P93" s="405"/>
    </row>
    <row r="94" spans="1:16" ht="19" customHeight="1">
      <c r="A94" s="369" t="s">
        <v>2529</v>
      </c>
      <c r="B94" s="373" t="s">
        <v>5939</v>
      </c>
      <c r="C94" s="370" t="s">
        <v>8271</v>
      </c>
      <c r="D94" s="371" t="s">
        <v>8221</v>
      </c>
      <c r="E94" s="371" t="s">
        <v>8222</v>
      </c>
      <c r="F94" s="404">
        <v>2</v>
      </c>
      <c r="G94" s="372" t="s">
        <v>2740</v>
      </c>
      <c r="H94" s="372" t="s">
        <v>7636</v>
      </c>
      <c r="I94" s="371"/>
      <c r="J94" s="371"/>
      <c r="K94" s="370"/>
      <c r="L94" s="370"/>
      <c r="M94" s="370" t="s">
        <v>4</v>
      </c>
      <c r="N94" s="370" t="s">
        <v>8027</v>
      </c>
      <c r="O94" s="370" t="s">
        <v>8028</v>
      </c>
      <c r="P94" s="405" t="s">
        <v>8097</v>
      </c>
    </row>
    <row r="95" spans="1:16" ht="19" customHeight="1">
      <c r="A95" s="369" t="s">
        <v>2529</v>
      </c>
      <c r="B95" s="373" t="s">
        <v>8223</v>
      </c>
      <c r="C95" s="370" t="s">
        <v>8271</v>
      </c>
      <c r="D95" s="371" t="s">
        <v>8224</v>
      </c>
      <c r="E95" s="371" t="s">
        <v>8225</v>
      </c>
      <c r="F95" s="404">
        <v>2</v>
      </c>
      <c r="G95" s="372" t="s">
        <v>2740</v>
      </c>
      <c r="H95" s="372" t="s">
        <v>7636</v>
      </c>
      <c r="I95" s="371"/>
      <c r="J95" s="371"/>
      <c r="K95" s="370"/>
      <c r="L95" s="370"/>
      <c r="M95" s="370" t="s">
        <v>4</v>
      </c>
      <c r="N95" s="370" t="s">
        <v>8027</v>
      </c>
      <c r="O95" s="370" t="s">
        <v>8028</v>
      </c>
      <c r="P95" s="405" t="s">
        <v>8226</v>
      </c>
    </row>
    <row r="96" spans="1:16" ht="19" customHeight="1">
      <c r="A96" s="369" t="s">
        <v>2529</v>
      </c>
      <c r="B96" s="373" t="s">
        <v>5940</v>
      </c>
      <c r="C96" s="370" t="s">
        <v>8272</v>
      </c>
      <c r="D96" s="371" t="s">
        <v>8227</v>
      </c>
      <c r="E96" s="371" t="s">
        <v>8228</v>
      </c>
      <c r="F96" s="404">
        <v>3</v>
      </c>
      <c r="G96" s="372" t="s">
        <v>2740</v>
      </c>
      <c r="H96" s="372" t="s">
        <v>7290</v>
      </c>
      <c r="I96" s="371"/>
      <c r="J96" s="371"/>
      <c r="K96" s="370"/>
      <c r="L96" s="370"/>
      <c r="M96" s="370" t="s">
        <v>4</v>
      </c>
      <c r="N96" s="370" t="s">
        <v>8027</v>
      </c>
      <c r="O96" s="370" t="s">
        <v>8028</v>
      </c>
      <c r="P96" s="405"/>
    </row>
    <row r="97" spans="1:16" ht="19" customHeight="1">
      <c r="A97" s="369" t="s">
        <v>2529</v>
      </c>
      <c r="B97" s="373" t="s">
        <v>5941</v>
      </c>
      <c r="C97" s="370" t="s">
        <v>8272</v>
      </c>
      <c r="D97" s="371" t="s">
        <v>8229</v>
      </c>
      <c r="E97" s="371" t="s">
        <v>8230</v>
      </c>
      <c r="F97" s="404">
        <v>14</v>
      </c>
      <c r="G97" s="372" t="s">
        <v>2740</v>
      </c>
      <c r="H97" s="372" t="s">
        <v>7290</v>
      </c>
      <c r="I97" s="371"/>
      <c r="J97" s="371"/>
      <c r="K97" s="370"/>
      <c r="L97" s="370"/>
      <c r="M97" s="370" t="s">
        <v>4</v>
      </c>
      <c r="N97" s="370" t="s">
        <v>8027</v>
      </c>
      <c r="O97" s="370" t="s">
        <v>8028</v>
      </c>
      <c r="P97" s="405"/>
    </row>
    <row r="98" spans="1:16" ht="19" customHeight="1">
      <c r="A98" s="369" t="s">
        <v>2529</v>
      </c>
      <c r="B98" s="373" t="s">
        <v>5942</v>
      </c>
      <c r="C98" s="370" t="s">
        <v>8272</v>
      </c>
      <c r="D98" s="371" t="s">
        <v>8231</v>
      </c>
      <c r="E98" s="371" t="s">
        <v>8230</v>
      </c>
      <c r="F98" s="404">
        <v>12</v>
      </c>
      <c r="G98" s="372" t="s">
        <v>2740</v>
      </c>
      <c r="H98" s="372" t="s">
        <v>7290</v>
      </c>
      <c r="I98" s="371"/>
      <c r="J98" s="371"/>
      <c r="K98" s="370"/>
      <c r="L98" s="370"/>
      <c r="M98" s="370" t="s">
        <v>4</v>
      </c>
      <c r="N98" s="370" t="s">
        <v>8027</v>
      </c>
      <c r="O98" s="370" t="s">
        <v>8028</v>
      </c>
      <c r="P98" s="405"/>
    </row>
    <row r="99" spans="1:16" ht="19" customHeight="1">
      <c r="A99" s="369" t="s">
        <v>2529</v>
      </c>
      <c r="B99" s="373" t="s">
        <v>5943</v>
      </c>
      <c r="C99" s="370" t="s">
        <v>8272</v>
      </c>
      <c r="D99" s="371" t="s">
        <v>8232</v>
      </c>
      <c r="E99" s="371" t="s">
        <v>8230</v>
      </c>
      <c r="F99" s="404">
        <v>20</v>
      </c>
      <c r="G99" s="372" t="s">
        <v>2740</v>
      </c>
      <c r="H99" s="372" t="s">
        <v>7290</v>
      </c>
      <c r="I99" s="371"/>
      <c r="J99" s="371"/>
      <c r="K99" s="370"/>
      <c r="L99" s="370"/>
      <c r="M99" s="370" t="s">
        <v>4</v>
      </c>
      <c r="N99" s="370" t="s">
        <v>8027</v>
      </c>
      <c r="O99" s="370" t="s">
        <v>8028</v>
      </c>
      <c r="P99" s="405"/>
    </row>
    <row r="100" spans="1:16" ht="19" customHeight="1">
      <c r="A100" s="369" t="s">
        <v>2529</v>
      </c>
      <c r="B100" s="373" t="s">
        <v>5944</v>
      </c>
      <c r="C100" s="370" t="s">
        <v>8272</v>
      </c>
      <c r="D100" s="371" t="s">
        <v>8233</v>
      </c>
      <c r="E100" s="371" t="s">
        <v>8230</v>
      </c>
      <c r="F100" s="404">
        <v>18</v>
      </c>
      <c r="G100" s="372" t="s">
        <v>2740</v>
      </c>
      <c r="H100" s="372" t="s">
        <v>7290</v>
      </c>
      <c r="I100" s="371"/>
      <c r="J100" s="371"/>
      <c r="K100" s="370"/>
      <c r="L100" s="370"/>
      <c r="M100" s="370" t="s">
        <v>4</v>
      </c>
      <c r="N100" s="370" t="s">
        <v>8027</v>
      </c>
      <c r="O100" s="370" t="s">
        <v>8028</v>
      </c>
      <c r="P100" s="405"/>
    </row>
    <row r="101" spans="1:16" ht="19" customHeight="1">
      <c r="A101" s="369" t="s">
        <v>2529</v>
      </c>
      <c r="B101" s="373" t="s">
        <v>5945</v>
      </c>
      <c r="C101" s="370" t="s">
        <v>8272</v>
      </c>
      <c r="D101" s="371" t="s">
        <v>8267</v>
      </c>
      <c r="E101" s="371" t="s">
        <v>8234</v>
      </c>
      <c r="F101" s="404">
        <v>5</v>
      </c>
      <c r="G101" s="372" t="s">
        <v>2740</v>
      </c>
      <c r="H101" s="372" t="s">
        <v>7290</v>
      </c>
      <c r="I101" s="371"/>
      <c r="J101" s="371"/>
      <c r="K101" s="370"/>
      <c r="L101" s="370"/>
      <c r="M101" s="370" t="s">
        <v>4</v>
      </c>
      <c r="N101" s="370" t="s">
        <v>8027</v>
      </c>
      <c r="O101" s="370" t="s">
        <v>8028</v>
      </c>
      <c r="P101" s="405"/>
    </row>
    <row r="102" spans="1:16" ht="19" customHeight="1">
      <c r="A102" s="369" t="s">
        <v>2529</v>
      </c>
      <c r="B102" s="373" t="s">
        <v>5946</v>
      </c>
      <c r="C102" s="370" t="s">
        <v>5947</v>
      </c>
      <c r="D102" s="371" t="s">
        <v>5948</v>
      </c>
      <c r="E102" s="371" t="s">
        <v>8235</v>
      </c>
      <c r="F102" s="404">
        <v>4</v>
      </c>
      <c r="G102" s="372" t="s">
        <v>2740</v>
      </c>
      <c r="H102" s="372" t="s">
        <v>7290</v>
      </c>
      <c r="I102" s="371"/>
      <c r="J102" s="371"/>
      <c r="K102" s="370"/>
      <c r="L102" s="370"/>
      <c r="M102" s="370" t="s">
        <v>4</v>
      </c>
      <c r="N102" s="370" t="s">
        <v>8027</v>
      </c>
      <c r="O102" s="370" t="s">
        <v>8028</v>
      </c>
      <c r="P102" s="405"/>
    </row>
    <row r="103" spans="1:16" ht="19" customHeight="1">
      <c r="A103" s="369" t="s">
        <v>2529</v>
      </c>
      <c r="B103" s="373" t="s">
        <v>5949</v>
      </c>
      <c r="C103" s="370" t="s">
        <v>5947</v>
      </c>
      <c r="D103" s="371" t="s">
        <v>5950</v>
      </c>
      <c r="E103" s="371" t="s">
        <v>8236</v>
      </c>
      <c r="F103" s="404">
        <v>4</v>
      </c>
      <c r="G103" s="372" t="s">
        <v>2740</v>
      </c>
      <c r="H103" s="372" t="s">
        <v>7290</v>
      </c>
      <c r="I103" s="371"/>
      <c r="J103" s="371"/>
      <c r="K103" s="370"/>
      <c r="L103" s="370"/>
      <c r="M103" s="370" t="s">
        <v>4</v>
      </c>
      <c r="N103" s="370" t="s">
        <v>8027</v>
      </c>
      <c r="O103" s="370" t="s">
        <v>8028</v>
      </c>
      <c r="P103" s="405"/>
    </row>
    <row r="104" spans="1:16" ht="19" customHeight="1">
      <c r="A104" s="369" t="s">
        <v>2529</v>
      </c>
      <c r="B104" s="373" t="s">
        <v>5951</v>
      </c>
      <c r="C104" s="370" t="s">
        <v>5947</v>
      </c>
      <c r="D104" s="371" t="s">
        <v>5952</v>
      </c>
      <c r="E104" s="371" t="s">
        <v>8235</v>
      </c>
      <c r="F104" s="404">
        <v>4</v>
      </c>
      <c r="G104" s="372" t="s">
        <v>2740</v>
      </c>
      <c r="H104" s="372" t="s">
        <v>7290</v>
      </c>
      <c r="I104" s="371"/>
      <c r="J104" s="371"/>
      <c r="K104" s="370"/>
      <c r="L104" s="370"/>
      <c r="M104" s="370" t="s">
        <v>4</v>
      </c>
      <c r="N104" s="370" t="s">
        <v>8027</v>
      </c>
      <c r="O104" s="370" t="s">
        <v>8028</v>
      </c>
      <c r="P104" s="405"/>
    </row>
    <row r="105" spans="1:16" ht="19" customHeight="1">
      <c r="A105" s="369" t="s">
        <v>2529</v>
      </c>
      <c r="B105" s="373" t="s">
        <v>5953</v>
      </c>
      <c r="C105" s="370" t="s">
        <v>5947</v>
      </c>
      <c r="D105" s="371" t="s">
        <v>5954</v>
      </c>
      <c r="E105" s="371" t="s">
        <v>8236</v>
      </c>
      <c r="F105" s="404">
        <v>4</v>
      </c>
      <c r="G105" s="372" t="s">
        <v>2740</v>
      </c>
      <c r="H105" s="372" t="s">
        <v>7290</v>
      </c>
      <c r="I105" s="371"/>
      <c r="J105" s="371"/>
      <c r="K105" s="370"/>
      <c r="L105" s="370"/>
      <c r="M105" s="370" t="s">
        <v>4</v>
      </c>
      <c r="N105" s="370" t="s">
        <v>8027</v>
      </c>
      <c r="O105" s="370" t="s">
        <v>8028</v>
      </c>
      <c r="P105" s="405"/>
    </row>
    <row r="106" spans="1:16" ht="19" customHeight="1">
      <c r="A106" s="369" t="s">
        <v>2529</v>
      </c>
      <c r="B106" s="373" t="s">
        <v>5955</v>
      </c>
      <c r="C106" s="370" t="s">
        <v>5947</v>
      </c>
      <c r="D106" s="371" t="s">
        <v>8268</v>
      </c>
      <c r="E106" s="371" t="s">
        <v>8237</v>
      </c>
      <c r="F106" s="404">
        <v>5</v>
      </c>
      <c r="G106" s="372" t="s">
        <v>2740</v>
      </c>
      <c r="H106" s="372" t="s">
        <v>7290</v>
      </c>
      <c r="I106" s="371"/>
      <c r="J106" s="371"/>
      <c r="K106" s="370"/>
      <c r="L106" s="370"/>
      <c r="M106" s="370" t="s">
        <v>4</v>
      </c>
      <c r="N106" s="370" t="s">
        <v>8027</v>
      </c>
      <c r="O106" s="370" t="s">
        <v>8028</v>
      </c>
      <c r="P106" s="405"/>
    </row>
    <row r="107" spans="1:16" ht="19" customHeight="1">
      <c r="A107" s="369" t="s">
        <v>2529</v>
      </c>
      <c r="B107" s="373" t="s">
        <v>5956</v>
      </c>
      <c r="C107" s="370" t="s">
        <v>5947</v>
      </c>
      <c r="D107" s="371" t="s">
        <v>8269</v>
      </c>
      <c r="E107" s="371" t="s">
        <v>8238</v>
      </c>
      <c r="F107" s="404">
        <v>8</v>
      </c>
      <c r="G107" s="372" t="s">
        <v>2740</v>
      </c>
      <c r="H107" s="372" t="s">
        <v>7290</v>
      </c>
      <c r="I107" s="371"/>
      <c r="J107" s="371"/>
      <c r="K107" s="370"/>
      <c r="L107" s="370"/>
      <c r="M107" s="370" t="s">
        <v>4</v>
      </c>
      <c r="N107" s="370" t="s">
        <v>8027</v>
      </c>
      <c r="O107" s="370" t="s">
        <v>8028</v>
      </c>
      <c r="P107" s="405"/>
    </row>
    <row r="108" spans="1:16" ht="19" customHeight="1">
      <c r="A108" s="369" t="s">
        <v>5961</v>
      </c>
      <c r="B108" s="373" t="s">
        <v>2230</v>
      </c>
      <c r="C108" s="370" t="s">
        <v>503</v>
      </c>
      <c r="D108" s="371" t="s">
        <v>2231</v>
      </c>
      <c r="E108" s="371" t="s">
        <v>5962</v>
      </c>
      <c r="F108" s="404">
        <v>4</v>
      </c>
      <c r="G108" s="372"/>
      <c r="H108" s="372"/>
      <c r="I108" s="371" t="s">
        <v>5427</v>
      </c>
      <c r="J108" s="371" t="s">
        <v>2233</v>
      </c>
      <c r="K108" s="370" t="s">
        <v>2232</v>
      </c>
      <c r="L108" s="370" t="s">
        <v>2446</v>
      </c>
      <c r="M108" s="370" t="s">
        <v>2235</v>
      </c>
      <c r="N108" s="370" t="s">
        <v>2236</v>
      </c>
      <c r="O108" s="370" t="s">
        <v>2447</v>
      </c>
      <c r="P108" s="405" t="s">
        <v>5963</v>
      </c>
    </row>
    <row r="109" spans="1:16" ht="19" customHeight="1">
      <c r="A109" s="369" t="s">
        <v>5961</v>
      </c>
      <c r="B109" s="373" t="s">
        <v>2237</v>
      </c>
      <c r="C109" s="370" t="s">
        <v>503</v>
      </c>
      <c r="D109" s="371" t="s">
        <v>2238</v>
      </c>
      <c r="E109" s="371" t="s">
        <v>5964</v>
      </c>
      <c r="F109" s="404">
        <v>10</v>
      </c>
      <c r="G109" s="372"/>
      <c r="H109" s="372"/>
      <c r="I109" s="371" t="s">
        <v>5428</v>
      </c>
      <c r="J109" s="371" t="s">
        <v>2239</v>
      </c>
      <c r="K109" s="370" t="s">
        <v>2232</v>
      </c>
      <c r="L109" s="370" t="s">
        <v>2446</v>
      </c>
      <c r="M109" s="370" t="s">
        <v>2240</v>
      </c>
      <c r="N109" s="370" t="s">
        <v>2236</v>
      </c>
      <c r="O109" s="370" t="s">
        <v>2447</v>
      </c>
      <c r="P109" s="405" t="s">
        <v>5965</v>
      </c>
    </row>
    <row r="110" spans="1:16" ht="19" customHeight="1">
      <c r="A110" s="369" t="s">
        <v>5961</v>
      </c>
      <c r="B110" s="373" t="s">
        <v>2241</v>
      </c>
      <c r="C110" s="370" t="s">
        <v>503</v>
      </c>
      <c r="D110" s="371" t="s">
        <v>2242</v>
      </c>
      <c r="E110" s="371" t="s">
        <v>5966</v>
      </c>
      <c r="F110" s="404">
        <v>11</v>
      </c>
      <c r="G110" s="372"/>
      <c r="H110" s="372"/>
      <c r="I110" s="371" t="s">
        <v>5429</v>
      </c>
      <c r="J110" s="371" t="s">
        <v>2243</v>
      </c>
      <c r="K110" s="370" t="s">
        <v>2232</v>
      </c>
      <c r="L110" s="370" t="s">
        <v>2446</v>
      </c>
      <c r="M110" s="370" t="s">
        <v>2240</v>
      </c>
      <c r="N110" s="370" t="s">
        <v>2236</v>
      </c>
      <c r="O110" s="370" t="s">
        <v>2447</v>
      </c>
      <c r="P110" s="405" t="s">
        <v>5965</v>
      </c>
    </row>
    <row r="111" spans="1:16" ht="19" customHeight="1">
      <c r="A111" s="369" t="s">
        <v>5961</v>
      </c>
      <c r="B111" s="373" t="s">
        <v>2243</v>
      </c>
      <c r="C111" s="370" t="s">
        <v>503</v>
      </c>
      <c r="D111" s="371" t="s">
        <v>2244</v>
      </c>
      <c r="E111" s="371" t="s">
        <v>5967</v>
      </c>
      <c r="F111" s="404">
        <v>24</v>
      </c>
      <c r="G111" s="372"/>
      <c r="H111" s="372"/>
      <c r="I111" s="371" t="s">
        <v>5430</v>
      </c>
      <c r="J111" s="371" t="s">
        <v>2241</v>
      </c>
      <c r="K111" s="370" t="s">
        <v>2245</v>
      </c>
      <c r="L111" s="370" t="s">
        <v>2446</v>
      </c>
      <c r="M111" s="370" t="s">
        <v>2240</v>
      </c>
      <c r="N111" s="370" t="s">
        <v>2236</v>
      </c>
      <c r="O111" s="370" t="s">
        <v>2447</v>
      </c>
      <c r="P111" s="405" t="s">
        <v>5968</v>
      </c>
    </row>
    <row r="112" spans="1:16" ht="19" customHeight="1">
      <c r="A112" s="369" t="s">
        <v>5961</v>
      </c>
      <c r="B112" s="373" t="s">
        <v>2246</v>
      </c>
      <c r="C112" s="370" t="s">
        <v>503</v>
      </c>
      <c r="D112" s="371" t="s">
        <v>2247</v>
      </c>
      <c r="E112" s="371" t="s">
        <v>6257</v>
      </c>
      <c r="F112" s="404">
        <v>4</v>
      </c>
      <c r="G112" s="372"/>
      <c r="H112" s="372"/>
      <c r="I112" s="371" t="s">
        <v>5431</v>
      </c>
      <c r="J112" s="371" t="s">
        <v>2248</v>
      </c>
      <c r="K112" s="370" t="s">
        <v>2232</v>
      </c>
      <c r="L112" s="370" t="s">
        <v>2446</v>
      </c>
      <c r="M112" s="370" t="s">
        <v>2235</v>
      </c>
      <c r="N112" s="370" t="s">
        <v>2236</v>
      </c>
      <c r="O112" s="370" t="s">
        <v>2447</v>
      </c>
      <c r="P112" s="405" t="s">
        <v>5963</v>
      </c>
    </row>
    <row r="113" spans="1:16" ht="19" customHeight="1">
      <c r="A113" s="369" t="s">
        <v>5961</v>
      </c>
      <c r="B113" s="373" t="s">
        <v>2249</v>
      </c>
      <c r="C113" s="370" t="s">
        <v>503</v>
      </c>
      <c r="D113" s="371" t="s">
        <v>2250</v>
      </c>
      <c r="E113" s="371" t="s">
        <v>5969</v>
      </c>
      <c r="F113" s="404">
        <v>9</v>
      </c>
      <c r="G113" s="372"/>
      <c r="H113" s="372"/>
      <c r="I113" s="371" t="s">
        <v>5432</v>
      </c>
      <c r="J113" s="371" t="s">
        <v>2230</v>
      </c>
      <c r="K113" s="370" t="s">
        <v>2232</v>
      </c>
      <c r="L113" s="370" t="s">
        <v>2446</v>
      </c>
      <c r="M113" s="370" t="s">
        <v>2240</v>
      </c>
      <c r="N113" s="370" t="s">
        <v>2236</v>
      </c>
      <c r="O113" s="370" t="s">
        <v>2447</v>
      </c>
      <c r="P113" s="405" t="s">
        <v>5970</v>
      </c>
    </row>
    <row r="114" spans="1:16" ht="19" customHeight="1">
      <c r="A114" s="369" t="s">
        <v>5961</v>
      </c>
      <c r="B114" s="373" t="s">
        <v>2251</v>
      </c>
      <c r="C114" s="370" t="s">
        <v>503</v>
      </c>
      <c r="D114" s="371" t="s">
        <v>2252</v>
      </c>
      <c r="E114" s="371" t="s">
        <v>5971</v>
      </c>
      <c r="F114" s="404">
        <v>4</v>
      </c>
      <c r="G114" s="372"/>
      <c r="H114" s="372"/>
      <c r="I114" s="371" t="s">
        <v>5433</v>
      </c>
      <c r="J114" s="371" t="s">
        <v>2230</v>
      </c>
      <c r="K114" s="370" t="s">
        <v>2232</v>
      </c>
      <c r="L114" s="370" t="s">
        <v>2446</v>
      </c>
      <c r="M114" s="370" t="s">
        <v>2235</v>
      </c>
      <c r="N114" s="370" t="s">
        <v>2236</v>
      </c>
      <c r="O114" s="370" t="s">
        <v>2447</v>
      </c>
      <c r="P114" s="405" t="s">
        <v>5963</v>
      </c>
    </row>
    <row r="115" spans="1:16" ht="19" customHeight="1">
      <c r="A115" s="369" t="s">
        <v>5961</v>
      </c>
      <c r="B115" s="373" t="s">
        <v>2253</v>
      </c>
      <c r="C115" s="370" t="s">
        <v>503</v>
      </c>
      <c r="D115" s="371" t="s">
        <v>2254</v>
      </c>
      <c r="E115" s="371" t="s">
        <v>5972</v>
      </c>
      <c r="F115" s="404">
        <v>12</v>
      </c>
      <c r="G115" s="372"/>
      <c r="H115" s="372"/>
      <c r="I115" s="371" t="s">
        <v>5434</v>
      </c>
      <c r="J115" s="371" t="s">
        <v>2256</v>
      </c>
      <c r="K115" s="370" t="s">
        <v>2255</v>
      </c>
      <c r="L115" s="370" t="s">
        <v>2446</v>
      </c>
      <c r="M115" s="370" t="s">
        <v>2240</v>
      </c>
      <c r="N115" s="370" t="s">
        <v>2236</v>
      </c>
      <c r="O115" s="370" t="s">
        <v>2447</v>
      </c>
      <c r="P115" s="405" t="s">
        <v>5973</v>
      </c>
    </row>
    <row r="116" spans="1:16" ht="19" customHeight="1">
      <c r="A116" s="369" t="s">
        <v>5961</v>
      </c>
      <c r="B116" s="373" t="s">
        <v>2448</v>
      </c>
      <c r="C116" s="370" t="s">
        <v>503</v>
      </c>
      <c r="D116" s="371" t="s">
        <v>2449</v>
      </c>
      <c r="E116" s="371" t="s">
        <v>5974</v>
      </c>
      <c r="F116" s="404">
        <v>8</v>
      </c>
      <c r="G116" s="372"/>
      <c r="H116" s="372"/>
      <c r="I116" s="371" t="s">
        <v>5527</v>
      </c>
      <c r="J116" s="371" t="s">
        <v>2230</v>
      </c>
      <c r="K116" s="370" t="s">
        <v>2306</v>
      </c>
      <c r="L116" s="370" t="s">
        <v>2450</v>
      </c>
      <c r="M116" s="370" t="s">
        <v>2451</v>
      </c>
      <c r="N116" s="370" t="s">
        <v>2452</v>
      </c>
      <c r="O116" s="370" t="s">
        <v>2453</v>
      </c>
      <c r="P116" s="405" t="s">
        <v>5975</v>
      </c>
    </row>
    <row r="117" spans="1:16" ht="19" customHeight="1">
      <c r="A117" s="369" t="s">
        <v>5961</v>
      </c>
      <c r="B117" s="373" t="s">
        <v>2454</v>
      </c>
      <c r="C117" s="370" t="s">
        <v>503</v>
      </c>
      <c r="D117" s="371" t="s">
        <v>2455</v>
      </c>
      <c r="E117" s="371" t="s">
        <v>5976</v>
      </c>
      <c r="F117" s="404">
        <v>10</v>
      </c>
      <c r="G117" s="372"/>
      <c r="H117" s="372"/>
      <c r="I117" s="371" t="s">
        <v>5435</v>
      </c>
      <c r="J117" s="371" t="s">
        <v>2237</v>
      </c>
      <c r="K117" s="370" t="s">
        <v>2232</v>
      </c>
      <c r="L117" s="370" t="s">
        <v>2446</v>
      </c>
      <c r="M117" s="370" t="s">
        <v>2235</v>
      </c>
      <c r="N117" s="370" t="s">
        <v>2452</v>
      </c>
      <c r="O117" s="370" t="s">
        <v>2456</v>
      </c>
      <c r="P117" s="405" t="s">
        <v>5977</v>
      </c>
    </row>
    <row r="118" spans="1:16" ht="19" customHeight="1">
      <c r="A118" s="369" t="s">
        <v>5961</v>
      </c>
      <c r="B118" s="373" t="s">
        <v>2257</v>
      </c>
      <c r="C118" s="370" t="s">
        <v>510</v>
      </c>
      <c r="D118" s="371" t="s">
        <v>2258</v>
      </c>
      <c r="E118" s="371" t="s">
        <v>5978</v>
      </c>
      <c r="F118" s="404">
        <v>10</v>
      </c>
      <c r="G118" s="372"/>
      <c r="H118" s="372"/>
      <c r="I118" s="371" t="s">
        <v>5436</v>
      </c>
      <c r="J118" s="371" t="s">
        <v>2260</v>
      </c>
      <c r="K118" s="370" t="s">
        <v>2259</v>
      </c>
      <c r="L118" s="370" t="s">
        <v>2446</v>
      </c>
      <c r="M118" s="370" t="s">
        <v>2235</v>
      </c>
      <c r="N118" s="370" t="s">
        <v>2236</v>
      </c>
      <c r="O118" s="370" t="s">
        <v>2447</v>
      </c>
      <c r="P118" s="405" t="s">
        <v>5977</v>
      </c>
    </row>
    <row r="119" spans="1:16" ht="19" customHeight="1">
      <c r="A119" s="369" t="s">
        <v>5961</v>
      </c>
      <c r="B119" s="373" t="s">
        <v>2261</v>
      </c>
      <c r="C119" s="370" t="s">
        <v>510</v>
      </c>
      <c r="D119" s="371" t="s">
        <v>2262</v>
      </c>
      <c r="E119" s="371" t="s">
        <v>5979</v>
      </c>
      <c r="F119" s="404">
        <v>11</v>
      </c>
      <c r="G119" s="372"/>
      <c r="H119" s="372"/>
      <c r="I119" s="371" t="s">
        <v>5437</v>
      </c>
      <c r="J119" s="371" t="s">
        <v>2243</v>
      </c>
      <c r="K119" s="370" t="s">
        <v>2263</v>
      </c>
      <c r="L119" s="370" t="s">
        <v>2446</v>
      </c>
      <c r="M119" s="370" t="s">
        <v>2240</v>
      </c>
      <c r="N119" s="370" t="s">
        <v>2236</v>
      </c>
      <c r="O119" s="370" t="s">
        <v>2447</v>
      </c>
      <c r="P119" s="405" t="s">
        <v>5965</v>
      </c>
    </row>
    <row r="120" spans="1:16" ht="19" customHeight="1">
      <c r="A120" s="369" t="s">
        <v>5961</v>
      </c>
      <c r="B120" s="373" t="s">
        <v>2264</v>
      </c>
      <c r="C120" s="370" t="s">
        <v>510</v>
      </c>
      <c r="D120" s="371" t="s">
        <v>2265</v>
      </c>
      <c r="E120" s="371" t="s">
        <v>5980</v>
      </c>
      <c r="F120" s="404">
        <v>22</v>
      </c>
      <c r="G120" s="372"/>
      <c r="H120" s="372"/>
      <c r="I120" s="371" t="s">
        <v>5438</v>
      </c>
      <c r="J120" s="371" t="s">
        <v>2257</v>
      </c>
      <c r="K120" s="370" t="s">
        <v>2266</v>
      </c>
      <c r="L120" s="370" t="s">
        <v>2446</v>
      </c>
      <c r="M120" s="370" t="s">
        <v>2240</v>
      </c>
      <c r="N120" s="370" t="s">
        <v>2236</v>
      </c>
      <c r="O120" s="370" t="s">
        <v>2447</v>
      </c>
      <c r="P120" s="405" t="s">
        <v>5981</v>
      </c>
    </row>
    <row r="121" spans="1:16" ht="19" customHeight="1">
      <c r="A121" s="369" t="s">
        <v>5961</v>
      </c>
      <c r="B121" s="373" t="s">
        <v>2267</v>
      </c>
      <c r="C121" s="370" t="s">
        <v>510</v>
      </c>
      <c r="D121" s="371" t="s">
        <v>2268</v>
      </c>
      <c r="E121" s="371" t="s">
        <v>5982</v>
      </c>
      <c r="F121" s="404">
        <v>22</v>
      </c>
      <c r="G121" s="372"/>
      <c r="H121" s="372"/>
      <c r="I121" s="371" t="s">
        <v>5439</v>
      </c>
      <c r="J121" s="371" t="s">
        <v>2270</v>
      </c>
      <c r="K121" s="370" t="s">
        <v>2269</v>
      </c>
      <c r="L121" s="370" t="s">
        <v>2446</v>
      </c>
      <c r="M121" s="370" t="s">
        <v>2240</v>
      </c>
      <c r="N121" s="370" t="s">
        <v>2236</v>
      </c>
      <c r="O121" s="370" t="s">
        <v>2447</v>
      </c>
      <c r="P121" s="405" t="s">
        <v>5981</v>
      </c>
    </row>
    <row r="122" spans="1:16" ht="19" customHeight="1">
      <c r="A122" s="369" t="s">
        <v>5961</v>
      </c>
      <c r="B122" s="373" t="s">
        <v>2271</v>
      </c>
      <c r="C122" s="370" t="s">
        <v>510</v>
      </c>
      <c r="D122" s="371" t="s">
        <v>2272</v>
      </c>
      <c r="E122" s="371" t="s">
        <v>5983</v>
      </c>
      <c r="F122" s="404">
        <v>12</v>
      </c>
      <c r="G122" s="372"/>
      <c r="H122" s="372"/>
      <c r="I122" s="371" t="s">
        <v>5440</v>
      </c>
      <c r="J122" s="371" t="s">
        <v>2273</v>
      </c>
      <c r="K122" s="370" t="s">
        <v>2266</v>
      </c>
      <c r="L122" s="370" t="s">
        <v>2446</v>
      </c>
      <c r="M122" s="370" t="s">
        <v>2235</v>
      </c>
      <c r="N122" s="370" t="s">
        <v>2236</v>
      </c>
      <c r="O122" s="370" t="s">
        <v>2447</v>
      </c>
      <c r="P122" s="405" t="s">
        <v>5977</v>
      </c>
    </row>
    <row r="123" spans="1:16" ht="19" customHeight="1">
      <c r="A123" s="369" t="s">
        <v>5961</v>
      </c>
      <c r="B123" s="373" t="s">
        <v>2274</v>
      </c>
      <c r="C123" s="370" t="s">
        <v>510</v>
      </c>
      <c r="D123" s="371" t="s">
        <v>2275</v>
      </c>
      <c r="E123" s="371" t="s">
        <v>5984</v>
      </c>
      <c r="F123" s="404">
        <v>10</v>
      </c>
      <c r="G123" s="372"/>
      <c r="H123" s="372"/>
      <c r="I123" s="371" t="s">
        <v>5441</v>
      </c>
      <c r="J123" s="371" t="s">
        <v>2271</v>
      </c>
      <c r="K123" s="370" t="s">
        <v>2276</v>
      </c>
      <c r="L123" s="370" t="s">
        <v>2446</v>
      </c>
      <c r="M123" s="370" t="s">
        <v>2235</v>
      </c>
      <c r="N123" s="370" t="s">
        <v>2236</v>
      </c>
      <c r="O123" s="370" t="s">
        <v>2447</v>
      </c>
      <c r="P123" s="405" t="s">
        <v>5977</v>
      </c>
    </row>
    <row r="124" spans="1:16" ht="19" customHeight="1">
      <c r="A124" s="369" t="s">
        <v>5961</v>
      </c>
      <c r="B124" s="373" t="s">
        <v>2277</v>
      </c>
      <c r="C124" s="370" t="s">
        <v>510</v>
      </c>
      <c r="D124" s="371" t="s">
        <v>2278</v>
      </c>
      <c r="E124" s="371" t="s">
        <v>5985</v>
      </c>
      <c r="F124" s="404">
        <v>11</v>
      </c>
      <c r="G124" s="372"/>
      <c r="H124" s="372"/>
      <c r="I124" s="371" t="s">
        <v>5442</v>
      </c>
      <c r="J124" s="371" t="s">
        <v>2279</v>
      </c>
      <c r="K124" s="370" t="s">
        <v>2245</v>
      </c>
      <c r="L124" s="370" t="s">
        <v>2446</v>
      </c>
      <c r="M124" s="370" t="s">
        <v>2240</v>
      </c>
      <c r="N124" s="370" t="s">
        <v>2236</v>
      </c>
      <c r="O124" s="370" t="s">
        <v>2447</v>
      </c>
      <c r="P124" s="405" t="s">
        <v>5965</v>
      </c>
    </row>
    <row r="125" spans="1:16" ht="19" customHeight="1">
      <c r="A125" s="369" t="s">
        <v>5961</v>
      </c>
      <c r="B125" s="373" t="s">
        <v>2280</v>
      </c>
      <c r="C125" s="370" t="s">
        <v>510</v>
      </c>
      <c r="D125" s="371" t="s">
        <v>2281</v>
      </c>
      <c r="E125" s="371" t="s">
        <v>5986</v>
      </c>
      <c r="F125" s="404">
        <v>12</v>
      </c>
      <c r="G125" s="372"/>
      <c r="H125" s="372"/>
      <c r="I125" s="371" t="s">
        <v>5443</v>
      </c>
      <c r="J125" s="371" t="s">
        <v>2282</v>
      </c>
      <c r="K125" s="370" t="s">
        <v>2266</v>
      </c>
      <c r="L125" s="370" t="s">
        <v>2446</v>
      </c>
      <c r="M125" s="370" t="s">
        <v>2235</v>
      </c>
      <c r="N125" s="370" t="s">
        <v>2236</v>
      </c>
      <c r="O125" s="370" t="s">
        <v>2447</v>
      </c>
      <c r="P125" s="405" t="s">
        <v>5977</v>
      </c>
    </row>
    <row r="126" spans="1:16" ht="19" customHeight="1">
      <c r="A126" s="369" t="s">
        <v>5961</v>
      </c>
      <c r="B126" s="373" t="s">
        <v>2457</v>
      </c>
      <c r="C126" s="370" t="s">
        <v>510</v>
      </c>
      <c r="D126" s="371" t="s">
        <v>2458</v>
      </c>
      <c r="E126" s="371" t="s">
        <v>5987</v>
      </c>
      <c r="F126" s="404">
        <v>9</v>
      </c>
      <c r="G126" s="372"/>
      <c r="H126" s="372"/>
      <c r="I126" s="371" t="s">
        <v>5444</v>
      </c>
      <c r="J126" s="371" t="s">
        <v>2271</v>
      </c>
      <c r="K126" s="370" t="s">
        <v>2266</v>
      </c>
      <c r="L126" s="370" t="s">
        <v>2446</v>
      </c>
      <c r="M126" s="370" t="s">
        <v>2235</v>
      </c>
      <c r="N126" s="370" t="s">
        <v>2452</v>
      </c>
      <c r="O126" s="370" t="s">
        <v>916</v>
      </c>
      <c r="P126" s="405" t="s">
        <v>5977</v>
      </c>
    </row>
    <row r="127" spans="1:16" ht="19" customHeight="1">
      <c r="A127" s="369" t="s">
        <v>5961</v>
      </c>
      <c r="B127" s="373" t="s">
        <v>2459</v>
      </c>
      <c r="C127" s="370" t="s">
        <v>510</v>
      </c>
      <c r="D127" s="371" t="s">
        <v>2460</v>
      </c>
      <c r="E127" s="371" t="s">
        <v>5988</v>
      </c>
      <c r="F127" s="404">
        <v>9</v>
      </c>
      <c r="G127" s="372"/>
      <c r="H127" s="372"/>
      <c r="I127" s="371" t="s">
        <v>5445</v>
      </c>
      <c r="J127" s="371" t="s">
        <v>2267</v>
      </c>
      <c r="K127" s="370" t="s">
        <v>2266</v>
      </c>
      <c r="L127" s="370" t="s">
        <v>2446</v>
      </c>
      <c r="M127" s="370" t="s">
        <v>2235</v>
      </c>
      <c r="N127" s="370" t="s">
        <v>2452</v>
      </c>
      <c r="O127" s="370" t="s">
        <v>915</v>
      </c>
      <c r="P127" s="405" t="s">
        <v>5977</v>
      </c>
    </row>
    <row r="128" spans="1:16" ht="19" customHeight="1">
      <c r="A128" s="369" t="s">
        <v>5961</v>
      </c>
      <c r="B128" s="373" t="s">
        <v>2461</v>
      </c>
      <c r="C128" s="370" t="s">
        <v>510</v>
      </c>
      <c r="D128" s="371" t="s">
        <v>2462</v>
      </c>
      <c r="E128" s="371" t="s">
        <v>5989</v>
      </c>
      <c r="F128" s="404">
        <v>6</v>
      </c>
      <c r="G128" s="372"/>
      <c r="H128" s="372"/>
      <c r="I128" s="371" t="s">
        <v>5446</v>
      </c>
      <c r="J128" s="371" t="s">
        <v>2264</v>
      </c>
      <c r="K128" s="370" t="s">
        <v>2306</v>
      </c>
      <c r="L128" s="370" t="s">
        <v>2446</v>
      </c>
      <c r="M128" s="370" t="s">
        <v>2235</v>
      </c>
      <c r="N128" s="370" t="s">
        <v>2452</v>
      </c>
      <c r="O128" s="370" t="s">
        <v>914</v>
      </c>
      <c r="P128" s="405" t="s">
        <v>5963</v>
      </c>
    </row>
    <row r="129" spans="1:16" ht="19" customHeight="1">
      <c r="A129" s="369" t="s">
        <v>5961</v>
      </c>
      <c r="B129" s="373" t="s">
        <v>2283</v>
      </c>
      <c r="C129" s="370" t="s">
        <v>1047</v>
      </c>
      <c r="D129" s="371" t="s">
        <v>2284</v>
      </c>
      <c r="E129" s="371" t="s">
        <v>5990</v>
      </c>
      <c r="F129" s="404">
        <v>10</v>
      </c>
      <c r="G129" s="372"/>
      <c r="H129" s="372"/>
      <c r="I129" s="371" t="s">
        <v>5447</v>
      </c>
      <c r="J129" s="371" t="s">
        <v>2241</v>
      </c>
      <c r="K129" s="370" t="s">
        <v>2285</v>
      </c>
      <c r="L129" s="370" t="s">
        <v>2446</v>
      </c>
      <c r="M129" s="370" t="s">
        <v>2235</v>
      </c>
      <c r="N129" s="370" t="s">
        <v>2236</v>
      </c>
      <c r="O129" s="370" t="s">
        <v>2447</v>
      </c>
      <c r="P129" s="405" t="s">
        <v>5977</v>
      </c>
    </row>
    <row r="130" spans="1:16" ht="19" customHeight="1">
      <c r="A130" s="369" t="s">
        <v>5961</v>
      </c>
      <c r="B130" s="373" t="s">
        <v>2286</v>
      </c>
      <c r="C130" s="370" t="s">
        <v>1047</v>
      </c>
      <c r="D130" s="371" t="s">
        <v>2287</v>
      </c>
      <c r="E130" s="371" t="s">
        <v>5991</v>
      </c>
      <c r="F130" s="404">
        <v>5</v>
      </c>
      <c r="G130" s="372"/>
      <c r="H130" s="372"/>
      <c r="I130" s="371" t="s">
        <v>5448</v>
      </c>
      <c r="J130" s="371" t="s">
        <v>2283</v>
      </c>
      <c r="K130" s="370" t="s">
        <v>2288</v>
      </c>
      <c r="L130" s="370" t="s">
        <v>2446</v>
      </c>
      <c r="M130" s="370" t="s">
        <v>2235</v>
      </c>
      <c r="N130" s="370" t="s">
        <v>2236</v>
      </c>
      <c r="O130" s="370" t="s">
        <v>2447</v>
      </c>
      <c r="P130" s="405" t="s">
        <v>5963</v>
      </c>
    </row>
    <row r="131" spans="1:16" ht="19" customHeight="1">
      <c r="A131" s="369" t="s">
        <v>5961</v>
      </c>
      <c r="B131" s="373" t="s">
        <v>2289</v>
      </c>
      <c r="C131" s="370" t="s">
        <v>1047</v>
      </c>
      <c r="D131" s="371" t="s">
        <v>2290</v>
      </c>
      <c r="E131" s="371" t="s">
        <v>5992</v>
      </c>
      <c r="F131" s="404">
        <v>12</v>
      </c>
      <c r="G131" s="372"/>
      <c r="H131" s="372"/>
      <c r="I131" s="371" t="s">
        <v>5449</v>
      </c>
      <c r="J131" s="371" t="s">
        <v>2292</v>
      </c>
      <c r="K131" s="370" t="s">
        <v>2291</v>
      </c>
      <c r="L131" s="370" t="s">
        <v>2446</v>
      </c>
      <c r="M131" s="370" t="s">
        <v>2235</v>
      </c>
      <c r="N131" s="370" t="s">
        <v>2236</v>
      </c>
      <c r="O131" s="370" t="s">
        <v>2447</v>
      </c>
      <c r="P131" s="405" t="s">
        <v>5977</v>
      </c>
    </row>
    <row r="132" spans="1:16" ht="19" customHeight="1">
      <c r="A132" s="369" t="s">
        <v>5961</v>
      </c>
      <c r="B132" s="373" t="s">
        <v>2293</v>
      </c>
      <c r="C132" s="370" t="s">
        <v>1047</v>
      </c>
      <c r="D132" s="371" t="s">
        <v>2294</v>
      </c>
      <c r="E132" s="371" t="s">
        <v>5993</v>
      </c>
      <c r="F132" s="404">
        <v>12</v>
      </c>
      <c r="G132" s="372"/>
      <c r="H132" s="372"/>
      <c r="I132" s="371" t="s">
        <v>5450</v>
      </c>
      <c r="J132" s="371" t="s">
        <v>2295</v>
      </c>
      <c r="K132" s="370" t="s">
        <v>2266</v>
      </c>
      <c r="L132" s="370" t="s">
        <v>2446</v>
      </c>
      <c r="M132" s="370" t="s">
        <v>2235</v>
      </c>
      <c r="N132" s="370" t="s">
        <v>2236</v>
      </c>
      <c r="O132" s="370" t="s">
        <v>2447</v>
      </c>
      <c r="P132" s="405" t="s">
        <v>5977</v>
      </c>
    </row>
    <row r="133" spans="1:16" ht="19" customHeight="1">
      <c r="A133" s="369" t="s">
        <v>5961</v>
      </c>
      <c r="B133" s="373" t="s">
        <v>2296</v>
      </c>
      <c r="C133" s="370" t="s">
        <v>1047</v>
      </c>
      <c r="D133" s="371" t="s">
        <v>2297</v>
      </c>
      <c r="E133" s="371" t="s">
        <v>5994</v>
      </c>
      <c r="F133" s="404">
        <v>5</v>
      </c>
      <c r="G133" s="372"/>
      <c r="H133" s="372"/>
      <c r="I133" s="371" t="s">
        <v>5451</v>
      </c>
      <c r="J133" s="371" t="s">
        <v>2298</v>
      </c>
      <c r="K133" s="370" t="s">
        <v>2266</v>
      </c>
      <c r="L133" s="370" t="s">
        <v>2446</v>
      </c>
      <c r="M133" s="370" t="s">
        <v>2235</v>
      </c>
      <c r="N133" s="370" t="s">
        <v>2236</v>
      </c>
      <c r="O133" s="370" t="s">
        <v>2447</v>
      </c>
      <c r="P133" s="405" t="s">
        <v>5963</v>
      </c>
    </row>
    <row r="134" spans="1:16" ht="19" customHeight="1">
      <c r="A134" s="369" t="s">
        <v>5961</v>
      </c>
      <c r="B134" s="373" t="s">
        <v>2299</v>
      </c>
      <c r="C134" s="370" t="s">
        <v>1047</v>
      </c>
      <c r="D134" s="371" t="s">
        <v>2300</v>
      </c>
      <c r="E134" s="371" t="s">
        <v>5995</v>
      </c>
      <c r="F134" s="404">
        <v>10</v>
      </c>
      <c r="G134" s="372"/>
      <c r="H134" s="372"/>
      <c r="I134" s="371" t="s">
        <v>5452</v>
      </c>
      <c r="J134" s="371" t="s">
        <v>2302</v>
      </c>
      <c r="K134" s="370" t="s">
        <v>2301</v>
      </c>
      <c r="L134" s="370" t="s">
        <v>2446</v>
      </c>
      <c r="M134" s="370" t="s">
        <v>2303</v>
      </c>
      <c r="N134" s="370" t="s">
        <v>2236</v>
      </c>
      <c r="O134" s="370" t="s">
        <v>2447</v>
      </c>
      <c r="P134" s="405" t="s">
        <v>5977</v>
      </c>
    </row>
    <row r="135" spans="1:16" ht="19" customHeight="1">
      <c r="A135" s="369" t="s">
        <v>5961</v>
      </c>
      <c r="B135" s="373" t="s">
        <v>2304</v>
      </c>
      <c r="C135" s="370" t="s">
        <v>1047</v>
      </c>
      <c r="D135" s="371" t="s">
        <v>2305</v>
      </c>
      <c r="E135" s="371" t="s">
        <v>5996</v>
      </c>
      <c r="F135" s="404">
        <v>3</v>
      </c>
      <c r="G135" s="372"/>
      <c r="H135" s="372"/>
      <c r="I135" s="371" t="s">
        <v>5453</v>
      </c>
      <c r="J135" s="371" t="s">
        <v>2286</v>
      </c>
      <c r="K135" s="370" t="s">
        <v>2306</v>
      </c>
      <c r="L135" s="370" t="s">
        <v>2446</v>
      </c>
      <c r="M135" s="370" t="s">
        <v>2307</v>
      </c>
      <c r="N135" s="370" t="s">
        <v>2236</v>
      </c>
      <c r="O135" s="370" t="s">
        <v>2447</v>
      </c>
      <c r="P135" s="405" t="s">
        <v>5963</v>
      </c>
    </row>
    <row r="136" spans="1:16" ht="19" customHeight="1">
      <c r="A136" s="369" t="s">
        <v>5961</v>
      </c>
      <c r="B136" s="373" t="s">
        <v>2308</v>
      </c>
      <c r="C136" s="370" t="s">
        <v>1047</v>
      </c>
      <c r="D136" s="371" t="s">
        <v>2309</v>
      </c>
      <c r="E136" s="371" t="s">
        <v>5997</v>
      </c>
      <c r="F136" s="404">
        <v>4</v>
      </c>
      <c r="G136" s="372"/>
      <c r="H136" s="372"/>
      <c r="I136" s="371" t="s">
        <v>5454</v>
      </c>
      <c r="J136" s="371" t="s">
        <v>2292</v>
      </c>
      <c r="K136" s="370" t="s">
        <v>2288</v>
      </c>
      <c r="L136" s="370" t="s">
        <v>2446</v>
      </c>
      <c r="M136" s="370" t="s">
        <v>2240</v>
      </c>
      <c r="N136" s="370" t="s">
        <v>2236</v>
      </c>
      <c r="O136" s="370" t="s">
        <v>2447</v>
      </c>
      <c r="P136" s="405" t="s">
        <v>5963</v>
      </c>
    </row>
    <row r="137" spans="1:16" ht="19" customHeight="1">
      <c r="A137" s="369" t="s">
        <v>5961</v>
      </c>
      <c r="B137" s="373" t="s">
        <v>2310</v>
      </c>
      <c r="C137" s="370" t="s">
        <v>1047</v>
      </c>
      <c r="D137" s="371" t="s">
        <v>1429</v>
      </c>
      <c r="E137" s="371" t="s">
        <v>5998</v>
      </c>
      <c r="F137" s="404">
        <v>5</v>
      </c>
      <c r="G137" s="372"/>
      <c r="H137" s="372"/>
      <c r="I137" s="371" t="s">
        <v>5455</v>
      </c>
      <c r="J137" s="371" t="s">
        <v>2283</v>
      </c>
      <c r="K137" s="370" t="s">
        <v>2311</v>
      </c>
      <c r="L137" s="370" t="s">
        <v>2446</v>
      </c>
      <c r="M137" s="370" t="s">
        <v>2235</v>
      </c>
      <c r="N137" s="370" t="s">
        <v>2312</v>
      </c>
      <c r="O137" s="370" t="s">
        <v>2447</v>
      </c>
      <c r="P137" s="405" t="s">
        <v>5963</v>
      </c>
    </row>
    <row r="138" spans="1:16" ht="19" customHeight="1">
      <c r="A138" s="369" t="s">
        <v>5961</v>
      </c>
      <c r="B138" s="373" t="s">
        <v>2313</v>
      </c>
      <c r="C138" s="370" t="s">
        <v>1047</v>
      </c>
      <c r="D138" s="371" t="s">
        <v>1431</v>
      </c>
      <c r="E138" s="371" t="s">
        <v>5999</v>
      </c>
      <c r="F138" s="404">
        <v>4</v>
      </c>
      <c r="G138" s="372"/>
      <c r="H138" s="372"/>
      <c r="I138" s="371" t="s">
        <v>5456</v>
      </c>
      <c r="J138" s="371" t="s">
        <v>2289</v>
      </c>
      <c r="K138" s="370" t="s">
        <v>2232</v>
      </c>
      <c r="L138" s="370" t="s">
        <v>2446</v>
      </c>
      <c r="M138" s="370" t="s">
        <v>2235</v>
      </c>
      <c r="N138" s="370" t="s">
        <v>2312</v>
      </c>
      <c r="O138" s="370" t="s">
        <v>2447</v>
      </c>
      <c r="P138" s="405" t="s">
        <v>5963</v>
      </c>
    </row>
    <row r="139" spans="1:16" ht="19" customHeight="1">
      <c r="A139" s="369" t="s">
        <v>5961</v>
      </c>
      <c r="B139" s="373" t="s">
        <v>2463</v>
      </c>
      <c r="C139" s="370" t="s">
        <v>1047</v>
      </c>
      <c r="D139" s="371" t="s">
        <v>2464</v>
      </c>
      <c r="E139" s="371" t="s">
        <v>6000</v>
      </c>
      <c r="F139" s="404">
        <v>4</v>
      </c>
      <c r="G139" s="372"/>
      <c r="H139" s="372"/>
      <c r="I139" s="371" t="s">
        <v>5457</v>
      </c>
      <c r="J139" s="371" t="s">
        <v>2313</v>
      </c>
      <c r="K139" s="370" t="s">
        <v>2306</v>
      </c>
      <c r="L139" s="370" t="s">
        <v>2446</v>
      </c>
      <c r="M139" s="370" t="s">
        <v>2235</v>
      </c>
      <c r="N139" s="370" t="s">
        <v>2452</v>
      </c>
      <c r="O139" s="370" t="s">
        <v>1432</v>
      </c>
      <c r="P139" s="405" t="s">
        <v>5963</v>
      </c>
    </row>
    <row r="140" spans="1:16" ht="19" customHeight="1">
      <c r="A140" s="369" t="s">
        <v>5961</v>
      </c>
      <c r="B140" s="373" t="s">
        <v>2314</v>
      </c>
      <c r="C140" s="370" t="s">
        <v>917</v>
      </c>
      <c r="D140" s="371" t="s">
        <v>2315</v>
      </c>
      <c r="E140" s="371" t="s">
        <v>6001</v>
      </c>
      <c r="F140" s="404">
        <v>5</v>
      </c>
      <c r="G140" s="372"/>
      <c r="H140" s="372"/>
      <c r="I140" s="371" t="s">
        <v>5458</v>
      </c>
      <c r="J140" s="371" t="s">
        <v>2246</v>
      </c>
      <c r="K140" s="370" t="s">
        <v>2232</v>
      </c>
      <c r="L140" s="370" t="s">
        <v>2446</v>
      </c>
      <c r="M140" s="370" t="s">
        <v>2235</v>
      </c>
      <c r="N140" s="370" t="s">
        <v>2236</v>
      </c>
      <c r="O140" s="370" t="s">
        <v>2447</v>
      </c>
      <c r="P140" s="405" t="s">
        <v>5963</v>
      </c>
    </row>
    <row r="141" spans="1:16" ht="19" customHeight="1">
      <c r="A141" s="369" t="s">
        <v>5961</v>
      </c>
      <c r="B141" s="373" t="s">
        <v>2316</v>
      </c>
      <c r="C141" s="370" t="s">
        <v>917</v>
      </c>
      <c r="D141" s="371" t="s">
        <v>2317</v>
      </c>
      <c r="E141" s="371" t="s">
        <v>6002</v>
      </c>
      <c r="F141" s="404">
        <v>8</v>
      </c>
      <c r="G141" s="372"/>
      <c r="H141" s="372"/>
      <c r="I141" s="371" t="s">
        <v>5459</v>
      </c>
      <c r="J141" s="371" t="s">
        <v>2314</v>
      </c>
      <c r="K141" s="370" t="s">
        <v>2232</v>
      </c>
      <c r="L141" s="370" t="s">
        <v>2446</v>
      </c>
      <c r="M141" s="370" t="s">
        <v>2235</v>
      </c>
      <c r="N141" s="370" t="s">
        <v>2236</v>
      </c>
      <c r="O141" s="370" t="s">
        <v>2447</v>
      </c>
      <c r="P141" s="405" t="s">
        <v>5977</v>
      </c>
    </row>
    <row r="142" spans="1:16" ht="19" customHeight="1">
      <c r="A142" s="369" t="s">
        <v>5961</v>
      </c>
      <c r="B142" s="373" t="s">
        <v>2318</v>
      </c>
      <c r="C142" s="370" t="s">
        <v>917</v>
      </c>
      <c r="D142" s="371" t="s">
        <v>2319</v>
      </c>
      <c r="E142" s="371" t="s">
        <v>6003</v>
      </c>
      <c r="F142" s="404">
        <v>12</v>
      </c>
      <c r="G142" s="372"/>
      <c r="H142" s="372"/>
      <c r="I142" s="371" t="s">
        <v>5460</v>
      </c>
      <c r="J142" s="371" t="s">
        <v>2320</v>
      </c>
      <c r="K142" s="370" t="s">
        <v>2276</v>
      </c>
      <c r="L142" s="370" t="s">
        <v>2446</v>
      </c>
      <c r="M142" s="370" t="s">
        <v>2235</v>
      </c>
      <c r="N142" s="370" t="s">
        <v>2236</v>
      </c>
      <c r="O142" s="370" t="s">
        <v>2447</v>
      </c>
      <c r="P142" s="405" t="s">
        <v>5977</v>
      </c>
    </row>
    <row r="143" spans="1:16" ht="19" customHeight="1">
      <c r="A143" s="369" t="s">
        <v>5961</v>
      </c>
      <c r="B143" s="373" t="s">
        <v>2321</v>
      </c>
      <c r="C143" s="370" t="s">
        <v>917</v>
      </c>
      <c r="D143" s="371" t="s">
        <v>2322</v>
      </c>
      <c r="E143" s="371" t="s">
        <v>6004</v>
      </c>
      <c r="F143" s="404">
        <v>5</v>
      </c>
      <c r="G143" s="372"/>
      <c r="H143" s="372"/>
      <c r="I143" s="371" t="s">
        <v>5461</v>
      </c>
      <c r="J143" s="371" t="s">
        <v>2323</v>
      </c>
      <c r="K143" s="370" t="s">
        <v>2232</v>
      </c>
      <c r="L143" s="370" t="s">
        <v>2446</v>
      </c>
      <c r="M143" s="370" t="s">
        <v>2235</v>
      </c>
      <c r="N143" s="370" t="s">
        <v>2236</v>
      </c>
      <c r="O143" s="370" t="s">
        <v>2447</v>
      </c>
      <c r="P143" s="405" t="s">
        <v>5963</v>
      </c>
    </row>
    <row r="144" spans="1:16" ht="19" customHeight="1">
      <c r="A144" s="369" t="s">
        <v>5961</v>
      </c>
      <c r="B144" s="373" t="s">
        <v>2298</v>
      </c>
      <c r="C144" s="370" t="s">
        <v>917</v>
      </c>
      <c r="D144" s="371" t="s">
        <v>2324</v>
      </c>
      <c r="E144" s="371" t="s">
        <v>6005</v>
      </c>
      <c r="F144" s="404">
        <v>10</v>
      </c>
      <c r="G144" s="372"/>
      <c r="H144" s="372"/>
      <c r="I144" s="371" t="s">
        <v>5462</v>
      </c>
      <c r="J144" s="371" t="s">
        <v>2314</v>
      </c>
      <c r="K144" s="370" t="s">
        <v>2325</v>
      </c>
      <c r="L144" s="370" t="s">
        <v>2446</v>
      </c>
      <c r="M144" s="370" t="s">
        <v>2235</v>
      </c>
      <c r="N144" s="370" t="s">
        <v>2236</v>
      </c>
      <c r="O144" s="370" t="s">
        <v>2447</v>
      </c>
      <c r="P144" s="405" t="s">
        <v>5977</v>
      </c>
    </row>
    <row r="145" spans="1:16" ht="19" customHeight="1">
      <c r="A145" s="369" t="s">
        <v>5961</v>
      </c>
      <c r="B145" s="373" t="s">
        <v>2326</v>
      </c>
      <c r="C145" s="370" t="s">
        <v>917</v>
      </c>
      <c r="D145" s="371" t="s">
        <v>1463</v>
      </c>
      <c r="E145" s="371" t="s">
        <v>6006</v>
      </c>
      <c r="F145" s="404">
        <v>20</v>
      </c>
      <c r="G145" s="372"/>
      <c r="H145" s="372"/>
      <c r="I145" s="371" t="s">
        <v>5463</v>
      </c>
      <c r="J145" s="371" t="s">
        <v>2327</v>
      </c>
      <c r="K145" s="370" t="s">
        <v>2266</v>
      </c>
      <c r="L145" s="370" t="s">
        <v>2446</v>
      </c>
      <c r="M145" s="370" t="s">
        <v>2240</v>
      </c>
      <c r="N145" s="370" t="s">
        <v>2312</v>
      </c>
      <c r="O145" s="370" t="s">
        <v>2447</v>
      </c>
      <c r="P145" s="405" t="s">
        <v>6007</v>
      </c>
    </row>
    <row r="146" spans="1:16" ht="19" customHeight="1">
      <c r="A146" s="369" t="s">
        <v>5961</v>
      </c>
      <c r="B146" s="373" t="s">
        <v>2328</v>
      </c>
      <c r="C146" s="370" t="s">
        <v>917</v>
      </c>
      <c r="D146" s="371" t="s">
        <v>2329</v>
      </c>
      <c r="E146" s="371" t="s">
        <v>6008</v>
      </c>
      <c r="F146" s="404">
        <v>10</v>
      </c>
      <c r="G146" s="372"/>
      <c r="H146" s="372"/>
      <c r="I146" s="371" t="s">
        <v>5464</v>
      </c>
      <c r="J146" s="371" t="s">
        <v>2330</v>
      </c>
      <c r="K146" s="370" t="s">
        <v>2232</v>
      </c>
      <c r="L146" s="370" t="s">
        <v>2446</v>
      </c>
      <c r="M146" s="370" t="s">
        <v>2235</v>
      </c>
      <c r="N146" s="370" t="s">
        <v>2312</v>
      </c>
      <c r="O146" s="370" t="s">
        <v>2447</v>
      </c>
      <c r="P146" s="405" t="s">
        <v>5977</v>
      </c>
    </row>
    <row r="147" spans="1:16" ht="19" customHeight="1">
      <c r="A147" s="369" t="s">
        <v>5961</v>
      </c>
      <c r="B147" s="373" t="s">
        <v>2465</v>
      </c>
      <c r="C147" s="370" t="s">
        <v>917</v>
      </c>
      <c r="D147" s="371" t="s">
        <v>2466</v>
      </c>
      <c r="E147" s="371" t="s">
        <v>6009</v>
      </c>
      <c r="F147" s="404">
        <v>4</v>
      </c>
      <c r="G147" s="372"/>
      <c r="H147" s="372"/>
      <c r="I147" s="371" t="s">
        <v>5465</v>
      </c>
      <c r="J147" s="371" t="s">
        <v>2314</v>
      </c>
      <c r="K147" s="370" t="s">
        <v>2343</v>
      </c>
      <c r="L147" s="370" t="s">
        <v>2450</v>
      </c>
      <c r="M147" s="370" t="s">
        <v>2467</v>
      </c>
      <c r="N147" s="370" t="s">
        <v>2452</v>
      </c>
      <c r="O147" s="370" t="s">
        <v>1426</v>
      </c>
      <c r="P147" s="405" t="s">
        <v>5963</v>
      </c>
    </row>
    <row r="148" spans="1:16" ht="19" customHeight="1">
      <c r="A148" s="369" t="s">
        <v>5961</v>
      </c>
      <c r="B148" s="373" t="s">
        <v>2233</v>
      </c>
      <c r="C148" s="370" t="s">
        <v>513</v>
      </c>
      <c r="D148" s="371" t="s">
        <v>2331</v>
      </c>
      <c r="E148" s="371" t="s">
        <v>6010</v>
      </c>
      <c r="F148" s="404">
        <v>12</v>
      </c>
      <c r="G148" s="372"/>
      <c r="H148" s="372"/>
      <c r="I148" s="371" t="s">
        <v>5466</v>
      </c>
      <c r="J148" s="371" t="s">
        <v>6011</v>
      </c>
      <c r="K148" s="370" t="s">
        <v>2259</v>
      </c>
      <c r="L148" s="370" t="s">
        <v>2446</v>
      </c>
      <c r="M148" s="370" t="s">
        <v>2235</v>
      </c>
      <c r="N148" s="370" t="s">
        <v>2236</v>
      </c>
      <c r="O148" s="370" t="s">
        <v>2447</v>
      </c>
      <c r="P148" s="405" t="s">
        <v>5977</v>
      </c>
    </row>
    <row r="149" spans="1:16" ht="19" customHeight="1">
      <c r="A149" s="369" t="s">
        <v>5961</v>
      </c>
      <c r="B149" s="373" t="s">
        <v>2256</v>
      </c>
      <c r="C149" s="370" t="s">
        <v>513</v>
      </c>
      <c r="D149" s="371" t="s">
        <v>2333</v>
      </c>
      <c r="E149" s="371" t="s">
        <v>6012</v>
      </c>
      <c r="F149" s="404">
        <v>24</v>
      </c>
      <c r="G149" s="372"/>
      <c r="H149" s="372"/>
      <c r="I149" s="371" t="s">
        <v>5467</v>
      </c>
      <c r="J149" s="371" t="s">
        <v>6013</v>
      </c>
      <c r="K149" s="370" t="s">
        <v>2259</v>
      </c>
      <c r="L149" s="370" t="s">
        <v>2446</v>
      </c>
      <c r="M149" s="370" t="s">
        <v>2240</v>
      </c>
      <c r="N149" s="370" t="s">
        <v>2236</v>
      </c>
      <c r="O149" s="370" t="s">
        <v>2447</v>
      </c>
      <c r="P149" s="405" t="s">
        <v>6014</v>
      </c>
    </row>
    <row r="150" spans="1:16" ht="19" customHeight="1">
      <c r="A150" s="369" t="s">
        <v>5961</v>
      </c>
      <c r="B150" s="373" t="s">
        <v>2260</v>
      </c>
      <c r="C150" s="370" t="s">
        <v>513</v>
      </c>
      <c r="D150" s="371" t="s">
        <v>2334</v>
      </c>
      <c r="E150" s="371" t="s">
        <v>6015</v>
      </c>
      <c r="F150" s="404">
        <v>12</v>
      </c>
      <c r="G150" s="372"/>
      <c r="H150" s="372"/>
      <c r="I150" s="371" t="s">
        <v>5468</v>
      </c>
      <c r="J150" s="371" t="s">
        <v>6016</v>
      </c>
      <c r="K150" s="370" t="s">
        <v>2259</v>
      </c>
      <c r="L150" s="370" t="s">
        <v>2446</v>
      </c>
      <c r="M150" s="370" t="s">
        <v>2235</v>
      </c>
      <c r="N150" s="370" t="s">
        <v>2236</v>
      </c>
      <c r="O150" s="370" t="s">
        <v>2447</v>
      </c>
      <c r="P150" s="405" t="s">
        <v>5977</v>
      </c>
    </row>
    <row r="151" spans="1:16" ht="19" customHeight="1">
      <c r="A151" s="369" t="s">
        <v>5961</v>
      </c>
      <c r="B151" s="373" t="s">
        <v>2335</v>
      </c>
      <c r="C151" s="370" t="s">
        <v>513</v>
      </c>
      <c r="D151" s="371" t="s">
        <v>2336</v>
      </c>
      <c r="E151" s="371" t="s">
        <v>6017</v>
      </c>
      <c r="F151" s="404">
        <v>13</v>
      </c>
      <c r="G151" s="372"/>
      <c r="H151" s="372"/>
      <c r="I151" s="371" t="s">
        <v>5469</v>
      </c>
      <c r="J151" s="371" t="s">
        <v>6013</v>
      </c>
      <c r="K151" s="370" t="s">
        <v>2259</v>
      </c>
      <c r="L151" s="370" t="s">
        <v>2446</v>
      </c>
      <c r="M151" s="370" t="s">
        <v>2240</v>
      </c>
      <c r="N151" s="370" t="s">
        <v>2236</v>
      </c>
      <c r="O151" s="370" t="s">
        <v>2447</v>
      </c>
      <c r="P151" s="405" t="s">
        <v>6018</v>
      </c>
    </row>
    <row r="152" spans="1:16" ht="19" customHeight="1">
      <c r="A152" s="369" t="s">
        <v>5961</v>
      </c>
      <c r="B152" s="373" t="s">
        <v>2337</v>
      </c>
      <c r="C152" s="370" t="s">
        <v>513</v>
      </c>
      <c r="D152" s="371" t="s">
        <v>2338</v>
      </c>
      <c r="E152" s="371" t="s">
        <v>6019</v>
      </c>
      <c r="F152" s="404">
        <v>12</v>
      </c>
      <c r="G152" s="372"/>
      <c r="H152" s="372"/>
      <c r="I152" s="371" t="s">
        <v>5470</v>
      </c>
      <c r="J152" s="371" t="s">
        <v>6020</v>
      </c>
      <c r="K152" s="370" t="s">
        <v>2259</v>
      </c>
      <c r="L152" s="370" t="s">
        <v>2446</v>
      </c>
      <c r="M152" s="370" t="s">
        <v>2235</v>
      </c>
      <c r="N152" s="370" t="s">
        <v>2236</v>
      </c>
      <c r="O152" s="370" t="s">
        <v>2447</v>
      </c>
      <c r="P152" s="405" t="s">
        <v>5977</v>
      </c>
    </row>
    <row r="153" spans="1:16" ht="19" customHeight="1">
      <c r="A153" s="369" t="s">
        <v>5961</v>
      </c>
      <c r="B153" s="373" t="s">
        <v>2339</v>
      </c>
      <c r="C153" s="370" t="s">
        <v>513</v>
      </c>
      <c r="D153" s="371" t="s">
        <v>2340</v>
      </c>
      <c r="E153" s="371" t="s">
        <v>6021</v>
      </c>
      <c r="F153" s="404">
        <v>10</v>
      </c>
      <c r="G153" s="372"/>
      <c r="H153" s="372"/>
      <c r="I153" s="371" t="s">
        <v>5471</v>
      </c>
      <c r="J153" s="371" t="s">
        <v>6022</v>
      </c>
      <c r="K153" s="370" t="s">
        <v>2259</v>
      </c>
      <c r="L153" s="370" t="s">
        <v>2446</v>
      </c>
      <c r="M153" s="370" t="s">
        <v>2235</v>
      </c>
      <c r="N153" s="370" t="s">
        <v>2236</v>
      </c>
      <c r="O153" s="370" t="s">
        <v>2447</v>
      </c>
      <c r="P153" s="405" t="s">
        <v>5977</v>
      </c>
    </row>
    <row r="154" spans="1:16" ht="19" customHeight="1">
      <c r="A154" s="369" t="s">
        <v>5961</v>
      </c>
      <c r="B154" s="373" t="s">
        <v>2341</v>
      </c>
      <c r="C154" s="370" t="s">
        <v>513</v>
      </c>
      <c r="D154" s="371" t="s">
        <v>2342</v>
      </c>
      <c r="E154" s="371" t="s">
        <v>6023</v>
      </c>
      <c r="F154" s="404">
        <v>12</v>
      </c>
      <c r="G154" s="372"/>
      <c r="H154" s="372"/>
      <c r="I154" s="371" t="s">
        <v>5472</v>
      </c>
      <c r="J154" s="371" t="s">
        <v>6013</v>
      </c>
      <c r="K154" s="370" t="s">
        <v>2343</v>
      </c>
      <c r="L154" s="370" t="s">
        <v>2446</v>
      </c>
      <c r="M154" s="370" t="s">
        <v>2240</v>
      </c>
      <c r="N154" s="370" t="s">
        <v>2236</v>
      </c>
      <c r="O154" s="370" t="s">
        <v>2447</v>
      </c>
      <c r="P154" s="405" t="s">
        <v>6018</v>
      </c>
    </row>
    <row r="155" spans="1:16" ht="19" customHeight="1">
      <c r="A155" s="369" t="s">
        <v>5961</v>
      </c>
      <c r="B155" s="373" t="s">
        <v>2344</v>
      </c>
      <c r="C155" s="370" t="s">
        <v>513</v>
      </c>
      <c r="D155" s="371" t="s">
        <v>2345</v>
      </c>
      <c r="E155" s="371" t="s">
        <v>6024</v>
      </c>
      <c r="F155" s="404">
        <v>5</v>
      </c>
      <c r="G155" s="372"/>
      <c r="H155" s="372"/>
      <c r="I155" s="371" t="s">
        <v>5473</v>
      </c>
      <c r="J155" s="371" t="s">
        <v>6025</v>
      </c>
      <c r="K155" s="370" t="s">
        <v>2346</v>
      </c>
      <c r="L155" s="370" t="s">
        <v>2446</v>
      </c>
      <c r="M155" s="370" t="s">
        <v>2235</v>
      </c>
      <c r="N155" s="370" t="s">
        <v>2236</v>
      </c>
      <c r="O155" s="370" t="s">
        <v>2447</v>
      </c>
      <c r="P155" s="405" t="s">
        <v>5963</v>
      </c>
    </row>
    <row r="156" spans="1:16" ht="19" customHeight="1">
      <c r="A156" s="369" t="s">
        <v>5961</v>
      </c>
      <c r="B156" s="373" t="s">
        <v>2347</v>
      </c>
      <c r="C156" s="370" t="s">
        <v>513</v>
      </c>
      <c r="D156" s="371" t="s">
        <v>2348</v>
      </c>
      <c r="E156" s="371" t="s">
        <v>6026</v>
      </c>
      <c r="F156" s="404">
        <v>5</v>
      </c>
      <c r="G156" s="372"/>
      <c r="H156" s="372"/>
      <c r="I156" s="371" t="s">
        <v>5474</v>
      </c>
      <c r="J156" s="371" t="s">
        <v>6013</v>
      </c>
      <c r="K156" s="370" t="s">
        <v>2349</v>
      </c>
      <c r="L156" s="370" t="s">
        <v>2446</v>
      </c>
      <c r="M156" s="370" t="s">
        <v>2235</v>
      </c>
      <c r="N156" s="370" t="s">
        <v>2236</v>
      </c>
      <c r="O156" s="370" t="s">
        <v>2447</v>
      </c>
      <c r="P156" s="405" t="s">
        <v>5963</v>
      </c>
    </row>
    <row r="157" spans="1:16" ht="19" customHeight="1">
      <c r="A157" s="369" t="s">
        <v>5961</v>
      </c>
      <c r="B157" s="373" t="s">
        <v>2350</v>
      </c>
      <c r="C157" s="370" t="s">
        <v>513</v>
      </c>
      <c r="D157" s="371" t="s">
        <v>2351</v>
      </c>
      <c r="E157" s="371" t="s">
        <v>6027</v>
      </c>
      <c r="F157" s="404">
        <v>9</v>
      </c>
      <c r="G157" s="372"/>
      <c r="H157" s="372"/>
      <c r="I157" s="371" t="s">
        <v>5475</v>
      </c>
      <c r="J157" s="371" t="s">
        <v>6028</v>
      </c>
      <c r="K157" s="370" t="s">
        <v>2346</v>
      </c>
      <c r="L157" s="370" t="s">
        <v>2446</v>
      </c>
      <c r="M157" s="370" t="s">
        <v>2240</v>
      </c>
      <c r="N157" s="370" t="s">
        <v>2312</v>
      </c>
      <c r="O157" s="370" t="s">
        <v>2447</v>
      </c>
      <c r="P157" s="405" t="s">
        <v>5977</v>
      </c>
    </row>
    <row r="158" spans="1:16" ht="19" customHeight="1">
      <c r="A158" s="369" t="s">
        <v>5961</v>
      </c>
      <c r="B158" s="373" t="s">
        <v>2468</v>
      </c>
      <c r="C158" s="370" t="s">
        <v>513</v>
      </c>
      <c r="D158" s="371" t="s">
        <v>2469</v>
      </c>
      <c r="E158" s="371" t="s">
        <v>6029</v>
      </c>
      <c r="F158" s="404">
        <v>10</v>
      </c>
      <c r="G158" s="372"/>
      <c r="H158" s="372"/>
      <c r="I158" s="371" t="s">
        <v>5476</v>
      </c>
      <c r="J158" s="371" t="s">
        <v>6030</v>
      </c>
      <c r="K158" s="370" t="s">
        <v>2259</v>
      </c>
      <c r="L158" s="370" t="s">
        <v>2446</v>
      </c>
      <c r="M158" s="370" t="s">
        <v>2235</v>
      </c>
      <c r="N158" s="370" t="s">
        <v>2452</v>
      </c>
      <c r="O158" s="370" t="s">
        <v>2470</v>
      </c>
      <c r="P158" s="405" t="s">
        <v>5977</v>
      </c>
    </row>
    <row r="159" spans="1:16" ht="19" customHeight="1">
      <c r="A159" s="369" t="s">
        <v>5961</v>
      </c>
      <c r="B159" s="373" t="s">
        <v>2471</v>
      </c>
      <c r="C159" s="370" t="s">
        <v>513</v>
      </c>
      <c r="D159" s="371" t="s">
        <v>2472</v>
      </c>
      <c r="E159" s="371" t="s">
        <v>6031</v>
      </c>
      <c r="F159" s="404">
        <v>6</v>
      </c>
      <c r="G159" s="372"/>
      <c r="H159" s="372"/>
      <c r="I159" s="371" t="s">
        <v>5477</v>
      </c>
      <c r="J159" s="371" t="s">
        <v>6013</v>
      </c>
      <c r="K159" s="370" t="s">
        <v>2259</v>
      </c>
      <c r="L159" s="370" t="s">
        <v>2446</v>
      </c>
      <c r="M159" s="370" t="s">
        <v>2235</v>
      </c>
      <c r="N159" s="370" t="s">
        <v>2452</v>
      </c>
      <c r="O159" s="370" t="s">
        <v>2473</v>
      </c>
      <c r="P159" s="405" t="s">
        <v>5963</v>
      </c>
    </row>
    <row r="160" spans="1:16" ht="19" customHeight="1">
      <c r="A160" s="369" t="s">
        <v>5961</v>
      </c>
      <c r="B160" s="373" t="s">
        <v>2474</v>
      </c>
      <c r="C160" s="370" t="s">
        <v>513</v>
      </c>
      <c r="D160" s="371" t="s">
        <v>2475</v>
      </c>
      <c r="E160" s="371" t="s">
        <v>6032</v>
      </c>
      <c r="F160" s="404">
        <v>8</v>
      </c>
      <c r="G160" s="372"/>
      <c r="H160" s="372"/>
      <c r="I160" s="371" t="s">
        <v>5478</v>
      </c>
      <c r="J160" s="371" t="s">
        <v>6013</v>
      </c>
      <c r="K160" s="370" t="s">
        <v>2259</v>
      </c>
      <c r="L160" s="370" t="s">
        <v>2446</v>
      </c>
      <c r="M160" s="370" t="s">
        <v>2235</v>
      </c>
      <c r="N160" s="370" t="s">
        <v>2452</v>
      </c>
      <c r="O160" s="370" t="s">
        <v>2476</v>
      </c>
      <c r="P160" s="405" t="s">
        <v>5963</v>
      </c>
    </row>
    <row r="161" spans="1:16" ht="19" customHeight="1">
      <c r="A161" s="369" t="s">
        <v>5961</v>
      </c>
      <c r="B161" s="373" t="s">
        <v>5421</v>
      </c>
      <c r="C161" s="370" t="s">
        <v>513</v>
      </c>
      <c r="D161" s="371" t="s">
        <v>5422</v>
      </c>
      <c r="E161" s="371" t="s">
        <v>6033</v>
      </c>
      <c r="F161" s="404">
        <v>8</v>
      </c>
      <c r="G161" s="372"/>
      <c r="H161" s="372"/>
      <c r="I161" s="371" t="s">
        <v>5426</v>
      </c>
      <c r="J161" s="371" t="s">
        <v>6013</v>
      </c>
      <c r="K161" s="370" t="s">
        <v>2259</v>
      </c>
      <c r="L161" s="370" t="s">
        <v>2446</v>
      </c>
      <c r="M161" s="370" t="s">
        <v>5423</v>
      </c>
      <c r="N161" s="370" t="s">
        <v>5424</v>
      </c>
      <c r="O161" s="370" t="s">
        <v>5425</v>
      </c>
      <c r="P161" s="405" t="s">
        <v>5977</v>
      </c>
    </row>
    <row r="162" spans="1:16" ht="19" customHeight="1">
      <c r="A162" s="369" t="s">
        <v>5961</v>
      </c>
      <c r="B162" s="373" t="s">
        <v>2352</v>
      </c>
      <c r="C162" s="370" t="s">
        <v>517</v>
      </c>
      <c r="D162" s="371" t="s">
        <v>2353</v>
      </c>
      <c r="E162" s="371" t="s">
        <v>6034</v>
      </c>
      <c r="F162" s="404">
        <v>12</v>
      </c>
      <c r="G162" s="372"/>
      <c r="H162" s="372"/>
      <c r="I162" s="371" t="s">
        <v>5479</v>
      </c>
      <c r="J162" s="371" t="s">
        <v>2233</v>
      </c>
      <c r="K162" s="370" t="s">
        <v>2259</v>
      </c>
      <c r="L162" s="370" t="s">
        <v>2446</v>
      </c>
      <c r="M162" s="370" t="s">
        <v>2235</v>
      </c>
      <c r="N162" s="370" t="s">
        <v>2236</v>
      </c>
      <c r="O162" s="370" t="s">
        <v>2447</v>
      </c>
      <c r="P162" s="405" t="s">
        <v>5977</v>
      </c>
    </row>
    <row r="163" spans="1:16" ht="19" customHeight="1">
      <c r="A163" s="369" t="s">
        <v>5961</v>
      </c>
      <c r="B163" s="373" t="s">
        <v>2354</v>
      </c>
      <c r="C163" s="370" t="s">
        <v>517</v>
      </c>
      <c r="D163" s="371" t="s">
        <v>2355</v>
      </c>
      <c r="E163" s="371" t="s">
        <v>6035</v>
      </c>
      <c r="F163" s="404">
        <v>6</v>
      </c>
      <c r="G163" s="372"/>
      <c r="H163" s="372"/>
      <c r="I163" s="371" t="s">
        <v>5480</v>
      </c>
      <c r="J163" s="371" t="s">
        <v>2356</v>
      </c>
      <c r="K163" s="370" t="s">
        <v>2276</v>
      </c>
      <c r="L163" s="370" t="s">
        <v>2446</v>
      </c>
      <c r="M163" s="370" t="s">
        <v>2235</v>
      </c>
      <c r="N163" s="370" t="s">
        <v>2236</v>
      </c>
      <c r="O163" s="370" t="s">
        <v>2447</v>
      </c>
      <c r="P163" s="405" t="s">
        <v>5963</v>
      </c>
    </row>
    <row r="164" spans="1:16" ht="19" customHeight="1">
      <c r="A164" s="369" t="s">
        <v>5961</v>
      </c>
      <c r="B164" s="373" t="s">
        <v>2357</v>
      </c>
      <c r="C164" s="370" t="s">
        <v>517</v>
      </c>
      <c r="D164" s="371" t="s">
        <v>2358</v>
      </c>
      <c r="E164" s="371" t="s">
        <v>6036</v>
      </c>
      <c r="F164" s="404">
        <v>22</v>
      </c>
      <c r="G164" s="372"/>
      <c r="H164" s="372"/>
      <c r="I164" s="371" t="s">
        <v>5481</v>
      </c>
      <c r="J164" s="371" t="s">
        <v>2359</v>
      </c>
      <c r="K164" s="370" t="s">
        <v>2266</v>
      </c>
      <c r="L164" s="370" t="s">
        <v>2446</v>
      </c>
      <c r="M164" s="370" t="s">
        <v>2235</v>
      </c>
      <c r="N164" s="370" t="s">
        <v>2236</v>
      </c>
      <c r="O164" s="370" t="s">
        <v>2447</v>
      </c>
      <c r="P164" s="405" t="s">
        <v>5975</v>
      </c>
    </row>
    <row r="165" spans="1:16" ht="19" customHeight="1">
      <c r="A165" s="369" t="s">
        <v>5961</v>
      </c>
      <c r="B165" s="373" t="s">
        <v>2360</v>
      </c>
      <c r="C165" s="370" t="s">
        <v>517</v>
      </c>
      <c r="D165" s="371" t="s">
        <v>2361</v>
      </c>
      <c r="E165" s="371" t="s">
        <v>6037</v>
      </c>
      <c r="F165" s="404">
        <v>12</v>
      </c>
      <c r="G165" s="372"/>
      <c r="H165" s="372"/>
      <c r="I165" s="371" t="s">
        <v>5482</v>
      </c>
      <c r="J165" s="371" t="s">
        <v>2363</v>
      </c>
      <c r="K165" s="370" t="s">
        <v>2362</v>
      </c>
      <c r="L165" s="370" t="s">
        <v>2446</v>
      </c>
      <c r="M165" s="370" t="s">
        <v>2235</v>
      </c>
      <c r="N165" s="370" t="s">
        <v>2236</v>
      </c>
      <c r="O165" s="370" t="s">
        <v>2447</v>
      </c>
      <c r="P165" s="405" t="s">
        <v>5977</v>
      </c>
    </row>
    <row r="166" spans="1:16" ht="19" customHeight="1">
      <c r="A166" s="369" t="s">
        <v>5961</v>
      </c>
      <c r="B166" s="373" t="s">
        <v>2364</v>
      </c>
      <c r="C166" s="370" t="s">
        <v>517</v>
      </c>
      <c r="D166" s="371" t="s">
        <v>2365</v>
      </c>
      <c r="E166" s="371" t="s">
        <v>6038</v>
      </c>
      <c r="F166" s="404">
        <v>5</v>
      </c>
      <c r="G166" s="372"/>
      <c r="H166" s="372"/>
      <c r="I166" s="371" t="s">
        <v>5483</v>
      </c>
      <c r="J166" s="371" t="s">
        <v>2366</v>
      </c>
      <c r="K166" s="370" t="s">
        <v>2259</v>
      </c>
      <c r="L166" s="370" t="s">
        <v>2446</v>
      </c>
      <c r="M166" s="370" t="s">
        <v>2235</v>
      </c>
      <c r="N166" s="370" t="s">
        <v>2236</v>
      </c>
      <c r="O166" s="370" t="s">
        <v>2447</v>
      </c>
      <c r="P166" s="405" t="s">
        <v>5963</v>
      </c>
    </row>
    <row r="167" spans="1:16" ht="19" customHeight="1">
      <c r="A167" s="369" t="s">
        <v>5961</v>
      </c>
      <c r="B167" s="373" t="s">
        <v>2367</v>
      </c>
      <c r="C167" s="370" t="s">
        <v>517</v>
      </c>
      <c r="D167" s="371" t="s">
        <v>2368</v>
      </c>
      <c r="E167" s="371" t="s">
        <v>6039</v>
      </c>
      <c r="F167" s="404">
        <v>22</v>
      </c>
      <c r="G167" s="372"/>
      <c r="H167" s="372"/>
      <c r="I167" s="371" t="s">
        <v>5484</v>
      </c>
      <c r="J167" s="371" t="s">
        <v>2369</v>
      </c>
      <c r="K167" s="370" t="s">
        <v>2343</v>
      </c>
      <c r="L167" s="370" t="s">
        <v>2446</v>
      </c>
      <c r="M167" s="370" t="s">
        <v>2235</v>
      </c>
      <c r="N167" s="370" t="s">
        <v>2236</v>
      </c>
      <c r="O167" s="370" t="s">
        <v>2447</v>
      </c>
      <c r="P167" s="405" t="s">
        <v>5975</v>
      </c>
    </row>
    <row r="168" spans="1:16" ht="19" customHeight="1">
      <c r="A168" s="369" t="s">
        <v>5961</v>
      </c>
      <c r="B168" s="373" t="s">
        <v>2370</v>
      </c>
      <c r="C168" s="370" t="s">
        <v>517</v>
      </c>
      <c r="D168" s="371" t="s">
        <v>2371</v>
      </c>
      <c r="E168" s="371" t="s">
        <v>6040</v>
      </c>
      <c r="F168" s="404">
        <v>10</v>
      </c>
      <c r="G168" s="372"/>
      <c r="H168" s="372"/>
      <c r="I168" s="371" t="s">
        <v>5485</v>
      </c>
      <c r="J168" s="371" t="s">
        <v>2260</v>
      </c>
      <c r="K168" s="370" t="s">
        <v>2259</v>
      </c>
      <c r="L168" s="370" t="s">
        <v>2446</v>
      </c>
      <c r="M168" s="370" t="s">
        <v>2235</v>
      </c>
      <c r="N168" s="370" t="s">
        <v>2236</v>
      </c>
      <c r="O168" s="370" t="s">
        <v>2447</v>
      </c>
      <c r="P168" s="405" t="s">
        <v>5977</v>
      </c>
    </row>
    <row r="169" spans="1:16" ht="19" customHeight="1">
      <c r="A169" s="369" t="s">
        <v>5961</v>
      </c>
      <c r="B169" s="373" t="s">
        <v>2372</v>
      </c>
      <c r="C169" s="370" t="s">
        <v>517</v>
      </c>
      <c r="D169" s="371" t="s">
        <v>2373</v>
      </c>
      <c r="E169" s="371" t="s">
        <v>6041</v>
      </c>
      <c r="F169" s="404">
        <v>5</v>
      </c>
      <c r="G169" s="372"/>
      <c r="H169" s="372"/>
      <c r="I169" s="371" t="s">
        <v>5486</v>
      </c>
      <c r="J169" s="371" t="s">
        <v>2230</v>
      </c>
      <c r="K169" s="370" t="s">
        <v>2232</v>
      </c>
      <c r="L169" s="370" t="s">
        <v>2446</v>
      </c>
      <c r="M169" s="370" t="s">
        <v>2235</v>
      </c>
      <c r="N169" s="370" t="s">
        <v>2236</v>
      </c>
      <c r="O169" s="370" t="s">
        <v>2447</v>
      </c>
      <c r="P169" s="405" t="s">
        <v>5963</v>
      </c>
    </row>
    <row r="170" spans="1:16" ht="19" customHeight="1">
      <c r="A170" s="369" t="s">
        <v>5961</v>
      </c>
      <c r="B170" s="373" t="s">
        <v>2374</v>
      </c>
      <c r="C170" s="370" t="s">
        <v>517</v>
      </c>
      <c r="D170" s="371" t="s">
        <v>2375</v>
      </c>
      <c r="E170" s="371" t="s">
        <v>6042</v>
      </c>
      <c r="F170" s="404">
        <v>9</v>
      </c>
      <c r="G170" s="372"/>
      <c r="H170" s="372"/>
      <c r="I170" s="371" t="s">
        <v>5487</v>
      </c>
      <c r="J170" s="371" t="s">
        <v>2335</v>
      </c>
      <c r="K170" s="370" t="s">
        <v>2376</v>
      </c>
      <c r="L170" s="370" t="s">
        <v>2446</v>
      </c>
      <c r="M170" s="370" t="s">
        <v>2235</v>
      </c>
      <c r="N170" s="370" t="s">
        <v>2236</v>
      </c>
      <c r="O170" s="370" t="s">
        <v>2447</v>
      </c>
      <c r="P170" s="405" t="s">
        <v>5977</v>
      </c>
    </row>
    <row r="171" spans="1:16" ht="19" customHeight="1">
      <c r="A171" s="369" t="s">
        <v>5961</v>
      </c>
      <c r="B171" s="373" t="s">
        <v>2377</v>
      </c>
      <c r="C171" s="370" t="s">
        <v>517</v>
      </c>
      <c r="D171" s="371" t="s">
        <v>2378</v>
      </c>
      <c r="E171" s="371" t="s">
        <v>6043</v>
      </c>
      <c r="F171" s="404">
        <v>10</v>
      </c>
      <c r="G171" s="372"/>
      <c r="H171" s="372"/>
      <c r="I171" s="371" t="s">
        <v>5488</v>
      </c>
      <c r="J171" s="371" t="s">
        <v>2379</v>
      </c>
      <c r="K171" s="370" t="s">
        <v>2269</v>
      </c>
      <c r="L171" s="370" t="s">
        <v>2446</v>
      </c>
      <c r="M171" s="370" t="s">
        <v>2235</v>
      </c>
      <c r="N171" s="370" t="s">
        <v>2312</v>
      </c>
      <c r="O171" s="370" t="s">
        <v>2447</v>
      </c>
      <c r="P171" s="405" t="s">
        <v>5977</v>
      </c>
    </row>
    <row r="172" spans="1:16" ht="19" customHeight="1">
      <c r="A172" s="369" t="s">
        <v>5961</v>
      </c>
      <c r="B172" s="373" t="s">
        <v>2380</v>
      </c>
      <c r="C172" s="370" t="s">
        <v>517</v>
      </c>
      <c r="D172" s="371" t="s">
        <v>1441</v>
      </c>
      <c r="E172" s="371" t="s">
        <v>6044</v>
      </c>
      <c r="F172" s="404">
        <v>5</v>
      </c>
      <c r="G172" s="372"/>
      <c r="H172" s="372"/>
      <c r="I172" s="371" t="s">
        <v>5489</v>
      </c>
      <c r="J172" s="371" t="s">
        <v>2295</v>
      </c>
      <c r="K172" s="370" t="s">
        <v>2381</v>
      </c>
      <c r="L172" s="370" t="s">
        <v>2446</v>
      </c>
      <c r="M172" s="370" t="s">
        <v>2240</v>
      </c>
      <c r="N172" s="370" t="s">
        <v>2312</v>
      </c>
      <c r="O172" s="370" t="s">
        <v>2447</v>
      </c>
      <c r="P172" s="405" t="s">
        <v>5963</v>
      </c>
    </row>
    <row r="173" spans="1:16" ht="19" customHeight="1">
      <c r="A173" s="369" t="s">
        <v>5961</v>
      </c>
      <c r="B173" s="373" t="s">
        <v>2477</v>
      </c>
      <c r="C173" s="370" t="s">
        <v>517</v>
      </c>
      <c r="D173" s="371" t="s">
        <v>2478</v>
      </c>
      <c r="E173" s="371" t="s">
        <v>6045</v>
      </c>
      <c r="F173" s="404">
        <v>10</v>
      </c>
      <c r="G173" s="372"/>
      <c r="H173" s="372"/>
      <c r="I173" s="371" t="s">
        <v>5490</v>
      </c>
      <c r="J173" s="371" t="s">
        <v>2352</v>
      </c>
      <c r="K173" s="370" t="s">
        <v>2269</v>
      </c>
      <c r="L173" s="370" t="s">
        <v>2446</v>
      </c>
      <c r="M173" s="370" t="s">
        <v>2235</v>
      </c>
      <c r="N173" s="370" t="s">
        <v>2452</v>
      </c>
      <c r="O173" s="370" t="s">
        <v>1086</v>
      </c>
      <c r="P173" s="405" t="s">
        <v>5977</v>
      </c>
    </row>
    <row r="174" spans="1:16" ht="19" customHeight="1">
      <c r="A174" s="369" t="s">
        <v>5961</v>
      </c>
      <c r="B174" s="373" t="s">
        <v>2479</v>
      </c>
      <c r="C174" s="370" t="s">
        <v>517</v>
      </c>
      <c r="D174" s="371" t="s">
        <v>2480</v>
      </c>
      <c r="E174" s="371" t="s">
        <v>6046</v>
      </c>
      <c r="F174" s="404">
        <v>9</v>
      </c>
      <c r="G174" s="372"/>
      <c r="H174" s="372"/>
      <c r="I174" s="371" t="s">
        <v>5491</v>
      </c>
      <c r="J174" s="371" t="s">
        <v>2396</v>
      </c>
      <c r="K174" s="370" t="s">
        <v>2415</v>
      </c>
      <c r="L174" s="370" t="s">
        <v>2446</v>
      </c>
      <c r="M174" s="370" t="s">
        <v>2235</v>
      </c>
      <c r="N174" s="370" t="s">
        <v>2452</v>
      </c>
      <c r="O174" s="370" t="s">
        <v>2481</v>
      </c>
      <c r="P174" s="405" t="s">
        <v>5977</v>
      </c>
    </row>
    <row r="175" spans="1:16" ht="19" customHeight="1">
      <c r="A175" s="369" t="s">
        <v>5961</v>
      </c>
      <c r="B175" s="373" t="s">
        <v>2482</v>
      </c>
      <c r="C175" s="370" t="s">
        <v>517</v>
      </c>
      <c r="D175" s="371" t="s">
        <v>2483</v>
      </c>
      <c r="E175" s="371" t="s">
        <v>6047</v>
      </c>
      <c r="F175" s="404">
        <v>9</v>
      </c>
      <c r="G175" s="372"/>
      <c r="H175" s="372"/>
      <c r="I175" s="371" t="s">
        <v>5492</v>
      </c>
      <c r="J175" s="371" t="s">
        <v>2367</v>
      </c>
      <c r="K175" s="370" t="s">
        <v>2325</v>
      </c>
      <c r="L175" s="370" t="s">
        <v>2446</v>
      </c>
      <c r="M175" s="370" t="s">
        <v>2235</v>
      </c>
      <c r="N175" s="370" t="s">
        <v>2452</v>
      </c>
      <c r="O175" s="370" t="s">
        <v>2484</v>
      </c>
      <c r="P175" s="405" t="s">
        <v>5977</v>
      </c>
    </row>
    <row r="176" spans="1:16" ht="19" customHeight="1">
      <c r="A176" s="369" t="s">
        <v>5961</v>
      </c>
      <c r="B176" s="373" t="s">
        <v>2485</v>
      </c>
      <c r="C176" s="370" t="s">
        <v>517</v>
      </c>
      <c r="D176" s="371" t="s">
        <v>2486</v>
      </c>
      <c r="E176" s="371" t="s">
        <v>6048</v>
      </c>
      <c r="F176" s="404">
        <v>10</v>
      </c>
      <c r="G176" s="372"/>
      <c r="H176" s="372"/>
      <c r="I176" s="371" t="s">
        <v>5493</v>
      </c>
      <c r="J176" s="371" t="s">
        <v>2370</v>
      </c>
      <c r="K176" s="370" t="s">
        <v>2255</v>
      </c>
      <c r="L176" s="370" t="s">
        <v>2446</v>
      </c>
      <c r="M176" s="370" t="s">
        <v>2235</v>
      </c>
      <c r="N176" s="370" t="s">
        <v>2452</v>
      </c>
      <c r="O176" s="370" t="s">
        <v>1087</v>
      </c>
      <c r="P176" s="405" t="s">
        <v>5977</v>
      </c>
    </row>
    <row r="177" spans="1:16" ht="19" customHeight="1">
      <c r="A177" s="369" t="s">
        <v>5961</v>
      </c>
      <c r="B177" s="373" t="s">
        <v>5532</v>
      </c>
      <c r="C177" s="370" t="s">
        <v>517</v>
      </c>
      <c r="D177" s="371" t="s">
        <v>5533</v>
      </c>
      <c r="E177" s="371" t="s">
        <v>6049</v>
      </c>
      <c r="F177" s="404">
        <v>10</v>
      </c>
      <c r="G177" s="372"/>
      <c r="H177" s="372"/>
      <c r="I177" s="371" t="s">
        <v>5536</v>
      </c>
      <c r="J177" s="371" t="s">
        <v>2360</v>
      </c>
      <c r="K177" s="370" t="s">
        <v>2362</v>
      </c>
      <c r="L177" s="370" t="s">
        <v>2446</v>
      </c>
      <c r="M177" s="370" t="s">
        <v>2240</v>
      </c>
      <c r="N177" s="370" t="s">
        <v>5534</v>
      </c>
      <c r="O177" s="370" t="s">
        <v>5535</v>
      </c>
      <c r="P177" s="405" t="s">
        <v>6050</v>
      </c>
    </row>
    <row r="178" spans="1:16" ht="19" customHeight="1">
      <c r="A178" s="369" t="s">
        <v>5961</v>
      </c>
      <c r="B178" s="373" t="s">
        <v>5812</v>
      </c>
      <c r="C178" s="370" t="s">
        <v>517</v>
      </c>
      <c r="D178" s="371" t="s">
        <v>5813</v>
      </c>
      <c r="E178" s="371" t="s">
        <v>6051</v>
      </c>
      <c r="F178" s="404">
        <v>6</v>
      </c>
      <c r="G178" s="372"/>
      <c r="H178" s="372"/>
      <c r="I178" s="371" t="s">
        <v>5815</v>
      </c>
      <c r="J178" s="371" t="s">
        <v>5814</v>
      </c>
      <c r="K178" s="370" t="s">
        <v>2301</v>
      </c>
      <c r="L178" s="370" t="s">
        <v>2446</v>
      </c>
      <c r="M178" s="370" t="s">
        <v>2235</v>
      </c>
      <c r="N178" s="370" t="s">
        <v>5810</v>
      </c>
      <c r="O178" s="370" t="s">
        <v>2681</v>
      </c>
      <c r="P178" s="405" t="s">
        <v>5977</v>
      </c>
    </row>
    <row r="179" spans="1:16" ht="19" customHeight="1">
      <c r="A179" s="369" t="s">
        <v>5961</v>
      </c>
      <c r="B179" s="373" t="s">
        <v>2382</v>
      </c>
      <c r="C179" s="370" t="s">
        <v>519</v>
      </c>
      <c r="D179" s="371" t="s">
        <v>2383</v>
      </c>
      <c r="E179" s="371" t="s">
        <v>6052</v>
      </c>
      <c r="F179" s="404">
        <v>10</v>
      </c>
      <c r="G179" s="372"/>
      <c r="H179" s="372"/>
      <c r="I179" s="371" t="s">
        <v>5494</v>
      </c>
      <c r="J179" s="371" t="s">
        <v>2384</v>
      </c>
      <c r="K179" s="370" t="s">
        <v>2346</v>
      </c>
      <c r="L179" s="370" t="s">
        <v>2446</v>
      </c>
      <c r="M179" s="370" t="s">
        <v>2235</v>
      </c>
      <c r="N179" s="370" t="s">
        <v>2236</v>
      </c>
      <c r="O179" s="370" t="s">
        <v>2447</v>
      </c>
      <c r="P179" s="405" t="s">
        <v>5977</v>
      </c>
    </row>
    <row r="180" spans="1:16" ht="19" customHeight="1">
      <c r="A180" s="369" t="s">
        <v>5961</v>
      </c>
      <c r="B180" s="373" t="s">
        <v>2385</v>
      </c>
      <c r="C180" s="370" t="s">
        <v>519</v>
      </c>
      <c r="D180" s="371" t="s">
        <v>2386</v>
      </c>
      <c r="E180" s="371" t="s">
        <v>6053</v>
      </c>
      <c r="F180" s="404">
        <v>12</v>
      </c>
      <c r="G180" s="372"/>
      <c r="H180" s="372"/>
      <c r="I180" s="371" t="s">
        <v>5495</v>
      </c>
      <c r="J180" s="371" t="s">
        <v>6054</v>
      </c>
      <c r="K180" s="370" t="s">
        <v>2343</v>
      </c>
      <c r="L180" s="370" t="s">
        <v>2446</v>
      </c>
      <c r="M180" s="370" t="s">
        <v>2240</v>
      </c>
      <c r="N180" s="370" t="s">
        <v>2236</v>
      </c>
      <c r="O180" s="370" t="s">
        <v>2447</v>
      </c>
      <c r="P180" s="405" t="s">
        <v>6055</v>
      </c>
    </row>
    <row r="181" spans="1:16" ht="19" customHeight="1">
      <c r="A181" s="369" t="s">
        <v>5961</v>
      </c>
      <c r="B181" s="373" t="s">
        <v>2387</v>
      </c>
      <c r="C181" s="370" t="s">
        <v>519</v>
      </c>
      <c r="D181" s="371" t="s">
        <v>2388</v>
      </c>
      <c r="E181" s="371" t="s">
        <v>6056</v>
      </c>
      <c r="F181" s="404">
        <v>12</v>
      </c>
      <c r="G181" s="372"/>
      <c r="H181" s="372"/>
      <c r="I181" s="371" t="s">
        <v>5496</v>
      </c>
      <c r="J181" s="371" t="s">
        <v>6057</v>
      </c>
      <c r="K181" s="370" t="s">
        <v>2259</v>
      </c>
      <c r="L181" s="370" t="s">
        <v>2446</v>
      </c>
      <c r="M181" s="370" t="s">
        <v>2235</v>
      </c>
      <c r="N181" s="370" t="s">
        <v>2236</v>
      </c>
      <c r="O181" s="370" t="s">
        <v>2447</v>
      </c>
      <c r="P181" s="405" t="s">
        <v>5977</v>
      </c>
    </row>
    <row r="182" spans="1:16" ht="19" customHeight="1">
      <c r="A182" s="369" t="s">
        <v>5961</v>
      </c>
      <c r="B182" s="373" t="s">
        <v>2389</v>
      </c>
      <c r="C182" s="370" t="s">
        <v>519</v>
      </c>
      <c r="D182" s="371" t="s">
        <v>2390</v>
      </c>
      <c r="E182" s="371" t="s">
        <v>6058</v>
      </c>
      <c r="F182" s="404">
        <v>15</v>
      </c>
      <c r="G182" s="372"/>
      <c r="H182" s="372"/>
      <c r="I182" s="371" t="s">
        <v>5497</v>
      </c>
      <c r="J182" s="371" t="s">
        <v>6059</v>
      </c>
      <c r="K182" s="370" t="s">
        <v>2301</v>
      </c>
      <c r="L182" s="370" t="s">
        <v>2446</v>
      </c>
      <c r="M182" s="370" t="s">
        <v>2235</v>
      </c>
      <c r="N182" s="370" t="s">
        <v>2236</v>
      </c>
      <c r="O182" s="370" t="s">
        <v>2447</v>
      </c>
      <c r="P182" s="405" t="s">
        <v>5977</v>
      </c>
    </row>
    <row r="183" spans="1:16" ht="19" customHeight="1">
      <c r="A183" s="369" t="s">
        <v>5961</v>
      </c>
      <c r="B183" s="373" t="s">
        <v>2391</v>
      </c>
      <c r="C183" s="370" t="s">
        <v>519</v>
      </c>
      <c r="D183" s="371" t="s">
        <v>2392</v>
      </c>
      <c r="E183" s="371" t="s">
        <v>6060</v>
      </c>
      <c r="F183" s="404">
        <v>5</v>
      </c>
      <c r="G183" s="372"/>
      <c r="H183" s="372"/>
      <c r="I183" s="371" t="s">
        <v>5498</v>
      </c>
      <c r="J183" s="371" t="s">
        <v>2393</v>
      </c>
      <c r="K183" s="370" t="s">
        <v>2343</v>
      </c>
      <c r="L183" s="370" t="s">
        <v>2446</v>
      </c>
      <c r="M183" s="370" t="s">
        <v>2235</v>
      </c>
      <c r="N183" s="370" t="s">
        <v>2236</v>
      </c>
      <c r="O183" s="370" t="s">
        <v>2447</v>
      </c>
      <c r="P183" s="405" t="s">
        <v>5963</v>
      </c>
    </row>
    <row r="184" spans="1:16" ht="19" customHeight="1">
      <c r="A184" s="406" t="s">
        <v>5961</v>
      </c>
      <c r="B184" s="407" t="s">
        <v>2487</v>
      </c>
      <c r="C184" s="408" t="s">
        <v>519</v>
      </c>
      <c r="D184" s="409" t="s">
        <v>2488</v>
      </c>
      <c r="E184" s="409" t="s">
        <v>6061</v>
      </c>
      <c r="F184" s="410">
        <v>5</v>
      </c>
      <c r="G184" s="411"/>
      <c r="H184" s="411"/>
      <c r="I184" s="409" t="s">
        <v>5499</v>
      </c>
      <c r="J184" s="409" t="s">
        <v>2256</v>
      </c>
      <c r="K184" s="408" t="s">
        <v>2259</v>
      </c>
      <c r="L184" s="408" t="s">
        <v>2446</v>
      </c>
      <c r="M184" s="408" t="s">
        <v>2235</v>
      </c>
      <c r="N184" s="408" t="s">
        <v>2452</v>
      </c>
      <c r="O184" s="408" t="s">
        <v>1127</v>
      </c>
      <c r="P184" s="412" t="s">
        <v>5963</v>
      </c>
    </row>
    <row r="185" spans="1:16" ht="26" customHeight="1">
      <c r="A185" s="377" t="s">
        <v>5961</v>
      </c>
      <c r="B185" s="377" t="s">
        <v>2489</v>
      </c>
      <c r="C185" s="377" t="s">
        <v>519</v>
      </c>
      <c r="D185" s="413" t="s">
        <v>2490</v>
      </c>
      <c r="E185" s="413" t="s">
        <v>6062</v>
      </c>
      <c r="F185" s="414">
        <v>8</v>
      </c>
      <c r="G185" s="413"/>
      <c r="H185" s="413"/>
      <c r="I185" s="413" t="s">
        <v>5500</v>
      </c>
      <c r="J185" s="377" t="s">
        <v>2260</v>
      </c>
      <c r="K185" s="377" t="s">
        <v>2346</v>
      </c>
      <c r="L185" s="377" t="s">
        <v>2446</v>
      </c>
      <c r="M185" s="377" t="s">
        <v>2235</v>
      </c>
      <c r="N185" s="377" t="s">
        <v>2452</v>
      </c>
      <c r="O185" s="377" t="s">
        <v>1128</v>
      </c>
      <c r="P185" s="377" t="s">
        <v>5963</v>
      </c>
    </row>
    <row r="186" spans="1:16" ht="26" customHeight="1">
      <c r="A186" s="377" t="s">
        <v>5961</v>
      </c>
      <c r="B186" s="377" t="s">
        <v>2491</v>
      </c>
      <c r="C186" s="377" t="s">
        <v>519</v>
      </c>
      <c r="D186" s="413" t="s">
        <v>2492</v>
      </c>
      <c r="E186" s="413" t="s">
        <v>6063</v>
      </c>
      <c r="F186" s="414">
        <v>8</v>
      </c>
      <c r="G186" s="413"/>
      <c r="H186" s="413"/>
      <c r="I186" s="413" t="s">
        <v>5501</v>
      </c>
      <c r="J186" s="377" t="s">
        <v>2396</v>
      </c>
      <c r="K186" s="377" t="s">
        <v>2343</v>
      </c>
      <c r="L186" s="377" t="s">
        <v>2446</v>
      </c>
      <c r="M186" s="377" t="s">
        <v>2235</v>
      </c>
      <c r="N186" s="377" t="s">
        <v>2452</v>
      </c>
      <c r="O186" s="377" t="s">
        <v>1129</v>
      </c>
      <c r="P186" s="377" t="s">
        <v>5963</v>
      </c>
    </row>
    <row r="187" spans="1:16" ht="26" customHeight="1">
      <c r="A187" s="368" t="s">
        <v>5961</v>
      </c>
      <c r="B187" s="415" t="s">
        <v>2493</v>
      </c>
      <c r="C187" s="415" t="s">
        <v>519</v>
      </c>
      <c r="D187" s="413" t="s">
        <v>2494</v>
      </c>
      <c r="E187" s="413" t="s">
        <v>6064</v>
      </c>
      <c r="F187" s="414">
        <v>6</v>
      </c>
      <c r="G187" s="413"/>
      <c r="H187" s="413"/>
      <c r="I187" s="413" t="s">
        <v>5502</v>
      </c>
      <c r="J187" s="377" t="s">
        <v>2385</v>
      </c>
      <c r="K187" s="377" t="s">
        <v>2325</v>
      </c>
      <c r="L187" s="377" t="s">
        <v>2446</v>
      </c>
      <c r="M187" s="377" t="s">
        <v>2235</v>
      </c>
      <c r="N187" s="377" t="s">
        <v>2452</v>
      </c>
      <c r="O187" s="377" t="s">
        <v>1132</v>
      </c>
      <c r="P187" s="377" t="s">
        <v>5963</v>
      </c>
    </row>
    <row r="188" spans="1:16" ht="26" customHeight="1">
      <c r="A188" s="416" t="s">
        <v>5961</v>
      </c>
      <c r="B188" s="417" t="s">
        <v>2495</v>
      </c>
      <c r="C188" s="418" t="s">
        <v>519</v>
      </c>
      <c r="D188" s="413" t="s">
        <v>2496</v>
      </c>
      <c r="E188" s="413" t="s">
        <v>6065</v>
      </c>
      <c r="F188" s="414">
        <v>10</v>
      </c>
      <c r="G188" s="413"/>
      <c r="H188" s="413"/>
      <c r="I188" s="413" t="s">
        <v>5503</v>
      </c>
      <c r="J188" s="377" t="s">
        <v>2387</v>
      </c>
      <c r="K188" s="377" t="s">
        <v>2259</v>
      </c>
      <c r="L188" s="377" t="s">
        <v>2446</v>
      </c>
      <c r="M188" s="377" t="s">
        <v>2235</v>
      </c>
      <c r="N188" s="377" t="s">
        <v>2452</v>
      </c>
      <c r="O188" s="377" t="s">
        <v>2497</v>
      </c>
      <c r="P188" s="377" t="s">
        <v>5977</v>
      </c>
    </row>
    <row r="189" spans="1:16" ht="26" customHeight="1">
      <c r="A189" s="419" t="s">
        <v>5961</v>
      </c>
      <c r="B189" s="370" t="s">
        <v>2498</v>
      </c>
      <c r="C189" s="405" t="s">
        <v>519</v>
      </c>
      <c r="D189" s="413" t="s">
        <v>2499</v>
      </c>
      <c r="E189" s="413" t="s">
        <v>6066</v>
      </c>
      <c r="F189" s="414">
        <v>8</v>
      </c>
      <c r="G189" s="413"/>
      <c r="H189" s="413"/>
      <c r="I189" s="413" t="s">
        <v>5504</v>
      </c>
      <c r="J189" s="377" t="s">
        <v>2500</v>
      </c>
      <c r="K189" s="377" t="s">
        <v>2266</v>
      </c>
      <c r="L189" s="377" t="s">
        <v>2446</v>
      </c>
      <c r="M189" s="377" t="s">
        <v>2235</v>
      </c>
      <c r="N189" s="377" t="s">
        <v>2452</v>
      </c>
      <c r="O189" s="377" t="s">
        <v>2501</v>
      </c>
      <c r="P189" s="377" t="s">
        <v>5963</v>
      </c>
    </row>
    <row r="190" spans="1:16" ht="26" customHeight="1">
      <c r="A190" s="419" t="s">
        <v>5961</v>
      </c>
      <c r="B190" s="370" t="s">
        <v>2502</v>
      </c>
      <c r="C190" s="405" t="s">
        <v>519</v>
      </c>
      <c r="D190" s="413" t="s">
        <v>2503</v>
      </c>
      <c r="E190" s="413" t="s">
        <v>6067</v>
      </c>
      <c r="F190" s="414">
        <v>3</v>
      </c>
      <c r="G190" s="413"/>
      <c r="H190" s="413"/>
      <c r="I190" s="413" t="s">
        <v>5505</v>
      </c>
      <c r="J190" s="377" t="s">
        <v>2385</v>
      </c>
      <c r="K190" s="377" t="s">
        <v>2325</v>
      </c>
      <c r="L190" s="377" t="s">
        <v>2446</v>
      </c>
      <c r="M190" s="377" t="s">
        <v>2235</v>
      </c>
      <c r="N190" s="377" t="s">
        <v>2452</v>
      </c>
      <c r="O190" s="377" t="s">
        <v>2504</v>
      </c>
      <c r="P190" s="377" t="s">
        <v>5963</v>
      </c>
    </row>
    <row r="191" spans="1:16" ht="26" customHeight="1">
      <c r="A191" s="419" t="s">
        <v>5961</v>
      </c>
      <c r="B191" s="370" t="s">
        <v>2332</v>
      </c>
      <c r="C191" s="405" t="s">
        <v>2394</v>
      </c>
      <c r="D191" s="413" t="s">
        <v>2395</v>
      </c>
      <c r="E191" s="413" t="s">
        <v>6068</v>
      </c>
      <c r="F191" s="414">
        <v>22</v>
      </c>
      <c r="G191" s="413"/>
      <c r="H191" s="413"/>
      <c r="I191" s="413" t="s">
        <v>5506</v>
      </c>
      <c r="J191" s="377" t="s">
        <v>2234</v>
      </c>
      <c r="K191" s="377" t="s">
        <v>2259</v>
      </c>
      <c r="L191" s="377" t="s">
        <v>2446</v>
      </c>
      <c r="M191" s="377" t="s">
        <v>2235</v>
      </c>
      <c r="N191" s="377" t="s">
        <v>2236</v>
      </c>
      <c r="O191" s="377" t="s">
        <v>2447</v>
      </c>
      <c r="P191" s="377" t="s">
        <v>5975</v>
      </c>
    </row>
    <row r="192" spans="1:16" ht="26" customHeight="1">
      <c r="A192" s="420" t="s">
        <v>5961</v>
      </c>
      <c r="B192" s="408" t="s">
        <v>2396</v>
      </c>
      <c r="C192" s="412" t="s">
        <v>2394</v>
      </c>
      <c r="D192" s="413" t="s">
        <v>2397</v>
      </c>
      <c r="E192" s="413" t="s">
        <v>6069</v>
      </c>
      <c r="F192" s="414">
        <v>14</v>
      </c>
      <c r="G192" s="413"/>
      <c r="H192" s="413"/>
      <c r="I192" s="413" t="s">
        <v>5507</v>
      </c>
      <c r="J192" s="377" t="s">
        <v>2332</v>
      </c>
      <c r="K192" s="377" t="s">
        <v>2259</v>
      </c>
      <c r="L192" s="377" t="s">
        <v>2446</v>
      </c>
      <c r="M192" s="377" t="s">
        <v>2235</v>
      </c>
      <c r="N192" s="377" t="s">
        <v>2236</v>
      </c>
      <c r="O192" s="377" t="s">
        <v>2447</v>
      </c>
      <c r="P192" s="377" t="s">
        <v>5977</v>
      </c>
    </row>
    <row r="193" spans="1:16" ht="26" customHeight="1">
      <c r="A193" s="421" t="s">
        <v>5961</v>
      </c>
      <c r="B193" s="421" t="s">
        <v>2505</v>
      </c>
      <c r="C193" s="421" t="s">
        <v>2394</v>
      </c>
      <c r="D193" s="413" t="s">
        <v>2506</v>
      </c>
      <c r="E193" s="413" t="s">
        <v>6070</v>
      </c>
      <c r="F193" s="414">
        <v>12</v>
      </c>
      <c r="G193" s="413"/>
      <c r="H193" s="413"/>
      <c r="I193" s="413" t="s">
        <v>5508</v>
      </c>
      <c r="J193" s="377" t="s">
        <v>2396</v>
      </c>
      <c r="K193" s="377" t="s">
        <v>2259</v>
      </c>
      <c r="L193" s="377" t="s">
        <v>2446</v>
      </c>
      <c r="M193" s="377" t="s">
        <v>2235</v>
      </c>
      <c r="N193" s="377" t="s">
        <v>2452</v>
      </c>
      <c r="O193" s="377" t="s">
        <v>1210</v>
      </c>
      <c r="P193" s="377" t="s">
        <v>5977</v>
      </c>
    </row>
    <row r="194" spans="1:16" ht="26" customHeight="1">
      <c r="A194" s="422" t="s">
        <v>5961</v>
      </c>
      <c r="B194" s="421" t="s">
        <v>2384</v>
      </c>
      <c r="C194" s="421" t="s">
        <v>2398</v>
      </c>
      <c r="D194" s="413" t="s">
        <v>2399</v>
      </c>
      <c r="E194" s="413" t="s">
        <v>6071</v>
      </c>
      <c r="F194" s="414">
        <v>13</v>
      </c>
      <c r="G194" s="413"/>
      <c r="H194" s="413"/>
      <c r="I194" s="413" t="s">
        <v>5509</v>
      </c>
      <c r="J194" s="377" t="s">
        <v>2256</v>
      </c>
      <c r="K194" s="377" t="s">
        <v>2400</v>
      </c>
      <c r="L194" s="377" t="s">
        <v>2446</v>
      </c>
      <c r="M194" s="377" t="s">
        <v>2235</v>
      </c>
      <c r="N194" s="377" t="s">
        <v>2236</v>
      </c>
      <c r="O194" s="377" t="s">
        <v>2447</v>
      </c>
      <c r="P194" s="377" t="s">
        <v>5977</v>
      </c>
    </row>
    <row r="195" spans="1:16" ht="26" customHeight="1">
      <c r="A195" s="421" t="s">
        <v>5961</v>
      </c>
      <c r="B195" s="421" t="s">
        <v>2363</v>
      </c>
      <c r="C195" s="421" t="s">
        <v>2398</v>
      </c>
      <c r="D195" s="413" t="s">
        <v>2401</v>
      </c>
      <c r="E195" s="413" t="s">
        <v>6072</v>
      </c>
      <c r="F195" s="414">
        <v>13</v>
      </c>
      <c r="G195" s="413"/>
      <c r="H195" s="413"/>
      <c r="I195" s="413" t="s">
        <v>5510</v>
      </c>
      <c r="J195" s="377" t="s">
        <v>2402</v>
      </c>
      <c r="K195" s="377" t="s">
        <v>2259</v>
      </c>
      <c r="L195" s="377" t="s">
        <v>2446</v>
      </c>
      <c r="M195" s="377" t="s">
        <v>2235</v>
      </c>
      <c r="N195" s="377" t="s">
        <v>2236</v>
      </c>
      <c r="O195" s="377" t="s">
        <v>2447</v>
      </c>
      <c r="P195" s="377" t="s">
        <v>5977</v>
      </c>
    </row>
    <row r="196" spans="1:16" ht="26" customHeight="1">
      <c r="A196" s="421" t="s">
        <v>5961</v>
      </c>
      <c r="B196" s="421" t="s">
        <v>2403</v>
      </c>
      <c r="C196" s="421" t="s">
        <v>2398</v>
      </c>
      <c r="D196" s="413" t="s">
        <v>2404</v>
      </c>
      <c r="E196" s="413" t="s">
        <v>6073</v>
      </c>
      <c r="F196" s="414">
        <v>25</v>
      </c>
      <c r="G196" s="413"/>
      <c r="H196" s="413"/>
      <c r="I196" s="413" t="s">
        <v>5511</v>
      </c>
      <c r="J196" s="377" t="s">
        <v>2405</v>
      </c>
      <c r="K196" s="377" t="s">
        <v>2325</v>
      </c>
      <c r="L196" s="377" t="s">
        <v>2446</v>
      </c>
      <c r="M196" s="377" t="s">
        <v>2235</v>
      </c>
      <c r="N196" s="377" t="s">
        <v>2236</v>
      </c>
      <c r="O196" s="377" t="s">
        <v>2447</v>
      </c>
      <c r="P196" s="377" t="s">
        <v>5975</v>
      </c>
    </row>
    <row r="197" spans="1:16" ht="26" customHeight="1">
      <c r="A197" s="421" t="s">
        <v>5961</v>
      </c>
      <c r="B197" s="421" t="s">
        <v>2406</v>
      </c>
      <c r="C197" s="421" t="s">
        <v>2398</v>
      </c>
      <c r="D197" s="413" t="s">
        <v>2407</v>
      </c>
      <c r="E197" s="413" t="s">
        <v>6074</v>
      </c>
      <c r="F197" s="414">
        <v>12</v>
      </c>
      <c r="G197" s="413"/>
      <c r="H197" s="413"/>
      <c r="I197" s="413" t="s">
        <v>5512</v>
      </c>
      <c r="J197" s="377" t="s">
        <v>2408</v>
      </c>
      <c r="K197" s="377" t="s">
        <v>2269</v>
      </c>
      <c r="L197" s="377" t="s">
        <v>2446</v>
      </c>
      <c r="M197" s="377" t="s">
        <v>2235</v>
      </c>
      <c r="N197" s="377" t="s">
        <v>2236</v>
      </c>
      <c r="O197" s="377" t="s">
        <v>2447</v>
      </c>
      <c r="P197" s="377" t="s">
        <v>5977</v>
      </c>
    </row>
    <row r="198" spans="1:16" ht="26" customHeight="1">
      <c r="A198" s="421" t="s">
        <v>5961</v>
      </c>
      <c r="B198" s="421" t="s">
        <v>2409</v>
      </c>
      <c r="C198" s="421" t="s">
        <v>2398</v>
      </c>
      <c r="D198" s="413" t="s">
        <v>2410</v>
      </c>
      <c r="E198" s="413" t="s">
        <v>6075</v>
      </c>
      <c r="F198" s="414">
        <v>11</v>
      </c>
      <c r="G198" s="413"/>
      <c r="H198" s="413"/>
      <c r="I198" s="413" t="s">
        <v>5513</v>
      </c>
      <c r="J198" s="377" t="s">
        <v>2384</v>
      </c>
      <c r="K198" s="377" t="s">
        <v>2269</v>
      </c>
      <c r="L198" s="377" t="s">
        <v>2446</v>
      </c>
      <c r="M198" s="377" t="s">
        <v>2235</v>
      </c>
      <c r="N198" s="377" t="s">
        <v>2236</v>
      </c>
      <c r="O198" s="377" t="s">
        <v>2447</v>
      </c>
      <c r="P198" s="377" t="s">
        <v>5977</v>
      </c>
    </row>
    <row r="199" spans="1:16" ht="26" customHeight="1">
      <c r="A199" s="421" t="s">
        <v>5961</v>
      </c>
      <c r="B199" s="421" t="s">
        <v>2411</v>
      </c>
      <c r="C199" s="421" t="s">
        <v>2398</v>
      </c>
      <c r="D199" s="413" t="s">
        <v>1440</v>
      </c>
      <c r="E199" s="413" t="s">
        <v>6076</v>
      </c>
      <c r="F199" s="414">
        <v>10</v>
      </c>
      <c r="G199" s="413"/>
      <c r="H199" s="413"/>
      <c r="I199" s="413" t="s">
        <v>5514</v>
      </c>
      <c r="J199" s="377" t="s">
        <v>2412</v>
      </c>
      <c r="K199" s="377" t="s">
        <v>2381</v>
      </c>
      <c r="L199" s="377" t="s">
        <v>2446</v>
      </c>
      <c r="M199" s="377" t="s">
        <v>2235</v>
      </c>
      <c r="N199" s="377" t="s">
        <v>2312</v>
      </c>
      <c r="O199" s="377" t="s">
        <v>2447</v>
      </c>
      <c r="P199" s="377" t="s">
        <v>5977</v>
      </c>
    </row>
    <row r="200" spans="1:16" ht="26" customHeight="1">
      <c r="A200" s="421" t="s">
        <v>5961</v>
      </c>
      <c r="B200" s="421" t="s">
        <v>2413</v>
      </c>
      <c r="C200" s="421" t="s">
        <v>2398</v>
      </c>
      <c r="D200" s="413" t="s">
        <v>2414</v>
      </c>
      <c r="E200" s="413" t="s">
        <v>6077</v>
      </c>
      <c r="F200" s="414">
        <v>5</v>
      </c>
      <c r="G200" s="413"/>
      <c r="H200" s="413"/>
      <c r="I200" s="413" t="s">
        <v>5515</v>
      </c>
      <c r="J200" s="377" t="s">
        <v>2332</v>
      </c>
      <c r="K200" s="377" t="s">
        <v>2415</v>
      </c>
      <c r="L200" s="377" t="s">
        <v>2446</v>
      </c>
      <c r="M200" s="377" t="s">
        <v>2235</v>
      </c>
      <c r="N200" s="377" t="s">
        <v>2312</v>
      </c>
      <c r="O200" s="377" t="s">
        <v>2447</v>
      </c>
      <c r="P200" s="377" t="s">
        <v>5963</v>
      </c>
    </row>
    <row r="201" spans="1:16" ht="42">
      <c r="A201" s="421" t="s">
        <v>5961</v>
      </c>
      <c r="B201" s="421" t="s">
        <v>2507</v>
      </c>
      <c r="C201" s="421" t="s">
        <v>2398</v>
      </c>
      <c r="D201" s="413" t="s">
        <v>2508</v>
      </c>
      <c r="E201" s="413" t="s">
        <v>6078</v>
      </c>
      <c r="F201" s="414">
        <v>8</v>
      </c>
      <c r="G201" s="413"/>
      <c r="H201" s="413"/>
      <c r="I201" s="413" t="s">
        <v>5516</v>
      </c>
      <c r="J201" s="377" t="s">
        <v>2384</v>
      </c>
      <c r="K201" s="377" t="s">
        <v>2400</v>
      </c>
      <c r="L201" s="377" t="s">
        <v>2446</v>
      </c>
      <c r="M201" s="377" t="s">
        <v>2235</v>
      </c>
      <c r="N201" s="377" t="s">
        <v>2452</v>
      </c>
      <c r="O201" s="377" t="s">
        <v>2509</v>
      </c>
      <c r="P201" s="377" t="s">
        <v>5963</v>
      </c>
    </row>
    <row r="202" spans="1:16" ht="63">
      <c r="A202" s="377" t="s">
        <v>5961</v>
      </c>
      <c r="B202" s="377" t="s">
        <v>2510</v>
      </c>
      <c r="C202" s="377" t="s">
        <v>2398</v>
      </c>
      <c r="D202" s="413" t="s">
        <v>2511</v>
      </c>
      <c r="E202" s="413" t="s">
        <v>6079</v>
      </c>
      <c r="F202" s="414">
        <v>5</v>
      </c>
      <c r="G202" s="413"/>
      <c r="H202" s="413"/>
      <c r="I202" s="413" t="s">
        <v>5517</v>
      </c>
      <c r="J202" s="377" t="s">
        <v>2363</v>
      </c>
      <c r="K202" s="377" t="s">
        <v>2325</v>
      </c>
      <c r="L202" s="377" t="s">
        <v>2446</v>
      </c>
      <c r="M202" s="377" t="s">
        <v>2512</v>
      </c>
      <c r="N202" s="377" t="s">
        <v>2452</v>
      </c>
      <c r="O202" s="377" t="s">
        <v>2513</v>
      </c>
      <c r="P202" s="377" t="s">
        <v>5963</v>
      </c>
    </row>
    <row r="203" spans="1:16" ht="63">
      <c r="A203" s="377" t="s">
        <v>5961</v>
      </c>
      <c r="B203" s="377" t="s">
        <v>5808</v>
      </c>
      <c r="C203" s="377" t="s">
        <v>2398</v>
      </c>
      <c r="D203" s="413" t="s">
        <v>5809</v>
      </c>
      <c r="E203" s="413" t="s">
        <v>6080</v>
      </c>
      <c r="F203" s="414">
        <v>8</v>
      </c>
      <c r="G203" s="413"/>
      <c r="H203" s="413"/>
      <c r="I203" s="413" t="s">
        <v>5811</v>
      </c>
      <c r="J203" s="377" t="s">
        <v>2396</v>
      </c>
      <c r="K203" s="377" t="s">
        <v>2362</v>
      </c>
      <c r="L203" s="377" t="s">
        <v>2446</v>
      </c>
      <c r="M203" s="377" t="s">
        <v>2235</v>
      </c>
      <c r="N203" s="377" t="s">
        <v>5810</v>
      </c>
      <c r="O203" s="377" t="s">
        <v>2684</v>
      </c>
      <c r="P203" s="377" t="s">
        <v>5977</v>
      </c>
    </row>
    <row r="204" spans="1:16" ht="63">
      <c r="A204" s="377" t="s">
        <v>5961</v>
      </c>
      <c r="B204" s="377" t="s">
        <v>2416</v>
      </c>
      <c r="C204" s="377" t="s">
        <v>1241</v>
      </c>
      <c r="D204" s="413" t="s">
        <v>2417</v>
      </c>
      <c r="E204" s="413" t="s">
        <v>6081</v>
      </c>
      <c r="F204" s="414">
        <v>14</v>
      </c>
      <c r="G204" s="413"/>
      <c r="H204" s="413"/>
      <c r="I204" s="413" t="s">
        <v>5518</v>
      </c>
      <c r="J204" s="377" t="s">
        <v>2419</v>
      </c>
      <c r="K204" s="377" t="s">
        <v>2418</v>
      </c>
      <c r="L204" s="377" t="s">
        <v>2446</v>
      </c>
      <c r="M204" s="377" t="s">
        <v>2235</v>
      </c>
      <c r="N204" s="377" t="s">
        <v>2236</v>
      </c>
      <c r="O204" s="377" t="s">
        <v>2447</v>
      </c>
      <c r="P204" s="377" t="s">
        <v>5977</v>
      </c>
    </row>
    <row r="205" spans="1:16" ht="84">
      <c r="A205" s="377" t="s">
        <v>5961</v>
      </c>
      <c r="B205" s="377" t="s">
        <v>2295</v>
      </c>
      <c r="C205" s="377" t="s">
        <v>1241</v>
      </c>
      <c r="D205" s="413" t="s">
        <v>2420</v>
      </c>
      <c r="E205" s="413" t="s">
        <v>6082</v>
      </c>
      <c r="F205" s="414">
        <v>24</v>
      </c>
      <c r="G205" s="413"/>
      <c r="H205" s="413"/>
      <c r="I205" s="413" t="s">
        <v>5519</v>
      </c>
      <c r="J205" s="377" t="s">
        <v>2421</v>
      </c>
      <c r="K205" s="377" t="s">
        <v>2266</v>
      </c>
      <c r="L205" s="377" t="s">
        <v>2446</v>
      </c>
      <c r="M205" s="377" t="s">
        <v>2235</v>
      </c>
      <c r="N205" s="377" t="s">
        <v>2236</v>
      </c>
      <c r="O205" s="377" t="s">
        <v>2447</v>
      </c>
      <c r="P205" s="377" t="s">
        <v>5975</v>
      </c>
    </row>
    <row r="206" spans="1:16" ht="42">
      <c r="A206" s="377" t="s">
        <v>5961</v>
      </c>
      <c r="B206" s="377" t="s">
        <v>2422</v>
      </c>
      <c r="C206" s="377" t="s">
        <v>1241</v>
      </c>
      <c r="D206" s="413" t="s">
        <v>2423</v>
      </c>
      <c r="E206" s="413" t="s">
        <v>6083</v>
      </c>
      <c r="F206" s="414">
        <v>12</v>
      </c>
      <c r="G206" s="413"/>
      <c r="H206" s="413"/>
      <c r="I206" s="413" t="s">
        <v>5520</v>
      </c>
      <c r="J206" s="377" t="s">
        <v>2295</v>
      </c>
      <c r="K206" s="377" t="s">
        <v>2266</v>
      </c>
      <c r="L206" s="377" t="s">
        <v>2446</v>
      </c>
      <c r="M206" s="377" t="s">
        <v>2235</v>
      </c>
      <c r="N206" s="377" t="s">
        <v>2236</v>
      </c>
      <c r="O206" s="377" t="s">
        <v>2447</v>
      </c>
      <c r="P206" s="377" t="s">
        <v>5977</v>
      </c>
    </row>
    <row r="207" spans="1:16" ht="63">
      <c r="A207" s="377" t="s">
        <v>5961</v>
      </c>
      <c r="B207" s="377" t="s">
        <v>2424</v>
      </c>
      <c r="C207" s="377" t="s">
        <v>1241</v>
      </c>
      <c r="D207" s="413" t="s">
        <v>2425</v>
      </c>
      <c r="E207" s="413" t="s">
        <v>6084</v>
      </c>
      <c r="F207" s="414">
        <v>0</v>
      </c>
      <c r="G207" s="413"/>
      <c r="H207" s="413"/>
      <c r="I207" s="413" t="s">
        <v>5528</v>
      </c>
      <c r="J207" s="377" t="s">
        <v>2270</v>
      </c>
      <c r="K207" s="377" t="s">
        <v>2426</v>
      </c>
      <c r="L207" s="377" t="s">
        <v>2446</v>
      </c>
      <c r="M207" s="377" t="s">
        <v>5530</v>
      </c>
      <c r="N207" s="377" t="s">
        <v>2236</v>
      </c>
      <c r="O207" s="377" t="s">
        <v>2447</v>
      </c>
      <c r="P207" s="377" t="s">
        <v>5977</v>
      </c>
    </row>
    <row r="208" spans="1:16" ht="42">
      <c r="A208" s="377" t="s">
        <v>5961</v>
      </c>
      <c r="B208" s="377" t="s">
        <v>2427</v>
      </c>
      <c r="C208" s="377" t="s">
        <v>1241</v>
      </c>
      <c r="D208" s="413" t="s">
        <v>2428</v>
      </c>
      <c r="E208" s="413" t="s">
        <v>6085</v>
      </c>
      <c r="F208" s="414">
        <v>5</v>
      </c>
      <c r="G208" s="413"/>
      <c r="H208" s="413"/>
      <c r="I208" s="413" t="s">
        <v>5521</v>
      </c>
      <c r="J208" s="377" t="s">
        <v>2274</v>
      </c>
      <c r="K208" s="377" t="s">
        <v>2325</v>
      </c>
      <c r="L208" s="377" t="s">
        <v>2446</v>
      </c>
      <c r="M208" s="377" t="s">
        <v>2240</v>
      </c>
      <c r="N208" s="377" t="s">
        <v>2236</v>
      </c>
      <c r="O208" s="377" t="s">
        <v>2447</v>
      </c>
      <c r="P208" s="377" t="s">
        <v>5963</v>
      </c>
    </row>
    <row r="209" spans="1:16" ht="63">
      <c r="A209" s="377" t="s">
        <v>5961</v>
      </c>
      <c r="B209" s="377" t="s">
        <v>2429</v>
      </c>
      <c r="C209" s="377" t="s">
        <v>1241</v>
      </c>
      <c r="D209" s="413" t="s">
        <v>2430</v>
      </c>
      <c r="E209" s="413" t="s">
        <v>6086</v>
      </c>
      <c r="F209" s="414">
        <v>6</v>
      </c>
      <c r="G209" s="413"/>
      <c r="H209" s="413"/>
      <c r="I209" s="413" t="s">
        <v>5522</v>
      </c>
      <c r="J209" s="377" t="s">
        <v>2327</v>
      </c>
      <c r="K209" s="377" t="s">
        <v>2426</v>
      </c>
      <c r="L209" s="377" t="s">
        <v>2446</v>
      </c>
      <c r="M209" s="377" t="s">
        <v>2235</v>
      </c>
      <c r="N209" s="377" t="s">
        <v>2236</v>
      </c>
      <c r="O209" s="377" t="s">
        <v>2447</v>
      </c>
      <c r="P209" s="377" t="s">
        <v>5963</v>
      </c>
    </row>
    <row r="210" spans="1:16" ht="42">
      <c r="A210" s="377" t="s">
        <v>5961</v>
      </c>
      <c r="B210" s="377" t="s">
        <v>2431</v>
      </c>
      <c r="C210" s="377" t="s">
        <v>1241</v>
      </c>
      <c r="D210" s="413" t="s">
        <v>2432</v>
      </c>
      <c r="E210" s="413" t="s">
        <v>6087</v>
      </c>
      <c r="F210" s="414">
        <v>4</v>
      </c>
      <c r="G210" s="413"/>
      <c r="H210" s="413"/>
      <c r="I210" s="413" t="s">
        <v>5523</v>
      </c>
      <c r="J210" s="377" t="s">
        <v>2274</v>
      </c>
      <c r="K210" s="377" t="s">
        <v>2325</v>
      </c>
      <c r="L210" s="377" t="s">
        <v>2446</v>
      </c>
      <c r="M210" s="377" t="s">
        <v>2240</v>
      </c>
      <c r="N210" s="377" t="s">
        <v>2312</v>
      </c>
      <c r="O210" s="377" t="s">
        <v>2447</v>
      </c>
      <c r="P210" s="377" t="s">
        <v>5963</v>
      </c>
    </row>
    <row r="211" spans="1:16" ht="63">
      <c r="A211" s="377" t="s">
        <v>5961</v>
      </c>
      <c r="B211" s="377" t="s">
        <v>2514</v>
      </c>
      <c r="C211" s="377" t="s">
        <v>1241</v>
      </c>
      <c r="D211" s="413" t="s">
        <v>2515</v>
      </c>
      <c r="E211" s="413" t="s">
        <v>6088</v>
      </c>
      <c r="F211" s="414">
        <v>12</v>
      </c>
      <c r="G211" s="413"/>
      <c r="H211" s="413"/>
      <c r="I211" s="413" t="s">
        <v>5524</v>
      </c>
      <c r="J211" s="377" t="s">
        <v>2416</v>
      </c>
      <c r="K211" s="377" t="s">
        <v>2325</v>
      </c>
      <c r="L211" s="377" t="s">
        <v>2446</v>
      </c>
      <c r="M211" s="377" t="s">
        <v>2235</v>
      </c>
      <c r="N211" s="377" t="s">
        <v>2452</v>
      </c>
      <c r="O211" s="377" t="s">
        <v>1245</v>
      </c>
      <c r="P211" s="377" t="s">
        <v>5977</v>
      </c>
    </row>
    <row r="212" spans="1:16" ht="42">
      <c r="A212" s="377" t="s">
        <v>5961</v>
      </c>
      <c r="B212" s="377" t="s">
        <v>2516</v>
      </c>
      <c r="C212" s="377" t="s">
        <v>1241</v>
      </c>
      <c r="D212" s="413" t="s">
        <v>2517</v>
      </c>
      <c r="E212" s="413" t="s">
        <v>6089</v>
      </c>
      <c r="F212" s="414">
        <v>5</v>
      </c>
      <c r="G212" s="413"/>
      <c r="H212" s="413"/>
      <c r="I212" s="413" t="s">
        <v>5525</v>
      </c>
      <c r="J212" s="377" t="s">
        <v>2416</v>
      </c>
      <c r="K212" s="377" t="s">
        <v>2306</v>
      </c>
      <c r="L212" s="377" t="s">
        <v>2446</v>
      </c>
      <c r="M212" s="377" t="s">
        <v>2235</v>
      </c>
      <c r="N212" s="377" t="s">
        <v>2452</v>
      </c>
      <c r="O212" s="377" t="s">
        <v>1246</v>
      </c>
      <c r="P212" s="377" t="s">
        <v>5963</v>
      </c>
    </row>
    <row r="213" spans="1:16" ht="63">
      <c r="A213" s="377" t="s">
        <v>5961</v>
      </c>
      <c r="B213" s="377" t="s">
        <v>2518</v>
      </c>
      <c r="C213" s="377" t="s">
        <v>1241</v>
      </c>
      <c r="D213" s="413" t="s">
        <v>2519</v>
      </c>
      <c r="E213" s="413" t="s">
        <v>6090</v>
      </c>
      <c r="F213" s="414">
        <v>6</v>
      </c>
      <c r="G213" s="413"/>
      <c r="H213" s="413"/>
      <c r="I213" s="413" t="s">
        <v>5526</v>
      </c>
      <c r="J213" s="377" t="s">
        <v>2295</v>
      </c>
      <c r="K213" s="377" t="s">
        <v>2232</v>
      </c>
      <c r="L213" s="377" t="s">
        <v>2446</v>
      </c>
      <c r="M213" s="377" t="s">
        <v>2235</v>
      </c>
      <c r="N213" s="377" t="s">
        <v>2452</v>
      </c>
      <c r="O213" s="377" t="s">
        <v>2520</v>
      </c>
      <c r="P213" s="377" t="s">
        <v>5963</v>
      </c>
    </row>
    <row r="214" spans="1:16" ht="105">
      <c r="A214" s="377" t="s">
        <v>5961</v>
      </c>
      <c r="B214" s="377" t="s">
        <v>2521</v>
      </c>
      <c r="C214" s="377" t="s">
        <v>1241</v>
      </c>
      <c r="D214" s="413" t="s">
        <v>2522</v>
      </c>
      <c r="E214" s="413" t="s">
        <v>6091</v>
      </c>
      <c r="F214" s="414">
        <v>0</v>
      </c>
      <c r="G214" s="413"/>
      <c r="H214" s="413"/>
      <c r="I214" s="413" t="s">
        <v>5529</v>
      </c>
      <c r="J214" s="377" t="s">
        <v>2424</v>
      </c>
      <c r="K214" s="377" t="s">
        <v>2245</v>
      </c>
      <c r="L214" s="377" t="s">
        <v>2450</v>
      </c>
      <c r="M214" s="377" t="s">
        <v>5531</v>
      </c>
      <c r="N214" s="377" t="s">
        <v>2452</v>
      </c>
      <c r="O214" s="377" t="s">
        <v>4090</v>
      </c>
      <c r="P214" s="377" t="s">
        <v>5963</v>
      </c>
    </row>
    <row r="215" spans="1:16" ht="42">
      <c r="A215" s="377" t="s">
        <v>6092</v>
      </c>
      <c r="B215" s="377" t="s">
        <v>5816</v>
      </c>
      <c r="C215" s="377" t="s">
        <v>5817</v>
      </c>
      <c r="D215" s="413" t="s">
        <v>5818</v>
      </c>
      <c r="E215" s="413" t="s">
        <v>6093</v>
      </c>
      <c r="F215" s="414">
        <v>10</v>
      </c>
      <c r="G215" s="413"/>
      <c r="H215" s="413"/>
      <c r="I215" s="413" t="s">
        <v>5821</v>
      </c>
      <c r="J215" s="377" t="s">
        <v>2234</v>
      </c>
      <c r="K215" s="377" t="s">
        <v>2306</v>
      </c>
      <c r="L215" s="377" t="s">
        <v>2446</v>
      </c>
      <c r="M215" s="377" t="s">
        <v>2235</v>
      </c>
      <c r="N215" s="377" t="s">
        <v>5819</v>
      </c>
      <c r="O215" s="377" t="s">
        <v>5820</v>
      </c>
      <c r="P215" s="377" t="s">
        <v>5975</v>
      </c>
    </row>
    <row r="216" spans="1:16" ht="42">
      <c r="A216" s="377" t="s">
        <v>6092</v>
      </c>
      <c r="B216" s="377" t="s">
        <v>5822</v>
      </c>
      <c r="C216" s="377" t="s">
        <v>5817</v>
      </c>
      <c r="D216" s="413" t="s">
        <v>5823</v>
      </c>
      <c r="E216" s="413" t="s">
        <v>6094</v>
      </c>
      <c r="F216" s="414">
        <v>12</v>
      </c>
      <c r="G216" s="413"/>
      <c r="H216" s="413"/>
      <c r="I216" s="413" t="s">
        <v>5824</v>
      </c>
      <c r="J216" s="377" t="s">
        <v>5816</v>
      </c>
      <c r="K216" s="377" t="s">
        <v>2381</v>
      </c>
      <c r="L216" s="377" t="s">
        <v>2446</v>
      </c>
      <c r="M216" s="377" t="s">
        <v>2235</v>
      </c>
      <c r="N216" s="377" t="s">
        <v>5819</v>
      </c>
      <c r="O216" s="377" t="s">
        <v>5820</v>
      </c>
      <c r="P216" s="377" t="s">
        <v>5975</v>
      </c>
    </row>
    <row r="217" spans="1:16" ht="42">
      <c r="A217" s="377" t="s">
        <v>6092</v>
      </c>
      <c r="B217" s="377" t="s">
        <v>5825</v>
      </c>
      <c r="C217" s="377" t="s">
        <v>5817</v>
      </c>
      <c r="D217" s="413" t="s">
        <v>5826</v>
      </c>
      <c r="E217" s="413" t="s">
        <v>6095</v>
      </c>
      <c r="F217" s="414">
        <v>25</v>
      </c>
      <c r="G217" s="413"/>
      <c r="H217" s="413"/>
      <c r="I217" s="413" t="s">
        <v>5827</v>
      </c>
      <c r="J217" s="377" t="s">
        <v>5822</v>
      </c>
      <c r="K217" s="377" t="s">
        <v>2234</v>
      </c>
      <c r="L217" s="377" t="s">
        <v>2446</v>
      </c>
      <c r="M217" s="377" t="s">
        <v>2235</v>
      </c>
      <c r="N217" s="377" t="s">
        <v>5819</v>
      </c>
      <c r="O217" s="377" t="s">
        <v>5820</v>
      </c>
      <c r="P217" s="377" t="s">
        <v>5975</v>
      </c>
    </row>
    <row r="218" spans="1:16" ht="42">
      <c r="A218" s="377" t="s">
        <v>6092</v>
      </c>
      <c r="B218" s="377" t="s">
        <v>5828</v>
      </c>
      <c r="C218" s="377" t="s">
        <v>5817</v>
      </c>
      <c r="D218" s="413" t="s">
        <v>5829</v>
      </c>
      <c r="E218" s="413" t="s">
        <v>6096</v>
      </c>
      <c r="F218" s="414">
        <v>30</v>
      </c>
      <c r="G218" s="413"/>
      <c r="H218" s="413"/>
      <c r="I218" s="413" t="s">
        <v>5830</v>
      </c>
      <c r="J218" s="377" t="s">
        <v>2234</v>
      </c>
      <c r="K218" s="377" t="s">
        <v>2234</v>
      </c>
      <c r="L218" s="377" t="s">
        <v>2446</v>
      </c>
      <c r="M218" s="377" t="s">
        <v>2235</v>
      </c>
      <c r="N218" s="377" t="s">
        <v>5819</v>
      </c>
      <c r="O218" s="377" t="s">
        <v>5820</v>
      </c>
      <c r="P218" s="377" t="s">
        <v>5975</v>
      </c>
    </row>
    <row r="219" spans="1:16" ht="42">
      <c r="A219" s="377" t="s">
        <v>6092</v>
      </c>
      <c r="B219" s="377" t="s">
        <v>5831</v>
      </c>
      <c r="C219" s="377" t="s">
        <v>5817</v>
      </c>
      <c r="D219" s="413" t="s">
        <v>5832</v>
      </c>
      <c r="E219" s="413" t="s">
        <v>6097</v>
      </c>
      <c r="F219" s="414">
        <v>10</v>
      </c>
      <c r="G219" s="413"/>
      <c r="H219" s="413"/>
      <c r="I219" s="413" t="s">
        <v>5833</v>
      </c>
      <c r="J219" s="377" t="s">
        <v>2479</v>
      </c>
      <c r="K219" s="377" t="s">
        <v>2234</v>
      </c>
      <c r="L219" s="377" t="s">
        <v>2446</v>
      </c>
      <c r="M219" s="377" t="s">
        <v>2235</v>
      </c>
      <c r="N219" s="377" t="s">
        <v>5819</v>
      </c>
      <c r="O219" s="377" t="s">
        <v>5820</v>
      </c>
      <c r="P219" s="377" t="s">
        <v>5975</v>
      </c>
    </row>
    <row r="220" spans="1:16" ht="42">
      <c r="A220" s="377" t="s">
        <v>6092</v>
      </c>
      <c r="B220" s="377" t="s">
        <v>5834</v>
      </c>
      <c r="C220" s="377" t="s">
        <v>5817</v>
      </c>
      <c r="D220" s="413" t="s">
        <v>5835</v>
      </c>
      <c r="E220" s="413" t="s">
        <v>6098</v>
      </c>
      <c r="F220" s="414">
        <v>8</v>
      </c>
      <c r="G220" s="413"/>
      <c r="H220" s="413"/>
      <c r="I220" s="413" t="s">
        <v>5836</v>
      </c>
      <c r="J220" s="377" t="s">
        <v>2234</v>
      </c>
      <c r="K220" s="377" t="s">
        <v>2325</v>
      </c>
      <c r="L220" s="377" t="s">
        <v>2446</v>
      </c>
      <c r="M220" s="377" t="s">
        <v>2235</v>
      </c>
      <c r="N220" s="377" t="s">
        <v>5819</v>
      </c>
      <c r="O220" s="377" t="s">
        <v>5820</v>
      </c>
      <c r="P220" s="377" t="s">
        <v>5977</v>
      </c>
    </row>
    <row r="221" spans="1:16" ht="42">
      <c r="A221" s="377" t="s">
        <v>6092</v>
      </c>
      <c r="B221" s="377" t="s">
        <v>5837</v>
      </c>
      <c r="C221" s="377" t="s">
        <v>5817</v>
      </c>
      <c r="D221" s="413" t="s">
        <v>5838</v>
      </c>
      <c r="E221" s="413" t="s">
        <v>6099</v>
      </c>
      <c r="F221" s="414">
        <v>10</v>
      </c>
      <c r="G221" s="413"/>
      <c r="H221" s="413"/>
      <c r="I221" s="413" t="s">
        <v>5839</v>
      </c>
      <c r="J221" s="377" t="s">
        <v>5834</v>
      </c>
      <c r="K221" s="377" t="s">
        <v>2376</v>
      </c>
      <c r="L221" s="377" t="s">
        <v>2446</v>
      </c>
      <c r="M221" s="377" t="s">
        <v>2235</v>
      </c>
      <c r="N221" s="377" t="s">
        <v>5819</v>
      </c>
      <c r="O221" s="377" t="s">
        <v>5820</v>
      </c>
      <c r="P221" s="377" t="s">
        <v>5975</v>
      </c>
    </row>
    <row r="222" spans="1:16" ht="42">
      <c r="A222" s="377" t="s">
        <v>6092</v>
      </c>
      <c r="B222" s="377" t="s">
        <v>5840</v>
      </c>
      <c r="C222" s="377" t="s">
        <v>5817</v>
      </c>
      <c r="D222" s="413" t="s">
        <v>5841</v>
      </c>
      <c r="E222" s="413" t="s">
        <v>6100</v>
      </c>
      <c r="F222" s="414">
        <v>12</v>
      </c>
      <c r="G222" s="413"/>
      <c r="H222" s="413"/>
      <c r="I222" s="413" t="s">
        <v>5842</v>
      </c>
      <c r="J222" s="377" t="s">
        <v>2234</v>
      </c>
      <c r="K222" s="377" t="s">
        <v>2234</v>
      </c>
      <c r="L222" s="377" t="s">
        <v>2446</v>
      </c>
      <c r="M222" s="377" t="s">
        <v>2235</v>
      </c>
      <c r="N222" s="377" t="s">
        <v>5819</v>
      </c>
      <c r="O222" s="377" t="s">
        <v>5820</v>
      </c>
      <c r="P222" s="377" t="s">
        <v>5975</v>
      </c>
    </row>
    <row r="223" spans="1:16">
      <c r="A223" s="377" t="s">
        <v>5843</v>
      </c>
      <c r="B223" s="377" t="s">
        <v>1545</v>
      </c>
      <c r="C223" s="377" t="s">
        <v>5844</v>
      </c>
      <c r="D223" s="413"/>
      <c r="E223" s="413"/>
      <c r="F223" s="414"/>
      <c r="G223" s="413"/>
      <c r="H223" s="413"/>
      <c r="I223" s="413"/>
      <c r="J223" s="377"/>
      <c r="K223" s="377"/>
      <c r="L223" s="377"/>
      <c r="M223" s="377"/>
      <c r="N223" s="377"/>
      <c r="O223" s="377"/>
      <c r="P223" s="377"/>
    </row>
    <row r="224" spans="1:16">
      <c r="A224" s="377" t="s">
        <v>2651</v>
      </c>
      <c r="B224" s="377" t="s">
        <v>5845</v>
      </c>
      <c r="C224" s="377" t="s">
        <v>5846</v>
      </c>
      <c r="D224" s="413"/>
      <c r="E224" s="413"/>
      <c r="F224" s="414"/>
      <c r="G224" s="413"/>
      <c r="H224" s="413"/>
      <c r="I224" s="413"/>
      <c r="J224" s="377"/>
      <c r="K224" s="377"/>
      <c r="L224" s="377"/>
      <c r="M224" s="377"/>
      <c r="N224" s="377"/>
      <c r="O224" s="377"/>
      <c r="P224" s="377"/>
    </row>
    <row r="225" spans="1:16">
      <c r="A225" s="377" t="s">
        <v>2645</v>
      </c>
      <c r="B225" s="377" t="s">
        <v>5847</v>
      </c>
      <c r="C225" s="377" t="s">
        <v>5848</v>
      </c>
      <c r="D225" s="413"/>
      <c r="E225" s="413"/>
      <c r="F225" s="414"/>
      <c r="G225" s="413"/>
      <c r="H225" s="413"/>
      <c r="I225" s="413"/>
      <c r="J225" s="377"/>
      <c r="K225" s="377"/>
      <c r="L225" s="377"/>
      <c r="M225" s="377"/>
      <c r="N225" s="377"/>
      <c r="O225" s="377"/>
      <c r="P225" s="377"/>
    </row>
    <row r="226" spans="1:16">
      <c r="A226" s="377" t="s">
        <v>2634</v>
      </c>
      <c r="B226" s="377" t="s">
        <v>5849</v>
      </c>
      <c r="C226" s="377" t="s">
        <v>5850</v>
      </c>
      <c r="D226" s="413"/>
      <c r="E226" s="413"/>
      <c r="F226" s="414"/>
      <c r="G226" s="413"/>
      <c r="H226" s="413"/>
      <c r="I226" s="413"/>
      <c r="J226" s="377"/>
      <c r="K226" s="377"/>
      <c r="L226" s="377"/>
      <c r="M226" s="377"/>
      <c r="N226" s="377"/>
      <c r="O226" s="377"/>
      <c r="P226" s="377"/>
    </row>
    <row r="227" spans="1:16">
      <c r="A227" s="377" t="s">
        <v>2649</v>
      </c>
      <c r="B227" s="377" t="s">
        <v>5851</v>
      </c>
      <c r="C227" s="377" t="s">
        <v>5852</v>
      </c>
      <c r="D227" s="413"/>
      <c r="E227" s="413"/>
      <c r="F227" s="414"/>
      <c r="G227" s="413"/>
      <c r="H227" s="413"/>
      <c r="I227" s="413"/>
      <c r="J227" s="377"/>
      <c r="K227" s="377"/>
      <c r="L227" s="377"/>
      <c r="M227" s="377"/>
      <c r="N227" s="377"/>
      <c r="O227" s="377"/>
      <c r="P227" s="377"/>
    </row>
  </sheetData>
  <autoFilter ref="A5:P227" xr:uid="{299E7693-5B40-0444-B227-D6033B94776C}"/>
  <phoneticPr fontId="3"/>
  <conditionalFormatting sqref="A6:P227">
    <cfRule type="expression" dxfId="57" priority="1">
      <formula>LEFT($B6,3)="DDK"</formula>
    </cfRule>
  </conditionalFormatting>
  <conditionalFormatting sqref="A6:P227">
    <cfRule type="expression" dxfId="56" priority="2">
      <formula>LEFT($B6,3)="DDB"</formula>
    </cfRule>
  </conditionalFormatting>
  <conditionalFormatting sqref="G6:H227">
    <cfRule type="expression" dxfId="55" priority="3">
      <formula>$G6="横断"</formula>
    </cfRule>
  </conditionalFormatting>
  <conditionalFormatting sqref="G6:G227">
    <cfRule type="expression" dxfId="54" priority="4">
      <formula>AND($G6&lt;&gt;"横断",$G6&lt;&gt;"")</formula>
    </cfRule>
  </conditionalFormatting>
  <conditionalFormatting sqref="M6:M227">
    <cfRule type="expression" dxfId="53" priority="5">
      <formula>$M6="完了"</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P86"/>
  <sheetViews>
    <sheetView topLeftCell="B1" zoomScale="134" workbookViewId="0">
      <pane ySplit="5" topLeftCell="A39" activePane="bottomLeft" state="frozen"/>
      <selection activeCell="C1" sqref="C1"/>
      <selection pane="bottomLeft" activeCell="E6" sqref="E6:E59"/>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8" max="8" width="60" customWidth="1"/>
    <col min="9" max="9" width="27.140625" customWidth="1"/>
    <col min="10" max="11" width="24.28515625" customWidth="1"/>
    <col min="12" max="13" width="18.5703125" customWidth="1"/>
    <col min="14" max="14" width="24.28515625" customWidth="1"/>
    <col min="15" max="15" width="18.5703125" customWidth="1"/>
    <col min="16" max="16" width="24.28515625" customWidth="1"/>
  </cols>
  <sheetData>
    <row r="1" spans="1:16" ht="25">
      <c r="A1" s="48" t="s">
        <v>5621</v>
      </c>
      <c r="E1">
        <v>700</v>
      </c>
    </row>
    <row r="2" spans="1:16">
      <c r="A2" s="3" t="s">
        <v>5622</v>
      </c>
      <c r="E2">
        <v>1600</v>
      </c>
    </row>
    <row r="3" spans="1:16">
      <c r="A3" s="56" t="s">
        <v>5623</v>
      </c>
      <c r="E3">
        <v>429</v>
      </c>
      <c r="G3">
        <f>F4/7</f>
        <v>19.49285714285714</v>
      </c>
    </row>
    <row r="4" spans="1:16">
      <c r="E4">
        <f>SUM(E1:E3)</f>
        <v>2729</v>
      </c>
      <c r="F4">
        <f>E4/20</f>
        <v>136.44999999999999</v>
      </c>
      <c r="G4">
        <f>F4*160</f>
        <v>21832</v>
      </c>
    </row>
    <row r="5" spans="1:16" ht="24" customHeight="1">
      <c r="A5" s="186" t="s">
        <v>1</v>
      </c>
      <c r="B5" s="187" t="s">
        <v>9</v>
      </c>
      <c r="C5" s="187" t="s">
        <v>2737</v>
      </c>
      <c r="D5" s="187" t="s">
        <v>2743</v>
      </c>
      <c r="E5" s="187" t="s">
        <v>2528</v>
      </c>
      <c r="F5" s="187" t="s">
        <v>2744</v>
      </c>
      <c r="G5" s="188" t="s">
        <v>2735</v>
      </c>
      <c r="H5" s="347" t="s">
        <v>5543</v>
      </c>
      <c r="I5" s="252" t="s">
        <v>8587</v>
      </c>
      <c r="J5" s="5" t="s">
        <v>7813</v>
      </c>
      <c r="K5" s="5" t="s">
        <v>6263</v>
      </c>
      <c r="L5" s="5" t="s">
        <v>8275</v>
      </c>
      <c r="M5" s="5" t="s">
        <v>8290</v>
      </c>
      <c r="N5" s="5" t="s">
        <v>8308</v>
      </c>
      <c r="O5" s="5" t="s">
        <v>8663</v>
      </c>
      <c r="P5" s="5" t="s">
        <v>8670</v>
      </c>
    </row>
    <row r="6" spans="1:16">
      <c r="A6" s="7" t="s">
        <v>2745</v>
      </c>
      <c r="B6" s="179" t="s">
        <v>2746</v>
      </c>
      <c r="C6" s="8" t="s">
        <v>2747</v>
      </c>
      <c r="D6" s="196" t="s">
        <v>2748</v>
      </c>
      <c r="E6" s="166">
        <v>6</v>
      </c>
      <c r="F6" s="181" t="s">
        <v>2749</v>
      </c>
      <c r="G6" s="189" t="s">
        <v>2750</v>
      </c>
      <c r="H6" s="58" t="s">
        <v>5544</v>
      </c>
      <c r="I6" t="s">
        <v>8588</v>
      </c>
    </row>
    <row r="7" spans="1:16">
      <c r="A7" s="7" t="s">
        <v>2745</v>
      </c>
      <c r="B7" s="179" t="s">
        <v>2751</v>
      </c>
      <c r="C7" s="8" t="s">
        <v>2752</v>
      </c>
      <c r="D7" s="196" t="s">
        <v>2753</v>
      </c>
      <c r="E7" s="166">
        <v>6</v>
      </c>
      <c r="F7" s="181" t="s">
        <v>2754</v>
      </c>
      <c r="G7" s="189" t="s">
        <v>2750</v>
      </c>
      <c r="H7" s="58" t="s">
        <v>5545</v>
      </c>
      <c r="I7" t="s">
        <v>8588</v>
      </c>
    </row>
    <row r="8" spans="1:16">
      <c r="A8" s="7" t="s">
        <v>2745</v>
      </c>
      <c r="B8" s="179" t="s">
        <v>2755</v>
      </c>
      <c r="C8" s="8" t="s">
        <v>2756</v>
      </c>
      <c r="D8" s="196" t="s">
        <v>2757</v>
      </c>
      <c r="E8" s="166">
        <v>6</v>
      </c>
      <c r="F8" s="181" t="s">
        <v>2758</v>
      </c>
      <c r="G8" s="189" t="s">
        <v>2750</v>
      </c>
      <c r="H8" s="58" t="s">
        <v>5546</v>
      </c>
      <c r="I8" t="s">
        <v>8588</v>
      </c>
    </row>
    <row r="9" spans="1:16">
      <c r="A9" s="7" t="s">
        <v>2745</v>
      </c>
      <c r="B9" s="179" t="s">
        <v>2759</v>
      </c>
      <c r="C9" s="8" t="s">
        <v>2760</v>
      </c>
      <c r="D9" s="196" t="s">
        <v>2761</v>
      </c>
      <c r="E9" s="166">
        <v>5</v>
      </c>
      <c r="F9" s="181" t="s">
        <v>2762</v>
      </c>
      <c r="G9" s="189" t="s">
        <v>2750</v>
      </c>
      <c r="H9" s="58" t="s">
        <v>5547</v>
      </c>
      <c r="I9" t="s">
        <v>8588</v>
      </c>
    </row>
    <row r="10" spans="1:16">
      <c r="A10" s="7" t="s">
        <v>2745</v>
      </c>
      <c r="B10" s="179" t="s">
        <v>2763</v>
      </c>
      <c r="C10" s="8" t="s">
        <v>2764</v>
      </c>
      <c r="D10" s="196" t="s">
        <v>2765</v>
      </c>
      <c r="E10" s="166">
        <v>5</v>
      </c>
      <c r="F10" s="181" t="s">
        <v>2766</v>
      </c>
      <c r="G10" s="189" t="s">
        <v>2750</v>
      </c>
      <c r="H10" s="58" t="s">
        <v>5548</v>
      </c>
      <c r="I10" t="s">
        <v>8588</v>
      </c>
    </row>
    <row r="11" spans="1:16">
      <c r="A11" s="7" t="s">
        <v>2745</v>
      </c>
      <c r="B11" s="179" t="s">
        <v>2767</v>
      </c>
      <c r="C11" s="8" t="s">
        <v>2768</v>
      </c>
      <c r="D11" s="196" t="s">
        <v>2769</v>
      </c>
      <c r="E11" s="166">
        <v>6</v>
      </c>
      <c r="F11" s="181" t="s">
        <v>2770</v>
      </c>
      <c r="G11" s="189" t="s">
        <v>2750</v>
      </c>
      <c r="H11" s="58" t="s">
        <v>5549</v>
      </c>
      <c r="I11" t="s">
        <v>8614</v>
      </c>
    </row>
    <row r="12" spans="1:16">
      <c r="A12" s="7" t="s">
        <v>2745</v>
      </c>
      <c r="B12" s="179" t="s">
        <v>2771</v>
      </c>
      <c r="C12" s="8" t="s">
        <v>2772</v>
      </c>
      <c r="D12" s="196" t="s">
        <v>2773</v>
      </c>
      <c r="E12" s="166">
        <v>4</v>
      </c>
      <c r="F12" s="181" t="s">
        <v>2774</v>
      </c>
      <c r="G12" s="189" t="s">
        <v>2750</v>
      </c>
      <c r="H12" s="58" t="s">
        <v>5550</v>
      </c>
      <c r="I12" t="s">
        <v>8588</v>
      </c>
    </row>
    <row r="13" spans="1:16">
      <c r="A13" s="334" t="s">
        <v>2745</v>
      </c>
      <c r="B13" s="335" t="s">
        <v>5588</v>
      </c>
      <c r="C13" s="320" t="s">
        <v>5589</v>
      </c>
      <c r="D13" s="336" t="s">
        <v>5590</v>
      </c>
      <c r="E13" s="337">
        <v>5</v>
      </c>
      <c r="F13" s="338" t="s">
        <v>5591</v>
      </c>
      <c r="G13" s="339" t="s">
        <v>2750</v>
      </c>
      <c r="H13" s="348" t="s">
        <v>5592</v>
      </c>
      <c r="I13" t="s">
        <v>8588</v>
      </c>
    </row>
    <row r="14" spans="1:16">
      <c r="A14" s="334" t="s">
        <v>2745</v>
      </c>
      <c r="B14" s="335" t="s">
        <v>5593</v>
      </c>
      <c r="C14" s="320" t="s">
        <v>5594</v>
      </c>
      <c r="D14" s="336" t="s">
        <v>5595</v>
      </c>
      <c r="E14" s="337">
        <v>4</v>
      </c>
      <c r="F14" s="338" t="s">
        <v>5596</v>
      </c>
      <c r="G14" s="339" t="s">
        <v>2750</v>
      </c>
      <c r="H14" s="348" t="s">
        <v>5597</v>
      </c>
      <c r="I14" t="s">
        <v>8588</v>
      </c>
    </row>
    <row r="15" spans="1:16" ht="34">
      <c r="A15" s="7" t="s">
        <v>2775</v>
      </c>
      <c r="B15" s="179" t="s">
        <v>2776</v>
      </c>
      <c r="C15" s="8" t="s">
        <v>2777</v>
      </c>
      <c r="D15" s="196" t="s">
        <v>2778</v>
      </c>
      <c r="E15" s="166">
        <v>12</v>
      </c>
      <c r="F15" s="181" t="s">
        <v>2779</v>
      </c>
      <c r="G15" s="189" t="s">
        <v>2750</v>
      </c>
      <c r="H15" s="58" t="s">
        <v>5551</v>
      </c>
      <c r="I15" t="s">
        <v>8588</v>
      </c>
    </row>
    <row r="16" spans="1:16" ht="34">
      <c r="A16" s="7" t="s">
        <v>2775</v>
      </c>
      <c r="B16" s="179" t="s">
        <v>2780</v>
      </c>
      <c r="C16" s="8" t="s">
        <v>2781</v>
      </c>
      <c r="D16" s="196" t="s">
        <v>2782</v>
      </c>
      <c r="E16" s="166">
        <v>10</v>
      </c>
      <c r="F16" s="181" t="s">
        <v>2783</v>
      </c>
      <c r="G16" s="189" t="s">
        <v>2750</v>
      </c>
      <c r="H16" s="58" t="s">
        <v>5552</v>
      </c>
      <c r="I16" t="s">
        <v>8588</v>
      </c>
    </row>
    <row r="17" spans="1:9">
      <c r="A17" s="7" t="s">
        <v>2775</v>
      </c>
      <c r="B17" s="179" t="s">
        <v>2784</v>
      </c>
      <c r="C17" s="8" t="s">
        <v>2785</v>
      </c>
      <c r="D17" s="196" t="s">
        <v>2786</v>
      </c>
      <c r="E17" s="166">
        <v>12</v>
      </c>
      <c r="F17" s="181" t="s">
        <v>2787</v>
      </c>
      <c r="G17" s="189" t="s">
        <v>2750</v>
      </c>
      <c r="H17" s="58" t="s">
        <v>5553</v>
      </c>
      <c r="I17" t="s">
        <v>8588</v>
      </c>
    </row>
    <row r="18" spans="1:9">
      <c r="A18" s="7" t="s">
        <v>2775</v>
      </c>
      <c r="B18" s="179" t="s">
        <v>2788</v>
      </c>
      <c r="C18" s="8" t="s">
        <v>2789</v>
      </c>
      <c r="D18" s="196" t="s">
        <v>2790</v>
      </c>
      <c r="E18" s="166">
        <v>10</v>
      </c>
      <c r="F18" s="181" t="s">
        <v>2791</v>
      </c>
      <c r="G18" s="189" t="s">
        <v>2750</v>
      </c>
      <c r="H18" s="58" t="s">
        <v>5554</v>
      </c>
      <c r="I18" t="s">
        <v>8588</v>
      </c>
    </row>
    <row r="19" spans="1:9">
      <c r="A19" s="7" t="s">
        <v>2775</v>
      </c>
      <c r="B19" s="179" t="s">
        <v>2792</v>
      </c>
      <c r="C19" s="8" t="s">
        <v>2793</v>
      </c>
      <c r="D19" s="196" t="s">
        <v>2794</v>
      </c>
      <c r="E19" s="166">
        <v>12</v>
      </c>
      <c r="F19" s="181" t="s">
        <v>2738</v>
      </c>
      <c r="G19" s="189" t="s">
        <v>2750</v>
      </c>
      <c r="H19" s="58" t="s">
        <v>5555</v>
      </c>
      <c r="I19" t="s">
        <v>8588</v>
      </c>
    </row>
    <row r="20" spans="1:9">
      <c r="A20" s="7" t="s">
        <v>2775</v>
      </c>
      <c r="B20" s="179" t="s">
        <v>2795</v>
      </c>
      <c r="C20" s="8" t="s">
        <v>2796</v>
      </c>
      <c r="D20" s="196" t="s">
        <v>2797</v>
      </c>
      <c r="E20" s="166">
        <v>8</v>
      </c>
      <c r="F20" s="181" t="s">
        <v>2739</v>
      </c>
      <c r="G20" s="189" t="s">
        <v>2750</v>
      </c>
      <c r="H20" s="58" t="s">
        <v>5556</v>
      </c>
      <c r="I20" t="s">
        <v>8588</v>
      </c>
    </row>
    <row r="21" spans="1:9">
      <c r="A21" s="7" t="s">
        <v>2775</v>
      </c>
      <c r="B21" s="179" t="s">
        <v>2798</v>
      </c>
      <c r="C21" s="8" t="s">
        <v>2799</v>
      </c>
      <c r="D21" s="196" t="s">
        <v>2800</v>
      </c>
      <c r="E21" s="166">
        <v>12</v>
      </c>
      <c r="F21" s="181" t="s">
        <v>2801</v>
      </c>
      <c r="G21" s="189" t="s">
        <v>2750</v>
      </c>
      <c r="H21" s="58" t="s">
        <v>5557</v>
      </c>
      <c r="I21" t="s">
        <v>8588</v>
      </c>
    </row>
    <row r="22" spans="1:9">
      <c r="A22" s="7" t="s">
        <v>2775</v>
      </c>
      <c r="B22" s="179" t="s">
        <v>2802</v>
      </c>
      <c r="C22" s="8" t="s">
        <v>2803</v>
      </c>
      <c r="D22" s="196" t="s">
        <v>2804</v>
      </c>
      <c r="E22" s="166">
        <v>6</v>
      </c>
      <c r="F22" s="181" t="s">
        <v>2805</v>
      </c>
      <c r="G22" s="189" t="s">
        <v>2750</v>
      </c>
      <c r="H22" s="58" t="s">
        <v>5558</v>
      </c>
      <c r="I22" t="s">
        <v>8588</v>
      </c>
    </row>
    <row r="23" spans="1:9">
      <c r="A23" s="7" t="s">
        <v>2775</v>
      </c>
      <c r="B23" s="179" t="s">
        <v>2806</v>
      </c>
      <c r="C23" s="8" t="s">
        <v>2807</v>
      </c>
      <c r="D23" s="196" t="s">
        <v>2808</v>
      </c>
      <c r="E23" s="166">
        <v>5</v>
      </c>
      <c r="F23" s="181" t="s">
        <v>2809</v>
      </c>
      <c r="G23" s="189" t="s">
        <v>2750</v>
      </c>
      <c r="H23" s="58" t="s">
        <v>5559</v>
      </c>
      <c r="I23" t="s">
        <v>8588</v>
      </c>
    </row>
    <row r="24" spans="1:9">
      <c r="A24" s="7" t="s">
        <v>2810</v>
      </c>
      <c r="B24" s="179" t="s">
        <v>2811</v>
      </c>
      <c r="C24" s="8" t="s">
        <v>2812</v>
      </c>
      <c r="D24" s="196" t="s">
        <v>2813</v>
      </c>
      <c r="E24" s="166">
        <v>10</v>
      </c>
      <c r="F24" s="181" t="s">
        <v>2814</v>
      </c>
      <c r="G24" s="189" t="s">
        <v>1522</v>
      </c>
      <c r="H24" s="58" t="s">
        <v>5560</v>
      </c>
      <c r="I24" t="s">
        <v>8588</v>
      </c>
    </row>
    <row r="25" spans="1:9">
      <c r="A25" s="7" t="s">
        <v>2810</v>
      </c>
      <c r="B25" s="179" t="s">
        <v>2815</v>
      </c>
      <c r="C25" s="8" t="s">
        <v>2816</v>
      </c>
      <c r="D25" s="196" t="s">
        <v>2817</v>
      </c>
      <c r="E25" s="166">
        <v>8</v>
      </c>
      <c r="F25" s="181" t="s">
        <v>2818</v>
      </c>
      <c r="G25" s="189" t="s">
        <v>1522</v>
      </c>
      <c r="H25" s="58" t="s">
        <v>5561</v>
      </c>
      <c r="I25" t="s">
        <v>8588</v>
      </c>
    </row>
    <row r="26" spans="1:9">
      <c r="A26" s="7" t="s">
        <v>2810</v>
      </c>
      <c r="B26" s="179" t="s">
        <v>2819</v>
      </c>
      <c r="C26" s="8" t="s">
        <v>2820</v>
      </c>
      <c r="D26" s="196" t="s">
        <v>2821</v>
      </c>
      <c r="E26" s="166">
        <v>12</v>
      </c>
      <c r="F26" s="181" t="s">
        <v>2822</v>
      </c>
      <c r="G26" s="189" t="s">
        <v>1522</v>
      </c>
      <c r="H26" s="58" t="s">
        <v>5562</v>
      </c>
      <c r="I26" t="s">
        <v>8588</v>
      </c>
    </row>
    <row r="27" spans="1:9">
      <c r="A27" s="7" t="s">
        <v>2810</v>
      </c>
      <c r="B27" s="179" t="s">
        <v>2823</v>
      </c>
      <c r="C27" s="8" t="s">
        <v>2824</v>
      </c>
      <c r="D27" s="196" t="s">
        <v>2825</v>
      </c>
      <c r="E27" s="166">
        <v>8</v>
      </c>
      <c r="F27" s="181" t="s">
        <v>2826</v>
      </c>
      <c r="G27" s="189" t="s">
        <v>1522</v>
      </c>
      <c r="H27" s="58" t="s">
        <v>5563</v>
      </c>
      <c r="I27" t="s">
        <v>8588</v>
      </c>
    </row>
    <row r="28" spans="1:9" ht="34">
      <c r="A28" s="7" t="s">
        <v>2827</v>
      </c>
      <c r="B28" s="179" t="s">
        <v>2828</v>
      </c>
      <c r="C28" s="8" t="s">
        <v>2829</v>
      </c>
      <c r="D28" s="196" t="s">
        <v>2830</v>
      </c>
      <c r="E28" s="166">
        <v>18</v>
      </c>
      <c r="F28" s="181" t="s">
        <v>5587</v>
      </c>
      <c r="G28" s="189" t="s">
        <v>2750</v>
      </c>
      <c r="H28" s="58" t="s">
        <v>5564</v>
      </c>
      <c r="I28" t="s">
        <v>8588</v>
      </c>
    </row>
    <row r="29" spans="1:9">
      <c r="A29" s="7" t="s">
        <v>2827</v>
      </c>
      <c r="B29" s="179" t="s">
        <v>2831</v>
      </c>
      <c r="C29" s="8" t="s">
        <v>2832</v>
      </c>
      <c r="D29" s="196" t="s">
        <v>2833</v>
      </c>
      <c r="E29" s="166">
        <v>14</v>
      </c>
      <c r="F29" s="181" t="s">
        <v>5866</v>
      </c>
      <c r="G29" s="189" t="s">
        <v>2750</v>
      </c>
      <c r="H29" s="58" t="s">
        <v>5565</v>
      </c>
      <c r="I29" t="s">
        <v>8588</v>
      </c>
    </row>
    <row r="30" spans="1:9">
      <c r="A30" s="7" t="s">
        <v>2827</v>
      </c>
      <c r="B30" s="179" t="s">
        <v>2834</v>
      </c>
      <c r="C30" s="8" t="s">
        <v>2835</v>
      </c>
      <c r="D30" s="196" t="s">
        <v>2836</v>
      </c>
      <c r="E30" s="166">
        <v>12</v>
      </c>
      <c r="F30" s="181" t="s">
        <v>5867</v>
      </c>
      <c r="G30" s="189" t="s">
        <v>2750</v>
      </c>
      <c r="H30" s="58" t="s">
        <v>5566</v>
      </c>
      <c r="I30" t="s">
        <v>8588</v>
      </c>
    </row>
    <row r="31" spans="1:9">
      <c r="A31" s="7" t="s">
        <v>2827</v>
      </c>
      <c r="B31" s="179" t="s">
        <v>2837</v>
      </c>
      <c r="C31" s="8" t="s">
        <v>2838</v>
      </c>
      <c r="D31" s="196" t="s">
        <v>2839</v>
      </c>
      <c r="E31" s="166">
        <v>8</v>
      </c>
      <c r="F31" s="181" t="s">
        <v>5868</v>
      </c>
      <c r="G31" s="189" t="s">
        <v>2750</v>
      </c>
      <c r="H31" s="58" t="s">
        <v>5567</v>
      </c>
      <c r="I31" t="s">
        <v>8588</v>
      </c>
    </row>
    <row r="32" spans="1:9">
      <c r="A32" s="7" t="s">
        <v>2827</v>
      </c>
      <c r="B32" s="179" t="s">
        <v>2840</v>
      </c>
      <c r="C32" s="8" t="s">
        <v>2841</v>
      </c>
      <c r="D32" s="196" t="s">
        <v>2842</v>
      </c>
      <c r="E32" s="166">
        <v>6</v>
      </c>
      <c r="F32" s="181" t="s">
        <v>5869</v>
      </c>
      <c r="G32" s="189" t="s">
        <v>2750</v>
      </c>
      <c r="H32" s="58" t="s">
        <v>5568</v>
      </c>
      <c r="I32" t="s">
        <v>8588</v>
      </c>
    </row>
    <row r="33" spans="1:16">
      <c r="A33" s="7" t="s">
        <v>2827</v>
      </c>
      <c r="B33" s="179" t="s">
        <v>2843</v>
      </c>
      <c r="C33" s="8" t="s">
        <v>2844</v>
      </c>
      <c r="D33" s="196" t="s">
        <v>2845</v>
      </c>
      <c r="E33" s="166">
        <v>6</v>
      </c>
      <c r="F33" s="181" t="s">
        <v>5870</v>
      </c>
      <c r="G33" s="189" t="s">
        <v>2750</v>
      </c>
      <c r="H33" s="58" t="s">
        <v>5569</v>
      </c>
      <c r="I33" t="s">
        <v>8588</v>
      </c>
    </row>
    <row r="34" spans="1:16">
      <c r="A34" s="7" t="s">
        <v>2827</v>
      </c>
      <c r="B34" s="179" t="s">
        <v>7496</v>
      </c>
      <c r="C34" s="8" t="s">
        <v>7497</v>
      </c>
      <c r="D34" s="196" t="s">
        <v>7498</v>
      </c>
      <c r="E34" s="166">
        <v>2</v>
      </c>
      <c r="F34" s="181" t="s">
        <v>7499</v>
      </c>
      <c r="G34" s="189" t="s">
        <v>2750</v>
      </c>
      <c r="H34" s="58" t="s">
        <v>7500</v>
      </c>
      <c r="I34" t="s">
        <v>8588</v>
      </c>
      <c r="J34" t="s">
        <v>7815</v>
      </c>
      <c r="K34" t="s">
        <v>7305</v>
      </c>
      <c r="L34" t="s">
        <v>8277</v>
      </c>
      <c r="M34" t="s">
        <v>8292</v>
      </c>
      <c r="N34" t="s">
        <v>8326</v>
      </c>
      <c r="O34" t="s">
        <v>8668</v>
      </c>
      <c r="P34" t="s">
        <v>8671</v>
      </c>
    </row>
    <row r="35" spans="1:16">
      <c r="A35" s="7" t="s">
        <v>2827</v>
      </c>
      <c r="B35" s="179" t="s">
        <v>7501</v>
      </c>
      <c r="C35" s="8" t="s">
        <v>7502</v>
      </c>
      <c r="D35" s="196" t="s">
        <v>2833</v>
      </c>
      <c r="E35" s="166">
        <v>2</v>
      </c>
      <c r="F35" s="181" t="s">
        <v>7503</v>
      </c>
      <c r="G35" s="189" t="s">
        <v>2750</v>
      </c>
      <c r="H35" s="58" t="s">
        <v>7504</v>
      </c>
      <c r="I35" t="s">
        <v>8588</v>
      </c>
      <c r="J35" t="s">
        <v>7840</v>
      </c>
      <c r="K35" t="s">
        <v>7350</v>
      </c>
      <c r="L35" t="s">
        <v>8277</v>
      </c>
      <c r="M35" t="s">
        <v>8292</v>
      </c>
      <c r="N35" t="s">
        <v>8339</v>
      </c>
      <c r="O35" t="s">
        <v>8669</v>
      </c>
      <c r="P35" t="s">
        <v>8672</v>
      </c>
    </row>
    <row r="36" spans="1:16">
      <c r="A36" s="7" t="s">
        <v>2827</v>
      </c>
      <c r="B36" s="179" t="s">
        <v>7505</v>
      </c>
      <c r="C36" s="8" t="s">
        <v>7506</v>
      </c>
      <c r="D36" s="196" t="s">
        <v>2740</v>
      </c>
      <c r="E36" s="166">
        <v>1</v>
      </c>
      <c r="F36" s="181" t="s">
        <v>7507</v>
      </c>
      <c r="G36" s="189" t="s">
        <v>2750</v>
      </c>
      <c r="H36" s="58" t="s">
        <v>7508</v>
      </c>
      <c r="I36" t="s">
        <v>8588</v>
      </c>
      <c r="J36" t="s">
        <v>2740</v>
      </c>
      <c r="K36" t="s">
        <v>7290</v>
      </c>
      <c r="L36" t="s">
        <v>8277</v>
      </c>
      <c r="M36" t="s">
        <v>8307</v>
      </c>
      <c r="N36" t="s">
        <v>8674</v>
      </c>
      <c r="O36" t="s">
        <v>8669</v>
      </c>
      <c r="P36" t="s">
        <v>8671</v>
      </c>
    </row>
    <row r="37" spans="1:16">
      <c r="A37" s="7" t="s">
        <v>2846</v>
      </c>
      <c r="B37" s="179" t="s">
        <v>2847</v>
      </c>
      <c r="C37" s="8" t="s">
        <v>2848</v>
      </c>
      <c r="D37" s="196" t="s">
        <v>2849</v>
      </c>
      <c r="E37" s="166">
        <v>12</v>
      </c>
      <c r="F37" s="181" t="s">
        <v>5871</v>
      </c>
      <c r="G37" s="189" t="s">
        <v>2750</v>
      </c>
      <c r="H37" s="58" t="s">
        <v>5570</v>
      </c>
      <c r="I37" t="s">
        <v>8589</v>
      </c>
    </row>
    <row r="38" spans="1:16">
      <c r="A38" s="7" t="s">
        <v>2846</v>
      </c>
      <c r="B38" s="179" t="s">
        <v>2850</v>
      </c>
      <c r="C38" s="8" t="s">
        <v>2851</v>
      </c>
      <c r="D38" s="196" t="s">
        <v>2852</v>
      </c>
      <c r="E38" s="166">
        <v>8</v>
      </c>
      <c r="F38" s="181" t="s">
        <v>5872</v>
      </c>
      <c r="G38" s="189" t="s">
        <v>2750</v>
      </c>
      <c r="H38" s="58" t="s">
        <v>5571</v>
      </c>
      <c r="I38" t="s">
        <v>8588</v>
      </c>
    </row>
    <row r="39" spans="1:16">
      <c r="A39" s="7" t="s">
        <v>2846</v>
      </c>
      <c r="B39" s="179" t="s">
        <v>2853</v>
      </c>
      <c r="C39" s="8" t="s">
        <v>2854</v>
      </c>
      <c r="D39" s="196" t="s">
        <v>2855</v>
      </c>
      <c r="E39" s="166">
        <v>8</v>
      </c>
      <c r="F39" s="181" t="s">
        <v>5873</v>
      </c>
      <c r="G39" s="189" t="s">
        <v>2750</v>
      </c>
      <c r="H39" s="58" t="s">
        <v>5572</v>
      </c>
      <c r="I39" t="s">
        <v>8588</v>
      </c>
    </row>
    <row r="40" spans="1:16">
      <c r="A40" s="7" t="s">
        <v>2846</v>
      </c>
      <c r="B40" s="179" t="s">
        <v>2856</v>
      </c>
      <c r="C40" s="8" t="s">
        <v>2857</v>
      </c>
      <c r="D40" s="196" t="s">
        <v>2858</v>
      </c>
      <c r="E40" s="166">
        <v>6</v>
      </c>
      <c r="F40" s="181" t="s">
        <v>5874</v>
      </c>
      <c r="G40" s="189" t="s">
        <v>2750</v>
      </c>
      <c r="H40" s="58" t="s">
        <v>5573</v>
      </c>
      <c r="I40" t="s">
        <v>8614</v>
      </c>
    </row>
    <row r="41" spans="1:16">
      <c r="A41" s="7" t="s">
        <v>2846</v>
      </c>
      <c r="B41" s="179" t="s">
        <v>2859</v>
      </c>
      <c r="C41" s="8" t="s">
        <v>2860</v>
      </c>
      <c r="D41" s="196" t="s">
        <v>2861</v>
      </c>
      <c r="E41" s="166">
        <v>6</v>
      </c>
      <c r="F41" s="181" t="s">
        <v>5875</v>
      </c>
      <c r="G41" s="189" t="s">
        <v>2750</v>
      </c>
      <c r="H41" s="58" t="s">
        <v>5574</v>
      </c>
      <c r="I41" t="s">
        <v>8588</v>
      </c>
    </row>
    <row r="42" spans="1:16">
      <c r="A42" s="7" t="s">
        <v>2862</v>
      </c>
      <c r="B42" s="179" t="s">
        <v>2863</v>
      </c>
      <c r="C42" s="8" t="s">
        <v>2864</v>
      </c>
      <c r="D42" s="196" t="s">
        <v>2865</v>
      </c>
      <c r="E42" s="166">
        <v>15</v>
      </c>
      <c r="F42" s="181" t="s">
        <v>2866</v>
      </c>
      <c r="G42" s="189" t="s">
        <v>1522</v>
      </c>
      <c r="H42" s="58" t="s">
        <v>5575</v>
      </c>
      <c r="I42" t="s">
        <v>8588</v>
      </c>
    </row>
    <row r="43" spans="1:16">
      <c r="A43" s="7" t="s">
        <v>2862</v>
      </c>
      <c r="B43" s="179" t="s">
        <v>2867</v>
      </c>
      <c r="C43" s="8" t="s">
        <v>2868</v>
      </c>
      <c r="D43" s="196" t="s">
        <v>2869</v>
      </c>
      <c r="E43" s="166">
        <v>8</v>
      </c>
      <c r="F43" s="181" t="s">
        <v>2870</v>
      </c>
      <c r="G43" s="189" t="s">
        <v>2750</v>
      </c>
      <c r="H43" s="58" t="s">
        <v>5576</v>
      </c>
      <c r="I43" t="s">
        <v>8588</v>
      </c>
    </row>
    <row r="44" spans="1:16">
      <c r="A44" s="7" t="s">
        <v>2862</v>
      </c>
      <c r="B44" s="179" t="s">
        <v>2871</v>
      </c>
      <c r="C44" s="8" t="s">
        <v>2872</v>
      </c>
      <c r="D44" s="196" t="s">
        <v>2873</v>
      </c>
      <c r="E44" s="166">
        <v>6</v>
      </c>
      <c r="F44" s="181" t="s">
        <v>2874</v>
      </c>
      <c r="G44" s="189" t="s">
        <v>2750</v>
      </c>
      <c r="H44" s="58" t="s">
        <v>5577</v>
      </c>
      <c r="I44" t="s">
        <v>8588</v>
      </c>
    </row>
    <row r="45" spans="1:16">
      <c r="A45" s="7" t="s">
        <v>2862</v>
      </c>
      <c r="B45" s="179" t="s">
        <v>2875</v>
      </c>
      <c r="C45" s="8" t="s">
        <v>2876</v>
      </c>
      <c r="D45" s="196" t="s">
        <v>2877</v>
      </c>
      <c r="E45" s="166">
        <v>5</v>
      </c>
      <c r="F45" s="181" t="s">
        <v>2878</v>
      </c>
      <c r="G45" s="189" t="s">
        <v>2750</v>
      </c>
      <c r="H45" s="58" t="s">
        <v>5578</v>
      </c>
      <c r="I45" t="s">
        <v>8588</v>
      </c>
    </row>
    <row r="46" spans="1:16">
      <c r="A46" s="7" t="s">
        <v>2862</v>
      </c>
      <c r="B46" s="179" t="s">
        <v>2879</v>
      </c>
      <c r="C46" s="8" t="s">
        <v>2880</v>
      </c>
      <c r="D46" s="196" t="s">
        <v>2881</v>
      </c>
      <c r="E46" s="166">
        <v>4</v>
      </c>
      <c r="F46" s="181" t="s">
        <v>2882</v>
      </c>
      <c r="G46" s="189" t="s">
        <v>2750</v>
      </c>
      <c r="H46" s="58" t="s">
        <v>5579</v>
      </c>
      <c r="I46" t="s">
        <v>8588</v>
      </c>
    </row>
    <row r="47" spans="1:16" ht="34">
      <c r="A47" s="334" t="s">
        <v>2862</v>
      </c>
      <c r="B47" s="335" t="s">
        <v>5598</v>
      </c>
      <c r="C47" s="320" t="s">
        <v>5599</v>
      </c>
      <c r="D47" s="336" t="s">
        <v>5600</v>
      </c>
      <c r="E47" s="337">
        <v>5</v>
      </c>
      <c r="F47" s="338" t="s">
        <v>5601</v>
      </c>
      <c r="G47" s="339" t="s">
        <v>2750</v>
      </c>
      <c r="H47" s="348" t="s">
        <v>5602</v>
      </c>
      <c r="I47" t="s">
        <v>8588</v>
      </c>
    </row>
    <row r="48" spans="1:16">
      <c r="A48" s="7" t="s">
        <v>2883</v>
      </c>
      <c r="B48" s="179" t="s">
        <v>2884</v>
      </c>
      <c r="C48" s="8" t="s">
        <v>2885</v>
      </c>
      <c r="D48" s="196" t="s">
        <v>2886</v>
      </c>
      <c r="E48" s="166">
        <v>10</v>
      </c>
      <c r="F48" s="181" t="s">
        <v>2887</v>
      </c>
      <c r="G48" s="189" t="s">
        <v>2750</v>
      </c>
      <c r="H48" s="58" t="s">
        <v>5580</v>
      </c>
      <c r="I48" t="s">
        <v>8588</v>
      </c>
    </row>
    <row r="49" spans="1:16">
      <c r="A49" s="7" t="s">
        <v>2883</v>
      </c>
      <c r="B49" s="179" t="s">
        <v>2888</v>
      </c>
      <c r="C49" s="8" t="s">
        <v>2889</v>
      </c>
      <c r="D49" s="196" t="s">
        <v>2890</v>
      </c>
      <c r="E49" s="166">
        <v>12</v>
      </c>
      <c r="F49" s="181" t="s">
        <v>2891</v>
      </c>
      <c r="G49" s="189" t="s">
        <v>2750</v>
      </c>
      <c r="H49" s="58" t="s">
        <v>5581</v>
      </c>
      <c r="I49" t="s">
        <v>8588</v>
      </c>
    </row>
    <row r="50" spans="1:16">
      <c r="A50" s="7" t="s">
        <v>2883</v>
      </c>
      <c r="B50" s="179" t="s">
        <v>2892</v>
      </c>
      <c r="C50" s="8" t="s">
        <v>2893</v>
      </c>
      <c r="D50" s="196" t="s">
        <v>2894</v>
      </c>
      <c r="E50" s="166">
        <v>8</v>
      </c>
      <c r="F50" s="181" t="s">
        <v>2895</v>
      </c>
      <c r="G50" s="189" t="s">
        <v>2750</v>
      </c>
      <c r="H50" s="58" t="s">
        <v>5582</v>
      </c>
      <c r="I50" t="s">
        <v>8588</v>
      </c>
    </row>
    <row r="51" spans="1:16">
      <c r="A51" s="7" t="s">
        <v>2883</v>
      </c>
      <c r="B51" s="179" t="s">
        <v>2896</v>
      </c>
      <c r="C51" s="8" t="s">
        <v>2897</v>
      </c>
      <c r="D51" s="196" t="s">
        <v>2898</v>
      </c>
      <c r="E51" s="166">
        <v>6</v>
      </c>
      <c r="F51" s="181" t="s">
        <v>2899</v>
      </c>
      <c r="G51" s="189" t="s">
        <v>2750</v>
      </c>
      <c r="H51" s="58" t="s">
        <v>5583</v>
      </c>
      <c r="I51" t="s">
        <v>8588</v>
      </c>
    </row>
    <row r="52" spans="1:16">
      <c r="A52" s="7" t="s">
        <v>2883</v>
      </c>
      <c r="B52" s="179" t="s">
        <v>7509</v>
      </c>
      <c r="C52" s="8" t="s">
        <v>7510</v>
      </c>
      <c r="D52" s="196" t="s">
        <v>7511</v>
      </c>
      <c r="E52" s="166">
        <v>3</v>
      </c>
      <c r="F52" s="181" t="s">
        <v>7512</v>
      </c>
      <c r="G52" s="189" t="s">
        <v>2750</v>
      </c>
      <c r="H52" s="58" t="s">
        <v>7513</v>
      </c>
      <c r="I52" t="s">
        <v>8588</v>
      </c>
      <c r="J52" t="s">
        <v>2740</v>
      </c>
      <c r="K52" t="s">
        <v>7290</v>
      </c>
      <c r="L52" t="s">
        <v>8277</v>
      </c>
      <c r="M52" t="s">
        <v>8305</v>
      </c>
      <c r="N52" t="s">
        <v>8675</v>
      </c>
      <c r="O52" t="s">
        <v>8669</v>
      </c>
      <c r="P52" t="s">
        <v>8671</v>
      </c>
    </row>
    <row r="53" spans="1:16">
      <c r="A53" s="7" t="s">
        <v>2900</v>
      </c>
      <c r="B53" s="179" t="s">
        <v>2901</v>
      </c>
      <c r="C53" s="8" t="s">
        <v>2902</v>
      </c>
      <c r="D53" s="196" t="s">
        <v>2903</v>
      </c>
      <c r="E53" s="166">
        <v>8</v>
      </c>
      <c r="F53" s="181" t="s">
        <v>2904</v>
      </c>
      <c r="G53" s="189" t="s">
        <v>2750</v>
      </c>
      <c r="H53" s="58" t="s">
        <v>5584</v>
      </c>
      <c r="I53" t="s">
        <v>8588</v>
      </c>
    </row>
    <row r="54" spans="1:16">
      <c r="A54" s="7" t="s">
        <v>2900</v>
      </c>
      <c r="B54" s="179" t="s">
        <v>2905</v>
      </c>
      <c r="C54" s="8" t="s">
        <v>2906</v>
      </c>
      <c r="D54" s="196" t="s">
        <v>2907</v>
      </c>
      <c r="E54" s="166">
        <v>6</v>
      </c>
      <c r="F54" s="181" t="s">
        <v>2908</v>
      </c>
      <c r="G54" s="189" t="s">
        <v>2750</v>
      </c>
      <c r="H54" s="58" t="s">
        <v>5585</v>
      </c>
      <c r="I54" t="s">
        <v>8588</v>
      </c>
    </row>
    <row r="55" spans="1:16">
      <c r="A55" s="9" t="s">
        <v>2900</v>
      </c>
      <c r="B55" s="180" t="s">
        <v>2909</v>
      </c>
      <c r="C55" s="10" t="s">
        <v>2910</v>
      </c>
      <c r="D55" s="197" t="s">
        <v>2911</v>
      </c>
      <c r="E55" s="167">
        <v>8</v>
      </c>
      <c r="F55" s="182" t="s">
        <v>2912</v>
      </c>
      <c r="G55" s="190" t="s">
        <v>2750</v>
      </c>
      <c r="H55" s="58" t="s">
        <v>5586</v>
      </c>
      <c r="I55" t="s">
        <v>8588</v>
      </c>
    </row>
    <row r="56" spans="1:16" ht="34">
      <c r="A56" s="340" t="s">
        <v>5603</v>
      </c>
      <c r="B56" s="341" t="s">
        <v>5604</v>
      </c>
      <c r="C56" s="342" t="s">
        <v>5605</v>
      </c>
      <c r="D56" s="343" t="s">
        <v>2740</v>
      </c>
      <c r="E56" s="344">
        <v>12</v>
      </c>
      <c r="F56" s="345" t="s">
        <v>5606</v>
      </c>
      <c r="G56" s="346" t="s">
        <v>2750</v>
      </c>
      <c r="H56" s="349" t="s">
        <v>5607</v>
      </c>
      <c r="I56" t="s">
        <v>8588</v>
      </c>
    </row>
    <row r="57" spans="1:16" ht="34">
      <c r="A57" s="340" t="s">
        <v>5603</v>
      </c>
      <c r="B57" s="341" t="s">
        <v>5608</v>
      </c>
      <c r="C57" s="342" t="s">
        <v>5609</v>
      </c>
      <c r="D57" s="343" t="s">
        <v>2740</v>
      </c>
      <c r="E57" s="344">
        <v>10</v>
      </c>
      <c r="F57" s="345" t="s">
        <v>5610</v>
      </c>
      <c r="G57" s="346" t="s">
        <v>2750</v>
      </c>
      <c r="H57" s="349" t="s">
        <v>5611</v>
      </c>
      <c r="I57" t="s">
        <v>8588</v>
      </c>
    </row>
    <row r="58" spans="1:16">
      <c r="A58" s="340" t="s">
        <v>5603</v>
      </c>
      <c r="B58" s="341" t="s">
        <v>5612</v>
      </c>
      <c r="C58" s="342" t="s">
        <v>5613</v>
      </c>
      <c r="D58" s="343" t="s">
        <v>2740</v>
      </c>
      <c r="E58" s="344">
        <v>12</v>
      </c>
      <c r="F58" s="345" t="s">
        <v>5614</v>
      </c>
      <c r="G58" s="346" t="s">
        <v>2750</v>
      </c>
      <c r="H58" s="349" t="s">
        <v>5615</v>
      </c>
      <c r="I58" t="s">
        <v>8588</v>
      </c>
    </row>
    <row r="59" spans="1:16" ht="34">
      <c r="A59" s="340" t="s">
        <v>5616</v>
      </c>
      <c r="B59" s="341" t="s">
        <v>5617</v>
      </c>
      <c r="C59" s="342" t="s">
        <v>5618</v>
      </c>
      <c r="D59" s="343" t="s">
        <v>2740</v>
      </c>
      <c r="E59" s="344">
        <v>10</v>
      </c>
      <c r="F59" s="345" t="s">
        <v>5619</v>
      </c>
      <c r="G59" s="346" t="s">
        <v>2750</v>
      </c>
      <c r="H59" s="349" t="s">
        <v>5620</v>
      </c>
      <c r="I59" t="s">
        <v>8588</v>
      </c>
    </row>
    <row r="60" spans="1:16">
      <c r="H60" s="58"/>
    </row>
    <row r="62" spans="1:16">
      <c r="A62" s="168" t="s">
        <v>5624</v>
      </c>
    </row>
    <row r="63" spans="1:16">
      <c r="A63" s="321" t="s">
        <v>1</v>
      </c>
      <c r="B63" s="322" t="s">
        <v>2741</v>
      </c>
      <c r="C63" s="322" t="s">
        <v>5397</v>
      </c>
      <c r="D63" s="323" t="s">
        <v>5395</v>
      </c>
      <c r="E63" s="353" t="s">
        <v>2736</v>
      </c>
    </row>
    <row r="64" spans="1:16">
      <c r="A64" s="324" t="s">
        <v>2745</v>
      </c>
      <c r="B64" s="325">
        <f>COUNTIFS($A$6:$A$59,$A64)</f>
        <v>9</v>
      </c>
      <c r="C64" s="325">
        <f>SUMIFS($E$6:$E$59,$A$6:$A$59,$A64)</f>
        <v>47</v>
      </c>
      <c r="D64" s="326">
        <v>47</v>
      </c>
      <c r="E64">
        <f>C64-D64</f>
        <v>0</v>
      </c>
    </row>
    <row r="65" spans="1:5">
      <c r="A65" s="324" t="s">
        <v>2775</v>
      </c>
      <c r="B65" s="325">
        <f>COUNTIFS($A$6:$A$59,$A65)</f>
        <v>9</v>
      </c>
      <c r="C65" s="325">
        <f>SUMIFS($E$6:$E$59,$A$6:$A$59,$A65)</f>
        <v>87</v>
      </c>
      <c r="D65" s="326">
        <v>87</v>
      </c>
      <c r="E65">
        <f>C65-D65</f>
        <v>0</v>
      </c>
    </row>
    <row r="66" spans="1:5">
      <c r="A66" s="324" t="s">
        <v>2810</v>
      </c>
      <c r="B66" s="325">
        <f>COUNTIFS($A$6:$A$59,$A66)</f>
        <v>4</v>
      </c>
      <c r="C66" s="325">
        <f>SUMIFS($E$6:$E$59,$A$6:$A$59,$A66)</f>
        <v>38</v>
      </c>
      <c r="D66" s="326">
        <v>38</v>
      </c>
      <c r="E66">
        <f>C66-D66</f>
        <v>0</v>
      </c>
    </row>
    <row r="67" spans="1:5">
      <c r="A67" s="324" t="s">
        <v>2827</v>
      </c>
      <c r="B67" s="325">
        <f>COUNTIFS($A$6:$A$59,$A67)</f>
        <v>9</v>
      </c>
      <c r="C67" s="325">
        <f>SUMIFS($E$6:$E$59,$A$6:$A$59,$A67)</f>
        <v>69</v>
      </c>
      <c r="D67" s="326">
        <v>69</v>
      </c>
      <c r="E67">
        <f>C67-D67</f>
        <v>0</v>
      </c>
    </row>
    <row r="68" spans="1:5">
      <c r="A68" s="324" t="s">
        <v>2846</v>
      </c>
      <c r="B68" s="325">
        <f>COUNTIFS($A$6:$A$59,$A68)</f>
        <v>5</v>
      </c>
      <c r="C68" s="325">
        <f>SUMIFS($E$6:$E$59,$A$6:$A$59,$A68)</f>
        <v>40</v>
      </c>
      <c r="D68" s="326">
        <v>40</v>
      </c>
      <c r="E68">
        <f>C68-D68</f>
        <v>0</v>
      </c>
    </row>
    <row r="69" spans="1:5">
      <c r="A69" s="324" t="s">
        <v>2862</v>
      </c>
      <c r="B69" s="325">
        <f>COUNTIFS($A$6:$A$59,$A69)</f>
        <v>6</v>
      </c>
      <c r="C69" s="325">
        <f>SUMIFS($E$6:$E$59,$A$6:$A$59,$A69)</f>
        <v>43</v>
      </c>
      <c r="D69" s="326">
        <v>43</v>
      </c>
      <c r="E69">
        <f>C69-D69</f>
        <v>0</v>
      </c>
    </row>
    <row r="70" spans="1:5">
      <c r="A70" s="324" t="s">
        <v>2883</v>
      </c>
      <c r="B70" s="325">
        <f>COUNTIFS($A$6:$A$59,$A70)</f>
        <v>5</v>
      </c>
      <c r="C70" s="325">
        <f>SUMIFS($E$6:$E$59,$A$6:$A$59,$A70)</f>
        <v>39</v>
      </c>
      <c r="D70" s="326">
        <v>39</v>
      </c>
      <c r="E70">
        <f>C70-D70</f>
        <v>0</v>
      </c>
    </row>
    <row r="71" spans="1:5">
      <c r="A71" s="324" t="s">
        <v>2900</v>
      </c>
      <c r="B71" s="325">
        <f>COUNTIFS($A$6:$A$59,$A71)</f>
        <v>3</v>
      </c>
      <c r="C71" s="325">
        <f>SUMIFS($E$6:$E$59,$A$6:$A$59,$A71)</f>
        <v>22</v>
      </c>
      <c r="D71" s="326">
        <v>22</v>
      </c>
      <c r="E71">
        <f>C71-D71</f>
        <v>0</v>
      </c>
    </row>
    <row r="72" spans="1:5">
      <c r="A72" s="324" t="s">
        <v>5603</v>
      </c>
      <c r="B72" s="325">
        <f>COUNTIFS($A$6:$A$59,$A72)</f>
        <v>3</v>
      </c>
      <c r="C72" s="325">
        <f>SUMIFS($E$6:$E$59,$A$6:$A$59,$A72)</f>
        <v>34</v>
      </c>
      <c r="D72" s="326">
        <v>34</v>
      </c>
      <c r="E72">
        <f>C72-D72</f>
        <v>0</v>
      </c>
    </row>
    <row r="73" spans="1:5">
      <c r="A73" s="324" t="s">
        <v>5616</v>
      </c>
      <c r="B73" s="325">
        <f>COUNTIFS($A$6:$A$59,$A73)</f>
        <v>1</v>
      </c>
      <c r="C73" s="325">
        <f>SUMIFS($E$6:$E$59,$A$6:$A$59,$A73)</f>
        <v>10</v>
      </c>
      <c r="D73" s="326">
        <v>10</v>
      </c>
      <c r="E73">
        <f>C73-D73</f>
        <v>0</v>
      </c>
    </row>
    <row r="74" spans="1:5">
      <c r="A74" s="350" t="s">
        <v>7</v>
      </c>
      <c r="B74" s="351">
        <f>SUM(B64:B73)</f>
        <v>54</v>
      </c>
      <c r="C74" s="351">
        <f>SUM(C64:C73)</f>
        <v>429</v>
      </c>
      <c r="D74" s="352">
        <v>429</v>
      </c>
      <c r="E74">
        <f>C74-D74</f>
        <v>0</v>
      </c>
    </row>
    <row r="76" spans="1:5">
      <c r="A76" s="168" t="s">
        <v>5625</v>
      </c>
    </row>
    <row r="77" spans="1:5">
      <c r="A77" s="291" t="s">
        <v>5626</v>
      </c>
    </row>
    <row r="78" spans="1:5">
      <c r="A78" s="321" t="s">
        <v>5367</v>
      </c>
      <c r="B78" s="322" t="s">
        <v>5406</v>
      </c>
      <c r="C78" s="322" t="s">
        <v>5369</v>
      </c>
      <c r="D78" s="322" t="s">
        <v>5407</v>
      </c>
      <c r="E78" s="323" t="s">
        <v>666</v>
      </c>
    </row>
    <row r="79" spans="1:5" ht="36" customHeight="1">
      <c r="A79" s="324" t="s">
        <v>5627</v>
      </c>
      <c r="B79" s="333" t="s">
        <v>5628</v>
      </c>
      <c r="C79" s="333" t="s">
        <v>5629</v>
      </c>
      <c r="D79" s="325">
        <v>10</v>
      </c>
      <c r="E79" s="326" t="s">
        <v>5393</v>
      </c>
    </row>
    <row r="80" spans="1:5" ht="36" customHeight="1">
      <c r="A80" s="324" t="s">
        <v>5630</v>
      </c>
      <c r="B80" s="333" t="s">
        <v>5631</v>
      </c>
      <c r="C80" s="333" t="s">
        <v>5632</v>
      </c>
      <c r="D80" s="325">
        <v>12</v>
      </c>
      <c r="E80" s="326" t="s">
        <v>5393</v>
      </c>
    </row>
    <row r="81" spans="1:5" ht="36" customHeight="1">
      <c r="A81" s="324" t="s">
        <v>5633</v>
      </c>
      <c r="B81" s="333" t="s">
        <v>5634</v>
      </c>
      <c r="C81" s="333" t="s">
        <v>5635</v>
      </c>
      <c r="D81" s="325">
        <v>6</v>
      </c>
      <c r="E81" s="326" t="s">
        <v>5393</v>
      </c>
    </row>
    <row r="82" spans="1:5" ht="36" customHeight="1">
      <c r="A82" s="324" t="s">
        <v>5636</v>
      </c>
      <c r="B82" s="333" t="s">
        <v>5637</v>
      </c>
      <c r="C82" s="333" t="s">
        <v>5638</v>
      </c>
      <c r="D82" s="325">
        <v>8</v>
      </c>
      <c r="E82" s="326" t="s">
        <v>5393</v>
      </c>
    </row>
    <row r="83" spans="1:5" ht="36" customHeight="1">
      <c r="A83" s="324" t="s">
        <v>5639</v>
      </c>
      <c r="B83" s="333" t="s">
        <v>5640</v>
      </c>
      <c r="C83" s="333" t="s">
        <v>5641</v>
      </c>
      <c r="D83" s="325">
        <v>6</v>
      </c>
      <c r="E83" s="326" t="s">
        <v>5393</v>
      </c>
    </row>
    <row r="84" spans="1:5" ht="36" customHeight="1">
      <c r="A84" s="324" t="s">
        <v>5642</v>
      </c>
      <c r="B84" s="333" t="s">
        <v>5643</v>
      </c>
      <c r="C84" s="333" t="s">
        <v>5644</v>
      </c>
      <c r="D84" s="325">
        <v>8</v>
      </c>
      <c r="E84" s="326" t="s">
        <v>5393</v>
      </c>
    </row>
    <row r="85" spans="1:5">
      <c r="A85" s="327" t="s">
        <v>5645</v>
      </c>
      <c r="B85" s="328"/>
      <c r="C85" s="328"/>
      <c r="D85" s="328">
        <f>SUM(D79:D84)</f>
        <v>50</v>
      </c>
      <c r="E85" s="329"/>
    </row>
    <row r="86" spans="1:5">
      <c r="A86" s="330" t="s">
        <v>5646</v>
      </c>
      <c r="B86" s="331"/>
      <c r="C86" s="331"/>
      <c r="D86" s="331">
        <f>C74+D85</f>
        <v>479</v>
      </c>
      <c r="E86" s="332"/>
    </row>
  </sheetData>
  <autoFilter ref="A5:G55" xr:uid="{513185A0-2764-294B-9250-00ECB5CCB839}"/>
  <phoneticPr fontId="3"/>
  <conditionalFormatting sqref="A6:G59">
    <cfRule type="expression" dxfId="52"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37" t="s">
        <v>3592</v>
      </c>
    </row>
    <row r="2" spans="1:1">
      <c r="A2" s="34" t="s">
        <v>3593</v>
      </c>
    </row>
    <row r="3" spans="1:1">
      <c r="A3" s="34" t="s">
        <v>3594</v>
      </c>
    </row>
    <row r="4" spans="1:1">
      <c r="A4" s="34"/>
    </row>
    <row r="5" spans="1:1">
      <c r="A5" s="85" t="s">
        <v>3595</v>
      </c>
    </row>
    <row r="6" spans="1:1">
      <c r="A6" s="239" t="s">
        <v>3596</v>
      </c>
    </row>
    <row r="7" spans="1:1">
      <c r="A7" s="239" t="s">
        <v>3597</v>
      </c>
    </row>
    <row r="8" spans="1:1">
      <c r="A8" s="239" t="s">
        <v>3598</v>
      </c>
    </row>
    <row r="9" spans="1:1">
      <c r="A9" s="239" t="s">
        <v>3599</v>
      </c>
    </row>
    <row r="10" spans="1:1">
      <c r="A10" s="239"/>
    </row>
    <row r="11" spans="1:1">
      <c r="A11" s="239" t="s">
        <v>3600</v>
      </c>
    </row>
    <row r="12" spans="1:1">
      <c r="A12" s="239" t="s">
        <v>3601</v>
      </c>
    </row>
    <row r="13" spans="1:1">
      <c r="A13" s="239" t="s">
        <v>3602</v>
      </c>
    </row>
    <row r="14" spans="1:1">
      <c r="A14" s="239" t="s">
        <v>3603</v>
      </c>
    </row>
    <row r="15" spans="1:1">
      <c r="A15" s="239" t="s">
        <v>3604</v>
      </c>
    </row>
    <row r="16" spans="1:1">
      <c r="A16" s="239"/>
    </row>
    <row r="17" spans="1:1">
      <c r="A17" s="239" t="s">
        <v>3605</v>
      </c>
    </row>
    <row r="18" spans="1:1">
      <c r="A18" s="239" t="s">
        <v>3606</v>
      </c>
    </row>
    <row r="19" spans="1:1">
      <c r="A19" s="239"/>
    </row>
    <row r="20" spans="1:1">
      <c r="A20" s="239" t="s">
        <v>3607</v>
      </c>
    </row>
    <row r="21" spans="1:1">
      <c r="A21" s="239" t="s">
        <v>3598</v>
      </c>
    </row>
    <row r="22" spans="1:1">
      <c r="A22" s="239" t="s">
        <v>3608</v>
      </c>
    </row>
    <row r="23" spans="1:1">
      <c r="A23" s="239" t="s">
        <v>3609</v>
      </c>
    </row>
    <row r="24" spans="1:1">
      <c r="A24" s="239"/>
    </row>
    <row r="25" spans="1:1">
      <c r="A25" s="239" t="s">
        <v>3610</v>
      </c>
    </row>
    <row r="26" spans="1:1">
      <c r="A26" s="239"/>
    </row>
    <row r="27" spans="1:1">
      <c r="A27" s="239" t="s">
        <v>3611</v>
      </c>
    </row>
    <row r="28" spans="1:1">
      <c r="A28" s="239" t="s">
        <v>3612</v>
      </c>
    </row>
    <row r="29" spans="1:1">
      <c r="A29" s="239" t="s">
        <v>3613</v>
      </c>
    </row>
    <row r="30" spans="1:1">
      <c r="A30" s="239" t="s">
        <v>3614</v>
      </c>
    </row>
    <row r="31" spans="1:1">
      <c r="A31" s="239" t="s">
        <v>3615</v>
      </c>
    </row>
    <row r="32" spans="1:1">
      <c r="A32" s="239" t="s">
        <v>3616</v>
      </c>
    </row>
    <row r="33" spans="1:1">
      <c r="A33" s="239" t="s">
        <v>3617</v>
      </c>
    </row>
    <row r="34" spans="1:1">
      <c r="A34" s="239" t="s">
        <v>3618</v>
      </c>
    </row>
    <row r="35" spans="1:1">
      <c r="A35" s="239" t="s">
        <v>3619</v>
      </c>
    </row>
    <row r="36" spans="1:1">
      <c r="A36" s="239"/>
    </row>
    <row r="37" spans="1:1">
      <c r="A37" s="239" t="s">
        <v>3620</v>
      </c>
    </row>
    <row r="38" spans="1:1">
      <c r="A38" s="239" t="s">
        <v>3621</v>
      </c>
    </row>
    <row r="39" spans="1:1">
      <c r="A39" s="239" t="s">
        <v>3622</v>
      </c>
    </row>
    <row r="40" spans="1:1">
      <c r="A40" s="239" t="s">
        <v>3623</v>
      </c>
    </row>
    <row r="41" spans="1:1">
      <c r="A41" s="239" t="s">
        <v>3624</v>
      </c>
    </row>
    <row r="42" spans="1:1">
      <c r="A42" s="239" t="s">
        <v>3625</v>
      </c>
    </row>
    <row r="43" spans="1:1">
      <c r="A43" s="239" t="s">
        <v>3626</v>
      </c>
    </row>
    <row r="44" spans="1:1">
      <c r="A44" s="239" t="s">
        <v>3627</v>
      </c>
    </row>
    <row r="45" spans="1:1">
      <c r="A45" s="239"/>
    </row>
    <row r="46" spans="1:1">
      <c r="A46" s="239" t="s">
        <v>3628</v>
      </c>
    </row>
    <row r="47" spans="1:1">
      <c r="A47" s="239" t="s">
        <v>3629</v>
      </c>
    </row>
    <row r="48" spans="1:1">
      <c r="A48" s="239" t="s">
        <v>3630</v>
      </c>
    </row>
    <row r="49" spans="1:1">
      <c r="A49" s="239" t="s">
        <v>3631</v>
      </c>
    </row>
    <row r="50" spans="1:1">
      <c r="A50" s="239" t="s">
        <v>3632</v>
      </c>
    </row>
    <row r="51" spans="1:1">
      <c r="A51" s="239" t="s">
        <v>3633</v>
      </c>
    </row>
    <row r="52" spans="1:1">
      <c r="A52" s="239" t="s">
        <v>3634</v>
      </c>
    </row>
    <row r="53" spans="1:1">
      <c r="A53" s="239" t="s">
        <v>3635</v>
      </c>
    </row>
    <row r="54" spans="1:1">
      <c r="A54" s="239" t="s">
        <v>3636</v>
      </c>
    </row>
    <row r="55" spans="1:1">
      <c r="A55" s="239" t="s">
        <v>3637</v>
      </c>
    </row>
    <row r="56" spans="1:1">
      <c r="A56" s="239" t="s">
        <v>3638</v>
      </c>
    </row>
    <row r="57" spans="1:1">
      <c r="A57" s="239" t="s">
        <v>3639</v>
      </c>
    </row>
    <row r="58" spans="1:1">
      <c r="A58" s="239" t="s">
        <v>3640</v>
      </c>
    </row>
    <row r="59" spans="1:1">
      <c r="A59" s="239" t="s">
        <v>3641</v>
      </c>
    </row>
    <row r="60" spans="1:1">
      <c r="A60" s="239" t="s">
        <v>3642</v>
      </c>
    </row>
    <row r="61" spans="1:1">
      <c r="A61" s="239" t="s">
        <v>3643</v>
      </c>
    </row>
    <row r="62" spans="1:1">
      <c r="A62" s="239" t="s">
        <v>3644</v>
      </c>
    </row>
    <row r="63" spans="1:1">
      <c r="A63" s="239" t="s">
        <v>3637</v>
      </c>
    </row>
    <row r="64" spans="1:1">
      <c r="A64" s="239" t="s">
        <v>3645</v>
      </c>
    </row>
    <row r="65" spans="1:1">
      <c r="A65" s="239"/>
    </row>
    <row r="66" spans="1:1">
      <c r="A66" s="239" t="s">
        <v>3646</v>
      </c>
    </row>
    <row r="67" spans="1:1">
      <c r="A67" s="239" t="s">
        <v>3647</v>
      </c>
    </row>
    <row r="68" spans="1:1">
      <c r="A68" s="239" t="s">
        <v>3648</v>
      </c>
    </row>
    <row r="69" spans="1:1">
      <c r="A69" s="239" t="s">
        <v>3649</v>
      </c>
    </row>
    <row r="70" spans="1:1">
      <c r="A70" s="239" t="s">
        <v>3650</v>
      </c>
    </row>
    <row r="71" spans="1:1">
      <c r="A71" s="239" t="s">
        <v>3651</v>
      </c>
    </row>
    <row r="72" spans="1:1">
      <c r="A72" s="239" t="s">
        <v>3652</v>
      </c>
    </row>
    <row r="73" spans="1:1">
      <c r="A73" s="239" t="s">
        <v>3653</v>
      </c>
    </row>
    <row r="74" spans="1:1">
      <c r="A74" s="239" t="s">
        <v>3654</v>
      </c>
    </row>
    <row r="75" spans="1:1">
      <c r="A75" s="239"/>
    </row>
    <row r="76" spans="1:1">
      <c r="A76" s="239" t="s">
        <v>3655</v>
      </c>
    </row>
    <row r="77" spans="1:1">
      <c r="A77" s="239" t="s">
        <v>3656</v>
      </c>
    </row>
    <row r="78" spans="1:1">
      <c r="A78" s="239" t="s">
        <v>3657</v>
      </c>
    </row>
    <row r="79" spans="1:1">
      <c r="A79" s="239" t="s">
        <v>3658</v>
      </c>
    </row>
    <row r="80" spans="1:1">
      <c r="A80" s="239" t="s">
        <v>3659</v>
      </c>
    </row>
    <row r="81" spans="1:1">
      <c r="A81" s="239" t="s">
        <v>3660</v>
      </c>
    </row>
    <row r="82" spans="1:1">
      <c r="A82" s="239"/>
    </row>
    <row r="83" spans="1:1">
      <c r="A83" s="239" t="s">
        <v>3661</v>
      </c>
    </row>
    <row r="84" spans="1:1">
      <c r="A84" s="239" t="s">
        <v>3662</v>
      </c>
    </row>
    <row r="85" spans="1:1">
      <c r="A85" s="239"/>
    </row>
    <row r="86" spans="1:1">
      <c r="A86" s="239" t="s">
        <v>3663</v>
      </c>
    </row>
    <row r="87" spans="1:1">
      <c r="A87" s="239" t="s">
        <v>3664</v>
      </c>
    </row>
    <row r="88" spans="1:1">
      <c r="A88" s="239"/>
    </row>
    <row r="89" spans="1:1">
      <c r="A89" s="239" t="s">
        <v>3665</v>
      </c>
    </row>
    <row r="90" spans="1:1">
      <c r="A90" s="239" t="s">
        <v>3666</v>
      </c>
    </row>
    <row r="91" spans="1:1">
      <c r="A91" s="239" t="s">
        <v>3667</v>
      </c>
    </row>
    <row r="92" spans="1:1">
      <c r="A92" s="239" t="s">
        <v>3668</v>
      </c>
    </row>
    <row r="93" spans="1:1">
      <c r="A93" s="239" t="s">
        <v>3669</v>
      </c>
    </row>
    <row r="94" spans="1:1">
      <c r="A94" s="239" t="s">
        <v>3670</v>
      </c>
    </row>
    <row r="95" spans="1:1">
      <c r="A95" s="239" t="s">
        <v>3671</v>
      </c>
    </row>
    <row r="96" spans="1:1">
      <c r="A96" s="239" t="s">
        <v>3672</v>
      </c>
    </row>
    <row r="97" spans="1:1">
      <c r="A97" s="239" t="s">
        <v>3673</v>
      </c>
    </row>
    <row r="98" spans="1:1">
      <c r="A98" s="239" t="s">
        <v>3674</v>
      </c>
    </row>
    <row r="99" spans="1:1">
      <c r="A99" s="239" t="s">
        <v>3671</v>
      </c>
    </row>
    <row r="100" spans="1:1">
      <c r="A100" s="239" t="s">
        <v>3675</v>
      </c>
    </row>
    <row r="101" spans="1:1">
      <c r="A101" s="239" t="s">
        <v>3676</v>
      </c>
    </row>
    <row r="102" spans="1:1">
      <c r="A102" s="239" t="s">
        <v>3677</v>
      </c>
    </row>
    <row r="103" spans="1:1">
      <c r="A103" s="239" t="s">
        <v>3678</v>
      </c>
    </row>
    <row r="104" spans="1:1">
      <c r="A104" s="239" t="s">
        <v>3679</v>
      </c>
    </row>
    <row r="105" spans="1:1">
      <c r="A105" s="239" t="s">
        <v>3680</v>
      </c>
    </row>
    <row r="106" spans="1:1">
      <c r="A106" s="239" t="s">
        <v>3681</v>
      </c>
    </row>
    <row r="107" spans="1:1">
      <c r="A107" s="239" t="s">
        <v>3682</v>
      </c>
    </row>
    <row r="108" spans="1:1">
      <c r="A108" s="239" t="s">
        <v>3683</v>
      </c>
    </row>
    <row r="109" spans="1:1">
      <c r="A109" s="239"/>
    </row>
    <row r="110" spans="1:1">
      <c r="A110" s="239" t="s">
        <v>3684</v>
      </c>
    </row>
    <row r="111" spans="1:1">
      <c r="A111" s="239" t="s">
        <v>3685</v>
      </c>
    </row>
    <row r="112" spans="1:1">
      <c r="A112" s="239" t="s">
        <v>3686</v>
      </c>
    </row>
    <row r="113" spans="1:1">
      <c r="A113" s="239" t="s">
        <v>3687</v>
      </c>
    </row>
    <row r="114" spans="1:1">
      <c r="A114" s="239" t="s">
        <v>3688</v>
      </c>
    </row>
    <row r="115" spans="1:1">
      <c r="A115" s="239" t="s">
        <v>3689</v>
      </c>
    </row>
    <row r="116" spans="1:1">
      <c r="A116" s="239" t="s">
        <v>3690</v>
      </c>
    </row>
    <row r="117" spans="1:1">
      <c r="A117" s="239" t="s">
        <v>3691</v>
      </c>
    </row>
    <row r="118" spans="1:1">
      <c r="A118" s="239" t="s">
        <v>3692</v>
      </c>
    </row>
    <row r="119" spans="1:1">
      <c r="A119" s="239" t="s">
        <v>3693</v>
      </c>
    </row>
    <row r="120" spans="1:1">
      <c r="A120" s="239" t="s">
        <v>3694</v>
      </c>
    </row>
    <row r="121" spans="1:1">
      <c r="A121" s="239" t="s">
        <v>3695</v>
      </c>
    </row>
    <row r="122" spans="1:1">
      <c r="A122" s="239" t="s">
        <v>3696</v>
      </c>
    </row>
    <row r="123" spans="1:1">
      <c r="A123" s="239" t="s">
        <v>3697</v>
      </c>
    </row>
    <row r="124" spans="1:1">
      <c r="A124" s="239"/>
    </row>
    <row r="125" spans="1:1">
      <c r="A125" s="239" t="s">
        <v>3698</v>
      </c>
    </row>
    <row r="126" spans="1:1">
      <c r="A126" s="239" t="s">
        <v>3699</v>
      </c>
    </row>
    <row r="127" spans="1:1">
      <c r="A127" s="239"/>
    </row>
    <row r="128" spans="1:1">
      <c r="A128" s="239" t="s">
        <v>3700</v>
      </c>
    </row>
    <row r="129" spans="1:1">
      <c r="A129" s="239" t="s">
        <v>3701</v>
      </c>
    </row>
    <row r="131" spans="1:1">
      <c r="A131" s="240" t="s">
        <v>3702</v>
      </c>
    </row>
    <row r="133" spans="1:1">
      <c r="A133" s="238" t="s">
        <v>3703</v>
      </c>
    </row>
    <row r="134" spans="1:1">
      <c r="A134" s="238" t="s">
        <v>3704</v>
      </c>
    </row>
    <row r="135" spans="1:1">
      <c r="A135" s="238" t="s">
        <v>3705</v>
      </c>
    </row>
    <row r="136" spans="1:1">
      <c r="A136" s="238" t="s">
        <v>3706</v>
      </c>
    </row>
    <row r="137" spans="1:1">
      <c r="A137" s="238" t="s">
        <v>3707</v>
      </c>
    </row>
    <row r="138" spans="1:1">
      <c r="A138" s="238" t="s">
        <v>3708</v>
      </c>
    </row>
    <row r="139" spans="1:1">
      <c r="A139" s="238" t="s">
        <v>3709</v>
      </c>
    </row>
    <row r="140" spans="1:1">
      <c r="A140" s="238"/>
    </row>
    <row r="141" spans="1:1">
      <c r="A141" s="238" t="s">
        <v>3710</v>
      </c>
    </row>
    <row r="142" spans="1:1">
      <c r="A142" s="238" t="s">
        <v>3711</v>
      </c>
    </row>
    <row r="143" spans="1:1">
      <c r="A143" s="238" t="s">
        <v>3712</v>
      </c>
    </row>
    <row r="144" spans="1:1">
      <c r="A144" s="238" t="s">
        <v>3713</v>
      </c>
    </row>
    <row r="145" spans="1:1">
      <c r="A145" s="238" t="s">
        <v>3714</v>
      </c>
    </row>
    <row r="146" spans="1:1">
      <c r="A146" s="238" t="s">
        <v>3715</v>
      </c>
    </row>
    <row r="147" spans="1:1">
      <c r="A147" s="238" t="s">
        <v>3716</v>
      </c>
    </row>
    <row r="148" spans="1:1">
      <c r="A148" s="238" t="s">
        <v>3717</v>
      </c>
    </row>
    <row r="149" spans="1:1">
      <c r="A149" s="238" t="s">
        <v>3718</v>
      </c>
    </row>
    <row r="150" spans="1:1">
      <c r="A150" s="238" t="s">
        <v>3719</v>
      </c>
    </row>
    <row r="151" spans="1:1">
      <c r="A151" s="238" t="s">
        <v>3720</v>
      </c>
    </row>
    <row r="152" spans="1:1">
      <c r="A152" s="238" t="s">
        <v>3721</v>
      </c>
    </row>
    <row r="153" spans="1:1">
      <c r="A153" s="238" t="s">
        <v>3722</v>
      </c>
    </row>
    <row r="154" spans="1:1">
      <c r="A154" s="238" t="s">
        <v>3723</v>
      </c>
    </row>
    <row r="155" spans="1:1">
      <c r="A155" s="238" t="s">
        <v>3716</v>
      </c>
    </row>
    <row r="156" spans="1:1">
      <c r="A156" s="238" t="s">
        <v>3724</v>
      </c>
    </row>
    <row r="157" spans="1:1">
      <c r="A157" s="238" t="s">
        <v>3725</v>
      </c>
    </row>
    <row r="158" spans="1:1">
      <c r="A158" s="238" t="s">
        <v>3726</v>
      </c>
    </row>
    <row r="159" spans="1:1">
      <c r="A159" s="238" t="s">
        <v>3727</v>
      </c>
    </row>
    <row r="160" spans="1:1">
      <c r="A160" s="238" t="s">
        <v>3728</v>
      </c>
    </row>
    <row r="161" spans="1:1">
      <c r="A161" s="238" t="s">
        <v>3729</v>
      </c>
    </row>
    <row r="162" spans="1:1">
      <c r="A162" s="238" t="s">
        <v>3730</v>
      </c>
    </row>
    <row r="163" spans="1:1">
      <c r="A163" s="238" t="s">
        <v>3731</v>
      </c>
    </row>
    <row r="164" spans="1:1">
      <c r="A164" s="238" t="s">
        <v>3732</v>
      </c>
    </row>
    <row r="165" spans="1:1">
      <c r="A165" s="238" t="s">
        <v>3733</v>
      </c>
    </row>
    <row r="166" spans="1:1">
      <c r="A166" s="238" t="s">
        <v>3734</v>
      </c>
    </row>
    <row r="167" spans="1:1">
      <c r="A167" s="238" t="s">
        <v>3735</v>
      </c>
    </row>
    <row r="168" spans="1:1">
      <c r="A168" s="238" t="s">
        <v>3736</v>
      </c>
    </row>
    <row r="169" spans="1:1">
      <c r="A169" s="238" t="s">
        <v>3737</v>
      </c>
    </row>
    <row r="172" spans="1:1">
      <c r="A172" s="63" t="s">
        <v>3738</v>
      </c>
    </row>
    <row r="173" spans="1:1">
      <c r="A173" s="64" t="s">
        <v>3739</v>
      </c>
    </row>
    <row r="174" spans="1:1">
      <c r="A174" s="64" t="s">
        <v>3740</v>
      </c>
    </row>
    <row r="175" spans="1:1">
      <c r="A175" s="64" t="s">
        <v>3741</v>
      </c>
    </row>
    <row r="176" spans="1:1">
      <c r="A176" s="64" t="s">
        <v>3742</v>
      </c>
    </row>
    <row r="177" spans="1:1">
      <c r="A177" s="64" t="s">
        <v>3743</v>
      </c>
    </row>
    <row r="178" spans="1:1">
      <c r="A178" s="64" t="s">
        <v>3744</v>
      </c>
    </row>
  </sheetData>
  <phoneticPr fontId="3"/>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37" t="s">
        <v>4694</v>
      </c>
      <c r="B1" s="34"/>
      <c r="C1" s="34"/>
      <c r="D1" s="34"/>
      <c r="E1" s="34"/>
      <c r="F1" s="34"/>
      <c r="G1" s="34"/>
      <c r="H1" s="34"/>
      <c r="I1" s="34"/>
      <c r="J1" s="34"/>
      <c r="K1" s="34"/>
      <c r="L1" s="34"/>
      <c r="M1" s="34"/>
      <c r="N1" s="34"/>
      <c r="O1" s="34"/>
      <c r="P1" s="34"/>
    </row>
    <row r="2" spans="1:16">
      <c r="A2" s="34" t="s">
        <v>4695</v>
      </c>
      <c r="B2" s="34"/>
      <c r="C2" s="34"/>
      <c r="D2" s="34"/>
      <c r="E2" s="34"/>
      <c r="F2" s="34"/>
      <c r="G2" s="34"/>
      <c r="H2" s="34"/>
      <c r="I2" s="34"/>
      <c r="J2" s="34"/>
      <c r="K2" s="34"/>
      <c r="L2" s="34"/>
      <c r="M2" s="34"/>
      <c r="N2" s="34"/>
      <c r="O2" s="34"/>
      <c r="P2" s="34"/>
    </row>
    <row r="3" spans="1:16">
      <c r="A3" s="34" t="s">
        <v>4696</v>
      </c>
      <c r="B3" s="34"/>
      <c r="C3" s="34"/>
      <c r="D3" s="34"/>
      <c r="E3" s="34"/>
      <c r="F3" s="34"/>
      <c r="G3" s="34"/>
      <c r="H3" s="34"/>
      <c r="I3" s="34"/>
      <c r="J3" s="34"/>
      <c r="K3" s="34"/>
      <c r="L3" s="34"/>
      <c r="M3" s="34"/>
      <c r="N3" s="34"/>
      <c r="O3" s="34"/>
      <c r="P3" s="34"/>
    </row>
    <row r="4" spans="1:16">
      <c r="A4" s="34"/>
      <c r="B4" s="34"/>
      <c r="C4" s="34"/>
      <c r="D4" s="34"/>
      <c r="E4" s="34"/>
      <c r="F4" s="34"/>
      <c r="G4" s="34"/>
      <c r="H4" s="34"/>
      <c r="I4" s="34"/>
      <c r="J4" s="34"/>
      <c r="K4" s="34"/>
      <c r="L4" s="34"/>
      <c r="M4" s="34"/>
      <c r="N4" s="34"/>
      <c r="O4" s="34"/>
      <c r="P4" s="34"/>
    </row>
    <row r="5" spans="1:16">
      <c r="A5" s="256" t="s">
        <v>1</v>
      </c>
      <c r="B5" s="257" t="s">
        <v>3070</v>
      </c>
      <c r="C5" s="257" t="s">
        <v>3071</v>
      </c>
      <c r="D5" s="257" t="s">
        <v>3072</v>
      </c>
      <c r="E5" s="257" t="s">
        <v>3073</v>
      </c>
      <c r="F5" s="257" t="s">
        <v>3074</v>
      </c>
      <c r="G5" s="257" t="s">
        <v>3075</v>
      </c>
      <c r="H5" s="257" t="s">
        <v>3038</v>
      </c>
      <c r="I5" s="257" t="s">
        <v>3076</v>
      </c>
      <c r="J5" s="257" t="s">
        <v>3077</v>
      </c>
      <c r="K5" s="257" t="s">
        <v>3078</v>
      </c>
      <c r="L5" s="257" t="s">
        <v>3079</v>
      </c>
      <c r="M5" s="257" t="s">
        <v>3080</v>
      </c>
      <c r="N5" s="257" t="s">
        <v>4697</v>
      </c>
      <c r="O5" s="257" t="s">
        <v>4698</v>
      </c>
      <c r="P5" s="258" t="s">
        <v>4699</v>
      </c>
    </row>
    <row r="6" spans="1:16">
      <c r="A6" s="259" t="s">
        <v>3103</v>
      </c>
      <c r="B6" s="260" t="s">
        <v>4700</v>
      </c>
      <c r="C6" s="260" t="s">
        <v>4701</v>
      </c>
      <c r="D6" s="260" t="s">
        <v>4702</v>
      </c>
      <c r="E6" s="261">
        <v>400</v>
      </c>
      <c r="F6" s="261">
        <v>2000</v>
      </c>
      <c r="G6" s="261">
        <v>4000</v>
      </c>
      <c r="H6" s="260" t="s">
        <v>3102</v>
      </c>
      <c r="I6" s="262">
        <v>2.3E-2</v>
      </c>
      <c r="J6" s="263">
        <f>E6*$I6</f>
        <v>9.1999999999999993</v>
      </c>
      <c r="K6" s="263">
        <f>F6*$I6</f>
        <v>46</v>
      </c>
      <c r="L6" s="263">
        <f>G6*$I6</f>
        <v>92</v>
      </c>
      <c r="M6" s="260" t="s">
        <v>4648</v>
      </c>
      <c r="N6" s="264" t="s">
        <v>4703</v>
      </c>
      <c r="O6" s="264" t="s">
        <v>4703</v>
      </c>
      <c r="P6" s="265" t="s">
        <v>4703</v>
      </c>
    </row>
    <row r="7" spans="1:16">
      <c r="A7" s="259" t="s">
        <v>1532</v>
      </c>
      <c r="B7" s="260" t="s">
        <v>4704</v>
      </c>
      <c r="C7" s="260" t="s">
        <v>4705</v>
      </c>
      <c r="D7" s="260" t="s">
        <v>4706</v>
      </c>
      <c r="E7" s="261">
        <v>400</v>
      </c>
      <c r="F7" s="261">
        <v>2000</v>
      </c>
      <c r="G7" s="261">
        <v>4000</v>
      </c>
      <c r="H7" s="260" t="s">
        <v>3102</v>
      </c>
      <c r="I7" s="262">
        <v>0.09</v>
      </c>
      <c r="J7" s="263">
        <f>E7*$I7</f>
        <v>36</v>
      </c>
      <c r="K7" s="263">
        <f>F7*$I7</f>
        <v>180</v>
      </c>
      <c r="L7" s="263">
        <f>G7*$I7</f>
        <v>360</v>
      </c>
      <c r="M7" s="260" t="s">
        <v>4683</v>
      </c>
      <c r="N7" s="264" t="s">
        <v>4703</v>
      </c>
      <c r="O7" s="264" t="s">
        <v>4703</v>
      </c>
      <c r="P7" s="265" t="s">
        <v>4703</v>
      </c>
    </row>
    <row r="8" spans="1:16">
      <c r="A8" s="259" t="s">
        <v>1532</v>
      </c>
      <c r="B8" s="260" t="s">
        <v>4707</v>
      </c>
      <c r="C8" s="260" t="s">
        <v>4708</v>
      </c>
      <c r="D8" s="260" t="s">
        <v>4709</v>
      </c>
      <c r="E8" s="261">
        <v>4</v>
      </c>
      <c r="F8" s="261">
        <v>4</v>
      </c>
      <c r="G8" s="261">
        <v>4</v>
      </c>
      <c r="H8" s="260" t="s">
        <v>3173</v>
      </c>
      <c r="I8" s="262">
        <v>1</v>
      </c>
      <c r="J8" s="263">
        <f>E8*$I8</f>
        <v>4</v>
      </c>
      <c r="K8" s="263">
        <f>F8*$I8</f>
        <v>4</v>
      </c>
      <c r="L8" s="263">
        <f>G8*$I8</f>
        <v>4</v>
      </c>
      <c r="M8" s="260" t="s">
        <v>4679</v>
      </c>
      <c r="N8" s="264" t="s">
        <v>4703</v>
      </c>
      <c r="O8" s="264" t="s">
        <v>4703</v>
      </c>
      <c r="P8" s="265" t="s">
        <v>4703</v>
      </c>
    </row>
    <row r="9" spans="1:16">
      <c r="A9" s="259" t="s">
        <v>3122</v>
      </c>
      <c r="B9" s="260" t="s">
        <v>4710</v>
      </c>
      <c r="C9" s="260" t="s">
        <v>4711</v>
      </c>
      <c r="D9" s="260" t="s">
        <v>4712</v>
      </c>
      <c r="E9" s="261">
        <v>100</v>
      </c>
      <c r="F9" s="261">
        <v>500</v>
      </c>
      <c r="G9" s="261">
        <v>1000</v>
      </c>
      <c r="H9" s="260" t="s">
        <v>3134</v>
      </c>
      <c r="I9" s="262">
        <v>0.09</v>
      </c>
      <c r="J9" s="263">
        <f>E9*$I9</f>
        <v>9</v>
      </c>
      <c r="K9" s="263">
        <f>F9*$I9</f>
        <v>45</v>
      </c>
      <c r="L9" s="263">
        <f>G9*$I9</f>
        <v>90</v>
      </c>
      <c r="M9" s="260" t="s">
        <v>4642</v>
      </c>
      <c r="N9" s="264" t="s">
        <v>4703</v>
      </c>
      <c r="O9" s="264" t="s">
        <v>4703</v>
      </c>
      <c r="P9" s="265" t="s">
        <v>4703</v>
      </c>
    </row>
    <row r="10" spans="1:16">
      <c r="A10" s="259" t="s">
        <v>3103</v>
      </c>
      <c r="B10" s="260" t="s">
        <v>4713</v>
      </c>
      <c r="C10" s="260" t="s">
        <v>4714</v>
      </c>
      <c r="D10" s="260" t="s">
        <v>4715</v>
      </c>
      <c r="E10" s="261">
        <v>200</v>
      </c>
      <c r="F10" s="261">
        <v>1000</v>
      </c>
      <c r="G10" s="261">
        <v>2000</v>
      </c>
      <c r="H10" s="260" t="s">
        <v>3102</v>
      </c>
      <c r="I10" s="262">
        <v>0.12</v>
      </c>
      <c r="J10" s="263">
        <f>E10*$I10</f>
        <v>24</v>
      </c>
      <c r="K10" s="263">
        <f>F10*$I10</f>
        <v>120</v>
      </c>
      <c r="L10" s="263">
        <f>G10*$I10</f>
        <v>240</v>
      </c>
      <c r="M10" s="260" t="s">
        <v>4648</v>
      </c>
      <c r="N10" s="264" t="s">
        <v>2234</v>
      </c>
      <c r="O10" s="264" t="s">
        <v>4703</v>
      </c>
      <c r="P10" s="265" t="s">
        <v>4703</v>
      </c>
    </row>
    <row r="11" spans="1:16">
      <c r="A11" s="259" t="s">
        <v>3103</v>
      </c>
      <c r="B11" s="260" t="s">
        <v>4716</v>
      </c>
      <c r="C11" s="260" t="s">
        <v>4717</v>
      </c>
      <c r="D11" s="260" t="s">
        <v>4718</v>
      </c>
      <c r="E11" s="261">
        <v>100</v>
      </c>
      <c r="F11" s="261">
        <v>500</v>
      </c>
      <c r="G11" s="261">
        <v>1000</v>
      </c>
      <c r="H11" s="260" t="s">
        <v>3102</v>
      </c>
      <c r="I11" s="262">
        <v>0.12</v>
      </c>
      <c r="J11" s="263">
        <f>E11*$I11</f>
        <v>12</v>
      </c>
      <c r="K11" s="263">
        <f>F11*$I11</f>
        <v>60</v>
      </c>
      <c r="L11" s="263">
        <f>G11*$I11</f>
        <v>120</v>
      </c>
      <c r="M11" s="260" t="s">
        <v>4648</v>
      </c>
      <c r="N11" s="264" t="s">
        <v>2234</v>
      </c>
      <c r="O11" s="264" t="s">
        <v>4703</v>
      </c>
      <c r="P11" s="265" t="s">
        <v>4703</v>
      </c>
    </row>
    <row r="12" spans="1:16">
      <c r="A12" s="259" t="s">
        <v>3103</v>
      </c>
      <c r="B12" s="260" t="s">
        <v>4719</v>
      </c>
      <c r="C12" s="260" t="s">
        <v>4720</v>
      </c>
      <c r="D12" s="260" t="s">
        <v>4721</v>
      </c>
      <c r="E12" s="261">
        <v>20000000</v>
      </c>
      <c r="F12" s="261">
        <v>100000000</v>
      </c>
      <c r="G12" s="261">
        <v>200000000</v>
      </c>
      <c r="H12" s="260" t="s">
        <v>4651</v>
      </c>
      <c r="I12" s="262">
        <v>2.3999999999999998E-7</v>
      </c>
      <c r="J12" s="263">
        <f>E12*$I12</f>
        <v>4.8</v>
      </c>
      <c r="K12" s="263">
        <f>F12*$I12</f>
        <v>23.999999999999996</v>
      </c>
      <c r="L12" s="263">
        <f>G12*$I12</f>
        <v>47.999999999999993</v>
      </c>
      <c r="M12" s="260" t="s">
        <v>4648</v>
      </c>
      <c r="N12" s="264" t="s">
        <v>2234</v>
      </c>
      <c r="O12" s="264" t="s">
        <v>4703</v>
      </c>
      <c r="P12" s="265" t="s">
        <v>4703</v>
      </c>
    </row>
    <row r="13" spans="1:16">
      <c r="A13" s="259" t="s">
        <v>3154</v>
      </c>
      <c r="B13" s="260" t="s">
        <v>4722</v>
      </c>
      <c r="C13" s="260" t="s">
        <v>4723</v>
      </c>
      <c r="D13" s="260" t="s">
        <v>4724</v>
      </c>
      <c r="E13" s="261">
        <v>5000000</v>
      </c>
      <c r="F13" s="261">
        <v>25000000</v>
      </c>
      <c r="G13" s="261">
        <v>50000000</v>
      </c>
      <c r="H13" s="260" t="s">
        <v>4725</v>
      </c>
      <c r="I13" s="262">
        <v>8.8999999999999995E-7</v>
      </c>
      <c r="J13" s="263">
        <f>E13*$I13</f>
        <v>4.45</v>
      </c>
      <c r="K13" s="263">
        <f>F13*$I13</f>
        <v>22.25</v>
      </c>
      <c r="L13" s="263">
        <f>G13*$I13</f>
        <v>44.5</v>
      </c>
      <c r="M13" s="260" t="s">
        <v>4677</v>
      </c>
      <c r="N13" s="264" t="s">
        <v>2234</v>
      </c>
      <c r="O13" s="264" t="s">
        <v>4703</v>
      </c>
      <c r="P13" s="265" t="s">
        <v>4703</v>
      </c>
    </row>
    <row r="14" spans="1:16">
      <c r="A14" s="259" t="s">
        <v>3185</v>
      </c>
      <c r="B14" s="260" t="s">
        <v>4726</v>
      </c>
      <c r="C14" s="260" t="s">
        <v>4727</v>
      </c>
      <c r="D14" s="260" t="s">
        <v>4728</v>
      </c>
      <c r="E14" s="261">
        <v>300</v>
      </c>
      <c r="F14" s="261">
        <v>1500</v>
      </c>
      <c r="G14" s="261">
        <v>3000</v>
      </c>
      <c r="H14" s="260" t="s">
        <v>3102</v>
      </c>
      <c r="I14" s="262">
        <v>2.5000000000000001E-2</v>
      </c>
      <c r="J14" s="263">
        <f>E14*$I14</f>
        <v>7.5</v>
      </c>
      <c r="K14" s="263">
        <f>F14*$I14</f>
        <v>37.5</v>
      </c>
      <c r="L14" s="263">
        <f>G14*$I14</f>
        <v>75</v>
      </c>
      <c r="M14" s="260" t="s">
        <v>4729</v>
      </c>
      <c r="N14" s="264" t="s">
        <v>2234</v>
      </c>
      <c r="O14" s="264" t="s">
        <v>4703</v>
      </c>
      <c r="P14" s="265" t="s">
        <v>4703</v>
      </c>
    </row>
    <row r="15" spans="1:16">
      <c r="A15" s="259" t="s">
        <v>3185</v>
      </c>
      <c r="B15" s="260" t="s">
        <v>4730</v>
      </c>
      <c r="C15" s="260" t="s">
        <v>4731</v>
      </c>
      <c r="D15" s="260" t="s">
        <v>4732</v>
      </c>
      <c r="E15" s="261">
        <v>50</v>
      </c>
      <c r="F15" s="261">
        <v>50</v>
      </c>
      <c r="G15" s="261">
        <v>50</v>
      </c>
      <c r="H15" s="260" t="s">
        <v>3102</v>
      </c>
      <c r="I15" s="262">
        <v>0.1</v>
      </c>
      <c r="J15" s="263">
        <f>E15*$I15</f>
        <v>5</v>
      </c>
      <c r="K15" s="263">
        <f>F15*$I15</f>
        <v>5</v>
      </c>
      <c r="L15" s="263">
        <f>G15*$I15</f>
        <v>5</v>
      </c>
      <c r="M15" s="260" t="s">
        <v>4733</v>
      </c>
      <c r="N15" s="264" t="s">
        <v>2234</v>
      </c>
      <c r="O15" s="264" t="s">
        <v>4703</v>
      </c>
      <c r="P15" s="265" t="s">
        <v>4703</v>
      </c>
    </row>
    <row r="16" spans="1:16">
      <c r="A16" s="259" t="s">
        <v>3081</v>
      </c>
      <c r="B16" s="260" t="s">
        <v>4734</v>
      </c>
      <c r="C16" s="260" t="s">
        <v>4735</v>
      </c>
      <c r="D16" s="260" t="s">
        <v>4736</v>
      </c>
      <c r="E16" s="261">
        <v>1460</v>
      </c>
      <c r="F16" s="261">
        <v>1460</v>
      </c>
      <c r="G16" s="261">
        <v>1460</v>
      </c>
      <c r="H16" s="260" t="s">
        <v>3095</v>
      </c>
      <c r="I16" s="262">
        <v>0.25</v>
      </c>
      <c r="J16" s="263">
        <f>E16*$I16</f>
        <v>365</v>
      </c>
      <c r="K16" s="263">
        <f>F16*$I16</f>
        <v>365</v>
      </c>
      <c r="L16" s="263">
        <f>G16*$I16</f>
        <v>365</v>
      </c>
      <c r="M16" s="260" t="s">
        <v>4645</v>
      </c>
      <c r="N16" s="264" t="s">
        <v>2234</v>
      </c>
      <c r="O16" s="264" t="s">
        <v>2234</v>
      </c>
      <c r="P16" s="265" t="s">
        <v>4703</v>
      </c>
    </row>
    <row r="17" spans="1:16">
      <c r="A17" s="259" t="s">
        <v>3081</v>
      </c>
      <c r="B17" s="260" t="s">
        <v>4737</v>
      </c>
      <c r="C17" s="260" t="s">
        <v>4738</v>
      </c>
      <c r="D17" s="260" t="s">
        <v>4739</v>
      </c>
      <c r="E17" s="261">
        <v>2920</v>
      </c>
      <c r="F17" s="261">
        <v>2920</v>
      </c>
      <c r="G17" s="261">
        <v>2920</v>
      </c>
      <c r="H17" s="260" t="s">
        <v>3085</v>
      </c>
      <c r="I17" s="262">
        <v>0.248</v>
      </c>
      <c r="J17" s="263">
        <f>E17*$I17</f>
        <v>724.16</v>
      </c>
      <c r="K17" s="263">
        <f>F17*$I17</f>
        <v>724.16</v>
      </c>
      <c r="L17" s="263">
        <f>G17*$I17</f>
        <v>724.16</v>
      </c>
      <c r="M17" s="260" t="s">
        <v>4642</v>
      </c>
      <c r="N17" s="264" t="s">
        <v>2234</v>
      </c>
      <c r="O17" s="264" t="s">
        <v>2234</v>
      </c>
      <c r="P17" s="265" t="s">
        <v>4703</v>
      </c>
    </row>
    <row r="18" spans="1:16">
      <c r="A18" s="259" t="s">
        <v>3081</v>
      </c>
      <c r="B18" s="260" t="s">
        <v>4740</v>
      </c>
      <c r="C18" s="260" t="s">
        <v>4741</v>
      </c>
      <c r="D18" s="260" t="s">
        <v>4742</v>
      </c>
      <c r="E18" s="261">
        <v>730</v>
      </c>
      <c r="F18" s="261">
        <v>730</v>
      </c>
      <c r="G18" s="261">
        <v>730</v>
      </c>
      <c r="H18" s="260" t="s">
        <v>3099</v>
      </c>
      <c r="I18" s="262">
        <v>0.17100000000000001</v>
      </c>
      <c r="J18" s="263">
        <f>E18*$I18</f>
        <v>124.83000000000001</v>
      </c>
      <c r="K18" s="263">
        <f>F18*$I18</f>
        <v>124.83000000000001</v>
      </c>
      <c r="L18" s="263">
        <f>G18*$I18</f>
        <v>124.83000000000001</v>
      </c>
      <c r="M18" s="260" t="s">
        <v>4645</v>
      </c>
      <c r="N18" s="264" t="s">
        <v>2234</v>
      </c>
      <c r="O18" s="264" t="s">
        <v>2234</v>
      </c>
      <c r="P18" s="265" t="s">
        <v>4703</v>
      </c>
    </row>
    <row r="19" spans="1:16">
      <c r="A19" s="259" t="s">
        <v>3081</v>
      </c>
      <c r="B19" s="260" t="s">
        <v>4743</v>
      </c>
      <c r="C19" s="260" t="s">
        <v>4744</v>
      </c>
      <c r="D19" s="260" t="s">
        <v>4745</v>
      </c>
      <c r="E19" s="261">
        <v>400</v>
      </c>
      <c r="F19" s="261">
        <v>400</v>
      </c>
      <c r="G19" s="261">
        <v>400</v>
      </c>
      <c r="H19" s="260" t="s">
        <v>3102</v>
      </c>
      <c r="I19" s="262">
        <v>9.6000000000000002E-2</v>
      </c>
      <c r="J19" s="263">
        <f>E19*$I19</f>
        <v>38.4</v>
      </c>
      <c r="K19" s="263">
        <f>F19*$I19</f>
        <v>38.4</v>
      </c>
      <c r="L19" s="263">
        <f>G19*$I19</f>
        <v>38.4</v>
      </c>
      <c r="M19" s="260" t="s">
        <v>4647</v>
      </c>
      <c r="N19" s="264" t="s">
        <v>2234</v>
      </c>
      <c r="O19" s="264" t="s">
        <v>2234</v>
      </c>
      <c r="P19" s="265" t="s">
        <v>4703</v>
      </c>
    </row>
    <row r="20" spans="1:16">
      <c r="A20" s="259" t="s">
        <v>3103</v>
      </c>
      <c r="B20" s="260" t="s">
        <v>4746</v>
      </c>
      <c r="C20" s="260" t="s">
        <v>4747</v>
      </c>
      <c r="D20" s="260" t="s">
        <v>4748</v>
      </c>
      <c r="E20" s="261">
        <v>730</v>
      </c>
      <c r="F20" s="261">
        <v>730</v>
      </c>
      <c r="G20" s="261">
        <v>730</v>
      </c>
      <c r="H20" s="260" t="s">
        <v>3085</v>
      </c>
      <c r="I20" s="262">
        <v>0.66400000000000003</v>
      </c>
      <c r="J20" s="263">
        <f>E20*$I20</f>
        <v>484.72</v>
      </c>
      <c r="K20" s="263">
        <f>F20*$I20</f>
        <v>484.72</v>
      </c>
      <c r="L20" s="263">
        <f>G20*$I20</f>
        <v>484.72</v>
      </c>
      <c r="M20" s="260" t="s">
        <v>4648</v>
      </c>
      <c r="N20" s="264" t="s">
        <v>2234</v>
      </c>
      <c r="O20" s="264" t="s">
        <v>2234</v>
      </c>
      <c r="P20" s="265" t="s">
        <v>4703</v>
      </c>
    </row>
    <row r="21" spans="1:16">
      <c r="A21" s="259" t="s">
        <v>3103</v>
      </c>
      <c r="B21" s="260" t="s">
        <v>4749</v>
      </c>
      <c r="C21" s="260" t="s">
        <v>4750</v>
      </c>
      <c r="D21" s="260" t="s">
        <v>4748</v>
      </c>
      <c r="E21" s="261">
        <v>730</v>
      </c>
      <c r="F21" s="261">
        <v>730</v>
      </c>
      <c r="G21" s="261">
        <v>730</v>
      </c>
      <c r="H21" s="260" t="s">
        <v>3085</v>
      </c>
      <c r="I21" s="262">
        <v>0.66400000000000003</v>
      </c>
      <c r="J21" s="263">
        <f>E21*$I21</f>
        <v>484.72</v>
      </c>
      <c r="K21" s="263">
        <f>F21*$I21</f>
        <v>484.72</v>
      </c>
      <c r="L21" s="263">
        <f>G21*$I21</f>
        <v>484.72</v>
      </c>
      <c r="M21" s="260" t="s">
        <v>4648</v>
      </c>
      <c r="N21" s="264" t="s">
        <v>2234</v>
      </c>
      <c r="O21" s="264" t="s">
        <v>2234</v>
      </c>
      <c r="P21" s="265" t="s">
        <v>4703</v>
      </c>
    </row>
    <row r="22" spans="1:16">
      <c r="A22" s="259" t="s">
        <v>3122</v>
      </c>
      <c r="B22" s="260" t="s">
        <v>4751</v>
      </c>
      <c r="C22" s="260" t="s">
        <v>4752</v>
      </c>
      <c r="D22" s="260" t="s">
        <v>4753</v>
      </c>
      <c r="E22" s="261">
        <v>1460</v>
      </c>
      <c r="F22" s="261">
        <v>1460</v>
      </c>
      <c r="G22" s="261">
        <v>1460</v>
      </c>
      <c r="H22" s="260" t="s">
        <v>3126</v>
      </c>
      <c r="I22" s="262">
        <v>2.4299999999999999E-2</v>
      </c>
      <c r="J22" s="263">
        <f>E22*$I22</f>
        <v>35.478000000000002</v>
      </c>
      <c r="K22" s="263">
        <f>F22*$I22</f>
        <v>35.478000000000002</v>
      </c>
      <c r="L22" s="263">
        <f>G22*$I22</f>
        <v>35.478000000000002</v>
      </c>
      <c r="M22" s="260" t="s">
        <v>4654</v>
      </c>
      <c r="N22" s="264" t="s">
        <v>2234</v>
      </c>
      <c r="O22" s="264" t="s">
        <v>2234</v>
      </c>
      <c r="P22" s="265" t="s">
        <v>4703</v>
      </c>
    </row>
    <row r="23" spans="1:16">
      <c r="A23" s="259" t="s">
        <v>3122</v>
      </c>
      <c r="B23" s="260" t="s">
        <v>4754</v>
      </c>
      <c r="C23" s="260" t="s">
        <v>4755</v>
      </c>
      <c r="D23" s="260" t="s">
        <v>4756</v>
      </c>
      <c r="E23" s="261">
        <v>730</v>
      </c>
      <c r="F23" s="261">
        <v>730</v>
      </c>
      <c r="G23" s="261">
        <v>730</v>
      </c>
      <c r="H23" s="260" t="s">
        <v>3130</v>
      </c>
      <c r="I23" s="262">
        <v>2.4299999999999999E-2</v>
      </c>
      <c r="J23" s="263">
        <f>E23*$I23</f>
        <v>17.739000000000001</v>
      </c>
      <c r="K23" s="263">
        <f>F23*$I23</f>
        <v>17.739000000000001</v>
      </c>
      <c r="L23" s="263">
        <f>G23*$I23</f>
        <v>17.739000000000001</v>
      </c>
      <c r="M23" s="260" t="s">
        <v>4654</v>
      </c>
      <c r="N23" s="264" t="s">
        <v>2234</v>
      </c>
      <c r="O23" s="264" t="s">
        <v>2234</v>
      </c>
      <c r="P23" s="265" t="s">
        <v>4703</v>
      </c>
    </row>
    <row r="24" spans="1:16">
      <c r="A24" s="259" t="s">
        <v>3122</v>
      </c>
      <c r="B24" s="260" t="s">
        <v>4757</v>
      </c>
      <c r="C24" s="260" t="s">
        <v>4758</v>
      </c>
      <c r="D24" s="260" t="s">
        <v>4759</v>
      </c>
      <c r="E24" s="261">
        <v>7300</v>
      </c>
      <c r="F24" s="261">
        <v>7300</v>
      </c>
      <c r="G24" s="261">
        <v>7300</v>
      </c>
      <c r="H24" s="260" t="s">
        <v>3141</v>
      </c>
      <c r="I24" s="262">
        <v>1.4E-2</v>
      </c>
      <c r="J24" s="263">
        <f>E24*$I24</f>
        <v>102.2</v>
      </c>
      <c r="K24" s="263">
        <f>F24*$I24</f>
        <v>102.2</v>
      </c>
      <c r="L24" s="263">
        <f>G24*$I24</f>
        <v>102.2</v>
      </c>
      <c r="M24" s="260" t="s">
        <v>4661</v>
      </c>
      <c r="N24" s="264" t="s">
        <v>2234</v>
      </c>
      <c r="O24" s="264" t="s">
        <v>2234</v>
      </c>
      <c r="P24" s="265" t="s">
        <v>4703</v>
      </c>
    </row>
    <row r="25" spans="1:16">
      <c r="A25" s="259" t="s">
        <v>3185</v>
      </c>
      <c r="B25" s="260" t="s">
        <v>4760</v>
      </c>
      <c r="C25" s="260" t="s">
        <v>4761</v>
      </c>
      <c r="D25" s="260" t="s">
        <v>4762</v>
      </c>
      <c r="E25" s="261">
        <v>43800</v>
      </c>
      <c r="F25" s="261">
        <v>43800</v>
      </c>
      <c r="G25" s="261">
        <v>43800</v>
      </c>
      <c r="H25" s="260" t="s">
        <v>3201</v>
      </c>
      <c r="I25" s="262">
        <v>1.1999999999999999E-3</v>
      </c>
      <c r="J25" s="263">
        <f>E25*$I25</f>
        <v>52.559999999999995</v>
      </c>
      <c r="K25" s="263">
        <f>F25*$I25</f>
        <v>52.559999999999995</v>
      </c>
      <c r="L25" s="263">
        <f>G25*$I25</f>
        <v>52.559999999999995</v>
      </c>
      <c r="M25" s="260" t="s">
        <v>4684</v>
      </c>
      <c r="N25" s="264" t="s">
        <v>2234</v>
      </c>
      <c r="O25" s="264" t="s">
        <v>2234</v>
      </c>
      <c r="P25" s="265" t="s">
        <v>4703</v>
      </c>
    </row>
    <row r="26" spans="1:16">
      <c r="A26" s="259" t="s">
        <v>1532</v>
      </c>
      <c r="B26" s="260" t="s">
        <v>4784</v>
      </c>
      <c r="C26" s="260" t="s">
        <v>4785</v>
      </c>
      <c r="D26" s="260" t="s">
        <v>4786</v>
      </c>
      <c r="E26" s="261">
        <v>30</v>
      </c>
      <c r="F26" s="261">
        <v>30</v>
      </c>
      <c r="G26" s="261">
        <v>30</v>
      </c>
      <c r="H26" s="260" t="s">
        <v>3177</v>
      </c>
      <c r="I26" s="262">
        <v>0.4</v>
      </c>
      <c r="J26" s="263">
        <f>E26*$I26</f>
        <v>12</v>
      </c>
      <c r="K26" s="263">
        <f>F26*$I26</f>
        <v>12</v>
      </c>
      <c r="L26" s="263">
        <f>G26*$I26</f>
        <v>12</v>
      </c>
      <c r="M26" s="260" t="s">
        <v>4681</v>
      </c>
      <c r="N26" s="264" t="s">
        <v>4703</v>
      </c>
      <c r="O26" s="264" t="s">
        <v>4703</v>
      </c>
      <c r="P26" s="265" t="s">
        <v>4703</v>
      </c>
    </row>
    <row r="27" spans="1:16">
      <c r="A27" s="259" t="s">
        <v>3439</v>
      </c>
      <c r="B27" s="260" t="s">
        <v>4787</v>
      </c>
      <c r="C27" s="260" t="s">
        <v>4788</v>
      </c>
      <c r="D27" s="260" t="s">
        <v>4789</v>
      </c>
      <c r="E27" s="261">
        <v>1</v>
      </c>
      <c r="F27" s="261">
        <v>1</v>
      </c>
      <c r="G27" s="261">
        <v>1</v>
      </c>
      <c r="H27" s="260" t="s">
        <v>4790</v>
      </c>
      <c r="I27" s="262">
        <v>400</v>
      </c>
      <c r="J27" s="263">
        <f>E27*$I27</f>
        <v>400</v>
      </c>
      <c r="K27" s="263">
        <f>F27*$I27</f>
        <v>400</v>
      </c>
      <c r="L27" s="263">
        <f>G27*$I27</f>
        <v>400</v>
      </c>
      <c r="M27" s="260" t="s">
        <v>4682</v>
      </c>
      <c r="N27" s="264" t="s">
        <v>2234</v>
      </c>
      <c r="O27" s="264" t="s">
        <v>2234</v>
      </c>
      <c r="P27" s="265" t="s">
        <v>4703</v>
      </c>
    </row>
    <row r="28" spans="1:16">
      <c r="A28" s="266" t="s">
        <v>4791</v>
      </c>
      <c r="B28" s="267" t="s">
        <v>4792</v>
      </c>
      <c r="C28" s="267" t="s">
        <v>4793</v>
      </c>
      <c r="D28" s="267" t="s">
        <v>4794</v>
      </c>
      <c r="E28" s="268">
        <v>5000000</v>
      </c>
      <c r="F28" s="268">
        <v>15000000</v>
      </c>
      <c r="G28" s="268">
        <v>25000000</v>
      </c>
      <c r="H28" s="267" t="s">
        <v>4795</v>
      </c>
      <c r="I28" s="269">
        <v>9.9999999999999995E-8</v>
      </c>
      <c r="J28" s="270">
        <f>E28*$I28</f>
        <v>0.5</v>
      </c>
      <c r="K28" s="270">
        <f>F28*$I28</f>
        <v>1.5</v>
      </c>
      <c r="L28" s="270">
        <f>G28*$I28</f>
        <v>2.5</v>
      </c>
      <c r="M28" s="267" t="s">
        <v>4674</v>
      </c>
      <c r="N28" s="271" t="s">
        <v>2234</v>
      </c>
      <c r="O28" s="271" t="s">
        <v>4703</v>
      </c>
      <c r="P28" s="272" t="s">
        <v>4703</v>
      </c>
    </row>
    <row r="29" spans="1:16">
      <c r="A29" s="34" t="s">
        <v>4764</v>
      </c>
      <c r="B29" s="34" t="s">
        <v>4765</v>
      </c>
      <c r="C29" s="34" t="s">
        <v>4766</v>
      </c>
      <c r="D29" s="254">
        <f>SUMIF($N$6:$N$28,"○",$J$6:$J$28)</f>
        <v>70.2</v>
      </c>
      <c r="E29" s="254">
        <f>SUMIF($N$6:$N$28,"○",$K$6:$K$28)</f>
        <v>287</v>
      </c>
      <c r="F29" s="254">
        <f>SUMIF($N$6:$N$28,"○",$L$6:$L$28)</f>
        <v>558</v>
      </c>
      <c r="G29" s="34"/>
      <c r="H29" s="34"/>
      <c r="I29" s="34"/>
      <c r="J29" s="34"/>
      <c r="K29" s="34"/>
      <c r="L29" s="34"/>
      <c r="M29" s="34"/>
      <c r="N29" s="34"/>
      <c r="O29" s="34"/>
      <c r="P29" s="34"/>
    </row>
    <row r="30" spans="1:16">
      <c r="A30" s="34" t="s">
        <v>4767</v>
      </c>
      <c r="B30" s="34" t="s">
        <v>4768</v>
      </c>
      <c r="C30" s="34" t="s">
        <v>4769</v>
      </c>
      <c r="D30" s="254">
        <f>SUMIF($O$6:$O$28,"○",$J$6:$J$28)</f>
        <v>128.44999999999999</v>
      </c>
      <c r="E30" s="254">
        <f>SUMIF($O$6:$O$28,"○",$K$6:$K$28)</f>
        <v>557.25</v>
      </c>
      <c r="F30" s="254">
        <f>SUMIF($O$6:$O$28,"○",$L$6:$L$28)</f>
        <v>1093</v>
      </c>
      <c r="G30" s="34"/>
      <c r="H30" s="34"/>
      <c r="I30" s="34"/>
      <c r="J30" s="34"/>
      <c r="K30" s="34"/>
      <c r="L30" s="34"/>
      <c r="M30" s="34"/>
      <c r="N30" s="34"/>
      <c r="O30" s="34"/>
      <c r="P30" s="34"/>
    </row>
    <row r="31" spans="1:16">
      <c r="A31" s="34" t="s">
        <v>4770</v>
      </c>
      <c r="B31" s="34" t="s">
        <v>4771</v>
      </c>
      <c r="C31" s="34" t="s">
        <v>4769</v>
      </c>
      <c r="D31" s="254">
        <f>SUMIF($P$6:$P$28,"○",$J$6:$J$28)</f>
        <v>2958.2569999999996</v>
      </c>
      <c r="E31" s="254">
        <f>SUMIF($P$6:$P$28,"○",$K$6:$K$28)</f>
        <v>3387.0569999999998</v>
      </c>
      <c r="F31" s="254">
        <f>SUMIF($P$6:$P$28,"○",$L$6:$L$28)</f>
        <v>3922.8069999999998</v>
      </c>
      <c r="G31" s="34"/>
      <c r="H31" s="34"/>
      <c r="I31" s="34"/>
      <c r="J31" s="34"/>
      <c r="K31" s="34"/>
      <c r="L31" s="34"/>
      <c r="M31" s="34"/>
      <c r="N31" s="34"/>
      <c r="O31" s="34"/>
      <c r="P31" s="34"/>
    </row>
    <row r="32" spans="1:16">
      <c r="A32" s="34"/>
      <c r="B32" s="34"/>
      <c r="C32" s="34"/>
      <c r="D32" s="34"/>
      <c r="E32" s="34"/>
      <c r="F32" s="34"/>
      <c r="G32" s="34"/>
      <c r="H32" s="34"/>
      <c r="I32" s="34"/>
      <c r="J32" s="34"/>
      <c r="K32" s="34"/>
      <c r="L32" s="34"/>
      <c r="M32" s="34"/>
      <c r="N32" s="34"/>
      <c r="O32" s="34"/>
      <c r="P32" s="34"/>
    </row>
    <row r="33" spans="1:16">
      <c r="A33" s="253" t="s">
        <v>4772</v>
      </c>
      <c r="B33" s="34"/>
      <c r="C33" s="34"/>
      <c r="D33" s="34"/>
      <c r="E33" s="34"/>
      <c r="F33" s="34"/>
      <c r="G33" s="34"/>
      <c r="H33" s="34"/>
      <c r="I33" s="34"/>
      <c r="J33" s="34"/>
      <c r="K33" s="34"/>
      <c r="L33" s="34"/>
      <c r="M33" s="34"/>
      <c r="N33" s="34"/>
      <c r="O33" s="34"/>
      <c r="P33" s="34"/>
    </row>
    <row r="34" spans="1:16">
      <c r="A34" s="143" t="s">
        <v>4763</v>
      </c>
      <c r="B34" s="143" t="s">
        <v>4773</v>
      </c>
      <c r="C34" s="143" t="s">
        <v>4774</v>
      </c>
      <c r="D34" s="143" t="s">
        <v>4775</v>
      </c>
      <c r="E34" s="34"/>
      <c r="F34" s="34"/>
      <c r="G34" s="34"/>
      <c r="H34" s="34"/>
      <c r="I34" s="34"/>
      <c r="J34" s="34"/>
      <c r="K34" s="34"/>
      <c r="L34" s="34"/>
      <c r="M34" s="34"/>
      <c r="N34" s="34"/>
      <c r="O34" s="34"/>
      <c r="P34" s="34"/>
    </row>
    <row r="35" spans="1:16">
      <c r="A35" s="34" t="str">
        <f>A29</f>
        <v>① コールド（現行の設計）</v>
      </c>
      <c r="B35" s="255">
        <f>D29*コスト見積もり!$B$9</f>
        <v>10530</v>
      </c>
      <c r="C35" s="255">
        <f>E29*コスト見積もり!$B$9</f>
        <v>43050</v>
      </c>
      <c r="D35" s="255">
        <f>F29*コスト見積もり!$B$9</f>
        <v>83700</v>
      </c>
      <c r="E35" s="34"/>
      <c r="F35" s="34"/>
      <c r="G35" s="34"/>
      <c r="H35" s="34"/>
      <c r="I35" s="34"/>
      <c r="J35" s="34"/>
      <c r="K35" s="34"/>
      <c r="L35" s="34"/>
      <c r="M35" s="34"/>
      <c r="N35" s="34"/>
      <c r="O35" s="34"/>
      <c r="P35" s="34"/>
    </row>
    <row r="36" spans="1:16">
      <c r="A36" s="34" t="str">
        <f>A30</f>
        <v>② 複製のみ（弊社の推奨）</v>
      </c>
      <c r="B36" s="255">
        <f>D30*コスト見積もり!$B$9</f>
        <v>19267.5</v>
      </c>
      <c r="C36" s="255">
        <f>E30*コスト見積もり!$B$9</f>
        <v>83587.5</v>
      </c>
      <c r="D36" s="255">
        <f>F30*コスト見積もり!$B$9</f>
        <v>163950</v>
      </c>
      <c r="E36" s="34"/>
      <c r="F36" s="34"/>
      <c r="G36" s="34"/>
      <c r="H36" s="34"/>
      <c r="I36" s="34"/>
      <c r="J36" s="34"/>
      <c r="K36" s="34"/>
      <c r="L36" s="34"/>
      <c r="M36" s="34"/>
      <c r="N36" s="34"/>
      <c r="O36" s="34"/>
      <c r="P36" s="34"/>
    </row>
    <row r="37" spans="1:16">
      <c r="A37" s="34" t="str">
        <f>A31</f>
        <v>③ 常時稼働</v>
      </c>
      <c r="B37" s="255">
        <f>D31*コスト見積もり!$B$9</f>
        <v>443738.54999999993</v>
      </c>
      <c r="C37" s="255">
        <f>E31*コスト見積もり!$B$9</f>
        <v>508058.55</v>
      </c>
      <c r="D37" s="255">
        <f>F31*コスト見積もり!$B$9</f>
        <v>588421.04999999993</v>
      </c>
      <c r="E37" s="34"/>
      <c r="F37" s="34"/>
      <c r="G37" s="34"/>
      <c r="H37" s="34"/>
      <c r="I37" s="34"/>
      <c r="J37" s="34"/>
      <c r="K37" s="34"/>
      <c r="L37" s="34"/>
      <c r="M37" s="34"/>
      <c r="N37" s="34"/>
      <c r="O37" s="34"/>
      <c r="P37" s="34"/>
    </row>
    <row r="38" spans="1:16">
      <c r="A38" s="34"/>
      <c r="B38" s="34"/>
      <c r="C38" s="34"/>
      <c r="D38" s="34"/>
      <c r="E38" s="34"/>
      <c r="F38" s="34"/>
      <c r="G38" s="34"/>
      <c r="H38" s="34"/>
      <c r="I38" s="34"/>
      <c r="J38" s="34"/>
      <c r="K38" s="34"/>
      <c r="L38" s="34"/>
      <c r="M38" s="34"/>
      <c r="N38" s="34"/>
      <c r="O38" s="34"/>
      <c r="P38" s="34"/>
    </row>
    <row r="39" spans="1:16">
      <c r="A39" s="253" t="s">
        <v>4776</v>
      </c>
      <c r="B39" s="34"/>
      <c r="C39" s="34"/>
      <c r="D39" s="34"/>
      <c r="E39" s="34"/>
      <c r="F39" s="34"/>
      <c r="G39" s="34"/>
      <c r="H39" s="34"/>
      <c r="I39" s="34"/>
      <c r="J39" s="34"/>
      <c r="K39" s="34"/>
      <c r="L39" s="34"/>
      <c r="M39" s="34"/>
      <c r="N39" s="34"/>
      <c r="O39" s="34"/>
      <c r="P39" s="34"/>
    </row>
    <row r="40" spans="1:16">
      <c r="A40" s="34" t="str">
        <f>"①→② の差額（100万人）: 月 "&amp;TEXT(B36-B35,"#,##0")&amp;" 円 — この差額で「失うデータが数時間ぶん → 1分未満」に変わる"</f>
        <v>①→② の差額（100万人）: 月 8,738 円 — この差額で「失うデータが数時間ぶん → 1分未満」に変わる</v>
      </c>
      <c r="B40" s="34"/>
      <c r="C40" s="34"/>
      <c r="D40" s="34"/>
      <c r="E40" s="34"/>
      <c r="F40" s="34"/>
      <c r="G40" s="34"/>
      <c r="H40" s="34"/>
      <c r="I40" s="34"/>
      <c r="J40" s="34"/>
      <c r="K40" s="34"/>
      <c r="L40" s="34"/>
      <c r="M40" s="34"/>
      <c r="N40" s="34"/>
      <c r="O40" s="34"/>
      <c r="P40" s="34"/>
    </row>
    <row r="41" spans="1:16">
      <c r="A41" s="34" t="str">
        <f>"②→③ の差額（100万人）: 月 "&amp;TEXT(B37-B36,"#,##0")&amp;" 円（年 "&amp;TEXT((B37-B36)*12,"#,##0")&amp;" 円） — 買えるのは「復旧が数日 → 1日以下」だけ"</f>
        <v>②→③ の差額（100万人）: 月 424,471 円（年 5,093,653 円） — 買えるのは「復旧が数日 → 1日以下」だけ</v>
      </c>
      <c r="B41" s="34"/>
      <c r="C41" s="34"/>
      <c r="D41" s="34"/>
      <c r="E41" s="34"/>
      <c r="F41" s="34"/>
      <c r="G41" s="34"/>
      <c r="H41" s="34"/>
      <c r="I41" s="34"/>
      <c r="J41" s="34"/>
      <c r="K41" s="34"/>
      <c r="L41" s="34"/>
      <c r="M41" s="34"/>
      <c r="N41" s="34"/>
      <c r="O41" s="34"/>
      <c r="P41" s="34"/>
    </row>
    <row r="42" spans="1:16">
      <c r="A42" s="34" t="s">
        <v>4777</v>
      </c>
      <c r="B42" s="34"/>
      <c r="C42" s="34"/>
      <c r="D42" s="34"/>
      <c r="E42" s="34"/>
      <c r="F42" s="34"/>
      <c r="G42" s="34"/>
      <c r="H42" s="34"/>
      <c r="I42" s="34"/>
      <c r="J42" s="34"/>
      <c r="K42" s="34"/>
      <c r="L42" s="34"/>
      <c r="M42" s="34"/>
      <c r="N42" s="34"/>
      <c r="O42" s="34"/>
      <c r="P42" s="34"/>
    </row>
  </sheetData>
  <phoneticPr fontId="3"/>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46"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37" t="s">
        <v>5162</v>
      </c>
      <c r="B1" s="34"/>
      <c r="C1" s="34"/>
      <c r="D1" s="34"/>
      <c r="E1" s="34"/>
      <c r="F1" s="34"/>
      <c r="G1" s="34"/>
      <c r="H1" s="34"/>
      <c r="I1" s="34"/>
      <c r="J1" s="34"/>
      <c r="K1" s="34"/>
      <c r="L1" s="34"/>
      <c r="M1" s="34"/>
      <c r="N1" s="34"/>
    </row>
    <row r="2" spans="1:14">
      <c r="A2" s="292" t="s">
        <v>5163</v>
      </c>
      <c r="B2" s="34"/>
      <c r="C2" s="34"/>
      <c r="D2" s="34"/>
      <c r="E2" s="34"/>
      <c r="F2" s="34"/>
      <c r="G2" s="34"/>
      <c r="H2" s="34"/>
      <c r="I2" s="34"/>
      <c r="J2" s="34"/>
      <c r="K2" s="34"/>
      <c r="L2" s="34"/>
      <c r="M2" s="34"/>
      <c r="N2" s="34"/>
    </row>
    <row r="3" spans="1:14">
      <c r="A3" s="306" t="s">
        <v>5164</v>
      </c>
      <c r="B3" s="34"/>
      <c r="C3" s="34"/>
      <c r="D3" s="34"/>
      <c r="E3" s="34"/>
      <c r="F3" s="34"/>
      <c r="G3" s="34"/>
      <c r="H3" s="34"/>
      <c r="I3" s="34"/>
      <c r="J3" s="34"/>
      <c r="K3" s="34"/>
      <c r="L3" s="34"/>
      <c r="M3" s="34"/>
      <c r="N3" s="34"/>
    </row>
    <row r="4" spans="1:14">
      <c r="A4" s="34"/>
      <c r="B4" s="34"/>
      <c r="C4" s="34"/>
      <c r="D4" s="34"/>
      <c r="E4" s="34"/>
      <c r="F4" s="34"/>
      <c r="G4" s="34"/>
      <c r="H4" s="34"/>
      <c r="I4" s="34"/>
      <c r="J4" s="34"/>
      <c r="K4" s="34"/>
      <c r="L4" s="34"/>
      <c r="M4" s="34"/>
      <c r="N4" s="34"/>
    </row>
    <row r="5" spans="1:14">
      <c r="A5" s="293" t="s">
        <v>5121</v>
      </c>
      <c r="B5" s="294" t="s">
        <v>4852</v>
      </c>
      <c r="C5" s="294" t="s">
        <v>2524</v>
      </c>
      <c r="D5" s="294" t="s">
        <v>4853</v>
      </c>
      <c r="E5" s="294" t="s">
        <v>4854</v>
      </c>
      <c r="F5" s="294" t="s">
        <v>4855</v>
      </c>
      <c r="G5" s="295" t="s">
        <v>4856</v>
      </c>
      <c r="H5" s="295" t="s">
        <v>4857</v>
      </c>
      <c r="I5" s="295" t="s">
        <v>4858</v>
      </c>
      <c r="J5" s="295" t="s">
        <v>4859</v>
      </c>
      <c r="K5" s="296" t="s">
        <v>4860</v>
      </c>
      <c r="L5" s="296" t="s">
        <v>4861</v>
      </c>
      <c r="M5" s="296" t="s">
        <v>4862</v>
      </c>
      <c r="N5" s="297" t="s">
        <v>12</v>
      </c>
    </row>
    <row r="6" spans="1:14" ht="110" customHeight="1">
      <c r="A6" s="307">
        <v>7</v>
      </c>
      <c r="B6" s="298" t="s">
        <v>4863</v>
      </c>
      <c r="C6" s="298" t="s">
        <v>4864</v>
      </c>
      <c r="D6" s="299" t="s">
        <v>4256</v>
      </c>
      <c r="E6" s="298" t="s">
        <v>4865</v>
      </c>
      <c r="F6" s="298" t="s">
        <v>4866</v>
      </c>
      <c r="G6" s="298"/>
      <c r="H6" s="298"/>
      <c r="I6" s="298"/>
      <c r="J6" s="298"/>
      <c r="K6" s="298" t="s">
        <v>4867</v>
      </c>
      <c r="L6" s="298" t="s">
        <v>4868</v>
      </c>
      <c r="M6" s="298" t="s">
        <v>4869</v>
      </c>
      <c r="N6" s="300" t="s">
        <v>4870</v>
      </c>
    </row>
    <row r="7" spans="1:14" ht="110" customHeight="1">
      <c r="A7" s="307">
        <v>8</v>
      </c>
      <c r="B7" s="298" t="s">
        <v>4871</v>
      </c>
      <c r="C7" s="298" t="s">
        <v>4864</v>
      </c>
      <c r="D7" s="299" t="s">
        <v>4256</v>
      </c>
      <c r="E7" s="298" t="s">
        <v>4872</v>
      </c>
      <c r="F7" s="298" t="s">
        <v>4873</v>
      </c>
      <c r="G7" s="298"/>
      <c r="H7" s="298"/>
      <c r="I7" s="298"/>
      <c r="J7" s="298"/>
      <c r="K7" s="298" t="s">
        <v>4874</v>
      </c>
      <c r="L7" s="298" t="s">
        <v>4875</v>
      </c>
      <c r="M7" s="298" t="s">
        <v>4876</v>
      </c>
      <c r="N7" s="300" t="s">
        <v>4877</v>
      </c>
    </row>
    <row r="8" spans="1:14" ht="110" customHeight="1">
      <c r="A8" s="307">
        <v>9</v>
      </c>
      <c r="B8" s="298" t="s">
        <v>4878</v>
      </c>
      <c r="C8" s="298" t="s">
        <v>4864</v>
      </c>
      <c r="D8" s="299" t="s">
        <v>4256</v>
      </c>
      <c r="E8" s="298" t="s">
        <v>4879</v>
      </c>
      <c r="F8" s="298" t="s">
        <v>4880</v>
      </c>
      <c r="G8" s="298"/>
      <c r="H8" s="298"/>
      <c r="I8" s="298"/>
      <c r="J8" s="298"/>
      <c r="K8" s="298" t="s">
        <v>4881</v>
      </c>
      <c r="L8" s="298" t="s">
        <v>4882</v>
      </c>
      <c r="M8" s="298" t="s">
        <v>4883</v>
      </c>
      <c r="N8" s="300" t="s">
        <v>4884</v>
      </c>
    </row>
    <row r="9" spans="1:14" ht="110" customHeight="1">
      <c r="A9" s="307"/>
      <c r="B9" s="298" t="s">
        <v>4885</v>
      </c>
      <c r="C9" s="298" t="s">
        <v>4864</v>
      </c>
      <c r="D9" s="299" t="s">
        <v>4257</v>
      </c>
      <c r="E9" s="298" t="s">
        <v>4886</v>
      </c>
      <c r="F9" s="298" t="s">
        <v>4887</v>
      </c>
      <c r="G9" s="298"/>
      <c r="H9" s="298"/>
      <c r="I9" s="298"/>
      <c r="J9" s="298"/>
      <c r="K9" s="298" t="s">
        <v>4888</v>
      </c>
      <c r="L9" s="298" t="s">
        <v>4889</v>
      </c>
      <c r="M9" s="298" t="s">
        <v>4890</v>
      </c>
      <c r="N9" s="300" t="s">
        <v>4884</v>
      </c>
    </row>
    <row r="10" spans="1:14" ht="110" customHeight="1">
      <c r="A10" s="307"/>
      <c r="B10" s="298" t="s">
        <v>4891</v>
      </c>
      <c r="C10" s="298" t="s">
        <v>4864</v>
      </c>
      <c r="D10" s="299" t="s">
        <v>4257</v>
      </c>
      <c r="E10" s="298" t="s">
        <v>4892</v>
      </c>
      <c r="F10" s="298" t="s">
        <v>4893</v>
      </c>
      <c r="G10" s="298"/>
      <c r="H10" s="298"/>
      <c r="I10" s="298"/>
      <c r="J10" s="298"/>
      <c r="K10" s="298" t="s">
        <v>4894</v>
      </c>
      <c r="L10" s="298" t="s">
        <v>4895</v>
      </c>
      <c r="M10" s="298" t="s">
        <v>4896</v>
      </c>
      <c r="N10" s="300" t="s">
        <v>4897</v>
      </c>
    </row>
    <row r="11" spans="1:14" ht="110" customHeight="1">
      <c r="A11" s="307"/>
      <c r="B11" s="298" t="s">
        <v>4898</v>
      </c>
      <c r="C11" s="298" t="s">
        <v>4864</v>
      </c>
      <c r="D11" s="299" t="s">
        <v>4257</v>
      </c>
      <c r="E11" s="298" t="s">
        <v>4899</v>
      </c>
      <c r="F11" s="298" t="s">
        <v>4900</v>
      </c>
      <c r="G11" s="298"/>
      <c r="H11" s="298"/>
      <c r="I11" s="298"/>
      <c r="J11" s="298"/>
      <c r="K11" s="298" t="s">
        <v>4901</v>
      </c>
      <c r="L11" s="298" t="s">
        <v>4902</v>
      </c>
      <c r="M11" s="298" t="s">
        <v>4903</v>
      </c>
      <c r="N11" s="300" t="s">
        <v>4904</v>
      </c>
    </row>
    <row r="12" spans="1:14" ht="110" customHeight="1">
      <c r="A12" s="307"/>
      <c r="B12" s="298" t="s">
        <v>4905</v>
      </c>
      <c r="C12" s="298" t="s">
        <v>4864</v>
      </c>
      <c r="D12" s="299" t="s">
        <v>4257</v>
      </c>
      <c r="E12" s="298" t="s">
        <v>4906</v>
      </c>
      <c r="F12" s="298" t="s">
        <v>4907</v>
      </c>
      <c r="G12" s="298"/>
      <c r="H12" s="298"/>
      <c r="I12" s="298"/>
      <c r="J12" s="298"/>
      <c r="K12" s="298" t="s">
        <v>4908</v>
      </c>
      <c r="L12" s="298" t="s">
        <v>4909</v>
      </c>
      <c r="M12" s="298" t="s">
        <v>4910</v>
      </c>
      <c r="N12" s="300" t="s">
        <v>4911</v>
      </c>
    </row>
    <row r="13" spans="1:14" ht="110" customHeight="1">
      <c r="A13" s="307">
        <v>10</v>
      </c>
      <c r="B13" s="298" t="s">
        <v>4912</v>
      </c>
      <c r="C13" s="298" t="s">
        <v>4913</v>
      </c>
      <c r="D13" s="299" t="s">
        <v>4256</v>
      </c>
      <c r="E13" s="298" t="s">
        <v>4914</v>
      </c>
      <c r="F13" s="298" t="s">
        <v>4915</v>
      </c>
      <c r="G13" s="298"/>
      <c r="H13" s="298"/>
      <c r="I13" s="298"/>
      <c r="J13" s="298"/>
      <c r="K13" s="298" t="s">
        <v>4916</v>
      </c>
      <c r="L13" s="298" t="s">
        <v>4917</v>
      </c>
      <c r="M13" s="298" t="s">
        <v>4918</v>
      </c>
      <c r="N13" s="300" t="s">
        <v>4919</v>
      </c>
    </row>
    <row r="14" spans="1:14" ht="110" customHeight="1">
      <c r="A14" s="307">
        <v>11</v>
      </c>
      <c r="B14" s="298" t="s">
        <v>4920</v>
      </c>
      <c r="C14" s="298" t="s">
        <v>4913</v>
      </c>
      <c r="D14" s="299" t="s">
        <v>4256</v>
      </c>
      <c r="E14" s="298" t="s">
        <v>4921</v>
      </c>
      <c r="F14" s="298" t="s">
        <v>4922</v>
      </c>
      <c r="G14" s="298"/>
      <c r="H14" s="298"/>
      <c r="I14" s="298"/>
      <c r="J14" s="298"/>
      <c r="K14" s="298" t="s">
        <v>4923</v>
      </c>
      <c r="L14" s="298" t="s">
        <v>4924</v>
      </c>
      <c r="M14" s="298" t="s">
        <v>4925</v>
      </c>
      <c r="N14" s="300" t="s">
        <v>4926</v>
      </c>
    </row>
    <row r="15" spans="1:14" ht="110" customHeight="1">
      <c r="A15" s="307"/>
      <c r="B15" s="298" t="s">
        <v>4927</v>
      </c>
      <c r="C15" s="298" t="s">
        <v>4913</v>
      </c>
      <c r="D15" s="299" t="s">
        <v>4257</v>
      </c>
      <c r="E15" s="298" t="s">
        <v>4928</v>
      </c>
      <c r="F15" s="298" t="s">
        <v>4929</v>
      </c>
      <c r="G15" s="298"/>
      <c r="H15" s="298"/>
      <c r="I15" s="298"/>
      <c r="J15" s="298"/>
      <c r="K15" s="298" t="s">
        <v>4930</v>
      </c>
      <c r="L15" s="298" t="s">
        <v>4931</v>
      </c>
      <c r="M15" s="298" t="s">
        <v>4932</v>
      </c>
      <c r="N15" s="300" t="s">
        <v>903</v>
      </c>
    </row>
    <row r="16" spans="1:14" ht="110" customHeight="1">
      <c r="A16" s="307"/>
      <c r="B16" s="298" t="s">
        <v>4933</v>
      </c>
      <c r="C16" s="298" t="s">
        <v>4913</v>
      </c>
      <c r="D16" s="299" t="s">
        <v>4257</v>
      </c>
      <c r="E16" s="298" t="s">
        <v>4934</v>
      </c>
      <c r="F16" s="298" t="s">
        <v>4935</v>
      </c>
      <c r="G16" s="298"/>
      <c r="H16" s="298"/>
      <c r="I16" s="298"/>
      <c r="J16" s="298"/>
      <c r="K16" s="298" t="s">
        <v>4936</v>
      </c>
      <c r="L16" s="298" t="s">
        <v>4937</v>
      </c>
      <c r="M16" s="298" t="s">
        <v>4938</v>
      </c>
      <c r="N16" s="300" t="s">
        <v>4939</v>
      </c>
    </row>
    <row r="17" spans="1:14" ht="110" customHeight="1">
      <c r="A17" s="307"/>
      <c r="B17" s="298" t="s">
        <v>4940</v>
      </c>
      <c r="C17" s="298" t="s">
        <v>4913</v>
      </c>
      <c r="D17" s="299" t="s">
        <v>4257</v>
      </c>
      <c r="E17" s="298" t="s">
        <v>4941</v>
      </c>
      <c r="F17" s="298" t="s">
        <v>4942</v>
      </c>
      <c r="G17" s="298"/>
      <c r="H17" s="298"/>
      <c r="I17" s="298"/>
      <c r="J17" s="298"/>
      <c r="K17" s="298" t="s">
        <v>4943</v>
      </c>
      <c r="L17" s="298" t="s">
        <v>4944</v>
      </c>
      <c r="M17" s="298" t="s">
        <v>4945</v>
      </c>
      <c r="N17" s="300" t="s">
        <v>4904</v>
      </c>
    </row>
    <row r="18" spans="1:14" ht="110" customHeight="1">
      <c r="A18" s="307"/>
      <c r="B18" s="298" t="s">
        <v>4946</v>
      </c>
      <c r="C18" s="298" t="s">
        <v>4913</v>
      </c>
      <c r="D18" s="299" t="s">
        <v>4257</v>
      </c>
      <c r="E18" s="298" t="s">
        <v>4947</v>
      </c>
      <c r="F18" s="298" t="s">
        <v>4948</v>
      </c>
      <c r="G18" s="298"/>
      <c r="H18" s="298"/>
      <c r="I18" s="298"/>
      <c r="J18" s="298"/>
      <c r="K18" s="298" t="s">
        <v>4949</v>
      </c>
      <c r="L18" s="298" t="s">
        <v>4950</v>
      </c>
      <c r="M18" s="298" t="s">
        <v>4951</v>
      </c>
      <c r="N18" s="300" t="s">
        <v>4952</v>
      </c>
    </row>
    <row r="19" spans="1:14" ht="110" customHeight="1">
      <c r="A19" s="307"/>
      <c r="B19" s="298" t="s">
        <v>4953</v>
      </c>
      <c r="C19" s="298" t="s">
        <v>4913</v>
      </c>
      <c r="D19" s="299" t="s">
        <v>4258</v>
      </c>
      <c r="E19" s="298" t="s">
        <v>4954</v>
      </c>
      <c r="F19" s="298" t="s">
        <v>4955</v>
      </c>
      <c r="G19" s="298"/>
      <c r="H19" s="298"/>
      <c r="I19" s="298"/>
      <c r="J19" s="298"/>
      <c r="K19" s="298" t="s">
        <v>4956</v>
      </c>
      <c r="L19" s="298" t="s">
        <v>4957</v>
      </c>
      <c r="M19" s="298" t="s">
        <v>4958</v>
      </c>
      <c r="N19" s="300" t="s">
        <v>4959</v>
      </c>
    </row>
    <row r="20" spans="1:14" ht="110" customHeight="1">
      <c r="A20" s="307"/>
      <c r="B20" s="298" t="s">
        <v>4960</v>
      </c>
      <c r="C20" s="298" t="s">
        <v>4913</v>
      </c>
      <c r="D20" s="299" t="s">
        <v>4258</v>
      </c>
      <c r="E20" s="298" t="s">
        <v>4961</v>
      </c>
      <c r="F20" s="298" t="s">
        <v>4962</v>
      </c>
      <c r="G20" s="298"/>
      <c r="H20" s="298"/>
      <c r="I20" s="298"/>
      <c r="J20" s="298"/>
      <c r="K20" s="298" t="s">
        <v>4963</v>
      </c>
      <c r="L20" s="298" t="s">
        <v>4964</v>
      </c>
      <c r="M20" s="298" t="s">
        <v>4965</v>
      </c>
      <c r="N20" s="300" t="s">
        <v>4966</v>
      </c>
    </row>
    <row r="21" spans="1:14" ht="110" customHeight="1">
      <c r="A21" s="307">
        <v>12</v>
      </c>
      <c r="B21" s="298" t="s">
        <v>4967</v>
      </c>
      <c r="C21" s="298" t="s">
        <v>4968</v>
      </c>
      <c r="D21" s="299" t="s">
        <v>4256</v>
      </c>
      <c r="E21" s="298" t="s">
        <v>4969</v>
      </c>
      <c r="F21" s="298" t="s">
        <v>4970</v>
      </c>
      <c r="G21" s="298"/>
      <c r="H21" s="298"/>
      <c r="I21" s="298"/>
      <c r="J21" s="298"/>
      <c r="K21" s="298" t="s">
        <v>4971</v>
      </c>
      <c r="L21" s="298" t="s">
        <v>4972</v>
      </c>
      <c r="M21" s="298" t="s">
        <v>4973</v>
      </c>
      <c r="N21" s="300" t="s">
        <v>4877</v>
      </c>
    </row>
    <row r="22" spans="1:14" ht="110" customHeight="1">
      <c r="A22" s="307">
        <v>13</v>
      </c>
      <c r="B22" s="298" t="s">
        <v>4974</v>
      </c>
      <c r="C22" s="298" t="s">
        <v>4968</v>
      </c>
      <c r="D22" s="299" t="s">
        <v>4256</v>
      </c>
      <c r="E22" s="298" t="s">
        <v>4975</v>
      </c>
      <c r="F22" s="298" t="s">
        <v>4976</v>
      </c>
      <c r="G22" s="298"/>
      <c r="H22" s="298"/>
      <c r="I22" s="298"/>
      <c r="J22" s="298"/>
      <c r="K22" s="298" t="s">
        <v>4977</v>
      </c>
      <c r="L22" s="298" t="s">
        <v>4978</v>
      </c>
      <c r="M22" s="298" t="s">
        <v>4979</v>
      </c>
      <c r="N22" s="300" t="s">
        <v>4980</v>
      </c>
    </row>
    <row r="23" spans="1:14" ht="110" customHeight="1">
      <c r="A23" s="307"/>
      <c r="B23" s="298" t="s">
        <v>4981</v>
      </c>
      <c r="C23" s="298" t="s">
        <v>4968</v>
      </c>
      <c r="D23" s="299" t="s">
        <v>4257</v>
      </c>
      <c r="E23" s="298" t="s">
        <v>4982</v>
      </c>
      <c r="F23" s="298" t="s">
        <v>4983</v>
      </c>
      <c r="G23" s="298"/>
      <c r="H23" s="298"/>
      <c r="I23" s="298"/>
      <c r="J23" s="298"/>
      <c r="K23" s="298" t="s">
        <v>4984</v>
      </c>
      <c r="L23" s="298" t="s">
        <v>4985</v>
      </c>
      <c r="M23" s="298" t="s">
        <v>4986</v>
      </c>
      <c r="N23" s="300" t="s">
        <v>4987</v>
      </c>
    </row>
    <row r="24" spans="1:14" ht="110" customHeight="1">
      <c r="A24" s="307"/>
      <c r="B24" s="298" t="s">
        <v>4988</v>
      </c>
      <c r="C24" s="298" t="s">
        <v>4968</v>
      </c>
      <c r="D24" s="299" t="s">
        <v>4257</v>
      </c>
      <c r="E24" s="298" t="s">
        <v>4989</v>
      </c>
      <c r="F24" s="298" t="s">
        <v>4990</v>
      </c>
      <c r="G24" s="298"/>
      <c r="H24" s="298"/>
      <c r="I24" s="298"/>
      <c r="J24" s="298"/>
      <c r="K24" s="298" t="s">
        <v>4991</v>
      </c>
      <c r="L24" s="298" t="s">
        <v>4992</v>
      </c>
      <c r="M24" s="298" t="s">
        <v>4993</v>
      </c>
      <c r="N24" s="300" t="s">
        <v>4994</v>
      </c>
    </row>
    <row r="25" spans="1:14" ht="110" customHeight="1">
      <c r="A25" s="307"/>
      <c r="B25" s="298" t="s">
        <v>4995</v>
      </c>
      <c r="C25" s="298" t="s">
        <v>4968</v>
      </c>
      <c r="D25" s="299" t="s">
        <v>4257</v>
      </c>
      <c r="E25" s="298" t="s">
        <v>4996</v>
      </c>
      <c r="F25" s="298" t="s">
        <v>4997</v>
      </c>
      <c r="G25" s="298"/>
      <c r="H25" s="298"/>
      <c r="I25" s="298"/>
      <c r="J25" s="298"/>
      <c r="K25" s="298" t="s">
        <v>4998</v>
      </c>
      <c r="L25" s="298" t="s">
        <v>4999</v>
      </c>
      <c r="M25" s="298" t="s">
        <v>5000</v>
      </c>
      <c r="N25" s="300" t="s">
        <v>5001</v>
      </c>
    </row>
    <row r="26" spans="1:14" ht="110" customHeight="1">
      <c r="A26" s="307"/>
      <c r="B26" s="298" t="s">
        <v>5002</v>
      </c>
      <c r="C26" s="298" t="s">
        <v>4968</v>
      </c>
      <c r="D26" s="299" t="s">
        <v>4257</v>
      </c>
      <c r="E26" s="298" t="s">
        <v>5003</v>
      </c>
      <c r="F26" s="298" t="s">
        <v>5004</v>
      </c>
      <c r="G26" s="298"/>
      <c r="H26" s="298"/>
      <c r="I26" s="298"/>
      <c r="J26" s="298"/>
      <c r="K26" s="298" t="s">
        <v>5005</v>
      </c>
      <c r="L26" s="298" t="s">
        <v>5006</v>
      </c>
      <c r="M26" s="298" t="s">
        <v>5007</v>
      </c>
      <c r="N26" s="300" t="s">
        <v>5008</v>
      </c>
    </row>
    <row r="27" spans="1:14" ht="110" customHeight="1">
      <c r="A27" s="307">
        <v>2</v>
      </c>
      <c r="B27" s="298" t="s">
        <v>5009</v>
      </c>
      <c r="C27" s="298" t="s">
        <v>5010</v>
      </c>
      <c r="D27" s="299" t="s">
        <v>4256</v>
      </c>
      <c r="E27" s="298" t="s">
        <v>5011</v>
      </c>
      <c r="F27" s="298" t="s">
        <v>5012</v>
      </c>
      <c r="G27" s="298"/>
      <c r="H27" s="298"/>
      <c r="I27" s="298"/>
      <c r="J27" s="298"/>
      <c r="K27" s="298" t="s">
        <v>5013</v>
      </c>
      <c r="L27" s="298" t="s">
        <v>5014</v>
      </c>
      <c r="M27" s="298" t="s">
        <v>5015</v>
      </c>
      <c r="N27" s="300" t="s">
        <v>5016</v>
      </c>
    </row>
    <row r="28" spans="1:14" ht="110" customHeight="1">
      <c r="A28" s="307">
        <v>3</v>
      </c>
      <c r="B28" s="298" t="s">
        <v>5017</v>
      </c>
      <c r="C28" s="298" t="s">
        <v>5010</v>
      </c>
      <c r="D28" s="299" t="s">
        <v>4256</v>
      </c>
      <c r="E28" s="298" t="s">
        <v>5018</v>
      </c>
      <c r="F28" s="298" t="s">
        <v>5019</v>
      </c>
      <c r="G28" s="298"/>
      <c r="H28" s="298"/>
      <c r="I28" s="298"/>
      <c r="J28" s="298"/>
      <c r="K28" s="298" t="s">
        <v>5020</v>
      </c>
      <c r="L28" s="298" t="s">
        <v>5021</v>
      </c>
      <c r="M28" s="298" t="s">
        <v>5022</v>
      </c>
      <c r="N28" s="300" t="s">
        <v>5023</v>
      </c>
    </row>
    <row r="29" spans="1:14" ht="110" customHeight="1">
      <c r="A29" s="307">
        <v>4</v>
      </c>
      <c r="B29" s="298" t="s">
        <v>5024</v>
      </c>
      <c r="C29" s="298" t="s">
        <v>5010</v>
      </c>
      <c r="D29" s="299" t="s">
        <v>4256</v>
      </c>
      <c r="E29" s="298" t="s">
        <v>5025</v>
      </c>
      <c r="F29" s="298" t="s">
        <v>5026</v>
      </c>
      <c r="G29" s="298"/>
      <c r="H29" s="298"/>
      <c r="I29" s="298"/>
      <c r="J29" s="298"/>
      <c r="K29" s="298" t="s">
        <v>5027</v>
      </c>
      <c r="L29" s="298" t="s">
        <v>5028</v>
      </c>
      <c r="M29" s="298" t="s">
        <v>5029</v>
      </c>
      <c r="N29" s="300" t="s">
        <v>4877</v>
      </c>
    </row>
    <row r="30" spans="1:14" ht="110" customHeight="1">
      <c r="A30" s="307"/>
      <c r="B30" s="298" t="s">
        <v>5030</v>
      </c>
      <c r="C30" s="298" t="s">
        <v>5010</v>
      </c>
      <c r="D30" s="299" t="s">
        <v>4257</v>
      </c>
      <c r="E30" s="298" t="s">
        <v>5031</v>
      </c>
      <c r="F30" s="298" t="s">
        <v>5032</v>
      </c>
      <c r="G30" s="298"/>
      <c r="H30" s="298"/>
      <c r="I30" s="298"/>
      <c r="J30" s="298"/>
      <c r="K30" s="298" t="s">
        <v>5033</v>
      </c>
      <c r="L30" s="298" t="s">
        <v>5034</v>
      </c>
      <c r="M30" s="298" t="s">
        <v>5035</v>
      </c>
      <c r="N30" s="300" t="s">
        <v>5036</v>
      </c>
    </row>
    <row r="31" spans="1:14" ht="110" customHeight="1">
      <c r="A31" s="307"/>
      <c r="B31" s="298" t="s">
        <v>5037</v>
      </c>
      <c r="C31" s="298" t="s">
        <v>5010</v>
      </c>
      <c r="D31" s="299" t="s">
        <v>4257</v>
      </c>
      <c r="E31" s="298" t="s">
        <v>5038</v>
      </c>
      <c r="F31" s="298" t="s">
        <v>5039</v>
      </c>
      <c r="G31" s="298"/>
      <c r="H31" s="298"/>
      <c r="I31" s="298"/>
      <c r="J31" s="298"/>
      <c r="K31" s="298" t="s">
        <v>5040</v>
      </c>
      <c r="L31" s="298" t="s">
        <v>5041</v>
      </c>
      <c r="M31" s="298" t="s">
        <v>5042</v>
      </c>
      <c r="N31" s="300" t="s">
        <v>5043</v>
      </c>
    </row>
    <row r="32" spans="1:14" ht="110" customHeight="1">
      <c r="A32" s="307"/>
      <c r="B32" s="298" t="s">
        <v>5044</v>
      </c>
      <c r="C32" s="298" t="s">
        <v>5010</v>
      </c>
      <c r="D32" s="299" t="s">
        <v>4257</v>
      </c>
      <c r="E32" s="298" t="s">
        <v>5045</v>
      </c>
      <c r="F32" s="298" t="s">
        <v>5046</v>
      </c>
      <c r="G32" s="298"/>
      <c r="H32" s="298"/>
      <c r="I32" s="298"/>
      <c r="J32" s="298"/>
      <c r="K32" s="298" t="s">
        <v>5047</v>
      </c>
      <c r="L32" s="298" t="s">
        <v>5048</v>
      </c>
      <c r="M32" s="298" t="s">
        <v>5049</v>
      </c>
      <c r="N32" s="300" t="s">
        <v>5050</v>
      </c>
    </row>
    <row r="33" spans="1:14" ht="110" customHeight="1">
      <c r="A33" s="307"/>
      <c r="B33" s="298" t="s">
        <v>5051</v>
      </c>
      <c r="C33" s="298" t="s">
        <v>5010</v>
      </c>
      <c r="D33" s="299" t="s">
        <v>4258</v>
      </c>
      <c r="E33" s="298" t="s">
        <v>5052</v>
      </c>
      <c r="F33" s="298" t="s">
        <v>5053</v>
      </c>
      <c r="G33" s="298"/>
      <c r="H33" s="298"/>
      <c r="I33" s="298"/>
      <c r="J33" s="298"/>
      <c r="K33" s="298" t="s">
        <v>5054</v>
      </c>
      <c r="L33" s="298" t="s">
        <v>5055</v>
      </c>
      <c r="M33" s="298" t="s">
        <v>5056</v>
      </c>
      <c r="N33" s="300" t="s">
        <v>5057</v>
      </c>
    </row>
    <row r="34" spans="1:14" ht="110" customHeight="1">
      <c r="A34" s="307">
        <v>17</v>
      </c>
      <c r="B34" s="298" t="s">
        <v>5058</v>
      </c>
      <c r="C34" s="298" t="s">
        <v>5059</v>
      </c>
      <c r="D34" s="299" t="s">
        <v>4256</v>
      </c>
      <c r="E34" s="298" t="s">
        <v>5060</v>
      </c>
      <c r="F34" s="298" t="s">
        <v>5061</v>
      </c>
      <c r="G34" s="298"/>
      <c r="H34" s="298"/>
      <c r="I34" s="298"/>
      <c r="J34" s="298"/>
      <c r="K34" s="298" t="s">
        <v>5062</v>
      </c>
      <c r="L34" s="298" t="s">
        <v>5063</v>
      </c>
      <c r="M34" s="298" t="s">
        <v>5064</v>
      </c>
      <c r="N34" s="300" t="s">
        <v>5065</v>
      </c>
    </row>
    <row r="35" spans="1:14" ht="110" customHeight="1">
      <c r="A35" s="307"/>
      <c r="B35" s="298" t="s">
        <v>5066</v>
      </c>
      <c r="C35" s="298" t="s">
        <v>5059</v>
      </c>
      <c r="D35" s="299" t="s">
        <v>4257</v>
      </c>
      <c r="E35" s="298" t="s">
        <v>5067</v>
      </c>
      <c r="F35" s="298" t="s">
        <v>5068</v>
      </c>
      <c r="G35" s="298"/>
      <c r="H35" s="298"/>
      <c r="I35" s="298"/>
      <c r="J35" s="298"/>
      <c r="K35" s="298" t="s">
        <v>5069</v>
      </c>
      <c r="L35" s="298" t="s">
        <v>5070</v>
      </c>
      <c r="M35" s="298" t="s">
        <v>5071</v>
      </c>
      <c r="N35" s="300" t="s">
        <v>4884</v>
      </c>
    </row>
    <row r="36" spans="1:14" ht="110" customHeight="1">
      <c r="A36" s="307"/>
      <c r="B36" s="298" t="s">
        <v>5072</v>
      </c>
      <c r="C36" s="298" t="s">
        <v>5059</v>
      </c>
      <c r="D36" s="299" t="s">
        <v>4257</v>
      </c>
      <c r="E36" s="298" t="s">
        <v>5073</v>
      </c>
      <c r="F36" s="298" t="s">
        <v>5074</v>
      </c>
      <c r="G36" s="298"/>
      <c r="H36" s="298"/>
      <c r="I36" s="298"/>
      <c r="J36" s="298"/>
      <c r="K36" s="298" t="s">
        <v>5075</v>
      </c>
      <c r="L36" s="298" t="s">
        <v>5076</v>
      </c>
      <c r="M36" s="298" t="s">
        <v>5077</v>
      </c>
      <c r="N36" s="300" t="s">
        <v>2667</v>
      </c>
    </row>
    <row r="37" spans="1:14" ht="110" customHeight="1">
      <c r="A37" s="307"/>
      <c r="B37" s="298" t="s">
        <v>5078</v>
      </c>
      <c r="C37" s="298" t="s">
        <v>5059</v>
      </c>
      <c r="D37" s="299" t="s">
        <v>4257</v>
      </c>
      <c r="E37" s="298" t="s">
        <v>5079</v>
      </c>
      <c r="F37" s="298" t="s">
        <v>5080</v>
      </c>
      <c r="G37" s="298"/>
      <c r="H37" s="298"/>
      <c r="I37" s="298"/>
      <c r="J37" s="298"/>
      <c r="K37" s="298" t="s">
        <v>5081</v>
      </c>
      <c r="L37" s="298" t="s">
        <v>5082</v>
      </c>
      <c r="M37" s="298" t="s">
        <v>5083</v>
      </c>
      <c r="N37" s="300" t="s">
        <v>5084</v>
      </c>
    </row>
    <row r="38" spans="1:14" ht="110" customHeight="1">
      <c r="A38" s="307"/>
      <c r="B38" s="298" t="s">
        <v>5085</v>
      </c>
      <c r="C38" s="298" t="s">
        <v>5059</v>
      </c>
      <c r="D38" s="299" t="s">
        <v>4258</v>
      </c>
      <c r="E38" s="298" t="s">
        <v>5086</v>
      </c>
      <c r="F38" s="298" t="s">
        <v>5087</v>
      </c>
      <c r="G38" s="298"/>
      <c r="H38" s="298"/>
      <c r="I38" s="298"/>
      <c r="J38" s="298"/>
      <c r="K38" s="298" t="s">
        <v>5088</v>
      </c>
      <c r="L38" s="298" t="s">
        <v>5089</v>
      </c>
      <c r="M38" s="298" t="s">
        <v>5090</v>
      </c>
      <c r="N38" s="300" t="s">
        <v>5091</v>
      </c>
    </row>
    <row r="39" spans="1:14" ht="110" customHeight="1">
      <c r="A39" s="307">
        <v>18</v>
      </c>
      <c r="B39" s="298" t="s">
        <v>5092</v>
      </c>
      <c r="C39" s="298" t="s">
        <v>5093</v>
      </c>
      <c r="D39" s="299" t="s">
        <v>4256</v>
      </c>
      <c r="E39" s="298" t="s">
        <v>5094</v>
      </c>
      <c r="F39" s="298" t="s">
        <v>5095</v>
      </c>
      <c r="G39" s="298"/>
      <c r="H39" s="298"/>
      <c r="I39" s="298"/>
      <c r="J39" s="298"/>
      <c r="K39" s="298" t="s">
        <v>5096</v>
      </c>
      <c r="L39" s="298" t="s">
        <v>5097</v>
      </c>
      <c r="M39" s="298" t="s">
        <v>5098</v>
      </c>
      <c r="N39" s="300" t="s">
        <v>5099</v>
      </c>
    </row>
    <row r="40" spans="1:14" ht="110" customHeight="1">
      <c r="A40" s="307"/>
      <c r="B40" s="298" t="s">
        <v>5100</v>
      </c>
      <c r="C40" s="298" t="s">
        <v>5093</v>
      </c>
      <c r="D40" s="299" t="s">
        <v>4257</v>
      </c>
      <c r="E40" s="298" t="s">
        <v>5101</v>
      </c>
      <c r="F40" s="298" t="s">
        <v>5102</v>
      </c>
      <c r="G40" s="298"/>
      <c r="H40" s="298"/>
      <c r="I40" s="298"/>
      <c r="J40" s="298"/>
      <c r="K40" s="298" t="s">
        <v>5099</v>
      </c>
      <c r="L40" s="298" t="s">
        <v>5103</v>
      </c>
      <c r="M40" s="298" t="s">
        <v>5104</v>
      </c>
      <c r="N40" s="300" t="s">
        <v>5099</v>
      </c>
    </row>
    <row r="41" spans="1:14" ht="110" customHeight="1">
      <c r="A41" s="307"/>
      <c r="B41" s="298" t="s">
        <v>5105</v>
      </c>
      <c r="C41" s="298" t="s">
        <v>5093</v>
      </c>
      <c r="D41" s="299" t="s">
        <v>4257</v>
      </c>
      <c r="E41" s="298" t="s">
        <v>5106</v>
      </c>
      <c r="F41" s="298" t="s">
        <v>5107</v>
      </c>
      <c r="G41" s="298"/>
      <c r="H41" s="298"/>
      <c r="I41" s="298"/>
      <c r="J41" s="298"/>
      <c r="K41" s="298" t="s">
        <v>5108</v>
      </c>
      <c r="L41" s="298" t="s">
        <v>5109</v>
      </c>
      <c r="M41" s="298" t="s">
        <v>5110</v>
      </c>
      <c r="N41" s="300" t="s">
        <v>5111</v>
      </c>
    </row>
    <row r="42" spans="1:14" ht="110" customHeight="1">
      <c r="A42" s="308"/>
      <c r="B42" s="301" t="s">
        <v>5112</v>
      </c>
      <c r="C42" s="301" t="s">
        <v>5093</v>
      </c>
      <c r="D42" s="302" t="s">
        <v>4257</v>
      </c>
      <c r="E42" s="301" t="s">
        <v>5113</v>
      </c>
      <c r="F42" s="301" t="s">
        <v>5114</v>
      </c>
      <c r="G42" s="301"/>
      <c r="H42" s="301"/>
      <c r="I42" s="301"/>
      <c r="J42" s="301"/>
      <c r="K42" s="301" t="s">
        <v>5115</v>
      </c>
      <c r="L42" s="301" t="s">
        <v>5116</v>
      </c>
      <c r="M42" s="301" t="s">
        <v>5117</v>
      </c>
      <c r="N42" s="303" t="s">
        <v>5118</v>
      </c>
    </row>
    <row r="43" spans="1:14" ht="110" customHeight="1">
      <c r="A43" s="308">
        <v>1</v>
      </c>
      <c r="B43" s="301" t="s">
        <v>5122</v>
      </c>
      <c r="C43" s="301" t="s">
        <v>5123</v>
      </c>
      <c r="D43" s="302" t="s">
        <v>4256</v>
      </c>
      <c r="E43" s="301" t="s">
        <v>5124</v>
      </c>
      <c r="F43" s="301" t="s">
        <v>5125</v>
      </c>
      <c r="G43" s="301"/>
      <c r="H43" s="301"/>
      <c r="I43" s="301"/>
      <c r="J43" s="301"/>
      <c r="K43" s="301" t="s">
        <v>5126</v>
      </c>
      <c r="L43" s="301" t="s">
        <v>5127</v>
      </c>
      <c r="M43" s="301" t="s">
        <v>5128</v>
      </c>
      <c r="N43" s="303" t="s">
        <v>5129</v>
      </c>
    </row>
    <row r="44" spans="1:14" ht="110" customHeight="1">
      <c r="A44" s="308">
        <v>14</v>
      </c>
      <c r="B44" s="301" t="s">
        <v>5130</v>
      </c>
      <c r="C44" s="301" t="s">
        <v>5123</v>
      </c>
      <c r="D44" s="302" t="s">
        <v>4256</v>
      </c>
      <c r="E44" s="301" t="s">
        <v>5131</v>
      </c>
      <c r="F44" s="301" t="s">
        <v>5132</v>
      </c>
      <c r="G44" s="301"/>
      <c r="H44" s="301"/>
      <c r="I44" s="301"/>
      <c r="J44" s="301"/>
      <c r="K44" s="301" t="s">
        <v>5133</v>
      </c>
      <c r="L44" s="301" t="s">
        <v>5134</v>
      </c>
      <c r="M44" s="301" t="s">
        <v>5135</v>
      </c>
      <c r="N44" s="303" t="s">
        <v>5136</v>
      </c>
    </row>
    <row r="45" spans="1:14" ht="110" customHeight="1">
      <c r="A45" s="308">
        <v>5</v>
      </c>
      <c r="B45" s="301" t="s">
        <v>5137</v>
      </c>
      <c r="C45" s="301" t="s">
        <v>5123</v>
      </c>
      <c r="D45" s="302" t="s">
        <v>4256</v>
      </c>
      <c r="E45" s="301" t="s">
        <v>5138</v>
      </c>
      <c r="F45" s="301" t="s">
        <v>5139</v>
      </c>
      <c r="G45" s="301"/>
      <c r="H45" s="301"/>
      <c r="I45" s="301"/>
      <c r="J45" s="301"/>
      <c r="K45" s="301" t="s">
        <v>5140</v>
      </c>
      <c r="L45" s="301" t="s">
        <v>5141</v>
      </c>
      <c r="M45" s="301" t="s">
        <v>5142</v>
      </c>
      <c r="N45" s="303" t="s">
        <v>5143</v>
      </c>
    </row>
    <row r="46" spans="1:14" ht="110" customHeight="1">
      <c r="A46" s="308">
        <v>6</v>
      </c>
      <c r="B46" s="301" t="s">
        <v>5144</v>
      </c>
      <c r="C46" s="301" t="s">
        <v>5123</v>
      </c>
      <c r="D46" s="302" t="s">
        <v>4257</v>
      </c>
      <c r="E46" s="301" t="s">
        <v>5145</v>
      </c>
      <c r="F46" s="301" t="s">
        <v>5146</v>
      </c>
      <c r="G46" s="301"/>
      <c r="H46" s="301"/>
      <c r="I46" s="301"/>
      <c r="J46" s="301"/>
      <c r="K46" s="301" t="s">
        <v>5147</v>
      </c>
      <c r="L46" s="301" t="s">
        <v>5148</v>
      </c>
      <c r="M46" s="301" t="s">
        <v>5149</v>
      </c>
      <c r="N46" s="303" t="s">
        <v>5150</v>
      </c>
    </row>
    <row r="47" spans="1:14" ht="110" customHeight="1">
      <c r="A47" s="308">
        <v>15</v>
      </c>
      <c r="B47" s="301" t="s">
        <v>5151</v>
      </c>
      <c r="C47" s="301" t="s">
        <v>5123</v>
      </c>
      <c r="D47" s="302" t="s">
        <v>4257</v>
      </c>
      <c r="E47" s="301" t="s">
        <v>5152</v>
      </c>
      <c r="F47" s="301" t="s">
        <v>5153</v>
      </c>
      <c r="G47" s="301"/>
      <c r="H47" s="301"/>
      <c r="I47" s="301"/>
      <c r="J47" s="301"/>
      <c r="K47" s="301" t="s">
        <v>5154</v>
      </c>
      <c r="L47" s="301" t="s">
        <v>5155</v>
      </c>
      <c r="M47" s="301" t="s">
        <v>5083</v>
      </c>
      <c r="N47" s="303" t="s">
        <v>5084</v>
      </c>
    </row>
    <row r="48" spans="1:14" ht="110" customHeight="1">
      <c r="A48" s="308">
        <v>16</v>
      </c>
      <c r="B48" s="301" t="s">
        <v>5156</v>
      </c>
      <c r="C48" s="301" t="s">
        <v>5123</v>
      </c>
      <c r="D48" s="302" t="s">
        <v>4257</v>
      </c>
      <c r="E48" s="301" t="s">
        <v>5157</v>
      </c>
      <c r="F48" s="301" t="s">
        <v>5158</v>
      </c>
      <c r="G48" s="301"/>
      <c r="H48" s="301"/>
      <c r="I48" s="301"/>
      <c r="J48" s="301"/>
      <c r="K48" s="301" t="s">
        <v>5159</v>
      </c>
      <c r="L48" s="301" t="s">
        <v>5160</v>
      </c>
      <c r="M48" s="301" t="s">
        <v>5161</v>
      </c>
      <c r="N48" s="303" t="s">
        <v>4897</v>
      </c>
    </row>
  </sheetData>
  <autoFilter ref="A5:N48" xr:uid="{C47BDEA2-3270-2C42-9A1D-C11A5668D48E}"/>
  <phoneticPr fontId="3"/>
  <conditionalFormatting sqref="D6:D48">
    <cfRule type="expression" dxfId="51" priority="1">
      <formula>$D6="最優先"</formula>
    </cfRule>
  </conditionalFormatting>
  <conditionalFormatting sqref="D6:D48">
    <cfRule type="expression" dxfId="50" priority="2">
      <formula>$D6="通常"</formula>
    </cfRule>
  </conditionalFormatting>
  <conditionalFormatting sqref="D6:D48">
    <cfRule type="expression" dxfId="49" priority="3">
      <formula>$D6="後回し可"</formula>
    </cfRule>
  </conditionalFormatting>
  <conditionalFormatting sqref="A6:A48">
    <cfRule type="expression" dxfId="48" priority="4">
      <formula>$A6&lt;&gt;""</formula>
    </cfRule>
  </conditionalFormatting>
  <conditionalFormatting sqref="B6:C48">
    <cfRule type="expression" dxfId="47" priority="5">
      <formula>$C6="G 事例・構成レビュー"</formula>
    </cfRule>
  </conditionalFormatting>
  <conditionalFormatting sqref="B6:C48">
    <cfRule type="expression" dxfId="46" priority="6">
      <formula>$C6="B RHBK本体・SPI"</formula>
    </cfRule>
  </conditionalFormatting>
  <conditionalFormatting sqref="B6:C48">
    <cfRule type="expression" dxfId="45" priority="7">
      <formula>$C6="D セキュリティ"</formula>
    </cfRule>
  </conditionalFormatting>
  <conditionalFormatting sqref="B6:C48">
    <cfRule type="expression" dxfId="44" priority="8">
      <formula>$C6="F 運用・監視"</formula>
    </cfRule>
  </conditionalFormatting>
  <pageMargins left="0.7" right="0.7" top="0.75" bottom="0.75" header="0.3" footer="0.3"/>
  <pageSetup paperSize="9" scale="45" fitToHeight="0" orientation="landscape"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37" t="s">
        <v>5162</v>
      </c>
      <c r="B1" s="34"/>
      <c r="C1" s="34"/>
    </row>
    <row r="2" spans="1:3">
      <c r="A2" s="62" t="s">
        <v>5165</v>
      </c>
      <c r="B2" s="34"/>
      <c r="C2" s="34"/>
    </row>
    <row r="3" spans="1:3">
      <c r="A3" s="34"/>
      <c r="B3" s="34"/>
      <c r="C3" s="34"/>
    </row>
    <row r="4" spans="1:3">
      <c r="A4" s="293" t="s">
        <v>4852</v>
      </c>
      <c r="B4" s="294" t="s">
        <v>5119</v>
      </c>
      <c r="C4" s="304" t="s">
        <v>5120</v>
      </c>
    </row>
    <row r="5" spans="1:3" ht="120" customHeight="1">
      <c r="A5" s="309" t="s">
        <v>4863</v>
      </c>
      <c r="B5" s="136" t="s">
        <v>4865</v>
      </c>
      <c r="C5" s="305" t="s">
        <v>4866</v>
      </c>
    </row>
    <row r="6" spans="1:3" ht="120" customHeight="1">
      <c r="A6" s="309" t="s">
        <v>4871</v>
      </c>
      <c r="B6" s="136" t="s">
        <v>4872</v>
      </c>
      <c r="C6" s="305" t="s">
        <v>4873</v>
      </c>
    </row>
    <row r="7" spans="1:3" ht="120" customHeight="1">
      <c r="A7" s="309" t="s">
        <v>4878</v>
      </c>
      <c r="B7" s="136" t="s">
        <v>4879</v>
      </c>
      <c r="C7" s="305" t="s">
        <v>4880</v>
      </c>
    </row>
    <row r="8" spans="1:3" ht="120" customHeight="1">
      <c r="A8" s="309" t="s">
        <v>4885</v>
      </c>
      <c r="B8" s="136" t="s">
        <v>4886</v>
      </c>
      <c r="C8" s="305" t="s">
        <v>4887</v>
      </c>
    </row>
    <row r="9" spans="1:3" ht="120" customHeight="1">
      <c r="A9" s="309" t="s">
        <v>4891</v>
      </c>
      <c r="B9" s="136" t="s">
        <v>4892</v>
      </c>
      <c r="C9" s="305" t="s">
        <v>4893</v>
      </c>
    </row>
    <row r="10" spans="1:3" ht="120" customHeight="1">
      <c r="A10" s="309" t="s">
        <v>4898</v>
      </c>
      <c r="B10" s="136" t="s">
        <v>4899</v>
      </c>
      <c r="C10" s="305" t="s">
        <v>4900</v>
      </c>
    </row>
    <row r="11" spans="1:3" ht="120" customHeight="1">
      <c r="A11" s="309" t="s">
        <v>4905</v>
      </c>
      <c r="B11" s="136" t="s">
        <v>4906</v>
      </c>
      <c r="C11" s="305" t="s">
        <v>4907</v>
      </c>
    </row>
    <row r="12" spans="1:3" ht="120" customHeight="1">
      <c r="A12" s="309" t="s">
        <v>4912</v>
      </c>
      <c r="B12" s="136" t="s">
        <v>4914</v>
      </c>
      <c r="C12" s="305" t="s">
        <v>4915</v>
      </c>
    </row>
    <row r="13" spans="1:3" ht="120" customHeight="1">
      <c r="A13" s="309" t="s">
        <v>4920</v>
      </c>
      <c r="B13" s="136" t="s">
        <v>4921</v>
      </c>
      <c r="C13" s="305" t="s">
        <v>4922</v>
      </c>
    </row>
    <row r="14" spans="1:3" ht="120" customHeight="1">
      <c r="A14" s="309" t="s">
        <v>4927</v>
      </c>
      <c r="B14" s="136" t="s">
        <v>4928</v>
      </c>
      <c r="C14" s="305" t="s">
        <v>4929</v>
      </c>
    </row>
    <row r="15" spans="1:3" ht="120" customHeight="1">
      <c r="A15" s="309" t="s">
        <v>4933</v>
      </c>
      <c r="B15" s="136" t="s">
        <v>4934</v>
      </c>
      <c r="C15" s="305" t="s">
        <v>4935</v>
      </c>
    </row>
    <row r="16" spans="1:3" ht="120" customHeight="1">
      <c r="A16" s="309" t="s">
        <v>4940</v>
      </c>
      <c r="B16" s="136" t="s">
        <v>4941</v>
      </c>
      <c r="C16" s="305" t="s">
        <v>4942</v>
      </c>
    </row>
    <row r="17" spans="1:3" ht="120" customHeight="1">
      <c r="A17" s="309" t="s">
        <v>4946</v>
      </c>
      <c r="B17" s="136" t="s">
        <v>4947</v>
      </c>
      <c r="C17" s="305" t="s">
        <v>4948</v>
      </c>
    </row>
    <row r="18" spans="1:3" ht="120" customHeight="1">
      <c r="A18" s="309" t="s">
        <v>4953</v>
      </c>
      <c r="B18" s="136" t="s">
        <v>4954</v>
      </c>
      <c r="C18" s="305" t="s">
        <v>4955</v>
      </c>
    </row>
    <row r="19" spans="1:3" ht="120" customHeight="1">
      <c r="A19" s="309" t="s">
        <v>4960</v>
      </c>
      <c r="B19" s="136" t="s">
        <v>4961</v>
      </c>
      <c r="C19" s="305" t="s">
        <v>4962</v>
      </c>
    </row>
    <row r="20" spans="1:3" ht="120" customHeight="1">
      <c r="A20" s="309" t="s">
        <v>4967</v>
      </c>
      <c r="B20" s="136" t="s">
        <v>4969</v>
      </c>
      <c r="C20" s="305" t="s">
        <v>4970</v>
      </c>
    </row>
    <row r="21" spans="1:3" ht="120" customHeight="1">
      <c r="A21" s="309" t="s">
        <v>4974</v>
      </c>
      <c r="B21" s="136" t="s">
        <v>4975</v>
      </c>
      <c r="C21" s="305" t="s">
        <v>4976</v>
      </c>
    </row>
    <row r="22" spans="1:3" ht="120" customHeight="1">
      <c r="A22" s="309" t="s">
        <v>4981</v>
      </c>
      <c r="B22" s="136" t="s">
        <v>4982</v>
      </c>
      <c r="C22" s="305" t="s">
        <v>4983</v>
      </c>
    </row>
    <row r="23" spans="1:3" ht="120" customHeight="1">
      <c r="A23" s="309" t="s">
        <v>4988</v>
      </c>
      <c r="B23" s="136" t="s">
        <v>4989</v>
      </c>
      <c r="C23" s="305" t="s">
        <v>4990</v>
      </c>
    </row>
    <row r="24" spans="1:3" ht="120" customHeight="1">
      <c r="A24" s="309" t="s">
        <v>4995</v>
      </c>
      <c r="B24" s="136" t="s">
        <v>4996</v>
      </c>
      <c r="C24" s="305" t="s">
        <v>4997</v>
      </c>
    </row>
    <row r="25" spans="1:3" ht="120" customHeight="1">
      <c r="A25" s="309" t="s">
        <v>5002</v>
      </c>
      <c r="B25" s="136" t="s">
        <v>5003</v>
      </c>
      <c r="C25" s="305" t="s">
        <v>5004</v>
      </c>
    </row>
    <row r="26" spans="1:3" ht="120" customHeight="1">
      <c r="A26" s="309" t="s">
        <v>5009</v>
      </c>
      <c r="B26" s="136" t="s">
        <v>5011</v>
      </c>
      <c r="C26" s="305" t="s">
        <v>5012</v>
      </c>
    </row>
    <row r="27" spans="1:3" ht="120" customHeight="1">
      <c r="A27" s="309" t="s">
        <v>5017</v>
      </c>
      <c r="B27" s="136" t="s">
        <v>5018</v>
      </c>
      <c r="C27" s="305" t="s">
        <v>5019</v>
      </c>
    </row>
    <row r="28" spans="1:3" ht="120" customHeight="1">
      <c r="A28" s="309" t="s">
        <v>5024</v>
      </c>
      <c r="B28" s="136" t="s">
        <v>5025</v>
      </c>
      <c r="C28" s="305" t="s">
        <v>5026</v>
      </c>
    </row>
    <row r="29" spans="1:3" ht="120" customHeight="1">
      <c r="A29" s="309" t="s">
        <v>5030</v>
      </c>
      <c r="B29" s="136" t="s">
        <v>5031</v>
      </c>
      <c r="C29" s="305" t="s">
        <v>5032</v>
      </c>
    </row>
    <row r="30" spans="1:3" ht="120" customHeight="1">
      <c r="A30" s="309" t="s">
        <v>5037</v>
      </c>
      <c r="B30" s="136" t="s">
        <v>5038</v>
      </c>
      <c r="C30" s="305" t="s">
        <v>5039</v>
      </c>
    </row>
    <row r="31" spans="1:3" ht="120" customHeight="1">
      <c r="A31" s="309" t="s">
        <v>5044</v>
      </c>
      <c r="B31" s="136" t="s">
        <v>5045</v>
      </c>
      <c r="C31" s="305" t="s">
        <v>5046</v>
      </c>
    </row>
    <row r="32" spans="1:3" ht="120" customHeight="1">
      <c r="A32" s="309" t="s">
        <v>5051</v>
      </c>
      <c r="B32" s="136" t="s">
        <v>5052</v>
      </c>
      <c r="C32" s="305" t="s">
        <v>5053</v>
      </c>
    </row>
    <row r="33" spans="1:3" ht="120" customHeight="1">
      <c r="A33" s="309" t="s">
        <v>5058</v>
      </c>
      <c r="B33" s="136" t="s">
        <v>5060</v>
      </c>
      <c r="C33" s="305" t="s">
        <v>5061</v>
      </c>
    </row>
    <row r="34" spans="1:3" ht="120" customHeight="1">
      <c r="A34" s="309" t="s">
        <v>5066</v>
      </c>
      <c r="B34" s="136" t="s">
        <v>5067</v>
      </c>
      <c r="C34" s="305" t="s">
        <v>5068</v>
      </c>
    </row>
    <row r="35" spans="1:3" ht="120" customHeight="1">
      <c r="A35" s="309" t="s">
        <v>5072</v>
      </c>
      <c r="B35" s="136" t="s">
        <v>5073</v>
      </c>
      <c r="C35" s="305" t="s">
        <v>5074</v>
      </c>
    </row>
    <row r="36" spans="1:3" ht="120" customHeight="1">
      <c r="A36" s="309" t="s">
        <v>5078</v>
      </c>
      <c r="B36" s="136" t="s">
        <v>5079</v>
      </c>
      <c r="C36" s="305" t="s">
        <v>5080</v>
      </c>
    </row>
    <row r="37" spans="1:3" ht="120" customHeight="1">
      <c r="A37" s="309" t="s">
        <v>5085</v>
      </c>
      <c r="B37" s="136" t="s">
        <v>5086</v>
      </c>
      <c r="C37" s="305" t="s">
        <v>5087</v>
      </c>
    </row>
    <row r="38" spans="1:3" ht="120" customHeight="1">
      <c r="A38" s="309" t="s">
        <v>5092</v>
      </c>
      <c r="B38" s="136" t="s">
        <v>5094</v>
      </c>
      <c r="C38" s="305" t="s">
        <v>5095</v>
      </c>
    </row>
    <row r="39" spans="1:3" ht="120" customHeight="1">
      <c r="A39" s="309" t="s">
        <v>5100</v>
      </c>
      <c r="B39" s="136" t="s">
        <v>5101</v>
      </c>
      <c r="C39" s="305" t="s">
        <v>5102</v>
      </c>
    </row>
    <row r="40" spans="1:3" ht="120" customHeight="1">
      <c r="A40" s="309" t="s">
        <v>5105</v>
      </c>
      <c r="B40" s="136" t="s">
        <v>5106</v>
      </c>
      <c r="C40" s="305" t="s">
        <v>5107</v>
      </c>
    </row>
    <row r="41" spans="1:3" ht="120" customHeight="1">
      <c r="A41" s="309" t="s">
        <v>5112</v>
      </c>
      <c r="B41" s="136" t="s">
        <v>5113</v>
      </c>
      <c r="C41" s="305" t="s">
        <v>5114</v>
      </c>
    </row>
    <row r="42" spans="1:3" ht="120" customHeight="1">
      <c r="A42" s="309" t="s">
        <v>5122</v>
      </c>
      <c r="B42" s="136" t="s">
        <v>5124</v>
      </c>
      <c r="C42" s="305" t="s">
        <v>5125</v>
      </c>
    </row>
    <row r="43" spans="1:3" ht="120" customHeight="1">
      <c r="A43" s="309" t="s">
        <v>5130</v>
      </c>
      <c r="B43" s="136" t="s">
        <v>5131</v>
      </c>
      <c r="C43" s="305" t="s">
        <v>5132</v>
      </c>
    </row>
    <row r="44" spans="1:3" ht="120" customHeight="1">
      <c r="A44" s="309" t="s">
        <v>5137</v>
      </c>
      <c r="B44" s="136" t="s">
        <v>5138</v>
      </c>
      <c r="C44" s="305" t="s">
        <v>5139</v>
      </c>
    </row>
    <row r="45" spans="1:3" ht="120" customHeight="1">
      <c r="A45" s="309" t="s">
        <v>5144</v>
      </c>
      <c r="B45" s="136" t="s">
        <v>5145</v>
      </c>
      <c r="C45" s="305" t="s">
        <v>5146</v>
      </c>
    </row>
    <row r="46" spans="1:3" ht="120" customHeight="1">
      <c r="A46" s="309" t="s">
        <v>5151</v>
      </c>
      <c r="B46" s="136" t="s">
        <v>5152</v>
      </c>
      <c r="C46" s="305" t="s">
        <v>5153</v>
      </c>
    </row>
    <row r="47" spans="1:3" ht="120" customHeight="1">
      <c r="A47" s="309" t="s">
        <v>5156</v>
      </c>
      <c r="B47" s="136" t="s">
        <v>5157</v>
      </c>
      <c r="C47" s="305" t="s">
        <v>5158</v>
      </c>
    </row>
  </sheetData>
  <phoneticPr fontId="3"/>
  <pageMargins left="0.7" right="0.7" top="0.75" bottom="0.75" header="0.3" footer="0.3"/>
  <pageSetup paperSize="9" scale="50" fitToHeight="0"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O13"/>
  <sheetViews>
    <sheetView topLeftCell="D1" zoomScale="131" workbookViewId="0">
      <pane ySplit="6" topLeftCell="A7" activePane="bottomLeft" state="frozen"/>
      <selection pane="bottomLeft" activeCell="E8" sqref="E8"/>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 min="14" max="14" width="15.7109375" customWidth="1"/>
    <col min="15" max="15" width="18.5703125" customWidth="1"/>
  </cols>
  <sheetData>
    <row r="1" spans="1:15">
      <c r="A1" s="237" t="s">
        <v>5166</v>
      </c>
      <c r="B1" s="34"/>
      <c r="C1" s="34"/>
      <c r="D1" s="34"/>
      <c r="E1" s="34"/>
      <c r="F1" s="34"/>
      <c r="G1" s="34"/>
      <c r="H1" s="34"/>
      <c r="I1" s="34"/>
      <c r="J1" s="34"/>
      <c r="K1" s="34"/>
      <c r="L1" s="34"/>
      <c r="M1" s="34"/>
    </row>
    <row r="2" spans="1:15">
      <c r="A2" s="292" t="s">
        <v>5167</v>
      </c>
      <c r="B2" s="34"/>
      <c r="C2" s="34"/>
      <c r="D2" s="34"/>
      <c r="E2" s="34"/>
      <c r="F2" s="34"/>
      <c r="G2" s="34"/>
      <c r="H2" s="34"/>
      <c r="I2" s="34"/>
      <c r="J2" s="34"/>
      <c r="K2" s="34"/>
      <c r="L2" s="34"/>
      <c r="M2" s="34"/>
    </row>
    <row r="3" spans="1:15">
      <c r="A3" s="306" t="s">
        <v>5168</v>
      </c>
      <c r="B3" s="34"/>
      <c r="C3" s="34"/>
      <c r="D3" s="34"/>
      <c r="E3" s="34"/>
      <c r="F3" s="34"/>
      <c r="G3" s="34"/>
      <c r="H3" s="34"/>
      <c r="I3" s="34"/>
      <c r="J3" s="34"/>
      <c r="K3" s="34"/>
      <c r="L3" s="34"/>
      <c r="M3" s="34"/>
    </row>
    <row r="4" spans="1:15">
      <c r="A4" s="79" t="s">
        <v>5169</v>
      </c>
      <c r="B4" s="34"/>
      <c r="C4" s="34"/>
      <c r="D4" s="34"/>
      <c r="E4" s="34"/>
      <c r="F4" s="34"/>
      <c r="G4" s="34"/>
      <c r="H4" s="34"/>
      <c r="I4" s="34"/>
      <c r="J4" s="34"/>
      <c r="K4" s="34"/>
      <c r="L4" s="34"/>
      <c r="M4" s="34"/>
    </row>
    <row r="5" spans="1:15">
      <c r="A5" s="312" t="s">
        <v>5272</v>
      </c>
      <c r="B5" s="34"/>
      <c r="C5" s="34"/>
      <c r="D5" s="34"/>
      <c r="E5" s="34"/>
      <c r="F5" s="34"/>
      <c r="G5" s="34"/>
      <c r="H5" s="34"/>
      <c r="I5" s="34"/>
      <c r="J5" s="34"/>
      <c r="K5" s="34"/>
      <c r="L5" s="34"/>
      <c r="M5" s="34"/>
    </row>
    <row r="6" spans="1:15">
      <c r="A6" s="293" t="s">
        <v>5170</v>
      </c>
      <c r="B6" s="294" t="s">
        <v>5171</v>
      </c>
      <c r="C6" s="294" t="s">
        <v>4853</v>
      </c>
      <c r="D6" s="294" t="s">
        <v>4854</v>
      </c>
      <c r="E6" s="294" t="s">
        <v>4855</v>
      </c>
      <c r="F6" s="295" t="s">
        <v>4856</v>
      </c>
      <c r="G6" s="295" t="s">
        <v>4857</v>
      </c>
      <c r="H6" s="295" t="s">
        <v>4858</v>
      </c>
      <c r="I6" s="295" t="s">
        <v>5172</v>
      </c>
      <c r="J6" s="296" t="s">
        <v>4860</v>
      </c>
      <c r="K6" s="296" t="s">
        <v>4861</v>
      </c>
      <c r="L6" s="296" t="s">
        <v>4862</v>
      </c>
      <c r="M6" s="310" t="s">
        <v>5173</v>
      </c>
      <c r="N6" s="311" t="s">
        <v>5226</v>
      </c>
      <c r="O6" s="311" t="s">
        <v>5227</v>
      </c>
    </row>
    <row r="7" spans="1:15" ht="140" customHeight="1">
      <c r="A7" s="307" t="s">
        <v>5174</v>
      </c>
      <c r="B7" s="299" t="s">
        <v>5175</v>
      </c>
      <c r="C7" s="299" t="s">
        <v>4256</v>
      </c>
      <c r="D7" s="298" t="s">
        <v>5176</v>
      </c>
      <c r="E7" s="298" t="s">
        <v>5177</v>
      </c>
      <c r="F7" s="298"/>
      <c r="G7" s="298"/>
      <c r="H7" s="298"/>
      <c r="I7" s="299"/>
      <c r="J7" s="298" t="s">
        <v>5178</v>
      </c>
      <c r="K7" s="298" t="s">
        <v>5179</v>
      </c>
      <c r="L7" s="298" t="s">
        <v>5180</v>
      </c>
      <c r="M7" s="300" t="s">
        <v>5181</v>
      </c>
      <c r="N7" s="161" t="s">
        <v>5271</v>
      </c>
      <c r="O7" s="161" t="s">
        <v>5174</v>
      </c>
    </row>
    <row r="8" spans="1:15" ht="140" customHeight="1">
      <c r="A8" s="307" t="s">
        <v>5182</v>
      </c>
      <c r="B8" s="299" t="s">
        <v>5175</v>
      </c>
      <c r="C8" s="299" t="s">
        <v>4256</v>
      </c>
      <c r="D8" s="298" t="s">
        <v>5183</v>
      </c>
      <c r="E8" s="298" t="s">
        <v>5184</v>
      </c>
      <c r="F8" s="298"/>
      <c r="G8" s="298"/>
      <c r="H8" s="298"/>
      <c r="I8" s="299"/>
      <c r="J8" s="298" t="s">
        <v>5185</v>
      </c>
      <c r="K8" s="298" t="s">
        <v>5186</v>
      </c>
      <c r="L8" s="298" t="s">
        <v>5187</v>
      </c>
      <c r="M8" s="300" t="s">
        <v>5188</v>
      </c>
      <c r="N8" s="161" t="s">
        <v>5271</v>
      </c>
      <c r="O8" s="161" t="s">
        <v>5182</v>
      </c>
    </row>
    <row r="9" spans="1:15" ht="140" customHeight="1">
      <c r="A9" s="307" t="s">
        <v>5189</v>
      </c>
      <c r="B9" s="299" t="s">
        <v>5175</v>
      </c>
      <c r="C9" s="299" t="s">
        <v>4257</v>
      </c>
      <c r="D9" s="298" t="s">
        <v>5190</v>
      </c>
      <c r="E9" s="298" t="s">
        <v>5191</v>
      </c>
      <c r="F9" s="298"/>
      <c r="G9" s="298"/>
      <c r="H9" s="298"/>
      <c r="I9" s="299"/>
      <c r="J9" s="298" t="s">
        <v>5192</v>
      </c>
      <c r="K9" s="298" t="s">
        <v>5193</v>
      </c>
      <c r="L9" s="298" t="s">
        <v>5194</v>
      </c>
      <c r="M9" s="300" t="s">
        <v>5195</v>
      </c>
      <c r="N9" s="161" t="s">
        <v>5271</v>
      </c>
      <c r="O9" s="161" t="s">
        <v>5189</v>
      </c>
    </row>
    <row r="10" spans="1:15" ht="140" customHeight="1">
      <c r="A10" s="307" t="s">
        <v>5196</v>
      </c>
      <c r="B10" s="299" t="s">
        <v>5175</v>
      </c>
      <c r="C10" s="299" t="s">
        <v>4257</v>
      </c>
      <c r="D10" s="298" t="s">
        <v>5197</v>
      </c>
      <c r="E10" s="298" t="s">
        <v>5198</v>
      </c>
      <c r="F10" s="298"/>
      <c r="G10" s="298"/>
      <c r="H10" s="298"/>
      <c r="I10" s="299"/>
      <c r="J10" s="298" t="s">
        <v>5199</v>
      </c>
      <c r="K10" s="298" t="s">
        <v>5200</v>
      </c>
      <c r="L10" s="298" t="s">
        <v>5201</v>
      </c>
      <c r="M10" s="300" t="s">
        <v>5202</v>
      </c>
      <c r="N10" s="161" t="s">
        <v>5271</v>
      </c>
      <c r="O10" s="161" t="s">
        <v>5196</v>
      </c>
    </row>
    <row r="11" spans="1:15" ht="140" customHeight="1">
      <c r="A11" s="307" t="s">
        <v>5203</v>
      </c>
      <c r="B11" s="299" t="s">
        <v>5204</v>
      </c>
      <c r="C11" s="299" t="s">
        <v>4256</v>
      </c>
      <c r="D11" s="298" t="s">
        <v>5205</v>
      </c>
      <c r="E11" s="298" t="s">
        <v>5206</v>
      </c>
      <c r="F11" s="298"/>
      <c r="G11" s="298"/>
      <c r="H11" s="298"/>
      <c r="I11" s="299"/>
      <c r="J11" s="298" t="s">
        <v>5207</v>
      </c>
      <c r="K11" s="298" t="s">
        <v>5208</v>
      </c>
      <c r="L11" s="298" t="s">
        <v>5209</v>
      </c>
      <c r="M11" s="300" t="s">
        <v>5210</v>
      </c>
      <c r="N11" s="161" t="s">
        <v>5271</v>
      </c>
      <c r="O11" s="161" t="s">
        <v>5203</v>
      </c>
    </row>
    <row r="12" spans="1:15" ht="140" customHeight="1">
      <c r="A12" s="307" t="s">
        <v>5211</v>
      </c>
      <c r="B12" s="299" t="s">
        <v>5204</v>
      </c>
      <c r="C12" s="299" t="s">
        <v>4256</v>
      </c>
      <c r="D12" s="298" t="s">
        <v>5212</v>
      </c>
      <c r="E12" s="298" t="s">
        <v>5213</v>
      </c>
      <c r="F12" s="298"/>
      <c r="G12" s="298"/>
      <c r="H12" s="298"/>
      <c r="I12" s="299"/>
      <c r="J12" s="298" t="s">
        <v>5214</v>
      </c>
      <c r="K12" s="298" t="s">
        <v>5215</v>
      </c>
      <c r="L12" s="298" t="s">
        <v>5216</v>
      </c>
      <c r="M12" s="300" t="s">
        <v>5217</v>
      </c>
      <c r="N12" s="161" t="s">
        <v>5271</v>
      </c>
      <c r="O12" s="161" t="s">
        <v>5211</v>
      </c>
    </row>
    <row r="13" spans="1:15" ht="140" customHeight="1">
      <c r="A13" s="308" t="s">
        <v>5218</v>
      </c>
      <c r="B13" s="302" t="s">
        <v>5204</v>
      </c>
      <c r="C13" s="302" t="s">
        <v>4257</v>
      </c>
      <c r="D13" s="301" t="s">
        <v>5219</v>
      </c>
      <c r="E13" s="301" t="s">
        <v>5220</v>
      </c>
      <c r="F13" s="301"/>
      <c r="G13" s="301"/>
      <c r="H13" s="301"/>
      <c r="I13" s="302"/>
      <c r="J13" s="301" t="s">
        <v>5221</v>
      </c>
      <c r="K13" s="301" t="s">
        <v>5222</v>
      </c>
      <c r="L13" s="301" t="s">
        <v>5223</v>
      </c>
      <c r="M13" s="303" t="s">
        <v>5224</v>
      </c>
      <c r="N13" s="161" t="s">
        <v>5271</v>
      </c>
      <c r="O13" s="161" t="s">
        <v>5218</v>
      </c>
    </row>
  </sheetData>
  <autoFilter ref="A6:M13" xr:uid="{01578FE6-5AF7-D445-B4F3-9D8EB4ACAC69}"/>
  <phoneticPr fontId="3"/>
  <conditionalFormatting sqref="C7:C13">
    <cfRule type="expression" priority="1"/>
  </conditionalFormatting>
  <conditionalFormatting sqref="C7:C13">
    <cfRule type="expression" dxfId="43" priority="2">
      <formula>$C7="最優先"</formula>
    </cfRule>
  </conditionalFormatting>
  <conditionalFormatting sqref="C7:C13">
    <cfRule type="expression" dxfId="42" priority="3">
      <formula>$C7="通常"</formula>
    </cfRule>
  </conditionalFormatting>
  <conditionalFormatting sqref="B7:B13">
    <cfRule type="expression" dxfId="41" priority="4">
      <formula>$B7="アプリチーム"</formula>
    </cfRule>
  </conditionalFormatting>
  <conditionalFormatting sqref="B7:B13">
    <cfRule type="expression" dxfId="40" priority="5">
      <formula>$B7="事業側"</formula>
    </cfRule>
  </conditionalFormatting>
  <conditionalFormatting sqref="M7:M13">
    <cfRule type="expression" dxfId="39" priority="6">
      <formula>LEFT($M7,1)&lt;&gt;"—"</formula>
    </cfRule>
  </conditionalFormatting>
  <conditionalFormatting sqref="I7:I13">
    <cfRule type="expression" dxfId="38" priority="7">
      <formula>$I7="採用"</formula>
    </cfRule>
  </conditionalFormatting>
  <conditionalFormatting sqref="I7:I13">
    <cfRule type="expression" dxfId="37" priority="8">
      <formula>$I7="現行維持"</formula>
    </cfRule>
  </conditionalFormatting>
  <conditionalFormatting sqref="I7:I13">
    <cfRule type="expression" dxfId="36" priority="9">
      <formula>$I7="保留"</formula>
    </cfRule>
  </conditionalFormatting>
  <conditionalFormatting sqref="A7:A13">
    <cfRule type="expression" dxfId="35" priority="10">
      <formula>$A7="QA-BIND-06"</formula>
    </cfRule>
  </conditionalFormatting>
  <conditionalFormatting sqref="N7:N13">
    <cfRule type="expression" dxfId="34" priority="11">
      <formula>$N7="転記済み"</formula>
    </cfRule>
  </conditionalFormatting>
  <conditionalFormatting sqref="N7:N13">
    <cfRule type="expression" dxfId="33" priority="12">
      <formula>$N7="判定待ち"</formula>
    </cfRule>
  </conditionalFormatting>
  <dataValidations count="2">
    <dataValidation type="list" allowBlank="1" showInputMessage="1" showErrorMessage="1" sqref="I7:I13" xr:uid="{07B80213-E5C0-5841-93AB-C3A3C1F6D983}">
      <formula1>"採用,現行維持,保留"</formula1>
    </dataValidation>
    <dataValidation type="list" allowBlank="1" showInputMessage="1" showErrorMessage="1" sqref="N7:N13" xr:uid="{0DECEA2E-A448-9446-978D-FBAC90048722}">
      <formula1>"転記済み,判定待ち,転記不要"</formula1>
    </dataValidation>
  </dataValidations>
  <pageMargins left="0.7" right="0.7" top="0.75" bottom="0.75" header="0.3" footer="0.3"/>
  <pageSetup paperSize="9" scale="45" fitToHeight="0" orientation="landscape"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C7312-1107-2C44-8AAA-D11AA53C6FA5}">
  <dimension ref="A1:G55"/>
  <sheetViews>
    <sheetView workbookViewId="0">
      <pane ySplit="7" topLeftCell="A8" activePane="bottomLeft" state="frozen"/>
      <selection pane="bottomLeft"/>
    </sheetView>
  </sheetViews>
  <sheetFormatPr baseColWidth="10" defaultRowHeight="20"/>
  <cols>
    <col min="1" max="1" width="12.85546875" customWidth="1"/>
    <col min="2" max="2" width="11.42578125" customWidth="1"/>
    <col min="3" max="4" width="61.42578125" customWidth="1"/>
    <col min="5" max="5" width="10" customWidth="1"/>
    <col min="6" max="6" width="11.42578125" customWidth="1"/>
    <col min="7" max="7" width="20" customWidth="1"/>
  </cols>
  <sheetData>
    <row r="1" spans="1:7">
      <c r="A1" s="237" t="s">
        <v>7730</v>
      </c>
      <c r="B1" s="34"/>
      <c r="C1" s="34"/>
      <c r="D1" s="34"/>
      <c r="E1" s="34"/>
      <c r="F1" s="34"/>
    </row>
    <row r="2" spans="1:7">
      <c r="A2" s="62" t="s">
        <v>5789</v>
      </c>
      <c r="B2" s="34"/>
      <c r="C2" s="34"/>
      <c r="D2" s="34"/>
      <c r="E2" s="34"/>
      <c r="F2" s="34"/>
    </row>
    <row r="3" spans="1:7">
      <c r="A3" s="292" t="s">
        <v>7731</v>
      </c>
      <c r="B3" s="34"/>
      <c r="C3" s="34"/>
      <c r="D3" s="34"/>
      <c r="E3" s="34"/>
      <c r="F3" s="34"/>
    </row>
    <row r="4" spans="1:7">
      <c r="A4" s="292" t="s">
        <v>5790</v>
      </c>
      <c r="B4" s="34"/>
      <c r="C4" s="34"/>
      <c r="D4" s="34"/>
      <c r="E4" s="34"/>
      <c r="F4" s="34"/>
    </row>
    <row r="5" spans="1:7">
      <c r="A5" s="292" t="s">
        <v>7732</v>
      </c>
      <c r="B5" s="34"/>
      <c r="C5" s="34"/>
      <c r="D5" s="34"/>
      <c r="E5" s="34"/>
      <c r="F5" s="34"/>
    </row>
    <row r="6" spans="1:7">
      <c r="A6" s="292" t="s">
        <v>5865</v>
      </c>
      <c r="B6" s="34"/>
      <c r="C6" s="34"/>
      <c r="D6" s="34"/>
      <c r="E6" s="34"/>
      <c r="F6" s="34"/>
    </row>
    <row r="7" spans="1:7">
      <c r="A7" s="293" t="s">
        <v>2527</v>
      </c>
      <c r="B7" s="294" t="s">
        <v>5367</v>
      </c>
      <c r="C7" s="294" t="s">
        <v>5368</v>
      </c>
      <c r="D7" s="294" t="s">
        <v>5369</v>
      </c>
      <c r="E7" s="294" t="s">
        <v>5407</v>
      </c>
      <c r="F7" s="304" t="s">
        <v>666</v>
      </c>
      <c r="G7" s="452" t="s">
        <v>8587</v>
      </c>
    </row>
    <row r="8" spans="1:7" ht="40" customHeight="1">
      <c r="A8" s="354" t="s">
        <v>5791</v>
      </c>
      <c r="B8" s="137" t="s">
        <v>5370</v>
      </c>
      <c r="C8" s="298" t="s">
        <v>7721</v>
      </c>
      <c r="D8" s="298" t="s">
        <v>2234</v>
      </c>
      <c r="E8" s="137">
        <v>0</v>
      </c>
      <c r="F8" s="313" t="s">
        <v>5312</v>
      </c>
      <c r="G8" t="s">
        <v>8588</v>
      </c>
    </row>
    <row r="9" spans="1:7" ht="40" customHeight="1">
      <c r="A9" s="354" t="s">
        <v>5791</v>
      </c>
      <c r="B9" s="137" t="s">
        <v>5371</v>
      </c>
      <c r="C9" s="298" t="s">
        <v>7711</v>
      </c>
      <c r="D9" s="298" t="s">
        <v>7712</v>
      </c>
      <c r="E9" s="137">
        <v>5</v>
      </c>
      <c r="F9" s="313"/>
      <c r="G9" t="s">
        <v>8588</v>
      </c>
    </row>
    <row r="10" spans="1:7" ht="40" customHeight="1">
      <c r="A10" s="354" t="s">
        <v>5791</v>
      </c>
      <c r="B10" s="137" t="s">
        <v>5372</v>
      </c>
      <c r="C10" s="298" t="s">
        <v>7713</v>
      </c>
      <c r="D10" s="298" t="s">
        <v>7714</v>
      </c>
      <c r="E10" s="137">
        <v>3</v>
      </c>
      <c r="F10" s="313"/>
      <c r="G10" t="s">
        <v>8588</v>
      </c>
    </row>
    <row r="11" spans="1:7" ht="40" customHeight="1">
      <c r="A11" s="354" t="s">
        <v>5791</v>
      </c>
      <c r="B11" s="137" t="s">
        <v>5373</v>
      </c>
      <c r="C11" s="298" t="s">
        <v>7715</v>
      </c>
      <c r="D11" s="298" t="s">
        <v>7716</v>
      </c>
      <c r="E11" s="137">
        <v>3</v>
      </c>
      <c r="F11" s="313"/>
      <c r="G11" t="s">
        <v>8588</v>
      </c>
    </row>
    <row r="12" spans="1:7" ht="40" customHeight="1">
      <c r="A12" s="354" t="s">
        <v>5791</v>
      </c>
      <c r="B12" s="137" t="s">
        <v>5374</v>
      </c>
      <c r="C12" s="298" t="s">
        <v>7717</v>
      </c>
      <c r="D12" s="298" t="s">
        <v>7718</v>
      </c>
      <c r="E12" s="137">
        <v>2</v>
      </c>
      <c r="F12" s="313"/>
      <c r="G12" t="s">
        <v>8588</v>
      </c>
    </row>
    <row r="13" spans="1:7" ht="40" customHeight="1">
      <c r="A13" s="354" t="s">
        <v>5791</v>
      </c>
      <c r="B13" s="137" t="s">
        <v>5375</v>
      </c>
      <c r="C13" s="298" t="s">
        <v>7722</v>
      </c>
      <c r="D13" s="298" t="s">
        <v>2234</v>
      </c>
      <c r="E13" s="137">
        <v>0</v>
      </c>
      <c r="F13" s="313" t="s">
        <v>5312</v>
      </c>
      <c r="G13" t="s">
        <v>8588</v>
      </c>
    </row>
    <row r="14" spans="1:7" ht="40" customHeight="1">
      <c r="A14" s="354" t="s">
        <v>5791</v>
      </c>
      <c r="B14" s="137" t="s">
        <v>5376</v>
      </c>
      <c r="C14" s="298" t="s">
        <v>7719</v>
      </c>
      <c r="D14" s="298" t="s">
        <v>7720</v>
      </c>
      <c r="E14" s="137">
        <v>6</v>
      </c>
      <c r="F14" s="313"/>
      <c r="G14" t="s">
        <v>8588</v>
      </c>
    </row>
    <row r="15" spans="1:7" ht="40" customHeight="1">
      <c r="A15" s="354" t="s">
        <v>5791</v>
      </c>
      <c r="B15" s="137" t="s">
        <v>7723</v>
      </c>
      <c r="C15" s="298" t="s">
        <v>7724</v>
      </c>
      <c r="D15" s="298" t="s">
        <v>7725</v>
      </c>
      <c r="E15" s="137">
        <v>4</v>
      </c>
      <c r="F15" s="313"/>
      <c r="G15" t="s">
        <v>8588</v>
      </c>
    </row>
    <row r="16" spans="1:7" ht="40" customHeight="1">
      <c r="A16" s="354" t="s">
        <v>5791</v>
      </c>
      <c r="B16" s="137" t="s">
        <v>7726</v>
      </c>
      <c r="C16" s="298" t="s">
        <v>7727</v>
      </c>
      <c r="D16" s="298" t="s">
        <v>7728</v>
      </c>
      <c r="E16" s="137">
        <v>6</v>
      </c>
      <c r="F16" s="313"/>
      <c r="G16" t="s">
        <v>8588</v>
      </c>
    </row>
    <row r="17" spans="1:7" ht="40" customHeight="1">
      <c r="A17" s="354" t="s">
        <v>5791</v>
      </c>
      <c r="B17" s="137" t="s">
        <v>5377</v>
      </c>
      <c r="C17" s="298" t="s">
        <v>7773</v>
      </c>
      <c r="D17" s="298" t="s">
        <v>5378</v>
      </c>
      <c r="E17" s="137">
        <v>6</v>
      </c>
      <c r="F17" s="313" t="s">
        <v>5393</v>
      </c>
      <c r="G17" t="s">
        <v>8588</v>
      </c>
    </row>
    <row r="18" spans="1:7" ht="40" customHeight="1">
      <c r="A18" s="354" t="s">
        <v>5791</v>
      </c>
      <c r="B18" s="137" t="s">
        <v>5379</v>
      </c>
      <c r="C18" s="298" t="s">
        <v>7774</v>
      </c>
      <c r="D18" s="298" t="s">
        <v>5380</v>
      </c>
      <c r="E18" s="137">
        <v>3</v>
      </c>
      <c r="F18" s="313" t="s">
        <v>5393</v>
      </c>
      <c r="G18" t="s">
        <v>8588</v>
      </c>
    </row>
    <row r="19" spans="1:7" ht="40" customHeight="1">
      <c r="A19" s="354" t="s">
        <v>5791</v>
      </c>
      <c r="B19" s="137" t="s">
        <v>5381</v>
      </c>
      <c r="C19" s="298" t="s">
        <v>7775</v>
      </c>
      <c r="D19" s="298" t="s">
        <v>5382</v>
      </c>
      <c r="E19" s="137">
        <v>2</v>
      </c>
      <c r="F19" s="313" t="s">
        <v>5393</v>
      </c>
      <c r="G19" t="s">
        <v>8588</v>
      </c>
    </row>
    <row r="20" spans="1:7" ht="40" customHeight="1">
      <c r="A20" s="354" t="s">
        <v>5791</v>
      </c>
      <c r="B20" s="137" t="s">
        <v>5383</v>
      </c>
      <c r="C20" s="298" t="s">
        <v>7776</v>
      </c>
      <c r="D20" s="298" t="s">
        <v>5792</v>
      </c>
      <c r="E20" s="137">
        <v>1</v>
      </c>
      <c r="F20" s="313" t="s">
        <v>5393</v>
      </c>
      <c r="G20" t="s">
        <v>8588</v>
      </c>
    </row>
    <row r="21" spans="1:7" ht="40" customHeight="1">
      <c r="A21" s="354" t="s">
        <v>5791</v>
      </c>
      <c r="B21" s="137" t="s">
        <v>5384</v>
      </c>
      <c r="C21" s="298" t="s">
        <v>7588</v>
      </c>
      <c r="D21" s="298" t="s">
        <v>7589</v>
      </c>
      <c r="E21" s="137">
        <v>5</v>
      </c>
      <c r="F21" s="313" t="s">
        <v>7592</v>
      </c>
      <c r="G21" t="s">
        <v>8589</v>
      </c>
    </row>
    <row r="22" spans="1:7" ht="40" customHeight="1">
      <c r="A22" s="354" t="s">
        <v>5791</v>
      </c>
      <c r="B22" s="137" t="s">
        <v>5385</v>
      </c>
      <c r="C22" s="298" t="s">
        <v>7590</v>
      </c>
      <c r="D22" s="298" t="s">
        <v>7591</v>
      </c>
      <c r="E22" s="137">
        <v>8</v>
      </c>
      <c r="F22" s="313" t="s">
        <v>5393</v>
      </c>
      <c r="G22" t="s">
        <v>8588</v>
      </c>
    </row>
    <row r="23" spans="1:7" ht="40" customHeight="1">
      <c r="A23" s="354" t="s">
        <v>5791</v>
      </c>
      <c r="B23" s="137" t="s">
        <v>5386</v>
      </c>
      <c r="C23" s="298" t="s">
        <v>7777</v>
      </c>
      <c r="D23" s="298" t="s">
        <v>5387</v>
      </c>
      <c r="E23" s="137">
        <v>8</v>
      </c>
      <c r="F23" s="313" t="s">
        <v>5393</v>
      </c>
      <c r="G23" t="s">
        <v>8588</v>
      </c>
    </row>
    <row r="24" spans="1:7" ht="40" customHeight="1">
      <c r="A24" s="354" t="s">
        <v>5791</v>
      </c>
      <c r="B24" s="137" t="s">
        <v>5388</v>
      </c>
      <c r="C24" s="298" t="s">
        <v>7778</v>
      </c>
      <c r="D24" s="298" t="s">
        <v>5389</v>
      </c>
      <c r="E24" s="137">
        <v>2</v>
      </c>
      <c r="F24" s="313" t="s">
        <v>5393</v>
      </c>
      <c r="G24" t="s">
        <v>8588</v>
      </c>
    </row>
    <row r="25" spans="1:7" ht="40" customHeight="1">
      <c r="A25" s="354" t="s">
        <v>5791</v>
      </c>
      <c r="B25" s="137" t="s">
        <v>5390</v>
      </c>
      <c r="C25" s="298" t="s">
        <v>5391</v>
      </c>
      <c r="D25" s="298" t="s">
        <v>5392</v>
      </c>
      <c r="E25" s="137">
        <v>3</v>
      </c>
      <c r="F25" s="313" t="s">
        <v>5393</v>
      </c>
      <c r="G25" t="s">
        <v>8588</v>
      </c>
    </row>
    <row r="26" spans="1:7" ht="40" customHeight="1">
      <c r="A26" s="354" t="s">
        <v>5793</v>
      </c>
      <c r="B26" s="137" t="s">
        <v>5408</v>
      </c>
      <c r="C26" s="298" t="s">
        <v>5409</v>
      </c>
      <c r="D26" s="298" t="s">
        <v>5410</v>
      </c>
      <c r="E26" s="137">
        <v>20</v>
      </c>
      <c r="F26" s="313" t="s">
        <v>5393</v>
      </c>
      <c r="G26" t="s">
        <v>8588</v>
      </c>
    </row>
    <row r="27" spans="1:7" ht="40" customHeight="1">
      <c r="A27" s="354" t="s">
        <v>5793</v>
      </c>
      <c r="B27" s="137" t="s">
        <v>5411</v>
      </c>
      <c r="C27" s="298" t="s">
        <v>6529</v>
      </c>
      <c r="D27" s="298" t="s">
        <v>6530</v>
      </c>
      <c r="E27" s="137">
        <v>18</v>
      </c>
      <c r="F27" s="313" t="s">
        <v>5393</v>
      </c>
      <c r="G27" t="s">
        <v>8588</v>
      </c>
    </row>
    <row r="28" spans="1:7" ht="40" customHeight="1">
      <c r="A28" s="354" t="s">
        <v>5793</v>
      </c>
      <c r="B28" s="137" t="s">
        <v>5412</v>
      </c>
      <c r="C28" s="298" t="s">
        <v>5413</v>
      </c>
      <c r="D28" s="298" t="s">
        <v>5414</v>
      </c>
      <c r="E28" s="137">
        <v>9</v>
      </c>
      <c r="F28" s="313" t="s">
        <v>5393</v>
      </c>
      <c r="G28" t="s">
        <v>8588</v>
      </c>
    </row>
    <row r="29" spans="1:7" ht="40" customHeight="1">
      <c r="A29" s="354" t="s">
        <v>5793</v>
      </c>
      <c r="B29" s="137" t="s">
        <v>5415</v>
      </c>
      <c r="C29" s="298" t="s">
        <v>5416</v>
      </c>
      <c r="D29" s="298" t="s">
        <v>5417</v>
      </c>
      <c r="E29" s="137">
        <v>15</v>
      </c>
      <c r="F29" s="313" t="s">
        <v>5393</v>
      </c>
      <c r="G29" t="s">
        <v>8588</v>
      </c>
    </row>
    <row r="30" spans="1:7" ht="40" customHeight="1">
      <c r="A30" s="354" t="s">
        <v>5793</v>
      </c>
      <c r="B30" s="137" t="s">
        <v>5418</v>
      </c>
      <c r="C30" s="298" t="s">
        <v>5419</v>
      </c>
      <c r="D30" s="298" t="s">
        <v>5420</v>
      </c>
      <c r="E30" s="137">
        <v>25</v>
      </c>
      <c r="F30" s="313" t="s">
        <v>5393</v>
      </c>
      <c r="G30" t="s">
        <v>8588</v>
      </c>
    </row>
    <row r="31" spans="1:7" ht="40" customHeight="1">
      <c r="A31" s="354" t="s">
        <v>5794</v>
      </c>
      <c r="B31" s="137" t="s">
        <v>5537</v>
      </c>
      <c r="C31" s="298" t="s">
        <v>5795</v>
      </c>
      <c r="D31" s="298" t="s">
        <v>5796</v>
      </c>
      <c r="E31" s="137">
        <v>15</v>
      </c>
      <c r="F31" s="313" t="s">
        <v>5393</v>
      </c>
      <c r="G31" t="s">
        <v>8588</v>
      </c>
    </row>
    <row r="32" spans="1:7" ht="40" customHeight="1">
      <c r="A32" s="354" t="s">
        <v>5794</v>
      </c>
      <c r="B32" s="137" t="s">
        <v>5538</v>
      </c>
      <c r="C32" s="298" t="s">
        <v>5797</v>
      </c>
      <c r="D32" s="298" t="s">
        <v>5798</v>
      </c>
      <c r="E32" s="137">
        <v>20</v>
      </c>
      <c r="F32" s="313" t="s">
        <v>5393</v>
      </c>
      <c r="G32" t="s">
        <v>8588</v>
      </c>
    </row>
    <row r="33" spans="1:7" ht="40" customHeight="1">
      <c r="A33" s="354" t="s">
        <v>5794</v>
      </c>
      <c r="B33" s="137" t="s">
        <v>5539</v>
      </c>
      <c r="C33" s="298" t="s">
        <v>5853</v>
      </c>
      <c r="D33" s="298" t="s">
        <v>5800</v>
      </c>
      <c r="E33" s="137">
        <v>12</v>
      </c>
      <c r="F33" s="313" t="s">
        <v>5393</v>
      </c>
      <c r="G33" t="s">
        <v>8588</v>
      </c>
    </row>
    <row r="34" spans="1:7" ht="40" customHeight="1">
      <c r="A34" s="354" t="s">
        <v>5794</v>
      </c>
      <c r="B34" s="137" t="s">
        <v>5540</v>
      </c>
      <c r="C34" s="298" t="s">
        <v>5854</v>
      </c>
      <c r="D34" s="298" t="s">
        <v>5855</v>
      </c>
      <c r="E34" s="137">
        <v>8</v>
      </c>
      <c r="F34" s="313" t="s">
        <v>5393</v>
      </c>
      <c r="G34" t="s">
        <v>8588</v>
      </c>
    </row>
    <row r="35" spans="1:7" ht="40" customHeight="1">
      <c r="A35" s="354" t="s">
        <v>5794</v>
      </c>
      <c r="B35" s="137" t="s">
        <v>5541</v>
      </c>
      <c r="C35" s="298" t="s">
        <v>5856</v>
      </c>
      <c r="D35" s="298" t="s">
        <v>5857</v>
      </c>
      <c r="E35" s="137">
        <v>8</v>
      </c>
      <c r="F35" s="313" t="s">
        <v>5393</v>
      </c>
      <c r="G35" t="s">
        <v>8588</v>
      </c>
    </row>
    <row r="36" spans="1:7" ht="40" customHeight="1">
      <c r="A36" s="354" t="s">
        <v>5794</v>
      </c>
      <c r="B36" s="137" t="s">
        <v>5542</v>
      </c>
      <c r="C36" s="298" t="s">
        <v>5801</v>
      </c>
      <c r="D36" s="298" t="s">
        <v>5802</v>
      </c>
      <c r="E36" s="137">
        <v>10</v>
      </c>
      <c r="F36" s="313" t="s">
        <v>5393</v>
      </c>
      <c r="G36" t="s">
        <v>8588</v>
      </c>
    </row>
    <row r="37" spans="1:7" ht="40" customHeight="1">
      <c r="A37" s="354" t="s">
        <v>5794</v>
      </c>
      <c r="B37" s="137" t="s">
        <v>5858</v>
      </c>
      <c r="C37" s="298" t="s">
        <v>5859</v>
      </c>
      <c r="D37" s="298" t="s">
        <v>5860</v>
      </c>
      <c r="E37" s="137">
        <v>15</v>
      </c>
      <c r="F37" s="313" t="s">
        <v>5393</v>
      </c>
      <c r="G37" t="s">
        <v>8588</v>
      </c>
    </row>
    <row r="38" spans="1:7" ht="40" customHeight="1">
      <c r="A38" s="354" t="s">
        <v>5794</v>
      </c>
      <c r="B38" s="137" t="s">
        <v>5861</v>
      </c>
      <c r="C38" s="298" t="s">
        <v>5862</v>
      </c>
      <c r="D38" s="298" t="s">
        <v>5863</v>
      </c>
      <c r="E38" s="137">
        <v>10</v>
      </c>
      <c r="F38" s="313" t="s">
        <v>5393</v>
      </c>
      <c r="G38" t="s">
        <v>8588</v>
      </c>
    </row>
    <row r="39" spans="1:7" ht="40" customHeight="1">
      <c r="A39" s="354" t="s">
        <v>2530</v>
      </c>
      <c r="B39" s="137" t="s">
        <v>5627</v>
      </c>
      <c r="C39" s="298" t="s">
        <v>5628</v>
      </c>
      <c r="D39" s="298" t="s">
        <v>5629</v>
      </c>
      <c r="E39" s="137">
        <v>10</v>
      </c>
      <c r="F39" s="313" t="s">
        <v>5393</v>
      </c>
      <c r="G39" t="s">
        <v>8588</v>
      </c>
    </row>
    <row r="40" spans="1:7" ht="40" customHeight="1">
      <c r="A40" s="354" t="s">
        <v>2530</v>
      </c>
      <c r="B40" s="137" t="s">
        <v>5630</v>
      </c>
      <c r="C40" s="298" t="s">
        <v>7514</v>
      </c>
      <c r="D40" s="298" t="s">
        <v>7515</v>
      </c>
      <c r="E40" s="137">
        <v>25</v>
      </c>
      <c r="F40" s="313" t="s">
        <v>7516</v>
      </c>
      <c r="G40" t="s">
        <v>8588</v>
      </c>
    </row>
    <row r="41" spans="1:7" ht="40" customHeight="1">
      <c r="A41" s="354" t="s">
        <v>2530</v>
      </c>
      <c r="B41" s="137" t="s">
        <v>5633</v>
      </c>
      <c r="C41" s="298" t="s">
        <v>5799</v>
      </c>
      <c r="D41" s="298" t="s">
        <v>5635</v>
      </c>
      <c r="E41" s="137">
        <v>6</v>
      </c>
      <c r="F41" s="313" t="s">
        <v>5393</v>
      </c>
      <c r="G41" t="s">
        <v>8589</v>
      </c>
    </row>
    <row r="42" spans="1:7" ht="40" customHeight="1">
      <c r="A42" s="354" t="s">
        <v>2530</v>
      </c>
      <c r="B42" s="137" t="s">
        <v>5636</v>
      </c>
      <c r="C42" s="298" t="s">
        <v>5637</v>
      </c>
      <c r="D42" s="298" t="s">
        <v>5638</v>
      </c>
      <c r="E42" s="137">
        <v>8</v>
      </c>
      <c r="F42" s="313" t="s">
        <v>5393</v>
      </c>
      <c r="G42" t="s">
        <v>8588</v>
      </c>
    </row>
    <row r="43" spans="1:7" ht="40" customHeight="1">
      <c r="A43" s="354" t="s">
        <v>2530</v>
      </c>
      <c r="B43" s="137" t="s">
        <v>5639</v>
      </c>
      <c r="C43" s="298" t="s">
        <v>5640</v>
      </c>
      <c r="D43" s="298" t="s">
        <v>5641</v>
      </c>
      <c r="E43" s="137">
        <v>6</v>
      </c>
      <c r="F43" s="313" t="s">
        <v>5393</v>
      </c>
      <c r="G43" t="s">
        <v>8588</v>
      </c>
    </row>
    <row r="44" spans="1:7" ht="40" customHeight="1">
      <c r="A44" s="355" t="s">
        <v>2530</v>
      </c>
      <c r="B44" s="314" t="s">
        <v>5642</v>
      </c>
      <c r="C44" s="301" t="s">
        <v>5803</v>
      </c>
      <c r="D44" s="301" t="s">
        <v>5644</v>
      </c>
      <c r="E44" s="314">
        <v>8</v>
      </c>
      <c r="F44" s="315" t="s">
        <v>5393</v>
      </c>
      <c r="G44" t="s">
        <v>8588</v>
      </c>
    </row>
    <row r="45" spans="1:7">
      <c r="A45" s="34"/>
      <c r="B45" s="34"/>
      <c r="C45" s="34"/>
      <c r="D45" s="34"/>
      <c r="E45" s="34"/>
      <c r="F45" s="34"/>
    </row>
    <row r="46" spans="1:7">
      <c r="A46" s="253" t="s">
        <v>5804</v>
      </c>
      <c r="B46" s="34"/>
      <c r="C46" s="34"/>
      <c r="D46" s="34"/>
      <c r="E46" s="34"/>
      <c r="F46" s="34"/>
    </row>
    <row r="47" spans="1:7">
      <c r="A47" s="293" t="s">
        <v>2527</v>
      </c>
      <c r="B47" s="294" t="s">
        <v>5397</v>
      </c>
      <c r="C47" s="304" t="s">
        <v>5395</v>
      </c>
      <c r="D47" s="34"/>
      <c r="E47" s="34"/>
      <c r="F47" s="34"/>
      <c r="G47" t="s">
        <v>8588</v>
      </c>
    </row>
    <row r="48" spans="1:7">
      <c r="A48" s="316" t="s">
        <v>7729</v>
      </c>
      <c r="B48" s="317">
        <f>SUMIF($A$8:$A$45,"① 設計",$E$8:$E$45)</f>
        <v>67</v>
      </c>
      <c r="C48" s="318">
        <v>67</v>
      </c>
      <c r="D48" s="34"/>
      <c r="E48" s="34"/>
      <c r="F48" s="34"/>
      <c r="G48" t="s">
        <v>8588</v>
      </c>
    </row>
    <row r="49" spans="1:7">
      <c r="A49" s="316" t="s">
        <v>5805</v>
      </c>
      <c r="B49" s="317">
        <f>SUMIF($A$8:$A$45,"① 設計(H)",$E$8:$E$45)</f>
        <v>87</v>
      </c>
      <c r="C49" s="318">
        <v>87</v>
      </c>
      <c r="D49" s="34"/>
      <c r="E49" s="34"/>
      <c r="F49" s="34"/>
      <c r="G49" t="s">
        <v>8588</v>
      </c>
    </row>
    <row r="50" spans="1:7">
      <c r="A50" s="316" t="s">
        <v>5864</v>
      </c>
      <c r="B50" s="317">
        <f>SUMIF($A$8:$A$45,"③ 構築",$E$8:$E$45)</f>
        <v>98</v>
      </c>
      <c r="C50" s="318">
        <v>98</v>
      </c>
      <c r="D50" s="34"/>
      <c r="E50" s="34"/>
      <c r="F50" s="34"/>
      <c r="G50" t="s">
        <v>8588</v>
      </c>
    </row>
    <row r="51" spans="1:7">
      <c r="A51" s="316" t="s">
        <v>5806</v>
      </c>
      <c r="B51" s="317">
        <f>SUMIF($A$8:$A$45,"④ テスト",$E$8:$E$45)</f>
        <v>63</v>
      </c>
      <c r="C51" s="318">
        <v>63</v>
      </c>
      <c r="D51" s="34"/>
      <c r="E51" s="34"/>
      <c r="F51" s="34"/>
    </row>
    <row r="52" spans="1:7">
      <c r="A52" s="356" t="s">
        <v>7</v>
      </c>
      <c r="B52" s="357">
        <f>SUM(B48:B51)</f>
        <v>315</v>
      </c>
      <c r="C52" s="358">
        <f>SUM(C48:C51)</f>
        <v>315</v>
      </c>
      <c r="D52" s="34"/>
      <c r="E52" s="34"/>
      <c r="F52" s="34"/>
    </row>
    <row r="53" spans="1:7">
      <c r="A53" s="34"/>
      <c r="B53" s="34"/>
      <c r="C53" s="34"/>
      <c r="D53" s="34"/>
      <c r="E53" s="34"/>
      <c r="F53" s="34"/>
    </row>
    <row r="54" spans="1:7">
      <c r="A54" s="359" t="s">
        <v>7733</v>
      </c>
      <c r="B54" s="34"/>
      <c r="C54" s="34"/>
      <c r="D54" s="34"/>
      <c r="E54" s="34"/>
      <c r="F54" s="34"/>
    </row>
    <row r="55" spans="1:7">
      <c r="A55" s="366" t="s">
        <v>5960</v>
      </c>
    </row>
  </sheetData>
  <autoFilter ref="A7:F44" xr:uid="{69BC7312-1107-2C44-8AAA-D11AA53C6FA5}"/>
  <phoneticPr fontId="3"/>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42794-AC73-9346-B99D-3DE21002119D}">
  <dimension ref="A1:H97"/>
  <sheetViews>
    <sheetView workbookViewId="0">
      <pane ySplit="6" topLeftCell="A7" activePane="bottomLeft" state="frozen"/>
      <selection pane="bottomLeft" activeCell="G32" sqref="G32"/>
    </sheetView>
  </sheetViews>
  <sheetFormatPr baseColWidth="10" defaultRowHeight="20"/>
  <cols>
    <col min="1" max="1" width="14.28515625" customWidth="1"/>
    <col min="2" max="2" width="25.7109375" customWidth="1"/>
    <col min="3" max="3" width="48.5703125" customWidth="1"/>
    <col min="4" max="4" width="32.85546875" customWidth="1"/>
    <col min="5" max="5" width="8.5703125" customWidth="1"/>
    <col min="6" max="6" width="7.85546875" customWidth="1"/>
    <col min="7" max="8" width="13.5703125" customWidth="1"/>
  </cols>
  <sheetData>
    <row r="1" spans="1:8">
      <c r="A1" s="237" t="s">
        <v>6258</v>
      </c>
      <c r="B1" s="34"/>
      <c r="C1" s="34"/>
      <c r="D1" s="34"/>
      <c r="E1" s="34"/>
      <c r="F1" s="34"/>
      <c r="G1" s="34"/>
      <c r="H1" s="34"/>
    </row>
    <row r="2" spans="1:8">
      <c r="A2" s="62" t="s">
        <v>6259</v>
      </c>
      <c r="B2" s="34"/>
      <c r="C2" s="34"/>
      <c r="D2" s="34"/>
      <c r="E2" s="34"/>
      <c r="F2" s="34"/>
      <c r="G2" s="34"/>
      <c r="H2" s="34"/>
    </row>
    <row r="3" spans="1:8">
      <c r="A3" s="292" t="s">
        <v>6260</v>
      </c>
      <c r="B3" s="34"/>
      <c r="C3" s="34"/>
      <c r="D3" s="34"/>
      <c r="E3" s="34"/>
      <c r="F3" s="34"/>
      <c r="G3" s="34"/>
      <c r="H3" s="34"/>
    </row>
    <row r="4" spans="1:8">
      <c r="A4" s="306" t="s">
        <v>6261</v>
      </c>
      <c r="B4" s="34"/>
      <c r="C4" s="34"/>
      <c r="D4" s="34"/>
      <c r="E4" s="34"/>
      <c r="F4" s="34"/>
      <c r="G4" s="34"/>
      <c r="H4" s="34"/>
    </row>
    <row r="5" spans="1:8">
      <c r="A5" s="292" t="s">
        <v>6709</v>
      </c>
      <c r="B5" s="34"/>
      <c r="C5" s="34"/>
      <c r="D5" s="34"/>
      <c r="E5" s="34"/>
      <c r="F5" s="34"/>
      <c r="G5" s="34"/>
      <c r="H5" s="34"/>
    </row>
    <row r="6" spans="1:8">
      <c r="A6" s="293" t="s">
        <v>6262</v>
      </c>
      <c r="B6" s="294" t="s">
        <v>665</v>
      </c>
      <c r="C6" s="294" t="s">
        <v>6263</v>
      </c>
      <c r="D6" s="294" t="s">
        <v>6264</v>
      </c>
      <c r="E6" s="294" t="s">
        <v>6265</v>
      </c>
      <c r="F6" s="294" t="s">
        <v>6266</v>
      </c>
      <c r="G6" s="294" t="s">
        <v>6267</v>
      </c>
      <c r="H6" s="304" t="s">
        <v>666</v>
      </c>
    </row>
    <row r="7" spans="1:8" ht="26" customHeight="1">
      <c r="A7" s="354" t="s">
        <v>6268</v>
      </c>
      <c r="B7" s="137" t="s">
        <v>6269</v>
      </c>
      <c r="C7" s="298" t="s">
        <v>6270</v>
      </c>
      <c r="D7" s="298" t="s">
        <v>6271</v>
      </c>
      <c r="E7" s="137" t="s">
        <v>6203</v>
      </c>
      <c r="F7" s="137" t="s">
        <v>6272</v>
      </c>
      <c r="G7" s="137" t="s">
        <v>6273</v>
      </c>
      <c r="H7" s="313" t="s">
        <v>4</v>
      </c>
    </row>
    <row r="8" spans="1:8" ht="26" customHeight="1">
      <c r="A8" s="354" t="s">
        <v>6274</v>
      </c>
      <c r="B8" s="137" t="s">
        <v>6269</v>
      </c>
      <c r="C8" s="298" t="s">
        <v>6275</v>
      </c>
      <c r="D8" s="298" t="s">
        <v>6276</v>
      </c>
      <c r="E8" s="137" t="s">
        <v>6203</v>
      </c>
      <c r="F8" s="137" t="s">
        <v>6272</v>
      </c>
      <c r="G8" s="137" t="s">
        <v>6273</v>
      </c>
      <c r="H8" s="313" t="s">
        <v>4</v>
      </c>
    </row>
    <row r="9" spans="1:8" ht="26" customHeight="1">
      <c r="A9" s="354" t="s">
        <v>6277</v>
      </c>
      <c r="B9" s="137" t="s">
        <v>6269</v>
      </c>
      <c r="C9" s="298" t="s">
        <v>6278</v>
      </c>
      <c r="D9" s="298" t="s">
        <v>6279</v>
      </c>
      <c r="E9" s="137" t="s">
        <v>6203</v>
      </c>
      <c r="F9" s="137"/>
      <c r="G9" s="137" t="s">
        <v>6273</v>
      </c>
      <c r="H9" s="313" t="s">
        <v>4</v>
      </c>
    </row>
    <row r="10" spans="1:8" ht="26" customHeight="1">
      <c r="A10" s="354" t="s">
        <v>6280</v>
      </c>
      <c r="B10" s="137" t="s">
        <v>6269</v>
      </c>
      <c r="C10" s="298" t="s">
        <v>6281</v>
      </c>
      <c r="D10" s="298" t="s">
        <v>6282</v>
      </c>
      <c r="E10" s="137" t="s">
        <v>6203</v>
      </c>
      <c r="F10" s="137"/>
      <c r="G10" s="137" t="s">
        <v>6273</v>
      </c>
      <c r="H10" s="313" t="s">
        <v>4</v>
      </c>
    </row>
    <row r="11" spans="1:8" ht="26" customHeight="1">
      <c r="A11" s="354" t="s">
        <v>6283</v>
      </c>
      <c r="B11" s="137" t="s">
        <v>6269</v>
      </c>
      <c r="C11" s="298" t="s">
        <v>6284</v>
      </c>
      <c r="D11" s="298" t="s">
        <v>6285</v>
      </c>
      <c r="E11" s="137" t="s">
        <v>6203</v>
      </c>
      <c r="F11" s="137" t="s">
        <v>6272</v>
      </c>
      <c r="G11" s="137" t="s">
        <v>6286</v>
      </c>
      <c r="H11" s="313" t="s">
        <v>4</v>
      </c>
    </row>
    <row r="12" spans="1:8" ht="26" customHeight="1">
      <c r="A12" s="354" t="s">
        <v>6287</v>
      </c>
      <c r="B12" s="137" t="s">
        <v>6269</v>
      </c>
      <c r="C12" s="298" t="s">
        <v>6288</v>
      </c>
      <c r="D12" s="298" t="s">
        <v>6289</v>
      </c>
      <c r="E12" s="137" t="s">
        <v>6203</v>
      </c>
      <c r="F12" s="137" t="s">
        <v>6272</v>
      </c>
      <c r="G12" s="137" t="s">
        <v>6286</v>
      </c>
      <c r="H12" s="313" t="s">
        <v>4</v>
      </c>
    </row>
    <row r="13" spans="1:8" ht="26" customHeight="1">
      <c r="A13" s="354" t="s">
        <v>6290</v>
      </c>
      <c r="B13" s="137" t="s">
        <v>6269</v>
      </c>
      <c r="C13" s="298" t="s">
        <v>6291</v>
      </c>
      <c r="D13" s="298" t="s">
        <v>6292</v>
      </c>
      <c r="E13" s="137" t="s">
        <v>6203</v>
      </c>
      <c r="F13" s="137" t="s">
        <v>6272</v>
      </c>
      <c r="G13" s="137" t="s">
        <v>6286</v>
      </c>
      <c r="H13" s="313" t="s">
        <v>4</v>
      </c>
    </row>
    <row r="14" spans="1:8" ht="26" customHeight="1">
      <c r="A14" s="354" t="s">
        <v>6293</v>
      </c>
      <c r="B14" s="137" t="s">
        <v>6269</v>
      </c>
      <c r="C14" s="298" t="s">
        <v>6294</v>
      </c>
      <c r="D14" s="298" t="s">
        <v>6295</v>
      </c>
      <c r="E14" s="137" t="s">
        <v>6203</v>
      </c>
      <c r="F14" s="137"/>
      <c r="G14" s="137" t="s">
        <v>6286</v>
      </c>
      <c r="H14" s="313" t="s">
        <v>4</v>
      </c>
    </row>
    <row r="15" spans="1:8" ht="26" customHeight="1">
      <c r="A15" s="354" t="s">
        <v>6296</v>
      </c>
      <c r="B15" s="137" t="s">
        <v>6269</v>
      </c>
      <c r="C15" s="298" t="s">
        <v>6297</v>
      </c>
      <c r="D15" s="298" t="s">
        <v>6298</v>
      </c>
      <c r="E15" s="137" t="s">
        <v>6203</v>
      </c>
      <c r="F15" s="137" t="s">
        <v>6272</v>
      </c>
      <c r="G15" s="137" t="s">
        <v>6286</v>
      </c>
      <c r="H15" s="313" t="s">
        <v>4</v>
      </c>
    </row>
    <row r="16" spans="1:8" ht="26" customHeight="1">
      <c r="A16" s="354" t="s">
        <v>6299</v>
      </c>
      <c r="B16" s="137" t="s">
        <v>6269</v>
      </c>
      <c r="C16" s="298" t="s">
        <v>6300</v>
      </c>
      <c r="D16" s="298" t="s">
        <v>6301</v>
      </c>
      <c r="E16" s="137" t="s">
        <v>6203</v>
      </c>
      <c r="F16" s="137"/>
      <c r="G16" s="137" t="s">
        <v>6302</v>
      </c>
      <c r="H16" s="313" t="s">
        <v>4</v>
      </c>
    </row>
    <row r="17" spans="1:8" ht="26" customHeight="1">
      <c r="A17" s="354" t="s">
        <v>6303</v>
      </c>
      <c r="B17" s="137" t="s">
        <v>6269</v>
      </c>
      <c r="C17" s="298" t="s">
        <v>6304</v>
      </c>
      <c r="D17" s="298" t="s">
        <v>6301</v>
      </c>
      <c r="E17" s="137" t="s">
        <v>6203</v>
      </c>
      <c r="F17" s="137" t="s">
        <v>6272</v>
      </c>
      <c r="G17" s="137" t="s">
        <v>6302</v>
      </c>
      <c r="H17" s="313" t="s">
        <v>4</v>
      </c>
    </row>
    <row r="18" spans="1:8" ht="26" customHeight="1">
      <c r="A18" s="354" t="s">
        <v>6305</v>
      </c>
      <c r="B18" s="137" t="s">
        <v>6269</v>
      </c>
      <c r="C18" s="298" t="s">
        <v>6306</v>
      </c>
      <c r="D18" s="298" t="s">
        <v>6307</v>
      </c>
      <c r="E18" s="137" t="s">
        <v>6203</v>
      </c>
      <c r="F18" s="137"/>
      <c r="G18" s="137" t="s">
        <v>6302</v>
      </c>
      <c r="H18" s="313" t="s">
        <v>4</v>
      </c>
    </row>
    <row r="19" spans="1:8" ht="26" customHeight="1">
      <c r="A19" s="354" t="s">
        <v>6308</v>
      </c>
      <c r="B19" s="137" t="s">
        <v>6269</v>
      </c>
      <c r="C19" s="298" t="s">
        <v>6309</v>
      </c>
      <c r="D19" s="298" t="s">
        <v>6307</v>
      </c>
      <c r="E19" s="137" t="s">
        <v>6203</v>
      </c>
      <c r="F19" s="137"/>
      <c r="G19" s="137" t="s">
        <v>6302</v>
      </c>
      <c r="H19" s="313" t="s">
        <v>4</v>
      </c>
    </row>
    <row r="20" spans="1:8" ht="26" customHeight="1">
      <c r="A20" s="354" t="s">
        <v>6310</v>
      </c>
      <c r="B20" s="137" t="s">
        <v>6269</v>
      </c>
      <c r="C20" s="298" t="s">
        <v>6311</v>
      </c>
      <c r="D20" s="298" t="s">
        <v>1430</v>
      </c>
      <c r="E20" s="137" t="s">
        <v>6203</v>
      </c>
      <c r="F20" s="137"/>
      <c r="G20" s="137" t="s">
        <v>6302</v>
      </c>
      <c r="H20" s="313" t="s">
        <v>4</v>
      </c>
    </row>
    <row r="21" spans="1:8" ht="26" customHeight="1">
      <c r="A21" s="354" t="s">
        <v>6312</v>
      </c>
      <c r="B21" s="137" t="s">
        <v>6269</v>
      </c>
      <c r="C21" s="298" t="s">
        <v>6313</v>
      </c>
      <c r="D21" s="298" t="s">
        <v>1432</v>
      </c>
      <c r="E21" s="137" t="s">
        <v>6203</v>
      </c>
      <c r="F21" s="137"/>
      <c r="G21" s="137" t="s">
        <v>6314</v>
      </c>
      <c r="H21" s="313" t="s">
        <v>4</v>
      </c>
    </row>
    <row r="22" spans="1:8" ht="26" customHeight="1">
      <c r="A22" s="354" t="s">
        <v>6315</v>
      </c>
      <c r="B22" s="137" t="s">
        <v>6269</v>
      </c>
      <c r="C22" s="298" t="s">
        <v>6316</v>
      </c>
      <c r="D22" s="298" t="s">
        <v>1432</v>
      </c>
      <c r="E22" s="137" t="s">
        <v>6203</v>
      </c>
      <c r="F22" s="137"/>
      <c r="G22" s="137" t="s">
        <v>6314</v>
      </c>
      <c r="H22" s="313" t="s">
        <v>4</v>
      </c>
    </row>
    <row r="23" spans="1:8" ht="26" customHeight="1">
      <c r="A23" s="354" t="s">
        <v>6317</v>
      </c>
      <c r="B23" s="137" t="s">
        <v>6269</v>
      </c>
      <c r="C23" s="298" t="s">
        <v>6318</v>
      </c>
      <c r="D23" s="298" t="s">
        <v>6319</v>
      </c>
      <c r="E23" s="137" t="s">
        <v>6203</v>
      </c>
      <c r="F23" s="137"/>
      <c r="G23" s="137" t="s">
        <v>6314</v>
      </c>
      <c r="H23" s="313" t="s">
        <v>4</v>
      </c>
    </row>
    <row r="24" spans="1:8" ht="26" customHeight="1">
      <c r="A24" s="354" t="s">
        <v>6320</v>
      </c>
      <c r="B24" s="137" t="s">
        <v>6269</v>
      </c>
      <c r="C24" s="298" t="s">
        <v>6321</v>
      </c>
      <c r="D24" s="298" t="s">
        <v>40</v>
      </c>
      <c r="E24" s="137" t="s">
        <v>6203</v>
      </c>
      <c r="F24" s="137"/>
      <c r="G24" s="137" t="s">
        <v>6314</v>
      </c>
      <c r="H24" s="313" t="s">
        <v>4</v>
      </c>
    </row>
    <row r="25" spans="1:8" ht="26" customHeight="1">
      <c r="A25" s="354" t="s">
        <v>6322</v>
      </c>
      <c r="B25" s="137" t="s">
        <v>6269</v>
      </c>
      <c r="C25" s="298" t="s">
        <v>6323</v>
      </c>
      <c r="D25" s="298" t="s">
        <v>6301</v>
      </c>
      <c r="E25" s="137" t="s">
        <v>6203</v>
      </c>
      <c r="F25" s="137"/>
      <c r="G25" s="137" t="s">
        <v>6314</v>
      </c>
      <c r="H25" s="313" t="s">
        <v>4</v>
      </c>
    </row>
    <row r="26" spans="1:8" ht="26" customHeight="1">
      <c r="A26" s="354" t="s">
        <v>6324</v>
      </c>
      <c r="B26" s="137" t="s">
        <v>6269</v>
      </c>
      <c r="C26" s="298" t="s">
        <v>6325</v>
      </c>
      <c r="D26" s="298" t="s">
        <v>6326</v>
      </c>
      <c r="E26" s="137" t="s">
        <v>6203</v>
      </c>
      <c r="F26" s="137"/>
      <c r="G26" s="137" t="s">
        <v>6327</v>
      </c>
      <c r="H26" s="313" t="s">
        <v>4</v>
      </c>
    </row>
    <row r="27" spans="1:8" ht="26" customHeight="1">
      <c r="A27" s="354" t="s">
        <v>6328</v>
      </c>
      <c r="B27" s="137" t="s">
        <v>6269</v>
      </c>
      <c r="C27" s="298" t="s">
        <v>6329</v>
      </c>
      <c r="D27" s="298" t="s">
        <v>6330</v>
      </c>
      <c r="E27" s="137" t="s">
        <v>6203</v>
      </c>
      <c r="F27" s="137"/>
      <c r="G27" s="137" t="s">
        <v>6327</v>
      </c>
      <c r="H27" s="313" t="s">
        <v>4</v>
      </c>
    </row>
    <row r="28" spans="1:8" ht="26" customHeight="1">
      <c r="A28" s="354" t="s">
        <v>6331</v>
      </c>
      <c r="B28" s="137" t="s">
        <v>6269</v>
      </c>
      <c r="C28" s="298" t="s">
        <v>6332</v>
      </c>
      <c r="D28" s="298" t="s">
        <v>2613</v>
      </c>
      <c r="E28" s="137" t="s">
        <v>6203</v>
      </c>
      <c r="F28" s="137"/>
      <c r="G28" s="137" t="s">
        <v>6327</v>
      </c>
      <c r="H28" s="313" t="s">
        <v>4</v>
      </c>
    </row>
    <row r="29" spans="1:8" ht="26" customHeight="1">
      <c r="A29" s="354" t="s">
        <v>6333</v>
      </c>
      <c r="B29" s="137" t="s">
        <v>6334</v>
      </c>
      <c r="C29" s="298" t="s">
        <v>6335</v>
      </c>
      <c r="D29" s="298" t="s">
        <v>6336</v>
      </c>
      <c r="E29" s="137" t="s">
        <v>6203</v>
      </c>
      <c r="F29" s="137" t="s">
        <v>6272</v>
      </c>
      <c r="G29" s="137" t="s">
        <v>6337</v>
      </c>
      <c r="H29" s="313" t="s">
        <v>4</v>
      </c>
    </row>
    <row r="30" spans="1:8" ht="26" customHeight="1">
      <c r="A30" s="354" t="s">
        <v>6338</v>
      </c>
      <c r="B30" s="137" t="s">
        <v>6334</v>
      </c>
      <c r="C30" s="298" t="s">
        <v>6339</v>
      </c>
      <c r="D30" s="298" t="s">
        <v>6340</v>
      </c>
      <c r="E30" s="137" t="s">
        <v>6203</v>
      </c>
      <c r="F30" s="137"/>
      <c r="G30" s="137" t="s">
        <v>6337</v>
      </c>
      <c r="H30" s="313" t="s">
        <v>4</v>
      </c>
    </row>
    <row r="31" spans="1:8" ht="26" customHeight="1">
      <c r="A31" s="354" t="s">
        <v>6341</v>
      </c>
      <c r="B31" s="137" t="s">
        <v>6334</v>
      </c>
      <c r="C31" s="298" t="s">
        <v>6342</v>
      </c>
      <c r="D31" s="298" t="s">
        <v>6343</v>
      </c>
      <c r="E31" s="137" t="s">
        <v>6203</v>
      </c>
      <c r="F31" s="137" t="s">
        <v>6272</v>
      </c>
      <c r="G31" s="137" t="s">
        <v>6344</v>
      </c>
      <c r="H31" s="313" t="s">
        <v>4</v>
      </c>
    </row>
    <row r="32" spans="1:8" ht="26" customHeight="1">
      <c r="A32" s="354" t="s">
        <v>6345</v>
      </c>
      <c r="B32" s="137" t="s">
        <v>6334</v>
      </c>
      <c r="C32" s="298" t="s">
        <v>6346</v>
      </c>
      <c r="D32" s="298" t="s">
        <v>6347</v>
      </c>
      <c r="E32" s="137" t="s">
        <v>6203</v>
      </c>
      <c r="F32" s="137" t="s">
        <v>6272</v>
      </c>
      <c r="G32" s="137" t="s">
        <v>6344</v>
      </c>
      <c r="H32" s="313" t="s">
        <v>4</v>
      </c>
    </row>
    <row r="33" spans="1:8" ht="26" customHeight="1">
      <c r="A33" s="354" t="s">
        <v>6348</v>
      </c>
      <c r="B33" s="137" t="s">
        <v>6334</v>
      </c>
      <c r="C33" s="298" t="s">
        <v>6349</v>
      </c>
      <c r="D33" s="298" t="s">
        <v>6350</v>
      </c>
      <c r="E33" s="137" t="s">
        <v>6203</v>
      </c>
      <c r="F33" s="137" t="s">
        <v>6272</v>
      </c>
      <c r="G33" s="137" t="s">
        <v>6344</v>
      </c>
      <c r="H33" s="313" t="s">
        <v>4</v>
      </c>
    </row>
    <row r="34" spans="1:8" ht="26" customHeight="1">
      <c r="A34" s="354" t="s">
        <v>6351</v>
      </c>
      <c r="B34" s="137" t="s">
        <v>6334</v>
      </c>
      <c r="C34" s="298" t="s">
        <v>6352</v>
      </c>
      <c r="D34" s="298" t="s">
        <v>511</v>
      </c>
      <c r="E34" s="137" t="s">
        <v>6203</v>
      </c>
      <c r="F34" s="137"/>
      <c r="G34" s="137" t="s">
        <v>6344</v>
      </c>
      <c r="H34" s="313" t="s">
        <v>4</v>
      </c>
    </row>
    <row r="35" spans="1:8" ht="26" customHeight="1">
      <c r="A35" s="354" t="s">
        <v>6353</v>
      </c>
      <c r="B35" s="137" t="s">
        <v>6334</v>
      </c>
      <c r="C35" s="298" t="s">
        <v>6354</v>
      </c>
      <c r="D35" s="298" t="s">
        <v>2590</v>
      </c>
      <c r="E35" s="137" t="s">
        <v>6211</v>
      </c>
      <c r="F35" s="137"/>
      <c r="G35" s="137" t="s">
        <v>6344</v>
      </c>
      <c r="H35" s="313" t="s">
        <v>4</v>
      </c>
    </row>
    <row r="36" spans="1:8" ht="26" customHeight="1">
      <c r="A36" s="354" t="s">
        <v>6355</v>
      </c>
      <c r="B36" s="137" t="s">
        <v>6334</v>
      </c>
      <c r="C36" s="298" t="s">
        <v>6356</v>
      </c>
      <c r="D36" s="298" t="s">
        <v>914</v>
      </c>
      <c r="E36" s="137" t="s">
        <v>6203</v>
      </c>
      <c r="F36" s="137" t="s">
        <v>6272</v>
      </c>
      <c r="G36" s="137" t="s">
        <v>6357</v>
      </c>
      <c r="H36" s="313" t="s">
        <v>4</v>
      </c>
    </row>
    <row r="37" spans="1:8" ht="26" customHeight="1">
      <c r="A37" s="354" t="s">
        <v>6358</v>
      </c>
      <c r="B37" s="137" t="s">
        <v>6334</v>
      </c>
      <c r="C37" s="298" t="s">
        <v>6359</v>
      </c>
      <c r="D37" s="298" t="s">
        <v>909</v>
      </c>
      <c r="E37" s="137" t="s">
        <v>6203</v>
      </c>
      <c r="F37" s="137" t="s">
        <v>6272</v>
      </c>
      <c r="G37" s="137" t="s">
        <v>6357</v>
      </c>
      <c r="H37" s="313" t="s">
        <v>4</v>
      </c>
    </row>
    <row r="38" spans="1:8" ht="26" customHeight="1">
      <c r="A38" s="354" t="s">
        <v>6360</v>
      </c>
      <c r="B38" s="137" t="s">
        <v>6334</v>
      </c>
      <c r="C38" s="298" t="s">
        <v>6361</v>
      </c>
      <c r="D38" s="298" t="s">
        <v>6362</v>
      </c>
      <c r="E38" s="137" t="s">
        <v>6203</v>
      </c>
      <c r="F38" s="137" t="s">
        <v>6272</v>
      </c>
      <c r="G38" s="137" t="s">
        <v>6363</v>
      </c>
      <c r="H38" s="313" t="s">
        <v>4</v>
      </c>
    </row>
    <row r="39" spans="1:8" ht="26" customHeight="1">
      <c r="A39" s="354" t="s">
        <v>6364</v>
      </c>
      <c r="B39" s="137" t="s">
        <v>6334</v>
      </c>
      <c r="C39" s="298" t="s">
        <v>6365</v>
      </c>
      <c r="D39" s="298" t="s">
        <v>6366</v>
      </c>
      <c r="E39" s="137" t="s">
        <v>6203</v>
      </c>
      <c r="F39" s="137" t="s">
        <v>6272</v>
      </c>
      <c r="G39" s="137" t="s">
        <v>6363</v>
      </c>
      <c r="H39" s="313" t="s">
        <v>4</v>
      </c>
    </row>
    <row r="40" spans="1:8" ht="26" customHeight="1">
      <c r="A40" s="354" t="s">
        <v>6367</v>
      </c>
      <c r="B40" s="137" t="s">
        <v>6334</v>
      </c>
      <c r="C40" s="298" t="s">
        <v>6368</v>
      </c>
      <c r="D40" s="298" t="s">
        <v>2501</v>
      </c>
      <c r="E40" s="137" t="s">
        <v>6203</v>
      </c>
      <c r="F40" s="137" t="s">
        <v>6272</v>
      </c>
      <c r="G40" s="137" t="s">
        <v>6363</v>
      </c>
      <c r="H40" s="313" t="s">
        <v>4</v>
      </c>
    </row>
    <row r="41" spans="1:8" ht="26" customHeight="1">
      <c r="A41" s="354" t="s">
        <v>6369</v>
      </c>
      <c r="B41" s="137" t="s">
        <v>6334</v>
      </c>
      <c r="C41" s="298" t="s">
        <v>2458</v>
      </c>
      <c r="D41" s="298" t="s">
        <v>2457</v>
      </c>
      <c r="E41" s="137" t="s">
        <v>6203</v>
      </c>
      <c r="F41" s="137"/>
      <c r="G41" s="137" t="s">
        <v>6363</v>
      </c>
      <c r="H41" s="313" t="s">
        <v>4</v>
      </c>
    </row>
    <row r="42" spans="1:8" ht="26" customHeight="1">
      <c r="A42" s="354" t="s">
        <v>6370</v>
      </c>
      <c r="B42" s="137" t="s">
        <v>6334</v>
      </c>
      <c r="C42" s="298" t="s">
        <v>6371</v>
      </c>
      <c r="D42" s="298" t="s">
        <v>6372</v>
      </c>
      <c r="E42" s="137" t="s">
        <v>6203</v>
      </c>
      <c r="F42" s="137"/>
      <c r="G42" s="137" t="s">
        <v>6373</v>
      </c>
      <c r="H42" s="313" t="s">
        <v>4</v>
      </c>
    </row>
    <row r="43" spans="1:8" ht="26" customHeight="1">
      <c r="A43" s="354" t="s">
        <v>6374</v>
      </c>
      <c r="B43" s="137" t="s">
        <v>6334</v>
      </c>
      <c r="C43" s="298" t="s">
        <v>6375</v>
      </c>
      <c r="D43" s="298" t="s">
        <v>2692</v>
      </c>
      <c r="E43" s="137" t="s">
        <v>6203</v>
      </c>
      <c r="F43" s="137"/>
      <c r="G43" s="137" t="s">
        <v>6373</v>
      </c>
      <c r="H43" s="313" t="s">
        <v>4</v>
      </c>
    </row>
    <row r="44" spans="1:8" ht="26" customHeight="1">
      <c r="A44" s="354" t="s">
        <v>6376</v>
      </c>
      <c r="B44" s="137" t="s">
        <v>6334</v>
      </c>
      <c r="C44" s="298" t="s">
        <v>6377</v>
      </c>
      <c r="D44" s="298" t="s">
        <v>6378</v>
      </c>
      <c r="E44" s="137" t="s">
        <v>6203</v>
      </c>
      <c r="F44" s="137"/>
      <c r="G44" s="137" t="s">
        <v>6373</v>
      </c>
      <c r="H44" s="313" t="s">
        <v>4</v>
      </c>
    </row>
    <row r="45" spans="1:8" ht="26" customHeight="1">
      <c r="A45" s="354" t="s">
        <v>6379</v>
      </c>
      <c r="B45" s="137" t="s">
        <v>6334</v>
      </c>
      <c r="C45" s="298" t="s">
        <v>6380</v>
      </c>
      <c r="D45" s="298" t="s">
        <v>6381</v>
      </c>
      <c r="E45" s="137" t="s">
        <v>6203</v>
      </c>
      <c r="F45" s="137" t="s">
        <v>6272</v>
      </c>
      <c r="G45" s="137" t="s">
        <v>6373</v>
      </c>
      <c r="H45" s="313" t="s">
        <v>4</v>
      </c>
    </row>
    <row r="46" spans="1:8" ht="26" customHeight="1">
      <c r="A46" s="354" t="s">
        <v>6382</v>
      </c>
      <c r="B46" s="137" t="s">
        <v>6383</v>
      </c>
      <c r="C46" s="298" t="s">
        <v>6384</v>
      </c>
      <c r="D46" s="298" t="s">
        <v>2621</v>
      </c>
      <c r="E46" s="137" t="s">
        <v>6203</v>
      </c>
      <c r="F46" s="137" t="s">
        <v>6272</v>
      </c>
      <c r="G46" s="137" t="s">
        <v>6385</v>
      </c>
      <c r="H46" s="313" t="s">
        <v>4</v>
      </c>
    </row>
    <row r="47" spans="1:8" ht="26" customHeight="1">
      <c r="A47" s="354" t="s">
        <v>6386</v>
      </c>
      <c r="B47" s="137" t="s">
        <v>6383</v>
      </c>
      <c r="C47" s="298" t="s">
        <v>6387</v>
      </c>
      <c r="D47" s="298" t="s">
        <v>2621</v>
      </c>
      <c r="E47" s="137" t="s">
        <v>6203</v>
      </c>
      <c r="F47" s="137"/>
      <c r="G47" s="137" t="s">
        <v>6385</v>
      </c>
      <c r="H47" s="313" t="s">
        <v>4</v>
      </c>
    </row>
    <row r="48" spans="1:8" ht="26" customHeight="1">
      <c r="A48" s="354" t="s">
        <v>6388</v>
      </c>
      <c r="B48" s="137" t="s">
        <v>6383</v>
      </c>
      <c r="C48" s="298" t="s">
        <v>6389</v>
      </c>
      <c r="D48" s="298" t="s">
        <v>6390</v>
      </c>
      <c r="E48" s="137" t="s">
        <v>6203</v>
      </c>
      <c r="F48" s="137" t="s">
        <v>6272</v>
      </c>
      <c r="G48" s="137" t="s">
        <v>6385</v>
      </c>
      <c r="H48" s="313" t="s">
        <v>4</v>
      </c>
    </row>
    <row r="49" spans="1:8" ht="26" customHeight="1">
      <c r="A49" s="354" t="s">
        <v>6391</v>
      </c>
      <c r="B49" s="137" t="s">
        <v>6383</v>
      </c>
      <c r="C49" s="298" t="s">
        <v>6392</v>
      </c>
      <c r="D49" s="298" t="s">
        <v>2621</v>
      </c>
      <c r="E49" s="137" t="s">
        <v>6203</v>
      </c>
      <c r="F49" s="137" t="s">
        <v>6272</v>
      </c>
      <c r="G49" s="137" t="s">
        <v>6385</v>
      </c>
      <c r="H49" s="313" t="s">
        <v>4</v>
      </c>
    </row>
    <row r="50" spans="1:8" ht="26" customHeight="1">
      <c r="A50" s="354" t="s">
        <v>6393</v>
      </c>
      <c r="B50" s="137" t="s">
        <v>6383</v>
      </c>
      <c r="C50" s="298" t="s">
        <v>6394</v>
      </c>
      <c r="D50" s="298" t="s">
        <v>2621</v>
      </c>
      <c r="E50" s="137" t="s">
        <v>6203</v>
      </c>
      <c r="F50" s="137" t="s">
        <v>6272</v>
      </c>
      <c r="G50" s="137" t="s">
        <v>6385</v>
      </c>
      <c r="H50" s="313" t="s">
        <v>4</v>
      </c>
    </row>
    <row r="51" spans="1:8" ht="26" customHeight="1">
      <c r="A51" s="354" t="s">
        <v>6395</v>
      </c>
      <c r="B51" s="137" t="s">
        <v>6383</v>
      </c>
      <c r="C51" s="298" t="s">
        <v>6396</v>
      </c>
      <c r="D51" s="298" t="s">
        <v>2501</v>
      </c>
      <c r="E51" s="137" t="s">
        <v>6203</v>
      </c>
      <c r="F51" s="137" t="s">
        <v>6272</v>
      </c>
      <c r="G51" s="137" t="s">
        <v>6385</v>
      </c>
      <c r="H51" s="313" t="s">
        <v>4</v>
      </c>
    </row>
    <row r="52" spans="1:8" ht="26" customHeight="1">
      <c r="A52" s="354" t="s">
        <v>6397</v>
      </c>
      <c r="B52" s="137" t="s">
        <v>6383</v>
      </c>
      <c r="C52" s="298" t="s">
        <v>6398</v>
      </c>
      <c r="D52" s="298" t="s">
        <v>2621</v>
      </c>
      <c r="E52" s="137" t="s">
        <v>6203</v>
      </c>
      <c r="F52" s="137"/>
      <c r="G52" s="137" t="s">
        <v>6399</v>
      </c>
      <c r="H52" s="313" t="s">
        <v>4</v>
      </c>
    </row>
    <row r="53" spans="1:8" ht="26" customHeight="1">
      <c r="A53" s="354" t="s">
        <v>6400</v>
      </c>
      <c r="B53" s="137" t="s">
        <v>6383</v>
      </c>
      <c r="C53" s="298" t="s">
        <v>6401</v>
      </c>
      <c r="D53" s="298" t="s">
        <v>6402</v>
      </c>
      <c r="E53" s="137" t="s">
        <v>6203</v>
      </c>
      <c r="F53" s="137"/>
      <c r="G53" s="137" t="s">
        <v>6399</v>
      </c>
      <c r="H53" s="313" t="s">
        <v>4</v>
      </c>
    </row>
    <row r="54" spans="1:8" ht="26" customHeight="1">
      <c r="A54" s="354" t="s">
        <v>6403</v>
      </c>
      <c r="B54" s="137" t="s">
        <v>6383</v>
      </c>
      <c r="C54" s="298" t="s">
        <v>6404</v>
      </c>
      <c r="D54" s="298" t="s">
        <v>2621</v>
      </c>
      <c r="E54" s="137" t="s">
        <v>6203</v>
      </c>
      <c r="F54" s="137"/>
      <c r="G54" s="137" t="s">
        <v>6399</v>
      </c>
      <c r="H54" s="313" t="s">
        <v>4</v>
      </c>
    </row>
    <row r="55" spans="1:8" ht="26" customHeight="1">
      <c r="A55" s="354" t="s">
        <v>6405</v>
      </c>
      <c r="B55" s="137" t="s">
        <v>6383</v>
      </c>
      <c r="C55" s="298" t="s">
        <v>6406</v>
      </c>
      <c r="D55" s="298" t="s">
        <v>6407</v>
      </c>
      <c r="E55" s="137" t="s">
        <v>6203</v>
      </c>
      <c r="F55" s="137"/>
      <c r="G55" s="137" t="s">
        <v>6399</v>
      </c>
      <c r="H55" s="313" t="s">
        <v>4</v>
      </c>
    </row>
    <row r="56" spans="1:8" ht="26" customHeight="1">
      <c r="A56" s="354" t="s">
        <v>6408</v>
      </c>
      <c r="B56" s="137" t="s">
        <v>6383</v>
      </c>
      <c r="C56" s="298" t="s">
        <v>6409</v>
      </c>
      <c r="D56" s="298" t="s">
        <v>6410</v>
      </c>
      <c r="E56" s="137" t="s">
        <v>6203</v>
      </c>
      <c r="F56" s="137" t="s">
        <v>6272</v>
      </c>
      <c r="G56" s="137" t="s">
        <v>6411</v>
      </c>
      <c r="H56" s="313" t="s">
        <v>4</v>
      </c>
    </row>
    <row r="57" spans="1:8" ht="26" customHeight="1">
      <c r="A57" s="354" t="s">
        <v>6412</v>
      </c>
      <c r="B57" s="137" t="s">
        <v>6383</v>
      </c>
      <c r="C57" s="298" t="s">
        <v>6413</v>
      </c>
      <c r="D57" s="298" t="s">
        <v>6414</v>
      </c>
      <c r="E57" s="137" t="s">
        <v>6203</v>
      </c>
      <c r="F57" s="137" t="s">
        <v>6272</v>
      </c>
      <c r="G57" s="137" t="s">
        <v>6411</v>
      </c>
      <c r="H57" s="313" t="s">
        <v>4</v>
      </c>
    </row>
    <row r="58" spans="1:8" ht="26" customHeight="1">
      <c r="A58" s="354" t="s">
        <v>6415</v>
      </c>
      <c r="B58" s="137" t="s">
        <v>6383</v>
      </c>
      <c r="C58" s="298" t="s">
        <v>6416</v>
      </c>
      <c r="D58" s="298" t="s">
        <v>2621</v>
      </c>
      <c r="E58" s="137" t="s">
        <v>6203</v>
      </c>
      <c r="F58" s="137"/>
      <c r="G58" s="137" t="s">
        <v>6411</v>
      </c>
      <c r="H58" s="313" t="s">
        <v>4</v>
      </c>
    </row>
    <row r="59" spans="1:8" ht="26" customHeight="1">
      <c r="A59" s="354" t="s">
        <v>6417</v>
      </c>
      <c r="B59" s="137" t="s">
        <v>6383</v>
      </c>
      <c r="C59" s="298" t="s">
        <v>6418</v>
      </c>
      <c r="D59" s="298" t="s">
        <v>886</v>
      </c>
      <c r="E59" s="137" t="s">
        <v>6203</v>
      </c>
      <c r="F59" s="137"/>
      <c r="G59" s="137" t="s">
        <v>6419</v>
      </c>
      <c r="H59" s="313" t="s">
        <v>4</v>
      </c>
    </row>
    <row r="60" spans="1:8" ht="26" customHeight="1">
      <c r="A60" s="354" t="s">
        <v>6420</v>
      </c>
      <c r="B60" s="137" t="s">
        <v>6383</v>
      </c>
      <c r="C60" s="298" t="s">
        <v>6421</v>
      </c>
      <c r="D60" s="298" t="s">
        <v>886</v>
      </c>
      <c r="E60" s="137" t="s">
        <v>6203</v>
      </c>
      <c r="F60" s="137"/>
      <c r="G60" s="137" t="s">
        <v>6419</v>
      </c>
      <c r="H60" s="313" t="s">
        <v>4</v>
      </c>
    </row>
    <row r="61" spans="1:8" ht="26" customHeight="1">
      <c r="A61" s="354" t="s">
        <v>6422</v>
      </c>
      <c r="B61" s="137" t="s">
        <v>6383</v>
      </c>
      <c r="C61" s="298" t="s">
        <v>6423</v>
      </c>
      <c r="D61" s="298" t="s">
        <v>1211</v>
      </c>
      <c r="E61" s="137" t="s">
        <v>6203</v>
      </c>
      <c r="F61" s="137" t="s">
        <v>6272</v>
      </c>
      <c r="G61" s="137" t="s">
        <v>6419</v>
      </c>
      <c r="H61" s="313" t="s">
        <v>4</v>
      </c>
    </row>
    <row r="62" spans="1:8" ht="26" customHeight="1">
      <c r="A62" s="354" t="s">
        <v>6424</v>
      </c>
      <c r="B62" s="137" t="s">
        <v>6383</v>
      </c>
      <c r="C62" s="298" t="s">
        <v>6425</v>
      </c>
      <c r="D62" s="298" t="s">
        <v>6426</v>
      </c>
      <c r="E62" s="137" t="s">
        <v>6203</v>
      </c>
      <c r="F62" s="137"/>
      <c r="G62" s="137" t="s">
        <v>6419</v>
      </c>
      <c r="H62" s="313" t="s">
        <v>4</v>
      </c>
    </row>
    <row r="63" spans="1:8" ht="26" customHeight="1">
      <c r="A63" s="354" t="s">
        <v>6427</v>
      </c>
      <c r="B63" s="137" t="s">
        <v>6383</v>
      </c>
      <c r="C63" s="298" t="s">
        <v>6428</v>
      </c>
      <c r="D63" s="298" t="s">
        <v>6429</v>
      </c>
      <c r="E63" s="137" t="s">
        <v>6203</v>
      </c>
      <c r="F63" s="137"/>
      <c r="G63" s="137" t="s">
        <v>6430</v>
      </c>
      <c r="H63" s="313" t="s">
        <v>4</v>
      </c>
    </row>
    <row r="64" spans="1:8" ht="26" customHeight="1">
      <c r="A64" s="354" t="s">
        <v>6431</v>
      </c>
      <c r="B64" s="137" t="s">
        <v>6383</v>
      </c>
      <c r="C64" s="298" t="s">
        <v>6432</v>
      </c>
      <c r="D64" s="298" t="s">
        <v>1439</v>
      </c>
      <c r="E64" s="137" t="s">
        <v>6203</v>
      </c>
      <c r="F64" s="137"/>
      <c r="G64" s="137" t="s">
        <v>6430</v>
      </c>
      <c r="H64" s="313" t="s">
        <v>4</v>
      </c>
    </row>
    <row r="65" spans="1:8" ht="26" customHeight="1">
      <c r="A65" s="354" t="s">
        <v>6433</v>
      </c>
      <c r="B65" s="137" t="s">
        <v>6383</v>
      </c>
      <c r="C65" s="298" t="s">
        <v>6434</v>
      </c>
      <c r="D65" s="298" t="s">
        <v>6435</v>
      </c>
      <c r="E65" s="137" t="s">
        <v>6203</v>
      </c>
      <c r="F65" s="137"/>
      <c r="G65" s="137" t="s">
        <v>6430</v>
      </c>
      <c r="H65" s="313" t="s">
        <v>4</v>
      </c>
    </row>
    <row r="66" spans="1:8" ht="26" customHeight="1">
      <c r="A66" s="354" t="s">
        <v>6436</v>
      </c>
      <c r="B66" s="137" t="s">
        <v>6383</v>
      </c>
      <c r="C66" s="298" t="s">
        <v>6437</v>
      </c>
      <c r="D66" s="298" t="s">
        <v>6438</v>
      </c>
      <c r="E66" s="137" t="s">
        <v>6203</v>
      </c>
      <c r="F66" s="137"/>
      <c r="G66" s="137" t="s">
        <v>6430</v>
      </c>
      <c r="H66" s="313" t="s">
        <v>4</v>
      </c>
    </row>
    <row r="67" spans="1:8" ht="26" customHeight="1">
      <c r="A67" s="354" t="s">
        <v>6439</v>
      </c>
      <c r="B67" s="137" t="s">
        <v>6383</v>
      </c>
      <c r="C67" s="298" t="s">
        <v>6440</v>
      </c>
      <c r="D67" s="298" t="s">
        <v>1437</v>
      </c>
      <c r="E67" s="137" t="s">
        <v>6203</v>
      </c>
      <c r="F67" s="137"/>
      <c r="G67" s="137" t="s">
        <v>6430</v>
      </c>
      <c r="H67" s="313" t="s">
        <v>4</v>
      </c>
    </row>
    <row r="68" spans="1:8" ht="26" customHeight="1">
      <c r="A68" s="354" t="s">
        <v>6441</v>
      </c>
      <c r="B68" s="137" t="s">
        <v>6442</v>
      </c>
      <c r="C68" s="298" t="s">
        <v>6443</v>
      </c>
      <c r="D68" s="298" t="s">
        <v>6444</v>
      </c>
      <c r="E68" s="137" t="s">
        <v>6203</v>
      </c>
      <c r="F68" s="137" t="s">
        <v>6272</v>
      </c>
      <c r="G68" s="137" t="s">
        <v>6445</v>
      </c>
      <c r="H68" s="313" t="s">
        <v>4</v>
      </c>
    </row>
    <row r="69" spans="1:8" ht="26" customHeight="1">
      <c r="A69" s="354" t="s">
        <v>6446</v>
      </c>
      <c r="B69" s="137" t="s">
        <v>6442</v>
      </c>
      <c r="C69" s="298" t="s">
        <v>6447</v>
      </c>
      <c r="D69" s="298" t="s">
        <v>1049</v>
      </c>
      <c r="E69" s="137" t="s">
        <v>6203</v>
      </c>
      <c r="F69" s="137"/>
      <c r="G69" s="137" t="s">
        <v>6445</v>
      </c>
      <c r="H69" s="313" t="s">
        <v>4</v>
      </c>
    </row>
    <row r="70" spans="1:8" ht="26" customHeight="1">
      <c r="A70" s="354" t="s">
        <v>6448</v>
      </c>
      <c r="B70" s="137" t="s">
        <v>6442</v>
      </c>
      <c r="C70" s="298" t="s">
        <v>6449</v>
      </c>
      <c r="D70" s="298" t="s">
        <v>913</v>
      </c>
      <c r="E70" s="137" t="s">
        <v>6203</v>
      </c>
      <c r="F70" s="137" t="s">
        <v>6272</v>
      </c>
      <c r="G70" s="137" t="s">
        <v>6445</v>
      </c>
      <c r="H70" s="313" t="s">
        <v>4</v>
      </c>
    </row>
    <row r="71" spans="1:8" ht="26" customHeight="1">
      <c r="A71" s="354" t="s">
        <v>6450</v>
      </c>
      <c r="B71" s="137" t="s">
        <v>6442</v>
      </c>
      <c r="C71" s="298" t="s">
        <v>6451</v>
      </c>
      <c r="D71" s="298" t="s">
        <v>6452</v>
      </c>
      <c r="E71" s="137" t="s">
        <v>6203</v>
      </c>
      <c r="F71" s="137"/>
      <c r="G71" s="137" t="s">
        <v>6445</v>
      </c>
      <c r="H71" s="313" t="s">
        <v>4</v>
      </c>
    </row>
    <row r="72" spans="1:8" ht="26" customHeight="1">
      <c r="A72" s="354" t="s">
        <v>6453</v>
      </c>
      <c r="B72" s="137" t="s">
        <v>6442</v>
      </c>
      <c r="C72" s="298" t="s">
        <v>6454</v>
      </c>
      <c r="D72" s="298" t="s">
        <v>6455</v>
      </c>
      <c r="E72" s="137" t="s">
        <v>6203</v>
      </c>
      <c r="F72" s="137" t="s">
        <v>6272</v>
      </c>
      <c r="G72" s="137" t="s">
        <v>6456</v>
      </c>
      <c r="H72" s="313" t="s">
        <v>4</v>
      </c>
    </row>
    <row r="73" spans="1:8" ht="26" customHeight="1">
      <c r="A73" s="354" t="s">
        <v>6457</v>
      </c>
      <c r="B73" s="137" t="s">
        <v>6442</v>
      </c>
      <c r="C73" s="298" t="s">
        <v>6458</v>
      </c>
      <c r="D73" s="298" t="s">
        <v>2621</v>
      </c>
      <c r="E73" s="137" t="s">
        <v>6203</v>
      </c>
      <c r="F73" s="137" t="s">
        <v>6272</v>
      </c>
      <c r="G73" s="137" t="s">
        <v>6456</v>
      </c>
      <c r="H73" s="313" t="s">
        <v>4</v>
      </c>
    </row>
    <row r="74" spans="1:8" ht="26" customHeight="1">
      <c r="A74" s="354" t="s">
        <v>6459</v>
      </c>
      <c r="B74" s="137" t="s">
        <v>6442</v>
      </c>
      <c r="C74" s="298" t="s">
        <v>6460</v>
      </c>
      <c r="D74" s="298" t="s">
        <v>6461</v>
      </c>
      <c r="E74" s="137" t="s">
        <v>6203</v>
      </c>
      <c r="F74" s="137"/>
      <c r="G74" s="137" t="s">
        <v>6456</v>
      </c>
      <c r="H74" s="313" t="s">
        <v>4</v>
      </c>
    </row>
    <row r="75" spans="1:8" ht="26" customHeight="1">
      <c r="A75" s="354" t="s">
        <v>6462</v>
      </c>
      <c r="B75" s="137" t="s">
        <v>6442</v>
      </c>
      <c r="C75" s="298" t="s">
        <v>6463</v>
      </c>
      <c r="D75" s="298" t="s">
        <v>6464</v>
      </c>
      <c r="E75" s="137" t="s">
        <v>6203</v>
      </c>
      <c r="F75" s="137"/>
      <c r="G75" s="137" t="s">
        <v>6456</v>
      </c>
      <c r="H75" s="313" t="s">
        <v>4</v>
      </c>
    </row>
    <row r="76" spans="1:8" ht="26" customHeight="1">
      <c r="A76" s="354" t="s">
        <v>6465</v>
      </c>
      <c r="B76" s="137" t="s">
        <v>6442</v>
      </c>
      <c r="C76" s="298" t="s">
        <v>6466</v>
      </c>
      <c r="D76" s="298" t="s">
        <v>1439</v>
      </c>
      <c r="E76" s="137" t="s">
        <v>6203</v>
      </c>
      <c r="F76" s="137"/>
      <c r="G76" s="137" t="s">
        <v>6456</v>
      </c>
      <c r="H76" s="313" t="s">
        <v>4</v>
      </c>
    </row>
    <row r="77" spans="1:8" ht="26" customHeight="1">
      <c r="A77" s="354" t="s">
        <v>6467</v>
      </c>
      <c r="B77" s="137" t="s">
        <v>6468</v>
      </c>
      <c r="C77" s="298" t="s">
        <v>6469</v>
      </c>
      <c r="D77" s="298" t="s">
        <v>2585</v>
      </c>
      <c r="E77" s="137" t="s">
        <v>6203</v>
      </c>
      <c r="F77" s="137" t="s">
        <v>6272</v>
      </c>
      <c r="G77" s="137" t="s">
        <v>6470</v>
      </c>
      <c r="H77" s="313" t="s">
        <v>4</v>
      </c>
    </row>
    <row r="78" spans="1:8" ht="26" customHeight="1">
      <c r="A78" s="354" t="s">
        <v>6471</v>
      </c>
      <c r="B78" s="137" t="s">
        <v>6468</v>
      </c>
      <c r="C78" s="298" t="s">
        <v>6472</v>
      </c>
      <c r="D78" s="298" t="s">
        <v>6473</v>
      </c>
      <c r="E78" s="137" t="s">
        <v>6203</v>
      </c>
      <c r="F78" s="137"/>
      <c r="G78" s="137" t="s">
        <v>6470</v>
      </c>
      <c r="H78" s="313" t="s">
        <v>4</v>
      </c>
    </row>
    <row r="79" spans="1:8" ht="26" customHeight="1">
      <c r="A79" s="354" t="s">
        <v>6474</v>
      </c>
      <c r="B79" s="137" t="s">
        <v>6468</v>
      </c>
      <c r="C79" s="298" t="s">
        <v>6475</v>
      </c>
      <c r="D79" s="298" t="s">
        <v>2520</v>
      </c>
      <c r="E79" s="137" t="s">
        <v>6203</v>
      </c>
      <c r="F79" s="137"/>
      <c r="G79" s="137" t="s">
        <v>6470</v>
      </c>
      <c r="H79" s="313" t="s">
        <v>4</v>
      </c>
    </row>
    <row r="80" spans="1:8" ht="26" customHeight="1">
      <c r="A80" s="354" t="s">
        <v>6476</v>
      </c>
      <c r="B80" s="137" t="s">
        <v>6468</v>
      </c>
      <c r="C80" s="298" t="s">
        <v>6477</v>
      </c>
      <c r="D80" s="298" t="s">
        <v>1254</v>
      </c>
      <c r="E80" s="137" t="s">
        <v>6203</v>
      </c>
      <c r="F80" s="137" t="s">
        <v>6272</v>
      </c>
      <c r="G80" s="137" t="s">
        <v>6478</v>
      </c>
      <c r="H80" s="313" t="s">
        <v>4</v>
      </c>
    </row>
    <row r="81" spans="1:8" ht="26" customHeight="1">
      <c r="A81" s="354" t="s">
        <v>6479</v>
      </c>
      <c r="B81" s="137" t="s">
        <v>6468</v>
      </c>
      <c r="C81" s="298" t="s">
        <v>6480</v>
      </c>
      <c r="D81" s="298" t="s">
        <v>2501</v>
      </c>
      <c r="E81" s="137" t="s">
        <v>6203</v>
      </c>
      <c r="F81" s="137"/>
      <c r="G81" s="137" t="s">
        <v>6478</v>
      </c>
      <c r="H81" s="313" t="s">
        <v>4</v>
      </c>
    </row>
    <row r="82" spans="1:8" ht="26" customHeight="1">
      <c r="A82" s="354" t="s">
        <v>6481</v>
      </c>
      <c r="B82" s="137" t="s">
        <v>6468</v>
      </c>
      <c r="C82" s="298" t="s">
        <v>6482</v>
      </c>
      <c r="D82" s="298" t="s">
        <v>2692</v>
      </c>
      <c r="E82" s="137" t="s">
        <v>6203</v>
      </c>
      <c r="F82" s="137"/>
      <c r="G82" s="137" t="s">
        <v>6478</v>
      </c>
      <c r="H82" s="313" t="s">
        <v>4</v>
      </c>
    </row>
    <row r="83" spans="1:8" ht="26" customHeight="1">
      <c r="A83" s="354" t="s">
        <v>6483</v>
      </c>
      <c r="B83" s="137" t="s">
        <v>6468</v>
      </c>
      <c r="C83" s="298" t="s">
        <v>6484</v>
      </c>
      <c r="D83" s="298" t="s">
        <v>6485</v>
      </c>
      <c r="E83" s="137" t="s">
        <v>6203</v>
      </c>
      <c r="F83" s="137"/>
      <c r="G83" s="137" t="s">
        <v>6486</v>
      </c>
      <c r="H83" s="313" t="s">
        <v>4</v>
      </c>
    </row>
    <row r="84" spans="1:8" ht="26" customHeight="1">
      <c r="A84" s="354" t="s">
        <v>6487</v>
      </c>
      <c r="B84" s="137" t="s">
        <v>6468</v>
      </c>
      <c r="C84" s="298" t="s">
        <v>6488</v>
      </c>
      <c r="D84" s="298" t="s">
        <v>6489</v>
      </c>
      <c r="E84" s="137" t="s">
        <v>6203</v>
      </c>
      <c r="F84" s="137" t="s">
        <v>6272</v>
      </c>
      <c r="G84" s="137" t="s">
        <v>6486</v>
      </c>
      <c r="H84" s="313" t="s">
        <v>4</v>
      </c>
    </row>
    <row r="85" spans="1:8" ht="26" customHeight="1">
      <c r="A85" s="354" t="s">
        <v>6490</v>
      </c>
      <c r="B85" s="137" t="s">
        <v>6468</v>
      </c>
      <c r="C85" s="298" t="s">
        <v>6491</v>
      </c>
      <c r="D85" s="298" t="s">
        <v>2678</v>
      </c>
      <c r="E85" s="137" t="s">
        <v>6203</v>
      </c>
      <c r="F85" s="137"/>
      <c r="G85" s="137" t="s">
        <v>6486</v>
      </c>
      <c r="H85" s="313" t="s">
        <v>4</v>
      </c>
    </row>
    <row r="86" spans="1:8" ht="26" customHeight="1">
      <c r="A86" s="354" t="s">
        <v>6492</v>
      </c>
      <c r="B86" s="137" t="s">
        <v>6468</v>
      </c>
      <c r="C86" s="298" t="s">
        <v>6493</v>
      </c>
      <c r="D86" s="298" t="s">
        <v>2684</v>
      </c>
      <c r="E86" s="137" t="s">
        <v>6203</v>
      </c>
      <c r="F86" s="137"/>
      <c r="G86" s="137" t="s">
        <v>6486</v>
      </c>
      <c r="H86" s="313" t="s">
        <v>4</v>
      </c>
    </row>
    <row r="87" spans="1:8" ht="26" customHeight="1">
      <c r="A87" s="354" t="s">
        <v>6494</v>
      </c>
      <c r="B87" s="137" t="s">
        <v>6468</v>
      </c>
      <c r="C87" s="298" t="s">
        <v>6495</v>
      </c>
      <c r="D87" s="298" t="s">
        <v>6496</v>
      </c>
      <c r="E87" s="137" t="s">
        <v>6203</v>
      </c>
      <c r="F87" s="137"/>
      <c r="G87" s="137" t="s">
        <v>6486</v>
      </c>
      <c r="H87" s="313" t="s">
        <v>4</v>
      </c>
    </row>
    <row r="88" spans="1:8" ht="26" customHeight="1">
      <c r="A88" s="354" t="s">
        <v>6497</v>
      </c>
      <c r="B88" s="137" t="s">
        <v>6468</v>
      </c>
      <c r="C88" s="298" t="s">
        <v>6498</v>
      </c>
      <c r="D88" s="298" t="s">
        <v>6499</v>
      </c>
      <c r="E88" s="137" t="s">
        <v>6211</v>
      </c>
      <c r="F88" s="137"/>
      <c r="G88" s="137" t="s">
        <v>6486</v>
      </c>
      <c r="H88" s="313" t="s">
        <v>4</v>
      </c>
    </row>
    <row r="89" spans="1:8" ht="26" customHeight="1">
      <c r="A89" s="354" t="s">
        <v>6500</v>
      </c>
      <c r="B89" s="137" t="s">
        <v>6501</v>
      </c>
      <c r="C89" s="298" t="s">
        <v>6502</v>
      </c>
      <c r="D89" s="298" t="s">
        <v>6503</v>
      </c>
      <c r="E89" s="137" t="s">
        <v>6203</v>
      </c>
      <c r="F89" s="137" t="s">
        <v>6272</v>
      </c>
      <c r="G89" s="137" t="s">
        <v>6504</v>
      </c>
      <c r="H89" s="313" t="s">
        <v>4</v>
      </c>
    </row>
    <row r="90" spans="1:8" ht="26" customHeight="1">
      <c r="A90" s="354" t="s">
        <v>6505</v>
      </c>
      <c r="B90" s="137" t="s">
        <v>6501</v>
      </c>
      <c r="C90" s="298" t="s">
        <v>6506</v>
      </c>
      <c r="D90" s="298" t="s">
        <v>2501</v>
      </c>
      <c r="E90" s="137" t="s">
        <v>6203</v>
      </c>
      <c r="F90" s="137" t="s">
        <v>6272</v>
      </c>
      <c r="G90" s="137" t="s">
        <v>6504</v>
      </c>
      <c r="H90" s="313" t="s">
        <v>4</v>
      </c>
    </row>
    <row r="91" spans="1:8" ht="26" customHeight="1">
      <c r="A91" s="354" t="s">
        <v>6507</v>
      </c>
      <c r="B91" s="137" t="s">
        <v>6501</v>
      </c>
      <c r="C91" s="298" t="s">
        <v>6508</v>
      </c>
      <c r="D91" s="298" t="s">
        <v>6509</v>
      </c>
      <c r="E91" s="137" t="s">
        <v>6203</v>
      </c>
      <c r="F91" s="137"/>
      <c r="G91" s="137" t="s">
        <v>6504</v>
      </c>
      <c r="H91" s="313" t="s">
        <v>4</v>
      </c>
    </row>
    <row r="92" spans="1:8" ht="26" customHeight="1">
      <c r="A92" s="354" t="s">
        <v>6510</v>
      </c>
      <c r="B92" s="137" t="s">
        <v>6501</v>
      </c>
      <c r="C92" s="298" t="s">
        <v>6511</v>
      </c>
      <c r="D92" s="298" t="s">
        <v>6512</v>
      </c>
      <c r="E92" s="137" t="s">
        <v>6203</v>
      </c>
      <c r="F92" s="137"/>
      <c r="G92" s="137" t="s">
        <v>6513</v>
      </c>
      <c r="H92" s="313" t="s">
        <v>4</v>
      </c>
    </row>
    <row r="93" spans="1:8" ht="26" customHeight="1">
      <c r="A93" s="354" t="s">
        <v>6514</v>
      </c>
      <c r="B93" s="137" t="s">
        <v>6501</v>
      </c>
      <c r="C93" s="298" t="s">
        <v>6515</v>
      </c>
      <c r="D93" s="298" t="s">
        <v>6516</v>
      </c>
      <c r="E93" s="137" t="s">
        <v>6203</v>
      </c>
      <c r="F93" s="137"/>
      <c r="G93" s="137" t="s">
        <v>6513</v>
      </c>
      <c r="H93" s="313" t="s">
        <v>4</v>
      </c>
    </row>
    <row r="94" spans="1:8" ht="26" customHeight="1">
      <c r="A94" s="354" t="s">
        <v>6517</v>
      </c>
      <c r="B94" s="137" t="s">
        <v>6501</v>
      </c>
      <c r="C94" s="298" t="s">
        <v>6518</v>
      </c>
      <c r="D94" s="298" t="s">
        <v>1437</v>
      </c>
      <c r="E94" s="137" t="s">
        <v>6203</v>
      </c>
      <c r="F94" s="137"/>
      <c r="G94" s="137" t="s">
        <v>6513</v>
      </c>
      <c r="H94" s="313" t="s">
        <v>4</v>
      </c>
    </row>
    <row r="95" spans="1:8" ht="26" customHeight="1">
      <c r="A95" s="354" t="s">
        <v>6519</v>
      </c>
      <c r="B95" s="137" t="s">
        <v>6501</v>
      </c>
      <c r="C95" s="298" t="s">
        <v>6520</v>
      </c>
      <c r="D95" s="298" t="s">
        <v>609</v>
      </c>
      <c r="E95" s="137" t="s">
        <v>6203</v>
      </c>
      <c r="F95" s="137"/>
      <c r="G95" s="137" t="s">
        <v>6513</v>
      </c>
      <c r="H95" s="313" t="s">
        <v>4</v>
      </c>
    </row>
    <row r="96" spans="1:8" ht="26" customHeight="1">
      <c r="A96" s="354" t="s">
        <v>6521</v>
      </c>
      <c r="B96" s="137" t="s">
        <v>6501</v>
      </c>
      <c r="C96" s="298" t="s">
        <v>6522</v>
      </c>
      <c r="D96" s="298" t="s">
        <v>1439</v>
      </c>
      <c r="E96" s="137" t="s">
        <v>6203</v>
      </c>
      <c r="F96" s="137"/>
      <c r="G96" s="137" t="s">
        <v>6513</v>
      </c>
      <c r="H96" s="313" t="s">
        <v>4</v>
      </c>
    </row>
    <row r="97" spans="1:8" ht="26" customHeight="1">
      <c r="A97" s="355" t="s">
        <v>6523</v>
      </c>
      <c r="B97" s="314" t="s">
        <v>6501</v>
      </c>
      <c r="C97" s="301" t="s">
        <v>6524</v>
      </c>
      <c r="D97" s="301" t="s">
        <v>6525</v>
      </c>
      <c r="E97" s="314" t="s">
        <v>6211</v>
      </c>
      <c r="F97" s="314"/>
      <c r="G97" s="314" t="s">
        <v>6504</v>
      </c>
      <c r="H97" s="315" t="s">
        <v>4</v>
      </c>
    </row>
  </sheetData>
  <autoFilter ref="A6:H97" xr:uid="{AFC42794-AC73-9346-B99D-3DE21002119D}"/>
  <phoneticPr fontId="3"/>
  <conditionalFormatting sqref="E7:E97">
    <cfRule type="expression" dxfId="32" priority="1">
      <formula>$E7="P2"</formula>
    </cfRule>
  </conditionalFormatting>
  <conditionalFormatting sqref="A7:H97">
    <cfRule type="expression" dxfId="31" priority="2">
      <formula>$F7="🔴"</formula>
    </cfRule>
  </conditionalFormatting>
  <conditionalFormatting sqref="B7:B97">
    <cfRule type="expression" dxfId="30" priority="3">
      <formula>$B7="認証系"</formula>
    </cfRule>
  </conditionalFormatting>
  <conditionalFormatting sqref="B7:B97">
    <cfRule type="expression" dxfId="29" priority="4">
      <formula>$B7="プロビジョニング系"</formula>
    </cfRule>
  </conditionalFormatting>
  <conditionalFormatting sqref="B7:B97">
    <cfRule type="expression" dxfId="28" priority="5">
      <formula>$B7="管理コントロールプレーン系"</formula>
    </cfRule>
  </conditionalFormatting>
  <conditionalFormatting sqref="B7:B97">
    <cfRule type="expression" dxfId="27" priority="6">
      <formula>$B7="認可系"</formula>
    </cfRule>
  </conditionalFormatting>
  <conditionalFormatting sqref="B7:B97">
    <cfRule type="expression" dxfId="26" priority="7">
      <formula>$B7="連携系"</formula>
    </cfRule>
  </conditionalFormatting>
  <conditionalFormatting sqref="B7:B97">
    <cfRule type="expression" dxfId="25" priority="8">
      <formula>$B7="バッチ系"</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57AB4-7BDD-9A40-B2BF-5C3A0B207B29}">
  <dimension ref="A1:I200"/>
  <sheetViews>
    <sheetView workbookViewId="0">
      <pane ySplit="4" topLeftCell="A5" activePane="bottomLeft" state="frozen"/>
      <selection pane="bottomLeft"/>
    </sheetView>
  </sheetViews>
  <sheetFormatPr baseColWidth="10" defaultRowHeight="20"/>
  <cols>
    <col min="1" max="1" width="12.85546875" customWidth="1"/>
    <col min="2" max="2" width="14.28515625" customWidth="1"/>
    <col min="3" max="3" width="18.5703125" customWidth="1"/>
    <col min="4" max="4" width="37.140625" customWidth="1"/>
    <col min="5" max="5" width="60" customWidth="1"/>
    <col min="6" max="6" width="54.28515625" customWidth="1"/>
    <col min="7" max="7" width="28.5703125" customWidth="1"/>
    <col min="8" max="8" width="21.42578125" customWidth="1"/>
    <col min="9" max="9" width="12.85546875" customWidth="1"/>
  </cols>
  <sheetData>
    <row r="1" spans="1:9" ht="24">
      <c r="A1" s="380" t="s">
        <v>7604</v>
      </c>
    </row>
    <row r="2" spans="1:9">
      <c r="A2" s="381" t="s">
        <v>7605</v>
      </c>
    </row>
    <row r="4" spans="1:9">
      <c r="A4" s="5" t="s">
        <v>5170</v>
      </c>
      <c r="B4" s="5" t="s">
        <v>7606</v>
      </c>
      <c r="C4" s="5" t="s">
        <v>7607</v>
      </c>
      <c r="D4" s="5" t="s">
        <v>5119</v>
      </c>
      <c r="E4" s="5" t="s">
        <v>7608</v>
      </c>
      <c r="F4" s="5" t="s">
        <v>7609</v>
      </c>
      <c r="G4" s="5" t="s">
        <v>7610</v>
      </c>
      <c r="H4" s="5" t="s">
        <v>7611</v>
      </c>
      <c r="I4" s="5" t="s">
        <v>666</v>
      </c>
    </row>
    <row r="5" spans="1:9" ht="110" customHeight="1">
      <c r="A5" s="382" t="s">
        <v>7612</v>
      </c>
      <c r="B5" s="394">
        <v>46261</v>
      </c>
      <c r="C5" s="383"/>
      <c r="D5" s="384" t="s">
        <v>7613</v>
      </c>
      <c r="E5" s="384" t="s">
        <v>7614</v>
      </c>
      <c r="F5" s="384" t="s">
        <v>7615</v>
      </c>
      <c r="G5" s="384" t="s">
        <v>7616</v>
      </c>
      <c r="H5" s="384" t="s">
        <v>2234</v>
      </c>
      <c r="I5" s="385" t="s">
        <v>7617</v>
      </c>
    </row>
    <row r="6" spans="1:9" ht="110" customHeight="1">
      <c r="A6" s="386" t="s">
        <v>7618</v>
      </c>
      <c r="B6" s="395">
        <v>46261</v>
      </c>
      <c r="C6" s="387"/>
      <c r="D6" s="388" t="s">
        <v>7619</v>
      </c>
      <c r="E6" s="388" t="s">
        <v>7620</v>
      </c>
      <c r="F6" s="388" t="s">
        <v>7621</v>
      </c>
      <c r="G6" s="388" t="s">
        <v>7622</v>
      </c>
      <c r="H6" s="388" t="s">
        <v>7623</v>
      </c>
      <c r="I6" s="389" t="s">
        <v>7617</v>
      </c>
    </row>
    <row r="7" spans="1:9" ht="110" customHeight="1">
      <c r="A7" s="390" t="s">
        <v>7624</v>
      </c>
      <c r="B7" s="396">
        <v>46261</v>
      </c>
      <c r="C7" s="391"/>
      <c r="D7" s="392" t="s">
        <v>7625</v>
      </c>
      <c r="E7" s="392" t="s">
        <v>7626</v>
      </c>
      <c r="F7" s="392" t="s">
        <v>7627</v>
      </c>
      <c r="G7" s="392" t="s">
        <v>7628</v>
      </c>
      <c r="H7" s="392" t="s">
        <v>5174</v>
      </c>
      <c r="I7" s="393" t="s">
        <v>7617</v>
      </c>
    </row>
    <row r="8" spans="1:9">
      <c r="B8" s="397"/>
    </row>
    <row r="9" spans="1:9">
      <c r="B9" s="397"/>
    </row>
    <row r="10" spans="1:9">
      <c r="B10" s="397"/>
    </row>
    <row r="11" spans="1:9">
      <c r="B11" s="397"/>
    </row>
    <row r="12" spans="1:9">
      <c r="B12" s="397"/>
    </row>
    <row r="13" spans="1:9">
      <c r="B13" s="397"/>
    </row>
    <row r="14" spans="1:9">
      <c r="B14" s="397"/>
    </row>
    <row r="15" spans="1:9">
      <c r="B15" s="397"/>
    </row>
    <row r="16" spans="1:9">
      <c r="B16" s="397"/>
    </row>
    <row r="17" spans="2:2">
      <c r="B17" s="397"/>
    </row>
    <row r="18" spans="2:2">
      <c r="B18" s="397"/>
    </row>
    <row r="19" spans="2:2">
      <c r="B19" s="397"/>
    </row>
    <row r="20" spans="2:2">
      <c r="B20" s="397"/>
    </row>
    <row r="21" spans="2:2">
      <c r="B21" s="397"/>
    </row>
    <row r="22" spans="2:2">
      <c r="B22" s="397"/>
    </row>
    <row r="23" spans="2:2">
      <c r="B23" s="397"/>
    </row>
    <row r="24" spans="2:2">
      <c r="B24" s="397"/>
    </row>
    <row r="25" spans="2:2">
      <c r="B25" s="397"/>
    </row>
    <row r="26" spans="2:2">
      <c r="B26" s="397"/>
    </row>
    <row r="27" spans="2:2">
      <c r="B27" s="397"/>
    </row>
    <row r="28" spans="2:2">
      <c r="B28" s="397"/>
    </row>
    <row r="29" spans="2:2">
      <c r="B29" s="397"/>
    </row>
    <row r="30" spans="2:2">
      <c r="B30" s="397"/>
    </row>
    <row r="31" spans="2:2">
      <c r="B31" s="397"/>
    </row>
    <row r="32" spans="2:2">
      <c r="B32" s="397"/>
    </row>
    <row r="33" spans="2:2">
      <c r="B33" s="397"/>
    </row>
    <row r="34" spans="2:2">
      <c r="B34" s="397"/>
    </row>
    <row r="35" spans="2:2">
      <c r="B35" s="397"/>
    </row>
    <row r="36" spans="2:2">
      <c r="B36" s="397"/>
    </row>
    <row r="37" spans="2:2">
      <c r="B37" s="397"/>
    </row>
    <row r="38" spans="2:2">
      <c r="B38" s="397"/>
    </row>
    <row r="39" spans="2:2">
      <c r="B39" s="397"/>
    </row>
    <row r="40" spans="2:2">
      <c r="B40" s="397"/>
    </row>
    <row r="41" spans="2:2">
      <c r="B41" s="397"/>
    </row>
    <row r="42" spans="2:2">
      <c r="B42" s="397"/>
    </row>
    <row r="43" spans="2:2">
      <c r="B43" s="397"/>
    </row>
    <row r="44" spans="2:2">
      <c r="B44" s="397"/>
    </row>
    <row r="45" spans="2:2">
      <c r="B45" s="397"/>
    </row>
    <row r="46" spans="2:2">
      <c r="B46" s="397"/>
    </row>
    <row r="47" spans="2:2">
      <c r="B47" s="397"/>
    </row>
    <row r="48" spans="2:2">
      <c r="B48" s="397"/>
    </row>
    <row r="49" spans="2:2">
      <c r="B49" s="397"/>
    </row>
    <row r="50" spans="2:2">
      <c r="B50" s="397"/>
    </row>
    <row r="51" spans="2:2">
      <c r="B51" s="397"/>
    </row>
    <row r="52" spans="2:2">
      <c r="B52" s="397"/>
    </row>
    <row r="53" spans="2:2">
      <c r="B53" s="397"/>
    </row>
    <row r="54" spans="2:2">
      <c r="B54" s="397"/>
    </row>
    <row r="55" spans="2:2">
      <c r="B55" s="397"/>
    </row>
    <row r="56" spans="2:2">
      <c r="B56" s="397"/>
    </row>
    <row r="57" spans="2:2">
      <c r="B57" s="397"/>
    </row>
    <row r="58" spans="2:2">
      <c r="B58" s="397"/>
    </row>
    <row r="59" spans="2:2">
      <c r="B59" s="397"/>
    </row>
    <row r="60" spans="2:2">
      <c r="B60" s="397"/>
    </row>
    <row r="61" spans="2:2">
      <c r="B61" s="397"/>
    </row>
    <row r="62" spans="2:2">
      <c r="B62" s="397"/>
    </row>
    <row r="63" spans="2:2">
      <c r="B63" s="397"/>
    </row>
    <row r="64" spans="2:2">
      <c r="B64" s="397"/>
    </row>
    <row r="65" spans="2:2">
      <c r="B65" s="397"/>
    </row>
    <row r="66" spans="2:2">
      <c r="B66" s="397"/>
    </row>
    <row r="67" spans="2:2">
      <c r="B67" s="397"/>
    </row>
    <row r="68" spans="2:2">
      <c r="B68" s="397"/>
    </row>
    <row r="69" spans="2:2">
      <c r="B69" s="397"/>
    </row>
    <row r="70" spans="2:2">
      <c r="B70" s="397"/>
    </row>
    <row r="71" spans="2:2">
      <c r="B71" s="397"/>
    </row>
    <row r="72" spans="2:2">
      <c r="B72" s="397"/>
    </row>
    <row r="73" spans="2:2">
      <c r="B73" s="397"/>
    </row>
    <row r="74" spans="2:2">
      <c r="B74" s="397"/>
    </row>
    <row r="75" spans="2:2">
      <c r="B75" s="397"/>
    </row>
    <row r="76" spans="2:2">
      <c r="B76" s="397"/>
    </row>
    <row r="77" spans="2:2">
      <c r="B77" s="397"/>
    </row>
    <row r="78" spans="2:2">
      <c r="B78" s="397"/>
    </row>
    <row r="79" spans="2:2">
      <c r="B79" s="397"/>
    </row>
    <row r="80" spans="2:2">
      <c r="B80" s="397"/>
    </row>
    <row r="81" spans="2:2">
      <c r="B81" s="397"/>
    </row>
    <row r="82" spans="2:2">
      <c r="B82" s="397"/>
    </row>
    <row r="83" spans="2:2">
      <c r="B83" s="397"/>
    </row>
    <row r="84" spans="2:2">
      <c r="B84" s="397"/>
    </row>
    <row r="85" spans="2:2">
      <c r="B85" s="397"/>
    </row>
    <row r="86" spans="2:2">
      <c r="B86" s="397"/>
    </row>
    <row r="87" spans="2:2">
      <c r="B87" s="397"/>
    </row>
    <row r="88" spans="2:2">
      <c r="B88" s="397"/>
    </row>
    <row r="89" spans="2:2">
      <c r="B89" s="397"/>
    </row>
    <row r="90" spans="2:2">
      <c r="B90" s="397"/>
    </row>
    <row r="91" spans="2:2">
      <c r="B91" s="397"/>
    </row>
    <row r="92" spans="2:2">
      <c r="B92" s="397"/>
    </row>
    <row r="93" spans="2:2">
      <c r="B93" s="397"/>
    </row>
    <row r="94" spans="2:2">
      <c r="B94" s="397"/>
    </row>
    <row r="95" spans="2:2">
      <c r="B95" s="397"/>
    </row>
    <row r="96" spans="2:2">
      <c r="B96" s="397"/>
    </row>
    <row r="97" spans="2:2">
      <c r="B97" s="397"/>
    </row>
    <row r="98" spans="2:2">
      <c r="B98" s="397"/>
    </row>
    <row r="99" spans="2:2">
      <c r="B99" s="397"/>
    </row>
    <row r="100" spans="2:2">
      <c r="B100" s="397"/>
    </row>
    <row r="101" spans="2:2">
      <c r="B101" s="397"/>
    </row>
    <row r="102" spans="2:2">
      <c r="B102" s="397"/>
    </row>
    <row r="103" spans="2:2">
      <c r="B103" s="397"/>
    </row>
    <row r="104" spans="2:2">
      <c r="B104" s="397"/>
    </row>
    <row r="105" spans="2:2">
      <c r="B105" s="397"/>
    </row>
    <row r="106" spans="2:2">
      <c r="B106" s="397"/>
    </row>
    <row r="107" spans="2:2">
      <c r="B107" s="397"/>
    </row>
    <row r="108" spans="2:2">
      <c r="B108" s="397"/>
    </row>
    <row r="109" spans="2:2">
      <c r="B109" s="397"/>
    </row>
    <row r="110" spans="2:2">
      <c r="B110" s="397"/>
    </row>
    <row r="111" spans="2:2">
      <c r="B111" s="397"/>
    </row>
    <row r="112" spans="2:2">
      <c r="B112" s="397"/>
    </row>
    <row r="113" spans="2:2">
      <c r="B113" s="397"/>
    </row>
    <row r="114" spans="2:2">
      <c r="B114" s="397"/>
    </row>
    <row r="115" spans="2:2">
      <c r="B115" s="397"/>
    </row>
    <row r="116" spans="2:2">
      <c r="B116" s="397"/>
    </row>
    <row r="117" spans="2:2">
      <c r="B117" s="397"/>
    </row>
    <row r="118" spans="2:2">
      <c r="B118" s="397"/>
    </row>
    <row r="119" spans="2:2">
      <c r="B119" s="397"/>
    </row>
    <row r="120" spans="2:2">
      <c r="B120" s="397"/>
    </row>
    <row r="121" spans="2:2">
      <c r="B121" s="397"/>
    </row>
    <row r="122" spans="2:2">
      <c r="B122" s="397"/>
    </row>
    <row r="123" spans="2:2">
      <c r="B123" s="397"/>
    </row>
    <row r="124" spans="2:2">
      <c r="B124" s="397"/>
    </row>
    <row r="125" spans="2:2">
      <c r="B125" s="397"/>
    </row>
    <row r="126" spans="2:2">
      <c r="B126" s="397"/>
    </row>
    <row r="127" spans="2:2">
      <c r="B127" s="397"/>
    </row>
    <row r="128" spans="2:2">
      <c r="B128" s="397"/>
    </row>
    <row r="129" spans="2:2">
      <c r="B129" s="397"/>
    </row>
    <row r="130" spans="2:2">
      <c r="B130" s="397"/>
    </row>
    <row r="131" spans="2:2">
      <c r="B131" s="397"/>
    </row>
    <row r="132" spans="2:2">
      <c r="B132" s="397"/>
    </row>
    <row r="133" spans="2:2">
      <c r="B133" s="397"/>
    </row>
    <row r="134" spans="2:2">
      <c r="B134" s="397"/>
    </row>
    <row r="135" spans="2:2">
      <c r="B135" s="397"/>
    </row>
    <row r="136" spans="2:2">
      <c r="B136" s="397"/>
    </row>
    <row r="137" spans="2:2">
      <c r="B137" s="397"/>
    </row>
    <row r="138" spans="2:2">
      <c r="B138" s="397"/>
    </row>
    <row r="139" spans="2:2">
      <c r="B139" s="397"/>
    </row>
    <row r="140" spans="2:2">
      <c r="B140" s="397"/>
    </row>
    <row r="141" spans="2:2">
      <c r="B141" s="397"/>
    </row>
    <row r="142" spans="2:2">
      <c r="B142" s="397"/>
    </row>
    <row r="143" spans="2:2">
      <c r="B143" s="397"/>
    </row>
    <row r="144" spans="2:2">
      <c r="B144" s="397"/>
    </row>
    <row r="145" spans="2:2">
      <c r="B145" s="397"/>
    </row>
    <row r="146" spans="2:2">
      <c r="B146" s="397"/>
    </row>
    <row r="147" spans="2:2">
      <c r="B147" s="397"/>
    </row>
    <row r="148" spans="2:2">
      <c r="B148" s="397"/>
    </row>
    <row r="149" spans="2:2">
      <c r="B149" s="397"/>
    </row>
    <row r="150" spans="2:2">
      <c r="B150" s="397"/>
    </row>
    <row r="151" spans="2:2">
      <c r="B151" s="397"/>
    </row>
    <row r="152" spans="2:2">
      <c r="B152" s="397"/>
    </row>
    <row r="153" spans="2:2">
      <c r="B153" s="397"/>
    </row>
    <row r="154" spans="2:2">
      <c r="B154" s="397"/>
    </row>
    <row r="155" spans="2:2">
      <c r="B155" s="397"/>
    </row>
    <row r="156" spans="2:2">
      <c r="B156" s="397"/>
    </row>
    <row r="157" spans="2:2">
      <c r="B157" s="397"/>
    </row>
    <row r="158" spans="2:2">
      <c r="B158" s="397"/>
    </row>
    <row r="159" spans="2:2">
      <c r="B159" s="397"/>
    </row>
    <row r="160" spans="2:2">
      <c r="B160" s="397"/>
    </row>
    <row r="161" spans="2:2">
      <c r="B161" s="397"/>
    </row>
    <row r="162" spans="2:2">
      <c r="B162" s="397"/>
    </row>
    <row r="163" spans="2:2">
      <c r="B163" s="397"/>
    </row>
    <row r="164" spans="2:2">
      <c r="B164" s="397"/>
    </row>
    <row r="165" spans="2:2">
      <c r="B165" s="397"/>
    </row>
    <row r="166" spans="2:2">
      <c r="B166" s="397"/>
    </row>
    <row r="167" spans="2:2">
      <c r="B167" s="397"/>
    </row>
    <row r="168" spans="2:2">
      <c r="B168" s="397"/>
    </row>
    <row r="169" spans="2:2">
      <c r="B169" s="397"/>
    </row>
    <row r="170" spans="2:2">
      <c r="B170" s="397"/>
    </row>
    <row r="171" spans="2:2">
      <c r="B171" s="397"/>
    </row>
    <row r="172" spans="2:2">
      <c r="B172" s="397"/>
    </row>
    <row r="173" spans="2:2">
      <c r="B173" s="397"/>
    </row>
    <row r="174" spans="2:2">
      <c r="B174" s="397"/>
    </row>
    <row r="175" spans="2:2">
      <c r="B175" s="397"/>
    </row>
    <row r="176" spans="2:2">
      <c r="B176" s="397"/>
    </row>
    <row r="177" spans="2:2">
      <c r="B177" s="397"/>
    </row>
    <row r="178" spans="2:2">
      <c r="B178" s="397"/>
    </row>
    <row r="179" spans="2:2">
      <c r="B179" s="397"/>
    </row>
    <row r="180" spans="2:2">
      <c r="B180" s="397"/>
    </row>
    <row r="181" spans="2:2">
      <c r="B181" s="397"/>
    </row>
    <row r="182" spans="2:2">
      <c r="B182" s="397"/>
    </row>
    <row r="183" spans="2:2">
      <c r="B183" s="397"/>
    </row>
    <row r="184" spans="2:2">
      <c r="B184" s="397"/>
    </row>
    <row r="185" spans="2:2">
      <c r="B185" s="397"/>
    </row>
    <row r="186" spans="2:2">
      <c r="B186" s="397"/>
    </row>
    <row r="187" spans="2:2">
      <c r="B187" s="397"/>
    </row>
    <row r="188" spans="2:2">
      <c r="B188" s="397"/>
    </row>
    <row r="189" spans="2:2">
      <c r="B189" s="397"/>
    </row>
    <row r="190" spans="2:2">
      <c r="B190" s="397"/>
    </row>
    <row r="191" spans="2:2">
      <c r="B191" s="397"/>
    </row>
    <row r="192" spans="2:2">
      <c r="B192" s="397"/>
    </row>
    <row r="193" spans="2:2">
      <c r="B193" s="397"/>
    </row>
    <row r="194" spans="2:2">
      <c r="B194" s="397"/>
    </row>
    <row r="195" spans="2:2">
      <c r="B195" s="397"/>
    </row>
    <row r="196" spans="2:2">
      <c r="B196" s="397"/>
    </row>
    <row r="197" spans="2:2">
      <c r="B197" s="397"/>
    </row>
    <row r="198" spans="2:2">
      <c r="B198" s="397"/>
    </row>
    <row r="199" spans="2:2">
      <c r="B199" s="397"/>
    </row>
    <row r="200" spans="2:2">
      <c r="B200" s="397"/>
    </row>
  </sheetData>
  <phoneticPr fontId="3"/>
  <conditionalFormatting sqref="I5:I200">
    <cfRule type="expression" dxfId="24" priority="1">
      <formula>$I5="回答確定"</formula>
    </cfRule>
  </conditionalFormatting>
  <conditionalFormatting sqref="I5:I200">
    <cfRule type="expression" dxfId="23" priority="2">
      <formula>$I5="検討中"</formula>
    </cfRule>
  </conditionalFormatting>
  <conditionalFormatting sqref="I5:I200">
    <cfRule type="expression" dxfId="22" priority="3">
      <formula>$I5="先方回答待ち"</formula>
    </cfRule>
  </conditionalFormatting>
  <dataValidations count="1">
    <dataValidation type="list" allowBlank="1" showInputMessage="1" showErrorMessage="1" sqref="I5:I200" xr:uid="{063378F9-29F8-DF4B-B149-9974D61FFF8C}">
      <formula1>"回答確定,検討中,先方回答待ち"</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30993-0581-0649-9CE8-AC78C683A06C}">
  <dimension ref="A1:Z93"/>
  <sheetViews>
    <sheetView zoomScale="134" workbookViewId="0">
      <pane ySplit="2" topLeftCell="A4" activePane="bottomLeft" state="frozen"/>
      <selection pane="bottomLeft" activeCell="B12" sqref="B12"/>
    </sheetView>
  </sheetViews>
  <sheetFormatPr baseColWidth="10" defaultRowHeight="20"/>
  <cols>
    <col min="1" max="1" width="25.85546875" customWidth="1"/>
    <col min="2" max="2" width="42.85546875" customWidth="1"/>
    <col min="3" max="5" width="16" customWidth="1"/>
    <col min="6" max="6" width="18" customWidth="1"/>
    <col min="7" max="7" width="12" customWidth="1"/>
    <col min="25" max="25" width="42.85546875" customWidth="1"/>
  </cols>
  <sheetData>
    <row r="1" spans="1:26" ht="24">
      <c r="A1" s="380" t="s">
        <v>8638</v>
      </c>
      <c r="Y1" s="374" t="s">
        <v>8648</v>
      </c>
      <c r="Z1" s="374"/>
    </row>
    <row r="2" spans="1:26">
      <c r="A2" s="374" t="s">
        <v>8639</v>
      </c>
      <c r="Y2" s="461" t="s">
        <v>7813</v>
      </c>
      <c r="Z2" s="461" t="s">
        <v>665</v>
      </c>
    </row>
    <row r="3" spans="1:26">
      <c r="Y3" t="s">
        <v>7815</v>
      </c>
      <c r="Z3" t="s">
        <v>8649</v>
      </c>
    </row>
    <row r="4" spans="1:26">
      <c r="A4" s="455" t="s">
        <v>8640</v>
      </c>
      <c r="Y4" t="s">
        <v>7816</v>
      </c>
      <c r="Z4" t="s">
        <v>8649</v>
      </c>
    </row>
    <row r="5" spans="1:26">
      <c r="A5" s="5" t="s">
        <v>8641</v>
      </c>
      <c r="B5" s="5" t="s">
        <v>8642</v>
      </c>
      <c r="C5" s="5" t="s">
        <v>8643</v>
      </c>
      <c r="D5" s="5" t="s">
        <v>8644</v>
      </c>
      <c r="E5" s="5" t="s">
        <v>8645</v>
      </c>
      <c r="F5" s="5" t="s">
        <v>8646</v>
      </c>
      <c r="Y5" t="s">
        <v>7817</v>
      </c>
      <c r="Z5" t="s">
        <v>8649</v>
      </c>
    </row>
    <row r="6" spans="1:26">
      <c r="A6" t="s">
        <v>8277</v>
      </c>
      <c r="B6" s="457">
        <f>COUNTIFS('WBS(基本設計)'!$K$7:$K$456,$A6)</f>
        <v>355</v>
      </c>
      <c r="C6" s="457">
        <f>SUMIFS('WBS(基本設計)'!$H$7:$H$456,'WBS(基本設計)'!$K$7:$K$456,$A6)</f>
        <v>585.5</v>
      </c>
      <c r="D6" s="457" cm="1">
        <f t="array" ref="D6">SUMPRODUCT(('WBS(基本設計)'!$K$7:$K$456=$A6)*(NOT(ISNUMBER(SEARCH("（不採用）",'WBS(基本設計)'!$N$7:$N$456))))*('WBS(基本設計)'!$A$7:$A$456&lt;&gt;""))</f>
        <v>355</v>
      </c>
      <c r="E6" s="457" cm="1">
        <f t="array" ref="E6">SUMPRODUCT(('WBS(基本設計)'!$K$7:$K$456=$A6)*(NOT(ISNUMBER(SEARCH("（不採用）",'WBS(基本設計)'!$N$7:$N$456))))*'WBS(基本設計)'!$H$7:$H$456)</f>
        <v>585.5</v>
      </c>
      <c r="F6" s="6">
        <f>IFERROR($E6/$E$10,0)</f>
        <v>0.77652519893899208</v>
      </c>
      <c r="Y6" t="s">
        <v>7818</v>
      </c>
      <c r="Z6" t="s">
        <v>8649</v>
      </c>
    </row>
    <row r="7" spans="1:26">
      <c r="A7" t="s">
        <v>8279</v>
      </c>
      <c r="B7" s="457">
        <f>COUNTIFS('WBS(基本設計)'!$K$7:$K$456,$A7)</f>
        <v>40</v>
      </c>
      <c r="C7" s="457">
        <f>SUMIFS('WBS(基本設計)'!$H$7:$H$456,'WBS(基本設計)'!$K$7:$K$456,$A7)</f>
        <v>95.5</v>
      </c>
      <c r="D7" s="457" cm="1">
        <f t="array" ref="D7">SUMPRODUCT(('WBS(基本設計)'!$K$7:$K$456=$A7)*(NOT(ISNUMBER(SEARCH("（不採用）",'WBS(基本設計)'!$N$7:$N$456))))*('WBS(基本設計)'!$A$7:$A$456&lt;&gt;""))</f>
        <v>40</v>
      </c>
      <c r="E7" s="457" cm="1">
        <f t="array" ref="E7">SUMPRODUCT(('WBS(基本設計)'!$K$7:$K$456=$A7)*(NOT(ISNUMBER(SEARCH("（不採用）",'WBS(基本設計)'!$N$7:$N$456))))*'WBS(基本設計)'!$H$7:$H$456)</f>
        <v>95.5</v>
      </c>
      <c r="F7" s="6">
        <f>IFERROR($E7/$E$10,0)</f>
        <v>0.12665782493368699</v>
      </c>
      <c r="Y7" t="s">
        <v>7819</v>
      </c>
      <c r="Z7" t="s">
        <v>8649</v>
      </c>
    </row>
    <row r="8" spans="1:26">
      <c r="A8" t="s">
        <v>8275</v>
      </c>
      <c r="B8" s="457">
        <f>COUNTIFS('WBS(基本設計)'!$K$7:$K$456,$A8)</f>
        <v>47</v>
      </c>
      <c r="C8" s="457">
        <f>SUMIFS('WBS(基本設計)'!$H$7:$H$456,'WBS(基本設計)'!$K$7:$K$456,$A8)</f>
        <v>57.5</v>
      </c>
      <c r="D8" s="457" cm="1">
        <f t="array" ref="D8">SUMPRODUCT(('WBS(基本設計)'!$K$7:$K$456=$A8)*(NOT(ISNUMBER(SEARCH("（不採用）",'WBS(基本設計)'!$N$7:$N$456))))*('WBS(基本設計)'!$A$7:$A$456&lt;&gt;""))</f>
        <v>47</v>
      </c>
      <c r="E8" s="457" cm="1">
        <f t="array" ref="E8">SUMPRODUCT(('WBS(基本設計)'!$K$7:$K$456=$A8)*(NOT(ISNUMBER(SEARCH("（不採用）",'WBS(基本設計)'!$N$7:$N$456))))*'WBS(基本設計)'!$H$7:$H$456)</f>
        <v>57.5</v>
      </c>
      <c r="F8" s="6">
        <f>IFERROR($E8/$E$10,0)</f>
        <v>7.6259946949602128E-2</v>
      </c>
      <c r="Y8" t="s">
        <v>7820</v>
      </c>
      <c r="Z8" t="s">
        <v>8649</v>
      </c>
    </row>
    <row r="9" spans="1:26">
      <c r="A9" t="s">
        <v>8278</v>
      </c>
      <c r="B9" s="457">
        <f>COUNTIFS('WBS(基本設計)'!$K$7:$K$456,$A9)</f>
        <v>8</v>
      </c>
      <c r="C9" s="457">
        <f>SUMIFS('WBS(基本設計)'!$H$7:$H$456,'WBS(基本設計)'!$K$7:$K$456,$A9)</f>
        <v>15.5</v>
      </c>
      <c r="D9" s="457" cm="1">
        <f t="array" ref="D9">SUMPRODUCT(('WBS(基本設計)'!$K$7:$K$456=$A9)*(NOT(ISNUMBER(SEARCH("（不採用）",'WBS(基本設計)'!$N$7:$N$456))))*('WBS(基本設計)'!$A$7:$A$456&lt;&gt;""))</f>
        <v>8</v>
      </c>
      <c r="E9" s="457" cm="1">
        <f t="array" ref="E9">SUMPRODUCT(('WBS(基本設計)'!$K$7:$K$456=$A9)*(NOT(ISNUMBER(SEARCH("（不採用）",'WBS(基本設計)'!$N$7:$N$456))))*'WBS(基本設計)'!$H$7:$H$456)</f>
        <v>15.5</v>
      </c>
      <c r="F9" s="6">
        <f>IFERROR($E9/$E$10,0)</f>
        <v>2.0557029177718834E-2</v>
      </c>
      <c r="Y9" t="s">
        <v>7825</v>
      </c>
      <c r="Z9" t="s">
        <v>477</v>
      </c>
    </row>
    <row r="10" spans="1:26">
      <c r="A10" s="456" t="s">
        <v>7</v>
      </c>
      <c r="B10" s="458">
        <f>SUM(B6:B9)</f>
        <v>450</v>
      </c>
      <c r="C10" s="458">
        <f>SUM(C6:C9)</f>
        <v>754</v>
      </c>
      <c r="D10" s="458">
        <f>SUM(D6:D9)</f>
        <v>450</v>
      </c>
      <c r="E10" s="458">
        <f>SUM(E6:E9)</f>
        <v>754</v>
      </c>
      <c r="F10" s="459">
        <f>SUM(F6:F9)</f>
        <v>1</v>
      </c>
      <c r="Y10" t="s">
        <v>7826</v>
      </c>
      <c r="Z10" t="s">
        <v>477</v>
      </c>
    </row>
    <row r="11" spans="1:26">
      <c r="A11" s="460" t="s">
        <v>8647</v>
      </c>
      <c r="Y11" t="s">
        <v>7827</v>
      </c>
      <c r="Z11" t="s">
        <v>477</v>
      </c>
    </row>
    <row r="12" spans="1:26">
      <c r="Y12" t="s">
        <v>7828</v>
      </c>
      <c r="Z12" t="s">
        <v>477</v>
      </c>
    </row>
    <row r="13" spans="1:26">
      <c r="A13" s="455" t="s">
        <v>8654</v>
      </c>
      <c r="Y13" t="s">
        <v>7830</v>
      </c>
      <c r="Z13" t="s">
        <v>477</v>
      </c>
    </row>
    <row r="14" spans="1:26">
      <c r="A14" s="423" t="s">
        <v>665</v>
      </c>
      <c r="B14" s="423" t="s">
        <v>8277</v>
      </c>
      <c r="C14" s="423" t="s">
        <v>8279</v>
      </c>
      <c r="D14" s="423" t="s">
        <v>8275</v>
      </c>
      <c r="E14" s="423" t="s">
        <v>8278</v>
      </c>
      <c r="F14" s="423" t="s">
        <v>8655</v>
      </c>
      <c r="Y14" t="s">
        <v>7965</v>
      </c>
      <c r="Z14" t="s">
        <v>477</v>
      </c>
    </row>
    <row r="15" spans="1:26">
      <c r="A15" s="325" t="s">
        <v>2740</v>
      </c>
      <c r="B15" s="462" cm="1">
        <f t="array" ref="B15">SUMPRODUCT((IFERROR(VLOOKUP('WBS(基本設計)'!$I$7:$I$456,$Y$3:$Z$42,2,FALSE),"横断")="横断")*('WBS(基本設計)'!$K$7:$K$456="基盤")*(NOT(ISNUMBER(SEARCH("（不採用）",'WBS(基本設計)'!$N$7:$N$456))))*'WBS(基本設計)'!$H$7:$H$456)</f>
        <v>288.5</v>
      </c>
      <c r="C15" s="462" cm="1">
        <f t="array" ref="C15">SUMPRODUCT((IFERROR(VLOOKUP('WBS(基本設計)'!$I$7:$I$456,$Y$3:$Z$42,2,FALSE),"横断")="横断")*('WBS(基本設計)'!$K$7:$K$456="基盤（縮小）")*(NOT(ISNUMBER(SEARCH("（不採用）",'WBS(基本設計)'!$N$7:$N$456))))*'WBS(基本設計)'!$H$7:$H$456)</f>
        <v>89.5</v>
      </c>
      <c r="D15" s="462" cm="1">
        <f t="array" ref="D15">SUMPRODUCT((IFERROR(VLOOKUP('WBS(基本設計)'!$I$7:$I$456,$Y$3:$Z$42,2,FALSE),"横断")="横断")*('WBS(基本設計)'!$K$7:$K$456="アプリ移管")*(NOT(ISNUMBER(SEARCH("（不採用）",'WBS(基本設計)'!$N$7:$N$456))))*'WBS(基本設計)'!$H$7:$H$456)</f>
        <v>0</v>
      </c>
      <c r="E15" s="462" cm="1">
        <f t="array" ref="E15">SUMPRODUCT((IFERROR(VLOOKUP('WBS(基本設計)'!$I$7:$I$456,$Y$3:$Z$42,2,FALSE),"横断")="横断")*('WBS(基本設計)'!$K$7:$K$456="追加移管候補")*(NOT(ISNUMBER(SEARCH("（不採用）",'WBS(基本設計)'!$N$7:$N$456))))*'WBS(基本設計)'!$H$7:$H$456)</f>
        <v>2</v>
      </c>
      <c r="F15" s="462">
        <f>SUM(B15:E15)</f>
        <v>380</v>
      </c>
      <c r="Y15" t="s">
        <v>7967</v>
      </c>
      <c r="Z15" t="s">
        <v>477</v>
      </c>
    </row>
    <row r="16" spans="1:26">
      <c r="A16" s="325" t="s">
        <v>8649</v>
      </c>
      <c r="B16" s="462" cm="1">
        <f t="array" ref="B16">SUMPRODUCT((IFERROR(VLOOKUP('WBS(基本設計)'!$I$7:$I$456,$Y$3:$Z$42,2,FALSE),"横断")=$A16)*('WBS(基本設計)'!$K$7:$K$456="基盤")*(NOT(ISNUMBER(SEARCH("（不採用）",'WBS(基本設計)'!$N$7:$N$456))))*'WBS(基本設計)'!$H$7:$H$456)</f>
        <v>112</v>
      </c>
      <c r="C16" s="462" cm="1">
        <f t="array" ref="C16">SUMPRODUCT((IFERROR(VLOOKUP('WBS(基本設計)'!$I$7:$I$456,$Y$3:$Z$42,2,FALSE),"横断")=$A16)*('WBS(基本設計)'!$K$7:$K$456="基盤（縮小）")*(NOT(ISNUMBER(SEARCH("（不採用）",'WBS(基本設計)'!$N$7:$N$456))))*'WBS(基本設計)'!$H$7:$H$456)</f>
        <v>0</v>
      </c>
      <c r="D16" s="462" cm="1">
        <f t="array" ref="D16">SUMPRODUCT((IFERROR(VLOOKUP('WBS(基本設計)'!$I$7:$I$456,$Y$3:$Z$42,2,FALSE),"横断")=$A16)*('WBS(基本設計)'!$K$7:$K$456="アプリ移管")*(NOT(ISNUMBER(SEARCH("（不採用）",'WBS(基本設計)'!$N$7:$N$456))))*'WBS(基本設計)'!$H$7:$H$456)</f>
        <v>0</v>
      </c>
      <c r="E16" s="462" cm="1">
        <f t="array" ref="E16">SUMPRODUCT((IFERROR(VLOOKUP('WBS(基本設計)'!$I$7:$I$456,$Y$3:$Z$42,2,FALSE),"横断")=$A16)*('WBS(基本設計)'!$K$7:$K$456="追加移管候補")*(NOT(ISNUMBER(SEARCH("（不採用）",'WBS(基本設計)'!$N$7:$N$456))))*'WBS(基本設計)'!$H$7:$H$456)</f>
        <v>0</v>
      </c>
      <c r="F16" s="462">
        <f>SUM(B16:E16)</f>
        <v>112</v>
      </c>
      <c r="Y16" t="s">
        <v>7831</v>
      </c>
      <c r="Z16" t="s">
        <v>8650</v>
      </c>
    </row>
    <row r="17" spans="1:26">
      <c r="A17" s="325" t="s">
        <v>477</v>
      </c>
      <c r="B17" s="462" cm="1">
        <f t="array" ref="B17">SUMPRODUCT((IFERROR(VLOOKUP('WBS(基本設計)'!$I$7:$I$456,$Y$3:$Z$42,2,FALSE),"横断")=$A17)*('WBS(基本設計)'!$K$7:$K$456="基盤")*(NOT(ISNUMBER(SEARCH("（不採用）",'WBS(基本設計)'!$N$7:$N$456))))*'WBS(基本設計)'!$H$7:$H$456)</f>
        <v>50.75</v>
      </c>
      <c r="C17" s="462" cm="1">
        <f t="array" ref="C17">SUMPRODUCT((IFERROR(VLOOKUP('WBS(基本設計)'!$I$7:$I$456,$Y$3:$Z$42,2,FALSE),"横断")=$A17)*('WBS(基本設計)'!$K$7:$K$456="基盤（縮小）")*(NOT(ISNUMBER(SEARCH("（不採用）",'WBS(基本設計)'!$N$7:$N$456))))*'WBS(基本設計)'!$H$7:$H$456)</f>
        <v>3</v>
      </c>
      <c r="D17" s="462" cm="1">
        <f t="array" ref="D17">SUMPRODUCT((IFERROR(VLOOKUP('WBS(基本設計)'!$I$7:$I$456,$Y$3:$Z$42,2,FALSE),"横断")=$A17)*('WBS(基本設計)'!$K$7:$K$456="アプリ移管")*(NOT(ISNUMBER(SEARCH("（不採用）",'WBS(基本設計)'!$N$7:$N$456))))*'WBS(基本設計)'!$H$7:$H$456)</f>
        <v>9</v>
      </c>
      <c r="E17" s="462" cm="1">
        <f t="array" ref="E17">SUMPRODUCT((IFERROR(VLOOKUP('WBS(基本設計)'!$I$7:$I$456,$Y$3:$Z$42,2,FALSE),"横断")=$A17)*('WBS(基本設計)'!$K$7:$K$456="追加移管候補")*(NOT(ISNUMBER(SEARCH("（不採用）",'WBS(基本設計)'!$N$7:$N$456))))*'WBS(基本設計)'!$H$7:$H$456)</f>
        <v>0</v>
      </c>
      <c r="F17" s="462">
        <f>SUM(B17:E17)</f>
        <v>62.75</v>
      </c>
      <c r="Y17" t="s">
        <v>7833</v>
      </c>
      <c r="Z17" t="s">
        <v>8650</v>
      </c>
    </row>
    <row r="18" spans="1:26">
      <c r="A18" s="325" t="s">
        <v>8650</v>
      </c>
      <c r="B18" s="462" cm="1">
        <f t="array" ref="B18">SUMPRODUCT((IFERROR(VLOOKUP('WBS(基本設計)'!$I$7:$I$456,$Y$3:$Z$42,2,FALSE),"横断")=$A18)*('WBS(基本設計)'!$K$7:$K$456="基盤")*(NOT(ISNUMBER(SEARCH("（不採用）",'WBS(基本設計)'!$N$7:$N$456))))*'WBS(基本設計)'!$H$7:$H$456)</f>
        <v>57.5</v>
      </c>
      <c r="C18" s="462" cm="1">
        <f t="array" ref="C18">SUMPRODUCT((IFERROR(VLOOKUP('WBS(基本設計)'!$I$7:$I$456,$Y$3:$Z$42,2,FALSE),"横断")=$A18)*('WBS(基本設計)'!$K$7:$K$456="基盤（縮小）")*(NOT(ISNUMBER(SEARCH("（不採用）",'WBS(基本設計)'!$N$7:$N$456))))*'WBS(基本設計)'!$H$7:$H$456)</f>
        <v>0</v>
      </c>
      <c r="D18" s="462" cm="1">
        <f t="array" ref="D18">SUMPRODUCT((IFERROR(VLOOKUP('WBS(基本設計)'!$I$7:$I$456,$Y$3:$Z$42,2,FALSE),"横断")=$A18)*('WBS(基本設計)'!$K$7:$K$456="アプリ移管")*(NOT(ISNUMBER(SEARCH("（不採用）",'WBS(基本設計)'!$N$7:$N$456))))*'WBS(基本設計)'!$H$7:$H$456)</f>
        <v>22.75</v>
      </c>
      <c r="E18" s="462" cm="1">
        <f t="array" ref="E18">SUMPRODUCT((IFERROR(VLOOKUP('WBS(基本設計)'!$I$7:$I$456,$Y$3:$Z$42,2,FALSE),"横断")=$A18)*('WBS(基本設計)'!$K$7:$K$456="追加移管候補")*(NOT(ISNUMBER(SEARCH("（不採用）",'WBS(基本設計)'!$N$7:$N$456))))*'WBS(基本設計)'!$H$7:$H$456)</f>
        <v>13.5</v>
      </c>
      <c r="F18" s="462">
        <f>SUM(B18:E18)</f>
        <v>93.75</v>
      </c>
      <c r="Y18" t="s">
        <v>7834</v>
      </c>
      <c r="Z18" t="s">
        <v>8650</v>
      </c>
    </row>
    <row r="19" spans="1:26">
      <c r="A19" s="325" t="s">
        <v>8651</v>
      </c>
      <c r="B19" s="462" cm="1">
        <f t="array" ref="B19">SUMPRODUCT((IFERROR(VLOOKUP('WBS(基本設計)'!$I$7:$I$456,$Y$3:$Z$42,2,FALSE),"横断")=$A19)*('WBS(基本設計)'!$K$7:$K$456="基盤")*(NOT(ISNUMBER(SEARCH("（不採用）",'WBS(基本設計)'!$N$7:$N$456))))*'WBS(基本設計)'!$H$7:$H$456)</f>
        <v>27</v>
      </c>
      <c r="C19" s="462" cm="1">
        <f t="array" ref="C19">SUMPRODUCT((IFERROR(VLOOKUP('WBS(基本設計)'!$I$7:$I$456,$Y$3:$Z$42,2,FALSE),"横断")=$A19)*('WBS(基本設計)'!$K$7:$K$456="基盤（縮小）")*(NOT(ISNUMBER(SEARCH("（不採用）",'WBS(基本設計)'!$N$7:$N$456))))*'WBS(基本設計)'!$H$7:$H$456)</f>
        <v>3</v>
      </c>
      <c r="D19" s="462" cm="1">
        <f t="array" ref="D19">SUMPRODUCT((IFERROR(VLOOKUP('WBS(基本設計)'!$I$7:$I$456,$Y$3:$Z$42,2,FALSE),"横断")=$A19)*('WBS(基本設計)'!$K$7:$K$456="アプリ移管")*(NOT(ISNUMBER(SEARCH("（不採用）",'WBS(基本設計)'!$N$7:$N$456))))*'WBS(基本設計)'!$H$7:$H$456)</f>
        <v>18.75</v>
      </c>
      <c r="E19" s="462" cm="1">
        <f t="array" ref="E19">SUMPRODUCT((IFERROR(VLOOKUP('WBS(基本設計)'!$I$7:$I$456,$Y$3:$Z$42,2,FALSE),"横断")=$A19)*('WBS(基本設計)'!$K$7:$K$456="追加移管候補")*(NOT(ISNUMBER(SEARCH("（不採用）",'WBS(基本設計)'!$N$7:$N$456))))*'WBS(基本設計)'!$H$7:$H$456)</f>
        <v>0</v>
      </c>
      <c r="F19" s="462">
        <f>SUM(B19:E19)</f>
        <v>48.75</v>
      </c>
      <c r="Y19" t="s">
        <v>7835</v>
      </c>
      <c r="Z19" t="s">
        <v>8650</v>
      </c>
    </row>
    <row r="20" spans="1:26">
      <c r="A20" s="325" t="s">
        <v>8652</v>
      </c>
      <c r="B20" s="462" cm="1">
        <f t="array" ref="B20">SUMPRODUCT((IFERROR(VLOOKUP('WBS(基本設計)'!$I$7:$I$456,$Y$3:$Z$42,2,FALSE),"横断")=$A20)*('WBS(基本設計)'!$K$7:$K$456="基盤")*(NOT(ISNUMBER(SEARCH("（不採用）",'WBS(基本設計)'!$N$7:$N$456))))*'WBS(基本設計)'!$H$7:$H$456)</f>
        <v>33.25</v>
      </c>
      <c r="C20" s="462" cm="1">
        <f t="array" ref="C20">SUMPRODUCT((IFERROR(VLOOKUP('WBS(基本設計)'!$I$7:$I$456,$Y$3:$Z$42,2,FALSE),"横断")=$A20)*('WBS(基本設計)'!$K$7:$K$456="基盤（縮小）")*(NOT(ISNUMBER(SEARCH("（不採用）",'WBS(基本設計)'!$N$7:$N$456))))*'WBS(基本設計)'!$H$7:$H$456)</f>
        <v>0</v>
      </c>
      <c r="D20" s="462" cm="1">
        <f t="array" ref="D20">SUMPRODUCT((IFERROR(VLOOKUP('WBS(基本設計)'!$I$7:$I$456,$Y$3:$Z$42,2,FALSE),"横断")=$A20)*('WBS(基本設計)'!$K$7:$K$456="アプリ移管")*(NOT(ISNUMBER(SEARCH("（不採用）",'WBS(基本設計)'!$N$7:$N$456))))*'WBS(基本設計)'!$H$7:$H$456)</f>
        <v>6.5</v>
      </c>
      <c r="E20" s="462" cm="1">
        <f t="array" ref="E20">SUMPRODUCT((IFERROR(VLOOKUP('WBS(基本設計)'!$I$7:$I$456,$Y$3:$Z$42,2,FALSE),"横断")=$A20)*('WBS(基本設計)'!$K$7:$K$456="追加移管候補")*(NOT(ISNUMBER(SEARCH("（不採用）",'WBS(基本設計)'!$N$7:$N$456))))*'WBS(基本設計)'!$H$7:$H$456)</f>
        <v>0</v>
      </c>
      <c r="F20" s="462">
        <f>SUM(B20:E20)</f>
        <v>39.75</v>
      </c>
      <c r="Y20" t="s">
        <v>7840</v>
      </c>
      <c r="Z20" t="s">
        <v>8650</v>
      </c>
    </row>
    <row r="21" spans="1:26">
      <c r="A21" s="325" t="s">
        <v>8653</v>
      </c>
      <c r="B21" s="462" cm="1">
        <f t="array" ref="B21">SUMPRODUCT((IFERROR(VLOOKUP('WBS(基本設計)'!$I$7:$I$456,$Y$3:$Z$42,2,FALSE),"横断")=$A21)*('WBS(基本設計)'!$K$7:$K$456="基盤")*(NOT(ISNUMBER(SEARCH("（不採用）",'WBS(基本設計)'!$N$7:$N$456))))*'WBS(基本設計)'!$H$7:$H$456)</f>
        <v>16.5</v>
      </c>
      <c r="C21" s="462" cm="1">
        <f t="array" ref="C21">SUMPRODUCT((IFERROR(VLOOKUP('WBS(基本設計)'!$I$7:$I$456,$Y$3:$Z$42,2,FALSE),"横断")=$A21)*('WBS(基本設計)'!$K$7:$K$456="基盤（縮小）")*(NOT(ISNUMBER(SEARCH("（不採用）",'WBS(基本設計)'!$N$7:$N$456))))*'WBS(基本設計)'!$H$7:$H$456)</f>
        <v>0</v>
      </c>
      <c r="D21" s="462" cm="1">
        <f t="array" ref="D21">SUMPRODUCT((IFERROR(VLOOKUP('WBS(基本設計)'!$I$7:$I$456,$Y$3:$Z$42,2,FALSE),"横断")=$A21)*('WBS(基本設計)'!$K$7:$K$456="アプリ移管")*(NOT(ISNUMBER(SEARCH("（不採用）",'WBS(基本設計)'!$N$7:$N$456))))*'WBS(基本設計)'!$H$7:$H$456)</f>
        <v>0.5</v>
      </c>
      <c r="E21" s="462" cm="1">
        <f t="array" ref="E21">SUMPRODUCT((IFERROR(VLOOKUP('WBS(基本設計)'!$I$7:$I$456,$Y$3:$Z$42,2,FALSE),"横断")=$A21)*('WBS(基本設計)'!$K$7:$K$456="追加移管候補")*(NOT(ISNUMBER(SEARCH("（不採用）",'WBS(基本設計)'!$N$7:$N$456))))*'WBS(基本設計)'!$H$7:$H$456)</f>
        <v>0</v>
      </c>
      <c r="F21" s="462">
        <f>SUM(B21:E21)</f>
        <v>17</v>
      </c>
      <c r="Y21" t="s">
        <v>7841</v>
      </c>
      <c r="Z21" t="s">
        <v>8650</v>
      </c>
    </row>
    <row r="22" spans="1:26">
      <c r="A22" s="463" t="s">
        <v>7</v>
      </c>
      <c r="B22" s="464">
        <f>SUM(B15:B21)</f>
        <v>585.5</v>
      </c>
      <c r="C22" s="464">
        <f>SUM(C15:C21)</f>
        <v>95.5</v>
      </c>
      <c r="D22" s="464">
        <f>SUM(D15:D21)</f>
        <v>57.5</v>
      </c>
      <c r="E22" s="464">
        <f>SUM(E15:E21)</f>
        <v>15.5</v>
      </c>
      <c r="F22" s="464">
        <f>SUM(F15:F21)</f>
        <v>754</v>
      </c>
      <c r="Y22" t="s">
        <v>7958</v>
      </c>
      <c r="Z22" t="s">
        <v>8650</v>
      </c>
    </row>
    <row r="23" spans="1:26">
      <c r="A23" s="460" t="s">
        <v>8656</v>
      </c>
      <c r="Y23" t="s">
        <v>7960</v>
      </c>
      <c r="Z23" t="s">
        <v>8650</v>
      </c>
    </row>
    <row r="24" spans="1:26">
      <c r="Y24" t="s">
        <v>7844</v>
      </c>
      <c r="Z24" t="s">
        <v>8651</v>
      </c>
    </row>
    <row r="25" spans="1:26">
      <c r="A25" s="455" t="s">
        <v>8657</v>
      </c>
      <c r="Y25" t="s">
        <v>7845</v>
      </c>
      <c r="Z25" t="s">
        <v>8651</v>
      </c>
    </row>
    <row r="26" spans="1:26">
      <c r="A26" s="423" t="s">
        <v>665</v>
      </c>
      <c r="B26" s="423" t="s">
        <v>7813</v>
      </c>
      <c r="C26" s="423" t="s">
        <v>8658</v>
      </c>
      <c r="D26" s="423" t="s">
        <v>2528</v>
      </c>
      <c r="E26" s="423" t="s">
        <v>8659</v>
      </c>
      <c r="F26" s="423" t="s">
        <v>8660</v>
      </c>
      <c r="G26" s="423" t="s">
        <v>8641</v>
      </c>
      <c r="Y26" t="s">
        <v>7846</v>
      </c>
      <c r="Z26" t="s">
        <v>8651</v>
      </c>
    </row>
    <row r="27" spans="1:26">
      <c r="A27" s="325" t="str">
        <f>IFERROR(VLOOKUP($B27,$Y$3:$Z$42,2,FALSE),"横断")</f>
        <v>認証</v>
      </c>
      <c r="B27" s="325" t="s">
        <v>7817</v>
      </c>
      <c r="C27" s="462" cm="1">
        <f t="array" ref="C27">SUMPRODUCT(('WBS(基本設計)'!$I$7:$I$456=$B27)*(NOT(ISNUMBER(SEARCH("（不採用）",'WBS(基本設計)'!$N$7:$N$456))))*('WBS(基本設計)'!$A$7:$A$456&lt;&gt;""))</f>
        <v>29</v>
      </c>
      <c r="D27" s="462" cm="1">
        <f t="array" ref="D27">SUMPRODUCT(('WBS(基本設計)'!$I$7:$I$456=$B27)*(NOT(ISNUMBER(SEARCH("（不採用）",'WBS(基本設計)'!$N$7:$N$456))))*'WBS(基本設計)'!$H$7:$H$456)</f>
        <v>62.25</v>
      </c>
      <c r="E27" s="462" cm="1">
        <f t="array" ref="E27">SUMPRODUCT(('WBS(基本設計)'!$I$7:$I$456=$B27)*(LEFT('WBS(基本設計)'!$K$7:$K$456,2)="基盤")*(NOT(ISNUMBER(SEARCH("（不採用）",'WBS(基本設計)'!$N$7:$N$456))))*'WBS(基本設計)'!$H$7:$H$456)</f>
        <v>62.25</v>
      </c>
      <c r="F27" s="462" cm="1">
        <f t="array" ref="F27">SUMPRODUCT(('WBS(基本設計)'!$I$7:$I$456=$B27)*('WBS(基本設計)'!$K$7:$K$456="アプリ移管")*(NOT(ISNUMBER(SEARCH("（不採用）",'WBS(基本設計)'!$N$7:$N$456))))*'WBS(基本設計)'!$H$7:$H$456)</f>
        <v>0</v>
      </c>
      <c r="G27" s="325" t="str">
        <f>IF($D27=0,"—",IF($F27=0,"基盤",IF($E27=0,"アプリ移管","混在")))</f>
        <v>基盤</v>
      </c>
      <c r="Y27" t="s">
        <v>7847</v>
      </c>
      <c r="Z27" t="s">
        <v>8651</v>
      </c>
    </row>
    <row r="28" spans="1:26">
      <c r="A28" s="325" t="str">
        <f>IFERROR(VLOOKUP($B28,$Y$3:$Z$42,2,FALSE),"横断")</f>
        <v>管理</v>
      </c>
      <c r="B28" s="325" t="s">
        <v>7841</v>
      </c>
      <c r="C28" s="462" cm="1">
        <f t="array" ref="C28">SUMPRODUCT(('WBS(基本設計)'!$I$7:$I$456=$B28)*(NOT(ISNUMBER(SEARCH("（不採用）",'WBS(基本設計)'!$N$7:$N$456))))*('WBS(基本設計)'!$A$7:$A$456&lt;&gt;""))</f>
        <v>19</v>
      </c>
      <c r="D28" s="462" cm="1">
        <f t="array" ref="D28">SUMPRODUCT(('WBS(基本設計)'!$I$7:$I$456=$B28)*(NOT(ISNUMBER(SEARCH("（不採用）",'WBS(基本設計)'!$N$7:$N$456))))*'WBS(基本設計)'!$H$7:$H$456)</f>
        <v>31</v>
      </c>
      <c r="E28" s="462" cm="1">
        <f t="array" ref="E28">SUMPRODUCT(('WBS(基本設計)'!$I$7:$I$456=$B28)*(LEFT('WBS(基本設計)'!$K$7:$K$456,2)="基盤")*(NOT(ISNUMBER(SEARCH("（不採用）",'WBS(基本設計)'!$N$7:$N$456))))*'WBS(基本設計)'!$H$7:$H$456)</f>
        <v>17</v>
      </c>
      <c r="F28" s="462" cm="1">
        <f t="array" ref="F28">SUMPRODUCT(('WBS(基本設計)'!$I$7:$I$456=$B28)*('WBS(基本設計)'!$K$7:$K$456="アプリ移管")*(NOT(ISNUMBER(SEARCH("（不採用）",'WBS(基本設計)'!$N$7:$N$456))))*'WBS(基本設計)'!$H$7:$H$456)</f>
        <v>1</v>
      </c>
      <c r="G28" s="325" t="str">
        <f>IF($D28=0,"—",IF($F28=0,"基盤",IF($E28=0,"アプリ移管","混在")))</f>
        <v>混在</v>
      </c>
      <c r="Y28" t="s">
        <v>7852</v>
      </c>
      <c r="Z28" t="s">
        <v>8651</v>
      </c>
    </row>
    <row r="29" spans="1:26">
      <c r="A29" s="325" t="str">
        <f>IFERROR(VLOOKUP($B29,$Y$3:$Z$42,2,FALSE),"横断")</f>
        <v>管理</v>
      </c>
      <c r="B29" s="325" t="s">
        <v>7834</v>
      </c>
      <c r="C29" s="462" cm="1">
        <f t="array" ref="C29">SUMPRODUCT(('WBS(基本設計)'!$I$7:$I$456=$B29)*(NOT(ISNUMBER(SEARCH("（不採用）",'WBS(基本設計)'!$N$7:$N$456))))*('WBS(基本設計)'!$A$7:$A$456&lt;&gt;""))</f>
        <v>17</v>
      </c>
      <c r="D29" s="462" cm="1">
        <f t="array" ref="D29">SUMPRODUCT(('WBS(基本設計)'!$I$7:$I$456=$B29)*(NOT(ISNUMBER(SEARCH("（不採用）",'WBS(基本設計)'!$N$7:$N$456))))*'WBS(基本設計)'!$H$7:$H$456)</f>
        <v>11.75</v>
      </c>
      <c r="E29" s="462" cm="1">
        <f t="array" ref="E29">SUMPRODUCT(('WBS(基本設計)'!$I$7:$I$456=$B29)*(LEFT('WBS(基本設計)'!$K$7:$K$456,2)="基盤")*(NOT(ISNUMBER(SEARCH("（不採用）",'WBS(基本設計)'!$N$7:$N$456))))*'WBS(基本設計)'!$H$7:$H$456)</f>
        <v>0</v>
      </c>
      <c r="F29" s="462" cm="1">
        <f t="array" ref="F29">SUMPRODUCT(('WBS(基本設計)'!$I$7:$I$456=$B29)*('WBS(基本設計)'!$K$7:$K$456="アプリ移管")*(NOT(ISNUMBER(SEARCH("（不採用）",'WBS(基本設計)'!$N$7:$N$456))))*'WBS(基本設計)'!$H$7:$H$456)</f>
        <v>11.75</v>
      </c>
      <c r="G29" s="325" t="str">
        <f>IF($D29=0,"—",IF($F29=0,"基盤",IF($E29=0,"アプリ移管","混在")))</f>
        <v>アプリ移管</v>
      </c>
      <c r="Y29" t="s">
        <v>7959</v>
      </c>
      <c r="Z29" t="s">
        <v>8651</v>
      </c>
    </row>
    <row r="30" spans="1:26">
      <c r="A30" s="325" t="str">
        <f>IFERROR(VLOOKUP($B30,$Y$3:$Z$42,2,FALSE),"横断")</f>
        <v>管理</v>
      </c>
      <c r="B30" s="325" t="s">
        <v>7840</v>
      </c>
      <c r="C30" s="462" cm="1">
        <f t="array" ref="C30">SUMPRODUCT(('WBS(基本設計)'!$I$7:$I$456=$B30)*(NOT(ISNUMBER(SEARCH("（不採用）",'WBS(基本設計)'!$N$7:$N$456))))*('WBS(基本設計)'!$A$7:$A$456&lt;&gt;""))</f>
        <v>13</v>
      </c>
      <c r="D30" s="462" cm="1">
        <f t="array" ref="D30">SUMPRODUCT(('WBS(基本設計)'!$I$7:$I$456=$B30)*(NOT(ISNUMBER(SEARCH("（不採用）",'WBS(基本設計)'!$N$7:$N$456))))*'WBS(基本設計)'!$H$7:$H$456)</f>
        <v>19.75</v>
      </c>
      <c r="E30" s="462" cm="1">
        <f t="array" ref="E30">SUMPRODUCT(('WBS(基本設計)'!$I$7:$I$456=$B30)*(LEFT('WBS(基本設計)'!$K$7:$K$456,2)="基盤")*(NOT(ISNUMBER(SEARCH("（不採用）",'WBS(基本設計)'!$N$7:$N$456))))*'WBS(基本設計)'!$H$7:$H$456)</f>
        <v>19.75</v>
      </c>
      <c r="F30" s="462" cm="1">
        <f t="array" ref="F30">SUMPRODUCT(('WBS(基本設計)'!$I$7:$I$456=$B30)*('WBS(基本設計)'!$K$7:$K$456="アプリ移管")*(NOT(ISNUMBER(SEARCH("（不採用）",'WBS(基本設計)'!$N$7:$N$456))))*'WBS(基本設計)'!$H$7:$H$456)</f>
        <v>0</v>
      </c>
      <c r="G30" s="325" t="str">
        <f>IF($D30=0,"—",IF($F30=0,"基盤",IF($E30=0,"アプリ移管","混在")))</f>
        <v>基盤</v>
      </c>
      <c r="Y30" t="s">
        <v>7853</v>
      </c>
      <c r="Z30" t="s">
        <v>8652</v>
      </c>
    </row>
    <row r="31" spans="1:26">
      <c r="A31" s="325" t="str">
        <f>IFERROR(VLOOKUP($B31,$Y$3:$Z$42,2,FALSE),"横断")</f>
        <v>認可</v>
      </c>
      <c r="B31" s="325" t="s">
        <v>7846</v>
      </c>
      <c r="C31" s="462" cm="1">
        <f t="array" ref="C31">SUMPRODUCT(('WBS(基本設計)'!$I$7:$I$456=$B31)*(NOT(ISNUMBER(SEARCH("（不採用）",'WBS(基本設計)'!$N$7:$N$456))))*('WBS(基本設計)'!$A$7:$A$456&lt;&gt;""))</f>
        <v>9</v>
      </c>
      <c r="D31" s="462" cm="1">
        <f t="array" ref="D31">SUMPRODUCT(('WBS(基本設計)'!$I$7:$I$456=$B31)*(NOT(ISNUMBER(SEARCH("（不採用）",'WBS(基本設計)'!$N$7:$N$456))))*'WBS(基本設計)'!$H$7:$H$456)</f>
        <v>18.5</v>
      </c>
      <c r="E31" s="462" cm="1">
        <f t="array" ref="E31">SUMPRODUCT(('WBS(基本設計)'!$I$7:$I$456=$B31)*(LEFT('WBS(基本設計)'!$K$7:$K$456,2)="基盤")*(NOT(ISNUMBER(SEARCH("（不採用）",'WBS(基本設計)'!$N$7:$N$456))))*'WBS(基本設計)'!$H$7:$H$456)</f>
        <v>16.5</v>
      </c>
      <c r="F31" s="462" cm="1">
        <f t="array" ref="F31">SUMPRODUCT(('WBS(基本設計)'!$I$7:$I$456=$B31)*('WBS(基本設計)'!$K$7:$K$456="アプリ移管")*(NOT(ISNUMBER(SEARCH("（不採用）",'WBS(基本設計)'!$N$7:$N$456))))*'WBS(基本設計)'!$H$7:$H$456)</f>
        <v>2</v>
      </c>
      <c r="G31" s="325" t="str">
        <f>IF($D31=0,"—",IF($F31=0,"基盤",IF($E31=0,"アプリ移管","混在")))</f>
        <v>混在</v>
      </c>
      <c r="Y31" t="s">
        <v>7854</v>
      </c>
      <c r="Z31" t="s">
        <v>8652</v>
      </c>
    </row>
    <row r="32" spans="1:26">
      <c r="A32" s="325" t="str">
        <f>IFERROR(VLOOKUP($B32,$Y$3:$Z$42,2,FALSE),"横断")</f>
        <v>認証</v>
      </c>
      <c r="B32" s="325" t="s">
        <v>7816</v>
      </c>
      <c r="C32" s="462" cm="1">
        <f t="array" ref="C32">SUMPRODUCT(('WBS(基本設計)'!$I$7:$I$456=$B32)*(NOT(ISNUMBER(SEARCH("（不採用）",'WBS(基本設計)'!$N$7:$N$456))))*('WBS(基本設計)'!$A$7:$A$456&lt;&gt;""))</f>
        <v>11</v>
      </c>
      <c r="D32" s="462" cm="1">
        <f t="array" ref="D32">SUMPRODUCT(('WBS(基本設計)'!$I$7:$I$456=$B32)*(NOT(ISNUMBER(SEARCH("（不採用）",'WBS(基本設計)'!$N$7:$N$456))))*'WBS(基本設計)'!$H$7:$H$456)</f>
        <v>13</v>
      </c>
      <c r="E32" s="462" cm="1">
        <f t="array" ref="E32">SUMPRODUCT(('WBS(基本設計)'!$I$7:$I$456=$B32)*(LEFT('WBS(基本設計)'!$K$7:$K$456,2)="基盤")*(NOT(ISNUMBER(SEARCH("（不採用）",'WBS(基本設計)'!$N$7:$N$456))))*'WBS(基本設計)'!$H$7:$H$456)</f>
        <v>13</v>
      </c>
      <c r="F32" s="462" cm="1">
        <f t="array" ref="F32">SUMPRODUCT(('WBS(基本設計)'!$I$7:$I$456=$B32)*('WBS(基本設計)'!$K$7:$K$456="アプリ移管")*(NOT(ISNUMBER(SEARCH("（不採用）",'WBS(基本設計)'!$N$7:$N$456))))*'WBS(基本設計)'!$H$7:$H$456)</f>
        <v>0</v>
      </c>
      <c r="G32" s="325" t="str">
        <f>IF($D32=0,"—",IF($F32=0,"基盤",IF($E32=0,"アプリ移管","混在")))</f>
        <v>基盤</v>
      </c>
      <c r="Y32" t="s">
        <v>7855</v>
      </c>
      <c r="Z32" t="s">
        <v>8652</v>
      </c>
    </row>
    <row r="33" spans="1:26">
      <c r="A33" s="325" t="str">
        <f>IFERROR(VLOOKUP($B33,$Y$3:$Z$42,2,FALSE),"横断")</f>
        <v>管理</v>
      </c>
      <c r="B33" s="325" t="s">
        <v>7831</v>
      </c>
      <c r="C33" s="462" cm="1">
        <f t="array" ref="C33">SUMPRODUCT(('WBS(基本設計)'!$I$7:$I$456=$B33)*(NOT(ISNUMBER(SEARCH("（不採用）",'WBS(基本設計)'!$N$7:$N$456))))*('WBS(基本設計)'!$A$7:$A$456&lt;&gt;""))</f>
        <v>16</v>
      </c>
      <c r="D33" s="462" cm="1">
        <f t="array" ref="D33">SUMPRODUCT(('WBS(基本設計)'!$I$7:$I$456=$B33)*(NOT(ISNUMBER(SEARCH("（不採用）",'WBS(基本設計)'!$N$7:$N$456))))*'WBS(基本設計)'!$H$7:$H$456)</f>
        <v>14.75</v>
      </c>
      <c r="E33" s="462" cm="1">
        <f t="array" ref="E33">SUMPRODUCT(('WBS(基本設計)'!$I$7:$I$456=$B33)*(LEFT('WBS(基本設計)'!$K$7:$K$456,2)="基盤")*(NOT(ISNUMBER(SEARCH("（不採用）",'WBS(基本設計)'!$N$7:$N$456))))*'WBS(基本設計)'!$H$7:$H$456)</f>
        <v>7.75</v>
      </c>
      <c r="F33" s="462" cm="1">
        <f t="array" ref="F33">SUMPRODUCT(('WBS(基本設計)'!$I$7:$I$456=$B33)*('WBS(基本設計)'!$K$7:$K$456="アプリ移管")*(NOT(ISNUMBER(SEARCH("（不採用）",'WBS(基本設計)'!$N$7:$N$456))))*'WBS(基本設計)'!$H$7:$H$456)</f>
        <v>7</v>
      </c>
      <c r="G33" s="325" t="str">
        <f>IF($D33=0,"—",IF($F33=0,"基盤",IF($E33=0,"アプリ移管","混在")))</f>
        <v>混在</v>
      </c>
      <c r="Y33" t="s">
        <v>7858</v>
      </c>
      <c r="Z33" t="s">
        <v>8652</v>
      </c>
    </row>
    <row r="34" spans="1:26">
      <c r="A34" s="325" t="str">
        <f>IFERROR(VLOOKUP($B34,$Y$3:$Z$42,2,FALSE),"横断")</f>
        <v>プロビジョニング</v>
      </c>
      <c r="B34" s="325" t="s">
        <v>7827</v>
      </c>
      <c r="C34" s="462" cm="1">
        <f t="array" ref="C34">SUMPRODUCT(('WBS(基本設計)'!$I$7:$I$456=$B34)*(NOT(ISNUMBER(SEARCH("（不採用）",'WBS(基本設計)'!$N$7:$N$456))))*('WBS(基本設計)'!$A$7:$A$456&lt;&gt;""))</f>
        <v>9</v>
      </c>
      <c r="D34" s="462" cm="1">
        <f t="array" ref="D34">SUMPRODUCT(('WBS(基本設計)'!$I$7:$I$456=$B34)*(NOT(ISNUMBER(SEARCH("（不採用）",'WBS(基本設計)'!$N$7:$N$456))))*'WBS(基本設計)'!$H$7:$H$456)</f>
        <v>15.75</v>
      </c>
      <c r="E34" s="462" cm="1">
        <f t="array" ref="E34">SUMPRODUCT(('WBS(基本設計)'!$I$7:$I$456=$B34)*(LEFT('WBS(基本設計)'!$K$7:$K$456,2)="基盤")*(NOT(ISNUMBER(SEARCH("（不採用）",'WBS(基本設計)'!$N$7:$N$456))))*'WBS(基本設計)'!$H$7:$H$456)</f>
        <v>15.75</v>
      </c>
      <c r="F34" s="462" cm="1">
        <f t="array" ref="F34">SUMPRODUCT(('WBS(基本設計)'!$I$7:$I$456=$B34)*('WBS(基本設計)'!$K$7:$K$456="アプリ移管")*(NOT(ISNUMBER(SEARCH("（不採用）",'WBS(基本設計)'!$N$7:$N$456))))*'WBS(基本設計)'!$H$7:$H$456)</f>
        <v>0</v>
      </c>
      <c r="G34" s="325" t="str">
        <f>IF($D34=0,"—",IF($F34=0,"基盤",IF($E34=0,"アプリ移管","混在")))</f>
        <v>基盤</v>
      </c>
      <c r="Y34" t="s">
        <v>7859</v>
      </c>
      <c r="Z34" t="s">
        <v>8652</v>
      </c>
    </row>
    <row r="35" spans="1:26">
      <c r="A35" s="325" t="str">
        <f>IFERROR(VLOOKUP($B35,$Y$3:$Z$42,2,FALSE),"横断")</f>
        <v>認証</v>
      </c>
      <c r="B35" s="325" t="s">
        <v>7818</v>
      </c>
      <c r="C35" s="462" cm="1">
        <f t="array" ref="C35">SUMPRODUCT(('WBS(基本設計)'!$I$7:$I$456=$B35)*(NOT(ISNUMBER(SEARCH("（不採用）",'WBS(基本設計)'!$N$7:$N$456))))*('WBS(基本設計)'!$A$7:$A$456&lt;&gt;""))</f>
        <v>12</v>
      </c>
      <c r="D35" s="462" cm="1">
        <f t="array" ref="D35">SUMPRODUCT(('WBS(基本設計)'!$I$7:$I$456=$B35)*(NOT(ISNUMBER(SEARCH("（不採用）",'WBS(基本設計)'!$N$7:$N$456))))*'WBS(基本設計)'!$H$7:$H$456)</f>
        <v>11.5</v>
      </c>
      <c r="E35" s="462" cm="1">
        <f t="array" ref="E35">SUMPRODUCT(('WBS(基本設計)'!$I$7:$I$456=$B35)*(LEFT('WBS(基本設計)'!$K$7:$K$456,2)="基盤")*(NOT(ISNUMBER(SEARCH("（不採用）",'WBS(基本設計)'!$N$7:$N$456))))*'WBS(基本設計)'!$H$7:$H$456)</f>
        <v>11.5</v>
      </c>
      <c r="F35" s="462" cm="1">
        <f t="array" ref="F35">SUMPRODUCT(('WBS(基本設計)'!$I$7:$I$456=$B35)*('WBS(基本設計)'!$K$7:$K$456="アプリ移管")*(NOT(ISNUMBER(SEARCH("（不採用）",'WBS(基本設計)'!$N$7:$N$456))))*'WBS(基本設計)'!$H$7:$H$456)</f>
        <v>0</v>
      </c>
      <c r="G35" s="325" t="str">
        <f>IF($D35=0,"—",IF($F35=0,"基盤",IF($E35=0,"アプリ移管","混在")))</f>
        <v>基盤</v>
      </c>
      <c r="Y35" t="s">
        <v>7962</v>
      </c>
      <c r="Z35" t="s">
        <v>8652</v>
      </c>
    </row>
    <row r="36" spans="1:26">
      <c r="A36" s="325" t="str">
        <f>IFERROR(VLOOKUP($B36,$Y$3:$Z$42,2,FALSE),"横断")</f>
        <v>連携</v>
      </c>
      <c r="B36" s="325" t="s">
        <v>7858</v>
      </c>
      <c r="C36" s="462" cm="1">
        <f t="array" ref="C36">SUMPRODUCT(('WBS(基本設計)'!$I$7:$I$456=$B36)*(NOT(ISNUMBER(SEARCH("（不採用）",'WBS(基本設計)'!$N$7:$N$456))))*('WBS(基本設計)'!$A$7:$A$456&lt;&gt;""))</f>
        <v>8</v>
      </c>
      <c r="D36" s="462" cm="1">
        <f t="array" ref="D36">SUMPRODUCT(('WBS(基本設計)'!$I$7:$I$456=$B36)*(NOT(ISNUMBER(SEARCH("（不採用）",'WBS(基本設計)'!$N$7:$N$456))))*'WBS(基本設計)'!$H$7:$H$456)</f>
        <v>10.5</v>
      </c>
      <c r="E36" s="462" cm="1">
        <f t="array" ref="E36">SUMPRODUCT(('WBS(基本設計)'!$I$7:$I$456=$B36)*(LEFT('WBS(基本設計)'!$K$7:$K$456,2)="基盤")*(NOT(ISNUMBER(SEARCH("（不採用）",'WBS(基本設計)'!$N$7:$N$456))))*'WBS(基本設計)'!$H$7:$H$456)</f>
        <v>10.5</v>
      </c>
      <c r="F36" s="462" cm="1">
        <f t="array" ref="F36">SUMPRODUCT(('WBS(基本設計)'!$I$7:$I$456=$B36)*('WBS(基本設計)'!$K$7:$K$456="アプリ移管")*(NOT(ISNUMBER(SEARCH("（不採用）",'WBS(基本設計)'!$N$7:$N$456))))*'WBS(基本設計)'!$H$7:$H$456)</f>
        <v>0</v>
      </c>
      <c r="G36" s="325" t="str">
        <f>IF($D36=0,"—",IF($F36=0,"基盤",IF($E36=0,"アプリ移管","混在")))</f>
        <v>基盤</v>
      </c>
      <c r="Y36" t="s">
        <v>7956</v>
      </c>
      <c r="Z36" t="s">
        <v>8653</v>
      </c>
    </row>
    <row r="37" spans="1:26">
      <c r="A37" s="325" t="str">
        <f>IFERROR(VLOOKUP($B37,$Y$3:$Z$42,2,FALSE),"横断")</f>
        <v>認可</v>
      </c>
      <c r="B37" s="325" t="s">
        <v>7844</v>
      </c>
      <c r="C37" s="462" cm="1">
        <f t="array" ref="C37">SUMPRODUCT(('WBS(基本設計)'!$I$7:$I$456=$B37)*(NOT(ISNUMBER(SEARCH("（不採用）",'WBS(基本設計)'!$N$7:$N$456))))*('WBS(基本設計)'!$A$7:$A$456&lt;&gt;""))</f>
        <v>8</v>
      </c>
      <c r="D37" s="462" cm="1">
        <f t="array" ref="D37">SUMPRODUCT(('WBS(基本設計)'!$I$7:$I$456=$B37)*(NOT(ISNUMBER(SEARCH("（不採用）",'WBS(基本設計)'!$N$7:$N$456))))*'WBS(基本設計)'!$H$7:$H$456)</f>
        <v>11</v>
      </c>
      <c r="E37" s="462" cm="1">
        <f t="array" ref="E37">SUMPRODUCT(('WBS(基本設計)'!$I$7:$I$456=$B37)*(LEFT('WBS(基本設計)'!$K$7:$K$456,2)="基盤")*(NOT(ISNUMBER(SEARCH("（不採用）",'WBS(基本設計)'!$N$7:$N$456))))*'WBS(基本設計)'!$H$7:$H$456)</f>
        <v>3.5</v>
      </c>
      <c r="F37" s="462" cm="1">
        <f t="array" ref="F37">SUMPRODUCT(('WBS(基本設計)'!$I$7:$I$456=$B37)*('WBS(基本設計)'!$K$7:$K$456="アプリ移管")*(NOT(ISNUMBER(SEARCH("（不採用）",'WBS(基本設計)'!$N$7:$N$456))))*'WBS(基本設計)'!$H$7:$H$456)</f>
        <v>7.5</v>
      </c>
      <c r="G37" s="325" t="str">
        <f>IF($D37=0,"—",IF($F37=0,"基盤",IF($E37=0,"アプリ移管","混在")))</f>
        <v>混在</v>
      </c>
      <c r="Y37" t="s">
        <v>7860</v>
      </c>
      <c r="Z37" t="s">
        <v>8653</v>
      </c>
    </row>
    <row r="38" spans="1:26">
      <c r="A38" s="325" t="str">
        <f>IFERROR(VLOOKUP($B38,$Y$3:$Z$42,2,FALSE),"横断")</f>
        <v>連携</v>
      </c>
      <c r="B38" s="325" t="s">
        <v>7854</v>
      </c>
      <c r="C38" s="462" cm="1">
        <f t="array" ref="C38">SUMPRODUCT(('WBS(基本設計)'!$I$7:$I$456=$B38)*(NOT(ISNUMBER(SEARCH("（不採用）",'WBS(基本設計)'!$N$7:$N$456))))*('WBS(基本設計)'!$A$7:$A$456&lt;&gt;""))</f>
        <v>8</v>
      </c>
      <c r="D38" s="462" cm="1">
        <f t="array" ref="D38">SUMPRODUCT(('WBS(基本設計)'!$I$7:$I$456=$B38)*(NOT(ISNUMBER(SEARCH("（不採用）",'WBS(基本設計)'!$N$7:$N$456))))*'WBS(基本設計)'!$H$7:$H$456)</f>
        <v>12</v>
      </c>
      <c r="E38" s="462" cm="1">
        <f t="array" ref="E38">SUMPRODUCT(('WBS(基本設計)'!$I$7:$I$456=$B38)*(LEFT('WBS(基本設計)'!$K$7:$K$456,2)="基盤")*(NOT(ISNUMBER(SEARCH("（不採用）",'WBS(基本設計)'!$N$7:$N$456))))*'WBS(基本設計)'!$H$7:$H$456)</f>
        <v>6</v>
      </c>
      <c r="F38" s="462" cm="1">
        <f t="array" ref="F38">SUMPRODUCT(('WBS(基本設計)'!$I$7:$I$456=$B38)*('WBS(基本設計)'!$K$7:$K$456="アプリ移管")*(NOT(ISNUMBER(SEARCH("（不採用）",'WBS(基本設計)'!$N$7:$N$456))))*'WBS(基本設計)'!$H$7:$H$456)</f>
        <v>6</v>
      </c>
      <c r="G38" s="325" t="str">
        <f>IF($D38=0,"—",IF($F38=0,"基盤",IF($E38=0,"アプリ移管","混在")))</f>
        <v>混在</v>
      </c>
      <c r="Y38" t="s">
        <v>7861</v>
      </c>
      <c r="Z38" t="s">
        <v>8653</v>
      </c>
    </row>
    <row r="39" spans="1:26">
      <c r="A39" s="325" t="str">
        <f>IFERROR(VLOOKUP($B39,$Y$3:$Z$42,2,FALSE),"横断")</f>
        <v>管理</v>
      </c>
      <c r="B39" s="325" t="s">
        <v>7833</v>
      </c>
      <c r="C39" s="462" cm="1">
        <f t="array" ref="C39">SUMPRODUCT(('WBS(基本設計)'!$I$7:$I$456=$B39)*(NOT(ISNUMBER(SEARCH("（不採用）",'WBS(基本設計)'!$N$7:$N$456))))*('WBS(基本設計)'!$A$7:$A$456&lt;&gt;""))</f>
        <v>10</v>
      </c>
      <c r="D39" s="462" cm="1">
        <f t="array" ref="D39">SUMPRODUCT(('WBS(基本設計)'!$I$7:$I$456=$B39)*(NOT(ISNUMBER(SEARCH("（不採用）",'WBS(基本設計)'!$N$7:$N$456))))*'WBS(基本設計)'!$H$7:$H$456)</f>
        <v>5.5</v>
      </c>
      <c r="E39" s="462" cm="1">
        <f t="array" ref="E39">SUMPRODUCT(('WBS(基本設計)'!$I$7:$I$456=$B39)*(LEFT('WBS(基本設計)'!$K$7:$K$456,2)="基盤")*(NOT(ISNUMBER(SEARCH("（不採用）",'WBS(基本設計)'!$N$7:$N$456))))*'WBS(基本設計)'!$H$7:$H$456)</f>
        <v>5.5</v>
      </c>
      <c r="F39" s="462" cm="1">
        <f t="array" ref="F39">SUMPRODUCT(('WBS(基本設計)'!$I$7:$I$456=$B39)*('WBS(基本設計)'!$K$7:$K$456="アプリ移管")*(NOT(ISNUMBER(SEARCH("（不採用）",'WBS(基本設計)'!$N$7:$N$456))))*'WBS(基本設計)'!$H$7:$H$456)</f>
        <v>0</v>
      </c>
      <c r="G39" s="325" t="str">
        <f>IF($D39=0,"—",IF($F39=0,"基盤",IF($E39=0,"アプリ移管","混在")))</f>
        <v>基盤</v>
      </c>
      <c r="Y39" t="s">
        <v>7862</v>
      </c>
      <c r="Z39" t="s">
        <v>8653</v>
      </c>
    </row>
    <row r="40" spans="1:26">
      <c r="A40" s="325" t="str">
        <f>IFERROR(VLOOKUP($B40,$Y$3:$Z$42,2,FALSE),"横断")</f>
        <v>プロビジョニング</v>
      </c>
      <c r="B40" s="325" t="s">
        <v>7828</v>
      </c>
      <c r="C40" s="462" cm="1">
        <f t="array" ref="C40">SUMPRODUCT(('WBS(基本設計)'!$I$7:$I$456=$B40)*(NOT(ISNUMBER(SEARCH("（不採用）",'WBS(基本設計)'!$N$7:$N$456))))*('WBS(基本設計)'!$A$7:$A$456&lt;&gt;""))</f>
        <v>11</v>
      </c>
      <c r="D40" s="462" cm="1">
        <f t="array" ref="D40">SUMPRODUCT(('WBS(基本設計)'!$I$7:$I$456=$B40)*(NOT(ISNUMBER(SEARCH("（不採用）",'WBS(基本設計)'!$N$7:$N$456))))*'WBS(基本設計)'!$H$7:$H$456)</f>
        <v>18</v>
      </c>
      <c r="E40" s="462" cm="1">
        <f t="array" ref="E40">SUMPRODUCT(('WBS(基本設計)'!$I$7:$I$456=$B40)*(LEFT('WBS(基本設計)'!$K$7:$K$456,2)="基盤")*(NOT(ISNUMBER(SEARCH("（不採用）",'WBS(基本設計)'!$N$7:$N$456))))*'WBS(基本設計)'!$H$7:$H$456)</f>
        <v>18</v>
      </c>
      <c r="F40" s="462" cm="1">
        <f t="array" ref="F40">SUMPRODUCT(('WBS(基本設計)'!$I$7:$I$456=$B40)*('WBS(基本設計)'!$K$7:$K$456="アプリ移管")*(NOT(ISNUMBER(SEARCH("（不採用）",'WBS(基本設計)'!$N$7:$N$456))))*'WBS(基本設計)'!$H$7:$H$456)</f>
        <v>0</v>
      </c>
      <c r="G40" s="325" t="str">
        <f>IF($D40=0,"—",IF($F40=0,"基盤",IF($E40=0,"アプリ移管","混在")))</f>
        <v>基盤</v>
      </c>
      <c r="Y40" t="s">
        <v>7863</v>
      </c>
      <c r="Z40" t="s">
        <v>8653</v>
      </c>
    </row>
    <row r="41" spans="1:26">
      <c r="A41" s="325" t="str">
        <f>IFERROR(VLOOKUP($B41,$Y$3:$Z$42,2,FALSE),"横断")</f>
        <v>連携</v>
      </c>
      <c r="B41" s="325" t="s">
        <v>7853</v>
      </c>
      <c r="C41" s="462" cm="1">
        <f t="array" ref="C41">SUMPRODUCT(('WBS(基本設計)'!$I$7:$I$456=$B41)*(NOT(ISNUMBER(SEARCH("（不採用）",'WBS(基本設計)'!$N$7:$N$456))))*('WBS(基本設計)'!$A$7:$A$456&lt;&gt;""))</f>
        <v>8</v>
      </c>
      <c r="D41" s="462" cm="1">
        <f t="array" ref="D41">SUMPRODUCT(('WBS(基本設計)'!$I$7:$I$456=$B41)*(NOT(ISNUMBER(SEARCH("（不採用）",'WBS(基本設計)'!$N$7:$N$456))))*'WBS(基本設計)'!$H$7:$H$456)</f>
        <v>10.75</v>
      </c>
      <c r="E41" s="462" cm="1">
        <f t="array" ref="E41">SUMPRODUCT(('WBS(基本設計)'!$I$7:$I$456=$B41)*(LEFT('WBS(基本設計)'!$K$7:$K$456,2)="基盤")*(NOT(ISNUMBER(SEARCH("（不採用）",'WBS(基本設計)'!$N$7:$N$456))))*'WBS(基本設計)'!$H$7:$H$456)</f>
        <v>10.75</v>
      </c>
      <c r="F41" s="462" cm="1">
        <f t="array" ref="F41">SUMPRODUCT(('WBS(基本設計)'!$I$7:$I$456=$B41)*('WBS(基本設計)'!$K$7:$K$456="アプリ移管")*(NOT(ISNUMBER(SEARCH("（不採用）",'WBS(基本設計)'!$N$7:$N$456))))*'WBS(基本設計)'!$H$7:$H$456)</f>
        <v>0</v>
      </c>
      <c r="G41" s="325" t="str">
        <f>IF($D41=0,"—",IF($F41=0,"基盤",IF($E41=0,"アプリ移管","混在")))</f>
        <v>基盤</v>
      </c>
      <c r="Y41" t="s">
        <v>7950</v>
      </c>
      <c r="Z41" t="s">
        <v>8649</v>
      </c>
    </row>
    <row r="42" spans="1:26">
      <c r="A42" s="325" t="str">
        <f>IFERROR(VLOOKUP($B42,$Y$3:$Z$42,2,FALSE),"横断")</f>
        <v>プロビジョニング</v>
      </c>
      <c r="B42" s="325" t="s">
        <v>7830</v>
      </c>
      <c r="C42" s="462" cm="1">
        <f t="array" ref="C42">SUMPRODUCT(('WBS(基本設計)'!$I$7:$I$456=$B42)*(NOT(ISNUMBER(SEARCH("（不採用）",'WBS(基本設計)'!$N$7:$N$456))))*('WBS(基本設計)'!$A$7:$A$456&lt;&gt;""))</f>
        <v>8</v>
      </c>
      <c r="D42" s="462" cm="1">
        <f t="array" ref="D42">SUMPRODUCT(('WBS(基本設計)'!$I$7:$I$456=$B42)*(NOT(ISNUMBER(SEARCH("（不採用）",'WBS(基本設計)'!$N$7:$N$456))))*'WBS(基本設計)'!$H$7:$H$456)</f>
        <v>9</v>
      </c>
      <c r="E42" s="462" cm="1">
        <f t="array" ref="E42">SUMPRODUCT(('WBS(基本設計)'!$I$7:$I$456=$B42)*(LEFT('WBS(基本設計)'!$K$7:$K$456,2)="基盤")*(NOT(ISNUMBER(SEARCH("（不採用）",'WBS(基本設計)'!$N$7:$N$456))))*'WBS(基本設計)'!$H$7:$H$456)</f>
        <v>0</v>
      </c>
      <c r="F42" s="462" cm="1">
        <f t="array" ref="F42">SUMPRODUCT(('WBS(基本設計)'!$I$7:$I$456=$B42)*('WBS(基本設計)'!$K$7:$K$456="アプリ移管")*(NOT(ISNUMBER(SEARCH("（不採用）",'WBS(基本設計)'!$N$7:$N$456))))*'WBS(基本設計)'!$H$7:$H$456)</f>
        <v>9</v>
      </c>
      <c r="G42" s="325" t="str">
        <f>IF($D42=0,"—",IF($F42=0,"基盤",IF($E42=0,"アプリ移管","混在")))</f>
        <v>アプリ移管</v>
      </c>
      <c r="Y42" t="s">
        <v>7957</v>
      </c>
      <c r="Z42" t="s">
        <v>8649</v>
      </c>
    </row>
    <row r="43" spans="1:26">
      <c r="A43" s="325" t="str">
        <f>IFERROR(VLOOKUP($B43,$Y$3:$Z$42,2,FALSE),"横断")</f>
        <v>認証</v>
      </c>
      <c r="B43" s="325" t="s">
        <v>7819</v>
      </c>
      <c r="C43" s="462" cm="1">
        <f t="array" ref="C43">SUMPRODUCT(('WBS(基本設計)'!$I$7:$I$456=$B43)*(NOT(ISNUMBER(SEARCH("（不採用）",'WBS(基本設計)'!$N$7:$N$456))))*('WBS(基本設計)'!$A$7:$A$456&lt;&gt;""))</f>
        <v>9</v>
      </c>
      <c r="D43" s="462" cm="1">
        <f t="array" ref="D43">SUMPRODUCT(('WBS(基本設計)'!$I$7:$I$456=$B43)*(NOT(ISNUMBER(SEARCH("（不採用）",'WBS(基本設計)'!$N$7:$N$456))))*'WBS(基本設計)'!$H$7:$H$456)</f>
        <v>7</v>
      </c>
      <c r="E43" s="462" cm="1">
        <f t="array" ref="E43">SUMPRODUCT(('WBS(基本設計)'!$I$7:$I$456=$B43)*(LEFT('WBS(基本設計)'!$K$7:$K$456,2)="基盤")*(NOT(ISNUMBER(SEARCH("（不採用）",'WBS(基本設計)'!$N$7:$N$456))))*'WBS(基本設計)'!$H$7:$H$456)</f>
        <v>7</v>
      </c>
      <c r="F43" s="462" cm="1">
        <f t="array" ref="F43">SUMPRODUCT(('WBS(基本設計)'!$I$7:$I$456=$B43)*('WBS(基本設計)'!$K$7:$K$456="アプリ移管")*(NOT(ISNUMBER(SEARCH("（不採用）",'WBS(基本設計)'!$N$7:$N$456))))*'WBS(基本設計)'!$H$7:$H$456)</f>
        <v>0</v>
      </c>
      <c r="G43" s="325" t="str">
        <f>IF($D43=0,"—",IF($F43=0,"基盤",IF($E43=0,"アプリ移管","混在")))</f>
        <v>基盤</v>
      </c>
    </row>
    <row r="44" spans="1:26">
      <c r="A44" s="325" t="str">
        <f>IFERROR(VLOOKUP($B44,$Y$3:$Z$42,2,FALSE),"横断")</f>
        <v>プロビジョニング</v>
      </c>
      <c r="B44" s="325" t="s">
        <v>7826</v>
      </c>
      <c r="C44" s="462" cm="1">
        <f t="array" ref="C44">SUMPRODUCT(('WBS(基本設計)'!$I$7:$I$456=$B44)*(NOT(ISNUMBER(SEARCH("（不採用）",'WBS(基本設計)'!$N$7:$N$456))))*('WBS(基本設計)'!$A$7:$A$456&lt;&gt;""))</f>
        <v>8</v>
      </c>
      <c r="D44" s="462" cm="1">
        <f t="array" ref="D44">SUMPRODUCT(('WBS(基本設計)'!$I$7:$I$456=$B44)*(NOT(ISNUMBER(SEARCH("（不採用）",'WBS(基本設計)'!$N$7:$N$456))))*'WBS(基本設計)'!$H$7:$H$456)</f>
        <v>13.75</v>
      </c>
      <c r="E44" s="462" cm="1">
        <f t="array" ref="E44">SUMPRODUCT(('WBS(基本設計)'!$I$7:$I$456=$B44)*(LEFT('WBS(基本設計)'!$K$7:$K$456,2)="基盤")*(NOT(ISNUMBER(SEARCH("（不採用）",'WBS(基本設計)'!$N$7:$N$456))))*'WBS(基本設計)'!$H$7:$H$456)</f>
        <v>13.75</v>
      </c>
      <c r="F44" s="462" cm="1">
        <f t="array" ref="F44">SUMPRODUCT(('WBS(基本設計)'!$I$7:$I$456=$B44)*('WBS(基本設計)'!$K$7:$K$456="アプリ移管")*(NOT(ISNUMBER(SEARCH("（不採用）",'WBS(基本設計)'!$N$7:$N$456))))*'WBS(基本設計)'!$H$7:$H$456)</f>
        <v>0</v>
      </c>
      <c r="G44" s="325" t="str">
        <f>IF($D44=0,"—",IF($F44=0,"基盤",IF($E44=0,"アプリ移管","混在")))</f>
        <v>基盤</v>
      </c>
    </row>
    <row r="45" spans="1:26">
      <c r="A45" s="325" t="str">
        <f>IFERROR(VLOOKUP($B45,$Y$3:$Z$42,2,FALSE),"横断")</f>
        <v>管理</v>
      </c>
      <c r="B45" s="325" t="s">
        <v>7835</v>
      </c>
      <c r="C45" s="462" cm="1">
        <f t="array" ref="C45">SUMPRODUCT(('WBS(基本設計)'!$I$7:$I$456=$B45)*(NOT(ISNUMBER(SEARCH("（不採用）",'WBS(基本設計)'!$N$7:$N$456))))*('WBS(基本設計)'!$A$7:$A$456&lt;&gt;""))</f>
        <v>7</v>
      </c>
      <c r="D45" s="462" cm="1">
        <f t="array" ref="D45">SUMPRODUCT(('WBS(基本設計)'!$I$7:$I$456=$B45)*(NOT(ISNUMBER(SEARCH("（不採用）",'WBS(基本設計)'!$N$7:$N$456))))*'WBS(基本設計)'!$H$7:$H$456)</f>
        <v>5</v>
      </c>
      <c r="E45" s="462" cm="1">
        <f t="array" ref="E45">SUMPRODUCT(('WBS(基本設計)'!$I$7:$I$456=$B45)*(LEFT('WBS(基本設計)'!$K$7:$K$456,2)="基盤")*(NOT(ISNUMBER(SEARCH("（不採用）",'WBS(基本設計)'!$N$7:$N$456))))*'WBS(基本設計)'!$H$7:$H$456)</f>
        <v>4.5</v>
      </c>
      <c r="F45" s="462" cm="1">
        <f t="array" ref="F45">SUMPRODUCT(('WBS(基本設計)'!$I$7:$I$456=$B45)*('WBS(基本設計)'!$K$7:$K$456="アプリ移管")*(NOT(ISNUMBER(SEARCH("（不採用）",'WBS(基本設計)'!$N$7:$N$456))))*'WBS(基本設計)'!$H$7:$H$456)</f>
        <v>0</v>
      </c>
      <c r="G45" s="325" t="str">
        <f>IF($D45=0,"—",IF($F45=0,"基盤",IF($E45=0,"アプリ移管","混在")))</f>
        <v>基盤</v>
      </c>
    </row>
    <row r="46" spans="1:26">
      <c r="A46" s="325" t="str">
        <f>IFERROR(VLOOKUP($B46,$Y$3:$Z$42,2,FALSE),"横断")</f>
        <v>認証</v>
      </c>
      <c r="B46" s="325" t="s">
        <v>7815</v>
      </c>
      <c r="C46" s="462" cm="1">
        <f t="array" ref="C46">SUMPRODUCT(('WBS(基本設計)'!$I$7:$I$456=$B46)*(NOT(ISNUMBER(SEARCH("（不採用）",'WBS(基本設計)'!$N$7:$N$456))))*('WBS(基本設計)'!$A$7:$A$456&lt;&gt;""))</f>
        <v>6</v>
      </c>
      <c r="D46" s="462" cm="1">
        <f t="array" ref="D46">SUMPRODUCT(('WBS(基本設計)'!$I$7:$I$456=$B46)*(NOT(ISNUMBER(SEARCH("（不採用）",'WBS(基本設計)'!$N$7:$N$456))))*'WBS(基本設計)'!$H$7:$H$456)</f>
        <v>9.25</v>
      </c>
      <c r="E46" s="462" cm="1">
        <f t="array" ref="E46">SUMPRODUCT(('WBS(基本設計)'!$I$7:$I$456=$B46)*(LEFT('WBS(基本設計)'!$K$7:$K$456,2)="基盤")*(NOT(ISNUMBER(SEARCH("（不採用）",'WBS(基本設計)'!$N$7:$N$456))))*'WBS(基本設計)'!$H$7:$H$456)</f>
        <v>9.25</v>
      </c>
      <c r="F46" s="462" cm="1">
        <f t="array" ref="F46">SUMPRODUCT(('WBS(基本設計)'!$I$7:$I$456=$B46)*('WBS(基本設計)'!$K$7:$K$456="アプリ移管")*(NOT(ISNUMBER(SEARCH("（不採用）",'WBS(基本設計)'!$N$7:$N$456))))*'WBS(基本設計)'!$H$7:$H$456)</f>
        <v>0</v>
      </c>
      <c r="G46" s="325" t="str">
        <f>IF($D46=0,"—",IF($F46=0,"基盤",IF($E46=0,"アプリ移管","混在")))</f>
        <v>基盤</v>
      </c>
    </row>
    <row r="47" spans="1:26">
      <c r="A47" s="325" t="str">
        <f>IFERROR(VLOOKUP($B47,$Y$3:$Z$42,2,FALSE),"横断")</f>
        <v>認可</v>
      </c>
      <c r="B47" s="325" t="s">
        <v>7847</v>
      </c>
      <c r="C47" s="462" cm="1">
        <f t="array" ref="C47">SUMPRODUCT(('WBS(基本設計)'!$I$7:$I$456=$B47)*(NOT(ISNUMBER(SEARCH("（不採用）",'WBS(基本設計)'!$N$7:$N$456))))*('WBS(基本設計)'!$A$7:$A$456&lt;&gt;""))</f>
        <v>5</v>
      </c>
      <c r="D47" s="462" cm="1">
        <f t="array" ref="D47">SUMPRODUCT(('WBS(基本設計)'!$I$7:$I$456=$B47)*(NOT(ISNUMBER(SEARCH("（不採用）",'WBS(基本設計)'!$N$7:$N$456))))*'WBS(基本設計)'!$H$7:$H$456)</f>
        <v>6</v>
      </c>
      <c r="E47" s="462" cm="1">
        <f t="array" ref="E47">SUMPRODUCT(('WBS(基本設計)'!$I$7:$I$456=$B47)*(LEFT('WBS(基本設計)'!$K$7:$K$456,2)="基盤")*(NOT(ISNUMBER(SEARCH("（不採用）",'WBS(基本設計)'!$N$7:$N$456))))*'WBS(基本設計)'!$H$7:$H$456)</f>
        <v>6</v>
      </c>
      <c r="F47" s="462" cm="1">
        <f t="array" ref="F47">SUMPRODUCT(('WBS(基本設計)'!$I$7:$I$456=$B47)*('WBS(基本設計)'!$K$7:$K$456="アプリ移管")*(NOT(ISNUMBER(SEARCH("（不採用）",'WBS(基本設計)'!$N$7:$N$456))))*'WBS(基本設計)'!$H$7:$H$456)</f>
        <v>0</v>
      </c>
      <c r="G47" s="325" t="str">
        <f>IF($D47=0,"—",IF($F47=0,"基盤",IF($E47=0,"アプリ移管","混在")))</f>
        <v>基盤</v>
      </c>
    </row>
    <row r="48" spans="1:26">
      <c r="A48" s="325" t="str">
        <f>IFERROR(VLOOKUP($B48,$Y$3:$Z$42,2,FALSE),"横断")</f>
        <v>認証</v>
      </c>
      <c r="B48" s="325" t="s">
        <v>7820</v>
      </c>
      <c r="C48" s="462" cm="1">
        <f t="array" ref="C48">SUMPRODUCT(('WBS(基本設計)'!$I$7:$I$456=$B48)*(NOT(ISNUMBER(SEARCH("（不採用）",'WBS(基本設計)'!$N$7:$N$456))))*('WBS(基本設計)'!$A$7:$A$456&lt;&gt;""))</f>
        <v>5</v>
      </c>
      <c r="D48" s="462" cm="1">
        <f t="array" ref="D48">SUMPRODUCT(('WBS(基本設計)'!$I$7:$I$456=$B48)*(NOT(ISNUMBER(SEARCH("（不採用）",'WBS(基本設計)'!$N$7:$N$456))))*'WBS(基本設計)'!$H$7:$H$456)</f>
        <v>4.5</v>
      </c>
      <c r="E48" s="462" cm="1">
        <f t="array" ref="E48">SUMPRODUCT(('WBS(基本設計)'!$I$7:$I$456=$B48)*(LEFT('WBS(基本設計)'!$K$7:$K$456,2)="基盤")*(NOT(ISNUMBER(SEARCH("（不採用）",'WBS(基本設計)'!$N$7:$N$456))))*'WBS(基本設計)'!$H$7:$H$456)</f>
        <v>4.5</v>
      </c>
      <c r="F48" s="462" cm="1">
        <f t="array" ref="F48">SUMPRODUCT(('WBS(基本設計)'!$I$7:$I$456=$B48)*('WBS(基本設計)'!$K$7:$K$456="アプリ移管")*(NOT(ISNUMBER(SEARCH("（不採用）",'WBS(基本設計)'!$N$7:$N$456))))*'WBS(基本設計)'!$H$7:$H$456)</f>
        <v>0</v>
      </c>
      <c r="G48" s="325" t="str">
        <f>IF($D48=0,"—",IF($F48=0,"基盤",IF($E48=0,"アプリ移管","混在")))</f>
        <v>基盤</v>
      </c>
    </row>
    <row r="49" spans="1:7">
      <c r="A49" s="325" t="str">
        <f>IFERROR(VLOOKUP($B49,$Y$3:$Z$42,2,FALSE),"横断")</f>
        <v>バッチ</v>
      </c>
      <c r="B49" s="325" t="s">
        <v>7862</v>
      </c>
      <c r="C49" s="462" cm="1">
        <f t="array" ref="C49">SUMPRODUCT(('WBS(基本設計)'!$I$7:$I$456=$B49)*(NOT(ISNUMBER(SEARCH("（不採用）",'WBS(基本設計)'!$N$7:$N$456))))*('WBS(基本設計)'!$A$7:$A$456&lt;&gt;""))</f>
        <v>6</v>
      </c>
      <c r="D49" s="462" cm="1">
        <f t="array" ref="D49">SUMPRODUCT(('WBS(基本設計)'!$I$7:$I$456=$B49)*(NOT(ISNUMBER(SEARCH("（不採用）",'WBS(基本設計)'!$N$7:$N$456))))*'WBS(基本設計)'!$H$7:$H$456)</f>
        <v>6.5</v>
      </c>
      <c r="E49" s="462" cm="1">
        <f t="array" ref="E49">SUMPRODUCT(('WBS(基本設計)'!$I$7:$I$456=$B49)*(LEFT('WBS(基本設計)'!$K$7:$K$456,2)="基盤")*(NOT(ISNUMBER(SEARCH("（不採用）",'WBS(基本設計)'!$N$7:$N$456))))*'WBS(基本設計)'!$H$7:$H$456)</f>
        <v>6.5</v>
      </c>
      <c r="F49" s="462" cm="1">
        <f t="array" ref="F49">SUMPRODUCT(('WBS(基本設計)'!$I$7:$I$456=$B49)*('WBS(基本設計)'!$K$7:$K$456="アプリ移管")*(NOT(ISNUMBER(SEARCH("（不採用）",'WBS(基本設計)'!$N$7:$N$456))))*'WBS(基本設計)'!$H$7:$H$456)</f>
        <v>0</v>
      </c>
      <c r="G49" s="325" t="str">
        <f>IF($D49=0,"—",IF($F49=0,"基盤",IF($E49=0,"アプリ移管","混在")))</f>
        <v>基盤</v>
      </c>
    </row>
    <row r="50" spans="1:7">
      <c r="A50" s="325" t="str">
        <f>IFERROR(VLOOKUP($B50,$Y$3:$Z$42,2,FALSE),"横断")</f>
        <v>プロビジョニング</v>
      </c>
      <c r="B50" s="325" t="s">
        <v>7825</v>
      </c>
      <c r="C50" s="462" cm="1">
        <f t="array" ref="C50">SUMPRODUCT(('WBS(基本設計)'!$I$7:$I$456=$B50)*(NOT(ISNUMBER(SEARCH("（不採用）",'WBS(基本設計)'!$N$7:$N$456))))*('WBS(基本設計)'!$A$7:$A$456&lt;&gt;""))</f>
        <v>2</v>
      </c>
      <c r="D50" s="462" cm="1">
        <f t="array" ref="D50">SUMPRODUCT(('WBS(基本設計)'!$I$7:$I$456=$B50)*(NOT(ISNUMBER(SEARCH("（不採用）",'WBS(基本設計)'!$N$7:$N$456))))*'WBS(基本設計)'!$H$7:$H$456)</f>
        <v>1.25</v>
      </c>
      <c r="E50" s="462" cm="1">
        <f t="array" ref="E50">SUMPRODUCT(('WBS(基本設計)'!$I$7:$I$456=$B50)*(LEFT('WBS(基本設計)'!$K$7:$K$456,2)="基盤")*(NOT(ISNUMBER(SEARCH("（不採用）",'WBS(基本設計)'!$N$7:$N$456))))*'WBS(基本設計)'!$H$7:$H$456)</f>
        <v>1.25</v>
      </c>
      <c r="F50" s="462" cm="1">
        <f t="array" ref="F50">SUMPRODUCT(('WBS(基本設計)'!$I$7:$I$456=$B50)*('WBS(基本設計)'!$K$7:$K$456="アプリ移管")*(NOT(ISNUMBER(SEARCH("（不採用）",'WBS(基本設計)'!$N$7:$N$456))))*'WBS(基本設計)'!$H$7:$H$456)</f>
        <v>0</v>
      </c>
      <c r="G50" s="325" t="str">
        <f>IF($D50=0,"—",IF($F50=0,"基盤",IF($E50=0,"アプリ移管","混在")))</f>
        <v>基盤</v>
      </c>
    </row>
    <row r="51" spans="1:7">
      <c r="A51" s="325" t="str">
        <f>IFERROR(VLOOKUP($B51,$Y$3:$Z$42,2,FALSE),"横断")</f>
        <v>認可</v>
      </c>
      <c r="B51" s="325" t="s">
        <v>7845</v>
      </c>
      <c r="C51" s="462" cm="1">
        <f t="array" ref="C51">SUMPRODUCT(('WBS(基本設計)'!$I$7:$I$456=$B51)*(NOT(ISNUMBER(SEARCH("（不採用）",'WBS(基本設計)'!$N$7:$N$456))))*('WBS(基本設計)'!$A$7:$A$456&lt;&gt;""))</f>
        <v>4</v>
      </c>
      <c r="D51" s="462" cm="1">
        <f t="array" ref="D51">SUMPRODUCT(('WBS(基本設計)'!$I$7:$I$456=$B51)*(NOT(ISNUMBER(SEARCH("（不採用）",'WBS(基本設計)'!$N$7:$N$456))))*'WBS(基本設計)'!$H$7:$H$456)</f>
        <v>6.25</v>
      </c>
      <c r="E51" s="462" cm="1">
        <f t="array" ref="E51">SUMPRODUCT(('WBS(基本設計)'!$I$7:$I$456=$B51)*(LEFT('WBS(基本設計)'!$K$7:$K$456,2)="基盤")*(NOT(ISNUMBER(SEARCH("（不採用）",'WBS(基本設計)'!$N$7:$N$456))))*'WBS(基本設計)'!$H$7:$H$456)</f>
        <v>0</v>
      </c>
      <c r="F51" s="462" cm="1">
        <f t="array" ref="F51">SUMPRODUCT(('WBS(基本設計)'!$I$7:$I$456=$B51)*('WBS(基本設計)'!$K$7:$K$456="アプリ移管")*(NOT(ISNUMBER(SEARCH("（不採用）",'WBS(基本設計)'!$N$7:$N$456))))*'WBS(基本設計)'!$H$7:$H$456)</f>
        <v>6.25</v>
      </c>
      <c r="G51" s="325" t="str">
        <f>IF($D51=0,"—",IF($F51=0,"基盤",IF($E51=0,"アプリ移管","混在")))</f>
        <v>アプリ移管</v>
      </c>
    </row>
    <row r="52" spans="1:7">
      <c r="A52" s="325" t="str">
        <f>IFERROR(VLOOKUP($B52,$Y$3:$Z$42,2,FALSE),"横断")</f>
        <v>バッチ</v>
      </c>
      <c r="B52" s="325" t="s">
        <v>7860</v>
      </c>
      <c r="C52" s="462" cm="1">
        <f t="array" ref="C52">SUMPRODUCT(('WBS(基本設計)'!$I$7:$I$456=$B52)*(NOT(ISNUMBER(SEARCH("（不採用）",'WBS(基本設計)'!$N$7:$N$456))))*('WBS(基本設計)'!$A$7:$A$456&lt;&gt;""))</f>
        <v>4</v>
      </c>
      <c r="D52" s="462" cm="1">
        <f t="array" ref="D52">SUMPRODUCT(('WBS(基本設計)'!$I$7:$I$456=$B52)*(NOT(ISNUMBER(SEARCH("（不採用）",'WBS(基本設計)'!$N$7:$N$456))))*'WBS(基本設計)'!$H$7:$H$456)</f>
        <v>3.25</v>
      </c>
      <c r="E52" s="462" cm="1">
        <f t="array" ref="E52">SUMPRODUCT(('WBS(基本設計)'!$I$7:$I$456=$B52)*(LEFT('WBS(基本設計)'!$K$7:$K$456,2)="基盤")*(NOT(ISNUMBER(SEARCH("（不採用）",'WBS(基本設計)'!$N$7:$N$456))))*'WBS(基本設計)'!$H$7:$H$456)</f>
        <v>3.25</v>
      </c>
      <c r="F52" s="462" cm="1">
        <f t="array" ref="F52">SUMPRODUCT(('WBS(基本設計)'!$I$7:$I$456=$B52)*('WBS(基本設計)'!$K$7:$K$456="アプリ移管")*(NOT(ISNUMBER(SEARCH("（不採用）",'WBS(基本設計)'!$N$7:$N$456))))*'WBS(基本設計)'!$H$7:$H$456)</f>
        <v>0</v>
      </c>
      <c r="G52" s="325" t="str">
        <f>IF($D52=0,"—",IF($F52=0,"基盤",IF($E52=0,"アプリ移管","混在")))</f>
        <v>基盤</v>
      </c>
    </row>
    <row r="53" spans="1:7">
      <c r="A53" s="325" t="str">
        <f>IFERROR(VLOOKUP($B53,$Y$3:$Z$42,2,FALSE),"横断")</f>
        <v>認可</v>
      </c>
      <c r="B53" s="325" t="s">
        <v>7852</v>
      </c>
      <c r="C53" s="462" cm="1">
        <f t="array" ref="C53">SUMPRODUCT(('WBS(基本設計)'!$I$7:$I$456=$B53)*(NOT(ISNUMBER(SEARCH("（不採用）",'WBS(基本設計)'!$N$7:$N$456))))*('WBS(基本設計)'!$A$7:$A$456&lt;&gt;""))</f>
        <v>3</v>
      </c>
      <c r="D53" s="462" cm="1">
        <f t="array" ref="D53">SUMPRODUCT(('WBS(基本設計)'!$I$7:$I$456=$B53)*(NOT(ISNUMBER(SEARCH("（不採用）",'WBS(基本設計)'!$N$7:$N$456))))*'WBS(基本設計)'!$H$7:$H$456)</f>
        <v>4</v>
      </c>
      <c r="E53" s="462" cm="1">
        <f t="array" ref="E53">SUMPRODUCT(('WBS(基本設計)'!$I$7:$I$456=$B53)*(LEFT('WBS(基本設計)'!$K$7:$K$456,2)="基盤")*(NOT(ISNUMBER(SEARCH("（不採用）",'WBS(基本設計)'!$N$7:$N$456))))*'WBS(基本設計)'!$H$7:$H$456)</f>
        <v>4</v>
      </c>
      <c r="F53" s="462" cm="1">
        <f t="array" ref="F53">SUMPRODUCT(('WBS(基本設計)'!$I$7:$I$456=$B53)*('WBS(基本設計)'!$K$7:$K$456="アプリ移管")*(NOT(ISNUMBER(SEARCH("（不採用）",'WBS(基本設計)'!$N$7:$N$456))))*'WBS(基本設計)'!$H$7:$H$456)</f>
        <v>0</v>
      </c>
      <c r="G53" s="325" t="str">
        <f>IF($D53=0,"—",IF($F53=0,"基盤",IF($E53=0,"アプリ移管","混在")))</f>
        <v>基盤</v>
      </c>
    </row>
    <row r="54" spans="1:7">
      <c r="A54" s="325" t="str">
        <f>IFERROR(VLOOKUP($B54,$Y$3:$Z$42,2,FALSE),"横断")</f>
        <v>連携</v>
      </c>
      <c r="B54" s="325" t="s">
        <v>7859</v>
      </c>
      <c r="C54" s="462" cm="1">
        <f t="array" ref="C54">SUMPRODUCT(('WBS(基本設計)'!$I$7:$I$456=$B54)*(NOT(ISNUMBER(SEARCH("（不採用）",'WBS(基本設計)'!$N$7:$N$456))))*('WBS(基本設計)'!$A$7:$A$456&lt;&gt;""))</f>
        <v>1</v>
      </c>
      <c r="D54" s="462" cm="1">
        <f t="array" ref="D54">SUMPRODUCT(('WBS(基本設計)'!$I$7:$I$456=$B54)*(NOT(ISNUMBER(SEARCH("（不採用）",'WBS(基本設計)'!$N$7:$N$456))))*'WBS(基本設計)'!$H$7:$H$456)</f>
        <v>0.5</v>
      </c>
      <c r="E54" s="462" cm="1">
        <f t="array" ref="E54">SUMPRODUCT(('WBS(基本設計)'!$I$7:$I$456=$B54)*(LEFT('WBS(基本設計)'!$K$7:$K$456,2)="基盤")*(NOT(ISNUMBER(SEARCH("（不採用）",'WBS(基本設計)'!$N$7:$N$456))))*'WBS(基本設計)'!$H$7:$H$456)</f>
        <v>0.5</v>
      </c>
      <c r="F54" s="462" cm="1">
        <f t="array" ref="F54">SUMPRODUCT(('WBS(基本設計)'!$I$7:$I$456=$B54)*('WBS(基本設計)'!$K$7:$K$456="アプリ移管")*(NOT(ISNUMBER(SEARCH("（不採用）",'WBS(基本設計)'!$N$7:$N$456))))*'WBS(基本設計)'!$H$7:$H$456)</f>
        <v>0</v>
      </c>
      <c r="G54" s="325" t="str">
        <f>IF($D54=0,"—",IF($F54=0,"基盤",IF($E54=0,"アプリ移管","混在")))</f>
        <v>基盤</v>
      </c>
    </row>
    <row r="55" spans="1:7">
      <c r="A55" s="325" t="str">
        <f>IFERROR(VLOOKUP($B55,$Y$3:$Z$42,2,FALSE),"横断")</f>
        <v>連携</v>
      </c>
      <c r="B55" s="325" t="s">
        <v>7855</v>
      </c>
      <c r="C55" s="462" cm="1">
        <f t="array" ref="C55">SUMPRODUCT(('WBS(基本設計)'!$I$7:$I$456=$B55)*(NOT(ISNUMBER(SEARCH("（不採用）",'WBS(基本設計)'!$N$7:$N$456))))*('WBS(基本設計)'!$A$7:$A$456&lt;&gt;""))</f>
        <v>3</v>
      </c>
      <c r="D55" s="462" cm="1">
        <f t="array" ref="D55">SUMPRODUCT(('WBS(基本設計)'!$I$7:$I$456=$B55)*(NOT(ISNUMBER(SEARCH("（不採用）",'WBS(基本設計)'!$N$7:$N$456))))*'WBS(基本設計)'!$H$7:$H$456)</f>
        <v>4</v>
      </c>
      <c r="E55" s="462" cm="1">
        <f t="array" ref="E55">SUMPRODUCT(('WBS(基本設計)'!$I$7:$I$456=$B55)*(LEFT('WBS(基本設計)'!$K$7:$K$456,2)="基盤")*(NOT(ISNUMBER(SEARCH("（不採用）",'WBS(基本設計)'!$N$7:$N$456))))*'WBS(基本設計)'!$H$7:$H$456)</f>
        <v>3.5</v>
      </c>
      <c r="F55" s="462" cm="1">
        <f t="array" ref="F55">SUMPRODUCT(('WBS(基本設計)'!$I$7:$I$456=$B55)*('WBS(基本設計)'!$K$7:$K$456="アプリ移管")*(NOT(ISNUMBER(SEARCH("（不採用）",'WBS(基本設計)'!$N$7:$N$456))))*'WBS(基本設計)'!$H$7:$H$456)</f>
        <v>0.5</v>
      </c>
      <c r="G55" s="325" t="str">
        <f>IF($D55=0,"—",IF($F55=0,"基盤",IF($E55=0,"アプリ移管","混在")))</f>
        <v>混在</v>
      </c>
    </row>
    <row r="56" spans="1:7">
      <c r="A56" s="325" t="str">
        <f>IFERROR(VLOOKUP($B56,$Y$3:$Z$42,2,FALSE),"横断")</f>
        <v>バッチ</v>
      </c>
      <c r="B56" s="325" t="s">
        <v>7861</v>
      </c>
      <c r="C56" s="462" cm="1">
        <f t="array" ref="C56">SUMPRODUCT(('WBS(基本設計)'!$I$7:$I$456=$B56)*(NOT(ISNUMBER(SEARCH("（不採用）",'WBS(基本設計)'!$N$7:$N$456))))*('WBS(基本設計)'!$A$7:$A$456&lt;&gt;""))</f>
        <v>3</v>
      </c>
      <c r="D56" s="462" cm="1">
        <f t="array" ref="D56">SUMPRODUCT(('WBS(基本設計)'!$I$7:$I$456=$B56)*(NOT(ISNUMBER(SEARCH("（不採用）",'WBS(基本設計)'!$N$7:$N$456))))*'WBS(基本設計)'!$H$7:$H$456)</f>
        <v>3.25</v>
      </c>
      <c r="E56" s="462" cm="1">
        <f t="array" ref="E56">SUMPRODUCT(('WBS(基本設計)'!$I$7:$I$456=$B56)*(LEFT('WBS(基本設計)'!$K$7:$K$456,2)="基盤")*(NOT(ISNUMBER(SEARCH("（不採用）",'WBS(基本設計)'!$N$7:$N$456))))*'WBS(基本設計)'!$H$7:$H$456)</f>
        <v>3.25</v>
      </c>
      <c r="F56" s="462" cm="1">
        <f t="array" ref="F56">SUMPRODUCT(('WBS(基本設計)'!$I$7:$I$456=$B56)*('WBS(基本設計)'!$K$7:$K$456="アプリ移管")*(NOT(ISNUMBER(SEARCH("（不採用）",'WBS(基本設計)'!$N$7:$N$456))))*'WBS(基本設計)'!$H$7:$H$456)</f>
        <v>0</v>
      </c>
      <c r="G56" s="325" t="str">
        <f>IF($D56=0,"—",IF($F56=0,"基盤",IF($E56=0,"アプリ移管","混在")))</f>
        <v>基盤</v>
      </c>
    </row>
    <row r="57" spans="1:7">
      <c r="A57" s="325" t="str">
        <f>IFERROR(VLOOKUP($B57,$Y$3:$Z$42,2,FALSE),"横断")</f>
        <v>バッチ</v>
      </c>
      <c r="B57" s="325" t="s">
        <v>7863</v>
      </c>
      <c r="C57" s="462" cm="1">
        <f t="array" ref="C57">SUMPRODUCT(('WBS(基本設計)'!$I$7:$I$456=$B57)*(NOT(ISNUMBER(SEARCH("（不採用）",'WBS(基本設計)'!$N$7:$N$456))))*('WBS(基本設計)'!$A$7:$A$456&lt;&gt;""))</f>
        <v>2</v>
      </c>
      <c r="D57" s="462" cm="1">
        <f t="array" ref="D57">SUMPRODUCT(('WBS(基本設計)'!$I$7:$I$456=$B57)*(NOT(ISNUMBER(SEARCH("（不採用）",'WBS(基本設計)'!$N$7:$N$456))))*'WBS(基本設計)'!$H$7:$H$456)</f>
        <v>1</v>
      </c>
      <c r="E57" s="462" cm="1">
        <f t="array" ref="E57">SUMPRODUCT(('WBS(基本設計)'!$I$7:$I$456=$B57)*(LEFT('WBS(基本設計)'!$K$7:$K$456,2)="基盤")*(NOT(ISNUMBER(SEARCH("（不採用）",'WBS(基本設計)'!$N$7:$N$456))))*'WBS(基本設計)'!$H$7:$H$456)</f>
        <v>0.5</v>
      </c>
      <c r="F57" s="462" cm="1">
        <f t="array" ref="F57">SUMPRODUCT(('WBS(基本設計)'!$I$7:$I$456=$B57)*('WBS(基本設計)'!$K$7:$K$456="アプリ移管")*(NOT(ISNUMBER(SEARCH("（不採用）",'WBS(基本設計)'!$N$7:$N$456))))*'WBS(基本設計)'!$H$7:$H$456)</f>
        <v>0.5</v>
      </c>
      <c r="G57" s="325" t="str">
        <f>IF($D57=0,"—",IF($F57=0,"基盤",IF($E57=0,"アプリ移管","混在")))</f>
        <v>混在</v>
      </c>
    </row>
    <row r="58" spans="1:7">
      <c r="A58" s="463" t="s">
        <v>7</v>
      </c>
      <c r="B58" s="463"/>
      <c r="C58" s="464">
        <f>SUM(C27:C57)</f>
        <v>264</v>
      </c>
      <c r="D58" s="464">
        <f>SUM(D27:D57)</f>
        <v>350.5</v>
      </c>
      <c r="E58" s="464">
        <f>SUM(E27:E57)</f>
        <v>285.5</v>
      </c>
      <c r="F58" s="464">
        <f>SUM(F27:F57)</f>
        <v>51.5</v>
      </c>
      <c r="G58" s="463" t="str">
        <f>IF($D58=0,"—",IF($F58=0,"基盤",IF($E58=0,"アプリ移管","混在")))</f>
        <v>混在</v>
      </c>
    </row>
    <row r="61" spans="1:7">
      <c r="A61" s="455" t="s">
        <v>8661</v>
      </c>
    </row>
    <row r="62" spans="1:7">
      <c r="A62" s="5" t="s">
        <v>8601</v>
      </c>
      <c r="B62" s="5" t="s">
        <v>8658</v>
      </c>
      <c r="C62" s="5" t="s">
        <v>2528</v>
      </c>
      <c r="D62" s="5" t="s">
        <v>5844</v>
      </c>
    </row>
    <row r="63" spans="1:7">
      <c r="A63" t="s">
        <v>8619</v>
      </c>
      <c r="B63" s="457">
        <f>COUNTIFS('WBS(基本設計)'!$N$7:$N$456,$A63)</f>
        <v>0</v>
      </c>
      <c r="C63" s="457">
        <f>SUMIFS('WBS(基本設計)'!$H$7:$H$456,'WBS(基本設計)'!$N$7:$N$456,$A63)</f>
        <v>0</v>
      </c>
      <c r="D63" t="str">
        <f>IF(ISNUMBER(SEARCH("（不採用）",$A63)),"🔴 対象外",IF(ISNUMBER(SEARCH("（未判断）",$A63)),"未判断",IF(ISNUMBER(SEARCH("（採用）",$A63)),"採用",IF(ISNUMBER(SEARCH("選べない",$A63)),"選べない","—"))))</f>
        <v>—</v>
      </c>
    </row>
    <row r="64" spans="1:7">
      <c r="A64" t="s">
        <v>8622</v>
      </c>
      <c r="B64" s="457">
        <f>COUNTIFS('WBS(基本設計)'!$N$7:$N$456,$A64)</f>
        <v>0</v>
      </c>
      <c r="C64" s="457">
        <f>SUMIFS('WBS(基本設計)'!$H$7:$H$456,'WBS(基本設計)'!$N$7:$N$456,$A64)</f>
        <v>0</v>
      </c>
      <c r="D64" t="str">
        <f>IF(ISNUMBER(SEARCH("（不採用）",$A64)),"🔴 対象外",IF(ISNUMBER(SEARCH("（未判断）",$A64)),"未判断",IF(ISNUMBER(SEARCH("（採用）",$A64)),"採用",IF(ISNUMBER(SEARCH("選べない",$A64)),"選べない","—"))))</f>
        <v>採用</v>
      </c>
    </row>
    <row r="65" spans="1:4">
      <c r="A65" t="s">
        <v>8628</v>
      </c>
      <c r="B65" s="457">
        <f>COUNTIFS('WBS(基本設計)'!$N$7:$N$456,$A65)</f>
        <v>0</v>
      </c>
      <c r="C65" s="457">
        <f>SUMIFS('WBS(基本設計)'!$H$7:$H$456,'WBS(基本設計)'!$N$7:$N$456,$A65)</f>
        <v>0</v>
      </c>
      <c r="D65" t="str">
        <f>IF(ISNUMBER(SEARCH("（不採用）",$A65)),"🔴 対象外",IF(ISNUMBER(SEARCH("（未判断）",$A65)),"未判断",IF(ISNUMBER(SEARCH("（採用）",$A65)),"採用",IF(ISNUMBER(SEARCH("選べない",$A65)),"選べない","—"))))</f>
        <v>🔴 対象外</v>
      </c>
    </row>
    <row r="66" spans="1:4">
      <c r="A66" t="s">
        <v>8624</v>
      </c>
      <c r="B66" s="457">
        <f>COUNTIFS('WBS(基本設計)'!$N$7:$N$456,$A66)</f>
        <v>0</v>
      </c>
      <c r="C66" s="457">
        <f>SUMIFS('WBS(基本設計)'!$H$7:$H$456,'WBS(基本設計)'!$N$7:$N$456,$A66)</f>
        <v>0</v>
      </c>
      <c r="D66" t="str">
        <f>IF(ISNUMBER(SEARCH("（不採用）",$A66)),"🔴 対象外",IF(ISNUMBER(SEARCH("（未判断）",$A66)),"未判断",IF(ISNUMBER(SEARCH("（採用）",$A66)),"採用",IF(ISNUMBER(SEARCH("選べない",$A66)),"選べない","—"))))</f>
        <v>🔴 対象外</v>
      </c>
    </row>
    <row r="67" spans="1:4">
      <c r="A67" t="s">
        <v>8627</v>
      </c>
      <c r="B67" s="457">
        <f>COUNTIFS('WBS(基本設計)'!$N$7:$N$456,$A67)</f>
        <v>0</v>
      </c>
      <c r="C67" s="457">
        <f>SUMIFS('WBS(基本設計)'!$H$7:$H$456,'WBS(基本設計)'!$N$7:$N$456,$A67)</f>
        <v>0</v>
      </c>
      <c r="D67" t="str">
        <f>IF(ISNUMBER(SEARCH("（不採用）",$A67)),"🔴 対象外",IF(ISNUMBER(SEARCH("（未判断）",$A67)),"未判断",IF(ISNUMBER(SEARCH("（採用）",$A67)),"採用",IF(ISNUMBER(SEARCH("選べない",$A67)),"選べない","—"))))</f>
        <v>選べない</v>
      </c>
    </row>
    <row r="68" spans="1:4">
      <c r="A68" t="s">
        <v>8625</v>
      </c>
      <c r="B68" s="457">
        <f>COUNTIFS('WBS(基本設計)'!$N$7:$N$456,$A68)</f>
        <v>0</v>
      </c>
      <c r="C68" s="457">
        <f>SUMIFS('WBS(基本設計)'!$H$7:$H$456,'WBS(基本設計)'!$N$7:$N$456,$A68)</f>
        <v>0</v>
      </c>
      <c r="D68" t="str">
        <f>IF(ISNUMBER(SEARCH("（不採用）",$A68)),"🔴 対象外",IF(ISNUMBER(SEARCH("（未判断）",$A68)),"未判断",IF(ISNUMBER(SEARCH("（採用）",$A68)),"採用",IF(ISNUMBER(SEARCH("選べない",$A68)),"選べない","—"))))</f>
        <v>選べない</v>
      </c>
    </row>
    <row r="69" spans="1:4">
      <c r="A69" t="s">
        <v>8623</v>
      </c>
      <c r="B69" s="457">
        <f>COUNTIFS('WBS(基本設計)'!$N$7:$N$456,$A69)</f>
        <v>0</v>
      </c>
      <c r="C69" s="457">
        <f>SUMIFS('WBS(基本設計)'!$H$7:$H$456,'WBS(基本設計)'!$N$7:$N$456,$A69)</f>
        <v>0</v>
      </c>
      <c r="D69" t="str">
        <f>IF(ISNUMBER(SEARCH("（不採用）",$A69)),"🔴 対象外",IF(ISNUMBER(SEARCH("（未判断）",$A69)),"未判断",IF(ISNUMBER(SEARCH("（採用）",$A69)),"採用",IF(ISNUMBER(SEARCH("選べない",$A69)),"選べない","—"))))</f>
        <v>採用</v>
      </c>
    </row>
    <row r="70" spans="1:4">
      <c r="A70" t="s">
        <v>8626</v>
      </c>
      <c r="B70" s="457">
        <f>COUNTIFS('WBS(基本設計)'!$N$7:$N$456,$A70)</f>
        <v>0</v>
      </c>
      <c r="C70" s="457">
        <f>SUMIFS('WBS(基本設計)'!$H$7:$H$456,'WBS(基本設計)'!$N$7:$N$456,$A70)</f>
        <v>0</v>
      </c>
      <c r="D70" t="str">
        <f>IF(ISNUMBER(SEARCH("（不採用）",$A70)),"🔴 対象外",IF(ISNUMBER(SEARCH("（未判断）",$A70)),"未判断",IF(ISNUMBER(SEARCH("（採用）",$A70)),"採用",IF(ISNUMBER(SEARCH("選べない",$A70)),"選べない","—"))))</f>
        <v>未判断</v>
      </c>
    </row>
    <row r="71" spans="1:4">
      <c r="A71" s="456" t="s">
        <v>7</v>
      </c>
      <c r="B71" s="458">
        <f>SUM(B63:B70)</f>
        <v>0</v>
      </c>
      <c r="C71" s="458">
        <f>SUM(C63:C70)</f>
        <v>0</v>
      </c>
      <c r="D71" t="str">
        <f>IF(ISNUMBER(SEARCH("（不採用）",$A71)),"🔴 対象外",IF(ISNUMBER(SEARCH("（未判断）",$A71)),"未判断",IF(ISNUMBER(SEARCH("（採用）",$A71)),"採用",IF(ISNUMBER(SEARCH("選べない",$A71)),"選べない","—"))))</f>
        <v>—</v>
      </c>
    </row>
    <row r="72" spans="1:4">
      <c r="A72" s="460" t="str" cm="1">
        <f t="array" ref="A72">"★『（不採用）』の "&amp;TEXT(SUMPRODUCT(('WBS(基本設計)'!$N$7:$N$456&lt;&gt;"")*(ISNUMBER(SEARCH("（不採用）",'WBS(基本設計)'!$N$7:$N$456)))*'WBS(基本設計)'!$H$7:$H$456),"0.#")&amp;" 人日が、その構成を後から足す場合に必要な設計工数（①基本設計分）。全工程では 認証製品を 2 つに戻す +141 ／ 災害対策を復活 +120 前後"</f>
        <v>★『（不採用）』の 0. 人日が、その構成を後から足す場合に必要な設計工数（①基本設計分）。全工程では 認証製品を 2 つに戻す +141 ／ 災害対策を復活 +120 前後</v>
      </c>
    </row>
    <row r="74" spans="1:4">
      <c r="A74" s="455" t="s">
        <v>8662</v>
      </c>
    </row>
    <row r="75" spans="1:4">
      <c r="A75" s="5" t="s">
        <v>8290</v>
      </c>
      <c r="B75" s="5" t="s">
        <v>8658</v>
      </c>
      <c r="C75" s="5" t="s">
        <v>2528</v>
      </c>
    </row>
    <row r="76" spans="1:4">
      <c r="A76" t="s">
        <v>8292</v>
      </c>
      <c r="B76" s="457" cm="1">
        <f t="array" ref="B76">SUMPRODUCT(('WBS(基本設計)'!$L$7:$L$456=$A76)*(NOT(ISNUMBER(SEARCH("（不採用）",'WBS(基本設計)'!$N$7:$N$456))))*('WBS(基本設計)'!$A$7:$A$456&lt;&gt;""))</f>
        <v>136</v>
      </c>
      <c r="C76" s="457" cm="1">
        <f t="array" ref="C76">SUMPRODUCT(('WBS(基本設計)'!$L$7:$L$456=$A76)*(NOT(ISNUMBER(SEARCH("（不採用）",'WBS(基本設計)'!$N$7:$N$456))))*'WBS(基本設計)'!$H$7:$H$456)</f>
        <v>222.25</v>
      </c>
    </row>
    <row r="77" spans="1:4">
      <c r="A77" t="s">
        <v>8296</v>
      </c>
      <c r="B77" s="457" cm="1">
        <f t="array" ref="B77">SUMPRODUCT(('WBS(基本設計)'!$L$7:$L$456=$A77)*(NOT(ISNUMBER(SEARCH("（不採用）",'WBS(基本設計)'!$N$7:$N$456))))*('WBS(基本設計)'!$A$7:$A$456&lt;&gt;""))</f>
        <v>44</v>
      </c>
      <c r="C77" s="457" cm="1">
        <f t="array" ref="C77">SUMPRODUCT(('WBS(基本設計)'!$L$7:$L$456=$A77)*(NOT(ISNUMBER(SEARCH("（不採用）",'WBS(基本設計)'!$N$7:$N$456))))*'WBS(基本設計)'!$H$7:$H$456)</f>
        <v>62.25</v>
      </c>
    </row>
    <row r="78" spans="1:4">
      <c r="A78" t="s">
        <v>8294</v>
      </c>
      <c r="B78" s="457" cm="1">
        <f t="array" ref="B78">SUMPRODUCT(('WBS(基本設計)'!$L$7:$L$456=$A78)*(NOT(ISNUMBER(SEARCH("（不採用）",'WBS(基本設計)'!$N$7:$N$456))))*('WBS(基本設計)'!$A$7:$A$456&lt;&gt;""))</f>
        <v>31</v>
      </c>
      <c r="C78" s="457" cm="1">
        <f t="array" ref="C78">SUMPRODUCT(('WBS(基本設計)'!$L$7:$L$456=$A78)*(NOT(ISNUMBER(SEARCH("（不採用）",'WBS(基本設計)'!$N$7:$N$456))))*'WBS(基本設計)'!$H$7:$H$456)</f>
        <v>38.75</v>
      </c>
    </row>
    <row r="79" spans="1:4">
      <c r="A79" t="s">
        <v>8303</v>
      </c>
      <c r="B79" s="457" cm="1">
        <f t="array" ref="B79">SUMPRODUCT(('WBS(基本設計)'!$L$7:$L$456=$A79)*(NOT(ISNUMBER(SEARCH("（不採用）",'WBS(基本設計)'!$N$7:$N$456))))*('WBS(基本設計)'!$A$7:$A$456&lt;&gt;""))</f>
        <v>4</v>
      </c>
      <c r="C79" s="457" cm="1">
        <f t="array" ref="C79">SUMPRODUCT(('WBS(基本設計)'!$L$7:$L$456=$A79)*(NOT(ISNUMBER(SEARCH("（不採用）",'WBS(基本設計)'!$N$7:$N$456))))*'WBS(基本設計)'!$H$7:$H$456)</f>
        <v>7.5</v>
      </c>
    </row>
    <row r="80" spans="1:4">
      <c r="A80" t="s">
        <v>8301</v>
      </c>
      <c r="B80" s="457" cm="1">
        <f t="array" ref="B80">SUMPRODUCT(('WBS(基本設計)'!$L$7:$L$456=$A80)*(NOT(ISNUMBER(SEARCH("（不採用）",'WBS(基本設計)'!$N$7:$N$456))))*('WBS(基本設計)'!$A$7:$A$456&lt;&gt;""))</f>
        <v>0</v>
      </c>
      <c r="C80" s="457" cm="1">
        <f t="array" ref="C80">SUMPRODUCT(('WBS(基本設計)'!$L$7:$L$456=$A80)*(NOT(ISNUMBER(SEARCH("（不採用）",'WBS(基本設計)'!$N$7:$N$456))))*'WBS(基本設計)'!$H$7:$H$456)</f>
        <v>0</v>
      </c>
    </row>
    <row r="81" spans="1:3">
      <c r="A81" t="s">
        <v>8302</v>
      </c>
      <c r="B81" s="457" cm="1">
        <f t="array" ref="B81">SUMPRODUCT(('WBS(基本設計)'!$L$7:$L$456=$A81)*(NOT(ISNUMBER(SEARCH("（不採用）",'WBS(基本設計)'!$N$7:$N$456))))*('WBS(基本設計)'!$A$7:$A$456&lt;&gt;""))</f>
        <v>11</v>
      </c>
      <c r="C81" s="457" cm="1">
        <f t="array" ref="C81">SUMPRODUCT(('WBS(基本設計)'!$L$7:$L$456=$A81)*(NOT(ISNUMBER(SEARCH("（不採用）",'WBS(基本設計)'!$N$7:$N$456))))*'WBS(基本設計)'!$H$7:$H$456)</f>
        <v>33</v>
      </c>
    </row>
    <row r="82" spans="1:3">
      <c r="A82" t="s">
        <v>8305</v>
      </c>
      <c r="B82" s="457" cm="1">
        <f t="array" ref="B82">SUMPRODUCT(('WBS(基本設計)'!$L$7:$L$456=$A82)*(NOT(ISNUMBER(SEARCH("（不採用）",'WBS(基本設計)'!$N$7:$N$456))))*('WBS(基本設計)'!$A$7:$A$456&lt;&gt;""))</f>
        <v>14</v>
      </c>
      <c r="C82" s="457" cm="1">
        <f t="array" ref="C82">SUMPRODUCT(('WBS(基本設計)'!$L$7:$L$456=$A82)*(NOT(ISNUMBER(SEARCH("（不採用）",'WBS(基本設計)'!$N$7:$N$456))))*'WBS(基本設計)'!$H$7:$H$456)</f>
        <v>26</v>
      </c>
    </row>
    <row r="83" spans="1:3">
      <c r="A83" t="s">
        <v>8300</v>
      </c>
      <c r="B83" s="457" cm="1">
        <f t="array" ref="B83">SUMPRODUCT(('WBS(基本設計)'!$L$7:$L$456=$A83)*(NOT(ISNUMBER(SEARCH("（不採用）",'WBS(基本設計)'!$N$7:$N$456))))*('WBS(基本設計)'!$A$7:$A$456&lt;&gt;""))</f>
        <v>32</v>
      </c>
      <c r="C83" s="457" cm="1">
        <f t="array" ref="C83">SUMPRODUCT(('WBS(基本設計)'!$L$7:$L$456=$A83)*(NOT(ISNUMBER(SEARCH("（不採用）",'WBS(基本設計)'!$N$7:$N$456))))*'WBS(基本設計)'!$H$7:$H$456)</f>
        <v>39</v>
      </c>
    </row>
    <row r="84" spans="1:3">
      <c r="A84" t="s">
        <v>8298</v>
      </c>
      <c r="B84" s="457" cm="1">
        <f t="array" ref="B84">SUMPRODUCT(('WBS(基本設計)'!$L$7:$L$456=$A84)*(NOT(ISNUMBER(SEARCH("（不採用）",'WBS(基本設計)'!$N$7:$N$456))))*('WBS(基本設計)'!$A$7:$A$456&lt;&gt;""))</f>
        <v>6</v>
      </c>
      <c r="C84" s="457" cm="1">
        <f t="array" ref="C84">SUMPRODUCT(('WBS(基本設計)'!$L$7:$L$456=$A84)*(NOT(ISNUMBER(SEARCH("（不採用）",'WBS(基本設計)'!$N$7:$N$456))))*'WBS(基本設計)'!$H$7:$H$456)</f>
        <v>9</v>
      </c>
    </row>
    <row r="85" spans="1:3">
      <c r="A85" t="s">
        <v>8299</v>
      </c>
      <c r="B85" s="457" cm="1">
        <f t="array" ref="B85">SUMPRODUCT(('WBS(基本設計)'!$L$7:$L$456=$A85)*(NOT(ISNUMBER(SEARCH("（不採用）",'WBS(基本設計)'!$N$7:$N$456))))*('WBS(基本設計)'!$A$7:$A$456&lt;&gt;""))</f>
        <v>20</v>
      </c>
      <c r="C85" s="457" cm="1">
        <f t="array" ref="C85">SUMPRODUCT(('WBS(基本設計)'!$L$7:$L$456=$A85)*(NOT(ISNUMBER(SEARCH("（不採用）",'WBS(基本設計)'!$N$7:$N$456))))*'WBS(基本設計)'!$H$7:$H$456)</f>
        <v>41.5</v>
      </c>
    </row>
    <row r="86" spans="1:3">
      <c r="A86" t="s">
        <v>8297</v>
      </c>
      <c r="B86" s="457" cm="1">
        <f t="array" ref="B86">SUMPRODUCT(('WBS(基本設計)'!$L$7:$L$456=$A86)*(NOT(ISNUMBER(SEARCH("（不採用）",'WBS(基本設計)'!$N$7:$N$456))))*('WBS(基本設計)'!$A$7:$A$456&lt;&gt;""))</f>
        <v>2</v>
      </c>
      <c r="C86" s="457" cm="1">
        <f t="array" ref="C86">SUMPRODUCT(('WBS(基本設計)'!$L$7:$L$456=$A86)*(NOT(ISNUMBER(SEARCH("（不採用）",'WBS(基本設計)'!$N$7:$N$456))))*'WBS(基本設計)'!$H$7:$H$456)</f>
        <v>1.5</v>
      </c>
    </row>
    <row r="87" spans="1:3">
      <c r="A87" t="s">
        <v>8293</v>
      </c>
      <c r="B87" s="457" cm="1">
        <f t="array" ref="B87">SUMPRODUCT(('WBS(基本設計)'!$L$7:$L$456=$A87)*(NOT(ISNUMBER(SEARCH("（不採用）",'WBS(基本設計)'!$N$7:$N$456))))*('WBS(基本設計)'!$A$7:$A$456&lt;&gt;""))</f>
        <v>25</v>
      </c>
      <c r="C87" s="457" cm="1">
        <f t="array" ref="C87">SUMPRODUCT(('WBS(基本設計)'!$L$7:$L$456=$A87)*(NOT(ISNUMBER(SEARCH("（不採用）",'WBS(基本設計)'!$N$7:$N$456))))*'WBS(基本設計)'!$H$7:$H$456)</f>
        <v>36.75</v>
      </c>
    </row>
    <row r="88" spans="1:3">
      <c r="A88" t="s">
        <v>8295</v>
      </c>
      <c r="B88" s="457" cm="1">
        <f t="array" ref="B88">SUMPRODUCT(('WBS(基本設計)'!$L$7:$L$456=$A88)*(NOT(ISNUMBER(SEARCH("（不採用）",'WBS(基本設計)'!$N$7:$N$456))))*('WBS(基本設計)'!$A$7:$A$456&lt;&gt;""))</f>
        <v>29</v>
      </c>
      <c r="C88" s="457" cm="1">
        <f t="array" ref="C88">SUMPRODUCT(('WBS(基本設計)'!$L$7:$L$456=$A88)*(NOT(ISNUMBER(SEARCH("（不採用）",'WBS(基本設計)'!$N$7:$N$456))))*'WBS(基本設計)'!$H$7:$H$456)</f>
        <v>37.5</v>
      </c>
    </row>
    <row r="89" spans="1:3">
      <c r="A89" t="s">
        <v>8304</v>
      </c>
      <c r="B89" s="457" cm="1">
        <f t="array" ref="B89">SUMPRODUCT(('WBS(基本設計)'!$L$7:$L$456=$A89)*(NOT(ISNUMBER(SEARCH("（不採用）",'WBS(基本設計)'!$N$7:$N$456))))*('WBS(基本設計)'!$A$7:$A$456&lt;&gt;""))</f>
        <v>39</v>
      </c>
      <c r="C89" s="457" cm="1">
        <f t="array" ref="C89">SUMPRODUCT(('WBS(基本設計)'!$L$7:$L$456=$A89)*(NOT(ISNUMBER(SEARCH("（不採用）",'WBS(基本設計)'!$N$7:$N$456))))*'WBS(基本設計)'!$H$7:$H$456)</f>
        <v>81</v>
      </c>
    </row>
    <row r="90" spans="1:3">
      <c r="A90" t="s">
        <v>8307</v>
      </c>
      <c r="B90" s="457" cm="1">
        <f t="array" ref="B90">SUMPRODUCT(('WBS(基本設計)'!$L$7:$L$456=$A90)*(NOT(ISNUMBER(SEARCH("（不採用）",'WBS(基本設計)'!$N$7:$N$456))))*('WBS(基本設計)'!$A$7:$A$456&lt;&gt;""))</f>
        <v>32</v>
      </c>
      <c r="C90" s="457" cm="1">
        <f t="array" ref="C90">SUMPRODUCT(('WBS(基本設計)'!$L$7:$L$456=$A90)*(NOT(ISNUMBER(SEARCH("（不採用）",'WBS(基本設計)'!$N$7:$N$456))))*'WBS(基本設計)'!$H$7:$H$456)</f>
        <v>69.5</v>
      </c>
    </row>
    <row r="91" spans="1:3">
      <c r="A91" t="s">
        <v>8306</v>
      </c>
      <c r="B91" s="457" cm="1">
        <f t="array" ref="B91">SUMPRODUCT(('WBS(基本設計)'!$L$7:$L$456=$A91)*(NOT(ISNUMBER(SEARCH("（不採用）",'WBS(基本設計)'!$N$7:$N$456))))*('WBS(基本設計)'!$A$7:$A$456&lt;&gt;""))</f>
        <v>8</v>
      </c>
      <c r="C91" s="457" cm="1">
        <f t="array" ref="C91">SUMPRODUCT(('WBS(基本設計)'!$L$7:$L$456=$A91)*(NOT(ISNUMBER(SEARCH("（不採用）",'WBS(基本設計)'!$N$7:$N$456))))*'WBS(基本設計)'!$H$7:$H$456)</f>
        <v>22</v>
      </c>
    </row>
    <row r="92" spans="1:3">
      <c r="A92" s="456" t="s">
        <v>8612</v>
      </c>
      <c r="B92" s="458" cm="1">
        <f t="array" ref="B92">SUMPRODUCT(('WBS(基本設計)'!$L$7:$L$456=$A92)*(NOT(ISNUMBER(SEARCH("（不採用）",'WBS(基本設計)'!$N$7:$N$456))))*('WBS(基本設計)'!$A$7:$A$456&lt;&gt;""))</f>
        <v>17</v>
      </c>
      <c r="C92" s="458" cm="1">
        <f t="array" ref="C92">SUMPRODUCT(('WBS(基本設計)'!$L$7:$L$456=$A92)*(NOT(ISNUMBER(SEARCH("（不採用）",'WBS(基本設計)'!$N$7:$N$456))))*'WBS(基本設計)'!$H$7:$H$456)</f>
        <v>26.5</v>
      </c>
    </row>
    <row r="93" spans="1:3">
      <c r="A93" t="s">
        <v>7</v>
      </c>
      <c r="B93">
        <f>SUM(B76:B92)</f>
        <v>450</v>
      </c>
      <c r="C93">
        <f>SUM(C76:C92)</f>
        <v>754</v>
      </c>
    </row>
  </sheetData>
  <phoneticPr fontId="3"/>
  <conditionalFormatting sqref="A63:D70">
    <cfRule type="expression" dxfId="21" priority="1">
      <formula>ISNUMBER(SEARCH("（不採用）",$A63))</formula>
    </cfRule>
  </conditionalFormatting>
  <conditionalFormatting sqref="A63:D70">
    <cfRule type="expression" dxfId="20" priority="2">
      <formula>ISNUMBER(SEARCH("（未判断）",$A63))</formula>
    </cfRule>
  </conditionalFormatting>
  <conditionalFormatting sqref="A27:G57">
    <cfRule type="expression" dxfId="19" priority="3">
      <formula>$G27="アプリ移管"</formula>
    </cfRule>
  </conditionalFormatting>
  <conditionalFormatting sqref="A27:G57">
    <cfRule type="expression" dxfId="18" priority="4">
      <formula>$G27="混在"</formula>
    </cfRule>
  </conditionalFormatting>
  <conditionalFormatting sqref="A76:C91">
    <cfRule type="expression" dxfId="17" priority="5">
      <formula>$A76="利用者が 1 箇所になり不要"</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21</vt:i4>
      </vt:variant>
      <vt:variant>
        <vt:lpstr>名前付き一覧</vt:lpstr>
      </vt:variant>
      <vt:variant>
        <vt:i4>6</vt:i4>
      </vt:variant>
    </vt:vector>
  </HeadingPairs>
  <TitlesOfParts>
    <vt:vector size="27"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分岐プール</vt:lpstr>
      <vt:lpstr>機能一覧</vt:lpstr>
      <vt:lpstr>問い合わせQA</vt:lpstr>
      <vt:lpstr>サマリ(機能・担当)</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2026-09-02T17:45:40Z</dcterms:modified>
</cp:coreProperties>
</file>