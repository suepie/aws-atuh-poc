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4AF9F1B-95E9-6545-A7CB-804813093C1F}" xr6:coauthVersionLast="47" xr6:coauthVersionMax="47" xr10:uidLastSave="{00000000-0000-0000-0000-000000000000}"/>
  <bookViews>
    <workbookView xWindow="0" yWindow="780" windowWidth="34200" windowHeight="21460" firstSheet="1" activeTab="4" xr2:uid="{B021B529-7D79-6D49-8055-5FE1DF3A55F9}"/>
  </bookViews>
  <sheets>
    <sheet name="コスト見積もり" sheetId="12" r:id="rId1"/>
    <sheet name="設計決定一覧" sheetId="3" r:id="rId2"/>
    <sheet name="ADR一覧" sheetId="6" r:id="rId3"/>
    <sheet name="要件マッピング" sheetId="36" r:id="rId4"/>
    <sheet name="提供API一覧" sheetId="38" r:id="rId5"/>
    <sheet name="要件・機能対応表" sheetId="37" r:id="rId6"/>
    <sheet name="WBS(基本設計)" sheetId="9" r:id="rId7"/>
    <sheet name="WBS(詳細設計_製造)" sheetId="8" r:id="rId8"/>
    <sheet name="WBS(テスト)" sheetId="10" r:id="rId9"/>
    <sheet name="運用（定常）" sheetId="34" r:id="rId10"/>
    <sheet name="機能グループ一覧" sheetId="31" r:id="rId11"/>
    <sheet name="機能名一覧" sheetId="32" r:id="rId12"/>
    <sheet name="サマリ(工程別)" sheetId="33" r:id="rId13"/>
  </sheets>
  <definedNames>
    <definedName name="_xlnm._FilterDatabase" localSheetId="2" hidden="1">ADR一覧!$A$5:$E$72</definedName>
    <definedName name="_xlnm._FilterDatabase" localSheetId="8" hidden="1">'WBS(テスト)'!$A$1:$N$56</definedName>
    <definedName name="_xlnm._FilterDatabase" localSheetId="6" hidden="1">'WBS(基本設計)'!$A$1:$S$111</definedName>
    <definedName name="_xlnm._FilterDatabase" localSheetId="7" hidden="1">'WBS(詳細設計_製造)'!$A$1:$I$182</definedName>
    <definedName name="_xlnm._FilterDatabase" localSheetId="0" hidden="1">コスト見積もり!$A$24:$M$59</definedName>
    <definedName name="_xlnm._FilterDatabase" localSheetId="12" hidden="1">'サマリ(工程別)'!$A$1:$H$84</definedName>
    <definedName name="_xlnm._FilterDatabase" localSheetId="11" hidden="1">機能名一覧!$A$1:$J$141</definedName>
    <definedName name="_xlnm._FilterDatabase" localSheetId="1" hidden="1">設計決定一覧!$A$4:$E$189</definedName>
    <definedName name="_xlnm._FilterDatabase" localSheetId="3" hidden="1">要件マッピング!$A$1:$O$210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0" i="38" l="1" a="1"/>
  <c r="N30" i="38" s="1"/>
  <c r="M30" i="38" a="1"/>
  <c r="M30" i="38" s="1"/>
  <c r="L30" i="38" a="1"/>
  <c r="L30" i="38" s="1"/>
  <c r="N10" i="38" a="1"/>
  <c r="N10" i="38" s="1"/>
  <c r="M10" i="38" a="1"/>
  <c r="M10" i="38" s="1"/>
  <c r="L10" i="38" a="1"/>
  <c r="L10" i="38" s="1"/>
  <c r="M2" i="38"/>
  <c r="M6" i="38" s="1"/>
  <c r="M3" i="38"/>
  <c r="M4" i="38"/>
  <c r="M5" i="38"/>
  <c r="H84" i="33"/>
  <c r="F84" i="33"/>
  <c r="E84" i="33"/>
  <c r="D84" i="33"/>
  <c r="C84" i="33"/>
  <c r="H83" i="33"/>
  <c r="F83" i="33"/>
  <c r="E83" i="33"/>
  <c r="D83" i="33"/>
  <c r="C83" i="33"/>
  <c r="H82" i="33"/>
  <c r="F82" i="33"/>
  <c r="E82" i="33"/>
  <c r="D82" i="33"/>
  <c r="C82" i="33"/>
  <c r="H81" i="33"/>
  <c r="F81" i="33"/>
  <c r="E81" i="33"/>
  <c r="D81" i="33"/>
  <c r="C81" i="33"/>
  <c r="H80" i="33"/>
  <c r="F80" i="33"/>
  <c r="E80" i="33"/>
  <c r="D80" i="33"/>
  <c r="C80" i="33"/>
  <c r="H79" i="33"/>
  <c r="F79" i="33"/>
  <c r="E79" i="33"/>
  <c r="D79" i="33"/>
  <c r="C79" i="33"/>
  <c r="H78" i="33"/>
  <c r="F78" i="33"/>
  <c r="E78" i="33"/>
  <c r="D78" i="33"/>
  <c r="C78" i="33"/>
  <c r="H77" i="33"/>
  <c r="F77" i="33"/>
  <c r="E77" i="33"/>
  <c r="D77" i="33"/>
  <c r="C77" i="33"/>
  <c r="H76" i="33"/>
  <c r="F76" i="33"/>
  <c r="E76" i="33"/>
  <c r="D76" i="33"/>
  <c r="C76" i="33"/>
  <c r="H75" i="33"/>
  <c r="F75" i="33"/>
  <c r="E75" i="33"/>
  <c r="D75" i="33"/>
  <c r="C75" i="33"/>
  <c r="G75" i="33" s="1"/>
  <c r="H74" i="33"/>
  <c r="F74" i="33"/>
  <c r="E74" i="33"/>
  <c r="D74" i="33"/>
  <c r="C74" i="33"/>
  <c r="H73" i="33"/>
  <c r="F73" i="33"/>
  <c r="E73" i="33"/>
  <c r="D73" i="33"/>
  <c r="C73" i="33"/>
  <c r="H72" i="33"/>
  <c r="F72" i="33"/>
  <c r="E72" i="33"/>
  <c r="D72" i="33"/>
  <c r="C72" i="33"/>
  <c r="H71" i="33"/>
  <c r="F71" i="33"/>
  <c r="E71" i="33"/>
  <c r="D71" i="33"/>
  <c r="C71" i="33"/>
  <c r="H70" i="33"/>
  <c r="F70" i="33"/>
  <c r="E70" i="33"/>
  <c r="D70" i="33"/>
  <c r="C70" i="33"/>
  <c r="H69" i="33"/>
  <c r="F69" i="33"/>
  <c r="E69" i="33"/>
  <c r="D69" i="33"/>
  <c r="C69" i="33"/>
  <c r="H68" i="33"/>
  <c r="F68" i="33"/>
  <c r="E68" i="33"/>
  <c r="D68" i="33"/>
  <c r="C68" i="33"/>
  <c r="H67" i="33"/>
  <c r="F67" i="33"/>
  <c r="E67" i="33"/>
  <c r="D67" i="33"/>
  <c r="C67" i="33"/>
  <c r="H66" i="33"/>
  <c r="F66" i="33"/>
  <c r="E66" i="33"/>
  <c r="D66" i="33"/>
  <c r="C66" i="33"/>
  <c r="H65" i="33"/>
  <c r="F65" i="33"/>
  <c r="E65" i="33"/>
  <c r="D65" i="33"/>
  <c r="C65" i="33"/>
  <c r="H64" i="33"/>
  <c r="F64" i="33"/>
  <c r="E64" i="33"/>
  <c r="D64" i="33"/>
  <c r="C64" i="33"/>
  <c r="H63" i="33"/>
  <c r="F63" i="33"/>
  <c r="E63" i="33"/>
  <c r="D63" i="33"/>
  <c r="C63" i="33"/>
  <c r="H62" i="33"/>
  <c r="F62" i="33"/>
  <c r="E62" i="33"/>
  <c r="D62" i="33"/>
  <c r="C62" i="33"/>
  <c r="H61" i="33"/>
  <c r="F61" i="33"/>
  <c r="E61" i="33"/>
  <c r="D61" i="33"/>
  <c r="C61" i="33"/>
  <c r="H60" i="33"/>
  <c r="F60" i="33"/>
  <c r="E60" i="33"/>
  <c r="D60" i="33"/>
  <c r="C60" i="33"/>
  <c r="H59" i="33"/>
  <c r="F59" i="33"/>
  <c r="E59" i="33"/>
  <c r="D59" i="33"/>
  <c r="C59" i="33"/>
  <c r="H58" i="33"/>
  <c r="F58" i="33"/>
  <c r="E58" i="33"/>
  <c r="D58" i="33"/>
  <c r="C58" i="33"/>
  <c r="H57" i="33"/>
  <c r="F57" i="33"/>
  <c r="E57" i="33"/>
  <c r="D57" i="33"/>
  <c r="C57" i="33"/>
  <c r="H56" i="33"/>
  <c r="F56" i="33"/>
  <c r="E56" i="33"/>
  <c r="D56" i="33"/>
  <c r="C56" i="33"/>
  <c r="H55" i="33"/>
  <c r="F55" i="33"/>
  <c r="E55" i="33"/>
  <c r="D55" i="33"/>
  <c r="C55" i="33"/>
  <c r="H54" i="33"/>
  <c r="F54" i="33"/>
  <c r="E54" i="33"/>
  <c r="D54" i="33"/>
  <c r="C54" i="33"/>
  <c r="H53" i="33"/>
  <c r="F53" i="33"/>
  <c r="G53" i="33" s="1"/>
  <c r="E53" i="33"/>
  <c r="D53" i="33"/>
  <c r="C53" i="33"/>
  <c r="H52" i="33"/>
  <c r="F52" i="33"/>
  <c r="E52" i="33"/>
  <c r="D52" i="33"/>
  <c r="C52" i="33"/>
  <c r="H51" i="33"/>
  <c r="F51" i="33"/>
  <c r="E51" i="33"/>
  <c r="D51" i="33"/>
  <c r="C51" i="33"/>
  <c r="H50" i="33"/>
  <c r="F50" i="33"/>
  <c r="E50" i="33"/>
  <c r="D50" i="33"/>
  <c r="C50" i="33"/>
  <c r="H49" i="33"/>
  <c r="F49" i="33"/>
  <c r="E49" i="33"/>
  <c r="D49" i="33"/>
  <c r="C49" i="33"/>
  <c r="H48" i="33"/>
  <c r="F48" i="33"/>
  <c r="E48" i="33"/>
  <c r="D48" i="33"/>
  <c r="C48" i="33"/>
  <c r="G48" i="33" s="1"/>
  <c r="H47" i="33"/>
  <c r="F47" i="33"/>
  <c r="E47" i="33"/>
  <c r="D47" i="33"/>
  <c r="C47" i="33"/>
  <c r="H46" i="33"/>
  <c r="F46" i="33"/>
  <c r="E46" i="33"/>
  <c r="D46" i="33"/>
  <c r="C46" i="33"/>
  <c r="H45" i="33"/>
  <c r="F45" i="33"/>
  <c r="E45" i="33"/>
  <c r="D45" i="33"/>
  <c r="C45" i="33"/>
  <c r="H44" i="33"/>
  <c r="F44" i="33"/>
  <c r="E44" i="33"/>
  <c r="D44" i="33"/>
  <c r="C44" i="33"/>
  <c r="H43" i="33"/>
  <c r="F43" i="33"/>
  <c r="E43" i="33"/>
  <c r="D43" i="33"/>
  <c r="C43" i="33"/>
  <c r="H42" i="33"/>
  <c r="F42" i="33"/>
  <c r="E42" i="33"/>
  <c r="D42" i="33"/>
  <c r="C42" i="33"/>
  <c r="H41" i="33"/>
  <c r="F41" i="33"/>
  <c r="E41" i="33"/>
  <c r="D41" i="33"/>
  <c r="C41" i="33"/>
  <c r="H40" i="33"/>
  <c r="F40" i="33"/>
  <c r="E40" i="33"/>
  <c r="D40" i="33"/>
  <c r="C40" i="33"/>
  <c r="G40" i="33" s="1"/>
  <c r="H39" i="33"/>
  <c r="F39" i="33"/>
  <c r="E39" i="33"/>
  <c r="D39" i="33"/>
  <c r="C39" i="33"/>
  <c r="H38" i="33"/>
  <c r="F38" i="33"/>
  <c r="E38" i="33"/>
  <c r="D38" i="33"/>
  <c r="C38" i="33"/>
  <c r="G38" i="33" s="1"/>
  <c r="H37" i="33"/>
  <c r="F37" i="33"/>
  <c r="E37" i="33"/>
  <c r="D37" i="33"/>
  <c r="C37" i="33"/>
  <c r="H36" i="33"/>
  <c r="F36" i="33"/>
  <c r="E36" i="33"/>
  <c r="D36" i="33"/>
  <c r="C36" i="33"/>
  <c r="H35" i="33"/>
  <c r="F35" i="33"/>
  <c r="E35" i="33"/>
  <c r="D35" i="33"/>
  <c r="C35" i="33"/>
  <c r="H34" i="33"/>
  <c r="F34" i="33"/>
  <c r="E34" i="33"/>
  <c r="D34" i="33"/>
  <c r="C34" i="33"/>
  <c r="H33" i="33"/>
  <c r="F33" i="33"/>
  <c r="E33" i="33"/>
  <c r="D33" i="33"/>
  <c r="C33" i="33"/>
  <c r="H32" i="33"/>
  <c r="F32" i="33"/>
  <c r="E32" i="33"/>
  <c r="D32" i="33"/>
  <c r="C32" i="33"/>
  <c r="H31" i="33"/>
  <c r="F31" i="33"/>
  <c r="E31" i="33"/>
  <c r="D31" i="33"/>
  <c r="C31" i="33"/>
  <c r="H30" i="33"/>
  <c r="F30" i="33"/>
  <c r="E30" i="33"/>
  <c r="D30" i="33"/>
  <c r="C30" i="33"/>
  <c r="H29" i="33"/>
  <c r="F29" i="33"/>
  <c r="E29" i="33"/>
  <c r="D29" i="33"/>
  <c r="C29" i="33"/>
  <c r="H28" i="33"/>
  <c r="F28" i="33"/>
  <c r="E28" i="33"/>
  <c r="D28" i="33"/>
  <c r="C28" i="33"/>
  <c r="H27" i="33"/>
  <c r="F27" i="33"/>
  <c r="E27" i="33"/>
  <c r="D27" i="33"/>
  <c r="C27" i="33"/>
  <c r="H26" i="33"/>
  <c r="F26" i="33"/>
  <c r="E26" i="33"/>
  <c r="D26" i="33"/>
  <c r="C26" i="33"/>
  <c r="H25" i="33"/>
  <c r="F25" i="33"/>
  <c r="E25" i="33"/>
  <c r="D25" i="33"/>
  <c r="C25" i="33"/>
  <c r="H24" i="33"/>
  <c r="F24" i="33"/>
  <c r="E24" i="33"/>
  <c r="D24" i="33"/>
  <c r="C24" i="33"/>
  <c r="H23" i="33"/>
  <c r="F23" i="33"/>
  <c r="E23" i="33"/>
  <c r="D23" i="33"/>
  <c r="C23" i="33"/>
  <c r="H22" i="33"/>
  <c r="F22" i="33"/>
  <c r="E22" i="33"/>
  <c r="D22" i="33"/>
  <c r="C22" i="33"/>
  <c r="H21" i="33"/>
  <c r="F21" i="33"/>
  <c r="E21" i="33"/>
  <c r="D21" i="33"/>
  <c r="C21" i="33"/>
  <c r="G21" i="33" s="1"/>
  <c r="H20" i="33"/>
  <c r="F20" i="33"/>
  <c r="E20" i="33"/>
  <c r="D20" i="33"/>
  <c r="C20" i="33"/>
  <c r="H19" i="33"/>
  <c r="F19" i="33"/>
  <c r="E19" i="33"/>
  <c r="D19" i="33"/>
  <c r="C19" i="33"/>
  <c r="H18" i="33"/>
  <c r="F18" i="33"/>
  <c r="E18" i="33"/>
  <c r="D18" i="33"/>
  <c r="C18" i="33"/>
  <c r="H17" i="33"/>
  <c r="F17" i="33"/>
  <c r="E17" i="33"/>
  <c r="D17" i="33"/>
  <c r="C17" i="33"/>
  <c r="H16" i="33"/>
  <c r="F16" i="33"/>
  <c r="E16" i="33"/>
  <c r="D16" i="33"/>
  <c r="C16" i="33"/>
  <c r="H15" i="33"/>
  <c r="F15" i="33"/>
  <c r="E15" i="33"/>
  <c r="D15" i="33"/>
  <c r="C15" i="33"/>
  <c r="H14" i="33"/>
  <c r="F14" i="33"/>
  <c r="E14" i="33"/>
  <c r="D14" i="33"/>
  <c r="C14" i="33"/>
  <c r="H13" i="33"/>
  <c r="F13" i="33"/>
  <c r="E13" i="33"/>
  <c r="D13" i="33"/>
  <c r="C13" i="33"/>
  <c r="H12" i="33"/>
  <c r="F12" i="33"/>
  <c r="E12" i="33"/>
  <c r="D12" i="33"/>
  <c r="C12" i="33"/>
  <c r="H11" i="33"/>
  <c r="F11" i="33"/>
  <c r="E11" i="33"/>
  <c r="D11" i="33"/>
  <c r="C11" i="33"/>
  <c r="H10" i="33"/>
  <c r="F10" i="33"/>
  <c r="E10" i="33"/>
  <c r="D10" i="33"/>
  <c r="C10" i="33"/>
  <c r="H9" i="33"/>
  <c r="F9" i="33"/>
  <c r="E9" i="33"/>
  <c r="D9" i="33"/>
  <c r="C9" i="33"/>
  <c r="H8" i="33"/>
  <c r="F8" i="33"/>
  <c r="E8" i="33"/>
  <c r="D8" i="33"/>
  <c r="C8" i="33"/>
  <c r="H7" i="33"/>
  <c r="F7" i="33"/>
  <c r="E7" i="33"/>
  <c r="D7" i="33"/>
  <c r="C7" i="33"/>
  <c r="H6" i="33"/>
  <c r="F6" i="33"/>
  <c r="E6" i="33"/>
  <c r="D6" i="33"/>
  <c r="C6" i="33"/>
  <c r="G6" i="33" s="1"/>
  <c r="H5" i="33"/>
  <c r="F5" i="33"/>
  <c r="E5" i="33"/>
  <c r="D5" i="33"/>
  <c r="C5" i="33"/>
  <c r="H4" i="33"/>
  <c r="F4" i="33"/>
  <c r="E4" i="33"/>
  <c r="D4" i="33"/>
  <c r="C4" i="33"/>
  <c r="H3" i="33"/>
  <c r="F3" i="33"/>
  <c r="E3" i="33"/>
  <c r="D3" i="33"/>
  <c r="C3" i="33"/>
  <c r="H2" i="33"/>
  <c r="H86" i="33" s="1"/>
  <c r="F2" i="33"/>
  <c r="F86" i="33" s="1"/>
  <c r="E2" i="33"/>
  <c r="E86" i="33" s="1"/>
  <c r="D2" i="33"/>
  <c r="C2" i="33"/>
  <c r="J143" i="32"/>
  <c r="I143" i="32"/>
  <c r="H143" i="32"/>
  <c r="J30" i="34"/>
  <c r="H30" i="3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11" i="33" l="1"/>
  <c r="G59" i="33"/>
  <c r="G65" i="33"/>
  <c r="G67" i="33"/>
  <c r="G83" i="33"/>
  <c r="G64" i="33"/>
  <c r="G72" i="33"/>
  <c r="G58" i="33"/>
  <c r="D86" i="33"/>
  <c r="G28" i="33"/>
  <c r="G76" i="33"/>
  <c r="G52" i="33"/>
  <c r="G44" i="33"/>
  <c r="G55" i="33"/>
  <c r="G63" i="33"/>
  <c r="G71" i="33"/>
  <c r="G79" i="33"/>
  <c r="G9" i="33"/>
  <c r="G17" i="33"/>
  <c r="G60" i="33"/>
  <c r="G68" i="33"/>
  <c r="G84" i="33"/>
  <c r="G19" i="33"/>
  <c r="G22" i="33"/>
  <c r="G27" i="33"/>
  <c r="G35" i="33"/>
  <c r="G46" i="33"/>
  <c r="G73" i="33"/>
  <c r="G81" i="33"/>
  <c r="G8" i="33"/>
  <c r="G16" i="33"/>
  <c r="G24" i="33"/>
  <c r="G32" i="33"/>
  <c r="G41" i="33"/>
  <c r="G43" i="33"/>
  <c r="G51" i="33"/>
  <c r="G54" i="33"/>
  <c r="G62" i="33"/>
  <c r="G70" i="33"/>
  <c r="G78" i="33"/>
  <c r="G3" i="33"/>
  <c r="C86" i="33"/>
  <c r="G80" i="33"/>
  <c r="G7" i="33"/>
  <c r="G15" i="33"/>
  <c r="G23" i="33"/>
  <c r="G31" i="33"/>
  <c r="G42" i="33"/>
  <c r="G50" i="33"/>
  <c r="G56" i="33"/>
  <c r="G69" i="33"/>
  <c r="G77" i="33"/>
  <c r="G4" i="33"/>
  <c r="G12" i="33"/>
  <c r="G20" i="33"/>
  <c r="G36" i="33"/>
  <c r="G39" i="33"/>
  <c r="G47" i="33"/>
  <c r="G66" i="33"/>
  <c r="G74" i="33"/>
  <c r="G82" i="33"/>
  <c r="G49" i="33"/>
  <c r="G13" i="33"/>
  <c r="G26" i="33"/>
  <c r="G29" i="33"/>
  <c r="G34" i="33"/>
  <c r="G37" i="33"/>
  <c r="G2" i="33"/>
  <c r="G45" i="33"/>
  <c r="G57" i="33"/>
  <c r="G18" i="33"/>
  <c r="G14" i="33"/>
  <c r="G61" i="33"/>
  <c r="G10" i="33"/>
  <c r="G30" i="33"/>
  <c r="G33" i="33"/>
  <c r="G25" i="33"/>
  <c r="G5" i="33"/>
  <c r="A85" i="12"/>
  <c r="G86" i="33" l="1"/>
  <c r="B64" i="12"/>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<sst xmlns="http://schemas.openxmlformats.org/spreadsheetml/2006/main" count="13757" uniqueCount="5061">
  <si>
    <t>区分</t>
  </si>
  <si>
    <t>機能要件</t>
  </si>
  <si>
    <t>非機能要件</t>
  </si>
  <si>
    <t>合計</t>
  </si>
  <si>
    <t>概要</t>
  </si>
  <si>
    <t>出典</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</si>
  <si>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</si>
  <si>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</si>
  <si>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</si>
  <si>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</si>
  <si>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</si>
  <si>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</si>
  <si>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</si>
  <si>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</si>
  <si>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</si>
  <si>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</si>
  <si>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</si>
  <si>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</si>
  <si>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</si>
  <si>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</si>
  <si>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</si>
  <si>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</si>
  <si>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</si>
  <si>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</si>
  <si>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</si>
  <si>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</si>
  <si>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</si>
  <si>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</si>
  <si>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</si>
  <si>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</si>
  <si>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</si>
  <si>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</si>
  <si>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</si>
  <si>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</si>
  <si>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</si>
  <si>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</si>
  <si>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</si>
  <si>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FR-FED-010</t>
  </si>
  <si>
    <t>FR-FED-013</t>
  </si>
  <si>
    <t>FR-MFA-001</t>
  </si>
  <si>
    <t>FR-MFA-002</t>
  </si>
  <si>
    <t>WebAuthn / FIDO2（Passkeys）</t>
  </si>
  <si>
    <t>FR-MFA-003</t>
  </si>
  <si>
    <t>SMS OTP</t>
  </si>
  <si>
    <t>FR-MFA-004</t>
  </si>
  <si>
    <t>FR-MFA-005</t>
  </si>
  <si>
    <t>FR-MFA-006</t>
  </si>
  <si>
    <t>FR-MFA-007</t>
  </si>
  <si>
    <t>FR-MFA-008</t>
  </si>
  <si>
    <t>FR-MFA-009</t>
  </si>
  <si>
    <t>FR-SSO-001</t>
  </si>
  <si>
    <t>FR-SSO-002</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</si>
  <si>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</si>
  <si>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</si>
  <si>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</si>
  <si>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</si>
  <si>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</si>
  <si>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</si>
  <si>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</si>
  <si>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</si>
  <si>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</si>
  <si>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</si>
  <si>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FR-AUTHZ-003</t>
  </si>
  <si>
    <t>FR-AUTHZ-004</t>
  </si>
  <si>
    <t>ロール階層（継承）</t>
  </si>
  <si>
    <t>FR-AUTHZ-005</t>
  </si>
  <si>
    <t>FR-AUTHZ-006</t>
  </si>
  <si>
    <t>カスタムクレーム注入（任意属性）</t>
  </si>
  <si>
    <t>FR-AUTHZ-008</t>
  </si>
  <si>
    <t>FR-AUTHZ-009</t>
  </si>
  <si>
    <t>リソースレベル認可（UMA 2.0 / Fine-grained）</t>
  </si>
  <si>
    <t>FR-AUTHZ-010</t>
  </si>
  <si>
    <t>動的属性ベース認可（ABAC）</t>
  </si>
  <si>
    <t>FR-USER-005</t>
  </si>
  <si>
    <t>ユーザー検索・一覧</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</si>
  <si>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</si>
  <si>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</si>
  <si>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</si>
  <si>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</si>
  <si>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</si>
  <si>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</si>
  <si>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</si>
  <si>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</si>
  <si>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</si>
  <si>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</si>
  <si>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</si>
  <si>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</si>
  <si>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</si>
  <si>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</si>
  <si>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</si>
  <si>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</si>
  <si>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</si>
  <si>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</si>
  <si>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</si>
  <si>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</si>
  <si>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</si>
  <si>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</si>
  <si>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</si>
  <si>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</si>
  <si>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</si>
  <si>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</si>
  <si>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</si>
  <si>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</si>
  <si>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</si>
  <si>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</si>
  <si>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</si>
  <si>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</si>
  <si>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</si>
  <si>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</si>
  <si>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</si>
  <si>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</si>
  <si>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</si>
  <si>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</si>
  <si>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</si>
  <si>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</si>
  <si>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</si>
  <si>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</si>
  <si>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</si>
  <si>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</si>
  <si>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</si>
  <si>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</si>
  <si>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</si>
  <si>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</si>
  <si>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</si>
  <si>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</si>
  <si>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</si>
  <si>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</si>
  <si>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</si>
  <si>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</si>
  <si>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</si>
  <si>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</si>
  <si>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</si>
  <si>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</si>
  <si>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</si>
  <si>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</si>
  <si>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</si>
  <si>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</si>
  <si>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</si>
  <si>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</si>
  <si>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</si>
  <si>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</si>
  <si>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</si>
  <si>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</si>
  <si>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</si>
  <si>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</si>
  <si>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</si>
  <si>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</si>
  <si>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</si>
  <si>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</si>
  <si>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</si>
  <si>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</si>
  <si>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</si>
  <si>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</si>
  <si>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</si>
  <si>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</si>
  <si>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</si>
  <si>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</si>
  <si>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</si>
  <si>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</si>
  <si>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</si>
  <si>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</si>
  <si>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</si>
  <si>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</si>
  <si>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</si>
  <si>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</si>
  <si>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</si>
  <si>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</si>
  <si>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</si>
  <si>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</si>
  <si>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</si>
  <si>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</si>
  <si>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NFR-SEC-010-2</t>
  </si>
  <si>
    <t>NFR-SEC-013</t>
  </si>
  <si>
    <t>ペネトレーションテスト</t>
  </si>
  <si>
    <t>NFR-SEC-014</t>
  </si>
  <si>
    <t>脆弱性スキャン</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</si>
  <si>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</si>
  <si>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</si>
  <si>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</si>
  <si>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</si>
  <si>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</si>
  <si>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</si>
  <si>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</si>
  <si>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</si>
  <si>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</si>
  <si>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</si>
  <si>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</si>
  <si>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</si>
  <si>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</si>
  <si>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</si>
  <si>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</si>
  <si>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</si>
  <si>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</si>
  <si>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</si>
  <si>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</si>
  <si>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</si>
  <si>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</si>
  <si>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</si>
  <si>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</si>
  <si>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</si>
  <si>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NFR-OPS-005</t>
  </si>
  <si>
    <t>バージョンアップ方針</t>
  </si>
  <si>
    <t>NFR-OPS-006</t>
  </si>
  <si>
    <t>NFR-OPS-007</t>
  </si>
  <si>
    <t>NFR-OPS-010</t>
  </si>
  <si>
    <t>デプロイ自動化（CI/CD）</t>
  </si>
  <si>
    <t>NFR-OPS-008</t>
  </si>
  <si>
    <t>NFR-OPS-009</t>
  </si>
  <si>
    <t>運用工数（人月）</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</si>
  <si>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</si>
  <si>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</si>
  <si>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</si>
  <si>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</si>
  <si>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</si>
  <si>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</si>
  <si>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</si>
  <si>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</si>
  <si>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</si>
  <si>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</si>
  <si>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</si>
  <si>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</si>
  <si>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NFR-COMP-010</t>
  </si>
  <si>
    <t>アクセス監査の追跡可能性</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</si>
  <si>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</si>
  <si>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</si>
  <si>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</si>
  <si>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</si>
  <si>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</si>
  <si>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</si>
  <si>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</si>
  <si>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</si>
  <si>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</si>
  <si>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</si>
  <si>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</si>
  <si>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</si>
  <si>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</si>
  <si>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</si>
  <si>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</si>
  <si>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</si>
  <si>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</si>
  <si>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</si>
  <si>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</si>
  <si>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</si>
  <si>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</si>
  <si>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</si>
  <si>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</si>
  <si>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</si>
  <si>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</si>
  <si>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</si>
  <si>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</si>
  <si>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</si>
  <si>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</si>
  <si>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</si>
  <si>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</si>
  <si>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</si>
  <si>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</si>
  <si>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</si>
  <si>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</si>
  <si>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</si>
  <si>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</si>
  <si>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</si>
  <si>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</si>
  <si>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</si>
  <si>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</si>
  <si>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</si>
  <si>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</si>
  <si>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</si>
  <si>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</si>
  <si>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</si>
  <si>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</si>
  <si>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</si>
  <si>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</si>
  <si>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</si>
  <si>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</si>
  <si>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</si>
  <si>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</si>
  <si>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</si>
  <si>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</si>
  <si>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</si>
  <si>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</si>
  <si>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</si>
  <si>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</si>
  <si>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</si>
  <si>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</si>
  <si>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</si>
  <si>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</si>
  <si>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</si>
  <si>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</si>
  <si>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</si>
  <si>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</si>
  <si>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</si>
  <si>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</si>
  <si>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</si>
  <si>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</si>
  <si>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</si>
  <si>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コスト</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</si>
  <si>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</si>
  <si>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</si>
  <si>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</si>
  <si>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</si>
  <si>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</si>
  <si>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</si>
  <si>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</si>
  <si>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</si>
  <si>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</si>
  <si>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</si>
  <si>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</si>
  <si>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</si>
  <si>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</si>
  <si>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</si>
  <si>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</si>
  <si>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</si>
  <si>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</si>
  <si>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</si>
  <si>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</si>
  <si>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</si>
  <si>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</si>
  <si>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</si>
  <si>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</si>
  <si>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</si>
  <si>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</si>
  <si>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</si>
  <si>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</si>
  <si>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</si>
  <si>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</si>
  <si>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</si>
  <si>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</si>
  <si>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</si>
  <si>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</si>
  <si>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</si>
  <si>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</si>
  <si>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</si>
  <si>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</si>
  <si>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</si>
  <si>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</si>
  <si>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</si>
  <si>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</si>
  <si>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</si>
  <si>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</si>
  <si>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</si>
  <si>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</si>
  <si>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</si>
  <si>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</si>
  <si>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</si>
  <si>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</si>
  <si>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</si>
  <si>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</si>
  <si>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</si>
  <si>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</si>
  <si>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</si>
  <si>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</si>
  <si>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</si>
  <si>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</si>
  <si>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</si>
  <si>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</si>
  <si>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</si>
  <si>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</si>
  <si>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</si>
  <si>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</si>
  <si>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</si>
  <si>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</si>
  <si>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</si>
  <si>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</si>
  <si>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</si>
  <si>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</si>
  <si>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</si>
  <si>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</si>
  <si>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</si>
  <si>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</si>
  <si>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</si>
  <si>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</si>
  <si>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</si>
  <si>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</si>
  <si>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</si>
  <si>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</si>
  <si>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</si>
  <si>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</si>
  <si>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</si>
  <si>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</si>
  <si>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</si>
  <si>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</si>
  <si>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</si>
  <si>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</si>
  <si>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</si>
  <si>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</si>
  <si>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</si>
  <si>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</si>
  <si>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</si>
  <si>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</si>
  <si>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</si>
  <si>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</si>
  <si>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</si>
  <si>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</si>
  <si>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</si>
  <si>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</si>
  <si>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</si>
  <si>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</si>
  <si>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</si>
  <si>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</si>
  <si>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</si>
  <si>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</si>
  <si>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</si>
  <si>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</si>
  <si>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</si>
  <si>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</si>
  <si>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</si>
  <si>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</si>
  <si>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</si>
  <si>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</si>
  <si>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</si>
  <si>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</si>
  <si>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</si>
  <si>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</si>
  <si>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</si>
  <si>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</si>
  <si>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</si>
  <si>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</si>
  <si>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</si>
  <si>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</si>
  <si>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</si>
  <si>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</si>
  <si>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</si>
  <si>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</si>
  <si>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</si>
  <si>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</si>
  <si>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</si>
  <si>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</si>
  <si>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</si>
  <si>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</si>
  <si>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</si>
  <si>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</si>
  <si>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</si>
  <si>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</si>
  <si>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</si>
  <si>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</si>
  <si>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</si>
  <si>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</si>
  <si>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</si>
  <si>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</si>
  <si>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</si>
  <si>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</si>
  <si>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</si>
  <si>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</si>
  <si>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</si>
  <si>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</si>
  <si>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</si>
  <si>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</si>
  <si>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</si>
  <si>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</si>
  <si>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</si>
  <si>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</si>
  <si>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</si>
  <si>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</si>
  <si>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</si>
  <si>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</si>
  <si>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</si>
  <si>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</si>
  <si>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</si>
  <si>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</si>
  <si>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</si>
  <si>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</si>
  <si>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</si>
  <si>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</si>
  <si>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</si>
  <si>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</si>
  <si>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</si>
  <si>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</si>
  <si>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</si>
  <si>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</si>
  <si>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</si>
  <si>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</si>
  <si>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</si>
  <si>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</si>
  <si>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</si>
  <si>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</si>
  <si>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</si>
  <si>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</si>
  <si>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</si>
  <si>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</si>
  <si>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</si>
  <si>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</si>
  <si>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</si>
  <si>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</si>
  <si>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</si>
  <si>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</si>
  <si>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</si>
  <si>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</si>
  <si>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</si>
  <si>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</si>
  <si>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</si>
  <si>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</si>
  <si>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</si>
  <si>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</si>
  <si>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</si>
  <si>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</si>
  <si>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</si>
  <si>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</si>
  <si>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</si>
  <si>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</si>
  <si>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</si>
  <si>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</si>
  <si>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</si>
  <si>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</si>
  <si>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</si>
  <si>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</si>
  <si>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</si>
  <si>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</si>
  <si>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</si>
  <si>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</si>
  <si>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</si>
  <si>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</si>
  <si>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</si>
  <si>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</si>
  <si>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</si>
  <si>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</si>
  <si>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</si>
  <si>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</si>
  <si>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</si>
  <si>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</si>
  <si>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</si>
  <si>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</si>
  <si>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</si>
  <si>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</si>
  <si>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</si>
  <si>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</si>
  <si>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</si>
  <si>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</si>
  <si>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</si>
  <si>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</si>
  <si>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</si>
  <si>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</si>
  <si>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</si>
  <si>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</si>
  <si>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</si>
  <si>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</si>
  <si>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</si>
  <si>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</si>
  <si>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</si>
  <si>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</si>
  <si>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</si>
  <si>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</si>
  <si>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</si>
  <si>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</si>
  <si>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</si>
  <si>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</si>
  <si>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</si>
  <si>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</si>
  <si>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</si>
  <si>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</si>
  <si>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</si>
  <si>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</si>
  <si>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</si>
  <si>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</si>
  <si>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</si>
  <si>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</si>
  <si>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</si>
  <si>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</si>
  <si>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</si>
  <si>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</si>
  <si>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</si>
  <si>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</si>
  <si>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</si>
  <si>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</si>
  <si>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</si>
  <si>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</si>
  <si>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</si>
  <si>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</si>
  <si>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</si>
  <si>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</si>
  <si>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</si>
  <si>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</si>
  <si>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</si>
  <si>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</si>
  <si>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</si>
  <si>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</si>
  <si>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</si>
  <si>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</si>
  <si>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</si>
  <si>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</si>
  <si>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</si>
  <si>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</si>
  <si>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</si>
  <si>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</si>
  <si>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</si>
  <si>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</si>
  <si>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</si>
  <si>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</si>
  <si>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</si>
  <si>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</si>
  <si>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</si>
  <si>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</si>
  <si>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</si>
  <si>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</si>
  <si>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</si>
  <si>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</si>
  <si>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</si>
  <si>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</si>
  <si>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</si>
  <si>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</si>
  <si>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</si>
  <si>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</si>
  <si>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</si>
  <si>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</si>
  <si>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</si>
  <si>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</si>
  <si>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</si>
  <si>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</si>
  <si>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</si>
  <si>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</si>
  <si>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</si>
  <si>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</si>
  <si>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</si>
  <si>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</si>
  <si>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</si>
  <si>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</si>
  <si>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</si>
  <si>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</si>
  <si>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</si>
  <si>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</si>
  <si>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</si>
  <si>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</si>
  <si>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</si>
  <si>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</si>
  <si>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</si>
  <si>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</si>
  <si>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</si>
  <si>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</si>
  <si>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</si>
  <si>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</si>
  <si>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</si>
  <si>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</si>
  <si>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</si>
  <si>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</si>
  <si>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</si>
  <si>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</si>
  <si>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</si>
  <si>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</si>
  <si>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</si>
  <si>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</si>
  <si>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</si>
  <si>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</si>
  <si>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</si>
  <si>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</si>
  <si>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</si>
  <si>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</si>
  <si>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</si>
  <si>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</si>
  <si>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</si>
  <si>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</si>
  <si>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</si>
  <si>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</si>
  <si>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</si>
  <si>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</si>
  <si>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</si>
  <si>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</si>
  <si>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</si>
  <si>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</si>
  <si>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</si>
  <si>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</si>
  <si>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</si>
  <si>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</si>
  <si>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</si>
  <si>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</si>
  <si>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</si>
  <si>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</si>
  <si>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</si>
  <si>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</si>
  <si>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</si>
  <si>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</si>
  <si>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</si>
  <si>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</si>
  <si>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</si>
  <si>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</si>
  <si>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</si>
  <si>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</si>
  <si>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</si>
  <si>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</si>
  <si>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</si>
  <si>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</si>
  <si>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</si>
  <si>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</si>
  <si>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</si>
  <si>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</si>
  <si>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</si>
  <si>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</si>
  <si>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</si>
  <si>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</si>
  <si>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</si>
  <si>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</si>
  <si>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</si>
  <si>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</si>
  <si>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</si>
  <si>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</si>
  <si>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</si>
  <si>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</si>
  <si>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</si>
  <si>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</si>
  <si>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</si>
  <si>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</si>
  <si>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</si>
  <si>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</si>
  <si>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</si>
  <si>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</si>
  <si>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</si>
  <si>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</si>
  <si>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</si>
  <si>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</si>
  <si>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</si>
  <si>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</si>
  <si>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</si>
  <si>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</si>
  <si>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</si>
  <si>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</si>
  <si>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</si>
  <si>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</si>
  <si>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</si>
  <si>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</si>
  <si>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</si>
  <si>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</si>
  <si>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</si>
  <si>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</si>
  <si>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</si>
  <si>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</si>
  <si>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</si>
  <si>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</si>
  <si>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</si>
  <si>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</si>
  <si>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</si>
  <si>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</si>
  <si>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</si>
  <si>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</si>
  <si>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</si>
  <si>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</si>
  <si>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</si>
  <si>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</si>
  <si>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</si>
  <si>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</si>
  <si>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</si>
  <si>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</si>
  <si>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</si>
  <si>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</si>
  <si>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</si>
  <si>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</si>
  <si>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</si>
  <si>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</si>
  <si>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</si>
  <si>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</si>
  <si>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</si>
  <si>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</si>
  <si>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</si>
  <si>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</si>
  <si>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</si>
  <si>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</si>
  <si>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</si>
  <si>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</si>
  <si>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</si>
  <si>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</si>
  <si>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</si>
  <si>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</si>
  <si>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</si>
  <si>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</si>
  <si>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</si>
  <si>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</si>
  <si>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</si>
  <si>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</si>
  <si>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</si>
  <si>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</si>
  <si>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</si>
  <si>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</si>
  <si>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</si>
  <si>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</si>
  <si>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</si>
  <si>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</si>
  <si>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</si>
  <si>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</si>
  <si>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</si>
  <si>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</si>
  <si>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</si>
  <si>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</si>
  <si>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</si>
  <si>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</si>
  <si>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</si>
  <si>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</si>
  <si>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</si>
  <si>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</si>
  <si>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</si>
  <si>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</si>
  <si>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</si>
  <si>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</si>
  <si>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</si>
  <si>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</si>
  <si>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</si>
  <si>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</si>
  <si>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</si>
  <si>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</si>
  <si>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</si>
  <si>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</si>
  <si>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</si>
  <si>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</si>
  <si>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</si>
  <si>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</si>
  <si>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</si>
  <si>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</si>
  <si>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</si>
  <si>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</si>
  <si>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</si>
  <si>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</si>
  <si>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</si>
  <si>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</si>
  <si>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</si>
  <si>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</si>
  <si>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</si>
  <si>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</si>
  <si>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</si>
  <si>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</si>
  <si>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</si>
  <si>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</si>
  <si>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</si>
  <si>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</si>
  <si>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</si>
  <si>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</si>
  <si>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</si>
  <si>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</si>
  <si>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</si>
  <si>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</si>
  <si>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</si>
  <si>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</si>
  <si>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</si>
  <si>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</si>
  <si>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</si>
  <si>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</si>
  <si>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</si>
  <si>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</si>
  <si>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</si>
  <si>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</si>
  <si>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</si>
  <si>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</si>
  <si>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</si>
  <si>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</si>
  <si>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</si>
  <si>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</si>
  <si>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</si>
  <si>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</si>
  <si>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</si>
  <si>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</si>
  <si>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</si>
  <si>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</si>
  <si>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</si>
  <si>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</si>
  <si>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</si>
  <si>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</si>
  <si>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</si>
  <si>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</si>
  <si>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</si>
  <si>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</si>
  <si>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</si>
  <si>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</si>
  <si>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</si>
  <si>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</si>
  <si>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</si>
  <si>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</si>
  <si>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</si>
  <si>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</si>
  <si>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</si>
  <si>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</si>
  <si>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</si>
  <si>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</si>
  <si>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</si>
  <si>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</si>
  <si>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</si>
  <si>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</si>
  <si>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</si>
  <si>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</si>
  <si>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</si>
  <si>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</si>
  <si>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</si>
  <si>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</si>
  <si>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</si>
  <si>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</si>
  <si>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</si>
  <si>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</si>
  <si>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</si>
  <si>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</si>
  <si>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</si>
  <si>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</si>
  <si>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</si>
  <si>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</si>
  <si>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</si>
  <si>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</si>
  <si>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</si>
  <si>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</si>
  <si>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</si>
  <si>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</si>
  <si>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</si>
  <si>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</si>
  <si>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</si>
  <si>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</si>
  <si>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</si>
  <si>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</si>
  <si>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</si>
  <si>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</si>
  <si>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</si>
  <si>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</si>
  <si>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</si>
  <si>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</si>
  <si>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</si>
  <si>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</si>
  <si>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</si>
  <si>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</si>
  <si>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</si>
  <si>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</si>
  <si>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</si>
  <si>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</si>
  <si>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</si>
  <si>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</si>
  <si>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</si>
  <si>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</si>
  <si>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</si>
  <si>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</si>
  <si>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</si>
  <si>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</si>
  <si>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</si>
  <si>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</si>
  <si>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</si>
  <si>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</si>
  <si>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</si>
  <si>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</si>
  <si>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</si>
  <si>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</si>
  <si>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</si>
  <si>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</si>
  <si>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</si>
  <si>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</si>
  <si>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</si>
  <si>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</si>
  <si>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</si>
  <si>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</si>
  <si>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</si>
  <si>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</si>
  <si>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</si>
  <si>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</si>
  <si>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</si>
  <si>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</si>
  <si>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</si>
  <si>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</si>
  <si>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</si>
  <si>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</si>
  <si>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</si>
  <si>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</si>
  <si>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</si>
  <si>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</si>
  <si>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</si>
  <si>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</si>
  <si>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</si>
  <si>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</si>
  <si>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</si>
  <si>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</si>
  <si>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</si>
  <si>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</si>
  <si>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</si>
  <si>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</si>
  <si>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</si>
  <si>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</si>
  <si>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</si>
  <si>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</si>
  <si>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</si>
  <si>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</si>
  <si>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</si>
  <si>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</si>
  <si>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</si>
  <si>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</si>
  <si>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</si>
  <si>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</si>
  <si>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</si>
  <si>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</si>
  <si>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</si>
  <si>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</si>
  <si>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</si>
  <si>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</si>
  <si>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</si>
  <si>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</si>
  <si>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</si>
  <si>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</si>
  <si>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</si>
  <si>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</si>
  <si>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</si>
  <si>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</si>
  <si>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</si>
  <si>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</si>
  <si>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</si>
  <si>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</si>
  <si>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</si>
  <si>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</si>
  <si>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</si>
  <si>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</si>
  <si>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</si>
  <si>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</si>
  <si>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</si>
  <si>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</si>
  <si>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</si>
  <si>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</si>
  <si>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</si>
  <si>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</si>
  <si>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</si>
  <si>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</si>
  <si>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</si>
  <si>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</si>
  <si>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</si>
  <si>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</si>
  <si>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</si>
  <si>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</si>
  <si>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</si>
  <si>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</si>
  <si>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</si>
  <si>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</si>
  <si>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</si>
  <si>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</si>
  <si>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</si>
  <si>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</si>
  <si>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</si>
  <si>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</si>
  <si>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</si>
  <si>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</si>
  <si>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</si>
  <si>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</si>
  <si>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</si>
  <si>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</si>
  <si>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</si>
  <si>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</si>
  <si>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</si>
  <si>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</si>
  <si>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</si>
  <si>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</si>
  <si>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</si>
  <si>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</si>
  <si>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</si>
  <si>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</si>
  <si>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</si>
  <si>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</si>
  <si>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</si>
  <si>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</si>
  <si>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</si>
  <si>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</si>
  <si>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</si>
  <si>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</si>
  <si>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</si>
  <si>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</si>
  <si>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</si>
  <si>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</si>
  <si>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</si>
  <si>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</si>
  <si>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</si>
  <si>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</si>
  <si>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</si>
  <si>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</si>
  <si>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</si>
  <si>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</si>
  <si>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</si>
  <si>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</si>
  <si>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</si>
  <si>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</si>
  <si>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</si>
  <si>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</si>
  <si>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</si>
  <si>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</si>
  <si>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</si>
  <si>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</si>
  <si>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</si>
  <si>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</si>
  <si>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</si>
  <si>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</si>
  <si>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</si>
  <si>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</si>
  <si>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</si>
  <si>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</si>
  <si>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</si>
  <si>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</si>
  <si>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</si>
  <si>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</si>
  <si>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</si>
  <si>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</si>
  <si>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</si>
  <si>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</si>
  <si>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</si>
  <si>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</si>
  <si>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</si>
  <si>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</si>
  <si>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</si>
  <si>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</si>
  <si>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</si>
  <si>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</si>
  <si>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</si>
  <si>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</si>
  <si>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</si>
  <si>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</si>
  <si>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</si>
  <si>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</si>
  <si>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</si>
  <si>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</si>
  <si>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</si>
  <si>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</si>
  <si>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</si>
  <si>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</si>
  <si>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</si>
  <si>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</si>
  <si>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</si>
  <si>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</si>
  <si>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</si>
  <si>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</si>
  <si>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</si>
  <si>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</si>
  <si>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</si>
  <si>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</si>
  <si>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</si>
  <si>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</si>
  <si>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</si>
  <si>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</si>
  <si>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</si>
  <si>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</si>
  <si>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</si>
  <si>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</si>
  <si>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</si>
  <si>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</si>
  <si>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</si>
  <si>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</si>
  <si>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</si>
  <si>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</si>
  <si>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</si>
  <si>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</si>
  <si>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</si>
  <si>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</si>
  <si>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</si>
  <si>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</si>
  <si>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</si>
  <si>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</si>
  <si>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</si>
  <si>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</si>
  <si>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</si>
  <si>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</si>
  <si>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</si>
  <si>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</si>
  <si>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</si>
  <si>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</si>
  <si>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</si>
  <si>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</si>
  <si>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</si>
  <si>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</si>
  <si>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</si>
  <si>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</si>
  <si>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</si>
  <si>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</si>
  <si>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</si>
  <si>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RI-04</t>
  </si>
  <si>
    <t>PT-01</t>
  </si>
  <si>
    <t>PT-02</t>
  </si>
  <si>
    <t>PT-03</t>
  </si>
  <si>
    <t>PT-05</t>
  </si>
  <si>
    <t>PT-06</t>
  </si>
  <si>
    <t>DR-02</t>
  </si>
  <si>
    <t>DR-03</t>
  </si>
  <si>
    <t>DR-04</t>
  </si>
  <si>
    <t>SEC-04</t>
  </si>
  <si>
    <t>SEC-05</t>
  </si>
  <si>
    <t>OP-01</t>
  </si>
  <si>
    <t>OP-03</t>
  </si>
  <si>
    <t>OP-04</t>
  </si>
  <si>
    <t>UAT-02</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</si>
  <si>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</si>
  <si>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</si>
  <si>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</si>
  <si>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</si>
  <si>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</si>
  <si>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</si>
  <si>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</si>
  <si>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</si>
  <si>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</si>
  <si>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</si>
  <si>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</si>
  <si>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</si>
  <si>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</si>
  <si>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</si>
  <si>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</si>
  <si>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</si>
  <si>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</si>
  <si>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</si>
  <si>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</si>
  <si>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</si>
  <si>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</si>
  <si>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</si>
  <si>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</si>
  <si>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</si>
  <si>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</si>
  <si>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</si>
  <si>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</si>
  <si>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</si>
  <si>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</si>
  <si>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</si>
  <si>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</si>
  <si>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</si>
  <si>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</si>
  <si>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</si>
  <si>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</si>
  <si>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</si>
  <si>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</si>
  <si>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</si>
  <si>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</si>
  <si>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</si>
  <si>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</si>
  <si>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</si>
  <si>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</si>
  <si>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</si>
  <si>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</si>
  <si>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</si>
  <si>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</si>
  <si>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</si>
  <si>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</si>
  <si>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</si>
  <si>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</si>
  <si>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</si>
  <si>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</si>
  <si>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</si>
  <si>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</si>
  <si>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</si>
  <si>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</si>
  <si>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</si>
  <si>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</si>
  <si>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</si>
  <si>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</si>
  <si>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</si>
  <si>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</si>
  <si>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</si>
  <si>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</si>
  <si>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</si>
  <si>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</si>
  <si>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</si>
  <si>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</si>
  <si>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</si>
  <si>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</si>
  <si>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</si>
  <si>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</si>
  <si>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</si>
  <si>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</si>
  <si>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</si>
  <si>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</si>
  <si>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</si>
  <si>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</si>
  <si>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</si>
  <si>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</si>
  <si>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</si>
  <si>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</si>
  <si>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</si>
  <si>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</si>
  <si>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</si>
  <si>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</si>
  <si>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</si>
  <si>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</si>
  <si>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</si>
  <si>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</si>
  <si>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</si>
  <si>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</si>
  <si>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</si>
  <si>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</si>
  <si>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</si>
  <si>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</si>
  <si>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</si>
  <si>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</si>
  <si>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</si>
  <si>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</si>
  <si>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</si>
  <si>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</si>
  <si>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</si>
  <si>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</si>
  <si>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</si>
  <si>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</si>
  <si>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</si>
  <si>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</si>
  <si>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</si>
  <si>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</si>
  <si>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</si>
  <si>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</si>
  <si>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</si>
  <si>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</si>
  <si>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</si>
  <si>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</si>
  <si>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</si>
  <si>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</si>
  <si>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</si>
  <si>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</si>
  <si>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</si>
  <si>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</si>
  <si>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</si>
  <si>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</si>
  <si>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</si>
  <si>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</si>
  <si>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</si>
  <si>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</si>
  <si>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</si>
  <si>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</si>
  <si>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</si>
  <si>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</si>
  <si>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</si>
  <si>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</si>
  <si>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</si>
  <si>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</si>
  <si>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</si>
  <si>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</si>
  <si>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</si>
  <si>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</si>
  <si>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</si>
  <si>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</si>
  <si>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</si>
  <si>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</si>
  <si>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</si>
  <si>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</si>
  <si>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</si>
  <si>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</si>
  <si>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</si>
  <si>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</si>
  <si>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</si>
  <si>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</si>
  <si>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</si>
  <si>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</si>
  <si>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</si>
  <si>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</si>
  <si>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</si>
  <si>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</si>
  <si>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</si>
  <si>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</si>
  <si>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</si>
  <si>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</si>
  <si>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</si>
  <si>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</si>
  <si>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</si>
  <si>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</si>
  <si>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</si>
  <si>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</si>
  <si>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</si>
  <si>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</si>
  <si>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</si>
  <si>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</si>
  <si>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</si>
  <si>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</si>
  <si>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</si>
  <si>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</si>
  <si>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</si>
  <si>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</si>
  <si>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</si>
  <si>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</si>
  <si>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</si>
  <si>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</si>
  <si>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</si>
  <si>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</si>
  <si>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</si>
  <si>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</si>
  <si>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</si>
  <si>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</si>
  <si>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</si>
  <si>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</si>
  <si>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</si>
  <si>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</si>
  <si>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</si>
  <si>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</si>
  <si>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</si>
  <si>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</si>
  <si>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</si>
  <si>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</si>
  <si>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</si>
  <si>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</si>
  <si>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</si>
  <si>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</si>
  <si>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</si>
  <si>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</si>
  <si>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</si>
  <si>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</si>
  <si>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</si>
  <si>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</si>
  <si>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</si>
  <si>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</si>
  <si>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</si>
  <si>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</si>
  <si>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</si>
  <si>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</si>
  <si>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</si>
  <si>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</si>
  <si>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</si>
  <si>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</si>
  <si>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</si>
  <si>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</si>
  <si>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</si>
  <si>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</si>
  <si>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</si>
  <si>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</si>
  <si>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</si>
  <si>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</si>
  <si>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</si>
  <si>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</si>
  <si>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</si>
  <si>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</si>
  <si>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</si>
  <si>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</si>
  <si>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</si>
  <si>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</si>
  <si>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</si>
  <si>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</si>
  <si>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</si>
  <si>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</si>
  <si>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</si>
  <si>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</si>
  <si>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</si>
  <si>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</si>
  <si>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</si>
  <si>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</si>
  <si>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</si>
  <si>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</si>
  <si>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</si>
  <si>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</si>
  <si>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</si>
  <si>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</si>
  <si>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</si>
  <si>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</si>
  <si>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</si>
  <si>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</si>
  <si>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</si>
  <si>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</si>
  <si>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</si>
  <si>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</si>
  <si>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</si>
  <si>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</si>
  <si>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</si>
  <si>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</si>
  <si>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</si>
  <si>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</si>
  <si>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</si>
  <si>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</si>
  <si>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</si>
  <si>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</si>
  <si>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D-20</t>
  </si>
  <si>
    <t>G-1.2</t>
  </si>
  <si>
    <t>G-1.10</t>
  </si>
  <si>
    <t>IT-09</t>
  </si>
  <si>
    <t>SEC-06</t>
  </si>
  <si>
    <t>TE-03</t>
  </si>
  <si>
    <t>HA-04</t>
  </si>
  <si>
    <t>HA-21</t>
  </si>
  <si>
    <t>HH-05</t>
  </si>
  <si>
    <t>HJ-09</t>
  </si>
  <si>
    <t>HK-02</t>
  </si>
  <si>
    <t>HK-07</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</si>
  <si>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</si>
  <si>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</si>
  <si>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</si>
  <si>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</si>
  <si>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</si>
  <si>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</si>
  <si>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</si>
  <si>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</si>
  <si>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</si>
  <si>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</si>
  <si>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</si>
  <si>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</si>
  <si>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</si>
  <si>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</si>
  <si>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</si>
  <si>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</si>
  <si>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</si>
  <si>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</si>
  <si>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</si>
  <si>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</si>
  <si>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</si>
  <si>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</si>
  <si>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</si>
  <si>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</si>
  <si>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</si>
  <si>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</si>
  <si>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</si>
  <si>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</si>
  <si>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</si>
  <si>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</si>
  <si>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</si>
  <si>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</si>
  <si>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</si>
  <si>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</si>
  <si>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</si>
  <si>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</si>
  <si>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</si>
  <si>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</si>
  <si>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</si>
  <si>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</si>
  <si>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</si>
  <si>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</si>
  <si>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</si>
  <si>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</si>
  <si>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</si>
  <si>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</si>
  <si>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</si>
  <si>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</si>
  <si>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</si>
  <si>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</si>
  <si>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</si>
  <si>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</si>
  <si>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</si>
  <si>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</si>
  <si>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画面設計規約</t>
  </si>
  <si>
    <t>GD-22</t>
  </si>
  <si>
    <t>機能ID</t>
  </si>
  <si>
    <t>機能名</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</si>
  <si>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</si>
  <si>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</si>
  <si>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</si>
  <si>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</si>
  <si>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</si>
  <si>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</si>
  <si>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</si>
  <si>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</si>
  <si>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</si>
  <si>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</si>
  <si>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</si>
  <si>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</si>
  <si>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</si>
  <si>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</si>
  <si>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</si>
  <si>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</si>
  <si>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</si>
  <si>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</si>
  <si>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</si>
  <si>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</si>
  <si>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</si>
  <si>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</si>
  <si>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</si>
  <si>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</si>
  <si>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</si>
  <si>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</si>
  <si>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</si>
  <si>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</si>
  <si>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</si>
  <si>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</si>
  <si>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</si>
  <si>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</si>
  <si>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</si>
  <si>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</si>
  <si>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</si>
  <si>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</si>
  <si>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</si>
  <si>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</si>
  <si>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</si>
  <si>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</si>
  <si>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</si>
  <si>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</si>
  <si>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</si>
  <si>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</si>
  <si>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</si>
  <si>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</si>
  <si>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</si>
  <si>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</si>
  <si>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</si>
  <si>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</si>
  <si>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</si>
  <si>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</si>
  <si>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</si>
  <si>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</si>
  <si>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</si>
  <si>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</si>
  <si>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</si>
  <si>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</si>
  <si>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</si>
  <si>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</si>
  <si>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</si>
  <si>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</si>
  <si>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</si>
  <si>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</si>
  <si>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</si>
  <si>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</si>
  <si>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</si>
  <si>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</si>
  <si>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</si>
  <si>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</si>
  <si>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</si>
  <si>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</si>
  <si>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</si>
  <si>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</si>
  <si>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</si>
  <si>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</si>
  <si>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</si>
  <si>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</si>
  <si>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</si>
  <si>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</si>
  <si>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</si>
  <si>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</si>
  <si>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</si>
  <si>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</si>
  <si>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</si>
  <si>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</si>
  <si>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</si>
  <si>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HB-F-PROV-10</t>
  </si>
  <si>
    <t>HB-F-ADM-16</t>
  </si>
  <si>
    <t>HB-F-AZ-07</t>
  </si>
  <si>
    <t>HB-F-BAT-01</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</si>
  <si>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</si>
  <si>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</si>
  <si>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</si>
  <si>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</si>
  <si>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</si>
  <si>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</si>
  <si>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</si>
  <si>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</si>
  <si>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</si>
  <si>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</si>
  <si>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</si>
  <si>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</si>
  <si>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</si>
  <si>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</si>
  <si>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</si>
  <si>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</si>
  <si>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</si>
  <si>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</si>
  <si>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</si>
  <si>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</si>
  <si>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</si>
  <si>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</si>
  <si>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</si>
  <si>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</si>
  <si>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</si>
  <si>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</si>
  <si>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</si>
  <si>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</si>
  <si>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</si>
  <si>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</si>
  <si>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</si>
  <si>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</si>
  <si>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</si>
  <si>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</si>
  <si>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</si>
  <si>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</si>
  <si>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</si>
  <si>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</si>
  <si>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</si>
  <si>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</si>
  <si>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</si>
  <si>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</si>
  <si>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</si>
  <si>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</si>
  <si>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</si>
  <si>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</si>
  <si>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</si>
  <si>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</si>
  <si>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</si>
  <si>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</si>
  <si>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</si>
  <si>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</si>
  <si>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</si>
  <si>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</si>
  <si>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</si>
  <si>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</si>
  <si>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</si>
  <si>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</si>
  <si>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</si>
  <si>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</si>
  <si>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</si>
  <si>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</si>
  <si>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</si>
  <si>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</si>
  <si>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</si>
  <si>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</si>
  <si>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</si>
  <si>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</si>
  <si>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</si>
  <si>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</si>
  <si>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</si>
  <si>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</si>
  <si>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</si>
  <si>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</si>
  <si>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</si>
  <si>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</si>
  <si>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</si>
  <si>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DDB-17</t>
  </si>
  <si>
    <t>DDB-18</t>
  </si>
  <si>
    <t>DDB-19</t>
  </si>
  <si>
    <t>DD-C 画面の詳細設計</t>
  </si>
  <si>
    <t>DD-D データの詳細設計</t>
  </si>
  <si>
    <t>保持期間と消去の実装設計</t>
  </si>
  <si>
    <t>DD-F 定期処理の詳細設計</t>
  </si>
  <si>
    <t>DDG-07</t>
  </si>
  <si>
    <t>DDG-08</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</si>
  <si>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</si>
  <si>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</si>
  <si>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</si>
  <si>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</si>
  <si>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</si>
  <si>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</si>
  <si>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</si>
  <si>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</si>
  <si>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</si>
  <si>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</si>
  <si>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</si>
  <si>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</si>
  <si>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</si>
  <si>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</si>
  <si>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</si>
  <si>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</si>
  <si>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</si>
  <si>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</si>
  <si>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</si>
  <si>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</si>
  <si>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</si>
  <si>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</si>
  <si>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</si>
  <si>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</si>
  <si>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</si>
  <si>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</si>
  <si>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</si>
  <si>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</si>
  <si>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</si>
  <si>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</si>
  <si>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</si>
  <si>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</si>
  <si>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</si>
  <si>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</si>
  <si>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</si>
  <si>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</si>
  <si>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</si>
  <si>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</si>
  <si>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</si>
  <si>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</si>
  <si>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</si>
  <si>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</si>
  <si>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</si>
  <si>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</si>
  <si>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</si>
  <si>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</si>
  <si>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</si>
  <si>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</si>
  <si>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</si>
  <si>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</si>
  <si>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</si>
  <si>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</si>
  <si>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</si>
  <si>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</si>
  <si>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</si>
  <si>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</si>
  <si>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</si>
  <si>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</si>
  <si>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</si>
  <si>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</si>
  <si>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</si>
  <si>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</si>
  <si>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</si>
  <si>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</si>
  <si>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</si>
  <si>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</si>
  <si>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</si>
  <si>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</si>
  <si>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</si>
  <si>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</si>
  <si>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</si>
  <si>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</si>
  <si>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</si>
  <si>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</si>
  <si>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</si>
  <si>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</si>
  <si>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</si>
  <si>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</si>
  <si>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</si>
  <si>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</si>
  <si>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</si>
  <si>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</si>
  <si>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</si>
  <si>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</si>
  <si>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</si>
  <si>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</si>
  <si>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</si>
  <si>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</si>
  <si>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</si>
  <si>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</si>
  <si>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</si>
  <si>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</si>
  <si>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</si>
  <si>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</si>
  <si>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</si>
  <si>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</si>
  <si>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</si>
  <si>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</si>
  <si>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</si>
  <si>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</si>
  <si>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</si>
  <si>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</si>
  <si>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</si>
  <si>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</si>
  <si>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</si>
  <si>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</si>
  <si>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</si>
  <si>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</si>
  <si>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</si>
  <si>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</si>
  <si>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</si>
  <si>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</si>
  <si>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</si>
  <si>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</si>
  <si>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</si>
  <si>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</si>
  <si>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</si>
  <si>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</si>
  <si>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</si>
  <si>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</si>
  <si>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</si>
  <si>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</si>
  <si>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</si>
  <si>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</si>
  <si>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</si>
  <si>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</si>
  <si>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</si>
  <si>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</si>
  <si>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</si>
  <si>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</si>
  <si>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</si>
  <si>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</si>
  <si>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</si>
  <si>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</si>
  <si>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</si>
  <si>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</si>
  <si>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</si>
  <si>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</si>
  <si>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</si>
  <si>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</si>
  <si>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</si>
  <si>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</si>
  <si>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</si>
  <si>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</si>
  <si>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</si>
  <si>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</si>
  <si>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</si>
  <si>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</si>
  <si>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</si>
  <si>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</si>
  <si>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</si>
  <si>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</si>
  <si>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</si>
  <si>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</si>
  <si>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</si>
  <si>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</si>
  <si>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</si>
  <si>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</si>
  <si>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</si>
  <si>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</si>
  <si>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</si>
  <si>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</si>
  <si>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</si>
  <si>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</si>
  <si>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</si>
  <si>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</si>
  <si>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</si>
  <si>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</si>
  <si>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</si>
  <si>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</si>
  <si>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</si>
  <si>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</si>
  <si>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</si>
  <si>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</si>
  <si>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</si>
  <si>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</si>
  <si>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</si>
  <si>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</si>
  <si>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</si>
  <si>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</si>
  <si>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</si>
  <si>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</si>
  <si>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</si>
  <si>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</si>
  <si>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</si>
  <si>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</si>
  <si>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</si>
  <si>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</si>
  <si>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</si>
  <si>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</si>
  <si>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</si>
  <si>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</si>
  <si>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</si>
  <si>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</si>
  <si>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</si>
  <si>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</si>
  <si>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</si>
  <si>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</si>
  <si>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</si>
  <si>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</si>
  <si>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</si>
  <si>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</si>
  <si>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</si>
  <si>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</si>
  <si>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</si>
  <si>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</si>
  <si>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</si>
  <si>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</si>
  <si>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</si>
  <si>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</si>
  <si>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</si>
  <si>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</si>
  <si>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</si>
  <si>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</si>
  <si>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</si>
  <si>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</si>
  <si>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</si>
  <si>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</si>
  <si>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</si>
  <si>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</si>
  <si>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</si>
  <si>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</si>
  <si>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</si>
  <si>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</si>
  <si>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</si>
  <si>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</si>
  <si>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</si>
  <si>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</si>
  <si>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</si>
  <si>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</si>
  <si>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</si>
  <si>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</si>
  <si>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</si>
  <si>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</si>
  <si>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</si>
  <si>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</si>
  <si>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</si>
  <si>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</si>
  <si>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</si>
  <si>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</si>
  <si>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</si>
  <si>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</si>
  <si>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</si>
  <si>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</si>
  <si>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</si>
  <si>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</si>
  <si>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</si>
  <si>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</si>
  <si>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</si>
  <si>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</si>
  <si>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</si>
  <si>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</si>
  <si>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</si>
  <si>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</si>
  <si>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</si>
  <si>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</si>
  <si>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</si>
  <si>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</si>
  <si>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</si>
  <si>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</si>
  <si>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</si>
  <si>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</si>
  <si>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</si>
  <si>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</si>
  <si>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</si>
  <si>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</si>
  <si>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</si>
  <si>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</si>
  <si>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</si>
  <si>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</si>
  <si>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</si>
  <si>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</si>
  <si>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</si>
  <si>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</si>
  <si>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</si>
  <si>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</si>
  <si>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</si>
  <si>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</si>
  <si>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</si>
  <si>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</si>
  <si>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</si>
  <si>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</si>
  <si>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</si>
  <si>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</si>
  <si>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</si>
  <si>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</si>
  <si>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</si>
  <si>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</si>
  <si>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</si>
  <si>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</si>
  <si>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</si>
  <si>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</si>
  <si>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</si>
  <si>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</si>
  <si>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</si>
  <si>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</si>
  <si>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</si>
  <si>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</si>
  <si>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</si>
  <si>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</si>
  <si>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</si>
  <si>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</si>
  <si>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</si>
  <si>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</si>
  <si>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</si>
  <si>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</si>
  <si>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</si>
  <si>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</si>
  <si>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</si>
  <si>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</si>
  <si>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</si>
  <si>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</si>
  <si>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</si>
  <si>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phoneticPr fontId="2"/>
  </si>
  <si>
    <t>△</t>
  </si>
  <si>
    <t>ログイン時の属性更新</t>
    <phoneticPr fontId="2"/>
  </si>
  <si>
    <t>ログイン画面</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</si>
  <si>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</si>
  <si>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</si>
  <si>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</si>
  <si>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</si>
  <si>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</si>
  <si>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</si>
  <si>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</si>
  <si>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</si>
  <si>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</si>
  <si>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</si>
  <si>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</si>
  <si>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</si>
  <si>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</si>
  <si>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</si>
  <si>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</si>
  <si>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</si>
  <si>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</si>
  <si>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</si>
  <si>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</si>
  <si>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</si>
  <si>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</si>
  <si>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</si>
  <si>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</si>
  <si>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</si>
  <si>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</si>
  <si>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</si>
  <si>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</si>
  <si>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</si>
  <si>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</si>
  <si>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</si>
  <si>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</si>
  <si>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</si>
  <si>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</si>
  <si>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</si>
  <si>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</si>
  <si>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</si>
  <si>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</si>
  <si>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</si>
  <si>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</si>
  <si>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</si>
  <si>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</si>
  <si>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</si>
  <si>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</si>
  <si>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</si>
  <si>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</si>
  <si>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</si>
  <si>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</si>
  <si>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</si>
  <si>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</si>
  <si>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</si>
  <si>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</si>
  <si>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</si>
  <si>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</si>
  <si>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</si>
  <si>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</si>
  <si>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</si>
  <si>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</si>
  <si>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</si>
  <si>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</si>
  <si>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</si>
  <si>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</si>
  <si>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</si>
  <si>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</si>
  <si>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</si>
  <si>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</si>
  <si>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</si>
  <si>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</si>
  <si>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</si>
  <si>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</si>
  <si>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</si>
  <si>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</si>
  <si>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</si>
  <si>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</si>
  <si>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</si>
  <si>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</si>
  <si>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</si>
  <si>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</si>
  <si>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</si>
  <si>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</si>
  <si>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</si>
  <si>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</si>
  <si>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</si>
  <si>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</si>
  <si>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</si>
  <si>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</si>
  <si>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</si>
  <si>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</si>
  <si>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</si>
  <si>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</si>
  <si>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</si>
  <si>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</si>
  <si>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</si>
  <si>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</si>
  <si>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</si>
  <si>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</si>
  <si>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</si>
  <si>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</si>
  <si>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</si>
  <si>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</si>
  <si>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</si>
  <si>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</si>
  <si>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</si>
  <si>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</si>
  <si>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</si>
  <si>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</si>
  <si>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</si>
  <si>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</si>
  <si>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</si>
  <si>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</si>
  <si>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</si>
  <si>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</si>
  <si>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</si>
  <si>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</si>
  <si>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</si>
  <si>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</si>
  <si>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</si>
  <si>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</si>
  <si>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</si>
  <si>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</si>
  <si>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</si>
  <si>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</si>
  <si>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</si>
  <si>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</si>
  <si>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</si>
  <si>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</si>
  <si>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</si>
  <si>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</si>
  <si>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</si>
  <si>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</si>
  <si>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</si>
  <si>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</si>
  <si>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</si>
  <si>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</si>
  <si>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</si>
  <si>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</si>
  <si>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</si>
  <si>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</si>
  <si>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</si>
  <si>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</si>
  <si>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</si>
  <si>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</si>
  <si>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</si>
  <si>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</si>
  <si>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</si>
  <si>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</si>
  <si>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</si>
  <si>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</si>
  <si>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</si>
  <si>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</si>
  <si>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</si>
  <si>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</si>
  <si>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</si>
  <si>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</si>
  <si>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</si>
  <si>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</si>
  <si>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</si>
  <si>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</si>
  <si>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</si>
  <si>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</si>
  <si>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</si>
  <si>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</si>
  <si>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</si>
  <si>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</si>
  <si>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</si>
  <si>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</si>
  <si>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</si>
  <si>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</si>
  <si>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</si>
  <si>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</si>
  <si>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</si>
  <si>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</si>
  <si>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</si>
  <si>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</si>
  <si>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</si>
  <si>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</si>
  <si>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</si>
  <si>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</si>
  <si>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</si>
  <si>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</si>
  <si>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</si>
  <si>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</si>
  <si>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</si>
  <si>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</si>
  <si>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</si>
  <si>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</si>
  <si>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</si>
  <si>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</si>
  <si>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</si>
  <si>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</si>
  <si>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</si>
  <si>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</si>
  <si>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</si>
  <si>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</si>
  <si>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</si>
  <si>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</si>
  <si>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</si>
  <si>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</si>
  <si>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</si>
  <si>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</si>
  <si>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</si>
  <si>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</si>
  <si>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</si>
  <si>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</si>
  <si>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</si>
  <si>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</si>
  <si>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</si>
  <si>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</si>
  <si>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</si>
  <si>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</si>
  <si>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</si>
  <si>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</si>
  <si>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</si>
  <si>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</si>
  <si>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</si>
  <si>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</si>
  <si>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</si>
  <si>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</si>
  <si>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</si>
  <si>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</si>
  <si>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</si>
  <si>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</si>
  <si>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</si>
  <si>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</si>
  <si>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</si>
  <si>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</si>
  <si>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</si>
  <si>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</si>
  <si>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</si>
  <si>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</si>
  <si>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</si>
  <si>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</si>
  <si>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</si>
  <si>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</si>
  <si>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</si>
  <si>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</si>
  <si>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</si>
  <si>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</si>
  <si>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</si>
  <si>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</si>
  <si>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</si>
  <si>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</si>
  <si>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</si>
  <si>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</si>
  <si>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</si>
  <si>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</si>
  <si>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</si>
  <si>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</si>
  <si>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</si>
  <si>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</si>
  <si>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</si>
  <si>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</si>
  <si>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</si>
  <si>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</si>
  <si>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</si>
  <si>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</si>
  <si>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</si>
  <si>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</si>
  <si>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</si>
  <si>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</si>
  <si>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</si>
  <si>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</si>
  <si>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</si>
  <si>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</si>
  <si>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</si>
  <si>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</si>
  <si>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</si>
  <si>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</si>
  <si>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</si>
  <si>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</si>
  <si>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</si>
  <si>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</si>
  <si>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</si>
  <si>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</si>
  <si>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</si>
  <si>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</si>
  <si>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</si>
  <si>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</si>
  <si>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</si>
  <si>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</si>
  <si>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</si>
  <si>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</si>
  <si>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</si>
  <si>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</si>
  <si>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</si>
  <si>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</si>
  <si>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</si>
  <si>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</si>
  <si>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</si>
  <si>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</si>
  <si>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</si>
  <si>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</si>
  <si>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</si>
  <si>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</si>
  <si>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</si>
  <si>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</si>
  <si>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</si>
  <si>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</si>
  <si>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</si>
  <si>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</si>
  <si>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</si>
  <si>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</si>
  <si>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</si>
  <si>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</si>
  <si>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</si>
  <si>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</si>
  <si>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</si>
  <si>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</si>
  <si>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</si>
  <si>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</si>
  <si>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</si>
  <si>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</si>
  <si>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</si>
  <si>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</si>
  <si>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</si>
  <si>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</si>
  <si>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</si>
  <si>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</si>
  <si>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</si>
  <si>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</si>
  <si>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</si>
  <si>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</si>
  <si>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</si>
  <si>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</si>
  <si>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</si>
  <si>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</si>
  <si>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</si>
  <si>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</si>
  <si>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</si>
  <si>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</si>
  <si>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</si>
  <si>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</si>
  <si>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</si>
  <si>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</si>
  <si>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</si>
  <si>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</si>
  <si>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</si>
  <si>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</si>
  <si>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</si>
  <si>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</si>
  <si>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</si>
  <si>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</si>
  <si>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</si>
  <si>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</si>
  <si>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</si>
  <si>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</si>
  <si>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</si>
  <si>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</si>
  <si>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</si>
  <si>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</si>
  <si>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</si>
  <si>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</si>
  <si>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</si>
  <si>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</si>
  <si>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</si>
  <si>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</si>
  <si>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</si>
  <si>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</si>
  <si>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</si>
  <si>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</si>
  <si>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</si>
  <si>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</si>
  <si>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</si>
  <si>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</si>
  <si>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</si>
  <si>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</si>
  <si>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</si>
  <si>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</si>
  <si>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</si>
  <si>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</si>
  <si>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</si>
  <si>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</si>
  <si>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</si>
  <si>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</si>
  <si>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</si>
  <si>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</si>
  <si>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</si>
  <si>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</si>
  <si>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</si>
  <si>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</si>
  <si>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</si>
  <si>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</si>
  <si>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</si>
  <si>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</si>
  <si>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</si>
  <si>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</si>
  <si>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</si>
  <si>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</si>
  <si>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</si>
  <si>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</si>
  <si>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</si>
  <si>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</si>
  <si>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</si>
  <si>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</si>
  <si>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</si>
  <si>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</si>
  <si>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</si>
  <si>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</si>
  <si>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</si>
  <si>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</si>
  <si>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</si>
  <si>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</si>
  <si>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</si>
  <si>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</si>
  <si>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</si>
  <si>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</si>
  <si>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</si>
  <si>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</si>
  <si>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</si>
  <si>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</si>
  <si>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</si>
  <si>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</si>
  <si>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</si>
  <si>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</si>
  <si>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</si>
  <si>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</si>
  <si>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</si>
  <si>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</si>
  <si>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</si>
  <si>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</si>
  <si>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</si>
  <si>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</si>
  <si>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</si>
  <si>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</si>
  <si>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</si>
  <si>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</si>
  <si>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</si>
  <si>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</si>
  <si>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</si>
  <si>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</si>
  <si>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</si>
  <si>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</si>
  <si>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</si>
  <si>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</si>
  <si>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</si>
  <si>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</si>
  <si>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</si>
  <si>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</si>
  <si>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</si>
  <si>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</si>
  <si>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</si>
  <si>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</si>
  <si>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</si>
  <si>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</si>
  <si>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</si>
  <si>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</si>
  <si>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</si>
  <si>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</si>
  <si>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</si>
  <si>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</si>
  <si>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</si>
  <si>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</si>
  <si>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</si>
  <si>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</si>
  <si>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</si>
  <si>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</si>
  <si>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</si>
  <si>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</si>
  <si>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</si>
  <si>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</si>
  <si>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</si>
  <si>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</si>
  <si>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</si>
  <si>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</si>
  <si>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</si>
  <si>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</si>
  <si>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</si>
  <si>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</si>
  <si>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</si>
  <si>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</si>
  <si>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</si>
  <si>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</si>
  <si>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</si>
  <si>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</si>
  <si>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</si>
  <si>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</si>
  <si>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</si>
  <si>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</si>
  <si>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</si>
  <si>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</si>
  <si>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</si>
  <si>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</si>
  <si>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</si>
  <si>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</si>
  <si>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</si>
  <si>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</si>
  <si>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</si>
  <si>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</si>
  <si>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</si>
  <si>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</si>
  <si>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</si>
  <si>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</si>
  <si>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</si>
  <si>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</si>
  <si>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</si>
  <si>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</si>
  <si>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</si>
  <si>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</si>
  <si>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</si>
  <si>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</si>
  <si>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</si>
  <si>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</si>
  <si>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</si>
  <si>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</si>
  <si>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</si>
  <si>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</si>
  <si>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</si>
  <si>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</si>
  <si>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</si>
  <si>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</si>
  <si>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</si>
  <si>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</si>
  <si>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</si>
  <si>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</si>
  <si>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</si>
  <si>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</si>
  <si>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</si>
  <si>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</si>
  <si>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</si>
  <si>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</si>
  <si>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</si>
  <si>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</si>
  <si>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</si>
  <si>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</si>
  <si>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</si>
  <si>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</si>
  <si>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</si>
  <si>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</si>
  <si>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</si>
  <si>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</si>
  <si>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</si>
  <si>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</si>
  <si>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</si>
  <si>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</si>
  <si>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</si>
  <si>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</si>
  <si>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</si>
  <si>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</si>
  <si>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</si>
  <si>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</si>
  <si>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</si>
  <si>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</si>
  <si>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</si>
  <si>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</si>
  <si>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</si>
  <si>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</si>
  <si>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</si>
  <si>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</si>
  <si>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</si>
  <si>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</si>
  <si>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</si>
  <si>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</si>
  <si>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</si>
  <si>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</si>
  <si>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</si>
  <si>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</si>
  <si>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</si>
  <si>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</si>
  <si>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</si>
  <si>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</si>
  <si>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</si>
  <si>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</si>
  <si>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</si>
  <si>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</si>
  <si>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</si>
  <si>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</si>
  <si>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</si>
  <si>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</si>
  <si>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</si>
  <si>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</si>
  <si>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</si>
  <si>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</si>
  <si>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</si>
  <si>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</si>
  <si>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</si>
  <si>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</si>
  <si>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</si>
  <si>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</si>
  <si>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</si>
  <si>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</si>
  <si>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</si>
  <si>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</si>
  <si>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</si>
  <si>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</si>
  <si>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</si>
  <si>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</si>
  <si>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</si>
  <si>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</si>
  <si>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</si>
  <si>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</si>
  <si>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</si>
  <si>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</si>
  <si>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</si>
  <si>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</si>
  <si>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</si>
  <si>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</si>
  <si>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</si>
  <si>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</si>
  <si>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</si>
  <si>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</si>
  <si>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</si>
  <si>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</si>
  <si>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</si>
  <si>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</si>
  <si>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</si>
  <si>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</si>
  <si>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</si>
  <si>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</si>
  <si>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</si>
  <si>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</si>
  <si>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</si>
  <si>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</si>
  <si>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</si>
  <si>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</si>
  <si>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</si>
  <si>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</si>
  <si>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</si>
  <si>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</si>
  <si>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</si>
  <si>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</si>
  <si>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</si>
  <si>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</si>
  <si>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</si>
  <si>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</si>
  <si>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</si>
  <si>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</si>
  <si>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</si>
  <si>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</si>
  <si>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</si>
  <si>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</si>
  <si>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</si>
  <si>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</si>
  <si>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</si>
  <si>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</si>
  <si>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</si>
  <si>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</si>
  <si>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</si>
  <si>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</si>
  <si>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</si>
  <si>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</si>
  <si>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</si>
  <si>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</si>
  <si>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</si>
  <si>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</si>
  <si>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</si>
  <si>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</si>
  <si>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</si>
  <si>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</si>
  <si>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</si>
  <si>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</si>
  <si>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</si>
  <si>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</si>
  <si>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</si>
  <si>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</si>
  <si>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</si>
  <si>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</si>
  <si>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</si>
  <si>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</si>
  <si>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</si>
  <si>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</si>
  <si>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</si>
  <si>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</si>
  <si>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</si>
  <si>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</si>
  <si>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</si>
  <si>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</si>
  <si>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</si>
  <si>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</si>
  <si>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</si>
  <si>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</si>
  <si>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</si>
  <si>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MKA-13</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</si>
  <si>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</si>
  <si>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</si>
  <si>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</si>
  <si>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</si>
  <si>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</si>
  <si>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</si>
  <si>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</si>
  <si>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</si>
  <si>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</si>
  <si>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</si>
  <si>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</si>
  <si>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</si>
  <si>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</si>
  <si>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</si>
  <si>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</si>
  <si>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</si>
  <si>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</si>
  <si>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</si>
  <si>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</si>
  <si>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</si>
  <si>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</si>
  <si>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</si>
  <si>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</si>
  <si>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</si>
  <si>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</si>
  <si>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</si>
  <si>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</si>
  <si>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</si>
  <si>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</si>
  <si>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</si>
  <si>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</si>
  <si>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</si>
  <si>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</si>
  <si>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</si>
  <si>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</si>
  <si>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</si>
  <si>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</si>
  <si>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</si>
  <si>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</si>
  <si>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</si>
  <si>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</si>
  <si>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</si>
  <si>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</si>
  <si>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</si>
  <si>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</si>
  <si>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</si>
  <si>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</si>
  <si>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</si>
  <si>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</si>
  <si>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</si>
  <si>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</si>
  <si>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</si>
  <si>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</si>
  <si>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</si>
  <si>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</si>
  <si>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</si>
  <si>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</si>
  <si>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</si>
  <si>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</si>
  <si>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</si>
  <si>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</si>
  <si>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</si>
  <si>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</si>
  <si>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</si>
  <si>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</si>
  <si>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</si>
  <si>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</si>
  <si>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</si>
  <si>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</si>
  <si>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</si>
  <si>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</si>
  <si>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</si>
  <si>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</si>
  <si>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</si>
  <si>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</si>
  <si>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</si>
  <si>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</si>
  <si>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</si>
  <si>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</si>
  <si>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</si>
  <si>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</si>
  <si>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</si>
  <si>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</si>
  <si>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</si>
  <si>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</si>
  <si>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</si>
  <si>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</si>
  <si>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</si>
  <si>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</si>
  <si>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</si>
  <si>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</si>
  <si>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</si>
  <si>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</si>
  <si>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</si>
  <si>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</si>
  <si>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</si>
  <si>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</si>
  <si>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</si>
  <si>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</si>
  <si>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</si>
  <si>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</si>
  <si>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</si>
  <si>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</si>
  <si>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</si>
  <si>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</si>
  <si>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</si>
  <si>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</si>
  <si>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</si>
  <si>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</si>
  <si>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</si>
  <si>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</si>
  <si>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</si>
  <si>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</si>
  <si>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</si>
  <si>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</si>
  <si>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</si>
  <si>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</si>
  <si>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</si>
  <si>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</si>
  <si>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</si>
  <si>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</si>
  <si>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</si>
  <si>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</si>
  <si>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</si>
  <si>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</si>
  <si>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</si>
  <si>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</si>
  <si>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</si>
  <si>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</si>
  <si>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</si>
  <si>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</si>
  <si>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</si>
  <si>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</si>
  <si>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</si>
  <si>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</si>
  <si>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</si>
  <si>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</si>
  <si>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</si>
  <si>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</si>
  <si>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</si>
  <si>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</si>
  <si>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</si>
  <si>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</si>
  <si>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</si>
  <si>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</si>
  <si>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</si>
  <si>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</si>
  <si>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</si>
  <si>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</si>
  <si>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</si>
  <si>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</si>
  <si>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</si>
  <si>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</si>
  <si>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</si>
  <si>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</si>
  <si>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</si>
  <si>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</si>
  <si>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</si>
  <si>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</si>
  <si>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</si>
  <si>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</si>
  <si>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</si>
  <si>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</si>
  <si>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</si>
  <si>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</si>
  <si>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</si>
  <si>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</si>
  <si>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</si>
  <si>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</si>
  <si>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</si>
  <si>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</si>
  <si>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</si>
  <si>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</si>
  <si>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</si>
  <si>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</si>
  <si>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</si>
  <si>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</si>
  <si>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</si>
  <si>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</si>
  <si>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</si>
  <si>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</si>
  <si>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</si>
  <si>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</si>
  <si>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</si>
  <si>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</si>
  <si>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</si>
  <si>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</si>
  <si>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</si>
  <si>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</si>
  <si>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</si>
  <si>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</si>
  <si>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</si>
  <si>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</si>
  <si>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</si>
  <si>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</si>
  <si>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</si>
  <si>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</si>
  <si>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</si>
  <si>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</si>
  <si>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</si>
  <si>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</si>
  <si>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</si>
  <si>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</si>
  <si>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</si>
  <si>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</si>
  <si>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</si>
  <si>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</si>
  <si>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</si>
  <si>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</si>
  <si>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</si>
  <si>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</si>
  <si>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</si>
  <si>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</si>
  <si>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</si>
  <si>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</si>
  <si>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</si>
  <si>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</si>
  <si>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</si>
  <si>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</si>
  <si>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</si>
  <si>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</si>
  <si>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</si>
  <si>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</si>
  <si>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</si>
  <si>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</si>
  <si>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</si>
  <si>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</si>
  <si>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</si>
  <si>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</si>
  <si>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</si>
  <si>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</si>
  <si>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</si>
  <si>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</si>
  <si>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</si>
  <si>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</si>
  <si>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</si>
  <si>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</si>
  <si>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</si>
  <si>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</si>
  <si>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</si>
  <si>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</si>
  <si>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</si>
  <si>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</si>
  <si>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</si>
  <si>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</si>
  <si>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</si>
  <si>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</si>
  <si>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</si>
  <si>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</si>
  <si>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</si>
  <si>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</si>
  <si>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</si>
  <si>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</si>
  <si>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</si>
  <si>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</si>
  <si>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</si>
  <si>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</si>
  <si>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</si>
  <si>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</si>
  <si>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</si>
  <si>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</si>
  <si>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</si>
  <si>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</si>
  <si>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</si>
  <si>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</si>
  <si>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</si>
  <si>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</si>
  <si>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</si>
  <si>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</si>
  <si>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</si>
  <si>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</si>
  <si>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</si>
  <si>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</si>
  <si>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</si>
  <si>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</si>
  <si>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</si>
  <si>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</si>
  <si>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</si>
  <si>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</si>
  <si>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</si>
  <si>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</si>
  <si>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</si>
  <si>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</si>
  <si>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</si>
  <si>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</si>
  <si>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</si>
  <si>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</si>
  <si>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</si>
  <si>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</si>
  <si>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</si>
  <si>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</si>
  <si>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</si>
  <si>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</si>
  <si>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</si>
  <si>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</si>
  <si>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</si>
  <si>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</si>
  <si>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</si>
  <si>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</si>
  <si>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</si>
  <si>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</si>
  <si>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</si>
  <si>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</si>
  <si>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</si>
  <si>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</si>
  <si>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</si>
  <si>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</si>
  <si>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</si>
  <si>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</si>
  <si>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</si>
  <si>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</si>
  <si>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</si>
  <si>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</si>
  <si>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</si>
  <si>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</si>
  <si>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</si>
  <si>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</si>
  <si>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</si>
  <si>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</si>
  <si>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</si>
  <si>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</si>
  <si>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</si>
  <si>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</si>
  <si>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</si>
  <si>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</si>
  <si>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</si>
  <si>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</si>
  <si>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</si>
  <si>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</si>
  <si>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</si>
  <si>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</si>
  <si>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</si>
  <si>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</si>
  <si>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</si>
  <si>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</si>
  <si>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</si>
  <si>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</si>
  <si>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</si>
  <si>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</si>
  <si>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</si>
  <si>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</si>
  <si>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</si>
  <si>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</si>
  <si>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</si>
  <si>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</si>
  <si>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</si>
  <si>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</si>
  <si>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</si>
  <si>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</si>
  <si>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</si>
  <si>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</si>
  <si>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</si>
  <si>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</si>
  <si>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</si>
  <si>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</si>
  <si>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</si>
  <si>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</si>
  <si>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</si>
  <si>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</si>
  <si>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</si>
  <si>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</si>
  <si>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</si>
  <si>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</si>
  <si>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</si>
  <si>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</si>
  <si>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</si>
  <si>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</si>
  <si>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</si>
  <si>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</si>
  <si>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</si>
  <si>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</si>
  <si>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</si>
  <si>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</si>
  <si>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</si>
  <si>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</si>
  <si>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</si>
  <si>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</si>
  <si>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</si>
  <si>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</si>
  <si>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</si>
  <si>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</si>
  <si>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</si>
  <si>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</si>
  <si>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</si>
  <si>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</si>
  <si>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</si>
  <si>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</si>
  <si>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</si>
  <si>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</si>
  <si>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</si>
  <si>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</si>
  <si>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</si>
  <si>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</si>
  <si>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</si>
  <si>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</si>
  <si>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</si>
  <si>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</si>
  <si>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</si>
  <si>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</si>
  <si>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</si>
  <si>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</si>
  <si>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</si>
  <si>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</si>
  <si>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</si>
  <si>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</si>
  <si>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</si>
  <si>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</si>
  <si>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</si>
  <si>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</si>
  <si>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</si>
  <si>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</si>
  <si>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</si>
  <si>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</si>
  <si>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</si>
  <si>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</si>
  <si>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</si>
  <si>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</si>
  <si>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</si>
  <si>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</si>
  <si>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</si>
  <si>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</si>
  <si>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</si>
  <si>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</si>
  <si>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</si>
  <si>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</si>
  <si>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</si>
  <si>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</si>
  <si>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</si>
  <si>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</si>
  <si>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</si>
  <si>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</si>
  <si>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</si>
  <si>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</si>
  <si>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</si>
  <si>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</si>
  <si>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</si>
  <si>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</si>
  <si>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</si>
  <si>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</si>
  <si>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</si>
  <si>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</si>
  <si>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</si>
  <si>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</si>
  <si>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</si>
  <si>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</si>
  <si>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</si>
  <si>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</si>
  <si>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</si>
  <si>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</si>
  <si>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</si>
  <si>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</si>
  <si>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</si>
  <si>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</si>
  <si>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</si>
  <si>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</si>
  <si>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</si>
  <si>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</si>
  <si>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</si>
  <si>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</si>
  <si>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</si>
  <si>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</si>
  <si>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</si>
  <si>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</si>
  <si>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</si>
  <si>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</si>
  <si>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</si>
  <si>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</si>
  <si>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</si>
  <si>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</si>
  <si>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</si>
  <si>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</si>
  <si>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</si>
  <si>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</si>
  <si>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</si>
  <si>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</si>
  <si>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</si>
  <si>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</si>
  <si>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</si>
  <si>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</si>
  <si>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</si>
  <si>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</si>
  <si>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</si>
  <si>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</si>
  <si>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</si>
  <si>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</si>
  <si>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</si>
  <si>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</si>
  <si>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</si>
  <si>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</si>
  <si>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</si>
  <si>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</si>
  <si>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</si>
  <si>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</si>
  <si>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</si>
  <si>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</si>
  <si>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</si>
  <si>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</si>
  <si>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</si>
  <si>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</si>
  <si>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</si>
  <si>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</si>
  <si>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</si>
  <si>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</si>
  <si>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</si>
  <si>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</si>
  <si>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</si>
  <si>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</si>
  <si>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</si>
  <si>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</si>
  <si>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</si>
  <si>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</si>
  <si>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</si>
  <si>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</si>
  <si>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</si>
  <si>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</si>
  <si>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</si>
  <si>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</si>
  <si>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</si>
  <si>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</si>
  <si>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</si>
  <si>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</si>
  <si>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</si>
  <si>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</si>
  <si>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</si>
  <si>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</si>
  <si>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</si>
  <si>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</si>
  <si>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</si>
  <si>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</si>
  <si>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</si>
  <si>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</si>
  <si>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</si>
  <si>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</si>
  <si>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</si>
  <si>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</si>
  <si>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</si>
  <si>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</si>
  <si>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</si>
  <si>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</si>
  <si>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</si>
  <si>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</si>
  <si>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</si>
  <si>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</si>
  <si>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</si>
  <si>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</si>
  <si>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</si>
  <si>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</si>
  <si>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</si>
  <si>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</si>
  <si>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</si>
  <si>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</si>
  <si>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</si>
  <si>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</si>
  <si>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</si>
  <si>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</si>
  <si>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</si>
  <si>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</si>
  <si>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</si>
  <si>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</si>
  <si>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</si>
  <si>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</si>
  <si>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</si>
  <si>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</si>
  <si>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</si>
  <si>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</si>
  <si>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</si>
  <si>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</si>
  <si>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</si>
  <si>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</si>
  <si>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</si>
  <si>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</si>
  <si>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</si>
  <si>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</si>
  <si>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</si>
  <si>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</si>
  <si>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</si>
  <si>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</si>
  <si>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</si>
  <si>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</si>
  <si>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</si>
  <si>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</si>
  <si>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</si>
  <si>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</si>
  <si>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</si>
  <si>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</si>
  <si>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</si>
  <si>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</si>
  <si>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</si>
  <si>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</si>
  <si>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</si>
  <si>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</si>
  <si>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</si>
  <si>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</si>
  <si>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</si>
  <si>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</si>
  <si>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</si>
  <si>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</si>
  <si>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</si>
  <si>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</si>
  <si>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</si>
  <si>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</si>
  <si>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</si>
  <si>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</si>
  <si>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Must</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</si>
  <si>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</si>
  <si>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</si>
  <si>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</si>
  <si>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</si>
  <si>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</si>
  <si>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</si>
  <si>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</si>
  <si>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</si>
  <si>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</si>
  <si>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</si>
  <si>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</si>
  <si>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</si>
  <si>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</si>
  <si>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</si>
  <si>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</si>
  <si>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</si>
  <si>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</si>
  <si>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</si>
  <si>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</si>
  <si>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</si>
  <si>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</si>
  <si>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</si>
  <si>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</si>
  <si>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</si>
  <si>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</si>
  <si>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</si>
  <si>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</si>
  <si>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</si>
  <si>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</si>
  <si>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</si>
  <si>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</si>
  <si>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</si>
  <si>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</si>
  <si>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Auth0 OIDC IdP 連携</t>
  </si>
  <si>
    <t>Auth0 を顧客IdP として接続できること</t>
  </si>
  <si>
    <t>推奨値あり</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</si>
  <si>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</si>
  <si>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</si>
  <si>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</si>
  <si>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</si>
  <si>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</si>
  <si>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</si>
  <si>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</si>
  <si>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</si>
  <si>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</si>
  <si>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</si>
  <si>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</si>
  <si>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</si>
  <si>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</si>
  <si>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</si>
  <si>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</si>
  <si>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</si>
  <si>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</si>
  <si>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</si>
  <si>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</si>
  <si>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</si>
  <si>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Custom Domain での federation</t>
  </si>
  <si>
    <t>顧客ごとの独自ドメインでフェデレーションできること</t>
  </si>
  <si>
    <t>TOTP（Google Authenticator 等）</t>
  </si>
  <si>
    <t>スマートフォンアプリの数字コードで追加認証できること</t>
  </si>
  <si>
    <t>追加認証は Keycloak-Broker では扱わない。ローカル収容ユーザは Keycloak-IdP 側</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</si>
  <si>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</si>
  <si>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</si>
  <si>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</si>
  <si>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</si>
  <si>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</si>
  <si>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</si>
  <si>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</si>
  <si>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</si>
  <si>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</si>
  <si>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</si>
  <si>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</si>
  <si>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</si>
  <si>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</si>
  <si>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</si>
  <si>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</si>
  <si>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</si>
  <si>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</si>
  <si>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</si>
  <si>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IdP セッション破棄（OIDC RP-Initiated Logout）</t>
  </si>
  <si>
    <t>フェデレーション IdP セッション破棄（連動ログアウト）</t>
  </si>
  <si>
    <t>画面経由で他のアプリにログアウトを伝えられること</t>
  </si>
  <si>
    <t>Back-Channel を採用するため作らない</t>
  </si>
  <si>
    <t>サーバ間の通知で他のアプリにログアウトを伝えられること</t>
  </si>
  <si>
    <t>管理者の操作で、対象のログイン状態をまとめて破棄できること</t>
  </si>
  <si>
    <t>JWT に載せた情報でアプリが可否を判断できること</t>
  </si>
  <si>
    <t>顧客を指す値で、他の顧客のデータに触れられないようにできること</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</si>
  <si>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</si>
  <si>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</si>
  <si>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</si>
  <si>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</si>
  <si>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</si>
  <si>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</si>
  <si>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</si>
  <si>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</si>
  <si>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</si>
  <si>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</si>
  <si>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</si>
  <si>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</si>
  <si>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</si>
  <si>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</si>
  <si>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</si>
  <si>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ローカル収容ユーザの話</t>
  </si>
  <si>
    <t>ユーザを検索・一覧表示できること</t>
  </si>
  <si>
    <t>管理画面はアプリ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</si>
  <si>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</si>
  <si>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</si>
  <si>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</si>
  <si>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</si>
  <si>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</si>
  <si>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</si>
  <si>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ユーザを消すときに関連するデータも消せること</t>
  </si>
  <si>
    <t>新しいユーザに招待を送れること</t>
  </si>
  <si>
    <t>管理コンソール UI</t>
  </si>
  <si>
    <t>管理のための画面があること</t>
  </si>
  <si>
    <t>管理画面はアプリが作る</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</si>
  <si>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</si>
  <si>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</si>
  <si>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</si>
  <si>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</si>
  <si>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</si>
  <si>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</si>
  <si>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</si>
  <si>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</si>
  <si>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</si>
  <si>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</si>
  <si>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</si>
  <si>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</si>
  <si>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</si>
  <si>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</si>
  <si>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</si>
  <si>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</si>
  <si>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</si>
  <si>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</si>
  <si>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</si>
  <si>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</si>
  <si>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</si>
  <si>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</si>
  <si>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</si>
  <si>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</si>
  <si>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監査の記録を外部へ出力できること</t>
  </si>
  <si>
    <t>全体の共通基盤へ出して集約する</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</si>
  <si>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</si>
  <si>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</si>
  <si>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</si>
  <si>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</si>
  <si>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</si>
  <si>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</si>
  <si>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</si>
  <si>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</si>
  <si>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</si>
  <si>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</si>
  <si>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</si>
  <si>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</si>
  <si>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</si>
  <si>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</si>
  <si>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</si>
  <si>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</si>
  <si>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</si>
  <si>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JWT 検証スループット</t>
  </si>
  <si>
    <t>JWT の検証を目標の件数まで捌けること</t>
  </si>
  <si>
    <t>JWKS キャッシュ TTL</t>
  </si>
  <si>
    <t>署名鍵の取得結果を一定時間持ち回して負荷を下げること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</si>
  <si>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</si>
  <si>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</si>
  <si>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</si>
  <si>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</si>
  <si>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</si>
  <si>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</si>
  <si>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</si>
  <si>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</si>
  <si>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</si>
  <si>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</si>
  <si>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</si>
  <si>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</si>
  <si>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</si>
  <si>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</si>
  <si>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</si>
  <si>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</si>
  <si>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</si>
  <si>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本人確認結果の有効期限が定められていること</t>
  </si>
  <si>
    <t>更新用の資格を使うたびに入れ替えること</t>
  </si>
  <si>
    <t>パスワードを安全な方式で保管すること</t>
  </si>
  <si>
    <t>総当たりを防ぐこと</t>
  </si>
  <si>
    <t>Keycloak-Broker はパスワードを持たないため、振り分けの実在推測の防止と試行回数の制限に置き換える</t>
  </si>
  <si>
    <t>外部からの攻撃を入口で遮ること（WAF）</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</si>
  <si>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</si>
  <si>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</si>
  <si>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</si>
  <si>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</si>
  <si>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</si>
  <si>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</si>
  <si>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</si>
  <si>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</si>
  <si>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ログインの前後で状態を作り替え、乗っ取りを防ぐこと</t>
  </si>
  <si>
    <t>目標の時間内に復旧できること</t>
  </si>
  <si>
    <t>失うデータを目標の範囲に収めること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</si>
  <si>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</si>
  <si>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</si>
  <si>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</si>
  <si>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</si>
  <si>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</si>
  <si>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</si>
  <si>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</si>
  <si>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</si>
  <si>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</si>
  <si>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</si>
  <si>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</si>
  <si>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</si>
  <si>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</si>
  <si>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</si>
  <si>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</si>
  <si>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</si>
  <si>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</si>
  <si>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</si>
  <si>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</si>
  <si>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</si>
  <si>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個人情報保護法に沿った扱いをすること</t>
  </si>
  <si>
    <t>海外の個人情報の規則に沿えること</t>
  </si>
  <si>
    <t>海外展開時に再評価</t>
  </si>
  <si>
    <t>第三者認証（SOC 2）に対応できること</t>
  </si>
  <si>
    <t>取得の予定が決まってから</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</si>
  <si>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</si>
  <si>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</si>
  <si>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</si>
  <si>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</si>
  <si>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</si>
  <si>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</si>
  <si>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</si>
  <si>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法令が求める期間まで記録を保つこと</t>
  </si>
  <si>
    <t>データを置く地域を限定できること</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</si>
  <si>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</si>
  <si>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</si>
  <si>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</si>
  <si>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</si>
  <si>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</si>
  <si>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</si>
  <si>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</si>
  <si>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</si>
  <si>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</si>
  <si>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</si>
  <si>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</si>
  <si>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</si>
  <si>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</si>
  <si>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</si>
  <si>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</si>
  <si>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</si>
  <si>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</si>
  <si>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</si>
  <si>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</si>
  <si>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</si>
  <si>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</si>
  <si>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</si>
  <si>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</si>
  <si>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</si>
  <si>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</si>
  <si>
    <t>MKA-01 MKJ-01</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</si>
  <si>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</si>
  <si>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</si>
  <si>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</si>
  <si>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</si>
  <si>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</si>
  <si>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</si>
  <si>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</si>
  <si>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</si>
  <si>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</si>
  <si>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</si>
  <si>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</si>
  <si>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</si>
  <si>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</si>
  <si>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</si>
  <si>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</si>
  <si>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</si>
  <si>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</si>
  <si>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</si>
  <si>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</si>
  <si>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</si>
  <si>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</si>
  <si>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</si>
  <si>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</si>
  <si>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</si>
  <si>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</si>
  <si>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</si>
  <si>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</si>
  <si>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</si>
  <si>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</si>
  <si>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</si>
  <si>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</si>
  <si>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</si>
  <si>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</si>
  <si>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</si>
  <si>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</si>
  <si>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</si>
  <si>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</si>
  <si>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</si>
  <si>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</si>
  <si>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</si>
  <si>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</si>
  <si>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</si>
  <si>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</si>
  <si>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</si>
  <si>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</si>
  <si>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</si>
  <si>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</si>
  <si>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</si>
  <si>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</si>
  <si>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</si>
  <si>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</si>
  <si>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</si>
  <si>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</si>
  <si>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</si>
  <si>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</si>
  <si>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</si>
  <si>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</si>
  <si>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</si>
  <si>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</si>
  <si>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</si>
  <si>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</si>
  <si>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</si>
  <si>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</si>
  <si>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</si>
  <si>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</si>
  <si>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</si>
  <si>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</si>
  <si>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</si>
  <si>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</si>
  <si>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</si>
  <si>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</si>
  <si>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</si>
  <si>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</si>
  <si>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</si>
  <si>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</si>
  <si>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</si>
  <si>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</si>
  <si>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</si>
  <si>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</si>
  <si>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</si>
  <si>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</si>
  <si>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</si>
  <si>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</si>
  <si>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</si>
  <si>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</si>
  <si>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</si>
  <si>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</si>
  <si>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</si>
  <si>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</si>
  <si>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</si>
  <si>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</si>
  <si>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</si>
  <si>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</si>
  <si>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</si>
  <si>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</si>
  <si>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</si>
  <si>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</si>
  <si>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</si>
  <si>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</si>
  <si>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</si>
  <si>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</si>
  <si>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</si>
  <si>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</si>
  <si>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</si>
  <si>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</si>
  <si>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</si>
  <si>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</si>
  <si>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</si>
  <si>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</si>
  <si>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</si>
  <si>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</si>
  <si>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</si>
  <si>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</si>
  <si>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</si>
  <si>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</si>
  <si>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</si>
  <si>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</si>
  <si>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</si>
  <si>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</si>
  <si>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</si>
  <si>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</si>
  <si>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</si>
  <si>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</si>
  <si>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</si>
  <si>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</si>
  <si>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</si>
  <si>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</si>
  <si>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</si>
  <si>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</si>
  <si>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</si>
  <si>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</si>
  <si>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</si>
  <si>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</si>
  <si>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</si>
  <si>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</si>
  <si>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</si>
  <si>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</si>
  <si>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</si>
  <si>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</si>
  <si>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</si>
  <si>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</si>
  <si>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</si>
  <si>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</si>
  <si>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</si>
  <si>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</si>
  <si>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</si>
  <si>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</si>
  <si>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</si>
  <si>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</si>
  <si>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</si>
  <si>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</si>
  <si>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</si>
  <si>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</si>
  <si>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</si>
  <si>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</si>
  <si>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</si>
  <si>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</si>
  <si>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</si>
  <si>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</si>
  <si>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</si>
  <si>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</si>
  <si>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</si>
  <si>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</si>
  <si>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</si>
  <si>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</si>
  <si>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</si>
  <si>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</si>
  <si>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</si>
  <si>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</si>
  <si>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</si>
  <si>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</si>
  <si>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</si>
  <si>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</si>
  <si>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</si>
  <si>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</si>
  <si>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</si>
  <si>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HB-F-AZ-07</t>
    <phoneticPr fontId="2"/>
  </si>
  <si>
    <t>要件実現対象</t>
  </si>
  <si>
    <t>構築場所</t>
  </si>
  <si>
    <t>アプリ側で実施</t>
  </si>
  <si>
    <t>その他</t>
  </si>
  <si>
    <t>顧客側で実施</t>
  </si>
  <si>
    <t>🔺 一部の工程のみ</t>
  </si>
  <si>
    <t>ST-27</t>
    <phoneticPr fontId="2"/>
  </si>
  <si>
    <t>OP-11</t>
    <phoneticPr fontId="2"/>
  </si>
  <si>
    <t>業務システムに対して、Keycloak-Broker が認証の提供元として振る舞う</t>
  </si>
  <si>
    <t>MKF-05</t>
  </si>
  <si>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</si>
  <si>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</si>
  <si>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</si>
  <si>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</si>
  <si>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</si>
  <si>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</si>
  <si>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</si>
  <si>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</si>
  <si>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</si>
  <si>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</si>
  <si>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</si>
  <si>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</si>
  <si>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</si>
  <si>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</si>
  <si>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</si>
  <si>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</si>
  <si>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</si>
  <si>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</si>
  <si>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</si>
  <si>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</si>
  <si>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</si>
  <si>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</si>
  <si>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</si>
  <si>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</si>
  <si>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</si>
  <si>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</si>
  <si>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</si>
  <si>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</si>
  <si>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</si>
  <si>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</si>
  <si>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</si>
  <si>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HE-24</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</si>
  <si>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</si>
  <si>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</si>
  <si>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</si>
  <si>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</si>
  <si>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</si>
  <si>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</si>
  <si>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</si>
  <si>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</si>
  <si>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</si>
  <si>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</si>
  <si>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</si>
  <si>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</si>
  <si>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</si>
  <si>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</si>
  <si>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</si>
  <si>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</si>
  <si>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</si>
  <si>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</si>
  <si>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</si>
  <si>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</si>
  <si>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</si>
  <si>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</si>
  <si>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</si>
  <si>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</si>
  <si>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</si>
  <si>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</si>
  <si>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</si>
  <si>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</si>
  <si>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</si>
  <si>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</si>
  <si>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</si>
  <si>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</si>
  <si>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</si>
  <si>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</si>
  <si>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</si>
  <si>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</si>
  <si>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</si>
  <si>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</si>
  <si>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</si>
  <si>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</si>
  <si>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</si>
  <si>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</si>
  <si>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</si>
  <si>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</si>
  <si>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</si>
  <si>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</si>
  <si>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</si>
  <si>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</si>
  <si>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</si>
  <si>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</si>
  <si>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</si>
  <si>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</si>
  <si>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</si>
  <si>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</si>
  <si>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</si>
  <si>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</si>
  <si>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</si>
  <si>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</si>
  <si>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</si>
  <si>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</si>
  <si>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</si>
  <si>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</si>
  <si>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</si>
  <si>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</si>
  <si>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</si>
  <si>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</si>
  <si>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</si>
  <si>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</si>
  <si>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</si>
  <si>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</si>
  <si>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</si>
  <si>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</si>
  <si>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</si>
  <si>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</si>
  <si>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</si>
  <si>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</si>
  <si>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</si>
  <si>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</si>
  <si>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</si>
  <si>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</si>
  <si>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</si>
  <si>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</si>
  <si>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</si>
  <si>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</si>
  <si>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</si>
  <si>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</si>
  <si>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</si>
  <si>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</si>
  <si>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</si>
  <si>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</si>
  <si>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</si>
  <si>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</si>
  <si>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</si>
  <si>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</si>
  <si>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</si>
  <si>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</si>
  <si>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</si>
  <si>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</si>
  <si>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</si>
  <si>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</si>
  <si>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</si>
  <si>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</si>
  <si>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</si>
  <si>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</si>
  <si>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</si>
  <si>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</si>
  <si>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</si>
  <si>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</si>
  <si>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</si>
  <si>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</si>
  <si>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</si>
  <si>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</si>
  <si>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</si>
  <si>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</si>
  <si>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</si>
  <si>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</si>
  <si>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</si>
  <si>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</si>
  <si>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</si>
  <si>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</si>
  <si>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</si>
  <si>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</si>
  <si>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</si>
  <si>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</si>
  <si>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</si>
  <si>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</si>
  <si>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</si>
  <si>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</si>
  <si>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</si>
  <si>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</si>
  <si>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</si>
  <si>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</si>
  <si>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</si>
  <si>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</si>
  <si>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</si>
  <si>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</si>
  <si>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</si>
  <si>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</si>
  <si>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</si>
  <si>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</si>
  <si>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</si>
  <si>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</si>
  <si>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</si>
  <si>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</si>
  <si>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</si>
  <si>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</si>
  <si>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</si>
  <si>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</si>
  <si>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</si>
  <si>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</si>
  <si>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</si>
  <si>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</si>
  <si>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</si>
  <si>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</si>
  <si>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</si>
  <si>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</si>
  <si>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</si>
  <si>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</si>
  <si>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</si>
  <si>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</si>
  <si>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</si>
  <si>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</si>
  <si>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</si>
  <si>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</si>
  <si>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</si>
  <si>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</si>
  <si>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</si>
  <si>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</si>
  <si>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</si>
  <si>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</si>
  <si>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</si>
  <si>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</si>
  <si>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</si>
  <si>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</si>
  <si>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</si>
  <si>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</si>
  <si>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</si>
  <si>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</si>
  <si>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</si>
  <si>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</si>
  <si>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</si>
  <si>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</si>
  <si>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</si>
  <si>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</si>
  <si>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</si>
  <si>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</si>
  <si>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</si>
  <si>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</si>
  <si>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</si>
  <si>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</si>
  <si>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</si>
  <si>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</si>
  <si>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</si>
  <si>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</si>
  <si>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</si>
  <si>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</si>
  <si>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</si>
  <si>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</si>
  <si>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</si>
  <si>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</si>
  <si>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</si>
  <si>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</si>
  <si>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</si>
  <si>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</si>
  <si>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</si>
  <si>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</si>
  <si>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</si>
  <si>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</si>
  <si>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</si>
  <si>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</si>
  <si>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</si>
  <si>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</si>
  <si>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</si>
  <si>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</si>
  <si>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</si>
  <si>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</si>
  <si>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</si>
  <si>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</si>
  <si>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</si>
  <si>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</si>
  <si>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</si>
  <si>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</si>
  <si>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</si>
  <si>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</si>
  <si>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</si>
  <si>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</si>
  <si>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</si>
  <si>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</si>
  <si>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</si>
  <si>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</si>
  <si>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</si>
  <si>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</si>
  <si>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</si>
  <si>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</si>
  <si>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</si>
  <si>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</si>
  <si>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</si>
  <si>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</si>
  <si>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</si>
  <si>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</si>
  <si>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</si>
  <si>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</si>
  <si>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</si>
  <si>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</si>
  <si>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</si>
  <si>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</si>
  <si>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</si>
  <si>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</si>
  <si>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</si>
  <si>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</si>
  <si>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</si>
  <si>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</si>
  <si>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</si>
  <si>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</si>
  <si>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</si>
  <si>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</si>
  <si>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</si>
  <si>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</si>
  <si>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</si>
  <si>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</si>
  <si>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</si>
  <si>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</si>
  <si>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</si>
  <si>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</si>
  <si>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</si>
  <si>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</si>
  <si>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</si>
  <si>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</si>
  <si>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</si>
  <si>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</si>
  <si>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</si>
  <si>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</si>
  <si>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</si>
  <si>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</si>
  <si>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</si>
  <si>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</si>
  <si>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</si>
  <si>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</si>
  <si>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</si>
  <si>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</si>
  <si>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</si>
  <si>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</si>
  <si>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</si>
  <si>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</si>
  <si>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</si>
  <si>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</si>
  <si>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</si>
  <si>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</si>
  <si>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</si>
  <si>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</si>
  <si>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</si>
  <si>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</si>
  <si>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</si>
  <si>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</si>
  <si>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</si>
  <si>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</si>
  <si>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</si>
  <si>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</si>
  <si>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</si>
  <si>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</si>
  <si>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</si>
  <si>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</si>
  <si>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</si>
  <si>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</si>
  <si>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</si>
  <si>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</si>
  <si>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</si>
  <si>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</si>
  <si>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</si>
  <si>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</si>
  <si>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</si>
  <si>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</si>
  <si>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</si>
  <si>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</si>
  <si>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</si>
  <si>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</si>
  <si>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</si>
  <si>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</si>
  <si>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</si>
  <si>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</si>
  <si>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</si>
  <si>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</si>
  <si>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</si>
  <si>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</si>
  <si>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</si>
  <si>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</si>
  <si>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</si>
  <si>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</si>
  <si>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</si>
  <si>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</si>
  <si>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</si>
  <si>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</si>
  <si>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</si>
  <si>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</si>
  <si>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</si>
  <si>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</si>
  <si>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</si>
  <si>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</si>
  <si>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</si>
  <si>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</si>
  <si>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</si>
  <si>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</si>
  <si>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</si>
  <si>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</si>
  <si>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</si>
  <si>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</si>
  <si>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</si>
  <si>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</si>
  <si>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</si>
  <si>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</si>
  <si>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</si>
  <si>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</si>
  <si>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</si>
  <si>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</si>
  <si>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</si>
  <si>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</si>
  <si>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</si>
  <si>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</si>
  <si>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</si>
  <si>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</si>
  <si>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</si>
  <si>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</si>
  <si>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</si>
  <si>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</si>
  <si>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</si>
  <si>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</si>
  <si>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</si>
  <si>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</si>
  <si>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</si>
  <si>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</si>
  <si>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</si>
  <si>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</si>
  <si>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</si>
  <si>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</si>
  <si>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</si>
  <si>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</si>
  <si>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</si>
  <si>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</si>
  <si>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</si>
  <si>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</si>
  <si>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</si>
  <si>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</si>
  <si>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</si>
  <si>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</si>
  <si>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</si>
  <si>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</si>
  <si>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</si>
  <si>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</si>
  <si>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</si>
  <si>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</si>
  <si>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</si>
  <si>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</si>
  <si>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</si>
  <si>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</si>
  <si>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</si>
  <si>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</si>
  <si>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</si>
  <si>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</si>
  <si>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</si>
  <si>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</si>
  <si>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</si>
  <si>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</si>
  <si>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</si>
  <si>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</si>
  <si>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</si>
  <si>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</si>
  <si>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</si>
  <si>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</si>
  <si>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</si>
  <si>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</si>
  <si>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</si>
  <si>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</si>
  <si>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</si>
  <si>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</si>
  <si>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</si>
  <si>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</si>
  <si>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</si>
  <si>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</si>
  <si>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</si>
  <si>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</si>
  <si>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</si>
  <si>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</si>
  <si>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</si>
  <si>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</si>
  <si>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</si>
  <si>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</si>
  <si>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</si>
  <si>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</si>
  <si>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</si>
  <si>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</si>
  <si>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</si>
  <si>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</si>
  <si>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</si>
  <si>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</si>
  <si>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</si>
  <si>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</si>
  <si>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</si>
  <si>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</si>
  <si>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</si>
  <si>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</si>
  <si>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</si>
  <si>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</si>
  <si>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</si>
  <si>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</si>
  <si>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</si>
  <si>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</si>
  <si>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</si>
  <si>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</si>
  <si>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</si>
  <si>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</si>
  <si>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</si>
  <si>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</si>
  <si>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</si>
  <si>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</si>
  <si>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</si>
  <si>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</si>
  <si>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</si>
  <si>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</si>
  <si>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</si>
  <si>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</si>
  <si>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</si>
  <si>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</si>
  <si>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</si>
  <si>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</si>
  <si>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</si>
  <si>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</si>
  <si>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</si>
  <si>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</si>
  <si>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</si>
  <si>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</si>
  <si>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</si>
  <si>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</si>
  <si>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</si>
  <si>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</si>
  <si>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</si>
  <si>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</si>
  <si>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</si>
  <si>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</si>
  <si>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</si>
  <si>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</si>
  <si>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</si>
  <si>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</si>
  <si>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</si>
  <si>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</si>
  <si>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</si>
  <si>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</si>
  <si>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</si>
  <si>
    <t>FR-FED-015</t>
    <phoneticPr fontId="2"/>
  </si>
  <si>
    <t>アプリチームの Keycloak-IdP が検証環境で起動し、接続仕様（HE-23）が合意されていること</t>
    <phoneticPr fontId="2"/>
  </si>
  <si>
    <t>IT-17</t>
  </si>
  <si>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</si>
  <si>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</si>
  <si>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</si>
  <si>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</si>
  <si>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</si>
  <si>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</si>
  <si>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</si>
  <si>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</si>
  <si>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</si>
  <si>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</si>
  <si>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</si>
  <si>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</si>
  <si>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</si>
  <si>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</si>
  <si>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</si>
  <si>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</si>
  <si>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</si>
  <si>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</si>
  <si>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</si>
  <si>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</si>
  <si>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</si>
  <si>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</si>
  <si>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</si>
  <si>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</si>
  <si>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</si>
  <si>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</si>
  <si>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</si>
  <si>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</si>
  <si>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</si>
  <si>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</si>
  <si>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</si>
  <si>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</si>
  <si>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</si>
  <si>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</si>
  <si>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</si>
  <si>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</si>
  <si>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</si>
  <si>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</si>
  <si>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</si>
  <si>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</si>
  <si>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</si>
  <si>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</si>
  <si>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</si>
  <si>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</si>
  <si>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</si>
  <si>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</si>
  <si>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</si>
  <si>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</si>
  <si>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</si>
  <si>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</si>
  <si>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</si>
  <si>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</si>
  <si>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</si>
  <si>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</si>
  <si>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</si>
  <si>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</si>
  <si>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</si>
  <si>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</si>
  <si>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</si>
  <si>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</si>
  <si>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</si>
  <si>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</si>
  <si>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</si>
  <si>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</si>
  <si>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</si>
  <si>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</si>
  <si>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</si>
  <si>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</si>
  <si>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</si>
  <si>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</si>
  <si>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</si>
  <si>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</si>
  <si>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</si>
  <si>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</si>
  <si>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</si>
  <si>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</si>
  <si>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</si>
  <si>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</si>
  <si>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</si>
  <si>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</si>
  <si>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</si>
  <si>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</si>
  <si>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</si>
  <si>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</si>
  <si>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</si>
  <si>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</si>
  <si>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</si>
  <si>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</si>
  <si>
    <t>ST-29</t>
    <phoneticPr fontId="2"/>
  </si>
  <si>
    <t>90 日ログインの無い対象ユーザが止まる／除外対象（Keycloak-IdP 収容・顧客システム連携）は止まらない／止めた記録が残る／再ログインで条件どおり再開する</t>
    <phoneticPr fontId="2"/>
  </si>
  <si>
    <t>FR-USER-013</t>
  </si>
  <si>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</si>
  <si>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</si>
  <si>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</si>
  <si>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</si>
  <si>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</si>
  <si>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</si>
  <si>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</si>
  <si>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</si>
  <si>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</si>
  <si>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</si>
  <si>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</si>
  <si>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</si>
  <si>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</si>
  <si>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</si>
  <si>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</si>
  <si>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</si>
  <si>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</si>
  <si>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</si>
  <si>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</si>
  <si>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</si>
  <si>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</si>
  <si>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</si>
  <si>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</si>
  <si>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</si>
  <si>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</si>
  <si>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</si>
  <si>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</si>
  <si>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</si>
  <si>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</si>
  <si>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</si>
  <si>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</si>
  <si>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</si>
  <si>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</si>
  <si>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</si>
  <si>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</si>
  <si>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</si>
  <si>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</si>
  <si>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</si>
  <si>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</si>
  <si>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</si>
  <si>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</si>
  <si>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</si>
  <si>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</si>
  <si>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</si>
  <si>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</si>
  <si>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</si>
  <si>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</si>
  <si>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</si>
  <si>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</si>
  <si>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</si>
  <si>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</si>
  <si>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</si>
  <si>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</si>
  <si>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</si>
  <si>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</si>
  <si>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</si>
  <si>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</si>
  <si>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</si>
  <si>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</si>
  <si>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</si>
  <si>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</si>
  <si>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</si>
  <si>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</si>
  <si>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</si>
  <si>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</si>
  <si>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</si>
  <si>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</si>
  <si>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</si>
  <si>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</si>
  <si>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</si>
  <si>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</si>
  <si>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</si>
  <si>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</si>
  <si>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</si>
  <si>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</si>
  <si>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</si>
  <si>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</si>
  <si>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</si>
  <si>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</si>
  <si>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</si>
  <si>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</si>
  <si>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</si>
  <si>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</si>
  <si>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</si>
  <si>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</si>
  <si>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</si>
  <si>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</si>
  <si>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</si>
  <si>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</si>
  <si>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</si>
  <si>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</si>
  <si>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</si>
  <si>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</si>
  <si>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</si>
  <si>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</si>
  <si>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</si>
  <si>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</si>
  <si>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</si>
  <si>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</si>
  <si>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</si>
  <si>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</si>
  <si>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</si>
  <si>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</si>
  <si>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</si>
  <si>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</si>
  <si>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</si>
  <si>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</si>
  <si>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</si>
  <si>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</si>
  <si>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</si>
  <si>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</si>
  <si>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</si>
  <si>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</si>
  <si>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</si>
  <si>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</si>
  <si>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</si>
  <si>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</si>
  <si>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</si>
  <si>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</si>
  <si>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</si>
  <si>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</si>
  <si>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</si>
  <si>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</si>
  <si>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</si>
  <si>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</si>
  <si>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</si>
  <si>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</si>
  <si>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</si>
  <si>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</si>
  <si>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</si>
  <si>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</si>
  <si>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</si>
  <si>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</si>
  <si>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</si>
  <si>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</si>
  <si>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</si>
  <si>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</si>
  <si>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</si>
  <si>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</si>
  <si>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</si>
  <si>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</si>
  <si>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</si>
  <si>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</si>
  <si>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</si>
  <si>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</si>
  <si>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</si>
  <si>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</si>
  <si>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</si>
  <si>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</si>
  <si>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</si>
  <si>
    <t>Keycloak-IdP 接続の詳細設計</t>
  </si>
  <si>
    <t>共有エントリの定義項目・属性の写し方（amr → 追加認証済みの印）・login_hint の渡し方・ログアウト連鎖の設定が実装できる粒度で書かれている</t>
  </si>
  <si>
    <t>DDE-11</t>
  </si>
  <si>
    <t>接続仕様の実装レベル定義（Keycloak-IdP 側へ渡す設定値）</t>
  </si>
  <si>
    <t>Keycloak-IdP 側の Client・返す項目・セッション上限（12 時間）・経路の設定値が一覧で確定し、アプリチームへ渡っている</t>
  </si>
  <si>
    <t>DDI-10</t>
  </si>
  <si>
    <t>単体試験仕様: Keycloak-IdP 接続</t>
  </si>
  <si>
    <t>初回・2 回目（Keycloak-IdP を呼ばない）・追加認証済みの印・ログアウト連鎖・上限時間の観点と期待結果が定義されている</t>
  </si>
  <si>
    <t>MKA-20</t>
  </si>
  <si>
    <t>Keycloak-IdP への閉域経路の構築（Keycloak-Broker 側）</t>
  </si>
  <si>
    <t>閉域接続（PrivateLink）の受け口と名前解決が作られ、Keycloak-IdP 側と疎通する</t>
  </si>
  <si>
    <t>経路2+名前解決1</t>
  </si>
  <si>
    <t>MKB-30</t>
  </si>
  <si>
    <t>Keycloak-IdP 接続の設定（共有エントリ・写し込み・ログアウト連鎖）</t>
  </si>
  <si>
    <t>共有エントリが登録され、識別子が引き継がれ、追加認証の結果が写り、ログアウトが連鎖する</t>
  </si>
  <si>
    <t>MKI-19</t>
  </si>
  <si>
    <t>単体試験: Keycloak-IdP 接続</t>
  </si>
  <si>
    <t>どこまで作って渡すか・渡した後の責任の持ち方（D-21 責任表）・初期状態に何を入れるかが確定し、引き渡し仕様書として 1 冊になっている</t>
  </si>
  <si>
    <t>DDF-05</t>
  </si>
  <si>
    <t>自動停止の実装仕様</t>
  </si>
  <si>
    <t>対象の抽出条件・除外条件・実行間隔・記録が確定している</t>
  </si>
  <si>
    <t>MKF-06</t>
  </si>
  <si>
    <t>自動停止の実装</t>
  </si>
  <si>
    <t>90 日ログインの無い対象ユーザだけが止まり、除外対象は止まらず、記録が残る</t>
  </si>
  <si>
    <t>DDE-12</t>
  </si>
  <si>
    <t>管理 API の内部公開の実装仕様</t>
  </si>
  <si>
    <t>経路・呼び出し元の資格・許す操作の範囲・記録の項目が実装できる粒度で書かれている</t>
  </si>
  <si>
    <t>MKB-32</t>
  </si>
  <si>
    <t>管理 API の内部公開の構築</t>
  </si>
  <si>
    <t>内部経路からだけ呼べ、許した操作だけが通り、記録が残る</t>
  </si>
  <si>
    <t>DDG-14</t>
  </si>
  <si>
    <t>不正兆候の検知の実装設計</t>
  </si>
  <si>
    <t>検知の条件・集計の単位・閾値・通知先が実装できる粒度で書かれている</t>
  </si>
  <si>
    <t>MKH-07</t>
  </si>
  <si>
    <t>不正兆候の検知の構築</t>
  </si>
  <si>
    <t>兆候が検出され、通知が届く</t>
  </si>
  <si>
    <t>控えの別地域への複製の設定</t>
  </si>
  <si>
    <t>本番の控え（スナップショット）が切替先の地域へ複製され、遅れが監視できる</t>
  </si>
  <si>
    <t>再構築手順のコード化（切替と切り戻し）</t>
  </si>
  <si>
    <t>作り直しの手順がコードから流れ、戻すこともできる</t>
  </si>
  <si>
    <t>MKA-21</t>
  </si>
  <si>
    <t>依存の検査・イメージ署名・部品一覧の組み込み</t>
  </si>
  <si>
    <t>検査と署名が自動で通り、署名の無いイメージは配置できず、部品一覧が出せる</t>
  </si>
  <si>
    <t>運用者認証と権限モデルの実装設計</t>
  </si>
  <si>
    <t>WebAuthn の必須化・権限の 2 状態・昇格と失効の手順・記録が実装できる粒度で書かれている</t>
  </si>
  <si>
    <t>MKB-31</t>
  </si>
  <si>
    <t>運用者アカウントと権限モデルの構築</t>
  </si>
  <si>
    <t>パスワードだけでは入れず、常時の全権が無く、昇格と失効が動き記録される</t>
  </si>
  <si>
    <t>担当の理由</t>
  </si>
  <si>
    <t>Keycloak-IdP 側</t>
  </si>
  <si>
    <t>FR-AUTH-001-a</t>
  </si>
  <si>
    <t>インフラ（本基盤）</t>
  </si>
  <si>
    <t>Keycloak-Broker にローカルで残るのは運用者だけ。認証は WebAuthn 必須（NFR-SEC-021）</t>
  </si>
  <si>
    <t>ID/PW 認証（ローカルユーザー）（本基盤運用者）</t>
  </si>
  <si>
    <t>ID とパスワードで直接ログインできること。顧客IdP を持たない顧客のユーザは Keycloak-IdP（アプリ責務）、本基盤の運用者は Keycloak-Broker（NFR-SEC-021）で満たす</t>
  </si>
  <si>
    <t>HB-F-AUTH-01 HG-09</t>
  </si>
  <si>
    <t>アプリ（主体）</t>
  </si>
  <si>
    <t>FR-AUTH-001-b</t>
  </si>
  <si>
    <t>アプリ（Keycloak-IdP）</t>
  </si>
  <si>
    <t>Keycloak-IdP に収容するユーザの話。本基盤は ROSA の引き渡しまで（NFR-OPS-012）</t>
  </si>
  <si>
    <t>ID/PW 認証（ローカルユーザー）（顧客IdP を持たない顧客のユーザ）</t>
  </si>
  <si>
    <t>アプリ側で実施（Keycloak-IdP 側。本基盤は ROSA の引き渡しまで＝NFR-OPS-012）</t>
  </si>
  <si>
    <t>パスワードのロックは Keycloak-IdP 側（アプリ）。Keycloak-Broker はパスワードを持たないため、本基盤側の対策は NFR-SEC-010（実在推測の防止・試行回数の制限）で扱う</t>
  </si>
  <si>
    <t>アプリ側で実施（Keycloak-IdP 側）</t>
  </si>
  <si>
    <t>FR-AUTH-016</t>
  </si>
  <si>
    <t>要否未確定。顧客回答待ち（D-22 で判断のみ計上）</t>
  </si>
  <si>
    <t>利用規約などへの同意を取り、いつ誰がどの版に同意したかを記録できること</t>
  </si>
  <si>
    <t>要件確認（判断のみ計上）</t>
  </si>
  <si>
    <t>Auth0 も Phase 1 の対象（2026-09-07 決定）。PoC で使った接続を実機突合（RI-02）に流用する</t>
  </si>
  <si>
    <t>Keycloak-Broker が旧方式（SAML）の提供元として、業務システムへログインを提供できること</t>
  </si>
  <si>
    <t>アプリ（Keycloak-IdP 側の同じ設定は接続仕様 HE-23 に従う）</t>
  </si>
  <si>
    <t>FR-FED-011-a</t>
  </si>
  <si>
    <t>登録の手順と疎通確認は本基盤</t>
  </si>
  <si>
    <t>顧客追加時のオンボーディングフロー（本基盤側の登録）</t>
  </si>
  <si>
    <t>FR-FED-011-b</t>
  </si>
  <si>
    <t>顧客（顧客IdP）</t>
  </si>
  <si>
    <t>自社 IdP 側の設定（接続先の登録・返す項目・証明書）は顧客が接続ガイドどおりに行う</t>
  </si>
  <si>
    <t>顧客追加時のオンボーディングフロー（顧客側の設定）</t>
  </si>
  <si>
    <t>FR-FED-012-a</t>
  </si>
  <si>
    <t>追加認証済みの印（amr）を取り込み、二重に求めない設定は Keycloak-Broker 側</t>
  </si>
  <si>
    <t>フェデレーション時の MFA 重複回避（取り込み側）</t>
  </si>
  <si>
    <t>顧客IdP 側で追加認証を済ませた人に、Keycloak-Broker で二重に追加認証を求めないこと</t>
  </si>
  <si>
    <t>HB-F-AUTH-05 HB-F-AUTH-09 HE-14 HE-23</t>
  </si>
  <si>
    <t>DDB-01 DDB-18</t>
  </si>
  <si>
    <t>MKB-02 MKB-30</t>
  </si>
  <si>
    <t>RI-01 ST-04 ST-28</t>
  </si>
  <si>
    <t>FR-FED-012-b</t>
  </si>
  <si>
    <t>追加認証そのものは顧客IdP（Keycloak-IdP 収容ユーザは Keycloak-IdP）が行い、結果を amr で返す。接続ガイドで求める</t>
  </si>
  <si>
    <t>フェデレーション時の MFA 重複回避（実施側）</t>
  </si>
  <si>
    <t>ログイン画面での顧客IdP への振り分け（HRD）</t>
  </si>
  <si>
    <t>ログイン画面で入力した識別子から顧客IdP を自動で判定して送ること。顧客IdP の一覧は見せない。1 顧客に複数ある場合のみ選ばせる</t>
  </si>
  <si>
    <t>顧客IdP を持たない顧客のユーザは全員ここを通る。Keycloak-IdP 側の Client・Realm 設定は要求仕様（HE-23）でアプリチームへ渡す</t>
  </si>
  <si>
    <t>Keycloak-Broker ⇄ Keycloak-IdP 連携</t>
  </si>
  <si>
    <t>顧客IdP を持たない顧客のユーザを Keycloak-Broker から Keycloak-IdP へ委譲してログインさせられること。識別子の引き継ぎ・追加認証結果の取り込み・ログアウト連鎖・セッション上限の同値（12 時間）・閉域の単方向接続を含む</t>
  </si>
  <si>
    <t>HB-F-AUTH-09 HE-23 HI-11</t>
  </si>
  <si>
    <t>DDB-18 DDE-11 DDI-10</t>
  </si>
  <si>
    <t>MKA-20 MKB-30 MKI-19</t>
  </si>
  <si>
    <t>IT-16 ST-28</t>
  </si>
  <si>
    <t>アプリ（要求仕様どおりに broker-rp Client と Realm 設定を作る）</t>
  </si>
  <si>
    <t>顧客の管理者分は Keycloak-IdP（アプリ）。本基盤運用者分は NFR-SEC-021 で本基盤が満たす</t>
  </si>
  <si>
    <t>FR-SSO-003-a</t>
  </si>
  <si>
    <t>アプリ（業務アプリ）</t>
  </si>
  <si>
    <t>業務アプリ側の実装。本基盤はガイドとサンプルで示す</t>
  </si>
  <si>
    <t>ローカルログアウト（アプリ Cookie 削除のみ）（アプリの実装）</t>
  </si>
  <si>
    <t>アプリ側だけでログアウトできること（Keycloak-Broker の状態は保つ）</t>
  </si>
  <si>
    <t>FR-SSO-003-b</t>
  </si>
  <si>
    <t>アプリ開発者向けガイドとサンプル実装・試用環境を本基盤が提供する</t>
  </si>
  <si>
    <t>ローカルログアウト（アプリ Cookie 削除のみ）（ガイド・サンプル）</t>
  </si>
  <si>
    <t>Keycloak-Broker のログイン状態を破棄できること</t>
  </si>
  <si>
    <t>Keycloak-Broker のログアウトを顧客IdP 側にも連動させられること</t>
  </si>
  <si>
    <t>ログイン状態が切れるまでの時間を設定できること。無操作 1 時間・上限 12 時間（2026-09-07 更新、旧 24 時間）</t>
  </si>
  <si>
    <t>発行済みの JWT を強制的に使えなくできること。セッションとリフレッシュトークンは即時失効、アクセストークンは署名のみで検証されるため最大 30 分は残る（契約説明に明記）</t>
  </si>
  <si>
    <t>FR-SSO-010-a</t>
  </si>
  <si>
    <t>アプリ（管理画面・idm-api）</t>
  </si>
  <si>
    <t>管理画面・idm-api 側の実装。Keycloak-Broker の管理 API を内部経路で呼ぶ</t>
  </si>
  <si>
    <t>強制全セッション破棄（管理者操作）（管理画面からの操作）</t>
  </si>
  <si>
    <t>FR-SSO-010-b</t>
  </si>
  <si>
    <t>管理 API の内部公開（F-INT-14）: 経路・呼び出し元の資格・許す操作の範囲</t>
  </si>
  <si>
    <t>強制全セッション破棄（管理者操作）（本基盤側の受け口）</t>
  </si>
  <si>
    <t>FR-AUTHZ-001-a</t>
  </si>
  <si>
    <t>JWT に載せる項目と要求できる範囲は本基盤が定義し発行する</t>
  </si>
  <si>
    <t>JWT クレームベース認可（JWT に載せる側）</t>
  </si>
  <si>
    <t>FR-AUTHZ-001-b</t>
  </si>
  <si>
    <t>載った情報で可否を判断するのは業務アプリ（認可・権限判定は本基盤ではやらない）</t>
  </si>
  <si>
    <t>JWT クレームベース認可（判定する側）</t>
  </si>
  <si>
    <t>FR-AUTHZ-002-a</t>
  </si>
  <si>
    <t>他顧客の顧客IdP で入れないことと、顧客を指す値を JWT に載せることは Keycloak-Broker 側（F-AZ-05）</t>
  </si>
  <si>
    <t>tenant_id によるテナント分離（認証側の越境防止と tenant_id）</t>
  </si>
  <si>
    <t>FR-AUTHZ-002-b</t>
  </si>
  <si>
    <t>権限データや業務データで他顧客に触れさせないのは管理画面・idm-api と業務アプリの責務</t>
  </si>
  <si>
    <t>tenant_id によるテナント分離（権限データ側の越境防止）</t>
  </si>
  <si>
    <t>FR-AUTHZ-007-a</t>
  </si>
  <si>
    <t>API 入口での JWT 検証（アプリ側の認可統合）（アプリの実装）</t>
  </si>
  <si>
    <t>API の入口でアプリが JWT を検証して可否を判断できること（ガイドで示す。Lambda Authorizer は PoC 時の実装名）</t>
  </si>
  <si>
    <t>FR-AUTHZ-007-b</t>
  </si>
  <si>
    <t>API 入口での JWT 検証（アプリ側の認可統合）（ガイド・サンプル）</t>
  </si>
  <si>
    <t>GD-16 GD-18</t>
  </si>
  <si>
    <t>FR-USER-001-a</t>
  </si>
  <si>
    <t>ユーザー作成 / 更新 / 削除（CRUD）（管理画面と API）</t>
  </si>
  <si>
    <t>FR-USER-001-b</t>
  </si>
  <si>
    <t>ユーザー作成 / 更新 / 削除（CRUD）（本基盤側の受け口）</t>
  </si>
  <si>
    <t>属性の宣言と変換は Keycloak-Broker</t>
  </si>
  <si>
    <t>FR-USER-003-a</t>
  </si>
  <si>
    <t>受信窓口は Keycloak-Broker の上に立てる</t>
  </si>
  <si>
    <t>SCIM 2.0 プロビジョニング（受信側）</t>
  </si>
  <si>
    <t>FR-USER-003-b</t>
  </si>
  <si>
    <t>顧客の人事システム・IdP 側の SCIM 送信設定と再送の作法は顧客が行う</t>
  </si>
  <si>
    <t>SCIM 2.0 プロビジョニング（送信側）</t>
  </si>
  <si>
    <t>FR-USER-006-a</t>
  </si>
  <si>
    <t>停止と再開は Keycloak-Broker。画面はアプリ</t>
  </si>
  <si>
    <t>ユーザー有効化 / 無効化（suspend）（Keycloak-Broker 側）</t>
  </si>
  <si>
    <t>ユーザを一時的に使えなくする／戻せること。Keycloak-IdP 側で止めたユーザの Keycloak-Broker 側の写しは伝播しない。残存は Keycloak-Broker のセッション上限（12 時間）で受容（2026-09-07 決定）</t>
  </si>
  <si>
    <t>FR-USER-006-b</t>
  </si>
  <si>
    <t>管理者が止める・戻す操作は管理画面から、管理 API の内部公開（F-INT-14）経由で行う</t>
  </si>
  <si>
    <t>ユーザー有効化 / 無効化（suspend）（操作画面）</t>
  </si>
  <si>
    <t>FR-USER-011-a</t>
  </si>
  <si>
    <t>保持と消去の方針は本基盤で決める。消去の対象は Keycloak-Broker・Keycloak-IdP（アプリ）・権限データ（アプリ）・共通ログ基盤にまたがるため、HK-07 は横断の手順とする</t>
  </si>
  <si>
    <t>ユーザー削除時の関連データ削除（GDPR 等）（本基盤の窓口と Keycloak-Broker 側）</t>
  </si>
  <si>
    <t>FR-USER-011-b</t>
  </si>
  <si>
    <t>権限データ・参照用データの消去は管理画面・idm-api 側。本基盤の手順（HK-07）から依頼する</t>
  </si>
  <si>
    <t>ユーザー削除時の関連データ削除（GDPR 等）（権限データ側）</t>
  </si>
  <si>
    <t>対象で計上（2026-09-07 決定）。顧客IdP 経由で自動作成したユーザだけが対象で、Keycloak-IdP 収容ユーザはアプリ側の判断</t>
  </si>
  <si>
    <t>長期未使用ユーザの自動停止</t>
  </si>
  <si>
    <t>90 日ログインの無いユーザを自動で止められること</t>
  </si>
  <si>
    <t>アプリ（Keycloak-IdP 収容ユーザ分は任意）</t>
  </si>
  <si>
    <t>FR-ADMIN-007-a</t>
  </si>
  <si>
    <t>何を記録し何年保つかは本基盤が決めて出力する</t>
  </si>
  <si>
    <t>監査ログ閲覧（出力・項目・保持年数の指定）</t>
  </si>
  <si>
    <t>監査の記録を閲覧できること。参照は全体の共通基盤側で行い、本基盤に照会画面は作らない（本基盤は出力と集約まで）</t>
  </si>
  <si>
    <t>FR-ADMIN-007-b</t>
  </si>
  <si>
    <t>他組織（境界・共通基盤）</t>
  </si>
  <si>
    <t>記録の閲覧は全体の共通基盤側。本基盤は指定した保持年数と形式で出すまで（OP-03 で確認）</t>
  </si>
  <si>
    <t>監査ログ閲覧（共通基盤側の閲覧）</t>
  </si>
  <si>
    <t>他組織で実施</t>
  </si>
  <si>
    <t>振り分けの識別子入力画面とエラー画面は Keycloak-Broker で作る</t>
  </si>
  <si>
    <t>Keycloak 標準の管理 API。内部経路・呼び出し元の資格・許す操作の範囲を本基盤が決める（F-INT-14）</t>
  </si>
  <si>
    <t>HE-22a HE-24 HJ-09</t>
  </si>
  <si>
    <t>DDB-14 DDE-10 DDE-12</t>
  </si>
  <si>
    <t>MKB-22 MKB-32 MKI-13</t>
  </si>
  <si>
    <t>IT-15 IT-17</t>
  </si>
  <si>
    <t>FR-INT-007-a</t>
  </si>
  <si>
    <t>API 入口での JWT 検証との統合（アプリの実装）</t>
  </si>
  <si>
    <t>API の入口で JWT を検証する仕組み（API Gateway 等）と組み合わせられること（ガイドで示す）</t>
  </si>
  <si>
    <t>FR-INT-007-b</t>
  </si>
  <si>
    <t>API 入口での JWT 検証との統合（ガイド・サンプル）</t>
  </si>
  <si>
    <t>顧客IdP を持たない顧客のログインは Keycloak-IdP（アプリ運用）の稼働にも依存する。約束する稼働率の範囲と除外条件を HK-02 で明示する</t>
  </si>
  <si>
    <t>アプリ（Keycloak-IdP 側でも同じ要件を満たす。本基盤は ROSA の引き渡しまで）</t>
  </si>
  <si>
    <t>NFR-PERF-003-a</t>
  </si>
  <si>
    <t>API 入口での JWT 検証の応答時間（アプリ側）（アプリの実装）</t>
  </si>
  <si>
    <t>API の入口での判定が目標時間に収まること。署名鍵の一時保持（GD-18）が前提</t>
  </si>
  <si>
    <t>NFR-PERF-003-b</t>
  </si>
  <si>
    <t>API 入口での JWT 検証の応答時間（アプリ側）（ガイド・サンプル）</t>
  </si>
  <si>
    <t>流量制限（同時受付数の上限）</t>
  </si>
  <si>
    <t>過大な要求を受けたときに Keycloak-Broker 側で流量を絞れること（API Gateway は使わない。境界側の流量制限は NFR-SEC-011）</t>
  </si>
  <si>
    <t>NFR-SCL-004-a</t>
  </si>
  <si>
    <t>登録から疎通確認までの所要時間は本基盤</t>
  </si>
  <si>
    <t>IdP 追加リードタイム（本基盤側の作業）</t>
  </si>
  <si>
    <t>顧客IdP を追加してから使えるまでの時間が目標に収まること。境界側の外向き許可の追加（他組織、当日〜翌日）を含む</t>
  </si>
  <si>
    <t>NFR-SCL-004-b</t>
  </si>
  <si>
    <t>顧客IdP 向けの外向き許可の追加は他組織（依頼から当日〜翌日）。約束する時間にこの分を含める</t>
  </si>
  <si>
    <t>IdP 追加リードタイム（境界側の外向き許可）</t>
  </si>
  <si>
    <t>更新用の資格の有効期限が定められていること。設定上限は 30 日だが、実効はセッションの上限（12 時間）に従属する</t>
  </si>
  <si>
    <t>発行済みの資格を失効させられること（アクセストークンの残存 30 分は FR-SSO-009 と同じ）</t>
  </si>
  <si>
    <t>NFR-SEC-011-a</t>
  </si>
  <si>
    <t>境界を管理する他組織が WAF・DDoS 対策を持つ</t>
  </si>
  <si>
    <t>WAF 適用（境界側の実装）</t>
  </si>
  <si>
    <t>NFR-SEC-011-b</t>
  </si>
  <si>
    <t>何を求めるかは本基盤の責務。要求仕様書（HK-10）を出し、受入確認を行う</t>
  </si>
  <si>
    <t>WAF 適用（要求仕様と受入確認）</t>
  </si>
  <si>
    <t>HG-08 HK-10</t>
  </si>
  <si>
    <t>IT-11 SEC-05</t>
  </si>
  <si>
    <t>NFR-SEC-012-a</t>
  </si>
  <si>
    <t>DDoS 対策（境界側の実装）</t>
  </si>
  <si>
    <t>NFR-SEC-012-b</t>
  </si>
  <si>
    <t>DDoS 対策（要求仕様と受入確認）</t>
  </si>
  <si>
    <t>署名鍵の公開先は公開のまま、流量制限は境界（他組織）に要求する</t>
  </si>
  <si>
    <t>E-4b HG-08 HK-10</t>
  </si>
  <si>
    <t>内部通信の認証（idm-api → 管理 API、Keycloak-Broker → Keycloak-IdP）</t>
  </si>
  <si>
    <t>内部の呼び出しでも相手を確認すること。管理 API は内部経路と資格で、Keycloak-IdP へは閉域の単方向接続で確認する</t>
  </si>
  <si>
    <t>G-4.2 HA-05 HE-23 HE-24</t>
  </si>
  <si>
    <t>IT-11 IT-16 IT-17</t>
  </si>
  <si>
    <t>パスワードを持つのは Keycloak-IdP 側</t>
  </si>
  <si>
    <t>侵害クレデンシャル検出</t>
  </si>
  <si>
    <t>流出したパスワードの使用を拒否できること</t>
  </si>
  <si>
    <t>Keycloak-Broker にローカルで残る唯一の人が運用者。ADR-040 Phase 1 α（P1-04 / P1-08 / P1-09）</t>
  </si>
  <si>
    <t>本基盤運用者の認証を WebAuthn 必須とし、常時の全権付与を禁止し、緊急時アクセスと定期棚卸しを定めること</t>
  </si>
  <si>
    <t>G-1.6 G-5.6 HG-09</t>
  </si>
  <si>
    <t>DDB-19 DDG-11</t>
  </si>
  <si>
    <t>MKA-17 MKB-31</t>
  </si>
  <si>
    <t>OP-09 SEC-10</t>
  </si>
  <si>
    <t>NFR-SEC-022</t>
  </si>
  <si>
    <t>ADR-046 Phase 1 = SLSA L2</t>
  </si>
  <si>
    <t>サプライチェーン対策（依存の検査・イメージ署名・部品一覧）</t>
  </si>
  <si>
    <t>自社拡張と実行イメージの依存を検査し、署名し、部品一覧（SBOM）を出せること</t>
  </si>
  <si>
    <t>HJ-06 HJ-22</t>
  </si>
  <si>
    <t>MKA-21 MKC-05</t>
  </si>
  <si>
    <t>アプリ（Keycloak-IdP 側の実行イメージも同様に）</t>
  </si>
  <si>
    <t>ADR-035 Phase 1a = 検知して通知するまで。自動遮断はしない</t>
  </si>
  <si>
    <t>ログイン失敗の急増などの不正兆候を検知して通知できること</t>
  </si>
  <si>
    <t>アプリ（パスワード側の兆候は Keycloak-IdP で検知）</t>
  </si>
  <si>
    <t>別地域へ切り替える方式が定まっていること。現行の方向は手動・大阪で作り直し（復旧方式の決定 D-18.2 待ち。顧客希望 RTO 1 日との差は D-18.1 で明示）</t>
  </si>
  <si>
    <t>別地域で作り直す方式ではログイン状態を引き継げない。再ログイン前提を DR-02 で確認する</t>
  </si>
  <si>
    <t>Phase 1 では作らない（再ログイン前提。DR-02 で確認）</t>
  </si>
  <si>
    <t>NFR-OPS-003-a</t>
  </si>
  <si>
    <t>ログ保存期間（出力・項目・保持年数の指定）</t>
  </si>
  <si>
    <t>NFR-OPS-003-b</t>
  </si>
  <si>
    <t>記録の保管は全体の共通基盤側。本基盤は指定した保持年数と形式で出すまで（OP-03 で確認）</t>
  </si>
  <si>
    <t>ログ保存期間（共通基盤側の保管）</t>
  </si>
  <si>
    <t>NFR-OPS-004-a</t>
  </si>
  <si>
    <t>ログ検索性（出力・項目・保持年数の指定）</t>
  </si>
  <si>
    <t>NFR-OPS-004-b</t>
  </si>
  <si>
    <t>記録の検索は全体の共通基盤側。本基盤は指定した保持年数と形式で出すまで（OP-03 で確認）</t>
  </si>
  <si>
    <t>ログ検索性（共通基盤側の検索）</t>
  </si>
  <si>
    <t>NFR-OPS-011-a</t>
  </si>
  <si>
    <t>テナント追加の運用 SLA（本基盤側の作業）</t>
  </si>
  <si>
    <t>顧客を追加してから使えるまでの時間を約束できること。境界側の外向き許可の追加（他組織、当日〜翌日）を含む</t>
  </si>
  <si>
    <t>NFR-OPS-011-b</t>
  </si>
  <si>
    <t>テナント追加の運用 SLA（境界側の外向き許可）</t>
  </si>
  <si>
    <t>ROSA の引き渡しまでが本基盤。以降の構築・運用はアプリ責務（D-21 責任表）</t>
  </si>
  <si>
    <t>Keycloak-IdP 側の構築・運用の責任分界</t>
  </si>
  <si>
    <t>Keycloak-IdP 用の基盤（ROSA）をどこまで作って渡すか、渡した後の非機能を誰が持つかが合意されていること</t>
  </si>
  <si>
    <t>D-21 HJ-20</t>
  </si>
  <si>
    <t>本基盤（ROSA 引き渡しまで）→ アプリ（引き渡し後の非機能すべて）</t>
  </si>
  <si>
    <t>環境構成（本番 / 検証 / 開発）</t>
  </si>
  <si>
    <t>環境ごとの構成差分と、検証環境に本番データを入れない規律が定まっていること</t>
  </si>
  <si>
    <t>MKA-07 MKA-08</t>
  </si>
  <si>
    <t>IT-13 TE-01 TE-02</t>
  </si>
  <si>
    <t>アプリ（Keycloak-IdP 側の環境はアプリが用意）</t>
  </si>
  <si>
    <t>NFR-COMP-007-a</t>
  </si>
  <si>
    <t>監査ログ保存期間（法令要件）（出力・項目・保持年数の指定）</t>
  </si>
  <si>
    <t>NFR-COMP-007-b</t>
  </si>
  <si>
    <t>監査ログ保存期間（法令要件）（共通基盤側の保管）</t>
  </si>
  <si>
    <t>NFR-COMP-009-a</t>
  </si>
  <si>
    <t>同上。本人からの請求は本基盤が窓口になり、Keycloak-IdP 側と権限データ側（アプリ）へ依頼する</t>
  </si>
  <si>
    <t>個人データ削除権（GDPR Right to Erasure）（本基盤の窓口と Keycloak-Broker 側）</t>
  </si>
  <si>
    <t>NFR-COMP-009-b</t>
  </si>
  <si>
    <t>個人データ削除権（GDPR Right to Erasure）（権限データ側）</t>
  </si>
  <si>
    <t>確定（RHBK は ROSA に内包され追加費用なし。P-01）</t>
  </si>
  <si>
    <t>本基盤は受け入れ口（SCIM 受信・管理 API・JIT）を提供するのみ。旧システムからの吸い上げと Keycloak-IdP への投入はアプリ側</t>
  </si>
  <si>
    <t>パスワードのハッシュを持つのは Keycloak-IdP。Keycloak 非対応のハッシュ方式なら Keycloak-IdP 側の拡張（アプリ責務）</t>
  </si>
  <si>
    <t>要件</t>
  </si>
  <si>
    <t>要件の概要</t>
  </si>
  <si>
    <t>機能</t>
  </si>
  <si>
    <t>機能の概要</t>
  </si>
  <si>
    <t>—（本基盤に作る機能なし）</t>
  </si>
  <si>
    <t>（横断）</t>
  </si>
  <si>
    <t>特定の要件に紐づかない共通の作業</t>
  </si>
  <si>
    <t>設計書そのものの管理（総則・一覧・追跡・レビュー）と、顧客へ渡す資料。個々の要件ではなく全体に対して発生する</t>
  </si>
  <si>
    <t>パスワードに有効期限を設けられること</t>
    <phoneticPr fontId="2"/>
  </si>
  <si>
    <t>提供する API（機能の粒度）</t>
  </si>
  <si>
    <t>エンドポイント</t>
  </si>
  <si>
    <t>呼ぶ主体</t>
  </si>
  <si>
    <t>Broker</t>
  </si>
  <si>
    <t>接続情報の公開</t>
  </si>
  <si>
    <t>GET /realms/{r}/.well-known/openid-configuration</t>
  </si>
  <si>
    <t>アプリ（M2M）</t>
  </si>
  <si>
    <t>✅ 標準</t>
  </si>
  <si>
    <t>標準内</t>
  </si>
  <si>
    <t>アプリはこの 1 本から他の入口を自動取得できる。手で URL を配らない</t>
  </si>
  <si>
    <t>ログイン開始（認可）</t>
  </si>
  <si>
    <t>GET /realms/{r}/protocol/openid-connect/auth</t>
  </si>
  <si>
    <t>ブラウザ（画面遷移）</t>
  </si>
  <si>
    <t>認可コード + PKCE。顧客IdP への振り分けはこの先で Keycloak が行う</t>
  </si>
  <si>
    <t>JWT の取得・更新</t>
  </si>
  <si>
    <t>POST /realms/{r}/protocol/openid-connect/token</t>
  </si>
  <si>
    <t>認可コード交換 / リフレッシュ / システム間の 3 用途が同じ入口</t>
  </si>
  <si>
    <t>ユーザ情報の取得</t>
  </si>
  <si>
    <t>GET /realms/{r}/protocol/openid-connect/userinfo</t>
  </si>
  <si>
    <t>エンドユーザ本人</t>
  </si>
  <si>
    <t>JWT に載せない属性をここで補う。JWT を軽くしたいときの受け皿</t>
  </si>
  <si>
    <t>署名鍵の公開</t>
  </si>
  <si>
    <t>GET /realms/{r}/protocol/openid-connect/certs</t>
  </si>
  <si>
    <t>アプリ側の JWT 検証に必須。鍵の入れ替えに自動追随する前提</t>
  </si>
  <si>
    <t>SAML の接続情報</t>
  </si>
  <si>
    <t>GET /realms/{r}/protocol/saml/descriptor</t>
  </si>
  <si>
    <t>顧客IdP・業務システムとの交換用</t>
  </si>
  <si>
    <t>SAML の送受信</t>
  </si>
  <si>
    <t>POST/GET /realms/{r}/protocol/saml</t>
  </si>
  <si>
    <t>受け入れ（SP）と提供（IdP）の両方が同じ入口</t>
  </si>
  <si>
    <t>POST /realms/{r}/protocol/openid-connect/token（client_credentials）</t>
  </si>
  <si>
    <t>アプリ・バッチが API を呼ぶための資格。スコープで範囲を絞る</t>
  </si>
  <si>
    <t>POST /realms/{r}/protocol/openid-connect/token（token-exchange）</t>
  </si>
  <si>
    <t>Phase 1 対象外（FR-AUTH-005）。必要になったら設定で有効化</t>
  </si>
  <si>
    <t>JWT に載せる項目</t>
  </si>
  <si>
    <t>⚙ 設定のみ</t>
  </si>
  <si>
    <t>載せる項目はアプリごとにスコープで出し分ける。設計は必要だがアプリが呼ぶ API は無い</t>
  </si>
  <si>
    <t>ログイン状態の保持</t>
  </si>
  <si>
    <t>POST /realms/{r}/protocol/openid-connect/token（refresh_token）</t>
  </si>
  <si>
    <t>有効期間は Realm 設定。上限 12 時間（2026-09-07 決定）</t>
  </si>
  <si>
    <t>ログアウト</t>
  </si>
  <si>
    <t>GET/POST /realms/{r}/protocol/openid-connect/logout</t>
  </si>
  <si>
    <t>本人のログイン状態を破棄。顧客IdP 側への連鎖は IdP ごとの設定</t>
  </si>
  <si>
    <t>他アプリへのログアウト通知</t>
  </si>
  <si>
    <t>（Keycloak → アプリ）Back-Channel Logout</t>
  </si>
  <si>
    <t>**アプリ側が受信の入口を作る**。Keycloak が呼びに行く向きなので、提供 API ではなくアプリへの実装要求</t>
  </si>
  <si>
    <t>JWT の失効</t>
  </si>
  <si>
    <t>POST /realms/{r}/protocol/openid-connect/revoke</t>
  </si>
  <si>
    <t>⚠ 標準（制約）</t>
  </si>
  <si>
    <t>リフレッシュトークンは即時に効く。アクセストークンは署名だけで検証するアプリには最大 30 分残る（FR-SSO-009）</t>
  </si>
  <si>
    <t>JWT の有効性照会</t>
  </si>
  <si>
    <t>POST /realms/{r}/protocol/openid-connect/token/introspect</t>
  </si>
  <si>
    <t>失効を即座に反映したい重要な操作で使う。毎回呼ぶと Keycloak の負荷になる</t>
  </si>
  <si>
    <t>顧客IdP の登録</t>
  </si>
  <si>
    <t>POST /admin/realms/{r}/identity-provider/instances</t>
  </si>
  <si>
    <t>管理画面</t>
  </si>
  <si>
    <t>標準にある。ただし Admin API は Realm 全体に効くため、そのままアプリへは渡せない（後述の権限の絞り込みが前提）</t>
  </si>
  <si>
    <t>顧客IdP の変更・証明書更新</t>
  </si>
  <si>
    <t>PUT /admin/realms/{r}/identity-provider/instances/{alias}</t>
  </si>
  <si>
    <t>顧客IdP の接続情報の取り込み</t>
  </si>
  <si>
    <t>POST /admin/realms/{r}/identity-provider/import-config</t>
  </si>
  <si>
    <t>相手の接続情報（メタデータ URL）から設定値を起こす</t>
  </si>
  <si>
    <t>（標準に無い）</t>
  </si>
  <si>
    <t>バッチ・システム</t>
  </si>
  <si>
    <t>🔧 カスタム必要</t>
  </si>
  <si>
    <t>🔺 標準外（追加コスト）</t>
  </si>
  <si>
    <t>定期的に取り込み直す仕組みは標準に無い。Admin API を叩くバッチを作る</t>
  </si>
  <si>
    <t>POST /admin/realms/{r}/organizations</t>
  </si>
  <si>
    <t>Keycloak 26 の Organizations を顧客の単位に使う</t>
  </si>
  <si>
    <t>PUT /admin/realms/{r}/organizations/{id}</t>
  </si>
  <si>
    <t>ドメイン・表示名など</t>
  </si>
  <si>
    <t>DELETE /admin/realms/{r}/organizations/{id}</t>
  </si>
  <si>
    <t>所属ユーザの扱いは別途の手順が要る（消さずに止める方針）</t>
  </si>
  <si>
    <t>顧客と顧客IdP の紐付け</t>
  </si>
  <si>
    <t>POST /admin/realms/{r}/organizations/{id}/identity-providers</t>
  </si>
  <si>
    <t>顧客ごとに使える顧客IdP を限定する。越境防止の土台</t>
  </si>
  <si>
    <t>GET /admin/realms/{r}/users</t>
  </si>
  <si>
    <t>標準にある。件数の区切りと検索条件も標準</t>
  </si>
  <si>
    <t>GET /admin/realms/{r}/users/{id}</t>
  </si>
  <si>
    <t>POST /admin/realms/{r}/users</t>
  </si>
  <si>
    <t>PUT /admin/realms/{r}/users/{id}</t>
  </si>
  <si>
    <t>属性の追加は User Profile で宣言した項目のみ</t>
  </si>
  <si>
    <t>PUT /admin/realms/{r}/users/{id}（enabled）</t>
  </si>
  <si>
    <t>停止・再開はこの 1 本</t>
  </si>
  <si>
    <t>ユーザの停止</t>
  </si>
  <si>
    <t>PUT /admin/realms/{r}/users/{id}（enabled=false）</t>
  </si>
  <si>
    <t>停止日時の記録は属性で持つ（標準の項目に無いため User Profile で宣言）</t>
  </si>
  <si>
    <t>PUT /admin/realms/{r}/users/{id}（enabled=true）</t>
  </si>
  <si>
    <t>誤って戻さない条件の判定は呼ぶ側の責任</t>
  </si>
  <si>
    <t>DELETE /admin/realms/{r}/users/{id}</t>
  </si>
  <si>
    <t>Phase 1 は消さずに止める方針のため通常は使わない</t>
  </si>
  <si>
    <t>強制ログアウト（1 人）</t>
  </si>
  <si>
    <t>POST /admin/realms/{r}/users/{id}/logout</t>
  </si>
  <si>
    <t>強制ログアウト（全員）</t>
  </si>
  <si>
    <t>POST /admin/realms/{r}/logout-all</t>
  </si>
  <si>
    <t>事故対応用。顧客単位の一括は標準に無く、対象を絞って繰り返す</t>
  </si>
  <si>
    <t>ログイン状態の一覧</t>
  </si>
  <si>
    <t>GET /admin/realms/{r}/users/{id}/sessions</t>
  </si>
  <si>
    <t>締め出しの解除</t>
  </si>
  <si>
    <t>DELETE /admin/realms/{r}/attack-detection/brute-force/users/{id}</t>
  </si>
  <si>
    <t>連続失敗で止まったユーザを戻す。締め出しそのものは Realm 設定</t>
  </si>
  <si>
    <t>POST /admin/realms/{r}/clients</t>
  </si>
  <si>
    <t>ひな形を用意して登録する</t>
  </si>
  <si>
    <t>アプリの接続登録（申請式）</t>
  </si>
  <si>
    <t>POST /realms/{r}/clients-registrations/{provider}</t>
  </si>
  <si>
    <t>管理者が発行した引換券（initial access token）でアプリ側が自分で登録できる。Admin API を渡さずに済む</t>
  </si>
  <si>
    <t>引換券の発行</t>
  </si>
  <si>
    <t>POST /admin/realms/{r}/clients-initial-access</t>
  </si>
  <si>
    <t>上の申請式で使う券</t>
  </si>
  <si>
    <t>接続用パスワードの再発行</t>
  </si>
  <si>
    <t>POST /admin/realms/{r}/clients/{id}/client-secret</t>
  </si>
  <si>
    <t>入れ替えの周期と通知は運用側で作る</t>
  </si>
  <si>
    <t>署名鍵の状態確認</t>
  </si>
  <si>
    <t>GET /admin/realms/{r}/keys</t>
  </si>
  <si>
    <t>鍵の追加・無効化は components API。並走期間の管理は運用手順</t>
  </si>
  <si>
    <t>期限が近いものを知らせる仕組みは標準に無い。API を読むバッチを作る</t>
  </si>
  <si>
    <t>監査ログの取得</t>
  </si>
  <si>
    <t>GET /admin/realms/{r}/events / GET /admin/realms/{r}/admin-events</t>
  </si>
  <si>
    <t>保管と検索は全体の共通基盤側。Keycloak の標準出力を流す方式が主で、この API は補助</t>
  </si>
  <si>
    <t>管理操作の権限の絞り込み</t>
  </si>
  <si>
    <t>Keycloak 26.2 以降の標準機能。ユーザ・グループ・顧客の単位で管理権限を絞れる。**アプリへ Admin API を渡す場合の前提**</t>
  </si>
  <si>
    <t>（一部のみ標準）Organizations のドメイン一致</t>
  </si>
  <si>
    <t>メールのドメインで振り分けるのは標準。**識別子（顧客コード）で振り分けるには拡張が要る**</t>
  </si>
  <si>
    <t>ユーザ登録の受信（SCIM）</t>
  </si>
  <si>
    <t>🔻 削減候補</t>
  </si>
  <si>
    <t>**Keycloak に SCIM の受信機能は無い**。作るか、外部の実装を持ち込むか、使わないかの判断が要る／A-5: 削減候補。ただし候補リストには残す</t>
  </si>
  <si>
    <t>ユーザ更新の受信（SCIM）</t>
  </si>
  <si>
    <t>同上／A-5: 削減候補</t>
  </si>
  <si>
    <t>削除通知の受信（SCIM）</t>
  </si>
  <si>
    <t>ユーザ検索の受信（SCIM）</t>
  </si>
  <si>
    <t>イベントを外へ送るには拡張が要る。Phase 1 対象外</t>
  </si>
  <si>
    <t>最終ログイン日時での抽出と停止は Admin API を使うバッチを作る</t>
  </si>
  <si>
    <t>保存期限切れの消去</t>
  </si>
  <si>
    <t>同上。Phase 1 は準備のみ</t>
  </si>
  <si>
    <t>実在推測の防止</t>
  </si>
  <si>
    <t>応答を同じにする作り込みが要る</t>
  </si>
  <si>
    <t>初回ログイン時のユーザ自動作成</t>
  </si>
  <si>
    <t>（API なし）First Broker Login Flow の設定</t>
  </si>
  <si>
    <t>設定で満たす。ただし登録経路の区分を付けるには拡張が要る</t>
  </si>
  <si>
    <t>（API なし）IdP Mapper / User Profile の設定</t>
  </si>
  <si>
    <t>顧客ごとの変換表は設定として持つ</t>
  </si>
  <si>
    <t>顧客越境の防止</t>
  </si>
  <si>
    <t>（API なし）Organizations + フローの設定</t>
  </si>
  <si>
    <t>顧客と顧客IdP の紐付けで構造的に防ぐ</t>
  </si>
  <si>
    <t>（API なし）テーマ</t>
  </si>
  <si>
    <t>画面はテーマで作る。アプリから呼ぶ API は無い</t>
  </si>
  <si>
    <t>ServiceNow へは SAML で提供する</t>
  </si>
  <si>
    <t>IdP</t>
  </si>
  <si>
    <t>ID/PW でのログイン</t>
  </si>
  <si>
    <t>Broker から委譲されて動く。アプリが直接呼ぶことはない</t>
  </si>
  <si>
    <t>パスワードの変更（本人）</t>
  </si>
  <si>
    <t>GET /realms/{r}/protocol/openid-connect/auth?kc_action=UPDATE_PASSWORD</t>
  </si>
  <si>
    <t>**A-1 決定: 画面へ誘導**。アプリは自分の画面から このパラメータ付きで送るだけ。メール不要。戻り先に `kc_action_status` が付く。※Account API のパスワード変更は現行 Keycloak で廃止済みのため、この方式が標準の答え</t>
  </si>
  <si>
    <t>（標準に無い / 画面はある）</t>
  </si>
  <si>
    <t>画面の「パスワードをお忘れですか」はメール前提。**メールを持たないユーザには使えない**ため別手段が要る／A-2: 初期パスワードの動線は準備するが削減候補</t>
  </si>
  <si>
    <t>パスワードの初期化（管理者）</t>
  </si>
  <si>
    <t>PUT /admin/realms/{r}/users/{id}/reset-password</t>
  </si>
  <si>
    <t>**これは標準にある**。今のパスワードは確認しない。一時パスワードにもできる</t>
  </si>
  <si>
    <t>変更の強制（初回など）</t>
  </si>
  <si>
    <t>PUT /admin/realms/{r}/users/{id}/execute-actions-email</t>
  </si>
  <si>
    <t>メールで誘導する方式。メールを持たないユーザには使えない</t>
  </si>
  <si>
    <t>変更の強制（メールなし）</t>
  </si>
  <si>
    <t>PUT /admin/realms/{r}/users/{id}（requiredActions）</t>
  </si>
  <si>
    <t>次のログイン時に変更画面を出す。メール不要でこちらが実用的</t>
  </si>
  <si>
    <t>(なし)</t>
  </si>
  <si>
    <t>パスワードの取得</t>
  </si>
  <si>
    <t>❌ 不可</t>
  </si>
  <si>
    <t>— 提供しない</t>
  </si>
  <si>
    <t>**パスワードは復元できない形で保管するため、取得する API は原理的に作れない**（Keycloak に限らない）。用途を伺って別の手段に置き換える</t>
  </si>
  <si>
    <t>パスワードの照合</t>
  </si>
  <si>
    <t>（推奨できる標準が無い）</t>
  </si>
  <si>
    <t>ID とパスワードの正誤だけを判定する API は、標準では非推奨の方式しかない（FR-AUTH-008 で不採用）。ログイン画面へ誘導する形に置き換える</t>
  </si>
  <si>
    <t>（API なし）Authentication Flow の設定</t>
  </si>
  <si>
    <t>ログイン画面の中で完結する</t>
  </si>
  <si>
    <t>追加認証の登録</t>
  </si>
  <si>
    <t>GET /realms/{r}/protocol/openid-connect/auth?kc_action=CONFIGURE_TOTP</t>
  </si>
  <si>
    <t>**A-1 と同じ仕組み**。アプリの画面から登録へ送れる。登録そのものを API で行う標準は無いが、誘導は標準でできる。※登録されたかは戻り値を信用せず `acr` 等で確認する</t>
  </si>
  <si>
    <t>DELETE /admin/realms/{r}/users/{id}/credentials/{credentialId}</t>
  </si>
  <si>
    <t>**標準にある**。端末紛失時の復旧に使う</t>
  </si>
  <si>
    <t>認証手段の一覧（本人）</t>
  </si>
  <si>
    <t>GET /realms/{r}/account/credentials</t>
  </si>
  <si>
    <t>本人のトークンで呼べる。登録済みの手段の確認に使う</t>
  </si>
  <si>
    <t>認証手段の削除（本人）</t>
  </si>
  <si>
    <t>DELETE /realms/{r}/account/credentials/{id}</t>
  </si>
  <si>
    <t>標準にあるが非推奨の扱い。画面へ誘導する方が安全</t>
  </si>
  <si>
    <t>自分の情報の参照・更新</t>
  </si>
  <si>
    <t>GET/POST /realms/{r}/account/</t>
  </si>
  <si>
    <t>**本人のトークンで呼べる**。管理 API を渡さずにプロフィール編集を実現できる</t>
  </si>
  <si>
    <t>自分のログイン状態の確認・破棄</t>
  </si>
  <si>
    <t>GET/DELETE /realms/{r}/account/sessions</t>
  </si>
  <si>
    <t>連携先の確認・解除（本人）</t>
  </si>
  <si>
    <t>GET/DELETE /realms/{r}/account/linked-accounts</t>
  </si>
  <si>
    <t>ユーザの登録・変更・停止</t>
  </si>
  <si>
    <t>POST/PUT /admin/realms/{r}/users …</t>
  </si>
  <si>
    <t>Broker 側と同じ Admin API。IdP-KC 側のユーザが対象</t>
  </si>
  <si>
    <t>照合する仕組みは標準に無い</t>
  </si>
  <si>
    <t>管理者の承認を経て復旧する手順を作る</t>
  </si>
  <si>
    <t>連続失敗時の締め出し</t>
  </si>
  <si>
    <t>（API なし）Realm 設定 + attack-detection</t>
  </si>
  <si>
    <t>解除は Broker 側と同じ API</t>
  </si>
  <si>
    <t>顧客IdP の指定</t>
  </si>
  <si>
    <t>GET /realms/{r}/protocol/openid-connect/auth?kc_idp_hint={alias}</t>
  </si>
  <si>
    <t>アプリが送り先を指定できる標準のパラメータ。振り分けを画面に頼らない手段</t>
  </si>
  <si>
    <t>振り分け失敗時の切替</t>
  </si>
  <si>
    <t>（API なし）フローの設定 + 拡張</t>
  </si>
  <si>
    <t>判定できなかったときの逃げ道。HRD の拡張と一体で作る</t>
  </si>
  <si>
    <t>（API なし）IdP Mapper の syncMode 設定</t>
  </si>
  <si>
    <t>2 回目以降に上書きする項目を Mapper ごとに決める</t>
  </si>
  <si>
    <t>（API なし）IdP エントリの設定</t>
  </si>
  <si>
    <t>Broker から見て Keycloak-IdP は顧客IdP の 1 つ。Keycloak-IdP 側に求める設定は接続仕様（HE-23）で渡す</t>
  </si>
  <si>
    <t>POST /admin/realms/{r}/organizations/{id}/members/invite-user</t>
  </si>
  <si>
    <t>Organizations の標準機能。**メール送信が前提**のため、メールを持たないユーザには使えない</t>
  </si>
  <si>
    <t>POST /admin/realms/{r}/partialImport</t>
  </si>
  <si>
    <t>標準にある。件数の上限に合わせて分割して投入する</t>
  </si>
  <si>
    <t>設定のファイル出力</t>
  </si>
  <si>
    <t>POST /admin/realms/{r}/partial-export</t>
  </si>
  <si>
    <t>**ユーザは出力に含まれない**。ユーザの持ち出しは検索 API を繰り返すか、サーバ側の書き出し機能を使う</t>
  </si>
  <si>
    <t>本人からの開示・削除請求</t>
  </si>
  <si>
    <t>GET /admin/realms/{r}/users/{id} / DELETE …</t>
  </si>
  <si>
    <t>標準 API の組合せで足りる。対応の記録は運用側で残す</t>
  </si>
  <si>
    <t>管理 API の内部公開</t>
  </si>
  <si>
    <t>（本基盤が決める）到達経路・呼び出し元の資格・許す操作</t>
  </si>
  <si>
    <t>**今回の論点そのもの**。Admin API をどこまでアプリへ開くかを決め、権限の絞り込み（FGAP v2）と経路で守る</t>
  </si>
  <si>
    <t>GET /admin/realms/{r}/events + 外部の集計</t>
  </si>
  <si>
    <t>検知そのものは標準に無い。イベントを取り出して外で判定する</t>
  </si>
  <si>
    <t>（標準 API を外部から呼ぶ）</t>
  </si>
  <si>
    <t>専用 API は不要。ログイン用の標準の入口を監視から定期的に叩く</t>
  </si>
  <si>
    <t>（API なし）User Profile の属性 + 拡張</t>
  </si>
  <si>
    <t>どの経路で作られたかを属性で持つ。付与は拡張側</t>
  </si>
  <si>
    <t>ServiceNow から他アプリの API を呼ぶ経路</t>
  </si>
  <si>
    <t>ログイン済みかの確認（画面遷移なし）</t>
  </si>
  <si>
    <t>GET /realms/{r}/protocol/openid-connect/auth?prompt=none</t>
  </si>
  <si>
    <t>**G-1**。画面を出さずにログイン状態を確かめる標準の方法。SPA が起動時に使う。画面のあるアプリには実質必須で、表から漏れていた</t>
  </si>
  <si>
    <t>セッション状態の監視</t>
  </si>
  <si>
    <t>GET /realms/{r}/protocol/openid-connect/login-status-iframe.html</t>
  </si>
  <si>
    <t>**G-1**。別のタブでログアウトされたことに気づく仕組み。サーバ側でセッションを持つ作り（BFF）なら不要</t>
  </si>
  <si>
    <t>ユーザの件数取得</t>
  </si>
  <si>
    <t>GET /admin/realms/{r}/users/count</t>
  </si>
  <si>
    <t>**G-3**。一覧の総件数。ページ送りの実装に要る</t>
  </si>
  <si>
    <t>属性でのユーザ検索</t>
  </si>
  <si>
    <t>GET /admin/realms/{r}/users?q=key:value</t>
  </si>
  <si>
    <t>**G-3**。社員番号など独自の項目で引く手段。**3 階層の識別子の設計に直結**するのに表から漏れていた</t>
  </si>
  <si>
    <t>顧客のメンバー管理</t>
  </si>
  <si>
    <t>GET/POST /admin/realms/{r}/organizations/{id}/members・DELETE .../members/{id}</t>
  </si>
  <si>
    <t>**G-4**。誰がどの顧客に属するかの付け外し。顧客の CRUD だけでは足りない</t>
  </si>
  <si>
    <t>顧客のメンバー件数</t>
  </si>
  <si>
    <t>GET /admin/realms/{r}/organizations/{id}/members/count</t>
  </si>
  <si>
    <t>**G-4**。課金・レポートの母数</t>
  </si>
  <si>
    <t>顧客IdP との紐付けの付け外し</t>
  </si>
  <si>
    <t>POST/DELETE /admin/realms/{r}/users/{id}/federated-identity/{alias}</t>
  </si>
  <si>
    <t>**G-5**。顧客が IdP を乗り換えたときの繋ぎ替え、重複ユーザの統合で使う。**移行と事故対応の要**</t>
  </si>
  <si>
    <t>締め出し状態の確認</t>
  </si>
  <si>
    <t>GET /admin/realms/{r}/attack-detection/brute-force/users/{id}</t>
  </si>
  <si>
    <t>**G-6**。「入れない」問い合わせの一次切り分け。解除だけ拾って状態確認が漏れていた</t>
  </si>
  <si>
    <t>失効の一斉通知</t>
  </si>
  <si>
    <t>POST /admin/realms/{r}/clients/{id}/push-revocation</t>
  </si>
  <si>
    <t>**G-7**。ある時刻より前に出した JWT を無効として各アプリへ押し出す。**JWT が最大 30 分残る問題の緩和策**として設計に入れていたのに表から漏れていた</t>
  </si>
  <si>
    <t>記録する項目の設定</t>
  </si>
  <si>
    <t>GET/PUT /admin/realms/{r}/events/config</t>
  </si>
  <si>
    <t>**G-8**。何を記録し何日残すかの設定。監査設計の前提だが表から漏れていた</t>
  </si>
  <si>
    <t>なりすまし（調査用）</t>
  </si>
  <si>
    <t>POST /admin/realms/{r}/users/{id}/impersonation</t>
  </si>
  <si>
    <t>⛔ 使わない（決定）</t>
  </si>
  <si>
    <t>**G-9。2026-09-09 決定: 不要**。標準にはあるが使わない。**権限を配るときにこの操作を許さないことを明示する**（Admin Permissions の設定で落とす）</t>
  </si>
  <si>
    <t>アプリ単位のセッション一覧</t>
  </si>
  <si>
    <t>GET /admin/realms/{r}/clients/{id}/user-sessions</t>
  </si>
  <si>
    <t>**G-10**。障害時に「どのアプリで何人繋がっているか」を見る</t>
  </si>
  <si>
    <t>サーバ情報の取得</t>
  </si>
  <si>
    <t>GET /admin/serverinfo</t>
  </si>
  <si>
    <t>**G-12**。版数・有効な機能の確認。版上げの前後で使う</t>
  </si>
  <si>
    <t>死活と性能値の公開</t>
  </si>
  <si>
    <t>GET /health・/health/ready・/health/live・/metrics（9000 番）</t>
  </si>
  <si>
    <t>**G-2**。**既定では無効で、明示的に有効化が要る**。9000 番は業務用の口とは別。**2026-09-09 決定: 監視は ROSA のあるアカウントでそれぞれ行う**（Broker 用・Keycloak-IdP 用の各アカウント内で完結し、他組織が管理する境界は通さない）</t>
  </si>
  <si>
    <t>同意した先の確認・取り消し</t>
  </si>
  <si>
    <t>GET /realms/{r}/account/applications・DELETE .../applications/{clientId}/consent</t>
  </si>
  <si>
    <t>**G-11**。本人が「どのアプリに情報を渡したか」を見て取り消す。同意画面を使わない運用なら不要</t>
  </si>
  <si>
    <t>最終ログイン日時の取得</t>
  </si>
  <si>
    <t>**G-13**。**Keycloak はユーザの最終ログイン日時を持たない**（記録イベントからしか分からない）。自動停止の判定にも、アプリの画面表示にも要るので拡張が必要</t>
  </si>
  <si>
    <t>パスワードの変更日・期限の取得</t>
  </si>
  <si>
    <t>**G-14**。「あと何日で期限」を出す標準の手段が無い</t>
  </si>
  <si>
    <t>一括の有効化・無効化</t>
  </si>
  <si>
    <t>（標準に無い）1 件ずつの呼び出しをまとめる</t>
  </si>
  <si>
    <t>**G-15。2026-09-09 決定: 必要だが削減候補**。標準は 1 件ずつのため件数分の呼び出しになる。**数万人規模の停止が時間内に終わるかは性能試験で確かめる**／G-15: 必要だが削減候補</t>
  </si>
  <si>
    <t>提供する API</t>
  </si>
  <si>
    <t>🔺 標準外（追加コスト）の API</t>
  </si>
  <si>
    <t>🔻 削減候補の API</t>
  </si>
  <si>
    <r>
      <rPr>
        <sz val="12"/>
        <color theme="1"/>
        <rFont val="MS Mincho"/>
        <family val="2"/>
        <charset val="128"/>
      </rPr>
      <t>（</t>
    </r>
    <r>
      <rPr>
        <sz val="12"/>
        <color theme="1"/>
        <rFont val="Consolas"/>
        <family val="2"/>
      </rPr>
      <t xml:space="preserve">API </t>
    </r>
    <r>
      <rPr>
        <sz val="12"/>
        <color theme="1"/>
        <rFont val="MS Mincho"/>
        <family val="2"/>
        <charset val="128"/>
      </rPr>
      <t>なし）</t>
    </r>
    <r>
      <rPr>
        <sz val="12"/>
        <color theme="1"/>
        <rFont val="Consolas"/>
        <family val="2"/>
      </rPr>
      <t xml:space="preserve">Protocol Mapper / Client Scope </t>
    </r>
    <r>
      <rPr>
        <sz val="12"/>
        <color theme="1"/>
        <rFont val="MS Mincho"/>
        <family val="2"/>
        <charset val="128"/>
      </rPr>
      <t>の設定</t>
    </r>
    <phoneticPr fontId="2"/>
  </si>
  <si>
    <t>JWT の交換</t>
    <phoneticPr fontId="2"/>
  </si>
  <si>
    <t>ユーザの検索・一覧</t>
    <phoneticPr fontId="2"/>
  </si>
  <si>
    <r>
      <rPr>
        <sz val="12"/>
        <color theme="1"/>
        <rFont val="MS Mincho"/>
        <family val="2"/>
        <charset val="128"/>
      </rPr>
      <t>（</t>
    </r>
    <r>
      <rPr>
        <sz val="12"/>
        <color theme="1"/>
        <rFont val="Consolas"/>
        <family val="2"/>
      </rPr>
      <t xml:space="preserve">API </t>
    </r>
    <r>
      <rPr>
        <sz val="12"/>
        <color theme="1"/>
        <rFont val="MS Mincho"/>
        <family val="2"/>
        <charset val="128"/>
      </rPr>
      <t>ではなく設定）</t>
    </r>
    <r>
      <rPr>
        <sz val="12"/>
        <color theme="1"/>
        <rFont val="Consolas"/>
        <family val="2"/>
      </rPr>
      <t>Admin Permissions</t>
    </r>
    <r>
      <rPr>
        <sz val="12"/>
        <color theme="1"/>
        <rFont val="MS Mincho"/>
        <family val="2"/>
        <charset val="128"/>
      </rPr>
      <t>（</t>
    </r>
    <r>
      <rPr>
        <sz val="12"/>
        <color theme="1"/>
        <rFont val="Consolas"/>
        <family val="2"/>
      </rPr>
      <t>FGAP v2</t>
    </r>
    <r>
      <rPr>
        <sz val="12"/>
        <color theme="1"/>
        <rFont val="MS Mincho"/>
        <family val="2"/>
        <charset val="128"/>
      </rPr>
      <t>）</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</si>
</sst>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sz val="9"/>
      <color rgb="FF0000FF"/>
      <name val="游ゴシック"/>
      <family val="2"/>
      <charset val="128"/>
      <scheme val="minor"/>
    </font>
    <font>
      <sz val="12"/>
      <color rgb="FF000000"/>
      <name val="Meiryo UI"/>
      <family val="2"/>
      <charset val="128"/>
    </font>
    <font>
      <b/>
      <sz val="12"/>
      <color rgb="FF000000"/>
      <name val="Meiryo UI"/>
      <family val="2"/>
      <charset val="128"/>
    </font>
    <font>
      <b/>
      <sz val="12"/>
      <color theme="1"/>
      <name val="Consolas"/>
      <family val="2"/>
    </font>
    <font>
      <sz val="12"/>
      <color theme="1"/>
      <name val="Consolas"/>
      <family val="2"/>
    </font>
    <font>
      <b/>
      <sz val="11"/>
      <color theme="1"/>
      <name val="游ゴシック"/>
      <family val="2"/>
      <charset val="128"/>
      <scheme val="minor"/>
    </font>
    <font>
      <sz val="12"/>
      <color theme="1"/>
      <name val="MS Mincho"/>
      <family val="2"/>
      <charset val="128"/>
    </font>
    <font>
      <sz val="12"/>
      <color theme="1"/>
      <name val="Consolas"/>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1" fillId="0" borderId="2" xfId="0" applyFont="1" applyBorder="1" applyAlignment="1">
      <alignment vertical="top"/>
    </xf>
    <xf numFmtId="0" fontId="21" fillId="0" borderId="5" xfId="0" applyFont="1" applyBorder="1" applyAlignment="1">
      <alignment vertical="top"/>
    </xf>
    <xf numFmtId="0" fontId="12" fillId="0" borderId="0" xfId="0" applyFont="1">
      <alignment vertical="center"/>
    </xf>
    <xf numFmtId="0" fontId="23" fillId="0" borderId="0" xfId="0" applyFont="1">
      <alignment vertical="center"/>
    </xf>
    <xf numFmtId="0" fontId="24" fillId="0" borderId="1" xfId="0" applyFont="1" applyBorder="1" applyAlignment="1">
      <alignment vertical="top"/>
    </xf>
    <xf numFmtId="0" fontId="24" fillId="0" borderId="4" xfId="0" applyFont="1" applyBorder="1" applyAlignment="1">
      <alignment vertical="top"/>
    </xf>
    <xf numFmtId="0" fontId="24"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6"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8" fillId="0" borderId="3" xfId="0" applyFont="1" applyBorder="1" applyAlignment="1">
      <alignment vertical="top"/>
    </xf>
    <xf numFmtId="0" fontId="28" fillId="0" borderId="6" xfId="0" applyFont="1" applyBorder="1" applyAlignment="1">
      <alignment vertical="top"/>
    </xf>
    <xf numFmtId="49" fontId="27" fillId="0" borderId="2" xfId="0" applyNumberFormat="1" applyFont="1" applyBorder="1" applyAlignment="1">
      <alignment horizontal="center" vertical="top"/>
    </xf>
    <xf numFmtId="49" fontId="27" fillId="0" borderId="5" xfId="0" applyNumberFormat="1" applyFont="1" applyBorder="1" applyAlignment="1">
      <alignment horizontal="center" vertical="top"/>
    </xf>
    <xf numFmtId="0" fontId="4" fillId="0" borderId="5" xfId="0" applyFont="1" applyBorder="1" applyAlignment="1">
      <alignment vertical="top"/>
    </xf>
    <xf numFmtId="0" fontId="28"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29"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29" fillId="0" borderId="2" xfId="0" applyFont="1" applyBorder="1">
      <alignment vertical="center"/>
    </xf>
    <xf numFmtId="0" fontId="29" fillId="0" borderId="5" xfId="0" applyFont="1" applyBorder="1">
      <alignment vertical="center"/>
    </xf>
    <xf numFmtId="0" fontId="25" fillId="0" borderId="2" xfId="0" applyFont="1" applyBorder="1">
      <alignment vertical="center"/>
    </xf>
    <xf numFmtId="0" fontId="25"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8"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29"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7" fillId="3" borderId="2" xfId="0" applyNumberFormat="1" applyFont="1" applyFill="1" applyBorder="1" applyAlignment="1">
      <alignment horizontal="center" vertical="top"/>
    </xf>
    <xf numFmtId="0" fontId="28" fillId="3" borderId="3" xfId="0" applyFont="1" applyFill="1" applyBorder="1" applyAlignment="1">
      <alignment vertical="top"/>
    </xf>
    <xf numFmtId="0" fontId="4" fillId="4" borderId="1" xfId="0" applyFont="1" applyFill="1" applyBorder="1" applyAlignment="1">
      <alignment vertical="top"/>
    </xf>
    <xf numFmtId="49" fontId="27" fillId="4" borderId="2" xfId="0" applyNumberFormat="1" applyFont="1" applyFill="1" applyBorder="1" applyAlignment="1">
      <alignment horizontal="center" vertical="top"/>
    </xf>
    <xf numFmtId="0" fontId="28"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19" fillId="0" borderId="11" xfId="0" applyFont="1" applyBorder="1" applyAlignment="1">
      <alignment horizontal="left" vertical="top"/>
    </xf>
    <xf numFmtId="0" fontId="19" fillId="0" borderId="0" xfId="0" applyFont="1" applyAlignment="1">
      <alignment vertical="top"/>
    </xf>
    <xf numFmtId="0" fontId="19" fillId="0" borderId="10" xfId="0" applyFont="1" applyBorder="1" applyAlignment="1">
      <alignment horizontal="left" vertical="top"/>
    </xf>
    <xf numFmtId="0" fontId="19" fillId="0" borderId="0" xfId="0" applyFont="1" applyAlignment="1">
      <alignment horizontal="left" vertical="top"/>
    </xf>
    <xf numFmtId="0" fontId="19" fillId="0" borderId="14" xfId="0" applyFont="1" applyBorder="1" applyAlignment="1">
      <alignment horizontal="left" vertical="top"/>
    </xf>
    <xf numFmtId="0" fontId="19" fillId="0" borderId="13" xfId="0" applyFont="1" applyBorder="1" applyAlignment="1">
      <alignment horizontal="left" vertical="top"/>
    </xf>
    <xf numFmtId="0" fontId="30" fillId="0" borderId="11" xfId="0" applyFont="1" applyBorder="1" applyAlignment="1">
      <alignment horizontal="left" vertical="top"/>
    </xf>
    <xf numFmtId="0" fontId="30" fillId="0" borderId="11" xfId="0" applyFont="1" applyBorder="1" applyAlignment="1">
      <alignment horizontal="left" vertical="top" wrapText="1"/>
    </xf>
    <xf numFmtId="184" fontId="30" fillId="0" borderId="11" xfId="0" applyNumberFormat="1" applyFont="1" applyBorder="1" applyAlignment="1">
      <alignment horizontal="left" vertical="top" wrapText="1"/>
    </xf>
    <xf numFmtId="0" fontId="0" fillId="0" borderId="0" xfId="0" applyAlignment="1">
      <alignment vertical="center" wrapText="1"/>
    </xf>
    <xf numFmtId="0" fontId="1" fillId="9" borderId="11" xfId="0" applyFont="1" applyFill="1" applyBorder="1">
      <alignment vertical="center"/>
    </xf>
    <xf numFmtId="0" fontId="0" fillId="10" borderId="0" xfId="0" applyFill="1">
      <alignment vertical="center"/>
    </xf>
    <xf numFmtId="0" fontId="9" fillId="0" borderId="11" xfId="0" applyFont="1" applyBorder="1" applyAlignment="1">
      <alignment horizontal="left" vertical="center"/>
    </xf>
    <xf numFmtId="0" fontId="1" fillId="5" borderId="0" xfId="0" applyFont="1" applyFill="1" applyAlignment="1">
      <alignment horizontal="center" vertical="center"/>
    </xf>
    <xf numFmtId="0" fontId="17" fillId="2" borderId="11" xfId="0" applyFont="1" applyFill="1" applyBorder="1" applyAlignment="1">
      <alignment horizontal="left" vertical="center"/>
    </xf>
    <xf numFmtId="177" fontId="30" fillId="0" borderId="11" xfId="0" applyNumberFormat="1" applyFont="1" applyBorder="1" applyAlignment="1">
      <alignment horizontal="left" vertical="top" wrapText="1"/>
    </xf>
    <xf numFmtId="0" fontId="30" fillId="0" borderId="0" xfId="0" applyFont="1" applyAlignment="1">
      <alignment horizontal="left" vertical="center"/>
    </xf>
    <xf numFmtId="0" fontId="9" fillId="0" borderId="0" xfId="0" applyFont="1" applyAlignment="1">
      <alignment horizontal="left" vertical="center"/>
    </xf>
    <xf numFmtId="0" fontId="17" fillId="2" borderId="11" xfId="0" applyFont="1" applyFill="1" applyBorder="1" applyAlignment="1">
      <alignment horizontal="left" vertical="top"/>
    </xf>
    <xf numFmtId="0" fontId="17" fillId="2" borderId="0" xfId="0" applyFont="1" applyFill="1" applyAlignment="1">
      <alignment horizontal="left" vertical="center"/>
    </xf>
    <xf numFmtId="0" fontId="30" fillId="0" borderId="11" xfId="0" applyFont="1" applyBorder="1" applyAlignment="1">
      <alignment horizontal="left" vertical="center"/>
    </xf>
    <xf numFmtId="0" fontId="30" fillId="8" borderId="11" xfId="0" applyFont="1" applyFill="1" applyBorder="1" applyAlignment="1">
      <alignment horizontal="left" vertical="top"/>
    </xf>
    <xf numFmtId="0" fontId="30" fillId="8" borderId="11" xfId="0" applyFont="1" applyFill="1" applyBorder="1" applyAlignment="1">
      <alignment horizontal="left" vertical="top" wrapText="1"/>
    </xf>
    <xf numFmtId="0" fontId="30" fillId="7" borderId="11" xfId="0" applyFont="1" applyFill="1" applyBorder="1" applyAlignment="1">
      <alignment horizontal="left" vertical="top"/>
    </xf>
    <xf numFmtId="0" fontId="30" fillId="7" borderId="11" xfId="0" applyFont="1" applyFill="1" applyBorder="1" applyAlignment="1">
      <alignment horizontal="left" vertical="top" wrapText="1"/>
    </xf>
    <xf numFmtId="0" fontId="31"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8"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8" fillId="0" borderId="11" xfId="0" applyFont="1" applyBorder="1">
      <alignment vertical="center"/>
    </xf>
    <xf numFmtId="177" fontId="18"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xf numFmtId="0" fontId="0" fillId="0" borderId="0" xfId="0" applyNumberFormat="1">
      <alignment vertical="center"/>
    </xf>
    <xf numFmtId="0" fontId="1" fillId="0" borderId="0" xfId="0" applyNumberFormat="1" applyFont="1">
      <alignment vertical="center"/>
    </xf>
    <xf numFmtId="0" fontId="0" fillId="0" borderId="11" xfId="0" applyBorder="1" applyAlignment="1">
      <alignment vertical="top"/>
    </xf>
    <xf numFmtId="0" fontId="0" fillId="0" borderId="11" xfId="0" applyBorder="1" applyAlignment="1">
      <alignment vertical="top" wrapText="1"/>
    </xf>
    <xf numFmtId="0" fontId="0" fillId="0" borderId="11" xfId="0" applyBorder="1" applyAlignment="1">
      <alignment vertical="top"/>
    </xf>
    <xf numFmtId="0" fontId="0" fillId="0" borderId="11" xfId="0" applyBorder="1" applyAlignment="1">
      <alignment vertical="top" wrapText="1"/>
    </xf>
    <xf numFmtId="177" fontId="30" fillId="0" borderId="11" xfId="0" applyNumberFormat="1" applyFont="1" applyBorder="1" applyAlignment="1">
      <alignment horizontal="left" vertical="top"/>
    </xf>
    <xf numFmtId="177" fontId="30" fillId="8" borderId="11" xfId="0" applyNumberFormat="1" applyFont="1" applyFill="1" applyBorder="1" applyAlignment="1">
      <alignment horizontal="left" vertical="top"/>
    </xf>
    <xf numFmtId="177" fontId="30" fillId="7" borderId="11" xfId="0" applyNumberFormat="1" applyFont="1" applyFill="1" applyBorder="1" applyAlignment="1">
      <alignment horizontal="left" vertical="top"/>
    </xf>
    <xf numFmtId="177" fontId="30" fillId="0" borderId="11" xfId="0" applyNumberFormat="1" applyFont="1" applyBorder="1" applyAlignment="1">
      <alignment horizontal="left" vertical="center"/>
    </xf>
    <xf numFmtId="177" fontId="9" fillId="0" borderId="11" xfId="0" applyNumberFormat="1" applyFont="1" applyBorder="1" applyAlignment="1">
      <alignment horizontal="left" vertical="center"/>
    </xf>
    <xf numFmtId="0" fontId="9" fillId="0" borderId="11" xfId="0" applyFont="1" applyBorder="1" applyAlignment="1">
      <alignment horizontal="left" vertical="top"/>
    </xf>
    <xf numFmtId="0" fontId="9" fillId="0" borderId="11" xfId="0" applyFont="1" applyBorder="1" applyAlignment="1">
      <alignment horizontal="left" vertical="top" wrapText="1"/>
    </xf>
    <xf numFmtId="184" fontId="9" fillId="0" borderId="11" xfId="0" applyNumberFormat="1" applyFont="1" applyBorder="1" applyAlignment="1">
      <alignment horizontal="left" vertical="top" wrapText="1"/>
    </xf>
    <xf numFmtId="0" fontId="18" fillId="2" borderId="11" xfId="0" applyFont="1" applyFill="1" applyBorder="1" applyAlignment="1">
      <alignment horizontal="left" vertical="center"/>
    </xf>
    <xf numFmtId="177" fontId="9" fillId="0" borderId="11" xfId="0" applyNumberFormat="1" applyFont="1" applyBorder="1" applyAlignment="1">
      <alignment horizontal="left" vertical="top"/>
    </xf>
    <xf numFmtId="177" fontId="9" fillId="0" borderId="11" xfId="0" applyNumberFormat="1" applyFont="1" applyBorder="1" applyAlignment="1">
      <alignment horizontal="left" vertical="top" wrapText="1"/>
    </xf>
    <xf numFmtId="184" fontId="9" fillId="0" borderId="11" xfId="0" applyNumberFormat="1" applyFont="1" applyBorder="1" applyAlignment="1">
      <alignment horizontal="left" vertical="top"/>
    </xf>
    <xf numFmtId="0" fontId="1" fillId="5" borderId="11" xfId="0" applyFont="1" applyFill="1" applyBorder="1" applyAlignment="1">
      <alignment horizontal="center" vertical="center" wrapText="1"/>
    </xf>
    <xf numFmtId="0" fontId="34" fillId="0" borderId="0" xfId="0" applyFont="1">
      <alignment vertical="center"/>
    </xf>
    <xf numFmtId="0" fontId="32" fillId="5" borderId="11" xfId="0" applyFont="1" applyFill="1" applyBorder="1" applyAlignment="1">
      <alignment horizontal="center" vertical="center"/>
    </xf>
    <xf numFmtId="0" fontId="33" fillId="0" borderId="11" xfId="0" applyFont="1" applyBorder="1" applyAlignment="1">
      <alignment vertical="top"/>
    </xf>
    <xf numFmtId="0" fontId="36" fillId="0" borderId="11" xfId="0" applyFont="1" applyBorder="1" applyAlignment="1">
      <alignment vertical="top"/>
    </xf>
  </cellXfs>
  <cellStyles count="1">
    <cellStyle name="標準" xfId="0" builtinId="0"/>
  </cellStyles>
  <dxfs count="53">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1F4E79"/>
      </font>
      <fill>
        <patternFill patternType="solid">
          <fgColor indexed="64"/>
          <bgColor rgb="FFDDEBF7"/>
        </patternFill>
      </fill>
    </dxf>
    <dxf>
      <font>
        <color rgb="FF9C0006"/>
      </font>
      <fill>
        <patternFill patternType="solid">
          <fgColor indexed="64"/>
          <bgColor rgb="FFFFC7CE"/>
        </patternFill>
      </fill>
    </dxf>
    <dxf>
      <font>
        <color rgb="FF3F3F3F"/>
      </font>
      <fill>
        <patternFill patternType="solid">
          <fgColor indexed="64"/>
          <bgColor rgb="FFD9D9D9"/>
        </patternFill>
      </fill>
    </dxf>
    <dxf>
      <font>
        <color rgb="FF3F3F3F"/>
      </font>
      <fill>
        <patternFill patternType="solid">
          <fgColor indexed="64"/>
          <bgColor rgb="FFD9D9D9"/>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7B3F00"/>
      </font>
      <fill>
        <patternFill patternType="solid">
          <fgColor indexed="64"/>
          <bgColor rgb="FFFCE4D6"/>
        </patternFill>
      </fill>
    </dxf>
    <dxf>
      <font>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1168</v>
      </c>
    </row>
    <row r="2" spans="1:6">
      <c r="A2" s="1" t="s">
        <v>1169</v>
      </c>
    </row>
    <row r="3" spans="1:6">
      <c r="A3" s="31" t="s">
        <v>1170</v>
      </c>
    </row>
    <row r="5" spans="1:6">
      <c r="A5" s="2" t="s">
        <v>1171</v>
      </c>
    </row>
    <row r="6" spans="1:6">
      <c r="A6" s="11" t="s">
        <v>1172</v>
      </c>
      <c r="B6" s="12" t="s">
        <v>1173</v>
      </c>
      <c r="C6" s="12" t="s">
        <v>1174</v>
      </c>
      <c r="D6" s="13" t="s">
        <v>1175</v>
      </c>
    </row>
    <row r="7" spans="1:6">
      <c r="A7" s="14" t="s">
        <v>1176</v>
      </c>
      <c r="B7" s="76" t="s">
        <v>1177</v>
      </c>
      <c r="C7" s="15" t="s">
        <v>946</v>
      </c>
      <c r="D7" s="19" t="s">
        <v>1178</v>
      </c>
    </row>
    <row r="8" spans="1:6">
      <c r="A8" s="14" t="s">
        <v>1179</v>
      </c>
      <c r="B8" s="76">
        <v>730</v>
      </c>
      <c r="C8" s="15" t="s">
        <v>1180</v>
      </c>
      <c r="D8" s="19" t="s">
        <v>1181</v>
      </c>
    </row>
    <row r="9" spans="1:6">
      <c r="A9" s="14" t="s">
        <v>1182</v>
      </c>
      <c r="B9" s="76">
        <v>150</v>
      </c>
      <c r="C9" s="15" t="s">
        <v>1183</v>
      </c>
      <c r="D9" s="19" t="s">
        <v>1184</v>
      </c>
    </row>
    <row r="10" spans="1:6">
      <c r="A10" s="14" t="s">
        <v>1185</v>
      </c>
      <c r="B10" s="76">
        <v>1000000</v>
      </c>
      <c r="C10" s="15" t="s">
        <v>1186</v>
      </c>
      <c r="D10" s="19" t="s">
        <v>1187</v>
      </c>
    </row>
    <row r="11" spans="1:6">
      <c r="A11" s="14" t="s">
        <v>1188</v>
      </c>
      <c r="B11" s="76">
        <v>5000000</v>
      </c>
      <c r="C11" s="15" t="s">
        <v>1186</v>
      </c>
      <c r="D11" s="19" t="s">
        <v>1189</v>
      </c>
    </row>
    <row r="12" spans="1:6">
      <c r="A12" s="17" t="s">
        <v>1190</v>
      </c>
      <c r="B12" s="77">
        <v>10000000</v>
      </c>
      <c r="C12" s="18" t="s">
        <v>1186</v>
      </c>
      <c r="D12" s="20" t="s">
        <v>1191</v>
      </c>
    </row>
    <row r="14" spans="1:6">
      <c r="A14" s="2" t="s">
        <v>1192</v>
      </c>
    </row>
    <row r="15" spans="1:6">
      <c r="A15" s="56" t="s">
        <v>0</v>
      </c>
      <c r="B15" s="57" t="s">
        <v>1172</v>
      </c>
      <c r="C15" s="57" t="s">
        <v>1193</v>
      </c>
      <c r="D15" s="57" t="s">
        <v>1174</v>
      </c>
      <c r="E15" s="57" t="s">
        <v>5</v>
      </c>
      <c r="F15" s="58" t="s">
        <v>247</v>
      </c>
    </row>
    <row r="16" spans="1:6">
      <c r="A16" s="14" t="s">
        <v>1167</v>
      </c>
      <c r="B16" s="15" t="s">
        <v>1194</v>
      </c>
      <c r="C16" s="78">
        <v>0.25</v>
      </c>
      <c r="D16" s="15" t="s">
        <v>1195</v>
      </c>
      <c r="E16" s="15" t="s">
        <v>1196</v>
      </c>
      <c r="F16" s="19" t="s">
        <v>1197</v>
      </c>
    </row>
    <row r="17" spans="1:14">
      <c r="A17" s="14" t="s">
        <v>1167</v>
      </c>
      <c r="B17" s="15" t="s">
        <v>1198</v>
      </c>
      <c r="C17" s="78">
        <v>0.17100000000000001</v>
      </c>
      <c r="D17" s="15" t="s">
        <v>1199</v>
      </c>
      <c r="E17" s="15" t="s">
        <v>1196</v>
      </c>
      <c r="F17" s="19" t="s">
        <v>1197</v>
      </c>
    </row>
    <row r="18" spans="1:14">
      <c r="A18" s="14" t="s">
        <v>1167</v>
      </c>
      <c r="B18" s="15" t="s">
        <v>1200</v>
      </c>
      <c r="C18" s="78">
        <v>1500</v>
      </c>
      <c r="D18" s="15" t="s">
        <v>1201</v>
      </c>
      <c r="E18" s="15" t="s">
        <v>1196</v>
      </c>
      <c r="F18" s="19" t="s">
        <v>1197</v>
      </c>
    </row>
    <row r="19" spans="1:14">
      <c r="A19" s="14" t="s">
        <v>1167</v>
      </c>
      <c r="B19" s="15" t="s">
        <v>1202</v>
      </c>
      <c r="C19" s="78">
        <v>1000</v>
      </c>
      <c r="D19" s="15" t="s">
        <v>1201</v>
      </c>
      <c r="E19" s="15" t="s">
        <v>1196</v>
      </c>
      <c r="F19" s="19" t="s">
        <v>1197</v>
      </c>
    </row>
    <row r="20" spans="1:14">
      <c r="A20" s="17" t="s">
        <v>1167</v>
      </c>
      <c r="B20" s="18" t="s">
        <v>1203</v>
      </c>
      <c r="C20" s="79">
        <v>667</v>
      </c>
      <c r="D20" s="18" t="s">
        <v>1201</v>
      </c>
      <c r="E20" s="18" t="s">
        <v>1196</v>
      </c>
      <c r="F20" s="20" t="s">
        <v>1197</v>
      </c>
    </row>
    <row r="21" spans="1:14">
      <c r="A21" s="38" t="s">
        <v>1204</v>
      </c>
    </row>
    <row r="23" spans="1:14">
      <c r="A23" s="2" t="s">
        <v>1205</v>
      </c>
    </row>
    <row r="24" spans="1:14" ht="30" customHeight="1">
      <c r="A24" s="5" t="s">
        <v>0</v>
      </c>
      <c r="B24" s="6" t="s">
        <v>1206</v>
      </c>
      <c r="C24" s="6" t="s">
        <v>1207</v>
      </c>
      <c r="D24" s="6" t="s">
        <v>1208</v>
      </c>
      <c r="E24" s="6" t="s">
        <v>1209</v>
      </c>
      <c r="F24" s="6" t="s">
        <v>1210</v>
      </c>
      <c r="G24" s="6" t="s">
        <v>1211</v>
      </c>
      <c r="H24" s="6" t="s">
        <v>1174</v>
      </c>
      <c r="I24" s="6" t="s">
        <v>1212</v>
      </c>
      <c r="J24" s="6" t="s">
        <v>1213</v>
      </c>
      <c r="K24" s="6" t="s">
        <v>1214</v>
      </c>
      <c r="L24" s="6" t="s">
        <v>1215</v>
      </c>
      <c r="M24" s="7" t="s">
        <v>1216</v>
      </c>
      <c r="N24" s="82" t="s">
        <v>1175</v>
      </c>
    </row>
    <row r="25" spans="1:14">
      <c r="A25" s="65" t="s">
        <v>1217</v>
      </c>
      <c r="B25" s="3" t="s">
        <v>1218</v>
      </c>
      <c r="C25" s="55" t="s">
        <v>1219</v>
      </c>
      <c r="D25" s="55" t="s">
        <v>1220</v>
      </c>
      <c r="E25" s="60">
        <v>2190</v>
      </c>
      <c r="F25" s="60">
        <v>4380</v>
      </c>
      <c r="G25" s="60">
        <v>6570</v>
      </c>
      <c r="H25" s="8" t="s">
        <v>1221</v>
      </c>
      <c r="I25" s="62">
        <v>0.18190000000000001</v>
      </c>
      <c r="J25" s="63">
        <f t="shared" ref="J25:J59" si="0">E25*$I25</f>
        <v>398.36099999999999</v>
      </c>
      <c r="K25" s="63">
        <f t="shared" ref="K25:K59" si="1">F25*$I25</f>
        <v>796.72199999999998</v>
      </c>
      <c r="L25" s="63">
        <f t="shared" ref="L25:L59" si="2">G25*$I25</f>
        <v>1195.0830000000001</v>
      </c>
      <c r="M25" s="10" t="s">
        <v>1368</v>
      </c>
      <c r="N25" t="s">
        <v>1369</v>
      </c>
    </row>
    <row r="26" spans="1:14">
      <c r="A26" s="65" t="s">
        <v>1217</v>
      </c>
      <c r="B26" s="3" t="s">
        <v>1222</v>
      </c>
      <c r="C26" s="55" t="s">
        <v>1223</v>
      </c>
      <c r="D26" s="55" t="s">
        <v>1224</v>
      </c>
      <c r="E26" s="60">
        <v>2190</v>
      </c>
      <c r="F26" s="60">
        <v>6570</v>
      </c>
      <c r="G26" s="60">
        <v>13140</v>
      </c>
      <c r="H26" s="8" t="s">
        <v>1221</v>
      </c>
      <c r="I26" s="62">
        <v>0.18190000000000001</v>
      </c>
      <c r="J26" s="63">
        <f t="shared" si="0"/>
        <v>398.36099999999999</v>
      </c>
      <c r="K26" s="63">
        <f t="shared" si="1"/>
        <v>1195.0830000000001</v>
      </c>
      <c r="L26" s="63">
        <f t="shared" si="2"/>
        <v>2390.1660000000002</v>
      </c>
      <c r="M26" s="10" t="s">
        <v>1368</v>
      </c>
      <c r="N26" t="s">
        <v>1369</v>
      </c>
    </row>
    <row r="27" spans="1:14">
      <c r="A27" s="65" t="s">
        <v>1217</v>
      </c>
      <c r="B27" s="3" t="s">
        <v>1225</v>
      </c>
      <c r="C27" s="55" t="s">
        <v>1226</v>
      </c>
      <c r="D27" s="55" t="s">
        <v>1227</v>
      </c>
      <c r="E27" s="60">
        <v>4380</v>
      </c>
      <c r="F27" s="60">
        <v>4380</v>
      </c>
      <c r="G27" s="60">
        <v>4380</v>
      </c>
      <c r="H27" s="8" t="s">
        <v>1221</v>
      </c>
      <c r="I27" s="62">
        <v>9.0999999999999998E-2</v>
      </c>
      <c r="J27" s="63">
        <f t="shared" si="0"/>
        <v>398.58</v>
      </c>
      <c r="K27" s="63">
        <f t="shared" si="1"/>
        <v>398.58</v>
      </c>
      <c r="L27" s="63">
        <f t="shared" si="2"/>
        <v>398.58</v>
      </c>
      <c r="M27" s="10" t="s">
        <v>1368</v>
      </c>
      <c r="N27" t="s">
        <v>1370</v>
      </c>
    </row>
    <row r="28" spans="1:14">
      <c r="A28" s="65" t="s">
        <v>1217</v>
      </c>
      <c r="B28" s="3" t="s">
        <v>1228</v>
      </c>
      <c r="C28" s="55" t="s">
        <v>1229</v>
      </c>
      <c r="D28" s="55" t="s">
        <v>1230</v>
      </c>
      <c r="E28" s="60">
        <v>1460</v>
      </c>
      <c r="F28" s="60">
        <v>1460</v>
      </c>
      <c r="G28" s="60">
        <v>1460</v>
      </c>
      <c r="H28" s="8" t="s">
        <v>1231</v>
      </c>
      <c r="I28" s="62">
        <v>0.25</v>
      </c>
      <c r="J28" s="63">
        <f t="shared" si="0"/>
        <v>365</v>
      </c>
      <c r="K28" s="63">
        <f t="shared" si="1"/>
        <v>365</v>
      </c>
      <c r="L28" s="63">
        <f t="shared" si="2"/>
        <v>365</v>
      </c>
      <c r="M28" s="10" t="s">
        <v>1371</v>
      </c>
      <c r="N28" t="s">
        <v>1372</v>
      </c>
    </row>
    <row r="29" spans="1:14">
      <c r="A29" s="65" t="s">
        <v>1217</v>
      </c>
      <c r="B29" s="3" t="s">
        <v>1232</v>
      </c>
      <c r="C29" s="55" t="s">
        <v>1233</v>
      </c>
      <c r="D29" s="55" t="s">
        <v>1234</v>
      </c>
      <c r="E29" s="60">
        <v>1642</v>
      </c>
      <c r="F29" s="60">
        <v>3103</v>
      </c>
      <c r="G29" s="60">
        <v>5658</v>
      </c>
      <c r="H29" s="8" t="s">
        <v>1235</v>
      </c>
      <c r="I29" s="62">
        <v>0.17100000000000001</v>
      </c>
      <c r="J29" s="63">
        <f t="shared" si="0"/>
        <v>280.78200000000004</v>
      </c>
      <c r="K29" s="63">
        <f t="shared" si="1"/>
        <v>530.61300000000006</v>
      </c>
      <c r="L29" s="63">
        <f t="shared" si="2"/>
        <v>967.51800000000003</v>
      </c>
      <c r="M29" s="10" t="s">
        <v>1371</v>
      </c>
      <c r="N29" t="s">
        <v>1372</v>
      </c>
    </row>
    <row r="30" spans="1:14">
      <c r="A30" s="84" t="s">
        <v>1217</v>
      </c>
      <c r="B30" s="85" t="s">
        <v>1236</v>
      </c>
      <c r="C30" s="86" t="s">
        <v>1237</v>
      </c>
      <c r="D30" s="86" t="s">
        <v>1427</v>
      </c>
      <c r="E30" s="87">
        <v>1320</v>
      </c>
      <c r="F30" s="87">
        <v>2400</v>
      </c>
      <c r="G30" s="87">
        <v>3840</v>
      </c>
      <c r="H30" s="88" t="s">
        <v>1238</v>
      </c>
      <c r="I30" s="89">
        <v>9.6000000000000002E-2</v>
      </c>
      <c r="J30" s="90">
        <f t="shared" si="0"/>
        <v>126.72</v>
      </c>
      <c r="K30" s="90">
        <f t="shared" si="1"/>
        <v>230.4</v>
      </c>
      <c r="L30" s="90">
        <f t="shared" si="2"/>
        <v>368.64</v>
      </c>
      <c r="M30" s="91" t="s">
        <v>1373</v>
      </c>
      <c r="N30" s="80" t="s">
        <v>1428</v>
      </c>
    </row>
    <row r="31" spans="1:14">
      <c r="A31" s="65" t="s">
        <v>1239</v>
      </c>
      <c r="B31" s="3" t="s">
        <v>1240</v>
      </c>
      <c r="C31" s="55" t="s">
        <v>1241</v>
      </c>
      <c r="D31" s="55" t="s">
        <v>1242</v>
      </c>
      <c r="E31" s="60">
        <v>2190</v>
      </c>
      <c r="F31" s="60">
        <v>2190</v>
      </c>
      <c r="G31" s="60">
        <v>2190</v>
      </c>
      <c r="H31" s="8" t="s">
        <v>1221</v>
      </c>
      <c r="I31" s="62">
        <v>0.66500000000000004</v>
      </c>
      <c r="J31" s="63">
        <f t="shared" si="0"/>
        <v>1456.3500000000001</v>
      </c>
      <c r="K31" s="63">
        <f t="shared" si="1"/>
        <v>1456.3500000000001</v>
      </c>
      <c r="L31" s="63">
        <f t="shared" si="2"/>
        <v>1456.3500000000001</v>
      </c>
      <c r="M31" s="10" t="s">
        <v>1374</v>
      </c>
      <c r="N31" t="s">
        <v>1375</v>
      </c>
    </row>
    <row r="32" spans="1:14">
      <c r="A32" s="65" t="s">
        <v>1239</v>
      </c>
      <c r="B32" s="3" t="s">
        <v>1243</v>
      </c>
      <c r="C32" s="55" t="s">
        <v>1244</v>
      </c>
      <c r="D32" s="55" t="s">
        <v>1242</v>
      </c>
      <c r="E32" s="60">
        <v>2190</v>
      </c>
      <c r="F32" s="60">
        <v>2190</v>
      </c>
      <c r="G32" s="60">
        <v>2190</v>
      </c>
      <c r="H32" s="8" t="s">
        <v>1221</v>
      </c>
      <c r="I32" s="62">
        <v>0.66500000000000004</v>
      </c>
      <c r="J32" s="63">
        <f t="shared" si="0"/>
        <v>1456.3500000000001</v>
      </c>
      <c r="K32" s="63">
        <f t="shared" si="1"/>
        <v>1456.3500000000001</v>
      </c>
      <c r="L32" s="63">
        <f t="shared" si="2"/>
        <v>1456.3500000000001</v>
      </c>
      <c r="M32" s="10" t="s">
        <v>1374</v>
      </c>
      <c r="N32" t="s">
        <v>1375</v>
      </c>
    </row>
    <row r="33" spans="1:14">
      <c r="A33" s="65" t="s">
        <v>1239</v>
      </c>
      <c r="B33" s="3" t="s">
        <v>1245</v>
      </c>
      <c r="C33" s="55" t="s">
        <v>1246</v>
      </c>
      <c r="D33" s="55" t="s">
        <v>1247</v>
      </c>
      <c r="E33" s="60">
        <v>200</v>
      </c>
      <c r="F33" s="60">
        <v>1000</v>
      </c>
      <c r="G33" s="60">
        <v>2000</v>
      </c>
      <c r="H33" s="8" t="s">
        <v>1238</v>
      </c>
      <c r="I33" s="62">
        <v>0.12</v>
      </c>
      <c r="J33" s="63">
        <f t="shared" si="0"/>
        <v>24</v>
      </c>
      <c r="K33" s="63">
        <f t="shared" si="1"/>
        <v>120</v>
      </c>
      <c r="L33" s="63">
        <f t="shared" si="2"/>
        <v>240</v>
      </c>
      <c r="M33" s="10" t="s">
        <v>1374</v>
      </c>
      <c r="N33" t="s">
        <v>1376</v>
      </c>
    </row>
    <row r="34" spans="1:14">
      <c r="A34" s="84" t="s">
        <v>1239</v>
      </c>
      <c r="B34" s="85" t="s">
        <v>1248</v>
      </c>
      <c r="C34" s="86" t="s">
        <v>1249</v>
      </c>
      <c r="D34" s="86" t="s">
        <v>1250</v>
      </c>
      <c r="E34" s="87">
        <v>50000000</v>
      </c>
      <c r="F34" s="87">
        <v>250000000</v>
      </c>
      <c r="G34" s="87">
        <v>500000000</v>
      </c>
      <c r="H34" s="88" t="s">
        <v>1377</v>
      </c>
      <c r="I34" s="89">
        <v>2.3999999999999998E-7</v>
      </c>
      <c r="J34" s="90">
        <f t="shared" si="0"/>
        <v>11.999999999999998</v>
      </c>
      <c r="K34" s="90">
        <f t="shared" si="1"/>
        <v>59.999999999999993</v>
      </c>
      <c r="L34" s="90">
        <f t="shared" si="2"/>
        <v>119.99999999999999</v>
      </c>
      <c r="M34" s="91" t="s">
        <v>1374</v>
      </c>
      <c r="N34" s="80" t="s">
        <v>1378</v>
      </c>
    </row>
    <row r="35" spans="1:14">
      <c r="A35" s="65" t="s">
        <v>1239</v>
      </c>
      <c r="B35" s="3" t="s">
        <v>1252</v>
      </c>
      <c r="C35" s="55" t="s">
        <v>1253</v>
      </c>
      <c r="D35" s="55" t="s">
        <v>1254</v>
      </c>
      <c r="E35" s="60">
        <v>400</v>
      </c>
      <c r="F35" s="60">
        <v>2000</v>
      </c>
      <c r="G35" s="60">
        <v>4000</v>
      </c>
      <c r="H35" s="8" t="s">
        <v>1238</v>
      </c>
      <c r="I35" s="62">
        <v>2.3E-2</v>
      </c>
      <c r="J35" s="63">
        <f t="shared" si="0"/>
        <v>9.1999999999999993</v>
      </c>
      <c r="K35" s="63">
        <f t="shared" si="1"/>
        <v>46</v>
      </c>
      <c r="L35" s="63">
        <f t="shared" si="2"/>
        <v>92</v>
      </c>
      <c r="M35" s="10" t="s">
        <v>1374</v>
      </c>
    </row>
    <row r="36" spans="1:14">
      <c r="A36" s="65" t="s">
        <v>1239</v>
      </c>
      <c r="B36" s="3" t="s">
        <v>1255</v>
      </c>
      <c r="C36" s="55" t="s">
        <v>1256</v>
      </c>
      <c r="D36" s="55" t="s">
        <v>1257</v>
      </c>
      <c r="E36" s="60">
        <v>200</v>
      </c>
      <c r="F36" s="60">
        <v>1000</v>
      </c>
      <c r="G36" s="60">
        <v>2000</v>
      </c>
      <c r="H36" s="8" t="s">
        <v>1238</v>
      </c>
      <c r="I36" s="62">
        <v>0.12</v>
      </c>
      <c r="J36" s="63">
        <f t="shared" si="0"/>
        <v>24</v>
      </c>
      <c r="K36" s="63">
        <f t="shared" si="1"/>
        <v>120</v>
      </c>
      <c r="L36" s="63">
        <f t="shared" si="2"/>
        <v>240</v>
      </c>
      <c r="M36" s="10" t="s">
        <v>1374</v>
      </c>
      <c r="N36" t="s">
        <v>1379</v>
      </c>
    </row>
    <row r="37" spans="1:14">
      <c r="A37" s="65" t="s">
        <v>1258</v>
      </c>
      <c r="B37" s="3" t="s">
        <v>1259</v>
      </c>
      <c r="C37" s="55" t="s">
        <v>1260</v>
      </c>
      <c r="D37" s="55" t="s">
        <v>1261</v>
      </c>
      <c r="E37" s="60">
        <v>1460</v>
      </c>
      <c r="F37" s="60">
        <v>1460</v>
      </c>
      <c r="G37" s="60">
        <v>1460</v>
      </c>
      <c r="H37" s="8" t="s">
        <v>1262</v>
      </c>
      <c r="I37" s="62">
        <v>2.4299999999999999E-2</v>
      </c>
      <c r="J37" s="63">
        <f t="shared" si="0"/>
        <v>35.478000000000002</v>
      </c>
      <c r="K37" s="63">
        <f t="shared" si="1"/>
        <v>35.478000000000002</v>
      </c>
      <c r="L37" s="63">
        <f t="shared" si="2"/>
        <v>35.478000000000002</v>
      </c>
      <c r="M37" s="10" t="s">
        <v>1380</v>
      </c>
      <c r="N37" t="s">
        <v>1381</v>
      </c>
    </row>
    <row r="38" spans="1:14">
      <c r="A38" s="65" t="s">
        <v>1258</v>
      </c>
      <c r="B38" s="3" t="s">
        <v>1263</v>
      </c>
      <c r="C38" s="55" t="s">
        <v>1264</v>
      </c>
      <c r="D38" s="55" t="s">
        <v>1265</v>
      </c>
      <c r="E38" s="60">
        <v>730</v>
      </c>
      <c r="F38" s="60">
        <v>730</v>
      </c>
      <c r="G38" s="60">
        <v>730</v>
      </c>
      <c r="H38" s="8" t="s">
        <v>1266</v>
      </c>
      <c r="I38" s="62">
        <v>2.4299999999999999E-2</v>
      </c>
      <c r="J38" s="63">
        <f t="shared" si="0"/>
        <v>17.739000000000001</v>
      </c>
      <c r="K38" s="63">
        <f t="shared" si="1"/>
        <v>17.739000000000001</v>
      </c>
      <c r="L38" s="63">
        <f t="shared" si="2"/>
        <v>17.739000000000001</v>
      </c>
      <c r="M38" s="10" t="s">
        <v>1380</v>
      </c>
      <c r="N38" t="s">
        <v>1382</v>
      </c>
    </row>
    <row r="39" spans="1:14">
      <c r="A39" s="65" t="s">
        <v>1258</v>
      </c>
      <c r="B39" s="3" t="s">
        <v>1267</v>
      </c>
      <c r="C39" s="55" t="s">
        <v>1268</v>
      </c>
      <c r="D39" s="55" t="s">
        <v>1269</v>
      </c>
      <c r="E39" s="60">
        <v>500</v>
      </c>
      <c r="F39" s="60">
        <v>2500</v>
      </c>
      <c r="G39" s="60">
        <v>5000</v>
      </c>
      <c r="H39" s="8" t="s">
        <v>1270</v>
      </c>
      <c r="I39" s="62">
        <v>0.114</v>
      </c>
      <c r="J39" s="63">
        <f t="shared" si="0"/>
        <v>57</v>
      </c>
      <c r="K39" s="63">
        <f t="shared" si="1"/>
        <v>285</v>
      </c>
      <c r="L39" s="63">
        <f t="shared" si="2"/>
        <v>570</v>
      </c>
      <c r="M39" s="10" t="s">
        <v>1383</v>
      </c>
      <c r="N39" t="s">
        <v>1384</v>
      </c>
    </row>
    <row r="40" spans="1:14">
      <c r="A40" s="65" t="s">
        <v>1258</v>
      </c>
      <c r="B40" s="3" t="s">
        <v>1271</v>
      </c>
      <c r="C40" s="55" t="s">
        <v>1272</v>
      </c>
      <c r="D40" s="55" t="s">
        <v>1273</v>
      </c>
      <c r="E40" s="60">
        <v>10</v>
      </c>
      <c r="F40" s="60">
        <v>50</v>
      </c>
      <c r="G40" s="60">
        <v>100</v>
      </c>
      <c r="H40" s="8" t="s">
        <v>1251</v>
      </c>
      <c r="I40" s="62">
        <v>0.6</v>
      </c>
      <c r="J40" s="63">
        <f t="shared" si="0"/>
        <v>6</v>
      </c>
      <c r="K40" s="63">
        <f t="shared" si="1"/>
        <v>30</v>
      </c>
      <c r="L40" s="63">
        <f t="shared" si="2"/>
        <v>60</v>
      </c>
      <c r="M40" s="10" t="s">
        <v>1385</v>
      </c>
      <c r="N40" t="s">
        <v>1386</v>
      </c>
    </row>
    <row r="41" spans="1:14">
      <c r="A41" s="65" t="s">
        <v>1258</v>
      </c>
      <c r="B41" s="3" t="s">
        <v>1274</v>
      </c>
      <c r="C41" s="55" t="s">
        <v>1275</v>
      </c>
      <c r="D41" s="55" t="s">
        <v>1276</v>
      </c>
      <c r="E41" s="60">
        <v>1460</v>
      </c>
      <c r="F41" s="60">
        <v>1460</v>
      </c>
      <c r="G41" s="60">
        <v>1460</v>
      </c>
      <c r="H41" s="8" t="s">
        <v>1277</v>
      </c>
      <c r="I41" s="62">
        <v>1.4E-2</v>
      </c>
      <c r="J41" s="63">
        <f t="shared" si="0"/>
        <v>20.440000000000001</v>
      </c>
      <c r="K41" s="63">
        <f t="shared" si="1"/>
        <v>20.440000000000001</v>
      </c>
      <c r="L41" s="63">
        <f t="shared" si="2"/>
        <v>20.440000000000001</v>
      </c>
      <c r="M41" s="10" t="s">
        <v>1387</v>
      </c>
    </row>
    <row r="42" spans="1:14">
      <c r="A42" s="65" t="s">
        <v>1258</v>
      </c>
      <c r="B42" s="3" t="s">
        <v>1278</v>
      </c>
      <c r="C42" s="55" t="s">
        <v>1279</v>
      </c>
      <c r="D42" s="55" t="s">
        <v>1280</v>
      </c>
      <c r="E42" s="60">
        <v>7300</v>
      </c>
      <c r="F42" s="60">
        <v>7300</v>
      </c>
      <c r="G42" s="60">
        <v>7300</v>
      </c>
      <c r="H42" s="8" t="s">
        <v>1277</v>
      </c>
      <c r="I42" s="62">
        <v>1.4E-2</v>
      </c>
      <c r="J42" s="63">
        <f t="shared" si="0"/>
        <v>102.2</v>
      </c>
      <c r="K42" s="63">
        <f t="shared" si="1"/>
        <v>102.2</v>
      </c>
      <c r="L42" s="63">
        <f t="shared" si="2"/>
        <v>102.2</v>
      </c>
      <c r="M42" s="10" t="s">
        <v>1387</v>
      </c>
    </row>
    <row r="43" spans="1:14">
      <c r="A43" s="65" t="s">
        <v>1258</v>
      </c>
      <c r="B43" s="3" t="s">
        <v>1281</v>
      </c>
      <c r="C43" s="55" t="s">
        <v>1282</v>
      </c>
      <c r="D43" s="55" t="s">
        <v>1283</v>
      </c>
      <c r="E43" s="60">
        <v>10000000</v>
      </c>
      <c r="F43" s="60">
        <v>50000000</v>
      </c>
      <c r="G43" s="60">
        <v>100000000</v>
      </c>
      <c r="H43" s="8" t="s">
        <v>1388</v>
      </c>
      <c r="I43" s="62">
        <v>3.9999999999999998E-7</v>
      </c>
      <c r="J43" s="63">
        <f t="shared" si="0"/>
        <v>4</v>
      </c>
      <c r="K43" s="63">
        <f t="shared" si="1"/>
        <v>20</v>
      </c>
      <c r="L43" s="63">
        <f t="shared" si="2"/>
        <v>40</v>
      </c>
      <c r="M43" s="10" t="s">
        <v>1389</v>
      </c>
      <c r="N43" t="s">
        <v>1390</v>
      </c>
    </row>
    <row r="44" spans="1:14">
      <c r="A44" s="65" t="s">
        <v>1258</v>
      </c>
      <c r="B44" s="3" t="s">
        <v>1284</v>
      </c>
      <c r="C44" s="55" t="s">
        <v>1285</v>
      </c>
      <c r="D44" s="55" t="s">
        <v>1286</v>
      </c>
      <c r="E44" s="60">
        <v>100</v>
      </c>
      <c r="F44" s="60">
        <v>500</v>
      </c>
      <c r="G44" s="60">
        <v>1000</v>
      </c>
      <c r="H44" s="8" t="s">
        <v>1270</v>
      </c>
      <c r="I44" s="62">
        <v>0.09</v>
      </c>
      <c r="J44" s="63">
        <f t="shared" si="0"/>
        <v>9</v>
      </c>
      <c r="K44" s="63">
        <f t="shared" si="1"/>
        <v>45</v>
      </c>
      <c r="L44" s="63">
        <f t="shared" si="2"/>
        <v>90</v>
      </c>
      <c r="M44" s="10" t="s">
        <v>1368</v>
      </c>
      <c r="N44" t="s">
        <v>1391</v>
      </c>
    </row>
    <row r="45" spans="1:14">
      <c r="A45" s="65" t="s">
        <v>1258</v>
      </c>
      <c r="B45" s="3" t="s">
        <v>1287</v>
      </c>
      <c r="C45" s="55" t="s">
        <v>1288</v>
      </c>
      <c r="D45" s="55" t="s">
        <v>1289</v>
      </c>
      <c r="E45" s="60">
        <v>50</v>
      </c>
      <c r="F45" s="60">
        <v>250</v>
      </c>
      <c r="G45" s="60">
        <v>500</v>
      </c>
      <c r="H45" s="8" t="s">
        <v>1270</v>
      </c>
      <c r="I45" s="62">
        <v>0.114</v>
      </c>
      <c r="J45" s="63">
        <f t="shared" si="0"/>
        <v>5.7</v>
      </c>
      <c r="K45" s="63">
        <f t="shared" si="1"/>
        <v>28.5</v>
      </c>
      <c r="L45" s="63">
        <f t="shared" si="2"/>
        <v>57</v>
      </c>
      <c r="M45" s="10" t="s">
        <v>1368</v>
      </c>
      <c r="N45" t="s">
        <v>1392</v>
      </c>
    </row>
    <row r="46" spans="1:14">
      <c r="A46" s="65" t="s">
        <v>1290</v>
      </c>
      <c r="B46" s="3" t="s">
        <v>1291</v>
      </c>
      <c r="C46" s="55" t="s">
        <v>1292</v>
      </c>
      <c r="D46" s="55" t="s">
        <v>1293</v>
      </c>
      <c r="E46" s="60">
        <v>10000000</v>
      </c>
      <c r="F46" s="60">
        <v>30000000</v>
      </c>
      <c r="G46" s="60">
        <v>50000000</v>
      </c>
      <c r="H46" s="8" t="s">
        <v>1393</v>
      </c>
      <c r="I46" s="62">
        <v>1.9999999999999999E-7</v>
      </c>
      <c r="J46" s="63">
        <f t="shared" si="0"/>
        <v>2</v>
      </c>
      <c r="K46" s="63">
        <f t="shared" si="1"/>
        <v>6</v>
      </c>
      <c r="L46" s="63">
        <f t="shared" si="2"/>
        <v>10</v>
      </c>
      <c r="M46" s="10" t="s">
        <v>1394</v>
      </c>
      <c r="N46" t="s">
        <v>1395</v>
      </c>
    </row>
    <row r="47" spans="1:14">
      <c r="A47" s="65" t="s">
        <v>1290</v>
      </c>
      <c r="B47" s="3" t="s">
        <v>1294</v>
      </c>
      <c r="C47" s="55" t="s">
        <v>1295</v>
      </c>
      <c r="D47" s="55" t="s">
        <v>1296</v>
      </c>
      <c r="E47" s="60">
        <v>5000000</v>
      </c>
      <c r="F47" s="60">
        <v>15000000</v>
      </c>
      <c r="G47" s="60">
        <v>25000000</v>
      </c>
      <c r="H47" s="8" t="s">
        <v>1393</v>
      </c>
      <c r="I47" s="62">
        <v>1.9999999999999999E-7</v>
      </c>
      <c r="J47" s="63">
        <f t="shared" si="0"/>
        <v>1</v>
      </c>
      <c r="K47" s="63">
        <f t="shared" si="1"/>
        <v>3</v>
      </c>
      <c r="L47" s="63">
        <f t="shared" si="2"/>
        <v>5</v>
      </c>
      <c r="M47" s="10" t="s">
        <v>1394</v>
      </c>
      <c r="N47" t="s">
        <v>1396</v>
      </c>
    </row>
    <row r="48" spans="1:14">
      <c r="A48" s="65" t="s">
        <v>1290</v>
      </c>
      <c r="B48" s="3" t="s">
        <v>1297</v>
      </c>
      <c r="C48" s="55" t="s">
        <v>1298</v>
      </c>
      <c r="D48" s="55" t="s">
        <v>1299</v>
      </c>
      <c r="E48" s="60">
        <v>10000000</v>
      </c>
      <c r="F48" s="60">
        <v>30000000</v>
      </c>
      <c r="G48" s="60">
        <v>50000000</v>
      </c>
      <c r="H48" s="8" t="s">
        <v>1393</v>
      </c>
      <c r="I48" s="62">
        <v>1.2899999999999999E-6</v>
      </c>
      <c r="J48" s="63">
        <f t="shared" si="0"/>
        <v>12.899999999999999</v>
      </c>
      <c r="K48" s="63">
        <f t="shared" si="1"/>
        <v>38.699999999999996</v>
      </c>
      <c r="L48" s="63">
        <f t="shared" si="2"/>
        <v>64.5</v>
      </c>
      <c r="M48" s="10" t="s">
        <v>1397</v>
      </c>
      <c r="N48" t="s">
        <v>1398</v>
      </c>
    </row>
    <row r="49" spans="1:14">
      <c r="A49" s="65" t="s">
        <v>1290</v>
      </c>
      <c r="B49" s="3" t="s">
        <v>1300</v>
      </c>
      <c r="C49" s="55" t="s">
        <v>1301</v>
      </c>
      <c r="D49" s="55" t="s">
        <v>1302</v>
      </c>
      <c r="E49" s="60">
        <v>5000000</v>
      </c>
      <c r="F49" s="60">
        <v>15000000</v>
      </c>
      <c r="G49" s="60">
        <v>25000000</v>
      </c>
      <c r="H49" s="8" t="s">
        <v>1399</v>
      </c>
      <c r="I49" s="62">
        <v>9.9999999999999995E-8</v>
      </c>
      <c r="J49" s="63">
        <f t="shared" si="0"/>
        <v>0.5</v>
      </c>
      <c r="K49" s="63">
        <f t="shared" si="1"/>
        <v>1.5</v>
      </c>
      <c r="L49" s="63">
        <f t="shared" si="2"/>
        <v>2.5</v>
      </c>
      <c r="M49" s="10" t="s">
        <v>1400</v>
      </c>
      <c r="N49" t="s">
        <v>1401</v>
      </c>
    </row>
    <row r="50" spans="1:14">
      <c r="A50" s="65" t="s">
        <v>1290</v>
      </c>
      <c r="B50" s="3" t="s">
        <v>1303</v>
      </c>
      <c r="C50" s="55" t="s">
        <v>1304</v>
      </c>
      <c r="D50" s="55" t="s">
        <v>1305</v>
      </c>
      <c r="E50" s="60">
        <v>5000000</v>
      </c>
      <c r="F50" s="60">
        <v>25000000</v>
      </c>
      <c r="G50" s="60">
        <v>50000000</v>
      </c>
      <c r="H50" s="8" t="s">
        <v>1402</v>
      </c>
      <c r="I50" s="62">
        <v>8.8999999999999995E-7</v>
      </c>
      <c r="J50" s="63">
        <f t="shared" si="0"/>
        <v>4.45</v>
      </c>
      <c r="K50" s="63">
        <f t="shared" si="1"/>
        <v>22.25</v>
      </c>
      <c r="L50" s="63">
        <f t="shared" si="2"/>
        <v>44.5</v>
      </c>
      <c r="M50" s="10" t="s">
        <v>1403</v>
      </c>
      <c r="N50" t="s">
        <v>1404</v>
      </c>
    </row>
    <row r="51" spans="1:14">
      <c r="A51" s="65" t="s">
        <v>294</v>
      </c>
      <c r="B51" s="3" t="s">
        <v>1306</v>
      </c>
      <c r="C51" s="55" t="s">
        <v>1307</v>
      </c>
      <c r="D51" s="55" t="s">
        <v>1308</v>
      </c>
      <c r="E51" s="60">
        <v>10</v>
      </c>
      <c r="F51" s="60">
        <v>10</v>
      </c>
      <c r="G51" s="60">
        <v>10</v>
      </c>
      <c r="H51" s="8" t="s">
        <v>1309</v>
      </c>
      <c r="I51" s="62">
        <v>1</v>
      </c>
      <c r="J51" s="63">
        <f t="shared" si="0"/>
        <v>10</v>
      </c>
      <c r="K51" s="63">
        <f t="shared" si="1"/>
        <v>10</v>
      </c>
      <c r="L51" s="63">
        <f t="shared" si="2"/>
        <v>10</v>
      </c>
      <c r="M51" s="10" t="s">
        <v>1405</v>
      </c>
      <c r="N51" t="s">
        <v>1406</v>
      </c>
    </row>
    <row r="52" spans="1:14">
      <c r="A52" s="65" t="s">
        <v>294</v>
      </c>
      <c r="B52" s="3" t="s">
        <v>1310</v>
      </c>
      <c r="C52" s="55" t="s">
        <v>1311</v>
      </c>
      <c r="D52" s="55" t="s">
        <v>1312</v>
      </c>
      <c r="E52" s="60">
        <v>30</v>
      </c>
      <c r="F52" s="60">
        <v>30</v>
      </c>
      <c r="G52" s="60">
        <v>30</v>
      </c>
      <c r="H52" s="8" t="s">
        <v>1313</v>
      </c>
      <c r="I52" s="62">
        <v>0.4</v>
      </c>
      <c r="J52" s="63">
        <f t="shared" si="0"/>
        <v>12</v>
      </c>
      <c r="K52" s="63">
        <f t="shared" si="1"/>
        <v>12</v>
      </c>
      <c r="L52" s="63">
        <f t="shared" si="2"/>
        <v>12</v>
      </c>
      <c r="M52" s="10" t="s">
        <v>1407</v>
      </c>
    </row>
    <row r="53" spans="1:14">
      <c r="A53" s="84" t="s">
        <v>294</v>
      </c>
      <c r="B53" s="85" t="s">
        <v>1314</v>
      </c>
      <c r="C53" s="86" t="s">
        <v>1315</v>
      </c>
      <c r="D53" s="86" t="s">
        <v>1316</v>
      </c>
      <c r="E53" s="87">
        <v>1</v>
      </c>
      <c r="F53" s="87">
        <v>1</v>
      </c>
      <c r="G53" s="87">
        <v>1</v>
      </c>
      <c r="H53" s="88" t="s">
        <v>1317</v>
      </c>
      <c r="I53" s="89">
        <v>400</v>
      </c>
      <c r="J53" s="90">
        <f t="shared" si="0"/>
        <v>400</v>
      </c>
      <c r="K53" s="90">
        <f t="shared" si="1"/>
        <v>400</v>
      </c>
      <c r="L53" s="90">
        <f t="shared" si="2"/>
        <v>400</v>
      </c>
      <c r="M53" s="91" t="s">
        <v>1408</v>
      </c>
      <c r="N53" s="80" t="s">
        <v>1429</v>
      </c>
    </row>
    <row r="54" spans="1:14">
      <c r="A54" s="65" t="s">
        <v>294</v>
      </c>
      <c r="B54" s="3" t="s">
        <v>1318</v>
      </c>
      <c r="C54" s="55" t="s">
        <v>1319</v>
      </c>
      <c r="D54" s="55" t="s">
        <v>1320</v>
      </c>
      <c r="E54" s="60">
        <v>400</v>
      </c>
      <c r="F54" s="60">
        <v>2000</v>
      </c>
      <c r="G54" s="60">
        <v>4000</v>
      </c>
      <c r="H54" s="8" t="s">
        <v>1238</v>
      </c>
      <c r="I54" s="62">
        <v>0.09</v>
      </c>
      <c r="J54" s="63">
        <f t="shared" si="0"/>
        <v>36</v>
      </c>
      <c r="K54" s="63">
        <f t="shared" si="1"/>
        <v>180</v>
      </c>
      <c r="L54" s="63">
        <f t="shared" si="2"/>
        <v>360</v>
      </c>
      <c r="M54" s="10" t="s">
        <v>1409</v>
      </c>
    </row>
    <row r="55" spans="1:14">
      <c r="A55" s="65" t="s">
        <v>1321</v>
      </c>
      <c r="B55" s="3" t="s">
        <v>1322</v>
      </c>
      <c r="C55" s="55" t="s">
        <v>1323</v>
      </c>
      <c r="D55" s="55" t="s">
        <v>1324</v>
      </c>
      <c r="E55" s="60">
        <v>100</v>
      </c>
      <c r="F55" s="60">
        <v>500</v>
      </c>
      <c r="G55" s="60">
        <v>1000</v>
      </c>
      <c r="H55" s="8" t="s">
        <v>1270</v>
      </c>
      <c r="I55" s="62">
        <v>0.76</v>
      </c>
      <c r="J55" s="63">
        <f t="shared" si="0"/>
        <v>76</v>
      </c>
      <c r="K55" s="63">
        <f t="shared" si="1"/>
        <v>380</v>
      </c>
      <c r="L55" s="63">
        <f t="shared" si="2"/>
        <v>760</v>
      </c>
      <c r="M55" s="10" t="s">
        <v>1410</v>
      </c>
      <c r="N55" t="s">
        <v>1411</v>
      </c>
    </row>
    <row r="56" spans="1:14">
      <c r="A56" s="65" t="s">
        <v>1321</v>
      </c>
      <c r="B56" s="3" t="s">
        <v>1325</v>
      </c>
      <c r="C56" s="55" t="s">
        <v>1326</v>
      </c>
      <c r="D56" s="55" t="s">
        <v>1327</v>
      </c>
      <c r="E56" s="60">
        <v>1460</v>
      </c>
      <c r="F56" s="60">
        <v>2190</v>
      </c>
      <c r="G56" s="60">
        <v>2920</v>
      </c>
      <c r="H56" s="8" t="s">
        <v>1221</v>
      </c>
      <c r="I56" s="62">
        <v>0.16400000000000001</v>
      </c>
      <c r="J56" s="63">
        <f t="shared" si="0"/>
        <v>239.44</v>
      </c>
      <c r="K56" s="63">
        <f t="shared" si="1"/>
        <v>359.16</v>
      </c>
      <c r="L56" s="63">
        <f t="shared" si="2"/>
        <v>478.88</v>
      </c>
      <c r="M56" s="10" t="s">
        <v>1412</v>
      </c>
      <c r="N56" t="s">
        <v>1413</v>
      </c>
    </row>
    <row r="57" spans="1:14">
      <c r="A57" s="65" t="s">
        <v>1321</v>
      </c>
      <c r="B57" s="3" t="s">
        <v>1328</v>
      </c>
      <c r="C57" s="55" t="s">
        <v>1329</v>
      </c>
      <c r="D57" s="55" t="s">
        <v>1330</v>
      </c>
      <c r="E57" s="60">
        <v>5000</v>
      </c>
      <c r="F57" s="60">
        <v>25000</v>
      </c>
      <c r="G57" s="60">
        <v>50000</v>
      </c>
      <c r="H57" s="8" t="s">
        <v>1238</v>
      </c>
      <c r="I57" s="62">
        <v>2E-3</v>
      </c>
      <c r="J57" s="63">
        <f t="shared" si="0"/>
        <v>10</v>
      </c>
      <c r="K57" s="63">
        <f t="shared" si="1"/>
        <v>50</v>
      </c>
      <c r="L57" s="63">
        <f t="shared" si="2"/>
        <v>100</v>
      </c>
      <c r="M57" s="10" t="s">
        <v>1414</v>
      </c>
      <c r="N57" t="s">
        <v>1415</v>
      </c>
    </row>
    <row r="58" spans="1:14">
      <c r="A58" s="65" t="s">
        <v>1321</v>
      </c>
      <c r="B58" s="3" t="s">
        <v>1331</v>
      </c>
      <c r="C58" s="55" t="s">
        <v>1332</v>
      </c>
      <c r="D58" s="55" t="s">
        <v>1333</v>
      </c>
      <c r="E58" s="60">
        <v>100000</v>
      </c>
      <c r="F58" s="60">
        <v>500000</v>
      </c>
      <c r="G58" s="60">
        <v>1000000</v>
      </c>
      <c r="H58" s="8" t="s">
        <v>1416</v>
      </c>
      <c r="I58" s="62">
        <v>1E-4</v>
      </c>
      <c r="J58" s="63">
        <f t="shared" si="0"/>
        <v>10</v>
      </c>
      <c r="K58" s="63">
        <f t="shared" si="1"/>
        <v>50</v>
      </c>
      <c r="L58" s="63">
        <f t="shared" si="2"/>
        <v>100</v>
      </c>
      <c r="M58" s="10" t="s">
        <v>1417</v>
      </c>
      <c r="N58" t="s">
        <v>1418</v>
      </c>
    </row>
    <row r="59" spans="1:14">
      <c r="A59" s="65" t="s">
        <v>1321</v>
      </c>
      <c r="B59" s="3" t="s">
        <v>1334</v>
      </c>
      <c r="C59" s="55" t="s">
        <v>1335</v>
      </c>
      <c r="D59" s="55" t="s">
        <v>1336</v>
      </c>
      <c r="E59" s="60">
        <v>131400</v>
      </c>
      <c r="F59" s="60">
        <v>131400</v>
      </c>
      <c r="G59" s="60">
        <v>131400</v>
      </c>
      <c r="H59" s="8" t="s">
        <v>1337</v>
      </c>
      <c r="I59" s="62">
        <v>1.9E-3</v>
      </c>
      <c r="J59" s="63">
        <f t="shared" si="0"/>
        <v>249.66</v>
      </c>
      <c r="K59" s="63">
        <f t="shared" si="1"/>
        <v>249.66</v>
      </c>
      <c r="L59" s="63">
        <f t="shared" si="2"/>
        <v>249.66</v>
      </c>
      <c r="M59" s="10" t="s">
        <v>1410</v>
      </c>
      <c r="N59" t="s">
        <v>1419</v>
      </c>
    </row>
    <row r="60" spans="1:14">
      <c r="A60" s="30" t="s">
        <v>1338</v>
      </c>
      <c r="B60" s="54"/>
      <c r="C60" s="54"/>
      <c r="D60" s="54"/>
      <c r="E60" s="61"/>
      <c r="F60" s="61"/>
      <c r="G60" s="61"/>
      <c r="H60" s="61"/>
      <c r="I60" s="61"/>
      <c r="J60" s="64">
        <f>SUM(J25:J59)</f>
        <v>6271.2109999999975</v>
      </c>
      <c r="K60" s="64">
        <f>SUM(K25:K59)</f>
        <v>9121.7249999999985</v>
      </c>
      <c r="L60" s="64">
        <f>SUM(L25:L59)</f>
        <v>12879.583999999999</v>
      </c>
      <c r="M60" s="59"/>
      <c r="N60" t="str">
        <f>IF(COUNTBLANK($I$25:$I$59)&gt;0,"⚠ 単価未入力 "&amp;COUNTBLANK($I$25:$I$59)&amp;"件（青字セル）","✓ 全単価が入力済み")</f>
        <v>✓ 全単価が入力済み</v>
      </c>
    </row>
    <row r="62" spans="1:14">
      <c r="A62" s="2" t="s">
        <v>1339</v>
      </c>
    </row>
    <row r="63" spans="1:14">
      <c r="A63" s="11" t="s">
        <v>0</v>
      </c>
      <c r="B63" s="12" t="s">
        <v>1144</v>
      </c>
      <c r="C63" s="12" t="s">
        <v>1213</v>
      </c>
      <c r="D63" s="12" t="s">
        <v>1214</v>
      </c>
      <c r="E63" s="13" t="s">
        <v>1215</v>
      </c>
    </row>
    <row r="64" spans="1:14">
      <c r="A64" s="14" t="s">
        <v>1217</v>
      </c>
      <c r="B64" s="66">
        <f t="shared" ref="B64:B69" si="3">COUNTIF($A$25:$A$59,$A64)</f>
        <v>6</v>
      </c>
      <c r="C64" s="67">
        <f t="shared" ref="C64:C69" si="4">SUMIF($A$25:$A$59,$A64,$J$25:$J$59)</f>
        <v>1967.8039999999999</v>
      </c>
      <c r="D64" s="67">
        <f t="shared" ref="D64:D69" si="5">SUMIF($A$25:$A$59,$A64,$K$25:$K$59)</f>
        <v>3516.3980000000006</v>
      </c>
      <c r="E64" s="68">
        <f t="shared" ref="E64:E69" si="6">SUMIF($A$25:$A$59,$A64,$L$25:$L$59)</f>
        <v>5684.9870000000001</v>
      </c>
    </row>
    <row r="65" spans="1:6">
      <c r="A65" s="14" t="s">
        <v>1239</v>
      </c>
      <c r="B65" s="66">
        <f t="shared" si="3"/>
        <v>6</v>
      </c>
      <c r="C65" s="67">
        <f t="shared" si="4"/>
        <v>2981.9</v>
      </c>
      <c r="D65" s="67">
        <f t="shared" si="5"/>
        <v>3258.7000000000003</v>
      </c>
      <c r="E65" s="68">
        <f t="shared" si="6"/>
        <v>3604.7000000000003</v>
      </c>
    </row>
    <row r="66" spans="1:6">
      <c r="A66" s="14" t="s">
        <v>1258</v>
      </c>
      <c r="B66" s="66">
        <f t="shared" si="3"/>
        <v>9</v>
      </c>
      <c r="C66" s="67">
        <f t="shared" si="4"/>
        <v>257.55700000000002</v>
      </c>
      <c r="D66" s="67">
        <f t="shared" si="5"/>
        <v>584.35699999999997</v>
      </c>
      <c r="E66" s="68">
        <f t="shared" si="6"/>
        <v>992.85700000000008</v>
      </c>
    </row>
    <row r="67" spans="1:6">
      <c r="A67" s="14" t="s">
        <v>1290</v>
      </c>
      <c r="B67" s="66">
        <f t="shared" si="3"/>
        <v>5</v>
      </c>
      <c r="C67" s="67">
        <f t="shared" si="4"/>
        <v>20.849999999999998</v>
      </c>
      <c r="D67" s="67">
        <f t="shared" si="5"/>
        <v>71.449999999999989</v>
      </c>
      <c r="E67" s="68">
        <f t="shared" si="6"/>
        <v>126.5</v>
      </c>
    </row>
    <row r="68" spans="1:6">
      <c r="A68" s="14" t="s">
        <v>294</v>
      </c>
      <c r="B68" s="66">
        <f t="shared" si="3"/>
        <v>4</v>
      </c>
      <c r="C68" s="67">
        <f t="shared" si="4"/>
        <v>458</v>
      </c>
      <c r="D68" s="67">
        <f t="shared" si="5"/>
        <v>602</v>
      </c>
      <c r="E68" s="68">
        <f t="shared" si="6"/>
        <v>782</v>
      </c>
    </row>
    <row r="69" spans="1:6">
      <c r="A69" s="14" t="s">
        <v>1321</v>
      </c>
      <c r="B69" s="66">
        <f t="shared" si="3"/>
        <v>5</v>
      </c>
      <c r="C69" s="67">
        <f t="shared" si="4"/>
        <v>585.1</v>
      </c>
      <c r="D69" s="67">
        <f t="shared" si="5"/>
        <v>1088.8200000000002</v>
      </c>
      <c r="E69" s="68">
        <f t="shared" si="6"/>
        <v>1688.5400000000002</v>
      </c>
    </row>
    <row r="70" spans="1:6">
      <c r="A70" s="16" t="s">
        <v>3</v>
      </c>
      <c r="B70" s="69">
        <f>SUM(B64:B69)</f>
        <v>35</v>
      </c>
      <c r="C70" s="70">
        <f>SUM(C64:C69)</f>
        <v>6271.2110000000002</v>
      </c>
      <c r="D70" s="70">
        <f>SUM(D64:D69)</f>
        <v>9121.7250000000004</v>
      </c>
      <c r="E70" s="71">
        <f>SUM(E64:E69)</f>
        <v>12879.584000000001</v>
      </c>
      <c r="F70" s="2" t="str">
        <f>IF(B70=COUNTA($B$25:$B$59),"✓ 明細行数と一致","⚠ 不一致")</f>
        <v>✓ 明細行数と一致</v>
      </c>
    </row>
    <row r="72" spans="1:6">
      <c r="A72" s="2" t="s">
        <v>1340</v>
      </c>
    </row>
    <row r="73" spans="1:6">
      <c r="A73" s="11" t="s">
        <v>1172</v>
      </c>
      <c r="B73" s="12" t="s">
        <v>1341</v>
      </c>
      <c r="C73" s="12" t="s">
        <v>1342</v>
      </c>
      <c r="D73" s="12" t="s">
        <v>1343</v>
      </c>
      <c r="E73" s="13" t="s">
        <v>1175</v>
      </c>
    </row>
    <row r="74" spans="1:6">
      <c r="A74" s="14" t="s">
        <v>1344</v>
      </c>
      <c r="B74" s="67">
        <f>J60</f>
        <v>6271.2109999999975</v>
      </c>
      <c r="C74" s="67">
        <f>K60</f>
        <v>9121.7249999999985</v>
      </c>
      <c r="D74" s="67">
        <f>L60</f>
        <v>12879.583999999999</v>
      </c>
      <c r="E74" s="19" t="s">
        <v>1345</v>
      </c>
    </row>
    <row r="75" spans="1:6">
      <c r="A75" s="14" t="s">
        <v>1346</v>
      </c>
      <c r="B75" s="72">
        <f>B74*$B$9</f>
        <v>940681.64999999967</v>
      </c>
      <c r="C75" s="72">
        <f>C74*$B$9</f>
        <v>1368258.7499999998</v>
      </c>
      <c r="D75" s="72">
        <f>D74*$B$9</f>
        <v>1931937.5999999999</v>
      </c>
      <c r="E75" s="19" t="s">
        <v>1347</v>
      </c>
    </row>
    <row r="76" spans="1:6">
      <c r="A76" s="14" t="s">
        <v>1348</v>
      </c>
      <c r="B76" s="73">
        <f>B74*12</f>
        <v>75254.531999999977</v>
      </c>
      <c r="C76" s="73">
        <f>C74*12</f>
        <v>109460.69999999998</v>
      </c>
      <c r="D76" s="73">
        <f>D74*12</f>
        <v>154555.00799999997</v>
      </c>
      <c r="E76" s="19" t="s">
        <v>1349</v>
      </c>
    </row>
    <row r="77" spans="1:6">
      <c r="A77" s="14" t="s">
        <v>1350</v>
      </c>
      <c r="B77" s="73">
        <f>B76*3</f>
        <v>225763.59599999993</v>
      </c>
      <c r="C77" s="73">
        <f>C76*3</f>
        <v>328382.09999999998</v>
      </c>
      <c r="D77" s="73">
        <f>D76*3</f>
        <v>463665.02399999992</v>
      </c>
      <c r="E77" s="19" t="s">
        <v>1351</v>
      </c>
    </row>
    <row r="78" spans="1:6">
      <c r="A78" s="14" t="s">
        <v>1352</v>
      </c>
      <c r="B78" s="72">
        <f>B77*$B$9</f>
        <v>33864539.399999991</v>
      </c>
      <c r="C78" s="72">
        <f>C77*$B$9</f>
        <v>49257315</v>
      </c>
      <c r="D78" s="72">
        <f>D77*$B$9</f>
        <v>69549753.599999994</v>
      </c>
      <c r="E78" s="19"/>
    </row>
    <row r="79" spans="1:6">
      <c r="A79" s="14" t="s">
        <v>1353</v>
      </c>
      <c r="B79" s="74">
        <f>IFERROR(B75/$B$10,0)</f>
        <v>0.9406816499999997</v>
      </c>
      <c r="C79" s="74">
        <f>IFERROR(C75/$B$11,0)</f>
        <v>0.27365174999999997</v>
      </c>
      <c r="D79" s="74">
        <f>IFERROR(D75/$B$12,0)</f>
        <v>0.19319375999999999</v>
      </c>
      <c r="E79" s="19" t="s">
        <v>1354</v>
      </c>
    </row>
    <row r="80" spans="1:6">
      <c r="A80" s="17" t="s">
        <v>1355</v>
      </c>
      <c r="B80" s="75">
        <v>2032</v>
      </c>
      <c r="C80" s="75">
        <v>2032</v>
      </c>
      <c r="D80" s="75">
        <v>2032</v>
      </c>
      <c r="E80" s="20" t="s">
        <v>1356</v>
      </c>
    </row>
    <row r="82" spans="1:1">
      <c r="A82" s="83" t="s">
        <v>1421</v>
      </c>
    </row>
    <row r="83" spans="1:1">
      <c r="A83" s="37" t="s">
        <v>1422</v>
      </c>
    </row>
    <row r="84" spans="1:1">
      <c r="A84" s="37" t="s">
        <v>1423</v>
      </c>
    </row>
    <row r="85" spans="1:1">
      <c r="A85" s="3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7" t="s">
        <v>1424</v>
      </c>
    </row>
    <row r="87" spans="1:1">
      <c r="A87" s="37" t="s">
        <v>1425</v>
      </c>
    </row>
    <row r="88" spans="1:1">
      <c r="A88" s="37" t="s">
        <v>1426</v>
      </c>
    </row>
  </sheetData>
  <autoFilter ref="A24:M59" xr:uid="{B411B8B0-C590-3C46-80D6-CB350769A192}"/>
  <phoneticPr fontId="2"/>
  <conditionalFormatting sqref="A25:M59">
    <cfRule type="expression" dxfId="52"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A62" sqref="A62"/>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248</v>
      </c>
    </row>
    <row r="2" spans="1:5">
      <c r="A2" s="34" t="s">
        <v>293</v>
      </c>
    </row>
    <row r="4" spans="1:5" ht="22" customHeight="1">
      <c r="A4" s="22" t="s">
        <v>297</v>
      </c>
      <c r="B4" s="23" t="s">
        <v>298</v>
      </c>
      <c r="C4" s="23" t="s">
        <v>299</v>
      </c>
      <c r="D4" s="23" t="s">
        <v>300</v>
      </c>
      <c r="E4" s="24" t="s">
        <v>301</v>
      </c>
    </row>
    <row r="5" spans="1:5">
      <c r="A5" s="39" t="s">
        <v>302</v>
      </c>
      <c r="B5" s="35" t="s">
        <v>303</v>
      </c>
      <c r="C5" s="35" t="s">
        <v>304</v>
      </c>
      <c r="D5" s="42" t="s">
        <v>305</v>
      </c>
      <c r="E5" s="25" t="s">
        <v>306</v>
      </c>
    </row>
    <row r="6" spans="1:5">
      <c r="A6" s="39" t="s">
        <v>307</v>
      </c>
      <c r="B6" s="35" t="s">
        <v>303</v>
      </c>
      <c r="C6" s="35" t="s">
        <v>308</v>
      </c>
      <c r="D6" s="42" t="s">
        <v>309</v>
      </c>
      <c r="E6" s="25" t="s">
        <v>306</v>
      </c>
    </row>
    <row r="7" spans="1:5">
      <c r="A7" s="39" t="s">
        <v>310</v>
      </c>
      <c r="B7" s="35" t="s">
        <v>303</v>
      </c>
      <c r="C7" s="35" t="s">
        <v>311</v>
      </c>
      <c r="D7" s="42" t="s">
        <v>312</v>
      </c>
      <c r="E7" s="25" t="s">
        <v>306</v>
      </c>
    </row>
    <row r="8" spans="1:5">
      <c r="A8" s="39" t="s">
        <v>313</v>
      </c>
      <c r="B8" s="35" t="s">
        <v>303</v>
      </c>
      <c r="C8" s="35" t="s">
        <v>314</v>
      </c>
      <c r="D8" s="42" t="s">
        <v>315</v>
      </c>
      <c r="E8" s="25" t="s">
        <v>306</v>
      </c>
    </row>
    <row r="9" spans="1:5">
      <c r="A9" s="39" t="s">
        <v>316</v>
      </c>
      <c r="B9" s="35" t="s">
        <v>303</v>
      </c>
      <c r="C9" s="35" t="s">
        <v>317</v>
      </c>
      <c r="D9" s="42" t="s">
        <v>318</v>
      </c>
      <c r="E9" s="25" t="s">
        <v>306</v>
      </c>
    </row>
    <row r="10" spans="1:5">
      <c r="A10" s="39" t="s">
        <v>319</v>
      </c>
      <c r="B10" s="35" t="s">
        <v>303</v>
      </c>
      <c r="C10" s="35" t="s">
        <v>320</v>
      </c>
      <c r="D10" s="42" t="s">
        <v>321</v>
      </c>
      <c r="E10" s="25" t="s">
        <v>306</v>
      </c>
    </row>
    <row r="11" spans="1:5">
      <c r="A11" s="39" t="s">
        <v>322</v>
      </c>
      <c r="B11" s="35" t="s">
        <v>303</v>
      </c>
      <c r="C11" s="35" t="s">
        <v>323</v>
      </c>
      <c r="D11" s="42" t="s">
        <v>324</v>
      </c>
      <c r="E11" s="25" t="s">
        <v>306</v>
      </c>
    </row>
    <row r="12" spans="1:5">
      <c r="A12" s="39" t="s">
        <v>325</v>
      </c>
      <c r="B12" s="35" t="s">
        <v>303</v>
      </c>
      <c r="C12" s="35" t="s">
        <v>326</v>
      </c>
      <c r="D12" s="42" t="s">
        <v>327</v>
      </c>
      <c r="E12" s="25" t="s">
        <v>306</v>
      </c>
    </row>
    <row r="13" spans="1:5">
      <c r="A13" s="39" t="s">
        <v>328</v>
      </c>
      <c r="B13" s="35" t="s">
        <v>303</v>
      </c>
      <c r="C13" s="35" t="s">
        <v>329</v>
      </c>
      <c r="D13" s="42" t="s">
        <v>330</v>
      </c>
      <c r="E13" s="25" t="s">
        <v>306</v>
      </c>
    </row>
    <row r="14" spans="1:5">
      <c r="A14" s="39" t="s">
        <v>331</v>
      </c>
      <c r="B14" s="35" t="s">
        <v>303</v>
      </c>
      <c r="C14" s="35" t="s">
        <v>332</v>
      </c>
      <c r="D14" s="42" t="s">
        <v>333</v>
      </c>
      <c r="E14" s="25" t="s">
        <v>306</v>
      </c>
    </row>
    <row r="15" spans="1:5">
      <c r="A15" s="39" t="s">
        <v>334</v>
      </c>
      <c r="B15" s="35" t="s">
        <v>303</v>
      </c>
      <c r="C15" s="35" t="s">
        <v>335</v>
      </c>
      <c r="D15" s="42" t="s">
        <v>336</v>
      </c>
      <c r="E15" s="25" t="s">
        <v>306</v>
      </c>
    </row>
    <row r="16" spans="1:5">
      <c r="A16" s="39" t="s">
        <v>337</v>
      </c>
      <c r="B16" s="35" t="s">
        <v>303</v>
      </c>
      <c r="C16" s="35" t="s">
        <v>338</v>
      </c>
      <c r="D16" s="42" t="s">
        <v>339</v>
      </c>
      <c r="E16" s="25" t="s">
        <v>306</v>
      </c>
    </row>
    <row r="17" spans="1:5">
      <c r="A17" s="39" t="s">
        <v>340</v>
      </c>
      <c r="B17" s="35" t="s">
        <v>303</v>
      </c>
      <c r="C17" s="35" t="s">
        <v>341</v>
      </c>
      <c r="D17" s="42" t="s">
        <v>342</v>
      </c>
      <c r="E17" s="25" t="s">
        <v>306</v>
      </c>
    </row>
    <row r="18" spans="1:5">
      <c r="A18" s="39" t="s">
        <v>343</v>
      </c>
      <c r="B18" s="35" t="s">
        <v>303</v>
      </c>
      <c r="C18" s="35" t="s">
        <v>344</v>
      </c>
      <c r="D18" s="42" t="s">
        <v>345</v>
      </c>
      <c r="E18" s="25" t="s">
        <v>306</v>
      </c>
    </row>
    <row r="19" spans="1:5">
      <c r="A19" s="39" t="s">
        <v>346</v>
      </c>
      <c r="B19" s="35" t="s">
        <v>303</v>
      </c>
      <c r="C19" s="35" t="s">
        <v>347</v>
      </c>
      <c r="D19" s="42" t="s">
        <v>348</v>
      </c>
      <c r="E19" s="25" t="s">
        <v>306</v>
      </c>
    </row>
    <row r="20" spans="1:5">
      <c r="A20" s="39" t="s">
        <v>349</v>
      </c>
      <c r="B20" s="35" t="s">
        <v>303</v>
      </c>
      <c r="C20" s="35" t="s">
        <v>350</v>
      </c>
      <c r="D20" s="42" t="s">
        <v>351</v>
      </c>
      <c r="E20" s="25" t="s">
        <v>306</v>
      </c>
    </row>
    <row r="21" spans="1:5">
      <c r="A21" s="39" t="s">
        <v>352</v>
      </c>
      <c r="B21" s="35" t="s">
        <v>303</v>
      </c>
      <c r="C21" s="35" t="s">
        <v>353</v>
      </c>
      <c r="D21" s="42" t="s">
        <v>354</v>
      </c>
      <c r="E21" s="25" t="s">
        <v>306</v>
      </c>
    </row>
    <row r="22" spans="1:5">
      <c r="A22" s="39" t="s">
        <v>355</v>
      </c>
      <c r="B22" s="35" t="s">
        <v>303</v>
      </c>
      <c r="C22" s="35" t="s">
        <v>356</v>
      </c>
      <c r="D22" s="42" t="s">
        <v>357</v>
      </c>
      <c r="E22" s="25" t="s">
        <v>306</v>
      </c>
    </row>
    <row r="23" spans="1:5">
      <c r="A23" s="39" t="s">
        <v>358</v>
      </c>
      <c r="B23" s="35" t="s">
        <v>303</v>
      </c>
      <c r="C23" s="35" t="s">
        <v>359</v>
      </c>
      <c r="D23" s="42" t="s">
        <v>360</v>
      </c>
      <c r="E23" s="25" t="s">
        <v>306</v>
      </c>
    </row>
    <row r="24" spans="1:5">
      <c r="A24" s="39" t="s">
        <v>361</v>
      </c>
      <c r="B24" s="35" t="s">
        <v>303</v>
      </c>
      <c r="C24" s="35" t="s">
        <v>362</v>
      </c>
      <c r="D24" s="42" t="s">
        <v>363</v>
      </c>
      <c r="E24" s="25" t="s">
        <v>306</v>
      </c>
    </row>
    <row r="25" spans="1:5">
      <c r="A25" s="39" t="s">
        <v>364</v>
      </c>
      <c r="B25" s="35" t="s">
        <v>303</v>
      </c>
      <c r="C25" s="35" t="s">
        <v>365</v>
      </c>
      <c r="D25" s="42" t="s">
        <v>366</v>
      </c>
      <c r="E25" s="25" t="s">
        <v>306</v>
      </c>
    </row>
    <row r="26" spans="1:5">
      <c r="A26" s="39" t="s">
        <v>367</v>
      </c>
      <c r="B26" s="35" t="s">
        <v>303</v>
      </c>
      <c r="C26" s="35" t="s">
        <v>368</v>
      </c>
      <c r="D26" s="42" t="s">
        <v>369</v>
      </c>
      <c r="E26" s="25" t="s">
        <v>306</v>
      </c>
    </row>
    <row r="27" spans="1:5">
      <c r="A27" s="39" t="s">
        <v>370</v>
      </c>
      <c r="B27" s="35" t="s">
        <v>303</v>
      </c>
      <c r="C27" s="35" t="s">
        <v>371</v>
      </c>
      <c r="D27" s="42" t="s">
        <v>372</v>
      </c>
      <c r="E27" s="25" t="s">
        <v>306</v>
      </c>
    </row>
    <row r="28" spans="1:5">
      <c r="A28" s="39" t="s">
        <v>373</v>
      </c>
      <c r="B28" s="35" t="s">
        <v>303</v>
      </c>
      <c r="C28" s="35" t="s">
        <v>374</v>
      </c>
      <c r="D28" s="42" t="s">
        <v>375</v>
      </c>
      <c r="E28" s="25" t="s">
        <v>306</v>
      </c>
    </row>
    <row r="29" spans="1:5">
      <c r="A29" s="39" t="s">
        <v>376</v>
      </c>
      <c r="B29" s="35" t="s">
        <v>303</v>
      </c>
      <c r="C29" s="35" t="s">
        <v>377</v>
      </c>
      <c r="D29" s="42" t="s">
        <v>378</v>
      </c>
      <c r="E29" s="25" t="s">
        <v>306</v>
      </c>
    </row>
    <row r="30" spans="1:5">
      <c r="A30" s="39" t="s">
        <v>379</v>
      </c>
      <c r="B30" s="35" t="s">
        <v>303</v>
      </c>
      <c r="C30" s="35" t="s">
        <v>380</v>
      </c>
      <c r="D30" s="42" t="s">
        <v>381</v>
      </c>
      <c r="E30" s="25" t="s">
        <v>306</v>
      </c>
    </row>
    <row r="31" spans="1:5">
      <c r="A31" s="39" t="s">
        <v>382</v>
      </c>
      <c r="B31" s="35" t="s">
        <v>303</v>
      </c>
      <c r="C31" s="35" t="s">
        <v>383</v>
      </c>
      <c r="D31" s="42" t="s">
        <v>384</v>
      </c>
      <c r="E31" s="25" t="s">
        <v>306</v>
      </c>
    </row>
    <row r="32" spans="1:5">
      <c r="A32" s="39" t="s">
        <v>385</v>
      </c>
      <c r="B32" s="35" t="s">
        <v>303</v>
      </c>
      <c r="C32" s="35" t="s">
        <v>386</v>
      </c>
      <c r="D32" s="42" t="s">
        <v>387</v>
      </c>
      <c r="E32" s="25" t="s">
        <v>306</v>
      </c>
    </row>
    <row r="33" spans="1:5">
      <c r="A33" s="39" t="s">
        <v>388</v>
      </c>
      <c r="B33" s="35" t="s">
        <v>303</v>
      </c>
      <c r="C33" s="35" t="s">
        <v>389</v>
      </c>
      <c r="D33" s="42" t="s">
        <v>390</v>
      </c>
      <c r="E33" s="25" t="s">
        <v>306</v>
      </c>
    </row>
    <row r="34" spans="1:5">
      <c r="A34" s="39" t="s">
        <v>391</v>
      </c>
      <c r="B34" s="35" t="s">
        <v>303</v>
      </c>
      <c r="C34" s="35" t="s">
        <v>392</v>
      </c>
      <c r="D34" s="42" t="s">
        <v>393</v>
      </c>
      <c r="E34" s="25" t="s">
        <v>306</v>
      </c>
    </row>
    <row r="35" spans="1:5">
      <c r="A35" s="39" t="s">
        <v>394</v>
      </c>
      <c r="B35" s="35" t="s">
        <v>303</v>
      </c>
      <c r="C35" s="35" t="s">
        <v>395</v>
      </c>
      <c r="D35" s="42" t="s">
        <v>396</v>
      </c>
      <c r="E35" s="25" t="s">
        <v>306</v>
      </c>
    </row>
    <row r="36" spans="1:5">
      <c r="A36" s="39" t="s">
        <v>397</v>
      </c>
      <c r="B36" s="35" t="s">
        <v>303</v>
      </c>
      <c r="C36" s="35" t="s">
        <v>398</v>
      </c>
      <c r="D36" s="42" t="s">
        <v>399</v>
      </c>
      <c r="E36" s="25" t="s">
        <v>306</v>
      </c>
    </row>
    <row r="37" spans="1:5">
      <c r="A37" s="39" t="s">
        <v>400</v>
      </c>
      <c r="B37" s="35" t="s">
        <v>303</v>
      </c>
      <c r="C37" s="35" t="s">
        <v>401</v>
      </c>
      <c r="D37" s="42" t="s">
        <v>402</v>
      </c>
      <c r="E37" s="25" t="s">
        <v>306</v>
      </c>
    </row>
    <row r="38" spans="1:5">
      <c r="A38" s="39" t="s">
        <v>403</v>
      </c>
      <c r="B38" s="35" t="s">
        <v>303</v>
      </c>
      <c r="C38" s="35" t="s">
        <v>404</v>
      </c>
      <c r="D38" s="42" t="s">
        <v>405</v>
      </c>
      <c r="E38" s="25" t="s">
        <v>306</v>
      </c>
    </row>
    <row r="39" spans="1:5">
      <c r="A39" s="39" t="s">
        <v>406</v>
      </c>
      <c r="B39" s="35" t="s">
        <v>303</v>
      </c>
      <c r="C39" s="35" t="s">
        <v>407</v>
      </c>
      <c r="D39" s="42" t="s">
        <v>408</v>
      </c>
      <c r="E39" s="25" t="s">
        <v>306</v>
      </c>
    </row>
    <row r="40" spans="1:5">
      <c r="A40" s="39" t="s">
        <v>409</v>
      </c>
      <c r="B40" s="35" t="s">
        <v>303</v>
      </c>
      <c r="C40" s="35" t="s">
        <v>410</v>
      </c>
      <c r="D40" s="42" t="s">
        <v>411</v>
      </c>
      <c r="E40" s="25" t="s">
        <v>306</v>
      </c>
    </row>
    <row r="41" spans="1:5">
      <c r="A41" s="39" t="s">
        <v>412</v>
      </c>
      <c r="B41" s="35" t="s">
        <v>303</v>
      </c>
      <c r="C41" s="35" t="s">
        <v>413</v>
      </c>
      <c r="D41" s="42" t="s">
        <v>414</v>
      </c>
      <c r="E41" s="25" t="s">
        <v>306</v>
      </c>
    </row>
    <row r="42" spans="1:5">
      <c r="A42" s="39" t="s">
        <v>415</v>
      </c>
      <c r="B42" s="35" t="s">
        <v>416</v>
      </c>
      <c r="C42" s="35" t="s">
        <v>417</v>
      </c>
      <c r="D42" s="42" t="s">
        <v>418</v>
      </c>
      <c r="E42" s="25" t="s">
        <v>419</v>
      </c>
    </row>
    <row r="43" spans="1:5">
      <c r="A43" s="39" t="s">
        <v>420</v>
      </c>
      <c r="B43" s="35" t="s">
        <v>416</v>
      </c>
      <c r="C43" s="35" t="s">
        <v>421</v>
      </c>
      <c r="D43" s="42" t="s">
        <v>422</v>
      </c>
      <c r="E43" s="25" t="s">
        <v>419</v>
      </c>
    </row>
    <row r="44" spans="1:5">
      <c r="A44" s="39" t="s">
        <v>423</v>
      </c>
      <c r="B44" s="35" t="s">
        <v>416</v>
      </c>
      <c r="C44" s="35" t="s">
        <v>424</v>
      </c>
      <c r="D44" s="42" t="s">
        <v>425</v>
      </c>
      <c r="E44" s="25" t="s">
        <v>419</v>
      </c>
    </row>
    <row r="45" spans="1:5">
      <c r="A45" s="39" t="s">
        <v>426</v>
      </c>
      <c r="B45" s="35" t="s">
        <v>416</v>
      </c>
      <c r="C45" s="35" t="s">
        <v>427</v>
      </c>
      <c r="D45" s="42" t="s">
        <v>428</v>
      </c>
      <c r="E45" s="25" t="s">
        <v>429</v>
      </c>
    </row>
    <row r="46" spans="1:5">
      <c r="A46" s="39" t="s">
        <v>430</v>
      </c>
      <c r="B46" s="35" t="s">
        <v>416</v>
      </c>
      <c r="C46" s="35" t="s">
        <v>431</v>
      </c>
      <c r="D46" s="42" t="s">
        <v>432</v>
      </c>
      <c r="E46" s="25" t="s">
        <v>429</v>
      </c>
    </row>
    <row r="47" spans="1:5">
      <c r="A47" s="39" t="s">
        <v>433</v>
      </c>
      <c r="B47" s="35" t="s">
        <v>416</v>
      </c>
      <c r="C47" s="35" t="s">
        <v>434</v>
      </c>
      <c r="D47" s="42" t="s">
        <v>435</v>
      </c>
      <c r="E47" s="25" t="s">
        <v>429</v>
      </c>
    </row>
    <row r="48" spans="1:5">
      <c r="A48" s="39" t="s">
        <v>436</v>
      </c>
      <c r="B48" s="35" t="s">
        <v>416</v>
      </c>
      <c r="C48" s="35" t="s">
        <v>437</v>
      </c>
      <c r="D48" s="42" t="s">
        <v>438</v>
      </c>
      <c r="E48" s="25" t="s">
        <v>439</v>
      </c>
    </row>
    <row r="49" spans="1:5">
      <c r="A49" s="39" t="s">
        <v>440</v>
      </c>
      <c r="B49" s="35" t="s">
        <v>416</v>
      </c>
      <c r="C49" s="35" t="s">
        <v>441</v>
      </c>
      <c r="D49" s="42" t="s">
        <v>442</v>
      </c>
      <c r="E49" s="25" t="s">
        <v>439</v>
      </c>
    </row>
    <row r="50" spans="1:5">
      <c r="A50" s="39" t="s">
        <v>443</v>
      </c>
      <c r="B50" s="35" t="s">
        <v>416</v>
      </c>
      <c r="C50" s="35" t="s">
        <v>444</v>
      </c>
      <c r="D50" s="42" t="s">
        <v>445</v>
      </c>
      <c r="E50" s="25" t="s">
        <v>446</v>
      </c>
    </row>
    <row r="51" spans="1:5">
      <c r="A51" s="39" t="s">
        <v>447</v>
      </c>
      <c r="B51" s="35" t="s">
        <v>416</v>
      </c>
      <c r="C51" s="35" t="s">
        <v>448</v>
      </c>
      <c r="D51" s="42" t="s">
        <v>449</v>
      </c>
      <c r="E51" s="25" t="s">
        <v>446</v>
      </c>
    </row>
    <row r="52" spans="1:5">
      <c r="A52" s="39" t="s">
        <v>450</v>
      </c>
      <c r="B52" s="35" t="s">
        <v>416</v>
      </c>
      <c r="C52" s="35" t="s">
        <v>451</v>
      </c>
      <c r="D52" s="42" t="s">
        <v>452</v>
      </c>
      <c r="E52" s="25" t="s">
        <v>453</v>
      </c>
    </row>
    <row r="53" spans="1:5">
      <c r="A53" s="39" t="s">
        <v>454</v>
      </c>
      <c r="B53" s="35" t="s">
        <v>416</v>
      </c>
      <c r="C53" s="35" t="s">
        <v>455</v>
      </c>
      <c r="D53" s="42" t="s">
        <v>456</v>
      </c>
      <c r="E53" s="25" t="s">
        <v>446</v>
      </c>
    </row>
    <row r="54" spans="1:5">
      <c r="A54" s="39" t="s">
        <v>457</v>
      </c>
      <c r="B54" s="35" t="s">
        <v>416</v>
      </c>
      <c r="C54" s="35" t="s">
        <v>458</v>
      </c>
      <c r="D54" s="42" t="s">
        <v>459</v>
      </c>
      <c r="E54" s="25" t="s">
        <v>460</v>
      </c>
    </row>
    <row r="55" spans="1:5">
      <c r="A55" s="39" t="s">
        <v>461</v>
      </c>
      <c r="B55" s="35" t="s">
        <v>416</v>
      </c>
      <c r="C55" s="35" t="s">
        <v>462</v>
      </c>
      <c r="D55" s="42" t="s">
        <v>463</v>
      </c>
      <c r="E55" s="25" t="s">
        <v>464</v>
      </c>
    </row>
    <row r="56" spans="1:5">
      <c r="A56" s="39" t="s">
        <v>465</v>
      </c>
      <c r="B56" s="35" t="s">
        <v>416</v>
      </c>
      <c r="C56" s="35" t="s">
        <v>466</v>
      </c>
      <c r="D56" s="42" t="s">
        <v>467</v>
      </c>
      <c r="E56" s="25" t="s">
        <v>464</v>
      </c>
    </row>
    <row r="57" spans="1:5">
      <c r="A57" s="39" t="s">
        <v>468</v>
      </c>
      <c r="B57" s="35" t="s">
        <v>416</v>
      </c>
      <c r="C57" s="35" t="s">
        <v>469</v>
      </c>
      <c r="D57" s="42" t="s">
        <v>470</v>
      </c>
      <c r="E57" s="25" t="s">
        <v>464</v>
      </c>
    </row>
    <row r="58" spans="1:5">
      <c r="A58" s="39" t="s">
        <v>471</v>
      </c>
      <c r="B58" s="35" t="s">
        <v>416</v>
      </c>
      <c r="C58" s="35" t="s">
        <v>472</v>
      </c>
      <c r="D58" s="42" t="s">
        <v>473</v>
      </c>
      <c r="E58" s="25" t="s">
        <v>464</v>
      </c>
    </row>
    <row r="59" spans="1:5">
      <c r="A59" s="39" t="s">
        <v>474</v>
      </c>
      <c r="B59" s="35" t="s">
        <v>475</v>
      </c>
      <c r="C59" s="35" t="s">
        <v>476</v>
      </c>
      <c r="D59" s="42" t="s">
        <v>477</v>
      </c>
      <c r="E59" s="25" t="s">
        <v>478</v>
      </c>
    </row>
    <row r="60" spans="1:5">
      <c r="A60" s="39" t="s">
        <v>479</v>
      </c>
      <c r="B60" s="35" t="s">
        <v>475</v>
      </c>
      <c r="C60" s="35" t="s">
        <v>480</v>
      </c>
      <c r="D60" s="42" t="s">
        <v>481</v>
      </c>
      <c r="E60" s="25" t="s">
        <v>478</v>
      </c>
    </row>
    <row r="61" spans="1:5">
      <c r="A61" s="39" t="s">
        <v>482</v>
      </c>
      <c r="B61" s="35" t="s">
        <v>475</v>
      </c>
      <c r="C61" s="35" t="s">
        <v>483</v>
      </c>
      <c r="D61" s="42" t="s">
        <v>484</v>
      </c>
      <c r="E61" s="25" t="s">
        <v>478</v>
      </c>
    </row>
    <row r="62" spans="1:5">
      <c r="A62" s="39" t="s">
        <v>485</v>
      </c>
      <c r="B62" s="35" t="s">
        <v>475</v>
      </c>
      <c r="C62" s="35" t="s">
        <v>486</v>
      </c>
      <c r="D62" s="42" t="s">
        <v>487</v>
      </c>
      <c r="E62" s="25" t="s">
        <v>478</v>
      </c>
    </row>
    <row r="63" spans="1:5">
      <c r="A63" s="39" t="s">
        <v>488</v>
      </c>
      <c r="B63" s="35" t="s">
        <v>475</v>
      </c>
      <c r="C63" s="35" t="s">
        <v>489</v>
      </c>
      <c r="D63" s="42" t="s">
        <v>490</v>
      </c>
      <c r="E63" s="25" t="s">
        <v>478</v>
      </c>
    </row>
    <row r="64" spans="1:5">
      <c r="A64" s="39" t="s">
        <v>491</v>
      </c>
      <c r="B64" s="35" t="s">
        <v>475</v>
      </c>
      <c r="C64" s="35" t="s">
        <v>492</v>
      </c>
      <c r="D64" s="42" t="s">
        <v>493</v>
      </c>
      <c r="E64" s="25" t="s">
        <v>478</v>
      </c>
    </row>
    <row r="65" spans="1:5">
      <c r="A65" s="39" t="s">
        <v>494</v>
      </c>
      <c r="B65" s="35" t="s">
        <v>475</v>
      </c>
      <c r="C65" s="35" t="s">
        <v>495</v>
      </c>
      <c r="D65" s="42" t="s">
        <v>496</v>
      </c>
      <c r="E65" s="25" t="s">
        <v>478</v>
      </c>
    </row>
    <row r="66" spans="1:5">
      <c r="A66" s="39" t="s">
        <v>497</v>
      </c>
      <c r="B66" s="35" t="s">
        <v>475</v>
      </c>
      <c r="C66" s="35" t="s">
        <v>498</v>
      </c>
      <c r="D66" s="42" t="s">
        <v>499</v>
      </c>
      <c r="E66" s="25" t="s">
        <v>478</v>
      </c>
    </row>
    <row r="67" spans="1:5">
      <c r="A67" s="39" t="s">
        <v>500</v>
      </c>
      <c r="B67" s="35" t="s">
        <v>475</v>
      </c>
      <c r="C67" s="35" t="s">
        <v>501</v>
      </c>
      <c r="D67" s="42" t="s">
        <v>502</v>
      </c>
      <c r="E67" s="25" t="s">
        <v>478</v>
      </c>
    </row>
    <row r="68" spans="1:5">
      <c r="A68" s="39" t="s">
        <v>503</v>
      </c>
      <c r="B68" s="35" t="s">
        <v>475</v>
      </c>
      <c r="C68" s="35" t="s">
        <v>504</v>
      </c>
      <c r="D68" s="42" t="s">
        <v>505</v>
      </c>
      <c r="E68" s="25" t="s">
        <v>478</v>
      </c>
    </row>
    <row r="69" spans="1:5">
      <c r="A69" s="39" t="s">
        <v>506</v>
      </c>
      <c r="B69" s="35" t="s">
        <v>475</v>
      </c>
      <c r="C69" s="35" t="s">
        <v>507</v>
      </c>
      <c r="D69" s="42" t="s">
        <v>508</v>
      </c>
      <c r="E69" s="25" t="s">
        <v>478</v>
      </c>
    </row>
    <row r="70" spans="1:5">
      <c r="A70" s="39" t="s">
        <v>509</v>
      </c>
      <c r="B70" s="35" t="s">
        <v>475</v>
      </c>
      <c r="C70" s="35" t="s">
        <v>510</v>
      </c>
      <c r="D70" s="42" t="s">
        <v>511</v>
      </c>
      <c r="E70" s="25" t="s">
        <v>478</v>
      </c>
    </row>
    <row r="71" spans="1:5">
      <c r="A71" s="39" t="s">
        <v>512</v>
      </c>
      <c r="B71" s="35" t="s">
        <v>475</v>
      </c>
      <c r="C71" s="35" t="s">
        <v>513</v>
      </c>
      <c r="D71" s="42" t="s">
        <v>514</v>
      </c>
      <c r="E71" s="25" t="s">
        <v>478</v>
      </c>
    </row>
    <row r="72" spans="1:5">
      <c r="A72" s="39" t="s">
        <v>515</v>
      </c>
      <c r="B72" s="35" t="s">
        <v>475</v>
      </c>
      <c r="C72" s="35" t="s">
        <v>516</v>
      </c>
      <c r="D72" s="42" t="s">
        <v>517</v>
      </c>
      <c r="E72" s="25" t="s">
        <v>478</v>
      </c>
    </row>
    <row r="73" spans="1:5">
      <c r="A73" s="39" t="s">
        <v>518</v>
      </c>
      <c r="B73" s="35" t="s">
        <v>475</v>
      </c>
      <c r="C73" s="35" t="s">
        <v>519</v>
      </c>
      <c r="D73" s="42" t="s">
        <v>520</v>
      </c>
      <c r="E73" s="25" t="s">
        <v>478</v>
      </c>
    </row>
    <row r="74" spans="1:5">
      <c r="A74" s="39" t="s">
        <v>521</v>
      </c>
      <c r="B74" s="35" t="s">
        <v>475</v>
      </c>
      <c r="C74" s="35" t="s">
        <v>522</v>
      </c>
      <c r="D74" s="42" t="s">
        <v>523</v>
      </c>
      <c r="E74" s="25" t="s">
        <v>478</v>
      </c>
    </row>
    <row r="75" spans="1:5">
      <c r="A75" s="39" t="s">
        <v>524</v>
      </c>
      <c r="B75" s="35" t="s">
        <v>475</v>
      </c>
      <c r="C75" s="35" t="s">
        <v>525</v>
      </c>
      <c r="D75" s="42" t="s">
        <v>526</v>
      </c>
      <c r="E75" s="25" t="s">
        <v>478</v>
      </c>
    </row>
    <row r="76" spans="1:5">
      <c r="A76" s="39" t="s">
        <v>527</v>
      </c>
      <c r="B76" s="35" t="s">
        <v>475</v>
      </c>
      <c r="C76" s="35" t="s">
        <v>528</v>
      </c>
      <c r="D76" s="42" t="s">
        <v>529</v>
      </c>
      <c r="E76" s="25" t="s">
        <v>478</v>
      </c>
    </row>
    <row r="77" spans="1:5">
      <c r="A77" s="39" t="s">
        <v>530</v>
      </c>
      <c r="B77" s="35" t="s">
        <v>475</v>
      </c>
      <c r="C77" s="35" t="s">
        <v>531</v>
      </c>
      <c r="D77" s="42" t="s">
        <v>532</v>
      </c>
      <c r="E77" s="25" t="s">
        <v>478</v>
      </c>
    </row>
    <row r="78" spans="1:5">
      <c r="A78" s="39" t="s">
        <v>533</v>
      </c>
      <c r="B78" s="35" t="s">
        <v>475</v>
      </c>
      <c r="C78" s="35" t="s">
        <v>534</v>
      </c>
      <c r="D78" s="42" t="s">
        <v>535</v>
      </c>
      <c r="E78" s="25" t="s">
        <v>478</v>
      </c>
    </row>
    <row r="79" spans="1:5">
      <c r="A79" s="39" t="s">
        <v>281</v>
      </c>
      <c r="B79" s="35" t="s">
        <v>475</v>
      </c>
      <c r="C79" s="35" t="s">
        <v>282</v>
      </c>
      <c r="D79" s="42" t="s">
        <v>536</v>
      </c>
      <c r="E79" s="25" t="s">
        <v>478</v>
      </c>
    </row>
    <row r="80" spans="1:5">
      <c r="A80" s="39" t="s">
        <v>537</v>
      </c>
      <c r="B80" s="35" t="s">
        <v>475</v>
      </c>
      <c r="C80" s="35" t="s">
        <v>538</v>
      </c>
      <c r="D80" s="42" t="s">
        <v>539</v>
      </c>
      <c r="E80" s="25" t="s">
        <v>478</v>
      </c>
    </row>
    <row r="81" spans="1:5">
      <c r="A81" s="39" t="s">
        <v>540</v>
      </c>
      <c r="B81" s="35" t="s">
        <v>475</v>
      </c>
      <c r="C81" s="35" t="s">
        <v>541</v>
      </c>
      <c r="D81" s="42" t="s">
        <v>542</v>
      </c>
      <c r="E81" s="25" t="s">
        <v>478</v>
      </c>
    </row>
    <row r="82" spans="1:5">
      <c r="A82" s="39" t="s">
        <v>543</v>
      </c>
      <c r="B82" s="35" t="s">
        <v>475</v>
      </c>
      <c r="C82" s="35" t="s">
        <v>544</v>
      </c>
      <c r="D82" s="42" t="s">
        <v>545</v>
      </c>
      <c r="E82" s="25" t="s">
        <v>478</v>
      </c>
    </row>
    <row r="83" spans="1:5">
      <c r="A83" s="39" t="s">
        <v>546</v>
      </c>
      <c r="B83" s="35" t="s">
        <v>475</v>
      </c>
      <c r="C83" s="35" t="s">
        <v>547</v>
      </c>
      <c r="D83" s="42" t="s">
        <v>548</v>
      </c>
      <c r="E83" s="25" t="s">
        <v>478</v>
      </c>
    </row>
    <row r="84" spans="1:5">
      <c r="A84" s="40" t="s">
        <v>549</v>
      </c>
      <c r="B84" s="36" t="s">
        <v>475</v>
      </c>
      <c r="C84" s="36" t="s">
        <v>550</v>
      </c>
      <c r="D84" s="43" t="s">
        <v>551</v>
      </c>
      <c r="E84" s="26" t="s">
        <v>478</v>
      </c>
    </row>
    <row r="85" spans="1:5">
      <c r="A85" s="41" t="s">
        <v>552</v>
      </c>
      <c r="B85" s="33" t="s">
        <v>553</v>
      </c>
      <c r="C85" s="33" t="s">
        <v>554</v>
      </c>
      <c r="D85" s="44" t="s">
        <v>555</v>
      </c>
      <c r="E85" s="45" t="s">
        <v>556</v>
      </c>
    </row>
    <row r="86" spans="1:5">
      <c r="A86" s="41" t="s">
        <v>557</v>
      </c>
      <c r="B86" s="33" t="s">
        <v>553</v>
      </c>
      <c r="C86" s="33" t="s">
        <v>558</v>
      </c>
      <c r="D86" s="44" t="s">
        <v>559</v>
      </c>
      <c r="E86" s="45" t="s">
        <v>560</v>
      </c>
    </row>
    <row r="87" spans="1:5">
      <c r="A87" s="41" t="s">
        <v>561</v>
      </c>
      <c r="B87" s="33" t="s">
        <v>553</v>
      </c>
      <c r="C87" s="33" t="s">
        <v>562</v>
      </c>
      <c r="D87" s="44" t="s">
        <v>253</v>
      </c>
      <c r="E87" s="45" t="s">
        <v>563</v>
      </c>
    </row>
    <row r="88" spans="1:5">
      <c r="A88" s="41" t="s">
        <v>564</v>
      </c>
      <c r="B88" s="33" t="s">
        <v>553</v>
      </c>
      <c r="C88" s="33" t="s">
        <v>565</v>
      </c>
      <c r="D88" s="44" t="s">
        <v>254</v>
      </c>
      <c r="E88" s="45" t="s">
        <v>566</v>
      </c>
    </row>
    <row r="89" spans="1:5">
      <c r="A89" s="41" t="s">
        <v>567</v>
      </c>
      <c r="B89" s="33" t="s">
        <v>553</v>
      </c>
      <c r="C89" s="33" t="s">
        <v>568</v>
      </c>
      <c r="D89" s="44" t="s">
        <v>569</v>
      </c>
      <c r="E89" s="45" t="s">
        <v>570</v>
      </c>
    </row>
    <row r="90" spans="1:5">
      <c r="A90" s="41" t="s">
        <v>571</v>
      </c>
      <c r="B90" s="33" t="s">
        <v>553</v>
      </c>
      <c r="C90" s="33" t="s">
        <v>572</v>
      </c>
      <c r="D90" s="44" t="s">
        <v>252</v>
      </c>
      <c r="E90" s="45" t="s">
        <v>573</v>
      </c>
    </row>
    <row r="91" spans="1:5">
      <c r="A91" s="41" t="s">
        <v>574</v>
      </c>
      <c r="B91" s="33" t="s">
        <v>553</v>
      </c>
      <c r="C91" s="33" t="s">
        <v>575</v>
      </c>
      <c r="D91" s="44" t="s">
        <v>576</v>
      </c>
      <c r="E91" s="45" t="s">
        <v>577</v>
      </c>
    </row>
    <row r="92" spans="1:5">
      <c r="A92" s="41" t="s">
        <v>578</v>
      </c>
      <c r="B92" s="33" t="s">
        <v>553</v>
      </c>
      <c r="C92" s="33" t="s">
        <v>579</v>
      </c>
      <c r="D92" s="44" t="s">
        <v>580</v>
      </c>
      <c r="E92" s="45" t="s">
        <v>581</v>
      </c>
    </row>
    <row r="93" spans="1:5">
      <c r="A93" s="41" t="s">
        <v>582</v>
      </c>
      <c r="B93" s="33" t="s">
        <v>553</v>
      </c>
      <c r="C93" s="33" t="s">
        <v>583</v>
      </c>
      <c r="D93" s="44" t="s">
        <v>584</v>
      </c>
      <c r="E93" s="45" t="s">
        <v>585</v>
      </c>
    </row>
    <row r="94" spans="1:5">
      <c r="A94" s="41" t="s">
        <v>586</v>
      </c>
      <c r="B94" s="33" t="s">
        <v>553</v>
      </c>
      <c r="C94" s="33" t="s">
        <v>587</v>
      </c>
      <c r="D94" s="44" t="s">
        <v>588</v>
      </c>
      <c r="E94" s="45" t="s">
        <v>589</v>
      </c>
    </row>
    <row r="95" spans="1:5">
      <c r="A95" s="41" t="s">
        <v>590</v>
      </c>
      <c r="B95" s="33" t="s">
        <v>553</v>
      </c>
      <c r="C95" s="33" t="s">
        <v>591</v>
      </c>
      <c r="D95" s="44" t="s">
        <v>256</v>
      </c>
      <c r="E95" s="45" t="s">
        <v>592</v>
      </c>
    </row>
    <row r="96" spans="1:5">
      <c r="A96" s="41" t="s">
        <v>593</v>
      </c>
      <c r="B96" s="33" t="s">
        <v>553</v>
      </c>
      <c r="C96" s="33" t="s">
        <v>594</v>
      </c>
      <c r="D96" s="44" t="s">
        <v>255</v>
      </c>
      <c r="E96" s="45" t="s">
        <v>595</v>
      </c>
    </row>
    <row r="97" spans="1:5">
      <c r="A97" s="41" t="s">
        <v>596</v>
      </c>
      <c r="B97" s="33" t="s">
        <v>597</v>
      </c>
      <c r="C97" s="33" t="s">
        <v>598</v>
      </c>
      <c r="D97" s="44" t="s">
        <v>599</v>
      </c>
      <c r="E97" s="45" t="s">
        <v>600</v>
      </c>
    </row>
    <row r="98" spans="1:5">
      <c r="A98" s="41" t="s">
        <v>601</v>
      </c>
      <c r="B98" s="33" t="s">
        <v>597</v>
      </c>
      <c r="C98" s="33" t="s">
        <v>602</v>
      </c>
      <c r="D98" s="44" t="s">
        <v>603</v>
      </c>
      <c r="E98" s="45" t="s">
        <v>604</v>
      </c>
    </row>
    <row r="99" spans="1:5">
      <c r="A99" s="41" t="s">
        <v>605</v>
      </c>
      <c r="B99" s="33" t="s">
        <v>597</v>
      </c>
      <c r="C99" s="33" t="s">
        <v>606</v>
      </c>
      <c r="D99" s="44" t="s">
        <v>607</v>
      </c>
      <c r="E99" s="45" t="s">
        <v>608</v>
      </c>
    </row>
    <row r="100" spans="1:5">
      <c r="A100" s="41" t="s">
        <v>609</v>
      </c>
      <c r="B100" s="33" t="s">
        <v>597</v>
      </c>
      <c r="C100" s="33" t="s">
        <v>610</v>
      </c>
      <c r="D100" s="44" t="s">
        <v>611</v>
      </c>
      <c r="E100" s="45" t="s">
        <v>612</v>
      </c>
    </row>
    <row r="101" spans="1:5">
      <c r="A101" s="41" t="s">
        <v>613</v>
      </c>
      <c r="B101" s="33" t="s">
        <v>597</v>
      </c>
      <c r="C101" s="33" t="s">
        <v>614</v>
      </c>
      <c r="D101" s="44" t="s">
        <v>262</v>
      </c>
      <c r="E101" s="45" t="s">
        <v>615</v>
      </c>
    </row>
    <row r="102" spans="1:5">
      <c r="A102" s="41" t="s">
        <v>616</v>
      </c>
      <c r="B102" s="33" t="s">
        <v>597</v>
      </c>
      <c r="C102" s="33" t="s">
        <v>617</v>
      </c>
      <c r="D102" s="44" t="s">
        <v>618</v>
      </c>
      <c r="E102" s="45" t="s">
        <v>619</v>
      </c>
    </row>
    <row r="103" spans="1:5">
      <c r="A103" s="41" t="s">
        <v>620</v>
      </c>
      <c r="B103" s="33" t="s">
        <v>597</v>
      </c>
      <c r="C103" s="33" t="s">
        <v>621</v>
      </c>
      <c r="D103" s="44" t="s">
        <v>622</v>
      </c>
      <c r="E103" s="45" t="s">
        <v>623</v>
      </c>
    </row>
    <row r="104" spans="1:5">
      <c r="A104" s="41" t="s">
        <v>624</v>
      </c>
      <c r="B104" s="33" t="s">
        <v>597</v>
      </c>
      <c r="C104" s="33" t="s">
        <v>625</v>
      </c>
      <c r="D104" s="44" t="s">
        <v>626</v>
      </c>
      <c r="E104" s="45" t="s">
        <v>627</v>
      </c>
    </row>
    <row r="105" spans="1:5">
      <c r="A105" s="41" t="s">
        <v>628</v>
      </c>
      <c r="B105" s="33" t="s">
        <v>597</v>
      </c>
      <c r="C105" s="33" t="s">
        <v>629</v>
      </c>
      <c r="D105" s="44" t="s">
        <v>630</v>
      </c>
      <c r="E105" s="45" t="s">
        <v>631</v>
      </c>
    </row>
    <row r="106" spans="1:5">
      <c r="A106" s="41" t="s">
        <v>632</v>
      </c>
      <c r="B106" s="33" t="s">
        <v>597</v>
      </c>
      <c r="C106" s="33" t="s">
        <v>633</v>
      </c>
      <c r="D106" s="44" t="s">
        <v>634</v>
      </c>
      <c r="E106" s="45" t="s">
        <v>635</v>
      </c>
    </row>
    <row r="107" spans="1:5">
      <c r="A107" s="41" t="s">
        <v>636</v>
      </c>
      <c r="B107" s="33" t="s">
        <v>597</v>
      </c>
      <c r="C107" s="33" t="s">
        <v>637</v>
      </c>
      <c r="D107" s="44" t="s">
        <v>638</v>
      </c>
      <c r="E107" s="45" t="s">
        <v>639</v>
      </c>
    </row>
    <row r="108" spans="1:5">
      <c r="A108" s="41" t="s">
        <v>640</v>
      </c>
      <c r="B108" s="33" t="s">
        <v>597</v>
      </c>
      <c r="C108" s="33" t="s">
        <v>641</v>
      </c>
      <c r="D108" s="44" t="s">
        <v>642</v>
      </c>
      <c r="E108" s="45" t="s">
        <v>643</v>
      </c>
    </row>
    <row r="109" spans="1:5">
      <c r="A109" s="41" t="s">
        <v>644</v>
      </c>
      <c r="B109" s="33" t="s">
        <v>597</v>
      </c>
      <c r="C109" s="33" t="s">
        <v>645</v>
      </c>
      <c r="D109" s="44" t="s">
        <v>646</v>
      </c>
      <c r="E109" s="45" t="s">
        <v>647</v>
      </c>
    </row>
    <row r="110" spans="1:5">
      <c r="A110" s="41" t="s">
        <v>648</v>
      </c>
      <c r="B110" s="33" t="s">
        <v>597</v>
      </c>
      <c r="C110" s="33" t="s">
        <v>649</v>
      </c>
      <c r="D110" s="44" t="s">
        <v>263</v>
      </c>
      <c r="E110" s="45" t="s">
        <v>650</v>
      </c>
    </row>
    <row r="111" spans="1:5">
      <c r="A111" s="41" t="s">
        <v>651</v>
      </c>
      <c r="B111" s="33" t="s">
        <v>597</v>
      </c>
      <c r="C111" s="33" t="s">
        <v>652</v>
      </c>
      <c r="D111" s="44" t="s">
        <v>259</v>
      </c>
      <c r="E111" s="45" t="s">
        <v>653</v>
      </c>
    </row>
    <row r="112" spans="1:5">
      <c r="A112" s="41" t="s">
        <v>654</v>
      </c>
      <c r="B112" s="33" t="s">
        <v>597</v>
      </c>
      <c r="C112" s="33" t="s">
        <v>655</v>
      </c>
      <c r="D112" s="44" t="s">
        <v>258</v>
      </c>
      <c r="E112" s="45" t="s">
        <v>656</v>
      </c>
    </row>
    <row r="113" spans="1:5">
      <c r="A113" s="41" t="s">
        <v>657</v>
      </c>
      <c r="B113" s="33" t="s">
        <v>597</v>
      </c>
      <c r="C113" s="33" t="s">
        <v>658</v>
      </c>
      <c r="D113" s="44" t="s">
        <v>659</v>
      </c>
      <c r="E113" s="45" t="s">
        <v>660</v>
      </c>
    </row>
    <row r="114" spans="1:5">
      <c r="A114" s="41" t="s">
        <v>661</v>
      </c>
      <c r="B114" s="33" t="s">
        <v>597</v>
      </c>
      <c r="C114" s="33" t="s">
        <v>662</v>
      </c>
      <c r="D114" s="44" t="s">
        <v>261</v>
      </c>
      <c r="E114" s="45" t="s">
        <v>663</v>
      </c>
    </row>
    <row r="115" spans="1:5">
      <c r="A115" s="41" t="s">
        <v>664</v>
      </c>
      <c r="B115" s="33" t="s">
        <v>597</v>
      </c>
      <c r="C115" s="33" t="s">
        <v>665</v>
      </c>
      <c r="D115" s="44" t="s">
        <v>260</v>
      </c>
      <c r="E115" s="45" t="s">
        <v>666</v>
      </c>
    </row>
    <row r="116" spans="1:5">
      <c r="A116" s="41" t="s">
        <v>667</v>
      </c>
      <c r="B116" s="33" t="s">
        <v>597</v>
      </c>
      <c r="C116" s="33" t="s">
        <v>668</v>
      </c>
      <c r="D116" s="44" t="s">
        <v>257</v>
      </c>
      <c r="E116" s="45" t="s">
        <v>669</v>
      </c>
    </row>
    <row r="117" spans="1:5">
      <c r="A117" s="41" t="s">
        <v>670</v>
      </c>
      <c r="B117" s="33" t="s">
        <v>671</v>
      </c>
      <c r="C117" s="33" t="s">
        <v>672</v>
      </c>
      <c r="D117" s="44" t="s">
        <v>264</v>
      </c>
      <c r="E117" s="45" t="s">
        <v>673</v>
      </c>
    </row>
    <row r="118" spans="1:5">
      <c r="A118" s="41" t="s">
        <v>674</v>
      </c>
      <c r="B118" s="33" t="s">
        <v>671</v>
      </c>
      <c r="C118" s="33" t="s">
        <v>675</v>
      </c>
      <c r="D118" s="44" t="s">
        <v>265</v>
      </c>
      <c r="E118" s="45" t="s">
        <v>676</v>
      </c>
    </row>
    <row r="119" spans="1:5">
      <c r="A119" s="41" t="s">
        <v>677</v>
      </c>
      <c r="B119" s="33" t="s">
        <v>671</v>
      </c>
      <c r="C119" s="33" t="s">
        <v>678</v>
      </c>
      <c r="D119" s="44" t="s">
        <v>679</v>
      </c>
      <c r="E119" s="45" t="s">
        <v>680</v>
      </c>
    </row>
    <row r="120" spans="1:5">
      <c r="A120" s="41" t="s">
        <v>681</v>
      </c>
      <c r="B120" s="33" t="s">
        <v>671</v>
      </c>
      <c r="C120" s="33" t="s">
        <v>682</v>
      </c>
      <c r="D120" s="44" t="s">
        <v>266</v>
      </c>
      <c r="E120" s="45" t="s">
        <v>683</v>
      </c>
    </row>
    <row r="121" spans="1:5">
      <c r="A121" s="41" t="s">
        <v>684</v>
      </c>
      <c r="B121" s="33" t="s">
        <v>671</v>
      </c>
      <c r="C121" s="33" t="s">
        <v>685</v>
      </c>
      <c r="D121" s="44" t="s">
        <v>686</v>
      </c>
      <c r="E121" s="45" t="s">
        <v>687</v>
      </c>
    </row>
    <row r="122" spans="1:5">
      <c r="A122" s="41" t="s">
        <v>688</v>
      </c>
      <c r="B122" s="33" t="s">
        <v>671</v>
      </c>
      <c r="C122" s="33" t="s">
        <v>689</v>
      </c>
      <c r="D122" s="44" t="s">
        <v>690</v>
      </c>
      <c r="E122" s="45" t="s">
        <v>691</v>
      </c>
    </row>
    <row r="123" spans="1:5">
      <c r="A123" s="41" t="s">
        <v>692</v>
      </c>
      <c r="B123" s="33" t="s">
        <v>671</v>
      </c>
      <c r="C123" s="33" t="s">
        <v>693</v>
      </c>
      <c r="D123" s="44" t="s">
        <v>267</v>
      </c>
      <c r="E123" s="45" t="s">
        <v>694</v>
      </c>
    </row>
    <row r="124" spans="1:5">
      <c r="A124" s="41" t="s">
        <v>695</v>
      </c>
      <c r="B124" s="33" t="s">
        <v>671</v>
      </c>
      <c r="C124" s="33" t="s">
        <v>696</v>
      </c>
      <c r="D124" s="44" t="s">
        <v>697</v>
      </c>
      <c r="E124" s="45" t="s">
        <v>694</v>
      </c>
    </row>
    <row r="125" spans="1:5">
      <c r="A125" s="41" t="s">
        <v>698</v>
      </c>
      <c r="B125" s="33" t="s">
        <v>671</v>
      </c>
      <c r="C125" s="33" t="s">
        <v>699</v>
      </c>
      <c r="D125" s="44" t="s">
        <v>700</v>
      </c>
      <c r="E125" s="45" t="s">
        <v>701</v>
      </c>
    </row>
    <row r="126" spans="1:5">
      <c r="A126" s="41" t="s">
        <v>702</v>
      </c>
      <c r="B126" s="33" t="s">
        <v>671</v>
      </c>
      <c r="C126" s="33" t="s">
        <v>703</v>
      </c>
      <c r="D126" s="44" t="s">
        <v>704</v>
      </c>
      <c r="E126" s="45" t="s">
        <v>705</v>
      </c>
    </row>
    <row r="127" spans="1:5">
      <c r="A127" s="41" t="s">
        <v>706</v>
      </c>
      <c r="B127" s="33" t="s">
        <v>671</v>
      </c>
      <c r="C127" s="33" t="s">
        <v>707</v>
      </c>
      <c r="D127" s="44" t="s">
        <v>269</v>
      </c>
      <c r="E127" s="45" t="s">
        <v>708</v>
      </c>
    </row>
    <row r="128" spans="1:5">
      <c r="A128" s="41" t="s">
        <v>709</v>
      </c>
      <c r="B128" s="33" t="s">
        <v>671</v>
      </c>
      <c r="C128" s="33" t="s">
        <v>710</v>
      </c>
      <c r="D128" s="44" t="s">
        <v>711</v>
      </c>
      <c r="E128" s="45" t="s">
        <v>712</v>
      </c>
    </row>
    <row r="129" spans="1:5">
      <c r="A129" s="41" t="s">
        <v>713</v>
      </c>
      <c r="B129" s="33" t="s">
        <v>671</v>
      </c>
      <c r="C129" s="33" t="s">
        <v>714</v>
      </c>
      <c r="D129" s="44" t="s">
        <v>268</v>
      </c>
      <c r="E129" s="45" t="s">
        <v>715</v>
      </c>
    </row>
    <row r="130" spans="1:5">
      <c r="A130" s="41" t="s">
        <v>716</v>
      </c>
      <c r="B130" s="33" t="s">
        <v>671</v>
      </c>
      <c r="C130" s="33" t="s">
        <v>717</v>
      </c>
      <c r="D130" s="44" t="s">
        <v>718</v>
      </c>
      <c r="E130" s="45" t="s">
        <v>719</v>
      </c>
    </row>
    <row r="131" spans="1:5">
      <c r="A131" s="41" t="s">
        <v>720</v>
      </c>
      <c r="B131" s="33" t="s">
        <v>721</v>
      </c>
      <c r="C131" s="33" t="s">
        <v>722</v>
      </c>
      <c r="D131" s="44" t="s">
        <v>723</v>
      </c>
      <c r="E131" s="45" t="s">
        <v>724</v>
      </c>
    </row>
    <row r="132" spans="1:5">
      <c r="A132" s="41" t="s">
        <v>725</v>
      </c>
      <c r="B132" s="33" t="s">
        <v>721</v>
      </c>
      <c r="C132" s="33" t="s">
        <v>726</v>
      </c>
      <c r="D132" s="44" t="s">
        <v>727</v>
      </c>
      <c r="E132" s="45" t="s">
        <v>728</v>
      </c>
    </row>
    <row r="133" spans="1:5">
      <c r="A133" s="41" t="s">
        <v>729</v>
      </c>
      <c r="B133" s="33" t="s">
        <v>721</v>
      </c>
      <c r="C133" s="33" t="s">
        <v>730</v>
      </c>
      <c r="D133" s="44" t="s">
        <v>731</v>
      </c>
      <c r="E133" s="45" t="s">
        <v>732</v>
      </c>
    </row>
    <row r="134" spans="1:5">
      <c r="A134" s="41" t="s">
        <v>733</v>
      </c>
      <c r="B134" s="33" t="s">
        <v>721</v>
      </c>
      <c r="C134" s="33" t="s">
        <v>734</v>
      </c>
      <c r="D134" s="44" t="s">
        <v>271</v>
      </c>
      <c r="E134" s="45" t="s">
        <v>735</v>
      </c>
    </row>
    <row r="135" spans="1:5">
      <c r="A135" s="41" t="s">
        <v>736</v>
      </c>
      <c r="B135" s="33" t="s">
        <v>721</v>
      </c>
      <c r="C135" s="33" t="s">
        <v>737</v>
      </c>
      <c r="D135" s="44" t="s">
        <v>273</v>
      </c>
      <c r="E135" s="45" t="s">
        <v>738</v>
      </c>
    </row>
    <row r="136" spans="1:5">
      <c r="A136" s="41" t="s">
        <v>739</v>
      </c>
      <c r="B136" s="33" t="s">
        <v>721</v>
      </c>
      <c r="C136" s="33" t="s">
        <v>740</v>
      </c>
      <c r="D136" s="44" t="s">
        <v>741</v>
      </c>
      <c r="E136" s="45" t="s">
        <v>742</v>
      </c>
    </row>
    <row r="137" spans="1:5">
      <c r="A137" s="41" t="s">
        <v>743</v>
      </c>
      <c r="B137" s="33" t="s">
        <v>721</v>
      </c>
      <c r="C137" s="33" t="s">
        <v>744</v>
      </c>
      <c r="D137" s="44" t="s">
        <v>745</v>
      </c>
      <c r="E137" s="45" t="s">
        <v>746</v>
      </c>
    </row>
    <row r="138" spans="1:5">
      <c r="A138" s="41" t="s">
        <v>747</v>
      </c>
      <c r="B138" s="33" t="s">
        <v>721</v>
      </c>
      <c r="C138" s="33" t="s">
        <v>748</v>
      </c>
      <c r="D138" s="44" t="s">
        <v>749</v>
      </c>
      <c r="E138" s="45" t="s">
        <v>750</v>
      </c>
    </row>
    <row r="139" spans="1:5">
      <c r="A139" s="41" t="s">
        <v>751</v>
      </c>
      <c r="B139" s="33" t="s">
        <v>721</v>
      </c>
      <c r="C139" s="33" t="s">
        <v>752</v>
      </c>
      <c r="D139" s="44" t="s">
        <v>753</v>
      </c>
      <c r="E139" s="45" t="s">
        <v>754</v>
      </c>
    </row>
    <row r="140" spans="1:5">
      <c r="A140" s="41" t="s">
        <v>755</v>
      </c>
      <c r="B140" s="33" t="s">
        <v>721</v>
      </c>
      <c r="C140" s="33" t="s">
        <v>756</v>
      </c>
      <c r="D140" s="44" t="s">
        <v>272</v>
      </c>
      <c r="E140" s="45" t="s">
        <v>757</v>
      </c>
    </row>
    <row r="141" spans="1:5">
      <c r="A141" s="41" t="s">
        <v>758</v>
      </c>
      <c r="B141" s="33" t="s">
        <v>721</v>
      </c>
      <c r="C141" s="33" t="s">
        <v>759</v>
      </c>
      <c r="D141" s="44" t="s">
        <v>760</v>
      </c>
      <c r="E141" s="45" t="s">
        <v>761</v>
      </c>
    </row>
    <row r="142" spans="1:5">
      <c r="A142" s="41" t="s">
        <v>762</v>
      </c>
      <c r="B142" s="33" t="s">
        <v>721</v>
      </c>
      <c r="C142" s="33" t="s">
        <v>763</v>
      </c>
      <c r="D142" s="44" t="s">
        <v>764</v>
      </c>
      <c r="E142" s="45" t="s">
        <v>765</v>
      </c>
    </row>
    <row r="143" spans="1:5">
      <c r="A143" s="41" t="s">
        <v>766</v>
      </c>
      <c r="B143" s="33" t="s">
        <v>721</v>
      </c>
      <c r="C143" s="33" t="s">
        <v>767</v>
      </c>
      <c r="D143" s="44" t="s">
        <v>270</v>
      </c>
      <c r="E143" s="45" t="s">
        <v>768</v>
      </c>
    </row>
    <row r="144" spans="1:5">
      <c r="A144" s="41" t="s">
        <v>769</v>
      </c>
      <c r="B144" s="33" t="s">
        <v>770</v>
      </c>
      <c r="C144" s="33" t="s">
        <v>771</v>
      </c>
      <c r="D144" s="44" t="s">
        <v>772</v>
      </c>
      <c r="E144" s="45" t="s">
        <v>773</v>
      </c>
    </row>
    <row r="145" spans="1:5">
      <c r="A145" s="41" t="s">
        <v>774</v>
      </c>
      <c r="B145" s="33" t="s">
        <v>770</v>
      </c>
      <c r="C145" s="33" t="s">
        <v>775</v>
      </c>
      <c r="D145" s="44" t="s">
        <v>776</v>
      </c>
      <c r="E145" s="45" t="s">
        <v>777</v>
      </c>
    </row>
    <row r="146" spans="1:5">
      <c r="A146" s="41" t="s">
        <v>778</v>
      </c>
      <c r="B146" s="33" t="s">
        <v>770</v>
      </c>
      <c r="C146" s="33" t="s">
        <v>779</v>
      </c>
      <c r="D146" s="44" t="s">
        <v>780</v>
      </c>
      <c r="E146" s="45" t="s">
        <v>781</v>
      </c>
    </row>
    <row r="147" spans="1:5">
      <c r="A147" s="41" t="s">
        <v>782</v>
      </c>
      <c r="B147" s="33" t="s">
        <v>770</v>
      </c>
      <c r="C147" s="33" t="s">
        <v>783</v>
      </c>
      <c r="D147" s="44" t="s">
        <v>279</v>
      </c>
      <c r="E147" s="45" t="s">
        <v>784</v>
      </c>
    </row>
    <row r="148" spans="1:5">
      <c r="A148" s="41" t="s">
        <v>785</v>
      </c>
      <c r="B148" s="33" t="s">
        <v>770</v>
      </c>
      <c r="C148" s="33" t="s">
        <v>786</v>
      </c>
      <c r="D148" s="44" t="s">
        <v>274</v>
      </c>
      <c r="E148" s="45" t="s">
        <v>787</v>
      </c>
    </row>
    <row r="149" spans="1:5">
      <c r="A149" s="41" t="s">
        <v>788</v>
      </c>
      <c r="B149" s="33" t="s">
        <v>770</v>
      </c>
      <c r="C149" s="33" t="s">
        <v>789</v>
      </c>
      <c r="D149" s="44" t="s">
        <v>275</v>
      </c>
      <c r="E149" s="45" t="s">
        <v>790</v>
      </c>
    </row>
    <row r="150" spans="1:5">
      <c r="A150" s="41" t="s">
        <v>791</v>
      </c>
      <c r="B150" s="33" t="s">
        <v>770</v>
      </c>
      <c r="C150" s="33" t="s">
        <v>792</v>
      </c>
      <c r="D150" s="44" t="s">
        <v>793</v>
      </c>
      <c r="E150" s="45" t="s">
        <v>794</v>
      </c>
    </row>
    <row r="151" spans="1:5">
      <c r="A151" s="41" t="s">
        <v>795</v>
      </c>
      <c r="B151" s="33" t="s">
        <v>770</v>
      </c>
      <c r="C151" s="33" t="s">
        <v>796</v>
      </c>
      <c r="D151" s="44" t="s">
        <v>797</v>
      </c>
      <c r="E151" s="45" t="s">
        <v>798</v>
      </c>
    </row>
    <row r="152" spans="1:5">
      <c r="A152" s="41" t="s">
        <v>799</v>
      </c>
      <c r="B152" s="33" t="s">
        <v>770</v>
      </c>
      <c r="C152" s="33" t="s">
        <v>800</v>
      </c>
      <c r="D152" s="44" t="s">
        <v>801</v>
      </c>
      <c r="E152" s="45" t="s">
        <v>802</v>
      </c>
    </row>
    <row r="153" spans="1:5">
      <c r="A153" s="41" t="s">
        <v>803</v>
      </c>
      <c r="B153" s="33" t="s">
        <v>770</v>
      </c>
      <c r="C153" s="33" t="s">
        <v>804</v>
      </c>
      <c r="D153" s="44" t="s">
        <v>805</v>
      </c>
      <c r="E153" s="45" t="s">
        <v>806</v>
      </c>
    </row>
    <row r="154" spans="1:5">
      <c r="A154" s="41" t="s">
        <v>807</v>
      </c>
      <c r="B154" s="33" t="s">
        <v>770</v>
      </c>
      <c r="C154" s="33" t="s">
        <v>808</v>
      </c>
      <c r="D154" s="44" t="s">
        <v>809</v>
      </c>
      <c r="E154" s="45" t="s">
        <v>810</v>
      </c>
    </row>
    <row r="155" spans="1:5">
      <c r="A155" s="41" t="s">
        <v>811</v>
      </c>
      <c r="B155" s="33" t="s">
        <v>770</v>
      </c>
      <c r="C155" s="33" t="s">
        <v>812</v>
      </c>
      <c r="D155" s="44" t="s">
        <v>813</v>
      </c>
      <c r="E155" s="45" t="s">
        <v>814</v>
      </c>
    </row>
    <row r="156" spans="1:5">
      <c r="A156" s="41" t="s">
        <v>815</v>
      </c>
      <c r="B156" s="33" t="s">
        <v>770</v>
      </c>
      <c r="C156" s="33" t="s">
        <v>816</v>
      </c>
      <c r="D156" s="44" t="s">
        <v>817</v>
      </c>
      <c r="E156" s="45" t="s">
        <v>818</v>
      </c>
    </row>
    <row r="157" spans="1:5">
      <c r="A157" s="41" t="s">
        <v>819</v>
      </c>
      <c r="B157" s="33" t="s">
        <v>770</v>
      </c>
      <c r="C157" s="33" t="s">
        <v>820</v>
      </c>
      <c r="D157" s="44" t="s">
        <v>821</v>
      </c>
      <c r="E157" s="45" t="s">
        <v>822</v>
      </c>
    </row>
    <row r="158" spans="1:5">
      <c r="A158" s="41" t="s">
        <v>823</v>
      </c>
      <c r="B158" s="33" t="s">
        <v>770</v>
      </c>
      <c r="C158" s="33" t="s">
        <v>824</v>
      </c>
      <c r="D158" s="44" t="s">
        <v>825</v>
      </c>
      <c r="E158" s="45" t="s">
        <v>826</v>
      </c>
    </row>
    <row r="159" spans="1:5">
      <c r="A159" s="41" t="s">
        <v>827</v>
      </c>
      <c r="B159" s="33" t="s">
        <v>770</v>
      </c>
      <c r="C159" s="33" t="s">
        <v>828</v>
      </c>
      <c r="D159" s="44" t="s">
        <v>829</v>
      </c>
      <c r="E159" s="45" t="s">
        <v>830</v>
      </c>
    </row>
    <row r="160" spans="1:5">
      <c r="A160" s="41" t="s">
        <v>831</v>
      </c>
      <c r="B160" s="33" t="s">
        <v>770</v>
      </c>
      <c r="C160" s="33" t="s">
        <v>832</v>
      </c>
      <c r="D160" s="44" t="s">
        <v>276</v>
      </c>
      <c r="E160" s="45" t="s">
        <v>833</v>
      </c>
    </row>
    <row r="161" spans="1:5">
      <c r="A161" s="41" t="s">
        <v>834</v>
      </c>
      <c r="B161" s="33" t="s">
        <v>770</v>
      </c>
      <c r="C161" s="33" t="s">
        <v>835</v>
      </c>
      <c r="D161" s="44" t="s">
        <v>836</v>
      </c>
      <c r="E161" s="45" t="s">
        <v>837</v>
      </c>
    </row>
    <row r="162" spans="1:5">
      <c r="A162" s="41" t="s">
        <v>838</v>
      </c>
      <c r="B162" s="33" t="s">
        <v>839</v>
      </c>
      <c r="C162" s="33" t="s">
        <v>840</v>
      </c>
      <c r="D162" s="44" t="s">
        <v>841</v>
      </c>
      <c r="E162" s="45" t="s">
        <v>842</v>
      </c>
    </row>
    <row r="163" spans="1:5">
      <c r="A163" s="41" t="s">
        <v>843</v>
      </c>
      <c r="B163" s="33" t="s">
        <v>839</v>
      </c>
      <c r="C163" s="33" t="s">
        <v>844</v>
      </c>
      <c r="D163" s="44" t="s">
        <v>277</v>
      </c>
      <c r="E163" s="45" t="s">
        <v>845</v>
      </c>
    </row>
    <row r="164" spans="1:5">
      <c r="A164" s="41" t="s">
        <v>846</v>
      </c>
      <c r="B164" s="33" t="s">
        <v>839</v>
      </c>
      <c r="C164" s="33" t="s">
        <v>847</v>
      </c>
      <c r="D164" s="44" t="s">
        <v>848</v>
      </c>
      <c r="E164" s="45" t="s">
        <v>849</v>
      </c>
    </row>
    <row r="165" spans="1:5">
      <c r="A165" s="41" t="s">
        <v>850</v>
      </c>
      <c r="B165" s="33" t="s">
        <v>839</v>
      </c>
      <c r="C165" s="33" t="s">
        <v>851</v>
      </c>
      <c r="D165" s="44" t="s">
        <v>852</v>
      </c>
      <c r="E165" s="45" t="s">
        <v>853</v>
      </c>
    </row>
    <row r="166" spans="1:5">
      <c r="A166" s="41" t="s">
        <v>854</v>
      </c>
      <c r="B166" s="33" t="s">
        <v>839</v>
      </c>
      <c r="C166" s="33" t="s">
        <v>855</v>
      </c>
      <c r="D166" s="44" t="s">
        <v>856</v>
      </c>
      <c r="E166" s="45" t="s">
        <v>857</v>
      </c>
    </row>
    <row r="167" spans="1:5">
      <c r="A167" s="41" t="s">
        <v>858</v>
      </c>
      <c r="B167" s="33" t="s">
        <v>839</v>
      </c>
      <c r="C167" s="33" t="s">
        <v>859</v>
      </c>
      <c r="D167" s="44" t="s">
        <v>860</v>
      </c>
      <c r="E167" s="45" t="s">
        <v>861</v>
      </c>
    </row>
    <row r="168" spans="1:5">
      <c r="A168" s="41" t="s">
        <v>862</v>
      </c>
      <c r="B168" s="33" t="s">
        <v>839</v>
      </c>
      <c r="C168" s="33" t="s">
        <v>863</v>
      </c>
      <c r="D168" s="44" t="s">
        <v>864</v>
      </c>
      <c r="E168" s="45" t="s">
        <v>865</v>
      </c>
    </row>
    <row r="169" spans="1:5">
      <c r="A169" s="41" t="s">
        <v>866</v>
      </c>
      <c r="B169" s="33" t="s">
        <v>839</v>
      </c>
      <c r="C169" s="33" t="s">
        <v>867</v>
      </c>
      <c r="D169" s="44" t="s">
        <v>868</v>
      </c>
      <c r="E169" s="45" t="s">
        <v>869</v>
      </c>
    </row>
    <row r="170" spans="1:5">
      <c r="A170" s="41" t="s">
        <v>870</v>
      </c>
      <c r="B170" s="33" t="s">
        <v>839</v>
      </c>
      <c r="C170" s="33" t="s">
        <v>871</v>
      </c>
      <c r="D170" s="44" t="s">
        <v>872</v>
      </c>
      <c r="E170" s="45" t="s">
        <v>873</v>
      </c>
    </row>
    <row r="171" spans="1:5">
      <c r="A171" s="41" t="s">
        <v>874</v>
      </c>
      <c r="B171" s="33" t="s">
        <v>839</v>
      </c>
      <c r="C171" s="33" t="s">
        <v>875</v>
      </c>
      <c r="D171" s="44" t="s">
        <v>876</v>
      </c>
      <c r="E171" s="45" t="s">
        <v>877</v>
      </c>
    </row>
    <row r="172" spans="1:5">
      <c r="A172" s="41" t="s">
        <v>878</v>
      </c>
      <c r="B172" s="33" t="s">
        <v>839</v>
      </c>
      <c r="C172" s="33" t="s">
        <v>879</v>
      </c>
      <c r="D172" s="44" t="s">
        <v>880</v>
      </c>
      <c r="E172" s="45" t="s">
        <v>881</v>
      </c>
    </row>
    <row r="173" spans="1:5">
      <c r="A173" s="41" t="s">
        <v>882</v>
      </c>
      <c r="B173" s="33" t="s">
        <v>839</v>
      </c>
      <c r="C173" s="33" t="s">
        <v>883</v>
      </c>
      <c r="D173" s="44" t="s">
        <v>278</v>
      </c>
      <c r="E173" s="45" t="s">
        <v>884</v>
      </c>
    </row>
    <row r="174" spans="1:5">
      <c r="A174" s="41" t="s">
        <v>885</v>
      </c>
      <c r="B174" s="33" t="s">
        <v>839</v>
      </c>
      <c r="C174" s="33" t="s">
        <v>886</v>
      </c>
      <c r="D174" s="44" t="s">
        <v>887</v>
      </c>
      <c r="E174" s="45" t="s">
        <v>888</v>
      </c>
    </row>
    <row r="175" spans="1:5">
      <c r="A175" s="41" t="s">
        <v>889</v>
      </c>
      <c r="B175" s="33" t="s">
        <v>475</v>
      </c>
      <c r="C175" s="33" t="s">
        <v>890</v>
      </c>
      <c r="D175" s="44" t="s">
        <v>891</v>
      </c>
      <c r="E175" s="45" t="s">
        <v>892</v>
      </c>
    </row>
    <row r="176" spans="1:5">
      <c r="A176" s="41" t="s">
        <v>893</v>
      </c>
      <c r="B176" s="33" t="s">
        <v>475</v>
      </c>
      <c r="C176" s="33" t="s">
        <v>894</v>
      </c>
      <c r="D176" s="44" t="s">
        <v>895</v>
      </c>
      <c r="E176" s="45" t="s">
        <v>896</v>
      </c>
    </row>
    <row r="177" spans="1:5">
      <c r="A177" s="41" t="s">
        <v>897</v>
      </c>
      <c r="B177" s="33" t="s">
        <v>475</v>
      </c>
      <c r="C177" s="33" t="s">
        <v>898</v>
      </c>
      <c r="D177" s="44" t="s">
        <v>899</v>
      </c>
      <c r="E177" s="45" t="s">
        <v>900</v>
      </c>
    </row>
    <row r="178" spans="1:5">
      <c r="A178" s="41" t="s">
        <v>901</v>
      </c>
      <c r="B178" s="33" t="s">
        <v>475</v>
      </c>
      <c r="C178" s="33" t="s">
        <v>902</v>
      </c>
      <c r="D178" s="44" t="s">
        <v>903</v>
      </c>
      <c r="E178" s="45" t="s">
        <v>904</v>
      </c>
    </row>
    <row r="179" spans="1:5">
      <c r="A179" s="41" t="s">
        <v>905</v>
      </c>
      <c r="B179" s="33" t="s">
        <v>475</v>
      </c>
      <c r="C179" s="33" t="s">
        <v>906</v>
      </c>
      <c r="D179" s="44" t="s">
        <v>907</v>
      </c>
      <c r="E179" s="45" t="s">
        <v>908</v>
      </c>
    </row>
    <row r="180" spans="1:5">
      <c r="A180" s="41" t="s">
        <v>909</v>
      </c>
      <c r="B180" s="33" t="s">
        <v>475</v>
      </c>
      <c r="C180" s="33" t="s">
        <v>910</v>
      </c>
      <c r="D180" s="44" t="s">
        <v>911</v>
      </c>
      <c r="E180" s="45" t="s">
        <v>912</v>
      </c>
    </row>
    <row r="181" spans="1:5">
      <c r="A181" s="41" t="s">
        <v>913</v>
      </c>
      <c r="B181" s="33" t="s">
        <v>553</v>
      </c>
      <c r="C181" s="33" t="s">
        <v>914</v>
      </c>
      <c r="D181" s="44" t="s">
        <v>915</v>
      </c>
      <c r="E181" s="45" t="s">
        <v>916</v>
      </c>
    </row>
    <row r="182" spans="1:5">
      <c r="A182" s="41" t="s">
        <v>917</v>
      </c>
      <c r="B182" s="33" t="s">
        <v>553</v>
      </c>
      <c r="C182" s="33" t="s">
        <v>918</v>
      </c>
      <c r="D182" s="44" t="s">
        <v>919</v>
      </c>
      <c r="E182" s="45" t="s">
        <v>570</v>
      </c>
    </row>
    <row r="183" spans="1:5">
      <c r="A183" s="41" t="s">
        <v>920</v>
      </c>
      <c r="B183" s="33" t="s">
        <v>553</v>
      </c>
      <c r="C183" s="33" t="s">
        <v>921</v>
      </c>
      <c r="D183" s="44" t="s">
        <v>922</v>
      </c>
      <c r="E183" s="45" t="s">
        <v>573</v>
      </c>
    </row>
    <row r="184" spans="1:5">
      <c r="A184" s="41" t="s">
        <v>923</v>
      </c>
      <c r="B184" s="33" t="s">
        <v>597</v>
      </c>
      <c r="C184" s="33" t="s">
        <v>924</v>
      </c>
      <c r="D184" s="44" t="s">
        <v>925</v>
      </c>
      <c r="E184" s="45" t="s">
        <v>926</v>
      </c>
    </row>
    <row r="185" spans="1:5">
      <c r="A185" s="41" t="s">
        <v>927</v>
      </c>
      <c r="B185" s="33" t="s">
        <v>597</v>
      </c>
      <c r="C185" s="33" t="s">
        <v>928</v>
      </c>
      <c r="D185" s="44" t="s">
        <v>929</v>
      </c>
      <c r="E185" s="45" t="s">
        <v>930</v>
      </c>
    </row>
    <row r="186" spans="1:5">
      <c r="A186" s="41" t="s">
        <v>931</v>
      </c>
      <c r="B186" s="33" t="s">
        <v>770</v>
      </c>
      <c r="C186" s="33" t="s">
        <v>932</v>
      </c>
      <c r="D186" s="44" t="s">
        <v>933</v>
      </c>
      <c r="E186" s="45" t="s">
        <v>934</v>
      </c>
    </row>
    <row r="187" spans="1:5">
      <c r="A187" s="41" t="s">
        <v>935</v>
      </c>
      <c r="B187" s="33" t="s">
        <v>770</v>
      </c>
      <c r="C187" s="33" t="s">
        <v>936</v>
      </c>
      <c r="D187" s="44" t="s">
        <v>937</v>
      </c>
      <c r="E187" s="45" t="s">
        <v>938</v>
      </c>
    </row>
    <row r="188" spans="1:5">
      <c r="A188" s="41" t="s">
        <v>939</v>
      </c>
      <c r="B188" s="33" t="s">
        <v>721</v>
      </c>
      <c r="C188" s="33" t="s">
        <v>940</v>
      </c>
      <c r="D188" s="44" t="s">
        <v>941</v>
      </c>
      <c r="E188" s="45" t="s">
        <v>942</v>
      </c>
    </row>
    <row r="189" spans="1:5">
      <c r="A189" s="41" t="s">
        <v>943</v>
      </c>
      <c r="B189" s="33" t="s">
        <v>839</v>
      </c>
      <c r="C189" s="33" t="s">
        <v>944</v>
      </c>
      <c r="D189" s="44" t="s">
        <v>945</v>
      </c>
      <c r="E189" s="45" t="s">
        <v>888</v>
      </c>
    </row>
  </sheetData>
  <autoFilter ref="A4:E189" xr:uid="{310581F7-ECDF-C64A-A7B0-C540D55B3FA1}"/>
  <phoneticPr fontId="2"/>
  <conditionalFormatting sqref="A5:E189">
    <cfRule type="expression" dxfId="51" priority="1">
      <formula>$B5="U2 Keycloak論理"</formula>
    </cfRule>
    <cfRule type="expression" dxfId="50" priority="2">
      <formula>$B5="U3 ID・プロビジョニング"</formula>
    </cfRule>
    <cfRule type="expression" dxfId="49" priority="3">
      <formula>$B5="U5 トークン・認可"</formula>
    </cfRule>
    <cfRule type="expression" dxfId="48" priority="4">
      <formula>$B5="U4 認証体験・UX"</formula>
    </cfRule>
    <cfRule type="expression" dxfId="47" priority="5">
      <formula>$B5="U7 セキュリティ"</formula>
    </cfRule>
    <cfRule type="expression" dxfId="46" priority="6">
      <formula>$B5="U8 可用性・DR"</formula>
    </cfRule>
    <cfRule type="expression" dxfId="45" priority="7">
      <formula>$B5="U6 インフラ・NW"</formula>
    </cfRule>
    <cfRule type="expression" dxfId="44" priority="8">
      <formula>$B5="U9 運用・監視・IaC"</formula>
    </cfRule>
    <cfRule type="expression" dxfId="43"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953</v>
      </c>
    </row>
    <row r="2" spans="1:9">
      <c r="A2" s="1" t="s">
        <v>954</v>
      </c>
    </row>
    <row r="3" spans="1:9">
      <c r="A3" s="31" t="s">
        <v>1434</v>
      </c>
    </row>
    <row r="4" spans="1:9" ht="22" customHeight="1"/>
    <row r="5" spans="1:9" ht="22" customHeight="1">
      <c r="A5" s="5" t="s">
        <v>283</v>
      </c>
      <c r="B5" s="6" t="s">
        <v>284</v>
      </c>
      <c r="C5" s="6" t="s">
        <v>285</v>
      </c>
      <c r="D5" s="6" t="s">
        <v>955</v>
      </c>
      <c r="E5" s="7" t="s">
        <v>956</v>
      </c>
      <c r="G5" s="47" t="s">
        <v>1122</v>
      </c>
    </row>
    <row r="6" spans="1:9">
      <c r="A6" s="29" t="s">
        <v>957</v>
      </c>
      <c r="B6" s="3" t="s">
        <v>958</v>
      </c>
      <c r="C6" s="8" t="s">
        <v>959</v>
      </c>
      <c r="D6" s="52" t="s">
        <v>1123</v>
      </c>
      <c r="E6" s="50"/>
      <c r="G6" s="11" t="s">
        <v>285</v>
      </c>
      <c r="H6" s="13" t="s">
        <v>251</v>
      </c>
    </row>
    <row r="7" spans="1:9">
      <c r="A7" s="29" t="s">
        <v>960</v>
      </c>
      <c r="B7" s="3" t="s">
        <v>961</v>
      </c>
      <c r="C7" s="8" t="s">
        <v>959</v>
      </c>
      <c r="D7" s="52" t="s">
        <v>1123</v>
      </c>
      <c r="E7" s="50"/>
      <c r="G7" s="14" t="s">
        <v>970</v>
      </c>
      <c r="H7" s="48">
        <f t="shared" ref="H7:H12" si="0">COUNTIF($C$6:$C$72,$G7)</f>
        <v>48</v>
      </c>
    </row>
    <row r="8" spans="1:9">
      <c r="A8" s="29" t="s">
        <v>962</v>
      </c>
      <c r="B8" s="3" t="s">
        <v>963</v>
      </c>
      <c r="C8" s="8" t="s">
        <v>959</v>
      </c>
      <c r="D8" s="52" t="s">
        <v>1123</v>
      </c>
      <c r="E8" s="50"/>
      <c r="G8" s="14" t="s">
        <v>959</v>
      </c>
      <c r="H8" s="48">
        <f t="shared" si="0"/>
        <v>12</v>
      </c>
    </row>
    <row r="9" spans="1:9">
      <c r="A9" s="29" t="s">
        <v>964</v>
      </c>
      <c r="B9" s="3" t="s">
        <v>965</v>
      </c>
      <c r="C9" s="8" t="s">
        <v>959</v>
      </c>
      <c r="D9" s="52" t="s">
        <v>1123</v>
      </c>
      <c r="E9" s="50"/>
      <c r="G9" s="14" t="s">
        <v>1087</v>
      </c>
      <c r="H9" s="48">
        <f t="shared" si="0"/>
        <v>1</v>
      </c>
    </row>
    <row r="10" spans="1:9">
      <c r="A10" s="29" t="s">
        <v>966</v>
      </c>
      <c r="B10" s="3" t="s">
        <v>967</v>
      </c>
      <c r="C10" s="8" t="s">
        <v>959</v>
      </c>
      <c r="D10" s="52" t="s">
        <v>1123</v>
      </c>
      <c r="E10" s="50"/>
      <c r="G10" s="14" t="s">
        <v>1091</v>
      </c>
      <c r="H10" s="48">
        <f t="shared" si="0"/>
        <v>1</v>
      </c>
    </row>
    <row r="11" spans="1:9">
      <c r="A11" s="29" t="s">
        <v>968</v>
      </c>
      <c r="B11" s="3" t="s">
        <v>969</v>
      </c>
      <c r="C11" s="8" t="s">
        <v>970</v>
      </c>
      <c r="D11" s="52" t="s">
        <v>1123</v>
      </c>
      <c r="E11" s="50"/>
      <c r="G11" s="14" t="s">
        <v>1039</v>
      </c>
      <c r="H11" s="48">
        <f t="shared" si="0"/>
        <v>2</v>
      </c>
    </row>
    <row r="12" spans="1:9">
      <c r="A12" s="29" t="s">
        <v>971</v>
      </c>
      <c r="B12" s="3" t="s">
        <v>972</v>
      </c>
      <c r="C12" s="8" t="s">
        <v>959</v>
      </c>
      <c r="D12" s="52" t="s">
        <v>1124</v>
      </c>
      <c r="E12" s="50"/>
      <c r="G12" s="14" t="s">
        <v>1051</v>
      </c>
      <c r="H12" s="48">
        <f t="shared" si="0"/>
        <v>1</v>
      </c>
    </row>
    <row r="13" spans="1:9">
      <c r="A13" s="29" t="s">
        <v>973</v>
      </c>
      <c r="B13" s="3" t="s">
        <v>974</v>
      </c>
      <c r="C13" s="8" t="s">
        <v>959</v>
      </c>
      <c r="D13" s="52" t="s">
        <v>1125</v>
      </c>
      <c r="E13" s="50"/>
      <c r="G13" s="16" t="s">
        <v>3</v>
      </c>
      <c r="H13" s="49">
        <f>SUM(H7:H12)</f>
        <v>65</v>
      </c>
      <c r="I13" s="28" t="str">
        <f>IF(H13=COUNTA($A$6:$A$72),"✓ 明細行数と一致","⚠ 不一致")</f>
        <v>⚠ 不一致</v>
      </c>
    </row>
    <row r="14" spans="1:9">
      <c r="A14" s="29" t="s">
        <v>975</v>
      </c>
      <c r="B14" s="3" t="s">
        <v>976</v>
      </c>
      <c r="C14" s="8" t="s">
        <v>959</v>
      </c>
      <c r="D14" s="52" t="s">
        <v>1126</v>
      </c>
      <c r="E14" s="50"/>
    </row>
    <row r="15" spans="1:9">
      <c r="A15" s="29" t="s">
        <v>977</v>
      </c>
      <c r="B15" s="3" t="s">
        <v>978</v>
      </c>
      <c r="C15" s="8" t="s">
        <v>959</v>
      </c>
      <c r="D15" s="52" t="s">
        <v>1127</v>
      </c>
      <c r="E15" s="50"/>
    </row>
    <row r="16" spans="1:9">
      <c r="A16" s="29" t="s">
        <v>979</v>
      </c>
      <c r="B16" s="3" t="s">
        <v>980</v>
      </c>
      <c r="C16" s="8" t="s">
        <v>970</v>
      </c>
      <c r="D16" s="52" t="s">
        <v>1127</v>
      </c>
      <c r="E16" s="50" t="s">
        <v>981</v>
      </c>
    </row>
    <row r="17" spans="1:5">
      <c r="A17" s="29" t="s">
        <v>982</v>
      </c>
      <c r="B17" s="3" t="s">
        <v>983</v>
      </c>
      <c r="C17" s="8" t="s">
        <v>959</v>
      </c>
      <c r="D17" s="52" t="s">
        <v>1128</v>
      </c>
      <c r="E17" s="50"/>
    </row>
    <row r="18" spans="1:5">
      <c r="A18" s="29" t="s">
        <v>984</v>
      </c>
      <c r="B18" s="3" t="s">
        <v>985</v>
      </c>
      <c r="C18" s="8" t="s">
        <v>970</v>
      </c>
      <c r="D18" s="52" t="s">
        <v>1129</v>
      </c>
      <c r="E18" s="50"/>
    </row>
    <row r="19" spans="1:5">
      <c r="A19" s="29" t="s">
        <v>986</v>
      </c>
      <c r="B19" s="3" t="s">
        <v>987</v>
      </c>
      <c r="C19" s="8" t="s">
        <v>970</v>
      </c>
      <c r="D19" s="52" t="s">
        <v>1129</v>
      </c>
      <c r="E19" s="50"/>
    </row>
    <row r="20" spans="1:5">
      <c r="A20" s="29" t="s">
        <v>988</v>
      </c>
      <c r="B20" s="3" t="s">
        <v>989</v>
      </c>
      <c r="C20" s="8" t="s">
        <v>970</v>
      </c>
      <c r="D20" s="52" t="s">
        <v>1129</v>
      </c>
      <c r="E20" s="50"/>
    </row>
    <row r="21" spans="1:5">
      <c r="A21" s="29" t="s">
        <v>990</v>
      </c>
      <c r="B21" s="3" t="s">
        <v>991</v>
      </c>
      <c r="C21" s="8" t="s">
        <v>970</v>
      </c>
      <c r="D21" s="52" t="s">
        <v>1130</v>
      </c>
      <c r="E21" s="50" t="s">
        <v>992</v>
      </c>
    </row>
    <row r="22" spans="1:5">
      <c r="A22" s="29" t="s">
        <v>993</v>
      </c>
      <c r="B22" s="3" t="s">
        <v>994</v>
      </c>
      <c r="C22" s="8" t="s">
        <v>970</v>
      </c>
      <c r="D22" s="52" t="s">
        <v>995</v>
      </c>
      <c r="E22" s="50" t="s">
        <v>996</v>
      </c>
    </row>
    <row r="23" spans="1:5">
      <c r="A23" s="29" t="s">
        <v>997</v>
      </c>
      <c r="B23" s="3" t="s">
        <v>998</v>
      </c>
      <c r="C23" s="8" t="s">
        <v>970</v>
      </c>
      <c r="D23" s="52" t="s">
        <v>1131</v>
      </c>
      <c r="E23" s="50"/>
    </row>
    <row r="24" spans="1:5">
      <c r="A24" s="29" t="s">
        <v>999</v>
      </c>
      <c r="B24" s="3" t="s">
        <v>1000</v>
      </c>
      <c r="C24" s="8" t="s">
        <v>970</v>
      </c>
      <c r="D24" s="52" t="s">
        <v>1131</v>
      </c>
      <c r="E24" s="50"/>
    </row>
    <row r="25" spans="1:5">
      <c r="A25" s="29" t="s">
        <v>1001</v>
      </c>
      <c r="B25" s="3" t="s">
        <v>1002</v>
      </c>
      <c r="C25" s="8" t="s">
        <v>970</v>
      </c>
      <c r="D25" s="52" t="s">
        <v>1131</v>
      </c>
      <c r="E25" s="50"/>
    </row>
    <row r="26" spans="1:5">
      <c r="A26" s="29" t="s">
        <v>1003</v>
      </c>
      <c r="B26" s="3" t="s">
        <v>1004</v>
      </c>
      <c r="C26" s="8" t="s">
        <v>970</v>
      </c>
      <c r="D26" s="52" t="s">
        <v>1131</v>
      </c>
      <c r="E26" s="50"/>
    </row>
    <row r="27" spans="1:5">
      <c r="A27" s="29" t="s">
        <v>1005</v>
      </c>
      <c r="B27" s="3" t="s">
        <v>1006</v>
      </c>
      <c r="C27" s="8" t="s">
        <v>970</v>
      </c>
      <c r="D27" s="52" t="s">
        <v>1131</v>
      </c>
      <c r="E27" s="50"/>
    </row>
    <row r="28" spans="1:5">
      <c r="A28" s="29" t="s">
        <v>1007</v>
      </c>
      <c r="B28" s="3" t="s">
        <v>1008</v>
      </c>
      <c r="C28" s="8" t="s">
        <v>970</v>
      </c>
      <c r="D28" s="52" t="s">
        <v>1132</v>
      </c>
      <c r="E28" s="50" t="s">
        <v>1009</v>
      </c>
    </row>
    <row r="29" spans="1:5">
      <c r="A29" s="29" t="s">
        <v>1010</v>
      </c>
      <c r="B29" s="3" t="s">
        <v>1011</v>
      </c>
      <c r="C29" s="8" t="s">
        <v>970</v>
      </c>
      <c r="D29" s="52" t="s">
        <v>1132</v>
      </c>
      <c r="E29" s="50"/>
    </row>
    <row r="30" spans="1:5">
      <c r="A30" s="29" t="s">
        <v>1012</v>
      </c>
      <c r="B30" s="3" t="s">
        <v>1013</v>
      </c>
      <c r="C30" s="8" t="s">
        <v>970</v>
      </c>
      <c r="D30" s="52" t="s">
        <v>1132</v>
      </c>
      <c r="E30" s="50" t="s">
        <v>1014</v>
      </c>
    </row>
    <row r="31" spans="1:5">
      <c r="A31" s="29" t="s">
        <v>1015</v>
      </c>
      <c r="B31" s="3" t="s">
        <v>1016</v>
      </c>
      <c r="C31" s="8" t="s">
        <v>970</v>
      </c>
      <c r="D31" s="52" t="s">
        <v>1132</v>
      </c>
      <c r="E31" s="50"/>
    </row>
    <row r="32" spans="1:5">
      <c r="A32" s="29" t="s">
        <v>1017</v>
      </c>
      <c r="B32" s="3" t="s">
        <v>1018</v>
      </c>
      <c r="C32" s="8" t="s">
        <v>970</v>
      </c>
      <c r="D32" s="52" t="s">
        <v>1132</v>
      </c>
      <c r="E32" s="50"/>
    </row>
    <row r="33" spans="1:9">
      <c r="A33" s="92" t="s">
        <v>1019</v>
      </c>
      <c r="B33" s="93" t="s">
        <v>1020</v>
      </c>
      <c r="C33" s="94" t="s">
        <v>1430</v>
      </c>
      <c r="D33" s="95" t="s">
        <v>1132</v>
      </c>
      <c r="E33" s="96" t="s">
        <v>1431</v>
      </c>
      <c r="F33" s="81"/>
      <c r="G33" s="81"/>
      <c r="H33" s="81"/>
      <c r="I33" s="81"/>
    </row>
    <row r="34" spans="1:9">
      <c r="A34" s="92" t="s">
        <v>1021</v>
      </c>
      <c r="B34" s="93" t="s">
        <v>1022</v>
      </c>
      <c r="C34" s="94" t="s">
        <v>1430</v>
      </c>
      <c r="D34" s="95" t="s">
        <v>1132</v>
      </c>
      <c r="E34" s="96" t="s">
        <v>1432</v>
      </c>
      <c r="F34" s="81"/>
      <c r="G34" s="81"/>
      <c r="H34" s="81"/>
      <c r="I34" s="81"/>
    </row>
    <row r="35" spans="1:9">
      <c r="A35" s="29" t="s">
        <v>1023</v>
      </c>
      <c r="B35" s="3" t="s">
        <v>1024</v>
      </c>
      <c r="C35" s="8" t="s">
        <v>970</v>
      </c>
      <c r="D35" s="52" t="s">
        <v>1132</v>
      </c>
      <c r="E35" s="50"/>
    </row>
    <row r="36" spans="1:9">
      <c r="A36" s="29" t="s">
        <v>1025</v>
      </c>
      <c r="B36" s="3" t="s">
        <v>1026</v>
      </c>
      <c r="C36" s="8" t="s">
        <v>970</v>
      </c>
      <c r="D36" s="52" t="s">
        <v>1132</v>
      </c>
      <c r="E36" s="50"/>
    </row>
    <row r="37" spans="1:9">
      <c r="A37" s="29" t="s">
        <v>1027</v>
      </c>
      <c r="B37" s="3" t="s">
        <v>1028</v>
      </c>
      <c r="C37" s="8" t="s">
        <v>970</v>
      </c>
      <c r="D37" s="52" t="s">
        <v>1131</v>
      </c>
      <c r="E37" s="50"/>
    </row>
    <row r="38" spans="1:9">
      <c r="A38" s="29" t="s">
        <v>1029</v>
      </c>
      <c r="B38" s="3" t="s">
        <v>1030</v>
      </c>
      <c r="C38" s="8" t="s">
        <v>970</v>
      </c>
      <c r="D38" s="52" t="s">
        <v>1031</v>
      </c>
      <c r="E38" s="50" t="s">
        <v>1032</v>
      </c>
    </row>
    <row r="39" spans="1:9">
      <c r="A39" s="29" t="s">
        <v>1033</v>
      </c>
      <c r="B39" s="3" t="s">
        <v>1034</v>
      </c>
      <c r="C39" s="8" t="s">
        <v>970</v>
      </c>
      <c r="D39" s="52" t="s">
        <v>1133</v>
      </c>
      <c r="E39" s="50"/>
    </row>
    <row r="40" spans="1:9">
      <c r="A40" s="29" t="s">
        <v>1035</v>
      </c>
      <c r="B40" s="3" t="s">
        <v>1036</v>
      </c>
      <c r="C40" s="8" t="s">
        <v>970</v>
      </c>
      <c r="D40" s="52" t="s">
        <v>1133</v>
      </c>
      <c r="E40" s="50"/>
    </row>
    <row r="41" spans="1:9">
      <c r="A41" s="29" t="s">
        <v>1037</v>
      </c>
      <c r="B41" s="3" t="s">
        <v>1038</v>
      </c>
      <c r="C41" s="8" t="s">
        <v>1039</v>
      </c>
      <c r="D41" s="52" t="s">
        <v>1133</v>
      </c>
      <c r="E41" s="50" t="s">
        <v>1040</v>
      </c>
    </row>
    <row r="42" spans="1:9">
      <c r="A42" s="29" t="s">
        <v>1041</v>
      </c>
      <c r="B42" s="3" t="s">
        <v>1042</v>
      </c>
      <c r="C42" s="8" t="s">
        <v>970</v>
      </c>
      <c r="D42" s="52" t="s">
        <v>1133</v>
      </c>
      <c r="E42" s="50"/>
    </row>
    <row r="43" spans="1:9">
      <c r="A43" s="29" t="s">
        <v>1043</v>
      </c>
      <c r="B43" s="3" t="s">
        <v>1044</v>
      </c>
      <c r="C43" s="8" t="s">
        <v>970</v>
      </c>
      <c r="D43" s="52" t="s">
        <v>1133</v>
      </c>
      <c r="E43" s="50"/>
    </row>
    <row r="44" spans="1:9">
      <c r="A44" s="29" t="s">
        <v>1045</v>
      </c>
      <c r="B44" s="3" t="s">
        <v>1046</v>
      </c>
      <c r="C44" s="8" t="s">
        <v>970</v>
      </c>
      <c r="D44" s="52" t="s">
        <v>1047</v>
      </c>
      <c r="E44" s="50" t="s">
        <v>1048</v>
      </c>
    </row>
    <row r="45" spans="1:9">
      <c r="A45" s="29" t="s">
        <v>1049</v>
      </c>
      <c r="B45" s="3" t="s">
        <v>1050</v>
      </c>
      <c r="C45" s="8" t="s">
        <v>1051</v>
      </c>
      <c r="D45" s="52" t="s">
        <v>1134</v>
      </c>
      <c r="E45" s="50" t="s">
        <v>1052</v>
      </c>
    </row>
    <row r="46" spans="1:9">
      <c r="A46" s="29" t="s">
        <v>1053</v>
      </c>
      <c r="B46" s="3" t="s">
        <v>1054</v>
      </c>
      <c r="C46" s="8" t="s">
        <v>970</v>
      </c>
      <c r="D46" s="52" t="s">
        <v>1047</v>
      </c>
      <c r="E46" s="50" t="s">
        <v>1055</v>
      </c>
    </row>
    <row r="47" spans="1:9">
      <c r="A47" s="29" t="s">
        <v>1056</v>
      </c>
      <c r="B47" s="3" t="s">
        <v>1057</v>
      </c>
      <c r="C47" s="8" t="s">
        <v>970</v>
      </c>
      <c r="D47" s="52" t="s">
        <v>1134</v>
      </c>
      <c r="E47" s="50"/>
    </row>
    <row r="48" spans="1:9">
      <c r="A48" s="29" t="s">
        <v>1058</v>
      </c>
      <c r="B48" s="3" t="s">
        <v>1059</v>
      </c>
      <c r="C48" s="8" t="s">
        <v>970</v>
      </c>
      <c r="D48" s="52" t="s">
        <v>1134</v>
      </c>
      <c r="E48" s="50" t="s">
        <v>1060</v>
      </c>
    </row>
    <row r="49" spans="1:9">
      <c r="A49" s="29" t="s">
        <v>1061</v>
      </c>
      <c r="B49" s="3" t="s">
        <v>1062</v>
      </c>
      <c r="C49" s="8" t="s">
        <v>970</v>
      </c>
      <c r="D49" s="52" t="s">
        <v>1134</v>
      </c>
      <c r="E49" s="50"/>
    </row>
    <row r="50" spans="1:9">
      <c r="A50" s="29" t="s">
        <v>1063</v>
      </c>
      <c r="B50" s="3" t="s">
        <v>1064</v>
      </c>
      <c r="C50" s="8" t="s">
        <v>970</v>
      </c>
      <c r="D50" s="52" t="s">
        <v>1134</v>
      </c>
      <c r="E50" s="50"/>
    </row>
    <row r="51" spans="1:9">
      <c r="A51" s="29" t="s">
        <v>1065</v>
      </c>
      <c r="B51" s="3" t="s">
        <v>1066</v>
      </c>
      <c r="C51" s="8" t="s">
        <v>970</v>
      </c>
      <c r="D51" s="52" t="s">
        <v>1134</v>
      </c>
      <c r="E51" s="50"/>
    </row>
    <row r="52" spans="1:9">
      <c r="A52" s="29" t="s">
        <v>1067</v>
      </c>
      <c r="B52" s="3" t="s">
        <v>1068</v>
      </c>
      <c r="C52" s="8" t="s">
        <v>970</v>
      </c>
      <c r="D52" s="52" t="s">
        <v>1134</v>
      </c>
      <c r="E52" s="50"/>
    </row>
    <row r="53" spans="1:9">
      <c r="A53" s="29" t="s">
        <v>1069</v>
      </c>
      <c r="B53" s="3" t="s">
        <v>1070</v>
      </c>
      <c r="C53" s="8" t="s">
        <v>970</v>
      </c>
      <c r="D53" s="52" t="s">
        <v>1134</v>
      </c>
      <c r="E53" s="50"/>
    </row>
    <row r="54" spans="1:9">
      <c r="A54" s="29" t="s">
        <v>1071</v>
      </c>
      <c r="B54" s="3" t="s">
        <v>1072</v>
      </c>
      <c r="C54" s="8" t="s">
        <v>970</v>
      </c>
      <c r="D54" s="52" t="s">
        <v>1134</v>
      </c>
      <c r="E54" s="50"/>
    </row>
    <row r="55" spans="1:9">
      <c r="A55" s="29" t="s">
        <v>1073</v>
      </c>
      <c r="B55" s="3" t="s">
        <v>1074</v>
      </c>
      <c r="C55" s="8" t="s">
        <v>970</v>
      </c>
      <c r="D55" s="52" t="s">
        <v>1134</v>
      </c>
      <c r="E55" s="50"/>
    </row>
    <row r="56" spans="1:9">
      <c r="A56" s="29" t="s">
        <v>1075</v>
      </c>
      <c r="B56" s="3" t="s">
        <v>1076</v>
      </c>
      <c r="C56" s="8" t="s">
        <v>970</v>
      </c>
      <c r="D56" s="52" t="s">
        <v>1047</v>
      </c>
      <c r="E56" s="50" t="s">
        <v>1077</v>
      </c>
    </row>
    <row r="57" spans="1:9">
      <c r="A57" s="97" t="s">
        <v>1078</v>
      </c>
      <c r="B57" s="85" t="s">
        <v>1079</v>
      </c>
      <c r="C57" s="88" t="s">
        <v>1039</v>
      </c>
      <c r="D57" s="98" t="s">
        <v>1134</v>
      </c>
      <c r="E57" s="99" t="s">
        <v>1433</v>
      </c>
      <c r="F57" s="80"/>
      <c r="G57" s="80"/>
      <c r="H57" s="80"/>
      <c r="I57" s="80"/>
    </row>
    <row r="58" spans="1:9">
      <c r="A58" s="29" t="s">
        <v>1080</v>
      </c>
      <c r="B58" s="3" t="s">
        <v>1081</v>
      </c>
      <c r="C58" s="8" t="s">
        <v>970</v>
      </c>
      <c r="D58" s="52" t="s">
        <v>1134</v>
      </c>
      <c r="E58" s="50"/>
    </row>
    <row r="59" spans="1:9">
      <c r="A59" s="29" t="s">
        <v>1082</v>
      </c>
      <c r="B59" s="3" t="s">
        <v>1083</v>
      </c>
      <c r="C59" s="8" t="s">
        <v>970</v>
      </c>
      <c r="D59" s="52" t="s">
        <v>1135</v>
      </c>
      <c r="E59" s="50" t="s">
        <v>1084</v>
      </c>
    </row>
    <row r="60" spans="1:9">
      <c r="A60" s="29" t="s">
        <v>1085</v>
      </c>
      <c r="B60" s="3" t="s">
        <v>1086</v>
      </c>
      <c r="C60" s="8" t="s">
        <v>1087</v>
      </c>
      <c r="D60" s="52" t="s">
        <v>1136</v>
      </c>
      <c r="E60" s="50" t="s">
        <v>1088</v>
      </c>
    </row>
    <row r="61" spans="1:9">
      <c r="A61" s="29" t="s">
        <v>1089</v>
      </c>
      <c r="B61" s="3" t="s">
        <v>1090</v>
      </c>
      <c r="C61" s="8" t="s">
        <v>1091</v>
      </c>
      <c r="D61" s="52" t="s">
        <v>1092</v>
      </c>
      <c r="E61" s="50" t="s">
        <v>1093</v>
      </c>
    </row>
    <row r="62" spans="1:9">
      <c r="A62" s="29" t="s">
        <v>1094</v>
      </c>
      <c r="B62" s="3" t="s">
        <v>1095</v>
      </c>
      <c r="C62" s="8" t="s">
        <v>970</v>
      </c>
      <c r="D62" s="52" t="s">
        <v>1137</v>
      </c>
      <c r="E62" s="50" t="s">
        <v>1096</v>
      </c>
    </row>
    <row r="63" spans="1:9">
      <c r="A63" s="29" t="s">
        <v>1097</v>
      </c>
      <c r="B63" s="3" t="s">
        <v>1098</v>
      </c>
      <c r="C63" s="8" t="s">
        <v>959</v>
      </c>
      <c r="D63" s="52" t="s">
        <v>1138</v>
      </c>
      <c r="E63" s="50" t="s">
        <v>1099</v>
      </c>
    </row>
    <row r="64" spans="1:9">
      <c r="A64" s="29" t="s">
        <v>1100</v>
      </c>
      <c r="B64" s="3" t="s">
        <v>1101</v>
      </c>
      <c r="C64" s="8" t="s">
        <v>970</v>
      </c>
      <c r="D64" s="52" t="s">
        <v>1137</v>
      </c>
      <c r="E64" s="50" t="s">
        <v>1102</v>
      </c>
    </row>
    <row r="65" spans="1:5">
      <c r="A65" s="29" t="s">
        <v>1103</v>
      </c>
      <c r="B65" s="3" t="s">
        <v>1104</v>
      </c>
      <c r="C65" s="8" t="s">
        <v>970</v>
      </c>
      <c r="D65" s="52" t="s">
        <v>1139</v>
      </c>
      <c r="E65" s="50" t="s">
        <v>1105</v>
      </c>
    </row>
    <row r="66" spans="1:5">
      <c r="A66" s="29" t="s">
        <v>1106</v>
      </c>
      <c r="B66" s="3" t="s">
        <v>1107</v>
      </c>
      <c r="C66" s="8" t="s">
        <v>959</v>
      </c>
      <c r="D66" s="52" t="s">
        <v>1108</v>
      </c>
      <c r="E66" s="50" t="s">
        <v>1109</v>
      </c>
    </row>
    <row r="67" spans="1:5">
      <c r="A67" s="29" t="s">
        <v>1110</v>
      </c>
      <c r="B67" s="3" t="s">
        <v>1111</v>
      </c>
      <c r="C67" s="8" t="s">
        <v>970</v>
      </c>
      <c r="D67" s="52" t="s">
        <v>1112</v>
      </c>
      <c r="E67" s="50" t="s">
        <v>1113</v>
      </c>
    </row>
    <row r="68" spans="1:5">
      <c r="A68" s="29" t="s">
        <v>1114</v>
      </c>
      <c r="B68" s="3" t="s">
        <v>1115</v>
      </c>
      <c r="C68" s="8" t="s">
        <v>970</v>
      </c>
      <c r="D68" s="52" t="s">
        <v>1140</v>
      </c>
      <c r="E68" s="50" t="s">
        <v>1116</v>
      </c>
    </row>
    <row r="69" spans="1:5">
      <c r="A69" s="29" t="s">
        <v>950</v>
      </c>
      <c r="B69" s="3" t="s">
        <v>1117</v>
      </c>
      <c r="C69" s="8" t="s">
        <v>970</v>
      </c>
      <c r="D69" s="52" t="s">
        <v>1141</v>
      </c>
      <c r="E69" s="50" t="s">
        <v>1118</v>
      </c>
    </row>
    <row r="70" spans="1:5">
      <c r="A70" s="29" t="s">
        <v>286</v>
      </c>
      <c r="B70" s="3" t="s">
        <v>291</v>
      </c>
      <c r="C70" s="8" t="s">
        <v>970</v>
      </c>
      <c r="D70" s="52" t="s">
        <v>1142</v>
      </c>
      <c r="E70" s="50" t="s">
        <v>1119</v>
      </c>
    </row>
    <row r="71" spans="1:5">
      <c r="A71" s="29" t="s">
        <v>287</v>
      </c>
      <c r="B71" s="3" t="s">
        <v>288</v>
      </c>
      <c r="C71" s="8" t="s">
        <v>970</v>
      </c>
      <c r="D71" s="52" t="s">
        <v>1142</v>
      </c>
      <c r="E71" s="50" t="s">
        <v>1120</v>
      </c>
    </row>
    <row r="72" spans="1:5">
      <c r="A72" s="30" t="s">
        <v>289</v>
      </c>
      <c r="B72" s="4" t="s">
        <v>290</v>
      </c>
      <c r="C72" s="9" t="s">
        <v>970</v>
      </c>
      <c r="D72" s="53" t="s">
        <v>1142</v>
      </c>
      <c r="E72" s="51" t="s">
        <v>1121</v>
      </c>
    </row>
  </sheetData>
  <autoFilter ref="A5:E72" xr:uid="{A4DEADF9-EFAE-A14D-BC4F-3F04ADDCB1E4}"/>
  <phoneticPr fontId="2"/>
  <conditionalFormatting sqref="A6:E72">
    <cfRule type="expression" dxfId="42" priority="1">
      <formula>$C6="Accepted"</formula>
    </cfRule>
    <cfRule type="expression" dxfId="41" priority="2">
      <formula>$C6="Accepted (Phase 1)"</formula>
    </cfRule>
    <cfRule type="expression" dxfId="40" priority="3">
      <formula>$C6="Accepted（条件付き）"</formula>
    </cfRule>
    <cfRule type="expression" dxfId="39" priority="4">
      <formula>$C6="Scope Reduced"</formula>
    </cfRule>
    <cfRule type="expression" dxfId="38" priority="5">
      <formula>$C6="Out of Scope"</formula>
    </cfRule>
    <cfRule type="expression" dxfId="37"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O210"/>
  <sheetViews>
    <sheetView workbookViewId="0">
      <pane ySplit="1" topLeftCell="A2" activePane="bottomLeft" state="frozen"/>
      <selection pane="bottomLeft" activeCell="F8" sqref="F8"/>
    </sheetView>
  </sheetViews>
  <sheetFormatPr baseColWidth="10" defaultRowHeight="20"/>
  <cols>
    <col min="1" max="1" width="13.5703125" customWidth="1"/>
    <col min="2" max="2" width="11.42578125" customWidth="1"/>
    <col min="3" max="3" width="10.7109375" customWidth="1"/>
    <col min="4" max="4" width="11.42578125" customWidth="1"/>
    <col min="5" max="5" width="15.7109375" customWidth="1"/>
    <col min="6" max="6" width="21.42578125" customWidth="1"/>
    <col min="7" max="7" width="37.140625" style="111" customWidth="1"/>
    <col min="8" max="8" width="32.85546875" style="111" customWidth="1"/>
    <col min="9" max="9" width="42.85546875" style="111" customWidth="1"/>
    <col min="10" max="10" width="31.42578125" customWidth="1"/>
    <col min="11" max="13" width="25.7109375" customWidth="1"/>
    <col min="14" max="14" width="28.5703125" style="111" customWidth="1"/>
    <col min="15" max="15" width="34.28515625" style="111" customWidth="1"/>
  </cols>
  <sheetData>
    <row r="1" spans="1:15" ht="21">
      <c r="A1" s="136" t="s">
        <v>249</v>
      </c>
      <c r="B1" s="136" t="s">
        <v>296</v>
      </c>
      <c r="C1" s="136" t="s">
        <v>1435</v>
      </c>
      <c r="D1" s="136" t="s">
        <v>3709</v>
      </c>
      <c r="E1" s="136" t="s">
        <v>3710</v>
      </c>
      <c r="F1" s="136" t="s">
        <v>1690</v>
      </c>
      <c r="G1" s="156" t="s">
        <v>4530</v>
      </c>
      <c r="H1" s="156" t="s">
        <v>1172</v>
      </c>
      <c r="I1" s="156" t="s">
        <v>4</v>
      </c>
      <c r="J1" s="136" t="s">
        <v>1685</v>
      </c>
      <c r="K1" s="136" t="s">
        <v>951</v>
      </c>
      <c r="L1" s="136" t="s">
        <v>2402</v>
      </c>
      <c r="M1" s="136" t="s">
        <v>952</v>
      </c>
      <c r="N1" s="156" t="s">
        <v>1143</v>
      </c>
      <c r="O1" s="156" t="s">
        <v>4531</v>
      </c>
    </row>
    <row r="2" spans="1:15" ht="84">
      <c r="A2" s="142" t="s">
        <v>4532</v>
      </c>
      <c r="B2" s="142" t="s">
        <v>1</v>
      </c>
      <c r="C2" s="142" t="s">
        <v>3274</v>
      </c>
      <c r="D2" s="142" t="s">
        <v>1688</v>
      </c>
      <c r="E2" s="142" t="s">
        <v>3278</v>
      </c>
      <c r="F2" s="142" t="s">
        <v>4533</v>
      </c>
      <c r="G2" s="143" t="s">
        <v>4534</v>
      </c>
      <c r="H2" s="143" t="s">
        <v>4535</v>
      </c>
      <c r="I2" s="143" t="s">
        <v>4536</v>
      </c>
      <c r="J2" s="142" t="s">
        <v>4537</v>
      </c>
      <c r="K2" s="142" t="s">
        <v>1676</v>
      </c>
      <c r="L2" s="142" t="s">
        <v>4527</v>
      </c>
      <c r="M2" s="142" t="s">
        <v>4410</v>
      </c>
      <c r="N2" s="143" t="s">
        <v>3536</v>
      </c>
      <c r="O2" s="143" t="s">
        <v>4538</v>
      </c>
    </row>
    <row r="3" spans="1:15" ht="84">
      <c r="A3" s="142" t="s">
        <v>4539</v>
      </c>
      <c r="B3" s="142" t="s">
        <v>1</v>
      </c>
      <c r="C3" s="142" t="s">
        <v>3274</v>
      </c>
      <c r="D3" s="142" t="s">
        <v>1688</v>
      </c>
      <c r="E3" s="142" t="s">
        <v>3275</v>
      </c>
      <c r="F3" s="142" t="s">
        <v>4540</v>
      </c>
      <c r="G3" s="143" t="s">
        <v>4541</v>
      </c>
      <c r="H3" s="143" t="s">
        <v>4542</v>
      </c>
      <c r="I3" s="143" t="s">
        <v>4536</v>
      </c>
      <c r="J3" s="142"/>
      <c r="K3" s="142"/>
      <c r="L3" s="142"/>
      <c r="M3" s="142"/>
      <c r="N3" s="143" t="s">
        <v>4543</v>
      </c>
      <c r="O3" s="143" t="s">
        <v>4538</v>
      </c>
    </row>
    <row r="4" spans="1:15" ht="42">
      <c r="A4" s="142" t="s">
        <v>6</v>
      </c>
      <c r="B4" s="142" t="s">
        <v>1</v>
      </c>
      <c r="C4" s="142" t="s">
        <v>3274</v>
      </c>
      <c r="D4" s="142" t="s">
        <v>1688</v>
      </c>
      <c r="E4" s="142" t="s">
        <v>3278</v>
      </c>
      <c r="F4" s="142" t="s">
        <v>4533</v>
      </c>
      <c r="G4" s="143" t="s">
        <v>946</v>
      </c>
      <c r="H4" s="143" t="s">
        <v>3276</v>
      </c>
      <c r="I4" s="143" t="s">
        <v>3277</v>
      </c>
      <c r="J4" s="142" t="s">
        <v>3532</v>
      </c>
      <c r="K4" s="142" t="s">
        <v>3533</v>
      </c>
      <c r="L4" s="142" t="s">
        <v>3534</v>
      </c>
      <c r="M4" s="142" t="s">
        <v>3535</v>
      </c>
      <c r="N4" s="143" t="s">
        <v>3536</v>
      </c>
      <c r="O4" s="143" t="s">
        <v>946</v>
      </c>
    </row>
    <row r="5" spans="1:15" ht="42">
      <c r="A5" s="142" t="s">
        <v>7</v>
      </c>
      <c r="B5" s="142" t="s">
        <v>1</v>
      </c>
      <c r="C5" s="142" t="s">
        <v>3274</v>
      </c>
      <c r="D5" s="142" t="s">
        <v>1688</v>
      </c>
      <c r="E5" s="142" t="s">
        <v>3278</v>
      </c>
      <c r="F5" s="142" t="s">
        <v>4533</v>
      </c>
      <c r="G5" s="143" t="s">
        <v>946</v>
      </c>
      <c r="H5" s="143" t="s">
        <v>8</v>
      </c>
      <c r="I5" s="143" t="s">
        <v>3279</v>
      </c>
      <c r="J5" s="142" t="s">
        <v>3532</v>
      </c>
      <c r="K5" s="142" t="s">
        <v>3533</v>
      </c>
      <c r="L5" s="142" t="s">
        <v>3534</v>
      </c>
      <c r="M5" s="142" t="s">
        <v>3537</v>
      </c>
      <c r="N5" s="143" t="s">
        <v>3536</v>
      </c>
      <c r="O5" s="143" t="s">
        <v>946</v>
      </c>
    </row>
    <row r="6" spans="1:15" ht="42">
      <c r="A6" s="142" t="s">
        <v>9</v>
      </c>
      <c r="B6" s="142" t="s">
        <v>1</v>
      </c>
      <c r="C6" s="142" t="s">
        <v>3274</v>
      </c>
      <c r="D6" s="142" t="s">
        <v>1688</v>
      </c>
      <c r="E6" s="142" t="s">
        <v>3278</v>
      </c>
      <c r="F6" s="142" t="s">
        <v>4533</v>
      </c>
      <c r="G6" s="143" t="s">
        <v>946</v>
      </c>
      <c r="H6" s="143" t="s">
        <v>10</v>
      </c>
      <c r="I6" s="143" t="s">
        <v>3280</v>
      </c>
      <c r="J6" s="142" t="s">
        <v>1595</v>
      </c>
      <c r="K6" s="142" t="s">
        <v>1670</v>
      </c>
      <c r="L6" s="142" t="s">
        <v>3538</v>
      </c>
      <c r="M6" s="142" t="s">
        <v>1147</v>
      </c>
      <c r="N6" s="143" t="s">
        <v>3536</v>
      </c>
      <c r="O6" s="143" t="s">
        <v>946</v>
      </c>
    </row>
    <row r="7" spans="1:15" ht="42">
      <c r="A7" s="142" t="s">
        <v>11</v>
      </c>
      <c r="B7" s="142" t="s">
        <v>1</v>
      </c>
      <c r="C7" s="142" t="s">
        <v>3282</v>
      </c>
      <c r="D7" s="142" t="s">
        <v>250</v>
      </c>
      <c r="E7" s="142" t="s">
        <v>946</v>
      </c>
      <c r="F7" s="142" t="s">
        <v>946</v>
      </c>
      <c r="G7" s="143" t="s">
        <v>3283</v>
      </c>
      <c r="H7" s="143" t="s">
        <v>12</v>
      </c>
      <c r="I7" s="143" t="s">
        <v>3281</v>
      </c>
      <c r="J7" s="142"/>
      <c r="K7" s="142"/>
      <c r="L7" s="142"/>
      <c r="M7" s="142"/>
      <c r="N7" s="143" t="s">
        <v>3323</v>
      </c>
      <c r="O7" s="143" t="s">
        <v>946</v>
      </c>
    </row>
    <row r="8" spans="1:15" ht="42">
      <c r="A8" s="142" t="s">
        <v>13</v>
      </c>
      <c r="B8" s="142" t="s">
        <v>1</v>
      </c>
      <c r="C8" s="142" t="s">
        <v>246</v>
      </c>
      <c r="D8" s="142" t="s">
        <v>250</v>
      </c>
      <c r="E8" s="142" t="s">
        <v>946</v>
      </c>
      <c r="F8" s="142" t="s">
        <v>946</v>
      </c>
      <c r="G8" s="143" t="s">
        <v>3286</v>
      </c>
      <c r="H8" s="143" t="s">
        <v>3284</v>
      </c>
      <c r="I8" s="143" t="s">
        <v>3285</v>
      </c>
      <c r="J8" s="142"/>
      <c r="K8" s="142"/>
      <c r="L8" s="142"/>
      <c r="M8" s="142"/>
      <c r="N8" s="143" t="s">
        <v>3323</v>
      </c>
      <c r="O8" s="143" t="s">
        <v>946</v>
      </c>
    </row>
    <row r="9" spans="1:15" ht="42">
      <c r="A9" s="142" t="s">
        <v>14</v>
      </c>
      <c r="B9" s="142" t="s">
        <v>1</v>
      </c>
      <c r="C9" s="142" t="s">
        <v>246</v>
      </c>
      <c r="D9" s="142" t="s">
        <v>250</v>
      </c>
      <c r="E9" s="142" t="s">
        <v>946</v>
      </c>
      <c r="F9" s="142" t="s">
        <v>946</v>
      </c>
      <c r="G9" s="143" t="s">
        <v>3289</v>
      </c>
      <c r="H9" s="143" t="s">
        <v>3287</v>
      </c>
      <c r="I9" s="143" t="s">
        <v>3288</v>
      </c>
      <c r="J9" s="142"/>
      <c r="K9" s="142"/>
      <c r="L9" s="142"/>
      <c r="M9" s="142"/>
      <c r="N9" s="143" t="s">
        <v>3323</v>
      </c>
      <c r="O9" s="143" t="s">
        <v>946</v>
      </c>
    </row>
    <row r="10" spans="1:15" ht="42">
      <c r="A10" s="142" t="s">
        <v>15</v>
      </c>
      <c r="B10" s="142" t="s">
        <v>1</v>
      </c>
      <c r="C10" s="142" t="s">
        <v>3291</v>
      </c>
      <c r="D10" s="142" t="s">
        <v>250</v>
      </c>
      <c r="E10" s="142" t="s">
        <v>946</v>
      </c>
      <c r="F10" s="142" t="s">
        <v>946</v>
      </c>
      <c r="G10" s="143" t="s">
        <v>3292</v>
      </c>
      <c r="H10" s="143" t="s">
        <v>16</v>
      </c>
      <c r="I10" s="143" t="s">
        <v>3290</v>
      </c>
      <c r="J10" s="142"/>
      <c r="K10" s="142"/>
      <c r="L10" s="142"/>
      <c r="M10" s="142"/>
      <c r="N10" s="143" t="s">
        <v>3323</v>
      </c>
      <c r="O10" s="143" t="s">
        <v>946</v>
      </c>
    </row>
    <row r="11" spans="1:15" ht="63">
      <c r="A11" s="142" t="s">
        <v>17</v>
      </c>
      <c r="B11" s="142" t="s">
        <v>1</v>
      </c>
      <c r="C11" s="142" t="s">
        <v>3274</v>
      </c>
      <c r="D11" s="142" t="s">
        <v>1688</v>
      </c>
      <c r="E11" s="142" t="s">
        <v>3275</v>
      </c>
      <c r="F11" s="142" t="s">
        <v>4540</v>
      </c>
      <c r="G11" s="143" t="s">
        <v>3294</v>
      </c>
      <c r="H11" s="143" t="s">
        <v>18</v>
      </c>
      <c r="I11" s="143" t="s">
        <v>3293</v>
      </c>
      <c r="J11" s="142"/>
      <c r="K11" s="142"/>
      <c r="L11" s="142"/>
      <c r="M11" s="142"/>
      <c r="N11" s="143" t="s">
        <v>4543</v>
      </c>
      <c r="O11" s="143" t="s">
        <v>4538</v>
      </c>
    </row>
    <row r="12" spans="1:15" ht="63">
      <c r="A12" s="142" t="s">
        <v>19</v>
      </c>
      <c r="B12" s="142" t="s">
        <v>1</v>
      </c>
      <c r="C12" s="142" t="s">
        <v>3297</v>
      </c>
      <c r="D12" s="142" t="s">
        <v>1688</v>
      </c>
      <c r="E12" s="142" t="s">
        <v>3275</v>
      </c>
      <c r="F12" s="142" t="s">
        <v>4540</v>
      </c>
      <c r="G12" s="143" t="s">
        <v>2394</v>
      </c>
      <c r="H12" s="143" t="s">
        <v>3295</v>
      </c>
      <c r="I12" s="143" t="s">
        <v>3296</v>
      </c>
      <c r="J12" s="142"/>
      <c r="K12" s="142"/>
      <c r="L12" s="142"/>
      <c r="M12" s="142"/>
      <c r="N12" s="143" t="s">
        <v>4543</v>
      </c>
      <c r="O12" s="143" t="s">
        <v>4538</v>
      </c>
    </row>
    <row r="13" spans="1:15" ht="84">
      <c r="A13" s="142" t="s">
        <v>20</v>
      </c>
      <c r="B13" s="142" t="s">
        <v>1</v>
      </c>
      <c r="C13" s="142" t="s">
        <v>3274</v>
      </c>
      <c r="D13" s="142" t="s">
        <v>1688</v>
      </c>
      <c r="E13" s="142" t="s">
        <v>3275</v>
      </c>
      <c r="F13" s="142" t="s">
        <v>4540</v>
      </c>
      <c r="G13" s="143" t="s">
        <v>4544</v>
      </c>
      <c r="H13" s="143" t="s">
        <v>3298</v>
      </c>
      <c r="I13" s="143" t="s">
        <v>3299</v>
      </c>
      <c r="J13" s="142"/>
      <c r="K13" s="142"/>
      <c r="L13" s="142"/>
      <c r="M13" s="142"/>
      <c r="N13" s="143" t="s">
        <v>4545</v>
      </c>
      <c r="O13" s="143" t="s">
        <v>4538</v>
      </c>
    </row>
    <row r="14" spans="1:15" ht="63">
      <c r="A14" s="142" t="s">
        <v>21</v>
      </c>
      <c r="B14" s="142" t="s">
        <v>1</v>
      </c>
      <c r="C14" s="142" t="s">
        <v>3297</v>
      </c>
      <c r="D14" s="142" t="s">
        <v>1688</v>
      </c>
      <c r="E14" s="142" t="s">
        <v>3275</v>
      </c>
      <c r="F14" s="142" t="s">
        <v>4540</v>
      </c>
      <c r="G14" s="143" t="s">
        <v>2394</v>
      </c>
      <c r="H14" s="143" t="s">
        <v>22</v>
      </c>
      <c r="I14" s="143" t="s">
        <v>3300</v>
      </c>
      <c r="J14" s="142"/>
      <c r="K14" s="142"/>
      <c r="L14" s="142"/>
      <c r="M14" s="142"/>
      <c r="N14" s="143" t="s">
        <v>4543</v>
      </c>
      <c r="O14" s="143" t="s">
        <v>4538</v>
      </c>
    </row>
    <row r="15" spans="1:15" ht="21">
      <c r="A15" s="142" t="s">
        <v>23</v>
      </c>
      <c r="B15" s="142" t="s">
        <v>1</v>
      </c>
      <c r="C15" s="142" t="s">
        <v>3274</v>
      </c>
      <c r="D15" s="142" t="s">
        <v>1688</v>
      </c>
      <c r="E15" s="142" t="s">
        <v>3275</v>
      </c>
      <c r="F15" s="142" t="s">
        <v>4540</v>
      </c>
      <c r="G15" s="143" t="s">
        <v>2394</v>
      </c>
      <c r="H15" s="143" t="s">
        <v>3301</v>
      </c>
      <c r="I15" s="143" t="s">
        <v>3302</v>
      </c>
      <c r="J15" s="142"/>
      <c r="K15" s="142"/>
      <c r="L15" s="142"/>
      <c r="M15" s="142"/>
      <c r="N15" s="143" t="s">
        <v>3711</v>
      </c>
      <c r="O15" s="143" t="s">
        <v>4538</v>
      </c>
    </row>
    <row r="16" spans="1:15" ht="21">
      <c r="A16" s="142" t="s">
        <v>24</v>
      </c>
      <c r="B16" s="142" t="s">
        <v>1</v>
      </c>
      <c r="C16" s="142" t="s">
        <v>3297</v>
      </c>
      <c r="D16" s="142" t="s">
        <v>1688</v>
      </c>
      <c r="E16" s="142" t="s">
        <v>3275</v>
      </c>
      <c r="F16" s="142" t="s">
        <v>4540</v>
      </c>
      <c r="G16" s="143" t="s">
        <v>2394</v>
      </c>
      <c r="H16" s="143" t="s">
        <v>25</v>
      </c>
      <c r="I16" s="143" t="s">
        <v>3303</v>
      </c>
      <c r="J16" s="142"/>
      <c r="K16" s="142"/>
      <c r="L16" s="142"/>
      <c r="M16" s="142"/>
      <c r="N16" s="143" t="s">
        <v>3711</v>
      </c>
      <c r="O16" s="143" t="s">
        <v>4538</v>
      </c>
    </row>
    <row r="17" spans="1:15" ht="42">
      <c r="A17" s="142" t="s">
        <v>3304</v>
      </c>
      <c r="B17" s="142" t="s">
        <v>1</v>
      </c>
      <c r="C17" s="142" t="s">
        <v>3282</v>
      </c>
      <c r="D17" s="142" t="s">
        <v>250</v>
      </c>
      <c r="E17" s="142" t="s">
        <v>946</v>
      </c>
      <c r="F17" s="142" t="s">
        <v>946</v>
      </c>
      <c r="G17" s="143" t="s">
        <v>3307</v>
      </c>
      <c r="H17" s="143" t="s">
        <v>3305</v>
      </c>
      <c r="I17" s="143" t="s">
        <v>3306</v>
      </c>
      <c r="J17" s="142"/>
      <c r="K17" s="142"/>
      <c r="L17" s="142"/>
      <c r="M17" s="142"/>
      <c r="N17" s="143" t="s">
        <v>3323</v>
      </c>
      <c r="O17" s="143" t="s">
        <v>946</v>
      </c>
    </row>
    <row r="18" spans="1:15" ht="42">
      <c r="A18" s="142" t="s">
        <v>4546</v>
      </c>
      <c r="B18" s="142" t="s">
        <v>1</v>
      </c>
      <c r="C18" s="142" t="s">
        <v>3282</v>
      </c>
      <c r="D18" s="142" t="s">
        <v>1688</v>
      </c>
      <c r="E18" s="142" t="s">
        <v>3278</v>
      </c>
      <c r="F18" s="142" t="s">
        <v>4533</v>
      </c>
      <c r="G18" s="143" t="s">
        <v>4547</v>
      </c>
      <c r="H18" s="143" t="s">
        <v>2158</v>
      </c>
      <c r="I18" s="143" t="s">
        <v>4548</v>
      </c>
      <c r="J18" s="142" t="s">
        <v>3871</v>
      </c>
      <c r="K18" s="142"/>
      <c r="L18" s="142"/>
      <c r="M18" s="142"/>
      <c r="N18" s="143" t="s">
        <v>4549</v>
      </c>
      <c r="O18" s="143" t="s">
        <v>946</v>
      </c>
    </row>
    <row r="19" spans="1:15" ht="63">
      <c r="A19" s="142" t="s">
        <v>26</v>
      </c>
      <c r="B19" s="142" t="s">
        <v>1</v>
      </c>
      <c r="C19" s="142" t="s">
        <v>3310</v>
      </c>
      <c r="D19" s="142" t="s">
        <v>1688</v>
      </c>
      <c r="E19" s="142" t="s">
        <v>3278</v>
      </c>
      <c r="F19" s="142" t="s">
        <v>4533</v>
      </c>
      <c r="G19" s="143" t="s">
        <v>4550</v>
      </c>
      <c r="H19" s="143" t="s">
        <v>3308</v>
      </c>
      <c r="I19" s="143" t="s">
        <v>3309</v>
      </c>
      <c r="J19" s="142" t="s">
        <v>3540</v>
      </c>
      <c r="K19" s="142" t="s">
        <v>3541</v>
      </c>
      <c r="L19" s="142" t="s">
        <v>3542</v>
      </c>
      <c r="M19" s="142" t="s">
        <v>3543</v>
      </c>
      <c r="N19" s="143" t="s">
        <v>3536</v>
      </c>
      <c r="O19" s="143" t="s">
        <v>946</v>
      </c>
    </row>
    <row r="20" spans="1:15" ht="42">
      <c r="A20" s="142" t="s">
        <v>27</v>
      </c>
      <c r="B20" s="142" t="s">
        <v>1</v>
      </c>
      <c r="C20" s="142" t="s">
        <v>3274</v>
      </c>
      <c r="D20" s="142" t="s">
        <v>1688</v>
      </c>
      <c r="E20" s="142" t="s">
        <v>3278</v>
      </c>
      <c r="F20" s="142" t="s">
        <v>4533</v>
      </c>
      <c r="G20" s="143" t="s">
        <v>946</v>
      </c>
      <c r="H20" s="143" t="s">
        <v>3311</v>
      </c>
      <c r="I20" s="143" t="s">
        <v>3312</v>
      </c>
      <c r="J20" s="142" t="s">
        <v>3540</v>
      </c>
      <c r="K20" s="142" t="s">
        <v>3541</v>
      </c>
      <c r="L20" s="142" t="s">
        <v>3542</v>
      </c>
      <c r="M20" s="142" t="s">
        <v>1151</v>
      </c>
      <c r="N20" s="143" t="s">
        <v>3536</v>
      </c>
      <c r="O20" s="143" t="s">
        <v>946</v>
      </c>
    </row>
    <row r="21" spans="1:15" ht="21">
      <c r="A21" s="142" t="s">
        <v>28</v>
      </c>
      <c r="B21" s="142" t="s">
        <v>1</v>
      </c>
      <c r="C21" s="142" t="s">
        <v>3297</v>
      </c>
      <c r="D21" s="142" t="s">
        <v>1688</v>
      </c>
      <c r="E21" s="142" t="s">
        <v>3278</v>
      </c>
      <c r="F21" s="142" t="s">
        <v>4533</v>
      </c>
      <c r="G21" s="143" t="s">
        <v>946</v>
      </c>
      <c r="H21" s="143" t="s">
        <v>3313</v>
      </c>
      <c r="I21" s="143" t="s">
        <v>3314</v>
      </c>
      <c r="J21" s="142" t="s">
        <v>3540</v>
      </c>
      <c r="K21" s="142" t="s">
        <v>3541</v>
      </c>
      <c r="L21" s="142" t="s">
        <v>3542</v>
      </c>
      <c r="M21" s="142" t="s">
        <v>3544</v>
      </c>
      <c r="N21" s="143" t="s">
        <v>3536</v>
      </c>
      <c r="O21" s="143" t="s">
        <v>946</v>
      </c>
    </row>
    <row r="22" spans="1:15" ht="21">
      <c r="A22" s="142" t="s">
        <v>29</v>
      </c>
      <c r="B22" s="142" t="s">
        <v>1</v>
      </c>
      <c r="C22" s="142" t="s">
        <v>3317</v>
      </c>
      <c r="D22" s="142" t="s">
        <v>1688</v>
      </c>
      <c r="E22" s="142" t="s">
        <v>3278</v>
      </c>
      <c r="F22" s="142" t="s">
        <v>4533</v>
      </c>
      <c r="G22" s="143" t="s">
        <v>946</v>
      </c>
      <c r="H22" s="143" t="s">
        <v>3315</v>
      </c>
      <c r="I22" s="143" t="s">
        <v>3316</v>
      </c>
      <c r="J22" s="142" t="s">
        <v>3540</v>
      </c>
      <c r="K22" s="142" t="s">
        <v>3541</v>
      </c>
      <c r="L22" s="142" t="s">
        <v>3542</v>
      </c>
      <c r="M22" s="142" t="s">
        <v>3544</v>
      </c>
      <c r="N22" s="143" t="s">
        <v>3536</v>
      </c>
      <c r="O22" s="143" t="s">
        <v>946</v>
      </c>
    </row>
    <row r="23" spans="1:15" ht="42">
      <c r="A23" s="142" t="s">
        <v>30</v>
      </c>
      <c r="B23" s="142" t="s">
        <v>1</v>
      </c>
      <c r="C23" s="142" t="s">
        <v>3297</v>
      </c>
      <c r="D23" s="142" t="s">
        <v>1688</v>
      </c>
      <c r="E23" s="142" t="s">
        <v>3278</v>
      </c>
      <c r="F23" s="142" t="s">
        <v>4533</v>
      </c>
      <c r="G23" s="143" t="s">
        <v>946</v>
      </c>
      <c r="H23" s="143" t="s">
        <v>3318</v>
      </c>
      <c r="I23" s="143" t="s">
        <v>3319</v>
      </c>
      <c r="J23" s="142" t="s">
        <v>3545</v>
      </c>
      <c r="K23" s="142" t="s">
        <v>3546</v>
      </c>
      <c r="L23" s="142" t="s">
        <v>3547</v>
      </c>
      <c r="M23" s="142" t="s">
        <v>3548</v>
      </c>
      <c r="N23" s="143" t="s">
        <v>3536</v>
      </c>
      <c r="O23" s="143" t="s">
        <v>946</v>
      </c>
    </row>
    <row r="24" spans="1:15" ht="42">
      <c r="A24" s="142" t="s">
        <v>31</v>
      </c>
      <c r="B24" s="142" t="s">
        <v>1</v>
      </c>
      <c r="C24" s="142" t="s">
        <v>3282</v>
      </c>
      <c r="D24" s="142" t="s">
        <v>1688</v>
      </c>
      <c r="E24" s="142" t="s">
        <v>3278</v>
      </c>
      <c r="F24" s="142" t="s">
        <v>4533</v>
      </c>
      <c r="G24" s="143" t="s">
        <v>3321</v>
      </c>
      <c r="H24" s="143" t="s">
        <v>3320</v>
      </c>
      <c r="I24" s="143" t="s">
        <v>4551</v>
      </c>
      <c r="J24" s="142" t="s">
        <v>3549</v>
      </c>
      <c r="K24" s="142" t="s">
        <v>3550</v>
      </c>
      <c r="L24" s="142" t="s">
        <v>3551</v>
      </c>
      <c r="M24" s="142" t="s">
        <v>3552</v>
      </c>
      <c r="N24" s="143" t="s">
        <v>3536</v>
      </c>
      <c r="O24" s="143" t="s">
        <v>946</v>
      </c>
    </row>
    <row r="25" spans="1:15" ht="21">
      <c r="A25" s="142" t="s">
        <v>32</v>
      </c>
      <c r="B25" s="142" t="s">
        <v>1</v>
      </c>
      <c r="C25" s="142" t="s">
        <v>3282</v>
      </c>
      <c r="D25" s="142" t="s">
        <v>250</v>
      </c>
      <c r="E25" s="142" t="s">
        <v>946</v>
      </c>
      <c r="F25" s="142" t="s">
        <v>946</v>
      </c>
      <c r="G25" s="143" t="s">
        <v>3323</v>
      </c>
      <c r="H25" s="143" t="s">
        <v>33</v>
      </c>
      <c r="I25" s="143" t="s">
        <v>3322</v>
      </c>
      <c r="J25" s="142"/>
      <c r="K25" s="142"/>
      <c r="L25" s="142"/>
      <c r="M25" s="142"/>
      <c r="N25" s="143" t="s">
        <v>3323</v>
      </c>
      <c r="O25" s="143" t="s">
        <v>946</v>
      </c>
    </row>
    <row r="26" spans="1:15" ht="42">
      <c r="A26" s="142" t="s">
        <v>35</v>
      </c>
      <c r="B26" s="142" t="s">
        <v>1</v>
      </c>
      <c r="C26" s="142" t="s">
        <v>3274</v>
      </c>
      <c r="D26" s="142" t="s">
        <v>1688</v>
      </c>
      <c r="E26" s="142" t="s">
        <v>3278</v>
      </c>
      <c r="F26" s="142" t="s">
        <v>4533</v>
      </c>
      <c r="G26" s="143" t="s">
        <v>946</v>
      </c>
      <c r="H26" s="143" t="s">
        <v>3324</v>
      </c>
      <c r="I26" s="143" t="s">
        <v>3325</v>
      </c>
      <c r="J26" s="142" t="s">
        <v>1591</v>
      </c>
      <c r="K26" s="142" t="s">
        <v>3553</v>
      </c>
      <c r="L26" s="142" t="s">
        <v>3554</v>
      </c>
      <c r="M26" s="142" t="s">
        <v>3555</v>
      </c>
      <c r="N26" s="143" t="s">
        <v>3536</v>
      </c>
      <c r="O26" s="143" t="s">
        <v>4552</v>
      </c>
    </row>
    <row r="27" spans="1:15" ht="42">
      <c r="A27" s="142" t="s">
        <v>36</v>
      </c>
      <c r="B27" s="142" t="s">
        <v>1</v>
      </c>
      <c r="C27" s="142" t="s">
        <v>3274</v>
      </c>
      <c r="D27" s="142" t="s">
        <v>1688</v>
      </c>
      <c r="E27" s="142" t="s">
        <v>3278</v>
      </c>
      <c r="F27" s="142" t="s">
        <v>4533</v>
      </c>
      <c r="G27" s="143" t="s">
        <v>946</v>
      </c>
      <c r="H27" s="143" t="s">
        <v>3326</v>
      </c>
      <c r="I27" s="143" t="s">
        <v>3327</v>
      </c>
      <c r="J27" s="142" t="s">
        <v>3556</v>
      </c>
      <c r="K27" s="142" t="s">
        <v>3557</v>
      </c>
      <c r="L27" s="142" t="s">
        <v>3558</v>
      </c>
      <c r="M27" s="142" t="s">
        <v>3559</v>
      </c>
      <c r="N27" s="143" t="s">
        <v>3536</v>
      </c>
      <c r="O27" s="143" t="s">
        <v>4552</v>
      </c>
    </row>
    <row r="28" spans="1:15" ht="42">
      <c r="A28" s="142" t="s">
        <v>37</v>
      </c>
      <c r="B28" s="142" t="s">
        <v>1</v>
      </c>
      <c r="C28" s="142" t="s">
        <v>3274</v>
      </c>
      <c r="D28" s="142" t="s">
        <v>1688</v>
      </c>
      <c r="E28" s="142" t="s">
        <v>3278</v>
      </c>
      <c r="F28" s="142" t="s">
        <v>4533</v>
      </c>
      <c r="G28" s="143" t="s">
        <v>946</v>
      </c>
      <c r="H28" s="143" t="s">
        <v>3328</v>
      </c>
      <c r="I28" s="143" t="s">
        <v>3329</v>
      </c>
      <c r="J28" s="142" t="s">
        <v>3560</v>
      </c>
      <c r="K28" s="142" t="s">
        <v>3561</v>
      </c>
      <c r="L28" s="142" t="s">
        <v>3562</v>
      </c>
      <c r="M28" s="142" t="s">
        <v>3563</v>
      </c>
      <c r="N28" s="143" t="s">
        <v>3536</v>
      </c>
      <c r="O28" s="143" t="s">
        <v>946</v>
      </c>
    </row>
    <row r="29" spans="1:15" ht="42">
      <c r="A29" s="142" t="s">
        <v>4553</v>
      </c>
      <c r="B29" s="142" t="s">
        <v>1</v>
      </c>
      <c r="C29" s="142" t="s">
        <v>3274</v>
      </c>
      <c r="D29" s="142" t="s">
        <v>1688</v>
      </c>
      <c r="E29" s="142" t="s">
        <v>3278</v>
      </c>
      <c r="F29" s="142" t="s">
        <v>4533</v>
      </c>
      <c r="G29" s="143" t="s">
        <v>4554</v>
      </c>
      <c r="H29" s="143" t="s">
        <v>4555</v>
      </c>
      <c r="I29" s="143" t="s">
        <v>3330</v>
      </c>
      <c r="J29" s="142" t="s">
        <v>3564</v>
      </c>
      <c r="K29" s="142" t="s">
        <v>1463</v>
      </c>
      <c r="L29" s="142" t="s">
        <v>3565</v>
      </c>
      <c r="M29" s="142" t="s">
        <v>3566</v>
      </c>
      <c r="N29" s="143" t="s">
        <v>3536</v>
      </c>
      <c r="O29" s="143" t="s">
        <v>946</v>
      </c>
    </row>
    <row r="30" spans="1:15" ht="42">
      <c r="A30" s="142" t="s">
        <v>4556</v>
      </c>
      <c r="B30" s="142" t="s">
        <v>1</v>
      </c>
      <c r="C30" s="142" t="s">
        <v>3274</v>
      </c>
      <c r="D30" s="142" t="s">
        <v>1688</v>
      </c>
      <c r="E30" s="142" t="s">
        <v>3712</v>
      </c>
      <c r="F30" s="142" t="s">
        <v>4557</v>
      </c>
      <c r="G30" s="143" t="s">
        <v>4558</v>
      </c>
      <c r="H30" s="143" t="s">
        <v>4559</v>
      </c>
      <c r="I30" s="143" t="s">
        <v>3330</v>
      </c>
      <c r="J30" s="142"/>
      <c r="K30" s="142"/>
      <c r="L30" s="142"/>
      <c r="M30" s="142" t="s">
        <v>1166</v>
      </c>
      <c r="N30" s="143" t="s">
        <v>3713</v>
      </c>
      <c r="O30" s="143" t="s">
        <v>946</v>
      </c>
    </row>
    <row r="31" spans="1:15" ht="42">
      <c r="A31" s="142" t="s">
        <v>4560</v>
      </c>
      <c r="B31" s="142" t="s">
        <v>1</v>
      </c>
      <c r="C31" s="142" t="s">
        <v>3274</v>
      </c>
      <c r="D31" s="142" t="s">
        <v>1688</v>
      </c>
      <c r="E31" s="142" t="s">
        <v>3278</v>
      </c>
      <c r="F31" s="142" t="s">
        <v>4533</v>
      </c>
      <c r="G31" s="143" t="s">
        <v>4561</v>
      </c>
      <c r="H31" s="143" t="s">
        <v>4562</v>
      </c>
      <c r="I31" s="143" t="s">
        <v>4563</v>
      </c>
      <c r="J31" s="142" t="s">
        <v>4564</v>
      </c>
      <c r="K31" s="142" t="s">
        <v>4565</v>
      </c>
      <c r="L31" s="142" t="s">
        <v>4566</v>
      </c>
      <c r="M31" s="142" t="s">
        <v>4567</v>
      </c>
      <c r="N31" s="143" t="s">
        <v>3536</v>
      </c>
      <c r="O31" s="143" t="s">
        <v>946</v>
      </c>
    </row>
    <row r="32" spans="1:15" ht="63">
      <c r="A32" s="142" t="s">
        <v>4568</v>
      </c>
      <c r="B32" s="142" t="s">
        <v>1</v>
      </c>
      <c r="C32" s="142" t="s">
        <v>3274</v>
      </c>
      <c r="D32" s="142" t="s">
        <v>1688</v>
      </c>
      <c r="E32" s="142" t="s">
        <v>3712</v>
      </c>
      <c r="F32" s="142" t="s">
        <v>4557</v>
      </c>
      <c r="G32" s="143" t="s">
        <v>4569</v>
      </c>
      <c r="H32" s="143" t="s">
        <v>4570</v>
      </c>
      <c r="I32" s="143" t="s">
        <v>4563</v>
      </c>
      <c r="J32" s="142"/>
      <c r="K32" s="142"/>
      <c r="L32" s="142"/>
      <c r="M32" s="142" t="s">
        <v>1151</v>
      </c>
      <c r="N32" s="143" t="s">
        <v>3713</v>
      </c>
      <c r="O32" s="143" t="s">
        <v>946</v>
      </c>
    </row>
    <row r="33" spans="1:15" ht="63">
      <c r="A33" s="142" t="s">
        <v>38</v>
      </c>
      <c r="B33" s="142" t="s">
        <v>1</v>
      </c>
      <c r="C33" s="142" t="s">
        <v>3297</v>
      </c>
      <c r="D33" s="142" t="s">
        <v>1688</v>
      </c>
      <c r="E33" s="142" t="s">
        <v>3278</v>
      </c>
      <c r="F33" s="142" t="s">
        <v>4533</v>
      </c>
      <c r="G33" s="143" t="s">
        <v>946</v>
      </c>
      <c r="H33" s="143" t="s">
        <v>4571</v>
      </c>
      <c r="I33" s="143" t="s">
        <v>4572</v>
      </c>
      <c r="J33" s="142" t="s">
        <v>3567</v>
      </c>
      <c r="K33" s="142" t="s">
        <v>3568</v>
      </c>
      <c r="L33" s="142" t="s">
        <v>3569</v>
      </c>
      <c r="M33" s="142" t="s">
        <v>3570</v>
      </c>
      <c r="N33" s="143" t="s">
        <v>3536</v>
      </c>
      <c r="O33" s="143" t="s">
        <v>946</v>
      </c>
    </row>
    <row r="34" spans="1:15" ht="42">
      <c r="A34" s="142" t="s">
        <v>34</v>
      </c>
      <c r="B34" s="142" t="s">
        <v>1</v>
      </c>
      <c r="C34" s="142" t="s">
        <v>3297</v>
      </c>
      <c r="D34" s="142" t="s">
        <v>250</v>
      </c>
      <c r="E34" s="142" t="s">
        <v>946</v>
      </c>
      <c r="F34" s="142" t="s">
        <v>946</v>
      </c>
      <c r="G34" s="143" t="s">
        <v>3323</v>
      </c>
      <c r="H34" s="143" t="s">
        <v>3331</v>
      </c>
      <c r="I34" s="143" t="s">
        <v>3332</v>
      </c>
      <c r="J34" s="142"/>
      <c r="K34" s="142"/>
      <c r="L34" s="142"/>
      <c r="M34" s="142"/>
      <c r="N34" s="143" t="s">
        <v>3323</v>
      </c>
      <c r="O34" s="143" t="s">
        <v>946</v>
      </c>
    </row>
    <row r="35" spans="1:15" ht="105">
      <c r="A35" s="142" t="s">
        <v>4237</v>
      </c>
      <c r="B35" s="142" t="s">
        <v>1</v>
      </c>
      <c r="C35" s="142" t="s">
        <v>3274</v>
      </c>
      <c r="D35" s="142" t="s">
        <v>1688</v>
      </c>
      <c r="E35" s="142" t="s">
        <v>3278</v>
      </c>
      <c r="F35" s="142" t="s">
        <v>4533</v>
      </c>
      <c r="G35" s="143" t="s">
        <v>4573</v>
      </c>
      <c r="H35" s="143" t="s">
        <v>4574</v>
      </c>
      <c r="I35" s="143" t="s">
        <v>4575</v>
      </c>
      <c r="J35" s="142" t="s">
        <v>4576</v>
      </c>
      <c r="K35" s="142" t="s">
        <v>4577</v>
      </c>
      <c r="L35" s="142" t="s">
        <v>4578</v>
      </c>
      <c r="M35" s="142" t="s">
        <v>4579</v>
      </c>
      <c r="N35" s="143" t="s">
        <v>3536</v>
      </c>
      <c r="O35" s="143" t="s">
        <v>4580</v>
      </c>
    </row>
    <row r="36" spans="1:15" ht="42">
      <c r="A36" s="142" t="s">
        <v>39</v>
      </c>
      <c r="B36" s="142" t="s">
        <v>1</v>
      </c>
      <c r="C36" s="142" t="s">
        <v>3274</v>
      </c>
      <c r="D36" s="142" t="s">
        <v>1688</v>
      </c>
      <c r="E36" s="142" t="s">
        <v>3275</v>
      </c>
      <c r="F36" s="142" t="s">
        <v>4540</v>
      </c>
      <c r="G36" s="143" t="s">
        <v>3335</v>
      </c>
      <c r="H36" s="143" t="s">
        <v>3333</v>
      </c>
      <c r="I36" s="143" t="s">
        <v>3334</v>
      </c>
      <c r="J36" s="142"/>
      <c r="K36" s="142"/>
      <c r="L36" s="142"/>
      <c r="M36" s="142"/>
      <c r="N36" s="143" t="s">
        <v>3711</v>
      </c>
      <c r="O36" s="143" t="s">
        <v>4538</v>
      </c>
    </row>
    <row r="37" spans="1:15" ht="21">
      <c r="A37" s="142" t="s">
        <v>40</v>
      </c>
      <c r="B37" s="142" t="s">
        <v>1</v>
      </c>
      <c r="C37" s="142" t="s">
        <v>3297</v>
      </c>
      <c r="D37" s="142" t="s">
        <v>1688</v>
      </c>
      <c r="E37" s="142" t="s">
        <v>3275</v>
      </c>
      <c r="F37" s="142" t="s">
        <v>4540</v>
      </c>
      <c r="G37" s="143" t="s">
        <v>2394</v>
      </c>
      <c r="H37" s="143" t="s">
        <v>41</v>
      </c>
      <c r="I37" s="143" t="s">
        <v>3336</v>
      </c>
      <c r="J37" s="142"/>
      <c r="K37" s="142"/>
      <c r="L37" s="142"/>
      <c r="M37" s="142"/>
      <c r="N37" s="143" t="s">
        <v>3711</v>
      </c>
      <c r="O37" s="143" t="s">
        <v>4538</v>
      </c>
    </row>
    <row r="38" spans="1:15" ht="21">
      <c r="A38" s="142" t="s">
        <v>42</v>
      </c>
      <c r="B38" s="142" t="s">
        <v>1</v>
      </c>
      <c r="C38" s="142" t="s">
        <v>3317</v>
      </c>
      <c r="D38" s="142" t="s">
        <v>250</v>
      </c>
      <c r="E38" s="142" t="s">
        <v>946</v>
      </c>
      <c r="F38" s="142" t="s">
        <v>946</v>
      </c>
      <c r="G38" s="143" t="s">
        <v>3323</v>
      </c>
      <c r="H38" s="143" t="s">
        <v>43</v>
      </c>
      <c r="I38" s="143" t="s">
        <v>3337</v>
      </c>
      <c r="J38" s="142"/>
      <c r="K38" s="142"/>
      <c r="L38" s="142"/>
      <c r="M38" s="142"/>
      <c r="N38" s="143" t="s">
        <v>3323</v>
      </c>
      <c r="O38" s="143" t="s">
        <v>946</v>
      </c>
    </row>
    <row r="39" spans="1:15" ht="21">
      <c r="A39" s="142" t="s">
        <v>44</v>
      </c>
      <c r="B39" s="142" t="s">
        <v>1</v>
      </c>
      <c r="C39" s="142" t="s">
        <v>3317</v>
      </c>
      <c r="D39" s="142" t="s">
        <v>250</v>
      </c>
      <c r="E39" s="142" t="s">
        <v>946</v>
      </c>
      <c r="F39" s="142" t="s">
        <v>946</v>
      </c>
      <c r="G39" s="143" t="s">
        <v>3323</v>
      </c>
      <c r="H39" s="143" t="s">
        <v>3338</v>
      </c>
      <c r="I39" s="143" t="s">
        <v>3339</v>
      </c>
      <c r="J39" s="142"/>
      <c r="K39" s="142"/>
      <c r="L39" s="142"/>
      <c r="M39" s="142"/>
      <c r="N39" s="143" t="s">
        <v>3323</v>
      </c>
      <c r="O39" s="143" t="s">
        <v>946</v>
      </c>
    </row>
    <row r="40" spans="1:15" ht="42">
      <c r="A40" s="142" t="s">
        <v>45</v>
      </c>
      <c r="B40" s="142" t="s">
        <v>1</v>
      </c>
      <c r="C40" s="142" t="s">
        <v>3297</v>
      </c>
      <c r="D40" s="142" t="s">
        <v>1688</v>
      </c>
      <c r="E40" s="142" t="s">
        <v>3275</v>
      </c>
      <c r="F40" s="142" t="s">
        <v>4540</v>
      </c>
      <c r="G40" s="143" t="s">
        <v>2394</v>
      </c>
      <c r="H40" s="143" t="s">
        <v>3340</v>
      </c>
      <c r="I40" s="143" t="s">
        <v>3341</v>
      </c>
      <c r="J40" s="142"/>
      <c r="K40" s="142"/>
      <c r="L40" s="142"/>
      <c r="M40" s="142"/>
      <c r="N40" s="143" t="s">
        <v>3711</v>
      </c>
      <c r="O40" s="143" t="s">
        <v>4538</v>
      </c>
    </row>
    <row r="41" spans="1:15" ht="42">
      <c r="A41" s="142" t="s">
        <v>46</v>
      </c>
      <c r="B41" s="142" t="s">
        <v>1</v>
      </c>
      <c r="C41" s="142" t="s">
        <v>3297</v>
      </c>
      <c r="D41" s="142" t="s">
        <v>250</v>
      </c>
      <c r="E41" s="142" t="s">
        <v>946</v>
      </c>
      <c r="F41" s="142" t="s">
        <v>946</v>
      </c>
      <c r="G41" s="143" t="s">
        <v>3323</v>
      </c>
      <c r="H41" s="143" t="s">
        <v>3342</v>
      </c>
      <c r="I41" s="143" t="s">
        <v>3343</v>
      </c>
      <c r="J41" s="142"/>
      <c r="K41" s="142"/>
      <c r="L41" s="142"/>
      <c r="M41" s="142"/>
      <c r="N41" s="143" t="s">
        <v>3323</v>
      </c>
      <c r="O41" s="143" t="s">
        <v>946</v>
      </c>
    </row>
    <row r="42" spans="1:15" ht="42">
      <c r="A42" s="142" t="s">
        <v>47</v>
      </c>
      <c r="B42" s="142" t="s">
        <v>1</v>
      </c>
      <c r="C42" s="142" t="s">
        <v>3274</v>
      </c>
      <c r="D42" s="142" t="s">
        <v>1688</v>
      </c>
      <c r="E42" s="142" t="s">
        <v>3275</v>
      </c>
      <c r="F42" s="142" t="s">
        <v>4540</v>
      </c>
      <c r="G42" s="143" t="s">
        <v>2394</v>
      </c>
      <c r="H42" s="143" t="s">
        <v>3344</v>
      </c>
      <c r="I42" s="143" t="s">
        <v>3345</v>
      </c>
      <c r="J42" s="142"/>
      <c r="K42" s="142"/>
      <c r="L42" s="142"/>
      <c r="M42" s="142"/>
      <c r="N42" s="143" t="s">
        <v>3711</v>
      </c>
      <c r="O42" s="143" t="s">
        <v>4538</v>
      </c>
    </row>
    <row r="43" spans="1:15" ht="42">
      <c r="A43" s="142" t="s">
        <v>48</v>
      </c>
      <c r="B43" s="142" t="s">
        <v>1</v>
      </c>
      <c r="C43" s="142" t="s">
        <v>3317</v>
      </c>
      <c r="D43" s="142" t="s">
        <v>250</v>
      </c>
      <c r="E43" s="142" t="s">
        <v>946</v>
      </c>
      <c r="F43" s="142" t="s">
        <v>946</v>
      </c>
      <c r="G43" s="143" t="s">
        <v>3323</v>
      </c>
      <c r="H43" s="143" t="s">
        <v>3346</v>
      </c>
      <c r="I43" s="143" t="s">
        <v>3347</v>
      </c>
      <c r="J43" s="142"/>
      <c r="K43" s="142"/>
      <c r="L43" s="142"/>
      <c r="M43" s="142"/>
      <c r="N43" s="143" t="s">
        <v>3323</v>
      </c>
      <c r="O43" s="143" t="s">
        <v>946</v>
      </c>
    </row>
    <row r="44" spans="1:15" ht="63">
      <c r="A44" s="142" t="s">
        <v>49</v>
      </c>
      <c r="B44" s="142" t="s">
        <v>1</v>
      </c>
      <c r="C44" s="142" t="s">
        <v>3274</v>
      </c>
      <c r="D44" s="142" t="s">
        <v>1688</v>
      </c>
      <c r="E44" s="142" t="s">
        <v>3275</v>
      </c>
      <c r="F44" s="142" t="s">
        <v>4540</v>
      </c>
      <c r="G44" s="143" t="s">
        <v>4581</v>
      </c>
      <c r="H44" s="143" t="s">
        <v>3348</v>
      </c>
      <c r="I44" s="143" t="s">
        <v>3349</v>
      </c>
      <c r="J44" s="142"/>
      <c r="K44" s="142"/>
      <c r="L44" s="142"/>
      <c r="M44" s="142"/>
      <c r="N44" s="143" t="s">
        <v>3711</v>
      </c>
      <c r="O44" s="143" t="s">
        <v>4538</v>
      </c>
    </row>
    <row r="45" spans="1:15" ht="42">
      <c r="A45" s="142" t="s">
        <v>50</v>
      </c>
      <c r="B45" s="142" t="s">
        <v>1</v>
      </c>
      <c r="C45" s="142" t="s">
        <v>3274</v>
      </c>
      <c r="D45" s="142" t="s">
        <v>1688</v>
      </c>
      <c r="E45" s="142" t="s">
        <v>3278</v>
      </c>
      <c r="F45" s="142" t="s">
        <v>4533</v>
      </c>
      <c r="G45" s="143" t="s">
        <v>946</v>
      </c>
      <c r="H45" s="143" t="s">
        <v>3350</v>
      </c>
      <c r="I45" s="143" t="s">
        <v>3351</v>
      </c>
      <c r="J45" s="142" t="s">
        <v>3571</v>
      </c>
      <c r="K45" s="142" t="s">
        <v>3572</v>
      </c>
      <c r="L45" s="142" t="s">
        <v>3573</v>
      </c>
      <c r="M45" s="142" t="s">
        <v>1149</v>
      </c>
      <c r="N45" s="143" t="s">
        <v>3536</v>
      </c>
      <c r="O45" s="143" t="s">
        <v>946</v>
      </c>
    </row>
    <row r="46" spans="1:15" ht="42">
      <c r="A46" s="142" t="s">
        <v>51</v>
      </c>
      <c r="B46" s="142" t="s">
        <v>1</v>
      </c>
      <c r="C46" s="142" t="s">
        <v>3274</v>
      </c>
      <c r="D46" s="142" t="s">
        <v>1688</v>
      </c>
      <c r="E46" s="142" t="s">
        <v>3278</v>
      </c>
      <c r="F46" s="142" t="s">
        <v>4533</v>
      </c>
      <c r="G46" s="143" t="s">
        <v>946</v>
      </c>
      <c r="H46" s="143" t="s">
        <v>3352</v>
      </c>
      <c r="I46" s="143" t="s">
        <v>3353</v>
      </c>
      <c r="J46" s="142" t="s">
        <v>3574</v>
      </c>
      <c r="K46" s="142" t="s">
        <v>3575</v>
      </c>
      <c r="L46" s="142" t="s">
        <v>3576</v>
      </c>
      <c r="M46" s="142" t="s">
        <v>3577</v>
      </c>
      <c r="N46" s="143" t="s">
        <v>3536</v>
      </c>
      <c r="O46" s="143" t="s">
        <v>946</v>
      </c>
    </row>
    <row r="47" spans="1:15" ht="42">
      <c r="A47" s="142" t="s">
        <v>4582</v>
      </c>
      <c r="B47" s="142" t="s">
        <v>1</v>
      </c>
      <c r="C47" s="142" t="s">
        <v>3274</v>
      </c>
      <c r="D47" s="142" t="s">
        <v>1688</v>
      </c>
      <c r="E47" s="142" t="s">
        <v>3712</v>
      </c>
      <c r="F47" s="142" t="s">
        <v>4583</v>
      </c>
      <c r="G47" s="143" t="s">
        <v>4584</v>
      </c>
      <c r="H47" s="143" t="s">
        <v>4585</v>
      </c>
      <c r="I47" s="143" t="s">
        <v>4586</v>
      </c>
      <c r="J47" s="142"/>
      <c r="K47" s="142"/>
      <c r="L47" s="142"/>
      <c r="M47" s="142"/>
      <c r="N47" s="143" t="s">
        <v>3711</v>
      </c>
      <c r="O47" s="143" t="s">
        <v>946</v>
      </c>
    </row>
    <row r="48" spans="1:15" ht="42">
      <c r="A48" s="142" t="s">
        <v>4587</v>
      </c>
      <c r="B48" s="142" t="s">
        <v>1</v>
      </c>
      <c r="C48" s="142" t="s">
        <v>3274</v>
      </c>
      <c r="D48" s="142" t="s">
        <v>1688</v>
      </c>
      <c r="E48" s="142" t="s">
        <v>3278</v>
      </c>
      <c r="F48" s="142" t="s">
        <v>4533</v>
      </c>
      <c r="G48" s="143" t="s">
        <v>4588</v>
      </c>
      <c r="H48" s="143" t="s">
        <v>4589</v>
      </c>
      <c r="I48" s="143" t="s">
        <v>4586</v>
      </c>
      <c r="J48" s="142" t="s">
        <v>1503</v>
      </c>
      <c r="K48" s="142" t="s">
        <v>1501</v>
      </c>
      <c r="L48" s="142" t="s">
        <v>2761</v>
      </c>
      <c r="M48" s="142" t="s">
        <v>2818</v>
      </c>
      <c r="N48" s="143" t="s">
        <v>3536</v>
      </c>
      <c r="O48" s="143" t="s">
        <v>946</v>
      </c>
    </row>
    <row r="49" spans="1:15" ht="42">
      <c r="A49" s="142" t="s">
        <v>52</v>
      </c>
      <c r="B49" s="142" t="s">
        <v>1</v>
      </c>
      <c r="C49" s="142" t="s">
        <v>3274</v>
      </c>
      <c r="D49" s="142" t="s">
        <v>1688</v>
      </c>
      <c r="E49" s="142" t="s">
        <v>3278</v>
      </c>
      <c r="F49" s="142" t="s">
        <v>4533</v>
      </c>
      <c r="G49" s="143" t="s">
        <v>946</v>
      </c>
      <c r="H49" s="143" t="s">
        <v>3354</v>
      </c>
      <c r="I49" s="143" t="s">
        <v>4590</v>
      </c>
      <c r="J49" s="142" t="s">
        <v>3578</v>
      </c>
      <c r="K49" s="142" t="s">
        <v>1475</v>
      </c>
      <c r="L49" s="142" t="s">
        <v>3579</v>
      </c>
      <c r="M49" s="142" t="s">
        <v>1150</v>
      </c>
      <c r="N49" s="143" t="s">
        <v>3536</v>
      </c>
      <c r="O49" s="143" t="s">
        <v>946</v>
      </c>
    </row>
    <row r="50" spans="1:15" ht="42">
      <c r="A50" s="142" t="s">
        <v>53</v>
      </c>
      <c r="B50" s="142" t="s">
        <v>1</v>
      </c>
      <c r="C50" s="142" t="s">
        <v>3297</v>
      </c>
      <c r="D50" s="142" t="s">
        <v>1688</v>
      </c>
      <c r="E50" s="142" t="s">
        <v>3278</v>
      </c>
      <c r="F50" s="142" t="s">
        <v>4533</v>
      </c>
      <c r="G50" s="143" t="s">
        <v>946</v>
      </c>
      <c r="H50" s="143" t="s">
        <v>3355</v>
      </c>
      <c r="I50" s="143" t="s">
        <v>4591</v>
      </c>
      <c r="J50" s="142" t="s">
        <v>3578</v>
      </c>
      <c r="K50" s="142" t="s">
        <v>1475</v>
      </c>
      <c r="L50" s="142" t="s">
        <v>3579</v>
      </c>
      <c r="M50" s="142" t="s">
        <v>1150</v>
      </c>
      <c r="N50" s="143" t="s">
        <v>3536</v>
      </c>
      <c r="O50" s="143" t="s">
        <v>4552</v>
      </c>
    </row>
    <row r="51" spans="1:15" ht="21">
      <c r="A51" s="142" t="s">
        <v>54</v>
      </c>
      <c r="B51" s="142" t="s">
        <v>1</v>
      </c>
      <c r="C51" s="142" t="s">
        <v>3297</v>
      </c>
      <c r="D51" s="142" t="s">
        <v>250</v>
      </c>
      <c r="E51" s="142" t="s">
        <v>946</v>
      </c>
      <c r="F51" s="142" t="s">
        <v>946</v>
      </c>
      <c r="G51" s="143" t="s">
        <v>3357</v>
      </c>
      <c r="H51" s="143" t="s">
        <v>55</v>
      </c>
      <c r="I51" s="143" t="s">
        <v>3356</v>
      </c>
      <c r="J51" s="142"/>
      <c r="K51" s="142"/>
      <c r="L51" s="142"/>
      <c r="M51" s="142"/>
      <c r="N51" s="143" t="s">
        <v>3323</v>
      </c>
      <c r="O51" s="143" t="s">
        <v>946</v>
      </c>
    </row>
    <row r="52" spans="1:15" ht="42">
      <c r="A52" s="142" t="s">
        <v>56</v>
      </c>
      <c r="B52" s="142" t="s">
        <v>1</v>
      </c>
      <c r="C52" s="142" t="s">
        <v>3297</v>
      </c>
      <c r="D52" s="142" t="s">
        <v>1688</v>
      </c>
      <c r="E52" s="142" t="s">
        <v>3278</v>
      </c>
      <c r="F52" s="142" t="s">
        <v>4533</v>
      </c>
      <c r="G52" s="143" t="s">
        <v>946</v>
      </c>
      <c r="H52" s="143" t="s">
        <v>57</v>
      </c>
      <c r="I52" s="143" t="s">
        <v>3358</v>
      </c>
      <c r="J52" s="142" t="s">
        <v>3578</v>
      </c>
      <c r="K52" s="142" t="s">
        <v>1475</v>
      </c>
      <c r="L52" s="142" t="s">
        <v>3579</v>
      </c>
      <c r="M52" s="142" t="s">
        <v>1150</v>
      </c>
      <c r="N52" s="143" t="s">
        <v>3536</v>
      </c>
      <c r="O52" s="143" t="s">
        <v>946</v>
      </c>
    </row>
    <row r="53" spans="1:15" ht="63">
      <c r="A53" s="142" t="s">
        <v>58</v>
      </c>
      <c r="B53" s="142" t="s">
        <v>1</v>
      </c>
      <c r="C53" s="142" t="s">
        <v>3274</v>
      </c>
      <c r="D53" s="142" t="s">
        <v>1688</v>
      </c>
      <c r="E53" s="142" t="s">
        <v>3278</v>
      </c>
      <c r="F53" s="142" t="s">
        <v>4533</v>
      </c>
      <c r="G53" s="143" t="s">
        <v>946</v>
      </c>
      <c r="H53" s="143" t="s">
        <v>59</v>
      </c>
      <c r="I53" s="143" t="s">
        <v>4592</v>
      </c>
      <c r="J53" s="142" t="s">
        <v>3571</v>
      </c>
      <c r="K53" s="142" t="s">
        <v>3572</v>
      </c>
      <c r="L53" s="142" t="s">
        <v>3573</v>
      </c>
      <c r="M53" s="142" t="s">
        <v>1149</v>
      </c>
      <c r="N53" s="143" t="s">
        <v>3536</v>
      </c>
      <c r="O53" s="143" t="s">
        <v>4552</v>
      </c>
    </row>
    <row r="54" spans="1:15" ht="84">
      <c r="A54" s="142" t="s">
        <v>60</v>
      </c>
      <c r="B54" s="142" t="s">
        <v>1</v>
      </c>
      <c r="C54" s="142" t="s">
        <v>3297</v>
      </c>
      <c r="D54" s="142" t="s">
        <v>1688</v>
      </c>
      <c r="E54" s="142" t="s">
        <v>3278</v>
      </c>
      <c r="F54" s="142" t="s">
        <v>4533</v>
      </c>
      <c r="G54" s="143" t="s">
        <v>946</v>
      </c>
      <c r="H54" s="143" t="s">
        <v>61</v>
      </c>
      <c r="I54" s="143" t="s">
        <v>4593</v>
      </c>
      <c r="J54" s="142" t="s">
        <v>3580</v>
      </c>
      <c r="K54" s="142" t="s">
        <v>3581</v>
      </c>
      <c r="L54" s="142" t="s">
        <v>3582</v>
      </c>
      <c r="M54" s="142" t="s">
        <v>2807</v>
      </c>
      <c r="N54" s="143" t="s">
        <v>3536</v>
      </c>
      <c r="O54" s="143" t="s">
        <v>946</v>
      </c>
    </row>
    <row r="55" spans="1:15" ht="42">
      <c r="A55" s="142" t="s">
        <v>4594</v>
      </c>
      <c r="B55" s="142" t="s">
        <v>1</v>
      </c>
      <c r="C55" s="142" t="s">
        <v>3274</v>
      </c>
      <c r="D55" s="142" t="s">
        <v>1688</v>
      </c>
      <c r="E55" s="142" t="s">
        <v>3712</v>
      </c>
      <c r="F55" s="142" t="s">
        <v>4595</v>
      </c>
      <c r="G55" s="143" t="s">
        <v>4596</v>
      </c>
      <c r="H55" s="143" t="s">
        <v>4597</v>
      </c>
      <c r="I55" s="143" t="s">
        <v>3359</v>
      </c>
      <c r="J55" s="142"/>
      <c r="K55" s="142"/>
      <c r="L55" s="142"/>
      <c r="M55" s="142"/>
      <c r="N55" s="143" t="s">
        <v>3711</v>
      </c>
      <c r="O55" s="143" t="s">
        <v>946</v>
      </c>
    </row>
    <row r="56" spans="1:15" ht="42">
      <c r="A56" s="142" t="s">
        <v>4598</v>
      </c>
      <c r="B56" s="142" t="s">
        <v>1</v>
      </c>
      <c r="C56" s="142" t="s">
        <v>3274</v>
      </c>
      <c r="D56" s="142" t="s">
        <v>1688</v>
      </c>
      <c r="E56" s="142" t="s">
        <v>3278</v>
      </c>
      <c r="F56" s="142" t="s">
        <v>4533</v>
      </c>
      <c r="G56" s="143" t="s">
        <v>4599</v>
      </c>
      <c r="H56" s="143" t="s">
        <v>4600</v>
      </c>
      <c r="I56" s="143" t="s">
        <v>3359</v>
      </c>
      <c r="J56" s="142" t="s">
        <v>3750</v>
      </c>
      <c r="K56" s="142" t="s">
        <v>4506</v>
      </c>
      <c r="L56" s="142" t="s">
        <v>4509</v>
      </c>
      <c r="M56" s="142" t="s">
        <v>4240</v>
      </c>
      <c r="N56" s="143" t="s">
        <v>3536</v>
      </c>
      <c r="O56" s="143" t="s">
        <v>946</v>
      </c>
    </row>
    <row r="57" spans="1:15" ht="42">
      <c r="A57" s="142" t="s">
        <v>4601</v>
      </c>
      <c r="B57" s="142" t="s">
        <v>1</v>
      </c>
      <c r="C57" s="142" t="s">
        <v>3274</v>
      </c>
      <c r="D57" s="142" t="s">
        <v>1688</v>
      </c>
      <c r="E57" s="142" t="s">
        <v>3278</v>
      </c>
      <c r="F57" s="142" t="s">
        <v>4533</v>
      </c>
      <c r="G57" s="143" t="s">
        <v>4602</v>
      </c>
      <c r="H57" s="143" t="s">
        <v>4603</v>
      </c>
      <c r="I57" s="143" t="s">
        <v>3360</v>
      </c>
      <c r="J57" s="142" t="s">
        <v>3583</v>
      </c>
      <c r="K57" s="142" t="s">
        <v>3584</v>
      </c>
      <c r="L57" s="142" t="s">
        <v>3585</v>
      </c>
      <c r="M57" s="142" t="s">
        <v>3586</v>
      </c>
      <c r="N57" s="143" t="s">
        <v>3536</v>
      </c>
      <c r="O57" s="143" t="s">
        <v>946</v>
      </c>
    </row>
    <row r="58" spans="1:15" ht="42">
      <c r="A58" s="142" t="s">
        <v>4604</v>
      </c>
      <c r="B58" s="142" t="s">
        <v>1</v>
      </c>
      <c r="C58" s="142" t="s">
        <v>3274</v>
      </c>
      <c r="D58" s="142" t="s">
        <v>1688</v>
      </c>
      <c r="E58" s="142" t="s">
        <v>3712</v>
      </c>
      <c r="F58" s="142" t="s">
        <v>4583</v>
      </c>
      <c r="G58" s="143" t="s">
        <v>4605</v>
      </c>
      <c r="H58" s="143" t="s">
        <v>4606</v>
      </c>
      <c r="I58" s="143" t="s">
        <v>3360</v>
      </c>
      <c r="J58" s="142"/>
      <c r="K58" s="142"/>
      <c r="L58" s="142"/>
      <c r="M58" s="142"/>
      <c r="N58" s="143" t="s">
        <v>3711</v>
      </c>
      <c r="O58" s="143" t="s">
        <v>946</v>
      </c>
    </row>
    <row r="59" spans="1:15" ht="63">
      <c r="A59" s="142" t="s">
        <v>4607</v>
      </c>
      <c r="B59" s="142" t="s">
        <v>1</v>
      </c>
      <c r="C59" s="142" t="s">
        <v>3274</v>
      </c>
      <c r="D59" s="142" t="s">
        <v>1688</v>
      </c>
      <c r="E59" s="142" t="s">
        <v>3278</v>
      </c>
      <c r="F59" s="142" t="s">
        <v>4533</v>
      </c>
      <c r="G59" s="143" t="s">
        <v>4608</v>
      </c>
      <c r="H59" s="143" t="s">
        <v>4609</v>
      </c>
      <c r="I59" s="143" t="s">
        <v>3361</v>
      </c>
      <c r="J59" s="142" t="s">
        <v>1702</v>
      </c>
      <c r="K59" s="142" t="s">
        <v>1669</v>
      </c>
      <c r="L59" s="142" t="s">
        <v>3587</v>
      </c>
      <c r="M59" s="142" t="s">
        <v>3588</v>
      </c>
      <c r="N59" s="143" t="s">
        <v>3536</v>
      </c>
      <c r="O59" s="143" t="s">
        <v>946</v>
      </c>
    </row>
    <row r="60" spans="1:15" ht="42">
      <c r="A60" s="142" t="s">
        <v>4610</v>
      </c>
      <c r="B60" s="142" t="s">
        <v>1</v>
      </c>
      <c r="C60" s="142" t="s">
        <v>3274</v>
      </c>
      <c r="D60" s="142" t="s">
        <v>1688</v>
      </c>
      <c r="E60" s="142" t="s">
        <v>3712</v>
      </c>
      <c r="F60" s="142" t="s">
        <v>4595</v>
      </c>
      <c r="G60" s="143" t="s">
        <v>4611</v>
      </c>
      <c r="H60" s="143" t="s">
        <v>4612</v>
      </c>
      <c r="I60" s="143" t="s">
        <v>3361</v>
      </c>
      <c r="J60" s="142"/>
      <c r="K60" s="142"/>
      <c r="L60" s="142"/>
      <c r="M60" s="142"/>
      <c r="N60" s="143" t="s">
        <v>3711</v>
      </c>
      <c r="O60" s="143" t="s">
        <v>946</v>
      </c>
    </row>
    <row r="61" spans="1:15" ht="21">
      <c r="A61" s="142" t="s">
        <v>62</v>
      </c>
      <c r="B61" s="142" t="s">
        <v>1</v>
      </c>
      <c r="C61" s="142" t="s">
        <v>3274</v>
      </c>
      <c r="D61" s="142" t="s">
        <v>1688</v>
      </c>
      <c r="E61" s="142" t="s">
        <v>3712</v>
      </c>
      <c r="F61" s="142" t="s">
        <v>4583</v>
      </c>
      <c r="G61" s="143" t="s">
        <v>3364</v>
      </c>
      <c r="H61" s="143" t="s">
        <v>3362</v>
      </c>
      <c r="I61" s="143" t="s">
        <v>3363</v>
      </c>
      <c r="J61" s="142"/>
      <c r="K61" s="142"/>
      <c r="L61" s="142"/>
      <c r="M61" s="142"/>
      <c r="N61" s="143" t="s">
        <v>3711</v>
      </c>
      <c r="O61" s="143" t="s">
        <v>946</v>
      </c>
    </row>
    <row r="62" spans="1:15" ht="21">
      <c r="A62" s="142" t="s">
        <v>63</v>
      </c>
      <c r="B62" s="142" t="s">
        <v>1</v>
      </c>
      <c r="C62" s="142" t="s">
        <v>3297</v>
      </c>
      <c r="D62" s="142" t="s">
        <v>1688</v>
      </c>
      <c r="E62" s="142" t="s">
        <v>3712</v>
      </c>
      <c r="F62" s="142" t="s">
        <v>4595</v>
      </c>
      <c r="G62" s="143" t="s">
        <v>2394</v>
      </c>
      <c r="H62" s="143" t="s">
        <v>64</v>
      </c>
      <c r="I62" s="143" t="s">
        <v>3365</v>
      </c>
      <c r="J62" s="142"/>
      <c r="K62" s="142"/>
      <c r="L62" s="142"/>
      <c r="M62" s="142"/>
      <c r="N62" s="143" t="s">
        <v>3711</v>
      </c>
      <c r="O62" s="143" t="s">
        <v>946</v>
      </c>
    </row>
    <row r="63" spans="1:15" ht="21">
      <c r="A63" s="142" t="s">
        <v>65</v>
      </c>
      <c r="B63" s="142" t="s">
        <v>1</v>
      </c>
      <c r="C63" s="142" t="s">
        <v>3274</v>
      </c>
      <c r="D63" s="142" t="s">
        <v>1688</v>
      </c>
      <c r="E63" s="142" t="s">
        <v>3278</v>
      </c>
      <c r="F63" s="142" t="s">
        <v>4533</v>
      </c>
      <c r="G63" s="143" t="s">
        <v>946</v>
      </c>
      <c r="H63" s="143" t="s">
        <v>3366</v>
      </c>
      <c r="I63" s="143" t="s">
        <v>3367</v>
      </c>
      <c r="J63" s="142" t="s">
        <v>1595</v>
      </c>
      <c r="K63" s="142" t="s">
        <v>1670</v>
      </c>
      <c r="L63" s="142" t="s">
        <v>3538</v>
      </c>
      <c r="M63" s="142" t="s">
        <v>1147</v>
      </c>
      <c r="N63" s="143" t="s">
        <v>3536</v>
      </c>
      <c r="O63" s="143" t="s">
        <v>946</v>
      </c>
    </row>
    <row r="64" spans="1:15" ht="42">
      <c r="A64" s="142" t="s">
        <v>66</v>
      </c>
      <c r="B64" s="142" t="s">
        <v>1</v>
      </c>
      <c r="C64" s="142" t="s">
        <v>3274</v>
      </c>
      <c r="D64" s="142" t="s">
        <v>1688</v>
      </c>
      <c r="E64" s="142" t="s">
        <v>3278</v>
      </c>
      <c r="F64" s="142" t="s">
        <v>4533</v>
      </c>
      <c r="G64" s="143" t="s">
        <v>946</v>
      </c>
      <c r="H64" s="143" t="s">
        <v>67</v>
      </c>
      <c r="I64" s="143" t="s">
        <v>3368</v>
      </c>
      <c r="J64" s="142" t="s">
        <v>3589</v>
      </c>
      <c r="K64" s="142" t="s">
        <v>3590</v>
      </c>
      <c r="L64" s="142" t="s">
        <v>3591</v>
      </c>
      <c r="M64" s="142" t="s">
        <v>3592</v>
      </c>
      <c r="N64" s="143" t="s">
        <v>3536</v>
      </c>
      <c r="O64" s="143" t="s">
        <v>4552</v>
      </c>
    </row>
    <row r="65" spans="1:15" ht="63">
      <c r="A65" s="142" t="s">
        <v>4613</v>
      </c>
      <c r="B65" s="142" t="s">
        <v>1</v>
      </c>
      <c r="C65" s="142" t="s">
        <v>3274</v>
      </c>
      <c r="D65" s="142" t="s">
        <v>1688</v>
      </c>
      <c r="E65" s="142" t="s">
        <v>3712</v>
      </c>
      <c r="F65" s="142" t="s">
        <v>4583</v>
      </c>
      <c r="G65" s="143" t="s">
        <v>4584</v>
      </c>
      <c r="H65" s="143" t="s">
        <v>4614</v>
      </c>
      <c r="I65" s="143" t="s">
        <v>4615</v>
      </c>
      <c r="J65" s="142"/>
      <c r="K65" s="142"/>
      <c r="L65" s="142"/>
      <c r="M65" s="142"/>
      <c r="N65" s="143" t="s">
        <v>3711</v>
      </c>
      <c r="O65" s="143" t="s">
        <v>946</v>
      </c>
    </row>
    <row r="66" spans="1:15" ht="63">
      <c r="A66" s="142" t="s">
        <v>4616</v>
      </c>
      <c r="B66" s="142" t="s">
        <v>1</v>
      </c>
      <c r="C66" s="142" t="s">
        <v>3274</v>
      </c>
      <c r="D66" s="142" t="s">
        <v>1688</v>
      </c>
      <c r="E66" s="142" t="s">
        <v>3278</v>
      </c>
      <c r="F66" s="142" t="s">
        <v>4533</v>
      </c>
      <c r="G66" s="143" t="s">
        <v>4588</v>
      </c>
      <c r="H66" s="143" t="s">
        <v>4617</v>
      </c>
      <c r="I66" s="143" t="s">
        <v>4615</v>
      </c>
      <c r="J66" s="142" t="s">
        <v>4618</v>
      </c>
      <c r="K66" s="142" t="s">
        <v>1501</v>
      </c>
      <c r="L66" s="142" t="s">
        <v>2761</v>
      </c>
      <c r="M66" s="142" t="s">
        <v>2818</v>
      </c>
      <c r="N66" s="143" t="s">
        <v>3536</v>
      </c>
      <c r="O66" s="143" t="s">
        <v>946</v>
      </c>
    </row>
    <row r="67" spans="1:15" ht="42">
      <c r="A67" s="142" t="s">
        <v>68</v>
      </c>
      <c r="B67" s="142" t="s">
        <v>1</v>
      </c>
      <c r="C67" s="142" t="s">
        <v>3274</v>
      </c>
      <c r="D67" s="142" t="s">
        <v>1688</v>
      </c>
      <c r="E67" s="142" t="s">
        <v>3278</v>
      </c>
      <c r="F67" s="142" t="s">
        <v>4533</v>
      </c>
      <c r="G67" s="143" t="s">
        <v>946</v>
      </c>
      <c r="H67" s="143" t="s">
        <v>3369</v>
      </c>
      <c r="I67" s="143" t="s">
        <v>3370</v>
      </c>
      <c r="J67" s="142" t="s">
        <v>3593</v>
      </c>
      <c r="K67" s="142" t="s">
        <v>3594</v>
      </c>
      <c r="L67" s="142" t="s">
        <v>3595</v>
      </c>
      <c r="M67" s="142" t="s">
        <v>2804</v>
      </c>
      <c r="N67" s="143" t="s">
        <v>3536</v>
      </c>
      <c r="O67" s="143" t="s">
        <v>946</v>
      </c>
    </row>
    <row r="68" spans="1:15" ht="42">
      <c r="A68" s="142" t="s">
        <v>69</v>
      </c>
      <c r="B68" s="142" t="s">
        <v>1</v>
      </c>
      <c r="C68" s="142" t="s">
        <v>3317</v>
      </c>
      <c r="D68" s="142" t="s">
        <v>1688</v>
      </c>
      <c r="E68" s="142" t="s">
        <v>3712</v>
      </c>
      <c r="F68" s="142" t="s">
        <v>4583</v>
      </c>
      <c r="G68" s="143" t="s">
        <v>3364</v>
      </c>
      <c r="H68" s="143" t="s">
        <v>70</v>
      </c>
      <c r="I68" s="143" t="s">
        <v>3371</v>
      </c>
      <c r="J68" s="142"/>
      <c r="K68" s="142"/>
      <c r="L68" s="142"/>
      <c r="M68" s="142"/>
      <c r="N68" s="143" t="s">
        <v>3711</v>
      </c>
      <c r="O68" s="143" t="s">
        <v>946</v>
      </c>
    </row>
    <row r="69" spans="1:15" ht="21">
      <c r="A69" s="142" t="s">
        <v>71</v>
      </c>
      <c r="B69" s="142" t="s">
        <v>1</v>
      </c>
      <c r="C69" s="142" t="s">
        <v>3317</v>
      </c>
      <c r="D69" s="142" t="s">
        <v>1688</v>
      </c>
      <c r="E69" s="142" t="s">
        <v>3712</v>
      </c>
      <c r="F69" s="142" t="s">
        <v>4583</v>
      </c>
      <c r="G69" s="143" t="s">
        <v>2394</v>
      </c>
      <c r="H69" s="143" t="s">
        <v>72</v>
      </c>
      <c r="I69" s="143" t="s">
        <v>3372</v>
      </c>
      <c r="J69" s="142"/>
      <c r="K69" s="142"/>
      <c r="L69" s="142"/>
      <c r="M69" s="142"/>
      <c r="N69" s="143" t="s">
        <v>3711</v>
      </c>
      <c r="O69" s="143" t="s">
        <v>946</v>
      </c>
    </row>
    <row r="70" spans="1:15" ht="42">
      <c r="A70" s="142" t="s">
        <v>4619</v>
      </c>
      <c r="B70" s="142" t="s">
        <v>1</v>
      </c>
      <c r="C70" s="142" t="s">
        <v>3274</v>
      </c>
      <c r="D70" s="142" t="s">
        <v>1688</v>
      </c>
      <c r="E70" s="142" t="s">
        <v>3712</v>
      </c>
      <c r="F70" s="142" t="s">
        <v>4595</v>
      </c>
      <c r="G70" s="143" t="s">
        <v>4596</v>
      </c>
      <c r="H70" s="143" t="s">
        <v>4620</v>
      </c>
      <c r="I70" s="143" t="s">
        <v>3373</v>
      </c>
      <c r="J70" s="142"/>
      <c r="K70" s="142"/>
      <c r="L70" s="142"/>
      <c r="M70" s="142"/>
      <c r="N70" s="143" t="s">
        <v>3711</v>
      </c>
      <c r="O70" s="143" t="s">
        <v>946</v>
      </c>
    </row>
    <row r="71" spans="1:15" ht="42">
      <c r="A71" s="142" t="s">
        <v>4621</v>
      </c>
      <c r="B71" s="142" t="s">
        <v>1</v>
      </c>
      <c r="C71" s="142" t="s">
        <v>3274</v>
      </c>
      <c r="D71" s="142" t="s">
        <v>1688</v>
      </c>
      <c r="E71" s="142" t="s">
        <v>3278</v>
      </c>
      <c r="F71" s="142" t="s">
        <v>4533</v>
      </c>
      <c r="G71" s="143" t="s">
        <v>4599</v>
      </c>
      <c r="H71" s="143" t="s">
        <v>4622</v>
      </c>
      <c r="I71" s="143" t="s">
        <v>3373</v>
      </c>
      <c r="J71" s="142" t="s">
        <v>3750</v>
      </c>
      <c r="K71" s="142" t="s">
        <v>4506</v>
      </c>
      <c r="L71" s="142" t="s">
        <v>4509</v>
      </c>
      <c r="M71" s="142" t="s">
        <v>4240</v>
      </c>
      <c r="N71" s="143" t="s">
        <v>3536</v>
      </c>
      <c r="O71" s="143" t="s">
        <v>946</v>
      </c>
    </row>
    <row r="72" spans="1:15" ht="42">
      <c r="A72" s="142" t="s">
        <v>75</v>
      </c>
      <c r="B72" s="142" t="s">
        <v>1</v>
      </c>
      <c r="C72" s="142" t="s">
        <v>3274</v>
      </c>
      <c r="D72" s="142" t="s">
        <v>1688</v>
      </c>
      <c r="E72" s="142" t="s">
        <v>3278</v>
      </c>
      <c r="F72" s="142" t="s">
        <v>4533</v>
      </c>
      <c r="G72" s="143" t="s">
        <v>4623</v>
      </c>
      <c r="H72" s="143" t="s">
        <v>76</v>
      </c>
      <c r="I72" s="143" t="s">
        <v>3374</v>
      </c>
      <c r="J72" s="142" t="s">
        <v>3596</v>
      </c>
      <c r="K72" s="142" t="s">
        <v>1466</v>
      </c>
      <c r="L72" s="142" t="s">
        <v>2503</v>
      </c>
      <c r="M72" s="142" t="s">
        <v>3597</v>
      </c>
      <c r="N72" s="143" t="s">
        <v>3536</v>
      </c>
      <c r="O72" s="143" t="s">
        <v>4552</v>
      </c>
    </row>
    <row r="73" spans="1:15" ht="42">
      <c r="A73" s="142" t="s">
        <v>4624</v>
      </c>
      <c r="B73" s="142" t="s">
        <v>1</v>
      </c>
      <c r="C73" s="142" t="s">
        <v>3282</v>
      </c>
      <c r="D73" s="142" t="s">
        <v>1688</v>
      </c>
      <c r="E73" s="142" t="s">
        <v>3278</v>
      </c>
      <c r="F73" s="142" t="s">
        <v>4533</v>
      </c>
      <c r="G73" s="143" t="s">
        <v>4625</v>
      </c>
      <c r="H73" s="143" t="s">
        <v>4626</v>
      </c>
      <c r="I73" s="143" t="s">
        <v>3375</v>
      </c>
      <c r="J73" s="142" t="s">
        <v>3598</v>
      </c>
      <c r="K73" s="142" t="s">
        <v>3599</v>
      </c>
      <c r="L73" s="142" t="s">
        <v>3600</v>
      </c>
      <c r="M73" s="142" t="s">
        <v>3601</v>
      </c>
      <c r="N73" s="143" t="s">
        <v>3536</v>
      </c>
      <c r="O73" s="143" t="s">
        <v>946</v>
      </c>
    </row>
    <row r="74" spans="1:15" ht="42">
      <c r="A74" s="142" t="s">
        <v>4627</v>
      </c>
      <c r="B74" s="142" t="s">
        <v>1</v>
      </c>
      <c r="C74" s="142" t="s">
        <v>3282</v>
      </c>
      <c r="D74" s="142" t="s">
        <v>1688</v>
      </c>
      <c r="E74" s="142" t="s">
        <v>3712</v>
      </c>
      <c r="F74" s="142" t="s">
        <v>4557</v>
      </c>
      <c r="G74" s="143" t="s">
        <v>4628</v>
      </c>
      <c r="H74" s="143" t="s">
        <v>4629</v>
      </c>
      <c r="I74" s="143" t="s">
        <v>3375</v>
      </c>
      <c r="J74" s="142"/>
      <c r="K74" s="142"/>
      <c r="L74" s="142"/>
      <c r="M74" s="142" t="s">
        <v>1152</v>
      </c>
      <c r="N74" s="143" t="s">
        <v>3713</v>
      </c>
      <c r="O74" s="143" t="s">
        <v>946</v>
      </c>
    </row>
    <row r="75" spans="1:15" ht="63">
      <c r="A75" s="142" t="s">
        <v>81</v>
      </c>
      <c r="B75" s="142" t="s">
        <v>1</v>
      </c>
      <c r="C75" s="142" t="s">
        <v>3274</v>
      </c>
      <c r="D75" s="142" t="s">
        <v>1688</v>
      </c>
      <c r="E75" s="142" t="s">
        <v>3275</v>
      </c>
      <c r="F75" s="142" t="s">
        <v>4540</v>
      </c>
      <c r="G75" s="143" t="s">
        <v>3377</v>
      </c>
      <c r="H75" s="143" t="s">
        <v>82</v>
      </c>
      <c r="I75" s="143" t="s">
        <v>3376</v>
      </c>
      <c r="J75" s="142"/>
      <c r="K75" s="142"/>
      <c r="L75" s="142"/>
      <c r="M75" s="142"/>
      <c r="N75" s="143" t="s">
        <v>4543</v>
      </c>
      <c r="O75" s="143" t="s">
        <v>4538</v>
      </c>
    </row>
    <row r="76" spans="1:15" ht="21">
      <c r="A76" s="142" t="s">
        <v>73</v>
      </c>
      <c r="B76" s="142" t="s">
        <v>1</v>
      </c>
      <c r="C76" s="142" t="s">
        <v>3274</v>
      </c>
      <c r="D76" s="142" t="s">
        <v>1688</v>
      </c>
      <c r="E76" s="142" t="s">
        <v>3712</v>
      </c>
      <c r="F76" s="142" t="s">
        <v>4595</v>
      </c>
      <c r="G76" s="143" t="s">
        <v>3379</v>
      </c>
      <c r="H76" s="143" t="s">
        <v>74</v>
      </c>
      <c r="I76" s="143" t="s">
        <v>3378</v>
      </c>
      <c r="J76" s="142"/>
      <c r="K76" s="142"/>
      <c r="L76" s="142"/>
      <c r="M76" s="142"/>
      <c r="N76" s="143" t="s">
        <v>3711</v>
      </c>
      <c r="O76" s="143" t="s">
        <v>946</v>
      </c>
    </row>
    <row r="77" spans="1:15" ht="84">
      <c r="A77" s="142" t="s">
        <v>4630</v>
      </c>
      <c r="B77" s="142" t="s">
        <v>1</v>
      </c>
      <c r="C77" s="142" t="s">
        <v>3274</v>
      </c>
      <c r="D77" s="142" t="s">
        <v>1688</v>
      </c>
      <c r="E77" s="142" t="s">
        <v>3278</v>
      </c>
      <c r="F77" s="142" t="s">
        <v>4533</v>
      </c>
      <c r="G77" s="143" t="s">
        <v>4631</v>
      </c>
      <c r="H77" s="143" t="s">
        <v>4632</v>
      </c>
      <c r="I77" s="143" t="s">
        <v>4633</v>
      </c>
      <c r="J77" s="142" t="s">
        <v>3602</v>
      </c>
      <c r="K77" s="142" t="s">
        <v>3603</v>
      </c>
      <c r="L77" s="142" t="s">
        <v>3604</v>
      </c>
      <c r="M77" s="142" t="s">
        <v>3605</v>
      </c>
      <c r="N77" s="143" t="s">
        <v>3536</v>
      </c>
      <c r="O77" s="143" t="s">
        <v>4552</v>
      </c>
    </row>
    <row r="78" spans="1:15" ht="84">
      <c r="A78" s="142" t="s">
        <v>4634</v>
      </c>
      <c r="B78" s="142" t="s">
        <v>1</v>
      </c>
      <c r="C78" s="142" t="s">
        <v>3274</v>
      </c>
      <c r="D78" s="142" t="s">
        <v>1688</v>
      </c>
      <c r="E78" s="142" t="s">
        <v>3712</v>
      </c>
      <c r="F78" s="142" t="s">
        <v>4595</v>
      </c>
      <c r="G78" s="143" t="s">
        <v>4635</v>
      </c>
      <c r="H78" s="143" t="s">
        <v>4636</v>
      </c>
      <c r="I78" s="143" t="s">
        <v>4633</v>
      </c>
      <c r="J78" s="142"/>
      <c r="K78" s="142"/>
      <c r="L78" s="142"/>
      <c r="M78" s="142" t="s">
        <v>4240</v>
      </c>
      <c r="N78" s="143" t="s">
        <v>3711</v>
      </c>
      <c r="O78" s="143" t="s">
        <v>4552</v>
      </c>
    </row>
    <row r="79" spans="1:15" ht="42">
      <c r="A79" s="142" t="s">
        <v>77</v>
      </c>
      <c r="B79" s="142" t="s">
        <v>1</v>
      </c>
      <c r="C79" s="142" t="s">
        <v>3297</v>
      </c>
      <c r="D79" s="142" t="s">
        <v>250</v>
      </c>
      <c r="E79" s="142" t="s">
        <v>946</v>
      </c>
      <c r="F79" s="142" t="s">
        <v>946</v>
      </c>
      <c r="G79" s="143" t="s">
        <v>3381</v>
      </c>
      <c r="H79" s="143" t="s">
        <v>78</v>
      </c>
      <c r="I79" s="143" t="s">
        <v>3380</v>
      </c>
      <c r="J79" s="142"/>
      <c r="K79" s="142"/>
      <c r="L79" s="142"/>
      <c r="M79" s="142"/>
      <c r="N79" s="143" t="s">
        <v>3323</v>
      </c>
      <c r="O79" s="143" t="s">
        <v>946</v>
      </c>
    </row>
    <row r="80" spans="1:15" ht="21">
      <c r="A80" s="142" t="s">
        <v>79</v>
      </c>
      <c r="B80" s="142" t="s">
        <v>1</v>
      </c>
      <c r="C80" s="142" t="s">
        <v>3274</v>
      </c>
      <c r="D80" s="142" t="s">
        <v>1688</v>
      </c>
      <c r="E80" s="142" t="s">
        <v>3712</v>
      </c>
      <c r="F80" s="142" t="s">
        <v>4595</v>
      </c>
      <c r="G80" s="143" t="s">
        <v>3383</v>
      </c>
      <c r="H80" s="143" t="s">
        <v>80</v>
      </c>
      <c r="I80" s="143" t="s">
        <v>3382</v>
      </c>
      <c r="J80" s="142"/>
      <c r="K80" s="142"/>
      <c r="L80" s="142"/>
      <c r="M80" s="142"/>
      <c r="N80" s="143" t="s">
        <v>3711</v>
      </c>
      <c r="O80" s="143" t="s">
        <v>946</v>
      </c>
    </row>
    <row r="81" spans="1:15" ht="21">
      <c r="A81" s="142" t="s">
        <v>85</v>
      </c>
      <c r="B81" s="142" t="s">
        <v>1</v>
      </c>
      <c r="C81" s="142" t="s">
        <v>3297</v>
      </c>
      <c r="D81" s="142" t="s">
        <v>1688</v>
      </c>
      <c r="E81" s="142" t="s">
        <v>3712</v>
      </c>
      <c r="F81" s="142" t="s">
        <v>4595</v>
      </c>
      <c r="G81" s="143" t="s">
        <v>3379</v>
      </c>
      <c r="H81" s="143" t="s">
        <v>86</v>
      </c>
      <c r="I81" s="143" t="s">
        <v>3384</v>
      </c>
      <c r="J81" s="142"/>
      <c r="K81" s="142"/>
      <c r="L81" s="142"/>
      <c r="M81" s="142"/>
      <c r="N81" s="143" t="s">
        <v>3711</v>
      </c>
      <c r="O81" s="143" t="s">
        <v>946</v>
      </c>
    </row>
    <row r="82" spans="1:15" ht="42">
      <c r="A82" s="142" t="s">
        <v>87</v>
      </c>
      <c r="B82" s="142" t="s">
        <v>1</v>
      </c>
      <c r="C82" s="142" t="s">
        <v>3274</v>
      </c>
      <c r="D82" s="142" t="s">
        <v>1688</v>
      </c>
      <c r="E82" s="142" t="s">
        <v>3275</v>
      </c>
      <c r="F82" s="142" t="s">
        <v>4540</v>
      </c>
      <c r="G82" s="143" t="s">
        <v>3377</v>
      </c>
      <c r="H82" s="143" t="s">
        <v>88</v>
      </c>
      <c r="I82" s="143" t="s">
        <v>3385</v>
      </c>
      <c r="J82" s="142"/>
      <c r="K82" s="142"/>
      <c r="L82" s="142"/>
      <c r="M82" s="142"/>
      <c r="N82" s="143" t="s">
        <v>3711</v>
      </c>
      <c r="O82" s="143" t="s">
        <v>4538</v>
      </c>
    </row>
    <row r="83" spans="1:15" ht="84">
      <c r="A83" s="142" t="s">
        <v>4637</v>
      </c>
      <c r="B83" s="142" t="s">
        <v>1</v>
      </c>
      <c r="C83" s="142" t="s">
        <v>3297</v>
      </c>
      <c r="D83" s="142" t="s">
        <v>1688</v>
      </c>
      <c r="E83" s="142" t="s">
        <v>3278</v>
      </c>
      <c r="F83" s="142" t="s">
        <v>4533</v>
      </c>
      <c r="G83" s="143" t="s">
        <v>4638</v>
      </c>
      <c r="H83" s="143" t="s">
        <v>4639</v>
      </c>
      <c r="I83" s="143" t="s">
        <v>3386</v>
      </c>
      <c r="J83" s="142" t="s">
        <v>3606</v>
      </c>
      <c r="K83" s="142" t="s">
        <v>3607</v>
      </c>
      <c r="L83" s="142" t="s">
        <v>3608</v>
      </c>
      <c r="M83" s="142" t="s">
        <v>2808</v>
      </c>
      <c r="N83" s="143" t="s">
        <v>3536</v>
      </c>
      <c r="O83" s="143" t="s">
        <v>946</v>
      </c>
    </row>
    <row r="84" spans="1:15" ht="63">
      <c r="A84" s="142" t="s">
        <v>4640</v>
      </c>
      <c r="B84" s="142" t="s">
        <v>1</v>
      </c>
      <c r="C84" s="142" t="s">
        <v>3297</v>
      </c>
      <c r="D84" s="142" t="s">
        <v>1688</v>
      </c>
      <c r="E84" s="142" t="s">
        <v>3712</v>
      </c>
      <c r="F84" s="142" t="s">
        <v>4595</v>
      </c>
      <c r="G84" s="143" t="s">
        <v>4641</v>
      </c>
      <c r="H84" s="143" t="s">
        <v>4642</v>
      </c>
      <c r="I84" s="143" t="s">
        <v>3386</v>
      </c>
      <c r="J84" s="142"/>
      <c r="K84" s="142"/>
      <c r="L84" s="142"/>
      <c r="M84" s="142" t="s">
        <v>1165</v>
      </c>
      <c r="N84" s="143" t="s">
        <v>3711</v>
      </c>
      <c r="O84" s="143" t="s">
        <v>946</v>
      </c>
    </row>
    <row r="85" spans="1:15" ht="21">
      <c r="A85" s="142" t="s">
        <v>83</v>
      </c>
      <c r="B85" s="142" t="s">
        <v>1</v>
      </c>
      <c r="C85" s="142" t="s">
        <v>3297</v>
      </c>
      <c r="D85" s="142" t="s">
        <v>1688</v>
      </c>
      <c r="E85" s="142" t="s">
        <v>3712</v>
      </c>
      <c r="F85" s="142" t="s">
        <v>4595</v>
      </c>
      <c r="G85" s="143" t="s">
        <v>3379</v>
      </c>
      <c r="H85" s="143" t="s">
        <v>84</v>
      </c>
      <c r="I85" s="143" t="s">
        <v>3387</v>
      </c>
      <c r="J85" s="142"/>
      <c r="K85" s="142"/>
      <c r="L85" s="142"/>
      <c r="M85" s="142"/>
      <c r="N85" s="143" t="s">
        <v>3711</v>
      </c>
      <c r="O85" s="143" t="s">
        <v>946</v>
      </c>
    </row>
    <row r="86" spans="1:15" ht="63">
      <c r="A86" s="142" t="s">
        <v>4331</v>
      </c>
      <c r="B86" s="142" t="s">
        <v>1</v>
      </c>
      <c r="C86" s="142" t="s">
        <v>3297</v>
      </c>
      <c r="D86" s="142" t="s">
        <v>1688</v>
      </c>
      <c r="E86" s="142" t="s">
        <v>3278</v>
      </c>
      <c r="F86" s="142" t="s">
        <v>4533</v>
      </c>
      <c r="G86" s="143" t="s">
        <v>4643</v>
      </c>
      <c r="H86" s="143" t="s">
        <v>4644</v>
      </c>
      <c r="I86" s="143" t="s">
        <v>4645</v>
      </c>
      <c r="J86" s="142" t="s">
        <v>1596</v>
      </c>
      <c r="K86" s="142" t="s">
        <v>4500</v>
      </c>
      <c r="L86" s="142" t="s">
        <v>4503</v>
      </c>
      <c r="M86" s="142" t="s">
        <v>4328</v>
      </c>
      <c r="N86" s="143" t="s">
        <v>3536</v>
      </c>
      <c r="O86" s="143" t="s">
        <v>4646</v>
      </c>
    </row>
    <row r="87" spans="1:15" ht="21">
      <c r="A87" s="142" t="s">
        <v>89</v>
      </c>
      <c r="B87" s="142" t="s">
        <v>1</v>
      </c>
      <c r="C87" s="142" t="s">
        <v>3274</v>
      </c>
      <c r="D87" s="142" t="s">
        <v>1688</v>
      </c>
      <c r="E87" s="142" t="s">
        <v>3712</v>
      </c>
      <c r="F87" s="142" t="s">
        <v>4595</v>
      </c>
      <c r="G87" s="143" t="s">
        <v>3390</v>
      </c>
      <c r="H87" s="143" t="s">
        <v>3388</v>
      </c>
      <c r="I87" s="143" t="s">
        <v>3389</v>
      </c>
      <c r="J87" s="142"/>
      <c r="K87" s="142"/>
      <c r="L87" s="142"/>
      <c r="M87" s="142"/>
      <c r="N87" s="143" t="s">
        <v>3711</v>
      </c>
      <c r="O87" s="143" t="s">
        <v>946</v>
      </c>
    </row>
    <row r="88" spans="1:15" ht="21">
      <c r="A88" s="142" t="s">
        <v>90</v>
      </c>
      <c r="B88" s="142" t="s">
        <v>1</v>
      </c>
      <c r="C88" s="142" t="s">
        <v>3274</v>
      </c>
      <c r="D88" s="142" t="s">
        <v>1688</v>
      </c>
      <c r="E88" s="142" t="s">
        <v>3278</v>
      </c>
      <c r="F88" s="142" t="s">
        <v>4533</v>
      </c>
      <c r="G88" s="143" t="s">
        <v>3392</v>
      </c>
      <c r="H88" s="143" t="s">
        <v>91</v>
      </c>
      <c r="I88" s="143" t="s">
        <v>3391</v>
      </c>
      <c r="J88" s="142" t="s">
        <v>3609</v>
      </c>
      <c r="K88" s="142" t="s">
        <v>3610</v>
      </c>
      <c r="L88" s="142" t="s">
        <v>3611</v>
      </c>
      <c r="M88" s="142" t="s">
        <v>3612</v>
      </c>
      <c r="N88" s="143" t="s">
        <v>3536</v>
      </c>
      <c r="O88" s="143" t="s">
        <v>946</v>
      </c>
    </row>
    <row r="89" spans="1:15" ht="21">
      <c r="A89" s="142" t="s">
        <v>92</v>
      </c>
      <c r="B89" s="142" t="s">
        <v>1</v>
      </c>
      <c r="C89" s="142" t="s">
        <v>3274</v>
      </c>
      <c r="D89" s="142" t="s">
        <v>1688</v>
      </c>
      <c r="E89" s="142" t="s">
        <v>3278</v>
      </c>
      <c r="F89" s="142" t="s">
        <v>4533</v>
      </c>
      <c r="G89" s="143" t="s">
        <v>946</v>
      </c>
      <c r="H89" s="143" t="s">
        <v>3393</v>
      </c>
      <c r="I89" s="143" t="s">
        <v>3394</v>
      </c>
      <c r="J89" s="142" t="s">
        <v>3613</v>
      </c>
      <c r="K89" s="142" t="s">
        <v>1668</v>
      </c>
      <c r="L89" s="142" t="s">
        <v>3614</v>
      </c>
      <c r="M89" s="142" t="s">
        <v>3615</v>
      </c>
      <c r="N89" s="143" t="s">
        <v>3536</v>
      </c>
      <c r="O89" s="143" t="s">
        <v>946</v>
      </c>
    </row>
    <row r="90" spans="1:15" ht="21">
      <c r="A90" s="142" t="s">
        <v>93</v>
      </c>
      <c r="B90" s="142" t="s">
        <v>1</v>
      </c>
      <c r="C90" s="142" t="s">
        <v>3274</v>
      </c>
      <c r="D90" s="142" t="s">
        <v>1688</v>
      </c>
      <c r="E90" s="142" t="s">
        <v>3278</v>
      </c>
      <c r="F90" s="142" t="s">
        <v>4533</v>
      </c>
      <c r="G90" s="143" t="s">
        <v>946</v>
      </c>
      <c r="H90" s="143" t="s">
        <v>94</v>
      </c>
      <c r="I90" s="143" t="s">
        <v>3395</v>
      </c>
      <c r="J90" s="142" t="s">
        <v>1445</v>
      </c>
      <c r="K90" s="142" t="s">
        <v>1671</v>
      </c>
      <c r="L90" s="142" t="s">
        <v>3616</v>
      </c>
      <c r="M90" s="142" t="s">
        <v>1148</v>
      </c>
      <c r="N90" s="143" t="s">
        <v>3536</v>
      </c>
      <c r="O90" s="143" t="s">
        <v>946</v>
      </c>
    </row>
    <row r="91" spans="1:15" ht="21">
      <c r="A91" s="142" t="s">
        <v>95</v>
      </c>
      <c r="B91" s="142" t="s">
        <v>1</v>
      </c>
      <c r="C91" s="142" t="s">
        <v>3274</v>
      </c>
      <c r="D91" s="142" t="s">
        <v>1688</v>
      </c>
      <c r="E91" s="142" t="s">
        <v>3712</v>
      </c>
      <c r="F91" s="142" t="s">
        <v>4595</v>
      </c>
      <c r="G91" s="143" t="s">
        <v>3383</v>
      </c>
      <c r="H91" s="143" t="s">
        <v>96</v>
      </c>
      <c r="I91" s="143" t="s">
        <v>3396</v>
      </c>
      <c r="J91" s="142"/>
      <c r="K91" s="142"/>
      <c r="L91" s="142"/>
      <c r="M91" s="142"/>
      <c r="N91" s="143" t="s">
        <v>3711</v>
      </c>
      <c r="O91" s="143" t="s">
        <v>946</v>
      </c>
    </row>
    <row r="92" spans="1:15" ht="21">
      <c r="A92" s="142" t="s">
        <v>101</v>
      </c>
      <c r="B92" s="142" t="s">
        <v>1</v>
      </c>
      <c r="C92" s="142" t="s">
        <v>3317</v>
      </c>
      <c r="D92" s="142" t="s">
        <v>1688</v>
      </c>
      <c r="E92" s="142" t="s">
        <v>3712</v>
      </c>
      <c r="F92" s="142" t="s">
        <v>4595</v>
      </c>
      <c r="G92" s="143" t="s">
        <v>2394</v>
      </c>
      <c r="H92" s="143" t="s">
        <v>102</v>
      </c>
      <c r="I92" s="143" t="s">
        <v>3397</v>
      </c>
      <c r="J92" s="142"/>
      <c r="K92" s="142"/>
      <c r="L92" s="142"/>
      <c r="M92" s="142"/>
      <c r="N92" s="143" t="s">
        <v>3711</v>
      </c>
      <c r="O92" s="143" t="s">
        <v>946</v>
      </c>
    </row>
    <row r="93" spans="1:15" ht="63">
      <c r="A93" s="142" t="s">
        <v>4647</v>
      </c>
      <c r="B93" s="142" t="s">
        <v>1</v>
      </c>
      <c r="C93" s="142" t="s">
        <v>3274</v>
      </c>
      <c r="D93" s="142" t="s">
        <v>1688</v>
      </c>
      <c r="E93" s="142" t="s">
        <v>3278</v>
      </c>
      <c r="F93" s="142" t="s">
        <v>4533</v>
      </c>
      <c r="G93" s="143" t="s">
        <v>4648</v>
      </c>
      <c r="H93" s="143" t="s">
        <v>4649</v>
      </c>
      <c r="I93" s="143" t="s">
        <v>4650</v>
      </c>
      <c r="J93" s="142" t="s">
        <v>3617</v>
      </c>
      <c r="K93" s="142" t="s">
        <v>3618</v>
      </c>
      <c r="L93" s="142" t="s">
        <v>3619</v>
      </c>
      <c r="M93" s="142" t="s">
        <v>3620</v>
      </c>
      <c r="N93" s="143" t="s">
        <v>3536</v>
      </c>
      <c r="O93" s="143" t="s">
        <v>946</v>
      </c>
    </row>
    <row r="94" spans="1:15" ht="63">
      <c r="A94" s="142" t="s">
        <v>4651</v>
      </c>
      <c r="B94" s="142" t="s">
        <v>1</v>
      </c>
      <c r="C94" s="142" t="s">
        <v>3274</v>
      </c>
      <c r="D94" s="142" t="s">
        <v>1688</v>
      </c>
      <c r="E94" s="142" t="s">
        <v>3712</v>
      </c>
      <c r="F94" s="142" t="s">
        <v>4652</v>
      </c>
      <c r="G94" s="143" t="s">
        <v>4653</v>
      </c>
      <c r="H94" s="143" t="s">
        <v>4654</v>
      </c>
      <c r="I94" s="143" t="s">
        <v>4650</v>
      </c>
      <c r="J94" s="142"/>
      <c r="K94" s="142"/>
      <c r="L94" s="142"/>
      <c r="M94" s="142" t="s">
        <v>1164</v>
      </c>
      <c r="N94" s="143" t="s">
        <v>4655</v>
      </c>
      <c r="O94" s="143" t="s">
        <v>946</v>
      </c>
    </row>
    <row r="95" spans="1:15" ht="21">
      <c r="A95" s="142" t="s">
        <v>99</v>
      </c>
      <c r="B95" s="142" t="s">
        <v>1</v>
      </c>
      <c r="C95" s="142" t="s">
        <v>3297</v>
      </c>
      <c r="D95" s="142" t="s">
        <v>1688</v>
      </c>
      <c r="E95" s="142" t="s">
        <v>3278</v>
      </c>
      <c r="F95" s="142" t="s">
        <v>4533</v>
      </c>
      <c r="G95" s="143" t="s">
        <v>946</v>
      </c>
      <c r="H95" s="143" t="s">
        <v>100</v>
      </c>
      <c r="I95" s="143" t="s">
        <v>3398</v>
      </c>
      <c r="J95" s="142" t="s">
        <v>3617</v>
      </c>
      <c r="K95" s="142" t="s">
        <v>3618</v>
      </c>
      <c r="L95" s="142" t="s">
        <v>3619</v>
      </c>
      <c r="M95" s="142" t="s">
        <v>3620</v>
      </c>
      <c r="N95" s="143" t="s">
        <v>3536</v>
      </c>
      <c r="O95" s="143" t="s">
        <v>946</v>
      </c>
    </row>
    <row r="96" spans="1:15" ht="21">
      <c r="A96" s="142" t="s">
        <v>97</v>
      </c>
      <c r="B96" s="142" t="s">
        <v>1</v>
      </c>
      <c r="C96" s="142" t="s">
        <v>3274</v>
      </c>
      <c r="D96" s="142" t="s">
        <v>1688</v>
      </c>
      <c r="E96" s="142" t="s">
        <v>3278</v>
      </c>
      <c r="F96" s="142" t="s">
        <v>4533</v>
      </c>
      <c r="G96" s="143" t="s">
        <v>946</v>
      </c>
      <c r="H96" s="143" t="s">
        <v>98</v>
      </c>
      <c r="I96" s="143" t="s">
        <v>3399</v>
      </c>
      <c r="J96" s="142" t="s">
        <v>1702</v>
      </c>
      <c r="K96" s="142" t="s">
        <v>1669</v>
      </c>
      <c r="L96" s="142" t="s">
        <v>3587</v>
      </c>
      <c r="M96" s="142" t="s">
        <v>3563</v>
      </c>
      <c r="N96" s="143" t="s">
        <v>3536</v>
      </c>
      <c r="O96" s="143" t="s">
        <v>946</v>
      </c>
    </row>
    <row r="97" spans="1:15" ht="21">
      <c r="A97" s="142" t="s">
        <v>103</v>
      </c>
      <c r="B97" s="142" t="s">
        <v>1</v>
      </c>
      <c r="C97" s="142" t="s">
        <v>3274</v>
      </c>
      <c r="D97" s="142" t="s">
        <v>1688</v>
      </c>
      <c r="E97" s="142" t="s">
        <v>3712</v>
      </c>
      <c r="F97" s="142" t="s">
        <v>4595</v>
      </c>
      <c r="G97" s="143" t="s">
        <v>3401</v>
      </c>
      <c r="H97" s="143" t="s">
        <v>104</v>
      </c>
      <c r="I97" s="143" t="s">
        <v>3400</v>
      </c>
      <c r="J97" s="142"/>
      <c r="K97" s="142"/>
      <c r="L97" s="142"/>
      <c r="M97" s="142"/>
      <c r="N97" s="143" t="s">
        <v>3711</v>
      </c>
      <c r="O97" s="143" t="s">
        <v>946</v>
      </c>
    </row>
    <row r="98" spans="1:15" ht="42">
      <c r="A98" s="142" t="s">
        <v>105</v>
      </c>
      <c r="B98" s="142" t="s">
        <v>1</v>
      </c>
      <c r="C98" s="142" t="s">
        <v>3297</v>
      </c>
      <c r="D98" s="142" t="s">
        <v>1688</v>
      </c>
      <c r="E98" s="142" t="s">
        <v>3712</v>
      </c>
      <c r="F98" s="142" t="s">
        <v>4595</v>
      </c>
      <c r="G98" s="143" t="s">
        <v>2394</v>
      </c>
      <c r="H98" s="143" t="s">
        <v>106</v>
      </c>
      <c r="I98" s="143" t="s">
        <v>3402</v>
      </c>
      <c r="J98" s="142"/>
      <c r="K98" s="142"/>
      <c r="L98" s="142"/>
      <c r="M98" s="142"/>
      <c r="N98" s="143" t="s">
        <v>3711</v>
      </c>
      <c r="O98" s="143" t="s">
        <v>946</v>
      </c>
    </row>
    <row r="99" spans="1:15" ht="42">
      <c r="A99" s="142" t="s">
        <v>107</v>
      </c>
      <c r="B99" s="142" t="s">
        <v>1</v>
      </c>
      <c r="C99" s="142" t="s">
        <v>3297</v>
      </c>
      <c r="D99" s="142" t="s">
        <v>1688</v>
      </c>
      <c r="E99" s="142" t="s">
        <v>3278</v>
      </c>
      <c r="F99" s="142" t="s">
        <v>4533</v>
      </c>
      <c r="G99" s="143" t="s">
        <v>4656</v>
      </c>
      <c r="H99" s="143" t="s">
        <v>3403</v>
      </c>
      <c r="I99" s="143" t="s">
        <v>3404</v>
      </c>
      <c r="J99" s="142" t="s">
        <v>3621</v>
      </c>
      <c r="K99" s="142" t="s">
        <v>3622</v>
      </c>
      <c r="L99" s="142" t="s">
        <v>3623</v>
      </c>
      <c r="M99" s="142" t="s">
        <v>3624</v>
      </c>
      <c r="N99" s="143" t="s">
        <v>3536</v>
      </c>
      <c r="O99" s="143" t="s">
        <v>946</v>
      </c>
    </row>
    <row r="100" spans="1:15" ht="21">
      <c r="A100" s="142" t="s">
        <v>108</v>
      </c>
      <c r="B100" s="142" t="s">
        <v>1</v>
      </c>
      <c r="C100" s="142" t="s">
        <v>3274</v>
      </c>
      <c r="D100" s="142" t="s">
        <v>1688</v>
      </c>
      <c r="E100" s="142" t="s">
        <v>3278</v>
      </c>
      <c r="F100" s="142" t="s">
        <v>4533</v>
      </c>
      <c r="G100" s="143" t="s">
        <v>946</v>
      </c>
      <c r="H100" s="143" t="s">
        <v>109</v>
      </c>
      <c r="I100" s="143" t="s">
        <v>3405</v>
      </c>
      <c r="J100" s="142" t="s">
        <v>3625</v>
      </c>
      <c r="K100" s="142" t="s">
        <v>3626</v>
      </c>
      <c r="L100" s="142" t="s">
        <v>3627</v>
      </c>
      <c r="M100" s="142" t="s">
        <v>1145</v>
      </c>
      <c r="N100" s="143" t="s">
        <v>3536</v>
      </c>
      <c r="O100" s="143" t="s">
        <v>946</v>
      </c>
    </row>
    <row r="101" spans="1:15" ht="21">
      <c r="A101" s="142" t="s">
        <v>110</v>
      </c>
      <c r="B101" s="142" t="s">
        <v>1</v>
      </c>
      <c r="C101" s="142" t="s">
        <v>3274</v>
      </c>
      <c r="D101" s="142" t="s">
        <v>1688</v>
      </c>
      <c r="E101" s="142" t="s">
        <v>3278</v>
      </c>
      <c r="F101" s="142" t="s">
        <v>4533</v>
      </c>
      <c r="G101" s="143" t="s">
        <v>946</v>
      </c>
      <c r="H101" s="143" t="s">
        <v>3406</v>
      </c>
      <c r="I101" s="143" t="s">
        <v>3407</v>
      </c>
      <c r="J101" s="142" t="s">
        <v>1445</v>
      </c>
      <c r="K101" s="142" t="s">
        <v>1671</v>
      </c>
      <c r="L101" s="142" t="s">
        <v>3616</v>
      </c>
      <c r="M101" s="142" t="s">
        <v>1148</v>
      </c>
      <c r="N101" s="143" t="s">
        <v>3536</v>
      </c>
      <c r="O101" s="143" t="s">
        <v>946</v>
      </c>
    </row>
    <row r="102" spans="1:15" ht="21">
      <c r="A102" s="142" t="s">
        <v>111</v>
      </c>
      <c r="B102" s="142" t="s">
        <v>1</v>
      </c>
      <c r="C102" s="142" t="s">
        <v>3274</v>
      </c>
      <c r="D102" s="142" t="s">
        <v>1688</v>
      </c>
      <c r="E102" s="142" t="s">
        <v>3278</v>
      </c>
      <c r="F102" s="142" t="s">
        <v>4533</v>
      </c>
      <c r="G102" s="143" t="s">
        <v>946</v>
      </c>
      <c r="H102" s="143" t="s">
        <v>3408</v>
      </c>
      <c r="I102" s="143" t="s">
        <v>3409</v>
      </c>
      <c r="J102" s="142" t="s">
        <v>3628</v>
      </c>
      <c r="K102" s="142" t="s">
        <v>3629</v>
      </c>
      <c r="L102" s="142" t="s">
        <v>3630</v>
      </c>
      <c r="M102" s="142" t="s">
        <v>2810</v>
      </c>
      <c r="N102" s="143" t="s">
        <v>3536</v>
      </c>
      <c r="O102" s="143" t="s">
        <v>946</v>
      </c>
    </row>
    <row r="103" spans="1:15" ht="21">
      <c r="A103" s="142" t="s">
        <v>112</v>
      </c>
      <c r="B103" s="142" t="s">
        <v>1</v>
      </c>
      <c r="C103" s="142" t="s">
        <v>3297</v>
      </c>
      <c r="D103" s="142" t="s">
        <v>1688</v>
      </c>
      <c r="E103" s="142" t="s">
        <v>3278</v>
      </c>
      <c r="F103" s="142" t="s">
        <v>4533</v>
      </c>
      <c r="G103" s="143" t="s">
        <v>946</v>
      </c>
      <c r="H103" s="143" t="s">
        <v>113</v>
      </c>
      <c r="I103" s="143" t="s">
        <v>3410</v>
      </c>
      <c r="J103" s="142" t="s">
        <v>3631</v>
      </c>
      <c r="K103" s="142" t="s">
        <v>3632</v>
      </c>
      <c r="L103" s="142" t="s">
        <v>3633</v>
      </c>
      <c r="M103" s="142" t="s">
        <v>3634</v>
      </c>
      <c r="N103" s="143" t="s">
        <v>3536</v>
      </c>
      <c r="O103" s="143" t="s">
        <v>946</v>
      </c>
    </row>
    <row r="104" spans="1:15" ht="42">
      <c r="A104" s="142" t="s">
        <v>117</v>
      </c>
      <c r="B104" s="142" t="s">
        <v>1</v>
      </c>
      <c r="C104" s="142" t="s">
        <v>3297</v>
      </c>
      <c r="D104" s="142" t="s">
        <v>250</v>
      </c>
      <c r="E104" s="142" t="s">
        <v>946</v>
      </c>
      <c r="F104" s="142" t="s">
        <v>946</v>
      </c>
      <c r="G104" s="143" t="s">
        <v>3323</v>
      </c>
      <c r="H104" s="143" t="s">
        <v>3411</v>
      </c>
      <c r="I104" s="143" t="s">
        <v>3412</v>
      </c>
      <c r="J104" s="142"/>
      <c r="K104" s="142"/>
      <c r="L104" s="142"/>
      <c r="M104" s="142"/>
      <c r="N104" s="143" t="s">
        <v>3323</v>
      </c>
      <c r="O104" s="143" t="s">
        <v>946</v>
      </c>
    </row>
    <row r="105" spans="1:15" ht="63">
      <c r="A105" s="142" t="s">
        <v>118</v>
      </c>
      <c r="B105" s="142" t="s">
        <v>1</v>
      </c>
      <c r="C105" s="142" t="s">
        <v>3274</v>
      </c>
      <c r="D105" s="142" t="s">
        <v>1688</v>
      </c>
      <c r="E105" s="142" t="s">
        <v>3278</v>
      </c>
      <c r="F105" s="142" t="s">
        <v>4533</v>
      </c>
      <c r="G105" s="143" t="s">
        <v>4657</v>
      </c>
      <c r="H105" s="143" t="s">
        <v>3413</v>
      </c>
      <c r="I105" s="143" t="s">
        <v>3414</v>
      </c>
      <c r="J105" s="142" t="s">
        <v>4658</v>
      </c>
      <c r="K105" s="142" t="s">
        <v>4659</v>
      </c>
      <c r="L105" s="142" t="s">
        <v>4660</v>
      </c>
      <c r="M105" s="142" t="s">
        <v>4661</v>
      </c>
      <c r="N105" s="143" t="s">
        <v>3536</v>
      </c>
      <c r="O105" s="143" t="s">
        <v>946</v>
      </c>
    </row>
    <row r="106" spans="1:15" ht="42">
      <c r="A106" s="142" t="s">
        <v>4662</v>
      </c>
      <c r="B106" s="142" t="s">
        <v>1</v>
      </c>
      <c r="C106" s="142" t="s">
        <v>3274</v>
      </c>
      <c r="D106" s="142" t="s">
        <v>1688</v>
      </c>
      <c r="E106" s="142" t="s">
        <v>3712</v>
      </c>
      <c r="F106" s="142" t="s">
        <v>4583</v>
      </c>
      <c r="G106" s="143" t="s">
        <v>4584</v>
      </c>
      <c r="H106" s="143" t="s">
        <v>4663</v>
      </c>
      <c r="I106" s="143" t="s">
        <v>4664</v>
      </c>
      <c r="J106" s="142"/>
      <c r="K106" s="142"/>
      <c r="L106" s="142"/>
      <c r="M106" s="142"/>
      <c r="N106" s="143" t="s">
        <v>3711</v>
      </c>
      <c r="O106" s="143" t="s">
        <v>946</v>
      </c>
    </row>
    <row r="107" spans="1:15" ht="42">
      <c r="A107" s="142" t="s">
        <v>4665</v>
      </c>
      <c r="B107" s="142" t="s">
        <v>1</v>
      </c>
      <c r="C107" s="142" t="s">
        <v>3274</v>
      </c>
      <c r="D107" s="142" t="s">
        <v>1688</v>
      </c>
      <c r="E107" s="142" t="s">
        <v>3278</v>
      </c>
      <c r="F107" s="142" t="s">
        <v>4533</v>
      </c>
      <c r="G107" s="143" t="s">
        <v>4588</v>
      </c>
      <c r="H107" s="143" t="s">
        <v>4666</v>
      </c>
      <c r="I107" s="143" t="s">
        <v>4664</v>
      </c>
      <c r="J107" s="142" t="s">
        <v>4618</v>
      </c>
      <c r="K107" s="142" t="s">
        <v>1501</v>
      </c>
      <c r="L107" s="142" t="s">
        <v>2761</v>
      </c>
      <c r="M107" s="142" t="s">
        <v>2818</v>
      </c>
      <c r="N107" s="143" t="s">
        <v>3536</v>
      </c>
      <c r="O107" s="143" t="s">
        <v>946</v>
      </c>
    </row>
    <row r="108" spans="1:15" ht="42">
      <c r="A108" s="142" t="s">
        <v>114</v>
      </c>
      <c r="B108" s="142" t="s">
        <v>1</v>
      </c>
      <c r="C108" s="142" t="s">
        <v>3274</v>
      </c>
      <c r="D108" s="142" t="s">
        <v>1688</v>
      </c>
      <c r="E108" s="142" t="s">
        <v>3278</v>
      </c>
      <c r="F108" s="142" t="s">
        <v>4533</v>
      </c>
      <c r="G108" s="143" t="s">
        <v>3416</v>
      </c>
      <c r="H108" s="143" t="s">
        <v>115</v>
      </c>
      <c r="I108" s="143" t="s">
        <v>3415</v>
      </c>
      <c r="J108" s="142" t="s">
        <v>3617</v>
      </c>
      <c r="K108" s="142" t="s">
        <v>3618</v>
      </c>
      <c r="L108" s="142" t="s">
        <v>3619</v>
      </c>
      <c r="M108" s="142" t="s">
        <v>1439</v>
      </c>
      <c r="N108" s="143" t="s">
        <v>3536</v>
      </c>
      <c r="O108" s="143" t="s">
        <v>946</v>
      </c>
    </row>
    <row r="109" spans="1:15" ht="42">
      <c r="A109" s="142" t="s">
        <v>116</v>
      </c>
      <c r="B109" s="142" t="s">
        <v>1</v>
      </c>
      <c r="C109" s="142" t="s">
        <v>3317</v>
      </c>
      <c r="D109" s="142" t="s">
        <v>250</v>
      </c>
      <c r="E109" s="142" t="s">
        <v>946</v>
      </c>
      <c r="F109" s="142" t="s">
        <v>946</v>
      </c>
      <c r="G109" s="143" t="s">
        <v>3419</v>
      </c>
      <c r="H109" s="143" t="s">
        <v>3417</v>
      </c>
      <c r="I109" s="143" t="s">
        <v>3418</v>
      </c>
      <c r="J109" s="142"/>
      <c r="K109" s="142"/>
      <c r="L109" s="142"/>
      <c r="M109" s="142"/>
      <c r="N109" s="143" t="s">
        <v>3323</v>
      </c>
      <c r="O109" s="143" t="s">
        <v>946</v>
      </c>
    </row>
    <row r="110" spans="1:15" ht="21">
      <c r="A110" s="142" t="s">
        <v>119</v>
      </c>
      <c r="B110" s="142" t="s">
        <v>1</v>
      </c>
      <c r="C110" s="142" t="s">
        <v>3274</v>
      </c>
      <c r="D110" s="142" t="s">
        <v>1688</v>
      </c>
      <c r="E110" s="142" t="s">
        <v>3278</v>
      </c>
      <c r="F110" s="142" t="s">
        <v>4533</v>
      </c>
      <c r="G110" s="143" t="s">
        <v>946</v>
      </c>
      <c r="H110" s="143" t="s">
        <v>3420</v>
      </c>
      <c r="I110" s="143" t="s">
        <v>3421</v>
      </c>
      <c r="J110" s="142" t="s">
        <v>3635</v>
      </c>
      <c r="K110" s="142" t="s">
        <v>2739</v>
      </c>
      <c r="L110" s="142" t="s">
        <v>2742</v>
      </c>
      <c r="M110" s="142" t="s">
        <v>3636</v>
      </c>
      <c r="N110" s="143" t="s">
        <v>3536</v>
      </c>
      <c r="O110" s="143" t="s">
        <v>946</v>
      </c>
    </row>
    <row r="111" spans="1:15" ht="84">
      <c r="A111" s="142" t="s">
        <v>120</v>
      </c>
      <c r="B111" s="142" t="s">
        <v>2</v>
      </c>
      <c r="C111" s="142" t="s">
        <v>3282</v>
      </c>
      <c r="D111" s="142" t="s">
        <v>1688</v>
      </c>
      <c r="E111" s="142" t="s">
        <v>3278</v>
      </c>
      <c r="F111" s="142" t="s">
        <v>4533</v>
      </c>
      <c r="G111" s="143" t="s">
        <v>4667</v>
      </c>
      <c r="H111" s="143" t="s">
        <v>3422</v>
      </c>
      <c r="I111" s="143" t="s">
        <v>3423</v>
      </c>
      <c r="J111" s="142" t="s">
        <v>1446</v>
      </c>
      <c r="K111" s="142"/>
      <c r="L111" s="142"/>
      <c r="M111" s="142" t="s">
        <v>2815</v>
      </c>
      <c r="N111" s="143" t="s">
        <v>3714</v>
      </c>
      <c r="O111" s="143" t="s">
        <v>4668</v>
      </c>
    </row>
    <row r="112" spans="1:15" ht="42">
      <c r="A112" s="142" t="s">
        <v>121</v>
      </c>
      <c r="B112" s="142" t="s">
        <v>2</v>
      </c>
      <c r="C112" s="142" t="s">
        <v>3282</v>
      </c>
      <c r="D112" s="142" t="s">
        <v>1688</v>
      </c>
      <c r="E112" s="142" t="s">
        <v>3278</v>
      </c>
      <c r="F112" s="142" t="s">
        <v>4533</v>
      </c>
      <c r="G112" s="143" t="s">
        <v>946</v>
      </c>
      <c r="H112" s="143" t="s">
        <v>3424</v>
      </c>
      <c r="I112" s="143" t="s">
        <v>3425</v>
      </c>
      <c r="J112" s="142" t="s">
        <v>3637</v>
      </c>
      <c r="K112" s="142" t="s">
        <v>3638</v>
      </c>
      <c r="L112" s="142" t="s">
        <v>3639</v>
      </c>
      <c r="M112" s="142" t="s">
        <v>3640</v>
      </c>
      <c r="N112" s="143" t="s">
        <v>3536</v>
      </c>
      <c r="O112" s="143" t="s">
        <v>4668</v>
      </c>
    </row>
    <row r="113" spans="1:15" ht="42">
      <c r="A113" s="142" t="s">
        <v>122</v>
      </c>
      <c r="B113" s="142" t="s">
        <v>2</v>
      </c>
      <c r="C113" s="142" t="s">
        <v>3310</v>
      </c>
      <c r="D113" s="142" t="s">
        <v>1688</v>
      </c>
      <c r="E113" s="142" t="s">
        <v>3278</v>
      </c>
      <c r="F113" s="142" t="s">
        <v>4533</v>
      </c>
      <c r="G113" s="143" t="s">
        <v>946</v>
      </c>
      <c r="H113" s="143" t="s">
        <v>3426</v>
      </c>
      <c r="I113" s="143" t="s">
        <v>3427</v>
      </c>
      <c r="J113" s="142" t="s">
        <v>3641</v>
      </c>
      <c r="K113" s="142" t="s">
        <v>1485</v>
      </c>
      <c r="L113" s="142" t="s">
        <v>3642</v>
      </c>
      <c r="M113" s="142" t="s">
        <v>1159</v>
      </c>
      <c r="N113" s="143" t="s">
        <v>3536</v>
      </c>
      <c r="O113" s="143" t="s">
        <v>4668</v>
      </c>
    </row>
    <row r="114" spans="1:15" ht="42">
      <c r="A114" s="142" t="s">
        <v>123</v>
      </c>
      <c r="B114" s="142" t="s">
        <v>2</v>
      </c>
      <c r="C114" s="142" t="s">
        <v>3310</v>
      </c>
      <c r="D114" s="142" t="s">
        <v>1688</v>
      </c>
      <c r="E114" s="142" t="s">
        <v>3278</v>
      </c>
      <c r="F114" s="142" t="s">
        <v>4533</v>
      </c>
      <c r="G114" s="143" t="s">
        <v>946</v>
      </c>
      <c r="H114" s="143" t="s">
        <v>124</v>
      </c>
      <c r="I114" s="143" t="s">
        <v>3428</v>
      </c>
      <c r="J114" s="142" t="s">
        <v>3641</v>
      </c>
      <c r="K114" s="142" t="s">
        <v>1485</v>
      </c>
      <c r="L114" s="142" t="s">
        <v>3642</v>
      </c>
      <c r="M114" s="142" t="s">
        <v>1155</v>
      </c>
      <c r="N114" s="143" t="s">
        <v>3536</v>
      </c>
      <c r="O114" s="143" t="s">
        <v>4668</v>
      </c>
    </row>
    <row r="115" spans="1:15" ht="42">
      <c r="A115" s="142" t="s">
        <v>125</v>
      </c>
      <c r="B115" s="142" t="s">
        <v>2</v>
      </c>
      <c r="C115" s="142" t="s">
        <v>3310</v>
      </c>
      <c r="D115" s="142" t="s">
        <v>1688</v>
      </c>
      <c r="E115" s="142" t="s">
        <v>3278</v>
      </c>
      <c r="F115" s="142" t="s">
        <v>4533</v>
      </c>
      <c r="G115" s="143" t="s">
        <v>946</v>
      </c>
      <c r="H115" s="143" t="s">
        <v>126</v>
      </c>
      <c r="I115" s="143" t="s">
        <v>3429</v>
      </c>
      <c r="J115" s="142" t="s">
        <v>3643</v>
      </c>
      <c r="K115" s="142" t="s">
        <v>3644</v>
      </c>
      <c r="L115" s="142" t="s">
        <v>3642</v>
      </c>
      <c r="M115" s="142" t="s">
        <v>3645</v>
      </c>
      <c r="N115" s="143" t="s">
        <v>3536</v>
      </c>
      <c r="O115" s="143" t="s">
        <v>4668</v>
      </c>
    </row>
    <row r="116" spans="1:15" ht="42">
      <c r="A116" s="142" t="s">
        <v>127</v>
      </c>
      <c r="B116" s="142" t="s">
        <v>2</v>
      </c>
      <c r="C116" s="142" t="s">
        <v>3310</v>
      </c>
      <c r="D116" s="142" t="s">
        <v>1688</v>
      </c>
      <c r="E116" s="142" t="s">
        <v>3278</v>
      </c>
      <c r="F116" s="142" t="s">
        <v>4533</v>
      </c>
      <c r="G116" s="143" t="s">
        <v>946</v>
      </c>
      <c r="H116" s="143" t="s">
        <v>128</v>
      </c>
      <c r="I116" s="143" t="s">
        <v>3430</v>
      </c>
      <c r="J116" s="142" t="s">
        <v>3637</v>
      </c>
      <c r="K116" s="142" t="s">
        <v>3638</v>
      </c>
      <c r="L116" s="142" t="s">
        <v>3639</v>
      </c>
      <c r="M116" s="142" t="s">
        <v>3640</v>
      </c>
      <c r="N116" s="143" t="s">
        <v>3536</v>
      </c>
      <c r="O116" s="143" t="s">
        <v>4668</v>
      </c>
    </row>
    <row r="117" spans="1:15" ht="42">
      <c r="A117" s="142" t="s">
        <v>129</v>
      </c>
      <c r="B117" s="142" t="s">
        <v>2</v>
      </c>
      <c r="C117" s="142" t="s">
        <v>3310</v>
      </c>
      <c r="D117" s="142" t="s">
        <v>1688</v>
      </c>
      <c r="E117" s="142" t="s">
        <v>3278</v>
      </c>
      <c r="F117" s="142" t="s">
        <v>4533</v>
      </c>
      <c r="G117" s="143" t="s">
        <v>946</v>
      </c>
      <c r="H117" s="143" t="s">
        <v>3431</v>
      </c>
      <c r="I117" s="143" t="s">
        <v>3432</v>
      </c>
      <c r="J117" s="142" t="s">
        <v>1443</v>
      </c>
      <c r="K117" s="142" t="s">
        <v>1449</v>
      </c>
      <c r="L117" s="142" t="s">
        <v>2640</v>
      </c>
      <c r="M117" s="142" t="s">
        <v>1156</v>
      </c>
      <c r="N117" s="143" t="s">
        <v>3536</v>
      </c>
      <c r="O117" s="143" t="s">
        <v>4668</v>
      </c>
    </row>
    <row r="118" spans="1:15" ht="42">
      <c r="A118" s="142" t="s">
        <v>133</v>
      </c>
      <c r="B118" s="142" t="s">
        <v>2</v>
      </c>
      <c r="C118" s="142" t="s">
        <v>3282</v>
      </c>
      <c r="D118" s="142" t="s">
        <v>1688</v>
      </c>
      <c r="E118" s="142" t="s">
        <v>3278</v>
      </c>
      <c r="F118" s="142" t="s">
        <v>4533</v>
      </c>
      <c r="G118" s="143" t="s">
        <v>946</v>
      </c>
      <c r="H118" s="143" t="s">
        <v>134</v>
      </c>
      <c r="I118" s="143" t="s">
        <v>3433</v>
      </c>
      <c r="J118" s="142" t="s">
        <v>3646</v>
      </c>
      <c r="K118" s="142" t="s">
        <v>3647</v>
      </c>
      <c r="L118" s="142" t="s">
        <v>3648</v>
      </c>
      <c r="M118" s="142" t="s">
        <v>1153</v>
      </c>
      <c r="N118" s="143" t="s">
        <v>3536</v>
      </c>
      <c r="O118" s="143" t="s">
        <v>4668</v>
      </c>
    </row>
    <row r="119" spans="1:15" ht="42">
      <c r="A119" s="142" t="s">
        <v>4669</v>
      </c>
      <c r="B119" s="142" t="s">
        <v>2</v>
      </c>
      <c r="C119" s="142" t="s">
        <v>3310</v>
      </c>
      <c r="D119" s="142" t="s">
        <v>1688</v>
      </c>
      <c r="E119" s="142" t="s">
        <v>3712</v>
      </c>
      <c r="F119" s="142" t="s">
        <v>4583</v>
      </c>
      <c r="G119" s="143" t="s">
        <v>4584</v>
      </c>
      <c r="H119" s="143" t="s">
        <v>4670</v>
      </c>
      <c r="I119" s="143" t="s">
        <v>4671</v>
      </c>
      <c r="J119" s="142"/>
      <c r="K119" s="142"/>
      <c r="L119" s="142"/>
      <c r="M119" s="142"/>
      <c r="N119" s="143" t="s">
        <v>3711</v>
      </c>
      <c r="O119" s="143" t="s">
        <v>946</v>
      </c>
    </row>
    <row r="120" spans="1:15" ht="42">
      <c r="A120" s="142" t="s">
        <v>4672</v>
      </c>
      <c r="B120" s="142" t="s">
        <v>2</v>
      </c>
      <c r="C120" s="142" t="s">
        <v>3310</v>
      </c>
      <c r="D120" s="142" t="s">
        <v>1688</v>
      </c>
      <c r="E120" s="142" t="s">
        <v>3278</v>
      </c>
      <c r="F120" s="142" t="s">
        <v>4533</v>
      </c>
      <c r="G120" s="143" t="s">
        <v>4588</v>
      </c>
      <c r="H120" s="143" t="s">
        <v>4673</v>
      </c>
      <c r="I120" s="143" t="s">
        <v>4671</v>
      </c>
      <c r="J120" s="142" t="s">
        <v>4618</v>
      </c>
      <c r="K120" s="142" t="s">
        <v>1501</v>
      </c>
      <c r="L120" s="142" t="s">
        <v>2761</v>
      </c>
      <c r="M120" s="142" t="s">
        <v>2818</v>
      </c>
      <c r="N120" s="143" t="s">
        <v>3536</v>
      </c>
      <c r="O120" s="143" t="s">
        <v>946</v>
      </c>
    </row>
    <row r="121" spans="1:15" ht="42">
      <c r="A121" s="142" t="s">
        <v>130</v>
      </c>
      <c r="B121" s="142" t="s">
        <v>2</v>
      </c>
      <c r="C121" s="142" t="s">
        <v>3310</v>
      </c>
      <c r="D121" s="142" t="s">
        <v>1688</v>
      </c>
      <c r="E121" s="142" t="s">
        <v>3278</v>
      </c>
      <c r="F121" s="142" t="s">
        <v>4533</v>
      </c>
      <c r="G121" s="143" t="s">
        <v>946</v>
      </c>
      <c r="H121" s="143" t="s">
        <v>3434</v>
      </c>
      <c r="I121" s="143" t="s">
        <v>3435</v>
      </c>
      <c r="J121" s="142" t="s">
        <v>1443</v>
      </c>
      <c r="K121" s="142" t="s">
        <v>1449</v>
      </c>
      <c r="L121" s="142" t="s">
        <v>2640</v>
      </c>
      <c r="M121" s="142" t="s">
        <v>1154</v>
      </c>
      <c r="N121" s="143" t="s">
        <v>3536</v>
      </c>
      <c r="O121" s="143" t="s">
        <v>4668</v>
      </c>
    </row>
    <row r="122" spans="1:15" ht="42">
      <c r="A122" s="142" t="s">
        <v>131</v>
      </c>
      <c r="B122" s="142" t="s">
        <v>2</v>
      </c>
      <c r="C122" s="142" t="s">
        <v>3310</v>
      </c>
      <c r="D122" s="142" t="s">
        <v>1688</v>
      </c>
      <c r="E122" s="142" t="s">
        <v>3278</v>
      </c>
      <c r="F122" s="142" t="s">
        <v>4533</v>
      </c>
      <c r="G122" s="143" t="s">
        <v>946</v>
      </c>
      <c r="H122" s="143" t="s">
        <v>3436</v>
      </c>
      <c r="I122" s="143" t="s">
        <v>3437</v>
      </c>
      <c r="J122" s="142" t="s">
        <v>3649</v>
      </c>
      <c r="K122" s="142" t="s">
        <v>1454</v>
      </c>
      <c r="L122" s="142" t="s">
        <v>3650</v>
      </c>
      <c r="M122" s="142" t="s">
        <v>1157</v>
      </c>
      <c r="N122" s="143" t="s">
        <v>3536</v>
      </c>
      <c r="O122" s="143" t="s">
        <v>4668</v>
      </c>
    </row>
    <row r="123" spans="1:15" ht="63">
      <c r="A123" s="142" t="s">
        <v>135</v>
      </c>
      <c r="B123" s="142" t="s">
        <v>2</v>
      </c>
      <c r="C123" s="142" t="s">
        <v>3282</v>
      </c>
      <c r="D123" s="142" t="s">
        <v>1688</v>
      </c>
      <c r="E123" s="142" t="s">
        <v>3278</v>
      </c>
      <c r="F123" s="142" t="s">
        <v>4533</v>
      </c>
      <c r="G123" s="143" t="s">
        <v>946</v>
      </c>
      <c r="H123" s="143" t="s">
        <v>4674</v>
      </c>
      <c r="I123" s="143" t="s">
        <v>4675</v>
      </c>
      <c r="J123" s="142" t="s">
        <v>3651</v>
      </c>
      <c r="K123" s="142" t="s">
        <v>1450</v>
      </c>
      <c r="L123" s="142" t="s">
        <v>2798</v>
      </c>
      <c r="M123" s="142" t="s">
        <v>2811</v>
      </c>
      <c r="N123" s="143" t="s">
        <v>3536</v>
      </c>
      <c r="O123" s="143" t="s">
        <v>4668</v>
      </c>
    </row>
    <row r="124" spans="1:15" ht="42">
      <c r="A124" s="142" t="s">
        <v>136</v>
      </c>
      <c r="B124" s="142" t="s">
        <v>2</v>
      </c>
      <c r="C124" s="142" t="s">
        <v>3310</v>
      </c>
      <c r="D124" s="142" t="s">
        <v>1688</v>
      </c>
      <c r="E124" s="142" t="s">
        <v>3278</v>
      </c>
      <c r="F124" s="142" t="s">
        <v>4533</v>
      </c>
      <c r="G124" s="143" t="s">
        <v>946</v>
      </c>
      <c r="H124" s="143" t="s">
        <v>137</v>
      </c>
      <c r="I124" s="143" t="s">
        <v>3438</v>
      </c>
      <c r="J124" s="142" t="s">
        <v>3652</v>
      </c>
      <c r="K124" s="142" t="s">
        <v>3653</v>
      </c>
      <c r="L124" s="142" t="s">
        <v>3654</v>
      </c>
      <c r="M124" s="142" t="s">
        <v>1156</v>
      </c>
      <c r="N124" s="143" t="s">
        <v>3536</v>
      </c>
      <c r="O124" s="143" t="s">
        <v>4668</v>
      </c>
    </row>
    <row r="125" spans="1:15" ht="42">
      <c r="A125" s="142" t="s">
        <v>132</v>
      </c>
      <c r="B125" s="142" t="s">
        <v>2</v>
      </c>
      <c r="C125" s="142" t="s">
        <v>3310</v>
      </c>
      <c r="D125" s="142" t="s">
        <v>1688</v>
      </c>
      <c r="E125" s="142" t="s">
        <v>3278</v>
      </c>
      <c r="F125" s="142" t="s">
        <v>4533</v>
      </c>
      <c r="G125" s="143" t="s">
        <v>946</v>
      </c>
      <c r="H125" s="143" t="s">
        <v>3439</v>
      </c>
      <c r="I125" s="143" t="s">
        <v>3440</v>
      </c>
      <c r="J125" s="142" t="s">
        <v>3655</v>
      </c>
      <c r="K125" s="142" t="s">
        <v>3656</v>
      </c>
      <c r="L125" s="142"/>
      <c r="M125" s="142" t="s">
        <v>3657</v>
      </c>
      <c r="N125" s="143" t="s">
        <v>3714</v>
      </c>
      <c r="O125" s="143" t="s">
        <v>4668</v>
      </c>
    </row>
    <row r="126" spans="1:15" ht="42">
      <c r="A126" s="142" t="s">
        <v>138</v>
      </c>
      <c r="B126" s="142" t="s">
        <v>2</v>
      </c>
      <c r="C126" s="142" t="s">
        <v>3282</v>
      </c>
      <c r="D126" s="142" t="s">
        <v>1688</v>
      </c>
      <c r="E126" s="142" t="s">
        <v>3278</v>
      </c>
      <c r="F126" s="142" t="s">
        <v>4533</v>
      </c>
      <c r="G126" s="143" t="s">
        <v>946</v>
      </c>
      <c r="H126" s="143" t="s">
        <v>3441</v>
      </c>
      <c r="I126" s="143" t="s">
        <v>3442</v>
      </c>
      <c r="J126" s="142" t="s">
        <v>3658</v>
      </c>
      <c r="K126" s="142" t="s">
        <v>1472</v>
      </c>
      <c r="L126" s="142" t="s">
        <v>2645</v>
      </c>
      <c r="M126" s="142" t="s">
        <v>1157</v>
      </c>
      <c r="N126" s="143" t="s">
        <v>3536</v>
      </c>
      <c r="O126" s="143" t="s">
        <v>4668</v>
      </c>
    </row>
    <row r="127" spans="1:15" ht="42">
      <c r="A127" s="142" t="s">
        <v>139</v>
      </c>
      <c r="B127" s="142" t="s">
        <v>2</v>
      </c>
      <c r="C127" s="142" t="s">
        <v>3282</v>
      </c>
      <c r="D127" s="142" t="s">
        <v>1688</v>
      </c>
      <c r="E127" s="142" t="s">
        <v>3278</v>
      </c>
      <c r="F127" s="142" t="s">
        <v>4533</v>
      </c>
      <c r="G127" s="143" t="s">
        <v>946</v>
      </c>
      <c r="H127" s="143" t="s">
        <v>140</v>
      </c>
      <c r="I127" s="143" t="s">
        <v>3443</v>
      </c>
      <c r="J127" s="142" t="s">
        <v>3658</v>
      </c>
      <c r="K127" s="142" t="s">
        <v>1472</v>
      </c>
      <c r="L127" s="142" t="s">
        <v>2645</v>
      </c>
      <c r="M127" s="142" t="s">
        <v>1156</v>
      </c>
      <c r="N127" s="143" t="s">
        <v>3536</v>
      </c>
      <c r="O127" s="143" t="s">
        <v>4668</v>
      </c>
    </row>
    <row r="128" spans="1:15" ht="42">
      <c r="A128" s="142" t="s">
        <v>141</v>
      </c>
      <c r="B128" s="142" t="s">
        <v>2</v>
      </c>
      <c r="C128" s="142" t="s">
        <v>3282</v>
      </c>
      <c r="D128" s="142" t="s">
        <v>1688</v>
      </c>
      <c r="E128" s="142" t="s">
        <v>3278</v>
      </c>
      <c r="F128" s="142" t="s">
        <v>4533</v>
      </c>
      <c r="G128" s="143" t="s">
        <v>946</v>
      </c>
      <c r="H128" s="143" t="s">
        <v>3444</v>
      </c>
      <c r="I128" s="143" t="s">
        <v>3445</v>
      </c>
      <c r="J128" s="142" t="s">
        <v>3659</v>
      </c>
      <c r="K128" s="142" t="s">
        <v>1472</v>
      </c>
      <c r="L128" s="142" t="s">
        <v>3660</v>
      </c>
      <c r="M128" s="142" t="s">
        <v>1157</v>
      </c>
      <c r="N128" s="143" t="s">
        <v>3536</v>
      </c>
      <c r="O128" s="143" t="s">
        <v>4668</v>
      </c>
    </row>
    <row r="129" spans="1:15" ht="63">
      <c r="A129" s="142" t="s">
        <v>4676</v>
      </c>
      <c r="B129" s="142" t="s">
        <v>2</v>
      </c>
      <c r="C129" s="142" t="s">
        <v>3310</v>
      </c>
      <c r="D129" s="142" t="s">
        <v>1688</v>
      </c>
      <c r="E129" s="142" t="s">
        <v>3278</v>
      </c>
      <c r="F129" s="142" t="s">
        <v>4533</v>
      </c>
      <c r="G129" s="143" t="s">
        <v>4677</v>
      </c>
      <c r="H129" s="143" t="s">
        <v>4678</v>
      </c>
      <c r="I129" s="143" t="s">
        <v>4679</v>
      </c>
      <c r="J129" s="142" t="s">
        <v>1594</v>
      </c>
      <c r="K129" s="142"/>
      <c r="L129" s="142" t="s">
        <v>2535</v>
      </c>
      <c r="M129" s="142" t="s">
        <v>1163</v>
      </c>
      <c r="N129" s="143" t="s">
        <v>3714</v>
      </c>
      <c r="O129" s="143" t="s">
        <v>4668</v>
      </c>
    </row>
    <row r="130" spans="1:15" ht="63">
      <c r="A130" s="142" t="s">
        <v>4680</v>
      </c>
      <c r="B130" s="142" t="s">
        <v>2</v>
      </c>
      <c r="C130" s="142" t="s">
        <v>3310</v>
      </c>
      <c r="D130" s="142" t="s">
        <v>1688</v>
      </c>
      <c r="E130" s="142" t="s">
        <v>3712</v>
      </c>
      <c r="F130" s="142" t="s">
        <v>4652</v>
      </c>
      <c r="G130" s="143" t="s">
        <v>4681</v>
      </c>
      <c r="H130" s="143" t="s">
        <v>4682</v>
      </c>
      <c r="I130" s="143" t="s">
        <v>4679</v>
      </c>
      <c r="J130" s="142"/>
      <c r="K130" s="142"/>
      <c r="L130" s="142"/>
      <c r="M130" s="142"/>
      <c r="N130" s="143" t="s">
        <v>4655</v>
      </c>
      <c r="O130" s="143" t="s">
        <v>4668</v>
      </c>
    </row>
    <row r="131" spans="1:15" ht="42">
      <c r="A131" s="142" t="s">
        <v>142</v>
      </c>
      <c r="B131" s="142" t="s">
        <v>2</v>
      </c>
      <c r="C131" s="142" t="s">
        <v>3310</v>
      </c>
      <c r="D131" s="142" t="s">
        <v>1688</v>
      </c>
      <c r="E131" s="142" t="s">
        <v>3278</v>
      </c>
      <c r="F131" s="142" t="s">
        <v>4533</v>
      </c>
      <c r="G131" s="143" t="s">
        <v>946</v>
      </c>
      <c r="H131" s="143" t="s">
        <v>143</v>
      </c>
      <c r="I131" s="143" t="s">
        <v>3446</v>
      </c>
      <c r="J131" s="142" t="s">
        <v>3641</v>
      </c>
      <c r="K131" s="142" t="s">
        <v>1485</v>
      </c>
      <c r="L131" s="142" t="s">
        <v>3642</v>
      </c>
      <c r="M131" s="142" t="s">
        <v>1155</v>
      </c>
      <c r="N131" s="143" t="s">
        <v>3536</v>
      </c>
      <c r="O131" s="143" t="s">
        <v>4668</v>
      </c>
    </row>
    <row r="132" spans="1:15" ht="42">
      <c r="A132" s="142" t="s">
        <v>144</v>
      </c>
      <c r="B132" s="142" t="s">
        <v>2</v>
      </c>
      <c r="C132" s="142" t="s">
        <v>246</v>
      </c>
      <c r="D132" s="142" t="s">
        <v>250</v>
      </c>
      <c r="E132" s="142" t="s">
        <v>946</v>
      </c>
      <c r="F132" s="142" t="s">
        <v>946</v>
      </c>
      <c r="G132" s="143" t="s">
        <v>3449</v>
      </c>
      <c r="H132" s="143" t="s">
        <v>3447</v>
      </c>
      <c r="I132" s="143" t="s">
        <v>3448</v>
      </c>
      <c r="J132" s="142"/>
      <c r="K132" s="142"/>
      <c r="L132" s="142"/>
      <c r="M132" s="142"/>
      <c r="N132" s="143" t="s">
        <v>3323</v>
      </c>
      <c r="O132" s="143" t="s">
        <v>946</v>
      </c>
    </row>
    <row r="133" spans="1:15" ht="42">
      <c r="A133" s="142" t="s">
        <v>145</v>
      </c>
      <c r="B133" s="142" t="s">
        <v>2</v>
      </c>
      <c r="C133" s="142" t="s">
        <v>3310</v>
      </c>
      <c r="D133" s="142" t="s">
        <v>1688</v>
      </c>
      <c r="E133" s="142" t="s">
        <v>3278</v>
      </c>
      <c r="F133" s="142" t="s">
        <v>4533</v>
      </c>
      <c r="G133" s="143" t="s">
        <v>946</v>
      </c>
      <c r="H133" s="143" t="s">
        <v>146</v>
      </c>
      <c r="I133" s="143" t="s">
        <v>3450</v>
      </c>
      <c r="J133" s="142" t="s">
        <v>3655</v>
      </c>
      <c r="K133" s="142" t="s">
        <v>3656</v>
      </c>
      <c r="L133" s="142"/>
      <c r="M133" s="142" t="s">
        <v>3657</v>
      </c>
      <c r="N133" s="143" t="s">
        <v>3714</v>
      </c>
      <c r="O133" s="143" t="s">
        <v>4668</v>
      </c>
    </row>
    <row r="134" spans="1:15" ht="42">
      <c r="A134" s="142" t="s">
        <v>147</v>
      </c>
      <c r="B134" s="142" t="s">
        <v>2</v>
      </c>
      <c r="C134" s="142" t="s">
        <v>3310</v>
      </c>
      <c r="D134" s="142" t="s">
        <v>1688</v>
      </c>
      <c r="E134" s="142" t="s">
        <v>3278</v>
      </c>
      <c r="F134" s="142" t="s">
        <v>4533</v>
      </c>
      <c r="G134" s="143" t="s">
        <v>946</v>
      </c>
      <c r="H134" s="143" t="s">
        <v>148</v>
      </c>
      <c r="I134" s="143" t="s">
        <v>3451</v>
      </c>
      <c r="J134" s="142" t="s">
        <v>3661</v>
      </c>
      <c r="K134" s="142" t="s">
        <v>3662</v>
      </c>
      <c r="L134" s="142" t="s">
        <v>3663</v>
      </c>
      <c r="M134" s="142" t="s">
        <v>1440</v>
      </c>
      <c r="N134" s="143" t="s">
        <v>3536</v>
      </c>
      <c r="O134" s="143" t="s">
        <v>4668</v>
      </c>
    </row>
    <row r="135" spans="1:15" ht="42">
      <c r="A135" s="142" t="s">
        <v>149</v>
      </c>
      <c r="B135" s="142" t="s">
        <v>2</v>
      </c>
      <c r="C135" s="142" t="s">
        <v>3310</v>
      </c>
      <c r="D135" s="142" t="s">
        <v>1688</v>
      </c>
      <c r="E135" s="142" t="s">
        <v>3278</v>
      </c>
      <c r="F135" s="142" t="s">
        <v>4533</v>
      </c>
      <c r="G135" s="143" t="s">
        <v>946</v>
      </c>
      <c r="H135" s="143" t="s">
        <v>150</v>
      </c>
      <c r="I135" s="143" t="s">
        <v>3452</v>
      </c>
      <c r="J135" s="142" t="s">
        <v>3664</v>
      </c>
      <c r="K135" s="142" t="s">
        <v>1452</v>
      </c>
      <c r="L135" s="142" t="s">
        <v>2690</v>
      </c>
      <c r="M135" s="142" t="s">
        <v>2813</v>
      </c>
      <c r="N135" s="143" t="s">
        <v>3536</v>
      </c>
      <c r="O135" s="143" t="s">
        <v>4668</v>
      </c>
    </row>
    <row r="136" spans="1:15" ht="42">
      <c r="A136" s="142" t="s">
        <v>151</v>
      </c>
      <c r="B136" s="142" t="s">
        <v>2</v>
      </c>
      <c r="C136" s="142" t="s">
        <v>3310</v>
      </c>
      <c r="D136" s="142" t="s">
        <v>1688</v>
      </c>
      <c r="E136" s="142" t="s">
        <v>3278</v>
      </c>
      <c r="F136" s="142" t="s">
        <v>4533</v>
      </c>
      <c r="G136" s="143" t="s">
        <v>946</v>
      </c>
      <c r="H136" s="143" t="s">
        <v>152</v>
      </c>
      <c r="I136" s="143" t="s">
        <v>3453</v>
      </c>
      <c r="J136" s="142" t="s">
        <v>3665</v>
      </c>
      <c r="K136" s="142" t="s">
        <v>3666</v>
      </c>
      <c r="L136" s="142" t="s">
        <v>3667</v>
      </c>
      <c r="M136" s="142" t="s">
        <v>2810</v>
      </c>
      <c r="N136" s="143" t="s">
        <v>3536</v>
      </c>
      <c r="O136" s="143" t="s">
        <v>4668</v>
      </c>
    </row>
    <row r="137" spans="1:15" ht="42">
      <c r="A137" s="142" t="s">
        <v>157</v>
      </c>
      <c r="B137" s="142" t="s">
        <v>2</v>
      </c>
      <c r="C137" s="142" t="s">
        <v>3310</v>
      </c>
      <c r="D137" s="142" t="s">
        <v>1688</v>
      </c>
      <c r="E137" s="142" t="s">
        <v>3278</v>
      </c>
      <c r="F137" s="142" t="s">
        <v>4533</v>
      </c>
      <c r="G137" s="143" t="s">
        <v>946</v>
      </c>
      <c r="H137" s="143" t="s">
        <v>158</v>
      </c>
      <c r="I137" s="143" t="s">
        <v>3454</v>
      </c>
      <c r="J137" s="142" t="s">
        <v>3583</v>
      </c>
      <c r="K137" s="142" t="s">
        <v>3584</v>
      </c>
      <c r="L137" s="142" t="s">
        <v>3585</v>
      </c>
      <c r="M137" s="142" t="s">
        <v>3668</v>
      </c>
      <c r="N137" s="143" t="s">
        <v>3536</v>
      </c>
      <c r="O137" s="143" t="s">
        <v>4668</v>
      </c>
    </row>
    <row r="138" spans="1:15" ht="63">
      <c r="A138" s="142" t="s">
        <v>159</v>
      </c>
      <c r="B138" s="142" t="s">
        <v>2</v>
      </c>
      <c r="C138" s="142" t="s">
        <v>3310</v>
      </c>
      <c r="D138" s="142" t="s">
        <v>1688</v>
      </c>
      <c r="E138" s="142" t="s">
        <v>3278</v>
      </c>
      <c r="F138" s="142" t="s">
        <v>4533</v>
      </c>
      <c r="G138" s="143" t="s">
        <v>946</v>
      </c>
      <c r="H138" s="143" t="s">
        <v>160</v>
      </c>
      <c r="I138" s="143" t="s">
        <v>4683</v>
      </c>
      <c r="J138" s="142" t="s">
        <v>3571</v>
      </c>
      <c r="K138" s="142" t="s">
        <v>3572</v>
      </c>
      <c r="L138" s="142" t="s">
        <v>3573</v>
      </c>
      <c r="M138" s="142" t="s">
        <v>1149</v>
      </c>
      <c r="N138" s="143" t="s">
        <v>3536</v>
      </c>
      <c r="O138" s="143" t="s">
        <v>4668</v>
      </c>
    </row>
    <row r="139" spans="1:15" ht="42">
      <c r="A139" s="142" t="s">
        <v>161</v>
      </c>
      <c r="B139" s="142" t="s">
        <v>2</v>
      </c>
      <c r="C139" s="142" t="s">
        <v>3310</v>
      </c>
      <c r="D139" s="142" t="s">
        <v>1688</v>
      </c>
      <c r="E139" s="142" t="s">
        <v>3278</v>
      </c>
      <c r="F139" s="142" t="s">
        <v>4533</v>
      </c>
      <c r="G139" s="143" t="s">
        <v>946</v>
      </c>
      <c r="H139" s="143" t="s">
        <v>162</v>
      </c>
      <c r="I139" s="143" t="s">
        <v>3455</v>
      </c>
      <c r="J139" s="142" t="s">
        <v>3583</v>
      </c>
      <c r="K139" s="142" t="s">
        <v>3584</v>
      </c>
      <c r="L139" s="142" t="s">
        <v>3585</v>
      </c>
      <c r="M139" s="142" t="s">
        <v>3668</v>
      </c>
      <c r="N139" s="143" t="s">
        <v>3536</v>
      </c>
      <c r="O139" s="143" t="s">
        <v>4668</v>
      </c>
    </row>
    <row r="140" spans="1:15" ht="42">
      <c r="A140" s="142" t="s">
        <v>163</v>
      </c>
      <c r="B140" s="142" t="s">
        <v>2</v>
      </c>
      <c r="C140" s="142" t="s">
        <v>3310</v>
      </c>
      <c r="D140" s="142" t="s">
        <v>1688</v>
      </c>
      <c r="E140" s="142" t="s">
        <v>3278</v>
      </c>
      <c r="F140" s="142" t="s">
        <v>4533</v>
      </c>
      <c r="G140" s="143" t="s">
        <v>946</v>
      </c>
      <c r="H140" s="143" t="s">
        <v>164</v>
      </c>
      <c r="I140" s="143" t="s">
        <v>3456</v>
      </c>
      <c r="J140" s="142" t="s">
        <v>3571</v>
      </c>
      <c r="K140" s="142" t="s">
        <v>3572</v>
      </c>
      <c r="L140" s="142" t="s">
        <v>3573</v>
      </c>
      <c r="M140" s="142" t="s">
        <v>1149</v>
      </c>
      <c r="N140" s="143" t="s">
        <v>3536</v>
      </c>
      <c r="O140" s="143" t="s">
        <v>4668</v>
      </c>
    </row>
    <row r="141" spans="1:15" ht="42">
      <c r="A141" s="142" t="s">
        <v>165</v>
      </c>
      <c r="B141" s="142" t="s">
        <v>2</v>
      </c>
      <c r="C141" s="142" t="s">
        <v>3310</v>
      </c>
      <c r="D141" s="142" t="s">
        <v>1688</v>
      </c>
      <c r="E141" s="142" t="s">
        <v>3278</v>
      </c>
      <c r="F141" s="142" t="s">
        <v>4533</v>
      </c>
      <c r="G141" s="143" t="s">
        <v>946</v>
      </c>
      <c r="H141" s="143" t="s">
        <v>166</v>
      </c>
      <c r="I141" s="143" t="s">
        <v>4684</v>
      </c>
      <c r="J141" s="142" t="s">
        <v>1593</v>
      </c>
      <c r="K141" s="142" t="s">
        <v>1461</v>
      </c>
      <c r="L141" s="142" t="s">
        <v>2513</v>
      </c>
      <c r="M141" s="142" t="s">
        <v>2807</v>
      </c>
      <c r="N141" s="143" t="s">
        <v>3536</v>
      </c>
      <c r="O141" s="143" t="s">
        <v>4668</v>
      </c>
    </row>
    <row r="142" spans="1:15" ht="63">
      <c r="A142" s="142" t="s">
        <v>153</v>
      </c>
      <c r="B142" s="142" t="s">
        <v>2</v>
      </c>
      <c r="C142" s="142" t="s">
        <v>3310</v>
      </c>
      <c r="D142" s="142" t="s">
        <v>1688</v>
      </c>
      <c r="E142" s="142" t="s">
        <v>3275</v>
      </c>
      <c r="F142" s="142" t="s">
        <v>4540</v>
      </c>
      <c r="G142" s="143" t="s">
        <v>3377</v>
      </c>
      <c r="H142" s="143" t="s">
        <v>154</v>
      </c>
      <c r="I142" s="143" t="s">
        <v>3457</v>
      </c>
      <c r="J142" s="142"/>
      <c r="K142" s="142"/>
      <c r="L142" s="142"/>
      <c r="M142" s="142"/>
      <c r="N142" s="143" t="s">
        <v>4543</v>
      </c>
      <c r="O142" s="143" t="s">
        <v>4538</v>
      </c>
    </row>
    <row r="143" spans="1:15" ht="63">
      <c r="A143" s="142" t="s">
        <v>169</v>
      </c>
      <c r="B143" s="142" t="s">
        <v>2</v>
      </c>
      <c r="C143" s="142" t="s">
        <v>3310</v>
      </c>
      <c r="D143" s="142" t="s">
        <v>1688</v>
      </c>
      <c r="E143" s="142" t="s">
        <v>3278</v>
      </c>
      <c r="F143" s="142" t="s">
        <v>4533</v>
      </c>
      <c r="G143" s="143" t="s">
        <v>3459</v>
      </c>
      <c r="H143" s="143" t="s">
        <v>170</v>
      </c>
      <c r="I143" s="143" t="s">
        <v>3458</v>
      </c>
      <c r="J143" s="142" t="s">
        <v>1592</v>
      </c>
      <c r="K143" s="142" t="s">
        <v>1459</v>
      </c>
      <c r="L143" s="142" t="s">
        <v>3539</v>
      </c>
      <c r="M143" s="142" t="s">
        <v>3669</v>
      </c>
      <c r="N143" s="143" t="s">
        <v>3536</v>
      </c>
      <c r="O143" s="143" t="s">
        <v>4668</v>
      </c>
    </row>
    <row r="144" spans="1:15" ht="42">
      <c r="A144" s="142" t="s">
        <v>4685</v>
      </c>
      <c r="B144" s="142" t="s">
        <v>2</v>
      </c>
      <c r="C144" s="142" t="s">
        <v>3310</v>
      </c>
      <c r="D144" s="142" t="s">
        <v>1688</v>
      </c>
      <c r="E144" s="142" t="s">
        <v>3712</v>
      </c>
      <c r="F144" s="142" t="s">
        <v>4652</v>
      </c>
      <c r="G144" s="143" t="s">
        <v>4686</v>
      </c>
      <c r="H144" s="143" t="s">
        <v>4687</v>
      </c>
      <c r="I144" s="143" t="s">
        <v>3460</v>
      </c>
      <c r="J144" s="142"/>
      <c r="K144" s="142"/>
      <c r="L144" s="142" t="s">
        <v>2608</v>
      </c>
      <c r="M144" s="142" t="s">
        <v>1162</v>
      </c>
      <c r="N144" s="143" t="s">
        <v>4655</v>
      </c>
      <c r="O144" s="143" t="s">
        <v>946</v>
      </c>
    </row>
    <row r="145" spans="1:15" ht="42">
      <c r="A145" s="142" t="s">
        <v>4688</v>
      </c>
      <c r="B145" s="142" t="s">
        <v>2</v>
      </c>
      <c r="C145" s="142" t="s">
        <v>3310</v>
      </c>
      <c r="D145" s="142" t="s">
        <v>1688</v>
      </c>
      <c r="E145" s="142" t="s">
        <v>3278</v>
      </c>
      <c r="F145" s="142" t="s">
        <v>4533</v>
      </c>
      <c r="G145" s="143" t="s">
        <v>4689</v>
      </c>
      <c r="H145" s="143" t="s">
        <v>4690</v>
      </c>
      <c r="I145" s="143" t="s">
        <v>3460</v>
      </c>
      <c r="J145" s="142" t="s">
        <v>4691</v>
      </c>
      <c r="K145" s="142"/>
      <c r="L145" s="142"/>
      <c r="M145" s="142" t="s">
        <v>4692</v>
      </c>
      <c r="N145" s="143" t="s">
        <v>3714</v>
      </c>
      <c r="O145" s="143" t="s">
        <v>946</v>
      </c>
    </row>
    <row r="146" spans="1:15" ht="42">
      <c r="A146" s="142" t="s">
        <v>4693</v>
      </c>
      <c r="B146" s="142" t="s">
        <v>2</v>
      </c>
      <c r="C146" s="142" t="s">
        <v>3310</v>
      </c>
      <c r="D146" s="142" t="s">
        <v>1688</v>
      </c>
      <c r="E146" s="142" t="s">
        <v>3712</v>
      </c>
      <c r="F146" s="142" t="s">
        <v>4652</v>
      </c>
      <c r="G146" s="143" t="s">
        <v>4686</v>
      </c>
      <c r="H146" s="143" t="s">
        <v>4694</v>
      </c>
      <c r="I146" s="143" t="s">
        <v>3461</v>
      </c>
      <c r="J146" s="142"/>
      <c r="K146" s="142"/>
      <c r="L146" s="142" t="s">
        <v>2608</v>
      </c>
      <c r="M146" s="142" t="s">
        <v>1162</v>
      </c>
      <c r="N146" s="143" t="s">
        <v>4655</v>
      </c>
      <c r="O146" s="143" t="s">
        <v>946</v>
      </c>
    </row>
    <row r="147" spans="1:15" ht="42">
      <c r="A147" s="142" t="s">
        <v>4695</v>
      </c>
      <c r="B147" s="142" t="s">
        <v>2</v>
      </c>
      <c r="C147" s="142" t="s">
        <v>3310</v>
      </c>
      <c r="D147" s="142" t="s">
        <v>1688</v>
      </c>
      <c r="E147" s="142" t="s">
        <v>3278</v>
      </c>
      <c r="F147" s="142" t="s">
        <v>4533</v>
      </c>
      <c r="G147" s="143" t="s">
        <v>4689</v>
      </c>
      <c r="H147" s="143" t="s">
        <v>4696</v>
      </c>
      <c r="I147" s="143" t="s">
        <v>3461</v>
      </c>
      <c r="J147" s="142" t="s">
        <v>4691</v>
      </c>
      <c r="K147" s="142"/>
      <c r="L147" s="142"/>
      <c r="M147" s="142" t="s">
        <v>1162</v>
      </c>
      <c r="N147" s="143" t="s">
        <v>3714</v>
      </c>
      <c r="O147" s="143" t="s">
        <v>946</v>
      </c>
    </row>
    <row r="148" spans="1:15" ht="42">
      <c r="A148" s="142" t="s">
        <v>172</v>
      </c>
      <c r="B148" s="142" t="s">
        <v>2</v>
      </c>
      <c r="C148" s="142" t="s">
        <v>3282</v>
      </c>
      <c r="D148" s="142" t="s">
        <v>1688</v>
      </c>
      <c r="E148" s="142" t="s">
        <v>3278</v>
      </c>
      <c r="F148" s="142" t="s">
        <v>4533</v>
      </c>
      <c r="G148" s="143" t="s">
        <v>946</v>
      </c>
      <c r="H148" s="143" t="s">
        <v>173</v>
      </c>
      <c r="I148" s="143" t="s">
        <v>3462</v>
      </c>
      <c r="J148" s="142" t="s">
        <v>3670</v>
      </c>
      <c r="K148" s="142" t="s">
        <v>1451</v>
      </c>
      <c r="L148" s="142" t="s">
        <v>3671</v>
      </c>
      <c r="M148" s="142" t="s">
        <v>1161</v>
      </c>
      <c r="N148" s="143" t="s">
        <v>3536</v>
      </c>
      <c r="O148" s="143" t="s">
        <v>4668</v>
      </c>
    </row>
    <row r="149" spans="1:15" ht="42">
      <c r="A149" s="142" t="s">
        <v>174</v>
      </c>
      <c r="B149" s="142" t="s">
        <v>2</v>
      </c>
      <c r="C149" s="142" t="s">
        <v>3310</v>
      </c>
      <c r="D149" s="142" t="s">
        <v>1688</v>
      </c>
      <c r="E149" s="142" t="s">
        <v>3278</v>
      </c>
      <c r="F149" s="142" t="s">
        <v>4533</v>
      </c>
      <c r="G149" s="143" t="s">
        <v>946</v>
      </c>
      <c r="H149" s="143" t="s">
        <v>175</v>
      </c>
      <c r="I149" s="143" t="s">
        <v>3463</v>
      </c>
      <c r="J149" s="142" t="s">
        <v>3637</v>
      </c>
      <c r="K149" s="142" t="s">
        <v>3638</v>
      </c>
      <c r="L149" s="142" t="s">
        <v>3639</v>
      </c>
      <c r="M149" s="142" t="s">
        <v>2812</v>
      </c>
      <c r="N149" s="143" t="s">
        <v>3536</v>
      </c>
      <c r="O149" s="143" t="s">
        <v>4668</v>
      </c>
    </row>
    <row r="150" spans="1:15" ht="42">
      <c r="A150" s="142" t="s">
        <v>155</v>
      </c>
      <c r="B150" s="142" t="s">
        <v>2</v>
      </c>
      <c r="C150" s="142" t="s">
        <v>3310</v>
      </c>
      <c r="D150" s="142" t="s">
        <v>1688</v>
      </c>
      <c r="E150" s="142" t="s">
        <v>3278</v>
      </c>
      <c r="F150" s="142" t="s">
        <v>4533</v>
      </c>
      <c r="G150" s="143" t="s">
        <v>946</v>
      </c>
      <c r="H150" s="143" t="s">
        <v>156</v>
      </c>
      <c r="I150" s="143" t="s">
        <v>3464</v>
      </c>
      <c r="J150" s="142" t="s">
        <v>3672</v>
      </c>
      <c r="K150" s="142" t="s">
        <v>3673</v>
      </c>
      <c r="L150" s="142" t="s">
        <v>3674</v>
      </c>
      <c r="M150" s="142" t="s">
        <v>3675</v>
      </c>
      <c r="N150" s="143" t="s">
        <v>3536</v>
      </c>
      <c r="O150" s="143" t="s">
        <v>4668</v>
      </c>
    </row>
    <row r="151" spans="1:15" ht="42">
      <c r="A151" s="142" t="s">
        <v>176</v>
      </c>
      <c r="B151" s="142" t="s">
        <v>2</v>
      </c>
      <c r="C151" s="142" t="s">
        <v>3310</v>
      </c>
      <c r="D151" s="142" t="s">
        <v>1688</v>
      </c>
      <c r="E151" s="142" t="s">
        <v>3278</v>
      </c>
      <c r="F151" s="142" t="s">
        <v>4533</v>
      </c>
      <c r="G151" s="143" t="s">
        <v>946</v>
      </c>
      <c r="H151" s="143" t="s">
        <v>177</v>
      </c>
      <c r="I151" s="143" t="s">
        <v>3465</v>
      </c>
      <c r="J151" s="142" t="s">
        <v>3676</v>
      </c>
      <c r="K151" s="142" t="s">
        <v>1484</v>
      </c>
      <c r="L151" s="142" t="s">
        <v>3677</v>
      </c>
      <c r="M151" s="142" t="s">
        <v>2805</v>
      </c>
      <c r="N151" s="143" t="s">
        <v>3536</v>
      </c>
      <c r="O151" s="143" t="s">
        <v>4668</v>
      </c>
    </row>
    <row r="152" spans="1:15" ht="42">
      <c r="A152" s="142" t="s">
        <v>178</v>
      </c>
      <c r="B152" s="142" t="s">
        <v>2</v>
      </c>
      <c r="C152" s="142" t="s">
        <v>3310</v>
      </c>
      <c r="D152" s="142" t="s">
        <v>1688</v>
      </c>
      <c r="E152" s="142" t="s">
        <v>3278</v>
      </c>
      <c r="F152" s="142" t="s">
        <v>4533</v>
      </c>
      <c r="G152" s="143" t="s">
        <v>946</v>
      </c>
      <c r="H152" s="143" t="s">
        <v>179</v>
      </c>
      <c r="I152" s="143" t="s">
        <v>3466</v>
      </c>
      <c r="J152" s="142" t="s">
        <v>3678</v>
      </c>
      <c r="K152" s="142" t="s">
        <v>3679</v>
      </c>
      <c r="L152" s="142" t="s">
        <v>3680</v>
      </c>
      <c r="M152" s="142" t="s">
        <v>2817</v>
      </c>
      <c r="N152" s="143" t="s">
        <v>3536</v>
      </c>
      <c r="O152" s="143" t="s">
        <v>4668</v>
      </c>
    </row>
    <row r="153" spans="1:15" ht="42">
      <c r="A153" s="142" t="s">
        <v>180</v>
      </c>
      <c r="B153" s="142" t="s">
        <v>2</v>
      </c>
      <c r="C153" s="142" t="s">
        <v>3310</v>
      </c>
      <c r="D153" s="142" t="s">
        <v>1688</v>
      </c>
      <c r="E153" s="142" t="s">
        <v>3278</v>
      </c>
      <c r="F153" s="142" t="s">
        <v>4533</v>
      </c>
      <c r="G153" s="143" t="s">
        <v>4697</v>
      </c>
      <c r="H153" s="143" t="s">
        <v>3467</v>
      </c>
      <c r="I153" s="143" t="s">
        <v>3468</v>
      </c>
      <c r="J153" s="142" t="s">
        <v>4698</v>
      </c>
      <c r="K153" s="142" t="s">
        <v>1451</v>
      </c>
      <c r="L153" s="142" t="s">
        <v>3671</v>
      </c>
      <c r="M153" s="142" t="s">
        <v>3681</v>
      </c>
      <c r="N153" s="143" t="s">
        <v>3536</v>
      </c>
      <c r="O153" s="143" t="s">
        <v>4668</v>
      </c>
    </row>
    <row r="154" spans="1:15" ht="63">
      <c r="A154" s="142" t="s">
        <v>181</v>
      </c>
      <c r="B154" s="142" t="s">
        <v>2</v>
      </c>
      <c r="C154" s="142" t="s">
        <v>3310</v>
      </c>
      <c r="D154" s="142" t="s">
        <v>1688</v>
      </c>
      <c r="E154" s="142" t="s">
        <v>3278</v>
      </c>
      <c r="F154" s="142" t="s">
        <v>4533</v>
      </c>
      <c r="G154" s="143" t="s">
        <v>946</v>
      </c>
      <c r="H154" s="143" t="s">
        <v>4699</v>
      </c>
      <c r="I154" s="143" t="s">
        <v>4700</v>
      </c>
      <c r="J154" s="142" t="s">
        <v>4701</v>
      </c>
      <c r="K154" s="142" t="s">
        <v>1484</v>
      </c>
      <c r="L154" s="142" t="s">
        <v>3677</v>
      </c>
      <c r="M154" s="142" t="s">
        <v>4702</v>
      </c>
      <c r="N154" s="143" t="s">
        <v>3536</v>
      </c>
      <c r="O154" s="143" t="s">
        <v>4668</v>
      </c>
    </row>
    <row r="155" spans="1:15" ht="42">
      <c r="A155" s="142" t="s">
        <v>167</v>
      </c>
      <c r="B155" s="142" t="s">
        <v>2</v>
      </c>
      <c r="C155" s="142" t="s">
        <v>3310</v>
      </c>
      <c r="D155" s="142" t="s">
        <v>1688</v>
      </c>
      <c r="E155" s="142" t="s">
        <v>3278</v>
      </c>
      <c r="F155" s="142" t="s">
        <v>4533</v>
      </c>
      <c r="G155" s="143" t="s">
        <v>946</v>
      </c>
      <c r="H155" s="143" t="s">
        <v>168</v>
      </c>
      <c r="I155" s="143" t="s">
        <v>3469</v>
      </c>
      <c r="J155" s="142" t="s">
        <v>3571</v>
      </c>
      <c r="K155" s="142" t="s">
        <v>3572</v>
      </c>
      <c r="L155" s="142" t="s">
        <v>3573</v>
      </c>
      <c r="M155" s="142" t="s">
        <v>1149</v>
      </c>
      <c r="N155" s="143" t="s">
        <v>3536</v>
      </c>
      <c r="O155" s="143" t="s">
        <v>4668</v>
      </c>
    </row>
    <row r="156" spans="1:15" ht="42">
      <c r="A156" s="142" t="s">
        <v>171</v>
      </c>
      <c r="B156" s="142" t="s">
        <v>2</v>
      </c>
      <c r="C156" s="142" t="s">
        <v>3282</v>
      </c>
      <c r="D156" s="142" t="s">
        <v>1688</v>
      </c>
      <c r="E156" s="142" t="s">
        <v>3275</v>
      </c>
      <c r="F156" s="142" t="s">
        <v>4540</v>
      </c>
      <c r="G156" s="143" t="s">
        <v>4703</v>
      </c>
      <c r="H156" s="143" t="s">
        <v>4704</v>
      </c>
      <c r="I156" s="143" t="s">
        <v>4705</v>
      </c>
      <c r="J156" s="142"/>
      <c r="K156" s="142"/>
      <c r="L156" s="142"/>
      <c r="M156" s="142"/>
      <c r="N156" s="143" t="s">
        <v>4545</v>
      </c>
      <c r="O156" s="143" t="s">
        <v>4538</v>
      </c>
    </row>
    <row r="157" spans="1:15" ht="63">
      <c r="A157" s="142" t="s">
        <v>4414</v>
      </c>
      <c r="B157" s="142" t="s">
        <v>2</v>
      </c>
      <c r="C157" s="142" t="s">
        <v>3274</v>
      </c>
      <c r="D157" s="142" t="s">
        <v>1688</v>
      </c>
      <c r="E157" s="142" t="s">
        <v>3278</v>
      </c>
      <c r="F157" s="142" t="s">
        <v>4533</v>
      </c>
      <c r="G157" s="143" t="s">
        <v>4706</v>
      </c>
      <c r="H157" s="143" t="s">
        <v>3747</v>
      </c>
      <c r="I157" s="143" t="s">
        <v>4707</v>
      </c>
      <c r="J157" s="142" t="s">
        <v>4708</v>
      </c>
      <c r="K157" s="142" t="s">
        <v>4709</v>
      </c>
      <c r="L157" s="142" t="s">
        <v>4710</v>
      </c>
      <c r="M157" s="142" t="s">
        <v>4711</v>
      </c>
      <c r="N157" s="143" t="s">
        <v>3536</v>
      </c>
      <c r="O157" s="143" t="s">
        <v>946</v>
      </c>
    </row>
    <row r="158" spans="1:15" ht="42">
      <c r="A158" s="142" t="s">
        <v>4712</v>
      </c>
      <c r="B158" s="142" t="s">
        <v>2</v>
      </c>
      <c r="C158" s="142" t="s">
        <v>3310</v>
      </c>
      <c r="D158" s="142" t="s">
        <v>1688</v>
      </c>
      <c r="E158" s="142" t="s">
        <v>3278</v>
      </c>
      <c r="F158" s="142" t="s">
        <v>4533</v>
      </c>
      <c r="G158" s="143" t="s">
        <v>4713</v>
      </c>
      <c r="H158" s="143" t="s">
        <v>4714</v>
      </c>
      <c r="I158" s="143" t="s">
        <v>4715</v>
      </c>
      <c r="J158" s="142" t="s">
        <v>4716</v>
      </c>
      <c r="K158" s="142" t="s">
        <v>1489</v>
      </c>
      <c r="L158" s="142" t="s">
        <v>4717</v>
      </c>
      <c r="M158" s="142" t="s">
        <v>2812</v>
      </c>
      <c r="N158" s="143" t="s">
        <v>3536</v>
      </c>
      <c r="O158" s="143" t="s">
        <v>4718</v>
      </c>
    </row>
    <row r="159" spans="1:15" ht="42">
      <c r="A159" s="142" t="s">
        <v>4453</v>
      </c>
      <c r="B159" s="142" t="s">
        <v>2</v>
      </c>
      <c r="C159" s="142" t="s">
        <v>3310</v>
      </c>
      <c r="D159" s="142" t="s">
        <v>1688</v>
      </c>
      <c r="E159" s="142" t="s">
        <v>3278</v>
      </c>
      <c r="F159" s="142" t="s">
        <v>4533</v>
      </c>
      <c r="G159" s="143" t="s">
        <v>4719</v>
      </c>
      <c r="H159" s="143" t="s">
        <v>1634</v>
      </c>
      <c r="I159" s="143" t="s">
        <v>4720</v>
      </c>
      <c r="J159" s="142" t="s">
        <v>4026</v>
      </c>
      <c r="K159" s="142" t="s">
        <v>4512</v>
      </c>
      <c r="L159" s="142" t="s">
        <v>4515</v>
      </c>
      <c r="M159" s="142" t="s">
        <v>4449</v>
      </c>
      <c r="N159" s="143" t="s">
        <v>3536</v>
      </c>
      <c r="O159" s="143" t="s">
        <v>4721</v>
      </c>
    </row>
    <row r="160" spans="1:15" ht="42">
      <c r="A160" s="142" t="s">
        <v>182</v>
      </c>
      <c r="B160" s="142" t="s">
        <v>2</v>
      </c>
      <c r="C160" s="142" t="s">
        <v>3282</v>
      </c>
      <c r="D160" s="142" t="s">
        <v>1688</v>
      </c>
      <c r="E160" s="142" t="s">
        <v>3278</v>
      </c>
      <c r="F160" s="142" t="s">
        <v>4533</v>
      </c>
      <c r="G160" s="143" t="s">
        <v>946</v>
      </c>
      <c r="H160" s="143" t="s">
        <v>183</v>
      </c>
      <c r="I160" s="143" t="s">
        <v>3470</v>
      </c>
      <c r="J160" s="142" t="s">
        <v>3682</v>
      </c>
      <c r="K160" s="142" t="s">
        <v>3683</v>
      </c>
      <c r="L160" s="142" t="s">
        <v>3684</v>
      </c>
      <c r="M160" s="142" t="s">
        <v>3685</v>
      </c>
      <c r="N160" s="143" t="s">
        <v>3536</v>
      </c>
      <c r="O160" s="143" t="s">
        <v>4668</v>
      </c>
    </row>
    <row r="161" spans="1:15" ht="42">
      <c r="A161" s="142" t="s">
        <v>184</v>
      </c>
      <c r="B161" s="142" t="s">
        <v>2</v>
      </c>
      <c r="C161" s="142" t="s">
        <v>3282</v>
      </c>
      <c r="D161" s="142" t="s">
        <v>1688</v>
      </c>
      <c r="E161" s="142" t="s">
        <v>3278</v>
      </c>
      <c r="F161" s="142" t="s">
        <v>4533</v>
      </c>
      <c r="G161" s="143" t="s">
        <v>946</v>
      </c>
      <c r="H161" s="143" t="s">
        <v>185</v>
      </c>
      <c r="I161" s="143" t="s">
        <v>3471</v>
      </c>
      <c r="J161" s="142" t="s">
        <v>3682</v>
      </c>
      <c r="K161" s="142" t="s">
        <v>3683</v>
      </c>
      <c r="L161" s="142" t="s">
        <v>3684</v>
      </c>
      <c r="M161" s="142" t="s">
        <v>3686</v>
      </c>
      <c r="N161" s="143" t="s">
        <v>3536</v>
      </c>
      <c r="O161" s="143" t="s">
        <v>4668</v>
      </c>
    </row>
    <row r="162" spans="1:15" ht="63">
      <c r="A162" s="142" t="s">
        <v>186</v>
      </c>
      <c r="B162" s="142" t="s">
        <v>2</v>
      </c>
      <c r="C162" s="142" t="s">
        <v>3282</v>
      </c>
      <c r="D162" s="142" t="s">
        <v>1688</v>
      </c>
      <c r="E162" s="142" t="s">
        <v>3278</v>
      </c>
      <c r="F162" s="142" t="s">
        <v>4533</v>
      </c>
      <c r="G162" s="143" t="s">
        <v>946</v>
      </c>
      <c r="H162" s="143" t="s">
        <v>187</v>
      </c>
      <c r="I162" s="143" t="s">
        <v>4722</v>
      </c>
      <c r="J162" s="142" t="s">
        <v>3687</v>
      </c>
      <c r="K162" s="142" t="s">
        <v>3683</v>
      </c>
      <c r="L162" s="142" t="s">
        <v>3684</v>
      </c>
      <c r="M162" s="142" t="s">
        <v>3688</v>
      </c>
      <c r="N162" s="143" t="s">
        <v>3536</v>
      </c>
      <c r="O162" s="143" t="s">
        <v>4668</v>
      </c>
    </row>
    <row r="163" spans="1:15" ht="42">
      <c r="A163" s="142" t="s">
        <v>188</v>
      </c>
      <c r="B163" s="142" t="s">
        <v>2</v>
      </c>
      <c r="C163" s="142" t="s">
        <v>3310</v>
      </c>
      <c r="D163" s="142" t="s">
        <v>1688</v>
      </c>
      <c r="E163" s="142" t="s">
        <v>3278</v>
      </c>
      <c r="F163" s="142" t="s">
        <v>4533</v>
      </c>
      <c r="G163" s="143" t="s">
        <v>946</v>
      </c>
      <c r="H163" s="143" t="s">
        <v>189</v>
      </c>
      <c r="I163" s="143" t="s">
        <v>3472</v>
      </c>
      <c r="J163" s="142" t="s">
        <v>1438</v>
      </c>
      <c r="K163" s="142" t="s">
        <v>2674</v>
      </c>
      <c r="L163" s="142" t="s">
        <v>2677</v>
      </c>
      <c r="M163" s="142" t="s">
        <v>1160</v>
      </c>
      <c r="N163" s="143" t="s">
        <v>3536</v>
      </c>
      <c r="O163" s="143" t="s">
        <v>4668</v>
      </c>
    </row>
    <row r="164" spans="1:15" ht="42">
      <c r="A164" s="142" t="s">
        <v>190</v>
      </c>
      <c r="B164" s="142" t="s">
        <v>2</v>
      </c>
      <c r="C164" s="142" t="s">
        <v>3310</v>
      </c>
      <c r="D164" s="142" t="s">
        <v>1688</v>
      </c>
      <c r="E164" s="142" t="s">
        <v>3278</v>
      </c>
      <c r="F164" s="142" t="s">
        <v>4533</v>
      </c>
      <c r="G164" s="143" t="s">
        <v>946</v>
      </c>
      <c r="H164" s="143" t="s">
        <v>191</v>
      </c>
      <c r="I164" s="143" t="s">
        <v>3473</v>
      </c>
      <c r="J164" s="142" t="s">
        <v>1438</v>
      </c>
      <c r="K164" s="142" t="s">
        <v>2674</v>
      </c>
      <c r="L164" s="142" t="s">
        <v>2677</v>
      </c>
      <c r="M164" s="142" t="s">
        <v>3689</v>
      </c>
      <c r="N164" s="143" t="s">
        <v>3536</v>
      </c>
      <c r="O164" s="143" t="s">
        <v>4668</v>
      </c>
    </row>
    <row r="165" spans="1:15" ht="42">
      <c r="A165" s="142" t="s">
        <v>192</v>
      </c>
      <c r="B165" s="142" t="s">
        <v>2</v>
      </c>
      <c r="C165" s="142" t="s">
        <v>3310</v>
      </c>
      <c r="D165" s="142" t="s">
        <v>1688</v>
      </c>
      <c r="E165" s="142" t="s">
        <v>3278</v>
      </c>
      <c r="F165" s="142" t="s">
        <v>4533</v>
      </c>
      <c r="G165" s="143" t="s">
        <v>946</v>
      </c>
      <c r="H165" s="143" t="s">
        <v>193</v>
      </c>
      <c r="I165" s="143" t="s">
        <v>3474</v>
      </c>
      <c r="J165" s="142" t="s">
        <v>3687</v>
      </c>
      <c r="K165" s="142" t="s">
        <v>3683</v>
      </c>
      <c r="L165" s="142" t="s">
        <v>3684</v>
      </c>
      <c r="M165" s="142" t="s">
        <v>3688</v>
      </c>
      <c r="N165" s="143" t="s">
        <v>3536</v>
      </c>
      <c r="O165" s="143" t="s">
        <v>4668</v>
      </c>
    </row>
    <row r="166" spans="1:15" ht="42">
      <c r="A166" s="142" t="s">
        <v>194</v>
      </c>
      <c r="B166" s="142" t="s">
        <v>2</v>
      </c>
      <c r="C166" s="142" t="s">
        <v>3282</v>
      </c>
      <c r="D166" s="142" t="s">
        <v>1688</v>
      </c>
      <c r="E166" s="142" t="s">
        <v>3278</v>
      </c>
      <c r="F166" s="142" t="s">
        <v>4533</v>
      </c>
      <c r="G166" s="143" t="s">
        <v>946</v>
      </c>
      <c r="H166" s="143" t="s">
        <v>3475</v>
      </c>
      <c r="I166" s="143" t="s">
        <v>3476</v>
      </c>
      <c r="J166" s="142" t="s">
        <v>3687</v>
      </c>
      <c r="K166" s="142" t="s">
        <v>3683</v>
      </c>
      <c r="L166" s="142" t="s">
        <v>3684</v>
      </c>
      <c r="M166" s="142" t="s">
        <v>3688</v>
      </c>
      <c r="N166" s="143" t="s">
        <v>3536</v>
      </c>
      <c r="O166" s="143" t="s">
        <v>4668</v>
      </c>
    </row>
    <row r="167" spans="1:15" ht="63">
      <c r="A167" s="142" t="s">
        <v>195</v>
      </c>
      <c r="B167" s="142" t="s">
        <v>2</v>
      </c>
      <c r="C167" s="142" t="s">
        <v>3310</v>
      </c>
      <c r="D167" s="142" t="s">
        <v>250</v>
      </c>
      <c r="E167" s="142" t="s">
        <v>946</v>
      </c>
      <c r="F167" s="142" t="s">
        <v>946</v>
      </c>
      <c r="G167" s="143" t="s">
        <v>4723</v>
      </c>
      <c r="H167" s="143" t="s">
        <v>3477</v>
      </c>
      <c r="I167" s="143" t="s">
        <v>3478</v>
      </c>
      <c r="J167" s="142"/>
      <c r="K167" s="142"/>
      <c r="L167" s="142"/>
      <c r="M167" s="142" t="s">
        <v>1158</v>
      </c>
      <c r="N167" s="143" t="s">
        <v>4724</v>
      </c>
      <c r="O167" s="143" t="s">
        <v>946</v>
      </c>
    </row>
    <row r="168" spans="1:15" ht="42">
      <c r="A168" s="142" t="s">
        <v>196</v>
      </c>
      <c r="B168" s="142" t="s">
        <v>2</v>
      </c>
      <c r="C168" s="142" t="s">
        <v>3310</v>
      </c>
      <c r="D168" s="142" t="s">
        <v>1688</v>
      </c>
      <c r="E168" s="142" t="s">
        <v>3278</v>
      </c>
      <c r="F168" s="142" t="s">
        <v>4533</v>
      </c>
      <c r="G168" s="143" t="s">
        <v>946</v>
      </c>
      <c r="H168" s="143" t="s">
        <v>197</v>
      </c>
      <c r="I168" s="143" t="s">
        <v>3479</v>
      </c>
      <c r="J168" s="142" t="s">
        <v>3690</v>
      </c>
      <c r="K168" s="142" t="s">
        <v>2698</v>
      </c>
      <c r="L168" s="142" t="s">
        <v>2701</v>
      </c>
      <c r="M168" s="142" t="s">
        <v>2816</v>
      </c>
      <c r="N168" s="143" t="s">
        <v>3536</v>
      </c>
      <c r="O168" s="143" t="s">
        <v>4668</v>
      </c>
    </row>
    <row r="169" spans="1:15" ht="42">
      <c r="A169" s="142" t="s">
        <v>198</v>
      </c>
      <c r="B169" s="142" t="s">
        <v>2</v>
      </c>
      <c r="C169" s="142" t="s">
        <v>3310</v>
      </c>
      <c r="D169" s="142" t="s">
        <v>1688</v>
      </c>
      <c r="E169" s="142" t="s">
        <v>3278</v>
      </c>
      <c r="F169" s="142" t="s">
        <v>4533</v>
      </c>
      <c r="G169" s="143" t="s">
        <v>946</v>
      </c>
      <c r="H169" s="143" t="s">
        <v>199</v>
      </c>
      <c r="I169" s="143" t="s">
        <v>3480</v>
      </c>
      <c r="J169" s="142" t="s">
        <v>3690</v>
      </c>
      <c r="K169" s="142" t="s">
        <v>2698</v>
      </c>
      <c r="L169" s="142" t="s">
        <v>2701</v>
      </c>
      <c r="M169" s="142" t="s">
        <v>3691</v>
      </c>
      <c r="N169" s="143" t="s">
        <v>3536</v>
      </c>
      <c r="O169" s="143" t="s">
        <v>4668</v>
      </c>
    </row>
    <row r="170" spans="1:15" ht="42">
      <c r="A170" s="142" t="s">
        <v>4725</v>
      </c>
      <c r="B170" s="142" t="s">
        <v>2</v>
      </c>
      <c r="C170" s="142" t="s">
        <v>3282</v>
      </c>
      <c r="D170" s="142" t="s">
        <v>1688</v>
      </c>
      <c r="E170" s="142" t="s">
        <v>3278</v>
      </c>
      <c r="F170" s="142" t="s">
        <v>4533</v>
      </c>
      <c r="G170" s="143" t="s">
        <v>4648</v>
      </c>
      <c r="H170" s="143" t="s">
        <v>4726</v>
      </c>
      <c r="I170" s="143" t="s">
        <v>3481</v>
      </c>
      <c r="J170" s="142" t="s">
        <v>3617</v>
      </c>
      <c r="K170" s="142" t="s">
        <v>3618</v>
      </c>
      <c r="L170" s="142" t="s">
        <v>3619</v>
      </c>
      <c r="M170" s="142" t="s">
        <v>1439</v>
      </c>
      <c r="N170" s="143" t="s">
        <v>3536</v>
      </c>
      <c r="O170" s="143" t="s">
        <v>4668</v>
      </c>
    </row>
    <row r="171" spans="1:15" ht="63">
      <c r="A171" s="142" t="s">
        <v>4727</v>
      </c>
      <c r="B171" s="142" t="s">
        <v>2</v>
      </c>
      <c r="C171" s="142" t="s">
        <v>3282</v>
      </c>
      <c r="D171" s="142" t="s">
        <v>1688</v>
      </c>
      <c r="E171" s="142" t="s">
        <v>3712</v>
      </c>
      <c r="F171" s="142" t="s">
        <v>4652</v>
      </c>
      <c r="G171" s="143" t="s">
        <v>4728</v>
      </c>
      <c r="H171" s="143" t="s">
        <v>4729</v>
      </c>
      <c r="I171" s="143" t="s">
        <v>3481</v>
      </c>
      <c r="J171" s="142"/>
      <c r="K171" s="142"/>
      <c r="L171" s="142"/>
      <c r="M171" s="142" t="s">
        <v>1164</v>
      </c>
      <c r="N171" s="143" t="s">
        <v>4655</v>
      </c>
      <c r="O171" s="143" t="s">
        <v>4668</v>
      </c>
    </row>
    <row r="172" spans="1:15" ht="42">
      <c r="A172" s="142" t="s">
        <v>4730</v>
      </c>
      <c r="B172" s="142" t="s">
        <v>2</v>
      </c>
      <c r="C172" s="142" t="s">
        <v>3310</v>
      </c>
      <c r="D172" s="142" t="s">
        <v>1688</v>
      </c>
      <c r="E172" s="142" t="s">
        <v>3278</v>
      </c>
      <c r="F172" s="142" t="s">
        <v>4533</v>
      </c>
      <c r="G172" s="143" t="s">
        <v>4648</v>
      </c>
      <c r="H172" s="143" t="s">
        <v>4731</v>
      </c>
      <c r="I172" s="143" t="s">
        <v>3482</v>
      </c>
      <c r="J172" s="142" t="s">
        <v>3617</v>
      </c>
      <c r="K172" s="142" t="s">
        <v>3618</v>
      </c>
      <c r="L172" s="142" t="s">
        <v>3619</v>
      </c>
      <c r="M172" s="142" t="s">
        <v>1164</v>
      </c>
      <c r="N172" s="143" t="s">
        <v>3536</v>
      </c>
      <c r="O172" s="143" t="s">
        <v>4668</v>
      </c>
    </row>
    <row r="173" spans="1:15" ht="63">
      <c r="A173" s="142" t="s">
        <v>4732</v>
      </c>
      <c r="B173" s="142" t="s">
        <v>2</v>
      </c>
      <c r="C173" s="142" t="s">
        <v>3310</v>
      </c>
      <c r="D173" s="142" t="s">
        <v>1688</v>
      </c>
      <c r="E173" s="142" t="s">
        <v>3712</v>
      </c>
      <c r="F173" s="142" t="s">
        <v>4652</v>
      </c>
      <c r="G173" s="143" t="s">
        <v>4733</v>
      </c>
      <c r="H173" s="143" t="s">
        <v>4734</v>
      </c>
      <c r="I173" s="143" t="s">
        <v>3482</v>
      </c>
      <c r="J173" s="142"/>
      <c r="K173" s="142"/>
      <c r="L173" s="142"/>
      <c r="M173" s="142" t="s">
        <v>1164</v>
      </c>
      <c r="N173" s="143" t="s">
        <v>4655</v>
      </c>
      <c r="O173" s="143" t="s">
        <v>4668</v>
      </c>
    </row>
    <row r="174" spans="1:15" ht="42">
      <c r="A174" s="142" t="s">
        <v>200</v>
      </c>
      <c r="B174" s="142" t="s">
        <v>2</v>
      </c>
      <c r="C174" s="142" t="s">
        <v>3282</v>
      </c>
      <c r="D174" s="142" t="s">
        <v>1688</v>
      </c>
      <c r="E174" s="142" t="s">
        <v>3278</v>
      </c>
      <c r="F174" s="142" t="s">
        <v>4533</v>
      </c>
      <c r="G174" s="143" t="s">
        <v>946</v>
      </c>
      <c r="H174" s="143" t="s">
        <v>201</v>
      </c>
      <c r="I174" s="143" t="s">
        <v>3483</v>
      </c>
      <c r="J174" s="142" t="s">
        <v>3637</v>
      </c>
      <c r="K174" s="142" t="s">
        <v>3638</v>
      </c>
      <c r="L174" s="142" t="s">
        <v>3639</v>
      </c>
      <c r="M174" s="142" t="s">
        <v>2814</v>
      </c>
      <c r="N174" s="143" t="s">
        <v>3536</v>
      </c>
      <c r="O174" s="143" t="s">
        <v>4668</v>
      </c>
    </row>
    <row r="175" spans="1:15" ht="42">
      <c r="A175" s="142" t="s">
        <v>202</v>
      </c>
      <c r="B175" s="142" t="s">
        <v>2</v>
      </c>
      <c r="C175" s="142" t="s">
        <v>3310</v>
      </c>
      <c r="D175" s="142" t="s">
        <v>1688</v>
      </c>
      <c r="E175" s="142" t="s">
        <v>3278</v>
      </c>
      <c r="F175" s="142" t="s">
        <v>4533</v>
      </c>
      <c r="G175" s="143" t="s">
        <v>946</v>
      </c>
      <c r="H175" s="143" t="s">
        <v>3484</v>
      </c>
      <c r="I175" s="143" t="s">
        <v>3485</v>
      </c>
      <c r="J175" s="142" t="s">
        <v>3637</v>
      </c>
      <c r="K175" s="142" t="s">
        <v>3638</v>
      </c>
      <c r="L175" s="142" t="s">
        <v>3639</v>
      </c>
      <c r="M175" s="142" t="s">
        <v>2812</v>
      </c>
      <c r="N175" s="143" t="s">
        <v>3536</v>
      </c>
      <c r="O175" s="143" t="s">
        <v>4668</v>
      </c>
    </row>
    <row r="176" spans="1:15" ht="42">
      <c r="A176" s="142" t="s">
        <v>203</v>
      </c>
      <c r="B176" s="142" t="s">
        <v>2</v>
      </c>
      <c r="C176" s="142" t="s">
        <v>3310</v>
      </c>
      <c r="D176" s="142" t="s">
        <v>1688</v>
      </c>
      <c r="E176" s="142" t="s">
        <v>3278</v>
      </c>
      <c r="F176" s="142" t="s">
        <v>4533</v>
      </c>
      <c r="G176" s="143" t="s">
        <v>946</v>
      </c>
      <c r="H176" s="143" t="s">
        <v>3486</v>
      </c>
      <c r="I176" s="143" t="s">
        <v>3487</v>
      </c>
      <c r="J176" s="142" t="s">
        <v>3692</v>
      </c>
      <c r="K176" s="142"/>
      <c r="L176" s="142"/>
      <c r="M176" s="142"/>
      <c r="N176" s="143" t="s">
        <v>3714</v>
      </c>
      <c r="O176" s="143" t="s">
        <v>4668</v>
      </c>
    </row>
    <row r="177" spans="1:15" ht="42">
      <c r="A177" s="142" t="s">
        <v>206</v>
      </c>
      <c r="B177" s="142" t="s">
        <v>2</v>
      </c>
      <c r="C177" s="142" t="s">
        <v>3282</v>
      </c>
      <c r="D177" s="142" t="s">
        <v>1688</v>
      </c>
      <c r="E177" s="142" t="s">
        <v>3278</v>
      </c>
      <c r="F177" s="142" t="s">
        <v>4533</v>
      </c>
      <c r="G177" s="143" t="s">
        <v>946</v>
      </c>
      <c r="H177" s="143" t="s">
        <v>3488</v>
      </c>
      <c r="I177" s="143" t="s">
        <v>3489</v>
      </c>
      <c r="J177" s="142" t="s">
        <v>3693</v>
      </c>
      <c r="K177" s="142"/>
      <c r="L177" s="142" t="s">
        <v>2708</v>
      </c>
      <c r="M177" s="142" t="s">
        <v>3694</v>
      </c>
      <c r="N177" s="143" t="s">
        <v>3714</v>
      </c>
      <c r="O177" s="143" t="s">
        <v>4668</v>
      </c>
    </row>
    <row r="178" spans="1:15" ht="42">
      <c r="A178" s="142" t="s">
        <v>207</v>
      </c>
      <c r="B178" s="142" t="s">
        <v>2</v>
      </c>
      <c r="C178" s="142" t="s">
        <v>3310</v>
      </c>
      <c r="D178" s="142" t="s">
        <v>1688</v>
      </c>
      <c r="E178" s="142" t="s">
        <v>3278</v>
      </c>
      <c r="F178" s="142" t="s">
        <v>4533</v>
      </c>
      <c r="G178" s="143" t="s">
        <v>946</v>
      </c>
      <c r="H178" s="143" t="s">
        <v>208</v>
      </c>
      <c r="I178" s="143" t="s">
        <v>3490</v>
      </c>
      <c r="J178" s="142" t="s">
        <v>3695</v>
      </c>
      <c r="K178" s="142"/>
      <c r="L178" s="142"/>
      <c r="M178" s="142"/>
      <c r="N178" s="143" t="s">
        <v>3714</v>
      </c>
      <c r="O178" s="143" t="s">
        <v>4668</v>
      </c>
    </row>
    <row r="179" spans="1:15" ht="42">
      <c r="A179" s="142" t="s">
        <v>204</v>
      </c>
      <c r="B179" s="142" t="s">
        <v>2</v>
      </c>
      <c r="C179" s="142" t="s">
        <v>3310</v>
      </c>
      <c r="D179" s="142" t="s">
        <v>1688</v>
      </c>
      <c r="E179" s="142" t="s">
        <v>3278</v>
      </c>
      <c r="F179" s="142" t="s">
        <v>4533</v>
      </c>
      <c r="G179" s="143" t="s">
        <v>946</v>
      </c>
      <c r="H179" s="143" t="s">
        <v>205</v>
      </c>
      <c r="I179" s="143" t="s">
        <v>3491</v>
      </c>
      <c r="J179" s="142" t="s">
        <v>3635</v>
      </c>
      <c r="K179" s="142" t="s">
        <v>2739</v>
      </c>
      <c r="L179" s="142" t="s">
        <v>2742</v>
      </c>
      <c r="M179" s="142" t="s">
        <v>3636</v>
      </c>
      <c r="N179" s="143" t="s">
        <v>3536</v>
      </c>
      <c r="O179" s="143" t="s">
        <v>4668</v>
      </c>
    </row>
    <row r="180" spans="1:15" ht="63">
      <c r="A180" s="142" t="s">
        <v>4735</v>
      </c>
      <c r="B180" s="142" t="s">
        <v>2</v>
      </c>
      <c r="C180" s="142" t="s">
        <v>3282</v>
      </c>
      <c r="D180" s="142" t="s">
        <v>1688</v>
      </c>
      <c r="E180" s="142" t="s">
        <v>3278</v>
      </c>
      <c r="F180" s="142" t="s">
        <v>4533</v>
      </c>
      <c r="G180" s="143" t="s">
        <v>4677</v>
      </c>
      <c r="H180" s="143" t="s">
        <v>4736</v>
      </c>
      <c r="I180" s="143" t="s">
        <v>4737</v>
      </c>
      <c r="J180" s="142" t="s">
        <v>3696</v>
      </c>
      <c r="K180" s="142"/>
      <c r="L180" s="142" t="s">
        <v>2535</v>
      </c>
      <c r="M180" s="142" t="s">
        <v>1163</v>
      </c>
      <c r="N180" s="143" t="s">
        <v>3714</v>
      </c>
      <c r="O180" s="143" t="s">
        <v>4668</v>
      </c>
    </row>
    <row r="181" spans="1:15" ht="63">
      <c r="A181" s="142" t="s">
        <v>4738</v>
      </c>
      <c r="B181" s="142" t="s">
        <v>2</v>
      </c>
      <c r="C181" s="142" t="s">
        <v>3282</v>
      </c>
      <c r="D181" s="142" t="s">
        <v>1688</v>
      </c>
      <c r="E181" s="142" t="s">
        <v>3712</v>
      </c>
      <c r="F181" s="142" t="s">
        <v>4652</v>
      </c>
      <c r="G181" s="143" t="s">
        <v>4681</v>
      </c>
      <c r="H181" s="143" t="s">
        <v>4739</v>
      </c>
      <c r="I181" s="143" t="s">
        <v>4737</v>
      </c>
      <c r="J181" s="142"/>
      <c r="K181" s="142"/>
      <c r="L181" s="142"/>
      <c r="M181" s="142"/>
      <c r="N181" s="143" t="s">
        <v>4655</v>
      </c>
      <c r="O181" s="143" t="s">
        <v>4668</v>
      </c>
    </row>
    <row r="182" spans="1:15" ht="63">
      <c r="A182" s="142" t="s">
        <v>4196</v>
      </c>
      <c r="B182" s="142" t="s">
        <v>2</v>
      </c>
      <c r="C182" s="142" t="s">
        <v>3274</v>
      </c>
      <c r="D182" s="142" t="s">
        <v>1688</v>
      </c>
      <c r="E182" s="142" t="s">
        <v>3275</v>
      </c>
      <c r="F182" s="142" t="s">
        <v>4533</v>
      </c>
      <c r="G182" s="143" t="s">
        <v>4740</v>
      </c>
      <c r="H182" s="143" t="s">
        <v>4741</v>
      </c>
      <c r="I182" s="143" t="s">
        <v>4742</v>
      </c>
      <c r="J182" s="142" t="s">
        <v>4743</v>
      </c>
      <c r="K182" s="142" t="s">
        <v>1482</v>
      </c>
      <c r="L182" s="142" t="s">
        <v>3531</v>
      </c>
      <c r="M182" s="142" t="s">
        <v>1146</v>
      </c>
      <c r="N182" s="143" t="s">
        <v>3536</v>
      </c>
      <c r="O182" s="143" t="s">
        <v>4744</v>
      </c>
    </row>
    <row r="183" spans="1:15" ht="42">
      <c r="A183" s="142" t="s">
        <v>4226</v>
      </c>
      <c r="B183" s="142" t="s">
        <v>2</v>
      </c>
      <c r="C183" s="142" t="s">
        <v>3310</v>
      </c>
      <c r="D183" s="142" t="s">
        <v>1688</v>
      </c>
      <c r="E183" s="142" t="s">
        <v>3278</v>
      </c>
      <c r="F183" s="142" t="s">
        <v>4533</v>
      </c>
      <c r="G183" s="143" t="s">
        <v>946</v>
      </c>
      <c r="H183" s="143" t="s">
        <v>4745</v>
      </c>
      <c r="I183" s="143" t="s">
        <v>4746</v>
      </c>
      <c r="J183" s="142" t="s">
        <v>1444</v>
      </c>
      <c r="K183" s="142" t="s">
        <v>1486</v>
      </c>
      <c r="L183" s="142" t="s">
        <v>4747</v>
      </c>
      <c r="M183" s="142" t="s">
        <v>4748</v>
      </c>
      <c r="N183" s="143" t="s">
        <v>3536</v>
      </c>
      <c r="O183" s="143" t="s">
        <v>4749</v>
      </c>
    </row>
    <row r="184" spans="1:15" ht="42">
      <c r="A184" s="142" t="s">
        <v>209</v>
      </c>
      <c r="B184" s="142" t="s">
        <v>2</v>
      </c>
      <c r="C184" s="142" t="s">
        <v>3310</v>
      </c>
      <c r="D184" s="142" t="s">
        <v>1688</v>
      </c>
      <c r="E184" s="142" t="s">
        <v>3278</v>
      </c>
      <c r="F184" s="142" t="s">
        <v>4533</v>
      </c>
      <c r="G184" s="143" t="s">
        <v>946</v>
      </c>
      <c r="H184" s="143" t="s">
        <v>210</v>
      </c>
      <c r="I184" s="143" t="s">
        <v>3492</v>
      </c>
      <c r="J184" s="142" t="s">
        <v>1436</v>
      </c>
      <c r="K184" s="142" t="s">
        <v>1453</v>
      </c>
      <c r="L184" s="142" t="s">
        <v>2695</v>
      </c>
      <c r="M184" s="142" t="s">
        <v>2813</v>
      </c>
      <c r="N184" s="143" t="s">
        <v>3536</v>
      </c>
      <c r="O184" s="143" t="s">
        <v>4668</v>
      </c>
    </row>
    <row r="185" spans="1:15" ht="21">
      <c r="A185" s="142" t="s">
        <v>211</v>
      </c>
      <c r="B185" s="142" t="s">
        <v>2</v>
      </c>
      <c r="C185" s="142" t="s">
        <v>3282</v>
      </c>
      <c r="D185" s="142" t="s">
        <v>250</v>
      </c>
      <c r="E185" s="142" t="s">
        <v>946</v>
      </c>
      <c r="F185" s="142" t="s">
        <v>946</v>
      </c>
      <c r="G185" s="143" t="s">
        <v>3494</v>
      </c>
      <c r="H185" s="143" t="s">
        <v>212</v>
      </c>
      <c r="I185" s="143" t="s">
        <v>3493</v>
      </c>
      <c r="J185" s="142"/>
      <c r="K185" s="142"/>
      <c r="L185" s="142"/>
      <c r="M185" s="142"/>
      <c r="N185" s="143" t="s">
        <v>3323</v>
      </c>
      <c r="O185" s="143" t="s">
        <v>946</v>
      </c>
    </row>
    <row r="186" spans="1:15" ht="21">
      <c r="A186" s="142" t="s">
        <v>215</v>
      </c>
      <c r="B186" s="142" t="s">
        <v>2</v>
      </c>
      <c r="C186" s="142" t="s">
        <v>3282</v>
      </c>
      <c r="D186" s="142" t="s">
        <v>250</v>
      </c>
      <c r="E186" s="142" t="s">
        <v>946</v>
      </c>
      <c r="F186" s="142" t="s">
        <v>946</v>
      </c>
      <c r="G186" s="143" t="s">
        <v>3496</v>
      </c>
      <c r="H186" s="143" t="s">
        <v>216</v>
      </c>
      <c r="I186" s="143" t="s">
        <v>3495</v>
      </c>
      <c r="J186" s="142"/>
      <c r="K186" s="142"/>
      <c r="L186" s="142"/>
      <c r="M186" s="142"/>
      <c r="N186" s="143" t="s">
        <v>3323</v>
      </c>
      <c r="O186" s="143" t="s">
        <v>946</v>
      </c>
    </row>
    <row r="187" spans="1:15" ht="21">
      <c r="A187" s="142" t="s">
        <v>217</v>
      </c>
      <c r="B187" s="142" t="s">
        <v>2</v>
      </c>
      <c r="C187" s="142" t="s">
        <v>3282</v>
      </c>
      <c r="D187" s="142" t="s">
        <v>250</v>
      </c>
      <c r="E187" s="142" t="s">
        <v>946</v>
      </c>
      <c r="F187" s="142" t="s">
        <v>946</v>
      </c>
      <c r="G187" s="143" t="s">
        <v>2394</v>
      </c>
      <c r="H187" s="143" t="s">
        <v>218</v>
      </c>
      <c r="I187" s="143" t="s">
        <v>3497</v>
      </c>
      <c r="J187" s="142"/>
      <c r="K187" s="142"/>
      <c r="L187" s="142"/>
      <c r="M187" s="142"/>
      <c r="N187" s="143" t="s">
        <v>3323</v>
      </c>
      <c r="O187" s="143" t="s">
        <v>946</v>
      </c>
    </row>
    <row r="188" spans="1:15" ht="21">
      <c r="A188" s="142" t="s">
        <v>219</v>
      </c>
      <c r="B188" s="142" t="s">
        <v>2</v>
      </c>
      <c r="C188" s="142" t="s">
        <v>3282</v>
      </c>
      <c r="D188" s="142" t="s">
        <v>250</v>
      </c>
      <c r="E188" s="142" t="s">
        <v>946</v>
      </c>
      <c r="F188" s="142" t="s">
        <v>946</v>
      </c>
      <c r="G188" s="143" t="s">
        <v>3500</v>
      </c>
      <c r="H188" s="143" t="s">
        <v>3498</v>
      </c>
      <c r="I188" s="143" t="s">
        <v>3499</v>
      </c>
      <c r="J188" s="142"/>
      <c r="K188" s="142"/>
      <c r="L188" s="142"/>
      <c r="M188" s="142"/>
      <c r="N188" s="143" t="s">
        <v>3323</v>
      </c>
      <c r="O188" s="143" t="s">
        <v>946</v>
      </c>
    </row>
    <row r="189" spans="1:15" ht="42">
      <c r="A189" s="142" t="s">
        <v>220</v>
      </c>
      <c r="B189" s="142" t="s">
        <v>2</v>
      </c>
      <c r="C189" s="142" t="s">
        <v>246</v>
      </c>
      <c r="D189" s="142" t="s">
        <v>250</v>
      </c>
      <c r="E189" s="142" t="s">
        <v>946</v>
      </c>
      <c r="F189" s="142" t="s">
        <v>946</v>
      </c>
      <c r="G189" s="143" t="s">
        <v>3503</v>
      </c>
      <c r="H189" s="143" t="s">
        <v>3501</v>
      </c>
      <c r="I189" s="143" t="s">
        <v>3502</v>
      </c>
      <c r="J189" s="142"/>
      <c r="K189" s="142"/>
      <c r="L189" s="142"/>
      <c r="M189" s="142"/>
      <c r="N189" s="143" t="s">
        <v>3323</v>
      </c>
      <c r="O189" s="143" t="s">
        <v>946</v>
      </c>
    </row>
    <row r="190" spans="1:15" ht="42">
      <c r="A190" s="142" t="s">
        <v>4750</v>
      </c>
      <c r="B190" s="142" t="s">
        <v>2</v>
      </c>
      <c r="C190" s="142" t="s">
        <v>3282</v>
      </c>
      <c r="D190" s="142" t="s">
        <v>1688</v>
      </c>
      <c r="E190" s="142" t="s">
        <v>3278</v>
      </c>
      <c r="F190" s="142" t="s">
        <v>4533</v>
      </c>
      <c r="G190" s="143" t="s">
        <v>4648</v>
      </c>
      <c r="H190" s="143" t="s">
        <v>4751</v>
      </c>
      <c r="I190" s="143" t="s">
        <v>3504</v>
      </c>
      <c r="J190" s="142" t="s">
        <v>3617</v>
      </c>
      <c r="K190" s="142" t="s">
        <v>3618</v>
      </c>
      <c r="L190" s="142" t="s">
        <v>3619</v>
      </c>
      <c r="M190" s="142" t="s">
        <v>3697</v>
      </c>
      <c r="N190" s="143" t="s">
        <v>3536</v>
      </c>
      <c r="O190" s="143" t="s">
        <v>4668</v>
      </c>
    </row>
    <row r="191" spans="1:15" ht="63">
      <c r="A191" s="142" t="s">
        <v>4752</v>
      </c>
      <c r="B191" s="142" t="s">
        <v>2</v>
      </c>
      <c r="C191" s="142" t="s">
        <v>3282</v>
      </c>
      <c r="D191" s="142" t="s">
        <v>1688</v>
      </c>
      <c r="E191" s="142" t="s">
        <v>3712</v>
      </c>
      <c r="F191" s="142" t="s">
        <v>4652</v>
      </c>
      <c r="G191" s="143" t="s">
        <v>4728</v>
      </c>
      <c r="H191" s="143" t="s">
        <v>4753</v>
      </c>
      <c r="I191" s="143" t="s">
        <v>3504</v>
      </c>
      <c r="J191" s="142"/>
      <c r="K191" s="142"/>
      <c r="L191" s="142"/>
      <c r="M191" s="142" t="s">
        <v>1164</v>
      </c>
      <c r="N191" s="143" t="s">
        <v>4655</v>
      </c>
      <c r="O191" s="143" t="s">
        <v>4668</v>
      </c>
    </row>
    <row r="192" spans="1:15" ht="42">
      <c r="A192" s="142" t="s">
        <v>213</v>
      </c>
      <c r="B192" s="142" t="s">
        <v>2</v>
      </c>
      <c r="C192" s="142" t="s">
        <v>3282</v>
      </c>
      <c r="D192" s="142" t="s">
        <v>1688</v>
      </c>
      <c r="E192" s="142" t="s">
        <v>3278</v>
      </c>
      <c r="F192" s="142" t="s">
        <v>4533</v>
      </c>
      <c r="G192" s="143" t="s">
        <v>946</v>
      </c>
      <c r="H192" s="143" t="s">
        <v>214</v>
      </c>
      <c r="I192" s="143" t="s">
        <v>3505</v>
      </c>
      <c r="J192" s="142" t="s">
        <v>1442</v>
      </c>
      <c r="K192" s="142" t="s">
        <v>1483</v>
      </c>
      <c r="L192" s="142" t="s">
        <v>2599</v>
      </c>
      <c r="M192" s="142" t="s">
        <v>2806</v>
      </c>
      <c r="N192" s="143" t="s">
        <v>3536</v>
      </c>
      <c r="O192" s="143" t="s">
        <v>4668</v>
      </c>
    </row>
    <row r="193" spans="1:15" ht="63">
      <c r="A193" s="142" t="s">
        <v>4754</v>
      </c>
      <c r="B193" s="142" t="s">
        <v>2</v>
      </c>
      <c r="C193" s="142" t="s">
        <v>3282</v>
      </c>
      <c r="D193" s="142" t="s">
        <v>1688</v>
      </c>
      <c r="E193" s="142" t="s">
        <v>3278</v>
      </c>
      <c r="F193" s="142" t="s">
        <v>4533</v>
      </c>
      <c r="G193" s="143" t="s">
        <v>4755</v>
      </c>
      <c r="H193" s="143" t="s">
        <v>4756</v>
      </c>
      <c r="I193" s="143" t="s">
        <v>3506</v>
      </c>
      <c r="J193" s="142" t="s">
        <v>1447</v>
      </c>
      <c r="K193" s="142" t="s">
        <v>1673</v>
      </c>
      <c r="L193" s="142" t="s">
        <v>2777</v>
      </c>
      <c r="M193" s="142" t="s">
        <v>3698</v>
      </c>
      <c r="N193" s="143" t="s">
        <v>3536</v>
      </c>
      <c r="O193" s="143" t="s">
        <v>4668</v>
      </c>
    </row>
    <row r="194" spans="1:15" ht="63">
      <c r="A194" s="142" t="s">
        <v>4757</v>
      </c>
      <c r="B194" s="142" t="s">
        <v>2</v>
      </c>
      <c r="C194" s="142" t="s">
        <v>3282</v>
      </c>
      <c r="D194" s="142" t="s">
        <v>1688</v>
      </c>
      <c r="E194" s="142" t="s">
        <v>3712</v>
      </c>
      <c r="F194" s="142" t="s">
        <v>4595</v>
      </c>
      <c r="G194" s="143" t="s">
        <v>4641</v>
      </c>
      <c r="H194" s="143" t="s">
        <v>4758</v>
      </c>
      <c r="I194" s="143" t="s">
        <v>3506</v>
      </c>
      <c r="J194" s="142"/>
      <c r="K194" s="142"/>
      <c r="L194" s="142"/>
      <c r="M194" s="142" t="s">
        <v>1165</v>
      </c>
      <c r="N194" s="143" t="s">
        <v>3711</v>
      </c>
      <c r="O194" s="143" t="s">
        <v>4668</v>
      </c>
    </row>
    <row r="195" spans="1:15" ht="42">
      <c r="A195" s="142" t="s">
        <v>221</v>
      </c>
      <c r="B195" s="142" t="s">
        <v>2</v>
      </c>
      <c r="C195" s="142" t="s">
        <v>3310</v>
      </c>
      <c r="D195" s="142" t="s">
        <v>1688</v>
      </c>
      <c r="E195" s="142" t="s">
        <v>3278</v>
      </c>
      <c r="F195" s="142" t="s">
        <v>4533</v>
      </c>
      <c r="G195" s="143" t="s">
        <v>946</v>
      </c>
      <c r="H195" s="143" t="s">
        <v>222</v>
      </c>
      <c r="I195" s="143" t="s">
        <v>3507</v>
      </c>
      <c r="J195" s="142" t="s">
        <v>3617</v>
      </c>
      <c r="K195" s="142" t="s">
        <v>3618</v>
      </c>
      <c r="L195" s="142" t="s">
        <v>3619</v>
      </c>
      <c r="M195" s="142" t="s">
        <v>1164</v>
      </c>
      <c r="N195" s="143" t="s">
        <v>3536</v>
      </c>
      <c r="O195" s="143" t="s">
        <v>4668</v>
      </c>
    </row>
    <row r="196" spans="1:15" ht="42">
      <c r="A196" s="142" t="s">
        <v>223</v>
      </c>
      <c r="B196" s="142" t="s">
        <v>2</v>
      </c>
      <c r="C196" s="142" t="s">
        <v>3310</v>
      </c>
      <c r="D196" s="142" t="s">
        <v>1688</v>
      </c>
      <c r="E196" s="142" t="s">
        <v>3278</v>
      </c>
      <c r="F196" s="142" t="s">
        <v>4533</v>
      </c>
      <c r="G196" s="143" t="s">
        <v>946</v>
      </c>
      <c r="H196" s="143" t="s">
        <v>3508</v>
      </c>
      <c r="I196" s="143" t="s">
        <v>3509</v>
      </c>
      <c r="J196" s="142" t="s">
        <v>3699</v>
      </c>
      <c r="K196" s="142" t="s">
        <v>3700</v>
      </c>
      <c r="L196" s="142" t="s">
        <v>3701</v>
      </c>
      <c r="M196" s="142" t="s">
        <v>3702</v>
      </c>
      <c r="N196" s="143" t="s">
        <v>3536</v>
      </c>
      <c r="O196" s="143" t="s">
        <v>4668</v>
      </c>
    </row>
    <row r="197" spans="1:15" ht="21">
      <c r="A197" s="142" t="s">
        <v>224</v>
      </c>
      <c r="B197" s="142" t="s">
        <v>2</v>
      </c>
      <c r="C197" s="142" t="s">
        <v>3310</v>
      </c>
      <c r="D197" s="142" t="s">
        <v>1688</v>
      </c>
      <c r="E197" s="142" t="s">
        <v>3278</v>
      </c>
      <c r="F197" s="142" t="s">
        <v>4533</v>
      </c>
      <c r="G197" s="143" t="s">
        <v>946</v>
      </c>
      <c r="H197" s="143" t="s">
        <v>225</v>
      </c>
      <c r="I197" s="143" t="s">
        <v>3510</v>
      </c>
      <c r="J197" s="142"/>
      <c r="K197" s="142"/>
      <c r="L197" s="142"/>
      <c r="M197" s="142"/>
      <c r="N197" s="143" t="s">
        <v>3703</v>
      </c>
      <c r="O197" s="143" t="s">
        <v>946</v>
      </c>
    </row>
    <row r="198" spans="1:15" ht="21">
      <c r="A198" s="142" t="s">
        <v>226</v>
      </c>
      <c r="B198" s="142" t="s">
        <v>2</v>
      </c>
      <c r="C198" s="142" t="s">
        <v>3310</v>
      </c>
      <c r="D198" s="142" t="s">
        <v>1688</v>
      </c>
      <c r="E198" s="142" t="s">
        <v>3278</v>
      </c>
      <c r="F198" s="142" t="s">
        <v>4533</v>
      </c>
      <c r="G198" s="143" t="s">
        <v>946</v>
      </c>
      <c r="H198" s="143" t="s">
        <v>227</v>
      </c>
      <c r="I198" s="143" t="s">
        <v>3511</v>
      </c>
      <c r="J198" s="142"/>
      <c r="K198" s="142"/>
      <c r="L198" s="142"/>
      <c r="M198" s="142"/>
      <c r="N198" s="143" t="s">
        <v>3703</v>
      </c>
      <c r="O198" s="143" t="s">
        <v>946</v>
      </c>
    </row>
    <row r="199" spans="1:15" ht="21">
      <c r="A199" s="142" t="s">
        <v>228</v>
      </c>
      <c r="B199" s="142" t="s">
        <v>2</v>
      </c>
      <c r="C199" s="142" t="s">
        <v>3310</v>
      </c>
      <c r="D199" s="142" t="s">
        <v>1688</v>
      </c>
      <c r="E199" s="142" t="s">
        <v>3278</v>
      </c>
      <c r="F199" s="142" t="s">
        <v>4533</v>
      </c>
      <c r="G199" s="143" t="s">
        <v>946</v>
      </c>
      <c r="H199" s="143" t="s">
        <v>3512</v>
      </c>
      <c r="I199" s="143" t="s">
        <v>3513</v>
      </c>
      <c r="J199" s="142"/>
      <c r="K199" s="142"/>
      <c r="L199" s="142"/>
      <c r="M199" s="142"/>
      <c r="N199" s="143" t="s">
        <v>3703</v>
      </c>
      <c r="O199" s="143" t="s">
        <v>946</v>
      </c>
    </row>
    <row r="200" spans="1:15" ht="21">
      <c r="A200" s="142" t="s">
        <v>229</v>
      </c>
      <c r="B200" s="142" t="s">
        <v>2</v>
      </c>
      <c r="C200" s="142" t="s">
        <v>3310</v>
      </c>
      <c r="D200" s="142" t="s">
        <v>1688</v>
      </c>
      <c r="E200" s="142" t="s">
        <v>3278</v>
      </c>
      <c r="F200" s="142" t="s">
        <v>4533</v>
      </c>
      <c r="G200" s="143" t="s">
        <v>946</v>
      </c>
      <c r="H200" s="143" t="s">
        <v>3514</v>
      </c>
      <c r="I200" s="143" t="s">
        <v>3515</v>
      </c>
      <c r="J200" s="142" t="s">
        <v>3687</v>
      </c>
      <c r="K200" s="142" t="s">
        <v>3683</v>
      </c>
      <c r="L200" s="142" t="s">
        <v>3684</v>
      </c>
      <c r="M200" s="142" t="s">
        <v>3688</v>
      </c>
      <c r="N200" s="143" t="s">
        <v>3703</v>
      </c>
      <c r="O200" s="143" t="s">
        <v>946</v>
      </c>
    </row>
    <row r="201" spans="1:15" ht="21">
      <c r="A201" s="142" t="s">
        <v>230</v>
      </c>
      <c r="B201" s="142" t="s">
        <v>2</v>
      </c>
      <c r="C201" s="142" t="s">
        <v>3310</v>
      </c>
      <c r="D201" s="142" t="s">
        <v>1688</v>
      </c>
      <c r="E201" s="142" t="s">
        <v>3278</v>
      </c>
      <c r="F201" s="142" t="s">
        <v>4533</v>
      </c>
      <c r="G201" s="143" t="s">
        <v>946</v>
      </c>
      <c r="H201" s="143" t="s">
        <v>231</v>
      </c>
      <c r="I201" s="143" t="s">
        <v>3516</v>
      </c>
      <c r="J201" s="142" t="s">
        <v>3695</v>
      </c>
      <c r="K201" s="142"/>
      <c r="L201" s="142"/>
      <c r="M201" s="142"/>
      <c r="N201" s="143" t="s">
        <v>3703</v>
      </c>
      <c r="O201" s="143" t="s">
        <v>946</v>
      </c>
    </row>
    <row r="202" spans="1:15" ht="42">
      <c r="A202" s="142" t="s">
        <v>232</v>
      </c>
      <c r="B202" s="142" t="s">
        <v>2</v>
      </c>
      <c r="C202" s="142" t="s">
        <v>3282</v>
      </c>
      <c r="D202" s="142" t="s">
        <v>1688</v>
      </c>
      <c r="E202" s="142" t="s">
        <v>3278</v>
      </c>
      <c r="F202" s="142" t="s">
        <v>4533</v>
      </c>
      <c r="G202" s="143" t="s">
        <v>946</v>
      </c>
      <c r="H202" s="143" t="s">
        <v>3517</v>
      </c>
      <c r="I202" s="143" t="s">
        <v>3518</v>
      </c>
      <c r="J202" s="142"/>
      <c r="K202" s="142"/>
      <c r="L202" s="142"/>
      <c r="M202" s="142"/>
      <c r="N202" s="143" t="s">
        <v>4759</v>
      </c>
      <c r="O202" s="143" t="s">
        <v>946</v>
      </c>
    </row>
    <row r="203" spans="1:15" ht="21">
      <c r="A203" s="142" t="s">
        <v>233</v>
      </c>
      <c r="B203" s="142" t="s">
        <v>2</v>
      </c>
      <c r="C203" s="142" t="s">
        <v>3310</v>
      </c>
      <c r="D203" s="142" t="s">
        <v>1688</v>
      </c>
      <c r="E203" s="142" t="s">
        <v>3278</v>
      </c>
      <c r="F203" s="142" t="s">
        <v>4533</v>
      </c>
      <c r="G203" s="143" t="s">
        <v>946</v>
      </c>
      <c r="H203" s="143" t="s">
        <v>3519</v>
      </c>
      <c r="I203" s="143" t="s">
        <v>3520</v>
      </c>
      <c r="J203" s="142"/>
      <c r="K203" s="142"/>
      <c r="L203" s="142"/>
      <c r="M203" s="142"/>
      <c r="N203" s="143" t="s">
        <v>3703</v>
      </c>
      <c r="O203" s="143" t="s">
        <v>946</v>
      </c>
    </row>
    <row r="204" spans="1:15" ht="21">
      <c r="A204" s="142" t="s">
        <v>234</v>
      </c>
      <c r="B204" s="142" t="s">
        <v>2</v>
      </c>
      <c r="C204" s="142" t="s">
        <v>3310</v>
      </c>
      <c r="D204" s="142" t="s">
        <v>1688</v>
      </c>
      <c r="E204" s="142" t="s">
        <v>3278</v>
      </c>
      <c r="F204" s="142" t="s">
        <v>4533</v>
      </c>
      <c r="G204" s="143" t="s">
        <v>946</v>
      </c>
      <c r="H204" s="143" t="s">
        <v>3521</v>
      </c>
      <c r="I204" s="143" t="s">
        <v>3522</v>
      </c>
      <c r="J204" s="142"/>
      <c r="K204" s="142"/>
      <c r="L204" s="142"/>
      <c r="M204" s="142"/>
      <c r="N204" s="143" t="s">
        <v>3703</v>
      </c>
      <c r="O204" s="143" t="s">
        <v>946</v>
      </c>
    </row>
    <row r="205" spans="1:15" ht="21">
      <c r="A205" s="142" t="s">
        <v>235</v>
      </c>
      <c r="B205" s="142" t="s">
        <v>2</v>
      </c>
      <c r="C205" s="142" t="s">
        <v>3310</v>
      </c>
      <c r="D205" s="142" t="s">
        <v>1688</v>
      </c>
      <c r="E205" s="142" t="s">
        <v>3278</v>
      </c>
      <c r="F205" s="142" t="s">
        <v>4533</v>
      </c>
      <c r="G205" s="143" t="s">
        <v>946</v>
      </c>
      <c r="H205" s="143" t="s">
        <v>3523</v>
      </c>
      <c r="I205" s="143" t="s">
        <v>3524</v>
      </c>
      <c r="J205" s="142"/>
      <c r="K205" s="142"/>
      <c r="L205" s="142"/>
      <c r="M205" s="142"/>
      <c r="N205" s="143" t="s">
        <v>3703</v>
      </c>
      <c r="O205" s="143" t="s">
        <v>946</v>
      </c>
    </row>
    <row r="206" spans="1:15" ht="63">
      <c r="A206" s="142" t="s">
        <v>236</v>
      </c>
      <c r="B206" s="142" t="s">
        <v>2</v>
      </c>
      <c r="C206" s="142" t="s">
        <v>246</v>
      </c>
      <c r="D206" s="142" t="s">
        <v>1688</v>
      </c>
      <c r="E206" s="142" t="s">
        <v>3712</v>
      </c>
      <c r="F206" s="142" t="s">
        <v>4540</v>
      </c>
      <c r="G206" s="143" t="s">
        <v>4760</v>
      </c>
      <c r="H206" s="143" t="s">
        <v>237</v>
      </c>
      <c r="I206" s="143" t="s">
        <v>3525</v>
      </c>
      <c r="J206" s="142"/>
      <c r="K206" s="142"/>
      <c r="L206" s="142"/>
      <c r="M206" s="142"/>
      <c r="N206" s="143" t="s">
        <v>3711</v>
      </c>
      <c r="O206" s="143" t="s">
        <v>946</v>
      </c>
    </row>
    <row r="207" spans="1:15" ht="63">
      <c r="A207" s="142" t="s">
        <v>238</v>
      </c>
      <c r="B207" s="142" t="s">
        <v>2</v>
      </c>
      <c r="C207" s="142" t="s">
        <v>246</v>
      </c>
      <c r="D207" s="142" t="s">
        <v>1688</v>
      </c>
      <c r="E207" s="142" t="s">
        <v>3712</v>
      </c>
      <c r="F207" s="142" t="s">
        <v>4540</v>
      </c>
      <c r="G207" s="143" t="s">
        <v>4761</v>
      </c>
      <c r="H207" s="143" t="s">
        <v>239</v>
      </c>
      <c r="I207" s="143" t="s">
        <v>3526</v>
      </c>
      <c r="J207" s="142"/>
      <c r="K207" s="142"/>
      <c r="L207" s="142"/>
      <c r="M207" s="142"/>
      <c r="N207" s="143" t="s">
        <v>3711</v>
      </c>
      <c r="O207" s="143" t="s">
        <v>946</v>
      </c>
    </row>
    <row r="208" spans="1:15" ht="42">
      <c r="A208" s="142" t="s">
        <v>240</v>
      </c>
      <c r="B208" s="142" t="s">
        <v>2</v>
      </c>
      <c r="C208" s="142" t="s">
        <v>3310</v>
      </c>
      <c r="D208" s="142" t="s">
        <v>1688</v>
      </c>
      <c r="E208" s="142" t="s">
        <v>3278</v>
      </c>
      <c r="F208" s="142" t="s">
        <v>4533</v>
      </c>
      <c r="G208" s="143" t="s">
        <v>946</v>
      </c>
      <c r="H208" s="143" t="s">
        <v>241</v>
      </c>
      <c r="I208" s="143" t="s">
        <v>3527</v>
      </c>
      <c r="J208" s="142" t="s">
        <v>3704</v>
      </c>
      <c r="K208" s="142" t="s">
        <v>3705</v>
      </c>
      <c r="L208" s="142" t="s">
        <v>3706</v>
      </c>
      <c r="M208" s="142" t="s">
        <v>3707</v>
      </c>
      <c r="N208" s="143" t="s">
        <v>3536</v>
      </c>
      <c r="O208" s="143" t="s">
        <v>4668</v>
      </c>
    </row>
    <row r="209" spans="1:15" ht="42">
      <c r="A209" s="142" t="s">
        <v>242</v>
      </c>
      <c r="B209" s="142" t="s">
        <v>2</v>
      </c>
      <c r="C209" s="142" t="s">
        <v>3310</v>
      </c>
      <c r="D209" s="142" t="s">
        <v>1688</v>
      </c>
      <c r="E209" s="142" t="s">
        <v>3278</v>
      </c>
      <c r="F209" s="142" t="s">
        <v>4533</v>
      </c>
      <c r="G209" s="143" t="s">
        <v>946</v>
      </c>
      <c r="H209" s="143" t="s">
        <v>243</v>
      </c>
      <c r="I209" s="143" t="s">
        <v>3528</v>
      </c>
      <c r="J209" s="142" t="s">
        <v>1437</v>
      </c>
      <c r="K209" s="142" t="s">
        <v>1667</v>
      </c>
      <c r="L209" s="142" t="s">
        <v>2528</v>
      </c>
      <c r="M209" s="142" t="s">
        <v>2809</v>
      </c>
      <c r="N209" s="143" t="s">
        <v>3536</v>
      </c>
      <c r="O209" s="143" t="s">
        <v>4668</v>
      </c>
    </row>
    <row r="210" spans="1:15" ht="42">
      <c r="A210" s="142" t="s">
        <v>244</v>
      </c>
      <c r="B210" s="142" t="s">
        <v>2</v>
      </c>
      <c r="C210" s="142" t="s">
        <v>3310</v>
      </c>
      <c r="D210" s="142" t="s">
        <v>1688</v>
      </c>
      <c r="E210" s="142" t="s">
        <v>3278</v>
      </c>
      <c r="F210" s="142" t="s">
        <v>4533</v>
      </c>
      <c r="G210" s="143" t="s">
        <v>3530</v>
      </c>
      <c r="H210" s="143" t="s">
        <v>245</v>
      </c>
      <c r="I210" s="143" t="s">
        <v>3529</v>
      </c>
      <c r="J210" s="142" t="s">
        <v>2396</v>
      </c>
      <c r="K210" s="142" t="s">
        <v>1496</v>
      </c>
      <c r="L210" s="142" t="s">
        <v>2728</v>
      </c>
      <c r="M210" s="142" t="s">
        <v>1441</v>
      </c>
      <c r="N210" s="143" t="s">
        <v>3536</v>
      </c>
      <c r="O210" s="143" t="s">
        <v>4668</v>
      </c>
    </row>
  </sheetData>
  <autoFilter ref="A1:O210"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6F703-9140-8345-BF4D-C849D491C010}">
  <dimension ref="A1:N109"/>
  <sheetViews>
    <sheetView tabSelected="1" workbookViewId="0">
      <pane xSplit="4" ySplit="1" topLeftCell="E2" activePane="bottomRight" state="frozen"/>
      <selection pane="topRight" activeCell="E1" sqref="E1"/>
      <selection pane="bottomLeft" activeCell="A2" sqref="A2"/>
      <selection pane="bottomRight" activeCell="G97" sqref="G97"/>
    </sheetView>
  </sheetViews>
  <sheetFormatPr baseColWidth="10" defaultRowHeight="20"/>
  <cols>
    <col min="1" max="1" width="8" customWidth="1"/>
    <col min="2" max="2" width="12" customWidth="1"/>
    <col min="3" max="3" width="22" customWidth="1"/>
    <col min="4" max="4" width="26" customWidth="1"/>
    <col min="5" max="5" width="28" customWidth="1"/>
    <col min="6" max="6" width="46" customWidth="1"/>
    <col min="7" max="8" width="16" customWidth="1"/>
    <col min="9" max="9" width="18" customWidth="1"/>
    <col min="10" max="10" width="60" customWidth="1"/>
    <col min="12" max="12" width="28.5703125" customWidth="1"/>
    <col min="13" max="14" width="32.85546875" customWidth="1"/>
    <col min="15" max="15" width="8.5703125" customWidth="1"/>
  </cols>
  <sheetData>
    <row r="1" spans="1:14">
      <c r="A1" s="136" t="s">
        <v>1688</v>
      </c>
      <c r="B1" s="136" t="s">
        <v>1504</v>
      </c>
      <c r="C1" s="136" t="s">
        <v>1646</v>
      </c>
      <c r="D1" s="136" t="s">
        <v>1505</v>
      </c>
      <c r="E1" s="136" t="s">
        <v>4771</v>
      </c>
      <c r="F1" s="158" t="s">
        <v>4772</v>
      </c>
      <c r="G1" s="136" t="s">
        <v>4773</v>
      </c>
      <c r="H1" s="136" t="s">
        <v>0</v>
      </c>
      <c r="I1" s="136" t="s">
        <v>295</v>
      </c>
      <c r="J1" s="136" t="s">
        <v>1175</v>
      </c>
      <c r="L1" s="115" t="s">
        <v>295</v>
      </c>
      <c r="M1" s="115" t="s">
        <v>251</v>
      </c>
    </row>
    <row r="2" spans="1:14" ht="21">
      <c r="A2" s="142" t="s">
        <v>4774</v>
      </c>
      <c r="B2" s="142" t="s">
        <v>1510</v>
      </c>
      <c r="C2" s="142" t="s">
        <v>2001</v>
      </c>
      <c r="D2" s="142" t="s">
        <v>3157</v>
      </c>
      <c r="E2" s="142" t="s">
        <v>4775</v>
      </c>
      <c r="F2" s="159" t="s">
        <v>4776</v>
      </c>
      <c r="G2" s="142" t="s">
        <v>4777</v>
      </c>
      <c r="H2" s="142" t="s">
        <v>4778</v>
      </c>
      <c r="I2" s="142" t="s">
        <v>4779</v>
      </c>
      <c r="J2" s="143" t="s">
        <v>4780</v>
      </c>
      <c r="L2" t="s">
        <v>4779</v>
      </c>
      <c r="M2">
        <f>COUNTIF($I$2:$I$109,$L2)</f>
        <v>84</v>
      </c>
    </row>
    <row r="3" spans="1:14" ht="21">
      <c r="A3" s="142" t="s">
        <v>4774</v>
      </c>
      <c r="B3" s="142" t="s">
        <v>1510</v>
      </c>
      <c r="C3" s="142" t="s">
        <v>2001</v>
      </c>
      <c r="D3" s="142" t="s">
        <v>3157</v>
      </c>
      <c r="E3" s="142" t="s">
        <v>4781</v>
      </c>
      <c r="F3" s="159" t="s">
        <v>4782</v>
      </c>
      <c r="G3" s="142" t="s">
        <v>4783</v>
      </c>
      <c r="H3" s="142" t="s">
        <v>4778</v>
      </c>
      <c r="I3" s="142" t="s">
        <v>4779</v>
      </c>
      <c r="J3" s="143" t="s">
        <v>4784</v>
      </c>
      <c r="L3" t="s">
        <v>4836</v>
      </c>
      <c r="M3">
        <f>COUNTIF($I$2:$I$109,$L3)</f>
        <v>16</v>
      </c>
    </row>
    <row r="4" spans="1:14" ht="21">
      <c r="A4" s="142" t="s">
        <v>4774</v>
      </c>
      <c r="B4" s="142" t="s">
        <v>1510</v>
      </c>
      <c r="C4" s="142" t="s">
        <v>2001</v>
      </c>
      <c r="D4" s="142" t="s">
        <v>3157</v>
      </c>
      <c r="E4" s="142" t="s">
        <v>4785</v>
      </c>
      <c r="F4" s="159" t="s">
        <v>4786</v>
      </c>
      <c r="G4" s="142" t="s">
        <v>4777</v>
      </c>
      <c r="H4" s="142" t="s">
        <v>4778</v>
      </c>
      <c r="I4" s="142" t="s">
        <v>4779</v>
      </c>
      <c r="J4" s="143" t="s">
        <v>4787</v>
      </c>
      <c r="L4" t="s">
        <v>4895</v>
      </c>
      <c r="M4">
        <f>COUNTIF($I$2:$I$109,$L4)</f>
        <v>6</v>
      </c>
    </row>
    <row r="5" spans="1:14" ht="21">
      <c r="A5" s="142" t="s">
        <v>4774</v>
      </c>
      <c r="B5" s="142" t="s">
        <v>1510</v>
      </c>
      <c r="C5" s="142" t="s">
        <v>2001</v>
      </c>
      <c r="D5" s="142" t="s">
        <v>3157</v>
      </c>
      <c r="E5" s="142" t="s">
        <v>4788</v>
      </c>
      <c r="F5" s="159" t="s">
        <v>4789</v>
      </c>
      <c r="G5" s="142" t="s">
        <v>4790</v>
      </c>
      <c r="H5" s="142" t="s">
        <v>4778</v>
      </c>
      <c r="I5" s="142" t="s">
        <v>4779</v>
      </c>
      <c r="J5" s="143" t="s">
        <v>4791</v>
      </c>
      <c r="L5" t="s">
        <v>4938</v>
      </c>
      <c r="M5">
        <f>COUNTIF($I$2:$I$109,$L5)</f>
        <v>2</v>
      </c>
    </row>
    <row r="6" spans="1:14" ht="21">
      <c r="A6" s="142" t="s">
        <v>4774</v>
      </c>
      <c r="B6" s="142" t="s">
        <v>1510</v>
      </c>
      <c r="C6" s="142" t="s">
        <v>2001</v>
      </c>
      <c r="D6" s="142" t="s">
        <v>3157</v>
      </c>
      <c r="E6" s="142" t="s">
        <v>4792</v>
      </c>
      <c r="F6" s="159" t="s">
        <v>4793</v>
      </c>
      <c r="G6" s="142" t="s">
        <v>4777</v>
      </c>
      <c r="H6" s="142" t="s">
        <v>4778</v>
      </c>
      <c r="I6" s="142" t="s">
        <v>4779</v>
      </c>
      <c r="J6" s="143" t="s">
        <v>4794</v>
      </c>
      <c r="L6" s="2" t="s">
        <v>3</v>
      </c>
      <c r="M6" s="2">
        <f>SUM(M2:M5)</f>
        <v>108</v>
      </c>
    </row>
    <row r="7" spans="1:14" ht="21">
      <c r="A7" s="142" t="s">
        <v>4774</v>
      </c>
      <c r="B7" s="142" t="s">
        <v>1511</v>
      </c>
      <c r="C7" s="142" t="s">
        <v>2001</v>
      </c>
      <c r="D7" s="142" t="s">
        <v>3158</v>
      </c>
      <c r="E7" s="142" t="s">
        <v>4795</v>
      </c>
      <c r="F7" s="159" t="s">
        <v>4796</v>
      </c>
      <c r="G7" s="142" t="s">
        <v>4777</v>
      </c>
      <c r="H7" s="142" t="s">
        <v>4778</v>
      </c>
      <c r="I7" s="142" t="s">
        <v>4779</v>
      </c>
      <c r="J7" s="143" t="s">
        <v>4797</v>
      </c>
    </row>
    <row r="8" spans="1:14" ht="21">
      <c r="A8" s="142" t="s">
        <v>4774</v>
      </c>
      <c r="B8" s="142" t="s">
        <v>1511</v>
      </c>
      <c r="C8" s="142" t="s">
        <v>2001</v>
      </c>
      <c r="D8" s="142" t="s">
        <v>3158</v>
      </c>
      <c r="E8" s="142" t="s">
        <v>4798</v>
      </c>
      <c r="F8" s="159" t="s">
        <v>4799</v>
      </c>
      <c r="G8" s="142" t="s">
        <v>4783</v>
      </c>
      <c r="H8" s="142" t="s">
        <v>4778</v>
      </c>
      <c r="I8" s="142" t="s">
        <v>4779</v>
      </c>
      <c r="J8" s="143" t="s">
        <v>4800</v>
      </c>
      <c r="L8" s="157" t="s">
        <v>5055</v>
      </c>
    </row>
    <row r="9" spans="1:14" ht="21">
      <c r="A9" s="142" t="s">
        <v>4774</v>
      </c>
      <c r="B9" s="142" t="s">
        <v>1571</v>
      </c>
      <c r="C9" s="142" t="s">
        <v>3135</v>
      </c>
      <c r="D9" s="142" t="s">
        <v>3973</v>
      </c>
      <c r="E9" s="142" t="s">
        <v>3169</v>
      </c>
      <c r="F9" s="159" t="s">
        <v>4801</v>
      </c>
      <c r="G9" s="142" t="s">
        <v>4777</v>
      </c>
      <c r="H9" s="142" t="s">
        <v>4778</v>
      </c>
      <c r="I9" s="142" t="s">
        <v>4779</v>
      </c>
      <c r="J9" s="143" t="s">
        <v>4802</v>
      </c>
      <c r="L9" s="115" t="s">
        <v>1688</v>
      </c>
      <c r="M9" s="115" t="s">
        <v>5054</v>
      </c>
      <c r="N9" s="115" t="s">
        <v>1505</v>
      </c>
    </row>
    <row r="10" spans="1:14" ht="21">
      <c r="A10" s="142" t="s">
        <v>4774</v>
      </c>
      <c r="B10" s="142" t="s">
        <v>1572</v>
      </c>
      <c r="C10" s="142" t="s">
        <v>3135</v>
      </c>
      <c r="D10" s="142" t="s">
        <v>5058</v>
      </c>
      <c r="E10" s="142" t="s">
        <v>3223</v>
      </c>
      <c r="F10" s="159" t="s">
        <v>4803</v>
      </c>
      <c r="G10" s="142" t="s">
        <v>4777</v>
      </c>
      <c r="H10" s="142" t="s">
        <v>4778</v>
      </c>
      <c r="I10" s="142" t="s">
        <v>4779</v>
      </c>
      <c r="J10" s="143" t="s">
        <v>4804</v>
      </c>
      <c r="L10" t="str" cm="1">
        <f t="array" ref="L10:L25">IFERROR(_xlfn._xlws.FILTER($A$2:$A$109,$I$2:$I$109=$L$3),"")</f>
        <v>Broker</v>
      </c>
      <c r="M10" t="str" cm="1">
        <f t="array" ref="M10:M25">IFERROR(_xlfn._xlws.FILTER($E$2:$E$109,$I$2:$I$109=$L$3),"")</f>
        <v>接続情報の自動追随</v>
      </c>
      <c r="N10" t="str" cm="1">
        <f t="array" ref="N10:N25">IFERROR(_xlfn._xlws.FILTER($D$2:$D$109,$I$2:$I$109=$L$3),"")</f>
        <v>接続情報の自動追随</v>
      </c>
    </row>
    <row r="11" spans="1:14" ht="42">
      <c r="A11" s="142" t="s">
        <v>4774</v>
      </c>
      <c r="B11" s="142" t="s">
        <v>2287</v>
      </c>
      <c r="C11" s="142" t="s">
        <v>2017</v>
      </c>
      <c r="D11" s="142" t="s">
        <v>3958</v>
      </c>
      <c r="E11" s="142" t="s">
        <v>4805</v>
      </c>
      <c r="F11" s="160" t="s">
        <v>5057</v>
      </c>
      <c r="G11" s="142" t="s">
        <v>4777</v>
      </c>
      <c r="H11" s="142" t="s">
        <v>4806</v>
      </c>
      <c r="I11" s="142" t="s">
        <v>4779</v>
      </c>
      <c r="J11" s="143" t="s">
        <v>4807</v>
      </c>
      <c r="L11" t="str">
        <v>Broker</v>
      </c>
      <c r="M11" t="str">
        <v>証明書期限の監視</v>
      </c>
      <c r="N11" t="str">
        <v>証明書期限の監視</v>
      </c>
    </row>
    <row r="12" spans="1:14" ht="21">
      <c r="A12" s="142" t="s">
        <v>4774</v>
      </c>
      <c r="B12" s="142" t="s">
        <v>2256</v>
      </c>
      <c r="C12" s="142" t="s">
        <v>2005</v>
      </c>
      <c r="D12" s="142" t="s">
        <v>2137</v>
      </c>
      <c r="E12" s="142" t="s">
        <v>4808</v>
      </c>
      <c r="F12" s="159" t="s">
        <v>4809</v>
      </c>
      <c r="G12" s="142" t="s">
        <v>4777</v>
      </c>
      <c r="H12" s="142" t="s">
        <v>4778</v>
      </c>
      <c r="I12" s="142" t="s">
        <v>4779</v>
      </c>
      <c r="J12" s="143" t="s">
        <v>4810</v>
      </c>
      <c r="L12" t="str">
        <v>Broker</v>
      </c>
      <c r="M12" t="str">
        <v>ログイン振り分け（HRD）</v>
      </c>
      <c r="N12" t="str">
        <v>顧客IdPの自動振り分け</v>
      </c>
    </row>
    <row r="13" spans="1:14" ht="21">
      <c r="A13" s="142" t="s">
        <v>4774</v>
      </c>
      <c r="B13" s="142" t="s">
        <v>2309</v>
      </c>
      <c r="C13" s="142" t="s">
        <v>2005</v>
      </c>
      <c r="D13" s="142" t="s">
        <v>2181</v>
      </c>
      <c r="E13" s="142" t="s">
        <v>4811</v>
      </c>
      <c r="F13" s="159" t="s">
        <v>4812</v>
      </c>
      <c r="G13" s="142" t="s">
        <v>4783</v>
      </c>
      <c r="H13" s="142" t="s">
        <v>4778</v>
      </c>
      <c r="I13" s="142" t="s">
        <v>4779</v>
      </c>
      <c r="J13" s="143" t="s">
        <v>4813</v>
      </c>
      <c r="L13" t="str">
        <v>Broker</v>
      </c>
      <c r="M13" t="str">
        <v>アプリへの変更通知（Webhook）</v>
      </c>
      <c r="N13" t="str">
        <v>アプリへの変更通知（Webhook）</v>
      </c>
    </row>
    <row r="14" spans="1:14" ht="42">
      <c r="A14" s="142" t="s">
        <v>4774</v>
      </c>
      <c r="B14" s="142" t="s">
        <v>2309</v>
      </c>
      <c r="C14" s="142" t="s">
        <v>2005</v>
      </c>
      <c r="D14" s="142" t="s">
        <v>2181</v>
      </c>
      <c r="E14" s="142" t="s">
        <v>4814</v>
      </c>
      <c r="F14" s="159" t="s">
        <v>4815</v>
      </c>
      <c r="G14" s="142" t="s">
        <v>4777</v>
      </c>
      <c r="H14" s="142" t="s">
        <v>4778</v>
      </c>
      <c r="I14" s="142" t="s">
        <v>4779</v>
      </c>
      <c r="J14" s="143" t="s">
        <v>4816</v>
      </c>
      <c r="L14" t="str">
        <v>Broker</v>
      </c>
      <c r="M14" t="str">
        <v>長期未使用者の自動停止</v>
      </c>
      <c r="N14" t="str">
        <v>長期未使用者の自動停止</v>
      </c>
    </row>
    <row r="15" spans="1:14" ht="42">
      <c r="A15" s="142" t="s">
        <v>4774</v>
      </c>
      <c r="B15" s="142" t="s">
        <v>2287</v>
      </c>
      <c r="C15" s="142" t="s">
        <v>2017</v>
      </c>
      <c r="D15" s="142" t="s">
        <v>3958</v>
      </c>
      <c r="E15" s="142" t="s">
        <v>4817</v>
      </c>
      <c r="F15" s="159" t="s">
        <v>4818</v>
      </c>
      <c r="G15" s="142" t="s">
        <v>4777</v>
      </c>
      <c r="H15" s="142" t="s">
        <v>4819</v>
      </c>
      <c r="I15" s="142" t="s">
        <v>4779</v>
      </c>
      <c r="J15" s="143" t="s">
        <v>4820</v>
      </c>
      <c r="L15" t="str">
        <v>Broker</v>
      </c>
      <c r="M15" t="str">
        <v>保存期限切れの消去</v>
      </c>
      <c r="N15" t="str">
        <v>保存期限切れデータの消去</v>
      </c>
    </row>
    <row r="16" spans="1:14" ht="42">
      <c r="A16" s="142" t="s">
        <v>4774</v>
      </c>
      <c r="B16" s="142" t="s">
        <v>2287</v>
      </c>
      <c r="C16" s="142" t="s">
        <v>2017</v>
      </c>
      <c r="D16" s="142" t="s">
        <v>3958</v>
      </c>
      <c r="E16" s="142" t="s">
        <v>4821</v>
      </c>
      <c r="F16" s="159" t="s">
        <v>4822</v>
      </c>
      <c r="G16" s="142" t="s">
        <v>4777</v>
      </c>
      <c r="H16" s="142" t="s">
        <v>4778</v>
      </c>
      <c r="I16" s="142" t="s">
        <v>4779</v>
      </c>
      <c r="J16" s="143" t="s">
        <v>4823</v>
      </c>
      <c r="L16" t="str">
        <v>Broker</v>
      </c>
      <c r="M16" t="str">
        <v>実在推測の防止</v>
      </c>
      <c r="N16" t="str">
        <v>ユーザの存在推測の防止</v>
      </c>
    </row>
    <row r="17" spans="1:14" ht="42">
      <c r="A17" s="142" t="s">
        <v>4774</v>
      </c>
      <c r="B17" s="142" t="s">
        <v>1558</v>
      </c>
      <c r="C17" s="142" t="s">
        <v>3132</v>
      </c>
      <c r="D17" s="142" t="s">
        <v>3166</v>
      </c>
      <c r="E17" s="142" t="s">
        <v>4824</v>
      </c>
      <c r="F17" s="159" t="s">
        <v>4825</v>
      </c>
      <c r="G17" s="142" t="s">
        <v>4826</v>
      </c>
      <c r="H17" s="142" t="s">
        <v>4819</v>
      </c>
      <c r="I17" s="142" t="s">
        <v>4779</v>
      </c>
      <c r="J17" s="143" t="s">
        <v>4827</v>
      </c>
      <c r="L17" t="str">
        <v>IdP</v>
      </c>
      <c r="M17" t="str">
        <v>パスワードの照合</v>
      </c>
      <c r="N17" t="str">
        <v>Keycloak-IdP 収容ユーザのログイン</v>
      </c>
    </row>
    <row r="18" spans="1:14" ht="21">
      <c r="A18" s="142" t="s">
        <v>4774</v>
      </c>
      <c r="B18" s="142" t="s">
        <v>1559</v>
      </c>
      <c r="C18" s="142" t="s">
        <v>3132</v>
      </c>
      <c r="D18" s="142" t="s">
        <v>1627</v>
      </c>
      <c r="E18" s="142" t="s">
        <v>4828</v>
      </c>
      <c r="F18" s="159" t="s">
        <v>4829</v>
      </c>
      <c r="G18" s="142" t="s">
        <v>4826</v>
      </c>
      <c r="H18" s="142" t="s">
        <v>4819</v>
      </c>
      <c r="I18" s="142" t="s">
        <v>4779</v>
      </c>
      <c r="J18" s="143" t="s">
        <v>2394</v>
      </c>
      <c r="L18" t="str">
        <v>IdP</v>
      </c>
      <c r="M18" t="str">
        <v>流出パスワードの使用拒否</v>
      </c>
      <c r="N18" t="str">
        <v>流出パスワードの使用拒否</v>
      </c>
    </row>
    <row r="19" spans="1:14" ht="21">
      <c r="A19" s="142" t="s">
        <v>4774</v>
      </c>
      <c r="B19" s="142" t="s">
        <v>1558</v>
      </c>
      <c r="C19" s="142" t="s">
        <v>3132</v>
      </c>
      <c r="D19" s="142" t="s">
        <v>3166</v>
      </c>
      <c r="E19" s="142" t="s">
        <v>4830</v>
      </c>
      <c r="F19" s="159" t="s">
        <v>4831</v>
      </c>
      <c r="G19" s="142" t="s">
        <v>4826</v>
      </c>
      <c r="H19" s="142" t="s">
        <v>4778</v>
      </c>
      <c r="I19" s="142" t="s">
        <v>4779</v>
      </c>
      <c r="J19" s="143" t="s">
        <v>4832</v>
      </c>
      <c r="L19" t="str">
        <v>IdP</v>
      </c>
      <c r="M19" t="str">
        <v>メールを持たない人の復旧</v>
      </c>
      <c r="N19" t="str">
        <v>メールを持たない人の復旧</v>
      </c>
    </row>
    <row r="20" spans="1:14" ht="21">
      <c r="A20" s="142" t="s">
        <v>4774</v>
      </c>
      <c r="B20" s="142" t="s">
        <v>1580</v>
      </c>
      <c r="C20" s="142" t="s">
        <v>3132</v>
      </c>
      <c r="D20" s="142" t="s">
        <v>1709</v>
      </c>
      <c r="E20" s="142" t="s">
        <v>1709</v>
      </c>
      <c r="F20" s="159" t="s">
        <v>4833</v>
      </c>
      <c r="G20" s="142" t="s">
        <v>4834</v>
      </c>
      <c r="H20" s="142" t="s">
        <v>4835</v>
      </c>
      <c r="I20" s="142" t="s">
        <v>4836</v>
      </c>
      <c r="J20" s="143" t="s">
        <v>4837</v>
      </c>
      <c r="L20" t="str">
        <v>Broker</v>
      </c>
      <c r="M20" t="str">
        <v>振り分け失敗時の切替</v>
      </c>
      <c r="N20" t="str">
        <v>振り分け失敗時のパスワード入力への切替</v>
      </c>
    </row>
    <row r="21" spans="1:14" ht="21">
      <c r="A21" s="142" t="s">
        <v>4774</v>
      </c>
      <c r="B21" s="142" t="s">
        <v>1556</v>
      </c>
      <c r="C21" s="142" t="s">
        <v>2015</v>
      </c>
      <c r="D21" s="142" t="s">
        <v>1652</v>
      </c>
      <c r="E21" s="142" t="s">
        <v>1652</v>
      </c>
      <c r="F21" s="159" t="s">
        <v>4838</v>
      </c>
      <c r="G21" s="142" t="s">
        <v>4826</v>
      </c>
      <c r="H21" s="142" t="s">
        <v>4819</v>
      </c>
      <c r="I21" s="142" t="s">
        <v>4779</v>
      </c>
      <c r="J21" s="143" t="s">
        <v>4839</v>
      </c>
      <c r="L21" t="str">
        <v>Broker</v>
      </c>
      <c r="M21" t="str">
        <v>管理 API の内部公開</v>
      </c>
      <c r="N21" t="str">
        <v>管理 API の内部公開（idm-api 向け）</v>
      </c>
    </row>
    <row r="22" spans="1:14" ht="21">
      <c r="A22" s="142" t="s">
        <v>4774</v>
      </c>
      <c r="B22" s="142" t="s">
        <v>1557</v>
      </c>
      <c r="C22" s="142" t="s">
        <v>2015</v>
      </c>
      <c r="D22" s="142" t="s">
        <v>1653</v>
      </c>
      <c r="E22" s="142" t="s">
        <v>1653</v>
      </c>
      <c r="F22" s="159" t="s">
        <v>4840</v>
      </c>
      <c r="G22" s="142" t="s">
        <v>4826</v>
      </c>
      <c r="H22" s="142" t="s">
        <v>4819</v>
      </c>
      <c r="I22" s="142" t="s">
        <v>4779</v>
      </c>
      <c r="J22" s="143" t="s">
        <v>4841</v>
      </c>
      <c r="L22" t="str">
        <v>Broker</v>
      </c>
      <c r="M22" t="str">
        <v>不正兆候の検知</v>
      </c>
      <c r="N22" t="str">
        <v>不正兆候の検知</v>
      </c>
    </row>
    <row r="23" spans="1:14" ht="21">
      <c r="A23" s="142" t="s">
        <v>4774</v>
      </c>
      <c r="B23" s="142" t="s">
        <v>2227</v>
      </c>
      <c r="C23" s="142" t="s">
        <v>2015</v>
      </c>
      <c r="D23" s="142" t="s">
        <v>2108</v>
      </c>
      <c r="E23" s="142" t="s">
        <v>2108</v>
      </c>
      <c r="F23" s="159" t="s">
        <v>4842</v>
      </c>
      <c r="G23" s="142" t="s">
        <v>4826</v>
      </c>
      <c r="H23" s="142" t="s">
        <v>4819</v>
      </c>
      <c r="I23" s="142" t="s">
        <v>4779</v>
      </c>
      <c r="J23" s="143" t="s">
        <v>4843</v>
      </c>
      <c r="L23" t="str">
        <v>Broker</v>
      </c>
      <c r="M23" t="str">
        <v>登録経路の区分判定</v>
      </c>
      <c r="N23" t="str">
        <v>登録経路の区分判定</v>
      </c>
    </row>
    <row r="24" spans="1:14" ht="21">
      <c r="A24" s="142" t="s">
        <v>4774</v>
      </c>
      <c r="B24" s="142" t="s">
        <v>1558</v>
      </c>
      <c r="C24" s="142" t="s">
        <v>3132</v>
      </c>
      <c r="D24" s="142" t="s">
        <v>3166</v>
      </c>
      <c r="E24" s="142" t="s">
        <v>4844</v>
      </c>
      <c r="F24" s="159" t="s">
        <v>4845</v>
      </c>
      <c r="G24" s="142" t="s">
        <v>4826</v>
      </c>
      <c r="H24" s="142" t="s">
        <v>4819</v>
      </c>
      <c r="I24" s="142" t="s">
        <v>4779</v>
      </c>
      <c r="J24" s="143" t="s">
        <v>4846</v>
      </c>
      <c r="L24" t="str">
        <v>Broker</v>
      </c>
      <c r="M24" t="str">
        <v>最終ログイン日時の取得</v>
      </c>
      <c r="N24" t="str">
        <v>長期未使用者の自動停止</v>
      </c>
    </row>
    <row r="25" spans="1:14" ht="21">
      <c r="A25" s="142" t="s">
        <v>4774</v>
      </c>
      <c r="B25" s="142" t="s">
        <v>1543</v>
      </c>
      <c r="C25" s="142" t="s">
        <v>2014</v>
      </c>
      <c r="D25" s="142" t="s">
        <v>5059</v>
      </c>
      <c r="E25" s="142" t="s">
        <v>3194</v>
      </c>
      <c r="F25" s="159" t="s">
        <v>4847</v>
      </c>
      <c r="G25" s="142" t="s">
        <v>4826</v>
      </c>
      <c r="H25" s="142" t="s">
        <v>4819</v>
      </c>
      <c r="I25" s="142" t="s">
        <v>4779</v>
      </c>
      <c r="J25" s="143" t="s">
        <v>4848</v>
      </c>
      <c r="L25" t="str">
        <v>IdP</v>
      </c>
      <c r="M25" t="str">
        <v>パスワードの変更日・期限の取得</v>
      </c>
      <c r="N25" t="str">
        <v>パスワード変更・初回強制変更</v>
      </c>
    </row>
    <row r="26" spans="1:14">
      <c r="A26" s="142" t="s">
        <v>4774</v>
      </c>
      <c r="B26" s="142" t="s">
        <v>1544</v>
      </c>
      <c r="C26" s="142" t="s">
        <v>2014</v>
      </c>
      <c r="D26" s="142" t="s">
        <v>3196</v>
      </c>
      <c r="E26" s="142" t="s">
        <v>3196</v>
      </c>
      <c r="F26" s="159" t="s">
        <v>4849</v>
      </c>
      <c r="G26" s="142" t="s">
        <v>4826</v>
      </c>
      <c r="H26" s="142" t="s">
        <v>4819</v>
      </c>
      <c r="I26" s="142" t="s">
        <v>4779</v>
      </c>
      <c r="J26" s="143"/>
    </row>
    <row r="27" spans="1:14">
      <c r="A27" s="142" t="s">
        <v>4774</v>
      </c>
      <c r="B27" s="142" t="s">
        <v>1545</v>
      </c>
      <c r="C27" s="142" t="s">
        <v>2014</v>
      </c>
      <c r="D27" s="142" t="s">
        <v>3198</v>
      </c>
      <c r="E27" s="142" t="s">
        <v>3198</v>
      </c>
      <c r="F27" s="159" t="s">
        <v>4850</v>
      </c>
      <c r="G27" s="142" t="s">
        <v>4826</v>
      </c>
      <c r="H27" s="142" t="s">
        <v>4819</v>
      </c>
      <c r="I27" s="142" t="s">
        <v>4779</v>
      </c>
      <c r="J27" s="143"/>
    </row>
    <row r="28" spans="1:14" ht="21">
      <c r="A28" s="142" t="s">
        <v>4774</v>
      </c>
      <c r="B28" s="142" t="s">
        <v>1546</v>
      </c>
      <c r="C28" s="142" t="s">
        <v>2014</v>
      </c>
      <c r="D28" s="142" t="s">
        <v>3200</v>
      </c>
      <c r="E28" s="142" t="s">
        <v>3200</v>
      </c>
      <c r="F28" s="159" t="s">
        <v>4851</v>
      </c>
      <c r="G28" s="142" t="s">
        <v>4826</v>
      </c>
      <c r="H28" s="142" t="s">
        <v>4819</v>
      </c>
      <c r="I28" s="142" t="s">
        <v>4779</v>
      </c>
      <c r="J28" s="143" t="s">
        <v>4852</v>
      </c>
      <c r="L28" s="157" t="s">
        <v>5056</v>
      </c>
    </row>
    <row r="29" spans="1:14" ht="21">
      <c r="A29" s="142" t="s">
        <v>4774</v>
      </c>
      <c r="B29" s="142" t="s">
        <v>1547</v>
      </c>
      <c r="C29" s="142" t="s">
        <v>2014</v>
      </c>
      <c r="D29" s="142" t="s">
        <v>3202</v>
      </c>
      <c r="E29" s="142" t="s">
        <v>3202</v>
      </c>
      <c r="F29" s="159" t="s">
        <v>4853</v>
      </c>
      <c r="G29" s="142" t="s">
        <v>4826</v>
      </c>
      <c r="H29" s="142" t="s">
        <v>4819</v>
      </c>
      <c r="I29" s="142" t="s">
        <v>4779</v>
      </c>
      <c r="J29" s="143" t="s">
        <v>4854</v>
      </c>
      <c r="L29" s="115" t="s">
        <v>1688</v>
      </c>
      <c r="M29" s="115" t="s">
        <v>5054</v>
      </c>
      <c r="N29" s="115" t="s">
        <v>1505</v>
      </c>
    </row>
    <row r="30" spans="1:14" ht="21">
      <c r="A30" s="142" t="s">
        <v>4774</v>
      </c>
      <c r="B30" s="142" t="s">
        <v>1535</v>
      </c>
      <c r="C30" s="142" t="s">
        <v>2013</v>
      </c>
      <c r="D30" s="142" t="s">
        <v>3164</v>
      </c>
      <c r="E30" s="142" t="s">
        <v>4855</v>
      </c>
      <c r="F30" s="159" t="s">
        <v>4856</v>
      </c>
      <c r="G30" s="142" t="s">
        <v>4834</v>
      </c>
      <c r="H30" s="142" t="s">
        <v>4819</v>
      </c>
      <c r="I30" s="142" t="s">
        <v>4779</v>
      </c>
      <c r="J30" s="143" t="s">
        <v>4857</v>
      </c>
      <c r="L30" t="str" cm="1">
        <f t="array" ref="L30:L35">IFERROR(_xlfn._xlws.FILTER($A$2:$A$109,$I$2:$I$109=$L$4),"")</f>
        <v>Broker</v>
      </c>
      <c r="M30" t="str" cm="1">
        <f t="array" ref="M30:M35">IFERROR(_xlfn._xlws.FILTER($E$2:$E$109,$I$2:$I$109=$L$4),"")</f>
        <v>ユーザ登録の受信（SCIM）</v>
      </c>
      <c r="N30" t="str" cm="1">
        <f t="array" ref="N30:N35">IFERROR(_xlfn._xlws.FILTER($D$2:$D$109,$I$2:$I$109=$L$4),"")</f>
        <v>SCIM 受信: ユーザの登録</v>
      </c>
    </row>
    <row r="31" spans="1:14" ht="21">
      <c r="A31" s="142" t="s">
        <v>4774</v>
      </c>
      <c r="B31" s="142" t="s">
        <v>1536</v>
      </c>
      <c r="C31" s="142" t="s">
        <v>2013</v>
      </c>
      <c r="D31" s="142" t="s">
        <v>3165</v>
      </c>
      <c r="E31" s="142" t="s">
        <v>3165</v>
      </c>
      <c r="F31" s="159" t="s">
        <v>4858</v>
      </c>
      <c r="G31" s="142" t="s">
        <v>4834</v>
      </c>
      <c r="H31" s="142" t="s">
        <v>4819</v>
      </c>
      <c r="I31" s="142" t="s">
        <v>4779</v>
      </c>
      <c r="J31" s="143" t="s">
        <v>4859</v>
      </c>
      <c r="L31" t="str">
        <v>Broker</v>
      </c>
      <c r="M31" t="str">
        <v>ユーザ更新の受信（SCIM）</v>
      </c>
      <c r="N31" t="str">
        <v>SCIM 受信: ユーザの更新</v>
      </c>
    </row>
    <row r="32" spans="1:14" ht="21">
      <c r="A32" s="142" t="s">
        <v>4774</v>
      </c>
      <c r="B32" s="142" t="s">
        <v>1548</v>
      </c>
      <c r="C32" s="142" t="s">
        <v>2014</v>
      </c>
      <c r="D32" s="142" t="s">
        <v>3204</v>
      </c>
      <c r="E32" s="142" t="s">
        <v>3204</v>
      </c>
      <c r="F32" s="159" t="s">
        <v>4860</v>
      </c>
      <c r="G32" s="142" t="s">
        <v>4826</v>
      </c>
      <c r="H32" s="142" t="s">
        <v>4819</v>
      </c>
      <c r="I32" s="142" t="s">
        <v>4779</v>
      </c>
      <c r="J32" s="143" t="s">
        <v>4861</v>
      </c>
      <c r="L32" t="str">
        <v>Broker</v>
      </c>
      <c r="M32" t="str">
        <v>削除通知の受信（SCIM）</v>
      </c>
      <c r="N32" t="str">
        <v>SCIM 受信: 削除通知（無効化へ読み替え）</v>
      </c>
    </row>
    <row r="33" spans="1:14">
      <c r="A33" s="142" t="s">
        <v>4774</v>
      </c>
      <c r="B33" s="142" t="s">
        <v>1552</v>
      </c>
      <c r="C33" s="142" t="s">
        <v>2005</v>
      </c>
      <c r="D33" s="142" t="s">
        <v>2114</v>
      </c>
      <c r="E33" s="142" t="s">
        <v>4862</v>
      </c>
      <c r="F33" s="159" t="s">
        <v>4863</v>
      </c>
      <c r="G33" s="142" t="s">
        <v>4826</v>
      </c>
      <c r="H33" s="142" t="s">
        <v>4819</v>
      </c>
      <c r="I33" s="142" t="s">
        <v>4779</v>
      </c>
      <c r="J33" s="143"/>
      <c r="L33" t="str">
        <v>Broker</v>
      </c>
      <c r="M33" t="str">
        <v>ユーザ検索の受信（SCIM）</v>
      </c>
      <c r="N33" t="str">
        <v>SCIM 受信: ユーザの検索</v>
      </c>
    </row>
    <row r="34" spans="1:14" ht="21">
      <c r="A34" s="142" t="s">
        <v>4774</v>
      </c>
      <c r="B34" s="142" t="s">
        <v>1552</v>
      </c>
      <c r="C34" s="142" t="s">
        <v>2005</v>
      </c>
      <c r="D34" s="142" t="s">
        <v>2114</v>
      </c>
      <c r="E34" s="142" t="s">
        <v>4864</v>
      </c>
      <c r="F34" s="159" t="s">
        <v>4865</v>
      </c>
      <c r="G34" s="142" t="s">
        <v>4826</v>
      </c>
      <c r="H34" s="142" t="s">
        <v>4819</v>
      </c>
      <c r="I34" s="142" t="s">
        <v>4779</v>
      </c>
      <c r="J34" s="143" t="s">
        <v>4866</v>
      </c>
      <c r="L34" t="str">
        <v>IdP</v>
      </c>
      <c r="M34" t="str">
        <v>パスワードの自己再設定</v>
      </c>
      <c r="N34" t="str">
        <v>パスワードの自己再設定</v>
      </c>
    </row>
    <row r="35" spans="1:14">
      <c r="A35" s="142" t="s">
        <v>4774</v>
      </c>
      <c r="B35" s="142" t="s">
        <v>1543</v>
      </c>
      <c r="C35" s="142" t="s">
        <v>2014</v>
      </c>
      <c r="D35" s="142" t="s">
        <v>3194</v>
      </c>
      <c r="E35" s="142" t="s">
        <v>4867</v>
      </c>
      <c r="F35" s="159" t="s">
        <v>4868</v>
      </c>
      <c r="G35" s="142" t="s">
        <v>4826</v>
      </c>
      <c r="H35" s="142" t="s">
        <v>4819</v>
      </c>
      <c r="I35" s="142" t="s">
        <v>4779</v>
      </c>
      <c r="J35" s="143"/>
      <c r="L35" t="str">
        <v>Broker</v>
      </c>
      <c r="M35" t="str">
        <v>一括の有効化・無効化</v>
      </c>
      <c r="N35" t="str">
        <v>ユーザの利用可否の切替</v>
      </c>
    </row>
    <row r="36" spans="1:14" ht="21">
      <c r="A36" s="142" t="s">
        <v>4774</v>
      </c>
      <c r="B36" s="142" t="s">
        <v>1523</v>
      </c>
      <c r="C36" s="142" t="s">
        <v>1649</v>
      </c>
      <c r="D36" s="142" t="s">
        <v>1614</v>
      </c>
      <c r="E36" s="142" t="s">
        <v>4869</v>
      </c>
      <c r="F36" s="159" t="s">
        <v>4870</v>
      </c>
      <c r="G36" s="142" t="s">
        <v>4826</v>
      </c>
      <c r="H36" s="142" t="s">
        <v>4778</v>
      </c>
      <c r="I36" s="142" t="s">
        <v>4779</v>
      </c>
      <c r="J36" s="143" t="s">
        <v>4871</v>
      </c>
    </row>
    <row r="37" spans="1:14" ht="21">
      <c r="A37" s="142" t="s">
        <v>4774</v>
      </c>
      <c r="B37" s="142" t="s">
        <v>2299</v>
      </c>
      <c r="C37" s="142" t="s">
        <v>2018</v>
      </c>
      <c r="D37" s="142" t="s">
        <v>2171</v>
      </c>
      <c r="E37" s="142" t="s">
        <v>2905</v>
      </c>
      <c r="F37" s="159" t="s">
        <v>4872</v>
      </c>
      <c r="G37" s="142" t="s">
        <v>4826</v>
      </c>
      <c r="H37" s="142" t="s">
        <v>4819</v>
      </c>
      <c r="I37" s="142" t="s">
        <v>4779</v>
      </c>
      <c r="J37" s="143" t="s">
        <v>4873</v>
      </c>
    </row>
    <row r="38" spans="1:14" ht="42">
      <c r="A38" s="142" t="s">
        <v>4774</v>
      </c>
      <c r="B38" s="142" t="s">
        <v>2299</v>
      </c>
      <c r="C38" s="142" t="s">
        <v>2018</v>
      </c>
      <c r="D38" s="142" t="s">
        <v>2171</v>
      </c>
      <c r="E38" s="142" t="s">
        <v>4874</v>
      </c>
      <c r="F38" s="159" t="s">
        <v>4875</v>
      </c>
      <c r="G38" s="142" t="s">
        <v>4777</v>
      </c>
      <c r="H38" s="142" t="s">
        <v>4778</v>
      </c>
      <c r="I38" s="142" t="s">
        <v>4779</v>
      </c>
      <c r="J38" s="143" t="s">
        <v>4876</v>
      </c>
    </row>
    <row r="39" spans="1:14" ht="21">
      <c r="A39" s="142" t="s">
        <v>4774</v>
      </c>
      <c r="B39" s="142" t="s">
        <v>2299</v>
      </c>
      <c r="C39" s="142" t="s">
        <v>2018</v>
      </c>
      <c r="D39" s="142" t="s">
        <v>2171</v>
      </c>
      <c r="E39" s="142" t="s">
        <v>4877</v>
      </c>
      <c r="F39" s="159" t="s">
        <v>4878</v>
      </c>
      <c r="G39" s="142" t="s">
        <v>4826</v>
      </c>
      <c r="H39" s="142" t="s">
        <v>4819</v>
      </c>
      <c r="I39" s="142" t="s">
        <v>4779</v>
      </c>
      <c r="J39" s="143" t="s">
        <v>4879</v>
      </c>
    </row>
    <row r="40" spans="1:14" ht="21">
      <c r="A40" s="142" t="s">
        <v>4774</v>
      </c>
      <c r="B40" s="142" t="s">
        <v>1586</v>
      </c>
      <c r="C40" s="142" t="s">
        <v>2023</v>
      </c>
      <c r="D40" s="142" t="s">
        <v>1640</v>
      </c>
      <c r="E40" s="142" t="s">
        <v>4880</v>
      </c>
      <c r="F40" s="159" t="s">
        <v>4881</v>
      </c>
      <c r="G40" s="142" t="s">
        <v>4826</v>
      </c>
      <c r="H40" s="142" t="s">
        <v>4819</v>
      </c>
      <c r="I40" s="142" t="s">
        <v>4779</v>
      </c>
      <c r="J40" s="143" t="s">
        <v>4882</v>
      </c>
    </row>
    <row r="41" spans="1:14" ht="21">
      <c r="A41" s="142" t="s">
        <v>4774</v>
      </c>
      <c r="B41" s="142" t="s">
        <v>1585</v>
      </c>
      <c r="C41" s="142" t="s">
        <v>2023</v>
      </c>
      <c r="D41" s="142" t="s">
        <v>1639</v>
      </c>
      <c r="E41" s="142" t="s">
        <v>4883</v>
      </c>
      <c r="F41" s="159" t="s">
        <v>4884</v>
      </c>
      <c r="G41" s="142" t="s">
        <v>4826</v>
      </c>
      <c r="H41" s="142" t="s">
        <v>4819</v>
      </c>
      <c r="I41" s="142" t="s">
        <v>4779</v>
      </c>
      <c r="J41" s="143" t="s">
        <v>4885</v>
      </c>
    </row>
    <row r="42" spans="1:14" ht="21">
      <c r="A42" s="142" t="s">
        <v>4774</v>
      </c>
      <c r="B42" s="142" t="s">
        <v>1587</v>
      </c>
      <c r="C42" s="142" t="s">
        <v>2023</v>
      </c>
      <c r="D42" s="142" t="s">
        <v>2163</v>
      </c>
      <c r="E42" s="142" t="s">
        <v>1641</v>
      </c>
      <c r="F42" s="159" t="s">
        <v>4833</v>
      </c>
      <c r="G42" s="142" t="s">
        <v>4834</v>
      </c>
      <c r="H42" s="142" t="s">
        <v>4835</v>
      </c>
      <c r="I42" s="142" t="s">
        <v>4836</v>
      </c>
      <c r="J42" s="143" t="s">
        <v>4886</v>
      </c>
    </row>
    <row r="43" spans="1:14" ht="42">
      <c r="A43" s="142" t="s">
        <v>4774</v>
      </c>
      <c r="B43" s="142" t="s">
        <v>2243</v>
      </c>
      <c r="C43" s="142" t="s">
        <v>2020</v>
      </c>
      <c r="D43" s="142" t="s">
        <v>2126</v>
      </c>
      <c r="E43" s="142" t="s">
        <v>4887</v>
      </c>
      <c r="F43" s="159" t="s">
        <v>4888</v>
      </c>
      <c r="G43" s="142" t="s">
        <v>4826</v>
      </c>
      <c r="H43" s="142" t="s">
        <v>4819</v>
      </c>
      <c r="I43" s="142" t="s">
        <v>4779</v>
      </c>
      <c r="J43" s="143" t="s">
        <v>4889</v>
      </c>
    </row>
    <row r="44" spans="1:14" ht="42">
      <c r="A44" s="142" t="s">
        <v>4774</v>
      </c>
      <c r="B44" s="142" t="s">
        <v>1570</v>
      </c>
      <c r="C44" s="142" t="s">
        <v>2017</v>
      </c>
      <c r="D44" s="142" t="s">
        <v>2089</v>
      </c>
      <c r="E44" s="142" t="s">
        <v>4890</v>
      </c>
      <c r="F44" s="160" t="s">
        <v>5060</v>
      </c>
      <c r="G44" s="142" t="s">
        <v>4826</v>
      </c>
      <c r="H44" s="142" t="s">
        <v>4806</v>
      </c>
      <c r="I44" s="142" t="s">
        <v>4779</v>
      </c>
      <c r="J44" s="143" t="s">
        <v>4891</v>
      </c>
    </row>
    <row r="45" spans="1:14" ht="42">
      <c r="A45" s="142" t="s">
        <v>4774</v>
      </c>
      <c r="B45" s="142" t="s">
        <v>1507</v>
      </c>
      <c r="C45" s="142" t="s">
        <v>2000</v>
      </c>
      <c r="D45" s="142" t="s">
        <v>3155</v>
      </c>
      <c r="E45" s="142" t="s">
        <v>2000</v>
      </c>
      <c r="F45" s="159" t="s">
        <v>4892</v>
      </c>
      <c r="G45" s="142" t="s">
        <v>4783</v>
      </c>
      <c r="H45" s="142" t="s">
        <v>4835</v>
      </c>
      <c r="I45" s="142" t="s">
        <v>4836</v>
      </c>
      <c r="J45" s="143" t="s">
        <v>4893</v>
      </c>
    </row>
    <row r="46" spans="1:14" ht="42">
      <c r="A46" s="142" t="s">
        <v>4774</v>
      </c>
      <c r="B46" s="142" t="s">
        <v>1528</v>
      </c>
      <c r="C46" s="142" t="s">
        <v>2046</v>
      </c>
      <c r="D46" s="142" t="s">
        <v>3161</v>
      </c>
      <c r="E46" s="142" t="s">
        <v>4894</v>
      </c>
      <c r="F46" s="159" t="s">
        <v>4833</v>
      </c>
      <c r="G46" s="142" t="s">
        <v>4834</v>
      </c>
      <c r="H46" s="142" t="s">
        <v>4835</v>
      </c>
      <c r="I46" s="142" t="s">
        <v>4895</v>
      </c>
      <c r="J46" s="143" t="s">
        <v>4896</v>
      </c>
    </row>
    <row r="47" spans="1:14" ht="21">
      <c r="A47" s="142" t="s">
        <v>4774</v>
      </c>
      <c r="B47" s="142" t="s">
        <v>1529</v>
      </c>
      <c r="C47" s="142" t="s">
        <v>2009</v>
      </c>
      <c r="D47" s="142" t="s">
        <v>3162</v>
      </c>
      <c r="E47" s="142" t="s">
        <v>4897</v>
      </c>
      <c r="F47" s="159" t="s">
        <v>4833</v>
      </c>
      <c r="G47" s="142" t="s">
        <v>4834</v>
      </c>
      <c r="H47" s="142" t="s">
        <v>4835</v>
      </c>
      <c r="I47" s="142" t="s">
        <v>4895</v>
      </c>
      <c r="J47" s="143" t="s">
        <v>4898</v>
      </c>
    </row>
    <row r="48" spans="1:14" ht="21">
      <c r="A48" s="142" t="s">
        <v>4774</v>
      </c>
      <c r="B48" s="142" t="s">
        <v>1530</v>
      </c>
      <c r="C48" s="142" t="s">
        <v>2009</v>
      </c>
      <c r="D48" s="142" t="s">
        <v>2143</v>
      </c>
      <c r="E48" s="142" t="s">
        <v>4899</v>
      </c>
      <c r="F48" s="159" t="s">
        <v>4833</v>
      </c>
      <c r="G48" s="142" t="s">
        <v>4834</v>
      </c>
      <c r="H48" s="142" t="s">
        <v>4835</v>
      </c>
      <c r="I48" s="142" t="s">
        <v>4895</v>
      </c>
      <c r="J48" s="143" t="s">
        <v>4898</v>
      </c>
    </row>
    <row r="49" spans="1:10" ht="21">
      <c r="A49" s="142" t="s">
        <v>4774</v>
      </c>
      <c r="B49" s="142" t="s">
        <v>1531</v>
      </c>
      <c r="C49" s="142" t="s">
        <v>2009</v>
      </c>
      <c r="D49" s="142" t="s">
        <v>3163</v>
      </c>
      <c r="E49" s="142" t="s">
        <v>4900</v>
      </c>
      <c r="F49" s="159" t="s">
        <v>4833</v>
      </c>
      <c r="G49" s="142" t="s">
        <v>4834</v>
      </c>
      <c r="H49" s="142" t="s">
        <v>4835</v>
      </c>
      <c r="I49" s="142" t="s">
        <v>4895</v>
      </c>
      <c r="J49" s="143" t="s">
        <v>4898</v>
      </c>
    </row>
    <row r="50" spans="1:10" ht="21">
      <c r="A50" s="142" t="s">
        <v>4774</v>
      </c>
      <c r="B50" s="142" t="s">
        <v>1576</v>
      </c>
      <c r="C50" s="142" t="s">
        <v>2018</v>
      </c>
      <c r="D50" s="142" t="s">
        <v>2156</v>
      </c>
      <c r="E50" s="142" t="s">
        <v>2156</v>
      </c>
      <c r="F50" s="159" t="s">
        <v>4833</v>
      </c>
      <c r="G50" s="142" t="s">
        <v>4777</v>
      </c>
      <c r="H50" s="142" t="s">
        <v>4835</v>
      </c>
      <c r="I50" s="142" t="s">
        <v>4836</v>
      </c>
      <c r="J50" s="143" t="s">
        <v>4901</v>
      </c>
    </row>
    <row r="51" spans="1:10" ht="21">
      <c r="A51" s="142" t="s">
        <v>4774</v>
      </c>
      <c r="B51" s="142" t="s">
        <v>1582</v>
      </c>
      <c r="C51" s="142" t="s">
        <v>2013</v>
      </c>
      <c r="D51" s="142" t="s">
        <v>1636</v>
      </c>
      <c r="E51" s="142" t="s">
        <v>1636</v>
      </c>
      <c r="F51" s="159" t="s">
        <v>4833</v>
      </c>
      <c r="G51" s="142" t="s">
        <v>4834</v>
      </c>
      <c r="H51" s="142" t="s">
        <v>4835</v>
      </c>
      <c r="I51" s="142" t="s">
        <v>4836</v>
      </c>
      <c r="J51" s="143" t="s">
        <v>4902</v>
      </c>
    </row>
    <row r="52" spans="1:10" ht="21">
      <c r="A52" s="142" t="s">
        <v>4774</v>
      </c>
      <c r="B52" s="142" t="s">
        <v>1589</v>
      </c>
      <c r="C52" s="142" t="s">
        <v>2013</v>
      </c>
      <c r="D52" s="142" t="s">
        <v>1642</v>
      </c>
      <c r="E52" s="142" t="s">
        <v>4903</v>
      </c>
      <c r="F52" s="159" t="s">
        <v>4833</v>
      </c>
      <c r="G52" s="142" t="s">
        <v>4834</v>
      </c>
      <c r="H52" s="142" t="s">
        <v>4835</v>
      </c>
      <c r="I52" s="142" t="s">
        <v>4836</v>
      </c>
      <c r="J52" s="143" t="s">
        <v>4904</v>
      </c>
    </row>
    <row r="53" spans="1:10" ht="21">
      <c r="A53" s="142" t="s">
        <v>4774</v>
      </c>
      <c r="B53" s="142" t="s">
        <v>1524</v>
      </c>
      <c r="C53" s="142" t="s">
        <v>1649</v>
      </c>
      <c r="D53" s="142" t="s">
        <v>3159</v>
      </c>
      <c r="E53" s="142" t="s">
        <v>4905</v>
      </c>
      <c r="F53" s="159" t="s">
        <v>4833</v>
      </c>
      <c r="G53" s="142" t="s">
        <v>4783</v>
      </c>
      <c r="H53" s="142" t="s">
        <v>4835</v>
      </c>
      <c r="I53" s="142" t="s">
        <v>4836</v>
      </c>
      <c r="J53" s="143" t="s">
        <v>4906</v>
      </c>
    </row>
    <row r="54" spans="1:10" ht="21">
      <c r="A54" s="142" t="s">
        <v>4774</v>
      </c>
      <c r="B54" s="142" t="s">
        <v>1526</v>
      </c>
      <c r="C54" s="142" t="s">
        <v>2001</v>
      </c>
      <c r="D54" s="142" t="s">
        <v>2140</v>
      </c>
      <c r="E54" s="142" t="s">
        <v>4907</v>
      </c>
      <c r="F54" s="159" t="s">
        <v>4908</v>
      </c>
      <c r="G54" s="142" t="s">
        <v>4834</v>
      </c>
      <c r="H54" s="142" t="s">
        <v>4806</v>
      </c>
      <c r="I54" s="142" t="s">
        <v>4779</v>
      </c>
      <c r="J54" s="143" t="s">
        <v>4909</v>
      </c>
    </row>
    <row r="55" spans="1:10" ht="21">
      <c r="A55" s="142" t="s">
        <v>4774</v>
      </c>
      <c r="B55" s="142" t="s">
        <v>1533</v>
      </c>
      <c r="C55" s="142" t="s">
        <v>2011</v>
      </c>
      <c r="D55" s="142" t="s">
        <v>1616</v>
      </c>
      <c r="E55" s="142" t="s">
        <v>1616</v>
      </c>
      <c r="F55" s="159" t="s">
        <v>4910</v>
      </c>
      <c r="G55" s="142" t="s">
        <v>4834</v>
      </c>
      <c r="H55" s="142" t="s">
        <v>4806</v>
      </c>
      <c r="I55" s="142" t="s">
        <v>4779</v>
      </c>
      <c r="J55" s="143" t="s">
        <v>4911</v>
      </c>
    </row>
    <row r="56" spans="1:10" ht="21">
      <c r="A56" s="142" t="s">
        <v>4774</v>
      </c>
      <c r="B56" s="142" t="s">
        <v>1569</v>
      </c>
      <c r="C56" s="142" t="s">
        <v>2017</v>
      </c>
      <c r="D56" s="142" t="s">
        <v>3168</v>
      </c>
      <c r="E56" s="142" t="s">
        <v>4912</v>
      </c>
      <c r="F56" s="159" t="s">
        <v>4913</v>
      </c>
      <c r="G56" s="142" t="s">
        <v>4834</v>
      </c>
      <c r="H56" s="142" t="s">
        <v>4806</v>
      </c>
      <c r="I56" s="142" t="s">
        <v>4779</v>
      </c>
      <c r="J56" s="143" t="s">
        <v>4914</v>
      </c>
    </row>
    <row r="57" spans="1:10" ht="21">
      <c r="A57" s="142" t="s">
        <v>4774</v>
      </c>
      <c r="B57" s="142" t="s">
        <v>2201</v>
      </c>
      <c r="C57" s="142" t="s">
        <v>2007</v>
      </c>
      <c r="D57" s="142" t="s">
        <v>2079</v>
      </c>
      <c r="E57" s="142" t="s">
        <v>1999</v>
      </c>
      <c r="F57" s="159" t="s">
        <v>4915</v>
      </c>
      <c r="G57" s="142" t="s">
        <v>4783</v>
      </c>
      <c r="H57" s="142" t="s">
        <v>4806</v>
      </c>
      <c r="I57" s="142" t="s">
        <v>4779</v>
      </c>
      <c r="J57" s="143" t="s">
        <v>4916</v>
      </c>
    </row>
    <row r="58" spans="1:10" ht="21">
      <c r="A58" s="142" t="s">
        <v>4774</v>
      </c>
      <c r="B58" s="142" t="s">
        <v>1573</v>
      </c>
      <c r="C58" s="142" t="s">
        <v>2019</v>
      </c>
      <c r="D58" s="142" t="s">
        <v>1602</v>
      </c>
      <c r="E58" s="142" t="s">
        <v>1602</v>
      </c>
      <c r="F58" s="159" t="s">
        <v>4799</v>
      </c>
      <c r="G58" s="142" t="s">
        <v>4783</v>
      </c>
      <c r="H58" s="142" t="s">
        <v>4778</v>
      </c>
      <c r="I58" s="142" t="s">
        <v>4779</v>
      </c>
      <c r="J58" s="143" t="s">
        <v>4917</v>
      </c>
    </row>
    <row r="59" spans="1:10" ht="21">
      <c r="A59" s="142" t="s">
        <v>4918</v>
      </c>
      <c r="B59" s="142" t="s">
        <v>1506</v>
      </c>
      <c r="C59" s="142" t="s">
        <v>2002</v>
      </c>
      <c r="D59" s="142" t="s">
        <v>2094</v>
      </c>
      <c r="E59" s="142" t="s">
        <v>4919</v>
      </c>
      <c r="F59" s="159" t="s">
        <v>4782</v>
      </c>
      <c r="G59" s="142" t="s">
        <v>4783</v>
      </c>
      <c r="H59" s="142" t="s">
        <v>4778</v>
      </c>
      <c r="I59" s="142" t="s">
        <v>4779</v>
      </c>
      <c r="J59" s="143" t="s">
        <v>4920</v>
      </c>
    </row>
    <row r="60" spans="1:10" ht="84">
      <c r="A60" s="142" t="s">
        <v>4918</v>
      </c>
      <c r="B60" s="142" t="s">
        <v>1522</v>
      </c>
      <c r="C60" s="142" t="s">
        <v>2004</v>
      </c>
      <c r="D60" s="142" t="s">
        <v>1613</v>
      </c>
      <c r="E60" s="142" t="s">
        <v>4921</v>
      </c>
      <c r="F60" s="159" t="s">
        <v>4922</v>
      </c>
      <c r="G60" s="142" t="s">
        <v>4783</v>
      </c>
      <c r="H60" s="142" t="s">
        <v>4778</v>
      </c>
      <c r="I60" s="142" t="s">
        <v>4779</v>
      </c>
      <c r="J60" s="143" t="s">
        <v>4923</v>
      </c>
    </row>
    <row r="61" spans="1:10" ht="63">
      <c r="A61" s="142" t="s">
        <v>4918</v>
      </c>
      <c r="B61" s="142" t="s">
        <v>1521</v>
      </c>
      <c r="C61" s="142" t="s">
        <v>2004</v>
      </c>
      <c r="D61" s="142" t="s">
        <v>1612</v>
      </c>
      <c r="E61" s="142" t="s">
        <v>1612</v>
      </c>
      <c r="F61" s="159" t="s">
        <v>4924</v>
      </c>
      <c r="G61" s="142" t="s">
        <v>4790</v>
      </c>
      <c r="H61" s="142" t="s">
        <v>4835</v>
      </c>
      <c r="I61" s="142" t="s">
        <v>4895</v>
      </c>
      <c r="J61" s="143" t="s">
        <v>4925</v>
      </c>
    </row>
    <row r="62" spans="1:10" ht="42">
      <c r="A62" s="142" t="s">
        <v>4918</v>
      </c>
      <c r="B62" s="142" t="s">
        <v>1549</v>
      </c>
      <c r="C62" s="142" t="s">
        <v>2004</v>
      </c>
      <c r="D62" s="142" t="s">
        <v>1622</v>
      </c>
      <c r="E62" s="142" t="s">
        <v>4926</v>
      </c>
      <c r="F62" s="159" t="s">
        <v>4927</v>
      </c>
      <c r="G62" s="142" t="s">
        <v>4826</v>
      </c>
      <c r="H62" s="142" t="s">
        <v>4819</v>
      </c>
      <c r="I62" s="142" t="s">
        <v>4779</v>
      </c>
      <c r="J62" s="143" t="s">
        <v>4928</v>
      </c>
    </row>
    <row r="63" spans="1:10" ht="21">
      <c r="A63" s="142" t="s">
        <v>4918</v>
      </c>
      <c r="B63" s="142" t="s">
        <v>1522</v>
      </c>
      <c r="C63" s="142" t="s">
        <v>2004</v>
      </c>
      <c r="D63" s="142" t="s">
        <v>1613</v>
      </c>
      <c r="E63" s="142" t="s">
        <v>4929</v>
      </c>
      <c r="F63" s="159" t="s">
        <v>4930</v>
      </c>
      <c r="G63" s="142" t="s">
        <v>4826</v>
      </c>
      <c r="H63" s="142" t="s">
        <v>4819</v>
      </c>
      <c r="I63" s="142" t="s">
        <v>4779</v>
      </c>
      <c r="J63" s="143" t="s">
        <v>4931</v>
      </c>
    </row>
    <row r="64" spans="1:10" ht="21">
      <c r="A64" s="142" t="s">
        <v>4918</v>
      </c>
      <c r="B64" s="142" t="s">
        <v>1522</v>
      </c>
      <c r="C64" s="142" t="s">
        <v>2004</v>
      </c>
      <c r="D64" s="142" t="s">
        <v>1613</v>
      </c>
      <c r="E64" s="142" t="s">
        <v>4932</v>
      </c>
      <c r="F64" s="159" t="s">
        <v>4933</v>
      </c>
      <c r="G64" s="142" t="s">
        <v>4826</v>
      </c>
      <c r="H64" s="142" t="s">
        <v>4819</v>
      </c>
      <c r="I64" s="142" t="s">
        <v>4779</v>
      </c>
      <c r="J64" s="143" t="s">
        <v>4934</v>
      </c>
    </row>
    <row r="65" spans="1:10" ht="42">
      <c r="A65" s="142" t="s">
        <v>4918</v>
      </c>
      <c r="B65" s="142" t="s">
        <v>4935</v>
      </c>
      <c r="C65" s="142" t="s">
        <v>946</v>
      </c>
      <c r="D65" s="142" t="s">
        <v>946</v>
      </c>
      <c r="E65" s="142" t="s">
        <v>4936</v>
      </c>
      <c r="F65" s="159" t="s">
        <v>946</v>
      </c>
      <c r="G65" s="142" t="s">
        <v>4790</v>
      </c>
      <c r="H65" s="142" t="s">
        <v>4937</v>
      </c>
      <c r="I65" s="142" t="s">
        <v>4938</v>
      </c>
      <c r="J65" s="143" t="s">
        <v>4939</v>
      </c>
    </row>
    <row r="66" spans="1:10" ht="42">
      <c r="A66" s="142" t="s">
        <v>4918</v>
      </c>
      <c r="B66" s="142" t="s">
        <v>1506</v>
      </c>
      <c r="C66" s="142" t="s">
        <v>2002</v>
      </c>
      <c r="D66" s="142" t="s">
        <v>2094</v>
      </c>
      <c r="E66" s="142" t="s">
        <v>4940</v>
      </c>
      <c r="F66" s="159" t="s">
        <v>4941</v>
      </c>
      <c r="G66" s="142" t="s">
        <v>4777</v>
      </c>
      <c r="H66" s="142" t="s">
        <v>4835</v>
      </c>
      <c r="I66" s="142" t="s">
        <v>4836</v>
      </c>
      <c r="J66" s="143" t="s">
        <v>4942</v>
      </c>
    </row>
    <row r="67" spans="1:10" ht="21">
      <c r="A67" s="142" t="s">
        <v>4918</v>
      </c>
      <c r="B67" s="142" t="s">
        <v>1513</v>
      </c>
      <c r="C67" s="142" t="s">
        <v>1648</v>
      </c>
      <c r="D67" s="142" t="s">
        <v>1606</v>
      </c>
      <c r="E67" s="142" t="s">
        <v>1606</v>
      </c>
      <c r="F67" s="159" t="s">
        <v>4943</v>
      </c>
      <c r="G67" s="142" t="s">
        <v>4783</v>
      </c>
      <c r="H67" s="142" t="s">
        <v>4806</v>
      </c>
      <c r="I67" s="142" t="s">
        <v>4779</v>
      </c>
      <c r="J67" s="143" t="s">
        <v>4944</v>
      </c>
    </row>
    <row r="68" spans="1:10" ht="63">
      <c r="A68" s="142" t="s">
        <v>4918</v>
      </c>
      <c r="B68" s="142" t="s">
        <v>1515</v>
      </c>
      <c r="C68" s="142" t="s">
        <v>1648</v>
      </c>
      <c r="D68" s="142" t="s">
        <v>1608</v>
      </c>
      <c r="E68" s="142" t="s">
        <v>4945</v>
      </c>
      <c r="F68" s="159" t="s">
        <v>4946</v>
      </c>
      <c r="G68" s="142" t="s">
        <v>4783</v>
      </c>
      <c r="H68" s="142" t="s">
        <v>4778</v>
      </c>
      <c r="I68" s="142" t="s">
        <v>4779</v>
      </c>
      <c r="J68" s="143" t="s">
        <v>4947</v>
      </c>
    </row>
    <row r="69" spans="1:10" ht="21">
      <c r="A69" s="142" t="s">
        <v>4918</v>
      </c>
      <c r="B69" s="142" t="s">
        <v>1551</v>
      </c>
      <c r="C69" s="142" t="s">
        <v>1648</v>
      </c>
      <c r="D69" s="142" t="s">
        <v>1623</v>
      </c>
      <c r="E69" s="142" t="s">
        <v>1623</v>
      </c>
      <c r="F69" s="159" t="s">
        <v>4948</v>
      </c>
      <c r="G69" s="142" t="s">
        <v>4826</v>
      </c>
      <c r="H69" s="142" t="s">
        <v>4819</v>
      </c>
      <c r="I69" s="142" t="s">
        <v>4779</v>
      </c>
      <c r="J69" s="143" t="s">
        <v>4949</v>
      </c>
    </row>
    <row r="70" spans="1:10" ht="21">
      <c r="A70" s="142" t="s">
        <v>4918</v>
      </c>
      <c r="B70" s="142" t="s">
        <v>1514</v>
      </c>
      <c r="C70" s="142" t="s">
        <v>1648</v>
      </c>
      <c r="D70" s="142" t="s">
        <v>1607</v>
      </c>
      <c r="E70" s="142" t="s">
        <v>4950</v>
      </c>
      <c r="F70" s="159" t="s">
        <v>4951</v>
      </c>
      <c r="G70" s="142" t="s">
        <v>4790</v>
      </c>
      <c r="H70" s="142" t="s">
        <v>4778</v>
      </c>
      <c r="I70" s="142" t="s">
        <v>4779</v>
      </c>
      <c r="J70" s="143" t="s">
        <v>4952</v>
      </c>
    </row>
    <row r="71" spans="1:10" ht="21">
      <c r="A71" s="142" t="s">
        <v>4918</v>
      </c>
      <c r="B71" s="142" t="s">
        <v>1516</v>
      </c>
      <c r="C71" s="142" t="s">
        <v>1648</v>
      </c>
      <c r="D71" s="142" t="s">
        <v>1609</v>
      </c>
      <c r="E71" s="142" t="s">
        <v>4953</v>
      </c>
      <c r="F71" s="159" t="s">
        <v>4954</v>
      </c>
      <c r="G71" s="142" t="s">
        <v>4790</v>
      </c>
      <c r="H71" s="142" t="s">
        <v>4819</v>
      </c>
      <c r="I71" s="142" t="s">
        <v>4779</v>
      </c>
      <c r="J71" s="143" t="s">
        <v>4955</v>
      </c>
    </row>
    <row r="72" spans="1:10" ht="42">
      <c r="A72" s="142" t="s">
        <v>4918</v>
      </c>
      <c r="B72" s="142" t="s">
        <v>1546</v>
      </c>
      <c r="C72" s="142" t="s">
        <v>2014</v>
      </c>
      <c r="D72" s="142" t="s">
        <v>3200</v>
      </c>
      <c r="E72" s="142" t="s">
        <v>4956</v>
      </c>
      <c r="F72" s="159" t="s">
        <v>4957</v>
      </c>
      <c r="G72" s="142" t="s">
        <v>4790</v>
      </c>
      <c r="H72" s="142" t="s">
        <v>4778</v>
      </c>
      <c r="I72" s="142" t="s">
        <v>4779</v>
      </c>
      <c r="J72" s="143" t="s">
        <v>4958</v>
      </c>
    </row>
    <row r="73" spans="1:10" ht="21">
      <c r="A73" s="142" t="s">
        <v>4918</v>
      </c>
      <c r="B73" s="142" t="s">
        <v>1552</v>
      </c>
      <c r="C73" s="142" t="s">
        <v>2005</v>
      </c>
      <c r="D73" s="142" t="s">
        <v>2114</v>
      </c>
      <c r="E73" s="142" t="s">
        <v>4959</v>
      </c>
      <c r="F73" s="159" t="s">
        <v>4960</v>
      </c>
      <c r="G73" s="142" t="s">
        <v>4790</v>
      </c>
      <c r="H73" s="142" t="s">
        <v>4778</v>
      </c>
      <c r="I73" s="142" t="s">
        <v>4779</v>
      </c>
      <c r="J73" s="143" t="s">
        <v>2394</v>
      </c>
    </row>
    <row r="74" spans="1:10" ht="21">
      <c r="A74" s="142" t="s">
        <v>4918</v>
      </c>
      <c r="B74" s="142" t="s">
        <v>1506</v>
      </c>
      <c r="C74" s="142" t="s">
        <v>2002</v>
      </c>
      <c r="D74" s="142" t="s">
        <v>2094</v>
      </c>
      <c r="E74" s="142" t="s">
        <v>4961</v>
      </c>
      <c r="F74" s="159" t="s">
        <v>4962</v>
      </c>
      <c r="G74" s="142" t="s">
        <v>4790</v>
      </c>
      <c r="H74" s="142" t="s">
        <v>4778</v>
      </c>
      <c r="I74" s="142" t="s">
        <v>4779</v>
      </c>
      <c r="J74" s="143" t="s">
        <v>2394</v>
      </c>
    </row>
    <row r="75" spans="1:10" ht="21">
      <c r="A75" s="142" t="s">
        <v>4918</v>
      </c>
      <c r="B75" s="142" t="s">
        <v>1545</v>
      </c>
      <c r="C75" s="142" t="s">
        <v>2014</v>
      </c>
      <c r="D75" s="142" t="s">
        <v>3198</v>
      </c>
      <c r="E75" s="142" t="s">
        <v>4963</v>
      </c>
      <c r="F75" s="159" t="s">
        <v>4964</v>
      </c>
      <c r="G75" s="142" t="s">
        <v>4826</v>
      </c>
      <c r="H75" s="142" t="s">
        <v>4819</v>
      </c>
      <c r="I75" s="142" t="s">
        <v>4779</v>
      </c>
      <c r="J75" s="143" t="s">
        <v>4965</v>
      </c>
    </row>
    <row r="76" spans="1:10" ht="21">
      <c r="A76" s="142" t="s">
        <v>4918</v>
      </c>
      <c r="B76" s="142" t="s">
        <v>1525</v>
      </c>
      <c r="C76" s="142" t="s">
        <v>1649</v>
      </c>
      <c r="D76" s="142" t="s">
        <v>1650</v>
      </c>
      <c r="E76" s="142" t="s">
        <v>1650</v>
      </c>
      <c r="F76" s="159" t="s">
        <v>4833</v>
      </c>
      <c r="G76" s="142" t="s">
        <v>4834</v>
      </c>
      <c r="H76" s="142" t="s">
        <v>4835</v>
      </c>
      <c r="I76" s="142" t="s">
        <v>4836</v>
      </c>
      <c r="J76" s="143" t="s">
        <v>4966</v>
      </c>
    </row>
    <row r="77" spans="1:10" ht="21">
      <c r="A77" s="142" t="s">
        <v>4918</v>
      </c>
      <c r="B77" s="142" t="s">
        <v>1519</v>
      </c>
      <c r="C77" s="142" t="s">
        <v>2004</v>
      </c>
      <c r="D77" s="142" t="s">
        <v>1611</v>
      </c>
      <c r="E77" s="142" t="s">
        <v>1611</v>
      </c>
      <c r="F77" s="159" t="s">
        <v>4833</v>
      </c>
      <c r="G77" s="142" t="s">
        <v>4826</v>
      </c>
      <c r="H77" s="142" t="s">
        <v>4835</v>
      </c>
      <c r="I77" s="142" t="s">
        <v>4836</v>
      </c>
      <c r="J77" s="143" t="s">
        <v>4967</v>
      </c>
    </row>
    <row r="78" spans="1:10" ht="21">
      <c r="A78" s="142" t="s">
        <v>4918</v>
      </c>
      <c r="B78" s="142" t="s">
        <v>1523</v>
      </c>
      <c r="C78" s="142" t="s">
        <v>1649</v>
      </c>
      <c r="D78" s="142" t="s">
        <v>1614</v>
      </c>
      <c r="E78" s="142" t="s">
        <v>4968</v>
      </c>
      <c r="F78" s="159" t="s">
        <v>4969</v>
      </c>
      <c r="G78" s="142" t="s">
        <v>4834</v>
      </c>
      <c r="H78" s="142" t="s">
        <v>4806</v>
      </c>
      <c r="I78" s="142" t="s">
        <v>4779</v>
      </c>
      <c r="J78" s="143" t="s">
        <v>4970</v>
      </c>
    </row>
    <row r="79" spans="1:10" ht="42">
      <c r="A79" s="142" t="s">
        <v>4774</v>
      </c>
      <c r="B79" s="142" t="s">
        <v>1509</v>
      </c>
      <c r="C79" s="142" t="s">
        <v>2000</v>
      </c>
      <c r="D79" s="142" t="s">
        <v>3156</v>
      </c>
      <c r="E79" s="142" t="s">
        <v>4971</v>
      </c>
      <c r="F79" s="159" t="s">
        <v>4972</v>
      </c>
      <c r="G79" s="142" t="s">
        <v>4783</v>
      </c>
      <c r="H79" s="142" t="s">
        <v>4778</v>
      </c>
      <c r="I79" s="142" t="s">
        <v>4779</v>
      </c>
      <c r="J79" s="143" t="s">
        <v>4973</v>
      </c>
    </row>
    <row r="80" spans="1:10" ht="21">
      <c r="A80" s="142" t="s">
        <v>4774</v>
      </c>
      <c r="B80" s="142" t="s">
        <v>1508</v>
      </c>
      <c r="C80" s="142" t="s">
        <v>2000</v>
      </c>
      <c r="D80" s="142" t="s">
        <v>1605</v>
      </c>
      <c r="E80" s="142" t="s">
        <v>4974</v>
      </c>
      <c r="F80" s="159" t="s">
        <v>4975</v>
      </c>
      <c r="G80" s="142" t="s">
        <v>4783</v>
      </c>
      <c r="H80" s="142" t="s">
        <v>4835</v>
      </c>
      <c r="I80" s="142" t="s">
        <v>4836</v>
      </c>
      <c r="J80" s="143" t="s">
        <v>4976</v>
      </c>
    </row>
    <row r="81" spans="1:10" ht="21">
      <c r="A81" s="142" t="s">
        <v>4774</v>
      </c>
      <c r="B81" s="142" t="s">
        <v>1527</v>
      </c>
      <c r="C81" s="142" t="s">
        <v>2001</v>
      </c>
      <c r="D81" s="142" t="s">
        <v>1615</v>
      </c>
      <c r="E81" s="142" t="s">
        <v>1615</v>
      </c>
      <c r="F81" s="159" t="s">
        <v>4977</v>
      </c>
      <c r="G81" s="142" t="s">
        <v>4834</v>
      </c>
      <c r="H81" s="142" t="s">
        <v>4806</v>
      </c>
      <c r="I81" s="142" t="s">
        <v>4779</v>
      </c>
      <c r="J81" s="143" t="s">
        <v>4978</v>
      </c>
    </row>
    <row r="82" spans="1:10" ht="42">
      <c r="A82" s="142" t="s">
        <v>4774</v>
      </c>
      <c r="B82" s="142" t="s">
        <v>1512</v>
      </c>
      <c r="C82" s="142" t="s">
        <v>2001</v>
      </c>
      <c r="D82" s="142" t="s">
        <v>3179</v>
      </c>
      <c r="E82" s="142" t="s">
        <v>3179</v>
      </c>
      <c r="F82" s="159" t="s">
        <v>4979</v>
      </c>
      <c r="G82" s="142" t="s">
        <v>4834</v>
      </c>
      <c r="H82" s="142" t="s">
        <v>4806</v>
      </c>
      <c r="I82" s="142" t="s">
        <v>4779</v>
      </c>
      <c r="J82" s="143" t="s">
        <v>4980</v>
      </c>
    </row>
    <row r="83" spans="1:10" ht="42">
      <c r="A83" s="142" t="s">
        <v>4774</v>
      </c>
      <c r="B83" s="142" t="s">
        <v>1550</v>
      </c>
      <c r="C83" s="142" t="s">
        <v>2014</v>
      </c>
      <c r="D83" s="142" t="s">
        <v>3206</v>
      </c>
      <c r="E83" s="142" t="s">
        <v>3206</v>
      </c>
      <c r="F83" s="159" t="s">
        <v>4981</v>
      </c>
      <c r="G83" s="142" t="s">
        <v>4826</v>
      </c>
      <c r="H83" s="142" t="s">
        <v>4819</v>
      </c>
      <c r="I83" s="142" t="s">
        <v>4779</v>
      </c>
      <c r="J83" s="143" t="s">
        <v>4982</v>
      </c>
    </row>
    <row r="84" spans="1:10" ht="21">
      <c r="A84" s="142" t="s">
        <v>4774</v>
      </c>
      <c r="B84" s="142" t="s">
        <v>1562</v>
      </c>
      <c r="C84" s="142" t="s">
        <v>2014</v>
      </c>
      <c r="D84" s="142" t="s">
        <v>3208</v>
      </c>
      <c r="E84" s="142" t="s">
        <v>3208</v>
      </c>
      <c r="F84" s="159" t="s">
        <v>4983</v>
      </c>
      <c r="G84" s="142" t="s">
        <v>4826</v>
      </c>
      <c r="H84" s="142" t="s">
        <v>4819</v>
      </c>
      <c r="I84" s="142" t="s">
        <v>4779</v>
      </c>
      <c r="J84" s="143" t="s">
        <v>4984</v>
      </c>
    </row>
    <row r="85" spans="1:10" ht="42">
      <c r="A85" s="142" t="s">
        <v>4774</v>
      </c>
      <c r="B85" s="142" t="s">
        <v>1563</v>
      </c>
      <c r="C85" s="142" t="s">
        <v>2014</v>
      </c>
      <c r="D85" s="142" t="s">
        <v>1601</v>
      </c>
      <c r="E85" s="142" t="s">
        <v>4985</v>
      </c>
      <c r="F85" s="159" t="s">
        <v>4986</v>
      </c>
      <c r="G85" s="142" t="s">
        <v>4826</v>
      </c>
      <c r="H85" s="142" t="s">
        <v>4819</v>
      </c>
      <c r="I85" s="142" t="s">
        <v>4779</v>
      </c>
      <c r="J85" s="143" t="s">
        <v>4987</v>
      </c>
    </row>
    <row r="86" spans="1:10" ht="21">
      <c r="A86" s="142" t="s">
        <v>4774</v>
      </c>
      <c r="B86" s="142" t="s">
        <v>2307</v>
      </c>
      <c r="C86" s="142" t="s">
        <v>2020</v>
      </c>
      <c r="D86" s="142" t="s">
        <v>2179</v>
      </c>
      <c r="E86" s="142" t="s">
        <v>4988</v>
      </c>
      <c r="F86" s="159" t="s">
        <v>4989</v>
      </c>
      <c r="G86" s="142" t="s">
        <v>4826</v>
      </c>
      <c r="H86" s="142" t="s">
        <v>4819</v>
      </c>
      <c r="I86" s="142" t="s">
        <v>4779</v>
      </c>
      <c r="J86" s="143" t="s">
        <v>4990</v>
      </c>
    </row>
    <row r="87" spans="1:10" ht="42">
      <c r="A87" s="142" t="s">
        <v>4774</v>
      </c>
      <c r="B87" s="142" t="s">
        <v>3744</v>
      </c>
      <c r="C87" s="142" t="s">
        <v>2018</v>
      </c>
      <c r="D87" s="142" t="s">
        <v>3743</v>
      </c>
      <c r="E87" s="142" t="s">
        <v>4991</v>
      </c>
      <c r="F87" s="159" t="s">
        <v>4992</v>
      </c>
      <c r="G87" s="142" t="s">
        <v>4777</v>
      </c>
      <c r="H87" s="142" t="s">
        <v>4835</v>
      </c>
      <c r="I87" s="142" t="s">
        <v>4836</v>
      </c>
      <c r="J87" s="143" t="s">
        <v>4993</v>
      </c>
    </row>
    <row r="88" spans="1:10" ht="21">
      <c r="A88" s="142" t="s">
        <v>4774</v>
      </c>
      <c r="B88" s="142" t="s">
        <v>1578</v>
      </c>
      <c r="C88" s="142" t="s">
        <v>1655</v>
      </c>
      <c r="D88" s="142" t="s">
        <v>1634</v>
      </c>
      <c r="E88" s="142" t="s">
        <v>1634</v>
      </c>
      <c r="F88" s="159" t="s">
        <v>4994</v>
      </c>
      <c r="G88" s="142" t="s">
        <v>4834</v>
      </c>
      <c r="H88" s="142" t="s">
        <v>4835</v>
      </c>
      <c r="I88" s="142" t="s">
        <v>4836</v>
      </c>
      <c r="J88" s="143" t="s">
        <v>4995</v>
      </c>
    </row>
    <row r="89" spans="1:10" ht="21">
      <c r="A89" s="142" t="s">
        <v>4774</v>
      </c>
      <c r="B89" s="142" t="s">
        <v>1579</v>
      </c>
      <c r="C89" s="142" t="s">
        <v>1655</v>
      </c>
      <c r="D89" s="142" t="s">
        <v>2085</v>
      </c>
      <c r="E89" s="142" t="s">
        <v>2085</v>
      </c>
      <c r="F89" s="159" t="s">
        <v>4996</v>
      </c>
      <c r="G89" s="142" t="s">
        <v>4834</v>
      </c>
      <c r="H89" s="142" t="s">
        <v>4806</v>
      </c>
      <c r="I89" s="142" t="s">
        <v>4779</v>
      </c>
      <c r="J89" s="143" t="s">
        <v>4997</v>
      </c>
    </row>
    <row r="90" spans="1:10" ht="21">
      <c r="A90" s="142" t="s">
        <v>4774</v>
      </c>
      <c r="B90" s="142" t="s">
        <v>1534</v>
      </c>
      <c r="C90" s="142" t="s">
        <v>2011</v>
      </c>
      <c r="D90" s="142" t="s">
        <v>1617</v>
      </c>
      <c r="E90" s="142" t="s">
        <v>1617</v>
      </c>
      <c r="F90" s="159" t="s">
        <v>4998</v>
      </c>
      <c r="G90" s="142" t="s">
        <v>4834</v>
      </c>
      <c r="H90" s="142" t="s">
        <v>4835</v>
      </c>
      <c r="I90" s="142" t="s">
        <v>4836</v>
      </c>
      <c r="J90" s="143" t="s">
        <v>4999</v>
      </c>
    </row>
    <row r="91" spans="1:10" ht="21">
      <c r="A91" s="142" t="s">
        <v>4774</v>
      </c>
      <c r="B91" s="142" t="s">
        <v>1575</v>
      </c>
      <c r="C91" s="142" t="s">
        <v>2019</v>
      </c>
      <c r="D91" s="142" t="s">
        <v>1632</v>
      </c>
      <c r="E91" s="142" t="s">
        <v>1632</v>
      </c>
      <c r="F91" s="159" t="s">
        <v>4803</v>
      </c>
      <c r="G91" s="142" t="s">
        <v>4777</v>
      </c>
      <c r="H91" s="142" t="s">
        <v>4778</v>
      </c>
      <c r="I91" s="142" t="s">
        <v>4779</v>
      </c>
      <c r="J91" s="143" t="s">
        <v>5000</v>
      </c>
    </row>
    <row r="92" spans="1:10" ht="42">
      <c r="A92" s="142" t="s">
        <v>4774</v>
      </c>
      <c r="B92" s="142" t="s">
        <v>2256</v>
      </c>
      <c r="C92" s="142" t="s">
        <v>2005</v>
      </c>
      <c r="D92" s="142" t="s">
        <v>2137</v>
      </c>
      <c r="E92" s="142" t="s">
        <v>5001</v>
      </c>
      <c r="F92" s="159" t="s">
        <v>5002</v>
      </c>
      <c r="G92" s="142" t="s">
        <v>4783</v>
      </c>
      <c r="H92" s="142" t="s">
        <v>4778</v>
      </c>
      <c r="I92" s="142" t="s">
        <v>4779</v>
      </c>
      <c r="J92" s="143" t="s">
        <v>5003</v>
      </c>
    </row>
    <row r="93" spans="1:10" ht="42">
      <c r="A93" s="142" t="s">
        <v>4774</v>
      </c>
      <c r="B93" s="142" t="s">
        <v>2256</v>
      </c>
      <c r="C93" s="142" t="s">
        <v>2005</v>
      </c>
      <c r="D93" s="142" t="s">
        <v>2137</v>
      </c>
      <c r="E93" s="142" t="s">
        <v>5004</v>
      </c>
      <c r="F93" s="159" t="s">
        <v>5005</v>
      </c>
      <c r="G93" s="142" t="s">
        <v>4783</v>
      </c>
      <c r="H93" s="142" t="s">
        <v>4778</v>
      </c>
      <c r="I93" s="142" t="s">
        <v>4779</v>
      </c>
      <c r="J93" s="143" t="s">
        <v>5006</v>
      </c>
    </row>
    <row r="94" spans="1:10" ht="21">
      <c r="A94" s="142" t="s">
        <v>4774</v>
      </c>
      <c r="B94" s="142" t="s">
        <v>1543</v>
      </c>
      <c r="C94" s="142" t="s">
        <v>2014</v>
      </c>
      <c r="D94" s="142" t="s">
        <v>3194</v>
      </c>
      <c r="E94" s="142" t="s">
        <v>5007</v>
      </c>
      <c r="F94" s="159" t="s">
        <v>5008</v>
      </c>
      <c r="G94" s="142" t="s">
        <v>4826</v>
      </c>
      <c r="H94" s="142" t="s">
        <v>4819</v>
      </c>
      <c r="I94" s="142" t="s">
        <v>4779</v>
      </c>
      <c r="J94" s="143" t="s">
        <v>5009</v>
      </c>
    </row>
    <row r="95" spans="1:10" ht="42">
      <c r="A95" s="142" t="s">
        <v>4774</v>
      </c>
      <c r="B95" s="142" t="s">
        <v>1543</v>
      </c>
      <c r="C95" s="142" t="s">
        <v>2014</v>
      </c>
      <c r="D95" s="142" t="s">
        <v>3194</v>
      </c>
      <c r="E95" s="142" t="s">
        <v>5010</v>
      </c>
      <c r="F95" s="159" t="s">
        <v>5011</v>
      </c>
      <c r="G95" s="142" t="s">
        <v>4826</v>
      </c>
      <c r="H95" s="142" t="s">
        <v>4819</v>
      </c>
      <c r="I95" s="142" t="s">
        <v>4779</v>
      </c>
      <c r="J95" s="143" t="s">
        <v>5012</v>
      </c>
    </row>
    <row r="96" spans="1:10" ht="42">
      <c r="A96" s="142" t="s">
        <v>4774</v>
      </c>
      <c r="B96" s="142" t="s">
        <v>1556</v>
      </c>
      <c r="C96" s="142" t="s">
        <v>2015</v>
      </c>
      <c r="D96" s="142" t="s">
        <v>1652</v>
      </c>
      <c r="E96" s="142" t="s">
        <v>5013</v>
      </c>
      <c r="F96" s="159" t="s">
        <v>5014</v>
      </c>
      <c r="G96" s="142" t="s">
        <v>4826</v>
      </c>
      <c r="H96" s="142" t="s">
        <v>4819</v>
      </c>
      <c r="I96" s="142" t="s">
        <v>4779</v>
      </c>
      <c r="J96" s="143" t="s">
        <v>5015</v>
      </c>
    </row>
    <row r="97" spans="1:10" ht="21">
      <c r="A97" s="142" t="s">
        <v>4774</v>
      </c>
      <c r="B97" s="142" t="s">
        <v>1556</v>
      </c>
      <c r="C97" s="142" t="s">
        <v>2015</v>
      </c>
      <c r="D97" s="142" t="s">
        <v>1652</v>
      </c>
      <c r="E97" s="142" t="s">
        <v>5016</v>
      </c>
      <c r="F97" s="159" t="s">
        <v>5017</v>
      </c>
      <c r="G97" s="142" t="s">
        <v>4826</v>
      </c>
      <c r="H97" s="142" t="s">
        <v>4819</v>
      </c>
      <c r="I97" s="142" t="s">
        <v>4779</v>
      </c>
      <c r="J97" s="143" t="s">
        <v>5018</v>
      </c>
    </row>
    <row r="98" spans="1:10" ht="42">
      <c r="A98" s="142" t="s">
        <v>4774</v>
      </c>
      <c r="B98" s="142" t="s">
        <v>1526</v>
      </c>
      <c r="C98" s="142" t="s">
        <v>2001</v>
      </c>
      <c r="D98" s="142" t="s">
        <v>2140</v>
      </c>
      <c r="E98" s="142" t="s">
        <v>5019</v>
      </c>
      <c r="F98" s="159" t="s">
        <v>5020</v>
      </c>
      <c r="G98" s="142" t="s">
        <v>4826</v>
      </c>
      <c r="H98" s="142" t="s">
        <v>4819</v>
      </c>
      <c r="I98" s="142" t="s">
        <v>4779</v>
      </c>
      <c r="J98" s="143" t="s">
        <v>5021</v>
      </c>
    </row>
    <row r="99" spans="1:10" ht="42">
      <c r="A99" s="142" t="s">
        <v>4774</v>
      </c>
      <c r="B99" s="142" t="s">
        <v>1523</v>
      </c>
      <c r="C99" s="142" t="s">
        <v>1649</v>
      </c>
      <c r="D99" s="142" t="s">
        <v>1614</v>
      </c>
      <c r="E99" s="142" t="s">
        <v>5022</v>
      </c>
      <c r="F99" s="159" t="s">
        <v>5023</v>
      </c>
      <c r="G99" s="142" t="s">
        <v>4826</v>
      </c>
      <c r="H99" s="142" t="s">
        <v>4819</v>
      </c>
      <c r="I99" s="142" t="s">
        <v>4779</v>
      </c>
      <c r="J99" s="143" t="s">
        <v>5024</v>
      </c>
    </row>
    <row r="100" spans="1:10" ht="63">
      <c r="A100" s="142" t="s">
        <v>4774</v>
      </c>
      <c r="B100" s="142" t="s">
        <v>2287</v>
      </c>
      <c r="C100" s="142" t="s">
        <v>2017</v>
      </c>
      <c r="D100" s="142" t="s">
        <v>3167</v>
      </c>
      <c r="E100" s="142" t="s">
        <v>5025</v>
      </c>
      <c r="F100" s="159" t="s">
        <v>5026</v>
      </c>
      <c r="G100" s="142" t="s">
        <v>4826</v>
      </c>
      <c r="H100" s="142" t="s">
        <v>4819</v>
      </c>
      <c r="I100" s="142" t="s">
        <v>4779</v>
      </c>
      <c r="J100" s="143" t="s">
        <v>5027</v>
      </c>
    </row>
    <row r="101" spans="1:10" ht="42">
      <c r="A101" s="142" t="s">
        <v>4774</v>
      </c>
      <c r="B101" s="142" t="s">
        <v>2243</v>
      </c>
      <c r="C101" s="142" t="s">
        <v>2020</v>
      </c>
      <c r="D101" s="142" t="s">
        <v>2125</v>
      </c>
      <c r="E101" s="142" t="s">
        <v>5028</v>
      </c>
      <c r="F101" s="159" t="s">
        <v>5029</v>
      </c>
      <c r="G101" s="142" t="s">
        <v>4826</v>
      </c>
      <c r="H101" s="142" t="s">
        <v>4819</v>
      </c>
      <c r="I101" s="142" t="s">
        <v>4779</v>
      </c>
      <c r="J101" s="143" t="s">
        <v>5030</v>
      </c>
    </row>
    <row r="102" spans="1:10" ht="63">
      <c r="A102" s="142" t="s">
        <v>4774</v>
      </c>
      <c r="B102" s="142" t="s">
        <v>1543</v>
      </c>
      <c r="C102" s="142" t="s">
        <v>2014</v>
      </c>
      <c r="D102" s="142" t="s">
        <v>3194</v>
      </c>
      <c r="E102" s="142" t="s">
        <v>5031</v>
      </c>
      <c r="F102" s="159" t="s">
        <v>5032</v>
      </c>
      <c r="G102" s="142" t="s">
        <v>4826</v>
      </c>
      <c r="H102" s="142" t="s">
        <v>5033</v>
      </c>
      <c r="I102" s="142" t="s">
        <v>4938</v>
      </c>
      <c r="J102" s="143" t="s">
        <v>5034</v>
      </c>
    </row>
    <row r="103" spans="1:10" ht="21">
      <c r="A103" s="142" t="s">
        <v>4774</v>
      </c>
      <c r="B103" s="142" t="s">
        <v>2243</v>
      </c>
      <c r="C103" s="142" t="s">
        <v>2020</v>
      </c>
      <c r="D103" s="142" t="s">
        <v>2125</v>
      </c>
      <c r="E103" s="142" t="s">
        <v>5035</v>
      </c>
      <c r="F103" s="159" t="s">
        <v>5036</v>
      </c>
      <c r="G103" s="142" t="s">
        <v>4826</v>
      </c>
      <c r="H103" s="142" t="s">
        <v>4819</v>
      </c>
      <c r="I103" s="142" t="s">
        <v>4779</v>
      </c>
      <c r="J103" s="143" t="s">
        <v>5037</v>
      </c>
    </row>
    <row r="104" spans="1:10" ht="21">
      <c r="A104" s="142" t="s">
        <v>4774</v>
      </c>
      <c r="B104" s="142" t="s">
        <v>2243</v>
      </c>
      <c r="C104" s="142" t="s">
        <v>2020</v>
      </c>
      <c r="D104" s="142" t="s">
        <v>2125</v>
      </c>
      <c r="E104" s="142" t="s">
        <v>5038</v>
      </c>
      <c r="F104" s="159" t="s">
        <v>5039</v>
      </c>
      <c r="G104" s="142" t="s">
        <v>4826</v>
      </c>
      <c r="H104" s="142" t="s">
        <v>4819</v>
      </c>
      <c r="I104" s="142" t="s">
        <v>4779</v>
      </c>
      <c r="J104" s="143" t="s">
        <v>5040</v>
      </c>
    </row>
    <row r="105" spans="1:10" ht="84">
      <c r="A105" s="142" t="s">
        <v>4774</v>
      </c>
      <c r="B105" s="142" t="s">
        <v>2243</v>
      </c>
      <c r="C105" s="142" t="s">
        <v>2020</v>
      </c>
      <c r="D105" s="142" t="s">
        <v>2125</v>
      </c>
      <c r="E105" s="142" t="s">
        <v>5041</v>
      </c>
      <c r="F105" s="159" t="s">
        <v>5042</v>
      </c>
      <c r="G105" s="142" t="s">
        <v>4834</v>
      </c>
      <c r="H105" s="142" t="s">
        <v>4778</v>
      </c>
      <c r="I105" s="142" t="s">
        <v>4779</v>
      </c>
      <c r="J105" s="143" t="s">
        <v>5043</v>
      </c>
    </row>
    <row r="106" spans="1:10" ht="42">
      <c r="A106" s="142" t="s">
        <v>4918</v>
      </c>
      <c r="B106" s="142" t="s">
        <v>1514</v>
      </c>
      <c r="C106" s="142" t="s">
        <v>1648</v>
      </c>
      <c r="D106" s="142" t="s">
        <v>1607</v>
      </c>
      <c r="E106" s="142" t="s">
        <v>5044</v>
      </c>
      <c r="F106" s="159" t="s">
        <v>5045</v>
      </c>
      <c r="G106" s="142" t="s">
        <v>4790</v>
      </c>
      <c r="H106" s="142" t="s">
        <v>4778</v>
      </c>
      <c r="I106" s="142" t="s">
        <v>4779</v>
      </c>
      <c r="J106" s="143" t="s">
        <v>5046</v>
      </c>
    </row>
    <row r="107" spans="1:10" ht="63">
      <c r="A107" s="142" t="s">
        <v>4774</v>
      </c>
      <c r="B107" s="142" t="s">
        <v>1582</v>
      </c>
      <c r="C107" s="142" t="s">
        <v>2013</v>
      </c>
      <c r="D107" s="142" t="s">
        <v>1636</v>
      </c>
      <c r="E107" s="142" t="s">
        <v>5047</v>
      </c>
      <c r="F107" s="159" t="s">
        <v>4833</v>
      </c>
      <c r="G107" s="142" t="s">
        <v>4777</v>
      </c>
      <c r="H107" s="142" t="s">
        <v>4835</v>
      </c>
      <c r="I107" s="142" t="s">
        <v>4836</v>
      </c>
      <c r="J107" s="143" t="s">
        <v>5048</v>
      </c>
    </row>
    <row r="108" spans="1:10" ht="21">
      <c r="A108" s="142" t="s">
        <v>4918</v>
      </c>
      <c r="B108" s="142" t="s">
        <v>1522</v>
      </c>
      <c r="C108" s="142" t="s">
        <v>2004</v>
      </c>
      <c r="D108" s="142" t="s">
        <v>1613</v>
      </c>
      <c r="E108" s="142" t="s">
        <v>5049</v>
      </c>
      <c r="F108" s="159" t="s">
        <v>4833</v>
      </c>
      <c r="G108" s="142" t="s">
        <v>4777</v>
      </c>
      <c r="H108" s="142" t="s">
        <v>4835</v>
      </c>
      <c r="I108" s="142" t="s">
        <v>4836</v>
      </c>
      <c r="J108" s="143" t="s">
        <v>5050</v>
      </c>
    </row>
    <row r="109" spans="1:10" ht="63">
      <c r="A109" s="142" t="s">
        <v>4774</v>
      </c>
      <c r="B109" s="142" t="s">
        <v>1547</v>
      </c>
      <c r="C109" s="142" t="s">
        <v>2014</v>
      </c>
      <c r="D109" s="142" t="s">
        <v>3202</v>
      </c>
      <c r="E109" s="142" t="s">
        <v>5051</v>
      </c>
      <c r="F109" s="159" t="s">
        <v>5052</v>
      </c>
      <c r="G109" s="142" t="s">
        <v>4834</v>
      </c>
      <c r="H109" s="142" t="s">
        <v>4835</v>
      </c>
      <c r="I109" s="142" t="s">
        <v>4895</v>
      </c>
      <c r="J109" s="143" t="s">
        <v>5053</v>
      </c>
    </row>
  </sheetData>
  <phoneticPr fontId="2"/>
  <conditionalFormatting sqref="A2:A109">
    <cfRule type="containsText" dxfId="36" priority="1" operator="containsText" text="Broker">
      <formula>NOT(ISERROR(SEARCH("Broker",A2)))</formula>
    </cfRule>
  </conditionalFormatting>
  <conditionalFormatting sqref="A2:A109">
    <cfRule type="containsText" dxfId="35" priority="2" operator="containsText" text="IdP">
      <formula>NOT(ISERROR(SEARCH("IdP",A2)))</formula>
    </cfRule>
  </conditionalFormatting>
  <conditionalFormatting sqref="H2:H109">
    <cfRule type="containsText" dxfId="34" priority="3" operator="containsText" text="✅ 標準">
      <formula>NOT(ISERROR(SEARCH("✅ 標準",H2)))</formula>
    </cfRule>
  </conditionalFormatting>
  <conditionalFormatting sqref="H2:H109">
    <cfRule type="containsText" dxfId="33" priority="4" operator="containsText" text="⚠ 標準（制約）">
      <formula>NOT(ISERROR(SEARCH("⚠ 標準（制約）",H2)))</formula>
    </cfRule>
  </conditionalFormatting>
  <conditionalFormatting sqref="H2:H109">
    <cfRule type="containsText" dxfId="32" priority="5" operator="containsText" text="🔧 カスタム必要">
      <formula>NOT(ISERROR(SEARCH("🔧 カスタム必要",H2)))</formula>
    </cfRule>
  </conditionalFormatting>
  <conditionalFormatting sqref="H2:H109">
    <cfRule type="containsText" dxfId="31" priority="6" operator="containsText" text="⛔ 使わない">
      <formula>NOT(ISERROR(SEARCH("⛔ 使わない",H2)))</formula>
    </cfRule>
  </conditionalFormatting>
  <conditionalFormatting sqref="H2:H109">
    <cfRule type="containsText" dxfId="30" priority="7" operator="containsText" text="❌ 不可">
      <formula>NOT(ISERROR(SEARCH("❌ 不可",H2)))</formula>
    </cfRule>
  </conditionalFormatting>
  <conditionalFormatting sqref="I2:I109">
    <cfRule type="containsText" dxfId="29" priority="8" operator="containsText" text="🔺 標準外">
      <formula>NOT(ISERROR(SEARCH("🔺 標準外",I2)))</formula>
    </cfRule>
  </conditionalFormatting>
  <conditionalFormatting sqref="I2:I109">
    <cfRule type="containsText" dxfId="28" priority="9" operator="containsText" text="🔻 削減候補">
      <formula>NOT(ISERROR(SEARCH("🔻 削減候補",I2)))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5C39-F966-F142-B3BA-9477A3F75F81}">
  <dimension ref="A1:H316"/>
  <sheetViews>
    <sheetView topLeftCell="B1" workbookViewId="0">
      <pane ySplit="1" topLeftCell="A2" activePane="bottomLeft" state="frozen"/>
      <selection pane="bottomLeft" activeCell="C9" sqref="C9"/>
    </sheetView>
  </sheetViews>
  <sheetFormatPr baseColWidth="10" defaultRowHeight="20"/>
  <cols>
    <col min="1" max="1" width="15.7109375" customWidth="1"/>
    <col min="2" max="2" width="34.28515625" customWidth="1"/>
    <col min="3" max="3" width="45.7109375" customWidth="1"/>
    <col min="4" max="4" width="13.5703125" customWidth="1"/>
    <col min="5" max="5" width="31.42578125" customWidth="1"/>
    <col min="6" max="6" width="48.5703125" customWidth="1"/>
    <col min="7" max="7" width="22.85546875" customWidth="1"/>
    <col min="8" max="8" width="28.5703125" customWidth="1"/>
  </cols>
  <sheetData>
    <row r="1" spans="1:8">
      <c r="A1" s="136" t="s">
        <v>249</v>
      </c>
      <c r="B1" s="136" t="s">
        <v>4762</v>
      </c>
      <c r="C1" s="136" t="s">
        <v>4763</v>
      </c>
      <c r="D1" s="136" t="s">
        <v>1504</v>
      </c>
      <c r="E1" s="136" t="s">
        <v>4764</v>
      </c>
      <c r="F1" s="136" t="s">
        <v>4765</v>
      </c>
      <c r="G1" s="136" t="s">
        <v>1690</v>
      </c>
      <c r="H1" s="136" t="s">
        <v>1143</v>
      </c>
    </row>
    <row r="2" spans="1:8" ht="84">
      <c r="A2" s="140" t="s">
        <v>4532</v>
      </c>
      <c r="B2" s="141" t="s">
        <v>4535</v>
      </c>
      <c r="C2" s="141" t="s">
        <v>4536</v>
      </c>
      <c r="D2" s="142" t="s">
        <v>1506</v>
      </c>
      <c r="E2" s="143" t="s">
        <v>2094</v>
      </c>
      <c r="F2" s="143" t="s">
        <v>3733</v>
      </c>
      <c r="G2" s="142" t="s">
        <v>4533</v>
      </c>
      <c r="H2" s="143" t="s">
        <v>3536</v>
      </c>
    </row>
    <row r="3" spans="1:8" ht="84" customHeight="1">
      <c r="A3" s="140"/>
      <c r="B3" s="141"/>
      <c r="C3" s="141"/>
      <c r="D3" s="142" t="s">
        <v>3748</v>
      </c>
      <c r="E3" s="143" t="s">
        <v>3747</v>
      </c>
      <c r="F3" s="143" t="s">
        <v>3749</v>
      </c>
      <c r="G3" s="142" t="s">
        <v>4533</v>
      </c>
      <c r="H3" s="143" t="s">
        <v>3536</v>
      </c>
    </row>
    <row r="4" spans="1:8" ht="84">
      <c r="A4" s="142" t="s">
        <v>4539</v>
      </c>
      <c r="B4" s="143" t="s">
        <v>4542</v>
      </c>
      <c r="C4" s="143" t="s">
        <v>4536</v>
      </c>
      <c r="D4" s="142" t="s">
        <v>1506</v>
      </c>
      <c r="E4" s="143" t="s">
        <v>2094</v>
      </c>
      <c r="F4" s="143" t="s">
        <v>3733</v>
      </c>
      <c r="G4" s="142" t="s">
        <v>4540</v>
      </c>
      <c r="H4" s="143" t="s">
        <v>4543</v>
      </c>
    </row>
    <row r="5" spans="1:8" ht="42">
      <c r="A5" s="140" t="s">
        <v>6</v>
      </c>
      <c r="B5" s="141" t="s">
        <v>3276</v>
      </c>
      <c r="C5" s="141" t="s">
        <v>3277</v>
      </c>
      <c r="D5" s="142" t="s">
        <v>1510</v>
      </c>
      <c r="E5" s="143" t="s">
        <v>3157</v>
      </c>
      <c r="F5" s="143" t="s">
        <v>2312</v>
      </c>
      <c r="G5" s="142" t="s">
        <v>4533</v>
      </c>
      <c r="H5" s="143" t="s">
        <v>3536</v>
      </c>
    </row>
    <row r="6" spans="1:8" ht="42">
      <c r="A6" s="140"/>
      <c r="B6" s="141"/>
      <c r="C6" s="141"/>
      <c r="D6" s="142" t="s">
        <v>2299</v>
      </c>
      <c r="E6" s="143" t="s">
        <v>2171</v>
      </c>
      <c r="F6" s="143" t="s">
        <v>3742</v>
      </c>
      <c r="G6" s="142" t="s">
        <v>4533</v>
      </c>
      <c r="H6" s="143" t="s">
        <v>3536</v>
      </c>
    </row>
    <row r="7" spans="1:8" ht="42">
      <c r="A7" s="140" t="s">
        <v>7</v>
      </c>
      <c r="B7" s="141" t="s">
        <v>8</v>
      </c>
      <c r="C7" s="141" t="s">
        <v>3279</v>
      </c>
      <c r="D7" s="142" t="s">
        <v>1510</v>
      </c>
      <c r="E7" s="143" t="s">
        <v>3157</v>
      </c>
      <c r="F7" s="143" t="s">
        <v>2312</v>
      </c>
      <c r="G7" s="142" t="s">
        <v>4533</v>
      </c>
      <c r="H7" s="143" t="s">
        <v>3536</v>
      </c>
    </row>
    <row r="8" spans="1:8" ht="42">
      <c r="A8" s="140"/>
      <c r="B8" s="141"/>
      <c r="C8" s="141"/>
      <c r="D8" s="142" t="s">
        <v>2299</v>
      </c>
      <c r="E8" s="143" t="s">
        <v>2171</v>
      </c>
      <c r="F8" s="143" t="s">
        <v>3742</v>
      </c>
      <c r="G8" s="142" t="s">
        <v>4533</v>
      </c>
      <c r="H8" s="143" t="s">
        <v>3536</v>
      </c>
    </row>
    <row r="9" spans="1:8" ht="42">
      <c r="A9" s="142" t="s">
        <v>9</v>
      </c>
      <c r="B9" s="143" t="s">
        <v>10</v>
      </c>
      <c r="C9" s="143" t="s">
        <v>3280</v>
      </c>
      <c r="D9" s="142" t="s">
        <v>1571</v>
      </c>
      <c r="E9" s="143" t="s">
        <v>3169</v>
      </c>
      <c r="F9" s="143" t="s">
        <v>2337</v>
      </c>
      <c r="G9" s="142" t="s">
        <v>4533</v>
      </c>
      <c r="H9" s="143" t="s">
        <v>3536</v>
      </c>
    </row>
    <row r="10" spans="1:8" ht="42">
      <c r="A10" s="142" t="s">
        <v>11</v>
      </c>
      <c r="B10" s="143" t="s">
        <v>12</v>
      </c>
      <c r="C10" s="143" t="s">
        <v>3281</v>
      </c>
      <c r="D10" s="142" t="s">
        <v>1572</v>
      </c>
      <c r="E10" s="143" t="s">
        <v>3223</v>
      </c>
      <c r="F10" s="143" t="s">
        <v>2338</v>
      </c>
      <c r="G10" s="142" t="s">
        <v>946</v>
      </c>
      <c r="H10" s="143" t="s">
        <v>3323</v>
      </c>
    </row>
    <row r="11" spans="1:8" ht="42">
      <c r="A11" s="142" t="s">
        <v>13</v>
      </c>
      <c r="B11" s="143" t="s">
        <v>3284</v>
      </c>
      <c r="C11" s="143" t="s">
        <v>3285</v>
      </c>
      <c r="D11" s="142" t="s">
        <v>946</v>
      </c>
      <c r="E11" s="143" t="s">
        <v>4766</v>
      </c>
      <c r="F11" s="143" t="s">
        <v>3286</v>
      </c>
      <c r="G11" s="142" t="s">
        <v>946</v>
      </c>
      <c r="H11" s="143" t="s">
        <v>3323</v>
      </c>
    </row>
    <row r="12" spans="1:8" ht="42">
      <c r="A12" s="142" t="s">
        <v>14</v>
      </c>
      <c r="B12" s="143" t="s">
        <v>3287</v>
      </c>
      <c r="C12" s="143" t="s">
        <v>3288</v>
      </c>
      <c r="D12" s="142" t="s">
        <v>946</v>
      </c>
      <c r="E12" s="143" t="s">
        <v>4766</v>
      </c>
      <c r="F12" s="143" t="s">
        <v>3289</v>
      </c>
      <c r="G12" s="142" t="s">
        <v>946</v>
      </c>
      <c r="H12" s="143" t="s">
        <v>3323</v>
      </c>
    </row>
    <row r="13" spans="1:8" ht="42">
      <c r="A13" s="142" t="s">
        <v>15</v>
      </c>
      <c r="B13" s="143" t="s">
        <v>16</v>
      </c>
      <c r="C13" s="143" t="s">
        <v>3290</v>
      </c>
      <c r="D13" s="142" t="s">
        <v>946</v>
      </c>
      <c r="E13" s="143" t="s">
        <v>4766</v>
      </c>
      <c r="F13" s="143" t="s">
        <v>3292</v>
      </c>
      <c r="G13" s="142" t="s">
        <v>946</v>
      </c>
      <c r="H13" s="143" t="s">
        <v>3323</v>
      </c>
    </row>
    <row r="14" spans="1:8" ht="84">
      <c r="A14" s="142" t="s">
        <v>17</v>
      </c>
      <c r="B14" s="143" t="s">
        <v>18</v>
      </c>
      <c r="C14" s="143" t="s">
        <v>3293</v>
      </c>
      <c r="D14" s="142" t="s">
        <v>1506</v>
      </c>
      <c r="E14" s="143" t="s">
        <v>2094</v>
      </c>
      <c r="F14" s="143" t="s">
        <v>3733</v>
      </c>
      <c r="G14" s="142" t="s">
        <v>4540</v>
      </c>
      <c r="H14" s="143" t="s">
        <v>4543</v>
      </c>
    </row>
    <row r="15" spans="1:8" ht="84">
      <c r="A15" s="142" t="s">
        <v>19</v>
      </c>
      <c r="B15" s="143" t="s">
        <v>3295</v>
      </c>
      <c r="C15" s="143" t="s">
        <v>3296</v>
      </c>
      <c r="D15" s="142" t="s">
        <v>1506</v>
      </c>
      <c r="E15" s="143" t="s">
        <v>2094</v>
      </c>
      <c r="F15" s="143" t="s">
        <v>3733</v>
      </c>
      <c r="G15" s="142" t="s">
        <v>4540</v>
      </c>
      <c r="H15" s="143" t="s">
        <v>4543</v>
      </c>
    </row>
    <row r="16" spans="1:8" ht="42">
      <c r="A16" s="142" t="s">
        <v>20</v>
      </c>
      <c r="B16" s="143" t="s">
        <v>3298</v>
      </c>
      <c r="C16" s="143" t="s">
        <v>3299</v>
      </c>
      <c r="D16" s="142" t="s">
        <v>1523</v>
      </c>
      <c r="E16" s="143" t="s">
        <v>1614</v>
      </c>
      <c r="F16" s="143" t="s">
        <v>2321</v>
      </c>
      <c r="G16" s="142" t="s">
        <v>4540</v>
      </c>
      <c r="H16" s="143" t="s">
        <v>4545</v>
      </c>
    </row>
    <row r="17" spans="1:8" ht="84">
      <c r="A17" s="142" t="s">
        <v>21</v>
      </c>
      <c r="B17" s="143" t="s">
        <v>22</v>
      </c>
      <c r="C17" s="143" t="s">
        <v>4770</v>
      </c>
      <c r="D17" s="142" t="s">
        <v>1506</v>
      </c>
      <c r="E17" s="143" t="s">
        <v>2094</v>
      </c>
      <c r="F17" s="143" t="s">
        <v>3733</v>
      </c>
      <c r="G17" s="142" t="s">
        <v>4540</v>
      </c>
      <c r="H17" s="143" t="s">
        <v>4543</v>
      </c>
    </row>
    <row r="18" spans="1:8" ht="21">
      <c r="A18" s="142" t="s">
        <v>23</v>
      </c>
      <c r="B18" s="143" t="s">
        <v>3301</v>
      </c>
      <c r="C18" s="143" t="s">
        <v>3302</v>
      </c>
      <c r="D18" s="142" t="s">
        <v>1521</v>
      </c>
      <c r="E18" s="143" t="s">
        <v>1612</v>
      </c>
      <c r="F18" s="143" t="s">
        <v>3181</v>
      </c>
      <c r="G18" s="142" t="s">
        <v>4540</v>
      </c>
      <c r="H18" s="143" t="s">
        <v>3711</v>
      </c>
    </row>
    <row r="19" spans="1:8" ht="21">
      <c r="A19" s="142" t="s">
        <v>24</v>
      </c>
      <c r="B19" s="143" t="s">
        <v>25</v>
      </c>
      <c r="C19" s="143" t="s">
        <v>3303</v>
      </c>
      <c r="D19" s="142" t="s">
        <v>1522</v>
      </c>
      <c r="E19" s="143" t="s">
        <v>1613</v>
      </c>
      <c r="F19" s="143" t="s">
        <v>1598</v>
      </c>
      <c r="G19" s="142" t="s">
        <v>4540</v>
      </c>
      <c r="H19" s="143" t="s">
        <v>3711</v>
      </c>
    </row>
    <row r="20" spans="1:8" ht="42">
      <c r="A20" s="142" t="s">
        <v>3304</v>
      </c>
      <c r="B20" s="143" t="s">
        <v>3305</v>
      </c>
      <c r="C20" s="143" t="s">
        <v>3306</v>
      </c>
      <c r="D20" s="142" t="s">
        <v>946</v>
      </c>
      <c r="E20" s="143" t="s">
        <v>4766</v>
      </c>
      <c r="F20" s="143" t="s">
        <v>3307</v>
      </c>
      <c r="G20" s="142" t="s">
        <v>946</v>
      </c>
      <c r="H20" s="143" t="s">
        <v>3323</v>
      </c>
    </row>
    <row r="21" spans="1:8" ht="42">
      <c r="A21" s="142" t="s">
        <v>4546</v>
      </c>
      <c r="B21" s="143" t="s">
        <v>2158</v>
      </c>
      <c r="C21" s="143" t="s">
        <v>4548</v>
      </c>
      <c r="D21" s="142" t="s">
        <v>2284</v>
      </c>
      <c r="E21" s="143" t="s">
        <v>2158</v>
      </c>
      <c r="F21" s="143" t="s">
        <v>3738</v>
      </c>
      <c r="G21" s="142" t="s">
        <v>4533</v>
      </c>
      <c r="H21" s="143" t="s">
        <v>4549</v>
      </c>
    </row>
    <row r="22" spans="1:8" ht="42">
      <c r="A22" s="140" t="s">
        <v>26</v>
      </c>
      <c r="B22" s="141" t="s">
        <v>3308</v>
      </c>
      <c r="C22" s="141" t="s">
        <v>3309</v>
      </c>
      <c r="D22" s="142" t="s">
        <v>1510</v>
      </c>
      <c r="E22" s="143" t="s">
        <v>3157</v>
      </c>
      <c r="F22" s="143" t="s">
        <v>2312</v>
      </c>
      <c r="G22" s="142" t="s">
        <v>4533</v>
      </c>
      <c r="H22" s="143" t="s">
        <v>3536</v>
      </c>
    </row>
    <row r="23" spans="1:8" ht="21">
      <c r="A23" s="140"/>
      <c r="B23" s="141"/>
      <c r="C23" s="141"/>
      <c r="D23" s="142" t="s">
        <v>1558</v>
      </c>
      <c r="E23" s="143" t="s">
        <v>3166</v>
      </c>
      <c r="F23" s="143" t="s">
        <v>3213</v>
      </c>
      <c r="G23" s="142" t="s">
        <v>4533</v>
      </c>
      <c r="H23" s="143" t="s">
        <v>3536</v>
      </c>
    </row>
    <row r="24" spans="1:8" ht="42">
      <c r="A24" s="140" t="s">
        <v>27</v>
      </c>
      <c r="B24" s="141" t="s">
        <v>3311</v>
      </c>
      <c r="C24" s="141" t="s">
        <v>3312</v>
      </c>
      <c r="D24" s="142" t="s">
        <v>1510</v>
      </c>
      <c r="E24" s="143" t="s">
        <v>3157</v>
      </c>
      <c r="F24" s="143" t="s">
        <v>2312</v>
      </c>
      <c r="G24" s="142" t="s">
        <v>4533</v>
      </c>
      <c r="H24" s="143" t="s">
        <v>3536</v>
      </c>
    </row>
    <row r="25" spans="1:8" ht="21">
      <c r="A25" s="140"/>
      <c r="B25" s="141"/>
      <c r="C25" s="141"/>
      <c r="D25" s="142" t="s">
        <v>1558</v>
      </c>
      <c r="E25" s="143" t="s">
        <v>3166</v>
      </c>
      <c r="F25" s="143" t="s">
        <v>3213</v>
      </c>
      <c r="G25" s="142" t="s">
        <v>4533</v>
      </c>
      <c r="H25" s="143" t="s">
        <v>3536</v>
      </c>
    </row>
    <row r="26" spans="1:8" ht="42">
      <c r="A26" s="140" t="s">
        <v>28</v>
      </c>
      <c r="B26" s="141" t="s">
        <v>3313</v>
      </c>
      <c r="C26" s="141" t="s">
        <v>3314</v>
      </c>
      <c r="D26" s="142" t="s">
        <v>1510</v>
      </c>
      <c r="E26" s="143" t="s">
        <v>3157</v>
      </c>
      <c r="F26" s="143" t="s">
        <v>2312</v>
      </c>
      <c r="G26" s="142" t="s">
        <v>4533</v>
      </c>
      <c r="H26" s="143" t="s">
        <v>3536</v>
      </c>
    </row>
    <row r="27" spans="1:8" ht="21">
      <c r="A27" s="140"/>
      <c r="B27" s="141"/>
      <c r="C27" s="141"/>
      <c r="D27" s="142" t="s">
        <v>1558</v>
      </c>
      <c r="E27" s="143" t="s">
        <v>3166</v>
      </c>
      <c r="F27" s="143" t="s">
        <v>3213</v>
      </c>
      <c r="G27" s="142" t="s">
        <v>4533</v>
      </c>
      <c r="H27" s="143" t="s">
        <v>3536</v>
      </c>
    </row>
    <row r="28" spans="1:8" ht="42">
      <c r="A28" s="140" t="s">
        <v>29</v>
      </c>
      <c r="B28" s="141" t="s">
        <v>3315</v>
      </c>
      <c r="C28" s="141" t="s">
        <v>3316</v>
      </c>
      <c r="D28" s="142" t="s">
        <v>1510</v>
      </c>
      <c r="E28" s="143" t="s">
        <v>3157</v>
      </c>
      <c r="F28" s="143" t="s">
        <v>2312</v>
      </c>
      <c r="G28" s="142" t="s">
        <v>4533</v>
      </c>
      <c r="H28" s="143" t="s">
        <v>3536</v>
      </c>
    </row>
    <row r="29" spans="1:8" ht="21">
      <c r="A29" s="140"/>
      <c r="B29" s="141"/>
      <c r="C29" s="141"/>
      <c r="D29" s="142" t="s">
        <v>1558</v>
      </c>
      <c r="E29" s="143" t="s">
        <v>3166</v>
      </c>
      <c r="F29" s="143" t="s">
        <v>3213</v>
      </c>
      <c r="G29" s="142" t="s">
        <v>4533</v>
      </c>
      <c r="H29" s="143" t="s">
        <v>3536</v>
      </c>
    </row>
    <row r="30" spans="1:8" ht="42">
      <c r="A30" s="140" t="s">
        <v>30</v>
      </c>
      <c r="B30" s="141" t="s">
        <v>3318</v>
      </c>
      <c r="C30" s="141" t="s">
        <v>3319</v>
      </c>
      <c r="D30" s="142" t="s">
        <v>1511</v>
      </c>
      <c r="E30" s="143" t="s">
        <v>3158</v>
      </c>
      <c r="F30" s="143" t="s">
        <v>2313</v>
      </c>
      <c r="G30" s="142" t="s">
        <v>4533</v>
      </c>
      <c r="H30" s="143" t="s">
        <v>3536</v>
      </c>
    </row>
    <row r="31" spans="1:8" ht="42" customHeight="1">
      <c r="A31" s="140"/>
      <c r="B31" s="141"/>
      <c r="C31" s="141"/>
      <c r="D31" s="142" t="s">
        <v>1558</v>
      </c>
      <c r="E31" s="143" t="s">
        <v>3166</v>
      </c>
      <c r="F31" s="143" t="s">
        <v>3213</v>
      </c>
      <c r="G31" s="142" t="s">
        <v>4533</v>
      </c>
      <c r="H31" s="143" t="s">
        <v>3536</v>
      </c>
    </row>
    <row r="32" spans="1:8" ht="42">
      <c r="A32" s="140" t="s">
        <v>31</v>
      </c>
      <c r="B32" s="141" t="s">
        <v>3320</v>
      </c>
      <c r="C32" s="141" t="s">
        <v>4551</v>
      </c>
      <c r="D32" s="142" t="s">
        <v>1573</v>
      </c>
      <c r="E32" s="143" t="s">
        <v>1602</v>
      </c>
      <c r="F32" s="143" t="s">
        <v>3717</v>
      </c>
      <c r="G32" s="142" t="s">
        <v>4533</v>
      </c>
      <c r="H32" s="143" t="s">
        <v>3536</v>
      </c>
    </row>
    <row r="33" spans="1:8" ht="42">
      <c r="A33" s="140"/>
      <c r="B33" s="141"/>
      <c r="C33" s="141"/>
      <c r="D33" s="142" t="s">
        <v>1574</v>
      </c>
      <c r="E33" s="143" t="s">
        <v>3170</v>
      </c>
      <c r="F33" s="143" t="s">
        <v>3226</v>
      </c>
      <c r="G33" s="142" t="s">
        <v>4533</v>
      </c>
      <c r="H33" s="143" t="s">
        <v>3536</v>
      </c>
    </row>
    <row r="34" spans="1:8" ht="21">
      <c r="A34" s="142" t="s">
        <v>32</v>
      </c>
      <c r="B34" s="143" t="s">
        <v>33</v>
      </c>
      <c r="C34" s="143" t="s">
        <v>3322</v>
      </c>
      <c r="D34" s="142" t="s">
        <v>946</v>
      </c>
      <c r="E34" s="143" t="s">
        <v>4766</v>
      </c>
      <c r="F34" s="143" t="s">
        <v>3323</v>
      </c>
      <c r="G34" s="142" t="s">
        <v>946</v>
      </c>
      <c r="H34" s="143" t="s">
        <v>3323</v>
      </c>
    </row>
    <row r="35" spans="1:8" ht="42">
      <c r="A35" s="140" t="s">
        <v>35</v>
      </c>
      <c r="B35" s="141" t="s">
        <v>3324</v>
      </c>
      <c r="C35" s="141" t="s">
        <v>3325</v>
      </c>
      <c r="D35" s="142" t="s">
        <v>1510</v>
      </c>
      <c r="E35" s="143" t="s">
        <v>3157</v>
      </c>
      <c r="F35" s="143" t="s">
        <v>2312</v>
      </c>
      <c r="G35" s="142" t="s">
        <v>4533</v>
      </c>
      <c r="H35" s="143" t="s">
        <v>3536</v>
      </c>
    </row>
    <row r="36" spans="1:8" ht="42">
      <c r="A36" s="140"/>
      <c r="B36" s="141"/>
      <c r="C36" s="141"/>
      <c r="D36" s="142" t="s">
        <v>1526</v>
      </c>
      <c r="E36" s="143" t="s">
        <v>2140</v>
      </c>
      <c r="F36" s="143" t="s">
        <v>3731</v>
      </c>
      <c r="G36" s="142" t="s">
        <v>4533</v>
      </c>
      <c r="H36" s="143" t="s">
        <v>3536</v>
      </c>
    </row>
    <row r="37" spans="1:8" ht="42">
      <c r="A37" s="140"/>
      <c r="B37" s="141"/>
      <c r="C37" s="141"/>
      <c r="D37" s="142" t="s">
        <v>1528</v>
      </c>
      <c r="E37" s="143" t="s">
        <v>3161</v>
      </c>
      <c r="F37" s="143" t="s">
        <v>3187</v>
      </c>
      <c r="G37" s="142" t="s">
        <v>4533</v>
      </c>
      <c r="H37" s="143" t="s">
        <v>3536</v>
      </c>
    </row>
    <row r="38" spans="1:8" ht="42">
      <c r="A38" s="140" t="s">
        <v>36</v>
      </c>
      <c r="B38" s="141" t="s">
        <v>3326</v>
      </c>
      <c r="C38" s="141" t="s">
        <v>3327</v>
      </c>
      <c r="D38" s="142" t="s">
        <v>1527</v>
      </c>
      <c r="E38" s="143" t="s">
        <v>1615</v>
      </c>
      <c r="F38" s="143" t="s">
        <v>2314</v>
      </c>
      <c r="G38" s="142" t="s">
        <v>4533</v>
      </c>
      <c r="H38" s="143" t="s">
        <v>3536</v>
      </c>
    </row>
    <row r="39" spans="1:8" ht="42">
      <c r="A39" s="140"/>
      <c r="B39" s="141"/>
      <c r="C39" s="141"/>
      <c r="D39" s="142" t="s">
        <v>1528</v>
      </c>
      <c r="E39" s="143" t="s">
        <v>3161</v>
      </c>
      <c r="F39" s="143" t="s">
        <v>3187</v>
      </c>
      <c r="G39" s="142" t="s">
        <v>4533</v>
      </c>
      <c r="H39" s="143" t="s">
        <v>3536</v>
      </c>
    </row>
    <row r="40" spans="1:8" ht="42">
      <c r="A40" s="140"/>
      <c r="B40" s="141"/>
      <c r="C40" s="141"/>
      <c r="D40" s="142" t="s">
        <v>1533</v>
      </c>
      <c r="E40" s="143" t="s">
        <v>1616</v>
      </c>
      <c r="F40" s="143" t="s">
        <v>3190</v>
      </c>
      <c r="G40" s="142" t="s">
        <v>4533</v>
      </c>
      <c r="H40" s="143" t="s">
        <v>3536</v>
      </c>
    </row>
    <row r="41" spans="1:8" ht="42">
      <c r="A41" s="140" t="s">
        <v>37</v>
      </c>
      <c r="B41" s="141" t="s">
        <v>3328</v>
      </c>
      <c r="C41" s="141" t="s">
        <v>3329</v>
      </c>
      <c r="D41" s="142" t="s">
        <v>1569</v>
      </c>
      <c r="E41" s="143" t="s">
        <v>3168</v>
      </c>
      <c r="F41" s="143" t="s">
        <v>3221</v>
      </c>
      <c r="G41" s="142" t="s">
        <v>4533</v>
      </c>
      <c r="H41" s="143" t="s">
        <v>3536</v>
      </c>
    </row>
    <row r="42" spans="1:8" ht="42">
      <c r="A42" s="140"/>
      <c r="B42" s="141"/>
      <c r="C42" s="141"/>
      <c r="D42" s="142" t="s">
        <v>2216</v>
      </c>
      <c r="E42" s="143" t="s">
        <v>2097</v>
      </c>
      <c r="F42" s="143" t="s">
        <v>3230</v>
      </c>
      <c r="G42" s="142" t="s">
        <v>4533</v>
      </c>
      <c r="H42" s="143" t="s">
        <v>3536</v>
      </c>
    </row>
    <row r="43" spans="1:8" ht="42" customHeight="1">
      <c r="A43" s="140" t="s">
        <v>4553</v>
      </c>
      <c r="B43" s="141" t="s">
        <v>4555</v>
      </c>
      <c r="C43" s="141" t="s">
        <v>3330</v>
      </c>
      <c r="D43" s="142" t="s">
        <v>1556</v>
      </c>
      <c r="E43" s="143" t="s">
        <v>1652</v>
      </c>
      <c r="F43" s="143" t="s">
        <v>3211</v>
      </c>
      <c r="G43" s="142" t="s">
        <v>4533</v>
      </c>
      <c r="H43" s="143" t="s">
        <v>3536</v>
      </c>
    </row>
    <row r="44" spans="1:8" ht="42" customHeight="1">
      <c r="A44" s="140"/>
      <c r="B44" s="141"/>
      <c r="C44" s="141"/>
      <c r="D44" s="142" t="s">
        <v>1558</v>
      </c>
      <c r="E44" s="143" t="s">
        <v>3166</v>
      </c>
      <c r="F44" s="143" t="s">
        <v>3213</v>
      </c>
      <c r="G44" s="142" t="s">
        <v>4533</v>
      </c>
      <c r="H44" s="143" t="s">
        <v>3536</v>
      </c>
    </row>
    <row r="45" spans="1:8" ht="42">
      <c r="A45" s="140"/>
      <c r="B45" s="141"/>
      <c r="C45" s="141"/>
      <c r="D45" s="142" t="s">
        <v>1559</v>
      </c>
      <c r="E45" s="143" t="s">
        <v>1627</v>
      </c>
      <c r="F45" s="143" t="s">
        <v>2332</v>
      </c>
      <c r="G45" s="142" t="s">
        <v>4533</v>
      </c>
      <c r="H45" s="143" t="s">
        <v>3536</v>
      </c>
    </row>
    <row r="46" spans="1:8" ht="42">
      <c r="A46" s="140"/>
      <c r="B46" s="141"/>
      <c r="C46" s="141"/>
      <c r="D46" s="142" t="s">
        <v>1580</v>
      </c>
      <c r="E46" s="143" t="s">
        <v>1635</v>
      </c>
      <c r="F46" s="143" t="s">
        <v>3214</v>
      </c>
      <c r="G46" s="142" t="s">
        <v>4533</v>
      </c>
      <c r="H46" s="143" t="s">
        <v>3536</v>
      </c>
    </row>
    <row r="47" spans="1:8" ht="42">
      <c r="A47" s="142" t="s">
        <v>4556</v>
      </c>
      <c r="B47" s="143" t="s">
        <v>4559</v>
      </c>
      <c r="C47" s="143" t="s">
        <v>3330</v>
      </c>
      <c r="D47" s="142" t="s">
        <v>1559</v>
      </c>
      <c r="E47" s="143" t="s">
        <v>1627</v>
      </c>
      <c r="F47" s="143" t="s">
        <v>2332</v>
      </c>
      <c r="G47" s="142" t="s">
        <v>4557</v>
      </c>
      <c r="H47" s="143" t="s">
        <v>3713</v>
      </c>
    </row>
    <row r="48" spans="1:8" ht="42">
      <c r="A48" s="140" t="s">
        <v>4560</v>
      </c>
      <c r="B48" s="141" t="s">
        <v>4562</v>
      </c>
      <c r="C48" s="141" t="s">
        <v>4563</v>
      </c>
      <c r="D48" s="142" t="s">
        <v>1510</v>
      </c>
      <c r="E48" s="143" t="s">
        <v>3157</v>
      </c>
      <c r="F48" s="143" t="s">
        <v>2312</v>
      </c>
      <c r="G48" s="142" t="s">
        <v>4533</v>
      </c>
      <c r="H48" s="143" t="s">
        <v>3536</v>
      </c>
    </row>
    <row r="49" spans="1:8" ht="126">
      <c r="A49" s="140"/>
      <c r="B49" s="141"/>
      <c r="C49" s="141"/>
      <c r="D49" s="142" t="s">
        <v>1512</v>
      </c>
      <c r="E49" s="143" t="s">
        <v>3179</v>
      </c>
      <c r="F49" s="143" t="s">
        <v>3732</v>
      </c>
      <c r="G49" s="142" t="s">
        <v>4533</v>
      </c>
      <c r="H49" s="143" t="s">
        <v>3536</v>
      </c>
    </row>
    <row r="50" spans="1:8" ht="42">
      <c r="A50" s="142" t="s">
        <v>4568</v>
      </c>
      <c r="B50" s="143" t="s">
        <v>4570</v>
      </c>
      <c r="C50" s="143" t="s">
        <v>4563</v>
      </c>
      <c r="D50" s="142" t="s">
        <v>1510</v>
      </c>
      <c r="E50" s="143" t="s">
        <v>3157</v>
      </c>
      <c r="F50" s="143" t="s">
        <v>2312</v>
      </c>
      <c r="G50" s="142" t="s">
        <v>4557</v>
      </c>
      <c r="H50" s="143" t="s">
        <v>3713</v>
      </c>
    </row>
    <row r="51" spans="1:8" ht="63" customHeight="1">
      <c r="A51" s="140" t="s">
        <v>38</v>
      </c>
      <c r="B51" s="141" t="s">
        <v>4571</v>
      </c>
      <c r="C51" s="141" t="s">
        <v>4572</v>
      </c>
      <c r="D51" s="142" t="s">
        <v>1507</v>
      </c>
      <c r="E51" s="143" t="s">
        <v>3155</v>
      </c>
      <c r="F51" s="143" t="s">
        <v>3175</v>
      </c>
      <c r="G51" s="142" t="s">
        <v>4533</v>
      </c>
      <c r="H51" s="143" t="s">
        <v>3536</v>
      </c>
    </row>
    <row r="52" spans="1:8" ht="63" customHeight="1">
      <c r="A52" s="140"/>
      <c r="B52" s="141"/>
      <c r="C52" s="141"/>
      <c r="D52" s="142" t="s">
        <v>1508</v>
      </c>
      <c r="E52" s="143" t="s">
        <v>1605</v>
      </c>
      <c r="F52" s="143" t="s">
        <v>3176</v>
      </c>
      <c r="G52" s="142" t="s">
        <v>4533</v>
      </c>
      <c r="H52" s="143" t="s">
        <v>3536</v>
      </c>
    </row>
    <row r="53" spans="1:8" ht="63" customHeight="1">
      <c r="A53" s="140"/>
      <c r="B53" s="141"/>
      <c r="C53" s="141"/>
      <c r="D53" s="142" t="s">
        <v>1509</v>
      </c>
      <c r="E53" s="143" t="s">
        <v>3156</v>
      </c>
      <c r="F53" s="143" t="s">
        <v>3177</v>
      </c>
      <c r="G53" s="142" t="s">
        <v>4533</v>
      </c>
      <c r="H53" s="143" t="s">
        <v>3536</v>
      </c>
    </row>
    <row r="54" spans="1:8" ht="63" customHeight="1">
      <c r="A54" s="140"/>
      <c r="B54" s="141"/>
      <c r="C54" s="141"/>
      <c r="D54" s="142" t="s">
        <v>2201</v>
      </c>
      <c r="E54" s="143" t="s">
        <v>2079</v>
      </c>
      <c r="F54" s="143" t="s">
        <v>3185</v>
      </c>
      <c r="G54" s="142" t="s">
        <v>4533</v>
      </c>
      <c r="H54" s="143" t="s">
        <v>3536</v>
      </c>
    </row>
    <row r="55" spans="1:8" ht="21">
      <c r="A55" s="142" t="s">
        <v>34</v>
      </c>
      <c r="B55" s="143" t="s">
        <v>3331</v>
      </c>
      <c r="C55" s="143" t="s">
        <v>3332</v>
      </c>
      <c r="D55" s="142" t="s">
        <v>946</v>
      </c>
      <c r="E55" s="143" t="s">
        <v>4766</v>
      </c>
      <c r="F55" s="143" t="s">
        <v>3323</v>
      </c>
      <c r="G55" s="142" t="s">
        <v>946</v>
      </c>
      <c r="H55" s="143" t="s">
        <v>3323</v>
      </c>
    </row>
    <row r="56" spans="1:8" ht="126">
      <c r="A56" s="142" t="s">
        <v>4237</v>
      </c>
      <c r="B56" s="143" t="s">
        <v>4574</v>
      </c>
      <c r="C56" s="143" t="s">
        <v>4575</v>
      </c>
      <c r="D56" s="142" t="s">
        <v>1512</v>
      </c>
      <c r="E56" s="143" t="s">
        <v>3179</v>
      </c>
      <c r="F56" s="143" t="s">
        <v>3732</v>
      </c>
      <c r="G56" s="142" t="s">
        <v>4533</v>
      </c>
      <c r="H56" s="143" t="s">
        <v>3536</v>
      </c>
    </row>
    <row r="57" spans="1:8" ht="21">
      <c r="A57" s="140" t="s">
        <v>39</v>
      </c>
      <c r="B57" s="141" t="s">
        <v>3333</v>
      </c>
      <c r="C57" s="141" t="s">
        <v>3334</v>
      </c>
      <c r="D57" s="142" t="s">
        <v>1513</v>
      </c>
      <c r="E57" s="143" t="s">
        <v>1606</v>
      </c>
      <c r="F57" s="143" t="s">
        <v>1597</v>
      </c>
      <c r="G57" s="142" t="s">
        <v>4540</v>
      </c>
      <c r="H57" s="143" t="s">
        <v>3711</v>
      </c>
    </row>
    <row r="58" spans="1:8" ht="21">
      <c r="A58" s="140"/>
      <c r="B58" s="141"/>
      <c r="C58" s="141"/>
      <c r="D58" s="142" t="s">
        <v>1515</v>
      </c>
      <c r="E58" s="143" t="s">
        <v>1608</v>
      </c>
      <c r="F58" s="143" t="s">
        <v>2316</v>
      </c>
      <c r="G58" s="142" t="s">
        <v>4540</v>
      </c>
      <c r="H58" s="143" t="s">
        <v>3711</v>
      </c>
    </row>
    <row r="59" spans="1:8" ht="42">
      <c r="A59" s="140" t="s">
        <v>40</v>
      </c>
      <c r="B59" s="141" t="s">
        <v>41</v>
      </c>
      <c r="C59" s="141" t="s">
        <v>3336</v>
      </c>
      <c r="D59" s="142" t="s">
        <v>1514</v>
      </c>
      <c r="E59" s="143" t="s">
        <v>1607</v>
      </c>
      <c r="F59" s="143" t="s">
        <v>3737</v>
      </c>
      <c r="G59" s="142" t="s">
        <v>4540</v>
      </c>
      <c r="H59" s="143" t="s">
        <v>3711</v>
      </c>
    </row>
    <row r="60" spans="1:8" ht="42">
      <c r="A60" s="140"/>
      <c r="B60" s="141"/>
      <c r="C60" s="141"/>
      <c r="D60" s="142" t="s">
        <v>1516</v>
      </c>
      <c r="E60" s="143" t="s">
        <v>1609</v>
      </c>
      <c r="F60" s="143" t="s">
        <v>2317</v>
      </c>
      <c r="G60" s="142" t="s">
        <v>4540</v>
      </c>
      <c r="H60" s="143" t="s">
        <v>3711</v>
      </c>
    </row>
    <row r="61" spans="1:8" ht="21">
      <c r="A61" s="142" t="s">
        <v>42</v>
      </c>
      <c r="B61" s="143" t="s">
        <v>43</v>
      </c>
      <c r="C61" s="143" t="s">
        <v>3337</v>
      </c>
      <c r="D61" s="142" t="s">
        <v>946</v>
      </c>
      <c r="E61" s="143" t="s">
        <v>4766</v>
      </c>
      <c r="F61" s="143" t="s">
        <v>3323</v>
      </c>
      <c r="G61" s="142" t="s">
        <v>946</v>
      </c>
      <c r="H61" s="143" t="s">
        <v>3323</v>
      </c>
    </row>
    <row r="62" spans="1:8" ht="21">
      <c r="A62" s="142" t="s">
        <v>44</v>
      </c>
      <c r="B62" s="143" t="s">
        <v>3338</v>
      </c>
      <c r="C62" s="143" t="s">
        <v>3339</v>
      </c>
      <c r="D62" s="142" t="s">
        <v>946</v>
      </c>
      <c r="E62" s="143" t="s">
        <v>4766</v>
      </c>
      <c r="F62" s="143" t="s">
        <v>3323</v>
      </c>
      <c r="G62" s="142" t="s">
        <v>946</v>
      </c>
      <c r="H62" s="143" t="s">
        <v>3323</v>
      </c>
    </row>
    <row r="63" spans="1:8" ht="42">
      <c r="A63" s="142" t="s">
        <v>45</v>
      </c>
      <c r="B63" s="143" t="s">
        <v>3340</v>
      </c>
      <c r="C63" s="143" t="s">
        <v>3341</v>
      </c>
      <c r="D63" s="142" t="s">
        <v>1518</v>
      </c>
      <c r="E63" s="143" t="s">
        <v>1610</v>
      </c>
      <c r="F63" s="143" t="s">
        <v>2320</v>
      </c>
      <c r="G63" s="142" t="s">
        <v>4540</v>
      </c>
      <c r="H63" s="143" t="s">
        <v>3711</v>
      </c>
    </row>
    <row r="64" spans="1:8" ht="21">
      <c r="A64" s="142" t="s">
        <v>46</v>
      </c>
      <c r="B64" s="143" t="s">
        <v>3342</v>
      </c>
      <c r="C64" s="143" t="s">
        <v>3343</v>
      </c>
      <c r="D64" s="142" t="s">
        <v>946</v>
      </c>
      <c r="E64" s="143" t="s">
        <v>4766</v>
      </c>
      <c r="F64" s="143" t="s">
        <v>3323</v>
      </c>
      <c r="G64" s="142" t="s">
        <v>946</v>
      </c>
      <c r="H64" s="143" t="s">
        <v>3323</v>
      </c>
    </row>
    <row r="65" spans="1:8" ht="42">
      <c r="A65" s="142" t="s">
        <v>47</v>
      </c>
      <c r="B65" s="143" t="s">
        <v>3344</v>
      </c>
      <c r="C65" s="143" t="s">
        <v>3345</v>
      </c>
      <c r="D65" s="142" t="s">
        <v>1513</v>
      </c>
      <c r="E65" s="143" t="s">
        <v>1606</v>
      </c>
      <c r="F65" s="143" t="s">
        <v>1597</v>
      </c>
      <c r="G65" s="142" t="s">
        <v>4540</v>
      </c>
      <c r="H65" s="143" t="s">
        <v>3711</v>
      </c>
    </row>
    <row r="66" spans="1:8" ht="42">
      <c r="A66" s="142" t="s">
        <v>48</v>
      </c>
      <c r="B66" s="143" t="s">
        <v>3346</v>
      </c>
      <c r="C66" s="143" t="s">
        <v>3347</v>
      </c>
      <c r="D66" s="142" t="s">
        <v>946</v>
      </c>
      <c r="E66" s="143" t="s">
        <v>4766</v>
      </c>
      <c r="F66" s="143" t="s">
        <v>3323</v>
      </c>
      <c r="G66" s="142" t="s">
        <v>946</v>
      </c>
      <c r="H66" s="143" t="s">
        <v>3323</v>
      </c>
    </row>
    <row r="67" spans="1:8" ht="21">
      <c r="A67" s="142" t="s">
        <v>49</v>
      </c>
      <c r="B67" s="143" t="s">
        <v>3348</v>
      </c>
      <c r="C67" s="143" t="s">
        <v>3349</v>
      </c>
      <c r="D67" s="142" t="s">
        <v>1513</v>
      </c>
      <c r="E67" s="143" t="s">
        <v>1606</v>
      </c>
      <c r="F67" s="143" t="s">
        <v>1597</v>
      </c>
      <c r="G67" s="142" t="s">
        <v>4540</v>
      </c>
      <c r="H67" s="143" t="s">
        <v>3711</v>
      </c>
    </row>
    <row r="68" spans="1:8" ht="42">
      <c r="A68" s="142" t="s">
        <v>50</v>
      </c>
      <c r="B68" s="143" t="s">
        <v>3350</v>
      </c>
      <c r="C68" s="143" t="s">
        <v>3351</v>
      </c>
      <c r="D68" s="142" t="s">
        <v>2256</v>
      </c>
      <c r="E68" s="143" t="s">
        <v>2137</v>
      </c>
      <c r="F68" s="143" t="s">
        <v>2324</v>
      </c>
      <c r="G68" s="142" t="s">
        <v>4533</v>
      </c>
      <c r="H68" s="143" t="s">
        <v>3536</v>
      </c>
    </row>
    <row r="69" spans="1:8" ht="42">
      <c r="A69" s="140" t="s">
        <v>51</v>
      </c>
      <c r="B69" s="141" t="s">
        <v>3352</v>
      </c>
      <c r="C69" s="141" t="s">
        <v>3353</v>
      </c>
      <c r="D69" s="142" t="s">
        <v>1510</v>
      </c>
      <c r="E69" s="143" t="s">
        <v>3157</v>
      </c>
      <c r="F69" s="143" t="s">
        <v>2312</v>
      </c>
      <c r="G69" s="142" t="s">
        <v>4533</v>
      </c>
      <c r="H69" s="143" t="s">
        <v>3536</v>
      </c>
    </row>
    <row r="70" spans="1:8" ht="42">
      <c r="A70" s="140"/>
      <c r="B70" s="141"/>
      <c r="C70" s="141"/>
      <c r="D70" s="142" t="s">
        <v>2256</v>
      </c>
      <c r="E70" s="143" t="s">
        <v>2137</v>
      </c>
      <c r="F70" s="143" t="s">
        <v>2324</v>
      </c>
      <c r="G70" s="142" t="s">
        <v>4533</v>
      </c>
      <c r="H70" s="143" t="s">
        <v>3536</v>
      </c>
    </row>
    <row r="71" spans="1:8" ht="42">
      <c r="A71" s="142" t="s">
        <v>4582</v>
      </c>
      <c r="B71" s="143" t="s">
        <v>4585</v>
      </c>
      <c r="C71" s="143" t="s">
        <v>4586</v>
      </c>
      <c r="D71" s="142" t="s">
        <v>2305</v>
      </c>
      <c r="E71" s="143" t="s">
        <v>2177</v>
      </c>
      <c r="F71" s="143" t="s">
        <v>2380</v>
      </c>
      <c r="G71" s="142" t="s">
        <v>4583</v>
      </c>
      <c r="H71" s="143" t="s">
        <v>3711</v>
      </c>
    </row>
    <row r="72" spans="1:8" ht="42">
      <c r="A72" s="140" t="s">
        <v>4587</v>
      </c>
      <c r="B72" s="141" t="s">
        <v>4589</v>
      </c>
      <c r="C72" s="141" t="s">
        <v>4586</v>
      </c>
      <c r="D72" s="142" t="s">
        <v>2309</v>
      </c>
      <c r="E72" s="143" t="s">
        <v>2181</v>
      </c>
      <c r="F72" s="143" t="s">
        <v>2325</v>
      </c>
      <c r="G72" s="142" t="s">
        <v>4533</v>
      </c>
      <c r="H72" s="143" t="s">
        <v>3536</v>
      </c>
    </row>
    <row r="73" spans="1:8" ht="42">
      <c r="A73" s="140"/>
      <c r="B73" s="141"/>
      <c r="C73" s="141"/>
      <c r="D73" s="142" t="s">
        <v>2305</v>
      </c>
      <c r="E73" s="143" t="s">
        <v>2177</v>
      </c>
      <c r="F73" s="143" t="s">
        <v>2380</v>
      </c>
      <c r="G73" s="142" t="s">
        <v>4533</v>
      </c>
      <c r="H73" s="143" t="s">
        <v>3536</v>
      </c>
    </row>
    <row r="74" spans="1:8" ht="42">
      <c r="A74" s="142" t="s">
        <v>52</v>
      </c>
      <c r="B74" s="143" t="s">
        <v>3354</v>
      </c>
      <c r="C74" s="143" t="s">
        <v>4590</v>
      </c>
      <c r="D74" s="142" t="s">
        <v>2309</v>
      </c>
      <c r="E74" s="143" t="s">
        <v>2181</v>
      </c>
      <c r="F74" s="143" t="s">
        <v>2325</v>
      </c>
      <c r="G74" s="142" t="s">
        <v>4533</v>
      </c>
      <c r="H74" s="143" t="s">
        <v>3536</v>
      </c>
    </row>
    <row r="75" spans="1:8" ht="42">
      <c r="A75" s="142" t="s">
        <v>53</v>
      </c>
      <c r="B75" s="143" t="s">
        <v>3355</v>
      </c>
      <c r="C75" s="143" t="s">
        <v>4591</v>
      </c>
      <c r="D75" s="142" t="s">
        <v>2309</v>
      </c>
      <c r="E75" s="143" t="s">
        <v>2181</v>
      </c>
      <c r="F75" s="143" t="s">
        <v>2325</v>
      </c>
      <c r="G75" s="142" t="s">
        <v>4533</v>
      </c>
      <c r="H75" s="143" t="s">
        <v>3536</v>
      </c>
    </row>
    <row r="76" spans="1:8" ht="21">
      <c r="A76" s="142" t="s">
        <v>54</v>
      </c>
      <c r="B76" s="143" t="s">
        <v>55</v>
      </c>
      <c r="C76" s="143" t="s">
        <v>3356</v>
      </c>
      <c r="D76" s="142" t="s">
        <v>946</v>
      </c>
      <c r="E76" s="143" t="s">
        <v>4766</v>
      </c>
      <c r="F76" s="143" t="s">
        <v>3357</v>
      </c>
      <c r="G76" s="142" t="s">
        <v>946</v>
      </c>
      <c r="H76" s="143" t="s">
        <v>3323</v>
      </c>
    </row>
    <row r="77" spans="1:8" ht="42">
      <c r="A77" s="142" t="s">
        <v>56</v>
      </c>
      <c r="B77" s="143" t="s">
        <v>57</v>
      </c>
      <c r="C77" s="143" t="s">
        <v>3358</v>
      </c>
      <c r="D77" s="142" t="s">
        <v>2309</v>
      </c>
      <c r="E77" s="143" t="s">
        <v>2181</v>
      </c>
      <c r="F77" s="143" t="s">
        <v>2325</v>
      </c>
      <c r="G77" s="142" t="s">
        <v>4533</v>
      </c>
      <c r="H77" s="143" t="s">
        <v>3536</v>
      </c>
    </row>
    <row r="78" spans="1:8" ht="42">
      <c r="A78" s="142" t="s">
        <v>58</v>
      </c>
      <c r="B78" s="143" t="s">
        <v>59</v>
      </c>
      <c r="C78" s="143" t="s">
        <v>4592</v>
      </c>
      <c r="D78" s="142" t="s">
        <v>2256</v>
      </c>
      <c r="E78" s="143" t="s">
        <v>2137</v>
      </c>
      <c r="F78" s="143" t="s">
        <v>2324</v>
      </c>
      <c r="G78" s="142" t="s">
        <v>4533</v>
      </c>
      <c r="H78" s="143" t="s">
        <v>3536</v>
      </c>
    </row>
    <row r="79" spans="1:8" ht="84" customHeight="1">
      <c r="A79" s="140" t="s">
        <v>60</v>
      </c>
      <c r="B79" s="141" t="s">
        <v>61</v>
      </c>
      <c r="C79" s="141" t="s">
        <v>4593</v>
      </c>
      <c r="D79" s="142" t="s">
        <v>1535</v>
      </c>
      <c r="E79" s="143" t="s">
        <v>3164</v>
      </c>
      <c r="F79" s="143" t="s">
        <v>3192</v>
      </c>
      <c r="G79" s="142" t="s">
        <v>4533</v>
      </c>
      <c r="H79" s="143" t="s">
        <v>3536</v>
      </c>
    </row>
    <row r="80" spans="1:8" ht="84" customHeight="1">
      <c r="A80" s="140"/>
      <c r="B80" s="141"/>
      <c r="C80" s="141"/>
      <c r="D80" s="142" t="s">
        <v>2287</v>
      </c>
      <c r="E80" s="143" t="s">
        <v>3167</v>
      </c>
      <c r="F80" s="143" t="s">
        <v>3220</v>
      </c>
      <c r="G80" s="142" t="s">
        <v>4533</v>
      </c>
      <c r="H80" s="143" t="s">
        <v>3536</v>
      </c>
    </row>
    <row r="81" spans="1:8" ht="42">
      <c r="A81" s="140" t="s">
        <v>4594</v>
      </c>
      <c r="B81" s="141" t="s">
        <v>4597</v>
      </c>
      <c r="C81" s="141" t="s">
        <v>3359</v>
      </c>
      <c r="D81" s="142" t="s">
        <v>1552</v>
      </c>
      <c r="E81" s="143" t="s">
        <v>2114</v>
      </c>
      <c r="F81" s="143" t="s">
        <v>3184</v>
      </c>
      <c r="G81" s="142" t="s">
        <v>4595</v>
      </c>
      <c r="H81" s="143" t="s">
        <v>3711</v>
      </c>
    </row>
    <row r="82" spans="1:8" ht="84">
      <c r="A82" s="140"/>
      <c r="B82" s="141"/>
      <c r="C82" s="141"/>
      <c r="D82" s="142" t="s">
        <v>3744</v>
      </c>
      <c r="E82" s="143" t="s">
        <v>3743</v>
      </c>
      <c r="F82" s="143" t="s">
        <v>3745</v>
      </c>
      <c r="G82" s="142" t="s">
        <v>4595</v>
      </c>
      <c r="H82" s="143" t="s">
        <v>3711</v>
      </c>
    </row>
    <row r="83" spans="1:8" ht="84">
      <c r="A83" s="142" t="s">
        <v>4598</v>
      </c>
      <c r="B83" s="143" t="s">
        <v>4600</v>
      </c>
      <c r="C83" s="143" t="s">
        <v>3359</v>
      </c>
      <c r="D83" s="142" t="s">
        <v>3744</v>
      </c>
      <c r="E83" s="143" t="s">
        <v>3743</v>
      </c>
      <c r="F83" s="143" t="s">
        <v>3745</v>
      </c>
      <c r="G83" s="142" t="s">
        <v>4533</v>
      </c>
      <c r="H83" s="143" t="s">
        <v>3536</v>
      </c>
    </row>
    <row r="84" spans="1:8" ht="42" customHeight="1">
      <c r="A84" s="140" t="s">
        <v>4601</v>
      </c>
      <c r="B84" s="141" t="s">
        <v>4603</v>
      </c>
      <c r="C84" s="141" t="s">
        <v>3360</v>
      </c>
      <c r="D84" s="142" t="s">
        <v>1541</v>
      </c>
      <c r="E84" s="143" t="s">
        <v>1620</v>
      </c>
      <c r="F84" s="143" t="s">
        <v>3217</v>
      </c>
      <c r="G84" s="142" t="s">
        <v>4533</v>
      </c>
      <c r="H84" s="143" t="s">
        <v>3536</v>
      </c>
    </row>
    <row r="85" spans="1:8" ht="42">
      <c r="A85" s="140"/>
      <c r="B85" s="141"/>
      <c r="C85" s="141"/>
      <c r="D85" s="142" t="s">
        <v>2287</v>
      </c>
      <c r="E85" s="143" t="s">
        <v>3167</v>
      </c>
      <c r="F85" s="143" t="s">
        <v>3220</v>
      </c>
      <c r="G85" s="142" t="s">
        <v>4533</v>
      </c>
      <c r="H85" s="143" t="s">
        <v>3536</v>
      </c>
    </row>
    <row r="86" spans="1:8" ht="21">
      <c r="A86" s="140" t="s">
        <v>4604</v>
      </c>
      <c r="B86" s="141" t="s">
        <v>4606</v>
      </c>
      <c r="C86" s="141" t="s">
        <v>3360</v>
      </c>
      <c r="D86" s="142" t="s">
        <v>1567</v>
      </c>
      <c r="E86" s="143" t="s">
        <v>1630</v>
      </c>
      <c r="F86" s="143" t="s">
        <v>3218</v>
      </c>
      <c r="G86" s="142" t="s">
        <v>4583</v>
      </c>
      <c r="H86" s="143" t="s">
        <v>3711</v>
      </c>
    </row>
    <row r="87" spans="1:8" ht="42">
      <c r="A87" s="140"/>
      <c r="B87" s="141"/>
      <c r="C87" s="141"/>
      <c r="D87" s="142" t="s">
        <v>2287</v>
      </c>
      <c r="E87" s="143" t="s">
        <v>3167</v>
      </c>
      <c r="F87" s="143" t="s">
        <v>3220</v>
      </c>
      <c r="G87" s="142" t="s">
        <v>4583</v>
      </c>
      <c r="H87" s="143" t="s">
        <v>3711</v>
      </c>
    </row>
    <row r="88" spans="1:8" ht="42">
      <c r="A88" s="140" t="s">
        <v>4607</v>
      </c>
      <c r="B88" s="141" t="s">
        <v>4609</v>
      </c>
      <c r="C88" s="141" t="s">
        <v>3361</v>
      </c>
      <c r="D88" s="142" t="s">
        <v>1531</v>
      </c>
      <c r="E88" s="143" t="s">
        <v>3163</v>
      </c>
      <c r="F88" s="143" t="s">
        <v>3189</v>
      </c>
      <c r="G88" s="142" t="s">
        <v>4533</v>
      </c>
      <c r="H88" s="143" t="s">
        <v>3536</v>
      </c>
    </row>
    <row r="89" spans="1:8" ht="42">
      <c r="A89" s="140"/>
      <c r="B89" s="141"/>
      <c r="C89" s="141"/>
      <c r="D89" s="142" t="s">
        <v>1569</v>
      </c>
      <c r="E89" s="143" t="s">
        <v>3168</v>
      </c>
      <c r="F89" s="143" t="s">
        <v>3221</v>
      </c>
      <c r="G89" s="142" t="s">
        <v>4533</v>
      </c>
      <c r="H89" s="143" t="s">
        <v>3536</v>
      </c>
    </row>
    <row r="90" spans="1:8" ht="42">
      <c r="A90" s="142" t="s">
        <v>4610</v>
      </c>
      <c r="B90" s="143" t="s">
        <v>4612</v>
      </c>
      <c r="C90" s="143" t="s">
        <v>3361</v>
      </c>
      <c r="D90" s="142" t="s">
        <v>1569</v>
      </c>
      <c r="E90" s="143" t="s">
        <v>3168</v>
      </c>
      <c r="F90" s="143" t="s">
        <v>3221</v>
      </c>
      <c r="G90" s="142" t="s">
        <v>4595</v>
      </c>
      <c r="H90" s="143" t="s">
        <v>3711</v>
      </c>
    </row>
    <row r="91" spans="1:8" ht="21">
      <c r="A91" s="142" t="s">
        <v>62</v>
      </c>
      <c r="B91" s="143" t="s">
        <v>3362</v>
      </c>
      <c r="C91" s="143" t="s">
        <v>3363</v>
      </c>
      <c r="D91" s="142" t="s">
        <v>1568</v>
      </c>
      <c r="E91" s="143" t="s">
        <v>1631</v>
      </c>
      <c r="F91" s="143" t="s">
        <v>2335</v>
      </c>
      <c r="G91" s="142" t="s">
        <v>4583</v>
      </c>
      <c r="H91" s="143" t="s">
        <v>3711</v>
      </c>
    </row>
    <row r="92" spans="1:8" ht="21">
      <c r="A92" s="140" t="s">
        <v>63</v>
      </c>
      <c r="B92" s="141" t="s">
        <v>64</v>
      </c>
      <c r="C92" s="141" t="s">
        <v>3365</v>
      </c>
      <c r="D92" s="142" t="s">
        <v>1554</v>
      </c>
      <c r="E92" s="143" t="s">
        <v>1625</v>
      </c>
      <c r="F92" s="143" t="s">
        <v>3216</v>
      </c>
      <c r="G92" s="142" t="s">
        <v>4595</v>
      </c>
      <c r="H92" s="143" t="s">
        <v>3711</v>
      </c>
    </row>
    <row r="93" spans="1:8" ht="21">
      <c r="A93" s="140"/>
      <c r="B93" s="141"/>
      <c r="C93" s="141"/>
      <c r="D93" s="142" t="s">
        <v>1568</v>
      </c>
      <c r="E93" s="143" t="s">
        <v>1631</v>
      </c>
      <c r="F93" s="143" t="s">
        <v>2335</v>
      </c>
      <c r="G93" s="142" t="s">
        <v>4595</v>
      </c>
      <c r="H93" s="143" t="s">
        <v>3711</v>
      </c>
    </row>
    <row r="94" spans="1:8" ht="42">
      <c r="A94" s="142" t="s">
        <v>65</v>
      </c>
      <c r="B94" s="143" t="s">
        <v>3366</v>
      </c>
      <c r="C94" s="143" t="s">
        <v>3367</v>
      </c>
      <c r="D94" s="142" t="s">
        <v>1571</v>
      </c>
      <c r="E94" s="143" t="s">
        <v>3169</v>
      </c>
      <c r="F94" s="143" t="s">
        <v>2337</v>
      </c>
      <c r="G94" s="142" t="s">
        <v>4533</v>
      </c>
      <c r="H94" s="143" t="s">
        <v>3536</v>
      </c>
    </row>
    <row r="95" spans="1:8" ht="42">
      <c r="A95" s="140" t="s">
        <v>66</v>
      </c>
      <c r="B95" s="141" t="s">
        <v>67</v>
      </c>
      <c r="C95" s="141" t="s">
        <v>3368</v>
      </c>
      <c r="D95" s="142" t="s">
        <v>1533</v>
      </c>
      <c r="E95" s="143" t="s">
        <v>1616</v>
      </c>
      <c r="F95" s="143" t="s">
        <v>3190</v>
      </c>
      <c r="G95" s="142" t="s">
        <v>4533</v>
      </c>
      <c r="H95" s="143" t="s">
        <v>3536</v>
      </c>
    </row>
    <row r="96" spans="1:8" ht="42">
      <c r="A96" s="140"/>
      <c r="B96" s="141"/>
      <c r="C96" s="141"/>
      <c r="D96" s="142" t="s">
        <v>2287</v>
      </c>
      <c r="E96" s="143" t="s">
        <v>3167</v>
      </c>
      <c r="F96" s="143" t="s">
        <v>3220</v>
      </c>
      <c r="G96" s="142" t="s">
        <v>4533</v>
      </c>
      <c r="H96" s="143" t="s">
        <v>3536</v>
      </c>
    </row>
    <row r="97" spans="1:8" ht="63">
      <c r="A97" s="142" t="s">
        <v>4613</v>
      </c>
      <c r="B97" s="143" t="s">
        <v>4614</v>
      </c>
      <c r="C97" s="143" t="s">
        <v>4615</v>
      </c>
      <c r="D97" s="142" t="s">
        <v>2305</v>
      </c>
      <c r="E97" s="143" t="s">
        <v>2177</v>
      </c>
      <c r="F97" s="143" t="s">
        <v>2380</v>
      </c>
      <c r="G97" s="142" t="s">
        <v>4583</v>
      </c>
      <c r="H97" s="143" t="s">
        <v>3711</v>
      </c>
    </row>
    <row r="98" spans="1:8" ht="63" customHeight="1">
      <c r="A98" s="140" t="s">
        <v>4616</v>
      </c>
      <c r="B98" s="141" t="s">
        <v>4617</v>
      </c>
      <c r="C98" s="141" t="s">
        <v>4615</v>
      </c>
      <c r="D98" s="142" t="s">
        <v>2287</v>
      </c>
      <c r="E98" s="143" t="s">
        <v>3167</v>
      </c>
      <c r="F98" s="143" t="s">
        <v>3220</v>
      </c>
      <c r="G98" s="142" t="s">
        <v>4533</v>
      </c>
      <c r="H98" s="143" t="s">
        <v>3536</v>
      </c>
    </row>
    <row r="99" spans="1:8" ht="63" customHeight="1">
      <c r="A99" s="140"/>
      <c r="B99" s="141"/>
      <c r="C99" s="141"/>
      <c r="D99" s="142" t="s">
        <v>1585</v>
      </c>
      <c r="E99" s="143" t="s">
        <v>1639</v>
      </c>
      <c r="F99" s="143" t="s">
        <v>3227</v>
      </c>
      <c r="G99" s="142" t="s">
        <v>4533</v>
      </c>
      <c r="H99" s="143" t="s">
        <v>3536</v>
      </c>
    </row>
    <row r="100" spans="1:8" ht="63" customHeight="1">
      <c r="A100" s="140"/>
      <c r="B100" s="141"/>
      <c r="C100" s="141"/>
      <c r="D100" s="142" t="s">
        <v>2305</v>
      </c>
      <c r="E100" s="143" t="s">
        <v>2177</v>
      </c>
      <c r="F100" s="143" t="s">
        <v>2380</v>
      </c>
      <c r="G100" s="142" t="s">
        <v>4533</v>
      </c>
      <c r="H100" s="143" t="s">
        <v>3536</v>
      </c>
    </row>
    <row r="101" spans="1:8" ht="42">
      <c r="A101" s="140" t="s">
        <v>68</v>
      </c>
      <c r="B101" s="141" t="s">
        <v>3369</v>
      </c>
      <c r="C101" s="141" t="s">
        <v>3370</v>
      </c>
      <c r="D101" s="142" t="s">
        <v>2287</v>
      </c>
      <c r="E101" s="143" t="s">
        <v>3167</v>
      </c>
      <c r="F101" s="143" t="s">
        <v>3220</v>
      </c>
      <c r="G101" s="142" t="s">
        <v>4533</v>
      </c>
      <c r="H101" s="143" t="s">
        <v>3536</v>
      </c>
    </row>
    <row r="102" spans="1:8" ht="42">
      <c r="A102" s="140"/>
      <c r="B102" s="141"/>
      <c r="C102" s="141"/>
      <c r="D102" s="142" t="s">
        <v>2216</v>
      </c>
      <c r="E102" s="143" t="s">
        <v>2097</v>
      </c>
      <c r="F102" s="143" t="s">
        <v>3230</v>
      </c>
      <c r="G102" s="142" t="s">
        <v>4533</v>
      </c>
      <c r="H102" s="143" t="s">
        <v>3536</v>
      </c>
    </row>
    <row r="103" spans="1:8" ht="42">
      <c r="A103" s="142" t="s">
        <v>69</v>
      </c>
      <c r="B103" s="143" t="s">
        <v>70</v>
      </c>
      <c r="C103" s="143" t="s">
        <v>3371</v>
      </c>
      <c r="D103" s="142" t="s">
        <v>946</v>
      </c>
      <c r="E103" s="143" t="s">
        <v>4766</v>
      </c>
      <c r="F103" s="143" t="s">
        <v>3364</v>
      </c>
      <c r="G103" s="142" t="s">
        <v>4583</v>
      </c>
      <c r="H103" s="143" t="s">
        <v>3711</v>
      </c>
    </row>
    <row r="104" spans="1:8" ht="21">
      <c r="A104" s="142" t="s">
        <v>71</v>
      </c>
      <c r="B104" s="143" t="s">
        <v>72</v>
      </c>
      <c r="C104" s="143" t="s">
        <v>3372</v>
      </c>
      <c r="D104" s="142" t="s">
        <v>946</v>
      </c>
      <c r="E104" s="143" t="s">
        <v>4766</v>
      </c>
      <c r="F104" s="143" t="s">
        <v>2394</v>
      </c>
      <c r="G104" s="142" t="s">
        <v>4583</v>
      </c>
      <c r="H104" s="143" t="s">
        <v>3711</v>
      </c>
    </row>
    <row r="105" spans="1:8" ht="42" customHeight="1">
      <c r="A105" s="140" t="s">
        <v>4619</v>
      </c>
      <c r="B105" s="141" t="s">
        <v>4620</v>
      </c>
      <c r="C105" s="141" t="s">
        <v>3373</v>
      </c>
      <c r="D105" s="142" t="s">
        <v>1545</v>
      </c>
      <c r="E105" s="143" t="s">
        <v>3198</v>
      </c>
      <c r="F105" s="143" t="s">
        <v>3199</v>
      </c>
      <c r="G105" s="142" t="s">
        <v>4595</v>
      </c>
      <c r="H105" s="143" t="s">
        <v>3711</v>
      </c>
    </row>
    <row r="106" spans="1:8" ht="42" customHeight="1">
      <c r="A106" s="140"/>
      <c r="B106" s="141"/>
      <c r="C106" s="141"/>
      <c r="D106" s="142" t="s">
        <v>1546</v>
      </c>
      <c r="E106" s="143" t="s">
        <v>3200</v>
      </c>
      <c r="F106" s="143" t="s">
        <v>3201</v>
      </c>
      <c r="G106" s="142" t="s">
        <v>4595</v>
      </c>
      <c r="H106" s="143" t="s">
        <v>3711</v>
      </c>
    </row>
    <row r="107" spans="1:8" ht="42">
      <c r="A107" s="140"/>
      <c r="B107" s="141"/>
      <c r="C107" s="141"/>
      <c r="D107" s="142" t="s">
        <v>1548</v>
      </c>
      <c r="E107" s="143" t="s">
        <v>3204</v>
      </c>
      <c r="F107" s="143" t="s">
        <v>3205</v>
      </c>
      <c r="G107" s="142" t="s">
        <v>4595</v>
      </c>
      <c r="H107" s="143" t="s">
        <v>3711</v>
      </c>
    </row>
    <row r="108" spans="1:8" ht="84">
      <c r="A108" s="140"/>
      <c r="B108" s="141"/>
      <c r="C108" s="141"/>
      <c r="D108" s="142" t="s">
        <v>3744</v>
      </c>
      <c r="E108" s="143" t="s">
        <v>3743</v>
      </c>
      <c r="F108" s="143" t="s">
        <v>3745</v>
      </c>
      <c r="G108" s="142" t="s">
        <v>4595</v>
      </c>
      <c r="H108" s="143" t="s">
        <v>3711</v>
      </c>
    </row>
    <row r="109" spans="1:8" ht="84">
      <c r="A109" s="142" t="s">
        <v>4621</v>
      </c>
      <c r="B109" s="143" t="s">
        <v>4622</v>
      </c>
      <c r="C109" s="143" t="s">
        <v>3373</v>
      </c>
      <c r="D109" s="142" t="s">
        <v>3744</v>
      </c>
      <c r="E109" s="143" t="s">
        <v>3743</v>
      </c>
      <c r="F109" s="143" t="s">
        <v>3745</v>
      </c>
      <c r="G109" s="142" t="s">
        <v>4533</v>
      </c>
      <c r="H109" s="143" t="s">
        <v>3536</v>
      </c>
    </row>
    <row r="110" spans="1:8" ht="42">
      <c r="A110" s="140" t="s">
        <v>75</v>
      </c>
      <c r="B110" s="141" t="s">
        <v>76</v>
      </c>
      <c r="C110" s="141" t="s">
        <v>3374</v>
      </c>
      <c r="D110" s="142" t="s">
        <v>1533</v>
      </c>
      <c r="E110" s="143" t="s">
        <v>1616</v>
      </c>
      <c r="F110" s="143" t="s">
        <v>3190</v>
      </c>
      <c r="G110" s="142" t="s">
        <v>4533</v>
      </c>
      <c r="H110" s="143" t="s">
        <v>3536</v>
      </c>
    </row>
    <row r="111" spans="1:8" ht="42">
      <c r="A111" s="140"/>
      <c r="B111" s="141"/>
      <c r="C111" s="141"/>
      <c r="D111" s="142" t="s">
        <v>1534</v>
      </c>
      <c r="E111" s="143" t="s">
        <v>1617</v>
      </c>
      <c r="F111" s="143" t="s">
        <v>3191</v>
      </c>
      <c r="G111" s="142" t="s">
        <v>4533</v>
      </c>
      <c r="H111" s="143" t="s">
        <v>3536</v>
      </c>
    </row>
    <row r="112" spans="1:8" ht="42">
      <c r="A112" s="140" t="s">
        <v>4624</v>
      </c>
      <c r="B112" s="141" t="s">
        <v>4626</v>
      </c>
      <c r="C112" s="141" t="s">
        <v>3375</v>
      </c>
      <c r="D112" s="142" t="s">
        <v>1528</v>
      </c>
      <c r="E112" s="143" t="s">
        <v>3161</v>
      </c>
      <c r="F112" s="143" t="s">
        <v>3187</v>
      </c>
      <c r="G112" s="142" t="s">
        <v>4533</v>
      </c>
      <c r="H112" s="143" t="s">
        <v>3536</v>
      </c>
    </row>
    <row r="113" spans="1:8" ht="21">
      <c r="A113" s="140"/>
      <c r="B113" s="141"/>
      <c r="C113" s="141"/>
      <c r="D113" s="142" t="s">
        <v>1529</v>
      </c>
      <c r="E113" s="143" t="s">
        <v>3162</v>
      </c>
      <c r="F113" s="143" t="s">
        <v>3188</v>
      </c>
      <c r="G113" s="142" t="s">
        <v>4533</v>
      </c>
      <c r="H113" s="143" t="s">
        <v>3536</v>
      </c>
    </row>
    <row r="114" spans="1:8" ht="42">
      <c r="A114" s="140"/>
      <c r="B114" s="141"/>
      <c r="C114" s="141"/>
      <c r="D114" s="142" t="s">
        <v>1530</v>
      </c>
      <c r="E114" s="143" t="s">
        <v>2143</v>
      </c>
      <c r="F114" s="143" t="s">
        <v>2327</v>
      </c>
      <c r="G114" s="142" t="s">
        <v>4533</v>
      </c>
      <c r="H114" s="143" t="s">
        <v>3536</v>
      </c>
    </row>
    <row r="115" spans="1:8" ht="42">
      <c r="A115" s="140"/>
      <c r="B115" s="141"/>
      <c r="C115" s="141"/>
      <c r="D115" s="142" t="s">
        <v>1531</v>
      </c>
      <c r="E115" s="143" t="s">
        <v>3163</v>
      </c>
      <c r="F115" s="143" t="s">
        <v>3189</v>
      </c>
      <c r="G115" s="142" t="s">
        <v>4533</v>
      </c>
      <c r="H115" s="143" t="s">
        <v>3536</v>
      </c>
    </row>
    <row r="116" spans="1:8" ht="42">
      <c r="A116" s="142" t="s">
        <v>4627</v>
      </c>
      <c r="B116" s="143" t="s">
        <v>4629</v>
      </c>
      <c r="C116" s="143" t="s">
        <v>3375</v>
      </c>
      <c r="D116" s="142" t="s">
        <v>1528</v>
      </c>
      <c r="E116" s="143" t="s">
        <v>3161</v>
      </c>
      <c r="F116" s="143" t="s">
        <v>3187</v>
      </c>
      <c r="G116" s="142" t="s">
        <v>4557</v>
      </c>
      <c r="H116" s="143" t="s">
        <v>3713</v>
      </c>
    </row>
    <row r="117" spans="1:8" ht="84">
      <c r="A117" s="142" t="s">
        <v>81</v>
      </c>
      <c r="B117" s="143" t="s">
        <v>82</v>
      </c>
      <c r="C117" s="143" t="s">
        <v>3376</v>
      </c>
      <c r="D117" s="142" t="s">
        <v>1506</v>
      </c>
      <c r="E117" s="143" t="s">
        <v>2094</v>
      </c>
      <c r="F117" s="143" t="s">
        <v>3733</v>
      </c>
      <c r="G117" s="142" t="s">
        <v>4540</v>
      </c>
      <c r="H117" s="143" t="s">
        <v>4543</v>
      </c>
    </row>
    <row r="118" spans="1:8" ht="21">
      <c r="A118" s="142" t="s">
        <v>73</v>
      </c>
      <c r="B118" s="143" t="s">
        <v>74</v>
      </c>
      <c r="C118" s="143" t="s">
        <v>3378</v>
      </c>
      <c r="D118" s="142" t="s">
        <v>1543</v>
      </c>
      <c r="E118" s="143" t="s">
        <v>3194</v>
      </c>
      <c r="F118" s="143" t="s">
        <v>3195</v>
      </c>
      <c r="G118" s="142" t="s">
        <v>4595</v>
      </c>
      <c r="H118" s="143" t="s">
        <v>3711</v>
      </c>
    </row>
    <row r="119" spans="1:8" ht="84" customHeight="1">
      <c r="A119" s="140" t="s">
        <v>4630</v>
      </c>
      <c r="B119" s="141" t="s">
        <v>4632</v>
      </c>
      <c r="C119" s="141" t="s">
        <v>4633</v>
      </c>
      <c r="D119" s="142" t="s">
        <v>1535</v>
      </c>
      <c r="E119" s="143" t="s">
        <v>3164</v>
      </c>
      <c r="F119" s="143" t="s">
        <v>3192</v>
      </c>
      <c r="G119" s="142" t="s">
        <v>4533</v>
      </c>
      <c r="H119" s="143" t="s">
        <v>3536</v>
      </c>
    </row>
    <row r="120" spans="1:8" ht="84" customHeight="1">
      <c r="A120" s="140"/>
      <c r="B120" s="141"/>
      <c r="C120" s="141"/>
      <c r="D120" s="142" t="s">
        <v>1536</v>
      </c>
      <c r="E120" s="143" t="s">
        <v>3165</v>
      </c>
      <c r="F120" s="143" t="s">
        <v>3193</v>
      </c>
      <c r="G120" s="142" t="s">
        <v>4533</v>
      </c>
      <c r="H120" s="143" t="s">
        <v>3536</v>
      </c>
    </row>
    <row r="121" spans="1:8" ht="84">
      <c r="A121" s="142" t="s">
        <v>4634</v>
      </c>
      <c r="B121" s="143" t="s">
        <v>4636</v>
      </c>
      <c r="C121" s="143" t="s">
        <v>4633</v>
      </c>
      <c r="D121" s="142" t="s">
        <v>3744</v>
      </c>
      <c r="E121" s="143" t="s">
        <v>3743</v>
      </c>
      <c r="F121" s="143" t="s">
        <v>3745</v>
      </c>
      <c r="G121" s="142" t="s">
        <v>4595</v>
      </c>
      <c r="H121" s="143" t="s">
        <v>3711</v>
      </c>
    </row>
    <row r="122" spans="1:8" ht="42">
      <c r="A122" s="142" t="s">
        <v>77</v>
      </c>
      <c r="B122" s="143" t="s">
        <v>78</v>
      </c>
      <c r="C122" s="143" t="s">
        <v>3380</v>
      </c>
      <c r="D122" s="142" t="s">
        <v>1532</v>
      </c>
      <c r="E122" s="143" t="s">
        <v>2145</v>
      </c>
      <c r="F122" s="143" t="s">
        <v>2328</v>
      </c>
      <c r="G122" s="142" t="s">
        <v>946</v>
      </c>
      <c r="H122" s="143" t="s">
        <v>3323</v>
      </c>
    </row>
    <row r="123" spans="1:8" ht="21">
      <c r="A123" s="142" t="s">
        <v>79</v>
      </c>
      <c r="B123" s="143" t="s">
        <v>80</v>
      </c>
      <c r="C123" s="143" t="s">
        <v>3382</v>
      </c>
      <c r="D123" s="142" t="s">
        <v>1554</v>
      </c>
      <c r="E123" s="143" t="s">
        <v>1625</v>
      </c>
      <c r="F123" s="143" t="s">
        <v>3216</v>
      </c>
      <c r="G123" s="142" t="s">
        <v>4595</v>
      </c>
      <c r="H123" s="143" t="s">
        <v>3711</v>
      </c>
    </row>
    <row r="124" spans="1:8" ht="21">
      <c r="A124" s="142" t="s">
        <v>85</v>
      </c>
      <c r="B124" s="143" t="s">
        <v>86</v>
      </c>
      <c r="C124" s="143" t="s">
        <v>3384</v>
      </c>
      <c r="D124" s="142" t="s">
        <v>1562</v>
      </c>
      <c r="E124" s="143" t="s">
        <v>3208</v>
      </c>
      <c r="F124" s="143" t="s">
        <v>3209</v>
      </c>
      <c r="G124" s="142" t="s">
        <v>4595</v>
      </c>
      <c r="H124" s="143" t="s">
        <v>3711</v>
      </c>
    </row>
    <row r="125" spans="1:8" ht="21">
      <c r="A125" s="142" t="s">
        <v>87</v>
      </c>
      <c r="B125" s="143" t="s">
        <v>88</v>
      </c>
      <c r="C125" s="143" t="s">
        <v>3385</v>
      </c>
      <c r="D125" s="142" t="s">
        <v>1549</v>
      </c>
      <c r="E125" s="143" t="s">
        <v>1622</v>
      </c>
      <c r="F125" s="143" t="s">
        <v>3182</v>
      </c>
      <c r="G125" s="142" t="s">
        <v>4540</v>
      </c>
      <c r="H125" s="143" t="s">
        <v>3711</v>
      </c>
    </row>
    <row r="126" spans="1:8" ht="63" customHeight="1">
      <c r="A126" s="140" t="s">
        <v>4637</v>
      </c>
      <c r="B126" s="141" t="s">
        <v>4639</v>
      </c>
      <c r="C126" s="141" t="s">
        <v>3386</v>
      </c>
      <c r="D126" s="142" t="s">
        <v>1589</v>
      </c>
      <c r="E126" s="143" t="s">
        <v>1642</v>
      </c>
      <c r="F126" s="143" t="s">
        <v>2329</v>
      </c>
      <c r="G126" s="142" t="s">
        <v>4533</v>
      </c>
      <c r="H126" s="143" t="s">
        <v>3536</v>
      </c>
    </row>
    <row r="127" spans="1:8" ht="63" customHeight="1">
      <c r="A127" s="140"/>
      <c r="B127" s="141"/>
      <c r="C127" s="141"/>
      <c r="D127" s="142" t="s">
        <v>2307</v>
      </c>
      <c r="E127" s="143" t="s">
        <v>2179</v>
      </c>
      <c r="F127" s="143" t="s">
        <v>2344</v>
      </c>
      <c r="G127" s="142" t="s">
        <v>4533</v>
      </c>
      <c r="H127" s="143" t="s">
        <v>3536</v>
      </c>
    </row>
    <row r="128" spans="1:8" ht="42">
      <c r="A128" s="142" t="s">
        <v>4640</v>
      </c>
      <c r="B128" s="143" t="s">
        <v>4642</v>
      </c>
      <c r="C128" s="143" t="s">
        <v>3386</v>
      </c>
      <c r="D128" s="142" t="s">
        <v>2307</v>
      </c>
      <c r="E128" s="143" t="s">
        <v>2179</v>
      </c>
      <c r="F128" s="143" t="s">
        <v>2344</v>
      </c>
      <c r="G128" s="142" t="s">
        <v>4595</v>
      </c>
      <c r="H128" s="143" t="s">
        <v>3711</v>
      </c>
    </row>
    <row r="129" spans="1:8" ht="21">
      <c r="A129" s="142" t="s">
        <v>83</v>
      </c>
      <c r="B129" s="143" t="s">
        <v>84</v>
      </c>
      <c r="C129" s="143" t="s">
        <v>3387</v>
      </c>
      <c r="D129" s="142" t="s">
        <v>1550</v>
      </c>
      <c r="E129" s="143" t="s">
        <v>3206</v>
      </c>
      <c r="F129" s="143" t="s">
        <v>3207</v>
      </c>
      <c r="G129" s="142" t="s">
        <v>4595</v>
      </c>
      <c r="H129" s="143" t="s">
        <v>3711</v>
      </c>
    </row>
    <row r="130" spans="1:8" ht="84">
      <c r="A130" s="142" t="s">
        <v>4331</v>
      </c>
      <c r="B130" s="143" t="s">
        <v>4644</v>
      </c>
      <c r="C130" s="143" t="s">
        <v>4645</v>
      </c>
      <c r="D130" s="142" t="s">
        <v>1582</v>
      </c>
      <c r="E130" s="143" t="s">
        <v>1636</v>
      </c>
      <c r="F130" s="143" t="s">
        <v>3739</v>
      </c>
      <c r="G130" s="142" t="s">
        <v>4533</v>
      </c>
      <c r="H130" s="143" t="s">
        <v>3536</v>
      </c>
    </row>
    <row r="131" spans="1:8" ht="21">
      <c r="A131" s="142" t="s">
        <v>89</v>
      </c>
      <c r="B131" s="143" t="s">
        <v>3388</v>
      </c>
      <c r="C131" s="143" t="s">
        <v>3389</v>
      </c>
      <c r="D131" s="142" t="s">
        <v>1543</v>
      </c>
      <c r="E131" s="143" t="s">
        <v>3194</v>
      </c>
      <c r="F131" s="143" t="s">
        <v>3195</v>
      </c>
      <c r="G131" s="142" t="s">
        <v>4595</v>
      </c>
      <c r="H131" s="143" t="s">
        <v>3711</v>
      </c>
    </row>
    <row r="132" spans="1:8" ht="21">
      <c r="A132" s="140" t="s">
        <v>90</v>
      </c>
      <c r="B132" s="141" t="s">
        <v>91</v>
      </c>
      <c r="C132" s="141" t="s">
        <v>3391</v>
      </c>
      <c r="D132" s="142" t="s">
        <v>1556</v>
      </c>
      <c r="E132" s="143" t="s">
        <v>1652</v>
      </c>
      <c r="F132" s="143" t="s">
        <v>3211</v>
      </c>
      <c r="G132" s="142" t="s">
        <v>4533</v>
      </c>
      <c r="H132" s="143" t="s">
        <v>3536</v>
      </c>
    </row>
    <row r="133" spans="1:8" ht="42">
      <c r="A133" s="140"/>
      <c r="B133" s="141"/>
      <c r="C133" s="141"/>
      <c r="D133" s="142" t="s">
        <v>2227</v>
      </c>
      <c r="E133" s="143" t="s">
        <v>2108</v>
      </c>
      <c r="F133" s="143" t="s">
        <v>2331</v>
      </c>
      <c r="G133" s="142" t="s">
        <v>4533</v>
      </c>
      <c r="H133" s="143" t="s">
        <v>3536</v>
      </c>
    </row>
    <row r="134" spans="1:8" ht="21">
      <c r="A134" s="140" t="s">
        <v>92</v>
      </c>
      <c r="B134" s="141" t="s">
        <v>3393</v>
      </c>
      <c r="C134" s="141" t="s">
        <v>3394</v>
      </c>
      <c r="D134" s="142" t="s">
        <v>1558</v>
      </c>
      <c r="E134" s="143" t="s">
        <v>3166</v>
      </c>
      <c r="F134" s="143" t="s">
        <v>3213</v>
      </c>
      <c r="G134" s="142" t="s">
        <v>4533</v>
      </c>
      <c r="H134" s="143" t="s">
        <v>3536</v>
      </c>
    </row>
    <row r="135" spans="1:8" ht="42">
      <c r="A135" s="140"/>
      <c r="B135" s="141"/>
      <c r="C135" s="141"/>
      <c r="D135" s="142" t="s">
        <v>1559</v>
      </c>
      <c r="E135" s="143" t="s">
        <v>1627</v>
      </c>
      <c r="F135" s="143" t="s">
        <v>2332</v>
      </c>
      <c r="G135" s="142" t="s">
        <v>4533</v>
      </c>
      <c r="H135" s="143" t="s">
        <v>3536</v>
      </c>
    </row>
    <row r="136" spans="1:8" ht="42">
      <c r="A136" s="142" t="s">
        <v>93</v>
      </c>
      <c r="B136" s="143" t="s">
        <v>94</v>
      </c>
      <c r="C136" s="143" t="s">
        <v>3395</v>
      </c>
      <c r="D136" s="142" t="s">
        <v>2299</v>
      </c>
      <c r="E136" s="143" t="s">
        <v>2171</v>
      </c>
      <c r="F136" s="143" t="s">
        <v>3742</v>
      </c>
      <c r="G136" s="142" t="s">
        <v>4533</v>
      </c>
      <c r="H136" s="143" t="s">
        <v>3536</v>
      </c>
    </row>
    <row r="137" spans="1:8" ht="21">
      <c r="A137" s="142" t="s">
        <v>95</v>
      </c>
      <c r="B137" s="143" t="s">
        <v>96</v>
      </c>
      <c r="C137" s="143" t="s">
        <v>3396</v>
      </c>
      <c r="D137" s="142" t="s">
        <v>1554</v>
      </c>
      <c r="E137" s="143" t="s">
        <v>1625</v>
      </c>
      <c r="F137" s="143" t="s">
        <v>3216</v>
      </c>
      <c r="G137" s="142" t="s">
        <v>4595</v>
      </c>
      <c r="H137" s="143" t="s">
        <v>3711</v>
      </c>
    </row>
    <row r="138" spans="1:8" ht="21">
      <c r="A138" s="140" t="s">
        <v>101</v>
      </c>
      <c r="B138" s="141" t="s">
        <v>102</v>
      </c>
      <c r="C138" s="141" t="s">
        <v>3397</v>
      </c>
      <c r="D138" s="142" t="s">
        <v>1553</v>
      </c>
      <c r="E138" s="143" t="s">
        <v>1624</v>
      </c>
      <c r="F138" s="143" t="s">
        <v>3215</v>
      </c>
      <c r="G138" s="142" t="s">
        <v>4595</v>
      </c>
      <c r="H138" s="143" t="s">
        <v>3711</v>
      </c>
    </row>
    <row r="139" spans="1:8" ht="21">
      <c r="A139" s="140"/>
      <c r="B139" s="141"/>
      <c r="C139" s="141"/>
      <c r="D139" s="142" t="s">
        <v>1554</v>
      </c>
      <c r="E139" s="143" t="s">
        <v>1625</v>
      </c>
      <c r="F139" s="143" t="s">
        <v>3216</v>
      </c>
      <c r="G139" s="142" t="s">
        <v>4595</v>
      </c>
      <c r="H139" s="143" t="s">
        <v>3711</v>
      </c>
    </row>
    <row r="140" spans="1:8" ht="63">
      <c r="A140" s="142" t="s">
        <v>4647</v>
      </c>
      <c r="B140" s="143" t="s">
        <v>4649</v>
      </c>
      <c r="C140" s="143" t="s">
        <v>4650</v>
      </c>
      <c r="D140" s="142" t="s">
        <v>2243</v>
      </c>
      <c r="E140" s="143" t="s">
        <v>2125</v>
      </c>
      <c r="F140" s="143" t="s">
        <v>2342</v>
      </c>
      <c r="G140" s="142" t="s">
        <v>4533</v>
      </c>
      <c r="H140" s="143" t="s">
        <v>3536</v>
      </c>
    </row>
    <row r="141" spans="1:8" ht="63">
      <c r="A141" s="142" t="s">
        <v>4651</v>
      </c>
      <c r="B141" s="143" t="s">
        <v>4654</v>
      </c>
      <c r="C141" s="143" t="s">
        <v>4650</v>
      </c>
      <c r="D141" s="142" t="s">
        <v>2243</v>
      </c>
      <c r="E141" s="143" t="s">
        <v>2125</v>
      </c>
      <c r="F141" s="143" t="s">
        <v>2342</v>
      </c>
      <c r="G141" s="142" t="s">
        <v>4652</v>
      </c>
      <c r="H141" s="143" t="s">
        <v>4655</v>
      </c>
    </row>
    <row r="142" spans="1:8" ht="42">
      <c r="A142" s="142" t="s">
        <v>99</v>
      </c>
      <c r="B142" s="143" t="s">
        <v>100</v>
      </c>
      <c r="C142" s="143" t="s">
        <v>3398</v>
      </c>
      <c r="D142" s="142" t="s">
        <v>2243</v>
      </c>
      <c r="E142" s="143" t="s">
        <v>2125</v>
      </c>
      <c r="F142" s="143" t="s">
        <v>2342</v>
      </c>
      <c r="G142" s="142" t="s">
        <v>4533</v>
      </c>
      <c r="H142" s="143" t="s">
        <v>3536</v>
      </c>
    </row>
    <row r="143" spans="1:8" ht="42">
      <c r="A143" s="140" t="s">
        <v>97</v>
      </c>
      <c r="B143" s="141" t="s">
        <v>98</v>
      </c>
      <c r="C143" s="141" t="s">
        <v>3399</v>
      </c>
      <c r="D143" s="142" t="s">
        <v>1569</v>
      </c>
      <c r="E143" s="143" t="s">
        <v>3168</v>
      </c>
      <c r="F143" s="143" t="s">
        <v>3221</v>
      </c>
      <c r="G143" s="142" t="s">
        <v>4533</v>
      </c>
      <c r="H143" s="143" t="s">
        <v>3536</v>
      </c>
    </row>
    <row r="144" spans="1:8" ht="42">
      <c r="A144" s="140"/>
      <c r="B144" s="141"/>
      <c r="C144" s="141"/>
      <c r="D144" s="142" t="s">
        <v>2216</v>
      </c>
      <c r="E144" s="143" t="s">
        <v>2097</v>
      </c>
      <c r="F144" s="143" t="s">
        <v>3230</v>
      </c>
      <c r="G144" s="142" t="s">
        <v>4533</v>
      </c>
      <c r="H144" s="143" t="s">
        <v>3536</v>
      </c>
    </row>
    <row r="145" spans="1:8" ht="42">
      <c r="A145" s="142" t="s">
        <v>103</v>
      </c>
      <c r="B145" s="143" t="s">
        <v>104</v>
      </c>
      <c r="C145" s="143" t="s">
        <v>3400</v>
      </c>
      <c r="D145" s="142" t="s">
        <v>1570</v>
      </c>
      <c r="E145" s="143" t="s">
        <v>2089</v>
      </c>
      <c r="F145" s="143" t="s">
        <v>3222</v>
      </c>
      <c r="G145" s="142" t="s">
        <v>4595</v>
      </c>
      <c r="H145" s="143" t="s">
        <v>3711</v>
      </c>
    </row>
    <row r="146" spans="1:8" ht="42">
      <c r="A146" s="142" t="s">
        <v>105</v>
      </c>
      <c r="B146" s="143" t="s">
        <v>106</v>
      </c>
      <c r="C146" s="143" t="s">
        <v>3402</v>
      </c>
      <c r="D146" s="142" t="s">
        <v>1570</v>
      </c>
      <c r="E146" s="143" t="s">
        <v>2089</v>
      </c>
      <c r="F146" s="143" t="s">
        <v>3222</v>
      </c>
      <c r="G146" s="142" t="s">
        <v>4595</v>
      </c>
      <c r="H146" s="143" t="s">
        <v>3711</v>
      </c>
    </row>
    <row r="147" spans="1:8" ht="42">
      <c r="A147" s="140" t="s">
        <v>107</v>
      </c>
      <c r="B147" s="141" t="s">
        <v>3403</v>
      </c>
      <c r="C147" s="141" t="s">
        <v>3404</v>
      </c>
      <c r="D147" s="142" t="s">
        <v>2201</v>
      </c>
      <c r="E147" s="143" t="s">
        <v>2079</v>
      </c>
      <c r="F147" s="143" t="s">
        <v>3185</v>
      </c>
      <c r="G147" s="142" t="s">
        <v>4533</v>
      </c>
      <c r="H147" s="143" t="s">
        <v>3536</v>
      </c>
    </row>
    <row r="148" spans="1:8" ht="42">
      <c r="A148" s="140"/>
      <c r="B148" s="141"/>
      <c r="C148" s="141"/>
      <c r="D148" s="142" t="s">
        <v>2282</v>
      </c>
      <c r="E148" s="143" t="s">
        <v>3160</v>
      </c>
      <c r="F148" s="143" t="s">
        <v>3186</v>
      </c>
      <c r="G148" s="142" t="s">
        <v>4533</v>
      </c>
      <c r="H148" s="143" t="s">
        <v>3536</v>
      </c>
    </row>
    <row r="149" spans="1:8" ht="42">
      <c r="A149" s="140" t="s">
        <v>108</v>
      </c>
      <c r="B149" s="141" t="s">
        <v>109</v>
      </c>
      <c r="C149" s="141" t="s">
        <v>3405</v>
      </c>
      <c r="D149" s="142" t="s">
        <v>1510</v>
      </c>
      <c r="E149" s="143" t="s">
        <v>3157</v>
      </c>
      <c r="F149" s="143" t="s">
        <v>2312</v>
      </c>
      <c r="G149" s="142" t="s">
        <v>4533</v>
      </c>
      <c r="H149" s="143" t="s">
        <v>3536</v>
      </c>
    </row>
    <row r="150" spans="1:8" ht="42">
      <c r="A150" s="140"/>
      <c r="B150" s="141"/>
      <c r="C150" s="141"/>
      <c r="D150" s="142" t="s">
        <v>2287</v>
      </c>
      <c r="E150" s="143" t="s">
        <v>3167</v>
      </c>
      <c r="F150" s="143" t="s">
        <v>3220</v>
      </c>
      <c r="G150" s="142" t="s">
        <v>4533</v>
      </c>
      <c r="H150" s="143" t="s">
        <v>3536</v>
      </c>
    </row>
    <row r="151" spans="1:8" ht="42">
      <c r="A151" s="142" t="s">
        <v>110</v>
      </c>
      <c r="B151" s="143" t="s">
        <v>3406</v>
      </c>
      <c r="C151" s="143" t="s">
        <v>3407</v>
      </c>
      <c r="D151" s="142" t="s">
        <v>2299</v>
      </c>
      <c r="E151" s="143" t="s">
        <v>2171</v>
      </c>
      <c r="F151" s="143" t="s">
        <v>3742</v>
      </c>
      <c r="G151" s="142" t="s">
        <v>4533</v>
      </c>
      <c r="H151" s="143" t="s">
        <v>3536</v>
      </c>
    </row>
    <row r="152" spans="1:8" ht="42">
      <c r="A152" s="140" t="s">
        <v>111</v>
      </c>
      <c r="B152" s="141" t="s">
        <v>3408</v>
      </c>
      <c r="C152" s="141" t="s">
        <v>3409</v>
      </c>
      <c r="D152" s="142" t="s">
        <v>2287</v>
      </c>
      <c r="E152" s="143" t="s">
        <v>3167</v>
      </c>
      <c r="F152" s="143" t="s">
        <v>3220</v>
      </c>
      <c r="G152" s="142" t="s">
        <v>4533</v>
      </c>
      <c r="H152" s="143" t="s">
        <v>3536</v>
      </c>
    </row>
    <row r="153" spans="1:8" ht="42">
      <c r="A153" s="140"/>
      <c r="B153" s="141"/>
      <c r="C153" s="141"/>
      <c r="D153" s="142" t="s">
        <v>2299</v>
      </c>
      <c r="E153" s="143" t="s">
        <v>2171</v>
      </c>
      <c r="F153" s="143" t="s">
        <v>3742</v>
      </c>
      <c r="G153" s="142" t="s">
        <v>4533</v>
      </c>
      <c r="H153" s="143" t="s">
        <v>3536</v>
      </c>
    </row>
    <row r="154" spans="1:8" ht="42">
      <c r="A154" s="140"/>
      <c r="B154" s="141"/>
      <c r="C154" s="141"/>
      <c r="D154" s="142" t="s">
        <v>1585</v>
      </c>
      <c r="E154" s="143" t="s">
        <v>1639</v>
      </c>
      <c r="F154" s="143" t="s">
        <v>3227</v>
      </c>
      <c r="G154" s="142" t="s">
        <v>4533</v>
      </c>
      <c r="H154" s="143" t="s">
        <v>3536</v>
      </c>
    </row>
    <row r="155" spans="1:8" ht="42">
      <c r="A155" s="140" t="s">
        <v>112</v>
      </c>
      <c r="B155" s="141" t="s">
        <v>113</v>
      </c>
      <c r="C155" s="141" t="s">
        <v>3410</v>
      </c>
      <c r="D155" s="142" t="s">
        <v>1511</v>
      </c>
      <c r="E155" s="143" t="s">
        <v>3158</v>
      </c>
      <c r="F155" s="143" t="s">
        <v>2313</v>
      </c>
      <c r="G155" s="142" t="s">
        <v>4533</v>
      </c>
      <c r="H155" s="143" t="s">
        <v>3536</v>
      </c>
    </row>
    <row r="156" spans="1:8" ht="42">
      <c r="A156" s="140"/>
      <c r="B156" s="141"/>
      <c r="C156" s="141"/>
      <c r="D156" s="142" t="s">
        <v>1573</v>
      </c>
      <c r="E156" s="143" t="s">
        <v>1602</v>
      </c>
      <c r="F156" s="143" t="s">
        <v>3717</v>
      </c>
      <c r="G156" s="142" t="s">
        <v>4533</v>
      </c>
      <c r="H156" s="143" t="s">
        <v>3536</v>
      </c>
    </row>
    <row r="157" spans="1:8" ht="42">
      <c r="A157" s="140"/>
      <c r="B157" s="141"/>
      <c r="C157" s="141"/>
      <c r="D157" s="142" t="s">
        <v>1575</v>
      </c>
      <c r="E157" s="143" t="s">
        <v>1632</v>
      </c>
      <c r="F157" s="143" t="s">
        <v>2340</v>
      </c>
      <c r="G157" s="142" t="s">
        <v>4533</v>
      </c>
      <c r="H157" s="143" t="s">
        <v>3536</v>
      </c>
    </row>
    <row r="158" spans="1:8" ht="42">
      <c r="A158" s="142" t="s">
        <v>117</v>
      </c>
      <c r="B158" s="143" t="s">
        <v>3411</v>
      </c>
      <c r="C158" s="143" t="s">
        <v>3412</v>
      </c>
      <c r="D158" s="142" t="s">
        <v>1576</v>
      </c>
      <c r="E158" s="143" t="s">
        <v>2156</v>
      </c>
      <c r="F158" s="143" t="s">
        <v>3224</v>
      </c>
      <c r="G158" s="142" t="s">
        <v>946</v>
      </c>
      <c r="H158" s="143" t="s">
        <v>3323</v>
      </c>
    </row>
    <row r="159" spans="1:8" ht="42">
      <c r="A159" s="140" t="s">
        <v>118</v>
      </c>
      <c r="B159" s="141" t="s">
        <v>3413</v>
      </c>
      <c r="C159" s="141" t="s">
        <v>3414</v>
      </c>
      <c r="D159" s="142" t="s">
        <v>2299</v>
      </c>
      <c r="E159" s="143" t="s">
        <v>2171</v>
      </c>
      <c r="F159" s="143" t="s">
        <v>3742</v>
      </c>
      <c r="G159" s="142" t="s">
        <v>4533</v>
      </c>
      <c r="H159" s="143" t="s">
        <v>3536</v>
      </c>
    </row>
    <row r="160" spans="1:8" ht="84">
      <c r="A160" s="140"/>
      <c r="B160" s="141"/>
      <c r="C160" s="141"/>
      <c r="D160" s="142" t="s">
        <v>3744</v>
      </c>
      <c r="E160" s="143" t="s">
        <v>3743</v>
      </c>
      <c r="F160" s="143" t="s">
        <v>3745</v>
      </c>
      <c r="G160" s="142" t="s">
        <v>4533</v>
      </c>
      <c r="H160" s="143" t="s">
        <v>3536</v>
      </c>
    </row>
    <row r="161" spans="1:8" ht="42">
      <c r="A161" s="140"/>
      <c r="B161" s="141"/>
      <c r="C161" s="141"/>
      <c r="D161" s="142" t="s">
        <v>2250</v>
      </c>
      <c r="E161" s="143" t="s">
        <v>2132</v>
      </c>
      <c r="F161" s="143" t="s">
        <v>2371</v>
      </c>
      <c r="G161" s="142" t="s">
        <v>4533</v>
      </c>
      <c r="H161" s="143" t="s">
        <v>3536</v>
      </c>
    </row>
    <row r="162" spans="1:8" ht="42">
      <c r="A162" s="142" t="s">
        <v>4662</v>
      </c>
      <c r="B162" s="143" t="s">
        <v>4663</v>
      </c>
      <c r="C162" s="143" t="s">
        <v>4664</v>
      </c>
      <c r="D162" s="142" t="s">
        <v>2305</v>
      </c>
      <c r="E162" s="143" t="s">
        <v>2177</v>
      </c>
      <c r="F162" s="143" t="s">
        <v>2380</v>
      </c>
      <c r="G162" s="142" t="s">
        <v>4583</v>
      </c>
      <c r="H162" s="143" t="s">
        <v>3711</v>
      </c>
    </row>
    <row r="163" spans="1:8" ht="42">
      <c r="A163" s="140" t="s">
        <v>4665</v>
      </c>
      <c r="B163" s="141" t="s">
        <v>4666</v>
      </c>
      <c r="C163" s="141" t="s">
        <v>4664</v>
      </c>
      <c r="D163" s="142" t="s">
        <v>2287</v>
      </c>
      <c r="E163" s="143" t="s">
        <v>3167</v>
      </c>
      <c r="F163" s="143" t="s">
        <v>3220</v>
      </c>
      <c r="G163" s="142" t="s">
        <v>4533</v>
      </c>
      <c r="H163" s="143" t="s">
        <v>3536</v>
      </c>
    </row>
    <row r="164" spans="1:8" ht="42">
      <c r="A164" s="140"/>
      <c r="B164" s="141"/>
      <c r="C164" s="141"/>
      <c r="D164" s="142" t="s">
        <v>1585</v>
      </c>
      <c r="E164" s="143" t="s">
        <v>1639</v>
      </c>
      <c r="F164" s="143" t="s">
        <v>3227</v>
      </c>
      <c r="G164" s="142" t="s">
        <v>4533</v>
      </c>
      <c r="H164" s="143" t="s">
        <v>3536</v>
      </c>
    </row>
    <row r="165" spans="1:8" ht="42">
      <c r="A165" s="140"/>
      <c r="B165" s="141"/>
      <c r="C165" s="141"/>
      <c r="D165" s="142" t="s">
        <v>2305</v>
      </c>
      <c r="E165" s="143" t="s">
        <v>2177</v>
      </c>
      <c r="F165" s="143" t="s">
        <v>2380</v>
      </c>
      <c r="G165" s="142" t="s">
        <v>4533</v>
      </c>
      <c r="H165" s="143" t="s">
        <v>3536</v>
      </c>
    </row>
    <row r="166" spans="1:8" ht="42">
      <c r="A166" s="142" t="s">
        <v>114</v>
      </c>
      <c r="B166" s="143" t="s">
        <v>115</v>
      </c>
      <c r="C166" s="143" t="s">
        <v>3415</v>
      </c>
      <c r="D166" s="142" t="s">
        <v>2243</v>
      </c>
      <c r="E166" s="143" t="s">
        <v>2125</v>
      </c>
      <c r="F166" s="143" t="s">
        <v>2342</v>
      </c>
      <c r="G166" s="142" t="s">
        <v>4533</v>
      </c>
      <c r="H166" s="143" t="s">
        <v>3536</v>
      </c>
    </row>
    <row r="167" spans="1:8" ht="21">
      <c r="A167" s="142" t="s">
        <v>116</v>
      </c>
      <c r="B167" s="143" t="s">
        <v>3417</v>
      </c>
      <c r="C167" s="143" t="s">
        <v>3418</v>
      </c>
      <c r="D167" s="142" t="s">
        <v>946</v>
      </c>
      <c r="E167" s="143" t="s">
        <v>4766</v>
      </c>
      <c r="F167" s="143" t="s">
        <v>3419</v>
      </c>
      <c r="G167" s="142" t="s">
        <v>946</v>
      </c>
      <c r="H167" s="143" t="s">
        <v>3323</v>
      </c>
    </row>
    <row r="168" spans="1:8" ht="42">
      <c r="A168" s="142" t="s">
        <v>119</v>
      </c>
      <c r="B168" s="143" t="s">
        <v>3420</v>
      </c>
      <c r="C168" s="143" t="s">
        <v>3421</v>
      </c>
      <c r="D168" s="142" t="s">
        <v>2248</v>
      </c>
      <c r="E168" s="143" t="s">
        <v>2130</v>
      </c>
      <c r="F168" s="143" t="s">
        <v>2373</v>
      </c>
      <c r="G168" s="142" t="s">
        <v>4533</v>
      </c>
      <c r="H168" s="143" t="s">
        <v>3536</v>
      </c>
    </row>
    <row r="169" spans="1:8" ht="21">
      <c r="A169" s="142" t="s">
        <v>120</v>
      </c>
      <c r="B169" s="143" t="s">
        <v>3422</v>
      </c>
      <c r="C169" s="143" t="s">
        <v>3423</v>
      </c>
      <c r="D169" s="142" t="s">
        <v>2303</v>
      </c>
      <c r="E169" s="143" t="s">
        <v>2175</v>
      </c>
      <c r="F169" s="143" t="s">
        <v>2359</v>
      </c>
      <c r="G169" s="142" t="s">
        <v>4533</v>
      </c>
      <c r="H169" s="143" t="s">
        <v>3714</v>
      </c>
    </row>
    <row r="170" spans="1:8" ht="42">
      <c r="A170" s="142" t="s">
        <v>121</v>
      </c>
      <c r="B170" s="143" t="s">
        <v>3424</v>
      </c>
      <c r="C170" s="143" t="s">
        <v>3425</v>
      </c>
      <c r="D170" s="142" t="s">
        <v>2194</v>
      </c>
      <c r="E170" s="143" t="s">
        <v>3172</v>
      </c>
      <c r="F170" s="143" t="s">
        <v>3231</v>
      </c>
      <c r="G170" s="142" t="s">
        <v>4533</v>
      </c>
      <c r="H170" s="143" t="s">
        <v>3536</v>
      </c>
    </row>
    <row r="171" spans="1:8" ht="42">
      <c r="A171" s="140" t="s">
        <v>122</v>
      </c>
      <c r="B171" s="141" t="s">
        <v>3426</v>
      </c>
      <c r="C171" s="141" t="s">
        <v>3427</v>
      </c>
      <c r="D171" s="142" t="s">
        <v>2198</v>
      </c>
      <c r="E171" s="143" t="s">
        <v>2077</v>
      </c>
      <c r="F171" s="143" t="s">
        <v>3229</v>
      </c>
      <c r="G171" s="142" t="s">
        <v>4533</v>
      </c>
      <c r="H171" s="143" t="s">
        <v>3536</v>
      </c>
    </row>
    <row r="172" spans="1:8" ht="21">
      <c r="A172" s="140"/>
      <c r="B172" s="141"/>
      <c r="C172" s="141"/>
      <c r="D172" s="142" t="s">
        <v>2233</v>
      </c>
      <c r="E172" s="143" t="s">
        <v>2115</v>
      </c>
      <c r="F172" s="143" t="s">
        <v>2358</v>
      </c>
      <c r="G172" s="142" t="s">
        <v>4533</v>
      </c>
      <c r="H172" s="143" t="s">
        <v>3536</v>
      </c>
    </row>
    <row r="173" spans="1:8" ht="42">
      <c r="A173" s="142" t="s">
        <v>123</v>
      </c>
      <c r="B173" s="143" t="s">
        <v>124</v>
      </c>
      <c r="C173" s="143" t="s">
        <v>3428</v>
      </c>
      <c r="D173" s="142" t="s">
        <v>2198</v>
      </c>
      <c r="E173" s="143" t="s">
        <v>2077</v>
      </c>
      <c r="F173" s="143" t="s">
        <v>3229</v>
      </c>
      <c r="G173" s="142" t="s">
        <v>4533</v>
      </c>
      <c r="H173" s="143" t="s">
        <v>3536</v>
      </c>
    </row>
    <row r="174" spans="1:8" ht="42">
      <c r="A174" s="140" t="s">
        <v>125</v>
      </c>
      <c r="B174" s="141" t="s">
        <v>126</v>
      </c>
      <c r="C174" s="141" t="s">
        <v>3429</v>
      </c>
      <c r="D174" s="142" t="s">
        <v>2198</v>
      </c>
      <c r="E174" s="143" t="s">
        <v>2077</v>
      </c>
      <c r="F174" s="143" t="s">
        <v>3229</v>
      </c>
      <c r="G174" s="142" t="s">
        <v>4533</v>
      </c>
      <c r="H174" s="143" t="s">
        <v>3536</v>
      </c>
    </row>
    <row r="175" spans="1:8" ht="63">
      <c r="A175" s="140"/>
      <c r="B175" s="141"/>
      <c r="C175" s="141"/>
      <c r="D175" s="142" t="s">
        <v>2395</v>
      </c>
      <c r="E175" s="143" t="s">
        <v>3171</v>
      </c>
      <c r="F175" s="143" t="s">
        <v>3234</v>
      </c>
      <c r="G175" s="142" t="s">
        <v>4533</v>
      </c>
      <c r="H175" s="143" t="s">
        <v>3536</v>
      </c>
    </row>
    <row r="176" spans="1:8" ht="42">
      <c r="A176" s="142" t="s">
        <v>127</v>
      </c>
      <c r="B176" s="143" t="s">
        <v>128</v>
      </c>
      <c r="C176" s="143" t="s">
        <v>3430</v>
      </c>
      <c r="D176" s="142" t="s">
        <v>2194</v>
      </c>
      <c r="E176" s="143" t="s">
        <v>3172</v>
      </c>
      <c r="F176" s="143" t="s">
        <v>3231</v>
      </c>
      <c r="G176" s="142" t="s">
        <v>4533</v>
      </c>
      <c r="H176" s="143" t="s">
        <v>3536</v>
      </c>
    </row>
    <row r="177" spans="1:8" ht="21">
      <c r="A177" s="142" t="s">
        <v>129</v>
      </c>
      <c r="B177" s="143" t="s">
        <v>3431</v>
      </c>
      <c r="C177" s="143" t="s">
        <v>3432</v>
      </c>
      <c r="D177" s="142" t="s">
        <v>2225</v>
      </c>
      <c r="E177" s="143" t="s">
        <v>2106</v>
      </c>
      <c r="F177" s="143" t="s">
        <v>2353</v>
      </c>
      <c r="G177" s="142" t="s">
        <v>4533</v>
      </c>
      <c r="H177" s="143" t="s">
        <v>3536</v>
      </c>
    </row>
    <row r="178" spans="1:8" ht="42">
      <c r="A178" s="140" t="s">
        <v>133</v>
      </c>
      <c r="B178" s="141" t="s">
        <v>134</v>
      </c>
      <c r="C178" s="141" t="s">
        <v>3433</v>
      </c>
      <c r="D178" s="142" t="s">
        <v>1528</v>
      </c>
      <c r="E178" s="143" t="s">
        <v>3161</v>
      </c>
      <c r="F178" s="143" t="s">
        <v>3187</v>
      </c>
      <c r="G178" s="142" t="s">
        <v>4533</v>
      </c>
      <c r="H178" s="143" t="s">
        <v>3536</v>
      </c>
    </row>
    <row r="179" spans="1:8" ht="21">
      <c r="A179" s="140"/>
      <c r="B179" s="141"/>
      <c r="C179" s="141"/>
      <c r="D179" s="142" t="s">
        <v>2225</v>
      </c>
      <c r="E179" s="143" t="s">
        <v>2106</v>
      </c>
      <c r="F179" s="143" t="s">
        <v>2353</v>
      </c>
      <c r="G179" s="142" t="s">
        <v>4533</v>
      </c>
      <c r="H179" s="143" t="s">
        <v>3536</v>
      </c>
    </row>
    <row r="180" spans="1:8" ht="42">
      <c r="A180" s="140"/>
      <c r="B180" s="141"/>
      <c r="C180" s="141"/>
      <c r="D180" s="142" t="s">
        <v>2208</v>
      </c>
      <c r="E180" s="143" t="s">
        <v>2087</v>
      </c>
      <c r="F180" s="143" t="s">
        <v>2355</v>
      </c>
      <c r="G180" s="142" t="s">
        <v>4533</v>
      </c>
      <c r="H180" s="143" t="s">
        <v>3536</v>
      </c>
    </row>
    <row r="181" spans="1:8" ht="42">
      <c r="A181" s="142" t="s">
        <v>4669</v>
      </c>
      <c r="B181" s="143" t="s">
        <v>4670</v>
      </c>
      <c r="C181" s="143" t="s">
        <v>4671</v>
      </c>
      <c r="D181" s="142" t="s">
        <v>2305</v>
      </c>
      <c r="E181" s="143" t="s">
        <v>2177</v>
      </c>
      <c r="F181" s="143" t="s">
        <v>2380</v>
      </c>
      <c r="G181" s="142" t="s">
        <v>4583</v>
      </c>
      <c r="H181" s="143" t="s">
        <v>3711</v>
      </c>
    </row>
    <row r="182" spans="1:8" ht="42">
      <c r="A182" s="140" t="s">
        <v>4672</v>
      </c>
      <c r="B182" s="141" t="s">
        <v>4673</v>
      </c>
      <c r="C182" s="141" t="s">
        <v>4671</v>
      </c>
      <c r="D182" s="142" t="s">
        <v>2287</v>
      </c>
      <c r="E182" s="143" t="s">
        <v>3167</v>
      </c>
      <c r="F182" s="143" t="s">
        <v>3220</v>
      </c>
      <c r="G182" s="142" t="s">
        <v>4533</v>
      </c>
      <c r="H182" s="143" t="s">
        <v>3536</v>
      </c>
    </row>
    <row r="183" spans="1:8" ht="42">
      <c r="A183" s="140"/>
      <c r="B183" s="141"/>
      <c r="C183" s="141"/>
      <c r="D183" s="142" t="s">
        <v>1585</v>
      </c>
      <c r="E183" s="143" t="s">
        <v>1639</v>
      </c>
      <c r="F183" s="143" t="s">
        <v>3227</v>
      </c>
      <c r="G183" s="142" t="s">
        <v>4533</v>
      </c>
      <c r="H183" s="143" t="s">
        <v>3536</v>
      </c>
    </row>
    <row r="184" spans="1:8" ht="42">
      <c r="A184" s="140"/>
      <c r="B184" s="141"/>
      <c r="C184" s="141"/>
      <c r="D184" s="142" t="s">
        <v>2305</v>
      </c>
      <c r="E184" s="143" t="s">
        <v>2177</v>
      </c>
      <c r="F184" s="143" t="s">
        <v>2380</v>
      </c>
      <c r="G184" s="142" t="s">
        <v>4533</v>
      </c>
      <c r="H184" s="143" t="s">
        <v>3536</v>
      </c>
    </row>
    <row r="185" spans="1:8" ht="42">
      <c r="A185" s="140" t="s">
        <v>130</v>
      </c>
      <c r="B185" s="141" t="s">
        <v>3434</v>
      </c>
      <c r="C185" s="141" t="s">
        <v>3435</v>
      </c>
      <c r="D185" s="142" t="s">
        <v>2287</v>
      </c>
      <c r="E185" s="143" t="s">
        <v>3167</v>
      </c>
      <c r="F185" s="143" t="s">
        <v>3220</v>
      </c>
      <c r="G185" s="142" t="s">
        <v>4533</v>
      </c>
      <c r="H185" s="143" t="s">
        <v>3536</v>
      </c>
    </row>
    <row r="186" spans="1:8" ht="21">
      <c r="A186" s="140"/>
      <c r="B186" s="141"/>
      <c r="C186" s="141"/>
      <c r="D186" s="142" t="s">
        <v>2225</v>
      </c>
      <c r="E186" s="143" t="s">
        <v>2106</v>
      </c>
      <c r="F186" s="143" t="s">
        <v>2353</v>
      </c>
      <c r="G186" s="142" t="s">
        <v>4533</v>
      </c>
      <c r="H186" s="143" t="s">
        <v>3536</v>
      </c>
    </row>
    <row r="187" spans="1:8" ht="42">
      <c r="A187" s="140" t="s">
        <v>131</v>
      </c>
      <c r="B187" s="141" t="s">
        <v>3436</v>
      </c>
      <c r="C187" s="141" t="s">
        <v>3437</v>
      </c>
      <c r="D187" s="142" t="s">
        <v>2184</v>
      </c>
      <c r="E187" s="143" t="s">
        <v>2069</v>
      </c>
      <c r="F187" s="143" t="s">
        <v>2354</v>
      </c>
      <c r="G187" s="142" t="s">
        <v>4533</v>
      </c>
      <c r="H187" s="143" t="s">
        <v>3536</v>
      </c>
    </row>
    <row r="188" spans="1:8" ht="42">
      <c r="A188" s="140"/>
      <c r="B188" s="141"/>
      <c r="C188" s="141"/>
      <c r="D188" s="142" t="s">
        <v>2241</v>
      </c>
      <c r="E188" s="143" t="s">
        <v>2123</v>
      </c>
      <c r="F188" s="143" t="s">
        <v>2370</v>
      </c>
      <c r="G188" s="142" t="s">
        <v>4533</v>
      </c>
      <c r="H188" s="143" t="s">
        <v>3536</v>
      </c>
    </row>
    <row r="189" spans="1:8" ht="63">
      <c r="A189" s="142" t="s">
        <v>135</v>
      </c>
      <c r="B189" s="143" t="s">
        <v>4674</v>
      </c>
      <c r="C189" s="143" t="s">
        <v>4675</v>
      </c>
      <c r="D189" s="142" t="s">
        <v>2208</v>
      </c>
      <c r="E189" s="143" t="s">
        <v>2087</v>
      </c>
      <c r="F189" s="143" t="s">
        <v>2355</v>
      </c>
      <c r="G189" s="142" t="s">
        <v>4533</v>
      </c>
      <c r="H189" s="143" t="s">
        <v>3536</v>
      </c>
    </row>
    <row r="190" spans="1:8" ht="21">
      <c r="A190" s="140" t="s">
        <v>136</v>
      </c>
      <c r="B190" s="141" t="s">
        <v>137</v>
      </c>
      <c r="C190" s="141" t="s">
        <v>3438</v>
      </c>
      <c r="D190" s="142" t="s">
        <v>2225</v>
      </c>
      <c r="E190" s="143" t="s">
        <v>2106</v>
      </c>
      <c r="F190" s="143" t="s">
        <v>2353</v>
      </c>
      <c r="G190" s="142" t="s">
        <v>4533</v>
      </c>
      <c r="H190" s="143" t="s">
        <v>3536</v>
      </c>
    </row>
    <row r="191" spans="1:8" ht="21">
      <c r="A191" s="140"/>
      <c r="B191" s="141"/>
      <c r="C191" s="141"/>
      <c r="D191" s="142" t="s">
        <v>2220</v>
      </c>
      <c r="E191" s="143" t="s">
        <v>2101</v>
      </c>
      <c r="F191" s="143" t="s">
        <v>2356</v>
      </c>
      <c r="G191" s="142" t="s">
        <v>4533</v>
      </c>
      <c r="H191" s="143" t="s">
        <v>3536</v>
      </c>
    </row>
    <row r="192" spans="1:8" ht="63">
      <c r="A192" s="142" t="s">
        <v>132</v>
      </c>
      <c r="B192" s="143" t="s">
        <v>3439</v>
      </c>
      <c r="C192" s="143" t="s">
        <v>3440</v>
      </c>
      <c r="D192" s="142" t="s">
        <v>2395</v>
      </c>
      <c r="E192" s="143" t="s">
        <v>3171</v>
      </c>
      <c r="F192" s="143" t="s">
        <v>3234</v>
      </c>
      <c r="G192" s="142" t="s">
        <v>4533</v>
      </c>
      <c r="H192" s="143" t="s">
        <v>3714</v>
      </c>
    </row>
    <row r="193" spans="1:8" ht="42">
      <c r="A193" s="142" t="s">
        <v>138</v>
      </c>
      <c r="B193" s="143" t="s">
        <v>3441</v>
      </c>
      <c r="C193" s="143" t="s">
        <v>3442</v>
      </c>
      <c r="D193" s="142" t="s">
        <v>2184</v>
      </c>
      <c r="E193" s="143" t="s">
        <v>2069</v>
      </c>
      <c r="F193" s="143" t="s">
        <v>2354</v>
      </c>
      <c r="G193" s="142" t="s">
        <v>4533</v>
      </c>
      <c r="H193" s="143" t="s">
        <v>3536</v>
      </c>
    </row>
    <row r="194" spans="1:8" ht="21">
      <c r="A194" s="140" t="s">
        <v>139</v>
      </c>
      <c r="B194" s="141" t="s">
        <v>140</v>
      </c>
      <c r="C194" s="141" t="s">
        <v>3443</v>
      </c>
      <c r="D194" s="142" t="s">
        <v>2225</v>
      </c>
      <c r="E194" s="143" t="s">
        <v>2106</v>
      </c>
      <c r="F194" s="143" t="s">
        <v>2353</v>
      </c>
      <c r="G194" s="142" t="s">
        <v>4533</v>
      </c>
      <c r="H194" s="143" t="s">
        <v>3536</v>
      </c>
    </row>
    <row r="195" spans="1:8" ht="42">
      <c r="A195" s="140"/>
      <c r="B195" s="141"/>
      <c r="C195" s="141"/>
      <c r="D195" s="142" t="s">
        <v>2184</v>
      </c>
      <c r="E195" s="143" t="s">
        <v>2069</v>
      </c>
      <c r="F195" s="143" t="s">
        <v>2354</v>
      </c>
      <c r="G195" s="142" t="s">
        <v>4533</v>
      </c>
      <c r="H195" s="143" t="s">
        <v>3536</v>
      </c>
    </row>
    <row r="196" spans="1:8" ht="21">
      <c r="A196" s="140" t="s">
        <v>141</v>
      </c>
      <c r="B196" s="141" t="s">
        <v>3444</v>
      </c>
      <c r="C196" s="141" t="s">
        <v>3445</v>
      </c>
      <c r="D196" s="142" t="s">
        <v>1558</v>
      </c>
      <c r="E196" s="143" t="s">
        <v>3166</v>
      </c>
      <c r="F196" s="143" t="s">
        <v>3213</v>
      </c>
      <c r="G196" s="142" t="s">
        <v>4533</v>
      </c>
      <c r="H196" s="143" t="s">
        <v>3536</v>
      </c>
    </row>
    <row r="197" spans="1:8" ht="42">
      <c r="A197" s="140"/>
      <c r="B197" s="141"/>
      <c r="C197" s="141"/>
      <c r="D197" s="142" t="s">
        <v>2184</v>
      </c>
      <c r="E197" s="143" t="s">
        <v>2069</v>
      </c>
      <c r="F197" s="143" t="s">
        <v>2354</v>
      </c>
      <c r="G197" s="142" t="s">
        <v>4533</v>
      </c>
      <c r="H197" s="143" t="s">
        <v>3536</v>
      </c>
    </row>
    <row r="198" spans="1:8" ht="63">
      <c r="A198" s="142" t="s">
        <v>4676</v>
      </c>
      <c r="B198" s="143" t="s">
        <v>4678</v>
      </c>
      <c r="C198" s="143" t="s">
        <v>4679</v>
      </c>
      <c r="D198" s="142" t="s">
        <v>1558</v>
      </c>
      <c r="E198" s="143" t="s">
        <v>3166</v>
      </c>
      <c r="F198" s="143" t="s">
        <v>3213</v>
      </c>
      <c r="G198" s="142" t="s">
        <v>4533</v>
      </c>
      <c r="H198" s="143" t="s">
        <v>3714</v>
      </c>
    </row>
    <row r="199" spans="1:8" ht="63">
      <c r="A199" s="142" t="s">
        <v>4680</v>
      </c>
      <c r="B199" s="143" t="s">
        <v>4682</v>
      </c>
      <c r="C199" s="143" t="s">
        <v>4679</v>
      </c>
      <c r="D199" s="142" t="s">
        <v>1558</v>
      </c>
      <c r="E199" s="143" t="s">
        <v>3166</v>
      </c>
      <c r="F199" s="143" t="s">
        <v>3213</v>
      </c>
      <c r="G199" s="142" t="s">
        <v>4652</v>
      </c>
      <c r="H199" s="143" t="s">
        <v>4655</v>
      </c>
    </row>
    <row r="200" spans="1:8" ht="42">
      <c r="A200" s="142" t="s">
        <v>142</v>
      </c>
      <c r="B200" s="143" t="s">
        <v>143</v>
      </c>
      <c r="C200" s="143" t="s">
        <v>3446</v>
      </c>
      <c r="D200" s="142" t="s">
        <v>2198</v>
      </c>
      <c r="E200" s="143" t="s">
        <v>2077</v>
      </c>
      <c r="F200" s="143" t="s">
        <v>3229</v>
      </c>
      <c r="G200" s="142" t="s">
        <v>4533</v>
      </c>
      <c r="H200" s="143" t="s">
        <v>3536</v>
      </c>
    </row>
    <row r="201" spans="1:8" ht="42">
      <c r="A201" s="142" t="s">
        <v>144</v>
      </c>
      <c r="B201" s="143" t="s">
        <v>3447</v>
      </c>
      <c r="C201" s="143" t="s">
        <v>3448</v>
      </c>
      <c r="D201" s="142" t="s">
        <v>946</v>
      </c>
      <c r="E201" s="143" t="s">
        <v>4766</v>
      </c>
      <c r="F201" s="143" t="s">
        <v>3449</v>
      </c>
      <c r="G201" s="142" t="s">
        <v>946</v>
      </c>
      <c r="H201" s="143" t="s">
        <v>3323</v>
      </c>
    </row>
    <row r="202" spans="1:8" ht="63">
      <c r="A202" s="142" t="s">
        <v>145</v>
      </c>
      <c r="B202" s="143" t="s">
        <v>146</v>
      </c>
      <c r="C202" s="143" t="s">
        <v>3450</v>
      </c>
      <c r="D202" s="142" t="s">
        <v>2395</v>
      </c>
      <c r="E202" s="143" t="s">
        <v>3171</v>
      </c>
      <c r="F202" s="143" t="s">
        <v>3234</v>
      </c>
      <c r="G202" s="142" t="s">
        <v>4533</v>
      </c>
      <c r="H202" s="143" t="s">
        <v>3714</v>
      </c>
    </row>
    <row r="203" spans="1:8" ht="42">
      <c r="A203" s="140" t="s">
        <v>147</v>
      </c>
      <c r="B203" s="141" t="s">
        <v>148</v>
      </c>
      <c r="C203" s="141" t="s">
        <v>3451</v>
      </c>
      <c r="D203" s="142" t="s">
        <v>2196</v>
      </c>
      <c r="E203" s="143" t="s">
        <v>2075</v>
      </c>
      <c r="F203" s="143" t="s">
        <v>2350</v>
      </c>
      <c r="G203" s="142" t="s">
        <v>4533</v>
      </c>
      <c r="H203" s="143" t="s">
        <v>3536</v>
      </c>
    </row>
    <row r="204" spans="1:8" ht="42">
      <c r="A204" s="140"/>
      <c r="B204" s="141"/>
      <c r="C204" s="141"/>
      <c r="D204" s="142" t="s">
        <v>2223</v>
      </c>
      <c r="E204" s="143" t="s">
        <v>2104</v>
      </c>
      <c r="F204" s="143" t="s">
        <v>2361</v>
      </c>
      <c r="G204" s="142" t="s">
        <v>4533</v>
      </c>
      <c r="H204" s="143" t="s">
        <v>3536</v>
      </c>
    </row>
    <row r="205" spans="1:8" ht="42">
      <c r="A205" s="140" t="s">
        <v>149</v>
      </c>
      <c r="B205" s="141" t="s">
        <v>150</v>
      </c>
      <c r="C205" s="141" t="s">
        <v>3452</v>
      </c>
      <c r="D205" s="142" t="s">
        <v>2223</v>
      </c>
      <c r="E205" s="143" t="s">
        <v>2104</v>
      </c>
      <c r="F205" s="143" t="s">
        <v>2361</v>
      </c>
      <c r="G205" s="142" t="s">
        <v>4533</v>
      </c>
      <c r="H205" s="143" t="s">
        <v>3536</v>
      </c>
    </row>
    <row r="206" spans="1:8" ht="21">
      <c r="A206" s="140"/>
      <c r="B206" s="141"/>
      <c r="C206" s="141"/>
      <c r="D206" s="142" t="s">
        <v>2245</v>
      </c>
      <c r="E206" s="143" t="s">
        <v>2127</v>
      </c>
      <c r="F206" s="143" t="s">
        <v>2362</v>
      </c>
      <c r="G206" s="142" t="s">
        <v>4533</v>
      </c>
      <c r="H206" s="143" t="s">
        <v>3536</v>
      </c>
    </row>
    <row r="207" spans="1:8" ht="42">
      <c r="A207" s="140" t="s">
        <v>151</v>
      </c>
      <c r="B207" s="141" t="s">
        <v>152</v>
      </c>
      <c r="C207" s="141" t="s">
        <v>3453</v>
      </c>
      <c r="D207" s="142" t="s">
        <v>2287</v>
      </c>
      <c r="E207" s="143" t="s">
        <v>3167</v>
      </c>
      <c r="F207" s="143" t="s">
        <v>3220</v>
      </c>
      <c r="G207" s="142" t="s">
        <v>4533</v>
      </c>
      <c r="H207" s="143" t="s">
        <v>3536</v>
      </c>
    </row>
    <row r="208" spans="1:8" ht="42">
      <c r="A208" s="140"/>
      <c r="B208" s="141"/>
      <c r="C208" s="141"/>
      <c r="D208" s="142" t="s">
        <v>1585</v>
      </c>
      <c r="E208" s="143" t="s">
        <v>1639</v>
      </c>
      <c r="F208" s="143" t="s">
        <v>3227</v>
      </c>
      <c r="G208" s="142" t="s">
        <v>4533</v>
      </c>
      <c r="H208" s="143" t="s">
        <v>3536</v>
      </c>
    </row>
    <row r="209" spans="1:8" ht="42">
      <c r="A209" s="142" t="s">
        <v>157</v>
      </c>
      <c r="B209" s="143" t="s">
        <v>158</v>
      </c>
      <c r="C209" s="143" t="s">
        <v>3454</v>
      </c>
      <c r="D209" s="142" t="s">
        <v>2287</v>
      </c>
      <c r="E209" s="143" t="s">
        <v>3167</v>
      </c>
      <c r="F209" s="143" t="s">
        <v>3220</v>
      </c>
      <c r="G209" s="142" t="s">
        <v>4533</v>
      </c>
      <c r="H209" s="143" t="s">
        <v>3536</v>
      </c>
    </row>
    <row r="210" spans="1:8" ht="63">
      <c r="A210" s="142" t="s">
        <v>159</v>
      </c>
      <c r="B210" s="143" t="s">
        <v>160</v>
      </c>
      <c r="C210" s="143" t="s">
        <v>4683</v>
      </c>
      <c r="D210" s="142" t="s">
        <v>2256</v>
      </c>
      <c r="E210" s="143" t="s">
        <v>2137</v>
      </c>
      <c r="F210" s="143" t="s">
        <v>2324</v>
      </c>
      <c r="G210" s="142" t="s">
        <v>4533</v>
      </c>
      <c r="H210" s="143" t="s">
        <v>3536</v>
      </c>
    </row>
    <row r="211" spans="1:8" ht="42">
      <c r="A211" s="142" t="s">
        <v>161</v>
      </c>
      <c r="B211" s="143" t="s">
        <v>162</v>
      </c>
      <c r="C211" s="143" t="s">
        <v>3455</v>
      </c>
      <c r="D211" s="142" t="s">
        <v>2287</v>
      </c>
      <c r="E211" s="143" t="s">
        <v>3167</v>
      </c>
      <c r="F211" s="143" t="s">
        <v>3220</v>
      </c>
      <c r="G211" s="142" t="s">
        <v>4533</v>
      </c>
      <c r="H211" s="143" t="s">
        <v>3536</v>
      </c>
    </row>
    <row r="212" spans="1:8" ht="42">
      <c r="A212" s="142" t="s">
        <v>163</v>
      </c>
      <c r="B212" s="143" t="s">
        <v>164</v>
      </c>
      <c r="C212" s="143" t="s">
        <v>3456</v>
      </c>
      <c r="D212" s="142" t="s">
        <v>2256</v>
      </c>
      <c r="E212" s="143" t="s">
        <v>2137</v>
      </c>
      <c r="F212" s="143" t="s">
        <v>2324</v>
      </c>
      <c r="G212" s="142" t="s">
        <v>4533</v>
      </c>
      <c r="H212" s="143" t="s">
        <v>3536</v>
      </c>
    </row>
    <row r="213" spans="1:8" ht="42">
      <c r="A213" s="142" t="s">
        <v>165</v>
      </c>
      <c r="B213" s="143" t="s">
        <v>166</v>
      </c>
      <c r="C213" s="143" t="s">
        <v>4684</v>
      </c>
      <c r="D213" s="142" t="s">
        <v>1535</v>
      </c>
      <c r="E213" s="143" t="s">
        <v>3164</v>
      </c>
      <c r="F213" s="143" t="s">
        <v>3192</v>
      </c>
      <c r="G213" s="142" t="s">
        <v>4533</v>
      </c>
      <c r="H213" s="143" t="s">
        <v>3536</v>
      </c>
    </row>
    <row r="214" spans="1:8" ht="84">
      <c r="A214" s="142" t="s">
        <v>153</v>
      </c>
      <c r="B214" s="143" t="s">
        <v>154</v>
      </c>
      <c r="C214" s="143" t="s">
        <v>3457</v>
      </c>
      <c r="D214" s="142" t="s">
        <v>1506</v>
      </c>
      <c r="E214" s="143" t="s">
        <v>2094</v>
      </c>
      <c r="F214" s="143" t="s">
        <v>3733</v>
      </c>
      <c r="G214" s="142" t="s">
        <v>4540</v>
      </c>
      <c r="H214" s="143" t="s">
        <v>4543</v>
      </c>
    </row>
    <row r="215" spans="1:8" ht="42">
      <c r="A215" s="140" t="s">
        <v>169</v>
      </c>
      <c r="B215" s="141" t="s">
        <v>170</v>
      </c>
      <c r="C215" s="141" t="s">
        <v>3458</v>
      </c>
      <c r="D215" s="142" t="s">
        <v>1507</v>
      </c>
      <c r="E215" s="143" t="s">
        <v>3155</v>
      </c>
      <c r="F215" s="143" t="s">
        <v>3175</v>
      </c>
      <c r="G215" s="142" t="s">
        <v>4533</v>
      </c>
      <c r="H215" s="143" t="s">
        <v>3536</v>
      </c>
    </row>
    <row r="216" spans="1:8" ht="42">
      <c r="A216" s="140"/>
      <c r="B216" s="141"/>
      <c r="C216" s="141"/>
      <c r="D216" s="142" t="s">
        <v>1524</v>
      </c>
      <c r="E216" s="143" t="s">
        <v>3159</v>
      </c>
      <c r="F216" s="143" t="s">
        <v>2322</v>
      </c>
      <c r="G216" s="142" t="s">
        <v>4533</v>
      </c>
      <c r="H216" s="143" t="s">
        <v>3536</v>
      </c>
    </row>
    <row r="217" spans="1:8" ht="42">
      <c r="A217" s="140"/>
      <c r="B217" s="141"/>
      <c r="C217" s="141"/>
      <c r="D217" s="142" t="s">
        <v>2282</v>
      </c>
      <c r="E217" s="143" t="s">
        <v>3160</v>
      </c>
      <c r="F217" s="143" t="s">
        <v>3186</v>
      </c>
      <c r="G217" s="142" t="s">
        <v>4533</v>
      </c>
      <c r="H217" s="143" t="s">
        <v>3536</v>
      </c>
    </row>
    <row r="218" spans="1:8" ht="42">
      <c r="A218" s="140"/>
      <c r="B218" s="141"/>
      <c r="C218" s="141"/>
      <c r="D218" s="142" t="s">
        <v>2192</v>
      </c>
      <c r="E218" s="143" t="s">
        <v>2073</v>
      </c>
      <c r="F218" s="143" t="s">
        <v>2360</v>
      </c>
      <c r="G218" s="142" t="s">
        <v>4533</v>
      </c>
      <c r="H218" s="143" t="s">
        <v>3536</v>
      </c>
    </row>
    <row r="219" spans="1:8" ht="42">
      <c r="A219" s="140" t="s">
        <v>4685</v>
      </c>
      <c r="B219" s="141" t="s">
        <v>4687</v>
      </c>
      <c r="C219" s="141" t="s">
        <v>3460</v>
      </c>
      <c r="D219" s="142" t="s">
        <v>2196</v>
      </c>
      <c r="E219" s="143" t="s">
        <v>2075</v>
      </c>
      <c r="F219" s="143" t="s">
        <v>2350</v>
      </c>
      <c r="G219" s="142" t="s">
        <v>4652</v>
      </c>
      <c r="H219" s="143" t="s">
        <v>4655</v>
      </c>
    </row>
    <row r="220" spans="1:8" ht="42">
      <c r="A220" s="140"/>
      <c r="B220" s="141"/>
      <c r="C220" s="141"/>
      <c r="D220" s="142" t="s">
        <v>2192</v>
      </c>
      <c r="E220" s="143" t="s">
        <v>2073</v>
      </c>
      <c r="F220" s="143" t="s">
        <v>2360</v>
      </c>
      <c r="G220" s="142" t="s">
        <v>4652</v>
      </c>
      <c r="H220" s="143" t="s">
        <v>4655</v>
      </c>
    </row>
    <row r="221" spans="1:8" ht="42">
      <c r="A221" s="140" t="s">
        <v>4688</v>
      </c>
      <c r="B221" s="141" t="s">
        <v>4690</v>
      </c>
      <c r="C221" s="141" t="s">
        <v>3460</v>
      </c>
      <c r="D221" s="142" t="s">
        <v>2196</v>
      </c>
      <c r="E221" s="143" t="s">
        <v>2075</v>
      </c>
      <c r="F221" s="143" t="s">
        <v>2350</v>
      </c>
      <c r="G221" s="142" t="s">
        <v>4533</v>
      </c>
      <c r="H221" s="143" t="s">
        <v>3714</v>
      </c>
    </row>
    <row r="222" spans="1:8" ht="42">
      <c r="A222" s="140"/>
      <c r="B222" s="141"/>
      <c r="C222" s="141"/>
      <c r="D222" s="142" t="s">
        <v>2205</v>
      </c>
      <c r="E222" s="143" t="s">
        <v>2083</v>
      </c>
      <c r="F222" s="143" t="s">
        <v>2352</v>
      </c>
      <c r="G222" s="142" t="s">
        <v>4533</v>
      </c>
      <c r="H222" s="143" t="s">
        <v>3714</v>
      </c>
    </row>
    <row r="223" spans="1:8" ht="42">
      <c r="A223" s="140"/>
      <c r="B223" s="141"/>
      <c r="C223" s="141"/>
      <c r="D223" s="142" t="s">
        <v>2192</v>
      </c>
      <c r="E223" s="143" t="s">
        <v>2073</v>
      </c>
      <c r="F223" s="143" t="s">
        <v>2360</v>
      </c>
      <c r="G223" s="142" t="s">
        <v>4533</v>
      </c>
      <c r="H223" s="143" t="s">
        <v>3714</v>
      </c>
    </row>
    <row r="224" spans="1:8" ht="42">
      <c r="A224" s="140" t="s">
        <v>4693</v>
      </c>
      <c r="B224" s="141" t="s">
        <v>4694</v>
      </c>
      <c r="C224" s="141" t="s">
        <v>3461</v>
      </c>
      <c r="D224" s="142" t="s">
        <v>2196</v>
      </c>
      <c r="E224" s="143" t="s">
        <v>2075</v>
      </c>
      <c r="F224" s="143" t="s">
        <v>2350</v>
      </c>
      <c r="G224" s="142" t="s">
        <v>4652</v>
      </c>
      <c r="H224" s="143" t="s">
        <v>4655</v>
      </c>
    </row>
    <row r="225" spans="1:8" ht="42">
      <c r="A225" s="140"/>
      <c r="B225" s="141"/>
      <c r="C225" s="141"/>
      <c r="D225" s="142" t="s">
        <v>2192</v>
      </c>
      <c r="E225" s="143" t="s">
        <v>2073</v>
      </c>
      <c r="F225" s="143" t="s">
        <v>2360</v>
      </c>
      <c r="G225" s="142" t="s">
        <v>4652</v>
      </c>
      <c r="H225" s="143" t="s">
        <v>4655</v>
      </c>
    </row>
    <row r="226" spans="1:8" ht="42">
      <c r="A226" s="140" t="s">
        <v>4695</v>
      </c>
      <c r="B226" s="141" t="s">
        <v>4696</v>
      </c>
      <c r="C226" s="141" t="s">
        <v>3461</v>
      </c>
      <c r="D226" s="142" t="s">
        <v>2205</v>
      </c>
      <c r="E226" s="143" t="s">
        <v>2083</v>
      </c>
      <c r="F226" s="143" t="s">
        <v>2352</v>
      </c>
      <c r="G226" s="142" t="s">
        <v>4533</v>
      </c>
      <c r="H226" s="143" t="s">
        <v>3714</v>
      </c>
    </row>
    <row r="227" spans="1:8" ht="42">
      <c r="A227" s="140"/>
      <c r="B227" s="141"/>
      <c r="C227" s="141"/>
      <c r="D227" s="142" t="s">
        <v>2192</v>
      </c>
      <c r="E227" s="143" t="s">
        <v>2073</v>
      </c>
      <c r="F227" s="143" t="s">
        <v>2360</v>
      </c>
      <c r="G227" s="142" t="s">
        <v>4533</v>
      </c>
      <c r="H227" s="143" t="s">
        <v>3714</v>
      </c>
    </row>
    <row r="228" spans="1:8" ht="42">
      <c r="A228" s="142" t="s">
        <v>172</v>
      </c>
      <c r="B228" s="143" t="s">
        <v>173</v>
      </c>
      <c r="C228" s="143" t="s">
        <v>3462</v>
      </c>
      <c r="D228" s="142" t="s">
        <v>2192</v>
      </c>
      <c r="E228" s="143" t="s">
        <v>2073</v>
      </c>
      <c r="F228" s="143" t="s">
        <v>2360</v>
      </c>
      <c r="G228" s="142" t="s">
        <v>4533</v>
      </c>
      <c r="H228" s="143" t="s">
        <v>3536</v>
      </c>
    </row>
    <row r="229" spans="1:8" ht="42">
      <c r="A229" s="142" t="s">
        <v>174</v>
      </c>
      <c r="B229" s="143" t="s">
        <v>175</v>
      </c>
      <c r="C229" s="143" t="s">
        <v>3463</v>
      </c>
      <c r="D229" s="142" t="s">
        <v>2194</v>
      </c>
      <c r="E229" s="143" t="s">
        <v>3172</v>
      </c>
      <c r="F229" s="143" t="s">
        <v>3231</v>
      </c>
      <c r="G229" s="142" t="s">
        <v>4533</v>
      </c>
      <c r="H229" s="143" t="s">
        <v>3536</v>
      </c>
    </row>
    <row r="230" spans="1:8" ht="21">
      <c r="A230" s="140" t="s">
        <v>155</v>
      </c>
      <c r="B230" s="141" t="s">
        <v>156</v>
      </c>
      <c r="C230" s="141" t="s">
        <v>3464</v>
      </c>
      <c r="D230" s="142" t="s">
        <v>1586</v>
      </c>
      <c r="E230" s="143" t="s">
        <v>1640</v>
      </c>
      <c r="F230" s="143" t="s">
        <v>2345</v>
      </c>
      <c r="G230" s="142" t="s">
        <v>4533</v>
      </c>
      <c r="H230" s="143" t="s">
        <v>3536</v>
      </c>
    </row>
    <row r="231" spans="1:8" ht="42">
      <c r="A231" s="140"/>
      <c r="B231" s="141"/>
      <c r="C231" s="141"/>
      <c r="D231" s="142" t="s">
        <v>2223</v>
      </c>
      <c r="E231" s="143" t="s">
        <v>2104</v>
      </c>
      <c r="F231" s="143" t="s">
        <v>2361</v>
      </c>
      <c r="G231" s="142" t="s">
        <v>4533</v>
      </c>
      <c r="H231" s="143" t="s">
        <v>3536</v>
      </c>
    </row>
    <row r="232" spans="1:8" ht="42">
      <c r="A232" s="142" t="s">
        <v>176</v>
      </c>
      <c r="B232" s="143" t="s">
        <v>177</v>
      </c>
      <c r="C232" s="143" t="s">
        <v>3465</v>
      </c>
      <c r="D232" s="142" t="s">
        <v>2196</v>
      </c>
      <c r="E232" s="143" t="s">
        <v>2075</v>
      </c>
      <c r="F232" s="143" t="s">
        <v>2350</v>
      </c>
      <c r="G232" s="142" t="s">
        <v>4533</v>
      </c>
      <c r="H232" s="143" t="s">
        <v>3536</v>
      </c>
    </row>
    <row r="233" spans="1:8" ht="42">
      <c r="A233" s="140" t="s">
        <v>178</v>
      </c>
      <c r="B233" s="141" t="s">
        <v>179</v>
      </c>
      <c r="C233" s="141" t="s">
        <v>3466</v>
      </c>
      <c r="D233" s="142" t="s">
        <v>2196</v>
      </c>
      <c r="E233" s="143" t="s">
        <v>2075</v>
      </c>
      <c r="F233" s="143" t="s">
        <v>2350</v>
      </c>
      <c r="G233" s="142" t="s">
        <v>4533</v>
      </c>
      <c r="H233" s="143" t="s">
        <v>3536</v>
      </c>
    </row>
    <row r="234" spans="1:8" ht="21">
      <c r="A234" s="140"/>
      <c r="B234" s="141"/>
      <c r="C234" s="141"/>
      <c r="D234" s="142" t="s">
        <v>2231</v>
      </c>
      <c r="E234" s="143" t="s">
        <v>2112</v>
      </c>
      <c r="F234" s="143" t="s">
        <v>2366</v>
      </c>
      <c r="G234" s="142" t="s">
        <v>4533</v>
      </c>
      <c r="H234" s="143" t="s">
        <v>3536</v>
      </c>
    </row>
    <row r="235" spans="1:8" ht="42">
      <c r="A235" s="140" t="s">
        <v>180</v>
      </c>
      <c r="B235" s="141" t="s">
        <v>3467</v>
      </c>
      <c r="C235" s="141" t="s">
        <v>3468</v>
      </c>
      <c r="D235" s="142" t="s">
        <v>2205</v>
      </c>
      <c r="E235" s="143" t="s">
        <v>2083</v>
      </c>
      <c r="F235" s="143" t="s">
        <v>2352</v>
      </c>
      <c r="G235" s="142" t="s">
        <v>4533</v>
      </c>
      <c r="H235" s="143" t="s">
        <v>3536</v>
      </c>
    </row>
    <row r="236" spans="1:8" ht="42">
      <c r="A236" s="140"/>
      <c r="B236" s="141"/>
      <c r="C236" s="141"/>
      <c r="D236" s="142" t="s">
        <v>2192</v>
      </c>
      <c r="E236" s="143" t="s">
        <v>2073</v>
      </c>
      <c r="F236" s="143" t="s">
        <v>2360</v>
      </c>
      <c r="G236" s="142" t="s">
        <v>4533</v>
      </c>
      <c r="H236" s="143" t="s">
        <v>3536</v>
      </c>
    </row>
    <row r="237" spans="1:8" ht="126">
      <c r="A237" s="140" t="s">
        <v>181</v>
      </c>
      <c r="B237" s="141" t="s">
        <v>4699</v>
      </c>
      <c r="C237" s="141" t="s">
        <v>4700</v>
      </c>
      <c r="D237" s="142" t="s">
        <v>1512</v>
      </c>
      <c r="E237" s="143" t="s">
        <v>3179</v>
      </c>
      <c r="F237" s="143" t="s">
        <v>3732</v>
      </c>
      <c r="G237" s="142" t="s">
        <v>4533</v>
      </c>
      <c r="H237" s="143" t="s">
        <v>3536</v>
      </c>
    </row>
    <row r="238" spans="1:8" ht="84">
      <c r="A238" s="140"/>
      <c r="B238" s="141"/>
      <c r="C238" s="141"/>
      <c r="D238" s="142" t="s">
        <v>3744</v>
      </c>
      <c r="E238" s="143" t="s">
        <v>3743</v>
      </c>
      <c r="F238" s="143" t="s">
        <v>3745</v>
      </c>
      <c r="G238" s="142" t="s">
        <v>4533</v>
      </c>
      <c r="H238" s="143" t="s">
        <v>3536</v>
      </c>
    </row>
    <row r="239" spans="1:8" ht="63" customHeight="1">
      <c r="A239" s="140"/>
      <c r="B239" s="141"/>
      <c r="C239" s="141"/>
      <c r="D239" s="142" t="s">
        <v>2196</v>
      </c>
      <c r="E239" s="143" t="s">
        <v>2075</v>
      </c>
      <c r="F239" s="143" t="s">
        <v>2350</v>
      </c>
      <c r="G239" s="142" t="s">
        <v>4533</v>
      </c>
      <c r="H239" s="143" t="s">
        <v>3536</v>
      </c>
    </row>
    <row r="240" spans="1:8" ht="42">
      <c r="A240" s="142" t="s">
        <v>167</v>
      </c>
      <c r="B240" s="143" t="s">
        <v>168</v>
      </c>
      <c r="C240" s="143" t="s">
        <v>3469</v>
      </c>
      <c r="D240" s="142" t="s">
        <v>2256</v>
      </c>
      <c r="E240" s="143" t="s">
        <v>2137</v>
      </c>
      <c r="F240" s="143" t="s">
        <v>2324</v>
      </c>
      <c r="G240" s="142" t="s">
        <v>4533</v>
      </c>
      <c r="H240" s="143" t="s">
        <v>3536</v>
      </c>
    </row>
    <row r="241" spans="1:8" ht="42">
      <c r="A241" s="142" t="s">
        <v>171</v>
      </c>
      <c r="B241" s="143" t="s">
        <v>4704</v>
      </c>
      <c r="C241" s="143" t="s">
        <v>4705</v>
      </c>
      <c r="D241" s="142" t="s">
        <v>1525</v>
      </c>
      <c r="E241" s="143" t="s">
        <v>1650</v>
      </c>
      <c r="F241" s="143" t="s">
        <v>2323</v>
      </c>
      <c r="G241" s="142" t="s">
        <v>4540</v>
      </c>
      <c r="H241" s="143" t="s">
        <v>4545</v>
      </c>
    </row>
    <row r="242" spans="1:8" ht="42" customHeight="1">
      <c r="A242" s="140" t="s">
        <v>4414</v>
      </c>
      <c r="B242" s="141" t="s">
        <v>3747</v>
      </c>
      <c r="C242" s="141" t="s">
        <v>4707</v>
      </c>
      <c r="D242" s="142" t="s">
        <v>2231</v>
      </c>
      <c r="E242" s="143" t="s">
        <v>2112</v>
      </c>
      <c r="F242" s="143" t="s">
        <v>2366</v>
      </c>
      <c r="G242" s="142" t="s">
        <v>4533</v>
      </c>
      <c r="H242" s="143" t="s">
        <v>3536</v>
      </c>
    </row>
    <row r="243" spans="1:8" ht="63">
      <c r="A243" s="140"/>
      <c r="B243" s="141"/>
      <c r="C243" s="141"/>
      <c r="D243" s="142" t="s">
        <v>3748</v>
      </c>
      <c r="E243" s="143" t="s">
        <v>3747</v>
      </c>
      <c r="F243" s="143" t="s">
        <v>3749</v>
      </c>
      <c r="G243" s="142" t="s">
        <v>4533</v>
      </c>
      <c r="H243" s="143" t="s">
        <v>3536</v>
      </c>
    </row>
    <row r="244" spans="1:8" ht="42">
      <c r="A244" s="140"/>
      <c r="B244" s="141"/>
      <c r="C244" s="141"/>
      <c r="D244" s="142" t="s">
        <v>2820</v>
      </c>
      <c r="E244" s="143" t="s">
        <v>2819</v>
      </c>
      <c r="F244" s="143" t="s">
        <v>2821</v>
      </c>
      <c r="G244" s="142" t="s">
        <v>4533</v>
      </c>
      <c r="H244" s="143" t="s">
        <v>3536</v>
      </c>
    </row>
    <row r="245" spans="1:8" ht="42">
      <c r="A245" s="142" t="s">
        <v>4712</v>
      </c>
      <c r="B245" s="143" t="s">
        <v>4714</v>
      </c>
      <c r="C245" s="143" t="s">
        <v>4715</v>
      </c>
      <c r="D245" s="142" t="s">
        <v>2194</v>
      </c>
      <c r="E245" s="143" t="s">
        <v>3172</v>
      </c>
      <c r="F245" s="143" t="s">
        <v>3231</v>
      </c>
      <c r="G245" s="142" t="s">
        <v>4533</v>
      </c>
      <c r="H245" s="143" t="s">
        <v>3536</v>
      </c>
    </row>
    <row r="246" spans="1:8" ht="42">
      <c r="A246" s="142" t="s">
        <v>4453</v>
      </c>
      <c r="B246" s="143" t="s">
        <v>1634</v>
      </c>
      <c r="C246" s="143" t="s">
        <v>4720</v>
      </c>
      <c r="D246" s="142" t="s">
        <v>1578</v>
      </c>
      <c r="E246" s="143" t="s">
        <v>1634</v>
      </c>
      <c r="F246" s="143" t="s">
        <v>2348</v>
      </c>
      <c r="G246" s="142" t="s">
        <v>4533</v>
      </c>
      <c r="H246" s="143" t="s">
        <v>3536</v>
      </c>
    </row>
    <row r="247" spans="1:8" ht="21">
      <c r="A247" s="140" t="s">
        <v>182</v>
      </c>
      <c r="B247" s="141" t="s">
        <v>183</v>
      </c>
      <c r="C247" s="141" t="s">
        <v>3470</v>
      </c>
      <c r="D247" s="142" t="s">
        <v>2203</v>
      </c>
      <c r="E247" s="143" t="s">
        <v>2081</v>
      </c>
      <c r="F247" s="143" t="s">
        <v>2357</v>
      </c>
      <c r="G247" s="142" t="s">
        <v>4533</v>
      </c>
      <c r="H247" s="143" t="s">
        <v>3536</v>
      </c>
    </row>
    <row r="248" spans="1:8" ht="21">
      <c r="A248" s="140"/>
      <c r="B248" s="141"/>
      <c r="C248" s="141"/>
      <c r="D248" s="142" t="s">
        <v>2303</v>
      </c>
      <c r="E248" s="143" t="s">
        <v>2175</v>
      </c>
      <c r="F248" s="143" t="s">
        <v>2359</v>
      </c>
      <c r="G248" s="142" t="s">
        <v>4533</v>
      </c>
      <c r="H248" s="143" t="s">
        <v>3536</v>
      </c>
    </row>
    <row r="249" spans="1:8" ht="21">
      <c r="A249" s="140" t="s">
        <v>184</v>
      </c>
      <c r="B249" s="141" t="s">
        <v>185</v>
      </c>
      <c r="C249" s="141" t="s">
        <v>3471</v>
      </c>
      <c r="D249" s="142" t="s">
        <v>2203</v>
      </c>
      <c r="E249" s="143" t="s">
        <v>2081</v>
      </c>
      <c r="F249" s="143" t="s">
        <v>2357</v>
      </c>
      <c r="G249" s="142" t="s">
        <v>4533</v>
      </c>
      <c r="H249" s="143" t="s">
        <v>3536</v>
      </c>
    </row>
    <row r="250" spans="1:8" ht="21">
      <c r="A250" s="140"/>
      <c r="B250" s="141"/>
      <c r="C250" s="141"/>
      <c r="D250" s="142" t="s">
        <v>2303</v>
      </c>
      <c r="E250" s="143" t="s">
        <v>2175</v>
      </c>
      <c r="F250" s="143" t="s">
        <v>2359</v>
      </c>
      <c r="G250" s="142" t="s">
        <v>4533</v>
      </c>
      <c r="H250" s="143" t="s">
        <v>3536</v>
      </c>
    </row>
    <row r="251" spans="1:8" ht="63">
      <c r="A251" s="142" t="s">
        <v>186</v>
      </c>
      <c r="B251" s="143" t="s">
        <v>187</v>
      </c>
      <c r="C251" s="143" t="s">
        <v>4722</v>
      </c>
      <c r="D251" s="142" t="s">
        <v>2203</v>
      </c>
      <c r="E251" s="143" t="s">
        <v>2081</v>
      </c>
      <c r="F251" s="143" t="s">
        <v>2357</v>
      </c>
      <c r="G251" s="142" t="s">
        <v>4533</v>
      </c>
      <c r="H251" s="143" t="s">
        <v>3536</v>
      </c>
    </row>
    <row r="252" spans="1:8" ht="21">
      <c r="A252" s="142" t="s">
        <v>188</v>
      </c>
      <c r="B252" s="143" t="s">
        <v>189</v>
      </c>
      <c r="C252" s="143" t="s">
        <v>3472</v>
      </c>
      <c r="D252" s="142" t="s">
        <v>2233</v>
      </c>
      <c r="E252" s="143" t="s">
        <v>2115</v>
      </c>
      <c r="F252" s="143" t="s">
        <v>2358</v>
      </c>
      <c r="G252" s="142" t="s">
        <v>4533</v>
      </c>
      <c r="H252" s="143" t="s">
        <v>3536</v>
      </c>
    </row>
    <row r="253" spans="1:8" ht="21">
      <c r="A253" s="142" t="s">
        <v>190</v>
      </c>
      <c r="B253" s="143" t="s">
        <v>191</v>
      </c>
      <c r="C253" s="143" t="s">
        <v>3473</v>
      </c>
      <c r="D253" s="142" t="s">
        <v>2233</v>
      </c>
      <c r="E253" s="143" t="s">
        <v>2115</v>
      </c>
      <c r="F253" s="143" t="s">
        <v>2358</v>
      </c>
      <c r="G253" s="142" t="s">
        <v>4533</v>
      </c>
      <c r="H253" s="143" t="s">
        <v>3536</v>
      </c>
    </row>
    <row r="254" spans="1:8" ht="21">
      <c r="A254" s="142" t="s">
        <v>192</v>
      </c>
      <c r="B254" s="143" t="s">
        <v>193</v>
      </c>
      <c r="C254" s="143" t="s">
        <v>3474</v>
      </c>
      <c r="D254" s="142" t="s">
        <v>2203</v>
      </c>
      <c r="E254" s="143" t="s">
        <v>2081</v>
      </c>
      <c r="F254" s="143" t="s">
        <v>2357</v>
      </c>
      <c r="G254" s="142" t="s">
        <v>4533</v>
      </c>
      <c r="H254" s="143" t="s">
        <v>3536</v>
      </c>
    </row>
    <row r="255" spans="1:8" ht="21">
      <c r="A255" s="142" t="s">
        <v>194</v>
      </c>
      <c r="B255" s="143" t="s">
        <v>3475</v>
      </c>
      <c r="C255" s="143" t="s">
        <v>3476</v>
      </c>
      <c r="D255" s="142" t="s">
        <v>2203</v>
      </c>
      <c r="E255" s="143" t="s">
        <v>2081</v>
      </c>
      <c r="F255" s="143" t="s">
        <v>2357</v>
      </c>
      <c r="G255" s="142" t="s">
        <v>4533</v>
      </c>
      <c r="H255" s="143" t="s">
        <v>3536</v>
      </c>
    </row>
    <row r="256" spans="1:8" ht="42">
      <c r="A256" s="142" t="s">
        <v>195</v>
      </c>
      <c r="B256" s="143" t="s">
        <v>3477</v>
      </c>
      <c r="C256" s="143" t="s">
        <v>3478</v>
      </c>
      <c r="D256" s="142" t="s">
        <v>2203</v>
      </c>
      <c r="E256" s="143" t="s">
        <v>2081</v>
      </c>
      <c r="F256" s="143" t="s">
        <v>2357</v>
      </c>
      <c r="G256" s="142" t="s">
        <v>946</v>
      </c>
      <c r="H256" s="143" t="s">
        <v>4724</v>
      </c>
    </row>
    <row r="257" spans="1:8" ht="21">
      <c r="A257" s="142" t="s">
        <v>196</v>
      </c>
      <c r="B257" s="143" t="s">
        <v>197</v>
      </c>
      <c r="C257" s="143" t="s">
        <v>3479</v>
      </c>
      <c r="D257" s="142" t="s">
        <v>2293</v>
      </c>
      <c r="E257" s="143" t="s">
        <v>2165</v>
      </c>
      <c r="F257" s="143" t="s">
        <v>2363</v>
      </c>
      <c r="G257" s="142" t="s">
        <v>4533</v>
      </c>
      <c r="H257" s="143" t="s">
        <v>3536</v>
      </c>
    </row>
    <row r="258" spans="1:8" ht="42">
      <c r="A258" s="140" t="s">
        <v>198</v>
      </c>
      <c r="B258" s="141" t="s">
        <v>199</v>
      </c>
      <c r="C258" s="141" t="s">
        <v>3480</v>
      </c>
      <c r="D258" s="142" t="s">
        <v>1580</v>
      </c>
      <c r="E258" s="143" t="s">
        <v>1635</v>
      </c>
      <c r="F258" s="143" t="s">
        <v>3214</v>
      </c>
      <c r="G258" s="142" t="s">
        <v>4533</v>
      </c>
      <c r="H258" s="143" t="s">
        <v>3536</v>
      </c>
    </row>
    <row r="259" spans="1:8" ht="21">
      <c r="A259" s="140"/>
      <c r="B259" s="141"/>
      <c r="C259" s="141"/>
      <c r="D259" s="142" t="s">
        <v>1587</v>
      </c>
      <c r="E259" s="143" t="s">
        <v>1641</v>
      </c>
      <c r="F259" s="143" t="s">
        <v>2346</v>
      </c>
      <c r="G259" s="142" t="s">
        <v>4533</v>
      </c>
      <c r="H259" s="143" t="s">
        <v>3536</v>
      </c>
    </row>
    <row r="260" spans="1:8" ht="21">
      <c r="A260" s="140"/>
      <c r="B260" s="141"/>
      <c r="C260" s="141"/>
      <c r="D260" s="142" t="s">
        <v>2293</v>
      </c>
      <c r="E260" s="143" t="s">
        <v>2165</v>
      </c>
      <c r="F260" s="143" t="s">
        <v>2363</v>
      </c>
      <c r="G260" s="142" t="s">
        <v>4533</v>
      </c>
      <c r="H260" s="143" t="s">
        <v>3536</v>
      </c>
    </row>
    <row r="261" spans="1:8" ht="42">
      <c r="A261" s="142" t="s">
        <v>4725</v>
      </c>
      <c r="B261" s="143" t="s">
        <v>4726</v>
      </c>
      <c r="C261" s="143" t="s">
        <v>3481</v>
      </c>
      <c r="D261" s="142" t="s">
        <v>2243</v>
      </c>
      <c r="E261" s="143" t="s">
        <v>2125</v>
      </c>
      <c r="F261" s="143" t="s">
        <v>2342</v>
      </c>
      <c r="G261" s="142" t="s">
        <v>4533</v>
      </c>
      <c r="H261" s="143" t="s">
        <v>3536</v>
      </c>
    </row>
    <row r="262" spans="1:8" ht="42">
      <c r="A262" s="142" t="s">
        <v>4727</v>
      </c>
      <c r="B262" s="143" t="s">
        <v>4729</v>
      </c>
      <c r="C262" s="143" t="s">
        <v>3481</v>
      </c>
      <c r="D262" s="142" t="s">
        <v>2243</v>
      </c>
      <c r="E262" s="143" t="s">
        <v>2125</v>
      </c>
      <c r="F262" s="143" t="s">
        <v>2342</v>
      </c>
      <c r="G262" s="142" t="s">
        <v>4652</v>
      </c>
      <c r="H262" s="143" t="s">
        <v>4655</v>
      </c>
    </row>
    <row r="263" spans="1:8" ht="42">
      <c r="A263" s="142" t="s">
        <v>4730</v>
      </c>
      <c r="B263" s="143" t="s">
        <v>4731</v>
      </c>
      <c r="C263" s="143" t="s">
        <v>3482</v>
      </c>
      <c r="D263" s="142" t="s">
        <v>2243</v>
      </c>
      <c r="E263" s="143" t="s">
        <v>2125</v>
      </c>
      <c r="F263" s="143" t="s">
        <v>2342</v>
      </c>
      <c r="G263" s="142" t="s">
        <v>4533</v>
      </c>
      <c r="H263" s="143" t="s">
        <v>3536</v>
      </c>
    </row>
    <row r="264" spans="1:8" ht="42">
      <c r="A264" s="142" t="s">
        <v>4732</v>
      </c>
      <c r="B264" s="143" t="s">
        <v>4734</v>
      </c>
      <c r="C264" s="143" t="s">
        <v>3482</v>
      </c>
      <c r="D264" s="142" t="s">
        <v>2243</v>
      </c>
      <c r="E264" s="143" t="s">
        <v>2125</v>
      </c>
      <c r="F264" s="143" t="s">
        <v>2342</v>
      </c>
      <c r="G264" s="142" t="s">
        <v>4652</v>
      </c>
      <c r="H264" s="143" t="s">
        <v>4655</v>
      </c>
    </row>
    <row r="265" spans="1:8" ht="42">
      <c r="A265" s="142" t="s">
        <v>200</v>
      </c>
      <c r="B265" s="143" t="s">
        <v>201</v>
      </c>
      <c r="C265" s="143" t="s">
        <v>3483</v>
      </c>
      <c r="D265" s="142" t="s">
        <v>2194</v>
      </c>
      <c r="E265" s="143" t="s">
        <v>3172</v>
      </c>
      <c r="F265" s="143" t="s">
        <v>3231</v>
      </c>
      <c r="G265" s="142" t="s">
        <v>4533</v>
      </c>
      <c r="H265" s="143" t="s">
        <v>3536</v>
      </c>
    </row>
    <row r="266" spans="1:8" ht="42">
      <c r="A266" s="142" t="s">
        <v>202</v>
      </c>
      <c r="B266" s="143" t="s">
        <v>3484</v>
      </c>
      <c r="C266" s="143" t="s">
        <v>3485</v>
      </c>
      <c r="D266" s="142" t="s">
        <v>2194</v>
      </c>
      <c r="E266" s="143" t="s">
        <v>3172</v>
      </c>
      <c r="F266" s="143" t="s">
        <v>3231</v>
      </c>
      <c r="G266" s="142" t="s">
        <v>4533</v>
      </c>
      <c r="H266" s="143" t="s">
        <v>3536</v>
      </c>
    </row>
    <row r="267" spans="1:8" ht="42">
      <c r="A267" s="142" t="s">
        <v>203</v>
      </c>
      <c r="B267" s="143" t="s">
        <v>3486</v>
      </c>
      <c r="C267" s="143" t="s">
        <v>3487</v>
      </c>
      <c r="D267" s="142" t="s">
        <v>2820</v>
      </c>
      <c r="E267" s="143" t="s">
        <v>2819</v>
      </c>
      <c r="F267" s="143" t="s">
        <v>2821</v>
      </c>
      <c r="G267" s="142" t="s">
        <v>4533</v>
      </c>
      <c r="H267" s="143" t="s">
        <v>3714</v>
      </c>
    </row>
    <row r="268" spans="1:8" ht="21">
      <c r="A268" s="140" t="s">
        <v>206</v>
      </c>
      <c r="B268" s="141" t="s">
        <v>3488</v>
      </c>
      <c r="C268" s="141" t="s">
        <v>3489</v>
      </c>
      <c r="D268" s="142" t="s">
        <v>2235</v>
      </c>
      <c r="E268" s="143" t="s">
        <v>2117</v>
      </c>
      <c r="F268" s="143" t="s">
        <v>2364</v>
      </c>
      <c r="G268" s="142" t="s">
        <v>4533</v>
      </c>
      <c r="H268" s="143" t="s">
        <v>3714</v>
      </c>
    </row>
    <row r="269" spans="1:8" ht="42">
      <c r="A269" s="140"/>
      <c r="B269" s="141"/>
      <c r="C269" s="141"/>
      <c r="D269" s="142" t="s">
        <v>2229</v>
      </c>
      <c r="E269" s="143" t="s">
        <v>2110</v>
      </c>
      <c r="F269" s="143" t="s">
        <v>2365</v>
      </c>
      <c r="G269" s="142" t="s">
        <v>4533</v>
      </c>
      <c r="H269" s="143" t="s">
        <v>3714</v>
      </c>
    </row>
    <row r="270" spans="1:8" ht="42">
      <c r="A270" s="140"/>
      <c r="B270" s="141"/>
      <c r="C270" s="141"/>
      <c r="D270" s="142" t="s">
        <v>2820</v>
      </c>
      <c r="E270" s="143" t="s">
        <v>2819</v>
      </c>
      <c r="F270" s="143" t="s">
        <v>2821</v>
      </c>
      <c r="G270" s="142" t="s">
        <v>4533</v>
      </c>
      <c r="H270" s="143" t="s">
        <v>3714</v>
      </c>
    </row>
    <row r="271" spans="1:8" ht="42">
      <c r="A271" s="142" t="s">
        <v>207</v>
      </c>
      <c r="B271" s="143" t="s">
        <v>208</v>
      </c>
      <c r="C271" s="143" t="s">
        <v>3490</v>
      </c>
      <c r="D271" s="142" t="s">
        <v>2826</v>
      </c>
      <c r="E271" s="143" t="s">
        <v>2825</v>
      </c>
      <c r="F271" s="143" t="s">
        <v>2827</v>
      </c>
      <c r="G271" s="142" t="s">
        <v>4533</v>
      </c>
      <c r="H271" s="143" t="s">
        <v>3714</v>
      </c>
    </row>
    <row r="272" spans="1:8" ht="42">
      <c r="A272" s="142" t="s">
        <v>204</v>
      </c>
      <c r="B272" s="143" t="s">
        <v>205</v>
      </c>
      <c r="C272" s="143" t="s">
        <v>3491</v>
      </c>
      <c r="D272" s="142" t="s">
        <v>2248</v>
      </c>
      <c r="E272" s="143" t="s">
        <v>2130</v>
      </c>
      <c r="F272" s="143" t="s">
        <v>2373</v>
      </c>
      <c r="G272" s="142" t="s">
        <v>4533</v>
      </c>
      <c r="H272" s="143" t="s">
        <v>3536</v>
      </c>
    </row>
    <row r="273" spans="1:8" ht="42" customHeight="1">
      <c r="A273" s="140" t="s">
        <v>4735</v>
      </c>
      <c r="B273" s="141" t="s">
        <v>4736</v>
      </c>
      <c r="C273" s="141" t="s">
        <v>4737</v>
      </c>
      <c r="D273" s="142" t="s">
        <v>1558</v>
      </c>
      <c r="E273" s="143" t="s">
        <v>3166</v>
      </c>
      <c r="F273" s="143" t="s">
        <v>3213</v>
      </c>
      <c r="G273" s="142" t="s">
        <v>4533</v>
      </c>
      <c r="H273" s="143" t="s">
        <v>3714</v>
      </c>
    </row>
    <row r="274" spans="1:8" ht="42">
      <c r="A274" s="140"/>
      <c r="B274" s="141"/>
      <c r="C274" s="141"/>
      <c r="D274" s="142" t="s">
        <v>2823</v>
      </c>
      <c r="E274" s="143" t="s">
        <v>2822</v>
      </c>
      <c r="F274" s="143" t="s">
        <v>2824</v>
      </c>
      <c r="G274" s="142" t="s">
        <v>4533</v>
      </c>
      <c r="H274" s="143" t="s">
        <v>3714</v>
      </c>
    </row>
    <row r="275" spans="1:8" ht="42" customHeight="1">
      <c r="A275" s="140" t="s">
        <v>4738</v>
      </c>
      <c r="B275" s="141" t="s">
        <v>4739</v>
      </c>
      <c r="C275" s="141" t="s">
        <v>4737</v>
      </c>
      <c r="D275" s="142" t="s">
        <v>1558</v>
      </c>
      <c r="E275" s="143" t="s">
        <v>3166</v>
      </c>
      <c r="F275" s="143" t="s">
        <v>3213</v>
      </c>
      <c r="G275" s="142" t="s">
        <v>4652</v>
      </c>
      <c r="H275" s="143" t="s">
        <v>4655</v>
      </c>
    </row>
    <row r="276" spans="1:8" ht="42">
      <c r="A276" s="140"/>
      <c r="B276" s="141"/>
      <c r="C276" s="141"/>
      <c r="D276" s="142" t="s">
        <v>2823</v>
      </c>
      <c r="E276" s="143" t="s">
        <v>2822</v>
      </c>
      <c r="F276" s="143" t="s">
        <v>2824</v>
      </c>
      <c r="G276" s="142" t="s">
        <v>4652</v>
      </c>
      <c r="H276" s="143" t="s">
        <v>4655</v>
      </c>
    </row>
    <row r="277" spans="1:8" ht="84">
      <c r="A277" s="142" t="s">
        <v>4196</v>
      </c>
      <c r="B277" s="143" t="s">
        <v>4741</v>
      </c>
      <c r="C277" s="143" t="s">
        <v>4742</v>
      </c>
      <c r="D277" s="142" t="s">
        <v>3735</v>
      </c>
      <c r="E277" s="143" t="s">
        <v>3734</v>
      </c>
      <c r="F277" s="143" t="s">
        <v>3736</v>
      </c>
      <c r="G277" s="142" t="s">
        <v>4533</v>
      </c>
      <c r="H277" s="143" t="s">
        <v>3536</v>
      </c>
    </row>
    <row r="278" spans="1:8" ht="42" customHeight="1">
      <c r="A278" s="140" t="s">
        <v>4226</v>
      </c>
      <c r="B278" s="141" t="s">
        <v>4745</v>
      </c>
      <c r="C278" s="141" t="s">
        <v>4746</v>
      </c>
      <c r="D278" s="142" t="s">
        <v>2295</v>
      </c>
      <c r="E278" s="143" t="s">
        <v>2167</v>
      </c>
      <c r="F278" s="143" t="s">
        <v>2351</v>
      </c>
      <c r="G278" s="142" t="s">
        <v>4533</v>
      </c>
      <c r="H278" s="143" t="s">
        <v>3536</v>
      </c>
    </row>
    <row r="279" spans="1:8" ht="42" customHeight="1">
      <c r="A279" s="140"/>
      <c r="B279" s="141"/>
      <c r="C279" s="141"/>
      <c r="D279" s="142" t="s">
        <v>2218</v>
      </c>
      <c r="E279" s="143" t="s">
        <v>2099</v>
      </c>
      <c r="F279" s="143" t="s">
        <v>2369</v>
      </c>
      <c r="G279" s="142" t="s">
        <v>4533</v>
      </c>
      <c r="H279" s="143" t="s">
        <v>3536</v>
      </c>
    </row>
    <row r="280" spans="1:8" ht="21">
      <c r="A280" s="142" t="s">
        <v>209</v>
      </c>
      <c r="B280" s="143" t="s">
        <v>210</v>
      </c>
      <c r="C280" s="143" t="s">
        <v>3492</v>
      </c>
      <c r="D280" s="142" t="s">
        <v>2245</v>
      </c>
      <c r="E280" s="143" t="s">
        <v>2127</v>
      </c>
      <c r="F280" s="143" t="s">
        <v>2362</v>
      </c>
      <c r="G280" s="142" t="s">
        <v>4533</v>
      </c>
      <c r="H280" s="143" t="s">
        <v>3536</v>
      </c>
    </row>
    <row r="281" spans="1:8" ht="21">
      <c r="A281" s="142" t="s">
        <v>211</v>
      </c>
      <c r="B281" s="143" t="s">
        <v>212</v>
      </c>
      <c r="C281" s="143" t="s">
        <v>3493</v>
      </c>
      <c r="D281" s="142" t="s">
        <v>946</v>
      </c>
      <c r="E281" s="143" t="s">
        <v>4766</v>
      </c>
      <c r="F281" s="143" t="s">
        <v>3494</v>
      </c>
      <c r="G281" s="142" t="s">
        <v>946</v>
      </c>
      <c r="H281" s="143" t="s">
        <v>3323</v>
      </c>
    </row>
    <row r="282" spans="1:8" ht="21">
      <c r="A282" s="142" t="s">
        <v>215</v>
      </c>
      <c r="B282" s="143" t="s">
        <v>216</v>
      </c>
      <c r="C282" s="143" t="s">
        <v>3495</v>
      </c>
      <c r="D282" s="142" t="s">
        <v>946</v>
      </c>
      <c r="E282" s="143" t="s">
        <v>4766</v>
      </c>
      <c r="F282" s="143" t="s">
        <v>3496</v>
      </c>
      <c r="G282" s="142" t="s">
        <v>946</v>
      </c>
      <c r="H282" s="143" t="s">
        <v>3323</v>
      </c>
    </row>
    <row r="283" spans="1:8" ht="21">
      <c r="A283" s="142" t="s">
        <v>217</v>
      </c>
      <c r="B283" s="143" t="s">
        <v>218</v>
      </c>
      <c r="C283" s="143" t="s">
        <v>3497</v>
      </c>
      <c r="D283" s="142" t="s">
        <v>946</v>
      </c>
      <c r="E283" s="143" t="s">
        <v>4766</v>
      </c>
      <c r="F283" s="143" t="s">
        <v>2394</v>
      </c>
      <c r="G283" s="142" t="s">
        <v>946</v>
      </c>
      <c r="H283" s="143" t="s">
        <v>3323</v>
      </c>
    </row>
    <row r="284" spans="1:8" ht="21">
      <c r="A284" s="142" t="s">
        <v>219</v>
      </c>
      <c r="B284" s="143" t="s">
        <v>3498</v>
      </c>
      <c r="C284" s="143" t="s">
        <v>3499</v>
      </c>
      <c r="D284" s="142" t="s">
        <v>946</v>
      </c>
      <c r="E284" s="143" t="s">
        <v>4766</v>
      </c>
      <c r="F284" s="143" t="s">
        <v>3500</v>
      </c>
      <c r="G284" s="142" t="s">
        <v>946</v>
      </c>
      <c r="H284" s="143" t="s">
        <v>3323</v>
      </c>
    </row>
    <row r="285" spans="1:8" ht="42">
      <c r="A285" s="142" t="s">
        <v>220</v>
      </c>
      <c r="B285" s="143" t="s">
        <v>3501</v>
      </c>
      <c r="C285" s="143" t="s">
        <v>3502</v>
      </c>
      <c r="D285" s="142" t="s">
        <v>946</v>
      </c>
      <c r="E285" s="143" t="s">
        <v>4766</v>
      </c>
      <c r="F285" s="143" t="s">
        <v>3503</v>
      </c>
      <c r="G285" s="142" t="s">
        <v>946</v>
      </c>
      <c r="H285" s="143" t="s">
        <v>3323</v>
      </c>
    </row>
    <row r="286" spans="1:8" ht="42">
      <c r="A286" s="140" t="s">
        <v>4750</v>
      </c>
      <c r="B286" s="141" t="s">
        <v>4751</v>
      </c>
      <c r="C286" s="141" t="s">
        <v>3504</v>
      </c>
      <c r="D286" s="142" t="s">
        <v>1589</v>
      </c>
      <c r="E286" s="143" t="s">
        <v>1642</v>
      </c>
      <c r="F286" s="143" t="s">
        <v>2329</v>
      </c>
      <c r="G286" s="142" t="s">
        <v>4533</v>
      </c>
      <c r="H286" s="143" t="s">
        <v>3536</v>
      </c>
    </row>
    <row r="287" spans="1:8" ht="42">
      <c r="A287" s="140"/>
      <c r="B287" s="141"/>
      <c r="C287" s="141"/>
      <c r="D287" s="142" t="s">
        <v>2243</v>
      </c>
      <c r="E287" s="143" t="s">
        <v>2125</v>
      </c>
      <c r="F287" s="143" t="s">
        <v>2342</v>
      </c>
      <c r="G287" s="142" t="s">
        <v>4533</v>
      </c>
      <c r="H287" s="143" t="s">
        <v>3536</v>
      </c>
    </row>
    <row r="288" spans="1:8" ht="42">
      <c r="A288" s="142" t="s">
        <v>4752</v>
      </c>
      <c r="B288" s="143" t="s">
        <v>4753</v>
      </c>
      <c r="C288" s="143" t="s">
        <v>3504</v>
      </c>
      <c r="D288" s="142" t="s">
        <v>2243</v>
      </c>
      <c r="E288" s="143" t="s">
        <v>2125</v>
      </c>
      <c r="F288" s="143" t="s">
        <v>2342</v>
      </c>
      <c r="G288" s="142" t="s">
        <v>4652</v>
      </c>
      <c r="H288" s="143" t="s">
        <v>4655</v>
      </c>
    </row>
    <row r="289" spans="1:8" ht="42">
      <c r="A289" s="142" t="s">
        <v>213</v>
      </c>
      <c r="B289" s="143" t="s">
        <v>214</v>
      </c>
      <c r="C289" s="143" t="s">
        <v>3505</v>
      </c>
      <c r="D289" s="142" t="s">
        <v>2239</v>
      </c>
      <c r="E289" s="143" t="s">
        <v>2121</v>
      </c>
      <c r="F289" s="143" t="s">
        <v>2349</v>
      </c>
      <c r="G289" s="142" t="s">
        <v>4533</v>
      </c>
      <c r="H289" s="143" t="s">
        <v>3536</v>
      </c>
    </row>
    <row r="290" spans="1:8" ht="63" customHeight="1">
      <c r="A290" s="140" t="s">
        <v>4754</v>
      </c>
      <c r="B290" s="141" t="s">
        <v>4756</v>
      </c>
      <c r="C290" s="141" t="s">
        <v>3506</v>
      </c>
      <c r="D290" s="142" t="s">
        <v>2227</v>
      </c>
      <c r="E290" s="143" t="s">
        <v>2108</v>
      </c>
      <c r="F290" s="143" t="s">
        <v>2331</v>
      </c>
      <c r="G290" s="142" t="s">
        <v>4533</v>
      </c>
      <c r="H290" s="143" t="s">
        <v>3536</v>
      </c>
    </row>
    <row r="291" spans="1:8" ht="63" customHeight="1">
      <c r="A291" s="140"/>
      <c r="B291" s="141"/>
      <c r="C291" s="141"/>
      <c r="D291" s="142" t="s">
        <v>2307</v>
      </c>
      <c r="E291" s="143" t="s">
        <v>2179</v>
      </c>
      <c r="F291" s="143" t="s">
        <v>2344</v>
      </c>
      <c r="G291" s="142" t="s">
        <v>4533</v>
      </c>
      <c r="H291" s="143" t="s">
        <v>3536</v>
      </c>
    </row>
    <row r="292" spans="1:8" ht="42">
      <c r="A292" s="142" t="s">
        <v>4757</v>
      </c>
      <c r="B292" s="143" t="s">
        <v>4758</v>
      </c>
      <c r="C292" s="143" t="s">
        <v>3506</v>
      </c>
      <c r="D292" s="142" t="s">
        <v>2307</v>
      </c>
      <c r="E292" s="143" t="s">
        <v>2179</v>
      </c>
      <c r="F292" s="143" t="s">
        <v>2344</v>
      </c>
      <c r="G292" s="142" t="s">
        <v>4595</v>
      </c>
      <c r="H292" s="143" t="s">
        <v>3711</v>
      </c>
    </row>
    <row r="293" spans="1:8" ht="42">
      <c r="A293" s="142" t="s">
        <v>221</v>
      </c>
      <c r="B293" s="143" t="s">
        <v>222</v>
      </c>
      <c r="C293" s="143" t="s">
        <v>3507</v>
      </c>
      <c r="D293" s="142" t="s">
        <v>2243</v>
      </c>
      <c r="E293" s="143" t="s">
        <v>2125</v>
      </c>
      <c r="F293" s="143" t="s">
        <v>2342</v>
      </c>
      <c r="G293" s="142" t="s">
        <v>4533</v>
      </c>
      <c r="H293" s="143" t="s">
        <v>3536</v>
      </c>
    </row>
    <row r="294" spans="1:8" ht="42">
      <c r="A294" s="140" t="s">
        <v>223</v>
      </c>
      <c r="B294" s="141" t="s">
        <v>3508</v>
      </c>
      <c r="C294" s="141" t="s">
        <v>3509</v>
      </c>
      <c r="D294" s="142" t="s">
        <v>1585</v>
      </c>
      <c r="E294" s="143" t="s">
        <v>1639</v>
      </c>
      <c r="F294" s="143" t="s">
        <v>3227</v>
      </c>
      <c r="G294" s="142" t="s">
        <v>4533</v>
      </c>
      <c r="H294" s="143" t="s">
        <v>3536</v>
      </c>
    </row>
    <row r="295" spans="1:8" ht="21">
      <c r="A295" s="140"/>
      <c r="B295" s="141"/>
      <c r="C295" s="141"/>
      <c r="D295" s="142" t="s">
        <v>1586</v>
      </c>
      <c r="E295" s="143" t="s">
        <v>1640</v>
      </c>
      <c r="F295" s="143" t="s">
        <v>2345</v>
      </c>
      <c r="G295" s="142" t="s">
        <v>4533</v>
      </c>
      <c r="H295" s="143" t="s">
        <v>3536</v>
      </c>
    </row>
    <row r="296" spans="1:8" ht="21">
      <c r="A296" s="140"/>
      <c r="B296" s="141"/>
      <c r="C296" s="141"/>
      <c r="D296" s="142" t="s">
        <v>1587</v>
      </c>
      <c r="E296" s="143" t="s">
        <v>1641</v>
      </c>
      <c r="F296" s="143" t="s">
        <v>2346</v>
      </c>
      <c r="G296" s="142" t="s">
        <v>4533</v>
      </c>
      <c r="H296" s="143" t="s">
        <v>3536</v>
      </c>
    </row>
    <row r="297" spans="1:8" ht="42">
      <c r="A297" s="140"/>
      <c r="B297" s="141"/>
      <c r="C297" s="141"/>
      <c r="D297" s="142" t="s">
        <v>2223</v>
      </c>
      <c r="E297" s="143" t="s">
        <v>2104</v>
      </c>
      <c r="F297" s="143" t="s">
        <v>2361</v>
      </c>
      <c r="G297" s="142" t="s">
        <v>4533</v>
      </c>
      <c r="H297" s="143" t="s">
        <v>3536</v>
      </c>
    </row>
    <row r="298" spans="1:8" ht="21">
      <c r="A298" s="142" t="s">
        <v>224</v>
      </c>
      <c r="B298" s="143" t="s">
        <v>225</v>
      </c>
      <c r="C298" s="143" t="s">
        <v>3510</v>
      </c>
      <c r="D298" s="142" t="s">
        <v>2222</v>
      </c>
      <c r="E298" s="143" t="s">
        <v>2103</v>
      </c>
      <c r="F298" s="143" t="s">
        <v>2368</v>
      </c>
      <c r="G298" s="142" t="s">
        <v>4533</v>
      </c>
      <c r="H298" s="143" t="s">
        <v>3703</v>
      </c>
    </row>
    <row r="299" spans="1:8" ht="21">
      <c r="A299" s="142" t="s">
        <v>226</v>
      </c>
      <c r="B299" s="143" t="s">
        <v>227</v>
      </c>
      <c r="C299" s="143" t="s">
        <v>3511</v>
      </c>
      <c r="D299" s="142" t="s">
        <v>2222</v>
      </c>
      <c r="E299" s="143" t="s">
        <v>2103</v>
      </c>
      <c r="F299" s="143" t="s">
        <v>2368</v>
      </c>
      <c r="G299" s="142" t="s">
        <v>4533</v>
      </c>
      <c r="H299" s="143" t="s">
        <v>3703</v>
      </c>
    </row>
    <row r="300" spans="1:8" ht="21">
      <c r="A300" s="142" t="s">
        <v>228</v>
      </c>
      <c r="B300" s="143" t="s">
        <v>3512</v>
      </c>
      <c r="C300" s="143" t="s">
        <v>3513</v>
      </c>
      <c r="D300" s="142" t="s">
        <v>2222</v>
      </c>
      <c r="E300" s="143" t="s">
        <v>2103</v>
      </c>
      <c r="F300" s="143" t="s">
        <v>2368</v>
      </c>
      <c r="G300" s="142" t="s">
        <v>4533</v>
      </c>
      <c r="H300" s="143" t="s">
        <v>3703</v>
      </c>
    </row>
    <row r="301" spans="1:8" ht="21">
      <c r="A301" s="142" t="s">
        <v>229</v>
      </c>
      <c r="B301" s="143" t="s">
        <v>3514</v>
      </c>
      <c r="C301" s="143" t="s">
        <v>3515</v>
      </c>
      <c r="D301" s="142" t="s">
        <v>2203</v>
      </c>
      <c r="E301" s="143" t="s">
        <v>2081</v>
      </c>
      <c r="F301" s="143" t="s">
        <v>2357</v>
      </c>
      <c r="G301" s="142" t="s">
        <v>4533</v>
      </c>
      <c r="H301" s="143" t="s">
        <v>3703</v>
      </c>
    </row>
    <row r="302" spans="1:8" ht="42">
      <c r="A302" s="142" t="s">
        <v>230</v>
      </c>
      <c r="B302" s="143" t="s">
        <v>231</v>
      </c>
      <c r="C302" s="143" t="s">
        <v>3516</v>
      </c>
      <c r="D302" s="142" t="s">
        <v>2826</v>
      </c>
      <c r="E302" s="143" t="s">
        <v>2825</v>
      </c>
      <c r="F302" s="143" t="s">
        <v>2827</v>
      </c>
      <c r="G302" s="142" t="s">
        <v>4533</v>
      </c>
      <c r="H302" s="143" t="s">
        <v>3703</v>
      </c>
    </row>
    <row r="303" spans="1:8" ht="42">
      <c r="A303" s="142" t="s">
        <v>232</v>
      </c>
      <c r="B303" s="143" t="s">
        <v>3517</v>
      </c>
      <c r="C303" s="143" t="s">
        <v>3518</v>
      </c>
      <c r="D303" s="142" t="s">
        <v>2194</v>
      </c>
      <c r="E303" s="143" t="s">
        <v>3172</v>
      </c>
      <c r="F303" s="143" t="s">
        <v>3231</v>
      </c>
      <c r="G303" s="142" t="s">
        <v>4533</v>
      </c>
      <c r="H303" s="143" t="s">
        <v>4759</v>
      </c>
    </row>
    <row r="304" spans="1:8" ht="21">
      <c r="A304" s="142" t="s">
        <v>233</v>
      </c>
      <c r="B304" s="143" t="s">
        <v>3519</v>
      </c>
      <c r="C304" s="143" t="s">
        <v>3520</v>
      </c>
      <c r="D304" s="142" t="s">
        <v>2222</v>
      </c>
      <c r="E304" s="143" t="s">
        <v>2103</v>
      </c>
      <c r="F304" s="143" t="s">
        <v>2368</v>
      </c>
      <c r="G304" s="142" t="s">
        <v>4533</v>
      </c>
      <c r="H304" s="143" t="s">
        <v>3703</v>
      </c>
    </row>
    <row r="305" spans="1:8" ht="21">
      <c r="A305" s="142" t="s">
        <v>234</v>
      </c>
      <c r="B305" s="143" t="s">
        <v>3521</v>
      </c>
      <c r="C305" s="143" t="s">
        <v>3522</v>
      </c>
      <c r="D305" s="142" t="s">
        <v>2222</v>
      </c>
      <c r="E305" s="143" t="s">
        <v>2103</v>
      </c>
      <c r="F305" s="143" t="s">
        <v>2368</v>
      </c>
      <c r="G305" s="142" t="s">
        <v>4533</v>
      </c>
      <c r="H305" s="143" t="s">
        <v>3703</v>
      </c>
    </row>
    <row r="306" spans="1:8" ht="21">
      <c r="A306" s="142" t="s">
        <v>235</v>
      </c>
      <c r="B306" s="143" t="s">
        <v>3523</v>
      </c>
      <c r="C306" s="143" t="s">
        <v>3524</v>
      </c>
      <c r="D306" s="142" t="s">
        <v>2222</v>
      </c>
      <c r="E306" s="143" t="s">
        <v>2103</v>
      </c>
      <c r="F306" s="143" t="s">
        <v>2368</v>
      </c>
      <c r="G306" s="142" t="s">
        <v>4533</v>
      </c>
      <c r="H306" s="143" t="s">
        <v>3703</v>
      </c>
    </row>
    <row r="307" spans="1:8" ht="42">
      <c r="A307" s="142" t="s">
        <v>236</v>
      </c>
      <c r="B307" s="143" t="s">
        <v>237</v>
      </c>
      <c r="C307" s="143" t="s">
        <v>3525</v>
      </c>
      <c r="D307" s="142" t="s">
        <v>2211</v>
      </c>
      <c r="E307" s="143" t="s">
        <v>2091</v>
      </c>
      <c r="F307" s="143" t="s">
        <v>3232</v>
      </c>
      <c r="G307" s="142" t="s">
        <v>4540</v>
      </c>
      <c r="H307" s="143" t="s">
        <v>3711</v>
      </c>
    </row>
    <row r="308" spans="1:8" ht="42">
      <c r="A308" s="142" t="s">
        <v>238</v>
      </c>
      <c r="B308" s="143" t="s">
        <v>239</v>
      </c>
      <c r="C308" s="143" t="s">
        <v>3526</v>
      </c>
      <c r="D308" s="142" t="s">
        <v>2211</v>
      </c>
      <c r="E308" s="143" t="s">
        <v>2091</v>
      </c>
      <c r="F308" s="143" t="s">
        <v>3232</v>
      </c>
      <c r="G308" s="142" t="s">
        <v>4540</v>
      </c>
      <c r="H308" s="143" t="s">
        <v>3711</v>
      </c>
    </row>
    <row r="309" spans="1:8" ht="42">
      <c r="A309" s="140" t="s">
        <v>240</v>
      </c>
      <c r="B309" s="141" t="s">
        <v>241</v>
      </c>
      <c r="C309" s="141" t="s">
        <v>3527</v>
      </c>
      <c r="D309" s="142" t="s">
        <v>1510</v>
      </c>
      <c r="E309" s="143" t="s">
        <v>3157</v>
      </c>
      <c r="F309" s="143" t="s">
        <v>2312</v>
      </c>
      <c r="G309" s="142" t="s">
        <v>4533</v>
      </c>
      <c r="H309" s="143" t="s">
        <v>3536</v>
      </c>
    </row>
    <row r="310" spans="1:8" ht="42">
      <c r="A310" s="140"/>
      <c r="B310" s="141"/>
      <c r="C310" s="141"/>
      <c r="D310" s="142" t="s">
        <v>2250</v>
      </c>
      <c r="E310" s="143" t="s">
        <v>2132</v>
      </c>
      <c r="F310" s="143" t="s">
        <v>2371</v>
      </c>
      <c r="G310" s="142" t="s">
        <v>4533</v>
      </c>
      <c r="H310" s="143" t="s">
        <v>3536</v>
      </c>
    </row>
    <row r="311" spans="1:8" ht="42">
      <c r="A311" s="142" t="s">
        <v>242</v>
      </c>
      <c r="B311" s="143" t="s">
        <v>243</v>
      </c>
      <c r="C311" s="143" t="s">
        <v>3528</v>
      </c>
      <c r="D311" s="142" t="s">
        <v>2227</v>
      </c>
      <c r="E311" s="143" t="s">
        <v>2108</v>
      </c>
      <c r="F311" s="143" t="s">
        <v>2331</v>
      </c>
      <c r="G311" s="142" t="s">
        <v>4533</v>
      </c>
      <c r="H311" s="143" t="s">
        <v>3536</v>
      </c>
    </row>
    <row r="312" spans="1:8" ht="42">
      <c r="A312" s="142" t="s">
        <v>244</v>
      </c>
      <c r="B312" s="143" t="s">
        <v>245</v>
      </c>
      <c r="C312" s="143" t="s">
        <v>3529</v>
      </c>
      <c r="D312" s="142" t="s">
        <v>2211</v>
      </c>
      <c r="E312" s="143" t="s">
        <v>2091</v>
      </c>
      <c r="F312" s="143" t="s">
        <v>3232</v>
      </c>
      <c r="G312" s="142" t="s">
        <v>4533</v>
      </c>
      <c r="H312" s="143" t="s">
        <v>3536</v>
      </c>
    </row>
    <row r="313" spans="1:8" ht="63" customHeight="1">
      <c r="A313" s="140" t="s">
        <v>4767</v>
      </c>
      <c r="B313" s="141" t="s">
        <v>4768</v>
      </c>
      <c r="C313" s="141" t="s">
        <v>4769</v>
      </c>
      <c r="D313" s="142" t="s">
        <v>2237</v>
      </c>
      <c r="E313" s="143" t="s">
        <v>2119</v>
      </c>
      <c r="F313" s="143" t="s">
        <v>2374</v>
      </c>
      <c r="G313" s="142" t="s">
        <v>4533</v>
      </c>
      <c r="H313" s="143" t="s">
        <v>3536</v>
      </c>
    </row>
    <row r="314" spans="1:8" ht="63" customHeight="1">
      <c r="A314" s="140"/>
      <c r="B314" s="141"/>
      <c r="C314" s="141"/>
      <c r="D314" s="142" t="s">
        <v>2253</v>
      </c>
      <c r="E314" s="143" t="s">
        <v>2134</v>
      </c>
      <c r="F314" s="143" t="s">
        <v>2377</v>
      </c>
      <c r="G314" s="142" t="s">
        <v>4533</v>
      </c>
      <c r="H314" s="143" t="s">
        <v>3536</v>
      </c>
    </row>
    <row r="315" spans="1:8" ht="63" customHeight="1">
      <c r="A315" s="140"/>
      <c r="B315" s="141"/>
      <c r="C315" s="141"/>
      <c r="D315" s="142" t="s">
        <v>2297</v>
      </c>
      <c r="E315" s="143" t="s">
        <v>2169</v>
      </c>
      <c r="F315" s="143" t="s">
        <v>2378</v>
      </c>
      <c r="G315" s="142" t="s">
        <v>4533</v>
      </c>
      <c r="H315" s="143" t="s">
        <v>3536</v>
      </c>
    </row>
    <row r="316" spans="1:8" ht="63" customHeight="1">
      <c r="A316" s="140"/>
      <c r="B316" s="141"/>
      <c r="C316" s="141"/>
      <c r="D316" s="142" t="s">
        <v>2301</v>
      </c>
      <c r="E316" s="143" t="s">
        <v>2173</v>
      </c>
      <c r="F316" s="143" t="s">
        <v>2381</v>
      </c>
      <c r="G316" s="142" t="s">
        <v>4533</v>
      </c>
      <c r="H316" s="143" t="s">
        <v>3536</v>
      </c>
    </row>
  </sheetData>
  <mergeCells count="231">
    <mergeCell ref="A313:A316"/>
    <mergeCell ref="B313:B316"/>
    <mergeCell ref="C313:C316"/>
    <mergeCell ref="A294:A297"/>
    <mergeCell ref="B294:B297"/>
    <mergeCell ref="C294:C297"/>
    <mergeCell ref="A309:A310"/>
    <mergeCell ref="B309:B310"/>
    <mergeCell ref="C309:C310"/>
    <mergeCell ref="A286:A287"/>
    <mergeCell ref="B286:B287"/>
    <mergeCell ref="C286:C287"/>
    <mergeCell ref="A290:A291"/>
    <mergeCell ref="B290:B291"/>
    <mergeCell ref="C290:C291"/>
    <mergeCell ref="A275:A276"/>
    <mergeCell ref="B275:B276"/>
    <mergeCell ref="C275:C276"/>
    <mergeCell ref="A278:A279"/>
    <mergeCell ref="B278:B279"/>
    <mergeCell ref="C278:C279"/>
    <mergeCell ref="A268:A270"/>
    <mergeCell ref="B268:B270"/>
    <mergeCell ref="C268:C270"/>
    <mergeCell ref="A273:A274"/>
    <mergeCell ref="B273:B274"/>
    <mergeCell ref="C273:C274"/>
    <mergeCell ref="A249:A250"/>
    <mergeCell ref="B249:B250"/>
    <mergeCell ref="C249:C250"/>
    <mergeCell ref="A258:A260"/>
    <mergeCell ref="B258:B260"/>
    <mergeCell ref="C258:C260"/>
    <mergeCell ref="A242:A244"/>
    <mergeCell ref="B242:B244"/>
    <mergeCell ref="C242:C244"/>
    <mergeCell ref="A247:A248"/>
    <mergeCell ref="B247:B248"/>
    <mergeCell ref="C247:C248"/>
    <mergeCell ref="A235:A236"/>
    <mergeCell ref="B235:B236"/>
    <mergeCell ref="C235:C236"/>
    <mergeCell ref="A237:A239"/>
    <mergeCell ref="B237:B239"/>
    <mergeCell ref="C237:C239"/>
    <mergeCell ref="A230:A231"/>
    <mergeCell ref="B230:B231"/>
    <mergeCell ref="C230:C231"/>
    <mergeCell ref="A233:A234"/>
    <mergeCell ref="B233:B234"/>
    <mergeCell ref="C233:C234"/>
    <mergeCell ref="A224:A225"/>
    <mergeCell ref="B224:B225"/>
    <mergeCell ref="C224:C225"/>
    <mergeCell ref="A226:A227"/>
    <mergeCell ref="B226:B227"/>
    <mergeCell ref="C226:C227"/>
    <mergeCell ref="A219:A220"/>
    <mergeCell ref="B219:B220"/>
    <mergeCell ref="C219:C220"/>
    <mergeCell ref="A221:A223"/>
    <mergeCell ref="B221:B223"/>
    <mergeCell ref="C221:C223"/>
    <mergeCell ref="A207:A208"/>
    <mergeCell ref="B207:B208"/>
    <mergeCell ref="C207:C208"/>
    <mergeCell ref="A215:A218"/>
    <mergeCell ref="B215:B218"/>
    <mergeCell ref="C215:C218"/>
    <mergeCell ref="A203:A204"/>
    <mergeCell ref="B203:B204"/>
    <mergeCell ref="C203:C204"/>
    <mergeCell ref="A205:A206"/>
    <mergeCell ref="B205:B206"/>
    <mergeCell ref="C205:C206"/>
    <mergeCell ref="A194:A195"/>
    <mergeCell ref="B194:B195"/>
    <mergeCell ref="C194:C195"/>
    <mergeCell ref="A196:A197"/>
    <mergeCell ref="B196:B197"/>
    <mergeCell ref="C196:C197"/>
    <mergeCell ref="A187:A188"/>
    <mergeCell ref="B187:B188"/>
    <mergeCell ref="C187:C188"/>
    <mergeCell ref="A190:A191"/>
    <mergeCell ref="B190:B191"/>
    <mergeCell ref="C190:C191"/>
    <mergeCell ref="A182:A184"/>
    <mergeCell ref="B182:B184"/>
    <mergeCell ref="C182:C184"/>
    <mergeCell ref="A185:A186"/>
    <mergeCell ref="B185:B186"/>
    <mergeCell ref="C185:C186"/>
    <mergeCell ref="A174:A175"/>
    <mergeCell ref="B174:B175"/>
    <mergeCell ref="C174:C175"/>
    <mergeCell ref="A178:A180"/>
    <mergeCell ref="B178:B180"/>
    <mergeCell ref="C178:C180"/>
    <mergeCell ref="A163:A165"/>
    <mergeCell ref="B163:B165"/>
    <mergeCell ref="C163:C165"/>
    <mergeCell ref="A171:A172"/>
    <mergeCell ref="B171:B172"/>
    <mergeCell ref="C171:C172"/>
    <mergeCell ref="A155:A157"/>
    <mergeCell ref="B155:B157"/>
    <mergeCell ref="C155:C157"/>
    <mergeCell ref="A159:A161"/>
    <mergeCell ref="B159:B161"/>
    <mergeCell ref="C159:C161"/>
    <mergeCell ref="A149:A150"/>
    <mergeCell ref="B149:B150"/>
    <mergeCell ref="C149:C150"/>
    <mergeCell ref="A152:A154"/>
    <mergeCell ref="B152:B154"/>
    <mergeCell ref="C152:C154"/>
    <mergeCell ref="A143:A144"/>
    <mergeCell ref="B143:B144"/>
    <mergeCell ref="C143:C144"/>
    <mergeCell ref="A147:A148"/>
    <mergeCell ref="B147:B148"/>
    <mergeCell ref="C147:C148"/>
    <mergeCell ref="A134:A135"/>
    <mergeCell ref="B134:B135"/>
    <mergeCell ref="C134:C135"/>
    <mergeCell ref="A138:A139"/>
    <mergeCell ref="B138:B139"/>
    <mergeCell ref="C138:C139"/>
    <mergeCell ref="A126:A127"/>
    <mergeCell ref="B126:B127"/>
    <mergeCell ref="C126:C127"/>
    <mergeCell ref="A132:A133"/>
    <mergeCell ref="B132:B133"/>
    <mergeCell ref="C132:C133"/>
    <mergeCell ref="A112:A115"/>
    <mergeCell ref="B112:B115"/>
    <mergeCell ref="C112:C115"/>
    <mergeCell ref="A119:A120"/>
    <mergeCell ref="B119:B120"/>
    <mergeCell ref="C119:C120"/>
    <mergeCell ref="A105:A108"/>
    <mergeCell ref="B105:B108"/>
    <mergeCell ref="C105:C108"/>
    <mergeCell ref="A110:A111"/>
    <mergeCell ref="B110:B111"/>
    <mergeCell ref="C110:C111"/>
    <mergeCell ref="A98:A100"/>
    <mergeCell ref="B98:B100"/>
    <mergeCell ref="C98:C100"/>
    <mergeCell ref="A101:A102"/>
    <mergeCell ref="B101:B102"/>
    <mergeCell ref="C101:C102"/>
    <mergeCell ref="A92:A93"/>
    <mergeCell ref="B92:B93"/>
    <mergeCell ref="C92:C93"/>
    <mergeCell ref="A95:A96"/>
    <mergeCell ref="B95:B96"/>
    <mergeCell ref="C95:C96"/>
    <mergeCell ref="A86:A87"/>
    <mergeCell ref="B86:B87"/>
    <mergeCell ref="C86:C87"/>
    <mergeCell ref="A88:A89"/>
    <mergeCell ref="B88:B89"/>
    <mergeCell ref="C88:C89"/>
    <mergeCell ref="A81:A82"/>
    <mergeCell ref="B81:B82"/>
    <mergeCell ref="C81:C82"/>
    <mergeCell ref="A84:A85"/>
    <mergeCell ref="B84:B85"/>
    <mergeCell ref="C84:C85"/>
    <mergeCell ref="A72:A73"/>
    <mergeCell ref="B72:B73"/>
    <mergeCell ref="C72:C73"/>
    <mergeCell ref="A79:A80"/>
    <mergeCell ref="B79:B80"/>
    <mergeCell ref="C79:C80"/>
    <mergeCell ref="A59:A60"/>
    <mergeCell ref="B59:B60"/>
    <mergeCell ref="C59:C60"/>
    <mergeCell ref="A69:A70"/>
    <mergeCell ref="B69:B70"/>
    <mergeCell ref="C69:C70"/>
    <mergeCell ref="A51:A54"/>
    <mergeCell ref="B51:B54"/>
    <mergeCell ref="C51:C54"/>
    <mergeCell ref="A57:A58"/>
    <mergeCell ref="B57:B58"/>
    <mergeCell ref="C57:C58"/>
    <mergeCell ref="A43:A46"/>
    <mergeCell ref="B43:B46"/>
    <mergeCell ref="C43:C46"/>
    <mergeCell ref="A48:A49"/>
    <mergeCell ref="B48:B49"/>
    <mergeCell ref="C48:C49"/>
    <mergeCell ref="A38:A40"/>
    <mergeCell ref="B38:B40"/>
    <mergeCell ref="C38:C40"/>
    <mergeCell ref="A41:A42"/>
    <mergeCell ref="B41:B42"/>
    <mergeCell ref="C41:C42"/>
    <mergeCell ref="A32:A33"/>
    <mergeCell ref="B32:B33"/>
    <mergeCell ref="C32:C33"/>
    <mergeCell ref="A35:A37"/>
    <mergeCell ref="B35:B37"/>
    <mergeCell ref="C35:C37"/>
    <mergeCell ref="A28:A29"/>
    <mergeCell ref="B28:B29"/>
    <mergeCell ref="C28:C29"/>
    <mergeCell ref="A30:A31"/>
    <mergeCell ref="B30:B31"/>
    <mergeCell ref="C30:C31"/>
    <mergeCell ref="A24:A25"/>
    <mergeCell ref="B24:B25"/>
    <mergeCell ref="C24:C25"/>
    <mergeCell ref="A26:A27"/>
    <mergeCell ref="B26:B27"/>
    <mergeCell ref="C26:C27"/>
    <mergeCell ref="A7:A8"/>
    <mergeCell ref="B7:B8"/>
    <mergeCell ref="C7:C8"/>
    <mergeCell ref="A22:A23"/>
    <mergeCell ref="B22:B23"/>
    <mergeCell ref="C22:C23"/>
    <mergeCell ref="A2:A3"/>
    <mergeCell ref="B2:B3"/>
    <mergeCell ref="C2:C3"/>
    <mergeCell ref="A5:A6"/>
    <mergeCell ref="B5:B6"/>
    <mergeCell ref="C5:C6"/>
  </mergeCells>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9"/>
  <sheetViews>
    <sheetView zoomScaleNormal="100" workbookViewId="0">
      <pane ySplit="1" topLeftCell="A2" activePane="bottomLeft" state="frozen"/>
      <selection pane="bottomLeft" activeCell="E12" sqref="E12"/>
    </sheetView>
  </sheetViews>
  <sheetFormatPr baseColWidth="10" defaultRowHeight="22" customHeight="1"/>
  <cols>
    <col min="1" max="1" width="12.5703125" style="37" customWidth="1"/>
    <col min="2" max="2" width="21.42578125" style="37" customWidth="1"/>
    <col min="3" max="3" width="20.28515625" style="37" customWidth="1"/>
    <col min="4" max="5" width="28.5703125" style="37" customWidth="1"/>
    <col min="6" max="6" width="35.7109375" style="37" customWidth="1"/>
    <col min="7" max="7" width="66.85546875" style="37" customWidth="1"/>
    <col min="8" max="8" width="48.5703125" style="37" hidden="1" customWidth="1"/>
    <col min="9" max="9" width="7.42578125" style="46" customWidth="1"/>
    <col min="10" max="10" width="16.28515625" style="37" customWidth="1"/>
    <col min="11" max="11" width="15" style="37" customWidth="1"/>
    <col min="12" max="12" width="20" style="37" customWidth="1"/>
    <col min="13" max="13" width="45.7109375" style="37" customWidth="1"/>
    <col min="14" max="14" width="30" style="37" customWidth="1"/>
    <col min="15" max="15" width="21.42578125" style="37" customWidth="1"/>
    <col min="16" max="16" width="15.7109375" style="37" customWidth="1"/>
    <col min="17" max="17" width="10" style="37" customWidth="1"/>
    <col min="18" max="18" width="28.5703125" style="37" customWidth="1"/>
    <col min="19" max="19" width="21.42578125" style="37" customWidth="1"/>
    <col min="20" max="20" width="10" style="37" customWidth="1"/>
    <col min="21" max="21" width="15.7109375" style="37" customWidth="1"/>
    <col min="22" max="22" width="10" style="37" customWidth="1"/>
    <col min="23" max="23" width="14.28515625" style="37" customWidth="1"/>
    <col min="24" max="24" width="12.85546875" style="37" customWidth="1"/>
    <col min="25" max="25" width="28.5703125" style="37" customWidth="1"/>
    <col min="26" max="26" width="24.28515625" style="37" customWidth="1"/>
    <col min="27" max="16384" width="10.7109375" style="37"/>
  </cols>
  <sheetData>
    <row r="1" spans="1:21" ht="22" customHeight="1">
      <c r="A1" s="152" t="s">
        <v>1361</v>
      </c>
      <c r="B1" s="152" t="s">
        <v>1662</v>
      </c>
      <c r="C1" s="152" t="s">
        <v>1694</v>
      </c>
      <c r="D1" s="152" t="s">
        <v>1647</v>
      </c>
      <c r="E1" s="152" t="s">
        <v>1600</v>
      </c>
      <c r="F1" s="152" t="s">
        <v>1663</v>
      </c>
      <c r="G1" s="152" t="s">
        <v>1643</v>
      </c>
      <c r="H1" s="152" t="s">
        <v>1644</v>
      </c>
      <c r="I1" s="152" t="s">
        <v>1363</v>
      </c>
      <c r="J1" s="152" t="s">
        <v>1700</v>
      </c>
      <c r="K1" s="152" t="s">
        <v>1701</v>
      </c>
      <c r="L1" s="152" t="s">
        <v>1686</v>
      </c>
      <c r="M1" s="152" t="s">
        <v>1687</v>
      </c>
      <c r="N1" s="152" t="s">
        <v>1364</v>
      </c>
      <c r="O1" s="152" t="s">
        <v>1693</v>
      </c>
      <c r="P1" s="152" t="s">
        <v>1645</v>
      </c>
      <c r="Q1" s="152" t="s">
        <v>949</v>
      </c>
      <c r="R1" s="152" t="s">
        <v>301</v>
      </c>
      <c r="S1" s="152" t="s">
        <v>1590</v>
      </c>
      <c r="T1"/>
    </row>
    <row r="2" spans="1:21" ht="22" customHeight="1">
      <c r="A2" s="114" t="s">
        <v>3751</v>
      </c>
      <c r="B2" s="114" t="s">
        <v>2922</v>
      </c>
      <c r="C2" s="114" t="s">
        <v>1707</v>
      </c>
      <c r="D2" s="114" t="s">
        <v>2049</v>
      </c>
      <c r="E2" s="114" t="s">
        <v>3752</v>
      </c>
      <c r="F2" s="114" t="s">
        <v>3753</v>
      </c>
      <c r="G2" s="114" t="s">
        <v>3754</v>
      </c>
      <c r="H2" s="114" t="s">
        <v>2939</v>
      </c>
      <c r="I2" s="148">
        <v>1</v>
      </c>
      <c r="J2" s="114" t="s">
        <v>1696</v>
      </c>
      <c r="K2" s="114" t="s">
        <v>1696</v>
      </c>
      <c r="L2" s="114" t="s">
        <v>1955</v>
      </c>
      <c r="M2" s="114" t="s">
        <v>3755</v>
      </c>
      <c r="N2" s="114" t="s">
        <v>1689</v>
      </c>
      <c r="O2" s="114" t="s">
        <v>1988</v>
      </c>
      <c r="P2" s="114" t="s">
        <v>1367</v>
      </c>
      <c r="Q2" s="114" t="s">
        <v>1362</v>
      </c>
      <c r="R2" s="114"/>
      <c r="S2" s="114" t="s">
        <v>2190</v>
      </c>
      <c r="T2"/>
      <c r="U2"/>
    </row>
    <row r="3" spans="1:21" ht="22" customHeight="1">
      <c r="A3" s="114" t="s">
        <v>3756</v>
      </c>
      <c r="B3" s="114" t="s">
        <v>3757</v>
      </c>
      <c r="C3" s="114" t="s">
        <v>1707</v>
      </c>
      <c r="D3" s="114" t="s">
        <v>2049</v>
      </c>
      <c r="E3" s="114" t="s">
        <v>3752</v>
      </c>
      <c r="F3" s="114" t="s">
        <v>3758</v>
      </c>
      <c r="G3" s="114" t="s">
        <v>3759</v>
      </c>
      <c r="H3" s="114" t="s">
        <v>2940</v>
      </c>
      <c r="I3" s="148">
        <v>2</v>
      </c>
      <c r="J3" s="114" t="s">
        <v>1696</v>
      </c>
      <c r="K3" s="114" t="s">
        <v>1696</v>
      </c>
      <c r="L3" s="114" t="s">
        <v>1955</v>
      </c>
      <c r="M3" s="114" t="s">
        <v>3760</v>
      </c>
      <c r="N3" s="114" t="s">
        <v>1689</v>
      </c>
      <c r="O3" s="114" t="s">
        <v>1988</v>
      </c>
      <c r="P3" s="114" t="s">
        <v>1367</v>
      </c>
      <c r="Q3" s="114" t="s">
        <v>1362</v>
      </c>
      <c r="R3" s="114"/>
      <c r="S3" s="114" t="s">
        <v>2190</v>
      </c>
      <c r="T3"/>
    </row>
    <row r="4" spans="1:21" ht="22" customHeight="1">
      <c r="A4" s="114" t="s">
        <v>3761</v>
      </c>
      <c r="B4" s="114" t="s">
        <v>2922</v>
      </c>
      <c r="C4" s="114" t="s">
        <v>1707</v>
      </c>
      <c r="D4" s="114" t="s">
        <v>2049</v>
      </c>
      <c r="E4" s="114" t="s">
        <v>2139</v>
      </c>
      <c r="F4" s="114" t="s">
        <v>3762</v>
      </c>
      <c r="G4" s="114" t="s">
        <v>3763</v>
      </c>
      <c r="H4" s="114" t="s">
        <v>2941</v>
      </c>
      <c r="I4" s="148">
        <v>0.5</v>
      </c>
      <c r="J4" s="114" t="s">
        <v>1696</v>
      </c>
      <c r="K4" s="114" t="s">
        <v>1696</v>
      </c>
      <c r="L4" s="114" t="s">
        <v>1954</v>
      </c>
      <c r="M4" s="114" t="s">
        <v>3764</v>
      </c>
      <c r="N4" s="114" t="s">
        <v>1689</v>
      </c>
      <c r="O4" s="114" t="s">
        <v>1988</v>
      </c>
      <c r="P4" s="114" t="s">
        <v>1367</v>
      </c>
      <c r="Q4" s="114" t="s">
        <v>1362</v>
      </c>
      <c r="R4" s="114"/>
      <c r="S4" s="114" t="s">
        <v>2258</v>
      </c>
      <c r="T4"/>
    </row>
    <row r="5" spans="1:21" ht="22" customHeight="1">
      <c r="A5" s="114" t="s">
        <v>3765</v>
      </c>
      <c r="B5" s="114" t="s">
        <v>2922</v>
      </c>
      <c r="C5" s="114" t="s">
        <v>1707</v>
      </c>
      <c r="D5" s="114" t="s">
        <v>2049</v>
      </c>
      <c r="E5" s="114" t="s">
        <v>3766</v>
      </c>
      <c r="F5" s="114" t="s">
        <v>3767</v>
      </c>
      <c r="G5" s="114" t="s">
        <v>3768</v>
      </c>
      <c r="H5" s="114" t="s">
        <v>2942</v>
      </c>
      <c r="I5" s="148">
        <v>0.5</v>
      </c>
      <c r="J5" s="114" t="s">
        <v>1696</v>
      </c>
      <c r="K5" s="114" t="s">
        <v>1696</v>
      </c>
      <c r="L5" s="114" t="s">
        <v>1955</v>
      </c>
      <c r="M5" s="114" t="s">
        <v>3769</v>
      </c>
      <c r="N5" s="114" t="s">
        <v>1689</v>
      </c>
      <c r="O5" s="114" t="s">
        <v>1988</v>
      </c>
      <c r="P5" s="114" t="s">
        <v>1367</v>
      </c>
      <c r="Q5" s="114" t="s">
        <v>1362</v>
      </c>
      <c r="R5" s="114"/>
      <c r="S5" s="114" t="s">
        <v>2281</v>
      </c>
      <c r="T5"/>
    </row>
    <row r="6" spans="1:21" ht="22" customHeight="1">
      <c r="A6" s="149" t="s">
        <v>3770</v>
      </c>
      <c r="B6" s="149" t="s">
        <v>2923</v>
      </c>
      <c r="C6" s="149" t="s">
        <v>1707</v>
      </c>
      <c r="D6" s="150" t="s">
        <v>2048</v>
      </c>
      <c r="E6" s="150" t="s">
        <v>3771</v>
      </c>
      <c r="F6" s="150" t="s">
        <v>1752</v>
      </c>
      <c r="G6" s="150" t="s">
        <v>1830</v>
      </c>
      <c r="H6" s="150" t="s">
        <v>1906</v>
      </c>
      <c r="I6" s="153">
        <v>0.5</v>
      </c>
      <c r="J6" s="149" t="s">
        <v>1696</v>
      </c>
      <c r="K6" s="149" t="s">
        <v>1696</v>
      </c>
      <c r="L6" s="150" t="s">
        <v>1955</v>
      </c>
      <c r="M6" s="150" t="s">
        <v>3772</v>
      </c>
      <c r="N6" s="150" t="s">
        <v>1689</v>
      </c>
      <c r="O6" s="149" t="s">
        <v>1987</v>
      </c>
      <c r="P6" s="149" t="s">
        <v>1367</v>
      </c>
      <c r="Q6" s="149" t="s">
        <v>1362</v>
      </c>
      <c r="R6" s="149" t="s">
        <v>3773</v>
      </c>
      <c r="S6" s="149" t="s">
        <v>2188</v>
      </c>
      <c r="T6"/>
    </row>
    <row r="7" spans="1:21" ht="22" customHeight="1">
      <c r="A7" s="149" t="s">
        <v>3774</v>
      </c>
      <c r="B7" s="149" t="s">
        <v>2924</v>
      </c>
      <c r="C7" s="149" t="s">
        <v>1707</v>
      </c>
      <c r="D7" s="150" t="s">
        <v>2048</v>
      </c>
      <c r="E7" s="150" t="s">
        <v>3771</v>
      </c>
      <c r="F7" s="150" t="s">
        <v>1761</v>
      </c>
      <c r="G7" s="150" t="s">
        <v>1838</v>
      </c>
      <c r="H7" s="150" t="s">
        <v>3775</v>
      </c>
      <c r="I7" s="153">
        <v>4</v>
      </c>
      <c r="J7" s="149" t="s">
        <v>1696</v>
      </c>
      <c r="K7" s="149" t="s">
        <v>1696</v>
      </c>
      <c r="L7" s="150" t="s">
        <v>1955</v>
      </c>
      <c r="M7" s="150" t="s">
        <v>3772</v>
      </c>
      <c r="N7" s="150" t="s">
        <v>1689</v>
      </c>
      <c r="O7" s="149" t="s">
        <v>1987</v>
      </c>
      <c r="P7" s="149" t="s">
        <v>1367</v>
      </c>
      <c r="Q7" s="149" t="s">
        <v>1362</v>
      </c>
      <c r="R7" s="149"/>
      <c r="S7" s="149" t="s">
        <v>2188</v>
      </c>
      <c r="T7"/>
    </row>
    <row r="8" spans="1:21" ht="22" customHeight="1">
      <c r="A8" s="149" t="s">
        <v>3776</v>
      </c>
      <c r="B8" s="149" t="s">
        <v>3777</v>
      </c>
      <c r="C8" s="149" t="s">
        <v>1707</v>
      </c>
      <c r="D8" s="150" t="s">
        <v>2048</v>
      </c>
      <c r="E8" s="150" t="s">
        <v>3771</v>
      </c>
      <c r="F8" s="150" t="s">
        <v>1777</v>
      </c>
      <c r="G8" s="150" t="s">
        <v>1850</v>
      </c>
      <c r="H8" s="150" t="s">
        <v>1929</v>
      </c>
      <c r="I8" s="153">
        <v>1</v>
      </c>
      <c r="J8" s="149" t="s">
        <v>1696</v>
      </c>
      <c r="K8" s="149" t="s">
        <v>1696</v>
      </c>
      <c r="L8" s="150" t="s">
        <v>1955</v>
      </c>
      <c r="M8" s="150" t="s">
        <v>3772</v>
      </c>
      <c r="N8" s="150" t="s">
        <v>1689</v>
      </c>
      <c r="O8" s="149" t="s">
        <v>1987</v>
      </c>
      <c r="P8" s="149" t="s">
        <v>1367</v>
      </c>
      <c r="Q8" s="149" t="s">
        <v>1362</v>
      </c>
      <c r="R8" s="149"/>
      <c r="S8" s="149" t="s">
        <v>2188</v>
      </c>
      <c r="T8"/>
    </row>
    <row r="9" spans="1:21" ht="22" customHeight="1">
      <c r="A9" s="149" t="s">
        <v>3778</v>
      </c>
      <c r="B9" s="149" t="s">
        <v>3777</v>
      </c>
      <c r="C9" s="149" t="s">
        <v>1707</v>
      </c>
      <c r="D9" s="150" t="s">
        <v>2048</v>
      </c>
      <c r="E9" s="150" t="s">
        <v>3771</v>
      </c>
      <c r="F9" s="150" t="s">
        <v>3779</v>
      </c>
      <c r="G9" s="150" t="s">
        <v>3780</v>
      </c>
      <c r="H9" s="150" t="s">
        <v>1933</v>
      </c>
      <c r="I9" s="153">
        <v>2</v>
      </c>
      <c r="J9" s="149" t="s">
        <v>1696</v>
      </c>
      <c r="K9" s="149" t="s">
        <v>1696</v>
      </c>
      <c r="L9" s="150" t="s">
        <v>1955</v>
      </c>
      <c r="M9" s="150" t="s">
        <v>3772</v>
      </c>
      <c r="N9" s="150" t="s">
        <v>1689</v>
      </c>
      <c r="O9" s="149" t="s">
        <v>1987</v>
      </c>
      <c r="P9" s="149" t="s">
        <v>1367</v>
      </c>
      <c r="Q9" s="149" t="s">
        <v>1362</v>
      </c>
      <c r="R9" s="149"/>
      <c r="S9" s="149" t="s">
        <v>2188</v>
      </c>
      <c r="T9"/>
    </row>
    <row r="10" spans="1:21" ht="22" customHeight="1">
      <c r="A10" s="149" t="s">
        <v>3781</v>
      </c>
      <c r="B10" s="149" t="s">
        <v>2924</v>
      </c>
      <c r="C10" s="149" t="s">
        <v>1707</v>
      </c>
      <c r="D10" s="150" t="s">
        <v>2048</v>
      </c>
      <c r="E10" s="150" t="s">
        <v>3771</v>
      </c>
      <c r="F10" s="150" t="s">
        <v>1763</v>
      </c>
      <c r="G10" s="150" t="s">
        <v>3782</v>
      </c>
      <c r="H10" s="150" t="s">
        <v>1915</v>
      </c>
      <c r="I10" s="153">
        <v>2</v>
      </c>
      <c r="J10" s="149" t="s">
        <v>1696</v>
      </c>
      <c r="K10" s="149" t="s">
        <v>1696</v>
      </c>
      <c r="L10" s="150" t="s">
        <v>1955</v>
      </c>
      <c r="M10" s="150" t="s">
        <v>3783</v>
      </c>
      <c r="N10" s="150" t="s">
        <v>1985</v>
      </c>
      <c r="O10" s="149" t="s">
        <v>1987</v>
      </c>
      <c r="P10" s="149" t="s">
        <v>1367</v>
      </c>
      <c r="Q10" s="149" t="s">
        <v>1362</v>
      </c>
      <c r="R10" s="149"/>
      <c r="S10" s="149" t="s">
        <v>2188</v>
      </c>
      <c r="T10"/>
    </row>
    <row r="11" spans="1:21" ht="22" customHeight="1">
      <c r="A11" s="149" t="s">
        <v>3784</v>
      </c>
      <c r="B11" s="149" t="s">
        <v>2925</v>
      </c>
      <c r="C11" s="149" t="s">
        <v>1706</v>
      </c>
      <c r="D11" s="150" t="s">
        <v>2048</v>
      </c>
      <c r="E11" s="150" t="s">
        <v>3771</v>
      </c>
      <c r="F11" s="150" t="s">
        <v>1786</v>
      </c>
      <c r="G11" s="150" t="s">
        <v>3785</v>
      </c>
      <c r="H11" s="150" t="s">
        <v>1941</v>
      </c>
      <c r="I11" s="153">
        <v>1</v>
      </c>
      <c r="J11" s="149" t="s">
        <v>1696</v>
      </c>
      <c r="K11" s="149" t="s">
        <v>1696</v>
      </c>
      <c r="L11" s="150" t="s">
        <v>1955</v>
      </c>
      <c r="M11" s="150" t="s">
        <v>3772</v>
      </c>
      <c r="N11" s="150" t="s">
        <v>1689</v>
      </c>
      <c r="O11" s="149" t="s">
        <v>1987</v>
      </c>
      <c r="P11" s="149" t="s">
        <v>1367</v>
      </c>
      <c r="Q11" s="149" t="s">
        <v>1362</v>
      </c>
      <c r="R11" s="149"/>
      <c r="S11" s="149" t="s">
        <v>2188</v>
      </c>
      <c r="T11"/>
    </row>
    <row r="12" spans="1:21" ht="22" customHeight="1">
      <c r="A12" s="149" t="s">
        <v>3786</v>
      </c>
      <c r="B12" s="149" t="s">
        <v>2925</v>
      </c>
      <c r="C12" s="149" t="s">
        <v>1706</v>
      </c>
      <c r="D12" s="150" t="s">
        <v>2048</v>
      </c>
      <c r="E12" s="151" t="s">
        <v>3771</v>
      </c>
      <c r="F12" s="150" t="s">
        <v>1787</v>
      </c>
      <c r="G12" s="150" t="s">
        <v>1859</v>
      </c>
      <c r="H12" s="150" t="s">
        <v>3787</v>
      </c>
      <c r="I12" s="154">
        <v>1</v>
      </c>
      <c r="J12" s="155" t="s">
        <v>1696</v>
      </c>
      <c r="K12" s="155" t="s">
        <v>1696</v>
      </c>
      <c r="L12" s="151" t="s">
        <v>1955</v>
      </c>
      <c r="M12" s="151" t="s">
        <v>3772</v>
      </c>
      <c r="N12" s="150" t="s">
        <v>1689</v>
      </c>
      <c r="O12" s="149" t="s">
        <v>1987</v>
      </c>
      <c r="P12" s="149" t="s">
        <v>1367</v>
      </c>
      <c r="Q12" s="149" t="s">
        <v>1362</v>
      </c>
      <c r="R12" s="149"/>
      <c r="S12" s="149" t="s">
        <v>2188</v>
      </c>
      <c r="T12"/>
    </row>
    <row r="13" spans="1:21" ht="22" customHeight="1">
      <c r="A13" s="149" t="s">
        <v>3788</v>
      </c>
      <c r="B13" s="149" t="s">
        <v>2925</v>
      </c>
      <c r="C13" s="149" t="s">
        <v>1706</v>
      </c>
      <c r="D13" s="150" t="s">
        <v>2048</v>
      </c>
      <c r="E13" s="151" t="s">
        <v>3771</v>
      </c>
      <c r="F13" s="150" t="s">
        <v>1788</v>
      </c>
      <c r="G13" s="150" t="s">
        <v>1860</v>
      </c>
      <c r="H13" s="150" t="s">
        <v>1942</v>
      </c>
      <c r="I13" s="154">
        <v>2</v>
      </c>
      <c r="J13" s="155" t="s">
        <v>1696</v>
      </c>
      <c r="K13" s="155" t="s">
        <v>1696</v>
      </c>
      <c r="L13" s="151" t="s">
        <v>1955</v>
      </c>
      <c r="M13" s="151" t="s">
        <v>3772</v>
      </c>
      <c r="N13" s="150" t="s">
        <v>1689</v>
      </c>
      <c r="O13" s="149" t="s">
        <v>1987</v>
      </c>
      <c r="P13" s="149" t="s">
        <v>1367</v>
      </c>
      <c r="Q13" s="149" t="s">
        <v>1362</v>
      </c>
      <c r="R13" s="149"/>
      <c r="S13" s="149" t="s">
        <v>2188</v>
      </c>
      <c r="T13"/>
    </row>
    <row r="14" spans="1:21" ht="22" customHeight="1">
      <c r="A14" s="149" t="s">
        <v>3789</v>
      </c>
      <c r="B14" s="149" t="s">
        <v>2925</v>
      </c>
      <c r="C14" s="149" t="s">
        <v>1706</v>
      </c>
      <c r="D14" s="150" t="s">
        <v>2048</v>
      </c>
      <c r="E14" s="151" t="s">
        <v>3771</v>
      </c>
      <c r="F14" s="150" t="s">
        <v>3790</v>
      </c>
      <c r="G14" s="150" t="s">
        <v>3791</v>
      </c>
      <c r="H14" s="150" t="s">
        <v>1943</v>
      </c>
      <c r="I14" s="154">
        <v>2</v>
      </c>
      <c r="J14" s="155" t="s">
        <v>1696</v>
      </c>
      <c r="K14" s="155" t="s">
        <v>1696</v>
      </c>
      <c r="L14" s="151" t="s">
        <v>1955</v>
      </c>
      <c r="M14" s="151" t="s">
        <v>3772</v>
      </c>
      <c r="N14" s="150" t="s">
        <v>1689</v>
      </c>
      <c r="O14" s="149" t="s">
        <v>1987</v>
      </c>
      <c r="P14" s="149" t="s">
        <v>1367</v>
      </c>
      <c r="Q14" s="149" t="s">
        <v>1362</v>
      </c>
      <c r="R14" s="149"/>
      <c r="S14" s="149" t="s">
        <v>2188</v>
      </c>
      <c r="T14"/>
    </row>
    <row r="15" spans="1:21" ht="22" customHeight="1">
      <c r="A15" s="149" t="s">
        <v>3792</v>
      </c>
      <c r="B15" s="149" t="s">
        <v>2923</v>
      </c>
      <c r="C15" s="149" t="s">
        <v>1707</v>
      </c>
      <c r="D15" s="150" t="s">
        <v>2048</v>
      </c>
      <c r="E15" s="150" t="s">
        <v>3793</v>
      </c>
      <c r="F15" s="150" t="s">
        <v>1753</v>
      </c>
      <c r="G15" s="150" t="s">
        <v>1831</v>
      </c>
      <c r="H15" s="150" t="s">
        <v>1907</v>
      </c>
      <c r="I15" s="153">
        <v>0.5</v>
      </c>
      <c r="J15" s="149" t="s">
        <v>1696</v>
      </c>
      <c r="K15" s="149" t="s">
        <v>1696</v>
      </c>
      <c r="L15" s="150" t="s">
        <v>1955</v>
      </c>
      <c r="M15" s="150" t="s">
        <v>3772</v>
      </c>
      <c r="N15" s="150" t="s">
        <v>1689</v>
      </c>
      <c r="O15" s="149" t="s">
        <v>1987</v>
      </c>
      <c r="P15" s="149" t="s">
        <v>1367</v>
      </c>
      <c r="Q15" s="149" t="s">
        <v>1362</v>
      </c>
      <c r="R15" s="149" t="s">
        <v>3794</v>
      </c>
      <c r="S15" s="149" t="s">
        <v>2189</v>
      </c>
      <c r="T15"/>
    </row>
    <row r="16" spans="1:21" ht="22" customHeight="1">
      <c r="A16" s="149" t="s">
        <v>3795</v>
      </c>
      <c r="B16" s="149" t="s">
        <v>2924</v>
      </c>
      <c r="C16" s="149" t="s">
        <v>1707</v>
      </c>
      <c r="D16" s="150" t="s">
        <v>2048</v>
      </c>
      <c r="E16" s="150" t="s">
        <v>3793</v>
      </c>
      <c r="F16" s="150" t="s">
        <v>1762</v>
      </c>
      <c r="G16" s="150" t="s">
        <v>1839</v>
      </c>
      <c r="H16" s="150" t="s">
        <v>1914</v>
      </c>
      <c r="I16" s="153">
        <v>4</v>
      </c>
      <c r="J16" s="149" t="s">
        <v>1696</v>
      </c>
      <c r="K16" s="149" t="s">
        <v>1696</v>
      </c>
      <c r="L16" s="150" t="s">
        <v>1955</v>
      </c>
      <c r="M16" s="150" t="s">
        <v>3772</v>
      </c>
      <c r="N16" s="150" t="s">
        <v>1689</v>
      </c>
      <c r="O16" s="149" t="s">
        <v>1987</v>
      </c>
      <c r="P16" s="149" t="s">
        <v>1367</v>
      </c>
      <c r="Q16" s="149" t="s">
        <v>1362</v>
      </c>
      <c r="R16" s="149"/>
      <c r="S16" s="149" t="s">
        <v>2189</v>
      </c>
      <c r="T16"/>
    </row>
    <row r="17" spans="1:20" ht="22" customHeight="1">
      <c r="A17" s="149" t="s">
        <v>3796</v>
      </c>
      <c r="B17" s="149" t="s">
        <v>2926</v>
      </c>
      <c r="C17" s="149" t="s">
        <v>1704</v>
      </c>
      <c r="D17" s="150" t="s">
        <v>2048</v>
      </c>
      <c r="E17" s="150" t="s">
        <v>3793</v>
      </c>
      <c r="F17" s="150" t="s">
        <v>3797</v>
      </c>
      <c r="G17" s="150" t="s">
        <v>3798</v>
      </c>
      <c r="H17" s="150" t="s">
        <v>1868</v>
      </c>
      <c r="I17" s="153">
        <v>2</v>
      </c>
      <c r="J17" s="149" t="s">
        <v>1696</v>
      </c>
      <c r="K17" s="149" t="s">
        <v>1696</v>
      </c>
      <c r="L17" s="150" t="s">
        <v>1955</v>
      </c>
      <c r="M17" s="150" t="s">
        <v>3799</v>
      </c>
      <c r="N17" s="150" t="s">
        <v>1985</v>
      </c>
      <c r="O17" s="149" t="s">
        <v>1987</v>
      </c>
      <c r="P17" s="149" t="s">
        <v>1367</v>
      </c>
      <c r="Q17" s="149" t="s">
        <v>1362</v>
      </c>
      <c r="R17" s="149"/>
      <c r="S17" s="149" t="s">
        <v>2189</v>
      </c>
      <c r="T17"/>
    </row>
    <row r="18" spans="1:20" ht="22" customHeight="1">
      <c r="A18" s="114" t="s">
        <v>3800</v>
      </c>
      <c r="B18" s="114" t="s">
        <v>2922</v>
      </c>
      <c r="C18" s="114" t="s">
        <v>1707</v>
      </c>
      <c r="D18" s="114" t="s">
        <v>2048</v>
      </c>
      <c r="E18" s="114" t="s">
        <v>2141</v>
      </c>
      <c r="F18" s="114" t="s">
        <v>3801</v>
      </c>
      <c r="G18" s="114" t="s">
        <v>3802</v>
      </c>
      <c r="H18" s="114" t="s">
        <v>2943</v>
      </c>
      <c r="I18" s="148">
        <v>1</v>
      </c>
      <c r="J18" s="114" t="s">
        <v>1696</v>
      </c>
      <c r="K18" s="114" t="s">
        <v>1696</v>
      </c>
      <c r="L18" s="114" t="s">
        <v>1955</v>
      </c>
      <c r="M18" s="114" t="s">
        <v>3803</v>
      </c>
      <c r="N18" s="114" t="s">
        <v>1689</v>
      </c>
      <c r="O18" s="114" t="s">
        <v>1988</v>
      </c>
      <c r="P18" s="114" t="s">
        <v>1367</v>
      </c>
      <c r="Q18" s="114" t="s">
        <v>1362</v>
      </c>
      <c r="R18" s="114"/>
      <c r="S18" s="114" t="s">
        <v>2259</v>
      </c>
      <c r="T18"/>
    </row>
    <row r="19" spans="1:20" ht="22" customHeight="1">
      <c r="A19" s="114" t="s">
        <v>3804</v>
      </c>
      <c r="B19" s="114" t="s">
        <v>2922</v>
      </c>
      <c r="C19" s="114" t="s">
        <v>1707</v>
      </c>
      <c r="D19" s="114" t="s">
        <v>2048</v>
      </c>
      <c r="E19" s="114" t="s">
        <v>1998</v>
      </c>
      <c r="F19" s="114" t="s">
        <v>3805</v>
      </c>
      <c r="G19" s="114" t="s">
        <v>3806</v>
      </c>
      <c r="H19" s="114" t="s">
        <v>2944</v>
      </c>
      <c r="I19" s="148">
        <v>0.5</v>
      </c>
      <c r="J19" s="114" t="s">
        <v>1696</v>
      </c>
      <c r="K19" s="114" t="s">
        <v>1696</v>
      </c>
      <c r="L19" s="114" t="s">
        <v>1955</v>
      </c>
      <c r="M19" s="114" t="s">
        <v>3807</v>
      </c>
      <c r="N19" s="114" t="s">
        <v>1689</v>
      </c>
      <c r="O19" s="114" t="s">
        <v>1988</v>
      </c>
      <c r="P19" s="114" t="s">
        <v>1367</v>
      </c>
      <c r="Q19" s="114" t="s">
        <v>1362</v>
      </c>
      <c r="R19" s="114"/>
      <c r="S19" s="114" t="s">
        <v>2260</v>
      </c>
      <c r="T19"/>
    </row>
    <row r="20" spans="1:20" ht="22" customHeight="1">
      <c r="A20" s="114" t="s">
        <v>3808</v>
      </c>
      <c r="B20" s="114" t="s">
        <v>2922</v>
      </c>
      <c r="C20" s="114" t="s">
        <v>1707</v>
      </c>
      <c r="D20" s="114" t="s">
        <v>2048</v>
      </c>
      <c r="E20" s="114" t="s">
        <v>3809</v>
      </c>
      <c r="F20" s="114" t="s">
        <v>3810</v>
      </c>
      <c r="G20" s="114" t="s">
        <v>3811</v>
      </c>
      <c r="H20" s="114" t="s">
        <v>3812</v>
      </c>
      <c r="I20" s="148">
        <v>1</v>
      </c>
      <c r="J20" s="114" t="s">
        <v>1696</v>
      </c>
      <c r="K20" s="114" t="s">
        <v>1696</v>
      </c>
      <c r="L20" s="114" t="s">
        <v>1955</v>
      </c>
      <c r="M20" s="114" t="s">
        <v>3813</v>
      </c>
      <c r="N20" s="114" t="s">
        <v>1689</v>
      </c>
      <c r="O20" s="114" t="s">
        <v>1988</v>
      </c>
      <c r="P20" s="114" t="s">
        <v>1367</v>
      </c>
      <c r="Q20" s="114" t="s">
        <v>1362</v>
      </c>
      <c r="R20" s="114"/>
      <c r="S20" s="114" t="s">
        <v>2261</v>
      </c>
      <c r="T20"/>
    </row>
    <row r="21" spans="1:20" ht="22" customHeight="1">
      <c r="A21" s="114" t="s">
        <v>3814</v>
      </c>
      <c r="B21" s="114" t="s">
        <v>2924</v>
      </c>
      <c r="C21" s="114" t="s">
        <v>1707</v>
      </c>
      <c r="D21" s="114" t="s">
        <v>2048</v>
      </c>
      <c r="E21" s="114" t="s">
        <v>3809</v>
      </c>
      <c r="F21" s="114" t="s">
        <v>3815</v>
      </c>
      <c r="G21" s="114" t="s">
        <v>3816</v>
      </c>
      <c r="H21" s="114" t="s">
        <v>3817</v>
      </c>
      <c r="I21" s="148">
        <v>2.5</v>
      </c>
      <c r="J21" s="114" t="s">
        <v>1696</v>
      </c>
      <c r="K21" s="114" t="s">
        <v>1696</v>
      </c>
      <c r="L21" s="114" t="s">
        <v>1955</v>
      </c>
      <c r="M21" s="114" t="s">
        <v>3818</v>
      </c>
      <c r="N21" s="114" t="s">
        <v>1689</v>
      </c>
      <c r="O21" s="114" t="s">
        <v>1988</v>
      </c>
      <c r="P21" s="114" t="s">
        <v>1367</v>
      </c>
      <c r="Q21" s="114" t="s">
        <v>1362</v>
      </c>
      <c r="R21" s="114"/>
      <c r="S21" s="114" t="s">
        <v>2261</v>
      </c>
      <c r="T21"/>
    </row>
    <row r="22" spans="1:20" ht="22" customHeight="1">
      <c r="A22" s="114" t="s">
        <v>3819</v>
      </c>
      <c r="B22" s="114" t="s">
        <v>2938</v>
      </c>
      <c r="C22" s="114" t="s">
        <v>1705</v>
      </c>
      <c r="D22" s="114" t="s">
        <v>2048</v>
      </c>
      <c r="E22" s="114" t="s">
        <v>3809</v>
      </c>
      <c r="F22" s="114" t="s">
        <v>3820</v>
      </c>
      <c r="G22" s="114" t="s">
        <v>3821</v>
      </c>
      <c r="H22" s="114" t="s">
        <v>3822</v>
      </c>
      <c r="I22" s="148">
        <v>1</v>
      </c>
      <c r="J22" s="114" t="s">
        <v>1696</v>
      </c>
      <c r="K22" s="114" t="s">
        <v>1696</v>
      </c>
      <c r="L22" s="114" t="s">
        <v>1951</v>
      </c>
      <c r="M22" s="114" t="s">
        <v>3823</v>
      </c>
      <c r="N22" s="114" t="s">
        <v>1689</v>
      </c>
      <c r="O22" s="114" t="s">
        <v>1988</v>
      </c>
      <c r="P22" s="114" t="s">
        <v>1367</v>
      </c>
      <c r="Q22" s="114" t="s">
        <v>1362</v>
      </c>
      <c r="R22" s="114"/>
      <c r="S22" s="114" t="s">
        <v>2261</v>
      </c>
      <c r="T22"/>
    </row>
    <row r="23" spans="1:20" ht="22" customHeight="1">
      <c r="A23" s="149" t="s">
        <v>3824</v>
      </c>
      <c r="B23" s="149" t="s">
        <v>2923</v>
      </c>
      <c r="C23" s="149" t="s">
        <v>1707</v>
      </c>
      <c r="D23" s="150" t="s">
        <v>2060</v>
      </c>
      <c r="E23" s="150" t="s">
        <v>2095</v>
      </c>
      <c r="F23" s="150" t="s">
        <v>1751</v>
      </c>
      <c r="G23" s="150" t="s">
        <v>3825</v>
      </c>
      <c r="H23" s="150" t="s">
        <v>3826</v>
      </c>
      <c r="I23" s="153">
        <v>0.5</v>
      </c>
      <c r="J23" s="149" t="s">
        <v>1696</v>
      </c>
      <c r="K23" s="149" t="s">
        <v>1696</v>
      </c>
      <c r="L23" s="150" t="s">
        <v>1955</v>
      </c>
      <c r="M23" s="150" t="s">
        <v>3827</v>
      </c>
      <c r="N23" s="150" t="s">
        <v>1689</v>
      </c>
      <c r="O23" s="149" t="s">
        <v>1987</v>
      </c>
      <c r="P23" s="149" t="s">
        <v>1367</v>
      </c>
      <c r="Q23" s="149" t="s">
        <v>1362</v>
      </c>
      <c r="R23" s="149" t="s">
        <v>3828</v>
      </c>
      <c r="S23" s="149" t="s">
        <v>2214</v>
      </c>
      <c r="T23"/>
    </row>
    <row r="24" spans="1:20" ht="22" customHeight="1">
      <c r="A24" s="149" t="s">
        <v>3829</v>
      </c>
      <c r="B24" s="149" t="s">
        <v>3777</v>
      </c>
      <c r="C24" s="149" t="s">
        <v>1707</v>
      </c>
      <c r="D24" s="150" t="s">
        <v>2060</v>
      </c>
      <c r="E24" s="150" t="s">
        <v>2095</v>
      </c>
      <c r="F24" s="150" t="s">
        <v>3830</v>
      </c>
      <c r="G24" s="150" t="s">
        <v>3831</v>
      </c>
      <c r="H24" s="150" t="s">
        <v>1934</v>
      </c>
      <c r="I24" s="153">
        <v>2</v>
      </c>
      <c r="J24" s="149" t="s">
        <v>1696</v>
      </c>
      <c r="K24" s="149" t="s">
        <v>1696</v>
      </c>
      <c r="L24" s="150" t="s">
        <v>1951</v>
      </c>
      <c r="M24" s="150" t="s">
        <v>3832</v>
      </c>
      <c r="N24" s="150" t="s">
        <v>3833</v>
      </c>
      <c r="O24" s="149" t="s">
        <v>1987</v>
      </c>
      <c r="P24" s="149" t="s">
        <v>1367</v>
      </c>
      <c r="Q24" s="149" t="s">
        <v>1362</v>
      </c>
      <c r="R24" s="149"/>
      <c r="S24" s="149" t="s">
        <v>2214</v>
      </c>
      <c r="T24"/>
    </row>
    <row r="25" spans="1:20" ht="22" customHeight="1">
      <c r="A25" s="114" t="s">
        <v>3834</v>
      </c>
      <c r="B25" s="114" t="s">
        <v>3757</v>
      </c>
      <c r="C25" s="114" t="s">
        <v>1705</v>
      </c>
      <c r="D25" s="114" t="s">
        <v>2060</v>
      </c>
      <c r="E25" s="114" t="s">
        <v>3835</v>
      </c>
      <c r="F25" s="114" t="s">
        <v>3836</v>
      </c>
      <c r="G25" s="114" t="s">
        <v>3837</v>
      </c>
      <c r="H25" s="114" t="s">
        <v>2945</v>
      </c>
      <c r="I25" s="148">
        <v>1.5</v>
      </c>
      <c r="J25" s="114" t="s">
        <v>1696</v>
      </c>
      <c r="K25" s="114" t="s">
        <v>1696</v>
      </c>
      <c r="L25" s="114" t="s">
        <v>1951</v>
      </c>
      <c r="M25" s="114" t="s">
        <v>3838</v>
      </c>
      <c r="N25" s="114" t="s">
        <v>1689</v>
      </c>
      <c r="O25" s="114" t="s">
        <v>1988</v>
      </c>
      <c r="P25" s="114" t="s">
        <v>1367</v>
      </c>
      <c r="Q25" s="114" t="s">
        <v>1362</v>
      </c>
      <c r="R25" s="114"/>
      <c r="S25" s="114" t="s">
        <v>3839</v>
      </c>
      <c r="T25"/>
    </row>
    <row r="26" spans="1:20" ht="22" customHeight="1">
      <c r="A26" s="114" t="s">
        <v>3840</v>
      </c>
      <c r="B26" s="114" t="s">
        <v>2926</v>
      </c>
      <c r="C26" s="114" t="s">
        <v>1705</v>
      </c>
      <c r="D26" s="114" t="s">
        <v>2060</v>
      </c>
      <c r="E26" s="114" t="s">
        <v>3835</v>
      </c>
      <c r="F26" s="114" t="s">
        <v>3841</v>
      </c>
      <c r="G26" s="114" t="s">
        <v>3842</v>
      </c>
      <c r="H26" s="114" t="s">
        <v>3843</v>
      </c>
      <c r="I26" s="148">
        <v>1.5</v>
      </c>
      <c r="J26" s="114" t="s">
        <v>1696</v>
      </c>
      <c r="K26" s="114" t="s">
        <v>1696</v>
      </c>
      <c r="L26" s="114" t="s">
        <v>1951</v>
      </c>
      <c r="M26" s="114" t="s">
        <v>3844</v>
      </c>
      <c r="N26" s="114" t="s">
        <v>1689</v>
      </c>
      <c r="O26" s="114" t="s">
        <v>1990</v>
      </c>
      <c r="P26" s="114" t="s">
        <v>1367</v>
      </c>
      <c r="Q26" s="114" t="s">
        <v>1362</v>
      </c>
      <c r="R26" s="114"/>
      <c r="S26" s="114" t="s">
        <v>3839</v>
      </c>
      <c r="T26"/>
    </row>
    <row r="27" spans="1:20" ht="22" customHeight="1">
      <c r="A27" s="149" t="s">
        <v>3845</v>
      </c>
      <c r="B27" s="149" t="s">
        <v>2923</v>
      </c>
      <c r="C27" s="149" t="s">
        <v>1707</v>
      </c>
      <c r="D27" s="150" t="s">
        <v>1660</v>
      </c>
      <c r="E27" s="150" t="s">
        <v>1993</v>
      </c>
      <c r="F27" s="150" t="s">
        <v>1754</v>
      </c>
      <c r="G27" s="150" t="s">
        <v>1832</v>
      </c>
      <c r="H27" s="150" t="s">
        <v>1908</v>
      </c>
      <c r="I27" s="153">
        <v>0.5</v>
      </c>
      <c r="J27" s="149" t="s">
        <v>1696</v>
      </c>
      <c r="K27" s="149" t="s">
        <v>1696</v>
      </c>
      <c r="L27" s="150" t="s">
        <v>1956</v>
      </c>
      <c r="M27" s="150" t="s">
        <v>3846</v>
      </c>
      <c r="N27" s="150" t="s">
        <v>3833</v>
      </c>
      <c r="O27" s="149" t="s">
        <v>1987</v>
      </c>
      <c r="P27" s="149" t="s">
        <v>1367</v>
      </c>
      <c r="Q27" s="149" t="s">
        <v>1362</v>
      </c>
      <c r="R27" s="149" t="s">
        <v>3847</v>
      </c>
      <c r="S27" s="149" t="s">
        <v>2262</v>
      </c>
      <c r="T27"/>
    </row>
    <row r="28" spans="1:20" ht="22" customHeight="1">
      <c r="A28" s="149" t="s">
        <v>3848</v>
      </c>
      <c r="B28" s="149" t="s">
        <v>2923</v>
      </c>
      <c r="C28" s="149" t="s">
        <v>1707</v>
      </c>
      <c r="D28" s="150" t="s">
        <v>1660</v>
      </c>
      <c r="E28" s="150" t="s">
        <v>1994</v>
      </c>
      <c r="F28" s="150" t="s">
        <v>1755</v>
      </c>
      <c r="G28" s="150" t="s">
        <v>1833</v>
      </c>
      <c r="H28" s="150" t="s">
        <v>1909</v>
      </c>
      <c r="I28" s="153">
        <v>0.5</v>
      </c>
      <c r="J28" s="149" t="s">
        <v>1696</v>
      </c>
      <c r="K28" s="149" t="s">
        <v>1696</v>
      </c>
      <c r="L28" s="150" t="s">
        <v>1956</v>
      </c>
      <c r="M28" s="150" t="s">
        <v>3846</v>
      </c>
      <c r="N28" s="150" t="s">
        <v>3833</v>
      </c>
      <c r="O28" s="149" t="s">
        <v>1987</v>
      </c>
      <c r="P28" s="149" t="s">
        <v>1367</v>
      </c>
      <c r="Q28" s="149" t="s">
        <v>1362</v>
      </c>
      <c r="R28" s="149" t="s">
        <v>3849</v>
      </c>
      <c r="S28" s="149" t="s">
        <v>2263</v>
      </c>
      <c r="T28"/>
    </row>
    <row r="29" spans="1:20" ht="22" customHeight="1">
      <c r="A29" s="114" t="s">
        <v>3850</v>
      </c>
      <c r="B29" s="114" t="s">
        <v>2922</v>
      </c>
      <c r="C29" s="114" t="s">
        <v>1707</v>
      </c>
      <c r="D29" s="114" t="s">
        <v>1659</v>
      </c>
      <c r="E29" s="114" t="s">
        <v>3851</v>
      </c>
      <c r="F29" s="114" t="s">
        <v>3852</v>
      </c>
      <c r="G29" s="114" t="s">
        <v>3853</v>
      </c>
      <c r="H29" s="114" t="s">
        <v>2946</v>
      </c>
      <c r="I29" s="148">
        <v>1</v>
      </c>
      <c r="J29" s="114" t="s">
        <v>1696</v>
      </c>
      <c r="K29" s="114" t="s">
        <v>1696</v>
      </c>
      <c r="L29" s="114" t="s">
        <v>1954</v>
      </c>
      <c r="M29" s="114" t="s">
        <v>3854</v>
      </c>
      <c r="N29" s="114" t="s">
        <v>1689</v>
      </c>
      <c r="O29" s="114" t="s">
        <v>1988</v>
      </c>
      <c r="P29" s="114" t="s">
        <v>1367</v>
      </c>
      <c r="Q29" s="114" t="s">
        <v>1362</v>
      </c>
      <c r="R29" s="114"/>
      <c r="S29" s="114" t="s">
        <v>2264</v>
      </c>
      <c r="T29"/>
    </row>
    <row r="30" spans="1:20" ht="22" customHeight="1">
      <c r="A30" s="149" t="s">
        <v>3855</v>
      </c>
      <c r="B30" s="149" t="s">
        <v>2927</v>
      </c>
      <c r="C30" s="149" t="s">
        <v>1707</v>
      </c>
      <c r="D30" s="150" t="s">
        <v>2063</v>
      </c>
      <c r="E30" s="150" t="s">
        <v>2138</v>
      </c>
      <c r="F30" s="150" t="s">
        <v>1740</v>
      </c>
      <c r="G30" s="150" t="s">
        <v>1821</v>
      </c>
      <c r="H30" s="150" t="s">
        <v>1895</v>
      </c>
      <c r="I30" s="153">
        <v>2</v>
      </c>
      <c r="J30" s="149" t="s">
        <v>1699</v>
      </c>
      <c r="K30" s="149" t="s">
        <v>1699</v>
      </c>
      <c r="L30" s="150" t="s">
        <v>1961</v>
      </c>
      <c r="M30" s="150" t="s">
        <v>3856</v>
      </c>
      <c r="N30" s="150" t="s">
        <v>1689</v>
      </c>
      <c r="O30" s="149" t="s">
        <v>1987</v>
      </c>
      <c r="P30" s="149" t="s">
        <v>1367</v>
      </c>
      <c r="Q30" s="149" t="s">
        <v>1362</v>
      </c>
      <c r="R30" s="149"/>
      <c r="S30" s="149" t="s">
        <v>2257</v>
      </c>
      <c r="T30"/>
    </row>
    <row r="31" spans="1:20" ht="22" customHeight="1">
      <c r="A31" s="149" t="s">
        <v>3857</v>
      </c>
      <c r="B31" s="149" t="s">
        <v>2925</v>
      </c>
      <c r="C31" s="149" t="s">
        <v>1706</v>
      </c>
      <c r="D31" s="150" t="s">
        <v>2063</v>
      </c>
      <c r="E31" s="151" t="s">
        <v>2138</v>
      </c>
      <c r="F31" s="150" t="s">
        <v>1792</v>
      </c>
      <c r="G31" s="150" t="s">
        <v>1863</v>
      </c>
      <c r="H31" s="150" t="s">
        <v>1947</v>
      </c>
      <c r="I31" s="154">
        <v>2</v>
      </c>
      <c r="J31" s="155" t="s">
        <v>1696</v>
      </c>
      <c r="K31" s="155" t="s">
        <v>1696</v>
      </c>
      <c r="L31" s="151" t="s">
        <v>1955</v>
      </c>
      <c r="M31" s="151" t="s">
        <v>3772</v>
      </c>
      <c r="N31" s="150" t="s">
        <v>1689</v>
      </c>
      <c r="O31" s="149" t="s">
        <v>1987</v>
      </c>
      <c r="P31" s="149" t="s">
        <v>1367</v>
      </c>
      <c r="Q31" s="149" t="s">
        <v>1362</v>
      </c>
      <c r="R31" s="149"/>
      <c r="S31" s="149" t="s">
        <v>2257</v>
      </c>
      <c r="T31"/>
    </row>
    <row r="32" spans="1:20" ht="22" customHeight="1">
      <c r="A32" s="149" t="s">
        <v>3858</v>
      </c>
      <c r="B32" s="149" t="s">
        <v>2925</v>
      </c>
      <c r="C32" s="149" t="s">
        <v>1706</v>
      </c>
      <c r="D32" s="150" t="s">
        <v>2063</v>
      </c>
      <c r="E32" s="151" t="s">
        <v>2138</v>
      </c>
      <c r="F32" s="150" t="s">
        <v>1795</v>
      </c>
      <c r="G32" s="150" t="s">
        <v>3859</v>
      </c>
      <c r="H32" s="150" t="s">
        <v>1950</v>
      </c>
      <c r="I32" s="154">
        <v>1</v>
      </c>
      <c r="J32" s="149" t="s">
        <v>1696</v>
      </c>
      <c r="K32" s="155" t="s">
        <v>1696</v>
      </c>
      <c r="L32" s="151" t="s">
        <v>1955</v>
      </c>
      <c r="M32" s="151" t="s">
        <v>3772</v>
      </c>
      <c r="N32" s="150" t="s">
        <v>1689</v>
      </c>
      <c r="O32" s="149" t="s">
        <v>1987</v>
      </c>
      <c r="P32" s="149" t="s">
        <v>1367</v>
      </c>
      <c r="Q32" s="149" t="s">
        <v>1362</v>
      </c>
      <c r="R32" s="149"/>
      <c r="S32" s="149" t="s">
        <v>2257</v>
      </c>
      <c r="T32"/>
    </row>
    <row r="33" spans="1:20" ht="22" customHeight="1">
      <c r="A33" s="149" t="s">
        <v>3860</v>
      </c>
      <c r="B33" s="149" t="s">
        <v>2925</v>
      </c>
      <c r="C33" s="149" t="s">
        <v>1706</v>
      </c>
      <c r="D33" s="150" t="s">
        <v>2063</v>
      </c>
      <c r="E33" s="151" t="s">
        <v>2182</v>
      </c>
      <c r="F33" s="150" t="s">
        <v>1793</v>
      </c>
      <c r="G33" s="150" t="s">
        <v>1864</v>
      </c>
      <c r="H33" s="150" t="s">
        <v>1948</v>
      </c>
      <c r="I33" s="154">
        <v>2</v>
      </c>
      <c r="J33" s="155" t="s">
        <v>1696</v>
      </c>
      <c r="K33" s="155" t="s">
        <v>1696</v>
      </c>
      <c r="L33" s="151" t="s">
        <v>1955</v>
      </c>
      <c r="M33" s="151" t="s">
        <v>3772</v>
      </c>
      <c r="N33" s="150" t="s">
        <v>1689</v>
      </c>
      <c r="O33" s="149" t="s">
        <v>1987</v>
      </c>
      <c r="P33" s="149" t="s">
        <v>1367</v>
      </c>
      <c r="Q33" s="149" t="s">
        <v>1362</v>
      </c>
      <c r="R33" s="149"/>
      <c r="S33" s="149" t="s">
        <v>2310</v>
      </c>
      <c r="T33"/>
    </row>
    <row r="34" spans="1:20" ht="22" customHeight="1">
      <c r="A34" s="149" t="s">
        <v>3861</v>
      </c>
      <c r="B34" s="149" t="s">
        <v>2925</v>
      </c>
      <c r="C34" s="149" t="s">
        <v>1706</v>
      </c>
      <c r="D34" s="150" t="s">
        <v>2063</v>
      </c>
      <c r="E34" s="151" t="s">
        <v>2182</v>
      </c>
      <c r="F34" s="150" t="s">
        <v>1794</v>
      </c>
      <c r="G34" s="150" t="s">
        <v>1865</v>
      </c>
      <c r="H34" s="150" t="s">
        <v>1949</v>
      </c>
      <c r="I34" s="154">
        <v>2</v>
      </c>
      <c r="J34" s="155" t="s">
        <v>1696</v>
      </c>
      <c r="K34" s="155" t="s">
        <v>1696</v>
      </c>
      <c r="L34" s="151" t="s">
        <v>1955</v>
      </c>
      <c r="M34" s="151" t="s">
        <v>3772</v>
      </c>
      <c r="N34" s="150" t="s">
        <v>1689</v>
      </c>
      <c r="O34" s="149" t="s">
        <v>1987</v>
      </c>
      <c r="P34" s="149" t="s">
        <v>1367</v>
      </c>
      <c r="Q34" s="149" t="s">
        <v>1362</v>
      </c>
      <c r="R34" s="149"/>
      <c r="S34" s="149" t="s">
        <v>2310</v>
      </c>
      <c r="T34"/>
    </row>
    <row r="35" spans="1:20" ht="22" customHeight="1">
      <c r="A35" s="114" t="s">
        <v>3862</v>
      </c>
      <c r="B35" s="114" t="s">
        <v>2928</v>
      </c>
      <c r="C35" s="114" t="s">
        <v>1707</v>
      </c>
      <c r="D35" s="114" t="s">
        <v>2055</v>
      </c>
      <c r="E35" s="114" t="s">
        <v>2080</v>
      </c>
      <c r="F35" s="114" t="s">
        <v>3863</v>
      </c>
      <c r="G35" s="114" t="s">
        <v>3864</v>
      </c>
      <c r="H35" s="114" t="s">
        <v>2947</v>
      </c>
      <c r="I35" s="148">
        <v>1</v>
      </c>
      <c r="J35" s="114" t="s">
        <v>1696</v>
      </c>
      <c r="K35" s="114" t="s">
        <v>1696</v>
      </c>
      <c r="L35" s="114" t="s">
        <v>1955</v>
      </c>
      <c r="M35" s="114" t="s">
        <v>3865</v>
      </c>
      <c r="N35" s="114" t="s">
        <v>1689</v>
      </c>
      <c r="O35" s="114" t="s">
        <v>1988</v>
      </c>
      <c r="P35" s="114" t="s">
        <v>1367</v>
      </c>
      <c r="Q35" s="114" t="s">
        <v>1362</v>
      </c>
      <c r="R35" s="114"/>
      <c r="S35" s="114" t="s">
        <v>2202</v>
      </c>
      <c r="T35"/>
    </row>
    <row r="36" spans="1:20" ht="22" customHeight="1">
      <c r="A36" s="114" t="s">
        <v>3866</v>
      </c>
      <c r="B36" s="114" t="s">
        <v>2928</v>
      </c>
      <c r="C36" s="114" t="s">
        <v>1707</v>
      </c>
      <c r="D36" s="114" t="s">
        <v>2055</v>
      </c>
      <c r="E36" s="114" t="s">
        <v>3867</v>
      </c>
      <c r="F36" s="114" t="s">
        <v>3868</v>
      </c>
      <c r="G36" s="114" t="s">
        <v>3869</v>
      </c>
      <c r="H36" s="114" t="s">
        <v>2948</v>
      </c>
      <c r="I36" s="148">
        <v>1</v>
      </c>
      <c r="J36" s="114" t="s">
        <v>1696</v>
      </c>
      <c r="K36" s="114" t="s">
        <v>1696</v>
      </c>
      <c r="L36" s="114" t="s">
        <v>1954</v>
      </c>
      <c r="M36" s="114" t="s">
        <v>3870</v>
      </c>
      <c r="N36" s="114" t="s">
        <v>1689</v>
      </c>
      <c r="O36" s="114" t="s">
        <v>1988</v>
      </c>
      <c r="P36" s="114" t="s">
        <v>1367</v>
      </c>
      <c r="Q36" s="114" t="s">
        <v>1362</v>
      </c>
      <c r="R36" s="114"/>
      <c r="S36" s="114" t="s">
        <v>2283</v>
      </c>
      <c r="T36"/>
    </row>
    <row r="37" spans="1:20" ht="22" customHeight="1">
      <c r="A37" s="114" t="s">
        <v>3872</v>
      </c>
      <c r="B37" s="114" t="s">
        <v>2926</v>
      </c>
      <c r="C37" s="114" t="s">
        <v>1704</v>
      </c>
      <c r="D37" s="114" t="s">
        <v>2066</v>
      </c>
      <c r="E37" s="114" t="s">
        <v>2159</v>
      </c>
      <c r="F37" s="114" t="s">
        <v>3873</v>
      </c>
      <c r="G37" s="114" t="s">
        <v>3874</v>
      </c>
      <c r="H37" s="114" t="s">
        <v>3875</v>
      </c>
      <c r="I37" s="148">
        <v>0.5</v>
      </c>
      <c r="J37" s="114" t="s">
        <v>1696</v>
      </c>
      <c r="K37" s="114" t="s">
        <v>1696</v>
      </c>
      <c r="L37" s="114" t="s">
        <v>1957</v>
      </c>
      <c r="M37" s="114" t="s">
        <v>3876</v>
      </c>
      <c r="N37" s="114" t="s">
        <v>1689</v>
      </c>
      <c r="O37" s="114" t="s">
        <v>1988</v>
      </c>
      <c r="P37" s="114" t="s">
        <v>1367</v>
      </c>
      <c r="Q37" s="114" t="s">
        <v>1991</v>
      </c>
      <c r="R37" s="114"/>
      <c r="S37" s="114" t="s">
        <v>2285</v>
      </c>
      <c r="T37"/>
    </row>
    <row r="38" spans="1:20" ht="22" customHeight="1">
      <c r="A38" s="114" t="s">
        <v>3877</v>
      </c>
      <c r="B38" s="114" t="s">
        <v>2924</v>
      </c>
      <c r="C38" s="114" t="s">
        <v>1707</v>
      </c>
      <c r="D38" s="114" t="s">
        <v>2046</v>
      </c>
      <c r="E38" s="114" t="s">
        <v>3878</v>
      </c>
      <c r="F38" s="114" t="s">
        <v>3879</v>
      </c>
      <c r="G38" s="114" t="s">
        <v>3880</v>
      </c>
      <c r="H38" s="114" t="s">
        <v>2949</v>
      </c>
      <c r="I38" s="148">
        <v>3</v>
      </c>
      <c r="J38" s="114" t="s">
        <v>1696</v>
      </c>
      <c r="K38" s="114" t="s">
        <v>1697</v>
      </c>
      <c r="L38" s="114" t="s">
        <v>1955</v>
      </c>
      <c r="M38" s="114" t="s">
        <v>3881</v>
      </c>
      <c r="N38" s="114" t="s">
        <v>1689</v>
      </c>
      <c r="O38" s="114" t="s">
        <v>1988</v>
      </c>
      <c r="P38" s="114" t="s">
        <v>1367</v>
      </c>
      <c r="Q38" s="114" t="s">
        <v>1362</v>
      </c>
      <c r="R38" s="114"/>
      <c r="S38" s="114" t="s">
        <v>2186</v>
      </c>
      <c r="T38"/>
    </row>
    <row r="39" spans="1:20" ht="22" customHeight="1">
      <c r="A39" s="114" t="s">
        <v>3882</v>
      </c>
      <c r="B39" s="114" t="s">
        <v>2922</v>
      </c>
      <c r="C39" s="114" t="s">
        <v>1707</v>
      </c>
      <c r="D39" s="114" t="s">
        <v>2046</v>
      </c>
      <c r="E39" s="114" t="s">
        <v>3878</v>
      </c>
      <c r="F39" s="114" t="s">
        <v>3883</v>
      </c>
      <c r="G39" s="114" t="s">
        <v>3884</v>
      </c>
      <c r="H39" s="114" t="s">
        <v>2950</v>
      </c>
      <c r="I39" s="148">
        <v>1</v>
      </c>
      <c r="J39" s="114" t="s">
        <v>1696</v>
      </c>
      <c r="K39" s="114" t="s">
        <v>1697</v>
      </c>
      <c r="L39" s="114" t="s">
        <v>1955</v>
      </c>
      <c r="M39" s="114" t="s">
        <v>3885</v>
      </c>
      <c r="N39" s="114" t="s">
        <v>1689</v>
      </c>
      <c r="O39" s="114" t="s">
        <v>1988</v>
      </c>
      <c r="P39" s="114" t="s">
        <v>1367</v>
      </c>
      <c r="Q39" s="114" t="s">
        <v>1362</v>
      </c>
      <c r="R39" s="114"/>
      <c r="S39" s="114" t="s">
        <v>2186</v>
      </c>
      <c r="T39"/>
    </row>
    <row r="40" spans="1:20" ht="22" customHeight="1">
      <c r="A40" s="114" t="s">
        <v>3886</v>
      </c>
      <c r="B40" s="114" t="s">
        <v>2922</v>
      </c>
      <c r="C40" s="114" t="s">
        <v>1707</v>
      </c>
      <c r="D40" s="114" t="s">
        <v>2046</v>
      </c>
      <c r="E40" s="114" t="s">
        <v>3887</v>
      </c>
      <c r="F40" s="114" t="s">
        <v>3888</v>
      </c>
      <c r="G40" s="114" t="s">
        <v>3889</v>
      </c>
      <c r="H40" s="114" t="s">
        <v>2951</v>
      </c>
      <c r="I40" s="148">
        <v>0.75</v>
      </c>
      <c r="J40" s="114" t="s">
        <v>1696</v>
      </c>
      <c r="K40" s="114" t="s">
        <v>1697</v>
      </c>
      <c r="L40" s="114" t="s">
        <v>1955</v>
      </c>
      <c r="M40" s="114" t="s">
        <v>280</v>
      </c>
      <c r="N40" s="114" t="s">
        <v>1689</v>
      </c>
      <c r="O40" s="114" t="s">
        <v>1988</v>
      </c>
      <c r="P40" s="114" t="s">
        <v>1367</v>
      </c>
      <c r="Q40" s="114" t="s">
        <v>1362</v>
      </c>
      <c r="R40" s="114"/>
      <c r="S40" s="114" t="s">
        <v>2265</v>
      </c>
      <c r="T40"/>
    </row>
    <row r="41" spans="1:20" ht="22" customHeight="1">
      <c r="A41" s="114" t="s">
        <v>3890</v>
      </c>
      <c r="B41" s="114" t="s">
        <v>2922</v>
      </c>
      <c r="C41" s="114" t="s">
        <v>1707</v>
      </c>
      <c r="D41" s="114" t="s">
        <v>2046</v>
      </c>
      <c r="E41" s="114" t="s">
        <v>2144</v>
      </c>
      <c r="F41" s="114" t="s">
        <v>3891</v>
      </c>
      <c r="G41" s="114" t="s">
        <v>3892</v>
      </c>
      <c r="H41" s="114" t="s">
        <v>2952</v>
      </c>
      <c r="I41" s="148">
        <v>1</v>
      </c>
      <c r="J41" s="114" t="s">
        <v>1696</v>
      </c>
      <c r="K41" s="114" t="s">
        <v>1697</v>
      </c>
      <c r="L41" s="114" t="s">
        <v>1954</v>
      </c>
      <c r="M41" s="114" t="s">
        <v>3893</v>
      </c>
      <c r="N41" s="114" t="s">
        <v>1689</v>
      </c>
      <c r="O41" s="114" t="s">
        <v>1988</v>
      </c>
      <c r="P41" s="114" t="s">
        <v>1367</v>
      </c>
      <c r="Q41" s="114" t="s">
        <v>1362</v>
      </c>
      <c r="R41" s="114"/>
      <c r="S41" s="114" t="s">
        <v>2266</v>
      </c>
      <c r="T41"/>
    </row>
    <row r="42" spans="1:20" ht="22" customHeight="1">
      <c r="A42" s="114" t="s">
        <v>3894</v>
      </c>
      <c r="B42" s="114" t="s">
        <v>2922</v>
      </c>
      <c r="C42" s="114" t="s">
        <v>1707</v>
      </c>
      <c r="D42" s="114" t="s">
        <v>2046</v>
      </c>
      <c r="E42" s="114" t="s">
        <v>3895</v>
      </c>
      <c r="F42" s="114" t="s">
        <v>3896</v>
      </c>
      <c r="G42" s="114" t="s">
        <v>3897</v>
      </c>
      <c r="H42" s="114" t="s">
        <v>2953</v>
      </c>
      <c r="I42" s="148">
        <v>0.5</v>
      </c>
      <c r="J42" s="114" t="s">
        <v>1696</v>
      </c>
      <c r="K42" s="114" t="s">
        <v>1697</v>
      </c>
      <c r="L42" s="114" t="s">
        <v>1955</v>
      </c>
      <c r="M42" s="114" t="s">
        <v>280</v>
      </c>
      <c r="N42" s="114" t="s">
        <v>1689</v>
      </c>
      <c r="O42" s="114" t="s">
        <v>1988</v>
      </c>
      <c r="P42" s="114" t="s">
        <v>1367</v>
      </c>
      <c r="Q42" s="114" t="s">
        <v>1362</v>
      </c>
      <c r="R42" s="114"/>
      <c r="S42" s="114" t="s">
        <v>2267</v>
      </c>
      <c r="T42"/>
    </row>
    <row r="43" spans="1:20" ht="22" customHeight="1">
      <c r="A43" s="114" t="s">
        <v>3898</v>
      </c>
      <c r="B43" s="114" t="s">
        <v>2922</v>
      </c>
      <c r="C43" s="114" t="s">
        <v>1707</v>
      </c>
      <c r="D43" s="114" t="s">
        <v>2046</v>
      </c>
      <c r="E43" s="114" t="s">
        <v>2146</v>
      </c>
      <c r="F43" s="114" t="s">
        <v>1756</v>
      </c>
      <c r="G43" s="114" t="s">
        <v>3899</v>
      </c>
      <c r="H43" s="114" t="s">
        <v>2954</v>
      </c>
      <c r="I43" s="148">
        <v>0.5</v>
      </c>
      <c r="J43" s="114" t="s">
        <v>1696</v>
      </c>
      <c r="K43" s="114" t="s">
        <v>1697</v>
      </c>
      <c r="L43" s="114" t="s">
        <v>1953</v>
      </c>
      <c r="M43" s="114" t="s">
        <v>3900</v>
      </c>
      <c r="N43" s="114" t="s">
        <v>1689</v>
      </c>
      <c r="O43" s="114" t="s">
        <v>1988</v>
      </c>
      <c r="P43" s="114" t="s">
        <v>1367</v>
      </c>
      <c r="Q43" s="114" t="s">
        <v>1362</v>
      </c>
      <c r="R43" s="114"/>
      <c r="S43" s="114" t="s">
        <v>2268</v>
      </c>
      <c r="T43"/>
    </row>
    <row r="44" spans="1:20" ht="22" customHeight="1">
      <c r="A44" s="114" t="s">
        <v>3901</v>
      </c>
      <c r="B44" s="114" t="s">
        <v>2929</v>
      </c>
      <c r="C44" s="114" t="s">
        <v>1707</v>
      </c>
      <c r="D44" s="114" t="s">
        <v>2061</v>
      </c>
      <c r="E44" s="114" t="s">
        <v>2147</v>
      </c>
      <c r="F44" s="114" t="s">
        <v>3902</v>
      </c>
      <c r="G44" s="114" t="s">
        <v>3903</v>
      </c>
      <c r="H44" s="114" t="s">
        <v>2955</v>
      </c>
      <c r="I44" s="148">
        <v>1.5</v>
      </c>
      <c r="J44" s="114" t="s">
        <v>1696</v>
      </c>
      <c r="K44" s="114" t="s">
        <v>1697</v>
      </c>
      <c r="L44" s="114" t="s">
        <v>1955</v>
      </c>
      <c r="M44" s="114" t="s">
        <v>3904</v>
      </c>
      <c r="N44" s="114" t="s">
        <v>1689</v>
      </c>
      <c r="O44" s="114" t="s">
        <v>1988</v>
      </c>
      <c r="P44" s="114" t="s">
        <v>1367</v>
      </c>
      <c r="Q44" s="114" t="s">
        <v>1362</v>
      </c>
      <c r="R44" s="114"/>
      <c r="S44" s="114" t="s">
        <v>2269</v>
      </c>
      <c r="T44"/>
    </row>
    <row r="45" spans="1:20" ht="22" customHeight="1">
      <c r="A45" s="114" t="s">
        <v>3905</v>
      </c>
      <c r="B45" s="114" t="s">
        <v>2929</v>
      </c>
      <c r="C45" s="114" t="s">
        <v>1707</v>
      </c>
      <c r="D45" s="114" t="s">
        <v>2061</v>
      </c>
      <c r="E45" s="114" t="s">
        <v>2147</v>
      </c>
      <c r="F45" s="114" t="s">
        <v>3906</v>
      </c>
      <c r="G45" s="114" t="s">
        <v>3907</v>
      </c>
      <c r="H45" s="114" t="s">
        <v>2956</v>
      </c>
      <c r="I45" s="148">
        <v>1.5</v>
      </c>
      <c r="J45" s="114" t="s">
        <v>1696</v>
      </c>
      <c r="K45" s="114" t="s">
        <v>1697</v>
      </c>
      <c r="L45" s="114" t="s">
        <v>1955</v>
      </c>
      <c r="M45" s="114" t="s">
        <v>3908</v>
      </c>
      <c r="N45" s="114" t="s">
        <v>1689</v>
      </c>
      <c r="O45" s="114" t="s">
        <v>1988</v>
      </c>
      <c r="P45" s="114" t="s">
        <v>1367</v>
      </c>
      <c r="Q45" s="114" t="s">
        <v>1362</v>
      </c>
      <c r="R45" s="114"/>
      <c r="S45" s="114" t="s">
        <v>2269</v>
      </c>
      <c r="T45"/>
    </row>
    <row r="46" spans="1:20" ht="22" customHeight="1">
      <c r="A46" s="114" t="s">
        <v>3909</v>
      </c>
      <c r="B46" s="114" t="s">
        <v>2922</v>
      </c>
      <c r="C46" s="114" t="s">
        <v>1707</v>
      </c>
      <c r="D46" s="114" t="s">
        <v>2061</v>
      </c>
      <c r="E46" s="114" t="s">
        <v>2096</v>
      </c>
      <c r="F46" s="114" t="s">
        <v>3910</v>
      </c>
      <c r="G46" s="114" t="s">
        <v>3911</v>
      </c>
      <c r="H46" s="114" t="s">
        <v>2957</v>
      </c>
      <c r="I46" s="148">
        <v>0.75</v>
      </c>
      <c r="J46" s="114" t="s">
        <v>1696</v>
      </c>
      <c r="K46" s="114" t="s">
        <v>1697</v>
      </c>
      <c r="L46" s="114" t="s">
        <v>1954</v>
      </c>
      <c r="M46" s="114" t="s">
        <v>3912</v>
      </c>
      <c r="N46" s="114" t="s">
        <v>1689</v>
      </c>
      <c r="O46" s="114" t="s">
        <v>1988</v>
      </c>
      <c r="P46" s="114" t="s">
        <v>1367</v>
      </c>
      <c r="Q46" s="114" t="s">
        <v>1362</v>
      </c>
      <c r="R46" s="114"/>
      <c r="S46" s="114" t="s">
        <v>2215</v>
      </c>
      <c r="T46"/>
    </row>
    <row r="47" spans="1:20" ht="22" customHeight="1">
      <c r="A47" s="114" t="s">
        <v>3913</v>
      </c>
      <c r="B47" s="114" t="s">
        <v>2922</v>
      </c>
      <c r="C47" s="114" t="s">
        <v>1707</v>
      </c>
      <c r="D47" s="114" t="s">
        <v>2047</v>
      </c>
      <c r="E47" s="114" t="s">
        <v>3914</v>
      </c>
      <c r="F47" s="114" t="s">
        <v>3915</v>
      </c>
      <c r="G47" s="114" t="s">
        <v>3916</v>
      </c>
      <c r="H47" s="114" t="s">
        <v>2958</v>
      </c>
      <c r="I47" s="148">
        <v>0.75</v>
      </c>
      <c r="J47" s="114" t="s">
        <v>1696</v>
      </c>
      <c r="K47" s="114" t="s">
        <v>1697</v>
      </c>
      <c r="L47" s="114" t="s">
        <v>1954</v>
      </c>
      <c r="M47" s="114" t="s">
        <v>3917</v>
      </c>
      <c r="N47" s="114" t="s">
        <v>1689</v>
      </c>
      <c r="O47" s="114" t="s">
        <v>1988</v>
      </c>
      <c r="P47" s="114" t="s">
        <v>1367</v>
      </c>
      <c r="Q47" s="114" t="s">
        <v>1362</v>
      </c>
      <c r="R47" s="114"/>
      <c r="S47" s="114" t="s">
        <v>2187</v>
      </c>
      <c r="T47"/>
    </row>
    <row r="48" spans="1:20" ht="22" customHeight="1">
      <c r="A48" s="114" t="s">
        <v>3918</v>
      </c>
      <c r="B48" s="114" t="s">
        <v>2922</v>
      </c>
      <c r="C48" s="114" t="s">
        <v>1707</v>
      </c>
      <c r="D48" s="114" t="s">
        <v>2047</v>
      </c>
      <c r="E48" s="114" t="s">
        <v>3919</v>
      </c>
      <c r="F48" s="114" t="s">
        <v>3920</v>
      </c>
      <c r="G48" s="114" t="s">
        <v>3921</v>
      </c>
      <c r="H48" s="114" t="s">
        <v>2959</v>
      </c>
      <c r="I48" s="148">
        <v>0.75</v>
      </c>
      <c r="J48" s="114" t="s">
        <v>1696</v>
      </c>
      <c r="K48" s="114" t="s">
        <v>1697</v>
      </c>
      <c r="L48" s="114" t="s">
        <v>1954</v>
      </c>
      <c r="M48" s="114" t="s">
        <v>3922</v>
      </c>
      <c r="N48" s="114" t="s">
        <v>1689</v>
      </c>
      <c r="O48" s="114" t="s">
        <v>1988</v>
      </c>
      <c r="P48" s="114" t="s">
        <v>1367</v>
      </c>
      <c r="Q48" s="114" t="s">
        <v>1362</v>
      </c>
      <c r="R48" s="114"/>
      <c r="S48" s="114" t="s">
        <v>2270</v>
      </c>
      <c r="T48"/>
    </row>
    <row r="49" spans="1:20" ht="22" customHeight="1">
      <c r="A49" s="114" t="s">
        <v>3923</v>
      </c>
      <c r="B49" s="114" t="s">
        <v>2929</v>
      </c>
      <c r="C49" s="114" t="s">
        <v>1707</v>
      </c>
      <c r="D49" s="114" t="s">
        <v>2047</v>
      </c>
      <c r="E49" s="114" t="s">
        <v>2149</v>
      </c>
      <c r="F49" s="114" t="s">
        <v>3924</v>
      </c>
      <c r="G49" s="114" t="s">
        <v>3925</v>
      </c>
      <c r="H49" s="114" t="s">
        <v>3926</v>
      </c>
      <c r="I49" s="148">
        <v>1.5</v>
      </c>
      <c r="J49" s="114" t="s">
        <v>1696</v>
      </c>
      <c r="K49" s="114" t="s">
        <v>1696</v>
      </c>
      <c r="L49" s="114" t="s">
        <v>1959</v>
      </c>
      <c r="M49" s="114" t="s">
        <v>3927</v>
      </c>
      <c r="N49" s="114" t="s">
        <v>1689</v>
      </c>
      <c r="O49" s="114" t="s">
        <v>1990</v>
      </c>
      <c r="P49" s="114" t="s">
        <v>1367</v>
      </c>
      <c r="Q49" s="114" t="s">
        <v>1362</v>
      </c>
      <c r="R49" s="114"/>
      <c r="S49" s="114" t="s">
        <v>2272</v>
      </c>
      <c r="T49"/>
    </row>
    <row r="50" spans="1:20" ht="22" customHeight="1">
      <c r="A50" s="114" t="s">
        <v>3928</v>
      </c>
      <c r="B50" s="114" t="s">
        <v>2923</v>
      </c>
      <c r="C50" s="114" t="s">
        <v>1707</v>
      </c>
      <c r="D50" s="114" t="s">
        <v>2047</v>
      </c>
      <c r="E50" s="114" t="s">
        <v>2148</v>
      </c>
      <c r="F50" s="114" t="s">
        <v>3929</v>
      </c>
      <c r="G50" s="114" t="s">
        <v>3930</v>
      </c>
      <c r="H50" s="114" t="s">
        <v>3931</v>
      </c>
      <c r="I50" s="148">
        <v>1</v>
      </c>
      <c r="J50" s="114" t="s">
        <v>1696</v>
      </c>
      <c r="K50" s="114" t="s">
        <v>1696</v>
      </c>
      <c r="L50" s="114" t="s">
        <v>1959</v>
      </c>
      <c r="M50" s="114" t="s">
        <v>3932</v>
      </c>
      <c r="N50" s="114" t="s">
        <v>1689</v>
      </c>
      <c r="O50" s="114" t="s">
        <v>1988</v>
      </c>
      <c r="P50" s="114" t="s">
        <v>1367</v>
      </c>
      <c r="Q50" s="114" t="s">
        <v>1362</v>
      </c>
      <c r="R50" s="114"/>
      <c r="S50" s="114" t="s">
        <v>2271</v>
      </c>
      <c r="T50"/>
    </row>
    <row r="51" spans="1:20" ht="22" customHeight="1">
      <c r="A51" s="149" t="s">
        <v>3933</v>
      </c>
      <c r="B51" s="149" t="s">
        <v>2922</v>
      </c>
      <c r="C51" s="149" t="s">
        <v>1707</v>
      </c>
      <c r="D51" s="150" t="s">
        <v>2062</v>
      </c>
      <c r="E51" s="150" t="s">
        <v>2153</v>
      </c>
      <c r="F51" s="150" t="s">
        <v>3934</v>
      </c>
      <c r="G51" s="150" t="s">
        <v>3935</v>
      </c>
      <c r="H51" s="150" t="s">
        <v>2960</v>
      </c>
      <c r="I51" s="153">
        <v>1</v>
      </c>
      <c r="J51" s="149" t="s">
        <v>1696</v>
      </c>
      <c r="K51" s="149" t="s">
        <v>1696</v>
      </c>
      <c r="L51" s="150" t="s">
        <v>1960</v>
      </c>
      <c r="M51" s="150" t="s">
        <v>3936</v>
      </c>
      <c r="N51" s="150" t="s">
        <v>1689</v>
      </c>
      <c r="O51" s="149" t="s">
        <v>1988</v>
      </c>
      <c r="P51" s="149" t="s">
        <v>1367</v>
      </c>
      <c r="Q51" s="149" t="s">
        <v>1362</v>
      </c>
      <c r="R51" s="149"/>
      <c r="S51" s="149" t="s">
        <v>2273</v>
      </c>
      <c r="T51"/>
    </row>
    <row r="52" spans="1:20" ht="22" customHeight="1">
      <c r="A52" s="114" t="s">
        <v>3937</v>
      </c>
      <c r="B52" s="114" t="s">
        <v>2930</v>
      </c>
      <c r="C52" s="114" t="s">
        <v>1706</v>
      </c>
      <c r="D52" s="114" t="s">
        <v>2062</v>
      </c>
      <c r="E52" s="114" t="s">
        <v>2109</v>
      </c>
      <c r="F52" s="114" t="s">
        <v>1725</v>
      </c>
      <c r="G52" s="114" t="s">
        <v>1808</v>
      </c>
      <c r="H52" s="114" t="s">
        <v>1881</v>
      </c>
      <c r="I52" s="148">
        <v>1</v>
      </c>
      <c r="J52" s="114" t="s">
        <v>1696</v>
      </c>
      <c r="K52" s="114" t="s">
        <v>1696</v>
      </c>
      <c r="L52" s="114" t="s">
        <v>1960</v>
      </c>
      <c r="M52" s="114" t="s">
        <v>1973</v>
      </c>
      <c r="N52" s="114" t="s">
        <v>1689</v>
      </c>
      <c r="O52" s="114" t="s">
        <v>1990</v>
      </c>
      <c r="P52" s="114" t="s">
        <v>1367</v>
      </c>
      <c r="Q52" s="114" t="s">
        <v>1362</v>
      </c>
      <c r="R52" s="114"/>
      <c r="S52" s="114" t="s">
        <v>2228</v>
      </c>
      <c r="T52"/>
    </row>
    <row r="53" spans="1:20" ht="22" customHeight="1">
      <c r="A53" s="149" t="s">
        <v>3938</v>
      </c>
      <c r="B53" s="149" t="s">
        <v>2922</v>
      </c>
      <c r="C53" s="149" t="s">
        <v>1707</v>
      </c>
      <c r="D53" s="150" t="s">
        <v>3939</v>
      </c>
      <c r="E53" s="150" t="s">
        <v>3940</v>
      </c>
      <c r="F53" s="150" t="s">
        <v>3941</v>
      </c>
      <c r="G53" s="150" t="s">
        <v>3942</v>
      </c>
      <c r="H53" s="150" t="s">
        <v>2961</v>
      </c>
      <c r="I53" s="153">
        <v>2</v>
      </c>
      <c r="J53" s="149" t="s">
        <v>1696</v>
      </c>
      <c r="K53" s="149" t="s">
        <v>1696</v>
      </c>
      <c r="L53" s="150" t="s">
        <v>1955</v>
      </c>
      <c r="M53" s="150" t="s">
        <v>3943</v>
      </c>
      <c r="N53" s="150" t="s">
        <v>1689</v>
      </c>
      <c r="O53" s="149" t="s">
        <v>1988</v>
      </c>
      <c r="P53" s="149" t="s">
        <v>1367</v>
      </c>
      <c r="Q53" s="149" t="s">
        <v>1362</v>
      </c>
      <c r="R53" s="149"/>
      <c r="S53" s="149" t="s">
        <v>2200</v>
      </c>
      <c r="T53"/>
    </row>
    <row r="54" spans="1:20" ht="22" customHeight="1">
      <c r="A54" s="114" t="s">
        <v>3944</v>
      </c>
      <c r="B54" s="114" t="s">
        <v>2926</v>
      </c>
      <c r="C54" s="114" t="s">
        <v>1704</v>
      </c>
      <c r="D54" s="114" t="s">
        <v>3939</v>
      </c>
      <c r="E54" s="114" t="s">
        <v>2154</v>
      </c>
      <c r="F54" s="114" t="s">
        <v>3945</v>
      </c>
      <c r="G54" s="114" t="s">
        <v>3946</v>
      </c>
      <c r="H54" s="114" t="s">
        <v>1869</v>
      </c>
      <c r="I54" s="148">
        <v>3</v>
      </c>
      <c r="J54" s="114" t="s">
        <v>1696</v>
      </c>
      <c r="K54" s="114" t="s">
        <v>1696</v>
      </c>
      <c r="L54" s="114" t="s">
        <v>1952</v>
      </c>
      <c r="M54" s="114" t="s">
        <v>1965</v>
      </c>
      <c r="N54" s="114" t="s">
        <v>1689</v>
      </c>
      <c r="O54" s="114" t="s">
        <v>1988</v>
      </c>
      <c r="P54" s="114" t="s">
        <v>1367</v>
      </c>
      <c r="Q54" s="114" t="s">
        <v>1362</v>
      </c>
      <c r="R54" s="114"/>
      <c r="S54" s="114" t="s">
        <v>2274</v>
      </c>
      <c r="T54"/>
    </row>
    <row r="55" spans="1:20" ht="22" customHeight="1">
      <c r="A55" s="149" t="s">
        <v>3947</v>
      </c>
      <c r="B55" s="149" t="s">
        <v>2922</v>
      </c>
      <c r="C55" s="149" t="s">
        <v>1707</v>
      </c>
      <c r="D55" s="150" t="s">
        <v>3939</v>
      </c>
      <c r="E55" s="150" t="s">
        <v>1709</v>
      </c>
      <c r="F55" s="150" t="s">
        <v>3948</v>
      </c>
      <c r="G55" s="150" t="s">
        <v>3949</v>
      </c>
      <c r="H55" s="150" t="s">
        <v>2962</v>
      </c>
      <c r="I55" s="153">
        <v>1</v>
      </c>
      <c r="J55" s="149" t="s">
        <v>1696</v>
      </c>
      <c r="K55" s="149" t="s">
        <v>1696</v>
      </c>
      <c r="L55" s="150" t="s">
        <v>1960</v>
      </c>
      <c r="M55" s="150" t="s">
        <v>3950</v>
      </c>
      <c r="N55" s="150" t="s">
        <v>1689</v>
      </c>
      <c r="O55" s="149" t="s">
        <v>1988</v>
      </c>
      <c r="P55" s="149" t="s">
        <v>1367</v>
      </c>
      <c r="Q55" s="149" t="s">
        <v>1362</v>
      </c>
      <c r="R55" s="149"/>
      <c r="S55" s="149" t="s">
        <v>2279</v>
      </c>
      <c r="T55"/>
    </row>
    <row r="56" spans="1:20" ht="22" customHeight="1">
      <c r="A56" s="114" t="s">
        <v>3951</v>
      </c>
      <c r="B56" s="114" t="s">
        <v>2927</v>
      </c>
      <c r="C56" s="114" t="s">
        <v>1707</v>
      </c>
      <c r="D56" s="114" t="s">
        <v>1661</v>
      </c>
      <c r="E56" s="114" t="s">
        <v>2129</v>
      </c>
      <c r="F56" s="114" t="s">
        <v>1743</v>
      </c>
      <c r="G56" s="114" t="s">
        <v>1824</v>
      </c>
      <c r="H56" s="114" t="s">
        <v>1898</v>
      </c>
      <c r="I56" s="148">
        <v>2</v>
      </c>
      <c r="J56" s="114" t="s">
        <v>1699</v>
      </c>
      <c r="K56" s="114" t="s">
        <v>1699</v>
      </c>
      <c r="L56" s="114" t="s">
        <v>1962</v>
      </c>
      <c r="M56" s="114" t="s">
        <v>3952</v>
      </c>
      <c r="N56" s="114" t="s">
        <v>1689</v>
      </c>
      <c r="O56" s="114" t="s">
        <v>1988</v>
      </c>
      <c r="P56" s="114" t="s">
        <v>1367</v>
      </c>
      <c r="Q56" s="114" t="s">
        <v>1362</v>
      </c>
      <c r="R56" s="114"/>
      <c r="S56" s="114" t="s">
        <v>2247</v>
      </c>
      <c r="T56"/>
    </row>
    <row r="57" spans="1:20" ht="22" customHeight="1">
      <c r="A57" s="149" t="s">
        <v>3953</v>
      </c>
      <c r="B57" s="149" t="s">
        <v>2929</v>
      </c>
      <c r="C57" s="149" t="s">
        <v>1704</v>
      </c>
      <c r="D57" s="150" t="s">
        <v>1661</v>
      </c>
      <c r="E57" s="150" t="s">
        <v>2129</v>
      </c>
      <c r="F57" s="150" t="s">
        <v>3954</v>
      </c>
      <c r="G57" s="150" t="s">
        <v>3955</v>
      </c>
      <c r="H57" s="150" t="s">
        <v>2963</v>
      </c>
      <c r="I57" s="153">
        <v>1</v>
      </c>
      <c r="J57" s="149" t="s">
        <v>1698</v>
      </c>
      <c r="K57" s="149" t="s">
        <v>1697</v>
      </c>
      <c r="L57" s="150" t="s">
        <v>1957</v>
      </c>
      <c r="M57" s="150" t="s">
        <v>3956</v>
      </c>
      <c r="N57" s="150" t="s">
        <v>1689</v>
      </c>
      <c r="O57" s="149" t="s">
        <v>1988</v>
      </c>
      <c r="P57" s="149" t="s">
        <v>1367</v>
      </c>
      <c r="Q57" s="149" t="s">
        <v>1362</v>
      </c>
      <c r="R57" s="149"/>
      <c r="S57" s="149" t="s">
        <v>2247</v>
      </c>
      <c r="T57"/>
    </row>
    <row r="58" spans="1:20" ht="22" customHeight="1">
      <c r="A58" s="149" t="s">
        <v>3957</v>
      </c>
      <c r="B58" s="149" t="s">
        <v>3777</v>
      </c>
      <c r="C58" s="149" t="s">
        <v>1707</v>
      </c>
      <c r="D58" s="150" t="s">
        <v>2057</v>
      </c>
      <c r="E58" s="151" t="s">
        <v>3958</v>
      </c>
      <c r="F58" s="150" t="s">
        <v>3959</v>
      </c>
      <c r="G58" s="150" t="s">
        <v>3960</v>
      </c>
      <c r="H58" s="150" t="s">
        <v>1931</v>
      </c>
      <c r="I58" s="154">
        <v>1</v>
      </c>
      <c r="J58" s="155" t="s">
        <v>1696</v>
      </c>
      <c r="K58" s="155" t="s">
        <v>1696</v>
      </c>
      <c r="L58" s="151" t="s">
        <v>1956</v>
      </c>
      <c r="M58" s="151" t="s">
        <v>3961</v>
      </c>
      <c r="N58" s="150" t="s">
        <v>1689</v>
      </c>
      <c r="O58" s="149" t="s">
        <v>1986</v>
      </c>
      <c r="P58" s="149" t="s">
        <v>1367</v>
      </c>
      <c r="Q58" s="149" t="s">
        <v>1362</v>
      </c>
      <c r="R58" s="149"/>
      <c r="S58" s="149" t="s">
        <v>2288</v>
      </c>
      <c r="T58"/>
    </row>
    <row r="59" spans="1:20" ht="22" customHeight="1">
      <c r="A59" s="149" t="s">
        <v>3962</v>
      </c>
      <c r="B59" s="149" t="s">
        <v>2925</v>
      </c>
      <c r="C59" s="149" t="s">
        <v>1706</v>
      </c>
      <c r="D59" s="150" t="s">
        <v>2057</v>
      </c>
      <c r="E59" s="151" t="s">
        <v>3958</v>
      </c>
      <c r="F59" s="150" t="s">
        <v>1789</v>
      </c>
      <c r="G59" s="150" t="s">
        <v>3963</v>
      </c>
      <c r="H59" s="150" t="s">
        <v>1944</v>
      </c>
      <c r="I59" s="154">
        <v>2</v>
      </c>
      <c r="J59" s="155" t="s">
        <v>1696</v>
      </c>
      <c r="K59" s="155" t="s">
        <v>1696</v>
      </c>
      <c r="L59" s="151" t="s">
        <v>1955</v>
      </c>
      <c r="M59" s="151" t="s">
        <v>3772</v>
      </c>
      <c r="N59" s="150" t="s">
        <v>1689</v>
      </c>
      <c r="O59" s="149" t="s">
        <v>1987</v>
      </c>
      <c r="P59" s="149" t="s">
        <v>1367</v>
      </c>
      <c r="Q59" s="149" t="s">
        <v>1362</v>
      </c>
      <c r="R59" s="149"/>
      <c r="S59" s="149" t="s">
        <v>2288</v>
      </c>
      <c r="T59"/>
    </row>
    <row r="60" spans="1:20" ht="22" customHeight="1">
      <c r="A60" s="114" t="s">
        <v>3964</v>
      </c>
      <c r="B60" s="114" t="s">
        <v>2925</v>
      </c>
      <c r="C60" s="114" t="s">
        <v>1706</v>
      </c>
      <c r="D60" s="114" t="s">
        <v>2057</v>
      </c>
      <c r="E60" s="114" t="s">
        <v>3958</v>
      </c>
      <c r="F60" s="114" t="s">
        <v>1790</v>
      </c>
      <c r="G60" s="114" t="s">
        <v>1861</v>
      </c>
      <c r="H60" s="114" t="s">
        <v>1945</v>
      </c>
      <c r="I60" s="148">
        <v>1</v>
      </c>
      <c r="J60" s="114" t="s">
        <v>1696</v>
      </c>
      <c r="K60" s="114" t="s">
        <v>1696</v>
      </c>
      <c r="L60" s="114" t="s">
        <v>1955</v>
      </c>
      <c r="M60" s="114" t="s">
        <v>3772</v>
      </c>
      <c r="N60" s="114" t="s">
        <v>1689</v>
      </c>
      <c r="O60" s="114" t="s">
        <v>1987</v>
      </c>
      <c r="P60" s="114" t="s">
        <v>1367</v>
      </c>
      <c r="Q60" s="114" t="s">
        <v>1362</v>
      </c>
      <c r="R60" s="114"/>
      <c r="S60" s="114" t="s">
        <v>2288</v>
      </c>
      <c r="T60"/>
    </row>
    <row r="61" spans="1:20" ht="22" customHeight="1">
      <c r="A61" s="149" t="s">
        <v>3965</v>
      </c>
      <c r="B61" s="149" t="s">
        <v>2922</v>
      </c>
      <c r="C61" s="149" t="s">
        <v>1707</v>
      </c>
      <c r="D61" s="150" t="s">
        <v>2057</v>
      </c>
      <c r="E61" s="150" t="s">
        <v>3966</v>
      </c>
      <c r="F61" s="150" t="s">
        <v>3967</v>
      </c>
      <c r="G61" s="150" t="s">
        <v>3968</v>
      </c>
      <c r="H61" s="150" t="s">
        <v>2964</v>
      </c>
      <c r="I61" s="153">
        <v>0.5</v>
      </c>
      <c r="J61" s="149" t="s">
        <v>1696</v>
      </c>
      <c r="K61" s="149" t="s">
        <v>1696</v>
      </c>
      <c r="L61" s="150" t="s">
        <v>1954</v>
      </c>
      <c r="M61" s="150" t="s">
        <v>3969</v>
      </c>
      <c r="N61" s="150" t="s">
        <v>1689</v>
      </c>
      <c r="O61" s="149" t="s">
        <v>1988</v>
      </c>
      <c r="P61" s="149" t="s">
        <v>1367</v>
      </c>
      <c r="Q61" s="149" t="s">
        <v>1362</v>
      </c>
      <c r="R61" s="149"/>
      <c r="S61" s="149" t="s">
        <v>2275</v>
      </c>
      <c r="T61"/>
    </row>
    <row r="62" spans="1:20" ht="22" customHeight="1">
      <c r="A62" s="114" t="s">
        <v>3970</v>
      </c>
      <c r="B62" s="114" t="s">
        <v>2926</v>
      </c>
      <c r="C62" s="114" t="s">
        <v>1704</v>
      </c>
      <c r="D62" s="114" t="s">
        <v>2057</v>
      </c>
      <c r="E62" s="114" t="s">
        <v>2090</v>
      </c>
      <c r="F62" s="114" t="s">
        <v>1711</v>
      </c>
      <c r="G62" s="114" t="s">
        <v>1797</v>
      </c>
      <c r="H62" s="114" t="s">
        <v>3971</v>
      </c>
      <c r="I62" s="148">
        <v>1</v>
      </c>
      <c r="J62" s="114" t="s">
        <v>1696</v>
      </c>
      <c r="K62" s="114" t="s">
        <v>1696</v>
      </c>
      <c r="L62" s="114" t="s">
        <v>1951</v>
      </c>
      <c r="M62" s="114" t="s">
        <v>1967</v>
      </c>
      <c r="N62" s="114" t="s">
        <v>1985</v>
      </c>
      <c r="O62" s="114" t="s">
        <v>1988</v>
      </c>
      <c r="P62" s="114" t="s">
        <v>1367</v>
      </c>
      <c r="Q62" s="114" t="s">
        <v>1362</v>
      </c>
      <c r="R62" s="114"/>
      <c r="S62" s="114" t="s">
        <v>2210</v>
      </c>
      <c r="T62"/>
    </row>
    <row r="63" spans="1:20" ht="22" customHeight="1">
      <c r="A63" s="149" t="s">
        <v>3708</v>
      </c>
      <c r="B63" s="149" t="s">
        <v>2922</v>
      </c>
      <c r="C63" s="149" t="s">
        <v>1707</v>
      </c>
      <c r="D63" s="150" t="s">
        <v>3972</v>
      </c>
      <c r="E63" s="150" t="s">
        <v>3973</v>
      </c>
      <c r="F63" s="150" t="s">
        <v>3974</v>
      </c>
      <c r="G63" s="150" t="s">
        <v>3975</v>
      </c>
      <c r="H63" s="150" t="s">
        <v>2965</v>
      </c>
      <c r="I63" s="153">
        <v>1.5</v>
      </c>
      <c r="J63" s="149" t="s">
        <v>1696</v>
      </c>
      <c r="K63" s="149" t="s">
        <v>1696</v>
      </c>
      <c r="L63" s="150" t="s">
        <v>1955</v>
      </c>
      <c r="M63" s="150" t="s">
        <v>3976</v>
      </c>
      <c r="N63" s="150" t="s">
        <v>1689</v>
      </c>
      <c r="O63" s="149" t="s">
        <v>1988</v>
      </c>
      <c r="P63" s="149" t="s">
        <v>1367</v>
      </c>
      <c r="Q63" s="149" t="s">
        <v>1362</v>
      </c>
      <c r="R63" s="149"/>
      <c r="S63" s="149" t="s">
        <v>2276</v>
      </c>
      <c r="T63"/>
    </row>
    <row r="64" spans="1:20" ht="22" customHeight="1">
      <c r="A64" s="149" t="s">
        <v>3977</v>
      </c>
      <c r="B64" s="149" t="s">
        <v>3777</v>
      </c>
      <c r="C64" s="149" t="s">
        <v>1707</v>
      </c>
      <c r="D64" s="150" t="s">
        <v>2050</v>
      </c>
      <c r="E64" s="150" t="s">
        <v>2172</v>
      </c>
      <c r="F64" s="150" t="s">
        <v>1779</v>
      </c>
      <c r="G64" s="150" t="s">
        <v>1852</v>
      </c>
      <c r="H64" s="150" t="s">
        <v>1932</v>
      </c>
      <c r="I64" s="153">
        <v>1</v>
      </c>
      <c r="J64" s="149" t="s">
        <v>1696</v>
      </c>
      <c r="K64" s="149" t="s">
        <v>1696</v>
      </c>
      <c r="L64" s="150" t="s">
        <v>1956</v>
      </c>
      <c r="M64" s="150" t="s">
        <v>3961</v>
      </c>
      <c r="N64" s="150" t="s">
        <v>1689</v>
      </c>
      <c r="O64" s="149" t="s">
        <v>1986</v>
      </c>
      <c r="P64" s="149" t="s">
        <v>1367</v>
      </c>
      <c r="Q64" s="149" t="s">
        <v>1362</v>
      </c>
      <c r="R64" s="149"/>
      <c r="S64" s="149" t="s">
        <v>2300</v>
      </c>
      <c r="T64"/>
    </row>
    <row r="65" spans="1:20" ht="22" customHeight="1">
      <c r="A65" s="114" t="s">
        <v>3978</v>
      </c>
      <c r="B65" s="114" t="s">
        <v>2924</v>
      </c>
      <c r="C65" s="114" t="s">
        <v>1707</v>
      </c>
      <c r="D65" s="114" t="s">
        <v>2050</v>
      </c>
      <c r="E65" s="114" t="s">
        <v>3979</v>
      </c>
      <c r="F65" s="114" t="s">
        <v>3980</v>
      </c>
      <c r="G65" s="114" t="s">
        <v>3981</v>
      </c>
      <c r="H65" s="114" t="s">
        <v>3982</v>
      </c>
      <c r="I65" s="148">
        <v>2</v>
      </c>
      <c r="J65" s="114" t="s">
        <v>1696</v>
      </c>
      <c r="K65" s="114" t="s">
        <v>1696</v>
      </c>
      <c r="L65" s="114" t="s">
        <v>1954</v>
      </c>
      <c r="M65" s="114" t="s">
        <v>3983</v>
      </c>
      <c r="N65" s="114" t="s">
        <v>1689</v>
      </c>
      <c r="O65" s="114" t="s">
        <v>1988</v>
      </c>
      <c r="P65" s="114" t="s">
        <v>1367</v>
      </c>
      <c r="Q65" s="114" t="s">
        <v>1362</v>
      </c>
      <c r="R65" s="114"/>
      <c r="S65" s="114" t="s">
        <v>3984</v>
      </c>
      <c r="T65"/>
    </row>
    <row r="66" spans="1:20" ht="22" customHeight="1">
      <c r="A66" s="114" t="s">
        <v>3985</v>
      </c>
      <c r="B66" s="114" t="s">
        <v>2922</v>
      </c>
      <c r="C66" s="114" t="s">
        <v>1707</v>
      </c>
      <c r="D66" s="114" t="s">
        <v>2059</v>
      </c>
      <c r="E66" s="114" t="s">
        <v>2093</v>
      </c>
      <c r="F66" s="114" t="s">
        <v>3986</v>
      </c>
      <c r="G66" s="114" t="s">
        <v>3987</v>
      </c>
      <c r="H66" s="114" t="s">
        <v>2966</v>
      </c>
      <c r="I66" s="148">
        <v>2</v>
      </c>
      <c r="J66" s="114" t="s">
        <v>1696</v>
      </c>
      <c r="K66" s="114" t="s">
        <v>1696</v>
      </c>
      <c r="L66" s="114" t="s">
        <v>1955</v>
      </c>
      <c r="M66" s="114" t="s">
        <v>3988</v>
      </c>
      <c r="N66" s="114" t="s">
        <v>1689</v>
      </c>
      <c r="O66" s="114" t="s">
        <v>1988</v>
      </c>
      <c r="P66" s="114" t="s">
        <v>1367</v>
      </c>
      <c r="Q66" s="114" t="s">
        <v>1362</v>
      </c>
      <c r="R66" s="114"/>
      <c r="S66" s="114" t="s">
        <v>2213</v>
      </c>
      <c r="T66"/>
    </row>
    <row r="67" spans="1:20" ht="22" customHeight="1">
      <c r="A67" s="114" t="s">
        <v>3989</v>
      </c>
      <c r="B67" s="114" t="s">
        <v>2924</v>
      </c>
      <c r="C67" s="114" t="s">
        <v>1707</v>
      </c>
      <c r="D67" s="114" t="s">
        <v>2059</v>
      </c>
      <c r="E67" s="114" t="s">
        <v>2093</v>
      </c>
      <c r="F67" s="114" t="s">
        <v>3990</v>
      </c>
      <c r="G67" s="114" t="s">
        <v>3991</v>
      </c>
      <c r="H67" s="114" t="s">
        <v>2967</v>
      </c>
      <c r="I67" s="148">
        <v>3</v>
      </c>
      <c r="J67" s="114" t="s">
        <v>1696</v>
      </c>
      <c r="K67" s="114" t="s">
        <v>1696</v>
      </c>
      <c r="L67" s="114" t="s">
        <v>1955</v>
      </c>
      <c r="M67" s="114" t="s">
        <v>3992</v>
      </c>
      <c r="N67" s="114" t="s">
        <v>1689</v>
      </c>
      <c r="O67" s="114" t="s">
        <v>1988</v>
      </c>
      <c r="P67" s="114" t="s">
        <v>1367</v>
      </c>
      <c r="Q67" s="114" t="s">
        <v>1362</v>
      </c>
      <c r="R67" s="114"/>
      <c r="S67" s="114" t="s">
        <v>2213</v>
      </c>
      <c r="T67"/>
    </row>
    <row r="68" spans="1:20" ht="22" customHeight="1">
      <c r="A68" s="114" t="s">
        <v>3993</v>
      </c>
      <c r="B68" s="114" t="s">
        <v>2925</v>
      </c>
      <c r="C68" s="114" t="s">
        <v>1706</v>
      </c>
      <c r="D68" s="114" t="s">
        <v>2059</v>
      </c>
      <c r="E68" s="114" t="s">
        <v>2093</v>
      </c>
      <c r="F68" s="114" t="s">
        <v>3994</v>
      </c>
      <c r="G68" s="114" t="s">
        <v>3995</v>
      </c>
      <c r="H68" s="114" t="s">
        <v>2968</v>
      </c>
      <c r="I68" s="148">
        <v>2</v>
      </c>
      <c r="J68" s="114" t="s">
        <v>1696</v>
      </c>
      <c r="K68" s="114" t="s">
        <v>1697</v>
      </c>
      <c r="L68" s="114" t="s">
        <v>1955</v>
      </c>
      <c r="M68" s="114" t="s">
        <v>3996</v>
      </c>
      <c r="N68" s="114" t="s">
        <v>1689</v>
      </c>
      <c r="O68" s="114" t="s">
        <v>1988</v>
      </c>
      <c r="P68" s="114" t="s">
        <v>1367</v>
      </c>
      <c r="Q68" s="114" t="s">
        <v>1362</v>
      </c>
      <c r="R68" s="114"/>
      <c r="S68" s="114" t="s">
        <v>2213</v>
      </c>
      <c r="T68"/>
    </row>
    <row r="69" spans="1:20" ht="22" customHeight="1">
      <c r="A69" s="114" t="s">
        <v>3997</v>
      </c>
      <c r="B69" s="114" t="s">
        <v>2922</v>
      </c>
      <c r="C69" s="114" t="s">
        <v>1707</v>
      </c>
      <c r="D69" s="114" t="s">
        <v>2059</v>
      </c>
      <c r="E69" s="114" t="s">
        <v>3998</v>
      </c>
      <c r="F69" s="114" t="s">
        <v>3999</v>
      </c>
      <c r="G69" s="114" t="s">
        <v>4000</v>
      </c>
      <c r="H69" s="114" t="s">
        <v>2969</v>
      </c>
      <c r="I69" s="148">
        <v>2</v>
      </c>
      <c r="J69" s="114" t="s">
        <v>1696</v>
      </c>
      <c r="K69" s="114" t="s">
        <v>1697</v>
      </c>
      <c r="L69" s="114" t="s">
        <v>1955</v>
      </c>
      <c r="M69" s="114" t="s">
        <v>4001</v>
      </c>
      <c r="N69" s="114" t="s">
        <v>1689</v>
      </c>
      <c r="O69" s="114" t="s">
        <v>1988</v>
      </c>
      <c r="P69" s="114" t="s">
        <v>1367</v>
      </c>
      <c r="Q69" s="114" t="s">
        <v>1362</v>
      </c>
      <c r="R69" s="114"/>
      <c r="S69" s="114" t="s">
        <v>2277</v>
      </c>
      <c r="T69"/>
    </row>
    <row r="70" spans="1:20" ht="22" customHeight="1">
      <c r="A70" s="149" t="s">
        <v>4002</v>
      </c>
      <c r="B70" s="149" t="s">
        <v>2922</v>
      </c>
      <c r="C70" s="149" t="s">
        <v>1707</v>
      </c>
      <c r="D70" s="150" t="s">
        <v>2059</v>
      </c>
      <c r="E70" s="150" t="s">
        <v>2155</v>
      </c>
      <c r="F70" s="150" t="s">
        <v>4003</v>
      </c>
      <c r="G70" s="150" t="s">
        <v>4004</v>
      </c>
      <c r="H70" s="150" t="s">
        <v>2970</v>
      </c>
      <c r="I70" s="153">
        <v>1</v>
      </c>
      <c r="J70" s="149" t="s">
        <v>1696</v>
      </c>
      <c r="K70" s="149" t="s">
        <v>1697</v>
      </c>
      <c r="L70" s="150" t="s">
        <v>1953</v>
      </c>
      <c r="M70" s="150" t="s">
        <v>4005</v>
      </c>
      <c r="N70" s="150" t="s">
        <v>1689</v>
      </c>
      <c r="O70" s="149" t="s">
        <v>1988</v>
      </c>
      <c r="P70" s="149" t="s">
        <v>1367</v>
      </c>
      <c r="Q70" s="149" t="s">
        <v>1362</v>
      </c>
      <c r="R70" s="149"/>
      <c r="S70" s="149" t="s">
        <v>2278</v>
      </c>
      <c r="T70"/>
    </row>
    <row r="71" spans="1:20" ht="22" customHeight="1">
      <c r="A71" s="149" t="s">
        <v>4006</v>
      </c>
      <c r="B71" s="149" t="s">
        <v>2931</v>
      </c>
      <c r="C71" s="149" t="s">
        <v>1707</v>
      </c>
      <c r="D71" s="150" t="s">
        <v>2065</v>
      </c>
      <c r="E71" s="150" t="s">
        <v>2126</v>
      </c>
      <c r="F71" s="150" t="s">
        <v>1765</v>
      </c>
      <c r="G71" s="150" t="s">
        <v>4007</v>
      </c>
      <c r="H71" s="150" t="s">
        <v>1917</v>
      </c>
      <c r="I71" s="153">
        <v>1</v>
      </c>
      <c r="J71" s="149" t="s">
        <v>1696</v>
      </c>
      <c r="K71" s="149" t="s">
        <v>1696</v>
      </c>
      <c r="L71" s="150" t="s">
        <v>1958</v>
      </c>
      <c r="M71" s="150" t="s">
        <v>1972</v>
      </c>
      <c r="N71" s="150" t="s">
        <v>1689</v>
      </c>
      <c r="O71" s="149" t="s">
        <v>1990</v>
      </c>
      <c r="P71" s="149" t="s">
        <v>1367</v>
      </c>
      <c r="Q71" s="149" t="s">
        <v>1362</v>
      </c>
      <c r="R71" s="149"/>
      <c r="S71" s="149" t="s">
        <v>2244</v>
      </c>
      <c r="T71"/>
    </row>
    <row r="72" spans="1:20" ht="22" customHeight="1">
      <c r="A72" s="149" t="s">
        <v>4008</v>
      </c>
      <c r="B72" s="149" t="s">
        <v>2931</v>
      </c>
      <c r="C72" s="149" t="s">
        <v>1707</v>
      </c>
      <c r="D72" s="150" t="s">
        <v>2065</v>
      </c>
      <c r="E72" s="150" t="s">
        <v>2126</v>
      </c>
      <c r="F72" s="150" t="s">
        <v>1766</v>
      </c>
      <c r="G72" s="150" t="s">
        <v>4009</v>
      </c>
      <c r="H72" s="150" t="s">
        <v>1918</v>
      </c>
      <c r="I72" s="153">
        <v>1</v>
      </c>
      <c r="J72" s="149" t="s">
        <v>1696</v>
      </c>
      <c r="K72" s="149" t="s">
        <v>1696</v>
      </c>
      <c r="L72" s="150" t="s">
        <v>1958</v>
      </c>
      <c r="M72" s="150" t="s">
        <v>4010</v>
      </c>
      <c r="N72" s="150" t="s">
        <v>1689</v>
      </c>
      <c r="O72" s="149" t="s">
        <v>1990</v>
      </c>
      <c r="P72" s="149" t="s">
        <v>4006</v>
      </c>
      <c r="Q72" s="149" t="s">
        <v>1362</v>
      </c>
      <c r="R72" s="149"/>
      <c r="S72" s="149" t="s">
        <v>2244</v>
      </c>
      <c r="T72"/>
    </row>
    <row r="73" spans="1:20" ht="22" customHeight="1">
      <c r="A73" s="149" t="s">
        <v>4011</v>
      </c>
      <c r="B73" s="149" t="s">
        <v>2926</v>
      </c>
      <c r="C73" s="149" t="s">
        <v>1704</v>
      </c>
      <c r="D73" s="150" t="s">
        <v>2065</v>
      </c>
      <c r="E73" s="150" t="s">
        <v>2126</v>
      </c>
      <c r="F73" s="150" t="s">
        <v>1710</v>
      </c>
      <c r="G73" s="150" t="s">
        <v>1796</v>
      </c>
      <c r="H73" s="150" t="s">
        <v>1867</v>
      </c>
      <c r="I73" s="153">
        <v>1</v>
      </c>
      <c r="J73" s="149" t="s">
        <v>1696</v>
      </c>
      <c r="K73" s="149" t="s">
        <v>1696</v>
      </c>
      <c r="L73" s="150" t="s">
        <v>1958</v>
      </c>
      <c r="M73" s="150" t="s">
        <v>1968</v>
      </c>
      <c r="N73" s="150" t="s">
        <v>1985</v>
      </c>
      <c r="O73" s="149" t="s">
        <v>1990</v>
      </c>
      <c r="P73" s="149" t="s">
        <v>1367</v>
      </c>
      <c r="Q73" s="149" t="s">
        <v>1362</v>
      </c>
      <c r="R73" s="149"/>
      <c r="S73" s="149" t="s">
        <v>2244</v>
      </c>
      <c r="T73"/>
    </row>
    <row r="74" spans="1:20" ht="22" customHeight="1">
      <c r="A74" s="149" t="s">
        <v>4012</v>
      </c>
      <c r="B74" s="149" t="s">
        <v>2929</v>
      </c>
      <c r="C74" s="149" t="s">
        <v>1707</v>
      </c>
      <c r="D74" s="150" t="s">
        <v>2065</v>
      </c>
      <c r="E74" s="150" t="s">
        <v>2126</v>
      </c>
      <c r="F74" s="150" t="s">
        <v>1760</v>
      </c>
      <c r="G74" s="150" t="s">
        <v>1837</v>
      </c>
      <c r="H74" s="150" t="s">
        <v>4013</v>
      </c>
      <c r="I74" s="153">
        <v>2</v>
      </c>
      <c r="J74" s="149" t="s">
        <v>1696</v>
      </c>
      <c r="K74" s="149" t="s">
        <v>1696</v>
      </c>
      <c r="L74" s="150" t="s">
        <v>1963</v>
      </c>
      <c r="M74" s="150" t="s">
        <v>1980</v>
      </c>
      <c r="N74" s="150" t="s">
        <v>1985</v>
      </c>
      <c r="O74" s="149" t="s">
        <v>1990</v>
      </c>
      <c r="P74" s="149"/>
      <c r="Q74" s="149" t="s">
        <v>1362</v>
      </c>
      <c r="R74" s="149"/>
      <c r="S74" s="149" t="s">
        <v>2244</v>
      </c>
      <c r="T74"/>
    </row>
    <row r="75" spans="1:20" ht="22" customHeight="1">
      <c r="A75" s="149" t="s">
        <v>4014</v>
      </c>
      <c r="B75" s="149" t="s">
        <v>2937</v>
      </c>
      <c r="C75" s="149" t="s">
        <v>1706</v>
      </c>
      <c r="D75" s="150" t="s">
        <v>2065</v>
      </c>
      <c r="E75" s="150" t="s">
        <v>2180</v>
      </c>
      <c r="F75" s="150" t="s">
        <v>4015</v>
      </c>
      <c r="G75" s="150" t="s">
        <v>4016</v>
      </c>
      <c r="H75" s="150" t="s">
        <v>4017</v>
      </c>
      <c r="I75" s="153">
        <v>1</v>
      </c>
      <c r="J75" s="149" t="s">
        <v>1696</v>
      </c>
      <c r="K75" s="149" t="s">
        <v>1696</v>
      </c>
      <c r="L75" s="150" t="s">
        <v>1959</v>
      </c>
      <c r="M75" s="150" t="s">
        <v>4018</v>
      </c>
      <c r="N75" s="150" t="s">
        <v>1689</v>
      </c>
      <c r="O75" s="149" t="s">
        <v>1990</v>
      </c>
      <c r="P75" s="149" t="s">
        <v>1367</v>
      </c>
      <c r="Q75" s="149" t="s">
        <v>1362</v>
      </c>
      <c r="R75" s="149"/>
      <c r="S75" s="149" t="s">
        <v>2308</v>
      </c>
      <c r="T75"/>
    </row>
    <row r="76" spans="1:20" ht="22" customHeight="1">
      <c r="A76" s="149" t="s">
        <v>4019</v>
      </c>
      <c r="B76" s="149" t="s">
        <v>2923</v>
      </c>
      <c r="C76" s="149" t="s">
        <v>1707</v>
      </c>
      <c r="D76" s="150" t="s">
        <v>2067</v>
      </c>
      <c r="E76" s="151" t="s">
        <v>2161</v>
      </c>
      <c r="F76" s="150" t="s">
        <v>1757</v>
      </c>
      <c r="G76" s="150" t="s">
        <v>4020</v>
      </c>
      <c r="H76" s="150" t="s">
        <v>1910</v>
      </c>
      <c r="I76" s="154">
        <v>0.5</v>
      </c>
      <c r="J76" s="155" t="s">
        <v>1696</v>
      </c>
      <c r="K76" s="155" t="s">
        <v>1696</v>
      </c>
      <c r="L76" s="151" t="s">
        <v>1954</v>
      </c>
      <c r="M76" s="151" t="s">
        <v>1974</v>
      </c>
      <c r="N76" s="150" t="s">
        <v>1689</v>
      </c>
      <c r="O76" s="149" t="s">
        <v>1990</v>
      </c>
      <c r="P76" s="149" t="s">
        <v>1367</v>
      </c>
      <c r="Q76" s="149" t="s">
        <v>1362</v>
      </c>
      <c r="R76" s="149" t="s">
        <v>4021</v>
      </c>
      <c r="S76" s="149" t="s">
        <v>2289</v>
      </c>
      <c r="T76"/>
    </row>
    <row r="77" spans="1:20" ht="22" customHeight="1">
      <c r="A77" s="149" t="s">
        <v>4022</v>
      </c>
      <c r="B77" s="149" t="s">
        <v>2925</v>
      </c>
      <c r="C77" s="149" t="s">
        <v>1706</v>
      </c>
      <c r="D77" s="150" t="s">
        <v>2067</v>
      </c>
      <c r="E77" s="150" t="s">
        <v>2161</v>
      </c>
      <c r="F77" s="150" t="s">
        <v>1791</v>
      </c>
      <c r="G77" s="150" t="s">
        <v>1862</v>
      </c>
      <c r="H77" s="150" t="s">
        <v>1946</v>
      </c>
      <c r="I77" s="153">
        <v>2</v>
      </c>
      <c r="J77" s="149" t="s">
        <v>1696</v>
      </c>
      <c r="K77" s="149" t="s">
        <v>1696</v>
      </c>
      <c r="L77" s="150" t="s">
        <v>1955</v>
      </c>
      <c r="M77" s="150" t="s">
        <v>3772</v>
      </c>
      <c r="N77" s="150" t="s">
        <v>1689</v>
      </c>
      <c r="O77" s="149" t="s">
        <v>1987</v>
      </c>
      <c r="P77" s="149" t="s">
        <v>1367</v>
      </c>
      <c r="Q77" s="149" t="s">
        <v>1362</v>
      </c>
      <c r="R77" s="149"/>
      <c r="S77" s="149" t="s">
        <v>2289</v>
      </c>
      <c r="T77"/>
    </row>
    <row r="78" spans="1:20" ht="22" customHeight="1">
      <c r="A78" s="149" t="s">
        <v>4023</v>
      </c>
      <c r="B78" s="149" t="s">
        <v>2923</v>
      </c>
      <c r="C78" s="149" t="s">
        <v>1707</v>
      </c>
      <c r="D78" s="150" t="s">
        <v>2067</v>
      </c>
      <c r="E78" s="150" t="s">
        <v>2162</v>
      </c>
      <c r="F78" s="150" t="s">
        <v>1758</v>
      </c>
      <c r="G78" s="150" t="s">
        <v>1834</v>
      </c>
      <c r="H78" s="150" t="s">
        <v>1911</v>
      </c>
      <c r="I78" s="153">
        <v>0.5</v>
      </c>
      <c r="J78" s="149" t="s">
        <v>1696</v>
      </c>
      <c r="K78" s="149" t="s">
        <v>1696</v>
      </c>
      <c r="L78" s="150" t="s">
        <v>1954</v>
      </c>
      <c r="M78" s="150" t="s">
        <v>1974</v>
      </c>
      <c r="N78" s="150" t="s">
        <v>1689</v>
      </c>
      <c r="O78" s="149" t="s">
        <v>1990</v>
      </c>
      <c r="P78" s="149" t="s">
        <v>1367</v>
      </c>
      <c r="Q78" s="149" t="s">
        <v>1362</v>
      </c>
      <c r="R78" s="149" t="s">
        <v>4024</v>
      </c>
      <c r="S78" s="149" t="s">
        <v>2290</v>
      </c>
      <c r="T78"/>
    </row>
    <row r="79" spans="1:20" ht="22" customHeight="1">
      <c r="A79" s="149" t="s">
        <v>4025</v>
      </c>
      <c r="B79" s="149" t="s">
        <v>2923</v>
      </c>
      <c r="C79" s="149" t="s">
        <v>1707</v>
      </c>
      <c r="D79" s="150" t="s">
        <v>2067</v>
      </c>
      <c r="E79" s="150" t="s">
        <v>2163</v>
      </c>
      <c r="F79" s="150" t="s">
        <v>1759</v>
      </c>
      <c r="G79" s="150" t="s">
        <v>1835</v>
      </c>
      <c r="H79" s="150" t="s">
        <v>1912</v>
      </c>
      <c r="I79" s="153">
        <v>0.5</v>
      </c>
      <c r="J79" s="149" t="s">
        <v>1696</v>
      </c>
      <c r="K79" s="149" t="s">
        <v>1696</v>
      </c>
      <c r="L79" s="150" t="s">
        <v>1954</v>
      </c>
      <c r="M79" s="150" t="s">
        <v>1978</v>
      </c>
      <c r="N79" s="150" t="s">
        <v>1689</v>
      </c>
      <c r="O79" s="149" t="s">
        <v>1990</v>
      </c>
      <c r="P79" s="149" t="s">
        <v>1367</v>
      </c>
      <c r="Q79" s="149" t="s">
        <v>1362</v>
      </c>
      <c r="R79" s="149" t="s">
        <v>3944</v>
      </c>
      <c r="S79" s="149" t="s">
        <v>2291</v>
      </c>
      <c r="T79"/>
    </row>
    <row r="80" spans="1:20" ht="22" customHeight="1">
      <c r="A80" s="149" t="s">
        <v>4027</v>
      </c>
      <c r="B80" s="149" t="s">
        <v>2933</v>
      </c>
      <c r="C80" s="149" t="s">
        <v>1707</v>
      </c>
      <c r="D80" s="150" t="s">
        <v>1658</v>
      </c>
      <c r="E80" s="150" t="s">
        <v>2086</v>
      </c>
      <c r="F80" s="150" t="s">
        <v>4028</v>
      </c>
      <c r="G80" s="150" t="s">
        <v>4029</v>
      </c>
      <c r="H80" s="150" t="s">
        <v>4030</v>
      </c>
      <c r="I80" s="153">
        <v>1</v>
      </c>
      <c r="J80" s="149" t="s">
        <v>1696</v>
      </c>
      <c r="K80" s="149" t="s">
        <v>1696</v>
      </c>
      <c r="L80" s="150" t="s">
        <v>1954</v>
      </c>
      <c r="M80" s="150" t="s">
        <v>4031</v>
      </c>
      <c r="N80" s="150" t="s">
        <v>1689</v>
      </c>
      <c r="O80" s="149" t="s">
        <v>1990</v>
      </c>
      <c r="P80" s="149" t="s">
        <v>1367</v>
      </c>
      <c r="Q80" s="149" t="s">
        <v>1362</v>
      </c>
      <c r="R80" s="149"/>
      <c r="S80" s="149" t="s">
        <v>2207</v>
      </c>
      <c r="T80"/>
    </row>
    <row r="81" spans="1:20" ht="22" customHeight="1">
      <c r="A81" s="149" t="s">
        <v>4032</v>
      </c>
      <c r="B81" s="149" t="s">
        <v>2927</v>
      </c>
      <c r="C81" s="149" t="s">
        <v>1707</v>
      </c>
      <c r="D81" s="150" t="s">
        <v>2054</v>
      </c>
      <c r="E81" s="150" t="s">
        <v>2122</v>
      </c>
      <c r="F81" s="150" t="s">
        <v>1738</v>
      </c>
      <c r="G81" s="150" t="s">
        <v>1819</v>
      </c>
      <c r="H81" s="150" t="s">
        <v>1893</v>
      </c>
      <c r="I81" s="153">
        <v>2</v>
      </c>
      <c r="J81" s="149" t="s">
        <v>1696</v>
      </c>
      <c r="K81" s="149" t="s">
        <v>1696</v>
      </c>
      <c r="L81" s="150" t="s">
        <v>1961</v>
      </c>
      <c r="M81" s="150" t="s">
        <v>1975</v>
      </c>
      <c r="N81" s="150" t="s">
        <v>1689</v>
      </c>
      <c r="O81" s="149" t="s">
        <v>1987</v>
      </c>
      <c r="P81" s="149" t="s">
        <v>1367</v>
      </c>
      <c r="Q81" s="149" t="s">
        <v>1362</v>
      </c>
      <c r="R81" s="149"/>
      <c r="S81" s="149" t="s">
        <v>2240</v>
      </c>
      <c r="T81"/>
    </row>
    <row r="82" spans="1:20" ht="22" customHeight="1">
      <c r="A82" s="149" t="s">
        <v>4033</v>
      </c>
      <c r="B82" s="149" t="s">
        <v>2927</v>
      </c>
      <c r="C82" s="149" t="s">
        <v>1707</v>
      </c>
      <c r="D82" s="150" t="s">
        <v>2054</v>
      </c>
      <c r="E82" s="150" t="s">
        <v>2076</v>
      </c>
      <c r="F82" s="150" t="s">
        <v>1739</v>
      </c>
      <c r="G82" s="150" t="s">
        <v>1820</v>
      </c>
      <c r="H82" s="150" t="s">
        <v>1894</v>
      </c>
      <c r="I82" s="153">
        <v>2</v>
      </c>
      <c r="J82" s="149" t="s">
        <v>1696</v>
      </c>
      <c r="K82" s="149" t="s">
        <v>1696</v>
      </c>
      <c r="L82" s="150" t="s">
        <v>1961</v>
      </c>
      <c r="M82" s="150" t="s">
        <v>4034</v>
      </c>
      <c r="N82" s="150" t="s">
        <v>1689</v>
      </c>
      <c r="O82" s="149" t="s">
        <v>1987</v>
      </c>
      <c r="P82" s="149" t="s">
        <v>1367</v>
      </c>
      <c r="Q82" s="149" t="s">
        <v>1362</v>
      </c>
      <c r="R82" s="149"/>
      <c r="S82" s="149" t="s">
        <v>2197</v>
      </c>
      <c r="T82"/>
    </row>
    <row r="83" spans="1:20" ht="22" customHeight="1">
      <c r="A83" s="149" t="s">
        <v>4035</v>
      </c>
      <c r="B83" s="149" t="s">
        <v>2932</v>
      </c>
      <c r="C83" s="149" t="s">
        <v>1707</v>
      </c>
      <c r="D83" s="150" t="s">
        <v>2054</v>
      </c>
      <c r="E83" s="150" t="s">
        <v>2076</v>
      </c>
      <c r="F83" s="150" t="s">
        <v>1734</v>
      </c>
      <c r="G83" s="150" t="s">
        <v>4036</v>
      </c>
      <c r="H83" s="150" t="s">
        <v>1889</v>
      </c>
      <c r="I83" s="153">
        <v>2</v>
      </c>
      <c r="J83" s="149" t="s">
        <v>1696</v>
      </c>
      <c r="K83" s="149" t="s">
        <v>1696</v>
      </c>
      <c r="L83" s="150" t="s">
        <v>4037</v>
      </c>
      <c r="M83" s="150" t="s">
        <v>4034</v>
      </c>
      <c r="N83" s="150" t="s">
        <v>1689</v>
      </c>
      <c r="O83" s="149" t="s">
        <v>1990</v>
      </c>
      <c r="P83" s="149" t="s">
        <v>1367</v>
      </c>
      <c r="Q83" s="149" t="s">
        <v>1362</v>
      </c>
      <c r="R83" s="149"/>
      <c r="S83" s="149" t="s">
        <v>2197</v>
      </c>
      <c r="T83"/>
    </row>
    <row r="84" spans="1:20" ht="22" customHeight="1">
      <c r="A84" s="149" t="s">
        <v>4038</v>
      </c>
      <c r="B84" s="149" t="s">
        <v>3777</v>
      </c>
      <c r="C84" s="149" t="s">
        <v>1707</v>
      </c>
      <c r="D84" s="150" t="s">
        <v>2054</v>
      </c>
      <c r="E84" s="150" t="s">
        <v>2078</v>
      </c>
      <c r="F84" s="150" t="s">
        <v>1780</v>
      </c>
      <c r="G84" s="150" t="s">
        <v>1853</v>
      </c>
      <c r="H84" s="150" t="s">
        <v>1935</v>
      </c>
      <c r="I84" s="153">
        <v>1</v>
      </c>
      <c r="J84" s="149" t="s">
        <v>1696</v>
      </c>
      <c r="K84" s="149" t="s">
        <v>1696</v>
      </c>
      <c r="L84" s="150" t="s">
        <v>1956</v>
      </c>
      <c r="M84" s="150" t="s">
        <v>3961</v>
      </c>
      <c r="N84" s="150" t="s">
        <v>1689</v>
      </c>
      <c r="O84" s="149" t="s">
        <v>1986</v>
      </c>
      <c r="P84" s="149" t="s">
        <v>1367</v>
      </c>
      <c r="Q84" s="149" t="s">
        <v>1362</v>
      </c>
      <c r="R84" s="149"/>
      <c r="S84" s="149" t="s">
        <v>2199</v>
      </c>
      <c r="T84"/>
    </row>
    <row r="85" spans="1:20" ht="22" customHeight="1">
      <c r="A85" s="149" t="s">
        <v>4039</v>
      </c>
      <c r="B85" s="149" t="s">
        <v>3777</v>
      </c>
      <c r="C85" s="149" t="s">
        <v>1707</v>
      </c>
      <c r="D85" s="150" t="s">
        <v>2054</v>
      </c>
      <c r="E85" s="150" t="s">
        <v>2078</v>
      </c>
      <c r="F85" s="150" t="s">
        <v>1781</v>
      </c>
      <c r="G85" s="150" t="s">
        <v>1854</v>
      </c>
      <c r="H85" s="150" t="s">
        <v>1936</v>
      </c>
      <c r="I85" s="153">
        <v>1</v>
      </c>
      <c r="J85" s="149" t="s">
        <v>1696</v>
      </c>
      <c r="K85" s="149" t="s">
        <v>1696</v>
      </c>
      <c r="L85" s="150" t="s">
        <v>1956</v>
      </c>
      <c r="M85" s="150" t="s">
        <v>3961</v>
      </c>
      <c r="N85" s="150" t="s">
        <v>1689</v>
      </c>
      <c r="O85" s="149" t="s">
        <v>1986</v>
      </c>
      <c r="P85" s="149" t="s">
        <v>1367</v>
      </c>
      <c r="Q85" s="149" t="s">
        <v>1362</v>
      </c>
      <c r="R85" s="149"/>
      <c r="S85" s="149" t="s">
        <v>2199</v>
      </c>
      <c r="T85"/>
    </row>
    <row r="86" spans="1:20" ht="22" customHeight="1">
      <c r="A86" s="114" t="s">
        <v>4040</v>
      </c>
      <c r="B86" s="114" t="s">
        <v>3777</v>
      </c>
      <c r="C86" s="114" t="s">
        <v>1707</v>
      </c>
      <c r="D86" s="114" t="s">
        <v>2054</v>
      </c>
      <c r="E86" s="114" t="s">
        <v>2098</v>
      </c>
      <c r="F86" s="114" t="s">
        <v>1776</v>
      </c>
      <c r="G86" s="114" t="s">
        <v>1849</v>
      </c>
      <c r="H86" s="114" t="s">
        <v>1928</v>
      </c>
      <c r="I86" s="148">
        <v>4</v>
      </c>
      <c r="J86" s="114" t="s">
        <v>1696</v>
      </c>
      <c r="K86" s="114" t="s">
        <v>1696</v>
      </c>
      <c r="L86" s="114" t="s">
        <v>1955</v>
      </c>
      <c r="M86" s="114" t="s">
        <v>3772</v>
      </c>
      <c r="N86" s="114" t="s">
        <v>1689</v>
      </c>
      <c r="O86" s="114" t="s">
        <v>1987</v>
      </c>
      <c r="P86" s="114" t="s">
        <v>1367</v>
      </c>
      <c r="Q86" s="114" t="s">
        <v>1362</v>
      </c>
      <c r="R86" s="114"/>
      <c r="S86" s="114" t="s">
        <v>2217</v>
      </c>
      <c r="T86"/>
    </row>
    <row r="87" spans="1:20" ht="22" customHeight="1">
      <c r="A87" s="114" t="s">
        <v>4041</v>
      </c>
      <c r="B87" s="114" t="s">
        <v>2933</v>
      </c>
      <c r="C87" s="114" t="s">
        <v>1707</v>
      </c>
      <c r="D87" s="114" t="s">
        <v>2054</v>
      </c>
      <c r="E87" s="114" t="s">
        <v>2168</v>
      </c>
      <c r="F87" s="114" t="s">
        <v>1771</v>
      </c>
      <c r="G87" s="114" t="s">
        <v>1844</v>
      </c>
      <c r="H87" s="114" t="s">
        <v>1923</v>
      </c>
      <c r="I87" s="148">
        <v>1</v>
      </c>
      <c r="J87" s="114" t="s">
        <v>1696</v>
      </c>
      <c r="K87" s="114" t="s">
        <v>1696</v>
      </c>
      <c r="L87" s="114" t="s">
        <v>1960</v>
      </c>
      <c r="M87" s="114" t="s">
        <v>1982</v>
      </c>
      <c r="N87" s="114" t="s">
        <v>1689</v>
      </c>
      <c r="O87" s="114" t="s">
        <v>1990</v>
      </c>
      <c r="P87" s="114" t="s">
        <v>1367</v>
      </c>
      <c r="Q87" s="114" t="s">
        <v>1362</v>
      </c>
      <c r="R87" s="114"/>
      <c r="S87" s="114" t="s">
        <v>2296</v>
      </c>
      <c r="T87"/>
    </row>
    <row r="88" spans="1:20" ht="22" customHeight="1">
      <c r="A88" s="114" t="s">
        <v>4042</v>
      </c>
      <c r="B88" s="114" t="s">
        <v>2929</v>
      </c>
      <c r="C88" s="114" t="s">
        <v>1707</v>
      </c>
      <c r="D88" s="114" t="s">
        <v>2054</v>
      </c>
      <c r="E88" s="114" t="s">
        <v>4043</v>
      </c>
      <c r="F88" s="114" t="s">
        <v>4044</v>
      </c>
      <c r="G88" s="114" t="s">
        <v>4045</v>
      </c>
      <c r="H88" s="114" t="s">
        <v>2971</v>
      </c>
      <c r="I88" s="148">
        <v>1</v>
      </c>
      <c r="J88" s="114" t="s">
        <v>1696</v>
      </c>
      <c r="K88" s="114" t="s">
        <v>1696</v>
      </c>
      <c r="L88" s="114" t="s">
        <v>1951</v>
      </c>
      <c r="M88" s="114" t="s">
        <v>4046</v>
      </c>
      <c r="N88" s="114" t="s">
        <v>1689</v>
      </c>
      <c r="O88" s="114" t="s">
        <v>1988</v>
      </c>
      <c r="P88" s="114" t="s">
        <v>1367</v>
      </c>
      <c r="Q88" s="114" t="s">
        <v>1362</v>
      </c>
      <c r="R88" s="114"/>
      <c r="S88" s="114" t="s">
        <v>4047</v>
      </c>
      <c r="T88"/>
    </row>
    <row r="89" spans="1:20" ht="22" customHeight="1">
      <c r="A89" s="114" t="s">
        <v>4048</v>
      </c>
      <c r="B89" s="114" t="s">
        <v>2929</v>
      </c>
      <c r="C89" s="114" t="s">
        <v>1707</v>
      </c>
      <c r="D89" s="114" t="s">
        <v>2054</v>
      </c>
      <c r="E89" s="114" t="s">
        <v>4043</v>
      </c>
      <c r="F89" s="114" t="s">
        <v>4049</v>
      </c>
      <c r="G89" s="114" t="s">
        <v>4050</v>
      </c>
      <c r="H89" s="114" t="s">
        <v>2972</v>
      </c>
      <c r="I89" s="148">
        <v>1</v>
      </c>
      <c r="J89" s="114" t="s">
        <v>1696</v>
      </c>
      <c r="K89" s="114" t="s">
        <v>1696</v>
      </c>
      <c r="L89" s="114" t="s">
        <v>1954</v>
      </c>
      <c r="M89" s="114" t="s">
        <v>4051</v>
      </c>
      <c r="N89" s="114" t="s">
        <v>1689</v>
      </c>
      <c r="O89" s="114" t="s">
        <v>1988</v>
      </c>
      <c r="P89" s="114" t="s">
        <v>1367</v>
      </c>
      <c r="Q89" s="114" t="s">
        <v>1362</v>
      </c>
      <c r="R89" s="114"/>
      <c r="S89" s="114" t="s">
        <v>4047</v>
      </c>
      <c r="T89"/>
    </row>
    <row r="90" spans="1:20" ht="22" customHeight="1">
      <c r="A90" s="149" t="s">
        <v>4052</v>
      </c>
      <c r="B90" s="149" t="s">
        <v>2929</v>
      </c>
      <c r="C90" s="149" t="s">
        <v>1707</v>
      </c>
      <c r="D90" s="150" t="s">
        <v>2054</v>
      </c>
      <c r="E90" s="150" t="s">
        <v>4043</v>
      </c>
      <c r="F90" s="150" t="s">
        <v>4053</v>
      </c>
      <c r="G90" s="150" t="s">
        <v>4054</v>
      </c>
      <c r="H90" s="150" t="s">
        <v>2973</v>
      </c>
      <c r="I90" s="153">
        <v>1</v>
      </c>
      <c r="J90" s="149" t="s">
        <v>1696</v>
      </c>
      <c r="K90" s="149" t="s">
        <v>1696</v>
      </c>
      <c r="L90" s="150" t="s">
        <v>1951</v>
      </c>
      <c r="M90" s="150" t="s">
        <v>4055</v>
      </c>
      <c r="N90" s="150" t="s">
        <v>1689</v>
      </c>
      <c r="O90" s="149" t="s">
        <v>1988</v>
      </c>
      <c r="P90" s="149" t="s">
        <v>1367</v>
      </c>
      <c r="Q90" s="149" t="s">
        <v>1362</v>
      </c>
      <c r="R90" s="149"/>
      <c r="S90" s="149" t="s">
        <v>4047</v>
      </c>
      <c r="T90"/>
    </row>
    <row r="91" spans="1:20" ht="22" customHeight="1">
      <c r="A91" s="149" t="s">
        <v>4056</v>
      </c>
      <c r="B91" s="149" t="s">
        <v>2937</v>
      </c>
      <c r="C91" s="149" t="s">
        <v>1706</v>
      </c>
      <c r="D91" s="150" t="s">
        <v>2054</v>
      </c>
      <c r="E91" s="150" t="s">
        <v>2084</v>
      </c>
      <c r="F91" s="150" t="s">
        <v>4057</v>
      </c>
      <c r="G91" s="150" t="s">
        <v>4058</v>
      </c>
      <c r="H91" s="150" t="s">
        <v>4059</v>
      </c>
      <c r="I91" s="153">
        <v>1.5</v>
      </c>
      <c r="J91" s="149" t="s">
        <v>1696</v>
      </c>
      <c r="K91" s="149" t="s">
        <v>1696</v>
      </c>
      <c r="L91" s="150" t="s">
        <v>1954</v>
      </c>
      <c r="M91" s="150" t="s">
        <v>4060</v>
      </c>
      <c r="N91" s="150" t="s">
        <v>1689</v>
      </c>
      <c r="O91" s="149" t="s">
        <v>1990</v>
      </c>
      <c r="P91" s="149" t="s">
        <v>1367</v>
      </c>
      <c r="Q91" s="149" t="s">
        <v>1362</v>
      </c>
      <c r="R91" s="149"/>
      <c r="S91" s="149" t="s">
        <v>2206</v>
      </c>
      <c r="T91"/>
    </row>
    <row r="92" spans="1:20" ht="22" customHeight="1">
      <c r="A92" s="149" t="s">
        <v>4061</v>
      </c>
      <c r="B92" s="149" t="s">
        <v>2927</v>
      </c>
      <c r="C92" s="149" t="s">
        <v>1707</v>
      </c>
      <c r="D92" s="150" t="s">
        <v>2045</v>
      </c>
      <c r="E92" s="150" t="s">
        <v>2107</v>
      </c>
      <c r="F92" s="150" t="s">
        <v>1747</v>
      </c>
      <c r="G92" s="150" t="s">
        <v>1827</v>
      </c>
      <c r="H92" s="150" t="s">
        <v>1902</v>
      </c>
      <c r="I92" s="153">
        <v>4</v>
      </c>
      <c r="J92" s="149" t="s">
        <v>1696</v>
      </c>
      <c r="K92" s="149" t="s">
        <v>1699</v>
      </c>
      <c r="L92" s="150" t="s">
        <v>1961</v>
      </c>
      <c r="M92" s="150" t="s">
        <v>1977</v>
      </c>
      <c r="N92" s="150" t="s">
        <v>1689</v>
      </c>
      <c r="O92" s="149" t="s">
        <v>1989</v>
      </c>
      <c r="P92" s="149" t="s">
        <v>1367</v>
      </c>
      <c r="Q92" s="149" t="s">
        <v>1362</v>
      </c>
      <c r="R92" s="149"/>
      <c r="S92" s="149" t="s">
        <v>2226</v>
      </c>
      <c r="T92"/>
    </row>
    <row r="93" spans="1:20" ht="22" customHeight="1">
      <c r="A93" s="114" t="s">
        <v>4062</v>
      </c>
      <c r="B93" s="114" t="s">
        <v>2934</v>
      </c>
      <c r="C93" s="114" t="s">
        <v>1703</v>
      </c>
      <c r="D93" s="114" t="s">
        <v>2045</v>
      </c>
      <c r="E93" s="114" t="s">
        <v>2070</v>
      </c>
      <c r="F93" s="114" t="s">
        <v>1708</v>
      </c>
      <c r="G93" s="114" t="s">
        <v>4063</v>
      </c>
      <c r="H93" s="114" t="s">
        <v>1866</v>
      </c>
      <c r="I93" s="148">
        <v>1</v>
      </c>
      <c r="J93" s="114" t="s">
        <v>1696</v>
      </c>
      <c r="K93" s="114" t="s">
        <v>1696</v>
      </c>
      <c r="L93" s="114" t="s">
        <v>1951</v>
      </c>
      <c r="M93" s="114" t="s">
        <v>1964</v>
      </c>
      <c r="N93" s="114" t="s">
        <v>1689</v>
      </c>
      <c r="O93" s="114" t="s">
        <v>1986</v>
      </c>
      <c r="P93" s="114" t="s">
        <v>1367</v>
      </c>
      <c r="Q93" s="114" t="s">
        <v>1362</v>
      </c>
      <c r="R93" s="114"/>
      <c r="S93" s="114" t="s">
        <v>2185</v>
      </c>
      <c r="T93"/>
    </row>
    <row r="94" spans="1:20" ht="22" customHeight="1">
      <c r="A94" s="149" t="s">
        <v>4064</v>
      </c>
      <c r="B94" s="149" t="s">
        <v>2927</v>
      </c>
      <c r="C94" s="149" t="s">
        <v>1707</v>
      </c>
      <c r="D94" s="150" t="s">
        <v>2045</v>
      </c>
      <c r="E94" s="150" t="s">
        <v>2070</v>
      </c>
      <c r="F94" s="150" t="s">
        <v>1748</v>
      </c>
      <c r="G94" s="150" t="s">
        <v>1599</v>
      </c>
      <c r="H94" s="150" t="s">
        <v>1903</v>
      </c>
      <c r="I94" s="153">
        <v>4</v>
      </c>
      <c r="J94" s="149" t="s">
        <v>1696</v>
      </c>
      <c r="K94" s="149" t="s">
        <v>1696</v>
      </c>
      <c r="L94" s="150" t="s">
        <v>1961</v>
      </c>
      <c r="M94" s="150" t="s">
        <v>1975</v>
      </c>
      <c r="N94" s="150" t="s">
        <v>1689</v>
      </c>
      <c r="O94" s="149" t="s">
        <v>1989</v>
      </c>
      <c r="P94" s="149" t="s">
        <v>1367</v>
      </c>
      <c r="Q94" s="149" t="s">
        <v>1362</v>
      </c>
      <c r="R94" s="149"/>
      <c r="S94" s="149" t="s">
        <v>2185</v>
      </c>
      <c r="T94"/>
    </row>
    <row r="95" spans="1:20" ht="22" customHeight="1">
      <c r="A95" s="149" t="s">
        <v>4065</v>
      </c>
      <c r="B95" s="149" t="s">
        <v>2935</v>
      </c>
      <c r="C95" s="149" t="s">
        <v>1707</v>
      </c>
      <c r="D95" s="150" t="s">
        <v>2045</v>
      </c>
      <c r="E95" s="150" t="s">
        <v>2070</v>
      </c>
      <c r="F95" s="150" t="s">
        <v>4066</v>
      </c>
      <c r="G95" s="150" t="s">
        <v>4067</v>
      </c>
      <c r="H95" s="150" t="s">
        <v>2974</v>
      </c>
      <c r="I95" s="153">
        <v>1.5</v>
      </c>
      <c r="J95" s="149" t="s">
        <v>1696</v>
      </c>
      <c r="K95" s="149" t="s">
        <v>1696</v>
      </c>
      <c r="L95" s="150" t="s">
        <v>1960</v>
      </c>
      <c r="M95" s="150" t="s">
        <v>4068</v>
      </c>
      <c r="N95" s="150" t="s">
        <v>1689</v>
      </c>
      <c r="O95" s="149" t="s">
        <v>1990</v>
      </c>
      <c r="P95" s="149" t="s">
        <v>1367</v>
      </c>
      <c r="Q95" s="149" t="s">
        <v>1362</v>
      </c>
      <c r="R95" s="149"/>
      <c r="S95" s="149" t="s">
        <v>2185</v>
      </c>
      <c r="T95"/>
    </row>
    <row r="96" spans="1:20" ht="22" customHeight="1">
      <c r="A96" s="149" t="s">
        <v>4069</v>
      </c>
      <c r="B96" s="149" t="s">
        <v>2936</v>
      </c>
      <c r="C96" s="149" t="s">
        <v>1704</v>
      </c>
      <c r="D96" s="150" t="s">
        <v>2045</v>
      </c>
      <c r="E96" s="150" t="s">
        <v>2088</v>
      </c>
      <c r="F96" s="150" t="s">
        <v>1721</v>
      </c>
      <c r="G96" s="150" t="s">
        <v>4070</v>
      </c>
      <c r="H96" s="150" t="s">
        <v>1879</v>
      </c>
      <c r="I96" s="153">
        <v>1</v>
      </c>
      <c r="J96" s="149" t="s">
        <v>1696</v>
      </c>
      <c r="K96" s="149" t="s">
        <v>1696</v>
      </c>
      <c r="L96" s="150" t="s">
        <v>1951</v>
      </c>
      <c r="M96" s="150" t="s">
        <v>1970</v>
      </c>
      <c r="N96" s="150" t="s">
        <v>1689</v>
      </c>
      <c r="O96" s="149" t="s">
        <v>1986</v>
      </c>
      <c r="P96" s="149" t="s">
        <v>1367</v>
      </c>
      <c r="Q96" s="149" t="s">
        <v>1362</v>
      </c>
      <c r="R96" s="149"/>
      <c r="S96" s="149" t="s">
        <v>2209</v>
      </c>
      <c r="T96"/>
    </row>
    <row r="97" spans="1:25" ht="22" customHeight="1">
      <c r="A97" s="149" t="s">
        <v>4071</v>
      </c>
      <c r="B97" s="149" t="s">
        <v>2936</v>
      </c>
      <c r="C97" s="149" t="s">
        <v>1704</v>
      </c>
      <c r="D97" s="150" t="s">
        <v>2045</v>
      </c>
      <c r="E97" s="150" t="s">
        <v>2088</v>
      </c>
      <c r="F97" s="150" t="s">
        <v>1723</v>
      </c>
      <c r="G97" s="150" t="s">
        <v>4070</v>
      </c>
      <c r="H97" s="150" t="s">
        <v>1879</v>
      </c>
      <c r="I97" s="153">
        <v>1</v>
      </c>
      <c r="J97" s="149" t="s">
        <v>1696</v>
      </c>
      <c r="K97" s="149" t="s">
        <v>1696</v>
      </c>
      <c r="L97" s="150" t="s">
        <v>1951</v>
      </c>
      <c r="M97" s="150" t="s">
        <v>1970</v>
      </c>
      <c r="N97" s="150" t="s">
        <v>1689</v>
      </c>
      <c r="O97" s="149" t="s">
        <v>1986</v>
      </c>
      <c r="P97" s="149" t="s">
        <v>1367</v>
      </c>
      <c r="Q97" s="149" t="s">
        <v>1362</v>
      </c>
      <c r="R97" s="149"/>
      <c r="S97" s="149" t="s">
        <v>2209</v>
      </c>
      <c r="T97"/>
    </row>
    <row r="98" spans="1:25" ht="22" customHeight="1">
      <c r="A98" s="149" t="s">
        <v>4072</v>
      </c>
      <c r="B98" s="149" t="s">
        <v>2936</v>
      </c>
      <c r="C98" s="149" t="s">
        <v>1704</v>
      </c>
      <c r="D98" s="150" t="s">
        <v>2045</v>
      </c>
      <c r="E98" s="150" t="s">
        <v>2088</v>
      </c>
      <c r="F98" s="150" t="s">
        <v>1724</v>
      </c>
      <c r="G98" s="150" t="s">
        <v>4070</v>
      </c>
      <c r="H98" s="150" t="s">
        <v>1879</v>
      </c>
      <c r="I98" s="153">
        <v>1</v>
      </c>
      <c r="J98" s="149" t="s">
        <v>1696</v>
      </c>
      <c r="K98" s="149" t="s">
        <v>1696</v>
      </c>
      <c r="L98" s="150" t="s">
        <v>1951</v>
      </c>
      <c r="M98" s="150" t="s">
        <v>1970</v>
      </c>
      <c r="N98" s="150" t="s">
        <v>1689</v>
      </c>
      <c r="O98" s="149" t="s">
        <v>1986</v>
      </c>
      <c r="P98" s="149" t="s">
        <v>1367</v>
      </c>
      <c r="Q98" s="149" t="s">
        <v>1362</v>
      </c>
      <c r="R98" s="149"/>
      <c r="S98" s="149" t="s">
        <v>2209</v>
      </c>
      <c r="T98"/>
    </row>
    <row r="99" spans="1:25" ht="22" customHeight="1">
      <c r="A99" s="149" t="s">
        <v>4073</v>
      </c>
      <c r="B99" s="149" t="s">
        <v>2936</v>
      </c>
      <c r="C99" s="149" t="s">
        <v>1704</v>
      </c>
      <c r="D99" s="150" t="s">
        <v>2045</v>
      </c>
      <c r="E99" s="150" t="s">
        <v>2102</v>
      </c>
      <c r="F99" s="150" t="s">
        <v>1720</v>
      </c>
      <c r="G99" s="150" t="s">
        <v>1806</v>
      </c>
      <c r="H99" s="150" t="s">
        <v>1878</v>
      </c>
      <c r="I99" s="153">
        <v>4</v>
      </c>
      <c r="J99" s="149" t="s">
        <v>1696</v>
      </c>
      <c r="K99" s="149" t="s">
        <v>1696</v>
      </c>
      <c r="L99" s="150" t="s">
        <v>1951</v>
      </c>
      <c r="M99" s="150" t="s">
        <v>1970</v>
      </c>
      <c r="N99" s="150" t="s">
        <v>1689</v>
      </c>
      <c r="O99" s="149" t="s">
        <v>1989</v>
      </c>
      <c r="P99" s="149" t="s">
        <v>1367</v>
      </c>
      <c r="Q99" s="149" t="s">
        <v>1362</v>
      </c>
      <c r="R99" s="149"/>
      <c r="S99" s="149" t="s">
        <v>2221</v>
      </c>
      <c r="T99"/>
    </row>
    <row r="100" spans="1:25" ht="22" customHeight="1">
      <c r="A100" s="149" t="s">
        <v>4074</v>
      </c>
      <c r="B100" s="149" t="s">
        <v>2926</v>
      </c>
      <c r="C100" s="149" t="s">
        <v>1704</v>
      </c>
      <c r="D100" s="150" t="s">
        <v>2056</v>
      </c>
      <c r="E100" s="150" t="s">
        <v>2082</v>
      </c>
      <c r="F100" s="150" t="s">
        <v>1712</v>
      </c>
      <c r="G100" s="150" t="s">
        <v>1798</v>
      </c>
      <c r="H100" s="150" t="s">
        <v>1870</v>
      </c>
      <c r="I100" s="153">
        <v>0.5</v>
      </c>
      <c r="J100" s="149" t="s">
        <v>1696</v>
      </c>
      <c r="K100" s="149" t="s">
        <v>1696</v>
      </c>
      <c r="L100" s="150" t="s">
        <v>1951</v>
      </c>
      <c r="M100" s="150" t="s">
        <v>4075</v>
      </c>
      <c r="N100" s="150" t="s">
        <v>1689</v>
      </c>
      <c r="O100" s="149" t="s">
        <v>1988</v>
      </c>
      <c r="P100" s="149" t="s">
        <v>1367</v>
      </c>
      <c r="Q100" s="149" t="s">
        <v>1362</v>
      </c>
      <c r="R100" s="149"/>
      <c r="S100" s="149" t="s">
        <v>2204</v>
      </c>
      <c r="T100"/>
    </row>
    <row r="101" spans="1:25" ht="22" customHeight="1">
      <c r="A101" s="149" t="s">
        <v>4076</v>
      </c>
      <c r="B101" s="149" t="s">
        <v>2926</v>
      </c>
      <c r="C101" s="149" t="s">
        <v>1704</v>
      </c>
      <c r="D101" s="150" t="s">
        <v>2056</v>
      </c>
      <c r="E101" s="150" t="s">
        <v>2082</v>
      </c>
      <c r="F101" s="150" t="s">
        <v>1713</v>
      </c>
      <c r="G101" s="150" t="s">
        <v>1799</v>
      </c>
      <c r="H101" s="150" t="s">
        <v>1871</v>
      </c>
      <c r="I101" s="153">
        <v>2</v>
      </c>
      <c r="J101" s="149" t="s">
        <v>1696</v>
      </c>
      <c r="K101" s="149" t="s">
        <v>1696</v>
      </c>
      <c r="L101" s="150" t="s">
        <v>1951</v>
      </c>
      <c r="M101" s="150" t="s">
        <v>4075</v>
      </c>
      <c r="N101" s="150" t="s">
        <v>1689</v>
      </c>
      <c r="O101" s="149" t="s">
        <v>1988</v>
      </c>
      <c r="P101" s="149" t="s">
        <v>4074</v>
      </c>
      <c r="Q101" s="149" t="s">
        <v>1362</v>
      </c>
      <c r="R101" s="149"/>
      <c r="S101" s="149" t="s">
        <v>2204</v>
      </c>
      <c r="T101"/>
      <c r="U101" s="102"/>
      <c r="V101" s="102"/>
      <c r="W101" s="102"/>
      <c r="X101" s="104"/>
      <c r="Y101" s="105"/>
    </row>
    <row r="102" spans="1:25" ht="22" customHeight="1">
      <c r="A102" s="149" t="s">
        <v>4077</v>
      </c>
      <c r="B102" s="149" t="s">
        <v>2926</v>
      </c>
      <c r="C102" s="149" t="s">
        <v>1704</v>
      </c>
      <c r="D102" s="150" t="s">
        <v>2056</v>
      </c>
      <c r="E102" s="150" t="s">
        <v>2082</v>
      </c>
      <c r="F102" s="150" t="s">
        <v>1714</v>
      </c>
      <c r="G102" s="150" t="s">
        <v>1800</v>
      </c>
      <c r="H102" s="150" t="s">
        <v>1872</v>
      </c>
      <c r="I102" s="153">
        <v>1</v>
      </c>
      <c r="J102" s="149" t="s">
        <v>1696</v>
      </c>
      <c r="K102" s="149" t="s">
        <v>1696</v>
      </c>
      <c r="L102" s="150" t="s">
        <v>1951</v>
      </c>
      <c r="M102" s="150" t="s">
        <v>4075</v>
      </c>
      <c r="N102" s="150" t="s">
        <v>1689</v>
      </c>
      <c r="O102" s="149" t="s">
        <v>1988</v>
      </c>
      <c r="P102" s="149" t="s">
        <v>4076</v>
      </c>
      <c r="Q102" s="149" t="s">
        <v>1362</v>
      </c>
      <c r="R102" s="149"/>
      <c r="S102" s="149" t="s">
        <v>2204</v>
      </c>
      <c r="T102"/>
      <c r="U102" s="102"/>
      <c r="V102" s="102"/>
      <c r="W102" s="102"/>
      <c r="X102" s="104"/>
      <c r="Y102" s="105"/>
    </row>
    <row r="103" spans="1:25" ht="22" customHeight="1">
      <c r="A103" s="149" t="s">
        <v>4078</v>
      </c>
      <c r="B103" s="149" t="s">
        <v>2926</v>
      </c>
      <c r="C103" s="149" t="s">
        <v>1704</v>
      </c>
      <c r="D103" s="150" t="s">
        <v>2056</v>
      </c>
      <c r="E103" s="150" t="s">
        <v>2082</v>
      </c>
      <c r="F103" s="150" t="s">
        <v>1715</v>
      </c>
      <c r="G103" s="150" t="s">
        <v>1801</v>
      </c>
      <c r="H103" s="150" t="s">
        <v>1873</v>
      </c>
      <c r="I103" s="153">
        <v>3</v>
      </c>
      <c r="J103" s="149" t="s">
        <v>1696</v>
      </c>
      <c r="K103" s="149" t="s">
        <v>1696</v>
      </c>
      <c r="L103" s="150" t="s">
        <v>1951</v>
      </c>
      <c r="M103" s="150" t="s">
        <v>4075</v>
      </c>
      <c r="N103" s="150" t="s">
        <v>1689</v>
      </c>
      <c r="O103" s="149" t="s">
        <v>1988</v>
      </c>
      <c r="P103" s="149" t="s">
        <v>4077</v>
      </c>
      <c r="Q103" s="149" t="s">
        <v>1362</v>
      </c>
      <c r="R103" s="149"/>
      <c r="S103" s="149" t="s">
        <v>2204</v>
      </c>
      <c r="T103"/>
      <c r="U103" s="106"/>
      <c r="V103" s="106"/>
      <c r="W103" s="106"/>
      <c r="X103" s="107"/>
      <c r="Y103" s="105"/>
    </row>
    <row r="104" spans="1:25" ht="22" customHeight="1">
      <c r="A104" s="149" t="s">
        <v>4079</v>
      </c>
      <c r="B104" s="149" t="s">
        <v>2930</v>
      </c>
      <c r="C104" s="149" t="s">
        <v>1706</v>
      </c>
      <c r="D104" s="150" t="s">
        <v>2056</v>
      </c>
      <c r="E104" s="150" t="s">
        <v>2082</v>
      </c>
      <c r="F104" s="150" t="s">
        <v>1729</v>
      </c>
      <c r="G104" s="150" t="s">
        <v>1811</v>
      </c>
      <c r="H104" s="150" t="s">
        <v>1884</v>
      </c>
      <c r="I104" s="153">
        <v>0.5</v>
      </c>
      <c r="J104" s="149" t="s">
        <v>1696</v>
      </c>
      <c r="K104" s="149" t="s">
        <v>1696</v>
      </c>
      <c r="L104" s="150" t="s">
        <v>1960</v>
      </c>
      <c r="M104" s="150" t="s">
        <v>4075</v>
      </c>
      <c r="N104" s="150" t="s">
        <v>1689</v>
      </c>
      <c r="O104" s="149" t="s">
        <v>1990</v>
      </c>
      <c r="P104" s="149" t="s">
        <v>1367</v>
      </c>
      <c r="Q104" s="149" t="s">
        <v>1362</v>
      </c>
      <c r="R104" s="149"/>
      <c r="S104" s="149" t="s">
        <v>2204</v>
      </c>
      <c r="T104"/>
      <c r="U104" s="103"/>
      <c r="V104" s="103"/>
      <c r="W104" s="103"/>
      <c r="X104" s="103"/>
      <c r="Y104" s="103"/>
    </row>
    <row r="105" spans="1:25" ht="22" customHeight="1">
      <c r="A105" s="149" t="s">
        <v>4080</v>
      </c>
      <c r="B105" s="149" t="s">
        <v>2930</v>
      </c>
      <c r="C105" s="149" t="s">
        <v>1706</v>
      </c>
      <c r="D105" s="150" t="s">
        <v>2056</v>
      </c>
      <c r="E105" s="150" t="s">
        <v>2082</v>
      </c>
      <c r="F105" s="150" t="s">
        <v>1730</v>
      </c>
      <c r="G105" s="150" t="s">
        <v>1812</v>
      </c>
      <c r="H105" s="150" t="s">
        <v>1885</v>
      </c>
      <c r="I105" s="153">
        <v>2.5</v>
      </c>
      <c r="J105" s="149" t="s">
        <v>1696</v>
      </c>
      <c r="K105" s="149" t="s">
        <v>1696</v>
      </c>
      <c r="L105" s="150" t="s">
        <v>1960</v>
      </c>
      <c r="M105" s="150" t="s">
        <v>4075</v>
      </c>
      <c r="N105" s="150" t="s">
        <v>1689</v>
      </c>
      <c r="O105" s="149" t="s">
        <v>1990</v>
      </c>
      <c r="P105" s="149" t="s">
        <v>4076</v>
      </c>
      <c r="Q105" s="149" t="s">
        <v>1362</v>
      </c>
      <c r="R105" s="149"/>
      <c r="S105" s="149" t="s">
        <v>2204</v>
      </c>
      <c r="T105"/>
      <c r="U105" s="103"/>
      <c r="V105" s="103"/>
      <c r="W105" s="103"/>
      <c r="X105" s="103"/>
      <c r="Y105" s="103"/>
    </row>
    <row r="106" spans="1:25" ht="22" customHeight="1">
      <c r="A106" s="149" t="s">
        <v>4081</v>
      </c>
      <c r="B106" s="149" t="s">
        <v>2930</v>
      </c>
      <c r="C106" s="149" t="s">
        <v>1706</v>
      </c>
      <c r="D106" s="150" t="s">
        <v>2056</v>
      </c>
      <c r="E106" s="150" t="s">
        <v>2082</v>
      </c>
      <c r="F106" s="150" t="s">
        <v>1732</v>
      </c>
      <c r="G106" s="150" t="s">
        <v>1814</v>
      </c>
      <c r="H106" s="150" t="s">
        <v>1887</v>
      </c>
      <c r="I106" s="153">
        <v>2</v>
      </c>
      <c r="J106" s="149" t="s">
        <v>1696</v>
      </c>
      <c r="K106" s="149" t="s">
        <v>1696</v>
      </c>
      <c r="L106" s="150" t="s">
        <v>1960</v>
      </c>
      <c r="M106" s="150" t="s">
        <v>4075</v>
      </c>
      <c r="N106" s="150" t="s">
        <v>1689</v>
      </c>
      <c r="O106" s="149" t="s">
        <v>1990</v>
      </c>
      <c r="P106" s="149" t="s">
        <v>1367</v>
      </c>
      <c r="Q106" s="149" t="s">
        <v>1362</v>
      </c>
      <c r="R106" s="149"/>
      <c r="S106" s="149" t="s">
        <v>2204</v>
      </c>
      <c r="T106"/>
      <c r="U106" s="103"/>
      <c r="V106" s="103"/>
      <c r="W106" s="103"/>
      <c r="X106" s="103"/>
      <c r="Y106" s="103"/>
    </row>
    <row r="107" spans="1:25" ht="22" customHeight="1">
      <c r="A107" s="149" t="s">
        <v>4082</v>
      </c>
      <c r="B107" s="149" t="s">
        <v>2930</v>
      </c>
      <c r="C107" s="149" t="s">
        <v>1706</v>
      </c>
      <c r="D107" s="150" t="s">
        <v>2056</v>
      </c>
      <c r="E107" s="150" t="s">
        <v>2116</v>
      </c>
      <c r="F107" s="150" t="s">
        <v>1731</v>
      </c>
      <c r="G107" s="150" t="s">
        <v>1813</v>
      </c>
      <c r="H107" s="150" t="s">
        <v>1886</v>
      </c>
      <c r="I107" s="153">
        <v>2</v>
      </c>
      <c r="J107" s="149" t="s">
        <v>1696</v>
      </c>
      <c r="K107" s="149" t="s">
        <v>1696</v>
      </c>
      <c r="L107" s="150" t="s">
        <v>1960</v>
      </c>
      <c r="M107" s="150" t="s">
        <v>1973</v>
      </c>
      <c r="N107" s="150" t="s">
        <v>1689</v>
      </c>
      <c r="O107" s="149" t="s">
        <v>1990</v>
      </c>
      <c r="P107" s="149" t="s">
        <v>4077</v>
      </c>
      <c r="Q107" s="149" t="s">
        <v>1362</v>
      </c>
      <c r="R107" s="149"/>
      <c r="S107" s="149" t="s">
        <v>2234</v>
      </c>
      <c r="T107"/>
      <c r="U107" s="103"/>
      <c r="V107" s="103"/>
      <c r="W107" s="103"/>
      <c r="X107" s="103"/>
      <c r="Y107" s="103"/>
    </row>
    <row r="108" spans="1:25" ht="22" customHeight="1">
      <c r="A108" s="149" t="s">
        <v>4083</v>
      </c>
      <c r="B108" s="149" t="s">
        <v>2937</v>
      </c>
      <c r="C108" s="149" t="s">
        <v>1705</v>
      </c>
      <c r="D108" s="150" t="s">
        <v>2056</v>
      </c>
      <c r="E108" s="150" t="s">
        <v>2176</v>
      </c>
      <c r="F108" s="150" t="s">
        <v>1783</v>
      </c>
      <c r="G108" s="150" t="s">
        <v>1856</v>
      </c>
      <c r="H108" s="150" t="s">
        <v>1938</v>
      </c>
      <c r="I108" s="153">
        <v>1</v>
      </c>
      <c r="J108" s="149" t="s">
        <v>1696</v>
      </c>
      <c r="K108" s="149" t="s">
        <v>1696</v>
      </c>
      <c r="L108" s="150" t="s">
        <v>1959</v>
      </c>
      <c r="M108" s="150" t="s">
        <v>1984</v>
      </c>
      <c r="N108" s="150" t="s">
        <v>1689</v>
      </c>
      <c r="O108" s="149" t="s">
        <v>1990</v>
      </c>
      <c r="P108" s="149" t="s">
        <v>4076</v>
      </c>
      <c r="Q108" s="149" t="s">
        <v>1362</v>
      </c>
      <c r="R108" s="149"/>
      <c r="S108" s="149" t="s">
        <v>2304</v>
      </c>
      <c r="T108"/>
      <c r="U108" s="103"/>
      <c r="V108" s="103"/>
      <c r="W108" s="103"/>
      <c r="X108" s="103"/>
      <c r="Y108" s="103"/>
    </row>
    <row r="109" spans="1:25" ht="22" customHeight="1">
      <c r="A109" s="149" t="s">
        <v>4084</v>
      </c>
      <c r="B109" s="149" t="s">
        <v>2936</v>
      </c>
      <c r="C109" s="149" t="s">
        <v>1704</v>
      </c>
      <c r="D109" s="150" t="s">
        <v>2052</v>
      </c>
      <c r="E109" s="150" t="s">
        <v>2074</v>
      </c>
      <c r="F109" s="150" t="s">
        <v>1722</v>
      </c>
      <c r="G109" s="150" t="s">
        <v>4070</v>
      </c>
      <c r="H109" s="150" t="s">
        <v>1879</v>
      </c>
      <c r="I109" s="153">
        <v>1</v>
      </c>
      <c r="J109" s="149" t="s">
        <v>1696</v>
      </c>
      <c r="K109" s="149" t="s">
        <v>1696</v>
      </c>
      <c r="L109" s="150" t="s">
        <v>1951</v>
      </c>
      <c r="M109" s="150" t="s">
        <v>1970</v>
      </c>
      <c r="N109" s="150" t="s">
        <v>1689</v>
      </c>
      <c r="O109" s="149" t="s">
        <v>1986</v>
      </c>
      <c r="P109" s="149" t="s">
        <v>1367</v>
      </c>
      <c r="Q109" s="149" t="s">
        <v>1362</v>
      </c>
      <c r="R109" s="149"/>
      <c r="S109" s="149" t="s">
        <v>2193</v>
      </c>
      <c r="T109"/>
      <c r="U109" s="103"/>
      <c r="V109" s="103"/>
      <c r="W109" s="103"/>
      <c r="X109" s="103"/>
      <c r="Y109" s="103"/>
    </row>
    <row r="110" spans="1:25" ht="22" customHeight="1">
      <c r="A110" s="149" t="s">
        <v>4085</v>
      </c>
      <c r="B110" s="149" t="s">
        <v>2931</v>
      </c>
      <c r="C110" s="149" t="s">
        <v>1707</v>
      </c>
      <c r="D110" s="150" t="s">
        <v>2052</v>
      </c>
      <c r="E110" s="150" t="s">
        <v>2074</v>
      </c>
      <c r="F110" s="150" t="s">
        <v>1767</v>
      </c>
      <c r="G110" s="150" t="s">
        <v>4086</v>
      </c>
      <c r="H110" s="150" t="s">
        <v>1919</v>
      </c>
      <c r="I110" s="153">
        <v>3</v>
      </c>
      <c r="J110" s="149" t="s">
        <v>1696</v>
      </c>
      <c r="K110" s="149" t="s">
        <v>1696</v>
      </c>
      <c r="L110" s="150" t="s">
        <v>1963</v>
      </c>
      <c r="M110" s="150" t="s">
        <v>1981</v>
      </c>
      <c r="N110" s="150" t="s">
        <v>1689</v>
      </c>
      <c r="O110" s="149" t="s">
        <v>1990</v>
      </c>
      <c r="P110" s="149" t="s">
        <v>1367</v>
      </c>
      <c r="Q110" s="149" t="s">
        <v>1362</v>
      </c>
      <c r="R110" s="149"/>
      <c r="S110" s="149" t="s">
        <v>2193</v>
      </c>
      <c r="T110"/>
      <c r="U110" s="103"/>
      <c r="V110" s="103"/>
      <c r="W110" s="103"/>
      <c r="X110" s="103"/>
      <c r="Y110" s="103"/>
    </row>
    <row r="111" spans="1:25" ht="22" customHeight="1">
      <c r="A111" s="149" t="s">
        <v>4087</v>
      </c>
      <c r="B111" s="149" t="s">
        <v>2936</v>
      </c>
      <c r="C111" s="149" t="s">
        <v>1704</v>
      </c>
      <c r="D111" s="150" t="s">
        <v>2052</v>
      </c>
      <c r="E111" s="150" t="s">
        <v>2105</v>
      </c>
      <c r="F111" s="150" t="s">
        <v>4088</v>
      </c>
      <c r="G111" s="150" t="s">
        <v>4070</v>
      </c>
      <c r="H111" s="150" t="s">
        <v>1879</v>
      </c>
      <c r="I111" s="153">
        <v>1</v>
      </c>
      <c r="J111" s="149" t="s">
        <v>1696</v>
      </c>
      <c r="K111" s="149" t="s">
        <v>1696</v>
      </c>
      <c r="L111" s="150" t="s">
        <v>1951</v>
      </c>
      <c r="M111" s="150" t="s">
        <v>1970</v>
      </c>
      <c r="N111" s="150" t="s">
        <v>1689</v>
      </c>
      <c r="O111" s="149" t="s">
        <v>1986</v>
      </c>
      <c r="P111" s="149" t="s">
        <v>1367</v>
      </c>
      <c r="Q111" s="149" t="s">
        <v>1362</v>
      </c>
      <c r="R111" s="149"/>
      <c r="S111" s="149" t="s">
        <v>2224</v>
      </c>
      <c r="T111"/>
      <c r="U111" s="103"/>
      <c r="V111" s="103"/>
      <c r="W111" s="103"/>
      <c r="X111" s="103"/>
      <c r="Y111" s="103"/>
    </row>
    <row r="112" spans="1:25" ht="22" customHeight="1">
      <c r="A112" s="149" t="s">
        <v>4089</v>
      </c>
      <c r="B112" s="149" t="s">
        <v>2924</v>
      </c>
      <c r="C112" s="149" t="s">
        <v>1707</v>
      </c>
      <c r="D112" s="150" t="s">
        <v>2052</v>
      </c>
      <c r="E112" s="150" t="s">
        <v>2105</v>
      </c>
      <c r="F112" s="150" t="s">
        <v>1764</v>
      </c>
      <c r="G112" s="150" t="s">
        <v>1840</v>
      </c>
      <c r="H112" s="150" t="s">
        <v>1916</v>
      </c>
      <c r="I112" s="153">
        <v>1</v>
      </c>
      <c r="J112" s="149" t="s">
        <v>1696</v>
      </c>
      <c r="K112" s="149" t="s">
        <v>1696</v>
      </c>
      <c r="L112" s="150" t="s">
        <v>1954</v>
      </c>
      <c r="M112" s="150" t="s">
        <v>1974</v>
      </c>
      <c r="N112" s="150" t="s">
        <v>1689</v>
      </c>
      <c r="O112" s="149" t="s">
        <v>1990</v>
      </c>
      <c r="P112" s="149" t="s">
        <v>1367</v>
      </c>
      <c r="Q112" s="149" t="s">
        <v>1362</v>
      </c>
      <c r="R112" s="149"/>
      <c r="S112" s="149" t="s">
        <v>2224</v>
      </c>
      <c r="T112"/>
    </row>
    <row r="113" spans="1:20" ht="22" customHeight="1">
      <c r="A113" s="149" t="s">
        <v>4090</v>
      </c>
      <c r="B113" s="149" t="s">
        <v>2927</v>
      </c>
      <c r="C113" s="149" t="s">
        <v>1707</v>
      </c>
      <c r="D113" s="150" t="s">
        <v>2052</v>
      </c>
      <c r="E113" s="150" t="s">
        <v>2105</v>
      </c>
      <c r="F113" s="150" t="s">
        <v>1750</v>
      </c>
      <c r="G113" s="150" t="s">
        <v>1829</v>
      </c>
      <c r="H113" s="150" t="s">
        <v>1905</v>
      </c>
      <c r="I113" s="153">
        <v>1</v>
      </c>
      <c r="J113" s="149" t="s">
        <v>1696</v>
      </c>
      <c r="K113" s="149" t="s">
        <v>1696</v>
      </c>
      <c r="L113" s="150" t="s">
        <v>1954</v>
      </c>
      <c r="M113" s="150" t="s">
        <v>1974</v>
      </c>
      <c r="N113" s="150" t="s">
        <v>1689</v>
      </c>
      <c r="O113" s="149" t="s">
        <v>1990</v>
      </c>
      <c r="P113" s="149" t="s">
        <v>1367</v>
      </c>
      <c r="Q113" s="149" t="s">
        <v>1362</v>
      </c>
      <c r="R113" s="149"/>
      <c r="S113" s="149" t="s">
        <v>2224</v>
      </c>
      <c r="T113"/>
    </row>
    <row r="114" spans="1:20" ht="22" customHeight="1">
      <c r="A114" s="149" t="s">
        <v>4091</v>
      </c>
      <c r="B114" s="149" t="s">
        <v>2926</v>
      </c>
      <c r="C114" s="149" t="s">
        <v>1704</v>
      </c>
      <c r="D114" s="150" t="s">
        <v>2052</v>
      </c>
      <c r="E114" s="150" t="s">
        <v>2128</v>
      </c>
      <c r="F114" s="150" t="s">
        <v>1716</v>
      </c>
      <c r="G114" s="150" t="s">
        <v>1802</v>
      </c>
      <c r="H114" s="150" t="s">
        <v>1874</v>
      </c>
      <c r="I114" s="153">
        <v>3</v>
      </c>
      <c r="J114" s="149" t="s">
        <v>1696</v>
      </c>
      <c r="K114" s="149" t="s">
        <v>1696</v>
      </c>
      <c r="L114" s="150" t="s">
        <v>1951</v>
      </c>
      <c r="M114" s="150" t="s">
        <v>1966</v>
      </c>
      <c r="N114" s="150" t="s">
        <v>1689</v>
      </c>
      <c r="O114" s="149" t="s">
        <v>1988</v>
      </c>
      <c r="P114" s="149" t="s">
        <v>1367</v>
      </c>
      <c r="Q114" s="149" t="s">
        <v>1362</v>
      </c>
      <c r="R114" s="149"/>
      <c r="S114" s="149" t="s">
        <v>2246</v>
      </c>
      <c r="T114"/>
    </row>
    <row r="115" spans="1:20" ht="22" customHeight="1">
      <c r="A115" s="149" t="s">
        <v>4092</v>
      </c>
      <c r="B115" s="149" t="s">
        <v>2933</v>
      </c>
      <c r="C115" s="149" t="s">
        <v>1707</v>
      </c>
      <c r="D115" s="150" t="s">
        <v>2053</v>
      </c>
      <c r="E115" s="150" t="s">
        <v>2166</v>
      </c>
      <c r="F115" s="150" t="s">
        <v>1768</v>
      </c>
      <c r="G115" s="150" t="s">
        <v>1841</v>
      </c>
      <c r="H115" s="150" t="s">
        <v>1920</v>
      </c>
      <c r="I115" s="153">
        <v>1</v>
      </c>
      <c r="J115" s="149" t="s">
        <v>1696</v>
      </c>
      <c r="K115" s="149" t="s">
        <v>1696</v>
      </c>
      <c r="L115" s="150" t="s">
        <v>1960</v>
      </c>
      <c r="M115" s="150" t="s">
        <v>1982</v>
      </c>
      <c r="N115" s="150" t="s">
        <v>1689</v>
      </c>
      <c r="O115" s="149" t="s">
        <v>1990</v>
      </c>
      <c r="P115" s="149" t="s">
        <v>1367</v>
      </c>
      <c r="Q115" s="149" t="s">
        <v>1362</v>
      </c>
      <c r="R115" s="149"/>
      <c r="S115" s="149" t="s">
        <v>2294</v>
      </c>
      <c r="T115"/>
    </row>
    <row r="116" spans="1:20" ht="22" customHeight="1">
      <c r="A116" s="149" t="s">
        <v>4093</v>
      </c>
      <c r="B116" s="149" t="s">
        <v>2933</v>
      </c>
      <c r="C116" s="149" t="s">
        <v>1707</v>
      </c>
      <c r="D116" s="150" t="s">
        <v>2053</v>
      </c>
      <c r="E116" s="150" t="s">
        <v>2166</v>
      </c>
      <c r="F116" s="150" t="s">
        <v>1769</v>
      </c>
      <c r="G116" s="150" t="s">
        <v>1842</v>
      </c>
      <c r="H116" s="150" t="s">
        <v>1921</v>
      </c>
      <c r="I116" s="153">
        <v>1</v>
      </c>
      <c r="J116" s="149" t="s">
        <v>1696</v>
      </c>
      <c r="K116" s="149" t="s">
        <v>1696</v>
      </c>
      <c r="L116" s="150" t="s">
        <v>1960</v>
      </c>
      <c r="M116" s="150" t="s">
        <v>1982</v>
      </c>
      <c r="N116" s="150" t="s">
        <v>1689</v>
      </c>
      <c r="O116" s="149" t="s">
        <v>1990</v>
      </c>
      <c r="P116" s="149" t="s">
        <v>1367</v>
      </c>
      <c r="Q116" s="149" t="s">
        <v>1362</v>
      </c>
      <c r="R116" s="149"/>
      <c r="S116" s="149" t="s">
        <v>2294</v>
      </c>
      <c r="T116"/>
    </row>
    <row r="117" spans="1:20" ht="22" customHeight="1">
      <c r="A117" s="114" t="s">
        <v>4094</v>
      </c>
      <c r="B117" s="114" t="s">
        <v>2933</v>
      </c>
      <c r="C117" s="114" t="s">
        <v>1707</v>
      </c>
      <c r="D117" s="114" t="s">
        <v>2053</v>
      </c>
      <c r="E117" s="114" t="s">
        <v>2166</v>
      </c>
      <c r="F117" s="114" t="s">
        <v>1770</v>
      </c>
      <c r="G117" s="114" t="s">
        <v>1843</v>
      </c>
      <c r="H117" s="114" t="s">
        <v>1922</v>
      </c>
      <c r="I117" s="148">
        <v>1</v>
      </c>
      <c r="J117" s="114" t="s">
        <v>1696</v>
      </c>
      <c r="K117" s="114" t="s">
        <v>1696</v>
      </c>
      <c r="L117" s="114" t="s">
        <v>1960</v>
      </c>
      <c r="M117" s="114" t="s">
        <v>1982</v>
      </c>
      <c r="N117" s="114" t="s">
        <v>1689</v>
      </c>
      <c r="O117" s="114" t="s">
        <v>1990</v>
      </c>
      <c r="P117" s="114" t="s">
        <v>1367</v>
      </c>
      <c r="Q117" s="114" t="s">
        <v>1362</v>
      </c>
      <c r="R117" s="114"/>
      <c r="S117" s="114" t="s">
        <v>2294</v>
      </c>
      <c r="T117"/>
    </row>
    <row r="118" spans="1:20" ht="22" customHeight="1">
      <c r="A118" s="114" t="s">
        <v>4095</v>
      </c>
      <c r="B118" s="114" t="s">
        <v>2935</v>
      </c>
      <c r="C118" s="114" t="s">
        <v>1707</v>
      </c>
      <c r="D118" s="114" t="s">
        <v>2053</v>
      </c>
      <c r="E118" s="114" t="s">
        <v>2118</v>
      </c>
      <c r="F118" s="114" t="s">
        <v>1733</v>
      </c>
      <c r="G118" s="114" t="s">
        <v>1815</v>
      </c>
      <c r="H118" s="114" t="s">
        <v>1888</v>
      </c>
      <c r="I118" s="148">
        <v>1</v>
      </c>
      <c r="J118" s="114" t="s">
        <v>1696</v>
      </c>
      <c r="K118" s="114" t="s">
        <v>1696</v>
      </c>
      <c r="L118" s="114" t="s">
        <v>1960</v>
      </c>
      <c r="M118" s="114" t="s">
        <v>1973</v>
      </c>
      <c r="N118" s="114" t="s">
        <v>1689</v>
      </c>
      <c r="O118" s="114" t="s">
        <v>1990</v>
      </c>
      <c r="P118" s="114" t="s">
        <v>1367</v>
      </c>
      <c r="Q118" s="114" t="s">
        <v>1362</v>
      </c>
      <c r="R118" s="114"/>
      <c r="S118" s="114" t="s">
        <v>2236</v>
      </c>
      <c r="T118"/>
    </row>
    <row r="119" spans="1:20" ht="22" customHeight="1">
      <c r="A119" s="149" t="s">
        <v>4096</v>
      </c>
      <c r="B119" s="149" t="s">
        <v>2930</v>
      </c>
      <c r="C119" s="149" t="s">
        <v>1706</v>
      </c>
      <c r="D119" s="150" t="s">
        <v>2053</v>
      </c>
      <c r="E119" s="150" t="s">
        <v>2111</v>
      </c>
      <c r="F119" s="150" t="s">
        <v>1726</v>
      </c>
      <c r="G119" s="150" t="s">
        <v>4097</v>
      </c>
      <c r="H119" s="150" t="s">
        <v>2975</v>
      </c>
      <c r="I119" s="153">
        <v>1.5</v>
      </c>
      <c r="J119" s="149" t="s">
        <v>1696</v>
      </c>
      <c r="K119" s="149" t="s">
        <v>1696</v>
      </c>
      <c r="L119" s="150" t="s">
        <v>1954</v>
      </c>
      <c r="M119" s="150" t="s">
        <v>4098</v>
      </c>
      <c r="N119" s="150" t="s">
        <v>1689</v>
      </c>
      <c r="O119" s="149" t="s">
        <v>1988</v>
      </c>
      <c r="P119" s="149" t="s">
        <v>1367</v>
      </c>
      <c r="Q119" s="149" t="s">
        <v>1362</v>
      </c>
      <c r="R119" s="149"/>
      <c r="S119" s="149" t="s">
        <v>2230</v>
      </c>
      <c r="T119"/>
    </row>
    <row r="120" spans="1:20" ht="22" customHeight="1">
      <c r="A120" s="149" t="s">
        <v>4099</v>
      </c>
      <c r="B120" s="149" t="s">
        <v>2930</v>
      </c>
      <c r="C120" s="149" t="s">
        <v>1706</v>
      </c>
      <c r="D120" s="150" t="s">
        <v>2053</v>
      </c>
      <c r="E120" s="150" t="s">
        <v>2111</v>
      </c>
      <c r="F120" s="150" t="s">
        <v>1727</v>
      </c>
      <c r="G120" s="150" t="s">
        <v>1809</v>
      </c>
      <c r="H120" s="150" t="s">
        <v>1882</v>
      </c>
      <c r="I120" s="153">
        <v>0.5</v>
      </c>
      <c r="J120" s="149" t="s">
        <v>1696</v>
      </c>
      <c r="K120" s="149" t="s">
        <v>1696</v>
      </c>
      <c r="L120" s="150" t="s">
        <v>1960</v>
      </c>
      <c r="M120" s="150" t="s">
        <v>1973</v>
      </c>
      <c r="N120" s="150" t="s">
        <v>1689</v>
      </c>
      <c r="O120" s="149" t="s">
        <v>1990</v>
      </c>
      <c r="P120" s="149" t="s">
        <v>1367</v>
      </c>
      <c r="Q120" s="149" t="s">
        <v>1362</v>
      </c>
      <c r="R120" s="149"/>
      <c r="S120" s="149" t="s">
        <v>2230</v>
      </c>
      <c r="T120"/>
    </row>
    <row r="121" spans="1:20" ht="22" customHeight="1">
      <c r="A121" s="149" t="s">
        <v>4100</v>
      </c>
      <c r="B121" s="149" t="s">
        <v>2930</v>
      </c>
      <c r="C121" s="149" t="s">
        <v>1706</v>
      </c>
      <c r="D121" s="150" t="s">
        <v>2053</v>
      </c>
      <c r="E121" s="150" t="s">
        <v>2113</v>
      </c>
      <c r="F121" s="150" t="s">
        <v>1728</v>
      </c>
      <c r="G121" s="150" t="s">
        <v>1810</v>
      </c>
      <c r="H121" s="150" t="s">
        <v>1883</v>
      </c>
      <c r="I121" s="153">
        <v>0.5</v>
      </c>
      <c r="J121" s="149" t="s">
        <v>1696</v>
      </c>
      <c r="K121" s="149" t="s">
        <v>1696</v>
      </c>
      <c r="L121" s="150" t="s">
        <v>1960</v>
      </c>
      <c r="M121" s="150" t="s">
        <v>1973</v>
      </c>
      <c r="N121" s="150" t="s">
        <v>1689</v>
      </c>
      <c r="O121" s="149" t="s">
        <v>1990</v>
      </c>
      <c r="P121" s="149" t="s">
        <v>1367</v>
      </c>
      <c r="Q121" s="149" t="s">
        <v>1362</v>
      </c>
      <c r="R121" s="149"/>
      <c r="S121" s="149" t="s">
        <v>2232</v>
      </c>
      <c r="T121"/>
    </row>
    <row r="122" spans="1:20" ht="22" customHeight="1">
      <c r="A122" s="149" t="s">
        <v>4101</v>
      </c>
      <c r="B122" s="149" t="s">
        <v>2936</v>
      </c>
      <c r="C122" s="149" t="s">
        <v>1704</v>
      </c>
      <c r="D122" s="150" t="s">
        <v>2053</v>
      </c>
      <c r="E122" s="150" t="s">
        <v>4102</v>
      </c>
      <c r="F122" s="150" t="s">
        <v>4103</v>
      </c>
      <c r="G122" s="150" t="s">
        <v>1807</v>
      </c>
      <c r="H122" s="150" t="s">
        <v>1880</v>
      </c>
      <c r="I122" s="153">
        <v>1</v>
      </c>
      <c r="J122" s="149" t="s">
        <v>1696</v>
      </c>
      <c r="K122" s="149" t="s">
        <v>1696</v>
      </c>
      <c r="L122" s="150" t="s">
        <v>1951</v>
      </c>
      <c r="M122" s="150" t="s">
        <v>1970</v>
      </c>
      <c r="N122" s="150" t="s">
        <v>1689</v>
      </c>
      <c r="O122" s="149" t="s">
        <v>1986</v>
      </c>
      <c r="P122" s="149" t="s">
        <v>1367</v>
      </c>
      <c r="Q122" s="149" t="s">
        <v>1362</v>
      </c>
      <c r="R122" s="149"/>
      <c r="S122" s="149" t="s">
        <v>2195</v>
      </c>
      <c r="T122"/>
    </row>
    <row r="123" spans="1:20" ht="22" customHeight="1">
      <c r="A123" s="114" t="s">
        <v>4104</v>
      </c>
      <c r="B123" s="114" t="s">
        <v>3777</v>
      </c>
      <c r="C123" s="114" t="s">
        <v>1707</v>
      </c>
      <c r="D123" s="114" t="s">
        <v>2053</v>
      </c>
      <c r="E123" s="114" t="s">
        <v>4102</v>
      </c>
      <c r="F123" s="114" t="s">
        <v>1778</v>
      </c>
      <c r="G123" s="114" t="s">
        <v>1851</v>
      </c>
      <c r="H123" s="114" t="s">
        <v>1930</v>
      </c>
      <c r="I123" s="148">
        <v>4</v>
      </c>
      <c r="J123" s="114" t="s">
        <v>1696</v>
      </c>
      <c r="K123" s="114" t="s">
        <v>1696</v>
      </c>
      <c r="L123" s="114" t="s">
        <v>1956</v>
      </c>
      <c r="M123" s="114" t="s">
        <v>3961</v>
      </c>
      <c r="N123" s="114" t="s">
        <v>1689</v>
      </c>
      <c r="O123" s="114" t="s">
        <v>1986</v>
      </c>
      <c r="P123" s="114" t="s">
        <v>1367</v>
      </c>
      <c r="Q123" s="114" t="s">
        <v>1362</v>
      </c>
      <c r="R123" s="114"/>
      <c r="S123" s="114" t="s">
        <v>2195</v>
      </c>
      <c r="T123"/>
    </row>
    <row r="124" spans="1:20" ht="22" customHeight="1">
      <c r="A124" s="114" t="s">
        <v>4105</v>
      </c>
      <c r="B124" s="114" t="s">
        <v>3777</v>
      </c>
      <c r="C124" s="114" t="s">
        <v>1707</v>
      </c>
      <c r="D124" s="114" t="s">
        <v>2053</v>
      </c>
      <c r="E124" s="114" t="s">
        <v>4102</v>
      </c>
      <c r="F124" s="114" t="s">
        <v>4106</v>
      </c>
      <c r="G124" s="114" t="s">
        <v>4107</v>
      </c>
      <c r="H124" s="114" t="s">
        <v>4108</v>
      </c>
      <c r="I124" s="148">
        <v>1</v>
      </c>
      <c r="J124" s="114" t="s">
        <v>1696</v>
      </c>
      <c r="K124" s="114" t="s">
        <v>1696</v>
      </c>
      <c r="L124" s="114" t="s">
        <v>1954</v>
      </c>
      <c r="M124" s="114" t="s">
        <v>4109</v>
      </c>
      <c r="N124" s="114" t="s">
        <v>1689</v>
      </c>
      <c r="O124" s="114" t="s">
        <v>1990</v>
      </c>
      <c r="P124" s="114" t="s">
        <v>1367</v>
      </c>
      <c r="Q124" s="114" t="s">
        <v>1362</v>
      </c>
      <c r="R124" s="114"/>
      <c r="S124" s="114" t="s">
        <v>2195</v>
      </c>
      <c r="T124"/>
    </row>
    <row r="125" spans="1:20" ht="22" customHeight="1">
      <c r="A125" s="114" t="s">
        <v>4110</v>
      </c>
      <c r="B125" s="114" t="s">
        <v>2935</v>
      </c>
      <c r="C125" s="114" t="s">
        <v>1707</v>
      </c>
      <c r="D125" s="114" t="s">
        <v>2053</v>
      </c>
      <c r="E125" s="114" t="s">
        <v>4111</v>
      </c>
      <c r="F125" s="114" t="s">
        <v>4112</v>
      </c>
      <c r="G125" s="114" t="s">
        <v>4113</v>
      </c>
      <c r="H125" s="114" t="s">
        <v>2976</v>
      </c>
      <c r="I125" s="148">
        <v>2</v>
      </c>
      <c r="J125" s="114" t="s">
        <v>1696</v>
      </c>
      <c r="K125" s="114" t="s">
        <v>1696</v>
      </c>
      <c r="L125" s="114" t="s">
        <v>1960</v>
      </c>
      <c r="M125" s="114" t="s">
        <v>4114</v>
      </c>
      <c r="N125" s="114" t="s">
        <v>1689</v>
      </c>
      <c r="O125" s="114" t="s">
        <v>1990</v>
      </c>
      <c r="P125" s="114" t="s">
        <v>1367</v>
      </c>
      <c r="Q125" s="114" t="s">
        <v>1362</v>
      </c>
      <c r="R125" s="114"/>
      <c r="S125" s="114" t="s">
        <v>4115</v>
      </c>
      <c r="T125"/>
    </row>
    <row r="126" spans="1:20" ht="22" customHeight="1">
      <c r="A126" s="114" t="s">
        <v>4116</v>
      </c>
      <c r="B126" s="114" t="s">
        <v>2935</v>
      </c>
      <c r="C126" s="114" t="s">
        <v>1707</v>
      </c>
      <c r="D126" s="114" t="s">
        <v>2053</v>
      </c>
      <c r="E126" s="114" t="s">
        <v>4111</v>
      </c>
      <c r="F126" s="114" t="s">
        <v>4117</v>
      </c>
      <c r="G126" s="114" t="s">
        <v>4118</v>
      </c>
      <c r="H126" s="114" t="s">
        <v>2977</v>
      </c>
      <c r="I126" s="148">
        <v>2</v>
      </c>
      <c r="J126" s="114" t="s">
        <v>1696</v>
      </c>
      <c r="K126" s="114" t="s">
        <v>1696</v>
      </c>
      <c r="L126" s="114" t="s">
        <v>1954</v>
      </c>
      <c r="M126" s="114" t="s">
        <v>4119</v>
      </c>
      <c r="N126" s="114" t="s">
        <v>1689</v>
      </c>
      <c r="O126" s="114" t="s">
        <v>1990</v>
      </c>
      <c r="P126" s="114" t="s">
        <v>1367</v>
      </c>
      <c r="Q126" s="114" t="s">
        <v>1362</v>
      </c>
      <c r="R126" s="114"/>
      <c r="S126" s="114" t="s">
        <v>4115</v>
      </c>
      <c r="T126"/>
    </row>
    <row r="127" spans="1:20" ht="22" customHeight="1">
      <c r="A127" s="114" t="s">
        <v>4120</v>
      </c>
      <c r="B127" s="114" t="s">
        <v>2935</v>
      </c>
      <c r="C127" s="114" t="s">
        <v>1707</v>
      </c>
      <c r="D127" s="114" t="s">
        <v>2053</v>
      </c>
      <c r="E127" s="114" t="s">
        <v>4111</v>
      </c>
      <c r="F127" s="114" t="s">
        <v>4121</v>
      </c>
      <c r="G127" s="114" t="s">
        <v>4122</v>
      </c>
      <c r="H127" s="114" t="s">
        <v>2978</v>
      </c>
      <c r="I127" s="148">
        <v>1.5</v>
      </c>
      <c r="J127" s="114" t="s">
        <v>1696</v>
      </c>
      <c r="K127" s="114" t="s">
        <v>1696</v>
      </c>
      <c r="L127" s="114" t="s">
        <v>1960</v>
      </c>
      <c r="M127" s="114" t="s">
        <v>4123</v>
      </c>
      <c r="N127" s="114" t="s">
        <v>1689</v>
      </c>
      <c r="O127" s="114" t="s">
        <v>1990</v>
      </c>
      <c r="P127" s="114" t="s">
        <v>1367</v>
      </c>
      <c r="Q127" s="114" t="s">
        <v>1362</v>
      </c>
      <c r="R127" s="114"/>
      <c r="S127" s="114" t="s">
        <v>4115</v>
      </c>
      <c r="T127"/>
    </row>
    <row r="128" spans="1:20" ht="22" customHeight="1">
      <c r="A128" s="114" t="s">
        <v>4124</v>
      </c>
      <c r="B128" s="114" t="s">
        <v>2935</v>
      </c>
      <c r="C128" s="114" t="s">
        <v>1707</v>
      </c>
      <c r="D128" s="114" t="s">
        <v>2053</v>
      </c>
      <c r="E128" s="114" t="s">
        <v>4111</v>
      </c>
      <c r="F128" s="114" t="s">
        <v>4125</v>
      </c>
      <c r="G128" s="114" t="s">
        <v>4126</v>
      </c>
      <c r="H128" s="114" t="s">
        <v>2979</v>
      </c>
      <c r="I128" s="148">
        <v>1.5</v>
      </c>
      <c r="J128" s="114" t="s">
        <v>1696</v>
      </c>
      <c r="K128" s="114" t="s">
        <v>1696</v>
      </c>
      <c r="L128" s="114" t="s">
        <v>1954</v>
      </c>
      <c r="M128" s="114" t="s">
        <v>4127</v>
      </c>
      <c r="N128" s="114" t="s">
        <v>1689</v>
      </c>
      <c r="O128" s="114" t="s">
        <v>1990</v>
      </c>
      <c r="P128" s="114" t="s">
        <v>1367</v>
      </c>
      <c r="Q128" s="114" t="s">
        <v>1362</v>
      </c>
      <c r="R128" s="114"/>
      <c r="S128" s="114" t="s">
        <v>4115</v>
      </c>
      <c r="T128"/>
    </row>
    <row r="129" spans="1:20" ht="22" customHeight="1">
      <c r="A129" s="114" t="s">
        <v>4128</v>
      </c>
      <c r="B129" s="114" t="s">
        <v>2935</v>
      </c>
      <c r="C129" s="114" t="s">
        <v>1707</v>
      </c>
      <c r="D129" s="114" t="s">
        <v>2053</v>
      </c>
      <c r="E129" s="114" t="s">
        <v>4129</v>
      </c>
      <c r="F129" s="114" t="s">
        <v>4130</v>
      </c>
      <c r="G129" s="114" t="s">
        <v>4131</v>
      </c>
      <c r="H129" s="114" t="s">
        <v>2980</v>
      </c>
      <c r="I129" s="148">
        <v>2</v>
      </c>
      <c r="J129" s="114" t="s">
        <v>1696</v>
      </c>
      <c r="K129" s="114" t="s">
        <v>1696</v>
      </c>
      <c r="L129" s="114" t="s">
        <v>1959</v>
      </c>
      <c r="M129" s="114" t="s">
        <v>4132</v>
      </c>
      <c r="N129" s="114" t="s">
        <v>1689</v>
      </c>
      <c r="O129" s="114" t="s">
        <v>1990</v>
      </c>
      <c r="P129" s="114" t="s">
        <v>1367</v>
      </c>
      <c r="Q129" s="114" t="s">
        <v>1362</v>
      </c>
      <c r="R129" s="114"/>
      <c r="S129" s="114" t="s">
        <v>4133</v>
      </c>
      <c r="T129"/>
    </row>
    <row r="130" spans="1:20" ht="22" customHeight="1">
      <c r="A130" s="114" t="s">
        <v>4134</v>
      </c>
      <c r="B130" s="114" t="s">
        <v>2935</v>
      </c>
      <c r="C130" s="114" t="s">
        <v>1707</v>
      </c>
      <c r="D130" s="114" t="s">
        <v>2053</v>
      </c>
      <c r="E130" s="114" t="s">
        <v>4135</v>
      </c>
      <c r="F130" s="114" t="s">
        <v>4136</v>
      </c>
      <c r="G130" s="114" t="s">
        <v>4137</v>
      </c>
      <c r="H130" s="114" t="s">
        <v>2981</v>
      </c>
      <c r="I130" s="148">
        <v>2</v>
      </c>
      <c r="J130" s="114" t="s">
        <v>1696</v>
      </c>
      <c r="K130" s="114" t="s">
        <v>1696</v>
      </c>
      <c r="L130" s="114" t="s">
        <v>1960</v>
      </c>
      <c r="M130" s="114" t="s">
        <v>4138</v>
      </c>
      <c r="N130" s="114" t="s">
        <v>1689</v>
      </c>
      <c r="O130" s="114" t="s">
        <v>1990</v>
      </c>
      <c r="P130" s="114" t="s">
        <v>1367</v>
      </c>
      <c r="Q130" s="114" t="s">
        <v>1362</v>
      </c>
      <c r="R130" s="114"/>
      <c r="S130" s="114" t="s">
        <v>4139</v>
      </c>
      <c r="T130"/>
    </row>
    <row r="131" spans="1:20" ht="22" customHeight="1">
      <c r="A131" s="149" t="s">
        <v>4140</v>
      </c>
      <c r="B131" s="149" t="s">
        <v>2935</v>
      </c>
      <c r="C131" s="149" t="s">
        <v>1706</v>
      </c>
      <c r="D131" s="150" t="s">
        <v>2053</v>
      </c>
      <c r="E131" s="150" t="s">
        <v>4135</v>
      </c>
      <c r="F131" s="150" t="s">
        <v>4141</v>
      </c>
      <c r="G131" s="150" t="s">
        <v>4142</v>
      </c>
      <c r="H131" s="150" t="s">
        <v>2982</v>
      </c>
      <c r="I131" s="153">
        <v>1.5</v>
      </c>
      <c r="J131" s="149" t="s">
        <v>1696</v>
      </c>
      <c r="K131" s="149" t="s">
        <v>1696</v>
      </c>
      <c r="L131" s="150" t="s">
        <v>1960</v>
      </c>
      <c r="M131" s="150" t="s">
        <v>4143</v>
      </c>
      <c r="N131" s="150" t="s">
        <v>1689</v>
      </c>
      <c r="O131" s="149" t="s">
        <v>1990</v>
      </c>
      <c r="P131" s="149" t="s">
        <v>1367</v>
      </c>
      <c r="Q131" s="149" t="s">
        <v>1362</v>
      </c>
      <c r="R131" s="149"/>
      <c r="S131" s="149" t="s">
        <v>4139</v>
      </c>
      <c r="T131"/>
    </row>
    <row r="132" spans="1:20" ht="22" customHeight="1">
      <c r="A132" s="149" t="s">
        <v>4144</v>
      </c>
      <c r="B132" s="149" t="s">
        <v>2931</v>
      </c>
      <c r="C132" s="149" t="s">
        <v>1707</v>
      </c>
      <c r="D132" s="150" t="s">
        <v>2053</v>
      </c>
      <c r="E132" s="150" t="s">
        <v>4145</v>
      </c>
      <c r="F132" s="150" t="s">
        <v>4146</v>
      </c>
      <c r="G132" s="150" t="s">
        <v>4147</v>
      </c>
      <c r="H132" s="150" t="s">
        <v>4148</v>
      </c>
      <c r="I132" s="153">
        <v>2</v>
      </c>
      <c r="J132" s="149" t="s">
        <v>1696</v>
      </c>
      <c r="K132" s="149" t="s">
        <v>1696</v>
      </c>
      <c r="L132" s="150" t="s">
        <v>1954</v>
      </c>
      <c r="M132" s="150" t="s">
        <v>4149</v>
      </c>
      <c r="N132" s="150" t="s">
        <v>1689</v>
      </c>
      <c r="O132" s="149" t="s">
        <v>1990</v>
      </c>
      <c r="P132" s="149" t="s">
        <v>1367</v>
      </c>
      <c r="Q132" s="149" t="s">
        <v>1362</v>
      </c>
      <c r="R132" s="149"/>
      <c r="S132" s="149" t="s">
        <v>4150</v>
      </c>
      <c r="T132"/>
    </row>
    <row r="133" spans="1:20" ht="22" customHeight="1">
      <c r="A133" s="149" t="s">
        <v>4151</v>
      </c>
      <c r="B133" s="149" t="s">
        <v>2936</v>
      </c>
      <c r="C133" s="149" t="s">
        <v>1704</v>
      </c>
      <c r="D133" s="150" t="s">
        <v>2058</v>
      </c>
      <c r="E133" s="150" t="s">
        <v>2100</v>
      </c>
      <c r="F133" s="150" t="s">
        <v>1717</v>
      </c>
      <c r="G133" s="150" t="s">
        <v>1803</v>
      </c>
      <c r="H133" s="150" t="s">
        <v>1875</v>
      </c>
      <c r="I133" s="153">
        <v>1</v>
      </c>
      <c r="J133" s="149" t="s">
        <v>1696</v>
      </c>
      <c r="K133" s="149" t="s">
        <v>1696</v>
      </c>
      <c r="L133" s="150" t="s">
        <v>1951</v>
      </c>
      <c r="M133" s="150" t="s">
        <v>1969</v>
      </c>
      <c r="N133" s="150" t="s">
        <v>1985</v>
      </c>
      <c r="O133" s="149" t="s">
        <v>1986</v>
      </c>
      <c r="P133" s="149" t="s">
        <v>1367</v>
      </c>
      <c r="Q133" s="149" t="s">
        <v>1362</v>
      </c>
      <c r="R133" s="149"/>
      <c r="S133" s="149" t="s">
        <v>2219</v>
      </c>
      <c r="T133"/>
    </row>
    <row r="134" spans="1:20" ht="22" customHeight="1">
      <c r="A134" s="114" t="s">
        <v>4152</v>
      </c>
      <c r="B134" s="114" t="s">
        <v>2936</v>
      </c>
      <c r="C134" s="114" t="s">
        <v>1704</v>
      </c>
      <c r="D134" s="114" t="s">
        <v>2058</v>
      </c>
      <c r="E134" s="114" t="s">
        <v>2100</v>
      </c>
      <c r="F134" s="114" t="s">
        <v>1718</v>
      </c>
      <c r="G134" s="114" t="s">
        <v>1804</v>
      </c>
      <c r="H134" s="114" t="s">
        <v>1876</v>
      </c>
      <c r="I134" s="148">
        <v>1</v>
      </c>
      <c r="J134" s="114" t="s">
        <v>1696</v>
      </c>
      <c r="K134" s="114" t="s">
        <v>1696</v>
      </c>
      <c r="L134" s="114" t="s">
        <v>1951</v>
      </c>
      <c r="M134" s="114" t="s">
        <v>1970</v>
      </c>
      <c r="N134" s="114" t="s">
        <v>1689</v>
      </c>
      <c r="O134" s="114" t="s">
        <v>1986</v>
      </c>
      <c r="P134" s="114" t="s">
        <v>4151</v>
      </c>
      <c r="Q134" s="114" t="s">
        <v>1362</v>
      </c>
      <c r="R134" s="114"/>
      <c r="S134" s="114" t="s">
        <v>2219</v>
      </c>
      <c r="T134"/>
    </row>
    <row r="135" spans="1:20" ht="22" customHeight="1">
      <c r="A135" s="149" t="s">
        <v>4153</v>
      </c>
      <c r="B135" s="149" t="s">
        <v>2936</v>
      </c>
      <c r="C135" s="149" t="s">
        <v>1704</v>
      </c>
      <c r="D135" s="150" t="s">
        <v>2058</v>
      </c>
      <c r="E135" s="150" t="s">
        <v>2100</v>
      </c>
      <c r="F135" s="150" t="s">
        <v>1719</v>
      </c>
      <c r="G135" s="150" t="s">
        <v>1805</v>
      </c>
      <c r="H135" s="150" t="s">
        <v>1877</v>
      </c>
      <c r="I135" s="153">
        <v>1</v>
      </c>
      <c r="J135" s="149" t="s">
        <v>1696</v>
      </c>
      <c r="K135" s="149" t="s">
        <v>1696</v>
      </c>
      <c r="L135" s="150" t="s">
        <v>1951</v>
      </c>
      <c r="M135" s="150" t="s">
        <v>1971</v>
      </c>
      <c r="N135" s="150" t="s">
        <v>1985</v>
      </c>
      <c r="O135" s="149" t="s">
        <v>1986</v>
      </c>
      <c r="P135" s="149" t="s">
        <v>4151</v>
      </c>
      <c r="Q135" s="149" t="s">
        <v>1362</v>
      </c>
      <c r="R135" s="149"/>
      <c r="S135" s="149" t="s">
        <v>2219</v>
      </c>
      <c r="T135"/>
    </row>
    <row r="136" spans="1:20" ht="22" customHeight="1">
      <c r="A136" s="149" t="s">
        <v>4154</v>
      </c>
      <c r="B136" s="149" t="s">
        <v>2926</v>
      </c>
      <c r="C136" s="149" t="s">
        <v>1704</v>
      </c>
      <c r="D136" s="150" t="s">
        <v>2058</v>
      </c>
      <c r="E136" s="150" t="s">
        <v>2092</v>
      </c>
      <c r="F136" s="150" t="s">
        <v>4155</v>
      </c>
      <c r="G136" s="150" t="s">
        <v>4156</v>
      </c>
      <c r="H136" s="150" t="s">
        <v>2983</v>
      </c>
      <c r="I136" s="153">
        <v>1.5</v>
      </c>
      <c r="J136" s="149" t="s">
        <v>1696</v>
      </c>
      <c r="K136" s="149" t="s">
        <v>1697</v>
      </c>
      <c r="L136" s="150" t="s">
        <v>1954</v>
      </c>
      <c r="M136" s="150" t="s">
        <v>4157</v>
      </c>
      <c r="N136" s="150" t="s">
        <v>1689</v>
      </c>
      <c r="O136" s="149" t="s">
        <v>1988</v>
      </c>
      <c r="P136" s="149" t="s">
        <v>1367</v>
      </c>
      <c r="Q136" s="149" t="s">
        <v>1362</v>
      </c>
      <c r="R136" s="149"/>
      <c r="S136" s="149" t="s">
        <v>2212</v>
      </c>
      <c r="T136"/>
    </row>
    <row r="137" spans="1:20" ht="22" customHeight="1">
      <c r="A137" s="149" t="s">
        <v>4158</v>
      </c>
      <c r="B137" s="149" t="s">
        <v>2927</v>
      </c>
      <c r="C137" s="149" t="s">
        <v>1707</v>
      </c>
      <c r="D137" s="150" t="s">
        <v>2064</v>
      </c>
      <c r="E137" s="150" t="s">
        <v>2124</v>
      </c>
      <c r="F137" s="150" t="s">
        <v>1741</v>
      </c>
      <c r="G137" s="150" t="s">
        <v>1822</v>
      </c>
      <c r="H137" s="150" t="s">
        <v>1896</v>
      </c>
      <c r="I137" s="153">
        <v>0.5</v>
      </c>
      <c r="J137" s="149" t="s">
        <v>1699</v>
      </c>
      <c r="K137" s="149" t="s">
        <v>1699</v>
      </c>
      <c r="L137" s="150" t="s">
        <v>1961</v>
      </c>
      <c r="M137" s="150" t="s">
        <v>1975</v>
      </c>
      <c r="N137" s="150" t="s">
        <v>1689</v>
      </c>
      <c r="O137" s="149" t="s">
        <v>1987</v>
      </c>
      <c r="P137" s="149" t="s">
        <v>1367</v>
      </c>
      <c r="Q137" s="149" t="s">
        <v>1362</v>
      </c>
      <c r="R137" s="149"/>
      <c r="S137" s="149" t="s">
        <v>2242</v>
      </c>
      <c r="T137"/>
    </row>
    <row r="138" spans="1:20" ht="22" customHeight="1">
      <c r="A138" s="149" t="s">
        <v>4159</v>
      </c>
      <c r="B138" s="149" t="s">
        <v>2927</v>
      </c>
      <c r="C138" s="149" t="s">
        <v>1707</v>
      </c>
      <c r="D138" s="150" t="s">
        <v>2064</v>
      </c>
      <c r="E138" s="150" t="s">
        <v>2124</v>
      </c>
      <c r="F138" s="150" t="s">
        <v>1742</v>
      </c>
      <c r="G138" s="150" t="s">
        <v>1823</v>
      </c>
      <c r="H138" s="150" t="s">
        <v>1897</v>
      </c>
      <c r="I138" s="153">
        <v>3</v>
      </c>
      <c r="J138" s="149" t="s">
        <v>1699</v>
      </c>
      <c r="K138" s="149" t="s">
        <v>1699</v>
      </c>
      <c r="L138" s="150" t="s">
        <v>1952</v>
      </c>
      <c r="M138" s="150" t="s">
        <v>4160</v>
      </c>
      <c r="N138" s="150" t="s">
        <v>1689</v>
      </c>
      <c r="O138" s="149" t="s">
        <v>1989</v>
      </c>
      <c r="P138" s="149" t="s">
        <v>1367</v>
      </c>
      <c r="Q138" s="149" t="s">
        <v>1362</v>
      </c>
      <c r="R138" s="149"/>
      <c r="S138" s="149" t="s">
        <v>2242</v>
      </c>
      <c r="T138"/>
    </row>
    <row r="139" spans="1:20" ht="22" customHeight="1">
      <c r="A139" s="149" t="s">
        <v>4161</v>
      </c>
      <c r="B139" s="149" t="s">
        <v>2924</v>
      </c>
      <c r="C139" s="149" t="s">
        <v>1707</v>
      </c>
      <c r="D139" s="150" t="s">
        <v>2064</v>
      </c>
      <c r="E139" s="150" t="s">
        <v>2133</v>
      </c>
      <c r="F139" s="150" t="s">
        <v>4162</v>
      </c>
      <c r="G139" s="150" t="s">
        <v>1836</v>
      </c>
      <c r="H139" s="150" t="s">
        <v>1913</v>
      </c>
      <c r="I139" s="153">
        <v>2</v>
      </c>
      <c r="J139" s="149" t="s">
        <v>1696</v>
      </c>
      <c r="K139" s="149" t="s">
        <v>1696</v>
      </c>
      <c r="L139" s="150" t="s">
        <v>1958</v>
      </c>
      <c r="M139" s="150" t="s">
        <v>1979</v>
      </c>
      <c r="N139" s="150" t="s">
        <v>1689</v>
      </c>
      <c r="O139" s="149" t="s">
        <v>1988</v>
      </c>
      <c r="P139" s="149" t="s">
        <v>1367</v>
      </c>
      <c r="Q139" s="149" t="s">
        <v>1362</v>
      </c>
      <c r="R139" s="149"/>
      <c r="S139" s="149" t="s">
        <v>2251</v>
      </c>
      <c r="T139"/>
    </row>
    <row r="140" spans="1:20" ht="22" customHeight="1">
      <c r="A140" s="149" t="s">
        <v>4163</v>
      </c>
      <c r="B140" s="149" t="s">
        <v>2927</v>
      </c>
      <c r="C140" s="149" t="s">
        <v>1707</v>
      </c>
      <c r="D140" s="150" t="s">
        <v>2064</v>
      </c>
      <c r="E140" s="150" t="s">
        <v>2131</v>
      </c>
      <c r="F140" s="150" t="s">
        <v>1744</v>
      </c>
      <c r="G140" s="150" t="s">
        <v>4164</v>
      </c>
      <c r="H140" s="150" t="s">
        <v>1899</v>
      </c>
      <c r="I140" s="153">
        <v>0.5</v>
      </c>
      <c r="J140" s="149" t="s">
        <v>1696</v>
      </c>
      <c r="K140" s="149" t="s">
        <v>1696</v>
      </c>
      <c r="L140" s="150" t="s">
        <v>1961</v>
      </c>
      <c r="M140" s="150" t="s">
        <v>1975</v>
      </c>
      <c r="N140" s="150" t="s">
        <v>1689</v>
      </c>
      <c r="O140" s="149" t="s">
        <v>1987</v>
      </c>
      <c r="P140" s="149" t="s">
        <v>1367</v>
      </c>
      <c r="Q140" s="149" t="s">
        <v>1362</v>
      </c>
      <c r="R140" s="149"/>
      <c r="S140" s="149" t="s">
        <v>2249</v>
      </c>
      <c r="T140"/>
    </row>
    <row r="141" spans="1:20" ht="22" customHeight="1">
      <c r="A141" s="149" t="s">
        <v>4165</v>
      </c>
      <c r="B141" s="149" t="s">
        <v>2927</v>
      </c>
      <c r="C141" s="149" t="s">
        <v>1707</v>
      </c>
      <c r="D141" s="150" t="s">
        <v>2064</v>
      </c>
      <c r="E141" s="150" t="s">
        <v>2131</v>
      </c>
      <c r="F141" s="150" t="s">
        <v>1745</v>
      </c>
      <c r="G141" s="150" t="s">
        <v>1825</v>
      </c>
      <c r="H141" s="150" t="s">
        <v>1900</v>
      </c>
      <c r="I141" s="153">
        <v>1</v>
      </c>
      <c r="J141" s="149" t="s">
        <v>1696</v>
      </c>
      <c r="K141" s="149" t="s">
        <v>1696</v>
      </c>
      <c r="L141" s="150" t="s">
        <v>1961</v>
      </c>
      <c r="M141" s="150" t="s">
        <v>1975</v>
      </c>
      <c r="N141" s="150" t="s">
        <v>1689</v>
      </c>
      <c r="O141" s="149" t="s">
        <v>1986</v>
      </c>
      <c r="P141" s="149" t="s">
        <v>1367</v>
      </c>
      <c r="Q141" s="149" t="s">
        <v>1362</v>
      </c>
      <c r="R141" s="149"/>
      <c r="S141" s="149" t="s">
        <v>2249</v>
      </c>
      <c r="T141"/>
    </row>
    <row r="142" spans="1:20" ht="22" customHeight="1">
      <c r="A142" s="149" t="s">
        <v>4166</v>
      </c>
      <c r="B142" s="149" t="s">
        <v>2927</v>
      </c>
      <c r="C142" s="149" t="s">
        <v>1707</v>
      </c>
      <c r="D142" s="150" t="s">
        <v>2051</v>
      </c>
      <c r="E142" s="150" t="s">
        <v>2120</v>
      </c>
      <c r="F142" s="150" t="s">
        <v>1735</v>
      </c>
      <c r="G142" s="150" t="s">
        <v>1816</v>
      </c>
      <c r="H142" s="150" t="s">
        <v>1890</v>
      </c>
      <c r="I142" s="153">
        <v>1</v>
      </c>
      <c r="J142" s="149" t="s">
        <v>1696</v>
      </c>
      <c r="K142" s="149" t="s">
        <v>1696</v>
      </c>
      <c r="L142" s="150" t="s">
        <v>1961</v>
      </c>
      <c r="M142" s="150" t="s">
        <v>1975</v>
      </c>
      <c r="N142" s="150" t="s">
        <v>1689</v>
      </c>
      <c r="O142" s="149" t="s">
        <v>1987</v>
      </c>
      <c r="P142" s="149" t="s">
        <v>1367</v>
      </c>
      <c r="Q142" s="149" t="s">
        <v>1362</v>
      </c>
      <c r="R142" s="149"/>
      <c r="S142" s="149" t="s">
        <v>2238</v>
      </c>
      <c r="T142"/>
    </row>
    <row r="143" spans="1:20" ht="22" customHeight="1">
      <c r="A143" s="149" t="s">
        <v>4167</v>
      </c>
      <c r="B143" s="149" t="s">
        <v>2927</v>
      </c>
      <c r="C143" s="149" t="s">
        <v>1707</v>
      </c>
      <c r="D143" s="150" t="s">
        <v>2051</v>
      </c>
      <c r="E143" s="150" t="s">
        <v>2120</v>
      </c>
      <c r="F143" s="150" t="s">
        <v>1736</v>
      </c>
      <c r="G143" s="150" t="s">
        <v>1817</v>
      </c>
      <c r="H143" s="150" t="s">
        <v>1891</v>
      </c>
      <c r="I143" s="153">
        <v>1</v>
      </c>
      <c r="J143" s="149" t="s">
        <v>1696</v>
      </c>
      <c r="K143" s="149" t="s">
        <v>1696</v>
      </c>
      <c r="L143" s="150" t="s">
        <v>1961</v>
      </c>
      <c r="M143" s="150" t="s">
        <v>1975</v>
      </c>
      <c r="N143" s="150" t="s">
        <v>1689</v>
      </c>
      <c r="O143" s="149" t="s">
        <v>1987</v>
      </c>
      <c r="P143" s="149" t="s">
        <v>1367</v>
      </c>
      <c r="Q143" s="149" t="s">
        <v>1362</v>
      </c>
      <c r="R143" s="149"/>
      <c r="S143" s="149" t="s">
        <v>2238</v>
      </c>
      <c r="T143"/>
    </row>
    <row r="144" spans="1:20" ht="22" customHeight="1">
      <c r="A144" s="149" t="s">
        <v>4168</v>
      </c>
      <c r="B144" s="149" t="s">
        <v>2927</v>
      </c>
      <c r="C144" s="149" t="s">
        <v>1707</v>
      </c>
      <c r="D144" s="150" t="s">
        <v>2051</v>
      </c>
      <c r="E144" s="150" t="s">
        <v>2120</v>
      </c>
      <c r="F144" s="150" t="s">
        <v>1737</v>
      </c>
      <c r="G144" s="150" t="s">
        <v>1818</v>
      </c>
      <c r="H144" s="150" t="s">
        <v>1892</v>
      </c>
      <c r="I144" s="153">
        <v>0.5</v>
      </c>
      <c r="J144" s="149" t="s">
        <v>1696</v>
      </c>
      <c r="K144" s="149" t="s">
        <v>1696</v>
      </c>
      <c r="L144" s="150" t="s">
        <v>1961</v>
      </c>
      <c r="M144" s="150" t="s">
        <v>1975</v>
      </c>
      <c r="N144" s="150" t="s">
        <v>1689</v>
      </c>
      <c r="O144" s="149" t="s">
        <v>1987</v>
      </c>
      <c r="P144" s="149" t="s">
        <v>1367</v>
      </c>
      <c r="Q144" s="149" t="s">
        <v>1362</v>
      </c>
      <c r="R144" s="149"/>
      <c r="S144" s="149" t="s">
        <v>2238</v>
      </c>
      <c r="T144"/>
    </row>
    <row r="145" spans="1:20" ht="22" customHeight="1">
      <c r="A145" s="149" t="s">
        <v>4169</v>
      </c>
      <c r="B145" s="149" t="s">
        <v>2927</v>
      </c>
      <c r="C145" s="149" t="s">
        <v>1707</v>
      </c>
      <c r="D145" s="150" t="s">
        <v>2051</v>
      </c>
      <c r="E145" s="150" t="s">
        <v>2135</v>
      </c>
      <c r="F145" s="150" t="s">
        <v>1746</v>
      </c>
      <c r="G145" s="150" t="s">
        <v>1826</v>
      </c>
      <c r="H145" s="150" t="s">
        <v>1901</v>
      </c>
      <c r="I145" s="153">
        <v>2</v>
      </c>
      <c r="J145" s="149" t="s">
        <v>1696</v>
      </c>
      <c r="K145" s="149" t="s">
        <v>1699</v>
      </c>
      <c r="L145" s="150" t="s">
        <v>1961</v>
      </c>
      <c r="M145" s="150" t="s">
        <v>1976</v>
      </c>
      <c r="N145" s="150" t="s">
        <v>1689</v>
      </c>
      <c r="O145" s="149" t="s">
        <v>1989</v>
      </c>
      <c r="P145" s="149" t="s">
        <v>1367</v>
      </c>
      <c r="Q145" s="149" t="s">
        <v>1992</v>
      </c>
      <c r="R145" s="149"/>
      <c r="S145" s="149" t="s">
        <v>2254</v>
      </c>
      <c r="T145"/>
    </row>
    <row r="146" spans="1:20" ht="22" customHeight="1">
      <c r="A146" s="149" t="s">
        <v>4170</v>
      </c>
      <c r="B146" s="149" t="s">
        <v>2927</v>
      </c>
      <c r="C146" s="149" t="s">
        <v>1707</v>
      </c>
      <c r="D146" s="150" t="s">
        <v>2051</v>
      </c>
      <c r="E146" s="150" t="s">
        <v>2135</v>
      </c>
      <c r="F146" s="150" t="s">
        <v>1749</v>
      </c>
      <c r="G146" s="150" t="s">
        <v>1828</v>
      </c>
      <c r="H146" s="150" t="s">
        <v>1904</v>
      </c>
      <c r="I146" s="153">
        <v>5</v>
      </c>
      <c r="J146" s="149" t="s">
        <v>1696</v>
      </c>
      <c r="K146" s="149" t="s">
        <v>1696</v>
      </c>
      <c r="L146" s="150" t="s">
        <v>1961</v>
      </c>
      <c r="M146" s="150" t="s">
        <v>1975</v>
      </c>
      <c r="N146" s="150" t="s">
        <v>1689</v>
      </c>
      <c r="O146" s="149" t="s">
        <v>1987</v>
      </c>
      <c r="P146" s="149" t="s">
        <v>1367</v>
      </c>
      <c r="Q146" s="149" t="s">
        <v>1992</v>
      </c>
      <c r="R146" s="149"/>
      <c r="S146" s="149" t="s">
        <v>2254</v>
      </c>
      <c r="T146"/>
    </row>
    <row r="147" spans="1:20" ht="22" customHeight="1">
      <c r="A147" s="149" t="s">
        <v>4171</v>
      </c>
      <c r="B147" s="149" t="s">
        <v>2938</v>
      </c>
      <c r="C147" s="149" t="s">
        <v>1705</v>
      </c>
      <c r="D147" s="150" t="s">
        <v>2051</v>
      </c>
      <c r="E147" s="150" t="s">
        <v>2170</v>
      </c>
      <c r="F147" s="150" t="s">
        <v>1772</v>
      </c>
      <c r="G147" s="150" t="s">
        <v>1845</v>
      </c>
      <c r="H147" s="155" t="s">
        <v>1924</v>
      </c>
      <c r="I147" s="153">
        <v>1</v>
      </c>
      <c r="J147" s="149" t="s">
        <v>1696</v>
      </c>
      <c r="K147" s="149" t="s">
        <v>1696</v>
      </c>
      <c r="L147" s="150" t="s">
        <v>1961</v>
      </c>
      <c r="M147" s="150" t="s">
        <v>1983</v>
      </c>
      <c r="N147" s="150" t="s">
        <v>1689</v>
      </c>
      <c r="O147" s="149" t="s">
        <v>1987</v>
      </c>
      <c r="P147" s="149" t="s">
        <v>1367</v>
      </c>
      <c r="Q147" s="149" t="s">
        <v>1362</v>
      </c>
      <c r="R147" s="149"/>
      <c r="S147" s="149" t="s">
        <v>2298</v>
      </c>
      <c r="T147"/>
    </row>
    <row r="148" spans="1:20" ht="22" customHeight="1">
      <c r="A148" s="149" t="s">
        <v>4172</v>
      </c>
      <c r="B148" s="149" t="s">
        <v>2938</v>
      </c>
      <c r="C148" s="149" t="s">
        <v>1705</v>
      </c>
      <c r="D148" s="150" t="s">
        <v>2051</v>
      </c>
      <c r="E148" s="150" t="s">
        <v>2170</v>
      </c>
      <c r="F148" s="150" t="s">
        <v>1773</v>
      </c>
      <c r="G148" s="150" t="s">
        <v>1846</v>
      </c>
      <c r="H148" s="155" t="s">
        <v>1925</v>
      </c>
      <c r="I148" s="153">
        <v>2</v>
      </c>
      <c r="J148" s="149" t="s">
        <v>1696</v>
      </c>
      <c r="K148" s="149" t="s">
        <v>1696</v>
      </c>
      <c r="L148" s="150" t="s">
        <v>1961</v>
      </c>
      <c r="M148" s="150" t="s">
        <v>1983</v>
      </c>
      <c r="N148" s="150" t="s">
        <v>1689</v>
      </c>
      <c r="O148" s="149" t="s">
        <v>1987</v>
      </c>
      <c r="P148" s="149" t="s">
        <v>4171</v>
      </c>
      <c r="Q148" s="149" t="s">
        <v>1362</v>
      </c>
      <c r="R148" s="149"/>
      <c r="S148" s="149" t="s">
        <v>2298</v>
      </c>
      <c r="T148"/>
    </row>
    <row r="149" spans="1:20" ht="22" customHeight="1">
      <c r="A149" s="149" t="s">
        <v>4173</v>
      </c>
      <c r="B149" s="149" t="s">
        <v>2938</v>
      </c>
      <c r="C149" s="149" t="s">
        <v>1705</v>
      </c>
      <c r="D149" s="150" t="s">
        <v>2051</v>
      </c>
      <c r="E149" s="150" t="s">
        <v>2170</v>
      </c>
      <c r="F149" s="150" t="s">
        <v>1774</v>
      </c>
      <c r="G149" s="150" t="s">
        <v>1847</v>
      </c>
      <c r="H149" s="155" t="s">
        <v>2984</v>
      </c>
      <c r="I149" s="153">
        <v>1</v>
      </c>
      <c r="J149" s="149" t="s">
        <v>1696</v>
      </c>
      <c r="K149" s="149" t="s">
        <v>1696</v>
      </c>
      <c r="L149" s="150" t="s">
        <v>1961</v>
      </c>
      <c r="M149" s="150" t="s">
        <v>4174</v>
      </c>
      <c r="N149" s="150" t="s">
        <v>1689</v>
      </c>
      <c r="O149" s="149" t="s">
        <v>1986</v>
      </c>
      <c r="P149" s="149"/>
      <c r="Q149" s="149" t="s">
        <v>1362</v>
      </c>
      <c r="R149" s="149"/>
      <c r="S149" s="149" t="s">
        <v>2298</v>
      </c>
      <c r="T149"/>
    </row>
    <row r="150" spans="1:20" ht="22" customHeight="1">
      <c r="A150" s="149" t="s">
        <v>4175</v>
      </c>
      <c r="B150" s="149" t="s">
        <v>2938</v>
      </c>
      <c r="C150" s="149" t="s">
        <v>1705</v>
      </c>
      <c r="D150" s="150" t="s">
        <v>2051</v>
      </c>
      <c r="E150" s="150" t="s">
        <v>2170</v>
      </c>
      <c r="F150" s="150" t="s">
        <v>1775</v>
      </c>
      <c r="G150" s="150" t="s">
        <v>1848</v>
      </c>
      <c r="H150" s="155" t="s">
        <v>2985</v>
      </c>
      <c r="I150" s="153">
        <v>2</v>
      </c>
      <c r="J150" s="149" t="s">
        <v>1696</v>
      </c>
      <c r="K150" s="149" t="s">
        <v>1696</v>
      </c>
      <c r="L150" s="150" t="s">
        <v>1961</v>
      </c>
      <c r="M150" s="150" t="s">
        <v>4174</v>
      </c>
      <c r="N150" s="150" t="s">
        <v>1689</v>
      </c>
      <c r="O150" s="149" t="s">
        <v>1986</v>
      </c>
      <c r="P150" s="149"/>
      <c r="Q150" s="149" t="s">
        <v>1362</v>
      </c>
      <c r="R150" s="149"/>
      <c r="S150" s="149" t="s">
        <v>2298</v>
      </c>
      <c r="T150"/>
    </row>
    <row r="151" spans="1:20" ht="22" customHeight="1">
      <c r="A151" s="149" t="s">
        <v>4176</v>
      </c>
      <c r="B151" s="149" t="s">
        <v>2938</v>
      </c>
      <c r="C151" s="149" t="s">
        <v>1705</v>
      </c>
      <c r="D151" s="150" t="s">
        <v>2051</v>
      </c>
      <c r="E151" s="150" t="s">
        <v>2170</v>
      </c>
      <c r="F151" s="150" t="s">
        <v>2382</v>
      </c>
      <c r="G151" s="150" t="s">
        <v>2388</v>
      </c>
      <c r="H151" s="155" t="s">
        <v>2986</v>
      </c>
      <c r="I151" s="153">
        <v>1</v>
      </c>
      <c r="J151" s="149" t="s">
        <v>1696</v>
      </c>
      <c r="K151" s="149" t="s">
        <v>1696</v>
      </c>
      <c r="L151" s="150" t="s">
        <v>1961</v>
      </c>
      <c r="M151" s="150" t="s">
        <v>4174</v>
      </c>
      <c r="N151" s="150" t="s">
        <v>1689</v>
      </c>
      <c r="O151" s="149" t="s">
        <v>1986</v>
      </c>
      <c r="P151" s="149"/>
      <c r="Q151" s="149" t="s">
        <v>1362</v>
      </c>
      <c r="R151" s="149"/>
      <c r="S151" s="149" t="s">
        <v>2298</v>
      </c>
      <c r="T151"/>
    </row>
    <row r="152" spans="1:20" ht="22" customHeight="1">
      <c r="A152" s="149" t="s">
        <v>4177</v>
      </c>
      <c r="B152" s="149" t="s">
        <v>2938</v>
      </c>
      <c r="C152" s="149" t="s">
        <v>1705</v>
      </c>
      <c r="D152" s="150" t="s">
        <v>2051</v>
      </c>
      <c r="E152" s="150" t="s">
        <v>2170</v>
      </c>
      <c r="F152" s="150" t="s">
        <v>2383</v>
      </c>
      <c r="G152" s="150" t="s">
        <v>2389</v>
      </c>
      <c r="H152" s="155" t="s">
        <v>2987</v>
      </c>
      <c r="I152" s="153">
        <v>2</v>
      </c>
      <c r="J152" s="149" t="s">
        <v>1696</v>
      </c>
      <c r="K152" s="149" t="s">
        <v>1696</v>
      </c>
      <c r="L152" s="150" t="s">
        <v>1961</v>
      </c>
      <c r="M152" s="150" t="s">
        <v>4174</v>
      </c>
      <c r="N152" s="150" t="s">
        <v>1689</v>
      </c>
      <c r="O152" s="149" t="s">
        <v>1986</v>
      </c>
      <c r="P152" s="149"/>
      <c r="Q152" s="149" t="s">
        <v>1362</v>
      </c>
      <c r="R152" s="149"/>
      <c r="S152" s="149" t="s">
        <v>2298</v>
      </c>
      <c r="T152"/>
    </row>
    <row r="153" spans="1:20" ht="22" customHeight="1">
      <c r="A153" s="149" t="s">
        <v>4178</v>
      </c>
      <c r="B153" s="149" t="s">
        <v>2938</v>
      </c>
      <c r="C153" s="149" t="s">
        <v>1705</v>
      </c>
      <c r="D153" s="150" t="s">
        <v>2051</v>
      </c>
      <c r="E153" s="150" t="s">
        <v>2170</v>
      </c>
      <c r="F153" s="150" t="s">
        <v>2384</v>
      </c>
      <c r="G153" s="150" t="s">
        <v>2390</v>
      </c>
      <c r="H153" s="150" t="s">
        <v>2988</v>
      </c>
      <c r="I153" s="153">
        <v>1</v>
      </c>
      <c r="J153" s="149" t="s">
        <v>1696</v>
      </c>
      <c r="K153" s="149" t="s">
        <v>1696</v>
      </c>
      <c r="L153" s="150" t="s">
        <v>1961</v>
      </c>
      <c r="M153" s="150" t="s">
        <v>4174</v>
      </c>
      <c r="N153" s="150" t="s">
        <v>1689</v>
      </c>
      <c r="O153" s="149" t="s">
        <v>1986</v>
      </c>
      <c r="P153" s="149"/>
      <c r="Q153" s="149" t="s">
        <v>1362</v>
      </c>
      <c r="R153" s="149"/>
      <c r="S153" s="149" t="s">
        <v>2298</v>
      </c>
      <c r="T153"/>
    </row>
    <row r="154" spans="1:20" ht="22" customHeight="1">
      <c r="A154" s="149" t="s">
        <v>4179</v>
      </c>
      <c r="B154" s="149" t="s">
        <v>2938</v>
      </c>
      <c r="C154" s="149" t="s">
        <v>1705</v>
      </c>
      <c r="D154" s="150" t="s">
        <v>2051</v>
      </c>
      <c r="E154" s="150" t="s">
        <v>2170</v>
      </c>
      <c r="F154" s="150" t="s">
        <v>2387</v>
      </c>
      <c r="G154" s="150" t="s">
        <v>2391</v>
      </c>
      <c r="H154" s="150" t="s">
        <v>2989</v>
      </c>
      <c r="I154" s="153">
        <v>2</v>
      </c>
      <c r="J154" s="149" t="s">
        <v>1696</v>
      </c>
      <c r="K154" s="149" t="s">
        <v>1696</v>
      </c>
      <c r="L154" s="150" t="s">
        <v>1961</v>
      </c>
      <c r="M154" s="150" t="s">
        <v>4174</v>
      </c>
      <c r="N154" s="150" t="s">
        <v>1689</v>
      </c>
      <c r="O154" s="149" t="s">
        <v>1986</v>
      </c>
      <c r="P154" s="149"/>
      <c r="Q154" s="149" t="s">
        <v>1362</v>
      </c>
      <c r="R154" s="149"/>
      <c r="S154" s="149" t="s">
        <v>2298</v>
      </c>
      <c r="T154"/>
    </row>
    <row r="155" spans="1:20" ht="22" customHeight="1">
      <c r="A155" s="149" t="s">
        <v>4180</v>
      </c>
      <c r="B155" s="149" t="s">
        <v>2938</v>
      </c>
      <c r="C155" s="149" t="s">
        <v>1705</v>
      </c>
      <c r="D155" s="150" t="s">
        <v>2051</v>
      </c>
      <c r="E155" s="150" t="s">
        <v>2170</v>
      </c>
      <c r="F155" s="150" t="s">
        <v>2386</v>
      </c>
      <c r="G155" s="150" t="s">
        <v>2392</v>
      </c>
      <c r="H155" s="150" t="s">
        <v>1926</v>
      </c>
      <c r="I155" s="153">
        <v>1</v>
      </c>
      <c r="J155" s="149" t="s">
        <v>1696</v>
      </c>
      <c r="K155" s="149" t="s">
        <v>1696</v>
      </c>
      <c r="L155" s="150" t="s">
        <v>1961</v>
      </c>
      <c r="M155" s="150" t="s">
        <v>1983</v>
      </c>
      <c r="N155" s="150" t="s">
        <v>1689</v>
      </c>
      <c r="O155" s="149" t="s">
        <v>1987</v>
      </c>
      <c r="P155" s="149" t="s">
        <v>4172</v>
      </c>
      <c r="Q155" s="149" t="s">
        <v>1362</v>
      </c>
      <c r="R155" s="149"/>
      <c r="S155" s="149" t="s">
        <v>2298</v>
      </c>
      <c r="T155"/>
    </row>
    <row r="156" spans="1:20" ht="22" customHeight="1">
      <c r="A156" s="149" t="s">
        <v>4181</v>
      </c>
      <c r="B156" s="149" t="s">
        <v>2938</v>
      </c>
      <c r="C156" s="149" t="s">
        <v>1705</v>
      </c>
      <c r="D156" s="150" t="s">
        <v>2051</v>
      </c>
      <c r="E156" s="150" t="s">
        <v>2170</v>
      </c>
      <c r="F156" s="150" t="s">
        <v>2385</v>
      </c>
      <c r="G156" s="150" t="s">
        <v>2393</v>
      </c>
      <c r="H156" s="150" t="s">
        <v>1927</v>
      </c>
      <c r="I156" s="153">
        <v>2</v>
      </c>
      <c r="J156" s="149" t="s">
        <v>1696</v>
      </c>
      <c r="K156" s="149" t="s">
        <v>1696</v>
      </c>
      <c r="L156" s="150" t="s">
        <v>1961</v>
      </c>
      <c r="M156" s="150" t="s">
        <v>1983</v>
      </c>
      <c r="N156" s="150" t="s">
        <v>1689</v>
      </c>
      <c r="O156" s="149" t="s">
        <v>1987</v>
      </c>
      <c r="P156" s="149" t="s">
        <v>4173</v>
      </c>
      <c r="Q156" s="149" t="s">
        <v>1362</v>
      </c>
      <c r="R156" s="149"/>
      <c r="S156" s="149" t="s">
        <v>2298</v>
      </c>
      <c r="T156"/>
    </row>
    <row r="157" spans="1:20" ht="22" customHeight="1">
      <c r="A157" s="149" t="s">
        <v>4182</v>
      </c>
      <c r="B157" s="149" t="s">
        <v>2937</v>
      </c>
      <c r="C157" s="149" t="s">
        <v>1706</v>
      </c>
      <c r="D157" s="150" t="s">
        <v>2068</v>
      </c>
      <c r="E157" s="150" t="s">
        <v>2178</v>
      </c>
      <c r="F157" s="150" t="s">
        <v>1784</v>
      </c>
      <c r="G157" s="150" t="s">
        <v>1857</v>
      </c>
      <c r="H157" s="150" t="s">
        <v>1939</v>
      </c>
      <c r="I157" s="153">
        <v>1</v>
      </c>
      <c r="J157" s="149" t="s">
        <v>1696</v>
      </c>
      <c r="K157" s="149" t="s">
        <v>1696</v>
      </c>
      <c r="L157" s="150" t="s">
        <v>1959</v>
      </c>
      <c r="M157" s="150" t="s">
        <v>1984</v>
      </c>
      <c r="N157" s="150" t="s">
        <v>1689</v>
      </c>
      <c r="O157" s="149" t="s">
        <v>1990</v>
      </c>
      <c r="P157" s="149" t="s">
        <v>1367</v>
      </c>
      <c r="Q157" s="149" t="s">
        <v>1362</v>
      </c>
      <c r="R157" s="149"/>
      <c r="S157" s="149" t="s">
        <v>2306</v>
      </c>
      <c r="T157"/>
    </row>
    <row r="158" spans="1:20" ht="22" customHeight="1">
      <c r="A158" s="114" t="s">
        <v>4183</v>
      </c>
      <c r="B158" s="114" t="s">
        <v>2937</v>
      </c>
      <c r="C158" s="114" t="s">
        <v>1705</v>
      </c>
      <c r="D158" s="114" t="s">
        <v>2068</v>
      </c>
      <c r="E158" s="114" t="s">
        <v>2174</v>
      </c>
      <c r="F158" s="114" t="s">
        <v>1782</v>
      </c>
      <c r="G158" s="114" t="s">
        <v>1855</v>
      </c>
      <c r="H158" s="114" t="s">
        <v>1937</v>
      </c>
      <c r="I158" s="148">
        <v>2</v>
      </c>
      <c r="J158" s="114" t="s">
        <v>1696</v>
      </c>
      <c r="K158" s="114" t="s">
        <v>1696</v>
      </c>
      <c r="L158" s="114" t="s">
        <v>1959</v>
      </c>
      <c r="M158" s="114" t="s">
        <v>1984</v>
      </c>
      <c r="N158" s="114" t="s">
        <v>1689</v>
      </c>
      <c r="O158" s="114" t="s">
        <v>1990</v>
      </c>
      <c r="P158" s="114" t="s">
        <v>1367</v>
      </c>
      <c r="Q158" s="114" t="s">
        <v>1362</v>
      </c>
      <c r="R158" s="114"/>
      <c r="S158" s="114" t="s">
        <v>2302</v>
      </c>
    </row>
    <row r="159" spans="1:20" ht="22" customHeight="1">
      <c r="A159" s="114" t="s">
        <v>4184</v>
      </c>
      <c r="B159" s="114" t="s">
        <v>2937</v>
      </c>
      <c r="C159" s="114" t="s">
        <v>1706</v>
      </c>
      <c r="D159" s="114" t="s">
        <v>2068</v>
      </c>
      <c r="E159" s="114" t="s">
        <v>2174</v>
      </c>
      <c r="F159" s="114" t="s">
        <v>1785</v>
      </c>
      <c r="G159" s="114" t="s">
        <v>1858</v>
      </c>
      <c r="H159" s="114" t="s">
        <v>1940</v>
      </c>
      <c r="I159" s="148">
        <v>1</v>
      </c>
      <c r="J159" s="114" t="s">
        <v>1696</v>
      </c>
      <c r="K159" s="114" t="s">
        <v>1696</v>
      </c>
      <c r="L159" s="114" t="s">
        <v>4185</v>
      </c>
      <c r="M159" s="114" t="s">
        <v>1984</v>
      </c>
      <c r="N159" s="114" t="s">
        <v>1689</v>
      </c>
      <c r="O159" s="114" t="s">
        <v>1990</v>
      </c>
      <c r="P159" s="114" t="s">
        <v>1367</v>
      </c>
      <c r="Q159" s="114" t="s">
        <v>1362</v>
      </c>
      <c r="R159" s="114"/>
      <c r="S159" s="114" t="s">
        <v>2302</v>
      </c>
    </row>
  </sheetData>
  <autoFilter ref="A1:S111" xr:uid="{66250CDA-FE4E-E74B-968F-00BE7CB94CEE}"/>
  <phoneticPr fontId="2"/>
  <conditionalFormatting sqref="C2:C111">
    <cfRule type="expression" dxfId="27" priority="205">
      <formula>$C2="設計書の執筆"</formula>
    </cfRule>
    <cfRule type="expression" dxfId="26" priority="206">
      <formula>$C2="ガイド・手順書の執筆"</formula>
    </cfRule>
    <cfRule type="expression" dxfId="25" priority="207">
      <formula>$C2="調査・計画"</formula>
    </cfRule>
    <cfRule type="expression" dxfId="24" priority="208">
      <formula>$C2="実機検証・照会"</formula>
    </cfRule>
    <cfRule type="expression" dxfId="23" priority="209">
      <formula>$C2="レビュー・合意"</formula>
    </cfRule>
    <cfRule type="expression" dxfId="22" priority="210">
      <formula>$C2="外部調整"</formula>
    </cfRule>
  </conditionalFormatting>
  <conditionalFormatting sqref="J2:K111">
    <cfRule type="expression" dxfId="21" priority="214">
      <formula>J2="アプリチーム"</formula>
    </cfRule>
    <cfRule type="expression" dxfId="20" priority="215">
      <formula>J2="基盤チーム"</formula>
    </cfRule>
    <cfRule type="expression" dxfId="19" priority="216">
      <formula>J2="要判断"</formula>
    </cfRule>
    <cfRule type="expression" dxfId="18" priority="217">
      <formula>J2="共同"</formula>
    </cfRule>
  </conditionalFormatting>
  <conditionalFormatting sqref="N2:N111">
    <cfRule type="expression" dxfId="17" priority="198">
      <formula>LEFT($N2,3)="対象外"</formula>
    </cfRule>
    <cfRule type="expression" dxfId="16" priority="199">
      <formula>$N2="対象"</formula>
    </cfRule>
  </conditionalFormatting>
  <conditionalFormatting sqref="O2:O111">
    <cfRule type="expression" dxfId="15" priority="211">
      <formula>$O2="当初あり"</formula>
    </cfRule>
    <cfRule type="expression" dxfId="14" priority="212">
      <formula>LEFT($O2,2)="新規"</formula>
    </cfRule>
  </conditionalFormatting>
  <conditionalFormatting sqref="S2:S111">
    <cfRule type="expression" dxfId="13" priority="213">
      <formula>LEFT($S2,2)="F-"</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16"/>
  <sheetViews>
    <sheetView zoomScale="89" zoomScaleNormal="120" workbookViewId="0">
      <pane ySplit="1" topLeftCell="A2" activePane="bottomLeft" state="frozen"/>
      <selection activeCell="C39" sqref="C39"/>
      <selection pane="bottomLeft" activeCell="G7" sqref="G7"/>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ht="26" customHeight="1">
      <c r="A1" s="116" t="s">
        <v>1361</v>
      </c>
      <c r="B1" s="116" t="s">
        <v>1662</v>
      </c>
      <c r="C1" s="116" t="s">
        <v>1647</v>
      </c>
      <c r="D1" s="116" t="s">
        <v>1600</v>
      </c>
      <c r="E1" s="116" t="s">
        <v>1663</v>
      </c>
      <c r="F1" s="116" t="s">
        <v>1664</v>
      </c>
      <c r="G1" s="116" t="s">
        <v>2764</v>
      </c>
      <c r="H1" s="116" t="s">
        <v>2765</v>
      </c>
      <c r="I1" s="116" t="s">
        <v>1665</v>
      </c>
    </row>
    <row r="2" spans="1:9" ht="19" customHeight="1">
      <c r="A2" s="108" t="s">
        <v>1488</v>
      </c>
      <c r="B2" s="108" t="s">
        <v>2397</v>
      </c>
      <c r="C2" s="108" t="s">
        <v>2000</v>
      </c>
      <c r="D2" s="109" t="s">
        <v>3155</v>
      </c>
      <c r="E2" s="109" t="s">
        <v>2398</v>
      </c>
      <c r="F2" s="109" t="s">
        <v>2399</v>
      </c>
      <c r="G2" s="117">
        <v>3</v>
      </c>
      <c r="H2" s="110"/>
      <c r="I2" s="109"/>
    </row>
    <row r="3" spans="1:9" ht="19" customHeight="1">
      <c r="A3" s="108" t="s">
        <v>1490</v>
      </c>
      <c r="B3" s="108" t="s">
        <v>1683</v>
      </c>
      <c r="C3" s="108" t="s">
        <v>2000</v>
      </c>
      <c r="D3" s="109" t="s">
        <v>3155</v>
      </c>
      <c r="E3" s="109" t="s">
        <v>2400</v>
      </c>
      <c r="F3" s="109" t="s">
        <v>2401</v>
      </c>
      <c r="G3" s="117">
        <v>1</v>
      </c>
      <c r="H3" s="110"/>
      <c r="I3" s="109"/>
    </row>
    <row r="4" spans="1:9" ht="19" customHeight="1">
      <c r="A4" s="108" t="s">
        <v>2403</v>
      </c>
      <c r="B4" s="108" t="s">
        <v>2404</v>
      </c>
      <c r="C4" s="108" t="s">
        <v>2000</v>
      </c>
      <c r="D4" s="109" t="s">
        <v>3155</v>
      </c>
      <c r="E4" s="109" t="s">
        <v>2405</v>
      </c>
      <c r="F4" s="109" t="s">
        <v>2406</v>
      </c>
      <c r="G4" s="117"/>
      <c r="H4" s="110">
        <v>5</v>
      </c>
      <c r="I4" s="109"/>
    </row>
    <row r="5" spans="1:9" ht="19" customHeight="1">
      <c r="A5" s="108" t="s">
        <v>2407</v>
      </c>
      <c r="B5" s="108" t="s">
        <v>2408</v>
      </c>
      <c r="C5" s="108" t="s">
        <v>2000</v>
      </c>
      <c r="D5" s="109" t="s">
        <v>3155</v>
      </c>
      <c r="E5" s="109" t="s">
        <v>2409</v>
      </c>
      <c r="F5" s="109" t="s">
        <v>2410</v>
      </c>
      <c r="G5" s="117"/>
      <c r="H5" s="110">
        <v>2</v>
      </c>
      <c r="I5" s="109"/>
    </row>
    <row r="6" spans="1:9" ht="19" customHeight="1">
      <c r="A6" s="108" t="s">
        <v>2411</v>
      </c>
      <c r="B6" s="108" t="s">
        <v>2404</v>
      </c>
      <c r="C6" s="108" t="s">
        <v>2000</v>
      </c>
      <c r="D6" s="109" t="s">
        <v>1605</v>
      </c>
      <c r="E6" s="109" t="s">
        <v>2412</v>
      </c>
      <c r="F6" s="109" t="s">
        <v>2413</v>
      </c>
      <c r="G6" s="117"/>
      <c r="H6" s="110">
        <v>1.5</v>
      </c>
      <c r="I6" s="109"/>
    </row>
    <row r="7" spans="1:9" ht="19" customHeight="1">
      <c r="A7" s="108" t="s">
        <v>2414</v>
      </c>
      <c r="B7" s="108" t="s">
        <v>3238</v>
      </c>
      <c r="C7" s="108" t="s">
        <v>2000</v>
      </c>
      <c r="D7" s="109" t="s">
        <v>3156</v>
      </c>
      <c r="E7" s="109" t="s">
        <v>3239</v>
      </c>
      <c r="F7" s="109" t="s">
        <v>2415</v>
      </c>
      <c r="G7" s="117"/>
      <c r="H7" s="110">
        <v>1.5</v>
      </c>
      <c r="I7" s="109"/>
    </row>
    <row r="8" spans="1:9" ht="19" customHeight="1">
      <c r="A8" s="108" t="s">
        <v>1455</v>
      </c>
      <c r="B8" s="108" t="s">
        <v>1666</v>
      </c>
      <c r="C8" s="108" t="s">
        <v>2001</v>
      </c>
      <c r="D8" s="109" t="s">
        <v>3157</v>
      </c>
      <c r="E8" s="109" t="s">
        <v>2416</v>
      </c>
      <c r="F8" s="109" t="s">
        <v>3240</v>
      </c>
      <c r="G8" s="117">
        <v>4</v>
      </c>
      <c r="H8" s="110"/>
      <c r="I8" s="109" t="s">
        <v>2417</v>
      </c>
    </row>
    <row r="9" spans="1:9" ht="19" customHeight="1">
      <c r="A9" s="108" t="s">
        <v>1473</v>
      </c>
      <c r="B9" s="108" t="s">
        <v>2418</v>
      </c>
      <c r="C9" s="108" t="s">
        <v>2001</v>
      </c>
      <c r="D9" s="109" t="s">
        <v>3157</v>
      </c>
      <c r="E9" s="109" t="s">
        <v>2419</v>
      </c>
      <c r="F9" s="109" t="s">
        <v>2420</v>
      </c>
      <c r="G9" s="117">
        <v>3</v>
      </c>
      <c r="H9" s="110"/>
      <c r="I9" s="109"/>
    </row>
    <row r="10" spans="1:9" ht="19" customHeight="1">
      <c r="A10" s="108" t="s">
        <v>1491</v>
      </c>
      <c r="B10" s="108" t="s">
        <v>1683</v>
      </c>
      <c r="C10" s="108" t="s">
        <v>2001</v>
      </c>
      <c r="D10" s="109" t="s">
        <v>3157</v>
      </c>
      <c r="E10" s="109" t="s">
        <v>2421</v>
      </c>
      <c r="F10" s="109" t="s">
        <v>2422</v>
      </c>
      <c r="G10" s="117">
        <v>2</v>
      </c>
      <c r="H10" s="110"/>
      <c r="I10" s="109"/>
    </row>
    <row r="11" spans="1:9" ht="19" customHeight="1">
      <c r="A11" s="108" t="s">
        <v>2423</v>
      </c>
      <c r="B11" s="108" t="s">
        <v>3238</v>
      </c>
      <c r="C11" s="108" t="s">
        <v>2001</v>
      </c>
      <c r="D11" s="109" t="s">
        <v>3157</v>
      </c>
      <c r="E11" s="109" t="s">
        <v>3241</v>
      </c>
      <c r="F11" s="109" t="s">
        <v>3242</v>
      </c>
      <c r="G11" s="117"/>
      <c r="H11" s="110">
        <v>5</v>
      </c>
      <c r="I11" s="109" t="s">
        <v>2424</v>
      </c>
    </row>
    <row r="12" spans="1:9" ht="19" customHeight="1">
      <c r="A12" s="108" t="s">
        <v>2425</v>
      </c>
      <c r="B12" s="108" t="s">
        <v>3238</v>
      </c>
      <c r="C12" s="108" t="s">
        <v>2001</v>
      </c>
      <c r="D12" s="109" t="s">
        <v>3157</v>
      </c>
      <c r="E12" s="109" t="s">
        <v>2426</v>
      </c>
      <c r="F12" s="109" t="s">
        <v>2427</v>
      </c>
      <c r="G12" s="117"/>
      <c r="H12" s="110">
        <v>4</v>
      </c>
      <c r="I12" s="109"/>
    </row>
    <row r="13" spans="1:9" ht="19" customHeight="1">
      <c r="A13" s="108" t="s">
        <v>2428</v>
      </c>
      <c r="B13" s="108" t="s">
        <v>2408</v>
      </c>
      <c r="C13" s="108" t="s">
        <v>2001</v>
      </c>
      <c r="D13" s="109" t="s">
        <v>3157</v>
      </c>
      <c r="E13" s="109" t="s">
        <v>2429</v>
      </c>
      <c r="F13" s="109" t="s">
        <v>2410</v>
      </c>
      <c r="G13" s="117"/>
      <c r="H13" s="110">
        <v>3</v>
      </c>
      <c r="I13" s="109"/>
    </row>
    <row r="14" spans="1:9" ht="19" customHeight="1">
      <c r="A14" s="108" t="s">
        <v>1456</v>
      </c>
      <c r="B14" s="108" t="s">
        <v>1666</v>
      </c>
      <c r="C14" s="108" t="s">
        <v>2001</v>
      </c>
      <c r="D14" s="109" t="s">
        <v>3158</v>
      </c>
      <c r="E14" s="109" t="s">
        <v>2430</v>
      </c>
      <c r="F14" s="109" t="s">
        <v>3243</v>
      </c>
      <c r="G14" s="117">
        <v>3</v>
      </c>
      <c r="H14" s="110"/>
      <c r="I14" s="109"/>
    </row>
    <row r="15" spans="1:9" ht="19" customHeight="1">
      <c r="A15" s="108" t="s">
        <v>1474</v>
      </c>
      <c r="B15" s="108" t="s">
        <v>2418</v>
      </c>
      <c r="C15" s="108" t="s">
        <v>2001</v>
      </c>
      <c r="D15" s="109" t="s">
        <v>3158</v>
      </c>
      <c r="E15" s="109" t="s">
        <v>2431</v>
      </c>
      <c r="F15" s="109" t="s">
        <v>2432</v>
      </c>
      <c r="G15" s="117">
        <v>3</v>
      </c>
      <c r="H15" s="110"/>
      <c r="I15" s="109"/>
    </row>
    <row r="16" spans="1:9" ht="19" customHeight="1">
      <c r="A16" s="108" t="s">
        <v>1492</v>
      </c>
      <c r="B16" s="108" t="s">
        <v>1683</v>
      </c>
      <c r="C16" s="108" t="s">
        <v>2001</v>
      </c>
      <c r="D16" s="109" t="s">
        <v>3158</v>
      </c>
      <c r="E16" s="109" t="s">
        <v>2433</v>
      </c>
      <c r="F16" s="109" t="s">
        <v>2434</v>
      </c>
      <c r="G16" s="117">
        <v>1.5</v>
      </c>
      <c r="H16" s="110"/>
      <c r="I16" s="109"/>
    </row>
    <row r="17" spans="1:9" ht="19" customHeight="1">
      <c r="A17" s="108" t="s">
        <v>2435</v>
      </c>
      <c r="B17" s="108" t="s">
        <v>3238</v>
      </c>
      <c r="C17" s="108" t="s">
        <v>2001</v>
      </c>
      <c r="D17" s="109" t="s">
        <v>3158</v>
      </c>
      <c r="E17" s="109" t="s">
        <v>3244</v>
      </c>
      <c r="F17" s="109" t="s">
        <v>3245</v>
      </c>
      <c r="G17" s="117"/>
      <c r="H17" s="110">
        <v>4</v>
      </c>
      <c r="I17" s="109"/>
    </row>
    <row r="18" spans="1:9" ht="19" customHeight="1">
      <c r="A18" s="108" t="s">
        <v>2436</v>
      </c>
      <c r="B18" s="108" t="s">
        <v>2408</v>
      </c>
      <c r="C18" s="108" t="s">
        <v>2001</v>
      </c>
      <c r="D18" s="109" t="s">
        <v>3158</v>
      </c>
      <c r="E18" s="109" t="s">
        <v>2437</v>
      </c>
      <c r="F18" s="109" t="s">
        <v>2410</v>
      </c>
      <c r="G18" s="117"/>
      <c r="H18" s="110">
        <v>2</v>
      </c>
      <c r="I18" s="109"/>
    </row>
    <row r="19" spans="1:9" ht="19" customHeight="1">
      <c r="A19" s="108" t="s">
        <v>1457</v>
      </c>
      <c r="B19" s="108" t="s">
        <v>1666</v>
      </c>
      <c r="C19" s="108" t="s">
        <v>2001</v>
      </c>
      <c r="D19" s="109" t="s">
        <v>2140</v>
      </c>
      <c r="E19" s="109" t="s">
        <v>2438</v>
      </c>
      <c r="F19" s="109" t="s">
        <v>2439</v>
      </c>
      <c r="G19" s="117">
        <v>3</v>
      </c>
      <c r="H19" s="110"/>
      <c r="I19" s="109"/>
    </row>
    <row r="20" spans="1:9" ht="19" customHeight="1">
      <c r="A20" s="108" t="s">
        <v>1493</v>
      </c>
      <c r="B20" s="108" t="s">
        <v>1683</v>
      </c>
      <c r="C20" s="108" t="s">
        <v>2001</v>
      </c>
      <c r="D20" s="109" t="s">
        <v>2140</v>
      </c>
      <c r="E20" s="109" t="s">
        <v>2440</v>
      </c>
      <c r="F20" s="109" t="s">
        <v>2441</v>
      </c>
      <c r="G20" s="117">
        <v>1</v>
      </c>
      <c r="H20" s="110"/>
      <c r="I20" s="109"/>
    </row>
    <row r="21" spans="1:9" ht="19" customHeight="1">
      <c r="A21" s="108" t="s">
        <v>2442</v>
      </c>
      <c r="B21" s="108" t="s">
        <v>3238</v>
      </c>
      <c r="C21" s="108" t="s">
        <v>2001</v>
      </c>
      <c r="D21" s="109" t="s">
        <v>2140</v>
      </c>
      <c r="E21" s="109" t="s">
        <v>2443</v>
      </c>
      <c r="F21" s="109" t="s">
        <v>3246</v>
      </c>
      <c r="G21" s="117"/>
      <c r="H21" s="110">
        <v>3</v>
      </c>
      <c r="I21" s="109"/>
    </row>
    <row r="22" spans="1:9" ht="19" customHeight="1">
      <c r="A22" s="108" t="s">
        <v>2444</v>
      </c>
      <c r="B22" s="108" t="s">
        <v>2408</v>
      </c>
      <c r="C22" s="108" t="s">
        <v>2001</v>
      </c>
      <c r="D22" s="109" t="s">
        <v>2140</v>
      </c>
      <c r="E22" s="109" t="s">
        <v>2445</v>
      </c>
      <c r="F22" s="109" t="s">
        <v>2410</v>
      </c>
      <c r="G22" s="117"/>
      <c r="H22" s="110">
        <v>2</v>
      </c>
      <c r="I22" s="109"/>
    </row>
    <row r="23" spans="1:9" ht="19" customHeight="1">
      <c r="A23" s="108" t="s">
        <v>1458</v>
      </c>
      <c r="B23" s="108" t="s">
        <v>1666</v>
      </c>
      <c r="C23" s="108" t="s">
        <v>2001</v>
      </c>
      <c r="D23" s="109" t="s">
        <v>1615</v>
      </c>
      <c r="E23" s="109" t="s">
        <v>2446</v>
      </c>
      <c r="F23" s="109" t="s">
        <v>2447</v>
      </c>
      <c r="G23" s="117">
        <v>1.5</v>
      </c>
      <c r="H23" s="110"/>
      <c r="I23" s="109"/>
    </row>
    <row r="24" spans="1:9" ht="19" customHeight="1">
      <c r="A24" s="108" t="s">
        <v>2448</v>
      </c>
      <c r="B24" s="108" t="s">
        <v>3238</v>
      </c>
      <c r="C24" s="108" t="s">
        <v>2001</v>
      </c>
      <c r="D24" s="109" t="s">
        <v>1615</v>
      </c>
      <c r="E24" s="109" t="s">
        <v>2449</v>
      </c>
      <c r="F24" s="109" t="s">
        <v>2450</v>
      </c>
      <c r="G24" s="117"/>
      <c r="H24" s="110">
        <v>2</v>
      </c>
      <c r="I24" s="109"/>
    </row>
    <row r="25" spans="1:9" ht="19" customHeight="1">
      <c r="A25" s="108" t="s">
        <v>1675</v>
      </c>
      <c r="B25" s="108" t="s">
        <v>1666</v>
      </c>
      <c r="C25" s="108" t="s">
        <v>2001</v>
      </c>
      <c r="D25" s="109" t="s">
        <v>3179</v>
      </c>
      <c r="E25" s="109" t="s">
        <v>4482</v>
      </c>
      <c r="F25" s="109" t="s">
        <v>4483</v>
      </c>
      <c r="G25" s="117">
        <v>2</v>
      </c>
      <c r="H25" s="110"/>
      <c r="I25" s="109"/>
    </row>
    <row r="26" spans="1:9" ht="19" customHeight="1">
      <c r="A26" s="108" t="s">
        <v>4484</v>
      </c>
      <c r="B26" s="108" t="s">
        <v>2418</v>
      </c>
      <c r="C26" s="108" t="s">
        <v>2001</v>
      </c>
      <c r="D26" s="109" t="s">
        <v>3179</v>
      </c>
      <c r="E26" s="109" t="s">
        <v>4485</v>
      </c>
      <c r="F26" s="109" t="s">
        <v>4486</v>
      </c>
      <c r="G26" s="117">
        <v>1.5</v>
      </c>
      <c r="H26" s="110"/>
      <c r="I26" s="109"/>
    </row>
    <row r="27" spans="1:9" ht="19" customHeight="1">
      <c r="A27" s="108" t="s">
        <v>4487</v>
      </c>
      <c r="B27" s="108" t="s">
        <v>1683</v>
      </c>
      <c r="C27" s="108" t="s">
        <v>2001</v>
      </c>
      <c r="D27" s="109" t="s">
        <v>3179</v>
      </c>
      <c r="E27" s="109" t="s">
        <v>4488</v>
      </c>
      <c r="F27" s="109" t="s">
        <v>4489</v>
      </c>
      <c r="G27" s="117">
        <v>1</v>
      </c>
      <c r="H27" s="110"/>
      <c r="I27" s="109"/>
    </row>
    <row r="28" spans="1:9" ht="19" customHeight="1">
      <c r="A28" s="108" t="s">
        <v>4490</v>
      </c>
      <c r="B28" s="108" t="s">
        <v>2455</v>
      </c>
      <c r="C28" s="108" t="s">
        <v>2001</v>
      </c>
      <c r="D28" s="109" t="s">
        <v>3179</v>
      </c>
      <c r="E28" s="109" t="s">
        <v>4491</v>
      </c>
      <c r="F28" s="109" t="s">
        <v>4492</v>
      </c>
      <c r="G28" s="117"/>
      <c r="H28" s="110">
        <v>3</v>
      </c>
      <c r="I28" s="109" t="s">
        <v>4493</v>
      </c>
    </row>
    <row r="29" spans="1:9" ht="19" customHeight="1">
      <c r="A29" s="108" t="s">
        <v>4494</v>
      </c>
      <c r="B29" s="108" t="s">
        <v>3238</v>
      </c>
      <c r="C29" s="108" t="s">
        <v>2001</v>
      </c>
      <c r="D29" s="109" t="s">
        <v>3179</v>
      </c>
      <c r="E29" s="109" t="s">
        <v>4495</v>
      </c>
      <c r="F29" s="109" t="s">
        <v>4496</v>
      </c>
      <c r="G29" s="117"/>
      <c r="H29" s="110">
        <v>3</v>
      </c>
      <c r="I29" s="109"/>
    </row>
    <row r="30" spans="1:9" ht="19" customHeight="1">
      <c r="A30" s="108" t="s">
        <v>4497</v>
      </c>
      <c r="B30" s="108" t="s">
        <v>2408</v>
      </c>
      <c r="C30" s="108" t="s">
        <v>2001</v>
      </c>
      <c r="D30" s="109" t="s">
        <v>3179</v>
      </c>
      <c r="E30" s="109" t="s">
        <v>4498</v>
      </c>
      <c r="F30" s="109" t="s">
        <v>2410</v>
      </c>
      <c r="G30" s="117"/>
      <c r="H30" s="110">
        <v>2</v>
      </c>
      <c r="I30" s="109"/>
    </row>
    <row r="31" spans="1:9" ht="19" customHeight="1">
      <c r="A31" s="108" t="s">
        <v>1482</v>
      </c>
      <c r="B31" s="108" t="s">
        <v>2451</v>
      </c>
      <c r="C31" s="108" t="s">
        <v>2002</v>
      </c>
      <c r="D31" s="109" t="s">
        <v>3734</v>
      </c>
      <c r="E31" s="109" t="s">
        <v>2452</v>
      </c>
      <c r="F31" s="109" t="s">
        <v>4499</v>
      </c>
      <c r="G31" s="117">
        <v>2</v>
      </c>
      <c r="H31" s="110"/>
      <c r="I31" s="109" t="s">
        <v>2453</v>
      </c>
    </row>
    <row r="32" spans="1:9" ht="19" customHeight="1">
      <c r="A32" s="108" t="s">
        <v>2454</v>
      </c>
      <c r="B32" s="108" t="s">
        <v>2455</v>
      </c>
      <c r="C32" s="108" t="s">
        <v>2002</v>
      </c>
      <c r="D32" s="109" t="s">
        <v>3734</v>
      </c>
      <c r="E32" s="109" t="s">
        <v>3247</v>
      </c>
      <c r="F32" s="109" t="s">
        <v>3248</v>
      </c>
      <c r="G32" s="117"/>
      <c r="H32" s="110">
        <v>6</v>
      </c>
      <c r="I32" s="109" t="s">
        <v>2456</v>
      </c>
    </row>
    <row r="33" spans="1:9" ht="19" customHeight="1">
      <c r="A33" s="108" t="s">
        <v>2457</v>
      </c>
      <c r="B33" s="108" t="s">
        <v>2458</v>
      </c>
      <c r="C33" s="108" t="s">
        <v>2002</v>
      </c>
      <c r="D33" s="109" t="s">
        <v>3734</v>
      </c>
      <c r="E33" s="109" t="s">
        <v>2459</v>
      </c>
      <c r="F33" s="109" t="s">
        <v>2460</v>
      </c>
      <c r="G33" s="117"/>
      <c r="H33" s="110">
        <v>2</v>
      </c>
      <c r="I33" s="109"/>
    </row>
    <row r="34" spans="1:9" ht="19" customHeight="1">
      <c r="A34" s="108" t="s">
        <v>1459</v>
      </c>
      <c r="B34" s="108" t="s">
        <v>1666</v>
      </c>
      <c r="C34" s="108" t="s">
        <v>1649</v>
      </c>
      <c r="D34" s="109" t="s">
        <v>3159</v>
      </c>
      <c r="E34" s="109" t="s">
        <v>2796</v>
      </c>
      <c r="F34" s="109" t="s">
        <v>2797</v>
      </c>
      <c r="G34" s="117">
        <v>1.5</v>
      </c>
      <c r="H34" s="110"/>
      <c r="I34" s="109"/>
    </row>
    <row r="35" spans="1:9" ht="19" customHeight="1">
      <c r="A35" s="108" t="s">
        <v>2465</v>
      </c>
      <c r="B35" s="108" t="s">
        <v>3238</v>
      </c>
      <c r="C35" s="108" t="s">
        <v>1649</v>
      </c>
      <c r="D35" s="109" t="s">
        <v>3159</v>
      </c>
      <c r="E35" s="109" t="s">
        <v>2799</v>
      </c>
      <c r="F35" s="109" t="s">
        <v>2800</v>
      </c>
      <c r="G35" s="117"/>
      <c r="H35" s="110">
        <v>2</v>
      </c>
      <c r="I35" s="109"/>
    </row>
    <row r="36" spans="1:9" ht="19" customHeight="1">
      <c r="A36" s="108" t="s">
        <v>2468</v>
      </c>
      <c r="B36" s="108" t="s">
        <v>2408</v>
      </c>
      <c r="C36" s="108" t="s">
        <v>1649</v>
      </c>
      <c r="D36" s="109" t="s">
        <v>3159</v>
      </c>
      <c r="E36" s="109" t="s">
        <v>2802</v>
      </c>
      <c r="F36" s="109" t="s">
        <v>2803</v>
      </c>
      <c r="G36" s="117"/>
      <c r="H36" s="110">
        <v>1</v>
      </c>
      <c r="I36" s="109"/>
    </row>
    <row r="37" spans="1:9" ht="19" customHeight="1">
      <c r="A37" s="108" t="s">
        <v>1448</v>
      </c>
      <c r="B37" s="108" t="s">
        <v>1684</v>
      </c>
      <c r="C37" s="108" t="s">
        <v>2005</v>
      </c>
      <c r="D37" s="109" t="s">
        <v>2137</v>
      </c>
      <c r="E37" s="109" t="s">
        <v>2461</v>
      </c>
      <c r="F37" s="109" t="s">
        <v>2462</v>
      </c>
      <c r="G37" s="117">
        <v>3</v>
      </c>
      <c r="H37" s="110"/>
      <c r="I37" s="109"/>
    </row>
    <row r="38" spans="1:9" ht="19" customHeight="1">
      <c r="A38" s="108" t="s">
        <v>1494</v>
      </c>
      <c r="B38" s="108" t="s">
        <v>1683</v>
      </c>
      <c r="C38" s="108" t="s">
        <v>2005</v>
      </c>
      <c r="D38" s="109" t="s">
        <v>2137</v>
      </c>
      <c r="E38" s="109" t="s">
        <v>2463</v>
      </c>
      <c r="F38" s="109" t="s">
        <v>2464</v>
      </c>
      <c r="G38" s="117">
        <v>1</v>
      </c>
      <c r="H38" s="110"/>
      <c r="I38" s="109"/>
    </row>
    <row r="39" spans="1:9" ht="19" customHeight="1">
      <c r="A39" s="108" t="s">
        <v>2472</v>
      </c>
      <c r="B39" s="108" t="s">
        <v>3238</v>
      </c>
      <c r="C39" s="108" t="s">
        <v>2005</v>
      </c>
      <c r="D39" s="109" t="s">
        <v>2137</v>
      </c>
      <c r="E39" s="109" t="s">
        <v>2466</v>
      </c>
      <c r="F39" s="109" t="s">
        <v>2467</v>
      </c>
      <c r="G39" s="117"/>
      <c r="H39" s="110">
        <v>2</v>
      </c>
      <c r="I39" s="109"/>
    </row>
    <row r="40" spans="1:9" ht="19" customHeight="1">
      <c r="A40" s="108" t="s">
        <v>2475</v>
      </c>
      <c r="B40" s="108" t="s">
        <v>2408</v>
      </c>
      <c r="C40" s="108" t="s">
        <v>2005</v>
      </c>
      <c r="D40" s="109" t="s">
        <v>2137</v>
      </c>
      <c r="E40" s="109" t="s">
        <v>2469</v>
      </c>
      <c r="F40" s="109" t="s">
        <v>2410</v>
      </c>
      <c r="G40" s="117"/>
      <c r="H40" s="110">
        <v>1</v>
      </c>
      <c r="I40" s="109"/>
    </row>
    <row r="41" spans="1:9" ht="19" customHeight="1">
      <c r="A41" s="108" t="s">
        <v>1475</v>
      </c>
      <c r="B41" s="108" t="s">
        <v>2418</v>
      </c>
      <c r="C41" s="108" t="s">
        <v>2005</v>
      </c>
      <c r="D41" s="109" t="s">
        <v>2181</v>
      </c>
      <c r="E41" s="109" t="s">
        <v>2470</v>
      </c>
      <c r="F41" s="109" t="s">
        <v>2471</v>
      </c>
      <c r="G41" s="117">
        <v>3</v>
      </c>
      <c r="H41" s="110"/>
      <c r="I41" s="109"/>
    </row>
    <row r="42" spans="1:9" ht="19" customHeight="1">
      <c r="A42" s="108" t="s">
        <v>2498</v>
      </c>
      <c r="B42" s="108" t="s">
        <v>3238</v>
      </c>
      <c r="C42" s="108" t="s">
        <v>2005</v>
      </c>
      <c r="D42" s="109" t="s">
        <v>2181</v>
      </c>
      <c r="E42" s="109" t="s">
        <v>2473</v>
      </c>
      <c r="F42" s="109" t="s">
        <v>2474</v>
      </c>
      <c r="G42" s="117"/>
      <c r="H42" s="110">
        <v>2</v>
      </c>
      <c r="I42" s="109"/>
    </row>
    <row r="43" spans="1:9" ht="19" customHeight="1">
      <c r="A43" s="108" t="s">
        <v>2486</v>
      </c>
      <c r="B43" s="108" t="s">
        <v>2408</v>
      </c>
      <c r="C43" s="108" t="s">
        <v>2005</v>
      </c>
      <c r="D43" s="109" t="s">
        <v>2181</v>
      </c>
      <c r="E43" s="109" t="s">
        <v>2476</v>
      </c>
      <c r="F43" s="109" t="s">
        <v>2477</v>
      </c>
      <c r="G43" s="117"/>
      <c r="H43" s="110">
        <v>1.5</v>
      </c>
      <c r="I43" s="109"/>
    </row>
    <row r="44" spans="1:9" ht="19" customHeight="1">
      <c r="A44" s="108" t="s">
        <v>1464</v>
      </c>
      <c r="B44" s="108" t="s">
        <v>1677</v>
      </c>
      <c r="C44" s="108" t="s">
        <v>2007</v>
      </c>
      <c r="D44" s="109" t="s">
        <v>2079</v>
      </c>
      <c r="E44" s="109" t="s">
        <v>2783</v>
      </c>
      <c r="F44" s="109" t="s">
        <v>3249</v>
      </c>
      <c r="G44" s="117">
        <v>2</v>
      </c>
      <c r="H44" s="110"/>
      <c r="I44" s="109"/>
    </row>
    <row r="45" spans="1:9" ht="19" customHeight="1">
      <c r="A45" s="108" t="s">
        <v>2723</v>
      </c>
      <c r="B45" s="108" t="s">
        <v>2785</v>
      </c>
      <c r="C45" s="108" t="s">
        <v>2007</v>
      </c>
      <c r="D45" s="109" t="s">
        <v>2079</v>
      </c>
      <c r="E45" s="109" t="s">
        <v>2786</v>
      </c>
      <c r="F45" s="109" t="s">
        <v>2787</v>
      </c>
      <c r="G45" s="117"/>
      <c r="H45" s="110">
        <v>3</v>
      </c>
      <c r="I45" s="109"/>
    </row>
    <row r="46" spans="1:9" ht="19" customHeight="1">
      <c r="A46" s="108" t="s">
        <v>2536</v>
      </c>
      <c r="B46" s="108" t="s">
        <v>2408</v>
      </c>
      <c r="C46" s="108" t="s">
        <v>2007</v>
      </c>
      <c r="D46" s="109" t="s">
        <v>2079</v>
      </c>
      <c r="E46" s="109" t="s">
        <v>2789</v>
      </c>
      <c r="F46" s="109" t="s">
        <v>2790</v>
      </c>
      <c r="G46" s="117"/>
      <c r="H46" s="110">
        <v>1</v>
      </c>
      <c r="I46" s="109"/>
    </row>
    <row r="47" spans="1:9" ht="19" customHeight="1">
      <c r="A47" s="108" t="s">
        <v>1465</v>
      </c>
      <c r="B47" s="108" t="s">
        <v>1677</v>
      </c>
      <c r="C47" s="108" t="s">
        <v>2007</v>
      </c>
      <c r="D47" s="109" t="s">
        <v>3160</v>
      </c>
      <c r="E47" s="109" t="s">
        <v>2791</v>
      </c>
      <c r="F47" s="109" t="s">
        <v>2792</v>
      </c>
      <c r="G47" s="117">
        <v>1</v>
      </c>
      <c r="H47" s="110"/>
      <c r="I47" s="109"/>
    </row>
    <row r="48" spans="1:9" ht="19" customHeight="1">
      <c r="A48" s="108" t="s">
        <v>2784</v>
      </c>
      <c r="B48" s="108" t="s">
        <v>2785</v>
      </c>
      <c r="C48" s="108" t="s">
        <v>2007</v>
      </c>
      <c r="D48" s="109" t="s">
        <v>3160</v>
      </c>
      <c r="E48" s="109" t="s">
        <v>2794</v>
      </c>
      <c r="F48" s="109" t="s">
        <v>2795</v>
      </c>
      <c r="G48" s="117"/>
      <c r="H48" s="110">
        <v>2</v>
      </c>
      <c r="I48" s="109"/>
    </row>
    <row r="49" spans="1:9" ht="19" customHeight="1">
      <c r="A49" s="108" t="s">
        <v>1476</v>
      </c>
      <c r="B49" s="108" t="s">
        <v>2418</v>
      </c>
      <c r="C49" s="108" t="s">
        <v>2009</v>
      </c>
      <c r="D49" s="109" t="s">
        <v>3161</v>
      </c>
      <c r="E49" s="109" t="s">
        <v>2478</v>
      </c>
      <c r="F49" s="109" t="s">
        <v>3250</v>
      </c>
      <c r="G49" s="117">
        <v>4</v>
      </c>
      <c r="H49" s="110"/>
      <c r="I49" s="109" t="s">
        <v>2479</v>
      </c>
    </row>
    <row r="50" spans="1:9" ht="19" customHeight="1">
      <c r="A50" s="108" t="s">
        <v>1495</v>
      </c>
      <c r="B50" s="108" t="s">
        <v>1683</v>
      </c>
      <c r="C50" s="108" t="s">
        <v>2009</v>
      </c>
      <c r="D50" s="109" t="s">
        <v>3161</v>
      </c>
      <c r="E50" s="109" t="s">
        <v>2480</v>
      </c>
      <c r="F50" s="109" t="s">
        <v>2481</v>
      </c>
      <c r="G50" s="117">
        <v>2</v>
      </c>
      <c r="H50" s="110"/>
      <c r="I50" s="109"/>
    </row>
    <row r="51" spans="1:9" ht="19" customHeight="1">
      <c r="A51" s="108" t="s">
        <v>2482</v>
      </c>
      <c r="B51" s="108" t="s">
        <v>2483</v>
      </c>
      <c r="C51" s="108" t="s">
        <v>2009</v>
      </c>
      <c r="D51" s="109" t="s">
        <v>3161</v>
      </c>
      <c r="E51" s="109" t="s">
        <v>2484</v>
      </c>
      <c r="F51" s="109" t="s">
        <v>3251</v>
      </c>
      <c r="G51" s="117"/>
      <c r="H51" s="110">
        <v>8</v>
      </c>
      <c r="I51" s="109" t="s">
        <v>2485</v>
      </c>
    </row>
    <row r="52" spans="1:9" ht="19" customHeight="1">
      <c r="A52" s="108" t="s">
        <v>2541</v>
      </c>
      <c r="B52" s="108" t="s">
        <v>2408</v>
      </c>
      <c r="C52" s="108" t="s">
        <v>2009</v>
      </c>
      <c r="D52" s="109" t="s">
        <v>3161</v>
      </c>
      <c r="E52" s="109" t="s">
        <v>2487</v>
      </c>
      <c r="F52" s="109" t="s">
        <v>2410</v>
      </c>
      <c r="G52" s="117"/>
      <c r="H52" s="110">
        <v>3</v>
      </c>
      <c r="I52" s="109"/>
    </row>
    <row r="53" spans="1:9" ht="19" customHeight="1">
      <c r="A53" s="108" t="s">
        <v>1477</v>
      </c>
      <c r="B53" s="108" t="s">
        <v>2418</v>
      </c>
      <c r="C53" s="108" t="s">
        <v>2009</v>
      </c>
      <c r="D53" s="109" t="s">
        <v>3162</v>
      </c>
      <c r="E53" s="109" t="s">
        <v>2488</v>
      </c>
      <c r="F53" s="109" t="s">
        <v>3252</v>
      </c>
      <c r="G53" s="117">
        <v>1</v>
      </c>
      <c r="H53" s="110"/>
      <c r="I53" s="109"/>
    </row>
    <row r="54" spans="1:9" ht="19" customHeight="1">
      <c r="A54" s="108" t="s">
        <v>1478</v>
      </c>
      <c r="B54" s="108" t="s">
        <v>2418</v>
      </c>
      <c r="C54" s="108" t="s">
        <v>2009</v>
      </c>
      <c r="D54" s="109" t="s">
        <v>2143</v>
      </c>
      <c r="E54" s="109" t="s">
        <v>2489</v>
      </c>
      <c r="F54" s="109" t="s">
        <v>2490</v>
      </c>
      <c r="G54" s="117">
        <v>1</v>
      </c>
      <c r="H54" s="110"/>
      <c r="I54" s="109"/>
    </row>
    <row r="55" spans="1:9" ht="19" customHeight="1">
      <c r="A55" s="108" t="s">
        <v>2491</v>
      </c>
      <c r="B55" s="108" t="s">
        <v>2483</v>
      </c>
      <c r="C55" s="108" t="s">
        <v>2009</v>
      </c>
      <c r="D55" s="109" t="s">
        <v>2143</v>
      </c>
      <c r="E55" s="109" t="s">
        <v>2492</v>
      </c>
      <c r="F55" s="109" t="s">
        <v>3253</v>
      </c>
      <c r="G55" s="117"/>
      <c r="H55" s="110">
        <v>1.5</v>
      </c>
      <c r="I55" s="109"/>
    </row>
    <row r="56" spans="1:9" ht="19" customHeight="1">
      <c r="A56" s="108" t="s">
        <v>2493</v>
      </c>
      <c r="B56" s="108" t="s">
        <v>2418</v>
      </c>
      <c r="C56" s="108" t="s">
        <v>2009</v>
      </c>
      <c r="D56" s="109" t="s">
        <v>3163</v>
      </c>
      <c r="E56" s="109" t="s">
        <v>2494</v>
      </c>
      <c r="F56" s="109" t="s">
        <v>2495</v>
      </c>
      <c r="G56" s="117">
        <v>2</v>
      </c>
      <c r="H56" s="110"/>
      <c r="I56" s="109"/>
    </row>
    <row r="57" spans="1:9" ht="19" customHeight="1">
      <c r="A57" s="108" t="s">
        <v>1466</v>
      </c>
      <c r="B57" s="108" t="s">
        <v>1678</v>
      </c>
      <c r="C57" s="108" t="s">
        <v>2011</v>
      </c>
      <c r="D57" s="109" t="s">
        <v>1616</v>
      </c>
      <c r="E57" s="109" t="s">
        <v>2496</v>
      </c>
      <c r="F57" s="109" t="s">
        <v>2497</v>
      </c>
      <c r="G57" s="117">
        <v>3</v>
      </c>
      <c r="H57" s="110"/>
      <c r="I57" s="109"/>
    </row>
    <row r="58" spans="1:9" ht="19" customHeight="1">
      <c r="A58" s="108" t="s">
        <v>2503</v>
      </c>
      <c r="B58" s="108" t="s">
        <v>3238</v>
      </c>
      <c r="C58" s="108" t="s">
        <v>2011</v>
      </c>
      <c r="D58" s="109" t="s">
        <v>1616</v>
      </c>
      <c r="E58" s="109" t="s">
        <v>2499</v>
      </c>
      <c r="F58" s="109" t="s">
        <v>2500</v>
      </c>
      <c r="G58" s="117"/>
      <c r="H58" s="110">
        <v>3</v>
      </c>
      <c r="I58" s="109"/>
    </row>
    <row r="59" spans="1:9" ht="19" customHeight="1">
      <c r="A59" s="108" t="s">
        <v>1460</v>
      </c>
      <c r="B59" s="108" t="s">
        <v>1666</v>
      </c>
      <c r="C59" s="108" t="s">
        <v>2011</v>
      </c>
      <c r="D59" s="109" t="s">
        <v>1617</v>
      </c>
      <c r="E59" s="109" t="s">
        <v>2501</v>
      </c>
      <c r="F59" s="109" t="s">
        <v>2502</v>
      </c>
      <c r="G59" s="117">
        <v>1.5</v>
      </c>
      <c r="H59" s="110"/>
      <c r="I59" s="109"/>
    </row>
    <row r="60" spans="1:9" ht="19" customHeight="1">
      <c r="A60" s="108" t="s">
        <v>2508</v>
      </c>
      <c r="B60" s="108" t="s">
        <v>3238</v>
      </c>
      <c r="C60" s="108" t="s">
        <v>2011</v>
      </c>
      <c r="D60" s="109" t="s">
        <v>1617</v>
      </c>
      <c r="E60" s="109" t="s">
        <v>2504</v>
      </c>
      <c r="F60" s="109" t="s">
        <v>2505</v>
      </c>
      <c r="G60" s="117"/>
      <c r="H60" s="110">
        <v>1.5</v>
      </c>
      <c r="I60" s="109"/>
    </row>
    <row r="61" spans="1:9" ht="19" customHeight="1">
      <c r="A61" s="108" t="s">
        <v>1461</v>
      </c>
      <c r="B61" s="108" t="s">
        <v>1666</v>
      </c>
      <c r="C61" s="108" t="s">
        <v>2013</v>
      </c>
      <c r="D61" s="109" t="s">
        <v>3164</v>
      </c>
      <c r="E61" s="109" t="s">
        <v>2506</v>
      </c>
      <c r="F61" s="109" t="s">
        <v>2507</v>
      </c>
      <c r="G61" s="117">
        <v>1.5</v>
      </c>
      <c r="H61" s="110"/>
      <c r="I61" s="109"/>
    </row>
    <row r="62" spans="1:9" ht="19" customHeight="1">
      <c r="A62" s="108" t="s">
        <v>2513</v>
      </c>
      <c r="B62" s="108" t="s">
        <v>3238</v>
      </c>
      <c r="C62" s="108" t="s">
        <v>2013</v>
      </c>
      <c r="D62" s="109" t="s">
        <v>3164</v>
      </c>
      <c r="E62" s="109" t="s">
        <v>2509</v>
      </c>
      <c r="F62" s="109" t="s">
        <v>2510</v>
      </c>
      <c r="G62" s="117"/>
      <c r="H62" s="110">
        <v>2</v>
      </c>
      <c r="I62" s="109"/>
    </row>
    <row r="63" spans="1:9" ht="19" customHeight="1">
      <c r="A63" s="108" t="s">
        <v>1462</v>
      </c>
      <c r="B63" s="108" t="s">
        <v>1666</v>
      </c>
      <c r="C63" s="108" t="s">
        <v>2013</v>
      </c>
      <c r="D63" s="109" t="s">
        <v>3165</v>
      </c>
      <c r="E63" s="109" t="s">
        <v>2511</v>
      </c>
      <c r="F63" s="109" t="s">
        <v>2512</v>
      </c>
      <c r="G63" s="117">
        <v>0.5</v>
      </c>
      <c r="H63" s="110"/>
      <c r="I63" s="109"/>
    </row>
    <row r="64" spans="1:9" ht="19" customHeight="1">
      <c r="A64" s="108" t="s">
        <v>2518</v>
      </c>
      <c r="B64" s="108" t="s">
        <v>3238</v>
      </c>
      <c r="C64" s="108" t="s">
        <v>2013</v>
      </c>
      <c r="D64" s="109" t="s">
        <v>3165</v>
      </c>
      <c r="E64" s="109" t="s">
        <v>2514</v>
      </c>
      <c r="F64" s="109" t="s">
        <v>2515</v>
      </c>
      <c r="G64" s="117"/>
      <c r="H64" s="110">
        <v>1</v>
      </c>
      <c r="I64" s="109"/>
    </row>
    <row r="65" spans="1:9" ht="19" customHeight="1">
      <c r="A65" s="108" t="s">
        <v>1467</v>
      </c>
      <c r="B65" s="108" t="s">
        <v>1678</v>
      </c>
      <c r="C65" s="108" t="s">
        <v>2013</v>
      </c>
      <c r="D65" s="109" t="s">
        <v>1642</v>
      </c>
      <c r="E65" s="109" t="s">
        <v>1679</v>
      </c>
      <c r="F65" s="109" t="s">
        <v>3724</v>
      </c>
      <c r="G65" s="117">
        <v>1.5</v>
      </c>
      <c r="H65" s="110"/>
      <c r="I65" s="109"/>
    </row>
    <row r="66" spans="1:9" ht="19" customHeight="1">
      <c r="A66" s="108" t="s">
        <v>2580</v>
      </c>
      <c r="B66" s="108" t="s">
        <v>2581</v>
      </c>
      <c r="C66" s="108" t="s">
        <v>2013</v>
      </c>
      <c r="D66" s="109" t="s">
        <v>1642</v>
      </c>
      <c r="E66" s="109" t="s">
        <v>3725</v>
      </c>
      <c r="F66" s="109" t="s">
        <v>3726</v>
      </c>
      <c r="G66" s="117"/>
      <c r="H66" s="110">
        <v>2</v>
      </c>
      <c r="I66" s="109"/>
    </row>
    <row r="67" spans="1:9" ht="19" customHeight="1">
      <c r="A67" s="108" t="s">
        <v>4500</v>
      </c>
      <c r="B67" s="108" t="s">
        <v>1680</v>
      </c>
      <c r="C67" s="108" t="s">
        <v>2013</v>
      </c>
      <c r="D67" s="109" t="s">
        <v>1636</v>
      </c>
      <c r="E67" s="109" t="s">
        <v>4501</v>
      </c>
      <c r="F67" s="109" t="s">
        <v>4502</v>
      </c>
      <c r="G67" s="117">
        <v>1</v>
      </c>
      <c r="H67" s="110"/>
      <c r="I67" s="109"/>
    </row>
    <row r="68" spans="1:9" ht="19" customHeight="1">
      <c r="A68" s="108" t="s">
        <v>4503</v>
      </c>
      <c r="B68" s="108" t="s">
        <v>2581</v>
      </c>
      <c r="C68" s="108" t="s">
        <v>2013</v>
      </c>
      <c r="D68" s="109" t="s">
        <v>1636</v>
      </c>
      <c r="E68" s="109" t="s">
        <v>4504</v>
      </c>
      <c r="F68" s="109" t="s">
        <v>4505</v>
      </c>
      <c r="G68" s="117"/>
      <c r="H68" s="110">
        <v>1.5</v>
      </c>
      <c r="I68" s="109"/>
    </row>
    <row r="69" spans="1:9" ht="19" customHeight="1">
      <c r="A69" s="108" t="s">
        <v>1463</v>
      </c>
      <c r="B69" s="108" t="s">
        <v>1666</v>
      </c>
      <c r="C69" s="108" t="s">
        <v>2015</v>
      </c>
      <c r="D69" s="109" t="s">
        <v>1652</v>
      </c>
      <c r="E69" s="109" t="s">
        <v>3254</v>
      </c>
      <c r="F69" s="109" t="s">
        <v>2779</v>
      </c>
      <c r="G69" s="117">
        <v>2</v>
      </c>
      <c r="H69" s="110"/>
      <c r="I69" s="109"/>
    </row>
    <row r="70" spans="1:9" ht="19" customHeight="1">
      <c r="A70" s="108" t="s">
        <v>2523</v>
      </c>
      <c r="B70" s="108" t="s">
        <v>3238</v>
      </c>
      <c r="C70" s="108" t="s">
        <v>2015</v>
      </c>
      <c r="D70" s="109" t="s">
        <v>1652</v>
      </c>
      <c r="E70" s="109" t="s">
        <v>2781</v>
      </c>
      <c r="F70" s="109" t="s">
        <v>2782</v>
      </c>
      <c r="G70" s="117"/>
      <c r="H70" s="110">
        <v>2</v>
      </c>
      <c r="I70" s="109"/>
    </row>
    <row r="71" spans="1:9" ht="19" customHeight="1">
      <c r="A71" s="108" t="s">
        <v>1667</v>
      </c>
      <c r="B71" s="108" t="s">
        <v>1666</v>
      </c>
      <c r="C71" s="108" t="s">
        <v>2015</v>
      </c>
      <c r="D71" s="109" t="s">
        <v>2108</v>
      </c>
      <c r="E71" s="109" t="s">
        <v>2516</v>
      </c>
      <c r="F71" s="109" t="s">
        <v>2517</v>
      </c>
      <c r="G71" s="117">
        <v>1.5</v>
      </c>
      <c r="H71" s="110"/>
      <c r="I71" s="109"/>
    </row>
    <row r="72" spans="1:9" ht="19" customHeight="1">
      <c r="A72" s="108" t="s">
        <v>2528</v>
      </c>
      <c r="B72" s="108" t="s">
        <v>3238</v>
      </c>
      <c r="C72" s="108" t="s">
        <v>2015</v>
      </c>
      <c r="D72" s="109" t="s">
        <v>2108</v>
      </c>
      <c r="E72" s="109" t="s">
        <v>2519</v>
      </c>
      <c r="F72" s="109" t="s">
        <v>2520</v>
      </c>
      <c r="G72" s="117"/>
      <c r="H72" s="110">
        <v>1.5</v>
      </c>
      <c r="I72" s="109"/>
    </row>
    <row r="73" spans="1:9" ht="19" customHeight="1">
      <c r="A73" s="108" t="s">
        <v>2535</v>
      </c>
      <c r="B73" s="108" t="s">
        <v>3238</v>
      </c>
      <c r="C73" s="108" t="s">
        <v>3132</v>
      </c>
      <c r="D73" s="109" t="s">
        <v>3166</v>
      </c>
      <c r="E73" s="109" t="s">
        <v>2778</v>
      </c>
      <c r="F73" s="109" t="s">
        <v>3255</v>
      </c>
      <c r="G73" s="117"/>
      <c r="H73" s="110">
        <v>3</v>
      </c>
      <c r="I73" s="109"/>
    </row>
    <row r="74" spans="1:9" ht="19" customHeight="1">
      <c r="A74" s="108" t="s">
        <v>1668</v>
      </c>
      <c r="B74" s="108" t="s">
        <v>1666</v>
      </c>
      <c r="C74" s="108" t="s">
        <v>3132</v>
      </c>
      <c r="D74" s="109" t="s">
        <v>1627</v>
      </c>
      <c r="E74" s="109" t="s">
        <v>2521</v>
      </c>
      <c r="F74" s="109" t="s">
        <v>2522</v>
      </c>
      <c r="G74" s="117">
        <v>2</v>
      </c>
      <c r="H74" s="110"/>
      <c r="I74" s="109"/>
    </row>
    <row r="75" spans="1:9" ht="19" customHeight="1">
      <c r="A75" s="108" t="s">
        <v>2539</v>
      </c>
      <c r="B75" s="108" t="s">
        <v>3238</v>
      </c>
      <c r="C75" s="108" t="s">
        <v>3132</v>
      </c>
      <c r="D75" s="109" t="s">
        <v>1627</v>
      </c>
      <c r="E75" s="109" t="s">
        <v>2524</v>
      </c>
      <c r="F75" s="109" t="s">
        <v>2525</v>
      </c>
      <c r="G75" s="117"/>
      <c r="H75" s="110">
        <v>3</v>
      </c>
      <c r="I75" s="109"/>
    </row>
    <row r="76" spans="1:9" ht="19" customHeight="1">
      <c r="A76" s="108" t="s">
        <v>1479</v>
      </c>
      <c r="B76" s="108" t="s">
        <v>1680</v>
      </c>
      <c r="C76" s="108" t="s">
        <v>3132</v>
      </c>
      <c r="D76" s="109" t="s">
        <v>1635</v>
      </c>
      <c r="E76" s="109" t="s">
        <v>2772</v>
      </c>
      <c r="F76" s="109" t="s">
        <v>2773</v>
      </c>
      <c r="G76" s="117">
        <v>1.5</v>
      </c>
      <c r="H76" s="110"/>
      <c r="I76" s="109"/>
    </row>
    <row r="77" spans="1:9" ht="19" customHeight="1">
      <c r="A77" s="108" t="s">
        <v>2589</v>
      </c>
      <c r="B77" s="108" t="s">
        <v>2581</v>
      </c>
      <c r="C77" s="108" t="s">
        <v>3132</v>
      </c>
      <c r="D77" s="109" t="s">
        <v>1635</v>
      </c>
      <c r="E77" s="109" t="s">
        <v>2775</v>
      </c>
      <c r="F77" s="109" t="s">
        <v>2776</v>
      </c>
      <c r="G77" s="117"/>
      <c r="H77" s="110">
        <v>2</v>
      </c>
      <c r="I77" s="109"/>
    </row>
    <row r="78" spans="1:9" ht="19" customHeight="1">
      <c r="A78" s="108" t="s">
        <v>1468</v>
      </c>
      <c r="B78" s="108" t="s">
        <v>1678</v>
      </c>
      <c r="C78" s="108" t="s">
        <v>1651</v>
      </c>
      <c r="D78" s="109" t="s">
        <v>1620</v>
      </c>
      <c r="E78" s="109" t="s">
        <v>2526</v>
      </c>
      <c r="F78" s="109" t="s">
        <v>2527</v>
      </c>
      <c r="G78" s="117">
        <v>2</v>
      </c>
      <c r="H78" s="110"/>
      <c r="I78" s="109"/>
    </row>
    <row r="79" spans="1:9" ht="19" customHeight="1">
      <c r="A79" s="108" t="s">
        <v>2546</v>
      </c>
      <c r="B79" s="108" t="s">
        <v>3238</v>
      </c>
      <c r="C79" s="108" t="s">
        <v>1651</v>
      </c>
      <c r="D79" s="109" t="s">
        <v>1620</v>
      </c>
      <c r="E79" s="109" t="s">
        <v>2529</v>
      </c>
      <c r="F79" s="109" t="s">
        <v>2530</v>
      </c>
      <c r="G79" s="117"/>
      <c r="H79" s="110">
        <v>2</v>
      </c>
      <c r="I79" s="109"/>
    </row>
    <row r="80" spans="1:9" ht="19" customHeight="1">
      <c r="A80" s="108" t="s">
        <v>2531</v>
      </c>
      <c r="B80" s="108" t="s">
        <v>2418</v>
      </c>
      <c r="C80" s="108" t="s">
        <v>2017</v>
      </c>
      <c r="D80" s="109" t="s">
        <v>3167</v>
      </c>
      <c r="E80" s="109" t="s">
        <v>3256</v>
      </c>
      <c r="F80" s="109" t="s">
        <v>2532</v>
      </c>
      <c r="G80" s="117">
        <v>3</v>
      </c>
      <c r="H80" s="110"/>
      <c r="I80" s="109"/>
    </row>
    <row r="81" spans="1:9" ht="19" customHeight="1">
      <c r="A81" s="108" t="s">
        <v>2533</v>
      </c>
      <c r="B81" s="108" t="s">
        <v>1683</v>
      </c>
      <c r="C81" s="108" t="s">
        <v>2017</v>
      </c>
      <c r="D81" s="109" t="s">
        <v>3167</v>
      </c>
      <c r="E81" s="109" t="s">
        <v>3257</v>
      </c>
      <c r="F81" s="109" t="s">
        <v>2534</v>
      </c>
      <c r="G81" s="117">
        <v>1</v>
      </c>
      <c r="H81" s="110"/>
      <c r="I81" s="109"/>
    </row>
    <row r="82" spans="1:9" ht="19" customHeight="1">
      <c r="A82" s="108" t="s">
        <v>2556</v>
      </c>
      <c r="B82" s="108" t="s">
        <v>3238</v>
      </c>
      <c r="C82" s="108" t="s">
        <v>2017</v>
      </c>
      <c r="D82" s="109" t="s">
        <v>3167</v>
      </c>
      <c r="E82" s="109" t="s">
        <v>3258</v>
      </c>
      <c r="F82" s="109" t="s">
        <v>3259</v>
      </c>
      <c r="G82" s="117"/>
      <c r="H82" s="110">
        <v>3</v>
      </c>
      <c r="I82" s="109"/>
    </row>
    <row r="83" spans="1:9" ht="19" customHeight="1">
      <c r="A83" s="108" t="s">
        <v>2549</v>
      </c>
      <c r="B83" s="108" t="s">
        <v>2408</v>
      </c>
      <c r="C83" s="108" t="s">
        <v>2017</v>
      </c>
      <c r="D83" s="109" t="s">
        <v>3167</v>
      </c>
      <c r="E83" s="109" t="s">
        <v>3260</v>
      </c>
      <c r="F83" s="109" t="s">
        <v>2410</v>
      </c>
      <c r="G83" s="117"/>
      <c r="H83" s="110">
        <v>1.5</v>
      </c>
      <c r="I83" s="109"/>
    </row>
    <row r="84" spans="1:9" ht="19" customHeight="1">
      <c r="A84" s="108" t="s">
        <v>1669</v>
      </c>
      <c r="B84" s="108" t="s">
        <v>1666</v>
      </c>
      <c r="C84" s="108" t="s">
        <v>2017</v>
      </c>
      <c r="D84" s="109" t="s">
        <v>3168</v>
      </c>
      <c r="E84" s="109" t="s">
        <v>2537</v>
      </c>
      <c r="F84" s="109" t="s">
        <v>2538</v>
      </c>
      <c r="G84" s="117">
        <v>1.5</v>
      </c>
      <c r="H84" s="110"/>
      <c r="I84" s="109"/>
    </row>
    <row r="85" spans="1:9" ht="19" customHeight="1">
      <c r="A85" s="108" t="s">
        <v>2561</v>
      </c>
      <c r="B85" s="108" t="s">
        <v>3238</v>
      </c>
      <c r="C85" s="108" t="s">
        <v>2017</v>
      </c>
      <c r="D85" s="109" t="s">
        <v>3168</v>
      </c>
      <c r="E85" s="109" t="s">
        <v>2540</v>
      </c>
      <c r="F85" s="109" t="s">
        <v>3261</v>
      </c>
      <c r="G85" s="117"/>
      <c r="H85" s="110">
        <v>1.5</v>
      </c>
      <c r="I85" s="109"/>
    </row>
    <row r="86" spans="1:9" ht="19" customHeight="1">
      <c r="A86" s="108" t="s">
        <v>2559</v>
      </c>
      <c r="B86" s="108" t="s">
        <v>2408</v>
      </c>
      <c r="C86" s="108" t="s">
        <v>2017</v>
      </c>
      <c r="D86" s="109" t="s">
        <v>3168</v>
      </c>
      <c r="E86" s="109" t="s">
        <v>2542</v>
      </c>
      <c r="F86" s="109" t="s">
        <v>2543</v>
      </c>
      <c r="G86" s="117"/>
      <c r="H86" s="110">
        <v>1</v>
      </c>
      <c r="I86" s="109"/>
    </row>
    <row r="87" spans="1:9" ht="19" customHeight="1">
      <c r="A87" s="108" t="s">
        <v>1670</v>
      </c>
      <c r="B87" s="108" t="s">
        <v>1666</v>
      </c>
      <c r="C87" s="108" t="s">
        <v>3135</v>
      </c>
      <c r="D87" s="109" t="s">
        <v>3169</v>
      </c>
      <c r="E87" s="109" t="s">
        <v>3262</v>
      </c>
      <c r="F87" s="109" t="s">
        <v>2766</v>
      </c>
      <c r="G87" s="117">
        <v>1.5</v>
      </c>
      <c r="H87" s="110"/>
      <c r="I87" s="109"/>
    </row>
    <row r="88" spans="1:9" ht="19" customHeight="1">
      <c r="A88" s="108" t="s">
        <v>2562</v>
      </c>
      <c r="B88" s="108" t="s">
        <v>3238</v>
      </c>
      <c r="C88" s="108" t="s">
        <v>3135</v>
      </c>
      <c r="D88" s="109" t="s">
        <v>3169</v>
      </c>
      <c r="E88" s="109" t="s">
        <v>3263</v>
      </c>
      <c r="F88" s="109" t="s">
        <v>2768</v>
      </c>
      <c r="G88" s="117"/>
      <c r="H88" s="110">
        <v>2</v>
      </c>
      <c r="I88" s="109"/>
    </row>
    <row r="89" spans="1:9" ht="19" customHeight="1">
      <c r="A89" s="108" t="s">
        <v>2575</v>
      </c>
      <c r="B89" s="108" t="s">
        <v>2408</v>
      </c>
      <c r="C89" s="108" t="s">
        <v>3135</v>
      </c>
      <c r="D89" s="109" t="s">
        <v>3169</v>
      </c>
      <c r="E89" s="109" t="s">
        <v>3264</v>
      </c>
      <c r="F89" s="109" t="s">
        <v>2770</v>
      </c>
      <c r="G89" s="117"/>
      <c r="H89" s="110">
        <v>1</v>
      </c>
      <c r="I89" s="109"/>
    </row>
    <row r="90" spans="1:9" ht="19" customHeight="1">
      <c r="A90" s="108" t="s">
        <v>1671</v>
      </c>
      <c r="B90" s="108" t="s">
        <v>1666</v>
      </c>
      <c r="C90" s="108" t="s">
        <v>2018</v>
      </c>
      <c r="D90" s="109" t="s">
        <v>2171</v>
      </c>
      <c r="E90" s="109" t="s">
        <v>2544</v>
      </c>
      <c r="F90" s="109" t="s">
        <v>2545</v>
      </c>
      <c r="G90" s="117">
        <v>2</v>
      </c>
      <c r="H90" s="110"/>
      <c r="I90" s="109"/>
    </row>
    <row r="91" spans="1:9" ht="19" customHeight="1">
      <c r="A91" s="108" t="s">
        <v>2623</v>
      </c>
      <c r="B91" s="108" t="s">
        <v>3238</v>
      </c>
      <c r="C91" s="108" t="s">
        <v>2018</v>
      </c>
      <c r="D91" s="109" t="s">
        <v>2171</v>
      </c>
      <c r="E91" s="109" t="s">
        <v>2547</v>
      </c>
      <c r="F91" s="109" t="s">
        <v>2548</v>
      </c>
      <c r="G91" s="117"/>
      <c r="H91" s="110">
        <v>3</v>
      </c>
      <c r="I91" s="109"/>
    </row>
    <row r="92" spans="1:9" ht="19" customHeight="1">
      <c r="A92" s="108" t="s">
        <v>2584</v>
      </c>
      <c r="B92" s="108" t="s">
        <v>2408</v>
      </c>
      <c r="C92" s="108" t="s">
        <v>2018</v>
      </c>
      <c r="D92" s="109" t="s">
        <v>2171</v>
      </c>
      <c r="E92" s="109" t="s">
        <v>2550</v>
      </c>
      <c r="F92" s="109" t="s">
        <v>2551</v>
      </c>
      <c r="G92" s="117"/>
      <c r="H92" s="110">
        <v>1</v>
      </c>
      <c r="I92" s="109"/>
    </row>
    <row r="93" spans="1:9" ht="19" customHeight="1">
      <c r="A93" s="108" t="s">
        <v>4506</v>
      </c>
      <c r="B93" s="108" t="s">
        <v>2418</v>
      </c>
      <c r="C93" s="108" t="s">
        <v>2018</v>
      </c>
      <c r="D93" s="109" t="s">
        <v>3743</v>
      </c>
      <c r="E93" s="109" t="s">
        <v>4507</v>
      </c>
      <c r="F93" s="109" t="s">
        <v>4508</v>
      </c>
      <c r="G93" s="117">
        <v>1.5</v>
      </c>
      <c r="H93" s="110"/>
      <c r="I93" s="109"/>
    </row>
    <row r="94" spans="1:9" ht="19" customHeight="1">
      <c r="A94" s="108" t="s">
        <v>4509</v>
      </c>
      <c r="B94" s="108" t="s">
        <v>3238</v>
      </c>
      <c r="C94" s="108" t="s">
        <v>2018</v>
      </c>
      <c r="D94" s="109" t="s">
        <v>3743</v>
      </c>
      <c r="E94" s="109" t="s">
        <v>4510</v>
      </c>
      <c r="F94" s="109" t="s">
        <v>4511</v>
      </c>
      <c r="G94" s="117"/>
      <c r="H94" s="110">
        <v>2</v>
      </c>
      <c r="I94" s="109"/>
    </row>
    <row r="95" spans="1:9" ht="19" customHeight="1">
      <c r="A95" s="108" t="s">
        <v>1672</v>
      </c>
      <c r="B95" s="108" t="s">
        <v>1666</v>
      </c>
      <c r="C95" s="108" t="s">
        <v>2019</v>
      </c>
      <c r="D95" s="109" t="s">
        <v>1602</v>
      </c>
      <c r="E95" s="109" t="s">
        <v>2552</v>
      </c>
      <c r="F95" s="109" t="s">
        <v>2553</v>
      </c>
      <c r="G95" s="117">
        <v>4</v>
      </c>
      <c r="H95" s="110"/>
      <c r="I95" s="109"/>
    </row>
    <row r="96" spans="1:9" ht="19" customHeight="1">
      <c r="A96" s="108" t="s">
        <v>2554</v>
      </c>
      <c r="B96" s="108" t="s">
        <v>1683</v>
      </c>
      <c r="C96" s="108" t="s">
        <v>2019</v>
      </c>
      <c r="D96" s="109" t="s">
        <v>1602</v>
      </c>
      <c r="E96" s="109" t="s">
        <v>2555</v>
      </c>
      <c r="F96" s="109" t="s">
        <v>3265</v>
      </c>
      <c r="G96" s="117">
        <v>1</v>
      </c>
      <c r="H96" s="110"/>
      <c r="I96" s="109"/>
    </row>
    <row r="97" spans="1:9" ht="19" customHeight="1">
      <c r="A97" s="108" t="s">
        <v>2650</v>
      </c>
      <c r="B97" s="108" t="s">
        <v>3238</v>
      </c>
      <c r="C97" s="108" t="s">
        <v>2019</v>
      </c>
      <c r="D97" s="109" t="s">
        <v>1602</v>
      </c>
      <c r="E97" s="109" t="s">
        <v>2557</v>
      </c>
      <c r="F97" s="109" t="s">
        <v>3266</v>
      </c>
      <c r="G97" s="117"/>
      <c r="H97" s="110">
        <v>4</v>
      </c>
      <c r="I97" s="109" t="s">
        <v>2558</v>
      </c>
    </row>
    <row r="98" spans="1:9" ht="19" customHeight="1">
      <c r="A98" s="108" t="s">
        <v>2671</v>
      </c>
      <c r="B98" s="108" t="s">
        <v>2408</v>
      </c>
      <c r="C98" s="108" t="s">
        <v>2019</v>
      </c>
      <c r="D98" s="109" t="s">
        <v>1602</v>
      </c>
      <c r="E98" s="109" t="s">
        <v>2560</v>
      </c>
      <c r="F98" s="109" t="s">
        <v>2410</v>
      </c>
      <c r="G98" s="117"/>
      <c r="H98" s="110">
        <v>2</v>
      </c>
      <c r="I98" s="109"/>
    </row>
    <row r="99" spans="1:9" ht="19" customHeight="1">
      <c r="A99" s="108" t="s">
        <v>2733</v>
      </c>
      <c r="B99" s="108" t="s">
        <v>3238</v>
      </c>
      <c r="C99" s="108" t="s">
        <v>2019</v>
      </c>
      <c r="D99" s="109" t="s">
        <v>3170</v>
      </c>
      <c r="E99" s="109" t="s">
        <v>3267</v>
      </c>
      <c r="F99" s="109" t="s">
        <v>3268</v>
      </c>
      <c r="G99" s="117"/>
      <c r="H99" s="110">
        <v>2</v>
      </c>
      <c r="I99" s="109" t="s">
        <v>2558</v>
      </c>
    </row>
    <row r="100" spans="1:9" ht="19" customHeight="1">
      <c r="A100" s="108" t="s">
        <v>2780</v>
      </c>
      <c r="B100" s="108" t="s">
        <v>3238</v>
      </c>
      <c r="C100" s="108" t="s">
        <v>2019</v>
      </c>
      <c r="D100" s="109" t="s">
        <v>1632</v>
      </c>
      <c r="E100" s="109" t="s">
        <v>2563</v>
      </c>
      <c r="F100" s="109" t="s">
        <v>2564</v>
      </c>
      <c r="G100" s="117"/>
      <c r="H100" s="110">
        <v>1</v>
      </c>
      <c r="I100" s="109"/>
    </row>
    <row r="101" spans="1:9" ht="19" customHeight="1">
      <c r="A101" s="108" t="s">
        <v>1469</v>
      </c>
      <c r="B101" s="108" t="s">
        <v>1678</v>
      </c>
      <c r="C101" s="108" t="s">
        <v>2020</v>
      </c>
      <c r="D101" s="109" t="s">
        <v>2125</v>
      </c>
      <c r="E101" s="109" t="s">
        <v>2565</v>
      </c>
      <c r="F101" s="109" t="s">
        <v>2566</v>
      </c>
      <c r="G101" s="117">
        <v>2</v>
      </c>
      <c r="H101" s="110"/>
      <c r="I101" s="109"/>
    </row>
    <row r="102" spans="1:9" ht="19" customHeight="1">
      <c r="A102" s="108" t="s">
        <v>2567</v>
      </c>
      <c r="B102" s="108" t="s">
        <v>2418</v>
      </c>
      <c r="C102" s="108" t="s">
        <v>2020</v>
      </c>
      <c r="D102" s="109" t="s">
        <v>2125</v>
      </c>
      <c r="E102" s="109" t="s">
        <v>2568</v>
      </c>
      <c r="F102" s="109" t="s">
        <v>2569</v>
      </c>
      <c r="G102" s="117">
        <v>2</v>
      </c>
      <c r="H102" s="110"/>
      <c r="I102" s="109"/>
    </row>
    <row r="103" spans="1:9" ht="19" customHeight="1">
      <c r="A103" s="108" t="s">
        <v>2570</v>
      </c>
      <c r="B103" s="108" t="s">
        <v>2571</v>
      </c>
      <c r="C103" s="108" t="s">
        <v>2020</v>
      </c>
      <c r="D103" s="109" t="s">
        <v>2125</v>
      </c>
      <c r="E103" s="109" t="s">
        <v>2572</v>
      </c>
      <c r="F103" s="109" t="s">
        <v>2573</v>
      </c>
      <c r="G103" s="117"/>
      <c r="H103" s="110">
        <v>3</v>
      </c>
      <c r="I103" s="109" t="s">
        <v>2574</v>
      </c>
    </row>
    <row r="104" spans="1:9" ht="19" customHeight="1">
      <c r="A104" s="108" t="s">
        <v>2685</v>
      </c>
      <c r="B104" s="108" t="s">
        <v>2408</v>
      </c>
      <c r="C104" s="108" t="s">
        <v>2020</v>
      </c>
      <c r="D104" s="109" t="s">
        <v>2125</v>
      </c>
      <c r="E104" s="109" t="s">
        <v>2576</v>
      </c>
      <c r="F104" s="109" t="s">
        <v>2577</v>
      </c>
      <c r="G104" s="117"/>
      <c r="H104" s="110">
        <v>1.5</v>
      </c>
      <c r="I104" s="109"/>
    </row>
    <row r="105" spans="1:9" ht="19" customHeight="1">
      <c r="A105" s="108" t="s">
        <v>1673</v>
      </c>
      <c r="B105" s="108" t="s">
        <v>1666</v>
      </c>
      <c r="C105" s="108" t="s">
        <v>2020</v>
      </c>
      <c r="D105" s="109" t="s">
        <v>2179</v>
      </c>
      <c r="E105" s="109" t="s">
        <v>3719</v>
      </c>
      <c r="F105" s="109" t="s">
        <v>3720</v>
      </c>
      <c r="G105" s="117">
        <v>1</v>
      </c>
      <c r="H105" s="110"/>
      <c r="I105" s="109"/>
    </row>
    <row r="106" spans="1:9" ht="19" customHeight="1">
      <c r="A106" s="108" t="s">
        <v>2777</v>
      </c>
      <c r="B106" s="108" t="s">
        <v>3721</v>
      </c>
      <c r="C106" s="108" t="s">
        <v>2020</v>
      </c>
      <c r="D106" s="109" t="s">
        <v>2179</v>
      </c>
      <c r="E106" s="109" t="s">
        <v>3722</v>
      </c>
      <c r="F106" s="109" t="s">
        <v>3723</v>
      </c>
      <c r="G106" s="117"/>
      <c r="H106" s="110">
        <v>1.5</v>
      </c>
      <c r="I106" s="109"/>
    </row>
    <row r="107" spans="1:9" ht="19" customHeight="1">
      <c r="A107" s="108" t="s">
        <v>1480</v>
      </c>
      <c r="B107" s="108" t="s">
        <v>1680</v>
      </c>
      <c r="C107" s="108" t="s">
        <v>2023</v>
      </c>
      <c r="D107" s="109" t="s">
        <v>1639</v>
      </c>
      <c r="E107" s="109" t="s">
        <v>2578</v>
      </c>
      <c r="F107" s="109" t="s">
        <v>2579</v>
      </c>
      <c r="G107" s="117">
        <v>2</v>
      </c>
      <c r="H107" s="110"/>
      <c r="I107" s="109"/>
    </row>
    <row r="108" spans="1:9" ht="19" customHeight="1">
      <c r="A108" s="108" t="s">
        <v>2594</v>
      </c>
      <c r="B108" s="108" t="s">
        <v>2581</v>
      </c>
      <c r="C108" s="108" t="s">
        <v>2023</v>
      </c>
      <c r="D108" s="109" t="s">
        <v>1639</v>
      </c>
      <c r="E108" s="109" t="s">
        <v>2582</v>
      </c>
      <c r="F108" s="109" t="s">
        <v>2583</v>
      </c>
      <c r="G108" s="117"/>
      <c r="H108" s="110">
        <v>2</v>
      </c>
      <c r="I108" s="109"/>
    </row>
    <row r="109" spans="1:9" ht="19" customHeight="1">
      <c r="A109" s="108" t="s">
        <v>2788</v>
      </c>
      <c r="B109" s="108" t="s">
        <v>2408</v>
      </c>
      <c r="C109" s="108" t="s">
        <v>2023</v>
      </c>
      <c r="D109" s="109" t="s">
        <v>1639</v>
      </c>
      <c r="E109" s="109" t="s">
        <v>2585</v>
      </c>
      <c r="F109" s="109" t="s">
        <v>2586</v>
      </c>
      <c r="G109" s="117"/>
      <c r="H109" s="110">
        <v>1</v>
      </c>
      <c r="I109" s="109"/>
    </row>
    <row r="110" spans="1:9" ht="19" customHeight="1">
      <c r="A110" s="108" t="s">
        <v>1481</v>
      </c>
      <c r="B110" s="108" t="s">
        <v>1680</v>
      </c>
      <c r="C110" s="108" t="s">
        <v>2023</v>
      </c>
      <c r="D110" s="109" t="s">
        <v>1640</v>
      </c>
      <c r="E110" s="109" t="s">
        <v>2587</v>
      </c>
      <c r="F110" s="109" t="s">
        <v>2588</v>
      </c>
      <c r="G110" s="117">
        <v>1.5</v>
      </c>
      <c r="H110" s="110"/>
      <c r="I110" s="109"/>
    </row>
    <row r="111" spans="1:9" ht="19" customHeight="1">
      <c r="A111" s="108" t="s">
        <v>2774</v>
      </c>
      <c r="B111" s="108" t="s">
        <v>2581</v>
      </c>
      <c r="C111" s="108" t="s">
        <v>2023</v>
      </c>
      <c r="D111" s="109" t="s">
        <v>1640</v>
      </c>
      <c r="E111" s="109" t="s">
        <v>2590</v>
      </c>
      <c r="F111" s="109" t="s">
        <v>2591</v>
      </c>
      <c r="G111" s="117"/>
      <c r="H111" s="110">
        <v>2</v>
      </c>
      <c r="I111" s="109"/>
    </row>
    <row r="112" spans="1:9" ht="19" customHeight="1">
      <c r="A112" s="108" t="s">
        <v>2771</v>
      </c>
      <c r="B112" s="108" t="s">
        <v>1680</v>
      </c>
      <c r="C112" s="108" t="s">
        <v>2023</v>
      </c>
      <c r="D112" s="109" t="s">
        <v>1641</v>
      </c>
      <c r="E112" s="109" t="s">
        <v>2592</v>
      </c>
      <c r="F112" s="109" t="s">
        <v>2593</v>
      </c>
      <c r="G112" s="117">
        <v>1.5</v>
      </c>
      <c r="H112" s="110"/>
      <c r="I112" s="109"/>
    </row>
    <row r="113" spans="1:9" ht="19" customHeight="1">
      <c r="A113" s="108" t="s">
        <v>3718</v>
      </c>
      <c r="B113" s="108" t="s">
        <v>2581</v>
      </c>
      <c r="C113" s="108" t="s">
        <v>2023</v>
      </c>
      <c r="D113" s="109" t="s">
        <v>1641</v>
      </c>
      <c r="E113" s="109" t="s">
        <v>2595</v>
      </c>
      <c r="F113" s="109" t="s">
        <v>2596</v>
      </c>
      <c r="G113" s="117"/>
      <c r="H113" s="110">
        <v>2</v>
      </c>
      <c r="I113" s="109"/>
    </row>
    <row r="114" spans="1:9" ht="19" customHeight="1">
      <c r="A114" s="108" t="s">
        <v>4512</v>
      </c>
      <c r="B114" s="108" t="s">
        <v>2451</v>
      </c>
      <c r="C114" s="108" t="s">
        <v>1655</v>
      </c>
      <c r="D114" s="109" t="s">
        <v>1634</v>
      </c>
      <c r="E114" s="109" t="s">
        <v>4513</v>
      </c>
      <c r="F114" s="109" t="s">
        <v>4514</v>
      </c>
      <c r="G114" s="117">
        <v>1</v>
      </c>
      <c r="H114" s="110"/>
      <c r="I114" s="109"/>
    </row>
    <row r="115" spans="1:9" ht="19" customHeight="1">
      <c r="A115" s="108" t="s">
        <v>4515</v>
      </c>
      <c r="B115" s="108" t="s">
        <v>2571</v>
      </c>
      <c r="C115" s="108" t="s">
        <v>1655</v>
      </c>
      <c r="D115" s="109" t="s">
        <v>1634</v>
      </c>
      <c r="E115" s="109" t="s">
        <v>4516</v>
      </c>
      <c r="F115" s="109" t="s">
        <v>4517</v>
      </c>
      <c r="G115" s="117"/>
      <c r="H115" s="110">
        <v>2</v>
      </c>
      <c r="I115" s="109"/>
    </row>
    <row r="116" spans="1:9" ht="19" customHeight="1">
      <c r="A116" s="108" t="s">
        <v>1483</v>
      </c>
      <c r="B116" s="108" t="s">
        <v>2451</v>
      </c>
      <c r="C116" s="108" t="s">
        <v>2028</v>
      </c>
      <c r="D116" s="109" t="s">
        <v>2121</v>
      </c>
      <c r="E116" s="109" t="s">
        <v>2597</v>
      </c>
      <c r="F116" s="109" t="s">
        <v>2598</v>
      </c>
      <c r="G116" s="117">
        <v>2</v>
      </c>
      <c r="H116" s="110"/>
      <c r="I116" s="109"/>
    </row>
    <row r="117" spans="1:9" ht="19" customHeight="1">
      <c r="A117" s="108" t="s">
        <v>2599</v>
      </c>
      <c r="B117" s="108" t="s">
        <v>2455</v>
      </c>
      <c r="C117" s="108" t="s">
        <v>2028</v>
      </c>
      <c r="D117" s="109" t="s">
        <v>2121</v>
      </c>
      <c r="E117" s="109" t="s">
        <v>2600</v>
      </c>
      <c r="F117" s="109" t="s">
        <v>2601</v>
      </c>
      <c r="G117" s="117"/>
      <c r="H117" s="110">
        <v>2</v>
      </c>
      <c r="I117" s="109"/>
    </row>
    <row r="118" spans="1:9" ht="19" customHeight="1">
      <c r="A118" s="108" t="s">
        <v>1484</v>
      </c>
      <c r="B118" s="108" t="s">
        <v>2451</v>
      </c>
      <c r="C118" s="108" t="s">
        <v>2028</v>
      </c>
      <c r="D118" s="109" t="s">
        <v>2075</v>
      </c>
      <c r="E118" s="109" t="s">
        <v>2602</v>
      </c>
      <c r="F118" s="109" t="s">
        <v>2603</v>
      </c>
      <c r="G118" s="117">
        <v>5</v>
      </c>
      <c r="H118" s="110"/>
      <c r="I118" s="109" t="s">
        <v>2604</v>
      </c>
    </row>
    <row r="119" spans="1:9" ht="19" customHeight="1">
      <c r="A119" s="108" t="s">
        <v>2605</v>
      </c>
      <c r="B119" s="108" t="s">
        <v>2455</v>
      </c>
      <c r="C119" s="108" t="s">
        <v>2028</v>
      </c>
      <c r="D119" s="109" t="s">
        <v>2075</v>
      </c>
      <c r="E119" s="109" t="s">
        <v>2606</v>
      </c>
      <c r="F119" s="109" t="s">
        <v>2607</v>
      </c>
      <c r="G119" s="117"/>
      <c r="H119" s="110">
        <v>8</v>
      </c>
      <c r="I119" s="109"/>
    </row>
    <row r="120" spans="1:9" ht="19" customHeight="1">
      <c r="A120" s="108" t="s">
        <v>2608</v>
      </c>
      <c r="B120" s="108" t="s">
        <v>2455</v>
      </c>
      <c r="C120" s="108" t="s">
        <v>2028</v>
      </c>
      <c r="D120" s="109" t="s">
        <v>2075</v>
      </c>
      <c r="E120" s="109" t="s">
        <v>2609</v>
      </c>
      <c r="F120" s="109" t="s">
        <v>2610</v>
      </c>
      <c r="G120" s="117"/>
      <c r="H120" s="110">
        <v>4</v>
      </c>
      <c r="I120" s="109"/>
    </row>
    <row r="121" spans="1:9" ht="19" customHeight="1">
      <c r="A121" s="108" t="s">
        <v>1485</v>
      </c>
      <c r="B121" s="108" t="s">
        <v>2451</v>
      </c>
      <c r="C121" s="108" t="s">
        <v>2028</v>
      </c>
      <c r="D121" s="109" t="s">
        <v>2077</v>
      </c>
      <c r="E121" s="109" t="s">
        <v>2611</v>
      </c>
      <c r="F121" s="109" t="s">
        <v>2612</v>
      </c>
      <c r="G121" s="117">
        <v>4</v>
      </c>
      <c r="H121" s="110"/>
      <c r="I121" s="109"/>
    </row>
    <row r="122" spans="1:9" ht="19" customHeight="1">
      <c r="A122" s="108" t="s">
        <v>2613</v>
      </c>
      <c r="B122" s="108" t="s">
        <v>2455</v>
      </c>
      <c r="C122" s="108" t="s">
        <v>2028</v>
      </c>
      <c r="D122" s="109" t="s">
        <v>2077</v>
      </c>
      <c r="E122" s="109" t="s">
        <v>2614</v>
      </c>
      <c r="F122" s="109" t="s">
        <v>3269</v>
      </c>
      <c r="G122" s="117"/>
      <c r="H122" s="110">
        <v>8</v>
      </c>
      <c r="I122" s="109"/>
    </row>
    <row r="123" spans="1:9" ht="19" customHeight="1">
      <c r="A123" s="108" t="s">
        <v>2615</v>
      </c>
      <c r="B123" s="108" t="s">
        <v>2455</v>
      </c>
      <c r="C123" s="108" t="s">
        <v>2028</v>
      </c>
      <c r="D123" s="109" t="s">
        <v>2077</v>
      </c>
      <c r="E123" s="109" t="s">
        <v>2616</v>
      </c>
      <c r="F123" s="109" t="s">
        <v>2617</v>
      </c>
      <c r="G123" s="117"/>
      <c r="H123" s="110">
        <v>3</v>
      </c>
      <c r="I123" s="109"/>
    </row>
    <row r="124" spans="1:9" ht="19" customHeight="1">
      <c r="A124" s="108" t="s">
        <v>2618</v>
      </c>
      <c r="B124" s="108" t="s">
        <v>2619</v>
      </c>
      <c r="C124" s="108" t="s">
        <v>2028</v>
      </c>
      <c r="D124" s="109" t="s">
        <v>2077</v>
      </c>
      <c r="E124" s="109" t="s">
        <v>3270</v>
      </c>
      <c r="F124" s="109" t="s">
        <v>3271</v>
      </c>
      <c r="G124" s="117"/>
      <c r="H124" s="110">
        <v>4</v>
      </c>
      <c r="I124" s="109" t="s">
        <v>2620</v>
      </c>
    </row>
    <row r="125" spans="1:9" ht="19" customHeight="1">
      <c r="A125" s="108" t="s">
        <v>1674</v>
      </c>
      <c r="B125" s="108" t="s">
        <v>1666</v>
      </c>
      <c r="C125" s="108" t="s">
        <v>2028</v>
      </c>
      <c r="D125" s="109" t="s">
        <v>2097</v>
      </c>
      <c r="E125" s="109" t="s">
        <v>2621</v>
      </c>
      <c r="F125" s="109" t="s">
        <v>2622</v>
      </c>
      <c r="G125" s="117">
        <v>3</v>
      </c>
      <c r="H125" s="110"/>
      <c r="I125" s="109"/>
    </row>
    <row r="126" spans="1:9" ht="19" customHeight="1">
      <c r="A126" s="108" t="s">
        <v>2767</v>
      </c>
      <c r="B126" s="108" t="s">
        <v>3238</v>
      </c>
      <c r="C126" s="108" t="s">
        <v>2028</v>
      </c>
      <c r="D126" s="109" t="s">
        <v>2097</v>
      </c>
      <c r="E126" s="109" t="s">
        <v>2624</v>
      </c>
      <c r="F126" s="109" t="s">
        <v>2625</v>
      </c>
      <c r="G126" s="117"/>
      <c r="H126" s="110">
        <v>4</v>
      </c>
      <c r="I126" s="109"/>
    </row>
    <row r="127" spans="1:9" ht="19" customHeight="1">
      <c r="A127" s="108" t="s">
        <v>1486</v>
      </c>
      <c r="B127" s="108" t="s">
        <v>2451</v>
      </c>
      <c r="C127" s="108" t="s">
        <v>2028</v>
      </c>
      <c r="D127" s="109" t="s">
        <v>2167</v>
      </c>
      <c r="E127" s="109" t="s">
        <v>2626</v>
      </c>
      <c r="F127" s="109" t="s">
        <v>2627</v>
      </c>
      <c r="G127" s="117">
        <v>2</v>
      </c>
      <c r="H127" s="110"/>
      <c r="I127" s="109"/>
    </row>
    <row r="128" spans="1:9" ht="19" customHeight="1">
      <c r="A128" s="108" t="s">
        <v>2628</v>
      </c>
      <c r="B128" s="108" t="s">
        <v>2455</v>
      </c>
      <c r="C128" s="108" t="s">
        <v>2028</v>
      </c>
      <c r="D128" s="109" t="s">
        <v>2167</v>
      </c>
      <c r="E128" s="109" t="s">
        <v>2629</v>
      </c>
      <c r="F128" s="109" t="s">
        <v>2630</v>
      </c>
      <c r="G128" s="117"/>
      <c r="H128" s="110">
        <v>6</v>
      </c>
      <c r="I128" s="109"/>
    </row>
    <row r="129" spans="1:9" ht="19" customHeight="1">
      <c r="A129" s="108" t="s">
        <v>2631</v>
      </c>
      <c r="B129" s="108" t="s">
        <v>2455</v>
      </c>
      <c r="C129" s="108" t="s">
        <v>2028</v>
      </c>
      <c r="D129" s="109" t="s">
        <v>2167</v>
      </c>
      <c r="E129" s="109" t="s">
        <v>2632</v>
      </c>
      <c r="F129" s="109" t="s">
        <v>2633</v>
      </c>
      <c r="G129" s="117"/>
      <c r="H129" s="110">
        <v>4</v>
      </c>
      <c r="I129" s="109"/>
    </row>
    <row r="130" spans="1:9" ht="19" customHeight="1">
      <c r="A130" s="108" t="s">
        <v>1470</v>
      </c>
      <c r="B130" s="108" t="s">
        <v>1678</v>
      </c>
      <c r="C130" s="108" t="s">
        <v>2028</v>
      </c>
      <c r="D130" s="109" t="s">
        <v>3171</v>
      </c>
      <c r="E130" s="109" t="s">
        <v>2634</v>
      </c>
      <c r="F130" s="109" t="s">
        <v>2635</v>
      </c>
      <c r="G130" s="117">
        <v>3</v>
      </c>
      <c r="H130" s="110"/>
      <c r="I130" s="109"/>
    </row>
    <row r="131" spans="1:9" ht="19" customHeight="1">
      <c r="A131" s="108" t="s">
        <v>1471</v>
      </c>
      <c r="B131" s="108" t="s">
        <v>1678</v>
      </c>
      <c r="C131" s="108" t="s">
        <v>2028</v>
      </c>
      <c r="D131" s="109" t="s">
        <v>3171</v>
      </c>
      <c r="E131" s="109" t="s">
        <v>2636</v>
      </c>
      <c r="F131" s="109" t="s">
        <v>2637</v>
      </c>
      <c r="G131" s="117">
        <v>2</v>
      </c>
      <c r="H131" s="110"/>
      <c r="I131" s="109"/>
    </row>
    <row r="132" spans="1:9" ht="19" customHeight="1">
      <c r="A132" s="108" t="s">
        <v>1449</v>
      </c>
      <c r="B132" s="108" t="s">
        <v>1684</v>
      </c>
      <c r="C132" s="108" t="s">
        <v>2031</v>
      </c>
      <c r="D132" s="109" t="s">
        <v>2106</v>
      </c>
      <c r="E132" s="109" t="s">
        <v>2638</v>
      </c>
      <c r="F132" s="109" t="s">
        <v>2639</v>
      </c>
      <c r="G132" s="117">
        <v>3</v>
      </c>
      <c r="H132" s="110"/>
      <c r="I132" s="109"/>
    </row>
    <row r="133" spans="1:9" ht="19" customHeight="1">
      <c r="A133" s="108" t="s">
        <v>2640</v>
      </c>
      <c r="B133" s="108" t="s">
        <v>2455</v>
      </c>
      <c r="C133" s="108" t="s">
        <v>2031</v>
      </c>
      <c r="D133" s="109" t="s">
        <v>2106</v>
      </c>
      <c r="E133" s="109" t="s">
        <v>2641</v>
      </c>
      <c r="F133" s="109" t="s">
        <v>2642</v>
      </c>
      <c r="G133" s="117"/>
      <c r="H133" s="110">
        <v>3</v>
      </c>
      <c r="I133" s="109"/>
    </row>
    <row r="134" spans="1:9" ht="19" customHeight="1">
      <c r="A134" s="108" t="s">
        <v>1472</v>
      </c>
      <c r="B134" s="108" t="s">
        <v>1678</v>
      </c>
      <c r="C134" s="108" t="s">
        <v>2031</v>
      </c>
      <c r="D134" s="109" t="s">
        <v>2069</v>
      </c>
      <c r="E134" s="109" t="s">
        <v>2643</v>
      </c>
      <c r="F134" s="109" t="s">
        <v>2644</v>
      </c>
      <c r="G134" s="117">
        <v>2</v>
      </c>
      <c r="H134" s="110"/>
      <c r="I134" s="109"/>
    </row>
    <row r="135" spans="1:9" ht="19" customHeight="1">
      <c r="A135" s="108" t="s">
        <v>2645</v>
      </c>
      <c r="B135" s="108" t="s">
        <v>2455</v>
      </c>
      <c r="C135" s="108" t="s">
        <v>2031</v>
      </c>
      <c r="D135" s="109" t="s">
        <v>2069</v>
      </c>
      <c r="E135" s="109" t="s">
        <v>2646</v>
      </c>
      <c r="F135" s="109" t="s">
        <v>2647</v>
      </c>
      <c r="G135" s="117"/>
      <c r="H135" s="110">
        <v>1</v>
      </c>
      <c r="I135" s="109"/>
    </row>
    <row r="136" spans="1:9" ht="19" customHeight="1">
      <c r="A136" s="108" t="s">
        <v>1450</v>
      </c>
      <c r="B136" s="108" t="s">
        <v>1684</v>
      </c>
      <c r="C136" s="108" t="s">
        <v>2031</v>
      </c>
      <c r="D136" s="109" t="s">
        <v>2087</v>
      </c>
      <c r="E136" s="109" t="s">
        <v>2648</v>
      </c>
      <c r="F136" s="109" t="s">
        <v>2649</v>
      </c>
      <c r="G136" s="117">
        <v>2</v>
      </c>
      <c r="H136" s="110"/>
      <c r="I136" s="109"/>
    </row>
    <row r="137" spans="1:9" ht="19" customHeight="1">
      <c r="A137" s="108" t="s">
        <v>2798</v>
      </c>
      <c r="B137" s="108" t="s">
        <v>3238</v>
      </c>
      <c r="C137" s="108" t="s">
        <v>2031</v>
      </c>
      <c r="D137" s="109" t="s">
        <v>2087</v>
      </c>
      <c r="E137" s="109" t="s">
        <v>2651</v>
      </c>
      <c r="F137" s="109" t="s">
        <v>2652</v>
      </c>
      <c r="G137" s="117"/>
      <c r="H137" s="110">
        <v>2</v>
      </c>
      <c r="I137" s="109"/>
    </row>
    <row r="138" spans="1:9" ht="19" customHeight="1">
      <c r="A138" s="108" t="s">
        <v>2653</v>
      </c>
      <c r="B138" s="108" t="s">
        <v>1683</v>
      </c>
      <c r="C138" s="108" t="s">
        <v>2031</v>
      </c>
      <c r="D138" s="109" t="s">
        <v>2101</v>
      </c>
      <c r="E138" s="109" t="s">
        <v>2654</v>
      </c>
      <c r="F138" s="109" t="s">
        <v>2655</v>
      </c>
      <c r="G138" s="117">
        <v>2</v>
      </c>
      <c r="H138" s="110"/>
      <c r="I138" s="109"/>
    </row>
    <row r="139" spans="1:9" ht="19" customHeight="1">
      <c r="A139" s="108" t="s">
        <v>2656</v>
      </c>
      <c r="B139" s="108" t="s">
        <v>2571</v>
      </c>
      <c r="C139" s="108" t="s">
        <v>2031</v>
      </c>
      <c r="D139" s="109" t="s">
        <v>2101</v>
      </c>
      <c r="E139" s="109" t="s">
        <v>2657</v>
      </c>
      <c r="F139" s="109" t="s">
        <v>2658</v>
      </c>
      <c r="G139" s="117"/>
      <c r="H139" s="110">
        <v>2</v>
      </c>
      <c r="I139" s="109"/>
    </row>
    <row r="140" spans="1:9" ht="19" customHeight="1">
      <c r="A140" s="108" t="s">
        <v>1487</v>
      </c>
      <c r="B140" s="108" t="s">
        <v>2451</v>
      </c>
      <c r="C140" s="108" t="s">
        <v>2033</v>
      </c>
      <c r="D140" s="109" t="s">
        <v>2081</v>
      </c>
      <c r="E140" s="109" t="s">
        <v>2659</v>
      </c>
      <c r="F140" s="109" t="s">
        <v>2660</v>
      </c>
      <c r="G140" s="117">
        <v>4</v>
      </c>
      <c r="H140" s="110"/>
      <c r="I140" s="109" t="s">
        <v>2661</v>
      </c>
    </row>
    <row r="141" spans="1:9" ht="19" customHeight="1">
      <c r="A141" s="108" t="s">
        <v>1681</v>
      </c>
      <c r="B141" s="108" t="s">
        <v>2451</v>
      </c>
      <c r="C141" s="108" t="s">
        <v>2033</v>
      </c>
      <c r="D141" s="109" t="s">
        <v>2081</v>
      </c>
      <c r="E141" s="109" t="s">
        <v>2662</v>
      </c>
      <c r="F141" s="109" t="s">
        <v>2663</v>
      </c>
      <c r="G141" s="117">
        <v>3</v>
      </c>
      <c r="H141" s="110"/>
      <c r="I141" s="109"/>
    </row>
    <row r="142" spans="1:9" ht="19" customHeight="1">
      <c r="A142" s="108" t="s">
        <v>1682</v>
      </c>
      <c r="B142" s="108" t="s">
        <v>2451</v>
      </c>
      <c r="C142" s="108" t="s">
        <v>2033</v>
      </c>
      <c r="D142" s="109" t="s">
        <v>2081</v>
      </c>
      <c r="E142" s="109" t="s">
        <v>2664</v>
      </c>
      <c r="F142" s="109" t="s">
        <v>2665</v>
      </c>
      <c r="G142" s="117">
        <v>2</v>
      </c>
      <c r="H142" s="110"/>
      <c r="I142" s="109"/>
    </row>
    <row r="143" spans="1:9" ht="19" customHeight="1">
      <c r="A143" s="108" t="s">
        <v>2666</v>
      </c>
      <c r="B143" s="108" t="s">
        <v>2455</v>
      </c>
      <c r="C143" s="108" t="s">
        <v>2033</v>
      </c>
      <c r="D143" s="109" t="s">
        <v>2081</v>
      </c>
      <c r="E143" s="109" t="s">
        <v>2667</v>
      </c>
      <c r="F143" s="109" t="s">
        <v>2668</v>
      </c>
      <c r="G143" s="117"/>
      <c r="H143" s="110">
        <v>10</v>
      </c>
      <c r="I143" s="109"/>
    </row>
    <row r="144" spans="1:9" ht="19" customHeight="1">
      <c r="A144" s="108" t="s">
        <v>2669</v>
      </c>
      <c r="B144" s="108" t="s">
        <v>2455</v>
      </c>
      <c r="C144" s="108" t="s">
        <v>2033</v>
      </c>
      <c r="D144" s="109" t="s">
        <v>2081</v>
      </c>
      <c r="E144" s="109" t="s">
        <v>4518</v>
      </c>
      <c r="F144" s="109" t="s">
        <v>4519</v>
      </c>
      <c r="G144" s="117"/>
      <c r="H144" s="110">
        <v>4</v>
      </c>
      <c r="I144" s="109"/>
    </row>
    <row r="145" spans="1:9" ht="19" customHeight="1">
      <c r="A145" s="108" t="s">
        <v>2670</v>
      </c>
      <c r="B145" s="108" t="s">
        <v>2455</v>
      </c>
      <c r="C145" s="108" t="s">
        <v>2033</v>
      </c>
      <c r="D145" s="109" t="s">
        <v>2081</v>
      </c>
      <c r="E145" s="109" t="s">
        <v>4520</v>
      </c>
      <c r="F145" s="109" t="s">
        <v>4521</v>
      </c>
      <c r="G145" s="117"/>
      <c r="H145" s="110">
        <v>4</v>
      </c>
      <c r="I145" s="109"/>
    </row>
    <row r="146" spans="1:9" ht="19" customHeight="1">
      <c r="A146" s="108" t="s">
        <v>2769</v>
      </c>
      <c r="B146" s="108" t="s">
        <v>2408</v>
      </c>
      <c r="C146" s="108" t="s">
        <v>2033</v>
      </c>
      <c r="D146" s="109" t="s">
        <v>2081</v>
      </c>
      <c r="E146" s="109" t="s">
        <v>2672</v>
      </c>
      <c r="F146" s="109" t="s">
        <v>2673</v>
      </c>
      <c r="G146" s="117"/>
      <c r="H146" s="110">
        <v>4</v>
      </c>
      <c r="I146" s="109"/>
    </row>
    <row r="147" spans="1:9" ht="19" customHeight="1">
      <c r="A147" s="108" t="s">
        <v>2674</v>
      </c>
      <c r="B147" s="108" t="s">
        <v>2451</v>
      </c>
      <c r="C147" s="108" t="s">
        <v>2033</v>
      </c>
      <c r="D147" s="109" t="s">
        <v>2115</v>
      </c>
      <c r="E147" s="109" t="s">
        <v>2675</v>
      </c>
      <c r="F147" s="109" t="s">
        <v>2676</v>
      </c>
      <c r="G147" s="117">
        <v>2</v>
      </c>
      <c r="H147" s="110"/>
      <c r="I147" s="109"/>
    </row>
    <row r="148" spans="1:9" ht="19" customHeight="1">
      <c r="A148" s="108" t="s">
        <v>2677</v>
      </c>
      <c r="B148" s="108" t="s">
        <v>2455</v>
      </c>
      <c r="C148" s="108" t="s">
        <v>2033</v>
      </c>
      <c r="D148" s="109" t="s">
        <v>2115</v>
      </c>
      <c r="E148" s="109" t="s">
        <v>2678</v>
      </c>
      <c r="F148" s="109" t="s">
        <v>2679</v>
      </c>
      <c r="G148" s="117"/>
      <c r="H148" s="110">
        <v>4</v>
      </c>
      <c r="I148" s="109"/>
    </row>
    <row r="149" spans="1:9" ht="19" customHeight="1">
      <c r="A149" s="108" t="s">
        <v>1451</v>
      </c>
      <c r="B149" s="108" t="s">
        <v>1684</v>
      </c>
      <c r="C149" s="108" t="s">
        <v>2035</v>
      </c>
      <c r="D149" s="109" t="s">
        <v>2073</v>
      </c>
      <c r="E149" s="109" t="s">
        <v>2680</v>
      </c>
      <c r="F149" s="109" t="s">
        <v>2681</v>
      </c>
      <c r="G149" s="117">
        <v>3</v>
      </c>
      <c r="H149" s="110"/>
      <c r="I149" s="109"/>
    </row>
    <row r="150" spans="1:9" ht="19" customHeight="1">
      <c r="A150" s="108" t="s">
        <v>2682</v>
      </c>
      <c r="B150" s="108" t="s">
        <v>2455</v>
      </c>
      <c r="C150" s="108" t="s">
        <v>2035</v>
      </c>
      <c r="D150" s="109" t="s">
        <v>2073</v>
      </c>
      <c r="E150" s="109" t="s">
        <v>2683</v>
      </c>
      <c r="F150" s="109" t="s">
        <v>2684</v>
      </c>
      <c r="G150" s="117"/>
      <c r="H150" s="110">
        <v>4</v>
      </c>
      <c r="I150" s="109"/>
    </row>
    <row r="151" spans="1:9" ht="19" customHeight="1">
      <c r="A151" s="108" t="s">
        <v>2801</v>
      </c>
      <c r="B151" s="108" t="s">
        <v>2408</v>
      </c>
      <c r="C151" s="108" t="s">
        <v>2035</v>
      </c>
      <c r="D151" s="109" t="s">
        <v>2073</v>
      </c>
      <c r="E151" s="109" t="s">
        <v>2686</v>
      </c>
      <c r="F151" s="109" t="s">
        <v>2687</v>
      </c>
      <c r="G151" s="117"/>
      <c r="H151" s="110">
        <v>2</v>
      </c>
      <c r="I151" s="109"/>
    </row>
    <row r="152" spans="1:9" ht="19" customHeight="1">
      <c r="A152" s="108" t="s">
        <v>1452</v>
      </c>
      <c r="B152" s="108" t="s">
        <v>1684</v>
      </c>
      <c r="C152" s="108" t="s">
        <v>2035</v>
      </c>
      <c r="D152" s="109" t="s">
        <v>2104</v>
      </c>
      <c r="E152" s="109" t="s">
        <v>2688</v>
      </c>
      <c r="F152" s="109" t="s">
        <v>2689</v>
      </c>
      <c r="G152" s="117">
        <v>3</v>
      </c>
      <c r="H152" s="110"/>
      <c r="I152" s="109"/>
    </row>
    <row r="153" spans="1:9" ht="19" customHeight="1">
      <c r="A153" s="108" t="s">
        <v>2690</v>
      </c>
      <c r="B153" s="108" t="s">
        <v>2455</v>
      </c>
      <c r="C153" s="108" t="s">
        <v>2035</v>
      </c>
      <c r="D153" s="109" t="s">
        <v>2104</v>
      </c>
      <c r="E153" s="109" t="s">
        <v>2691</v>
      </c>
      <c r="F153" s="109" t="s">
        <v>2692</v>
      </c>
      <c r="G153" s="117"/>
      <c r="H153" s="110">
        <v>4</v>
      </c>
      <c r="I153" s="109"/>
    </row>
    <row r="154" spans="1:9" ht="19" customHeight="1">
      <c r="A154" s="108" t="s">
        <v>1453</v>
      </c>
      <c r="B154" s="108" t="s">
        <v>1684</v>
      </c>
      <c r="C154" s="108" t="s">
        <v>2035</v>
      </c>
      <c r="D154" s="109" t="s">
        <v>2127</v>
      </c>
      <c r="E154" s="109" t="s">
        <v>2693</v>
      </c>
      <c r="F154" s="109" t="s">
        <v>2694</v>
      </c>
      <c r="G154" s="117">
        <v>2</v>
      </c>
      <c r="H154" s="110"/>
      <c r="I154" s="109"/>
    </row>
    <row r="155" spans="1:9" ht="19" customHeight="1">
      <c r="A155" s="108" t="s">
        <v>2695</v>
      </c>
      <c r="B155" s="108" t="s">
        <v>2571</v>
      </c>
      <c r="C155" s="108" t="s">
        <v>2035</v>
      </c>
      <c r="D155" s="109" t="s">
        <v>2127</v>
      </c>
      <c r="E155" s="109" t="s">
        <v>2696</v>
      </c>
      <c r="F155" s="109" t="s">
        <v>2697</v>
      </c>
      <c r="G155" s="117"/>
      <c r="H155" s="110">
        <v>3</v>
      </c>
      <c r="I155" s="109"/>
    </row>
    <row r="156" spans="1:9" ht="19" customHeight="1">
      <c r="A156" s="108" t="s">
        <v>2698</v>
      </c>
      <c r="B156" s="108" t="s">
        <v>2451</v>
      </c>
      <c r="C156" s="108" t="s">
        <v>2037</v>
      </c>
      <c r="D156" s="109" t="s">
        <v>2165</v>
      </c>
      <c r="E156" s="109" t="s">
        <v>2699</v>
      </c>
      <c r="F156" s="109" t="s">
        <v>2700</v>
      </c>
      <c r="G156" s="117">
        <v>3</v>
      </c>
      <c r="H156" s="110"/>
      <c r="I156" s="109"/>
    </row>
    <row r="157" spans="1:9" ht="19" customHeight="1">
      <c r="A157" s="108" t="s">
        <v>2701</v>
      </c>
      <c r="B157" s="108" t="s">
        <v>2571</v>
      </c>
      <c r="C157" s="108" t="s">
        <v>2037</v>
      </c>
      <c r="D157" s="109" t="s">
        <v>2165</v>
      </c>
      <c r="E157" s="109" t="s">
        <v>2702</v>
      </c>
      <c r="F157" s="109" t="s">
        <v>2703</v>
      </c>
      <c r="G157" s="117"/>
      <c r="H157" s="110">
        <v>8</v>
      </c>
      <c r="I157" s="109" t="s">
        <v>2704</v>
      </c>
    </row>
    <row r="158" spans="1:9" ht="19" customHeight="1">
      <c r="A158" s="108" t="s">
        <v>2705</v>
      </c>
      <c r="B158" s="108" t="s">
        <v>2571</v>
      </c>
      <c r="C158" s="108" t="s">
        <v>2037</v>
      </c>
      <c r="D158" s="109" t="s">
        <v>2117</v>
      </c>
      <c r="E158" s="109" t="s">
        <v>2706</v>
      </c>
      <c r="F158" s="109" t="s">
        <v>2707</v>
      </c>
      <c r="G158" s="117"/>
      <c r="H158" s="110">
        <v>1</v>
      </c>
      <c r="I158" s="109"/>
    </row>
    <row r="159" spans="1:9" ht="19" customHeight="1">
      <c r="A159" s="108" t="s">
        <v>2708</v>
      </c>
      <c r="B159" s="108" t="s">
        <v>2571</v>
      </c>
      <c r="C159" s="108" t="s">
        <v>2037</v>
      </c>
      <c r="D159" s="109" t="s">
        <v>2110</v>
      </c>
      <c r="E159" s="109" t="s">
        <v>2709</v>
      </c>
      <c r="F159" s="109" t="s">
        <v>2710</v>
      </c>
      <c r="G159" s="117"/>
      <c r="H159" s="110">
        <v>1</v>
      </c>
      <c r="I159" s="109"/>
    </row>
    <row r="160" spans="1:9" ht="19" customHeight="1">
      <c r="A160" s="108" t="s">
        <v>2711</v>
      </c>
      <c r="B160" s="108" t="s">
        <v>2451</v>
      </c>
      <c r="C160" s="108" t="s">
        <v>2037</v>
      </c>
      <c r="D160" s="109" t="s">
        <v>2112</v>
      </c>
      <c r="E160" s="109" t="s">
        <v>2712</v>
      </c>
      <c r="F160" s="109" t="s">
        <v>2713</v>
      </c>
      <c r="G160" s="117">
        <v>1.5</v>
      </c>
      <c r="H160" s="110"/>
      <c r="I160" s="109"/>
    </row>
    <row r="161" spans="1:9" ht="19" customHeight="1">
      <c r="A161" s="108" t="s">
        <v>2714</v>
      </c>
      <c r="B161" s="108" t="s">
        <v>2455</v>
      </c>
      <c r="C161" s="108" t="s">
        <v>2037</v>
      </c>
      <c r="D161" s="109" t="s">
        <v>2112</v>
      </c>
      <c r="E161" s="109" t="s">
        <v>2715</v>
      </c>
      <c r="F161" s="109" t="s">
        <v>2716</v>
      </c>
      <c r="G161" s="117"/>
      <c r="H161" s="110">
        <v>2</v>
      </c>
      <c r="I161" s="109"/>
    </row>
    <row r="162" spans="1:9" ht="19" customHeight="1">
      <c r="A162" s="108" t="s">
        <v>2717</v>
      </c>
      <c r="B162" s="108" t="s">
        <v>2451</v>
      </c>
      <c r="C162" s="108" t="s">
        <v>2037</v>
      </c>
      <c r="D162" s="109" t="s">
        <v>3172</v>
      </c>
      <c r="E162" s="109" t="s">
        <v>3272</v>
      </c>
      <c r="F162" s="109" t="s">
        <v>2718</v>
      </c>
      <c r="G162" s="117">
        <v>3</v>
      </c>
      <c r="H162" s="110"/>
      <c r="I162" s="109"/>
    </row>
    <row r="163" spans="1:9" ht="19" customHeight="1">
      <c r="A163" s="108" t="s">
        <v>1489</v>
      </c>
      <c r="B163" s="108" t="s">
        <v>2397</v>
      </c>
      <c r="C163" s="108" t="s">
        <v>2037</v>
      </c>
      <c r="D163" s="109" t="s">
        <v>3172</v>
      </c>
      <c r="E163" s="109" t="s">
        <v>2719</v>
      </c>
      <c r="F163" s="109" t="s">
        <v>2720</v>
      </c>
      <c r="G163" s="117">
        <v>3</v>
      </c>
      <c r="H163" s="110"/>
      <c r="I163" s="109"/>
    </row>
    <row r="164" spans="1:9" ht="19" customHeight="1">
      <c r="A164" s="108" t="s">
        <v>2721</v>
      </c>
      <c r="B164" s="108" t="s">
        <v>2455</v>
      </c>
      <c r="C164" s="108" t="s">
        <v>2037</v>
      </c>
      <c r="D164" s="109" t="s">
        <v>3172</v>
      </c>
      <c r="E164" s="109" t="s">
        <v>3273</v>
      </c>
      <c r="F164" s="109" t="s">
        <v>2722</v>
      </c>
      <c r="G164" s="117"/>
      <c r="H164" s="110">
        <v>3</v>
      </c>
      <c r="I164" s="109"/>
    </row>
    <row r="165" spans="1:9" ht="19" customHeight="1">
      <c r="A165" s="108" t="s">
        <v>2793</v>
      </c>
      <c r="B165" s="108" t="s">
        <v>2404</v>
      </c>
      <c r="C165" s="108" t="s">
        <v>2037</v>
      </c>
      <c r="D165" s="109" t="s">
        <v>3172</v>
      </c>
      <c r="E165" s="109" t="s">
        <v>2724</v>
      </c>
      <c r="F165" s="109" t="s">
        <v>2725</v>
      </c>
      <c r="G165" s="117"/>
      <c r="H165" s="110">
        <v>4</v>
      </c>
      <c r="I165" s="109"/>
    </row>
    <row r="166" spans="1:9" ht="19" customHeight="1">
      <c r="A166" s="108" t="s">
        <v>4522</v>
      </c>
      <c r="B166" s="108" t="s">
        <v>2455</v>
      </c>
      <c r="C166" s="108" t="s">
        <v>2037</v>
      </c>
      <c r="D166" s="109" t="s">
        <v>3172</v>
      </c>
      <c r="E166" s="109" t="s">
        <v>4523</v>
      </c>
      <c r="F166" s="109" t="s">
        <v>4524</v>
      </c>
      <c r="G166" s="117"/>
      <c r="H166" s="110">
        <v>2</v>
      </c>
      <c r="I166" s="109"/>
    </row>
    <row r="167" spans="1:9" ht="19" customHeight="1">
      <c r="A167" s="108" t="s">
        <v>1676</v>
      </c>
      <c r="B167" s="108" t="s">
        <v>1666</v>
      </c>
      <c r="C167" s="108" t="s">
        <v>2037</v>
      </c>
      <c r="D167" s="109" t="s">
        <v>3747</v>
      </c>
      <c r="E167" s="109" t="s">
        <v>4525</v>
      </c>
      <c r="F167" s="109" t="s">
        <v>4526</v>
      </c>
      <c r="G167" s="117">
        <v>1.5</v>
      </c>
      <c r="H167" s="110"/>
      <c r="I167" s="109"/>
    </row>
    <row r="168" spans="1:9" ht="19" customHeight="1">
      <c r="A168" s="108" t="s">
        <v>4527</v>
      </c>
      <c r="B168" s="108" t="s">
        <v>3238</v>
      </c>
      <c r="C168" s="108" t="s">
        <v>2037</v>
      </c>
      <c r="D168" s="109" t="s">
        <v>3747</v>
      </c>
      <c r="E168" s="109" t="s">
        <v>4528</v>
      </c>
      <c r="F168" s="109" t="s">
        <v>4529</v>
      </c>
      <c r="G168" s="117"/>
      <c r="H168" s="110">
        <v>2</v>
      </c>
      <c r="I168" s="109"/>
    </row>
    <row r="169" spans="1:9" ht="19" customHeight="1">
      <c r="A169" s="108" t="s">
        <v>1496</v>
      </c>
      <c r="B169" s="108" t="s">
        <v>1497</v>
      </c>
      <c r="C169" s="108" t="s">
        <v>2038</v>
      </c>
      <c r="D169" s="109" t="s">
        <v>2091</v>
      </c>
      <c r="E169" s="109" t="s">
        <v>2726</v>
      </c>
      <c r="F169" s="109" t="s">
        <v>2727</v>
      </c>
      <c r="G169" s="117">
        <v>2</v>
      </c>
      <c r="H169" s="110"/>
      <c r="I169" s="109"/>
    </row>
    <row r="170" spans="1:9" ht="19" customHeight="1">
      <c r="A170" s="108" t="s">
        <v>2728</v>
      </c>
      <c r="B170" s="108" t="s">
        <v>2458</v>
      </c>
      <c r="C170" s="108" t="s">
        <v>2038</v>
      </c>
      <c r="D170" s="109" t="s">
        <v>2091</v>
      </c>
      <c r="E170" s="109" t="s">
        <v>2729</v>
      </c>
      <c r="F170" s="109" t="s">
        <v>2730</v>
      </c>
      <c r="G170" s="117"/>
      <c r="H170" s="110">
        <v>2</v>
      </c>
      <c r="I170" s="109"/>
    </row>
    <row r="171" spans="1:9" ht="19" customHeight="1">
      <c r="A171" s="108" t="s">
        <v>1454</v>
      </c>
      <c r="B171" s="108" t="s">
        <v>1684</v>
      </c>
      <c r="C171" s="108" t="s">
        <v>2040</v>
      </c>
      <c r="D171" s="109" t="s">
        <v>2123</v>
      </c>
      <c r="E171" s="109" t="s">
        <v>2731</v>
      </c>
      <c r="F171" s="109" t="s">
        <v>2732</v>
      </c>
      <c r="G171" s="117">
        <v>3</v>
      </c>
      <c r="H171" s="110"/>
      <c r="I171" s="109"/>
    </row>
    <row r="172" spans="1:9" ht="19" customHeight="1">
      <c r="A172" s="108" t="s">
        <v>3650</v>
      </c>
      <c r="B172" s="108" t="s">
        <v>3238</v>
      </c>
      <c r="C172" s="108" t="s">
        <v>2040</v>
      </c>
      <c r="D172" s="109" t="s">
        <v>2123</v>
      </c>
      <c r="E172" s="109" t="s">
        <v>2734</v>
      </c>
      <c r="F172" s="109" t="s">
        <v>2735</v>
      </c>
      <c r="G172" s="117"/>
      <c r="H172" s="110">
        <v>2</v>
      </c>
      <c r="I172" s="109"/>
    </row>
    <row r="173" spans="1:9" ht="19" customHeight="1">
      <c r="A173" s="108" t="s">
        <v>2736</v>
      </c>
      <c r="B173" s="108" t="s">
        <v>2418</v>
      </c>
      <c r="C173" s="108" t="s">
        <v>2040</v>
      </c>
      <c r="D173" s="109" t="s">
        <v>2132</v>
      </c>
      <c r="E173" s="109" t="s">
        <v>2737</v>
      </c>
      <c r="F173" s="109" t="s">
        <v>2738</v>
      </c>
      <c r="G173" s="117">
        <v>2</v>
      </c>
      <c r="H173" s="110"/>
      <c r="I173" s="109"/>
    </row>
    <row r="174" spans="1:9" ht="19" customHeight="1">
      <c r="A174" s="108" t="s">
        <v>2739</v>
      </c>
      <c r="B174" s="108" t="s">
        <v>2451</v>
      </c>
      <c r="C174" s="108" t="s">
        <v>2040</v>
      </c>
      <c r="D174" s="109" t="s">
        <v>2130</v>
      </c>
      <c r="E174" s="109" t="s">
        <v>2740</v>
      </c>
      <c r="F174" s="109" t="s">
        <v>2741</v>
      </c>
      <c r="G174" s="117">
        <v>2</v>
      </c>
      <c r="H174" s="110"/>
      <c r="I174" s="109"/>
    </row>
    <row r="175" spans="1:9" ht="19" customHeight="1">
      <c r="A175" s="108" t="s">
        <v>2742</v>
      </c>
      <c r="B175" s="108" t="s">
        <v>2455</v>
      </c>
      <c r="C175" s="108" t="s">
        <v>2040</v>
      </c>
      <c r="D175" s="109" t="s">
        <v>2130</v>
      </c>
      <c r="E175" s="109" t="s">
        <v>2743</v>
      </c>
      <c r="F175" s="109" t="s">
        <v>2744</v>
      </c>
      <c r="G175" s="117"/>
      <c r="H175" s="110">
        <v>4</v>
      </c>
      <c r="I175" s="109" t="s">
        <v>2620</v>
      </c>
    </row>
    <row r="176" spans="1:9" ht="19" customHeight="1">
      <c r="A176" s="108" t="s">
        <v>1498</v>
      </c>
      <c r="B176" s="108" t="s">
        <v>1497</v>
      </c>
      <c r="C176" s="108" t="s">
        <v>2042</v>
      </c>
      <c r="D176" s="109" t="s">
        <v>2119</v>
      </c>
      <c r="E176" s="109" t="s">
        <v>2745</v>
      </c>
      <c r="F176" s="109" t="s">
        <v>2746</v>
      </c>
      <c r="G176" s="117">
        <v>1.5</v>
      </c>
      <c r="H176" s="110"/>
      <c r="I176" s="109"/>
    </row>
    <row r="177" spans="1:9" ht="19" customHeight="1">
      <c r="A177" s="108" t="s">
        <v>1499</v>
      </c>
      <c r="B177" s="108" t="s">
        <v>1497</v>
      </c>
      <c r="C177" s="108" t="s">
        <v>2042</v>
      </c>
      <c r="D177" s="109" t="s">
        <v>2134</v>
      </c>
      <c r="E177" s="109" t="s">
        <v>2747</v>
      </c>
      <c r="F177" s="109" t="s">
        <v>2748</v>
      </c>
      <c r="G177" s="117">
        <v>3</v>
      </c>
      <c r="H177" s="110"/>
      <c r="I177" s="109"/>
    </row>
    <row r="178" spans="1:9" ht="19" customHeight="1">
      <c r="A178" s="108" t="s">
        <v>2749</v>
      </c>
      <c r="B178" s="108" t="s">
        <v>2458</v>
      </c>
      <c r="C178" s="108" t="s">
        <v>2042</v>
      </c>
      <c r="D178" s="109" t="s">
        <v>2134</v>
      </c>
      <c r="E178" s="109" t="s">
        <v>2750</v>
      </c>
      <c r="F178" s="109" t="s">
        <v>2751</v>
      </c>
      <c r="G178" s="117"/>
      <c r="H178" s="110">
        <v>2</v>
      </c>
      <c r="I178" s="109"/>
    </row>
    <row r="179" spans="1:9" ht="19" customHeight="1">
      <c r="A179" s="108" t="s">
        <v>1500</v>
      </c>
      <c r="B179" s="108" t="s">
        <v>1497</v>
      </c>
      <c r="C179" s="108" t="s">
        <v>2042</v>
      </c>
      <c r="D179" s="109" t="s">
        <v>2169</v>
      </c>
      <c r="E179" s="109" t="s">
        <v>2752</v>
      </c>
      <c r="F179" s="109" t="s">
        <v>2753</v>
      </c>
      <c r="G179" s="117">
        <v>9</v>
      </c>
      <c r="H179" s="110"/>
      <c r="I179" s="109" t="s">
        <v>2754</v>
      </c>
    </row>
    <row r="180" spans="1:9" ht="19" customHeight="1">
      <c r="A180" s="108" t="s">
        <v>2755</v>
      </c>
      <c r="B180" s="108" t="s">
        <v>2458</v>
      </c>
      <c r="C180" s="108" t="s">
        <v>2042</v>
      </c>
      <c r="D180" s="109" t="s">
        <v>2169</v>
      </c>
      <c r="E180" s="109" t="s">
        <v>2756</v>
      </c>
      <c r="F180" s="109" t="s">
        <v>2757</v>
      </c>
      <c r="G180" s="117"/>
      <c r="H180" s="110">
        <v>6</v>
      </c>
      <c r="I180" s="109" t="s">
        <v>2758</v>
      </c>
    </row>
    <row r="181" spans="1:9" ht="19" customHeight="1">
      <c r="A181" s="108" t="s">
        <v>1501</v>
      </c>
      <c r="B181" s="108" t="s">
        <v>1497</v>
      </c>
      <c r="C181" s="108" t="s">
        <v>2043</v>
      </c>
      <c r="D181" s="109" t="s">
        <v>2177</v>
      </c>
      <c r="E181" s="109" t="s">
        <v>2759</v>
      </c>
      <c r="F181" s="109" t="s">
        <v>2760</v>
      </c>
      <c r="G181" s="117">
        <v>2</v>
      </c>
      <c r="H181" s="110"/>
      <c r="I181" s="109"/>
    </row>
    <row r="182" spans="1:9" ht="19" customHeight="1">
      <c r="A182" s="108" t="s">
        <v>2761</v>
      </c>
      <c r="B182" s="108" t="s">
        <v>2458</v>
      </c>
      <c r="C182" s="108" t="s">
        <v>2043</v>
      </c>
      <c r="D182" s="109" t="s">
        <v>2177</v>
      </c>
      <c r="E182" s="109" t="s">
        <v>2762</v>
      </c>
      <c r="F182" s="109" t="s">
        <v>2763</v>
      </c>
      <c r="G182" s="117"/>
      <c r="H182" s="110">
        <v>4</v>
      </c>
      <c r="I182" s="109"/>
    </row>
    <row r="183" spans="1:9" ht="19" customHeight="1"/>
    <row r="184" spans="1:9" ht="19" customHeight="1"/>
    <row r="185" spans="1:9" ht="19" customHeight="1"/>
    <row r="186" spans="1:9" ht="19" customHeight="1"/>
    <row r="187" spans="1:9" ht="19" customHeight="1"/>
    <row r="188" spans="1:9" ht="19" customHeight="1"/>
    <row r="189" spans="1:9" ht="19" customHeight="1"/>
    <row r="190" spans="1:9" ht="19" customHeight="1"/>
    <row r="191" spans="1:9" ht="19" customHeight="1"/>
    <row r="192" spans="1:9" ht="19" customHeight="1"/>
    <row r="193" ht="19" customHeight="1"/>
    <row r="194" ht="19" customHeight="1"/>
    <row r="195" ht="19" customHeight="1"/>
    <row r="196" ht="19" customHeight="1"/>
    <row r="197" ht="19" customHeight="1"/>
    <row r="198" ht="19" customHeight="1"/>
    <row r="199" ht="19" customHeight="1"/>
    <row r="200" ht="19" customHeight="1"/>
    <row r="201" ht="26" customHeight="1"/>
    <row r="202" ht="26" customHeight="1"/>
    <row r="203" ht="26" customHeight="1"/>
    <row r="204" ht="26" customHeight="1"/>
    <row r="205" ht="26" customHeight="1"/>
    <row r="206" ht="26" customHeight="1"/>
    <row r="207" ht="26" customHeight="1"/>
    <row r="208" ht="26" customHeight="1"/>
    <row r="209" ht="26" customHeight="1"/>
    <row r="210" ht="26" customHeight="1"/>
    <row r="211" ht="26" customHeight="1"/>
    <row r="212" ht="26" customHeight="1"/>
    <row r="213" ht="26" customHeight="1"/>
    <row r="214" ht="26" customHeight="1"/>
    <row r="215" ht="26" customHeight="1"/>
    <row r="216" ht="26" customHeight="1"/>
  </sheetData>
  <autoFilter ref="A1:I182" xr:uid="{299E7693-5B40-0444-B227-D6033B94776C}"/>
  <phoneticPr fontId="2"/>
  <conditionalFormatting sqref="A2:I182">
    <cfRule type="expression" dxfId="4" priority="1">
      <formula>LEFT($B2,3)="DDK"</formula>
    </cfRule>
    <cfRule type="expression" dxfId="3" priority="2">
      <formula>LEFT($B2,3)="DDB"</formula>
    </cfRule>
  </conditionalFormatting>
  <conditionalFormatting sqref="D2:D182">
    <cfRule type="expression" dxfId="2" priority="222">
      <formula>AND($D2&lt;&gt;"横断",$D2&lt;&gt;"")</formula>
    </cfRule>
  </conditionalFormatting>
  <conditionalFormatting sqref="D2:E182">
    <cfRule type="expression" dxfId="1" priority="223">
      <formula>$D2="横断"</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5"/>
  <sheetViews>
    <sheetView zoomScale="75" workbookViewId="0">
      <pane ySplit="1" topLeftCell="A2" activePane="bottomLeft" state="frozen"/>
      <selection activeCell="H37" sqref="H37"/>
      <selection pane="bottomLeft" activeCell="G10" sqref="G10"/>
    </sheetView>
  </sheetViews>
  <sheetFormatPr baseColWidth="10" defaultRowHeight="18"/>
  <cols>
    <col min="1" max="1" width="18.5703125" style="119" customWidth="1"/>
    <col min="2" max="2" width="15.7109375" style="119" customWidth="1"/>
    <col min="3" max="3" width="25.28515625" style="119" customWidth="1"/>
    <col min="4" max="4" width="33.5703125" style="119" customWidth="1"/>
    <col min="5" max="5" width="46.140625" style="119" customWidth="1"/>
    <col min="6" max="6" width="61.42578125" style="119" customWidth="1"/>
    <col min="7" max="7" width="21.42578125" style="119" customWidth="1"/>
    <col min="8" max="8" width="60" style="119" customWidth="1"/>
    <col min="9" max="9" width="65.28515625" style="119" customWidth="1"/>
    <col min="10" max="14" width="15.7109375" style="119" customWidth="1"/>
    <col min="15" max="16384" width="10.7109375" style="119"/>
  </cols>
  <sheetData>
    <row r="1" spans="1:14" ht="24" customHeight="1">
      <c r="A1" s="120" t="s">
        <v>948</v>
      </c>
      <c r="B1" s="120" t="s">
        <v>1361</v>
      </c>
      <c r="C1" s="120" t="s">
        <v>1647</v>
      </c>
      <c r="D1" s="120" t="s">
        <v>1600</v>
      </c>
      <c r="E1" s="120" t="s">
        <v>3235</v>
      </c>
      <c r="F1" s="120" t="s">
        <v>3236</v>
      </c>
      <c r="G1" s="120" t="s">
        <v>1363</v>
      </c>
      <c r="H1" s="120" t="s">
        <v>3237</v>
      </c>
      <c r="I1" s="120" t="s">
        <v>1358</v>
      </c>
      <c r="J1" s="121"/>
      <c r="K1" s="121"/>
      <c r="L1" s="121"/>
      <c r="M1" s="121"/>
      <c r="N1" s="121"/>
    </row>
    <row r="2" spans="1:14" ht="19">
      <c r="A2" s="108" t="s">
        <v>4186</v>
      </c>
      <c r="B2" s="108" t="s">
        <v>3037</v>
      </c>
      <c r="C2" s="108" t="s">
        <v>2048</v>
      </c>
      <c r="D2" s="108" t="s">
        <v>3771</v>
      </c>
      <c r="E2" s="108" t="s">
        <v>4187</v>
      </c>
      <c r="F2" s="108" t="s">
        <v>4188</v>
      </c>
      <c r="G2" s="144">
        <v>4</v>
      </c>
      <c r="H2" s="109" t="s">
        <v>4189</v>
      </c>
      <c r="I2" s="122" t="s">
        <v>4190</v>
      </c>
      <c r="J2" s="118"/>
      <c r="K2" s="118"/>
      <c r="L2" s="118"/>
      <c r="M2" s="118"/>
      <c r="N2" s="118"/>
    </row>
    <row r="3" spans="1:14" ht="19">
      <c r="A3" s="108" t="s">
        <v>4186</v>
      </c>
      <c r="B3" s="108" t="s">
        <v>3038</v>
      </c>
      <c r="C3" s="108" t="s">
        <v>2048</v>
      </c>
      <c r="D3" s="108" t="s">
        <v>3793</v>
      </c>
      <c r="E3" s="108" t="s">
        <v>4191</v>
      </c>
      <c r="F3" s="108" t="s">
        <v>4192</v>
      </c>
      <c r="G3" s="144">
        <v>4</v>
      </c>
      <c r="H3" s="109" t="s">
        <v>4193</v>
      </c>
      <c r="I3" s="122" t="s">
        <v>2990</v>
      </c>
      <c r="J3" s="118"/>
      <c r="K3" s="118"/>
      <c r="L3" s="118"/>
      <c r="M3" s="118"/>
      <c r="N3" s="118"/>
    </row>
    <row r="4" spans="1:14" ht="19">
      <c r="A4" s="108" t="s">
        <v>4186</v>
      </c>
      <c r="B4" s="108" t="s">
        <v>3039</v>
      </c>
      <c r="C4" s="108" t="s">
        <v>2060</v>
      </c>
      <c r="D4" s="108" t="s">
        <v>3835</v>
      </c>
      <c r="E4" s="108" t="s">
        <v>4194</v>
      </c>
      <c r="F4" s="108" t="s">
        <v>4195</v>
      </c>
      <c r="G4" s="144">
        <v>2</v>
      </c>
      <c r="H4" s="109" t="s">
        <v>4197</v>
      </c>
      <c r="I4" s="122" t="s">
        <v>2991</v>
      </c>
      <c r="J4" s="118"/>
      <c r="K4" s="118"/>
      <c r="L4" s="118"/>
      <c r="M4" s="118"/>
      <c r="N4" s="118"/>
    </row>
    <row r="5" spans="1:14" ht="19">
      <c r="A5" s="108" t="s">
        <v>4186</v>
      </c>
      <c r="B5" s="108" t="s">
        <v>3040</v>
      </c>
      <c r="C5" s="108" t="s">
        <v>2046</v>
      </c>
      <c r="D5" s="108" t="s">
        <v>3878</v>
      </c>
      <c r="E5" s="108" t="s">
        <v>4198</v>
      </c>
      <c r="F5" s="108" t="s">
        <v>4199</v>
      </c>
      <c r="G5" s="144">
        <v>5</v>
      </c>
      <c r="H5" s="109" t="s">
        <v>4200</v>
      </c>
      <c r="I5" s="122" t="s">
        <v>2992</v>
      </c>
      <c r="J5" s="118"/>
      <c r="K5" s="118"/>
      <c r="L5" s="118"/>
      <c r="M5" s="118"/>
      <c r="N5" s="118"/>
    </row>
    <row r="6" spans="1:14" ht="19">
      <c r="A6" s="108" t="s">
        <v>4186</v>
      </c>
      <c r="B6" s="108" t="s">
        <v>3041</v>
      </c>
      <c r="C6" s="108" t="s">
        <v>1661</v>
      </c>
      <c r="D6" s="108" t="s">
        <v>2129</v>
      </c>
      <c r="E6" s="108" t="s">
        <v>4201</v>
      </c>
      <c r="F6" s="108" t="s">
        <v>4202</v>
      </c>
      <c r="G6" s="144">
        <v>2</v>
      </c>
      <c r="H6" s="109" t="s">
        <v>4203</v>
      </c>
      <c r="I6" s="122" t="s">
        <v>2993</v>
      </c>
      <c r="J6" s="118"/>
      <c r="K6" s="118"/>
      <c r="L6" s="118"/>
      <c r="M6" s="118"/>
      <c r="N6" s="118"/>
    </row>
    <row r="7" spans="1:14" ht="19">
      <c r="A7" s="108" t="s">
        <v>4186</v>
      </c>
      <c r="B7" s="108" t="s">
        <v>3042</v>
      </c>
      <c r="C7" s="108" t="s">
        <v>3972</v>
      </c>
      <c r="D7" s="108" t="s">
        <v>3973</v>
      </c>
      <c r="E7" s="108" t="s">
        <v>4204</v>
      </c>
      <c r="F7" s="108" t="s">
        <v>4205</v>
      </c>
      <c r="G7" s="144">
        <v>2</v>
      </c>
      <c r="H7" s="109" t="s">
        <v>4206</v>
      </c>
      <c r="I7" s="122" t="s">
        <v>2993</v>
      </c>
      <c r="J7" s="118"/>
      <c r="K7" s="118"/>
      <c r="L7" s="118"/>
      <c r="M7" s="118"/>
      <c r="N7" s="118"/>
    </row>
    <row r="8" spans="1:14" ht="19">
      <c r="A8" s="108" t="s">
        <v>4186</v>
      </c>
      <c r="B8" s="108" t="s">
        <v>3043</v>
      </c>
      <c r="C8" s="108" t="s">
        <v>2050</v>
      </c>
      <c r="D8" s="108" t="s">
        <v>2172</v>
      </c>
      <c r="E8" s="108" t="s">
        <v>4207</v>
      </c>
      <c r="F8" s="108" t="s">
        <v>4208</v>
      </c>
      <c r="G8" s="144">
        <v>4</v>
      </c>
      <c r="H8" s="109" t="s">
        <v>4209</v>
      </c>
      <c r="I8" s="122" t="s">
        <v>2994</v>
      </c>
      <c r="J8" s="118"/>
      <c r="K8" s="118"/>
      <c r="L8" s="118"/>
      <c r="M8" s="118"/>
      <c r="N8" s="118"/>
    </row>
    <row r="9" spans="1:14" ht="19">
      <c r="A9" s="123" t="s">
        <v>4186</v>
      </c>
      <c r="B9" s="123" t="s">
        <v>3044</v>
      </c>
      <c r="C9" s="123" t="s">
        <v>2059</v>
      </c>
      <c r="D9" s="123" t="s">
        <v>2093</v>
      </c>
      <c r="E9" s="123" t="s">
        <v>4210</v>
      </c>
      <c r="F9" s="123" t="s">
        <v>4211</v>
      </c>
      <c r="G9" s="145">
        <v>4</v>
      </c>
      <c r="H9" s="124" t="s">
        <v>4212</v>
      </c>
      <c r="I9" s="122" t="s">
        <v>2995</v>
      </c>
      <c r="J9" s="118"/>
      <c r="K9" s="118"/>
      <c r="L9" s="118"/>
      <c r="M9" s="118"/>
      <c r="N9" s="118"/>
    </row>
    <row r="10" spans="1:14" ht="19">
      <c r="A10" s="123" t="s">
        <v>4186</v>
      </c>
      <c r="B10" s="123" t="s">
        <v>3045</v>
      </c>
      <c r="C10" s="123" t="s">
        <v>2065</v>
      </c>
      <c r="D10" s="123" t="s">
        <v>2126</v>
      </c>
      <c r="E10" s="123" t="s">
        <v>4213</v>
      </c>
      <c r="F10" s="123" t="s">
        <v>4214</v>
      </c>
      <c r="G10" s="145">
        <v>4</v>
      </c>
      <c r="H10" s="124" t="s">
        <v>4215</v>
      </c>
      <c r="I10" s="122" t="s">
        <v>2996</v>
      </c>
      <c r="J10" s="118"/>
      <c r="K10" s="118"/>
      <c r="L10" s="118"/>
      <c r="M10" s="118"/>
      <c r="N10" s="118"/>
    </row>
    <row r="11" spans="1:14" ht="19">
      <c r="A11" s="108" t="s">
        <v>4186</v>
      </c>
      <c r="B11" s="108" t="s">
        <v>3046</v>
      </c>
      <c r="C11" s="108" t="s">
        <v>2054</v>
      </c>
      <c r="D11" s="108" t="s">
        <v>2122</v>
      </c>
      <c r="E11" s="108" t="s">
        <v>4216</v>
      </c>
      <c r="F11" s="108" t="s">
        <v>4217</v>
      </c>
      <c r="G11" s="144">
        <v>1.5</v>
      </c>
      <c r="H11" s="109" t="s">
        <v>1367</v>
      </c>
      <c r="I11" s="122" t="s">
        <v>2997</v>
      </c>
      <c r="J11" s="118"/>
      <c r="K11" s="118"/>
      <c r="L11" s="118"/>
      <c r="M11" s="118"/>
      <c r="N11" s="118"/>
    </row>
    <row r="12" spans="1:14" ht="19">
      <c r="A12" s="108" t="s">
        <v>4186</v>
      </c>
      <c r="B12" s="108" t="s">
        <v>3047</v>
      </c>
      <c r="C12" s="108" t="s">
        <v>2054</v>
      </c>
      <c r="D12" s="108" t="s">
        <v>2076</v>
      </c>
      <c r="E12" s="108" t="s">
        <v>4218</v>
      </c>
      <c r="F12" s="108" t="s">
        <v>4219</v>
      </c>
      <c r="G12" s="144">
        <v>4</v>
      </c>
      <c r="H12" s="109" t="s">
        <v>4220</v>
      </c>
      <c r="I12" s="122" t="s">
        <v>2998</v>
      </c>
      <c r="J12" s="118"/>
      <c r="K12" s="118"/>
      <c r="L12" s="118"/>
      <c r="M12" s="118"/>
      <c r="N12" s="118"/>
    </row>
    <row r="13" spans="1:14" ht="19">
      <c r="A13" s="108" t="s">
        <v>4186</v>
      </c>
      <c r="B13" s="108" t="s">
        <v>3048</v>
      </c>
      <c r="C13" s="108" t="s">
        <v>2054</v>
      </c>
      <c r="D13" s="108" t="s">
        <v>2098</v>
      </c>
      <c r="E13" s="108" t="s">
        <v>4221</v>
      </c>
      <c r="F13" s="108" t="s">
        <v>4222</v>
      </c>
      <c r="G13" s="144">
        <v>2</v>
      </c>
      <c r="H13" s="109" t="s">
        <v>4223</v>
      </c>
      <c r="I13" s="122" t="s">
        <v>2999</v>
      </c>
      <c r="J13" s="118"/>
      <c r="K13" s="118"/>
      <c r="L13" s="118"/>
      <c r="M13" s="118"/>
      <c r="N13" s="118"/>
    </row>
    <row r="14" spans="1:14" ht="19">
      <c r="A14" s="108" t="s">
        <v>4186</v>
      </c>
      <c r="B14" s="108" t="s">
        <v>3049</v>
      </c>
      <c r="C14" s="108" t="s">
        <v>2054</v>
      </c>
      <c r="D14" s="108" t="s">
        <v>2168</v>
      </c>
      <c r="E14" s="108" t="s">
        <v>4224</v>
      </c>
      <c r="F14" s="108" t="s">
        <v>4225</v>
      </c>
      <c r="G14" s="144">
        <v>2</v>
      </c>
      <c r="H14" s="109" t="s">
        <v>4227</v>
      </c>
      <c r="I14" s="122" t="s">
        <v>3000</v>
      </c>
      <c r="J14" s="118"/>
      <c r="K14" s="118"/>
      <c r="L14" s="118"/>
      <c r="M14" s="118"/>
      <c r="N14" s="118"/>
    </row>
    <row r="15" spans="1:14" ht="19">
      <c r="A15" s="108" t="s">
        <v>4186</v>
      </c>
      <c r="B15" s="108" t="s">
        <v>3050</v>
      </c>
      <c r="C15" s="108" t="s">
        <v>2054</v>
      </c>
      <c r="D15" s="108" t="s">
        <v>4043</v>
      </c>
      <c r="E15" s="108" t="s">
        <v>4228</v>
      </c>
      <c r="F15" s="108" t="s">
        <v>4229</v>
      </c>
      <c r="G15" s="144">
        <v>3</v>
      </c>
      <c r="H15" s="109" t="s">
        <v>4230</v>
      </c>
      <c r="I15" s="122" t="s">
        <v>3001</v>
      </c>
      <c r="J15" s="118"/>
      <c r="K15" s="118"/>
      <c r="L15" s="118"/>
      <c r="M15" s="118"/>
      <c r="N15" s="118"/>
    </row>
    <row r="16" spans="1:14" ht="19">
      <c r="A16" s="108" t="s">
        <v>4186</v>
      </c>
      <c r="B16" s="108" t="s">
        <v>3051</v>
      </c>
      <c r="C16" s="108" t="s">
        <v>2064</v>
      </c>
      <c r="D16" s="108" t="s">
        <v>2133</v>
      </c>
      <c r="E16" s="108" t="s">
        <v>4231</v>
      </c>
      <c r="F16" s="108" t="s">
        <v>4232</v>
      </c>
      <c r="G16" s="144">
        <v>2</v>
      </c>
      <c r="H16" s="109" t="s">
        <v>4233</v>
      </c>
      <c r="I16" s="122" t="s">
        <v>280</v>
      </c>
      <c r="J16" s="118"/>
      <c r="K16" s="118"/>
      <c r="L16" s="118"/>
      <c r="M16" s="118"/>
      <c r="N16" s="118"/>
    </row>
    <row r="17" spans="1:14" ht="19">
      <c r="A17" s="108" t="s">
        <v>4186</v>
      </c>
      <c r="B17" s="108" t="s">
        <v>4234</v>
      </c>
      <c r="C17" s="108" t="s">
        <v>2048</v>
      </c>
      <c r="D17" s="108" t="s">
        <v>3809</v>
      </c>
      <c r="E17" s="108" t="s">
        <v>4235</v>
      </c>
      <c r="F17" s="108" t="s">
        <v>4236</v>
      </c>
      <c r="G17" s="144">
        <v>4</v>
      </c>
      <c r="H17" s="109" t="s">
        <v>4238</v>
      </c>
      <c r="I17" s="122" t="s">
        <v>4239</v>
      </c>
      <c r="J17" s="118"/>
      <c r="K17" s="118"/>
      <c r="L17" s="118"/>
      <c r="M17" s="118"/>
      <c r="N17" s="118"/>
    </row>
    <row r="18" spans="1:14" ht="19">
      <c r="A18" s="108" t="s">
        <v>4186</v>
      </c>
      <c r="B18" s="108" t="s">
        <v>4241</v>
      </c>
      <c r="C18" s="108" t="s">
        <v>2050</v>
      </c>
      <c r="D18" s="108" t="s">
        <v>3979</v>
      </c>
      <c r="E18" s="108" t="s">
        <v>4242</v>
      </c>
      <c r="F18" s="108" t="s">
        <v>4243</v>
      </c>
      <c r="G18" s="144">
        <v>2</v>
      </c>
      <c r="H18" s="109" t="s">
        <v>4244</v>
      </c>
      <c r="I18" s="122" t="s">
        <v>4245</v>
      </c>
      <c r="J18" s="118"/>
      <c r="K18" s="118"/>
      <c r="L18" s="118"/>
      <c r="M18" s="118"/>
      <c r="N18" s="118"/>
    </row>
    <row r="19" spans="1:14" ht="19">
      <c r="A19" s="108" t="s">
        <v>4246</v>
      </c>
      <c r="B19" s="108" t="s">
        <v>3052</v>
      </c>
      <c r="C19" s="108" t="s">
        <v>2049</v>
      </c>
      <c r="D19" s="108" t="s">
        <v>3752</v>
      </c>
      <c r="E19" s="108" t="s">
        <v>4247</v>
      </c>
      <c r="F19" s="108" t="s">
        <v>4248</v>
      </c>
      <c r="G19" s="144">
        <v>3</v>
      </c>
      <c r="H19" s="109" t="s">
        <v>4249</v>
      </c>
      <c r="I19" s="122" t="s">
        <v>3002</v>
      </c>
      <c r="J19" s="118"/>
      <c r="K19" s="118"/>
      <c r="L19" s="118"/>
      <c r="M19" s="118"/>
      <c r="N19" s="118"/>
    </row>
    <row r="20" spans="1:14" ht="19">
      <c r="A20" s="108" t="s">
        <v>4246</v>
      </c>
      <c r="B20" s="108" t="s">
        <v>3053</v>
      </c>
      <c r="C20" s="108" t="s">
        <v>2049</v>
      </c>
      <c r="D20" s="108" t="s">
        <v>2139</v>
      </c>
      <c r="E20" s="108" t="s">
        <v>4250</v>
      </c>
      <c r="F20" s="108" t="s">
        <v>4251</v>
      </c>
      <c r="G20" s="144">
        <v>1</v>
      </c>
      <c r="H20" s="109" t="s">
        <v>4252</v>
      </c>
      <c r="I20" s="122" t="s">
        <v>3002</v>
      </c>
      <c r="J20" s="118"/>
      <c r="K20" s="118"/>
      <c r="L20" s="118"/>
      <c r="M20" s="118"/>
      <c r="N20" s="118"/>
    </row>
    <row r="21" spans="1:14" ht="19">
      <c r="A21" s="108" t="s">
        <v>4246</v>
      </c>
      <c r="B21" s="108" t="s">
        <v>3054</v>
      </c>
      <c r="C21" s="108" t="s">
        <v>2049</v>
      </c>
      <c r="D21" s="108" t="s">
        <v>3766</v>
      </c>
      <c r="E21" s="108" t="s">
        <v>4253</v>
      </c>
      <c r="F21" s="108" t="s">
        <v>4254</v>
      </c>
      <c r="G21" s="144">
        <v>1</v>
      </c>
      <c r="H21" s="109" t="s">
        <v>4252</v>
      </c>
      <c r="I21" s="122" t="s">
        <v>3002</v>
      </c>
      <c r="J21" s="118"/>
      <c r="K21" s="118"/>
      <c r="L21" s="118"/>
      <c r="M21" s="118"/>
      <c r="N21" s="118"/>
    </row>
    <row r="22" spans="1:14" ht="19">
      <c r="A22" s="108" t="s">
        <v>4246</v>
      </c>
      <c r="B22" s="108" t="s">
        <v>3055</v>
      </c>
      <c r="C22" s="108" t="s">
        <v>2048</v>
      </c>
      <c r="D22" s="108" t="s">
        <v>3771</v>
      </c>
      <c r="E22" s="108" t="s">
        <v>4255</v>
      </c>
      <c r="F22" s="108" t="s">
        <v>4256</v>
      </c>
      <c r="G22" s="144">
        <v>4</v>
      </c>
      <c r="H22" s="109" t="s">
        <v>4257</v>
      </c>
      <c r="I22" s="122" t="s">
        <v>3003</v>
      </c>
      <c r="J22" s="118"/>
      <c r="K22" s="118"/>
      <c r="L22" s="118"/>
      <c r="M22" s="118"/>
      <c r="N22" s="118"/>
    </row>
    <row r="23" spans="1:14" ht="19">
      <c r="A23" s="108" t="s">
        <v>4246</v>
      </c>
      <c r="B23" s="108" t="s">
        <v>3056</v>
      </c>
      <c r="C23" s="108" t="s">
        <v>2048</v>
      </c>
      <c r="D23" s="108" t="s">
        <v>3793</v>
      </c>
      <c r="E23" s="108" t="s">
        <v>4258</v>
      </c>
      <c r="F23" s="108" t="s">
        <v>4259</v>
      </c>
      <c r="G23" s="144">
        <v>5</v>
      </c>
      <c r="H23" s="109" t="s">
        <v>4260</v>
      </c>
      <c r="I23" s="122" t="s">
        <v>280</v>
      </c>
      <c r="J23" s="118"/>
      <c r="K23" s="118"/>
      <c r="L23" s="118"/>
      <c r="M23" s="118"/>
      <c r="N23" s="118"/>
    </row>
    <row r="24" spans="1:14" ht="19">
      <c r="A24" s="108" t="s">
        <v>4246</v>
      </c>
      <c r="B24" s="108" t="s">
        <v>3057</v>
      </c>
      <c r="C24" s="108" t="s">
        <v>2048</v>
      </c>
      <c r="D24" s="108" t="s">
        <v>2141</v>
      </c>
      <c r="E24" s="108" t="s">
        <v>4261</v>
      </c>
      <c r="F24" s="108" t="s">
        <v>4262</v>
      </c>
      <c r="G24" s="144">
        <v>2</v>
      </c>
      <c r="H24" s="109" t="s">
        <v>4263</v>
      </c>
      <c r="I24" s="122" t="s">
        <v>3003</v>
      </c>
      <c r="J24" s="118"/>
      <c r="K24" s="118"/>
      <c r="L24" s="118"/>
      <c r="M24" s="118"/>
      <c r="N24" s="118"/>
    </row>
    <row r="25" spans="1:14" ht="19">
      <c r="A25" s="108" t="s">
        <v>4246</v>
      </c>
      <c r="B25" s="108" t="s">
        <v>3058</v>
      </c>
      <c r="C25" s="108" t="s">
        <v>2048</v>
      </c>
      <c r="D25" s="108" t="s">
        <v>1998</v>
      </c>
      <c r="E25" s="108" t="s">
        <v>4264</v>
      </c>
      <c r="F25" s="108" t="s">
        <v>4265</v>
      </c>
      <c r="G25" s="144">
        <v>1</v>
      </c>
      <c r="H25" s="109" t="s">
        <v>4266</v>
      </c>
      <c r="I25" s="122" t="s">
        <v>3003</v>
      </c>
      <c r="J25" s="118"/>
      <c r="K25" s="118"/>
      <c r="L25" s="118"/>
      <c r="M25" s="118"/>
      <c r="N25" s="118"/>
    </row>
    <row r="26" spans="1:14" ht="19">
      <c r="A26" s="108" t="s">
        <v>4246</v>
      </c>
      <c r="B26" s="108" t="s">
        <v>3059</v>
      </c>
      <c r="C26" s="108" t="s">
        <v>2063</v>
      </c>
      <c r="D26" s="108" t="s">
        <v>2138</v>
      </c>
      <c r="E26" s="108" t="s">
        <v>4267</v>
      </c>
      <c r="F26" s="108" t="s">
        <v>4268</v>
      </c>
      <c r="G26" s="144">
        <v>6</v>
      </c>
      <c r="H26" s="109" t="s">
        <v>4269</v>
      </c>
      <c r="I26" s="122" t="s">
        <v>280</v>
      </c>
      <c r="J26" s="118"/>
      <c r="K26" s="118"/>
      <c r="L26" s="118"/>
      <c r="M26" s="118"/>
      <c r="N26" s="118"/>
    </row>
    <row r="27" spans="1:14" ht="19">
      <c r="A27" s="108" t="s">
        <v>4246</v>
      </c>
      <c r="B27" s="108" t="s">
        <v>3060</v>
      </c>
      <c r="C27" s="108" t="s">
        <v>2063</v>
      </c>
      <c r="D27" s="108" t="s">
        <v>2182</v>
      </c>
      <c r="E27" s="108" t="s">
        <v>4270</v>
      </c>
      <c r="F27" s="108" t="s">
        <v>4271</v>
      </c>
      <c r="G27" s="144">
        <v>4</v>
      </c>
      <c r="H27" s="109" t="s">
        <v>4272</v>
      </c>
      <c r="I27" s="122" t="s">
        <v>280</v>
      </c>
      <c r="J27" s="118"/>
      <c r="K27" s="118"/>
      <c r="L27" s="118"/>
      <c r="M27" s="118"/>
      <c r="N27" s="118"/>
    </row>
    <row r="28" spans="1:14" ht="19">
      <c r="A28" s="108" t="s">
        <v>4246</v>
      </c>
      <c r="B28" s="108" t="s">
        <v>3061</v>
      </c>
      <c r="C28" s="108" t="s">
        <v>2055</v>
      </c>
      <c r="D28" s="108" t="s">
        <v>2080</v>
      </c>
      <c r="E28" s="108" t="s">
        <v>4273</v>
      </c>
      <c r="F28" s="108" t="s">
        <v>4274</v>
      </c>
      <c r="G28" s="144">
        <v>2</v>
      </c>
      <c r="H28" s="109" t="s">
        <v>4275</v>
      </c>
      <c r="I28" s="122" t="s">
        <v>280</v>
      </c>
      <c r="J28" s="118"/>
      <c r="K28" s="118"/>
      <c r="L28" s="118"/>
      <c r="M28" s="118"/>
      <c r="N28" s="118"/>
    </row>
    <row r="29" spans="1:14" ht="19">
      <c r="A29" s="108" t="s">
        <v>4246</v>
      </c>
      <c r="B29" s="108" t="s">
        <v>3062</v>
      </c>
      <c r="C29" s="108" t="s">
        <v>2055</v>
      </c>
      <c r="D29" s="108" t="s">
        <v>3867</v>
      </c>
      <c r="E29" s="108" t="s">
        <v>4276</v>
      </c>
      <c r="F29" s="108" t="s">
        <v>4277</v>
      </c>
      <c r="G29" s="144">
        <v>1.5</v>
      </c>
      <c r="H29" s="109" t="s">
        <v>4278</v>
      </c>
      <c r="I29" s="122" t="s">
        <v>280</v>
      </c>
      <c r="J29" s="118"/>
      <c r="K29" s="118"/>
      <c r="L29" s="118"/>
      <c r="M29" s="118"/>
      <c r="N29" s="118"/>
    </row>
    <row r="30" spans="1:14" ht="19">
      <c r="A30" s="108" t="s">
        <v>4246</v>
      </c>
      <c r="B30" s="108" t="s">
        <v>3063</v>
      </c>
      <c r="C30" s="108" t="s">
        <v>2046</v>
      </c>
      <c r="D30" s="108" t="s">
        <v>3878</v>
      </c>
      <c r="E30" s="108" t="s">
        <v>4279</v>
      </c>
      <c r="F30" s="108" t="s">
        <v>4280</v>
      </c>
      <c r="G30" s="144">
        <v>3</v>
      </c>
      <c r="H30" s="109" t="s">
        <v>4281</v>
      </c>
      <c r="I30" s="122" t="s">
        <v>280</v>
      </c>
      <c r="J30" s="118"/>
      <c r="K30" s="118"/>
      <c r="L30" s="118"/>
      <c r="M30" s="118"/>
      <c r="N30" s="118"/>
    </row>
    <row r="31" spans="1:14" ht="19">
      <c r="A31" s="108" t="s">
        <v>4246</v>
      </c>
      <c r="B31" s="108" t="s">
        <v>3064</v>
      </c>
      <c r="C31" s="108" t="s">
        <v>2046</v>
      </c>
      <c r="D31" s="108" t="s">
        <v>3887</v>
      </c>
      <c r="E31" s="108" t="s">
        <v>4282</v>
      </c>
      <c r="F31" s="108" t="s">
        <v>4283</v>
      </c>
      <c r="G31" s="144">
        <v>1</v>
      </c>
      <c r="H31" s="109" t="s">
        <v>4284</v>
      </c>
      <c r="I31" s="122" t="s">
        <v>2992</v>
      </c>
      <c r="J31" s="118"/>
      <c r="K31" s="118"/>
      <c r="L31" s="118"/>
      <c r="M31" s="118"/>
      <c r="N31" s="118"/>
    </row>
    <row r="32" spans="1:14" ht="19">
      <c r="A32" s="108" t="s">
        <v>4246</v>
      </c>
      <c r="B32" s="108" t="s">
        <v>3065</v>
      </c>
      <c r="C32" s="108" t="s">
        <v>2046</v>
      </c>
      <c r="D32" s="108" t="s">
        <v>2144</v>
      </c>
      <c r="E32" s="108" t="s">
        <v>4285</v>
      </c>
      <c r="F32" s="108" t="s">
        <v>4286</v>
      </c>
      <c r="G32" s="144">
        <v>1.5</v>
      </c>
      <c r="H32" s="109" t="s">
        <v>4287</v>
      </c>
      <c r="I32" s="122" t="s">
        <v>2992</v>
      </c>
      <c r="J32" s="118"/>
      <c r="K32" s="118"/>
      <c r="L32" s="118"/>
      <c r="M32" s="118"/>
      <c r="N32" s="118"/>
    </row>
    <row r="33" spans="1:14" ht="19">
      <c r="A33" s="108" t="s">
        <v>4246</v>
      </c>
      <c r="B33" s="108" t="s">
        <v>3066</v>
      </c>
      <c r="C33" s="108" t="s">
        <v>2046</v>
      </c>
      <c r="D33" s="108" t="s">
        <v>3895</v>
      </c>
      <c r="E33" s="108" t="s">
        <v>4288</v>
      </c>
      <c r="F33" s="108" t="s">
        <v>4289</v>
      </c>
      <c r="G33" s="144">
        <v>0.5</v>
      </c>
      <c r="H33" s="109" t="s">
        <v>4290</v>
      </c>
      <c r="I33" s="122" t="s">
        <v>2992</v>
      </c>
      <c r="J33" s="118"/>
      <c r="K33" s="118"/>
      <c r="L33" s="118"/>
      <c r="M33" s="118"/>
      <c r="N33" s="118"/>
    </row>
    <row r="34" spans="1:14" ht="19">
      <c r="A34" s="108" t="s">
        <v>4246</v>
      </c>
      <c r="B34" s="108" t="s">
        <v>3067</v>
      </c>
      <c r="C34" s="108" t="s">
        <v>2061</v>
      </c>
      <c r="D34" s="108" t="s">
        <v>2147</v>
      </c>
      <c r="E34" s="108" t="s">
        <v>4291</v>
      </c>
      <c r="F34" s="108" t="s">
        <v>4292</v>
      </c>
      <c r="G34" s="144">
        <v>4</v>
      </c>
      <c r="H34" s="109" t="s">
        <v>4293</v>
      </c>
      <c r="I34" s="122" t="s">
        <v>280</v>
      </c>
      <c r="J34" s="118"/>
      <c r="K34" s="118"/>
      <c r="L34" s="118"/>
      <c r="M34" s="118"/>
      <c r="N34" s="118"/>
    </row>
    <row r="35" spans="1:14" ht="19">
      <c r="A35" s="108" t="s">
        <v>4246</v>
      </c>
      <c r="B35" s="108" t="s">
        <v>3068</v>
      </c>
      <c r="C35" s="108" t="s">
        <v>2061</v>
      </c>
      <c r="D35" s="108" t="s">
        <v>2096</v>
      </c>
      <c r="E35" s="108" t="s">
        <v>4294</v>
      </c>
      <c r="F35" s="108" t="s">
        <v>4295</v>
      </c>
      <c r="G35" s="144">
        <v>1</v>
      </c>
      <c r="H35" s="109" t="s">
        <v>4296</v>
      </c>
      <c r="I35" s="122" t="s">
        <v>3003</v>
      </c>
      <c r="J35" s="118"/>
      <c r="K35" s="118"/>
      <c r="L35" s="118"/>
      <c r="M35" s="118"/>
      <c r="N35" s="118"/>
    </row>
    <row r="36" spans="1:14" ht="19">
      <c r="A36" s="108" t="s">
        <v>4246</v>
      </c>
      <c r="B36" s="108" t="s">
        <v>3069</v>
      </c>
      <c r="C36" s="108" t="s">
        <v>2047</v>
      </c>
      <c r="D36" s="108" t="s">
        <v>3914</v>
      </c>
      <c r="E36" s="108" t="s">
        <v>4297</v>
      </c>
      <c r="F36" s="108" t="s">
        <v>4298</v>
      </c>
      <c r="G36" s="144">
        <v>3</v>
      </c>
      <c r="H36" s="109" t="s">
        <v>4299</v>
      </c>
      <c r="I36" s="122" t="s">
        <v>280</v>
      </c>
      <c r="J36" s="118"/>
      <c r="K36" s="118"/>
      <c r="L36" s="118"/>
      <c r="M36" s="118"/>
      <c r="N36" s="118"/>
    </row>
    <row r="37" spans="1:14" ht="19">
      <c r="A37" s="108" t="s">
        <v>4246</v>
      </c>
      <c r="B37" s="108" t="s">
        <v>3070</v>
      </c>
      <c r="C37" s="108" t="s">
        <v>2047</v>
      </c>
      <c r="D37" s="108" t="s">
        <v>3919</v>
      </c>
      <c r="E37" s="108" t="s">
        <v>3919</v>
      </c>
      <c r="F37" s="108" t="s">
        <v>4300</v>
      </c>
      <c r="G37" s="144">
        <v>2</v>
      </c>
      <c r="H37" s="109" t="s">
        <v>4301</v>
      </c>
      <c r="I37" s="122" t="s">
        <v>3004</v>
      </c>
      <c r="J37" s="118"/>
      <c r="K37" s="118"/>
      <c r="L37" s="118"/>
      <c r="M37" s="118"/>
      <c r="N37" s="118"/>
    </row>
    <row r="38" spans="1:14" ht="19">
      <c r="A38" s="108" t="s">
        <v>4246</v>
      </c>
      <c r="B38" s="108" t="s">
        <v>3071</v>
      </c>
      <c r="C38" s="108" t="s">
        <v>2047</v>
      </c>
      <c r="D38" s="108" t="s">
        <v>2149</v>
      </c>
      <c r="E38" s="108" t="s">
        <v>4302</v>
      </c>
      <c r="F38" s="108" t="s">
        <v>4303</v>
      </c>
      <c r="G38" s="144">
        <v>2</v>
      </c>
      <c r="H38" s="109" t="s">
        <v>4304</v>
      </c>
      <c r="I38" s="122" t="s">
        <v>3005</v>
      </c>
      <c r="J38" s="118"/>
      <c r="K38" s="118"/>
      <c r="L38" s="118"/>
      <c r="M38" s="118"/>
      <c r="N38" s="118"/>
    </row>
    <row r="39" spans="1:14" ht="19">
      <c r="A39" s="108" t="s">
        <v>4246</v>
      </c>
      <c r="B39" s="108" t="s">
        <v>3072</v>
      </c>
      <c r="C39" s="108" t="s">
        <v>2062</v>
      </c>
      <c r="D39" s="108" t="s">
        <v>2153</v>
      </c>
      <c r="E39" s="108" t="s">
        <v>4305</v>
      </c>
      <c r="F39" s="108" t="s">
        <v>4306</v>
      </c>
      <c r="G39" s="144">
        <v>3</v>
      </c>
      <c r="H39" s="109" t="s">
        <v>4307</v>
      </c>
      <c r="I39" s="122" t="s">
        <v>3005</v>
      </c>
      <c r="J39" s="118"/>
      <c r="K39" s="118"/>
      <c r="L39" s="118"/>
      <c r="M39" s="118"/>
      <c r="N39" s="118"/>
    </row>
    <row r="40" spans="1:14" ht="19">
      <c r="A40" s="108" t="s">
        <v>4246</v>
      </c>
      <c r="B40" s="108" t="s">
        <v>3073</v>
      </c>
      <c r="C40" s="108" t="s">
        <v>2062</v>
      </c>
      <c r="D40" s="108" t="s">
        <v>2109</v>
      </c>
      <c r="E40" s="108" t="s">
        <v>4308</v>
      </c>
      <c r="F40" s="108" t="s">
        <v>4309</v>
      </c>
      <c r="G40" s="144">
        <v>4</v>
      </c>
      <c r="H40" s="109" t="s">
        <v>4310</v>
      </c>
      <c r="I40" s="122" t="s">
        <v>280</v>
      </c>
      <c r="J40" s="118"/>
      <c r="K40" s="118"/>
      <c r="L40" s="118"/>
      <c r="M40" s="118"/>
      <c r="N40" s="118"/>
    </row>
    <row r="41" spans="1:14" ht="19">
      <c r="A41" s="108" t="s">
        <v>4246</v>
      </c>
      <c r="B41" s="108" t="s">
        <v>3074</v>
      </c>
      <c r="C41" s="108" t="s">
        <v>2057</v>
      </c>
      <c r="D41" s="108" t="s">
        <v>3958</v>
      </c>
      <c r="E41" s="108" t="s">
        <v>4311</v>
      </c>
      <c r="F41" s="108" t="s">
        <v>4312</v>
      </c>
      <c r="G41" s="144">
        <v>5</v>
      </c>
      <c r="H41" s="109" t="s">
        <v>4313</v>
      </c>
      <c r="I41" s="122" t="s">
        <v>280</v>
      </c>
      <c r="J41" s="118"/>
      <c r="K41" s="118"/>
      <c r="L41" s="118"/>
      <c r="M41" s="118"/>
      <c r="N41" s="118"/>
    </row>
    <row r="42" spans="1:14" ht="19">
      <c r="A42" s="108" t="s">
        <v>4246</v>
      </c>
      <c r="B42" s="108" t="s">
        <v>3075</v>
      </c>
      <c r="C42" s="108" t="s">
        <v>2057</v>
      </c>
      <c r="D42" s="108" t="s">
        <v>3966</v>
      </c>
      <c r="E42" s="108" t="s">
        <v>4314</v>
      </c>
      <c r="F42" s="108" t="s">
        <v>4315</v>
      </c>
      <c r="G42" s="144">
        <v>4</v>
      </c>
      <c r="H42" s="109" t="s">
        <v>4316</v>
      </c>
      <c r="I42" s="122" t="s">
        <v>280</v>
      </c>
      <c r="J42" s="118"/>
      <c r="K42" s="118"/>
      <c r="L42" s="118"/>
      <c r="M42" s="118"/>
      <c r="N42" s="118"/>
    </row>
    <row r="43" spans="1:14" ht="19">
      <c r="A43" s="108" t="s">
        <v>4246</v>
      </c>
      <c r="B43" s="108" t="s">
        <v>3076</v>
      </c>
      <c r="C43" s="108" t="s">
        <v>2059</v>
      </c>
      <c r="D43" s="108" t="s">
        <v>2093</v>
      </c>
      <c r="E43" s="108" t="s">
        <v>4317</v>
      </c>
      <c r="F43" s="108" t="s">
        <v>4318</v>
      </c>
      <c r="G43" s="144">
        <v>3</v>
      </c>
      <c r="H43" s="109" t="s">
        <v>4212</v>
      </c>
      <c r="I43" s="122" t="s">
        <v>280</v>
      </c>
      <c r="J43" s="118"/>
      <c r="K43" s="118"/>
      <c r="L43" s="118"/>
      <c r="M43" s="118"/>
      <c r="N43" s="118"/>
    </row>
    <row r="44" spans="1:14" ht="19">
      <c r="A44" s="123" t="s">
        <v>4246</v>
      </c>
      <c r="B44" s="123" t="s">
        <v>3077</v>
      </c>
      <c r="C44" s="123" t="s">
        <v>2059</v>
      </c>
      <c r="D44" s="123" t="s">
        <v>3998</v>
      </c>
      <c r="E44" s="123" t="s">
        <v>3998</v>
      </c>
      <c r="F44" s="123" t="s">
        <v>4319</v>
      </c>
      <c r="G44" s="145">
        <v>1</v>
      </c>
      <c r="H44" s="124" t="s">
        <v>4320</v>
      </c>
      <c r="I44" s="122" t="s">
        <v>2995</v>
      </c>
      <c r="J44" s="118"/>
      <c r="K44" s="118"/>
      <c r="L44" s="118"/>
      <c r="M44" s="118"/>
      <c r="N44" s="118"/>
    </row>
    <row r="45" spans="1:14" ht="19">
      <c r="A45" s="108" t="s">
        <v>4246</v>
      </c>
      <c r="B45" s="108" t="s">
        <v>3715</v>
      </c>
      <c r="C45" s="108" t="s">
        <v>2059</v>
      </c>
      <c r="D45" s="108" t="s">
        <v>2155</v>
      </c>
      <c r="E45" s="108" t="s">
        <v>2155</v>
      </c>
      <c r="F45" s="108" t="s">
        <v>4321</v>
      </c>
      <c r="G45" s="144">
        <v>1</v>
      </c>
      <c r="H45" s="109" t="s">
        <v>4322</v>
      </c>
      <c r="I45" s="122" t="s">
        <v>2995</v>
      </c>
      <c r="J45" s="118"/>
      <c r="K45" s="118"/>
      <c r="L45" s="118"/>
      <c r="M45" s="118"/>
      <c r="N45" s="118"/>
    </row>
    <row r="46" spans="1:14" ht="19">
      <c r="A46" s="108" t="s">
        <v>4246</v>
      </c>
      <c r="B46" s="108" t="s">
        <v>4323</v>
      </c>
      <c r="C46" s="108" t="s">
        <v>2048</v>
      </c>
      <c r="D46" s="108" t="s">
        <v>3809</v>
      </c>
      <c r="E46" s="108" t="s">
        <v>4324</v>
      </c>
      <c r="F46" s="108" t="s">
        <v>4325</v>
      </c>
      <c r="G46" s="144">
        <v>3</v>
      </c>
      <c r="H46" s="109" t="s">
        <v>4326</v>
      </c>
      <c r="I46" s="122" t="s">
        <v>4327</v>
      </c>
      <c r="J46" s="118"/>
      <c r="K46" s="118"/>
      <c r="L46" s="118"/>
      <c r="M46" s="118"/>
      <c r="N46" s="118"/>
    </row>
    <row r="47" spans="1:14" ht="19">
      <c r="A47" s="108" t="s">
        <v>4246</v>
      </c>
      <c r="B47" s="108" t="s">
        <v>4329</v>
      </c>
      <c r="C47" s="108" t="s">
        <v>2047</v>
      </c>
      <c r="D47" s="108" t="s">
        <v>2148</v>
      </c>
      <c r="E47" s="108" t="s">
        <v>2148</v>
      </c>
      <c r="F47" s="108" t="s">
        <v>4330</v>
      </c>
      <c r="G47" s="144">
        <v>1.5</v>
      </c>
      <c r="H47" s="109" t="s">
        <v>4332</v>
      </c>
      <c r="I47" s="122" t="s">
        <v>4333</v>
      </c>
      <c r="J47" s="118"/>
      <c r="K47" s="118"/>
      <c r="L47" s="118"/>
      <c r="M47" s="118"/>
      <c r="N47" s="118"/>
    </row>
    <row r="48" spans="1:14" ht="19">
      <c r="A48" s="108" t="s">
        <v>4334</v>
      </c>
      <c r="B48" s="108" t="s">
        <v>3078</v>
      </c>
      <c r="C48" s="108" t="s">
        <v>2048</v>
      </c>
      <c r="D48" s="108" t="s">
        <v>3771</v>
      </c>
      <c r="E48" s="108" t="s">
        <v>4335</v>
      </c>
      <c r="F48" s="108" t="s">
        <v>4336</v>
      </c>
      <c r="G48" s="144">
        <v>6</v>
      </c>
      <c r="H48" s="109" t="s">
        <v>4337</v>
      </c>
      <c r="I48" s="122" t="s">
        <v>3006</v>
      </c>
      <c r="J48" s="118"/>
      <c r="K48" s="118"/>
      <c r="L48" s="118"/>
      <c r="M48" s="118"/>
      <c r="N48" s="118"/>
    </row>
    <row r="49" spans="1:14" ht="19">
      <c r="A49" s="108" t="s">
        <v>4334</v>
      </c>
      <c r="B49" s="108" t="s">
        <v>3079</v>
      </c>
      <c r="C49" s="108" t="s">
        <v>2048</v>
      </c>
      <c r="D49" s="108" t="s">
        <v>3771</v>
      </c>
      <c r="E49" s="108" t="s">
        <v>4338</v>
      </c>
      <c r="F49" s="108" t="s">
        <v>4339</v>
      </c>
      <c r="G49" s="144">
        <v>5</v>
      </c>
      <c r="H49" s="109" t="s">
        <v>4340</v>
      </c>
      <c r="I49" s="122" t="s">
        <v>280</v>
      </c>
      <c r="J49" s="118"/>
      <c r="K49" s="118"/>
      <c r="L49" s="118"/>
      <c r="M49" s="118"/>
      <c r="N49" s="118"/>
    </row>
    <row r="50" spans="1:14" ht="19">
      <c r="A50" s="108" t="s">
        <v>4334</v>
      </c>
      <c r="B50" s="108" t="s">
        <v>3080</v>
      </c>
      <c r="C50" s="108" t="s">
        <v>2048</v>
      </c>
      <c r="D50" s="108" t="s">
        <v>3793</v>
      </c>
      <c r="E50" s="108" t="s">
        <v>4341</v>
      </c>
      <c r="F50" s="108" t="s">
        <v>4342</v>
      </c>
      <c r="G50" s="144">
        <v>5</v>
      </c>
      <c r="H50" s="109" t="s">
        <v>4343</v>
      </c>
      <c r="I50" s="122" t="s">
        <v>280</v>
      </c>
      <c r="J50" s="118"/>
      <c r="K50" s="118"/>
      <c r="L50" s="118"/>
      <c r="M50" s="118"/>
      <c r="N50" s="118"/>
    </row>
    <row r="51" spans="1:14" ht="19">
      <c r="A51" s="108" t="s">
        <v>4334</v>
      </c>
      <c r="B51" s="108" t="s">
        <v>3081</v>
      </c>
      <c r="C51" s="108" t="s">
        <v>2046</v>
      </c>
      <c r="D51" s="108" t="s">
        <v>3878</v>
      </c>
      <c r="E51" s="108" t="s">
        <v>4344</v>
      </c>
      <c r="F51" s="108" t="s">
        <v>4345</v>
      </c>
      <c r="G51" s="144">
        <v>5</v>
      </c>
      <c r="H51" s="109" t="s">
        <v>4284</v>
      </c>
      <c r="I51" s="122" t="s">
        <v>3006</v>
      </c>
      <c r="J51" s="118"/>
      <c r="K51" s="118"/>
      <c r="L51" s="118"/>
      <c r="M51" s="118"/>
      <c r="N51" s="118"/>
    </row>
    <row r="52" spans="1:14" ht="19">
      <c r="A52" s="108" t="s">
        <v>4334</v>
      </c>
      <c r="B52" s="108" t="s">
        <v>3082</v>
      </c>
      <c r="C52" s="108" t="s">
        <v>2059</v>
      </c>
      <c r="D52" s="108" t="s">
        <v>2093</v>
      </c>
      <c r="E52" s="108" t="s">
        <v>4346</v>
      </c>
      <c r="F52" s="108" t="s">
        <v>4347</v>
      </c>
      <c r="G52" s="144">
        <v>6</v>
      </c>
      <c r="H52" s="109" t="s">
        <v>4320</v>
      </c>
      <c r="I52" s="122" t="s">
        <v>280</v>
      </c>
      <c r="J52" s="118"/>
      <c r="K52" s="118"/>
      <c r="L52" s="118"/>
      <c r="M52" s="118"/>
      <c r="N52" s="118"/>
    </row>
    <row r="53" spans="1:14" ht="19">
      <c r="A53" s="125" t="s">
        <v>4348</v>
      </c>
      <c r="B53" s="125" t="s">
        <v>3083</v>
      </c>
      <c r="C53" s="125" t="s">
        <v>2046</v>
      </c>
      <c r="D53" s="125" t="s">
        <v>3878</v>
      </c>
      <c r="E53" s="125" t="s">
        <v>4349</v>
      </c>
      <c r="F53" s="125" t="s">
        <v>4350</v>
      </c>
      <c r="G53" s="146">
        <v>5</v>
      </c>
      <c r="H53" s="126" t="s">
        <v>4351</v>
      </c>
      <c r="I53" s="122" t="s">
        <v>280</v>
      </c>
      <c r="J53" s="118"/>
      <c r="K53" s="118"/>
      <c r="L53" s="118"/>
      <c r="M53" s="118"/>
      <c r="N53" s="118"/>
    </row>
    <row r="54" spans="1:14" ht="19">
      <c r="A54" s="125" t="s">
        <v>4348</v>
      </c>
      <c r="B54" s="125" t="s">
        <v>3084</v>
      </c>
      <c r="C54" s="125" t="s">
        <v>2057</v>
      </c>
      <c r="D54" s="125" t="s">
        <v>3958</v>
      </c>
      <c r="E54" s="125" t="s">
        <v>4352</v>
      </c>
      <c r="F54" s="125" t="s">
        <v>4353</v>
      </c>
      <c r="G54" s="146">
        <v>4</v>
      </c>
      <c r="H54" s="126" t="s">
        <v>4354</v>
      </c>
      <c r="I54" s="122" t="s">
        <v>280</v>
      </c>
      <c r="J54" s="118"/>
      <c r="K54" s="118"/>
      <c r="L54" s="118"/>
      <c r="M54" s="118"/>
      <c r="N54" s="118"/>
    </row>
    <row r="55" spans="1:14" ht="19">
      <c r="A55" s="125" t="s">
        <v>4348</v>
      </c>
      <c r="B55" s="125" t="s">
        <v>3085</v>
      </c>
      <c r="C55" s="125" t="s">
        <v>2054</v>
      </c>
      <c r="D55" s="125" t="s">
        <v>2078</v>
      </c>
      <c r="E55" s="125" t="s">
        <v>4355</v>
      </c>
      <c r="F55" s="125" t="s">
        <v>4356</v>
      </c>
      <c r="G55" s="146">
        <v>4</v>
      </c>
      <c r="H55" s="126" t="s">
        <v>4357</v>
      </c>
      <c r="I55" s="122" t="s">
        <v>3007</v>
      </c>
      <c r="J55" s="118"/>
      <c r="K55" s="118"/>
      <c r="L55" s="118"/>
      <c r="M55" s="118"/>
      <c r="N55" s="118"/>
    </row>
    <row r="56" spans="1:14" ht="19">
      <c r="A56" s="125" t="s">
        <v>4348</v>
      </c>
      <c r="B56" s="125" t="s">
        <v>3086</v>
      </c>
      <c r="C56" s="125" t="s">
        <v>2054</v>
      </c>
      <c r="D56" s="125" t="s">
        <v>4043</v>
      </c>
      <c r="E56" s="125" t="s">
        <v>4358</v>
      </c>
      <c r="F56" s="125" t="s">
        <v>4359</v>
      </c>
      <c r="G56" s="146">
        <v>4</v>
      </c>
      <c r="H56" s="126" t="s">
        <v>4230</v>
      </c>
      <c r="I56" s="122" t="s">
        <v>280</v>
      </c>
      <c r="J56" s="118"/>
      <c r="K56" s="118"/>
      <c r="L56" s="118"/>
      <c r="M56" s="118"/>
      <c r="N56" s="118"/>
    </row>
    <row r="57" spans="1:14" ht="19">
      <c r="A57" s="122" t="s">
        <v>4348</v>
      </c>
      <c r="B57" s="122" t="s">
        <v>3087</v>
      </c>
      <c r="C57" s="122" t="s">
        <v>2045</v>
      </c>
      <c r="D57" s="122" t="s">
        <v>2107</v>
      </c>
      <c r="E57" s="122" t="s">
        <v>4360</v>
      </c>
      <c r="F57" s="122" t="s">
        <v>4361</v>
      </c>
      <c r="G57" s="147">
        <v>8</v>
      </c>
      <c r="H57" s="109" t="s">
        <v>4362</v>
      </c>
      <c r="I57" s="122" t="s">
        <v>3008</v>
      </c>
      <c r="J57" s="118"/>
      <c r="K57" s="118"/>
      <c r="L57" s="118"/>
      <c r="M57" s="118"/>
      <c r="N57" s="118"/>
    </row>
    <row r="58" spans="1:14">
      <c r="A58" s="122" t="s">
        <v>4348</v>
      </c>
      <c r="B58" s="122" t="s">
        <v>3088</v>
      </c>
      <c r="C58" s="122" t="s">
        <v>2045</v>
      </c>
      <c r="D58" s="122" t="s">
        <v>2070</v>
      </c>
      <c r="E58" s="122" t="s">
        <v>4363</v>
      </c>
      <c r="F58" s="122" t="s">
        <v>4364</v>
      </c>
      <c r="G58" s="147">
        <v>6</v>
      </c>
      <c r="H58" s="122" t="s">
        <v>4365</v>
      </c>
      <c r="I58" s="122" t="s">
        <v>280</v>
      </c>
      <c r="J58" s="118"/>
      <c r="K58" s="118"/>
      <c r="L58" s="118"/>
      <c r="M58" s="118"/>
      <c r="N58" s="118"/>
    </row>
    <row r="59" spans="1:14">
      <c r="A59" s="122" t="s">
        <v>4348</v>
      </c>
      <c r="B59" s="122" t="s">
        <v>3089</v>
      </c>
      <c r="C59" s="122" t="s">
        <v>2045</v>
      </c>
      <c r="D59" s="122" t="s">
        <v>2088</v>
      </c>
      <c r="E59" s="122" t="s">
        <v>4366</v>
      </c>
      <c r="F59" s="122" t="s">
        <v>4367</v>
      </c>
      <c r="G59" s="147">
        <v>3</v>
      </c>
      <c r="H59" s="122" t="s">
        <v>4368</v>
      </c>
      <c r="I59" s="122" t="s">
        <v>280</v>
      </c>
      <c r="J59" s="118"/>
      <c r="K59" s="118"/>
      <c r="L59" s="118"/>
      <c r="M59" s="118"/>
      <c r="N59" s="118"/>
    </row>
    <row r="60" spans="1:14">
      <c r="A60" s="116" t="s">
        <v>4369</v>
      </c>
      <c r="B60" s="116" t="s">
        <v>3090</v>
      </c>
      <c r="C60" s="116" t="s">
        <v>2056</v>
      </c>
      <c r="D60" s="116" t="s">
        <v>2082</v>
      </c>
      <c r="E60" s="116" t="s">
        <v>4370</v>
      </c>
      <c r="F60" s="122" t="s">
        <v>4371</v>
      </c>
      <c r="G60" s="147">
        <v>8</v>
      </c>
      <c r="H60" s="122" t="s">
        <v>4372</v>
      </c>
      <c r="I60" s="122" t="s">
        <v>3009</v>
      </c>
      <c r="J60" s="118"/>
      <c r="K60" s="118"/>
      <c r="L60" s="118"/>
      <c r="M60" s="118"/>
      <c r="N60" s="118"/>
    </row>
    <row r="61" spans="1:14">
      <c r="A61" s="122" t="s">
        <v>4369</v>
      </c>
      <c r="B61" s="122" t="s">
        <v>3091</v>
      </c>
      <c r="C61" s="122" t="s">
        <v>2056</v>
      </c>
      <c r="D61" s="122" t="s">
        <v>2082</v>
      </c>
      <c r="E61" s="122" t="s">
        <v>4373</v>
      </c>
      <c r="F61" s="122" t="s">
        <v>4374</v>
      </c>
      <c r="G61" s="147">
        <v>3</v>
      </c>
      <c r="H61" s="122" t="s">
        <v>4375</v>
      </c>
      <c r="I61" s="122" t="s">
        <v>280</v>
      </c>
      <c r="J61" s="118"/>
      <c r="K61" s="118"/>
      <c r="L61" s="118"/>
      <c r="M61" s="118"/>
      <c r="N61" s="118"/>
    </row>
    <row r="62" spans="1:14">
      <c r="A62" s="122" t="s">
        <v>4369</v>
      </c>
      <c r="B62" s="122" t="s">
        <v>3092</v>
      </c>
      <c r="C62" s="122" t="s">
        <v>2056</v>
      </c>
      <c r="D62" s="122" t="s">
        <v>2116</v>
      </c>
      <c r="E62" s="122" t="s">
        <v>4376</v>
      </c>
      <c r="F62" s="122" t="s">
        <v>4377</v>
      </c>
      <c r="G62" s="147">
        <v>6</v>
      </c>
      <c r="H62" s="122" t="s">
        <v>4378</v>
      </c>
      <c r="I62" s="122" t="s">
        <v>3010</v>
      </c>
      <c r="J62" s="118"/>
      <c r="K62" s="118"/>
      <c r="L62" s="118"/>
      <c r="M62" s="118"/>
      <c r="N62" s="118"/>
    </row>
    <row r="63" spans="1:14">
      <c r="A63" s="122" t="s">
        <v>4369</v>
      </c>
      <c r="B63" s="122" t="s">
        <v>3093</v>
      </c>
      <c r="C63" s="122" t="s">
        <v>2056</v>
      </c>
      <c r="D63" s="122" t="s">
        <v>2116</v>
      </c>
      <c r="E63" s="122" t="s">
        <v>4379</v>
      </c>
      <c r="F63" s="122" t="s">
        <v>4380</v>
      </c>
      <c r="G63" s="147">
        <v>5</v>
      </c>
      <c r="H63" s="122" t="s">
        <v>4381</v>
      </c>
      <c r="I63" s="122" t="s">
        <v>3011</v>
      </c>
      <c r="J63" s="118"/>
      <c r="K63" s="118"/>
      <c r="L63" s="118"/>
      <c r="M63" s="118"/>
      <c r="N63" s="118"/>
    </row>
    <row r="64" spans="1:14">
      <c r="A64" s="122" t="s">
        <v>4382</v>
      </c>
      <c r="B64" s="122" t="s">
        <v>3094</v>
      </c>
      <c r="C64" s="122" t="s">
        <v>1659</v>
      </c>
      <c r="D64" s="122" t="s">
        <v>3851</v>
      </c>
      <c r="E64" s="122" t="s">
        <v>4383</v>
      </c>
      <c r="F64" s="122" t="s">
        <v>4384</v>
      </c>
      <c r="G64" s="147">
        <v>3</v>
      </c>
      <c r="H64" s="122" t="s">
        <v>4385</v>
      </c>
      <c r="I64" s="122" t="s">
        <v>3012</v>
      </c>
      <c r="J64" s="118"/>
      <c r="K64" s="118"/>
      <c r="L64" s="118"/>
      <c r="M64" s="118"/>
      <c r="N64" s="118"/>
    </row>
    <row r="65" spans="1:14">
      <c r="A65" s="122" t="s">
        <v>4382</v>
      </c>
      <c r="B65" s="122" t="s">
        <v>3095</v>
      </c>
      <c r="C65" s="122" t="s">
        <v>2067</v>
      </c>
      <c r="D65" s="122" t="s">
        <v>2161</v>
      </c>
      <c r="E65" s="122" t="s">
        <v>4386</v>
      </c>
      <c r="F65" s="122" t="s">
        <v>4387</v>
      </c>
      <c r="G65" s="147">
        <v>1.5</v>
      </c>
      <c r="H65" s="122" t="s">
        <v>4388</v>
      </c>
      <c r="I65" s="122" t="s">
        <v>3013</v>
      </c>
      <c r="J65" s="118"/>
      <c r="K65" s="118"/>
      <c r="L65" s="118"/>
      <c r="M65" s="118"/>
      <c r="N65" s="118"/>
    </row>
    <row r="66" spans="1:14">
      <c r="A66" s="122" t="s">
        <v>4382</v>
      </c>
      <c r="B66" s="122" t="s">
        <v>3096</v>
      </c>
      <c r="C66" s="122" t="s">
        <v>2067</v>
      </c>
      <c r="D66" s="122" t="s">
        <v>2162</v>
      </c>
      <c r="E66" s="122" t="s">
        <v>4389</v>
      </c>
      <c r="F66" s="122" t="s">
        <v>4390</v>
      </c>
      <c r="G66" s="147">
        <v>0.5</v>
      </c>
      <c r="H66" s="122" t="s">
        <v>4391</v>
      </c>
      <c r="I66" s="122" t="s">
        <v>3013</v>
      </c>
      <c r="J66" s="118"/>
      <c r="K66" s="118"/>
      <c r="L66" s="118"/>
      <c r="M66" s="118"/>
      <c r="N66" s="118"/>
    </row>
    <row r="67" spans="1:14">
      <c r="A67" s="122" t="s">
        <v>4382</v>
      </c>
      <c r="B67" s="122" t="s">
        <v>3097</v>
      </c>
      <c r="C67" s="122" t="s">
        <v>2052</v>
      </c>
      <c r="D67" s="122" t="s">
        <v>2074</v>
      </c>
      <c r="E67" s="122" t="s">
        <v>4392</v>
      </c>
      <c r="F67" s="122" t="s">
        <v>4393</v>
      </c>
      <c r="G67" s="147">
        <v>10</v>
      </c>
      <c r="H67" s="122" t="s">
        <v>4394</v>
      </c>
      <c r="I67" s="122" t="s">
        <v>3014</v>
      </c>
      <c r="J67" s="118"/>
      <c r="K67" s="118"/>
      <c r="L67" s="118"/>
      <c r="M67" s="118"/>
      <c r="N67" s="118"/>
    </row>
    <row r="68" spans="1:14">
      <c r="A68" s="122" t="s">
        <v>4382</v>
      </c>
      <c r="B68" s="122" t="s">
        <v>3098</v>
      </c>
      <c r="C68" s="122" t="s">
        <v>2052</v>
      </c>
      <c r="D68" s="122" t="s">
        <v>2074</v>
      </c>
      <c r="E68" s="122" t="s">
        <v>4395</v>
      </c>
      <c r="F68" s="122" t="s">
        <v>4396</v>
      </c>
      <c r="G68" s="147">
        <v>4</v>
      </c>
      <c r="H68" s="122" t="s">
        <v>4397</v>
      </c>
      <c r="I68" s="122" t="s">
        <v>3015</v>
      </c>
      <c r="J68" s="118"/>
      <c r="K68" s="118"/>
      <c r="L68" s="118"/>
      <c r="M68" s="118"/>
      <c r="N68" s="118"/>
    </row>
    <row r="69" spans="1:14">
      <c r="A69" s="122" t="s">
        <v>4382</v>
      </c>
      <c r="B69" s="122" t="s">
        <v>3099</v>
      </c>
      <c r="C69" s="122" t="s">
        <v>2052</v>
      </c>
      <c r="D69" s="122" t="s">
        <v>2105</v>
      </c>
      <c r="E69" s="122" t="s">
        <v>4398</v>
      </c>
      <c r="F69" s="122" t="s">
        <v>4399</v>
      </c>
      <c r="G69" s="147">
        <v>4</v>
      </c>
      <c r="H69" s="122" t="s">
        <v>4400</v>
      </c>
      <c r="I69" s="122" t="s">
        <v>280</v>
      </c>
      <c r="J69" s="118"/>
      <c r="K69" s="118"/>
      <c r="L69" s="118"/>
      <c r="M69" s="118"/>
      <c r="N69" s="118"/>
    </row>
    <row r="70" spans="1:14">
      <c r="A70" s="122" t="s">
        <v>4382</v>
      </c>
      <c r="B70" s="122" t="s">
        <v>3100</v>
      </c>
      <c r="C70" s="122" t="s">
        <v>2052</v>
      </c>
      <c r="D70" s="122" t="s">
        <v>2105</v>
      </c>
      <c r="E70" s="122" t="s">
        <v>4401</v>
      </c>
      <c r="F70" s="122" t="s">
        <v>4402</v>
      </c>
      <c r="G70" s="147">
        <v>3</v>
      </c>
      <c r="H70" s="122" t="s">
        <v>4403</v>
      </c>
      <c r="I70" s="122" t="s">
        <v>3013</v>
      </c>
      <c r="J70" s="118"/>
      <c r="K70" s="118"/>
      <c r="L70" s="118"/>
      <c r="M70" s="118"/>
      <c r="N70" s="118"/>
    </row>
    <row r="71" spans="1:14">
      <c r="A71" s="127" t="s">
        <v>4382</v>
      </c>
      <c r="B71" s="127" t="s">
        <v>3101</v>
      </c>
      <c r="C71" s="127" t="s">
        <v>2052</v>
      </c>
      <c r="D71" s="127" t="s">
        <v>2128</v>
      </c>
      <c r="E71" s="122" t="s">
        <v>4404</v>
      </c>
      <c r="F71" s="122" t="s">
        <v>4405</v>
      </c>
      <c r="G71" s="147">
        <v>4</v>
      </c>
      <c r="H71" s="122" t="s">
        <v>4406</v>
      </c>
      <c r="I71" s="122" t="s">
        <v>3016</v>
      </c>
      <c r="J71" s="118"/>
      <c r="K71" s="118"/>
      <c r="L71" s="118"/>
      <c r="M71" s="118"/>
      <c r="N71" s="118"/>
    </row>
    <row r="72" spans="1:14">
      <c r="A72" s="127" t="s">
        <v>4382</v>
      </c>
      <c r="B72" s="127" t="s">
        <v>3102</v>
      </c>
      <c r="C72" s="127" t="s">
        <v>2053</v>
      </c>
      <c r="D72" s="127" t="s">
        <v>4102</v>
      </c>
      <c r="E72" s="122" t="s">
        <v>4407</v>
      </c>
      <c r="F72" s="122" t="s">
        <v>4408</v>
      </c>
      <c r="G72" s="147">
        <v>4</v>
      </c>
      <c r="H72" s="122" t="s">
        <v>4409</v>
      </c>
      <c r="I72" s="122" t="s">
        <v>3017</v>
      </c>
      <c r="J72" s="118"/>
      <c r="K72" s="118"/>
      <c r="L72" s="118"/>
      <c r="M72" s="118"/>
      <c r="N72" s="118"/>
    </row>
    <row r="73" spans="1:14">
      <c r="A73" s="114" t="s">
        <v>4382</v>
      </c>
      <c r="B73" s="114" t="s">
        <v>4411</v>
      </c>
      <c r="C73" s="114" t="s">
        <v>2053</v>
      </c>
      <c r="D73" s="114" t="s">
        <v>4145</v>
      </c>
      <c r="E73" s="114" t="s">
        <v>4412</v>
      </c>
      <c r="F73" s="114" t="s">
        <v>4413</v>
      </c>
      <c r="G73" s="148">
        <v>2</v>
      </c>
      <c r="H73" s="114" t="s">
        <v>4415</v>
      </c>
      <c r="I73" s="114" t="s">
        <v>4416</v>
      </c>
    </row>
    <row r="74" spans="1:14">
      <c r="A74" s="114" t="s">
        <v>4417</v>
      </c>
      <c r="B74" s="114" t="s">
        <v>3103</v>
      </c>
      <c r="C74" s="114" t="s">
        <v>3939</v>
      </c>
      <c r="D74" s="114" t="s">
        <v>3940</v>
      </c>
      <c r="E74" s="114" t="s">
        <v>4418</v>
      </c>
      <c r="F74" s="114" t="s">
        <v>4419</v>
      </c>
      <c r="G74" s="148">
        <v>4</v>
      </c>
      <c r="H74" s="114" t="s">
        <v>4420</v>
      </c>
      <c r="I74" s="114" t="s">
        <v>3018</v>
      </c>
    </row>
    <row r="75" spans="1:14">
      <c r="A75" s="114" t="s">
        <v>4417</v>
      </c>
      <c r="B75" s="114" t="s">
        <v>3104</v>
      </c>
      <c r="C75" s="114" t="s">
        <v>3939</v>
      </c>
      <c r="D75" s="114" t="s">
        <v>1709</v>
      </c>
      <c r="E75" s="114" t="s">
        <v>1709</v>
      </c>
      <c r="F75" s="114" t="s">
        <v>4421</v>
      </c>
      <c r="G75" s="148">
        <v>1.5</v>
      </c>
      <c r="H75" s="114" t="s">
        <v>4422</v>
      </c>
      <c r="I75" s="114" t="s">
        <v>3019</v>
      </c>
    </row>
    <row r="76" spans="1:14">
      <c r="A76" s="114" t="s">
        <v>4417</v>
      </c>
      <c r="B76" s="114" t="s">
        <v>3105</v>
      </c>
      <c r="C76" s="114" t="s">
        <v>2065</v>
      </c>
      <c r="D76" s="114" t="s">
        <v>2126</v>
      </c>
      <c r="E76" s="114" t="s">
        <v>4423</v>
      </c>
      <c r="F76" s="114" t="s">
        <v>4424</v>
      </c>
      <c r="G76" s="148">
        <v>3</v>
      </c>
      <c r="H76" s="114" t="s">
        <v>4425</v>
      </c>
      <c r="I76" s="114" t="s">
        <v>3020</v>
      </c>
    </row>
    <row r="77" spans="1:14">
      <c r="A77" s="114" t="s">
        <v>4417</v>
      </c>
      <c r="B77" s="114" t="s">
        <v>3106</v>
      </c>
      <c r="C77" s="114" t="s">
        <v>2065</v>
      </c>
      <c r="D77" s="114" t="s">
        <v>2180</v>
      </c>
      <c r="E77" s="114" t="s">
        <v>2180</v>
      </c>
      <c r="F77" s="114" t="s">
        <v>4426</v>
      </c>
      <c r="G77" s="148">
        <v>1.5</v>
      </c>
      <c r="H77" s="114" t="s">
        <v>4427</v>
      </c>
      <c r="I77" s="114" t="s">
        <v>4428</v>
      </c>
    </row>
    <row r="78" spans="1:14">
      <c r="A78" s="114" t="s">
        <v>4417</v>
      </c>
      <c r="B78" s="114" t="s">
        <v>3107</v>
      </c>
      <c r="C78" s="114" t="s">
        <v>2067</v>
      </c>
      <c r="D78" s="114" t="s">
        <v>2163</v>
      </c>
      <c r="E78" s="114" t="s">
        <v>4429</v>
      </c>
      <c r="F78" s="114" t="s">
        <v>4430</v>
      </c>
      <c r="G78" s="148">
        <v>1</v>
      </c>
      <c r="H78" s="114" t="s">
        <v>4431</v>
      </c>
      <c r="I78" s="114" t="s">
        <v>3021</v>
      </c>
    </row>
    <row r="79" spans="1:14">
      <c r="A79" s="114" t="s">
        <v>4417</v>
      </c>
      <c r="B79" s="114" t="s">
        <v>3108</v>
      </c>
      <c r="C79" s="114" t="s">
        <v>2056</v>
      </c>
      <c r="D79" s="114" t="s">
        <v>2176</v>
      </c>
      <c r="E79" s="114" t="s">
        <v>4432</v>
      </c>
      <c r="F79" s="114" t="s">
        <v>4433</v>
      </c>
      <c r="G79" s="148">
        <v>2</v>
      </c>
      <c r="H79" s="114" t="s">
        <v>4434</v>
      </c>
      <c r="I79" s="114" t="s">
        <v>3022</v>
      </c>
    </row>
    <row r="80" spans="1:14">
      <c r="A80" s="114" t="s">
        <v>4417</v>
      </c>
      <c r="B80" s="114" t="s">
        <v>3109</v>
      </c>
      <c r="C80" s="114" t="s">
        <v>2053</v>
      </c>
      <c r="D80" s="114" t="s">
        <v>2166</v>
      </c>
      <c r="E80" s="114" t="s">
        <v>4435</v>
      </c>
      <c r="F80" s="114" t="s">
        <v>4436</v>
      </c>
      <c r="G80" s="148">
        <v>6</v>
      </c>
      <c r="H80" s="114" t="s">
        <v>4437</v>
      </c>
      <c r="I80" s="114" t="s">
        <v>3023</v>
      </c>
    </row>
    <row r="81" spans="1:9">
      <c r="A81" s="114" t="s">
        <v>4417</v>
      </c>
      <c r="B81" s="114" t="s">
        <v>3110</v>
      </c>
      <c r="C81" s="114" t="s">
        <v>2053</v>
      </c>
      <c r="D81" s="114" t="s">
        <v>2111</v>
      </c>
      <c r="E81" s="114" t="s">
        <v>4438</v>
      </c>
      <c r="F81" s="114" t="s">
        <v>4439</v>
      </c>
      <c r="G81" s="148">
        <v>8</v>
      </c>
      <c r="H81" s="114" t="s">
        <v>4440</v>
      </c>
      <c r="I81" s="114" t="s">
        <v>3024</v>
      </c>
    </row>
    <row r="82" spans="1:9">
      <c r="A82" s="114" t="s">
        <v>4417</v>
      </c>
      <c r="B82" s="114" t="s">
        <v>3111</v>
      </c>
      <c r="C82" s="114" t="s">
        <v>2053</v>
      </c>
      <c r="D82" s="114" t="s">
        <v>2113</v>
      </c>
      <c r="E82" s="114" t="s">
        <v>2113</v>
      </c>
      <c r="F82" s="114" t="s">
        <v>4441</v>
      </c>
      <c r="G82" s="148">
        <v>3</v>
      </c>
      <c r="H82" s="114" t="s">
        <v>4442</v>
      </c>
      <c r="I82" s="114" t="s">
        <v>3025</v>
      </c>
    </row>
    <row r="83" spans="1:9">
      <c r="A83" s="114" t="s">
        <v>4417</v>
      </c>
      <c r="B83" s="114" t="s">
        <v>3112</v>
      </c>
      <c r="C83" s="114" t="s">
        <v>2053</v>
      </c>
      <c r="D83" s="114" t="s">
        <v>4102</v>
      </c>
      <c r="E83" s="114" t="s">
        <v>4443</v>
      </c>
      <c r="F83" s="114" t="s">
        <v>4444</v>
      </c>
      <c r="G83" s="148">
        <v>5</v>
      </c>
      <c r="H83" s="114" t="s">
        <v>4445</v>
      </c>
      <c r="I83" s="114" t="s">
        <v>3026</v>
      </c>
    </row>
    <row r="84" spans="1:9">
      <c r="A84" s="114" t="s">
        <v>4417</v>
      </c>
      <c r="B84" s="114" t="s">
        <v>3716</v>
      </c>
      <c r="C84" s="114" t="s">
        <v>2064</v>
      </c>
      <c r="D84" s="114" t="s">
        <v>2131</v>
      </c>
      <c r="E84" s="114" t="s">
        <v>4446</v>
      </c>
      <c r="F84" s="114" t="s">
        <v>4447</v>
      </c>
      <c r="G84" s="148">
        <v>4</v>
      </c>
      <c r="H84" s="114" t="s">
        <v>4448</v>
      </c>
      <c r="I84" s="114" t="s">
        <v>3027</v>
      </c>
    </row>
    <row r="85" spans="1:9">
      <c r="A85" s="114" t="s">
        <v>4417</v>
      </c>
      <c r="B85" s="114" t="s">
        <v>4450</v>
      </c>
      <c r="C85" s="114" t="s">
        <v>1658</v>
      </c>
      <c r="D85" s="114" t="s">
        <v>2086</v>
      </c>
      <c r="E85" s="114" t="s">
        <v>4451</v>
      </c>
      <c r="F85" s="114" t="s">
        <v>4452</v>
      </c>
      <c r="G85" s="148">
        <v>1.5</v>
      </c>
      <c r="H85" s="114" t="s">
        <v>4454</v>
      </c>
      <c r="I85" s="114" t="s">
        <v>4455</v>
      </c>
    </row>
    <row r="86" spans="1:9">
      <c r="A86" s="114" t="s">
        <v>4456</v>
      </c>
      <c r="B86" s="114" t="s">
        <v>3113</v>
      </c>
      <c r="C86" s="114" t="s">
        <v>2049</v>
      </c>
      <c r="D86" s="114" t="s">
        <v>3752</v>
      </c>
      <c r="E86" s="114" t="s">
        <v>4457</v>
      </c>
      <c r="F86" s="114" t="s">
        <v>4458</v>
      </c>
      <c r="G86" s="148">
        <v>5</v>
      </c>
      <c r="H86" s="114" t="s">
        <v>1367</v>
      </c>
      <c r="I86" s="114" t="s">
        <v>3028</v>
      </c>
    </row>
    <row r="87" spans="1:9">
      <c r="A87" s="114" t="s">
        <v>4456</v>
      </c>
      <c r="B87" s="114" t="s">
        <v>3114</v>
      </c>
      <c r="C87" s="114" t="s">
        <v>3939</v>
      </c>
      <c r="D87" s="114" t="s">
        <v>2154</v>
      </c>
      <c r="E87" s="114" t="s">
        <v>4459</v>
      </c>
      <c r="F87" s="114" t="s">
        <v>4460</v>
      </c>
      <c r="G87" s="148">
        <v>5</v>
      </c>
      <c r="H87" s="114" t="s">
        <v>4461</v>
      </c>
      <c r="I87" s="114" t="s">
        <v>4462</v>
      </c>
    </row>
    <row r="88" spans="1:9">
      <c r="A88" s="114" t="s">
        <v>4456</v>
      </c>
      <c r="B88" s="114" t="s">
        <v>3115</v>
      </c>
      <c r="C88" s="114" t="s">
        <v>2053</v>
      </c>
      <c r="D88" s="114" t="s">
        <v>2118</v>
      </c>
      <c r="E88" s="114" t="s">
        <v>4463</v>
      </c>
      <c r="F88" s="114" t="s">
        <v>4464</v>
      </c>
      <c r="G88" s="148">
        <v>4</v>
      </c>
      <c r="H88" s="114" t="s">
        <v>4465</v>
      </c>
      <c r="I88" s="114" t="s">
        <v>3029</v>
      </c>
    </row>
    <row r="89" spans="1:9">
      <c r="A89" s="114" t="s">
        <v>4456</v>
      </c>
      <c r="B89" s="114" t="s">
        <v>3116</v>
      </c>
      <c r="C89" s="114" t="s">
        <v>2068</v>
      </c>
      <c r="D89" s="114" t="s">
        <v>2178</v>
      </c>
      <c r="E89" s="114" t="s">
        <v>4466</v>
      </c>
      <c r="F89" s="114" t="s">
        <v>4467</v>
      </c>
      <c r="G89" s="148">
        <v>5</v>
      </c>
      <c r="H89" s="114" t="s">
        <v>1367</v>
      </c>
      <c r="I89" s="114" t="s">
        <v>3030</v>
      </c>
    </row>
    <row r="90" spans="1:9">
      <c r="A90" s="114" t="s">
        <v>4468</v>
      </c>
      <c r="B90" s="114" t="s">
        <v>3117</v>
      </c>
      <c r="C90" s="114" t="s">
        <v>2058</v>
      </c>
      <c r="D90" s="114" t="s">
        <v>2100</v>
      </c>
      <c r="E90" s="114" t="s">
        <v>4469</v>
      </c>
      <c r="F90" s="114" t="s">
        <v>4470</v>
      </c>
      <c r="G90" s="148">
        <v>8</v>
      </c>
      <c r="H90" s="114" t="s">
        <v>1367</v>
      </c>
      <c r="I90" s="114" t="s">
        <v>3031</v>
      </c>
    </row>
    <row r="91" spans="1:9">
      <c r="A91" s="114" t="s">
        <v>4468</v>
      </c>
      <c r="B91" s="114" t="s">
        <v>3118</v>
      </c>
      <c r="C91" s="114" t="s">
        <v>2058</v>
      </c>
      <c r="D91" s="114" t="s">
        <v>2100</v>
      </c>
      <c r="E91" s="114" t="s">
        <v>4471</v>
      </c>
      <c r="F91" s="114" t="s">
        <v>4472</v>
      </c>
      <c r="G91" s="148">
        <v>6</v>
      </c>
      <c r="H91" s="114" t="s">
        <v>1367</v>
      </c>
      <c r="I91" s="114" t="s">
        <v>3032</v>
      </c>
    </row>
    <row r="92" spans="1:9">
      <c r="A92" s="114" t="s">
        <v>4468</v>
      </c>
      <c r="B92" s="114" t="s">
        <v>3119</v>
      </c>
      <c r="C92" s="114" t="s">
        <v>2058</v>
      </c>
      <c r="D92" s="114" t="s">
        <v>2092</v>
      </c>
      <c r="E92" s="114" t="s">
        <v>4473</v>
      </c>
      <c r="F92" s="114" t="s">
        <v>4474</v>
      </c>
      <c r="G92" s="148">
        <v>5</v>
      </c>
      <c r="H92" s="114" t="s">
        <v>4475</v>
      </c>
      <c r="I92" s="114" t="s">
        <v>3033</v>
      </c>
    </row>
    <row r="93" spans="1:9">
      <c r="A93" s="114" t="s">
        <v>4468</v>
      </c>
      <c r="B93" s="114" t="s">
        <v>3120</v>
      </c>
      <c r="C93" s="114" t="s">
        <v>2064</v>
      </c>
      <c r="D93" s="114" t="s">
        <v>2124</v>
      </c>
      <c r="E93" s="114" t="s">
        <v>4476</v>
      </c>
      <c r="F93" s="114" t="s">
        <v>4477</v>
      </c>
      <c r="G93" s="148">
        <v>8</v>
      </c>
      <c r="H93" s="114" t="s">
        <v>1367</v>
      </c>
      <c r="I93" s="114" t="s">
        <v>3034</v>
      </c>
    </row>
    <row r="94" spans="1:9">
      <c r="A94" s="114" t="s">
        <v>4468</v>
      </c>
      <c r="B94" s="114" t="s">
        <v>3121</v>
      </c>
      <c r="C94" s="114" t="s">
        <v>2051</v>
      </c>
      <c r="D94" s="114" t="s">
        <v>2135</v>
      </c>
      <c r="E94" s="114" t="s">
        <v>4478</v>
      </c>
      <c r="F94" s="114" t="s">
        <v>4479</v>
      </c>
      <c r="G94" s="148">
        <v>6</v>
      </c>
      <c r="H94" s="114" t="s">
        <v>1367</v>
      </c>
      <c r="I94" s="114" t="s">
        <v>3035</v>
      </c>
    </row>
    <row r="95" spans="1:9">
      <c r="A95" s="114" t="s">
        <v>4468</v>
      </c>
      <c r="B95" s="114" t="s">
        <v>3122</v>
      </c>
      <c r="C95" s="114" t="s">
        <v>2051</v>
      </c>
      <c r="D95" s="114" t="s">
        <v>2170</v>
      </c>
      <c r="E95" s="114" t="s">
        <v>4480</v>
      </c>
      <c r="F95" s="114" t="s">
        <v>4481</v>
      </c>
      <c r="G95" s="148">
        <v>8</v>
      </c>
      <c r="H95" s="114" t="s">
        <v>1367</v>
      </c>
      <c r="I95" s="114" t="s">
        <v>3036</v>
      </c>
    </row>
  </sheetData>
  <phoneticPr fontId="2"/>
  <conditionalFormatting sqref="A2:G56">
    <cfRule type="expression" dxfId="0" priority="1">
      <formula>$G2="外部待ち"</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H30" sqref="H30"/>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30" t="s">
        <v>948</v>
      </c>
      <c r="B1" s="130" t="s">
        <v>1361</v>
      </c>
      <c r="C1" s="130" t="s">
        <v>3139</v>
      </c>
      <c r="D1" s="130" t="s">
        <v>947</v>
      </c>
      <c r="E1" s="130" t="s">
        <v>3140</v>
      </c>
      <c r="F1" s="130" t="s">
        <v>3141</v>
      </c>
      <c r="G1" s="130" t="s">
        <v>3142</v>
      </c>
      <c r="H1" s="130" t="s">
        <v>3143</v>
      </c>
      <c r="I1" s="130" t="s">
        <v>3144</v>
      </c>
      <c r="J1" s="130" t="s">
        <v>3145</v>
      </c>
      <c r="K1" s="130" t="s">
        <v>3146</v>
      </c>
    </row>
    <row r="2" spans="1:11">
      <c r="A2" s="100" t="s">
        <v>2828</v>
      </c>
      <c r="B2" s="100" t="s">
        <v>2829</v>
      </c>
      <c r="C2" s="100" t="s">
        <v>2830</v>
      </c>
      <c r="D2" s="100" t="s">
        <v>2831</v>
      </c>
      <c r="E2" s="100" t="s">
        <v>2832</v>
      </c>
      <c r="F2" s="131">
        <v>0.5</v>
      </c>
      <c r="G2" s="132">
        <v>250</v>
      </c>
      <c r="H2" s="133">
        <v>15.6</v>
      </c>
      <c r="I2" s="132">
        <v>250</v>
      </c>
      <c r="J2" s="133">
        <v>15.6</v>
      </c>
      <c r="K2" s="100" t="s">
        <v>1695</v>
      </c>
    </row>
    <row r="3" spans="1:11">
      <c r="A3" s="100" t="s">
        <v>2828</v>
      </c>
      <c r="B3" s="100" t="s">
        <v>2833</v>
      </c>
      <c r="C3" s="100" t="s">
        <v>2834</v>
      </c>
      <c r="D3" s="100" t="s">
        <v>2835</v>
      </c>
      <c r="E3" s="100" t="s">
        <v>2832</v>
      </c>
      <c r="F3" s="131">
        <v>0.25</v>
      </c>
      <c r="G3" s="132">
        <v>250</v>
      </c>
      <c r="H3" s="133">
        <v>7.8</v>
      </c>
      <c r="I3" s="132">
        <v>250</v>
      </c>
      <c r="J3" s="133">
        <v>7.8</v>
      </c>
      <c r="K3" s="100" t="s">
        <v>1695</v>
      </c>
    </row>
    <row r="4" spans="1:11">
      <c r="A4" s="100" t="s">
        <v>2836</v>
      </c>
      <c r="B4" s="100" t="s">
        <v>2837</v>
      </c>
      <c r="C4" s="100" t="s">
        <v>2838</v>
      </c>
      <c r="D4" s="100" t="s">
        <v>2839</v>
      </c>
      <c r="E4" s="100" t="s">
        <v>2840</v>
      </c>
      <c r="F4" s="131">
        <v>1</v>
      </c>
      <c r="G4" s="132">
        <v>50</v>
      </c>
      <c r="H4" s="133">
        <v>6.2</v>
      </c>
      <c r="I4" s="132">
        <v>50</v>
      </c>
      <c r="J4" s="133">
        <v>6.2</v>
      </c>
      <c r="K4" s="100" t="s">
        <v>1695</v>
      </c>
    </row>
    <row r="5" spans="1:11">
      <c r="A5" s="100" t="s">
        <v>2836</v>
      </c>
      <c r="B5" s="100" t="s">
        <v>2841</v>
      </c>
      <c r="C5" s="100" t="s">
        <v>2842</v>
      </c>
      <c r="D5" s="100" t="s">
        <v>2843</v>
      </c>
      <c r="E5" s="100" t="s">
        <v>2840</v>
      </c>
      <c r="F5" s="131">
        <v>1</v>
      </c>
      <c r="G5" s="132">
        <v>50</v>
      </c>
      <c r="H5" s="133">
        <v>6.2</v>
      </c>
      <c r="I5" s="132">
        <v>50</v>
      </c>
      <c r="J5" s="133">
        <v>6.2</v>
      </c>
      <c r="K5" s="100" t="s">
        <v>1695</v>
      </c>
    </row>
    <row r="6" spans="1:11">
      <c r="A6" s="100" t="s">
        <v>2836</v>
      </c>
      <c r="B6" s="100" t="s">
        <v>2844</v>
      </c>
      <c r="C6" s="100" t="s">
        <v>2845</v>
      </c>
      <c r="D6" s="100" t="s">
        <v>3147</v>
      </c>
      <c r="E6" s="100" t="s">
        <v>2840</v>
      </c>
      <c r="F6" s="131">
        <v>1</v>
      </c>
      <c r="G6" s="132">
        <v>50</v>
      </c>
      <c r="H6" s="133">
        <v>6.2</v>
      </c>
      <c r="I6" s="132">
        <v>50</v>
      </c>
      <c r="J6" s="133">
        <v>6.2</v>
      </c>
      <c r="K6" s="100" t="s">
        <v>1695</v>
      </c>
    </row>
    <row r="7" spans="1:11">
      <c r="A7" s="100" t="s">
        <v>2846</v>
      </c>
      <c r="B7" s="100" t="s">
        <v>2847</v>
      </c>
      <c r="C7" s="100" t="s">
        <v>2848</v>
      </c>
      <c r="D7" s="100" t="s">
        <v>2849</v>
      </c>
      <c r="E7" s="100" t="s">
        <v>2850</v>
      </c>
      <c r="F7" s="131">
        <v>4</v>
      </c>
      <c r="G7" s="132">
        <v>12</v>
      </c>
      <c r="H7" s="133">
        <v>6</v>
      </c>
      <c r="I7" s="132">
        <v>12</v>
      </c>
      <c r="J7" s="133">
        <v>6</v>
      </c>
      <c r="K7" s="100" t="s">
        <v>1695</v>
      </c>
    </row>
    <row r="8" spans="1:11">
      <c r="A8" s="100" t="s">
        <v>2846</v>
      </c>
      <c r="B8" s="100" t="s">
        <v>2851</v>
      </c>
      <c r="C8" s="100" t="s">
        <v>2852</v>
      </c>
      <c r="D8" s="100" t="s">
        <v>3148</v>
      </c>
      <c r="E8" s="100" t="s">
        <v>2850</v>
      </c>
      <c r="F8" s="131">
        <v>2</v>
      </c>
      <c r="G8" s="132">
        <v>12</v>
      </c>
      <c r="H8" s="133">
        <v>3</v>
      </c>
      <c r="I8" s="132">
        <v>12</v>
      </c>
      <c r="J8" s="133">
        <v>3</v>
      </c>
      <c r="K8" s="100" t="s">
        <v>1695</v>
      </c>
    </row>
    <row r="9" spans="1:11">
      <c r="A9" s="100" t="s">
        <v>2846</v>
      </c>
      <c r="B9" s="100" t="s">
        <v>2853</v>
      </c>
      <c r="C9" s="100" t="s">
        <v>2854</v>
      </c>
      <c r="D9" s="100" t="s">
        <v>2855</v>
      </c>
      <c r="E9" s="100" t="s">
        <v>2850</v>
      </c>
      <c r="F9" s="131">
        <v>4</v>
      </c>
      <c r="G9" s="132">
        <v>12</v>
      </c>
      <c r="H9" s="133">
        <v>6</v>
      </c>
      <c r="I9" s="132">
        <v>12</v>
      </c>
      <c r="J9" s="133">
        <v>6</v>
      </c>
      <c r="K9" s="100" t="s">
        <v>1695</v>
      </c>
    </row>
    <row r="10" spans="1:11">
      <c r="A10" s="100" t="s">
        <v>2846</v>
      </c>
      <c r="B10" s="100" t="s">
        <v>2856</v>
      </c>
      <c r="C10" s="100" t="s">
        <v>2857</v>
      </c>
      <c r="D10" s="100" t="s">
        <v>2858</v>
      </c>
      <c r="E10" s="100" t="s">
        <v>2850</v>
      </c>
      <c r="F10" s="131">
        <v>2</v>
      </c>
      <c r="G10" s="132">
        <v>12</v>
      </c>
      <c r="H10" s="133">
        <v>3</v>
      </c>
      <c r="I10" s="132">
        <v>12</v>
      </c>
      <c r="J10" s="133">
        <v>3</v>
      </c>
      <c r="K10" s="100" t="s">
        <v>1695</v>
      </c>
    </row>
    <row r="11" spans="1:11">
      <c r="A11" s="100" t="s">
        <v>2846</v>
      </c>
      <c r="B11" s="100" t="s">
        <v>2859</v>
      </c>
      <c r="C11" s="100" t="s">
        <v>2860</v>
      </c>
      <c r="D11" s="100" t="s">
        <v>2861</v>
      </c>
      <c r="E11" s="100" t="s">
        <v>2850</v>
      </c>
      <c r="F11" s="131">
        <v>2</v>
      </c>
      <c r="G11" s="132">
        <v>12</v>
      </c>
      <c r="H11" s="133">
        <v>3</v>
      </c>
      <c r="I11" s="132">
        <v>12</v>
      </c>
      <c r="J11" s="133">
        <v>3</v>
      </c>
      <c r="K11" s="100" t="s">
        <v>1695</v>
      </c>
    </row>
    <row r="12" spans="1:11">
      <c r="A12" s="100" t="s">
        <v>2846</v>
      </c>
      <c r="B12" s="100" t="s">
        <v>2862</v>
      </c>
      <c r="C12" s="100" t="s">
        <v>2863</v>
      </c>
      <c r="D12" s="100" t="s">
        <v>2864</v>
      </c>
      <c r="E12" s="100" t="s">
        <v>2850</v>
      </c>
      <c r="F12" s="131">
        <v>2</v>
      </c>
      <c r="G12" s="132">
        <v>12</v>
      </c>
      <c r="H12" s="133">
        <v>3</v>
      </c>
      <c r="I12" s="132">
        <v>12</v>
      </c>
      <c r="J12" s="133">
        <v>3</v>
      </c>
      <c r="K12" s="100" t="s">
        <v>1695</v>
      </c>
    </row>
    <row r="13" spans="1:11">
      <c r="A13" s="100" t="s">
        <v>2865</v>
      </c>
      <c r="B13" s="100" t="s">
        <v>2866</v>
      </c>
      <c r="C13" s="100" t="s">
        <v>2867</v>
      </c>
      <c r="D13" s="100" t="s">
        <v>2868</v>
      </c>
      <c r="E13" s="100" t="s">
        <v>2869</v>
      </c>
      <c r="F13" s="131">
        <v>8</v>
      </c>
      <c r="G13" s="132">
        <v>4</v>
      </c>
      <c r="H13" s="133">
        <v>4</v>
      </c>
      <c r="I13" s="132">
        <v>4</v>
      </c>
      <c r="J13" s="133">
        <v>4</v>
      </c>
      <c r="K13" s="100" t="s">
        <v>1695</v>
      </c>
    </row>
    <row r="14" spans="1:11">
      <c r="A14" s="100" t="s">
        <v>2865</v>
      </c>
      <c r="B14" s="100" t="s">
        <v>2870</v>
      </c>
      <c r="C14" s="100" t="s">
        <v>2871</v>
      </c>
      <c r="D14" s="100" t="s">
        <v>2872</v>
      </c>
      <c r="E14" s="100" t="s">
        <v>2869</v>
      </c>
      <c r="F14" s="131">
        <v>4</v>
      </c>
      <c r="G14" s="132">
        <v>4</v>
      </c>
      <c r="H14" s="133">
        <v>2</v>
      </c>
      <c r="I14" s="132">
        <v>4</v>
      </c>
      <c r="J14" s="133">
        <v>2</v>
      </c>
      <c r="K14" s="100" t="s">
        <v>1695</v>
      </c>
    </row>
    <row r="15" spans="1:11">
      <c r="A15" s="100" t="s">
        <v>2865</v>
      </c>
      <c r="B15" s="100" t="s">
        <v>2873</v>
      </c>
      <c r="C15" s="100" t="s">
        <v>2874</v>
      </c>
      <c r="D15" s="100" t="s">
        <v>2875</v>
      </c>
      <c r="E15" s="100" t="s">
        <v>2869</v>
      </c>
      <c r="F15" s="131">
        <v>4</v>
      </c>
      <c r="G15" s="132">
        <v>4</v>
      </c>
      <c r="H15" s="133">
        <v>2</v>
      </c>
      <c r="I15" s="132">
        <v>4</v>
      </c>
      <c r="J15" s="133">
        <v>2</v>
      </c>
      <c r="K15" s="100" t="s">
        <v>1695</v>
      </c>
    </row>
    <row r="16" spans="1:11">
      <c r="A16" s="100" t="s">
        <v>2876</v>
      </c>
      <c r="B16" s="100" t="s">
        <v>2877</v>
      </c>
      <c r="C16" s="100" t="s">
        <v>2878</v>
      </c>
      <c r="D16" s="100" t="s">
        <v>2879</v>
      </c>
      <c r="E16" s="100" t="s">
        <v>2880</v>
      </c>
      <c r="F16" s="131">
        <v>8</v>
      </c>
      <c r="G16" s="132">
        <v>1</v>
      </c>
      <c r="H16" s="133">
        <v>1</v>
      </c>
      <c r="I16" s="132">
        <v>1</v>
      </c>
      <c r="J16" s="133">
        <v>1</v>
      </c>
      <c r="K16" s="100" t="s">
        <v>1695</v>
      </c>
    </row>
    <row r="17" spans="1:11">
      <c r="A17" s="100" t="s">
        <v>2876</v>
      </c>
      <c r="B17" s="100" t="s">
        <v>2881</v>
      </c>
      <c r="C17" s="100" t="s">
        <v>2882</v>
      </c>
      <c r="D17" s="100" t="s">
        <v>2883</v>
      </c>
      <c r="E17" s="100" t="s">
        <v>2880</v>
      </c>
      <c r="F17" s="131">
        <v>8</v>
      </c>
      <c r="G17" s="132">
        <v>1</v>
      </c>
      <c r="H17" s="133">
        <v>1</v>
      </c>
      <c r="I17" s="132">
        <v>1</v>
      </c>
      <c r="J17" s="133">
        <v>1</v>
      </c>
      <c r="K17" s="100" t="s">
        <v>1695</v>
      </c>
    </row>
    <row r="18" spans="1:11">
      <c r="A18" s="100" t="s">
        <v>2876</v>
      </c>
      <c r="B18" s="100" t="s">
        <v>2884</v>
      </c>
      <c r="C18" s="100" t="s">
        <v>3149</v>
      </c>
      <c r="D18" s="100" t="s">
        <v>2885</v>
      </c>
      <c r="E18" s="100" t="s">
        <v>2886</v>
      </c>
      <c r="F18" s="131">
        <v>40</v>
      </c>
      <c r="G18" s="132">
        <v>2</v>
      </c>
      <c r="H18" s="133">
        <v>10</v>
      </c>
      <c r="I18" s="132">
        <v>2</v>
      </c>
      <c r="J18" s="133">
        <v>10</v>
      </c>
      <c r="K18" s="100" t="s">
        <v>1695</v>
      </c>
    </row>
    <row r="19" spans="1:11">
      <c r="A19" s="100" t="s">
        <v>2876</v>
      </c>
      <c r="B19" s="100" t="s">
        <v>2887</v>
      </c>
      <c r="C19" s="100" t="s">
        <v>2888</v>
      </c>
      <c r="D19" s="100" t="s">
        <v>2889</v>
      </c>
      <c r="E19" s="100" t="s">
        <v>2880</v>
      </c>
      <c r="F19" s="131">
        <v>40</v>
      </c>
      <c r="G19" s="132">
        <v>1</v>
      </c>
      <c r="H19" s="133">
        <v>5</v>
      </c>
      <c r="I19" s="132">
        <v>1</v>
      </c>
      <c r="J19" s="133">
        <v>5</v>
      </c>
      <c r="K19" s="100" t="s">
        <v>1695</v>
      </c>
    </row>
    <row r="20" spans="1:11">
      <c r="A20" s="100" t="s">
        <v>2876</v>
      </c>
      <c r="B20" s="100" t="s">
        <v>2890</v>
      </c>
      <c r="C20" s="100" t="s">
        <v>2891</v>
      </c>
      <c r="D20" s="100" t="s">
        <v>2892</v>
      </c>
      <c r="E20" s="100" t="s">
        <v>2880</v>
      </c>
      <c r="F20" s="131">
        <v>24</v>
      </c>
      <c r="G20" s="132">
        <v>1</v>
      </c>
      <c r="H20" s="133">
        <v>3</v>
      </c>
      <c r="I20" s="132">
        <v>1</v>
      </c>
      <c r="J20" s="133">
        <v>3</v>
      </c>
      <c r="K20" s="100" t="s">
        <v>1695</v>
      </c>
    </row>
    <row r="21" spans="1:11">
      <c r="A21" s="100" t="s">
        <v>2876</v>
      </c>
      <c r="B21" s="100" t="s">
        <v>2893</v>
      </c>
      <c r="C21" s="100" t="s">
        <v>2894</v>
      </c>
      <c r="D21" s="100" t="s">
        <v>2895</v>
      </c>
      <c r="E21" s="100" t="s">
        <v>2886</v>
      </c>
      <c r="F21" s="131">
        <v>8</v>
      </c>
      <c r="G21" s="132">
        <v>2</v>
      </c>
      <c r="H21" s="133">
        <v>2</v>
      </c>
      <c r="I21" s="132">
        <v>2</v>
      </c>
      <c r="J21" s="133">
        <v>2</v>
      </c>
      <c r="K21" s="100" t="s">
        <v>1695</v>
      </c>
    </row>
    <row r="22" spans="1:11">
      <c r="A22" s="100" t="s">
        <v>2876</v>
      </c>
      <c r="B22" s="100" t="s">
        <v>2896</v>
      </c>
      <c r="C22" s="100" t="s">
        <v>2897</v>
      </c>
      <c r="D22" s="100" t="s">
        <v>2898</v>
      </c>
      <c r="E22" s="100" t="s">
        <v>2880</v>
      </c>
      <c r="F22" s="131">
        <v>16</v>
      </c>
      <c r="G22" s="132">
        <v>1</v>
      </c>
      <c r="H22" s="133">
        <v>2</v>
      </c>
      <c r="I22" s="132">
        <v>1</v>
      </c>
      <c r="J22" s="133">
        <v>2</v>
      </c>
      <c r="K22" s="100" t="s">
        <v>1695</v>
      </c>
    </row>
    <row r="23" spans="1:11">
      <c r="A23" s="100" t="s">
        <v>2899</v>
      </c>
      <c r="B23" s="100" t="s">
        <v>2900</v>
      </c>
      <c r="C23" s="100" t="s">
        <v>3150</v>
      </c>
      <c r="D23" s="100" t="s">
        <v>3151</v>
      </c>
      <c r="E23" s="100" t="s">
        <v>2901</v>
      </c>
      <c r="F23" s="131">
        <v>8</v>
      </c>
      <c r="G23" s="132">
        <v>50</v>
      </c>
      <c r="H23" s="133">
        <v>50</v>
      </c>
      <c r="I23" s="132">
        <v>30</v>
      </c>
      <c r="J23" s="133">
        <v>30</v>
      </c>
      <c r="K23" s="100" t="s">
        <v>1695</v>
      </c>
    </row>
    <row r="24" spans="1:11">
      <c r="A24" s="100" t="s">
        <v>2899</v>
      </c>
      <c r="B24" s="100" t="s">
        <v>2902</v>
      </c>
      <c r="C24" s="100" t="s">
        <v>2108</v>
      </c>
      <c r="D24" s="100" t="s">
        <v>2903</v>
      </c>
      <c r="E24" s="100" t="s">
        <v>2901</v>
      </c>
      <c r="F24" s="131">
        <v>4</v>
      </c>
      <c r="G24" s="132">
        <v>2</v>
      </c>
      <c r="H24" s="133">
        <v>1</v>
      </c>
      <c r="I24" s="132">
        <v>5</v>
      </c>
      <c r="J24" s="133">
        <v>2.5</v>
      </c>
      <c r="K24" s="100" t="s">
        <v>1695</v>
      </c>
    </row>
    <row r="25" spans="1:11">
      <c r="A25" s="100" t="s">
        <v>2899</v>
      </c>
      <c r="B25" s="100" t="s">
        <v>2904</v>
      </c>
      <c r="C25" s="100" t="s">
        <v>2905</v>
      </c>
      <c r="D25" s="100" t="s">
        <v>2906</v>
      </c>
      <c r="E25" s="100" t="s">
        <v>2901</v>
      </c>
      <c r="F25" s="131">
        <v>4</v>
      </c>
      <c r="G25" s="132">
        <v>20</v>
      </c>
      <c r="H25" s="133">
        <v>10</v>
      </c>
      <c r="I25" s="132">
        <v>10</v>
      </c>
      <c r="J25" s="133">
        <v>5</v>
      </c>
      <c r="K25" s="100" t="s">
        <v>1695</v>
      </c>
    </row>
    <row r="26" spans="1:11">
      <c r="A26" s="100" t="s">
        <v>2899</v>
      </c>
      <c r="B26" s="100" t="s">
        <v>2907</v>
      </c>
      <c r="C26" s="100" t="s">
        <v>2908</v>
      </c>
      <c r="D26" s="100" t="s">
        <v>2909</v>
      </c>
      <c r="E26" s="100" t="s">
        <v>2901</v>
      </c>
      <c r="F26" s="131">
        <v>2</v>
      </c>
      <c r="G26" s="132">
        <v>10</v>
      </c>
      <c r="H26" s="133">
        <v>2.5</v>
      </c>
      <c r="I26" s="132">
        <v>17</v>
      </c>
      <c r="J26" s="133">
        <v>4.2</v>
      </c>
      <c r="K26" s="100" t="s">
        <v>1695</v>
      </c>
    </row>
    <row r="27" spans="1:11">
      <c r="A27" s="100" t="s">
        <v>2899</v>
      </c>
      <c r="B27" s="100" t="s">
        <v>2910</v>
      </c>
      <c r="C27" s="100" t="s">
        <v>2911</v>
      </c>
      <c r="D27" s="100" t="s">
        <v>2912</v>
      </c>
      <c r="E27" s="100" t="s">
        <v>2913</v>
      </c>
      <c r="F27" s="131">
        <v>1</v>
      </c>
      <c r="G27" s="132">
        <v>240</v>
      </c>
      <c r="H27" s="133">
        <v>30</v>
      </c>
      <c r="I27" s="132">
        <v>240</v>
      </c>
      <c r="J27" s="133">
        <v>30</v>
      </c>
      <c r="K27" s="100" t="s">
        <v>1695</v>
      </c>
    </row>
    <row r="28" spans="1:11">
      <c r="A28" s="100" t="s">
        <v>2899</v>
      </c>
      <c r="B28" s="100" t="s">
        <v>2914</v>
      </c>
      <c r="C28" s="100" t="s">
        <v>2915</v>
      </c>
      <c r="D28" s="100" t="s">
        <v>2916</v>
      </c>
      <c r="E28" s="100" t="s">
        <v>2917</v>
      </c>
      <c r="F28" s="131">
        <v>8</v>
      </c>
      <c r="G28" s="132">
        <v>4</v>
      </c>
      <c r="H28" s="133">
        <v>4</v>
      </c>
      <c r="I28" s="132">
        <v>4</v>
      </c>
      <c r="J28" s="133">
        <v>4</v>
      </c>
      <c r="K28" s="100" t="s">
        <v>1695</v>
      </c>
    </row>
    <row r="29" spans="1:11">
      <c r="A29" s="100" t="s">
        <v>2899</v>
      </c>
      <c r="B29" s="100" t="s">
        <v>2918</v>
      </c>
      <c r="C29" s="100" t="s">
        <v>2919</v>
      </c>
      <c r="D29" s="100" t="s">
        <v>2920</v>
      </c>
      <c r="E29" s="100" t="s">
        <v>2921</v>
      </c>
      <c r="F29" s="131">
        <v>2</v>
      </c>
      <c r="G29" s="132">
        <v>48</v>
      </c>
      <c r="H29" s="133">
        <v>12</v>
      </c>
      <c r="I29" s="132">
        <v>48</v>
      </c>
      <c r="J29" s="133">
        <v>12</v>
      </c>
      <c r="K29" s="100" t="s">
        <v>1695</v>
      </c>
    </row>
    <row r="30" spans="1:11">
      <c r="A30" s="100"/>
      <c r="B30" s="100"/>
      <c r="C30" s="134" t="s">
        <v>3</v>
      </c>
      <c r="D30" s="134"/>
      <c r="E30" s="134"/>
      <c r="F30" s="134"/>
      <c r="G30" s="134"/>
      <c r="H30" s="135">
        <f>SUM(H2:H29)</f>
        <v>207.5</v>
      </c>
      <c r="I30" s="134"/>
      <c r="J30" s="135">
        <f>SUM(J2:J29)</f>
        <v>185.7</v>
      </c>
      <c r="K30" s="1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B13" sqref="B13"/>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12" t="s">
        <v>1647</v>
      </c>
      <c r="B1" s="112" t="s">
        <v>1360</v>
      </c>
      <c r="C1" s="112" t="s">
        <v>1643</v>
      </c>
      <c r="D1" s="112" t="s">
        <v>3123</v>
      </c>
      <c r="E1" s="112" t="s">
        <v>1363</v>
      </c>
      <c r="F1"/>
      <c r="G1"/>
      <c r="H1"/>
      <c r="I1"/>
      <c r="J1"/>
      <c r="K1"/>
      <c r="L1"/>
      <c r="M1"/>
      <c r="N1"/>
      <c r="O1"/>
      <c r="P1"/>
      <c r="Q1"/>
      <c r="R1"/>
      <c r="S1"/>
      <c r="T1"/>
      <c r="U1"/>
      <c r="V1"/>
      <c r="W1"/>
    </row>
    <row r="2" spans="1:23" ht="20">
      <c r="A2" s="128" t="s">
        <v>2000</v>
      </c>
      <c r="B2" s="128" t="s">
        <v>1691</v>
      </c>
      <c r="C2" s="128" t="s">
        <v>3124</v>
      </c>
      <c r="D2" s="129">
        <v>4</v>
      </c>
      <c r="E2" s="129">
        <v>4</v>
      </c>
      <c r="F2"/>
      <c r="G2"/>
      <c r="H2"/>
      <c r="I2"/>
      <c r="J2"/>
      <c r="K2"/>
      <c r="L2"/>
      <c r="M2"/>
      <c r="N2"/>
      <c r="O2"/>
      <c r="P2"/>
      <c r="Q2"/>
      <c r="R2"/>
      <c r="S2"/>
      <c r="T2"/>
      <c r="U2"/>
      <c r="V2"/>
      <c r="W2"/>
    </row>
    <row r="3" spans="1:23" ht="20">
      <c r="A3" s="128" t="s">
        <v>2001</v>
      </c>
      <c r="B3" s="128" t="s">
        <v>1691</v>
      </c>
      <c r="C3" s="128" t="s">
        <v>3727</v>
      </c>
      <c r="D3" s="129">
        <v>17</v>
      </c>
      <c r="E3" s="129">
        <v>28</v>
      </c>
      <c r="F3"/>
      <c r="G3"/>
      <c r="H3"/>
      <c r="I3"/>
      <c r="J3"/>
      <c r="K3"/>
      <c r="L3"/>
      <c r="M3"/>
      <c r="N3"/>
      <c r="O3"/>
      <c r="P3"/>
      <c r="Q3"/>
      <c r="R3"/>
      <c r="S3"/>
      <c r="T3"/>
      <c r="U3"/>
      <c r="V3"/>
      <c r="W3"/>
    </row>
    <row r="4" spans="1:23" ht="20">
      <c r="A4" s="128" t="s">
        <v>2002</v>
      </c>
      <c r="B4" s="128" t="s">
        <v>1691</v>
      </c>
      <c r="C4" s="128" t="s">
        <v>3728</v>
      </c>
      <c r="D4" s="129">
        <v>4</v>
      </c>
      <c r="E4" s="129">
        <v>5.5</v>
      </c>
      <c r="F4"/>
      <c r="G4"/>
      <c r="H4"/>
      <c r="I4"/>
      <c r="J4"/>
      <c r="K4"/>
      <c r="L4"/>
      <c r="M4"/>
      <c r="N4"/>
      <c r="O4"/>
      <c r="P4"/>
      <c r="Q4"/>
      <c r="R4"/>
      <c r="S4"/>
      <c r="T4"/>
      <c r="U4"/>
      <c r="V4"/>
      <c r="W4"/>
    </row>
    <row r="5" spans="1:23" ht="20">
      <c r="A5" s="128" t="s">
        <v>1648</v>
      </c>
      <c r="B5" s="128" t="s">
        <v>1691</v>
      </c>
      <c r="C5" s="128" t="s">
        <v>2003</v>
      </c>
      <c r="D5" s="129">
        <v>2</v>
      </c>
      <c r="E5" s="129">
        <v>1</v>
      </c>
      <c r="F5"/>
      <c r="G5"/>
      <c r="H5"/>
      <c r="I5"/>
      <c r="J5"/>
      <c r="K5"/>
      <c r="L5"/>
      <c r="M5"/>
      <c r="N5"/>
      <c r="O5"/>
      <c r="P5"/>
      <c r="Q5"/>
      <c r="R5"/>
      <c r="S5"/>
      <c r="T5"/>
      <c r="U5"/>
      <c r="V5"/>
      <c r="W5"/>
    </row>
    <row r="6" spans="1:23" ht="20">
      <c r="A6" s="128" t="s">
        <v>2004</v>
      </c>
      <c r="B6" s="128" t="s">
        <v>1691</v>
      </c>
      <c r="C6" s="128" t="s">
        <v>3125</v>
      </c>
      <c r="D6" s="129">
        <v>0</v>
      </c>
      <c r="E6" s="129">
        <v>0</v>
      </c>
      <c r="F6"/>
      <c r="G6"/>
      <c r="H6"/>
      <c r="I6"/>
      <c r="J6"/>
      <c r="K6"/>
      <c r="L6"/>
      <c r="M6"/>
      <c r="N6"/>
      <c r="O6"/>
      <c r="P6"/>
      <c r="Q6"/>
      <c r="R6"/>
      <c r="S6"/>
      <c r="T6"/>
      <c r="U6"/>
      <c r="V6"/>
      <c r="W6"/>
    </row>
    <row r="7" spans="1:23" ht="20">
      <c r="A7" s="128" t="s">
        <v>1649</v>
      </c>
      <c r="B7" s="128" t="s">
        <v>1691</v>
      </c>
      <c r="C7" s="128" t="s">
        <v>3126</v>
      </c>
      <c r="D7" s="129">
        <v>1</v>
      </c>
      <c r="E7" s="129">
        <v>1</v>
      </c>
      <c r="F7"/>
      <c r="G7"/>
      <c r="H7"/>
      <c r="I7"/>
      <c r="J7"/>
      <c r="K7"/>
      <c r="L7"/>
      <c r="M7"/>
      <c r="N7"/>
      <c r="O7"/>
      <c r="P7"/>
      <c r="Q7"/>
      <c r="R7"/>
      <c r="S7"/>
      <c r="T7"/>
      <c r="U7"/>
      <c r="V7"/>
      <c r="W7"/>
    </row>
    <row r="8" spans="1:23" ht="20">
      <c r="A8" s="128" t="s">
        <v>2005</v>
      </c>
      <c r="B8" s="128" t="s">
        <v>1691</v>
      </c>
      <c r="C8" s="128" t="s">
        <v>2006</v>
      </c>
      <c r="D8" s="129">
        <v>5</v>
      </c>
      <c r="E8" s="129">
        <v>9</v>
      </c>
      <c r="F8"/>
      <c r="G8"/>
      <c r="H8"/>
      <c r="I8"/>
      <c r="J8"/>
      <c r="K8"/>
      <c r="L8"/>
      <c r="M8"/>
      <c r="N8"/>
      <c r="O8"/>
      <c r="P8"/>
      <c r="Q8"/>
      <c r="R8"/>
      <c r="S8"/>
      <c r="T8"/>
      <c r="U8"/>
      <c r="V8"/>
      <c r="W8"/>
    </row>
    <row r="9" spans="1:23" ht="20">
      <c r="A9" s="128" t="s">
        <v>2007</v>
      </c>
      <c r="B9" s="128" t="s">
        <v>1691</v>
      </c>
      <c r="C9" s="128" t="s">
        <v>3127</v>
      </c>
      <c r="D9" s="129">
        <v>2</v>
      </c>
      <c r="E9" s="129">
        <v>2</v>
      </c>
      <c r="F9"/>
      <c r="G9"/>
      <c r="H9"/>
      <c r="I9"/>
      <c r="J9"/>
      <c r="K9"/>
      <c r="L9"/>
      <c r="M9"/>
      <c r="N9"/>
      <c r="O9"/>
      <c r="P9"/>
      <c r="Q9"/>
      <c r="R9"/>
      <c r="S9"/>
      <c r="T9"/>
      <c r="U9"/>
      <c r="V9"/>
      <c r="W9"/>
    </row>
    <row r="10" spans="1:23" ht="20">
      <c r="A10" s="128" t="s">
        <v>292</v>
      </c>
      <c r="B10" s="128" t="s">
        <v>1691</v>
      </c>
      <c r="C10" s="128" t="s">
        <v>2008</v>
      </c>
      <c r="D10" s="129">
        <v>1</v>
      </c>
      <c r="E10" s="129">
        <v>0.5</v>
      </c>
      <c r="F10"/>
      <c r="G10"/>
      <c r="H10"/>
      <c r="I10"/>
      <c r="J10"/>
      <c r="K10"/>
      <c r="L10"/>
      <c r="M10"/>
      <c r="N10"/>
      <c r="O10"/>
      <c r="P10"/>
      <c r="Q10"/>
      <c r="R10"/>
      <c r="S10"/>
      <c r="T10"/>
      <c r="U10"/>
      <c r="V10"/>
      <c r="W10"/>
    </row>
    <row r="11" spans="1:23" ht="20">
      <c r="A11" s="128" t="s">
        <v>2009</v>
      </c>
      <c r="B11" s="128" t="s">
        <v>2010</v>
      </c>
      <c r="C11" s="128" t="s">
        <v>3128</v>
      </c>
      <c r="D11" s="129">
        <v>6</v>
      </c>
      <c r="E11" s="129">
        <v>6.75</v>
      </c>
      <c r="F11"/>
      <c r="G11"/>
      <c r="H11"/>
      <c r="I11"/>
      <c r="J11"/>
      <c r="K11"/>
      <c r="L11"/>
      <c r="M11"/>
      <c r="N11"/>
      <c r="O11"/>
      <c r="P11"/>
      <c r="Q11"/>
      <c r="R11"/>
      <c r="S11"/>
      <c r="T11"/>
      <c r="U11"/>
      <c r="V11"/>
      <c r="W11"/>
    </row>
    <row r="12" spans="1:23" ht="20">
      <c r="A12" s="128" t="s">
        <v>2011</v>
      </c>
      <c r="B12" s="128" t="s">
        <v>2010</v>
      </c>
      <c r="C12" s="128" t="s">
        <v>2012</v>
      </c>
      <c r="D12" s="129">
        <v>3</v>
      </c>
      <c r="E12" s="129">
        <v>3.75</v>
      </c>
      <c r="F12"/>
      <c r="G12"/>
      <c r="H12"/>
      <c r="I12"/>
      <c r="J12"/>
      <c r="K12"/>
      <c r="L12"/>
      <c r="M12"/>
      <c r="N12"/>
      <c r="O12"/>
      <c r="P12"/>
      <c r="Q12"/>
      <c r="R12"/>
      <c r="S12"/>
      <c r="T12"/>
      <c r="U12"/>
      <c r="V12"/>
      <c r="W12"/>
    </row>
    <row r="13" spans="1:23" ht="20">
      <c r="A13" s="128" t="s">
        <v>2013</v>
      </c>
      <c r="B13" s="128" t="s">
        <v>2010</v>
      </c>
      <c r="C13" s="128" t="s">
        <v>3129</v>
      </c>
      <c r="D13" s="129">
        <v>4</v>
      </c>
      <c r="E13" s="129">
        <v>4</v>
      </c>
      <c r="F13"/>
      <c r="G13"/>
      <c r="H13"/>
      <c r="I13"/>
      <c r="J13"/>
      <c r="K13"/>
      <c r="L13"/>
      <c r="M13"/>
      <c r="N13"/>
      <c r="O13"/>
      <c r="P13"/>
      <c r="Q13"/>
      <c r="R13"/>
      <c r="S13"/>
      <c r="T13"/>
      <c r="U13"/>
      <c r="V13"/>
      <c r="W13"/>
    </row>
    <row r="14" spans="1:23" ht="20">
      <c r="A14" s="128" t="s">
        <v>2014</v>
      </c>
      <c r="B14" s="128" t="s">
        <v>2010</v>
      </c>
      <c r="C14" s="128" t="s">
        <v>3130</v>
      </c>
      <c r="D14" s="129">
        <v>0</v>
      </c>
      <c r="E14" s="129">
        <v>0</v>
      </c>
      <c r="F14"/>
      <c r="G14"/>
      <c r="H14"/>
      <c r="I14"/>
      <c r="J14"/>
      <c r="K14"/>
      <c r="L14"/>
      <c r="M14"/>
      <c r="N14"/>
      <c r="O14"/>
      <c r="P14"/>
      <c r="Q14"/>
      <c r="R14"/>
      <c r="S14"/>
      <c r="T14"/>
      <c r="U14"/>
      <c r="V14"/>
      <c r="W14"/>
    </row>
    <row r="15" spans="1:23" ht="20">
      <c r="A15" s="128" t="s">
        <v>2015</v>
      </c>
      <c r="B15" s="128" t="s">
        <v>2010</v>
      </c>
      <c r="C15" s="128" t="s">
        <v>3131</v>
      </c>
      <c r="D15" s="129">
        <v>2</v>
      </c>
      <c r="E15" s="129">
        <v>2</v>
      </c>
      <c r="F15"/>
      <c r="G15"/>
      <c r="H15"/>
      <c r="I15"/>
      <c r="J15"/>
      <c r="K15"/>
      <c r="L15"/>
      <c r="M15"/>
      <c r="N15"/>
      <c r="O15"/>
      <c r="P15"/>
      <c r="Q15"/>
      <c r="R15"/>
      <c r="S15"/>
      <c r="T15"/>
      <c r="U15"/>
      <c r="V15"/>
      <c r="W15"/>
    </row>
    <row r="16" spans="1:23" ht="20">
      <c r="A16" s="128" t="s">
        <v>3132</v>
      </c>
      <c r="B16" s="128" t="s">
        <v>2010</v>
      </c>
      <c r="C16" s="128" t="s">
        <v>3729</v>
      </c>
      <c r="D16" s="129">
        <v>3</v>
      </c>
      <c r="E16" s="129">
        <v>6</v>
      </c>
      <c r="F16"/>
      <c r="G16"/>
      <c r="H16"/>
      <c r="I16"/>
      <c r="J16"/>
      <c r="K16"/>
      <c r="L16"/>
      <c r="M16"/>
      <c r="N16"/>
      <c r="O16"/>
      <c r="P16"/>
      <c r="Q16"/>
      <c r="R16"/>
      <c r="S16"/>
      <c r="T16"/>
      <c r="U16"/>
      <c r="V16"/>
      <c r="W16"/>
    </row>
    <row r="17" spans="1:23" ht="20">
      <c r="A17" s="128" t="s">
        <v>1651</v>
      </c>
      <c r="B17" s="128" t="s">
        <v>2016</v>
      </c>
      <c r="C17" s="128" t="s">
        <v>3133</v>
      </c>
      <c r="D17" s="129">
        <v>2</v>
      </c>
      <c r="E17" s="129">
        <v>3</v>
      </c>
      <c r="F17"/>
      <c r="G17"/>
      <c r="H17"/>
      <c r="I17"/>
      <c r="J17"/>
      <c r="K17"/>
      <c r="L17"/>
      <c r="M17"/>
      <c r="N17"/>
      <c r="O17"/>
      <c r="P17"/>
      <c r="Q17"/>
      <c r="R17"/>
      <c r="S17"/>
      <c r="T17"/>
      <c r="U17"/>
      <c r="V17"/>
      <c r="W17"/>
    </row>
    <row r="18" spans="1:23" ht="20">
      <c r="A18" s="128" t="s">
        <v>2017</v>
      </c>
      <c r="B18" s="128" t="s">
        <v>2016</v>
      </c>
      <c r="C18" s="128" t="s">
        <v>3134</v>
      </c>
      <c r="D18" s="129">
        <v>5</v>
      </c>
      <c r="E18" s="129">
        <v>5.5</v>
      </c>
      <c r="F18"/>
      <c r="G18"/>
      <c r="H18"/>
      <c r="I18"/>
      <c r="J18"/>
      <c r="K18"/>
      <c r="L18"/>
      <c r="M18"/>
      <c r="N18"/>
      <c r="O18"/>
      <c r="P18"/>
      <c r="Q18"/>
      <c r="R18"/>
      <c r="S18"/>
      <c r="T18"/>
      <c r="U18"/>
      <c r="V18"/>
      <c r="W18"/>
    </row>
    <row r="19" spans="1:23" ht="20">
      <c r="A19" s="128" t="s">
        <v>3135</v>
      </c>
      <c r="B19" s="128" t="s">
        <v>2016</v>
      </c>
      <c r="C19" s="128" t="s">
        <v>1995</v>
      </c>
      <c r="D19" s="129">
        <v>1</v>
      </c>
      <c r="E19" s="129">
        <v>1.5</v>
      </c>
      <c r="F19"/>
      <c r="G19"/>
      <c r="H19"/>
      <c r="I19"/>
      <c r="J19"/>
      <c r="K19"/>
      <c r="L19"/>
      <c r="M19"/>
      <c r="N19"/>
      <c r="O19"/>
      <c r="P19"/>
      <c r="Q19"/>
      <c r="R19"/>
      <c r="S19"/>
      <c r="T19"/>
      <c r="U19"/>
      <c r="V19"/>
      <c r="W19"/>
    </row>
    <row r="20" spans="1:23" ht="20">
      <c r="A20" s="128" t="s">
        <v>2018</v>
      </c>
      <c r="B20" s="128" t="s">
        <v>1692</v>
      </c>
      <c r="C20" s="128" t="s">
        <v>3136</v>
      </c>
      <c r="D20" s="129">
        <v>2</v>
      </c>
      <c r="E20" s="129">
        <v>3</v>
      </c>
      <c r="F20"/>
      <c r="G20"/>
      <c r="H20"/>
      <c r="I20"/>
      <c r="J20"/>
      <c r="K20"/>
      <c r="L20"/>
      <c r="M20"/>
      <c r="N20"/>
      <c r="O20"/>
      <c r="P20"/>
      <c r="Q20"/>
      <c r="R20"/>
      <c r="S20"/>
      <c r="T20"/>
      <c r="U20"/>
      <c r="V20"/>
      <c r="W20"/>
    </row>
    <row r="21" spans="1:23" ht="20">
      <c r="A21" s="128" t="s">
        <v>2019</v>
      </c>
      <c r="B21" s="128" t="s">
        <v>1692</v>
      </c>
      <c r="C21" s="128" t="s">
        <v>3730</v>
      </c>
      <c r="D21" s="129">
        <v>5</v>
      </c>
      <c r="E21" s="129">
        <v>10</v>
      </c>
      <c r="F21"/>
      <c r="G21"/>
      <c r="H21"/>
      <c r="I21"/>
      <c r="J21"/>
      <c r="K21"/>
      <c r="L21"/>
      <c r="M21"/>
      <c r="N21"/>
      <c r="O21"/>
      <c r="P21"/>
      <c r="Q21"/>
      <c r="R21"/>
      <c r="S21"/>
      <c r="T21"/>
      <c r="U21"/>
      <c r="V21"/>
      <c r="W21"/>
    </row>
    <row r="22" spans="1:23" ht="20">
      <c r="A22" s="128" t="s">
        <v>2020</v>
      </c>
      <c r="B22" s="128" t="s">
        <v>2021</v>
      </c>
      <c r="C22" s="128" t="s">
        <v>2022</v>
      </c>
      <c r="D22" s="129">
        <v>5</v>
      </c>
      <c r="E22" s="129">
        <v>6</v>
      </c>
      <c r="F22"/>
      <c r="G22"/>
      <c r="H22"/>
      <c r="I22"/>
      <c r="J22"/>
      <c r="K22"/>
      <c r="L22"/>
      <c r="M22"/>
      <c r="N22"/>
      <c r="O22"/>
      <c r="P22"/>
      <c r="Q22"/>
      <c r="R22"/>
      <c r="S22"/>
      <c r="T22"/>
      <c r="U22"/>
      <c r="V22"/>
      <c r="W22"/>
    </row>
    <row r="23" spans="1:23" ht="20">
      <c r="A23" s="128" t="s">
        <v>2023</v>
      </c>
      <c r="B23" s="128" t="s">
        <v>2021</v>
      </c>
      <c r="C23" s="128" t="s">
        <v>2024</v>
      </c>
      <c r="D23" s="129">
        <v>4</v>
      </c>
      <c r="E23" s="129">
        <v>3.5</v>
      </c>
      <c r="F23"/>
      <c r="G23"/>
      <c r="H23"/>
      <c r="I23"/>
      <c r="J23"/>
      <c r="K23"/>
      <c r="L23"/>
      <c r="M23"/>
      <c r="N23"/>
      <c r="O23"/>
      <c r="P23"/>
      <c r="Q23"/>
      <c r="R23"/>
      <c r="S23"/>
      <c r="T23"/>
      <c r="U23"/>
      <c r="V23"/>
      <c r="W23"/>
    </row>
    <row r="24" spans="1:23" ht="20">
      <c r="A24" s="128" t="s">
        <v>2025</v>
      </c>
      <c r="B24" s="128" t="s">
        <v>2021</v>
      </c>
      <c r="C24" s="128" t="s">
        <v>2026</v>
      </c>
      <c r="D24" s="129">
        <v>0</v>
      </c>
      <c r="E24" s="129">
        <v>0</v>
      </c>
      <c r="F24"/>
      <c r="G24"/>
      <c r="H24"/>
      <c r="I24"/>
      <c r="J24"/>
      <c r="K24"/>
      <c r="L24"/>
      <c r="M24"/>
      <c r="N24"/>
      <c r="O24"/>
      <c r="P24"/>
      <c r="Q24"/>
      <c r="R24"/>
      <c r="S24"/>
      <c r="T24"/>
      <c r="U24"/>
      <c r="V24"/>
      <c r="W24"/>
    </row>
    <row r="25" spans="1:23" ht="20">
      <c r="A25" s="128" t="s">
        <v>1655</v>
      </c>
      <c r="B25" s="128" t="s">
        <v>2021</v>
      </c>
      <c r="C25" s="128" t="s">
        <v>2027</v>
      </c>
      <c r="D25" s="129">
        <v>1</v>
      </c>
      <c r="E25" s="129">
        <v>1</v>
      </c>
      <c r="F25"/>
      <c r="G25"/>
      <c r="H25"/>
      <c r="I25"/>
      <c r="J25"/>
      <c r="K25"/>
      <c r="L25"/>
      <c r="M25"/>
      <c r="N25"/>
      <c r="O25"/>
      <c r="P25"/>
      <c r="Q25"/>
      <c r="R25"/>
      <c r="S25"/>
      <c r="T25"/>
      <c r="U25"/>
      <c r="V25"/>
      <c r="W25"/>
    </row>
    <row r="26" spans="1:23" ht="20">
      <c r="A26" s="128" t="s">
        <v>2028</v>
      </c>
      <c r="B26" s="128" t="s">
        <v>2029</v>
      </c>
      <c r="C26" s="128" t="s">
        <v>2030</v>
      </c>
      <c r="D26" s="129">
        <v>11</v>
      </c>
      <c r="E26" s="129">
        <v>17.5</v>
      </c>
      <c r="F26"/>
      <c r="G26"/>
      <c r="H26"/>
      <c r="I26"/>
      <c r="J26"/>
      <c r="K26"/>
      <c r="L26"/>
      <c r="M26"/>
      <c r="N26"/>
      <c r="O26"/>
      <c r="P26"/>
      <c r="Q26"/>
      <c r="R26"/>
      <c r="S26"/>
      <c r="T26"/>
      <c r="U26"/>
      <c r="V26"/>
      <c r="W26"/>
    </row>
    <row r="27" spans="1:23" ht="20">
      <c r="A27" s="128" t="s">
        <v>2031</v>
      </c>
      <c r="B27" s="128" t="s">
        <v>2029</v>
      </c>
      <c r="C27" s="128" t="s">
        <v>2032</v>
      </c>
      <c r="D27" s="129">
        <v>8</v>
      </c>
      <c r="E27" s="129">
        <v>17.5</v>
      </c>
      <c r="F27"/>
      <c r="G27"/>
      <c r="H27"/>
      <c r="I27"/>
      <c r="J27"/>
      <c r="K27"/>
      <c r="L27"/>
      <c r="M27"/>
      <c r="N27"/>
      <c r="O27"/>
      <c r="P27"/>
      <c r="Q27"/>
      <c r="R27"/>
      <c r="S27"/>
      <c r="T27"/>
      <c r="U27"/>
      <c r="V27"/>
      <c r="W27"/>
    </row>
    <row r="28" spans="1:23" ht="20">
      <c r="A28" s="128" t="s">
        <v>2033</v>
      </c>
      <c r="B28" s="128" t="s">
        <v>2029</v>
      </c>
      <c r="C28" s="128" t="s">
        <v>2034</v>
      </c>
      <c r="D28" s="129">
        <v>9</v>
      </c>
      <c r="E28" s="129">
        <v>14.5</v>
      </c>
      <c r="F28"/>
      <c r="G28"/>
      <c r="H28"/>
      <c r="I28"/>
      <c r="J28"/>
      <c r="K28"/>
      <c r="L28"/>
      <c r="M28"/>
      <c r="N28"/>
      <c r="O28"/>
      <c r="P28"/>
      <c r="Q28"/>
      <c r="R28"/>
      <c r="S28"/>
      <c r="T28"/>
      <c r="U28"/>
      <c r="V28"/>
      <c r="W28"/>
    </row>
    <row r="29" spans="1:23" ht="20">
      <c r="A29" s="128" t="s">
        <v>2035</v>
      </c>
      <c r="B29" s="128" t="s">
        <v>2029</v>
      </c>
      <c r="C29" s="128" t="s">
        <v>2036</v>
      </c>
      <c r="D29" s="129">
        <v>6</v>
      </c>
      <c r="E29" s="129">
        <v>10</v>
      </c>
      <c r="F29"/>
      <c r="G29"/>
      <c r="H29"/>
      <c r="I29"/>
      <c r="J29"/>
      <c r="K29"/>
      <c r="L29"/>
      <c r="M29"/>
      <c r="N29"/>
      <c r="O29"/>
      <c r="P29"/>
      <c r="Q29"/>
      <c r="R29"/>
      <c r="S29"/>
      <c r="T29"/>
      <c r="U29"/>
      <c r="V29"/>
      <c r="W29"/>
    </row>
    <row r="30" spans="1:23" ht="20">
      <c r="A30" s="128" t="s">
        <v>2037</v>
      </c>
      <c r="B30" s="128" t="s">
        <v>2029</v>
      </c>
      <c r="C30" s="128" t="s">
        <v>3137</v>
      </c>
      <c r="D30" s="129">
        <v>18</v>
      </c>
      <c r="E30" s="129">
        <v>27</v>
      </c>
      <c r="F30"/>
      <c r="G30"/>
      <c r="H30"/>
      <c r="I30"/>
      <c r="J30"/>
      <c r="K30"/>
      <c r="L30"/>
      <c r="M30"/>
      <c r="N30"/>
      <c r="O30"/>
      <c r="P30"/>
      <c r="Q30"/>
      <c r="R30"/>
      <c r="S30"/>
      <c r="T30"/>
      <c r="U30"/>
      <c r="V30"/>
      <c r="W30"/>
    </row>
    <row r="31" spans="1:23" ht="20">
      <c r="A31" s="128" t="s">
        <v>2038</v>
      </c>
      <c r="B31" s="128" t="s">
        <v>2029</v>
      </c>
      <c r="C31" s="128" t="s">
        <v>2039</v>
      </c>
      <c r="D31" s="129">
        <v>4</v>
      </c>
      <c r="E31" s="129">
        <v>4.5</v>
      </c>
      <c r="F31"/>
      <c r="G31"/>
      <c r="H31"/>
      <c r="I31"/>
      <c r="J31"/>
      <c r="K31"/>
      <c r="L31"/>
      <c r="M31"/>
      <c r="N31"/>
      <c r="O31"/>
      <c r="P31"/>
      <c r="Q31"/>
      <c r="R31"/>
      <c r="S31"/>
      <c r="T31"/>
      <c r="U31"/>
      <c r="V31"/>
      <c r="W31"/>
    </row>
    <row r="32" spans="1:23" ht="20">
      <c r="A32" s="128" t="s">
        <v>2040</v>
      </c>
      <c r="B32" s="128" t="s">
        <v>2029</v>
      </c>
      <c r="C32" s="128" t="s">
        <v>2041</v>
      </c>
      <c r="D32" s="129">
        <v>5</v>
      </c>
      <c r="E32" s="129">
        <v>7</v>
      </c>
      <c r="F32"/>
      <c r="G32"/>
      <c r="H32"/>
      <c r="I32"/>
      <c r="J32"/>
      <c r="K32"/>
      <c r="L32"/>
      <c r="M32"/>
      <c r="N32"/>
      <c r="O32"/>
      <c r="P32"/>
      <c r="Q32"/>
      <c r="R32"/>
      <c r="S32"/>
      <c r="T32"/>
      <c r="U32"/>
      <c r="V32"/>
      <c r="W32"/>
    </row>
    <row r="33" spans="1:23" ht="20">
      <c r="A33" s="128" t="s">
        <v>2042</v>
      </c>
      <c r="B33" s="128" t="s">
        <v>2029</v>
      </c>
      <c r="C33" s="128" t="s">
        <v>3138</v>
      </c>
      <c r="D33" s="129">
        <v>15</v>
      </c>
      <c r="E33" s="129">
        <v>24.5</v>
      </c>
      <c r="F33"/>
      <c r="G33"/>
      <c r="H33"/>
      <c r="I33"/>
      <c r="J33"/>
      <c r="K33"/>
      <c r="L33"/>
      <c r="M33"/>
      <c r="N33"/>
      <c r="O33"/>
      <c r="P33"/>
      <c r="Q33"/>
      <c r="R33"/>
      <c r="S33"/>
      <c r="T33"/>
      <c r="U33"/>
      <c r="V33"/>
      <c r="W33"/>
    </row>
    <row r="34" spans="1:23" ht="20">
      <c r="A34" s="128" t="s">
        <v>2043</v>
      </c>
      <c r="B34" s="128" t="s">
        <v>2029</v>
      </c>
      <c r="C34" s="128" t="s">
        <v>2044</v>
      </c>
      <c r="D34" s="129">
        <v>3</v>
      </c>
      <c r="E34" s="129">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sheetPr filterMode="1"/>
  <dimension ref="A1:V143"/>
  <sheetViews>
    <sheetView zoomScaleNormal="114" workbookViewId="0">
      <pane ySplit="1" topLeftCell="A2" activePane="bottomLeft" state="frozen"/>
      <selection pane="bottomLeft" activeCell="E18" sqref="E18"/>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12" t="s">
        <v>1360</v>
      </c>
      <c r="B1" s="112" t="s">
        <v>1647</v>
      </c>
      <c r="C1" s="112" t="s">
        <v>1600</v>
      </c>
      <c r="D1" s="112" t="s">
        <v>1590</v>
      </c>
      <c r="E1" s="112" t="s">
        <v>1643</v>
      </c>
      <c r="F1" s="112" t="s">
        <v>3173</v>
      </c>
      <c r="G1" s="112" t="s">
        <v>1996</v>
      </c>
      <c r="H1" s="112" t="s">
        <v>3123</v>
      </c>
      <c r="I1" s="112" t="s">
        <v>1363</v>
      </c>
      <c r="J1" s="112" t="s">
        <v>3174</v>
      </c>
    </row>
    <row r="2" spans="1:22">
      <c r="A2" s="128" t="s">
        <v>1691</v>
      </c>
      <c r="B2" s="128" t="s">
        <v>2000</v>
      </c>
      <c r="C2" s="128" t="s">
        <v>3155</v>
      </c>
      <c r="D2" s="128" t="s">
        <v>1507</v>
      </c>
      <c r="E2" s="128" t="s">
        <v>3175</v>
      </c>
      <c r="F2" s="137" t="s">
        <v>1420</v>
      </c>
      <c r="G2" s="137" t="s">
        <v>1357</v>
      </c>
      <c r="H2" s="129">
        <v>2</v>
      </c>
      <c r="I2" s="129">
        <v>3</v>
      </c>
      <c r="J2" s="129">
        <v>3</v>
      </c>
    </row>
    <row r="3" spans="1:22">
      <c r="A3" s="128" t="s">
        <v>1691</v>
      </c>
      <c r="B3" s="128" t="s">
        <v>2000</v>
      </c>
      <c r="C3" s="128" t="s">
        <v>1605</v>
      </c>
      <c r="D3" s="128" t="s">
        <v>1508</v>
      </c>
      <c r="E3" s="128" t="s">
        <v>3176</v>
      </c>
      <c r="F3" s="137" t="s">
        <v>1420</v>
      </c>
      <c r="G3" s="137" t="s">
        <v>1357</v>
      </c>
      <c r="H3" s="129">
        <v>1</v>
      </c>
      <c r="I3" s="129">
        <v>0.5</v>
      </c>
      <c r="J3" s="129">
        <v>0.5</v>
      </c>
    </row>
    <row r="4" spans="1:22" s="113" customFormat="1">
      <c r="A4" s="128" t="s">
        <v>1691</v>
      </c>
      <c r="B4" s="128" t="s">
        <v>2000</v>
      </c>
      <c r="C4" s="128" t="s">
        <v>3156</v>
      </c>
      <c r="D4" s="128" t="s">
        <v>1509</v>
      </c>
      <c r="E4" s="128" t="s">
        <v>3177</v>
      </c>
      <c r="F4" s="137" t="s">
        <v>1420</v>
      </c>
      <c r="G4" s="137" t="s">
        <v>1357</v>
      </c>
      <c r="H4" s="129">
        <v>1</v>
      </c>
      <c r="I4" s="129">
        <v>0.5</v>
      </c>
      <c r="J4" s="129">
        <v>0.5</v>
      </c>
      <c r="K4"/>
      <c r="L4"/>
      <c r="M4"/>
      <c r="N4"/>
      <c r="O4"/>
      <c r="P4"/>
      <c r="Q4"/>
      <c r="R4"/>
      <c r="S4"/>
      <c r="T4"/>
      <c r="U4"/>
      <c r="V4"/>
    </row>
    <row r="5" spans="1:22">
      <c r="A5" s="128" t="s">
        <v>1691</v>
      </c>
      <c r="B5" s="128" t="s">
        <v>2001</v>
      </c>
      <c r="C5" s="128" t="s">
        <v>3157</v>
      </c>
      <c r="D5" s="128" t="s">
        <v>1510</v>
      </c>
      <c r="E5" s="128" t="s">
        <v>2312</v>
      </c>
      <c r="F5" s="137" t="s">
        <v>1420</v>
      </c>
      <c r="G5" s="137" t="s">
        <v>1357</v>
      </c>
      <c r="H5" s="129">
        <v>9</v>
      </c>
      <c r="I5" s="129">
        <v>15.5</v>
      </c>
      <c r="J5" s="129">
        <v>13.5</v>
      </c>
    </row>
    <row r="6" spans="1:22">
      <c r="A6" s="128" t="s">
        <v>1691</v>
      </c>
      <c r="B6" s="128" t="s">
        <v>2001</v>
      </c>
      <c r="C6" s="128" t="s">
        <v>3158</v>
      </c>
      <c r="D6" s="128" t="s">
        <v>1511</v>
      </c>
      <c r="E6" s="128" t="s">
        <v>2313</v>
      </c>
      <c r="F6" s="137" t="s">
        <v>1420</v>
      </c>
      <c r="G6" s="137" t="s">
        <v>1357</v>
      </c>
      <c r="H6" s="129">
        <v>3</v>
      </c>
      <c r="I6" s="129">
        <v>6.5</v>
      </c>
      <c r="J6" s="129">
        <v>4.5</v>
      </c>
    </row>
    <row r="7" spans="1:22">
      <c r="A7" s="128" t="s">
        <v>1691</v>
      </c>
      <c r="B7" s="128" t="s">
        <v>2001</v>
      </c>
      <c r="C7" s="128" t="s">
        <v>2140</v>
      </c>
      <c r="D7" s="128" t="s">
        <v>1526</v>
      </c>
      <c r="E7" s="128" t="s">
        <v>3731</v>
      </c>
      <c r="F7" s="137" t="s">
        <v>1420</v>
      </c>
      <c r="G7" s="137" t="s">
        <v>1357</v>
      </c>
      <c r="H7" s="129">
        <v>1</v>
      </c>
      <c r="I7" s="129">
        <v>1</v>
      </c>
      <c r="J7" s="129">
        <v>1</v>
      </c>
    </row>
    <row r="8" spans="1:22">
      <c r="A8" s="128" t="s">
        <v>1691</v>
      </c>
      <c r="B8" s="128" t="s">
        <v>2001</v>
      </c>
      <c r="C8" s="128" t="s">
        <v>1615</v>
      </c>
      <c r="D8" s="128" t="s">
        <v>1527</v>
      </c>
      <c r="E8" s="128" t="s">
        <v>2314</v>
      </c>
      <c r="F8" s="137" t="s">
        <v>1420</v>
      </c>
      <c r="G8" s="137" t="s">
        <v>1357</v>
      </c>
      <c r="H8" s="129">
        <v>1</v>
      </c>
      <c r="I8" s="129">
        <v>0.5</v>
      </c>
      <c r="J8" s="129">
        <v>0.5</v>
      </c>
    </row>
    <row r="9" spans="1:22" hidden="1">
      <c r="A9" s="128" t="s">
        <v>1691</v>
      </c>
      <c r="B9" s="128" t="s">
        <v>2001</v>
      </c>
      <c r="C9" s="128" t="s">
        <v>2150</v>
      </c>
      <c r="D9" s="128" t="s">
        <v>1539</v>
      </c>
      <c r="E9" s="128" t="s">
        <v>2315</v>
      </c>
      <c r="F9" s="137" t="s">
        <v>1357</v>
      </c>
      <c r="G9" s="137" t="s">
        <v>1420</v>
      </c>
      <c r="H9" s="129">
        <v>0</v>
      </c>
      <c r="I9" s="129">
        <v>0</v>
      </c>
      <c r="J9" s="129">
        <v>0</v>
      </c>
    </row>
    <row r="10" spans="1:22" hidden="1">
      <c r="A10" s="128" t="s">
        <v>1691</v>
      </c>
      <c r="B10" s="128" t="s">
        <v>2001</v>
      </c>
      <c r="C10" s="128" t="s">
        <v>2151</v>
      </c>
      <c r="D10" s="128" t="s">
        <v>1540</v>
      </c>
      <c r="E10" s="128" t="s">
        <v>3178</v>
      </c>
      <c r="F10" s="137" t="s">
        <v>1357</v>
      </c>
      <c r="G10" s="137" t="s">
        <v>1420</v>
      </c>
      <c r="H10" s="129">
        <v>0</v>
      </c>
      <c r="I10" s="129">
        <v>0</v>
      </c>
      <c r="J10" s="129">
        <v>0</v>
      </c>
    </row>
    <row r="11" spans="1:22">
      <c r="A11" s="128" t="s">
        <v>1691</v>
      </c>
      <c r="B11" s="128" t="s">
        <v>2001</v>
      </c>
      <c r="C11" s="128" t="s">
        <v>3179</v>
      </c>
      <c r="D11" s="128" t="s">
        <v>1512</v>
      </c>
      <c r="E11" s="128" t="s">
        <v>3732</v>
      </c>
      <c r="F11" s="137" t="s">
        <v>1420</v>
      </c>
      <c r="G11" s="137" t="s">
        <v>1997</v>
      </c>
      <c r="H11" s="129">
        <v>3</v>
      </c>
      <c r="I11" s="129">
        <v>4.5</v>
      </c>
      <c r="J11" s="129">
        <v>4.5</v>
      </c>
    </row>
    <row r="12" spans="1:22">
      <c r="A12" s="128" t="s">
        <v>1691</v>
      </c>
      <c r="B12" s="128" t="s">
        <v>2002</v>
      </c>
      <c r="C12" s="128" t="s">
        <v>2094</v>
      </c>
      <c r="D12" s="128" t="s">
        <v>1506</v>
      </c>
      <c r="E12" s="128" t="s">
        <v>3733</v>
      </c>
      <c r="F12" s="137" t="s">
        <v>1420</v>
      </c>
      <c r="G12" s="137" t="s">
        <v>1997</v>
      </c>
      <c r="H12" s="129">
        <v>2</v>
      </c>
      <c r="I12" s="129">
        <v>2.5</v>
      </c>
      <c r="J12" s="129">
        <v>0.5</v>
      </c>
    </row>
    <row r="13" spans="1:22">
      <c r="A13" s="128" t="s">
        <v>1691</v>
      </c>
      <c r="B13" s="128" t="s">
        <v>2002</v>
      </c>
      <c r="C13" s="128" t="s">
        <v>3734</v>
      </c>
      <c r="D13" s="128" t="s">
        <v>3735</v>
      </c>
      <c r="E13" s="128" t="s">
        <v>3736</v>
      </c>
      <c r="F13" s="137" t="s">
        <v>1420</v>
      </c>
      <c r="G13" s="137" t="s">
        <v>1997</v>
      </c>
      <c r="H13" s="129">
        <v>2</v>
      </c>
      <c r="I13" s="129">
        <v>3</v>
      </c>
      <c r="J13" s="129">
        <v>3</v>
      </c>
    </row>
    <row r="14" spans="1:22">
      <c r="A14" s="128" t="s">
        <v>1691</v>
      </c>
      <c r="B14" s="128" t="s">
        <v>1648</v>
      </c>
      <c r="C14" s="128" t="s">
        <v>1606</v>
      </c>
      <c r="D14" s="128" t="s">
        <v>1513</v>
      </c>
      <c r="E14" s="128" t="s">
        <v>1597</v>
      </c>
      <c r="F14" s="137" t="s">
        <v>1420</v>
      </c>
      <c r="G14" s="137" t="s">
        <v>1357</v>
      </c>
      <c r="H14" s="129">
        <v>1</v>
      </c>
      <c r="I14" s="129">
        <v>0.5</v>
      </c>
      <c r="J14" s="129">
        <v>0</v>
      </c>
    </row>
    <row r="15" spans="1:22">
      <c r="A15" s="128" t="s">
        <v>1691</v>
      </c>
      <c r="B15" s="128" t="s">
        <v>1648</v>
      </c>
      <c r="C15" s="128" t="s">
        <v>1607</v>
      </c>
      <c r="D15" s="128" t="s">
        <v>1514</v>
      </c>
      <c r="E15" s="128" t="s">
        <v>3737</v>
      </c>
      <c r="F15" s="137" t="s">
        <v>1420</v>
      </c>
      <c r="G15" s="137" t="s">
        <v>1357</v>
      </c>
      <c r="H15" s="129">
        <v>0</v>
      </c>
      <c r="I15" s="129">
        <v>0</v>
      </c>
      <c r="J15" s="129">
        <v>0</v>
      </c>
    </row>
    <row r="16" spans="1:22">
      <c r="A16" s="128" t="s">
        <v>1691</v>
      </c>
      <c r="B16" s="128" t="s">
        <v>1648</v>
      </c>
      <c r="C16" s="128" t="s">
        <v>1608</v>
      </c>
      <c r="D16" s="128" t="s">
        <v>1515</v>
      </c>
      <c r="E16" s="128" t="s">
        <v>2316</v>
      </c>
      <c r="F16" s="137" t="s">
        <v>1420</v>
      </c>
      <c r="G16" s="137" t="s">
        <v>1357</v>
      </c>
      <c r="H16" s="129">
        <v>1</v>
      </c>
      <c r="I16" s="129">
        <v>0.5</v>
      </c>
      <c r="J16" s="129">
        <v>0</v>
      </c>
    </row>
    <row r="17" spans="1:10">
      <c r="A17" s="128" t="s">
        <v>1691</v>
      </c>
      <c r="B17" s="128" t="s">
        <v>1648</v>
      </c>
      <c r="C17" s="128" t="s">
        <v>1609</v>
      </c>
      <c r="D17" s="128" t="s">
        <v>1516</v>
      </c>
      <c r="E17" s="128" t="s">
        <v>2317</v>
      </c>
      <c r="F17" s="137" t="s">
        <v>1420</v>
      </c>
      <c r="G17" s="137" t="s">
        <v>1357</v>
      </c>
      <c r="H17" s="129">
        <v>0</v>
      </c>
      <c r="I17" s="129">
        <v>0</v>
      </c>
      <c r="J17" s="129">
        <v>0</v>
      </c>
    </row>
    <row r="18" spans="1:10" ht="40" customHeight="1">
      <c r="A18" s="128" t="s">
        <v>1691</v>
      </c>
      <c r="B18" s="128" t="s">
        <v>1648</v>
      </c>
      <c r="C18" s="128" t="s">
        <v>2142</v>
      </c>
      <c r="D18" s="128" t="s">
        <v>1517</v>
      </c>
      <c r="E18" s="128" t="s">
        <v>2318</v>
      </c>
      <c r="F18" s="137" t="s">
        <v>1420</v>
      </c>
      <c r="G18" s="137" t="s">
        <v>1357</v>
      </c>
      <c r="H18" s="129">
        <v>0</v>
      </c>
      <c r="I18" s="129">
        <v>0</v>
      </c>
      <c r="J18" s="129">
        <v>0</v>
      </c>
    </row>
    <row r="19" spans="1:10">
      <c r="A19" s="128" t="s">
        <v>1691</v>
      </c>
      <c r="B19" s="128" t="s">
        <v>1648</v>
      </c>
      <c r="C19" s="128" t="s">
        <v>1623</v>
      </c>
      <c r="D19" s="128" t="s">
        <v>1551</v>
      </c>
      <c r="E19" s="128" t="s">
        <v>3180</v>
      </c>
      <c r="F19" s="137" t="s">
        <v>1997</v>
      </c>
      <c r="G19" s="137" t="s">
        <v>1997</v>
      </c>
      <c r="H19" s="129">
        <v>0</v>
      </c>
      <c r="I19" s="129">
        <v>0</v>
      </c>
      <c r="J19" s="129">
        <v>0</v>
      </c>
    </row>
    <row r="20" spans="1:10" ht="66" customHeight="1">
      <c r="A20" s="128" t="s">
        <v>1691</v>
      </c>
      <c r="B20" s="128" t="s">
        <v>1648</v>
      </c>
      <c r="C20" s="128" t="s">
        <v>1604</v>
      </c>
      <c r="D20" s="128" t="s">
        <v>1520</v>
      </c>
      <c r="E20" s="128" t="s">
        <v>2319</v>
      </c>
      <c r="F20" s="137" t="s">
        <v>1420</v>
      </c>
      <c r="G20" s="137"/>
      <c r="H20" s="129">
        <v>0</v>
      </c>
      <c r="I20" s="129">
        <v>0</v>
      </c>
      <c r="J20" s="129">
        <v>0</v>
      </c>
    </row>
    <row r="21" spans="1:10">
      <c r="A21" s="128" t="s">
        <v>1691</v>
      </c>
      <c r="B21" s="128" t="s">
        <v>2004</v>
      </c>
      <c r="C21" s="128" t="s">
        <v>1612</v>
      </c>
      <c r="D21" s="128" t="s">
        <v>1521</v>
      </c>
      <c r="E21" s="128" t="s">
        <v>3181</v>
      </c>
      <c r="F21" s="137" t="s">
        <v>1420</v>
      </c>
      <c r="G21" s="137" t="s">
        <v>1357</v>
      </c>
      <c r="H21" s="129">
        <v>0</v>
      </c>
      <c r="I21" s="129">
        <v>0</v>
      </c>
      <c r="J21" s="129">
        <v>0</v>
      </c>
    </row>
    <row r="22" spans="1:10">
      <c r="A22" s="128" t="s">
        <v>1691</v>
      </c>
      <c r="B22" s="128" t="s">
        <v>2004</v>
      </c>
      <c r="C22" s="128" t="s">
        <v>1613</v>
      </c>
      <c r="D22" s="128" t="s">
        <v>1522</v>
      </c>
      <c r="E22" s="128" t="s">
        <v>1598</v>
      </c>
      <c r="F22" s="137" t="s">
        <v>1420</v>
      </c>
      <c r="G22" s="137" t="s">
        <v>1357</v>
      </c>
      <c r="H22" s="129">
        <v>0</v>
      </c>
      <c r="I22" s="129">
        <v>0</v>
      </c>
      <c r="J22" s="129">
        <v>0</v>
      </c>
    </row>
    <row r="23" spans="1:10" ht="58" customHeight="1">
      <c r="A23" s="128" t="s">
        <v>1691</v>
      </c>
      <c r="B23" s="128" t="s">
        <v>2004</v>
      </c>
      <c r="C23" s="128" t="s">
        <v>1622</v>
      </c>
      <c r="D23" s="128" t="s">
        <v>1549</v>
      </c>
      <c r="E23" s="128" t="s">
        <v>3182</v>
      </c>
      <c r="F23" s="137" t="s">
        <v>1997</v>
      </c>
      <c r="G23" s="137" t="s">
        <v>1997</v>
      </c>
      <c r="H23" s="129">
        <v>0</v>
      </c>
      <c r="I23" s="129">
        <v>0</v>
      </c>
      <c r="J23" s="129">
        <v>0</v>
      </c>
    </row>
    <row r="24" spans="1:10">
      <c r="A24" s="128" t="s">
        <v>1691</v>
      </c>
      <c r="B24" s="128" t="s">
        <v>2004</v>
      </c>
      <c r="C24" s="128" t="s">
        <v>1610</v>
      </c>
      <c r="D24" s="128" t="s">
        <v>1518</v>
      </c>
      <c r="E24" s="128" t="s">
        <v>2320</v>
      </c>
      <c r="F24" s="137" t="s">
        <v>1420</v>
      </c>
      <c r="G24" s="137" t="s">
        <v>1357</v>
      </c>
      <c r="H24" s="129">
        <v>0</v>
      </c>
      <c r="I24" s="129">
        <v>0</v>
      </c>
      <c r="J24" s="129">
        <v>0</v>
      </c>
    </row>
    <row r="25" spans="1:10">
      <c r="A25" s="128" t="s">
        <v>1691</v>
      </c>
      <c r="B25" s="128" t="s">
        <v>2004</v>
      </c>
      <c r="C25" s="128" t="s">
        <v>1611</v>
      </c>
      <c r="D25" s="128" t="s">
        <v>1519</v>
      </c>
      <c r="E25" s="128" t="s">
        <v>3183</v>
      </c>
      <c r="F25" s="137" t="s">
        <v>1420</v>
      </c>
      <c r="G25" s="137" t="s">
        <v>1357</v>
      </c>
      <c r="H25" s="129">
        <v>0</v>
      </c>
      <c r="I25" s="129">
        <v>0</v>
      </c>
      <c r="J25" s="129">
        <v>0</v>
      </c>
    </row>
    <row r="26" spans="1:10">
      <c r="A26" s="128" t="s">
        <v>1691</v>
      </c>
      <c r="B26" s="128" t="s">
        <v>1649</v>
      </c>
      <c r="C26" s="128" t="s">
        <v>1614</v>
      </c>
      <c r="D26" s="128" t="s">
        <v>1523</v>
      </c>
      <c r="E26" s="128" t="s">
        <v>2321</v>
      </c>
      <c r="F26" s="137" t="s">
        <v>1420</v>
      </c>
      <c r="G26" s="137" t="s">
        <v>1357</v>
      </c>
      <c r="H26" s="129">
        <v>0</v>
      </c>
      <c r="I26" s="129">
        <v>0</v>
      </c>
      <c r="J26" s="129">
        <v>0</v>
      </c>
    </row>
    <row r="27" spans="1:10" ht="40" customHeight="1">
      <c r="A27" s="128" t="s">
        <v>1691</v>
      </c>
      <c r="B27" s="128" t="s">
        <v>1649</v>
      </c>
      <c r="C27" s="128" t="s">
        <v>3159</v>
      </c>
      <c r="D27" s="128" t="s">
        <v>1524</v>
      </c>
      <c r="E27" s="128" t="s">
        <v>2322</v>
      </c>
      <c r="F27" s="137" t="s">
        <v>1420</v>
      </c>
      <c r="G27" s="137" t="s">
        <v>1357</v>
      </c>
      <c r="H27" s="129">
        <v>1</v>
      </c>
      <c r="I27" s="129">
        <v>1</v>
      </c>
      <c r="J27" s="129">
        <v>1</v>
      </c>
    </row>
    <row r="28" spans="1:10">
      <c r="A28" s="128" t="s">
        <v>1691</v>
      </c>
      <c r="B28" s="128" t="s">
        <v>1649</v>
      </c>
      <c r="C28" s="128" t="s">
        <v>1650</v>
      </c>
      <c r="D28" s="128" t="s">
        <v>1525</v>
      </c>
      <c r="E28" s="128" t="s">
        <v>2323</v>
      </c>
      <c r="F28" s="137" t="s">
        <v>1420</v>
      </c>
      <c r="G28" s="137" t="s">
        <v>1357</v>
      </c>
      <c r="H28" s="129">
        <v>0</v>
      </c>
      <c r="I28" s="129">
        <v>0</v>
      </c>
      <c r="J28" s="129">
        <v>0</v>
      </c>
    </row>
    <row r="29" spans="1:10">
      <c r="A29" s="128" t="s">
        <v>1691</v>
      </c>
      <c r="B29" s="128" t="s">
        <v>2005</v>
      </c>
      <c r="C29" s="128" t="s">
        <v>2137</v>
      </c>
      <c r="D29" s="128" t="s">
        <v>2256</v>
      </c>
      <c r="E29" s="128" t="s">
        <v>2324</v>
      </c>
      <c r="F29" s="137" t="s">
        <v>1420</v>
      </c>
      <c r="G29" s="137" t="s">
        <v>1357</v>
      </c>
      <c r="H29" s="129">
        <v>3</v>
      </c>
      <c r="I29" s="129">
        <v>5</v>
      </c>
      <c r="J29" s="129">
        <v>5</v>
      </c>
    </row>
    <row r="30" spans="1:10">
      <c r="A30" s="128" t="s">
        <v>1691</v>
      </c>
      <c r="B30" s="128" t="s">
        <v>2005</v>
      </c>
      <c r="C30" s="128" t="s">
        <v>2181</v>
      </c>
      <c r="D30" s="128" t="s">
        <v>2309</v>
      </c>
      <c r="E30" s="128" t="s">
        <v>2325</v>
      </c>
      <c r="F30" s="137" t="s">
        <v>1420</v>
      </c>
      <c r="G30" s="137" t="s">
        <v>1357</v>
      </c>
      <c r="H30" s="129">
        <v>2</v>
      </c>
      <c r="I30" s="129">
        <v>4</v>
      </c>
      <c r="J30" s="129">
        <v>4</v>
      </c>
    </row>
    <row r="31" spans="1:10">
      <c r="A31" s="128" t="s">
        <v>1691</v>
      </c>
      <c r="B31" s="128" t="s">
        <v>2005</v>
      </c>
      <c r="C31" s="128" t="s">
        <v>2114</v>
      </c>
      <c r="D31" s="128" t="s">
        <v>1552</v>
      </c>
      <c r="E31" s="128" t="s">
        <v>3184</v>
      </c>
      <c r="F31" s="137" t="s">
        <v>1997</v>
      </c>
      <c r="G31" s="137" t="s">
        <v>1997</v>
      </c>
      <c r="H31" s="129">
        <v>0</v>
      </c>
      <c r="I31" s="129">
        <v>0</v>
      </c>
      <c r="J31" s="129">
        <v>0</v>
      </c>
    </row>
    <row r="32" spans="1:10">
      <c r="A32" s="128" t="s">
        <v>1691</v>
      </c>
      <c r="B32" s="128" t="s">
        <v>2007</v>
      </c>
      <c r="C32" s="128" t="s">
        <v>2079</v>
      </c>
      <c r="D32" s="128" t="s">
        <v>2201</v>
      </c>
      <c r="E32" s="128" t="s">
        <v>3185</v>
      </c>
      <c r="F32" s="137" t="s">
        <v>1420</v>
      </c>
      <c r="G32" s="137" t="s">
        <v>1357</v>
      </c>
      <c r="H32" s="129">
        <v>1</v>
      </c>
      <c r="I32" s="129">
        <v>1</v>
      </c>
      <c r="J32" s="129">
        <v>1</v>
      </c>
    </row>
    <row r="33" spans="1:10">
      <c r="A33" s="128" t="s">
        <v>1691</v>
      </c>
      <c r="B33" s="128" t="s">
        <v>2007</v>
      </c>
      <c r="C33" s="128" t="s">
        <v>3160</v>
      </c>
      <c r="D33" s="128" t="s">
        <v>2282</v>
      </c>
      <c r="E33" s="128" t="s">
        <v>3186</v>
      </c>
      <c r="F33" s="137" t="s">
        <v>1420</v>
      </c>
      <c r="G33" s="137" t="s">
        <v>1357</v>
      </c>
      <c r="H33" s="129">
        <v>1</v>
      </c>
      <c r="I33" s="129">
        <v>1</v>
      </c>
      <c r="J33" s="129">
        <v>1</v>
      </c>
    </row>
    <row r="34" spans="1:10">
      <c r="A34" s="128" t="s">
        <v>1691</v>
      </c>
      <c r="B34" s="128" t="s">
        <v>2007</v>
      </c>
      <c r="C34" s="128" t="s">
        <v>2183</v>
      </c>
      <c r="D34" s="128" t="s">
        <v>2311</v>
      </c>
      <c r="E34" s="128" t="s">
        <v>2326</v>
      </c>
      <c r="F34" s="137" t="s">
        <v>1420</v>
      </c>
      <c r="G34" s="137" t="s">
        <v>1357</v>
      </c>
      <c r="H34" s="129">
        <v>0</v>
      </c>
      <c r="I34" s="129">
        <v>0</v>
      </c>
      <c r="J34" s="129">
        <v>0</v>
      </c>
    </row>
    <row r="35" spans="1:10">
      <c r="A35" s="128" t="s">
        <v>1691</v>
      </c>
      <c r="B35" s="128" t="s">
        <v>292</v>
      </c>
      <c r="C35" s="128" t="s">
        <v>2158</v>
      </c>
      <c r="D35" s="128" t="s">
        <v>2284</v>
      </c>
      <c r="E35" s="128" t="s">
        <v>3738</v>
      </c>
      <c r="F35" s="137" t="s">
        <v>1997</v>
      </c>
      <c r="G35" s="137" t="s">
        <v>1997</v>
      </c>
      <c r="H35" s="129">
        <v>1</v>
      </c>
      <c r="I35" s="129">
        <v>0.5</v>
      </c>
      <c r="J35" s="129">
        <v>0.5</v>
      </c>
    </row>
    <row r="36" spans="1:10">
      <c r="A36" s="128" t="s">
        <v>2010</v>
      </c>
      <c r="B36" s="128" t="s">
        <v>2009</v>
      </c>
      <c r="C36" s="128" t="s">
        <v>3161</v>
      </c>
      <c r="D36" s="128" t="s">
        <v>1528</v>
      </c>
      <c r="E36" s="128" t="s">
        <v>3187</v>
      </c>
      <c r="F36" s="137" t="s">
        <v>1420</v>
      </c>
      <c r="G36" s="137" t="s">
        <v>1357</v>
      </c>
      <c r="H36" s="129">
        <v>2</v>
      </c>
      <c r="I36" s="129">
        <v>4</v>
      </c>
      <c r="J36" s="129">
        <v>4</v>
      </c>
    </row>
    <row r="37" spans="1:10">
      <c r="A37" s="128" t="s">
        <v>2010</v>
      </c>
      <c r="B37" s="128" t="s">
        <v>2009</v>
      </c>
      <c r="C37" s="128" t="s">
        <v>3162</v>
      </c>
      <c r="D37" s="128" t="s">
        <v>1529</v>
      </c>
      <c r="E37" s="128" t="s">
        <v>3188</v>
      </c>
      <c r="F37" s="137" t="s">
        <v>1420</v>
      </c>
      <c r="G37" s="137" t="s">
        <v>1357</v>
      </c>
      <c r="H37" s="129">
        <v>1</v>
      </c>
      <c r="I37" s="129">
        <v>0.75</v>
      </c>
      <c r="J37" s="129">
        <v>0.75</v>
      </c>
    </row>
    <row r="38" spans="1:10">
      <c r="A38" s="128" t="s">
        <v>2010</v>
      </c>
      <c r="B38" s="128" t="s">
        <v>2009</v>
      </c>
      <c r="C38" s="128" t="s">
        <v>2143</v>
      </c>
      <c r="D38" s="128" t="s">
        <v>1530</v>
      </c>
      <c r="E38" s="128" t="s">
        <v>2327</v>
      </c>
      <c r="F38" s="137" t="s">
        <v>1420</v>
      </c>
      <c r="G38" s="137" t="s">
        <v>1357</v>
      </c>
      <c r="H38" s="129">
        <v>1</v>
      </c>
      <c r="I38" s="129">
        <v>1</v>
      </c>
      <c r="J38" s="129">
        <v>1</v>
      </c>
    </row>
    <row r="39" spans="1:10">
      <c r="A39" s="128" t="s">
        <v>2010</v>
      </c>
      <c r="B39" s="128" t="s">
        <v>2009</v>
      </c>
      <c r="C39" s="128" t="s">
        <v>3163</v>
      </c>
      <c r="D39" s="128" t="s">
        <v>1531</v>
      </c>
      <c r="E39" s="128" t="s">
        <v>3189</v>
      </c>
      <c r="F39" s="137" t="s">
        <v>1420</v>
      </c>
      <c r="G39" s="137" t="s">
        <v>1357</v>
      </c>
      <c r="H39" s="129">
        <v>1</v>
      </c>
      <c r="I39" s="129">
        <v>0.5</v>
      </c>
      <c r="J39" s="129">
        <v>0.5</v>
      </c>
    </row>
    <row r="40" spans="1:10">
      <c r="A40" s="128" t="s">
        <v>2010</v>
      </c>
      <c r="B40" s="128" t="s">
        <v>2009</v>
      </c>
      <c r="C40" s="128" t="s">
        <v>2145</v>
      </c>
      <c r="D40" s="128" t="s">
        <v>1532</v>
      </c>
      <c r="E40" s="128" t="s">
        <v>2328</v>
      </c>
      <c r="F40" s="137" t="s">
        <v>1420</v>
      </c>
      <c r="G40" s="137" t="s">
        <v>1357</v>
      </c>
      <c r="H40" s="129">
        <v>1</v>
      </c>
      <c r="I40" s="129">
        <v>0.5</v>
      </c>
      <c r="J40" s="129">
        <v>0.5</v>
      </c>
    </row>
    <row r="41" spans="1:10">
      <c r="A41" s="128" t="s">
        <v>2010</v>
      </c>
      <c r="B41" s="128" t="s">
        <v>2011</v>
      </c>
      <c r="C41" s="128" t="s">
        <v>1616</v>
      </c>
      <c r="D41" s="128" t="s">
        <v>1533</v>
      </c>
      <c r="E41" s="128" t="s">
        <v>3190</v>
      </c>
      <c r="F41" s="137" t="s">
        <v>1420</v>
      </c>
      <c r="G41" s="137" t="s">
        <v>1357</v>
      </c>
      <c r="H41" s="129">
        <v>2</v>
      </c>
      <c r="I41" s="129">
        <v>3</v>
      </c>
      <c r="J41" s="129">
        <v>3</v>
      </c>
    </row>
    <row r="42" spans="1:10">
      <c r="A42" s="128" t="s">
        <v>2010</v>
      </c>
      <c r="B42" s="128" t="s">
        <v>2011</v>
      </c>
      <c r="C42" s="128" t="s">
        <v>1617</v>
      </c>
      <c r="D42" s="128" t="s">
        <v>1534</v>
      </c>
      <c r="E42" s="128" t="s">
        <v>3191</v>
      </c>
      <c r="F42" s="137" t="s">
        <v>1997</v>
      </c>
      <c r="G42" s="137" t="s">
        <v>1997</v>
      </c>
      <c r="H42" s="129">
        <v>1</v>
      </c>
      <c r="I42" s="129">
        <v>0.75</v>
      </c>
      <c r="J42" s="129">
        <v>0.75</v>
      </c>
    </row>
    <row r="43" spans="1:10">
      <c r="A43" s="128" t="s">
        <v>2010</v>
      </c>
      <c r="B43" s="128" t="s">
        <v>2013</v>
      </c>
      <c r="C43" s="128" t="s">
        <v>3164</v>
      </c>
      <c r="D43" s="128" t="s">
        <v>1535</v>
      </c>
      <c r="E43" s="128" t="s">
        <v>3192</v>
      </c>
      <c r="F43" s="137" t="s">
        <v>1420</v>
      </c>
      <c r="G43" s="137" t="s">
        <v>1357</v>
      </c>
      <c r="H43" s="129">
        <v>1</v>
      </c>
      <c r="I43" s="129">
        <v>0.75</v>
      </c>
      <c r="J43" s="129">
        <v>0.75</v>
      </c>
    </row>
    <row r="44" spans="1:10">
      <c r="A44" s="128" t="s">
        <v>2010</v>
      </c>
      <c r="B44" s="128" t="s">
        <v>2013</v>
      </c>
      <c r="C44" s="128" t="s">
        <v>3165</v>
      </c>
      <c r="D44" s="128" t="s">
        <v>1536</v>
      </c>
      <c r="E44" s="128" t="s">
        <v>3193</v>
      </c>
      <c r="F44" s="137" t="s">
        <v>1420</v>
      </c>
      <c r="G44" s="137" t="s">
        <v>1357</v>
      </c>
      <c r="H44" s="129">
        <v>1</v>
      </c>
      <c r="I44" s="129">
        <v>0.75</v>
      </c>
      <c r="J44" s="129">
        <v>0.75</v>
      </c>
    </row>
    <row r="45" spans="1:10">
      <c r="A45" s="128" t="s">
        <v>2010</v>
      </c>
      <c r="B45" s="128" t="s">
        <v>2013</v>
      </c>
      <c r="C45" s="128" t="s">
        <v>1636</v>
      </c>
      <c r="D45" s="128" t="s">
        <v>1582</v>
      </c>
      <c r="E45" s="128" t="s">
        <v>3739</v>
      </c>
      <c r="F45" s="137" t="s">
        <v>1420</v>
      </c>
      <c r="G45" s="137" t="s">
        <v>1357</v>
      </c>
      <c r="H45" s="129">
        <v>1</v>
      </c>
      <c r="I45" s="129">
        <v>1</v>
      </c>
      <c r="J45" s="129">
        <v>1</v>
      </c>
    </row>
    <row r="46" spans="1:10">
      <c r="A46" s="128" t="s">
        <v>2010</v>
      </c>
      <c r="B46" s="128" t="s">
        <v>2013</v>
      </c>
      <c r="C46" s="128" t="s">
        <v>1642</v>
      </c>
      <c r="D46" s="128" t="s">
        <v>1589</v>
      </c>
      <c r="E46" s="128" t="s">
        <v>2329</v>
      </c>
      <c r="F46" s="137" t="s">
        <v>1420</v>
      </c>
      <c r="G46" s="137" t="s">
        <v>1357</v>
      </c>
      <c r="H46" s="129">
        <v>1</v>
      </c>
      <c r="I46" s="129">
        <v>1.5</v>
      </c>
      <c r="J46" s="129">
        <v>1.5</v>
      </c>
    </row>
    <row r="47" spans="1:10">
      <c r="A47" s="128" t="s">
        <v>2010</v>
      </c>
      <c r="B47" s="128" t="s">
        <v>2013</v>
      </c>
      <c r="C47" s="128" t="s">
        <v>1618</v>
      </c>
      <c r="D47" s="128" t="s">
        <v>1537</v>
      </c>
      <c r="E47" s="128" t="s">
        <v>3740</v>
      </c>
      <c r="F47" s="137" t="s">
        <v>1420</v>
      </c>
      <c r="G47" s="137" t="s">
        <v>1357</v>
      </c>
      <c r="H47" s="129">
        <v>0</v>
      </c>
      <c r="I47" s="129">
        <v>0</v>
      </c>
      <c r="J47" s="129">
        <v>0</v>
      </c>
    </row>
    <row r="48" spans="1:10">
      <c r="A48" s="128" t="s">
        <v>2010</v>
      </c>
      <c r="B48" s="128" t="s">
        <v>2013</v>
      </c>
      <c r="C48" s="128" t="s">
        <v>1619</v>
      </c>
      <c r="D48" s="128" t="s">
        <v>1538</v>
      </c>
      <c r="E48" s="128" t="s">
        <v>3741</v>
      </c>
      <c r="F48" s="137" t="s">
        <v>1420</v>
      </c>
      <c r="G48" s="137" t="s">
        <v>1357</v>
      </c>
      <c r="H48" s="129">
        <v>0</v>
      </c>
      <c r="I48" s="129">
        <v>0</v>
      </c>
      <c r="J48" s="129">
        <v>0</v>
      </c>
    </row>
    <row r="49" spans="1:10">
      <c r="A49" s="128" t="s">
        <v>2010</v>
      </c>
      <c r="B49" s="128" t="s">
        <v>2014</v>
      </c>
      <c r="C49" s="128" t="s">
        <v>3194</v>
      </c>
      <c r="D49" s="128" t="s">
        <v>1543</v>
      </c>
      <c r="E49" s="128" t="s">
        <v>3195</v>
      </c>
      <c r="F49" s="137" t="s">
        <v>1997</v>
      </c>
      <c r="G49" s="137" t="s">
        <v>1997</v>
      </c>
      <c r="H49" s="129">
        <v>0</v>
      </c>
      <c r="I49" s="129">
        <v>0</v>
      </c>
      <c r="J49" s="129">
        <v>0</v>
      </c>
    </row>
    <row r="50" spans="1:10">
      <c r="A50" s="128" t="s">
        <v>2010</v>
      </c>
      <c r="B50" s="128" t="s">
        <v>2014</v>
      </c>
      <c r="C50" s="128" t="s">
        <v>3196</v>
      </c>
      <c r="D50" s="128" t="s">
        <v>1544</v>
      </c>
      <c r="E50" s="128" t="s">
        <v>3197</v>
      </c>
      <c r="F50" s="137" t="s">
        <v>1997</v>
      </c>
      <c r="G50" s="137" t="s">
        <v>1997</v>
      </c>
      <c r="H50" s="129">
        <v>0</v>
      </c>
      <c r="I50" s="129">
        <v>0</v>
      </c>
      <c r="J50" s="129">
        <v>0</v>
      </c>
    </row>
    <row r="51" spans="1:10">
      <c r="A51" s="128" t="s">
        <v>2010</v>
      </c>
      <c r="B51" s="128" t="s">
        <v>2014</v>
      </c>
      <c r="C51" s="128" t="s">
        <v>3198</v>
      </c>
      <c r="D51" s="128" t="s">
        <v>1545</v>
      </c>
      <c r="E51" s="128" t="s">
        <v>3199</v>
      </c>
      <c r="F51" s="137" t="s">
        <v>1997</v>
      </c>
      <c r="G51" s="137" t="s">
        <v>1997</v>
      </c>
      <c r="H51" s="129">
        <v>0</v>
      </c>
      <c r="I51" s="129">
        <v>0</v>
      </c>
      <c r="J51" s="129">
        <v>0</v>
      </c>
    </row>
    <row r="52" spans="1:10">
      <c r="A52" s="128" t="s">
        <v>2010</v>
      </c>
      <c r="B52" s="128" t="s">
        <v>2014</v>
      </c>
      <c r="C52" s="128" t="s">
        <v>3200</v>
      </c>
      <c r="D52" s="128" t="s">
        <v>1546</v>
      </c>
      <c r="E52" s="128" t="s">
        <v>3201</v>
      </c>
      <c r="F52" s="137" t="s">
        <v>1997</v>
      </c>
      <c r="G52" s="137" t="s">
        <v>1997</v>
      </c>
      <c r="H52" s="129">
        <v>0</v>
      </c>
      <c r="I52" s="129">
        <v>0</v>
      </c>
      <c r="J52" s="129">
        <v>0</v>
      </c>
    </row>
    <row r="53" spans="1:10">
      <c r="A53" s="128" t="s">
        <v>2010</v>
      </c>
      <c r="B53" s="128" t="s">
        <v>2014</v>
      </c>
      <c r="C53" s="128" t="s">
        <v>3202</v>
      </c>
      <c r="D53" s="128" t="s">
        <v>1547</v>
      </c>
      <c r="E53" s="128" t="s">
        <v>3203</v>
      </c>
      <c r="F53" s="137" t="s">
        <v>1997</v>
      </c>
      <c r="G53" s="137" t="s">
        <v>1997</v>
      </c>
      <c r="H53" s="129">
        <v>0</v>
      </c>
      <c r="I53" s="129">
        <v>0</v>
      </c>
      <c r="J53" s="129">
        <v>0</v>
      </c>
    </row>
    <row r="54" spans="1:10">
      <c r="A54" s="128" t="s">
        <v>2010</v>
      </c>
      <c r="B54" s="128" t="s">
        <v>2014</v>
      </c>
      <c r="C54" s="128" t="s">
        <v>3204</v>
      </c>
      <c r="D54" s="128" t="s">
        <v>1548</v>
      </c>
      <c r="E54" s="128" t="s">
        <v>3205</v>
      </c>
      <c r="F54" s="137" t="s">
        <v>1997</v>
      </c>
      <c r="G54" s="137" t="s">
        <v>1997</v>
      </c>
      <c r="H54" s="129">
        <v>0</v>
      </c>
      <c r="I54" s="129">
        <v>0</v>
      </c>
      <c r="J54" s="129">
        <v>0</v>
      </c>
    </row>
    <row r="55" spans="1:10">
      <c r="A55" s="128" t="s">
        <v>2010</v>
      </c>
      <c r="B55" s="128" t="s">
        <v>2014</v>
      </c>
      <c r="C55" s="128" t="s">
        <v>3206</v>
      </c>
      <c r="D55" s="128" t="s">
        <v>1550</v>
      </c>
      <c r="E55" s="128" t="s">
        <v>3207</v>
      </c>
      <c r="F55" s="137" t="s">
        <v>1997</v>
      </c>
      <c r="G55" s="137" t="s">
        <v>1997</v>
      </c>
      <c r="H55" s="129">
        <v>0</v>
      </c>
      <c r="I55" s="129">
        <v>0</v>
      </c>
      <c r="J55" s="129">
        <v>0</v>
      </c>
    </row>
    <row r="56" spans="1:10">
      <c r="A56" s="128" t="s">
        <v>2010</v>
      </c>
      <c r="B56" s="128" t="s">
        <v>2014</v>
      </c>
      <c r="C56" s="128" t="s">
        <v>3208</v>
      </c>
      <c r="D56" s="128" t="s">
        <v>1562</v>
      </c>
      <c r="E56" s="128" t="s">
        <v>3209</v>
      </c>
      <c r="F56" s="137" t="s">
        <v>1997</v>
      </c>
      <c r="G56" s="137" t="s">
        <v>1997</v>
      </c>
      <c r="H56" s="129">
        <v>0</v>
      </c>
      <c r="I56" s="129">
        <v>0</v>
      </c>
      <c r="J56" s="129">
        <v>0</v>
      </c>
    </row>
    <row r="57" spans="1:10">
      <c r="A57" s="128" t="s">
        <v>2010</v>
      </c>
      <c r="B57" s="128" t="s">
        <v>2014</v>
      </c>
      <c r="C57" s="128" t="s">
        <v>1601</v>
      </c>
      <c r="D57" s="128" t="s">
        <v>1563</v>
      </c>
      <c r="E57" s="128" t="s">
        <v>3210</v>
      </c>
      <c r="F57" s="137" t="s">
        <v>1997</v>
      </c>
      <c r="G57" s="137" t="s">
        <v>1997</v>
      </c>
      <c r="H57" s="129">
        <v>0</v>
      </c>
      <c r="I57" s="129">
        <v>0</v>
      </c>
      <c r="J57" s="129">
        <v>0</v>
      </c>
    </row>
    <row r="58" spans="1:10">
      <c r="A58" s="128" t="s">
        <v>2010</v>
      </c>
      <c r="B58" s="128" t="s">
        <v>2015</v>
      </c>
      <c r="C58" s="128" t="s">
        <v>1652</v>
      </c>
      <c r="D58" s="128" t="s">
        <v>1556</v>
      </c>
      <c r="E58" s="128" t="s">
        <v>3211</v>
      </c>
      <c r="F58" s="137" t="s">
        <v>1420</v>
      </c>
      <c r="G58" s="137" t="s">
        <v>1357</v>
      </c>
      <c r="H58" s="129">
        <v>1</v>
      </c>
      <c r="I58" s="129">
        <v>1</v>
      </c>
      <c r="J58" s="129">
        <v>1</v>
      </c>
    </row>
    <row r="59" spans="1:10">
      <c r="A59" s="128" t="s">
        <v>2010</v>
      </c>
      <c r="B59" s="128" t="s">
        <v>2015</v>
      </c>
      <c r="C59" s="128" t="s">
        <v>1653</v>
      </c>
      <c r="D59" s="128" t="s">
        <v>1557</v>
      </c>
      <c r="E59" s="128" t="s">
        <v>2330</v>
      </c>
      <c r="F59" s="137" t="s">
        <v>1997</v>
      </c>
      <c r="G59" s="137" t="s">
        <v>1997</v>
      </c>
      <c r="H59" s="129">
        <v>0</v>
      </c>
      <c r="I59" s="129">
        <v>0</v>
      </c>
      <c r="J59" s="129">
        <v>0</v>
      </c>
    </row>
    <row r="60" spans="1:10">
      <c r="A60" s="128" t="s">
        <v>2010</v>
      </c>
      <c r="B60" s="128" t="s">
        <v>2015</v>
      </c>
      <c r="C60" s="128" t="s">
        <v>1626</v>
      </c>
      <c r="D60" s="128" t="s">
        <v>1555</v>
      </c>
      <c r="E60" s="128" t="s">
        <v>3212</v>
      </c>
      <c r="F60" s="137" t="s">
        <v>1997</v>
      </c>
      <c r="G60" s="137" t="s">
        <v>1997</v>
      </c>
      <c r="H60" s="129">
        <v>0</v>
      </c>
      <c r="I60" s="129">
        <v>0</v>
      </c>
      <c r="J60" s="129">
        <v>0</v>
      </c>
    </row>
    <row r="61" spans="1:10">
      <c r="A61" s="128" t="s">
        <v>2010</v>
      </c>
      <c r="B61" s="128" t="s">
        <v>2015</v>
      </c>
      <c r="C61" s="128" t="s">
        <v>2108</v>
      </c>
      <c r="D61" s="128" t="s">
        <v>2227</v>
      </c>
      <c r="E61" s="128" t="s">
        <v>2331</v>
      </c>
      <c r="F61" s="137" t="s">
        <v>1420</v>
      </c>
      <c r="G61" s="137" t="s">
        <v>1357</v>
      </c>
      <c r="H61" s="129">
        <v>1</v>
      </c>
      <c r="I61" s="129">
        <v>1</v>
      </c>
      <c r="J61" s="129">
        <v>1</v>
      </c>
    </row>
    <row r="62" spans="1:10" ht="40" customHeight="1">
      <c r="A62" s="128" t="s">
        <v>2010</v>
      </c>
      <c r="B62" s="128" t="s">
        <v>3132</v>
      </c>
      <c r="C62" s="128" t="s">
        <v>3166</v>
      </c>
      <c r="D62" s="128" t="s">
        <v>1558</v>
      </c>
      <c r="E62" s="128" t="s">
        <v>3213</v>
      </c>
      <c r="F62" s="137" t="s">
        <v>1997</v>
      </c>
      <c r="G62" s="137" t="s">
        <v>1997</v>
      </c>
      <c r="H62" s="129">
        <v>1</v>
      </c>
      <c r="I62" s="129">
        <v>2</v>
      </c>
      <c r="J62" s="129">
        <v>2</v>
      </c>
    </row>
    <row r="63" spans="1:10">
      <c r="A63" s="128" t="s">
        <v>2010</v>
      </c>
      <c r="B63" s="128" t="s">
        <v>3132</v>
      </c>
      <c r="C63" s="128" t="s">
        <v>1627</v>
      </c>
      <c r="D63" s="128" t="s">
        <v>1559</v>
      </c>
      <c r="E63" s="128" t="s">
        <v>2332</v>
      </c>
      <c r="F63" s="137" t="s">
        <v>1420</v>
      </c>
      <c r="G63" s="137" t="s">
        <v>1357</v>
      </c>
      <c r="H63" s="129">
        <v>1</v>
      </c>
      <c r="I63" s="129">
        <v>3</v>
      </c>
      <c r="J63" s="129">
        <v>3</v>
      </c>
    </row>
    <row r="64" spans="1:10">
      <c r="A64" s="128" t="s">
        <v>2010</v>
      </c>
      <c r="B64" s="128" t="s">
        <v>3132</v>
      </c>
      <c r="C64" s="128" t="s">
        <v>1635</v>
      </c>
      <c r="D64" s="128" t="s">
        <v>1580</v>
      </c>
      <c r="E64" s="128" t="s">
        <v>3214</v>
      </c>
      <c r="F64" s="137" t="s">
        <v>1420</v>
      </c>
      <c r="G64" s="137" t="s">
        <v>1357</v>
      </c>
      <c r="H64" s="129">
        <v>1</v>
      </c>
      <c r="I64" s="129">
        <v>1</v>
      </c>
      <c r="J64" s="129">
        <v>1</v>
      </c>
    </row>
    <row r="65" spans="1:22" hidden="1">
      <c r="A65" s="128" t="s">
        <v>2016</v>
      </c>
      <c r="B65" s="128" t="s">
        <v>1651</v>
      </c>
      <c r="C65" s="128" t="s">
        <v>1624</v>
      </c>
      <c r="D65" s="128" t="s">
        <v>1553</v>
      </c>
      <c r="E65" s="128" t="s">
        <v>3215</v>
      </c>
      <c r="F65" s="137" t="s">
        <v>1357</v>
      </c>
      <c r="G65" s="137" t="s">
        <v>1420</v>
      </c>
      <c r="H65" s="129">
        <v>0</v>
      </c>
      <c r="I65" s="129">
        <v>0</v>
      </c>
      <c r="J65" s="129">
        <v>0</v>
      </c>
    </row>
    <row r="66" spans="1:22" hidden="1">
      <c r="A66" s="128" t="s">
        <v>2016</v>
      </c>
      <c r="B66" s="128" t="s">
        <v>1651</v>
      </c>
      <c r="C66" s="128" t="s">
        <v>1625</v>
      </c>
      <c r="D66" s="128" t="s">
        <v>1554</v>
      </c>
      <c r="E66" s="128" t="s">
        <v>3216</v>
      </c>
      <c r="F66" s="137" t="s">
        <v>1357</v>
      </c>
      <c r="G66" s="137" t="s">
        <v>1420</v>
      </c>
      <c r="H66" s="129">
        <v>0</v>
      </c>
      <c r="I66" s="129">
        <v>0</v>
      </c>
      <c r="J66" s="129">
        <v>0</v>
      </c>
    </row>
    <row r="67" spans="1:22" hidden="1">
      <c r="A67" s="128" t="s">
        <v>2016</v>
      </c>
      <c r="B67" s="128" t="s">
        <v>1651</v>
      </c>
      <c r="C67" s="128" t="s">
        <v>1654</v>
      </c>
      <c r="D67" s="128" t="s">
        <v>1561</v>
      </c>
      <c r="E67" s="128" t="s">
        <v>2333</v>
      </c>
      <c r="F67" s="137" t="s">
        <v>1357</v>
      </c>
      <c r="G67" s="137" t="s">
        <v>1420</v>
      </c>
      <c r="H67" s="129">
        <v>0</v>
      </c>
      <c r="I67" s="129">
        <v>0</v>
      </c>
      <c r="J67" s="129">
        <v>0</v>
      </c>
    </row>
    <row r="68" spans="1:22" hidden="1">
      <c r="A68" s="128" t="s">
        <v>2016</v>
      </c>
      <c r="B68" s="128" t="s">
        <v>1651</v>
      </c>
      <c r="C68" s="128" t="s">
        <v>1656</v>
      </c>
      <c r="D68" s="128" t="s">
        <v>1588</v>
      </c>
      <c r="E68" s="128" t="s">
        <v>1657</v>
      </c>
      <c r="F68" s="137" t="s">
        <v>1357</v>
      </c>
      <c r="G68" s="137" t="s">
        <v>1420</v>
      </c>
      <c r="H68" s="129">
        <v>0</v>
      </c>
      <c r="I68" s="129">
        <v>0</v>
      </c>
      <c r="J68" s="129">
        <v>0</v>
      </c>
    </row>
    <row r="69" spans="1:22" hidden="1">
      <c r="A69" s="128" t="s">
        <v>2016</v>
      </c>
      <c r="B69" s="128" t="s">
        <v>1651</v>
      </c>
      <c r="C69" s="128" t="s">
        <v>1620</v>
      </c>
      <c r="D69" s="128" t="s">
        <v>1541</v>
      </c>
      <c r="E69" s="128" t="s">
        <v>3217</v>
      </c>
      <c r="F69" s="137" t="s">
        <v>1357</v>
      </c>
      <c r="G69" s="137" t="s">
        <v>1420</v>
      </c>
      <c r="H69" s="129">
        <v>2</v>
      </c>
      <c r="I69" s="129">
        <v>3</v>
      </c>
      <c r="J69" s="129">
        <v>3</v>
      </c>
    </row>
    <row r="70" spans="1:22" hidden="1">
      <c r="A70" s="128" t="s">
        <v>2016</v>
      </c>
      <c r="B70" s="128" t="s">
        <v>1651</v>
      </c>
      <c r="C70" s="128" t="s">
        <v>1621</v>
      </c>
      <c r="D70" s="128" t="s">
        <v>1542</v>
      </c>
      <c r="E70" s="128" t="s">
        <v>2334</v>
      </c>
      <c r="F70" s="137" t="s">
        <v>1357</v>
      </c>
      <c r="G70" s="137" t="s">
        <v>1420</v>
      </c>
      <c r="H70" s="129">
        <v>0</v>
      </c>
      <c r="I70" s="129">
        <v>0</v>
      </c>
      <c r="J70" s="129">
        <v>0</v>
      </c>
    </row>
    <row r="71" spans="1:22" hidden="1">
      <c r="A71" s="128" t="s">
        <v>2016</v>
      </c>
      <c r="B71" s="128" t="s">
        <v>2017</v>
      </c>
      <c r="C71" s="128" t="s">
        <v>1630</v>
      </c>
      <c r="D71" s="128" t="s">
        <v>1567</v>
      </c>
      <c r="E71" s="128" t="s">
        <v>3218</v>
      </c>
      <c r="F71" s="137" t="s">
        <v>1357</v>
      </c>
      <c r="G71" s="137" t="s">
        <v>1420</v>
      </c>
      <c r="H71" s="129">
        <v>0</v>
      </c>
      <c r="I71" s="129">
        <v>0</v>
      </c>
      <c r="J71" s="129">
        <v>0</v>
      </c>
    </row>
    <row r="72" spans="1:22" hidden="1">
      <c r="A72" s="128" t="s">
        <v>2016</v>
      </c>
      <c r="B72" s="128" t="s">
        <v>2017</v>
      </c>
      <c r="C72" s="128" t="s">
        <v>1631</v>
      </c>
      <c r="D72" s="128" t="s">
        <v>1568</v>
      </c>
      <c r="E72" s="128" t="s">
        <v>2335</v>
      </c>
      <c r="F72" s="137" t="s">
        <v>1357</v>
      </c>
      <c r="G72" s="137" t="s">
        <v>1420</v>
      </c>
      <c r="H72" s="129">
        <v>0</v>
      </c>
      <c r="I72" s="129">
        <v>0</v>
      </c>
      <c r="J72" s="129">
        <v>0</v>
      </c>
    </row>
    <row r="73" spans="1:22" hidden="1">
      <c r="A73" s="128" t="s">
        <v>2016</v>
      </c>
      <c r="B73" s="128" t="s">
        <v>2017</v>
      </c>
      <c r="C73" s="128" t="s">
        <v>1603</v>
      </c>
      <c r="D73" s="128" t="s">
        <v>1565</v>
      </c>
      <c r="E73" s="128" t="s">
        <v>3219</v>
      </c>
      <c r="F73" s="137" t="s">
        <v>1357</v>
      </c>
      <c r="G73" s="137" t="s">
        <v>1420</v>
      </c>
      <c r="H73" s="129">
        <v>0</v>
      </c>
      <c r="I73" s="129">
        <v>0</v>
      </c>
      <c r="J73" s="129">
        <v>0</v>
      </c>
    </row>
    <row r="74" spans="1:22">
      <c r="A74" s="128" t="s">
        <v>2016</v>
      </c>
      <c r="B74" s="128" t="s">
        <v>2017</v>
      </c>
      <c r="C74" s="128" t="s">
        <v>2152</v>
      </c>
      <c r="D74" s="128" t="s">
        <v>1566</v>
      </c>
      <c r="E74" s="128" t="s">
        <v>2336</v>
      </c>
      <c r="F74" s="137" t="s">
        <v>1997</v>
      </c>
      <c r="G74" s="137" t="s">
        <v>1997</v>
      </c>
      <c r="H74" s="129">
        <v>0</v>
      </c>
      <c r="I74" s="129">
        <v>0</v>
      </c>
      <c r="J74" s="129">
        <v>0</v>
      </c>
    </row>
    <row r="75" spans="1:22">
      <c r="A75" s="128" t="s">
        <v>2016</v>
      </c>
      <c r="B75" s="128" t="s">
        <v>2017</v>
      </c>
      <c r="C75" s="128" t="s">
        <v>3167</v>
      </c>
      <c r="D75" s="128" t="s">
        <v>2287</v>
      </c>
      <c r="E75" s="128" t="s">
        <v>3220</v>
      </c>
      <c r="F75" s="137" t="s">
        <v>1420</v>
      </c>
      <c r="G75" s="137" t="s">
        <v>1357</v>
      </c>
      <c r="H75" s="129">
        <v>3</v>
      </c>
      <c r="I75" s="129">
        <v>4</v>
      </c>
      <c r="J75" s="129">
        <v>4</v>
      </c>
    </row>
    <row r="76" spans="1:22" s="113" customFormat="1">
      <c r="A76" s="128" t="s">
        <v>2016</v>
      </c>
      <c r="B76" s="128" t="s">
        <v>2017</v>
      </c>
      <c r="C76" s="128" t="s">
        <v>3168</v>
      </c>
      <c r="D76" s="128" t="s">
        <v>1569</v>
      </c>
      <c r="E76" s="128" t="s">
        <v>3221</v>
      </c>
      <c r="F76" s="137" t="s">
        <v>1997</v>
      </c>
      <c r="G76" s="137" t="s">
        <v>1997</v>
      </c>
      <c r="H76" s="129">
        <v>1</v>
      </c>
      <c r="I76" s="129">
        <v>0.5</v>
      </c>
      <c r="J76" s="129">
        <v>0.5</v>
      </c>
      <c r="K76"/>
      <c r="L76"/>
      <c r="M76"/>
      <c r="N76"/>
      <c r="O76"/>
      <c r="P76"/>
      <c r="Q76"/>
      <c r="R76"/>
      <c r="S76"/>
      <c r="T76"/>
      <c r="U76"/>
      <c r="V76"/>
    </row>
    <row r="77" spans="1:22">
      <c r="A77" s="128" t="s">
        <v>2016</v>
      </c>
      <c r="B77" s="128" t="s">
        <v>2017</v>
      </c>
      <c r="C77" s="128" t="s">
        <v>2089</v>
      </c>
      <c r="D77" s="128" t="s">
        <v>1570</v>
      </c>
      <c r="E77" s="128" t="s">
        <v>3222</v>
      </c>
      <c r="F77" s="137" t="s">
        <v>1420</v>
      </c>
      <c r="G77" s="137" t="s">
        <v>1357</v>
      </c>
      <c r="H77" s="129">
        <v>1</v>
      </c>
      <c r="I77" s="129">
        <v>1</v>
      </c>
      <c r="J77" s="129">
        <v>0</v>
      </c>
    </row>
    <row r="78" spans="1:22">
      <c r="A78" s="128" t="s">
        <v>2016</v>
      </c>
      <c r="B78" s="128" t="s">
        <v>3135</v>
      </c>
      <c r="C78" s="128" t="s">
        <v>3169</v>
      </c>
      <c r="D78" s="128" t="s">
        <v>1571</v>
      </c>
      <c r="E78" s="128" t="s">
        <v>2337</v>
      </c>
      <c r="F78" s="137" t="s">
        <v>1420</v>
      </c>
      <c r="G78" s="137" t="s">
        <v>1357</v>
      </c>
      <c r="H78" s="129">
        <v>1</v>
      </c>
      <c r="I78" s="129">
        <v>1.5</v>
      </c>
      <c r="J78" s="129">
        <v>1.5</v>
      </c>
    </row>
    <row r="79" spans="1:22">
      <c r="A79" s="128" t="s">
        <v>2016</v>
      </c>
      <c r="B79" s="128" t="s">
        <v>3135</v>
      </c>
      <c r="C79" s="128" t="s">
        <v>3223</v>
      </c>
      <c r="D79" s="128" t="s">
        <v>1572</v>
      </c>
      <c r="E79" s="128" t="s">
        <v>2338</v>
      </c>
      <c r="F79" s="137" t="s">
        <v>1420</v>
      </c>
      <c r="G79" s="137" t="s">
        <v>1357</v>
      </c>
      <c r="H79" s="129">
        <v>0</v>
      </c>
      <c r="I79" s="129">
        <v>0</v>
      </c>
      <c r="J79" s="129">
        <v>0</v>
      </c>
    </row>
    <row r="80" spans="1:22">
      <c r="A80" s="128" t="s">
        <v>1692</v>
      </c>
      <c r="B80" s="128" t="s">
        <v>2018</v>
      </c>
      <c r="C80" s="128" t="s">
        <v>2171</v>
      </c>
      <c r="D80" s="128" t="s">
        <v>2299</v>
      </c>
      <c r="E80" s="128" t="s">
        <v>3742</v>
      </c>
      <c r="F80" s="137" t="s">
        <v>1420</v>
      </c>
      <c r="G80" s="137" t="s">
        <v>1357</v>
      </c>
      <c r="H80" s="129">
        <v>1</v>
      </c>
      <c r="I80" s="129">
        <v>1</v>
      </c>
      <c r="J80" s="129">
        <v>1</v>
      </c>
    </row>
    <row r="81" spans="1:22" s="113" customFormat="1">
      <c r="A81" s="128" t="s">
        <v>1692</v>
      </c>
      <c r="B81" s="128" t="s">
        <v>2018</v>
      </c>
      <c r="C81" s="128" t="s">
        <v>3743</v>
      </c>
      <c r="D81" s="128" t="s">
        <v>3744</v>
      </c>
      <c r="E81" s="128" t="s">
        <v>3745</v>
      </c>
      <c r="F81" s="137" t="s">
        <v>1420</v>
      </c>
      <c r="G81" s="137" t="s">
        <v>1997</v>
      </c>
      <c r="H81" s="129">
        <v>1</v>
      </c>
      <c r="I81" s="129">
        <v>2</v>
      </c>
      <c r="J81" s="129">
        <v>2</v>
      </c>
      <c r="K81"/>
      <c r="L81"/>
      <c r="M81"/>
      <c r="N81"/>
      <c r="O81"/>
      <c r="P81"/>
      <c r="Q81"/>
      <c r="R81"/>
      <c r="S81"/>
      <c r="T81"/>
      <c r="U81"/>
      <c r="V81"/>
    </row>
    <row r="82" spans="1:22" s="113" customFormat="1" ht="48" customHeight="1">
      <c r="A82" s="128" t="s">
        <v>1692</v>
      </c>
      <c r="B82" s="128" t="s">
        <v>2018</v>
      </c>
      <c r="C82" s="128" t="s">
        <v>2156</v>
      </c>
      <c r="D82" s="128" t="s">
        <v>1576</v>
      </c>
      <c r="E82" s="128" t="s">
        <v>3224</v>
      </c>
      <c r="F82" s="137" t="s">
        <v>1997</v>
      </c>
      <c r="G82" s="137" t="s">
        <v>1997</v>
      </c>
      <c r="H82" s="129">
        <v>0</v>
      </c>
      <c r="I82" s="129">
        <v>0</v>
      </c>
      <c r="J82" s="129">
        <v>0</v>
      </c>
      <c r="K82"/>
      <c r="L82"/>
      <c r="M82"/>
      <c r="N82"/>
      <c r="O82"/>
      <c r="P82"/>
      <c r="Q82"/>
      <c r="R82"/>
      <c r="S82"/>
      <c r="T82"/>
      <c r="U82"/>
      <c r="V82"/>
    </row>
    <row r="83" spans="1:22">
      <c r="A83" s="128" t="s">
        <v>1692</v>
      </c>
      <c r="B83" s="128" t="s">
        <v>2018</v>
      </c>
      <c r="C83" s="128" t="s">
        <v>2071</v>
      </c>
      <c r="D83" s="128" t="s">
        <v>1581</v>
      </c>
      <c r="E83" s="128" t="s">
        <v>3225</v>
      </c>
      <c r="F83" s="137" t="s">
        <v>1420</v>
      </c>
      <c r="G83" s="137" t="s">
        <v>1357</v>
      </c>
      <c r="H83" s="129">
        <v>0</v>
      </c>
      <c r="I83" s="129">
        <v>0</v>
      </c>
      <c r="J83" s="129">
        <v>0</v>
      </c>
    </row>
    <row r="84" spans="1:22">
      <c r="A84" s="128" t="s">
        <v>1692</v>
      </c>
      <c r="B84" s="128" t="s">
        <v>2018</v>
      </c>
      <c r="C84" s="128" t="s">
        <v>1633</v>
      </c>
      <c r="D84" s="128" t="s">
        <v>1577</v>
      </c>
      <c r="E84" s="128" t="s">
        <v>2339</v>
      </c>
      <c r="F84" s="137" t="s">
        <v>1420</v>
      </c>
      <c r="G84" s="137" t="s">
        <v>1357</v>
      </c>
      <c r="H84" s="129">
        <v>0</v>
      </c>
      <c r="I84" s="129">
        <v>0</v>
      </c>
      <c r="J84" s="129">
        <v>0</v>
      </c>
    </row>
    <row r="85" spans="1:22">
      <c r="A85" s="128" t="s">
        <v>1692</v>
      </c>
      <c r="B85" s="128" t="s">
        <v>2019</v>
      </c>
      <c r="C85" s="128" t="s">
        <v>1602</v>
      </c>
      <c r="D85" s="128" t="s">
        <v>1573</v>
      </c>
      <c r="E85" s="128" t="s">
        <v>3717</v>
      </c>
      <c r="F85" s="137" t="s">
        <v>1420</v>
      </c>
      <c r="G85" s="137" t="s">
        <v>1357</v>
      </c>
      <c r="H85" s="129">
        <v>3</v>
      </c>
      <c r="I85" s="129">
        <v>7</v>
      </c>
      <c r="J85" s="129">
        <v>7</v>
      </c>
    </row>
    <row r="86" spans="1:22" s="113" customFormat="1">
      <c r="A86" s="128" t="s">
        <v>1692</v>
      </c>
      <c r="B86" s="128" t="s">
        <v>2019</v>
      </c>
      <c r="C86" s="128" t="s">
        <v>3170</v>
      </c>
      <c r="D86" s="128" t="s">
        <v>1574</v>
      </c>
      <c r="E86" s="128" t="s">
        <v>3226</v>
      </c>
      <c r="F86" s="137" t="s">
        <v>1420</v>
      </c>
      <c r="G86" s="137" t="s">
        <v>1357</v>
      </c>
      <c r="H86" s="129">
        <v>1</v>
      </c>
      <c r="I86" s="129">
        <v>2</v>
      </c>
      <c r="J86" s="129">
        <v>2</v>
      </c>
      <c r="K86"/>
      <c r="L86"/>
      <c r="M86"/>
      <c r="N86"/>
      <c r="O86"/>
      <c r="P86"/>
      <c r="Q86"/>
      <c r="R86"/>
      <c r="S86"/>
      <c r="T86"/>
      <c r="U86"/>
      <c r="V86"/>
    </row>
    <row r="87" spans="1:22">
      <c r="A87" s="128" t="s">
        <v>1692</v>
      </c>
      <c r="B87" s="128" t="s">
        <v>2019</v>
      </c>
      <c r="C87" s="128" t="s">
        <v>1632</v>
      </c>
      <c r="D87" s="128" t="s">
        <v>1575</v>
      </c>
      <c r="E87" s="128" t="s">
        <v>2340</v>
      </c>
      <c r="F87" s="137" t="s">
        <v>1420</v>
      </c>
      <c r="G87" s="137" t="s">
        <v>1357</v>
      </c>
      <c r="H87" s="129">
        <v>1</v>
      </c>
      <c r="I87" s="129">
        <v>1</v>
      </c>
      <c r="J87" s="129">
        <v>1</v>
      </c>
    </row>
    <row r="88" spans="1:22" s="113" customFormat="1">
      <c r="A88" s="128" t="s">
        <v>2021</v>
      </c>
      <c r="B88" s="128" t="s">
        <v>2020</v>
      </c>
      <c r="C88" s="128" t="s">
        <v>1628</v>
      </c>
      <c r="D88" s="128" t="s">
        <v>1560</v>
      </c>
      <c r="E88" s="128" t="s">
        <v>2341</v>
      </c>
      <c r="F88" s="137" t="s">
        <v>1997</v>
      </c>
      <c r="G88" s="137" t="s">
        <v>1997</v>
      </c>
      <c r="H88" s="129">
        <v>0</v>
      </c>
      <c r="I88" s="129">
        <v>0</v>
      </c>
      <c r="J88" s="129">
        <v>0</v>
      </c>
      <c r="K88"/>
      <c r="L88"/>
      <c r="M88"/>
      <c r="N88"/>
      <c r="O88"/>
      <c r="P88"/>
      <c r="Q88"/>
      <c r="R88"/>
      <c r="S88"/>
      <c r="T88"/>
      <c r="U88"/>
      <c r="V88"/>
    </row>
    <row r="89" spans="1:22">
      <c r="A89" s="128" t="s">
        <v>2021</v>
      </c>
      <c r="B89" s="128" t="s">
        <v>2020</v>
      </c>
      <c r="C89" s="128" t="s">
        <v>2125</v>
      </c>
      <c r="D89" s="128" t="s">
        <v>2243</v>
      </c>
      <c r="E89" s="128" t="s">
        <v>2342</v>
      </c>
      <c r="F89" s="137" t="s">
        <v>1997</v>
      </c>
      <c r="G89" s="137" t="s">
        <v>1997</v>
      </c>
      <c r="H89" s="129">
        <v>4</v>
      </c>
      <c r="I89" s="129">
        <v>5</v>
      </c>
      <c r="J89" s="129">
        <v>2</v>
      </c>
    </row>
    <row r="90" spans="1:22">
      <c r="A90" s="128" t="s">
        <v>2021</v>
      </c>
      <c r="B90" s="128" t="s">
        <v>2020</v>
      </c>
      <c r="C90" s="128" t="s">
        <v>1629</v>
      </c>
      <c r="D90" s="128" t="s">
        <v>1564</v>
      </c>
      <c r="E90" s="128" t="s">
        <v>2343</v>
      </c>
      <c r="F90" s="137" t="s">
        <v>1420</v>
      </c>
      <c r="G90" s="137" t="s">
        <v>1357</v>
      </c>
      <c r="H90" s="129">
        <v>0</v>
      </c>
      <c r="I90" s="129">
        <v>0</v>
      </c>
      <c r="J90" s="129">
        <v>0</v>
      </c>
    </row>
    <row r="91" spans="1:22">
      <c r="A91" s="128" t="s">
        <v>2021</v>
      </c>
      <c r="B91" s="128" t="s">
        <v>2020</v>
      </c>
      <c r="C91" s="128" t="s">
        <v>2179</v>
      </c>
      <c r="D91" s="128" t="s">
        <v>2307</v>
      </c>
      <c r="E91" s="128" t="s">
        <v>2344</v>
      </c>
      <c r="F91" s="137" t="s">
        <v>1420</v>
      </c>
      <c r="G91" s="137" t="s">
        <v>1357</v>
      </c>
      <c r="H91" s="129">
        <v>1</v>
      </c>
      <c r="I91" s="129">
        <v>1</v>
      </c>
      <c r="J91" s="129">
        <v>1</v>
      </c>
    </row>
    <row r="92" spans="1:22">
      <c r="A92" s="128" t="s">
        <v>2021</v>
      </c>
      <c r="B92" s="128" t="s">
        <v>2023</v>
      </c>
      <c r="C92" s="128" t="s">
        <v>1639</v>
      </c>
      <c r="D92" s="128" t="s">
        <v>1585</v>
      </c>
      <c r="E92" s="128" t="s">
        <v>3227</v>
      </c>
      <c r="F92" s="137" t="s">
        <v>1420</v>
      </c>
      <c r="G92" s="137" t="s">
        <v>1357</v>
      </c>
      <c r="H92" s="129">
        <v>2</v>
      </c>
      <c r="I92" s="129">
        <v>2.5</v>
      </c>
      <c r="J92" s="129">
        <v>2.5</v>
      </c>
    </row>
    <row r="93" spans="1:22">
      <c r="A93" s="128" t="s">
        <v>2021</v>
      </c>
      <c r="B93" s="128" t="s">
        <v>2023</v>
      </c>
      <c r="C93" s="128" t="s">
        <v>1640</v>
      </c>
      <c r="D93" s="128" t="s">
        <v>1586</v>
      </c>
      <c r="E93" s="128" t="s">
        <v>2345</v>
      </c>
      <c r="F93" s="137" t="s">
        <v>1420</v>
      </c>
      <c r="G93" s="137" t="s">
        <v>1357</v>
      </c>
      <c r="H93" s="129">
        <v>1</v>
      </c>
      <c r="I93" s="129">
        <v>0.5</v>
      </c>
      <c r="J93" s="129">
        <v>0.5</v>
      </c>
    </row>
    <row r="94" spans="1:22" s="113" customFormat="1">
      <c r="A94" s="128" t="s">
        <v>2021</v>
      </c>
      <c r="B94" s="128" t="s">
        <v>2023</v>
      </c>
      <c r="C94" s="128" t="s">
        <v>1641</v>
      </c>
      <c r="D94" s="128" t="s">
        <v>1587</v>
      </c>
      <c r="E94" s="128" t="s">
        <v>2346</v>
      </c>
      <c r="F94" s="137" t="s">
        <v>1420</v>
      </c>
      <c r="G94" s="137" t="s">
        <v>1357</v>
      </c>
      <c r="H94" s="129">
        <v>1</v>
      </c>
      <c r="I94" s="129">
        <v>0.5</v>
      </c>
      <c r="J94" s="129">
        <v>0.5</v>
      </c>
      <c r="K94"/>
      <c r="L94"/>
      <c r="M94"/>
      <c r="N94"/>
      <c r="O94"/>
      <c r="P94"/>
      <c r="Q94"/>
      <c r="R94"/>
      <c r="S94"/>
      <c r="T94"/>
      <c r="U94"/>
      <c r="V94"/>
    </row>
    <row r="95" spans="1:22">
      <c r="A95" s="128" t="s">
        <v>2021</v>
      </c>
      <c r="B95" s="128" t="s">
        <v>2025</v>
      </c>
      <c r="C95" s="128" t="s">
        <v>1638</v>
      </c>
      <c r="D95" s="128" t="s">
        <v>1584</v>
      </c>
      <c r="E95" s="128" t="s">
        <v>2347</v>
      </c>
      <c r="F95" s="137" t="s">
        <v>1420</v>
      </c>
      <c r="G95" s="137" t="s">
        <v>1357</v>
      </c>
      <c r="H95" s="129">
        <v>0</v>
      </c>
      <c r="I95" s="129">
        <v>0</v>
      </c>
      <c r="J95" s="129">
        <v>0</v>
      </c>
    </row>
    <row r="96" spans="1:22">
      <c r="A96" s="128" t="s">
        <v>2021</v>
      </c>
      <c r="B96" s="128" t="s">
        <v>2025</v>
      </c>
      <c r="C96" s="128" t="s">
        <v>1637</v>
      </c>
      <c r="D96" s="128" t="s">
        <v>1583</v>
      </c>
      <c r="E96" s="128" t="s">
        <v>3746</v>
      </c>
      <c r="F96" s="137" t="s">
        <v>1420</v>
      </c>
      <c r="G96" s="137" t="s">
        <v>1357</v>
      </c>
      <c r="H96" s="129">
        <v>0</v>
      </c>
      <c r="I96" s="129">
        <v>0</v>
      </c>
      <c r="J96" s="129">
        <v>0</v>
      </c>
    </row>
    <row r="97" spans="1:22">
      <c r="A97" s="128" t="s">
        <v>2021</v>
      </c>
      <c r="B97" s="128" t="s">
        <v>1655</v>
      </c>
      <c r="C97" s="128" t="s">
        <v>1634</v>
      </c>
      <c r="D97" s="128" t="s">
        <v>1578</v>
      </c>
      <c r="E97" s="128" t="s">
        <v>2348</v>
      </c>
      <c r="F97" s="137" t="s">
        <v>1420</v>
      </c>
      <c r="G97" s="137" t="s">
        <v>1357</v>
      </c>
      <c r="H97" s="129">
        <v>1</v>
      </c>
      <c r="I97" s="129">
        <v>1</v>
      </c>
      <c r="J97" s="129">
        <v>1</v>
      </c>
    </row>
    <row r="98" spans="1:22">
      <c r="A98" s="128" t="s">
        <v>2021</v>
      </c>
      <c r="B98" s="128" t="s">
        <v>1655</v>
      </c>
      <c r="C98" s="128" t="s">
        <v>2085</v>
      </c>
      <c r="D98" s="128" t="s">
        <v>1579</v>
      </c>
      <c r="E98" s="128" t="s">
        <v>3228</v>
      </c>
      <c r="F98" s="137" t="s">
        <v>1420</v>
      </c>
      <c r="G98" s="137" t="s">
        <v>1357</v>
      </c>
      <c r="H98" s="129">
        <v>0</v>
      </c>
      <c r="I98" s="129">
        <v>0</v>
      </c>
      <c r="J98" s="129">
        <v>0</v>
      </c>
    </row>
    <row r="99" spans="1:22" s="113" customFormat="1">
      <c r="A99" s="128" t="s">
        <v>2029</v>
      </c>
      <c r="B99" s="128" t="s">
        <v>2028</v>
      </c>
      <c r="C99" s="128" t="s">
        <v>2121</v>
      </c>
      <c r="D99" s="128" t="s">
        <v>2239</v>
      </c>
      <c r="E99" s="128" t="s">
        <v>2349</v>
      </c>
      <c r="F99" s="137" t="s">
        <v>1420</v>
      </c>
      <c r="G99" s="137" t="s">
        <v>1357</v>
      </c>
      <c r="H99" s="129">
        <v>1</v>
      </c>
      <c r="I99" s="129">
        <v>2</v>
      </c>
      <c r="J99" s="129">
        <v>2</v>
      </c>
      <c r="K99"/>
      <c r="L99"/>
      <c r="M99"/>
      <c r="N99"/>
      <c r="O99"/>
      <c r="P99"/>
      <c r="Q99"/>
      <c r="R99"/>
      <c r="S99"/>
      <c r="T99"/>
      <c r="U99"/>
      <c r="V99"/>
    </row>
    <row r="100" spans="1:22" s="113" customFormat="1" ht="48" customHeight="1">
      <c r="A100" s="128" t="s">
        <v>2029</v>
      </c>
      <c r="B100" s="128" t="s">
        <v>2028</v>
      </c>
      <c r="C100" s="128" t="s">
        <v>2075</v>
      </c>
      <c r="D100" s="128" t="s">
        <v>2196</v>
      </c>
      <c r="E100" s="128" t="s">
        <v>2350</v>
      </c>
      <c r="F100" s="137" t="s">
        <v>1420</v>
      </c>
      <c r="G100" s="137" t="s">
        <v>1357</v>
      </c>
      <c r="H100" s="129">
        <v>2</v>
      </c>
      <c r="I100" s="129">
        <v>4</v>
      </c>
      <c r="J100" s="129">
        <v>4</v>
      </c>
      <c r="K100"/>
      <c r="L100"/>
      <c r="M100"/>
      <c r="N100"/>
      <c r="O100"/>
      <c r="P100"/>
      <c r="Q100"/>
      <c r="R100"/>
      <c r="S100"/>
      <c r="T100"/>
      <c r="U100"/>
      <c r="V100"/>
    </row>
    <row r="101" spans="1:22">
      <c r="A101" s="128" t="s">
        <v>2029</v>
      </c>
      <c r="B101" s="128" t="s">
        <v>2028</v>
      </c>
      <c r="C101" s="128" t="s">
        <v>2077</v>
      </c>
      <c r="D101" s="128" t="s">
        <v>2198</v>
      </c>
      <c r="E101" s="128" t="s">
        <v>3229</v>
      </c>
      <c r="F101" s="137" t="s">
        <v>1420</v>
      </c>
      <c r="G101" s="137" t="s">
        <v>1357</v>
      </c>
      <c r="H101" s="129">
        <v>2</v>
      </c>
      <c r="I101" s="129">
        <v>2</v>
      </c>
      <c r="J101" s="129">
        <v>2</v>
      </c>
    </row>
    <row r="102" spans="1:22">
      <c r="A102" s="128" t="s">
        <v>2029</v>
      </c>
      <c r="B102" s="128" t="s">
        <v>2028</v>
      </c>
      <c r="C102" s="128" t="s">
        <v>2097</v>
      </c>
      <c r="D102" s="128" t="s">
        <v>2216</v>
      </c>
      <c r="E102" s="128" t="s">
        <v>3230</v>
      </c>
      <c r="F102" s="137" t="s">
        <v>1420</v>
      </c>
      <c r="G102" s="137" t="s">
        <v>1357</v>
      </c>
      <c r="H102" s="129">
        <v>1</v>
      </c>
      <c r="I102" s="129">
        <v>4</v>
      </c>
      <c r="J102" s="129">
        <v>4</v>
      </c>
    </row>
    <row r="103" spans="1:22">
      <c r="A103" s="128" t="s">
        <v>2029</v>
      </c>
      <c r="B103" s="128" t="s">
        <v>2028</v>
      </c>
      <c r="C103" s="128" t="s">
        <v>2167</v>
      </c>
      <c r="D103" s="128" t="s">
        <v>2295</v>
      </c>
      <c r="E103" s="128" t="s">
        <v>2351</v>
      </c>
      <c r="F103" s="137" t="s">
        <v>1420</v>
      </c>
      <c r="G103" s="137" t="s">
        <v>1357</v>
      </c>
      <c r="H103" s="129">
        <v>1</v>
      </c>
      <c r="I103" s="129">
        <v>1</v>
      </c>
      <c r="J103" s="129">
        <v>1</v>
      </c>
    </row>
    <row r="104" spans="1:22" s="113" customFormat="1">
      <c r="A104" s="128" t="s">
        <v>2029</v>
      </c>
      <c r="B104" s="128" t="s">
        <v>2028</v>
      </c>
      <c r="C104" s="128" t="s">
        <v>2083</v>
      </c>
      <c r="D104" s="128" t="s">
        <v>2205</v>
      </c>
      <c r="E104" s="128" t="s">
        <v>2352</v>
      </c>
      <c r="F104" s="137" t="s">
        <v>1420</v>
      </c>
      <c r="G104" s="137" t="s">
        <v>1357</v>
      </c>
      <c r="H104" s="129">
        <v>1</v>
      </c>
      <c r="I104" s="129">
        <v>1.5</v>
      </c>
      <c r="J104" s="129">
        <v>1.5</v>
      </c>
      <c r="K104"/>
      <c r="L104"/>
      <c r="M104"/>
      <c r="N104"/>
      <c r="O104"/>
      <c r="P104"/>
      <c r="Q104"/>
      <c r="R104"/>
      <c r="S104"/>
      <c r="T104"/>
      <c r="U104"/>
      <c r="V104"/>
    </row>
    <row r="105" spans="1:22" s="113" customFormat="1">
      <c r="A105" s="128" t="s">
        <v>2029</v>
      </c>
      <c r="B105" s="128" t="s">
        <v>2031</v>
      </c>
      <c r="C105" s="128" t="s">
        <v>2106</v>
      </c>
      <c r="D105" s="128" t="s">
        <v>2225</v>
      </c>
      <c r="E105" s="128" t="s">
        <v>2353</v>
      </c>
      <c r="F105" s="137" t="s">
        <v>1420</v>
      </c>
      <c r="G105" s="137" t="s">
        <v>1357</v>
      </c>
      <c r="H105" s="129">
        <v>1</v>
      </c>
      <c r="I105" s="129">
        <v>4</v>
      </c>
      <c r="J105" s="129">
        <v>4</v>
      </c>
      <c r="K105"/>
      <c r="L105"/>
      <c r="M105"/>
      <c r="N105"/>
      <c r="O105"/>
      <c r="P105"/>
      <c r="Q105"/>
      <c r="R105"/>
      <c r="S105"/>
      <c r="T105"/>
      <c r="U105"/>
      <c r="V105"/>
    </row>
    <row r="106" spans="1:22">
      <c r="A106" s="128" t="s">
        <v>2029</v>
      </c>
      <c r="B106" s="128" t="s">
        <v>2031</v>
      </c>
      <c r="C106" s="128" t="s">
        <v>2069</v>
      </c>
      <c r="D106" s="128" t="s">
        <v>2184</v>
      </c>
      <c r="E106" s="128" t="s">
        <v>2354</v>
      </c>
      <c r="F106" s="137" t="s">
        <v>1420</v>
      </c>
      <c r="G106" s="137" t="s">
        <v>1357</v>
      </c>
      <c r="H106" s="129">
        <v>3</v>
      </c>
      <c r="I106" s="129">
        <v>6.5</v>
      </c>
      <c r="J106" s="129">
        <v>6.5</v>
      </c>
    </row>
    <row r="107" spans="1:22">
      <c r="A107" s="128" t="s">
        <v>2029</v>
      </c>
      <c r="B107" s="128" t="s">
        <v>2031</v>
      </c>
      <c r="C107" s="128" t="s">
        <v>2087</v>
      </c>
      <c r="D107" s="128" t="s">
        <v>2208</v>
      </c>
      <c r="E107" s="128" t="s">
        <v>2355</v>
      </c>
      <c r="F107" s="137" t="s">
        <v>1420</v>
      </c>
      <c r="G107" s="137" t="s">
        <v>1357</v>
      </c>
      <c r="H107" s="129">
        <v>3</v>
      </c>
      <c r="I107" s="129">
        <v>3</v>
      </c>
      <c r="J107" s="129">
        <v>3</v>
      </c>
    </row>
    <row r="108" spans="1:22">
      <c r="A108" s="128" t="s">
        <v>2029</v>
      </c>
      <c r="B108" s="128" t="s">
        <v>2031</v>
      </c>
      <c r="C108" s="128" t="s">
        <v>2101</v>
      </c>
      <c r="D108" s="128" t="s">
        <v>2220</v>
      </c>
      <c r="E108" s="128" t="s">
        <v>2356</v>
      </c>
      <c r="F108" s="137" t="s">
        <v>1420</v>
      </c>
      <c r="G108" s="137" t="s">
        <v>1357</v>
      </c>
      <c r="H108" s="129">
        <v>1</v>
      </c>
      <c r="I108" s="129">
        <v>4</v>
      </c>
      <c r="J108" s="129">
        <v>4</v>
      </c>
    </row>
    <row r="109" spans="1:22">
      <c r="A109" s="128" t="s">
        <v>2029</v>
      </c>
      <c r="B109" s="128" t="s">
        <v>2033</v>
      </c>
      <c r="C109" s="128" t="s">
        <v>2081</v>
      </c>
      <c r="D109" s="128" t="s">
        <v>2203</v>
      </c>
      <c r="E109" s="128" t="s">
        <v>2357</v>
      </c>
      <c r="F109" s="137" t="s">
        <v>1420</v>
      </c>
      <c r="G109" s="137" t="s">
        <v>1357</v>
      </c>
      <c r="H109" s="129">
        <v>7</v>
      </c>
      <c r="I109" s="129">
        <v>11.5</v>
      </c>
      <c r="J109" s="129">
        <v>11.5</v>
      </c>
    </row>
    <row r="110" spans="1:22">
      <c r="A110" s="128" t="s">
        <v>2029</v>
      </c>
      <c r="B110" s="128" t="s">
        <v>2033</v>
      </c>
      <c r="C110" s="128" t="s">
        <v>2115</v>
      </c>
      <c r="D110" s="128" t="s">
        <v>2233</v>
      </c>
      <c r="E110" s="128" t="s">
        <v>2358</v>
      </c>
      <c r="F110" s="137" t="s">
        <v>1420</v>
      </c>
      <c r="G110" s="137" t="s">
        <v>1357</v>
      </c>
      <c r="H110" s="129">
        <v>1</v>
      </c>
      <c r="I110" s="129">
        <v>2</v>
      </c>
      <c r="J110" s="129">
        <v>2</v>
      </c>
    </row>
    <row r="111" spans="1:22" s="113" customFormat="1">
      <c r="A111" s="128" t="s">
        <v>2029</v>
      </c>
      <c r="B111" s="128" t="s">
        <v>2033</v>
      </c>
      <c r="C111" s="128" t="s">
        <v>2175</v>
      </c>
      <c r="D111" s="128" t="s">
        <v>2303</v>
      </c>
      <c r="E111" s="128" t="s">
        <v>2359</v>
      </c>
      <c r="F111" s="137" t="s">
        <v>1420</v>
      </c>
      <c r="G111" s="137" t="s">
        <v>1357</v>
      </c>
      <c r="H111" s="129">
        <v>1</v>
      </c>
      <c r="I111" s="129">
        <v>1</v>
      </c>
      <c r="J111" s="129">
        <v>1</v>
      </c>
      <c r="K111"/>
      <c r="L111"/>
      <c r="M111"/>
      <c r="N111"/>
      <c r="O111"/>
      <c r="P111"/>
      <c r="Q111"/>
      <c r="R111"/>
      <c r="S111"/>
      <c r="T111"/>
      <c r="U111"/>
      <c r="V111"/>
    </row>
    <row r="112" spans="1:22" s="113" customFormat="1">
      <c r="A112" s="128" t="s">
        <v>2029</v>
      </c>
      <c r="B112" s="128" t="s">
        <v>2035</v>
      </c>
      <c r="C112" s="128" t="s">
        <v>2073</v>
      </c>
      <c r="D112" s="128" t="s">
        <v>2192</v>
      </c>
      <c r="E112" s="128" t="s">
        <v>2360</v>
      </c>
      <c r="F112" s="137" t="s">
        <v>1420</v>
      </c>
      <c r="G112" s="137" t="s">
        <v>1357</v>
      </c>
      <c r="H112" s="129">
        <v>2</v>
      </c>
      <c r="I112" s="129">
        <v>4</v>
      </c>
      <c r="J112" s="129">
        <v>4</v>
      </c>
      <c r="K112"/>
      <c r="L112"/>
      <c r="M112"/>
      <c r="N112"/>
      <c r="O112"/>
      <c r="P112"/>
      <c r="Q112"/>
      <c r="R112"/>
      <c r="S112"/>
      <c r="T112"/>
      <c r="U112"/>
      <c r="V112"/>
    </row>
    <row r="113" spans="1:22" s="113" customFormat="1">
      <c r="A113" s="128" t="s">
        <v>2029</v>
      </c>
      <c r="B113" s="128" t="s">
        <v>2035</v>
      </c>
      <c r="C113" s="128" t="s">
        <v>2104</v>
      </c>
      <c r="D113" s="128" t="s">
        <v>2223</v>
      </c>
      <c r="E113" s="128" t="s">
        <v>2361</v>
      </c>
      <c r="F113" s="137" t="s">
        <v>1420</v>
      </c>
      <c r="G113" s="137" t="s">
        <v>1357</v>
      </c>
      <c r="H113" s="129">
        <v>3</v>
      </c>
      <c r="I113" s="129">
        <v>3</v>
      </c>
      <c r="J113" s="129">
        <v>3</v>
      </c>
      <c r="K113"/>
      <c r="L113"/>
      <c r="M113"/>
      <c r="N113"/>
      <c r="O113"/>
      <c r="P113"/>
      <c r="Q113"/>
      <c r="R113"/>
      <c r="S113"/>
      <c r="T113"/>
      <c r="U113"/>
      <c r="V113"/>
    </row>
    <row r="114" spans="1:22" s="113" customFormat="1" ht="51" customHeight="1">
      <c r="A114" s="128" t="s">
        <v>2029</v>
      </c>
      <c r="B114" s="128" t="s">
        <v>2035</v>
      </c>
      <c r="C114" s="128" t="s">
        <v>2127</v>
      </c>
      <c r="D114" s="128" t="s">
        <v>2245</v>
      </c>
      <c r="E114" s="128" t="s">
        <v>2362</v>
      </c>
      <c r="F114" s="137" t="s">
        <v>1420</v>
      </c>
      <c r="G114" s="137" t="s">
        <v>1357</v>
      </c>
      <c r="H114" s="129">
        <v>1</v>
      </c>
      <c r="I114" s="129">
        <v>3</v>
      </c>
      <c r="J114" s="129">
        <v>3</v>
      </c>
      <c r="K114"/>
      <c r="L114"/>
      <c r="M114"/>
      <c r="N114"/>
      <c r="O114"/>
      <c r="P114"/>
      <c r="Q114"/>
      <c r="R114"/>
      <c r="S114"/>
      <c r="T114"/>
      <c r="U114"/>
      <c r="V114"/>
    </row>
    <row r="115" spans="1:22">
      <c r="A115" s="128" t="s">
        <v>2029</v>
      </c>
      <c r="B115" s="128" t="s">
        <v>2037</v>
      </c>
      <c r="C115" s="128" t="s">
        <v>2165</v>
      </c>
      <c r="D115" s="128" t="s">
        <v>2293</v>
      </c>
      <c r="E115" s="128" t="s">
        <v>2363</v>
      </c>
      <c r="F115" s="137" t="s">
        <v>1420</v>
      </c>
      <c r="G115" s="137" t="s">
        <v>1357</v>
      </c>
      <c r="H115" s="129">
        <v>3</v>
      </c>
      <c r="I115" s="129">
        <v>3</v>
      </c>
      <c r="J115" s="129">
        <v>3</v>
      </c>
    </row>
    <row r="116" spans="1:22" s="113" customFormat="1">
      <c r="A116" s="128" t="s">
        <v>2029</v>
      </c>
      <c r="B116" s="128" t="s">
        <v>2037</v>
      </c>
      <c r="C116" s="128" t="s">
        <v>2117</v>
      </c>
      <c r="D116" s="128" t="s">
        <v>2235</v>
      </c>
      <c r="E116" s="128" t="s">
        <v>2364</v>
      </c>
      <c r="F116" s="137" t="s">
        <v>1420</v>
      </c>
      <c r="G116" s="137" t="s">
        <v>1357</v>
      </c>
      <c r="H116" s="129">
        <v>1</v>
      </c>
      <c r="I116" s="129">
        <v>1</v>
      </c>
      <c r="J116" s="129">
        <v>1</v>
      </c>
      <c r="K116"/>
      <c r="L116"/>
      <c r="M116"/>
      <c r="N116"/>
      <c r="O116"/>
      <c r="P116"/>
      <c r="Q116"/>
      <c r="R116"/>
      <c r="S116"/>
      <c r="T116"/>
      <c r="U116"/>
      <c r="V116"/>
    </row>
    <row r="117" spans="1:22" s="113" customFormat="1">
      <c r="A117" s="128" t="s">
        <v>2029</v>
      </c>
      <c r="B117" s="128" t="s">
        <v>2037</v>
      </c>
      <c r="C117" s="128" t="s">
        <v>2110</v>
      </c>
      <c r="D117" s="128" t="s">
        <v>2229</v>
      </c>
      <c r="E117" s="128" t="s">
        <v>2365</v>
      </c>
      <c r="F117" s="137" t="s">
        <v>1420</v>
      </c>
      <c r="G117" s="137" t="s">
        <v>1357</v>
      </c>
      <c r="H117" s="129">
        <v>2</v>
      </c>
      <c r="I117" s="129">
        <v>2</v>
      </c>
      <c r="J117" s="129">
        <v>2</v>
      </c>
      <c r="K117"/>
      <c r="L117"/>
      <c r="M117"/>
      <c r="N117"/>
      <c r="O117"/>
      <c r="P117"/>
      <c r="Q117"/>
      <c r="R117"/>
      <c r="S117"/>
      <c r="T117"/>
      <c r="U117"/>
      <c r="V117"/>
    </row>
    <row r="118" spans="1:22" s="113" customFormat="1">
      <c r="A118" s="128" t="s">
        <v>2029</v>
      </c>
      <c r="B118" s="128" t="s">
        <v>2037</v>
      </c>
      <c r="C118" s="128" t="s">
        <v>2112</v>
      </c>
      <c r="D118" s="128" t="s">
        <v>2231</v>
      </c>
      <c r="E118" s="128" t="s">
        <v>2366</v>
      </c>
      <c r="F118" s="137" t="s">
        <v>1420</v>
      </c>
      <c r="G118" s="137" t="s">
        <v>1357</v>
      </c>
      <c r="H118" s="129">
        <v>1</v>
      </c>
      <c r="I118" s="129">
        <v>0.5</v>
      </c>
      <c r="J118" s="129">
        <v>0.5</v>
      </c>
      <c r="K118"/>
      <c r="L118"/>
      <c r="M118"/>
      <c r="N118"/>
      <c r="O118"/>
      <c r="P118"/>
      <c r="Q118"/>
      <c r="R118"/>
      <c r="S118"/>
      <c r="T118"/>
      <c r="U118"/>
      <c r="V118"/>
    </row>
    <row r="119" spans="1:22" s="113" customFormat="1">
      <c r="A119" s="128" t="s">
        <v>2029</v>
      </c>
      <c r="B119" s="128" t="s">
        <v>2037</v>
      </c>
      <c r="C119" s="128" t="s">
        <v>3747</v>
      </c>
      <c r="D119" s="128" t="s">
        <v>3748</v>
      </c>
      <c r="E119" s="128" t="s">
        <v>3749</v>
      </c>
      <c r="F119" s="137" t="s">
        <v>1420</v>
      </c>
      <c r="G119" s="137" t="s">
        <v>1357</v>
      </c>
      <c r="H119" s="129">
        <v>1</v>
      </c>
      <c r="I119" s="129">
        <v>2</v>
      </c>
      <c r="J119" s="129">
        <v>2</v>
      </c>
      <c r="K119"/>
      <c r="L119"/>
      <c r="M119"/>
      <c r="N119"/>
      <c r="O119"/>
      <c r="P119"/>
      <c r="Q119"/>
      <c r="R119"/>
      <c r="S119"/>
      <c r="T119"/>
      <c r="U119"/>
      <c r="V119"/>
    </row>
    <row r="120" spans="1:22" s="113" customFormat="1">
      <c r="A120" s="128" t="s">
        <v>2029</v>
      </c>
      <c r="B120" s="128" t="s">
        <v>2037</v>
      </c>
      <c r="C120" s="128" t="s">
        <v>3172</v>
      </c>
      <c r="D120" s="128" t="s">
        <v>2194</v>
      </c>
      <c r="E120" s="128" t="s">
        <v>3231</v>
      </c>
      <c r="F120" s="137" t="s">
        <v>1420</v>
      </c>
      <c r="G120" s="137" t="s">
        <v>1357</v>
      </c>
      <c r="H120" s="129">
        <v>3</v>
      </c>
      <c r="I120" s="129">
        <v>6</v>
      </c>
      <c r="J120" s="129">
        <v>6</v>
      </c>
      <c r="K120"/>
      <c r="L120"/>
      <c r="M120"/>
      <c r="N120"/>
      <c r="O120"/>
      <c r="P120"/>
      <c r="Q120"/>
      <c r="R120"/>
      <c r="S120"/>
      <c r="T120"/>
      <c r="U120"/>
      <c r="V120"/>
    </row>
    <row r="121" spans="1:22" s="113" customFormat="1">
      <c r="A121" s="128" t="s">
        <v>2029</v>
      </c>
      <c r="B121" s="128" t="s">
        <v>2037</v>
      </c>
      <c r="C121" s="128" t="s">
        <v>2164</v>
      </c>
      <c r="D121" s="128" t="s">
        <v>2292</v>
      </c>
      <c r="E121" s="128" t="s">
        <v>2367</v>
      </c>
      <c r="F121" s="137" t="s">
        <v>1420</v>
      </c>
      <c r="G121" s="137" t="s">
        <v>1357</v>
      </c>
      <c r="H121" s="129">
        <v>0</v>
      </c>
      <c r="I121" s="129">
        <v>0</v>
      </c>
      <c r="J121" s="129">
        <v>0</v>
      </c>
      <c r="K121"/>
      <c r="L121"/>
      <c r="M121"/>
      <c r="N121"/>
      <c r="O121"/>
      <c r="P121"/>
      <c r="Q121"/>
      <c r="R121"/>
      <c r="S121"/>
      <c r="T121"/>
      <c r="U121"/>
      <c r="V121"/>
    </row>
    <row r="122" spans="1:22" s="113" customFormat="1">
      <c r="A122" s="128" t="s">
        <v>2029</v>
      </c>
      <c r="B122" s="128" t="s">
        <v>2037</v>
      </c>
      <c r="C122" s="128" t="s">
        <v>2103</v>
      </c>
      <c r="D122" s="128" t="s">
        <v>2222</v>
      </c>
      <c r="E122" s="128" t="s">
        <v>2368</v>
      </c>
      <c r="F122" s="137" t="s">
        <v>1420</v>
      </c>
      <c r="G122" s="137" t="s">
        <v>1357</v>
      </c>
      <c r="H122" s="129">
        <v>0</v>
      </c>
      <c r="I122" s="129">
        <v>0</v>
      </c>
      <c r="J122" s="129">
        <v>0</v>
      </c>
      <c r="K122"/>
      <c r="L122"/>
      <c r="M122"/>
      <c r="N122"/>
      <c r="O122"/>
      <c r="P122"/>
      <c r="Q122"/>
      <c r="R122"/>
      <c r="S122"/>
      <c r="T122"/>
      <c r="U122"/>
      <c r="V122"/>
    </row>
    <row r="123" spans="1:22" s="113" customFormat="1">
      <c r="A123" s="128" t="s">
        <v>2029</v>
      </c>
      <c r="B123" s="128" t="s">
        <v>2038</v>
      </c>
      <c r="C123" s="128" t="s">
        <v>2099</v>
      </c>
      <c r="D123" s="128" t="s">
        <v>2218</v>
      </c>
      <c r="E123" s="128" t="s">
        <v>2369</v>
      </c>
      <c r="F123" s="137" t="s">
        <v>1420</v>
      </c>
      <c r="G123" s="137" t="s">
        <v>1357</v>
      </c>
      <c r="H123" s="129">
        <v>3</v>
      </c>
      <c r="I123" s="129">
        <v>3</v>
      </c>
      <c r="J123" s="129">
        <v>1</v>
      </c>
      <c r="K123"/>
      <c r="L123"/>
      <c r="M123"/>
      <c r="N123"/>
      <c r="O123"/>
      <c r="P123"/>
      <c r="Q123"/>
      <c r="R123"/>
      <c r="S123"/>
      <c r="T123"/>
      <c r="U123"/>
      <c r="V123"/>
    </row>
    <row r="124" spans="1:22" s="113" customFormat="1">
      <c r="A124" s="128" t="s">
        <v>2029</v>
      </c>
      <c r="B124" s="128" t="s">
        <v>2038</v>
      </c>
      <c r="C124" s="128" t="s">
        <v>2091</v>
      </c>
      <c r="D124" s="128" t="s">
        <v>2211</v>
      </c>
      <c r="E124" s="128" t="s">
        <v>3232</v>
      </c>
      <c r="F124" s="137" t="s">
        <v>1997</v>
      </c>
      <c r="G124" s="137" t="s">
        <v>1997</v>
      </c>
      <c r="H124" s="129">
        <v>1</v>
      </c>
      <c r="I124" s="129">
        <v>1.5</v>
      </c>
      <c r="J124" s="129">
        <v>1.5</v>
      </c>
      <c r="K124"/>
      <c r="L124"/>
      <c r="M124"/>
      <c r="N124"/>
      <c r="O124"/>
      <c r="P124"/>
      <c r="Q124"/>
      <c r="R124"/>
      <c r="S124"/>
      <c r="T124"/>
      <c r="U124"/>
      <c r="V124"/>
    </row>
    <row r="125" spans="1:22" s="113" customFormat="1">
      <c r="A125" s="128" t="s">
        <v>2029</v>
      </c>
      <c r="B125" s="128" t="s">
        <v>2040</v>
      </c>
      <c r="C125" s="128" t="s">
        <v>2123</v>
      </c>
      <c r="D125" s="128" t="s">
        <v>2241</v>
      </c>
      <c r="E125" s="128" t="s">
        <v>2370</v>
      </c>
      <c r="F125" s="137" t="s">
        <v>1997</v>
      </c>
      <c r="G125" s="137" t="s">
        <v>1997</v>
      </c>
      <c r="H125" s="129">
        <v>2</v>
      </c>
      <c r="I125" s="129">
        <v>3.5</v>
      </c>
      <c r="J125" s="129">
        <v>3.5</v>
      </c>
      <c r="K125"/>
      <c r="L125"/>
      <c r="M125"/>
      <c r="N125"/>
      <c r="O125"/>
      <c r="P125"/>
      <c r="Q125"/>
      <c r="R125"/>
      <c r="S125"/>
      <c r="T125"/>
      <c r="U125"/>
      <c r="V125"/>
    </row>
    <row r="126" spans="1:22" s="113" customFormat="1">
      <c r="A126" s="128" t="s">
        <v>2029</v>
      </c>
      <c r="B126" s="128" t="s">
        <v>2040</v>
      </c>
      <c r="C126" s="128" t="s">
        <v>2132</v>
      </c>
      <c r="D126" s="128" t="s">
        <v>2250</v>
      </c>
      <c r="E126" s="128" t="s">
        <v>2371</v>
      </c>
      <c r="F126" s="137" t="s">
        <v>1997</v>
      </c>
      <c r="G126" s="137" t="s">
        <v>1997</v>
      </c>
      <c r="H126" s="129">
        <v>1</v>
      </c>
      <c r="I126" s="129">
        <v>2</v>
      </c>
      <c r="J126" s="129">
        <v>2</v>
      </c>
      <c r="K126"/>
      <c r="L126"/>
      <c r="M126"/>
      <c r="N126"/>
      <c r="O126"/>
      <c r="P126"/>
      <c r="Q126"/>
      <c r="R126"/>
      <c r="S126"/>
      <c r="T126"/>
      <c r="U126"/>
      <c r="V126"/>
    </row>
    <row r="127" spans="1:22" s="113" customFormat="1">
      <c r="A127" s="128" t="s">
        <v>2029</v>
      </c>
      <c r="B127" s="128" t="s">
        <v>2040</v>
      </c>
      <c r="C127" s="128" t="s">
        <v>1502</v>
      </c>
      <c r="D127" s="128" t="s">
        <v>2252</v>
      </c>
      <c r="E127" s="128" t="s">
        <v>2372</v>
      </c>
      <c r="F127" s="137" t="s">
        <v>1997</v>
      </c>
      <c r="G127" s="137" t="s">
        <v>1997</v>
      </c>
      <c r="H127" s="129">
        <v>0</v>
      </c>
      <c r="I127" s="129">
        <v>0</v>
      </c>
      <c r="J127" s="129">
        <v>0</v>
      </c>
      <c r="K127"/>
      <c r="L127"/>
      <c r="M127"/>
      <c r="N127"/>
      <c r="O127"/>
      <c r="P127"/>
      <c r="Q127"/>
      <c r="R127"/>
      <c r="S127"/>
      <c r="T127"/>
      <c r="U127"/>
      <c r="V127"/>
    </row>
    <row r="128" spans="1:22" s="113" customFormat="1">
      <c r="A128" s="128" t="s">
        <v>2029</v>
      </c>
      <c r="B128" s="128" t="s">
        <v>2040</v>
      </c>
      <c r="C128" s="128" t="s">
        <v>2130</v>
      </c>
      <c r="D128" s="128" t="s">
        <v>2248</v>
      </c>
      <c r="E128" s="128" t="s">
        <v>2373</v>
      </c>
      <c r="F128" s="137" t="s">
        <v>1420</v>
      </c>
      <c r="G128" s="137" t="s">
        <v>1357</v>
      </c>
      <c r="H128" s="129">
        <v>2</v>
      </c>
      <c r="I128" s="129">
        <v>1.5</v>
      </c>
      <c r="J128" s="129">
        <v>1.5</v>
      </c>
      <c r="K128"/>
      <c r="L128"/>
      <c r="M128"/>
      <c r="N128"/>
      <c r="O128"/>
      <c r="P128"/>
      <c r="Q128"/>
      <c r="R128"/>
      <c r="S128"/>
      <c r="T128"/>
      <c r="U128"/>
      <c r="V128"/>
    </row>
    <row r="129" spans="1:22" s="113" customFormat="1">
      <c r="A129" s="128" t="s">
        <v>2029</v>
      </c>
      <c r="B129" s="128" t="s">
        <v>2042</v>
      </c>
      <c r="C129" s="128" t="s">
        <v>2119</v>
      </c>
      <c r="D129" s="128" t="s">
        <v>2237</v>
      </c>
      <c r="E129" s="128" t="s">
        <v>2374</v>
      </c>
      <c r="F129" s="137" t="s">
        <v>1420</v>
      </c>
      <c r="G129" s="137" t="s">
        <v>1357</v>
      </c>
      <c r="H129" s="129">
        <v>3</v>
      </c>
      <c r="I129" s="129">
        <v>2.5</v>
      </c>
      <c r="J129" s="129">
        <v>2.5</v>
      </c>
      <c r="K129"/>
      <c r="L129"/>
      <c r="M129"/>
      <c r="N129"/>
      <c r="O129"/>
      <c r="P129"/>
      <c r="Q129"/>
      <c r="R129"/>
      <c r="S129"/>
      <c r="T129"/>
      <c r="U129"/>
      <c r="V129"/>
    </row>
    <row r="130" spans="1:22" s="113" customFormat="1">
      <c r="A130" s="128" t="s">
        <v>2029</v>
      </c>
      <c r="B130" s="128" t="s">
        <v>2042</v>
      </c>
      <c r="C130" s="128" t="s">
        <v>2136</v>
      </c>
      <c r="D130" s="128" t="s">
        <v>2255</v>
      </c>
      <c r="E130" s="128" t="s">
        <v>3233</v>
      </c>
      <c r="F130" s="137" t="s">
        <v>1420</v>
      </c>
      <c r="G130" s="137" t="s">
        <v>1357</v>
      </c>
      <c r="H130" s="129">
        <v>0</v>
      </c>
      <c r="I130" s="129">
        <v>0</v>
      </c>
      <c r="J130" s="129">
        <v>0</v>
      </c>
      <c r="K130"/>
      <c r="L130"/>
      <c r="M130"/>
      <c r="N130"/>
      <c r="O130"/>
      <c r="P130"/>
      <c r="Q130"/>
      <c r="R130"/>
      <c r="S130"/>
      <c r="T130"/>
      <c r="U130"/>
      <c r="V130"/>
    </row>
    <row r="131" spans="1:22" s="113" customFormat="1">
      <c r="A131" s="128" t="s">
        <v>2029</v>
      </c>
      <c r="B131" s="128" t="s">
        <v>2042</v>
      </c>
      <c r="C131" s="128" t="s">
        <v>2157</v>
      </c>
      <c r="D131" s="128" t="s">
        <v>2280</v>
      </c>
      <c r="E131" s="128" t="s">
        <v>2375</v>
      </c>
      <c r="F131" s="137" t="s">
        <v>1997</v>
      </c>
      <c r="G131" s="137" t="s">
        <v>1997</v>
      </c>
      <c r="H131" s="129">
        <v>0</v>
      </c>
      <c r="I131" s="129">
        <v>0</v>
      </c>
      <c r="J131" s="129">
        <v>0</v>
      </c>
      <c r="K131"/>
      <c r="L131"/>
      <c r="M131"/>
      <c r="N131"/>
      <c r="O131"/>
      <c r="P131"/>
      <c r="Q131"/>
      <c r="R131"/>
      <c r="S131"/>
      <c r="T131"/>
      <c r="U131"/>
      <c r="V131"/>
    </row>
    <row r="132" spans="1:22" s="113" customFormat="1">
      <c r="A132" s="128" t="s">
        <v>2029</v>
      </c>
      <c r="B132" s="128" t="s">
        <v>2042</v>
      </c>
      <c r="C132" s="128" t="s">
        <v>2160</v>
      </c>
      <c r="D132" s="128" t="s">
        <v>2286</v>
      </c>
      <c r="E132" s="128" t="s">
        <v>2376</v>
      </c>
      <c r="F132" s="137" t="s">
        <v>1997</v>
      </c>
      <c r="G132" s="137" t="s">
        <v>1997</v>
      </c>
      <c r="H132" s="129">
        <v>0</v>
      </c>
      <c r="I132" s="129">
        <v>0</v>
      </c>
      <c r="J132" s="129">
        <v>0</v>
      </c>
      <c r="K132"/>
      <c r="L132"/>
      <c r="M132"/>
      <c r="N132"/>
      <c r="O132"/>
      <c r="P132"/>
      <c r="Q132"/>
      <c r="R132"/>
      <c r="S132"/>
      <c r="T132"/>
      <c r="U132"/>
      <c r="V132"/>
    </row>
    <row r="133" spans="1:22" s="113" customFormat="1">
      <c r="A133" s="128" t="s">
        <v>2029</v>
      </c>
      <c r="B133" s="128" t="s">
        <v>2042</v>
      </c>
      <c r="C133" s="128" t="s">
        <v>2134</v>
      </c>
      <c r="D133" s="128" t="s">
        <v>2253</v>
      </c>
      <c r="E133" s="128" t="s">
        <v>2377</v>
      </c>
      <c r="F133" s="137" t="s">
        <v>1420</v>
      </c>
      <c r="G133" s="137" t="s">
        <v>1357</v>
      </c>
      <c r="H133" s="129">
        <v>2</v>
      </c>
      <c r="I133" s="129">
        <v>7</v>
      </c>
      <c r="J133" s="129">
        <v>7</v>
      </c>
      <c r="K133"/>
      <c r="L133"/>
      <c r="M133"/>
      <c r="N133"/>
      <c r="O133"/>
      <c r="P133"/>
      <c r="Q133"/>
      <c r="R133"/>
      <c r="S133"/>
      <c r="T133"/>
      <c r="U133"/>
      <c r="V133"/>
    </row>
    <row r="134" spans="1:22" s="113" customFormat="1">
      <c r="A134" s="128" t="s">
        <v>2029</v>
      </c>
      <c r="B134" s="128" t="s">
        <v>2042</v>
      </c>
      <c r="C134" s="128" t="s">
        <v>2169</v>
      </c>
      <c r="D134" s="128" t="s">
        <v>2297</v>
      </c>
      <c r="E134" s="128" t="s">
        <v>2378</v>
      </c>
      <c r="F134" s="137" t="s">
        <v>1420</v>
      </c>
      <c r="G134" s="137" t="s">
        <v>1357</v>
      </c>
      <c r="H134" s="129">
        <v>10</v>
      </c>
      <c r="I134" s="129">
        <v>15</v>
      </c>
      <c r="J134" s="129">
        <v>15</v>
      </c>
      <c r="K134"/>
      <c r="L134"/>
      <c r="M134"/>
      <c r="N134"/>
      <c r="O134"/>
      <c r="P134"/>
      <c r="Q134"/>
      <c r="R134"/>
      <c r="S134"/>
      <c r="T134"/>
      <c r="U134"/>
      <c r="V134"/>
    </row>
    <row r="135" spans="1:22" s="113" customFormat="1">
      <c r="A135" s="128" t="s">
        <v>2029</v>
      </c>
      <c r="B135" s="128" t="s">
        <v>2042</v>
      </c>
      <c r="C135" s="128" t="s">
        <v>2072</v>
      </c>
      <c r="D135" s="128" t="s">
        <v>2191</v>
      </c>
      <c r="E135" s="128" t="s">
        <v>2379</v>
      </c>
      <c r="F135" s="137" t="s">
        <v>1420</v>
      </c>
      <c r="G135" s="137" t="s">
        <v>1357</v>
      </c>
      <c r="H135" s="129">
        <v>0</v>
      </c>
      <c r="I135" s="129">
        <v>0</v>
      </c>
      <c r="J135" s="129">
        <v>0</v>
      </c>
      <c r="K135"/>
      <c r="L135"/>
      <c r="M135"/>
      <c r="N135"/>
      <c r="O135"/>
      <c r="P135"/>
      <c r="Q135"/>
      <c r="R135"/>
      <c r="S135"/>
      <c r="T135"/>
      <c r="U135"/>
      <c r="V135"/>
    </row>
    <row r="136" spans="1:22" s="113" customFormat="1">
      <c r="A136" s="101" t="s">
        <v>2029</v>
      </c>
      <c r="B136" s="101" t="s">
        <v>2043</v>
      </c>
      <c r="C136" s="101" t="s">
        <v>2177</v>
      </c>
      <c r="D136" s="101" t="s">
        <v>2305</v>
      </c>
      <c r="E136" s="101" t="s">
        <v>2380</v>
      </c>
      <c r="F136" s="101" t="s">
        <v>1420</v>
      </c>
      <c r="G136" s="101" t="s">
        <v>1357</v>
      </c>
      <c r="H136" s="129">
        <v>1</v>
      </c>
      <c r="I136" s="129">
        <v>1</v>
      </c>
      <c r="J136" s="129">
        <v>1</v>
      </c>
      <c r="K136"/>
      <c r="L136"/>
      <c r="M136"/>
      <c r="N136"/>
      <c r="O136"/>
      <c r="P136"/>
      <c r="Q136"/>
      <c r="R136"/>
      <c r="S136"/>
      <c r="T136"/>
      <c r="U136"/>
      <c r="V136"/>
    </row>
    <row r="137" spans="1:22" s="113" customFormat="1">
      <c r="A137" s="101" t="s">
        <v>2029</v>
      </c>
      <c r="B137" s="101" t="s">
        <v>2043</v>
      </c>
      <c r="C137" s="101" t="s">
        <v>2173</v>
      </c>
      <c r="D137" s="101" t="s">
        <v>2301</v>
      </c>
      <c r="E137" s="101" t="s">
        <v>2381</v>
      </c>
      <c r="F137" s="101" t="s">
        <v>1420</v>
      </c>
      <c r="G137" s="101" t="s">
        <v>1357</v>
      </c>
      <c r="H137" s="129">
        <v>2</v>
      </c>
      <c r="I137" s="129">
        <v>3</v>
      </c>
      <c r="J137" s="129">
        <v>3</v>
      </c>
      <c r="K137"/>
      <c r="L137"/>
      <c r="M137"/>
      <c r="N137"/>
      <c r="O137"/>
      <c r="P137"/>
      <c r="Q137"/>
      <c r="R137"/>
      <c r="S137"/>
      <c r="T137"/>
      <c r="U137"/>
      <c r="V137"/>
    </row>
    <row r="138" spans="1:22" s="113" customFormat="1">
      <c r="A138" s="101" t="s">
        <v>2029</v>
      </c>
      <c r="B138" s="101" t="s">
        <v>2028</v>
      </c>
      <c r="C138" s="101" t="s">
        <v>3171</v>
      </c>
      <c r="D138" s="101" t="s">
        <v>2395</v>
      </c>
      <c r="E138" s="101" t="s">
        <v>3234</v>
      </c>
      <c r="F138" s="101" t="s">
        <v>1420</v>
      </c>
      <c r="G138" s="101" t="s">
        <v>1357</v>
      </c>
      <c r="H138" s="129">
        <v>3</v>
      </c>
      <c r="I138" s="129">
        <v>3</v>
      </c>
      <c r="J138" s="129">
        <v>3</v>
      </c>
      <c r="K138"/>
      <c r="L138"/>
      <c r="M138"/>
      <c r="N138"/>
      <c r="O138"/>
      <c r="P138"/>
      <c r="Q138"/>
      <c r="R138"/>
      <c r="S138"/>
      <c r="T138"/>
      <c r="U138"/>
      <c r="V138"/>
    </row>
    <row r="139" spans="1:22" s="113" customFormat="1">
      <c r="A139" s="101" t="s">
        <v>2029</v>
      </c>
      <c r="B139" s="101" t="s">
        <v>2037</v>
      </c>
      <c r="C139" s="101" t="s">
        <v>2819</v>
      </c>
      <c r="D139" s="101" t="s">
        <v>2820</v>
      </c>
      <c r="E139" s="101" t="s">
        <v>2821</v>
      </c>
      <c r="F139" s="101" t="s">
        <v>1420</v>
      </c>
      <c r="G139" s="101" t="s">
        <v>1357</v>
      </c>
      <c r="H139" s="101">
        <v>4</v>
      </c>
      <c r="I139" s="101">
        <v>7</v>
      </c>
      <c r="J139" s="101">
        <v>7</v>
      </c>
      <c r="K139"/>
      <c r="L139"/>
      <c r="M139"/>
      <c r="N139"/>
      <c r="O139"/>
      <c r="P139"/>
      <c r="Q139"/>
      <c r="R139"/>
      <c r="S139"/>
      <c r="T139"/>
      <c r="U139"/>
      <c r="V139"/>
    </row>
    <row r="140" spans="1:22" s="113" customFormat="1">
      <c r="A140" s="101" t="s">
        <v>2029</v>
      </c>
      <c r="B140" s="101" t="s">
        <v>2037</v>
      </c>
      <c r="C140" s="101" t="s">
        <v>2822</v>
      </c>
      <c r="D140" s="101" t="s">
        <v>2823</v>
      </c>
      <c r="E140" s="101" t="s">
        <v>2824</v>
      </c>
      <c r="F140" s="101" t="s">
        <v>1420</v>
      </c>
      <c r="G140" s="101" t="s">
        <v>1357</v>
      </c>
      <c r="H140" s="101">
        <v>1</v>
      </c>
      <c r="I140" s="101">
        <v>2</v>
      </c>
      <c r="J140" s="101">
        <v>2</v>
      </c>
      <c r="K140"/>
      <c r="L140"/>
      <c r="M140"/>
      <c r="N140"/>
      <c r="O140"/>
      <c r="P140"/>
      <c r="Q140"/>
      <c r="R140"/>
      <c r="S140"/>
      <c r="T140"/>
      <c r="U140"/>
      <c r="V140"/>
    </row>
    <row r="141" spans="1:22">
      <c r="A141" s="101" t="s">
        <v>2029</v>
      </c>
      <c r="B141" s="101" t="s">
        <v>2037</v>
      </c>
      <c r="C141" s="101" t="s">
        <v>2825</v>
      </c>
      <c r="D141" s="101" t="s">
        <v>2826</v>
      </c>
      <c r="E141" s="101" t="s">
        <v>2827</v>
      </c>
      <c r="F141" s="101" t="s">
        <v>1420</v>
      </c>
      <c r="G141" s="101" t="s">
        <v>1357</v>
      </c>
      <c r="H141" s="101">
        <v>2</v>
      </c>
      <c r="I141" s="101">
        <v>3.5</v>
      </c>
      <c r="J141" s="101">
        <v>3.5</v>
      </c>
    </row>
    <row r="143" spans="1:22">
      <c r="C143" s="2" t="s">
        <v>3</v>
      </c>
      <c r="D143" s="2"/>
      <c r="E143" s="2"/>
      <c r="F143" s="2"/>
      <c r="G143" s="2"/>
      <c r="H143" s="2">
        <f>SUM(H2:H141)</f>
        <v>158</v>
      </c>
      <c r="I143" s="2">
        <f>SUM(I2:I141)</f>
        <v>233.5</v>
      </c>
      <c r="J143" s="2">
        <f>SUM(J2:J141)</f>
        <v>220.5</v>
      </c>
    </row>
  </sheetData>
  <autoFilter ref="A1:J141" xr:uid="{BAB481B8-385A-E74C-AA63-82C9D712D0BD}">
    <filterColumn colId="5">
      <filters>
        <filter val="△"/>
        <filter val="○"/>
      </filters>
    </filterColumn>
  </autoFilter>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86"/>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15" t="s">
        <v>1647</v>
      </c>
      <c r="B1" s="115" t="s">
        <v>1600</v>
      </c>
      <c r="C1" s="115" t="s">
        <v>3152</v>
      </c>
      <c r="D1" s="115" t="s">
        <v>1365</v>
      </c>
      <c r="E1" s="115" t="s">
        <v>3153</v>
      </c>
      <c r="F1" s="115" t="s">
        <v>1366</v>
      </c>
      <c r="G1" s="115" t="s">
        <v>1359</v>
      </c>
      <c r="H1" s="115" t="s">
        <v>3154</v>
      </c>
    </row>
    <row r="2" spans="1:8">
      <c r="A2" t="s">
        <v>2000</v>
      </c>
      <c r="B2" t="s">
        <v>3155</v>
      </c>
      <c r="C2" s="138">
        <f>SUMIFS('WBS(基本設計)'!$I$2:$I$159,'WBS(基本設計)'!$E$2:$E$159,$B2,'WBS(基本設計)'!$N$2:$N$159,"対象")</f>
        <v>3</v>
      </c>
      <c r="D2" s="138">
        <f>SUMIF('WBS(詳細設計_製造)'!$D$2:$D$182,$B2,'WBS(詳細設計_製造)'!$G$2:$G$182)</f>
        <v>4</v>
      </c>
      <c r="E2" s="138">
        <f>SUMIF('WBS(詳細設計_製造)'!$D$2:$D$182,$B2,'WBS(詳細設計_製造)'!$H$2:$H$182)</f>
        <v>7</v>
      </c>
      <c r="F2" s="138">
        <f>SUMIF('WBS(テスト)'!$D$2:$D$95,$B2,'WBS(テスト)'!$G$2:$G$95)</f>
        <v>8</v>
      </c>
      <c r="G2" s="138">
        <f>SUM(C2:F2)</f>
        <v>22</v>
      </c>
      <c r="H2" s="138">
        <f>COUNTIF('WBS(詳細設計_製造)'!$D$2:$D$182,$B2)+COUNTIF('WBS(テスト)'!$D$2:$D$95,$B2)</f>
        <v>6</v>
      </c>
    </row>
    <row r="3" spans="1:8">
      <c r="A3" t="s">
        <v>2000</v>
      </c>
      <c r="B3" t="s">
        <v>1605</v>
      </c>
      <c r="C3" s="138">
        <f>SUMIFS('WBS(基本設計)'!$I$2:$I$159,'WBS(基本設計)'!$E$2:$E$159,$B3,'WBS(基本設計)'!$N$2:$N$159,"対象")</f>
        <v>0.5</v>
      </c>
      <c r="D3" s="138">
        <f>SUMIF('WBS(詳細設計_製造)'!$D$2:$D$182,$B3,'WBS(詳細設計_製造)'!$G$2:$G$182)</f>
        <v>0</v>
      </c>
      <c r="E3" s="138">
        <f>SUMIF('WBS(詳細設計_製造)'!$D$2:$D$182,$B3,'WBS(詳細設計_製造)'!$H$2:$H$182)</f>
        <v>1.5</v>
      </c>
      <c r="F3" s="138">
        <f>SUMIF('WBS(テスト)'!$D$2:$D$95,$B3,'WBS(テスト)'!$G$2:$G$95)</f>
        <v>1</v>
      </c>
      <c r="G3" s="138">
        <f t="shared" ref="G3:G66" si="0">SUM(C3:F3)</f>
        <v>3</v>
      </c>
      <c r="H3" s="138">
        <f>COUNTIF('WBS(詳細設計_製造)'!$D$2:$D$182,$B3)+COUNTIF('WBS(テスト)'!$D$2:$D$95,$B3)</f>
        <v>2</v>
      </c>
    </row>
    <row r="4" spans="1:8">
      <c r="A4" t="s">
        <v>2000</v>
      </c>
      <c r="B4" t="s">
        <v>3156</v>
      </c>
      <c r="C4" s="138">
        <f>SUMIFS('WBS(基本設計)'!$I$2:$I$159,'WBS(基本設計)'!$E$2:$E$159,$B4,'WBS(基本設計)'!$N$2:$N$159,"対象")</f>
        <v>0.5</v>
      </c>
      <c r="D4" s="138">
        <f>SUMIF('WBS(詳細設計_製造)'!$D$2:$D$182,$B4,'WBS(詳細設計_製造)'!$G$2:$G$182)</f>
        <v>0</v>
      </c>
      <c r="E4" s="138">
        <f>SUMIF('WBS(詳細設計_製造)'!$D$2:$D$182,$B4,'WBS(詳細設計_製造)'!$H$2:$H$182)</f>
        <v>1.5</v>
      </c>
      <c r="F4" s="138">
        <f>SUMIF('WBS(テスト)'!$D$2:$D$95,$B4,'WBS(テスト)'!$G$2:$G$95)</f>
        <v>1</v>
      </c>
      <c r="G4" s="138">
        <f t="shared" si="0"/>
        <v>3</v>
      </c>
      <c r="H4" s="138">
        <f>COUNTIF('WBS(詳細設計_製造)'!$D$2:$D$182,$B4)+COUNTIF('WBS(テスト)'!$D$2:$D$95,$B4)</f>
        <v>2</v>
      </c>
    </row>
    <row r="5" spans="1:8">
      <c r="A5" t="s">
        <v>2001</v>
      </c>
      <c r="B5" t="s">
        <v>3157</v>
      </c>
      <c r="C5" s="138">
        <f>SUMIFS('WBS(基本設計)'!$I$2:$I$159,'WBS(基本設計)'!$E$2:$E$159,$B5,'WBS(基本設計)'!$N$2:$N$159,"対象")</f>
        <v>13.5</v>
      </c>
      <c r="D5" s="138">
        <f>SUMIF('WBS(詳細設計_製造)'!$D$2:$D$182,$B5,'WBS(詳細設計_製造)'!$G$2:$G$182)</f>
        <v>9</v>
      </c>
      <c r="E5" s="138">
        <f>SUMIF('WBS(詳細設計_製造)'!$D$2:$D$182,$B5,'WBS(詳細設計_製造)'!$H$2:$H$182)</f>
        <v>12</v>
      </c>
      <c r="F5" s="138">
        <f>SUMIF('WBS(テスト)'!$D$2:$D$95,$B5,'WBS(テスト)'!$G$2:$G$95)</f>
        <v>19</v>
      </c>
      <c r="G5" s="138">
        <f t="shared" si="0"/>
        <v>53.5</v>
      </c>
      <c r="H5" s="138">
        <f>COUNTIF('WBS(詳細設計_製造)'!$D$2:$D$182,$B5)+COUNTIF('WBS(テスト)'!$D$2:$D$95,$B5)</f>
        <v>10</v>
      </c>
    </row>
    <row r="6" spans="1:8">
      <c r="A6" t="s">
        <v>2001</v>
      </c>
      <c r="B6" t="s">
        <v>3158</v>
      </c>
      <c r="C6" s="138">
        <f>SUMIFS('WBS(基本設計)'!$I$2:$I$159,'WBS(基本設計)'!$E$2:$E$159,$B6,'WBS(基本設計)'!$N$2:$N$159,"対象")</f>
        <v>4.5</v>
      </c>
      <c r="D6" s="138">
        <f>SUMIF('WBS(詳細設計_製造)'!$D$2:$D$182,$B6,'WBS(詳細設計_製造)'!$G$2:$G$182)</f>
        <v>7.5</v>
      </c>
      <c r="E6" s="138">
        <f>SUMIF('WBS(詳細設計_製造)'!$D$2:$D$182,$B6,'WBS(詳細設計_製造)'!$H$2:$H$182)</f>
        <v>6</v>
      </c>
      <c r="F6" s="138">
        <f>SUMIF('WBS(テスト)'!$D$2:$D$95,$B6,'WBS(テスト)'!$G$2:$G$95)</f>
        <v>14</v>
      </c>
      <c r="G6" s="138">
        <f t="shared" si="0"/>
        <v>32</v>
      </c>
      <c r="H6" s="138">
        <f>COUNTIF('WBS(詳細設計_製造)'!$D$2:$D$182,$B6)+COUNTIF('WBS(テスト)'!$D$2:$D$95,$B6)</f>
        <v>8</v>
      </c>
    </row>
    <row r="7" spans="1:8">
      <c r="A7" t="s">
        <v>2001</v>
      </c>
      <c r="B7" t="s">
        <v>2140</v>
      </c>
      <c r="C7" s="138">
        <f>SUMIFS('WBS(基本設計)'!$I$2:$I$159,'WBS(基本設計)'!$E$2:$E$159,$B7,'WBS(基本設計)'!$N$2:$N$159,"対象")</f>
        <v>1</v>
      </c>
      <c r="D7" s="138">
        <f>SUMIF('WBS(詳細設計_製造)'!$D$2:$D$182,$B7,'WBS(詳細設計_製造)'!$G$2:$G$182)</f>
        <v>4</v>
      </c>
      <c r="E7" s="138">
        <f>SUMIF('WBS(詳細設計_製造)'!$D$2:$D$182,$B7,'WBS(詳細設計_製造)'!$H$2:$H$182)</f>
        <v>5</v>
      </c>
      <c r="F7" s="138">
        <f>SUMIF('WBS(テスト)'!$D$2:$D$95,$B7,'WBS(テスト)'!$G$2:$G$95)</f>
        <v>2</v>
      </c>
      <c r="G7" s="138">
        <f t="shared" si="0"/>
        <v>12</v>
      </c>
      <c r="H7" s="138">
        <f>COUNTIF('WBS(詳細設計_製造)'!$D$2:$D$182,$B7)+COUNTIF('WBS(テスト)'!$D$2:$D$95,$B7)</f>
        <v>5</v>
      </c>
    </row>
    <row r="8" spans="1:8">
      <c r="A8" t="s">
        <v>2001</v>
      </c>
      <c r="B8" t="s">
        <v>1615</v>
      </c>
      <c r="C8" s="138">
        <f>SUMIFS('WBS(基本設計)'!$I$2:$I$159,'WBS(基本設計)'!$E$2:$E$159,$B8,'WBS(基本設計)'!$N$2:$N$159,"対象")</f>
        <v>0.5</v>
      </c>
      <c r="D8" s="138">
        <f>SUMIF('WBS(詳細設計_製造)'!$D$2:$D$182,$B8,'WBS(詳細設計_製造)'!$G$2:$G$182)</f>
        <v>1.5</v>
      </c>
      <c r="E8" s="138">
        <f>SUMIF('WBS(詳細設計_製造)'!$D$2:$D$182,$B8,'WBS(詳細設計_製造)'!$H$2:$H$182)</f>
        <v>2</v>
      </c>
      <c r="F8" s="138">
        <f>SUMIF('WBS(テスト)'!$D$2:$D$95,$B8,'WBS(テスト)'!$G$2:$G$95)</f>
        <v>1</v>
      </c>
      <c r="G8" s="138">
        <f t="shared" si="0"/>
        <v>5</v>
      </c>
      <c r="H8" s="138">
        <f>COUNTIF('WBS(詳細設計_製造)'!$D$2:$D$182,$B8)+COUNTIF('WBS(テスト)'!$D$2:$D$95,$B8)</f>
        <v>3</v>
      </c>
    </row>
    <row r="9" spans="1:8">
      <c r="A9" t="s">
        <v>2001</v>
      </c>
      <c r="B9" t="s">
        <v>3179</v>
      </c>
      <c r="C9" s="138">
        <f>SUMIFS('WBS(基本設計)'!$I$2:$I$159,'WBS(基本設計)'!$E$2:$E$159,$B9,'WBS(基本設計)'!$N$2:$N$159,"対象")</f>
        <v>4.5</v>
      </c>
      <c r="D9" s="138">
        <f>SUMIF('WBS(詳細設計_製造)'!$D$2:$D$182,$B9,'WBS(詳細設計_製造)'!$G$2:$G$182)</f>
        <v>4.5</v>
      </c>
      <c r="E9" s="138">
        <f>SUMIF('WBS(詳細設計_製造)'!$D$2:$D$182,$B9,'WBS(詳細設計_製造)'!$H$2:$H$182)</f>
        <v>8</v>
      </c>
      <c r="F9" s="138">
        <f>SUMIF('WBS(テスト)'!$D$2:$D$95,$B9,'WBS(テスト)'!$G$2:$G$95)</f>
        <v>7</v>
      </c>
      <c r="G9" s="138">
        <f t="shared" si="0"/>
        <v>24</v>
      </c>
      <c r="H9" s="138">
        <f>COUNTIF('WBS(詳細設計_製造)'!$D$2:$D$182,$B9)+COUNTIF('WBS(テスト)'!$D$2:$D$95,$B9)</f>
        <v>8</v>
      </c>
    </row>
    <row r="10" spans="1:8">
      <c r="A10" t="s">
        <v>2002</v>
      </c>
      <c r="B10" t="s">
        <v>2094</v>
      </c>
      <c r="C10" s="138">
        <f>SUMIFS('WBS(基本設計)'!$I$2:$I$159,'WBS(基本設計)'!$E$2:$E$159,$B10,'WBS(基本設計)'!$N$2:$N$159,"対象")</f>
        <v>0.5</v>
      </c>
      <c r="D10" s="138">
        <f>SUMIF('WBS(詳細設計_製造)'!$D$2:$D$182,$B10,'WBS(詳細設計_製造)'!$G$2:$G$182)</f>
        <v>0</v>
      </c>
      <c r="E10" s="138">
        <f>SUMIF('WBS(詳細設計_製造)'!$D$2:$D$182,$B10,'WBS(詳細設計_製造)'!$H$2:$H$182)</f>
        <v>0</v>
      </c>
      <c r="F10" s="138">
        <f>SUMIF('WBS(テスト)'!$D$2:$D$95,$B10,'WBS(テスト)'!$G$2:$G$95)</f>
        <v>0</v>
      </c>
      <c r="G10" s="138">
        <f t="shared" si="0"/>
        <v>0.5</v>
      </c>
      <c r="H10" s="138">
        <f>COUNTIF('WBS(詳細設計_製造)'!$D$2:$D$182,$B10)+COUNTIF('WBS(テスト)'!$D$2:$D$95,$B10)</f>
        <v>0</v>
      </c>
    </row>
    <row r="11" spans="1:8">
      <c r="A11" t="s">
        <v>2002</v>
      </c>
      <c r="B11" t="s">
        <v>3734</v>
      </c>
      <c r="C11" s="138">
        <f>SUMIFS('WBS(基本設計)'!$I$2:$I$159,'WBS(基本設計)'!$E$2:$E$159,$B11,'WBS(基本設計)'!$N$2:$N$159,"対象")</f>
        <v>3</v>
      </c>
      <c r="D11" s="138">
        <f>SUMIF('WBS(詳細設計_製造)'!$D$2:$D$182,$B11,'WBS(詳細設計_製造)'!$G$2:$G$182)</f>
        <v>2</v>
      </c>
      <c r="E11" s="138">
        <f>SUMIF('WBS(詳細設計_製造)'!$D$2:$D$182,$B11,'WBS(詳細設計_製造)'!$H$2:$H$182)</f>
        <v>8</v>
      </c>
      <c r="F11" s="138">
        <f>SUMIF('WBS(テスト)'!$D$2:$D$95,$B11,'WBS(テスト)'!$G$2:$G$95)</f>
        <v>2</v>
      </c>
      <c r="G11" s="138">
        <f t="shared" si="0"/>
        <v>15</v>
      </c>
      <c r="H11" s="138">
        <f>COUNTIF('WBS(詳細設計_製造)'!$D$2:$D$182,$B11)+COUNTIF('WBS(テスト)'!$D$2:$D$95,$B11)</f>
        <v>4</v>
      </c>
    </row>
    <row r="12" spans="1:8">
      <c r="A12" t="s">
        <v>1649</v>
      </c>
      <c r="B12" t="s">
        <v>3159</v>
      </c>
      <c r="C12" s="138">
        <f>SUMIFS('WBS(基本設計)'!$I$2:$I$159,'WBS(基本設計)'!$E$2:$E$159,$B12,'WBS(基本設計)'!$N$2:$N$159,"対象")</f>
        <v>1</v>
      </c>
      <c r="D12" s="138">
        <f>SUMIF('WBS(詳細設計_製造)'!$D$2:$D$182,$B12,'WBS(詳細設計_製造)'!$G$2:$G$182)</f>
        <v>1.5</v>
      </c>
      <c r="E12" s="138">
        <f>SUMIF('WBS(詳細設計_製造)'!$D$2:$D$182,$B12,'WBS(詳細設計_製造)'!$H$2:$H$182)</f>
        <v>3</v>
      </c>
      <c r="F12" s="138">
        <f>SUMIF('WBS(テスト)'!$D$2:$D$95,$B12,'WBS(テスト)'!$G$2:$G$95)</f>
        <v>3</v>
      </c>
      <c r="G12" s="138">
        <f t="shared" si="0"/>
        <v>8.5</v>
      </c>
      <c r="H12" s="138">
        <f>COUNTIF('WBS(詳細設計_製造)'!$D$2:$D$182,$B12)+COUNTIF('WBS(テスト)'!$D$2:$D$95,$B12)</f>
        <v>4</v>
      </c>
    </row>
    <row r="13" spans="1:8">
      <c r="A13" t="s">
        <v>2005</v>
      </c>
      <c r="B13" t="s">
        <v>2137</v>
      </c>
      <c r="C13" s="138">
        <f>SUMIFS('WBS(基本設計)'!$I$2:$I$159,'WBS(基本設計)'!$E$2:$E$159,$B13,'WBS(基本設計)'!$N$2:$N$159,"対象")</f>
        <v>5</v>
      </c>
      <c r="D13" s="138">
        <f>SUMIF('WBS(詳細設計_製造)'!$D$2:$D$182,$B13,'WBS(詳細設計_製造)'!$G$2:$G$182)</f>
        <v>4</v>
      </c>
      <c r="E13" s="138">
        <f>SUMIF('WBS(詳細設計_製造)'!$D$2:$D$182,$B13,'WBS(詳細設計_製造)'!$H$2:$H$182)</f>
        <v>3</v>
      </c>
      <c r="F13" s="138">
        <f>SUMIF('WBS(テスト)'!$D$2:$D$95,$B13,'WBS(テスト)'!$G$2:$G$95)</f>
        <v>6</v>
      </c>
      <c r="G13" s="138">
        <f t="shared" si="0"/>
        <v>18</v>
      </c>
      <c r="H13" s="138">
        <f>COUNTIF('WBS(詳細設計_製造)'!$D$2:$D$182,$B13)+COUNTIF('WBS(テスト)'!$D$2:$D$95,$B13)</f>
        <v>5</v>
      </c>
    </row>
    <row r="14" spans="1:8">
      <c r="A14" t="s">
        <v>2005</v>
      </c>
      <c r="B14" t="s">
        <v>2181</v>
      </c>
      <c r="C14" s="138">
        <f>SUMIFS('WBS(基本設計)'!$I$2:$I$159,'WBS(基本設計)'!$E$2:$E$159,$B14,'WBS(基本設計)'!$N$2:$N$159,"対象")</f>
        <v>4</v>
      </c>
      <c r="D14" s="138">
        <f>SUMIF('WBS(詳細設計_製造)'!$D$2:$D$182,$B14,'WBS(詳細設計_製造)'!$G$2:$G$182)</f>
        <v>3</v>
      </c>
      <c r="E14" s="138">
        <f>SUMIF('WBS(詳細設計_製造)'!$D$2:$D$182,$B14,'WBS(詳細設計_製造)'!$H$2:$H$182)</f>
        <v>3.5</v>
      </c>
      <c r="F14" s="138">
        <f>SUMIF('WBS(テスト)'!$D$2:$D$95,$B14,'WBS(テスト)'!$G$2:$G$95)</f>
        <v>4</v>
      </c>
      <c r="G14" s="138">
        <f t="shared" si="0"/>
        <v>14.5</v>
      </c>
      <c r="H14" s="138">
        <f>COUNTIF('WBS(詳細設計_製造)'!$D$2:$D$182,$B14)+COUNTIF('WBS(テスト)'!$D$2:$D$95,$B14)</f>
        <v>4</v>
      </c>
    </row>
    <row r="15" spans="1:8">
      <c r="A15" t="s">
        <v>2007</v>
      </c>
      <c r="B15" t="s">
        <v>2079</v>
      </c>
      <c r="C15" s="138">
        <f>SUMIFS('WBS(基本設計)'!$I$2:$I$159,'WBS(基本設計)'!$E$2:$E$159,$B15,'WBS(基本設計)'!$N$2:$N$159,"対象")</f>
        <v>1</v>
      </c>
      <c r="D15" s="138">
        <f>SUMIF('WBS(詳細設計_製造)'!$D$2:$D$182,$B15,'WBS(詳細設計_製造)'!$G$2:$G$182)</f>
        <v>2</v>
      </c>
      <c r="E15" s="138">
        <f>SUMIF('WBS(詳細設計_製造)'!$D$2:$D$182,$B15,'WBS(詳細設計_製造)'!$H$2:$H$182)</f>
        <v>4</v>
      </c>
      <c r="F15" s="138">
        <f>SUMIF('WBS(テスト)'!$D$2:$D$95,$B15,'WBS(テスト)'!$G$2:$G$95)</f>
        <v>2</v>
      </c>
      <c r="G15" s="138">
        <f t="shared" si="0"/>
        <v>9</v>
      </c>
      <c r="H15" s="138">
        <f>COUNTIF('WBS(詳細設計_製造)'!$D$2:$D$182,$B15)+COUNTIF('WBS(テスト)'!$D$2:$D$95,$B15)</f>
        <v>4</v>
      </c>
    </row>
    <row r="16" spans="1:8">
      <c r="A16" t="s">
        <v>2007</v>
      </c>
      <c r="B16" t="s">
        <v>3160</v>
      </c>
      <c r="C16" s="138">
        <f>SUMIFS('WBS(基本設計)'!$I$2:$I$159,'WBS(基本設計)'!$E$2:$E$159,$B16,'WBS(基本設計)'!$N$2:$N$159,"対象")</f>
        <v>1</v>
      </c>
      <c r="D16" s="138">
        <f>SUMIF('WBS(詳細設計_製造)'!$D$2:$D$182,$B16,'WBS(詳細設計_製造)'!$G$2:$G$182)</f>
        <v>1</v>
      </c>
      <c r="E16" s="138">
        <f>SUMIF('WBS(詳細設計_製造)'!$D$2:$D$182,$B16,'WBS(詳細設計_製造)'!$H$2:$H$182)</f>
        <v>2</v>
      </c>
      <c r="F16" s="138">
        <f>SUMIF('WBS(テスト)'!$D$2:$D$95,$B16,'WBS(テスト)'!$G$2:$G$95)</f>
        <v>1.5</v>
      </c>
      <c r="G16" s="138">
        <f t="shared" si="0"/>
        <v>5.5</v>
      </c>
      <c r="H16" s="138">
        <f>COUNTIF('WBS(詳細設計_製造)'!$D$2:$D$182,$B16)+COUNTIF('WBS(テスト)'!$D$2:$D$95,$B16)</f>
        <v>3</v>
      </c>
    </row>
    <row r="17" spans="1:8">
      <c r="A17" t="s">
        <v>292</v>
      </c>
      <c r="B17" t="s">
        <v>2158</v>
      </c>
      <c r="C17" s="138">
        <f>SUMIFS('WBS(基本設計)'!$I$2:$I$159,'WBS(基本設計)'!$E$2:$E$159,$B17,'WBS(基本設計)'!$N$2:$N$159,"対象")</f>
        <v>0.5</v>
      </c>
      <c r="D17" s="138">
        <f>SUMIF('WBS(詳細設計_製造)'!$D$2:$D$182,$B17,'WBS(詳細設計_製造)'!$G$2:$G$182)</f>
        <v>0</v>
      </c>
      <c r="E17" s="138">
        <f>SUMIF('WBS(詳細設計_製造)'!$D$2:$D$182,$B17,'WBS(詳細設計_製造)'!$H$2:$H$182)</f>
        <v>0</v>
      </c>
      <c r="F17" s="138">
        <f>SUMIF('WBS(テスト)'!$D$2:$D$95,$B17,'WBS(テスト)'!$G$2:$G$95)</f>
        <v>0</v>
      </c>
      <c r="G17" s="138">
        <f t="shared" si="0"/>
        <v>0.5</v>
      </c>
      <c r="H17" s="138">
        <f>COUNTIF('WBS(詳細設計_製造)'!$D$2:$D$182,$B17)+COUNTIF('WBS(テスト)'!$D$2:$D$95,$B17)</f>
        <v>0</v>
      </c>
    </row>
    <row r="18" spans="1:8">
      <c r="A18" t="s">
        <v>2009</v>
      </c>
      <c r="B18" t="s">
        <v>3161</v>
      </c>
      <c r="C18" s="138">
        <f>SUMIFS('WBS(基本設計)'!$I$2:$I$159,'WBS(基本設計)'!$E$2:$E$159,$B18,'WBS(基本設計)'!$N$2:$N$159,"対象")</f>
        <v>4</v>
      </c>
      <c r="D18" s="138">
        <f>SUMIF('WBS(詳細設計_製造)'!$D$2:$D$182,$B18,'WBS(詳細設計_製造)'!$G$2:$G$182)</f>
        <v>6</v>
      </c>
      <c r="E18" s="138">
        <f>SUMIF('WBS(詳細設計_製造)'!$D$2:$D$182,$B18,'WBS(詳細設計_製造)'!$H$2:$H$182)</f>
        <v>11</v>
      </c>
      <c r="F18" s="138">
        <f>SUMIF('WBS(テスト)'!$D$2:$D$95,$B18,'WBS(テスト)'!$G$2:$G$95)</f>
        <v>18</v>
      </c>
      <c r="G18" s="138">
        <f t="shared" si="0"/>
        <v>39</v>
      </c>
      <c r="H18" s="138">
        <f>COUNTIF('WBS(詳細設計_製造)'!$D$2:$D$182,$B18)+COUNTIF('WBS(テスト)'!$D$2:$D$95,$B18)</f>
        <v>8</v>
      </c>
    </row>
    <row r="19" spans="1:8">
      <c r="A19" t="s">
        <v>2009</v>
      </c>
      <c r="B19" t="s">
        <v>3162</v>
      </c>
      <c r="C19" s="138">
        <f>SUMIFS('WBS(基本設計)'!$I$2:$I$159,'WBS(基本設計)'!$E$2:$E$159,$B19,'WBS(基本設計)'!$N$2:$N$159,"対象")</f>
        <v>0.75</v>
      </c>
      <c r="D19" s="138">
        <f>SUMIF('WBS(詳細設計_製造)'!$D$2:$D$182,$B19,'WBS(詳細設計_製造)'!$G$2:$G$182)</f>
        <v>1</v>
      </c>
      <c r="E19" s="138">
        <f>SUMIF('WBS(詳細設計_製造)'!$D$2:$D$182,$B19,'WBS(詳細設計_製造)'!$H$2:$H$182)</f>
        <v>0</v>
      </c>
      <c r="F19" s="138">
        <f>SUMIF('WBS(テスト)'!$D$2:$D$95,$B19,'WBS(テスト)'!$G$2:$G$95)</f>
        <v>1</v>
      </c>
      <c r="G19" s="138">
        <f t="shared" si="0"/>
        <v>2.75</v>
      </c>
      <c r="H19" s="138">
        <f>COUNTIF('WBS(詳細設計_製造)'!$D$2:$D$182,$B19)+COUNTIF('WBS(テスト)'!$D$2:$D$95,$B19)</f>
        <v>2</v>
      </c>
    </row>
    <row r="20" spans="1:8">
      <c r="A20" t="s">
        <v>2009</v>
      </c>
      <c r="B20" t="s">
        <v>2143</v>
      </c>
      <c r="C20" s="138">
        <f>SUMIFS('WBS(基本設計)'!$I$2:$I$159,'WBS(基本設計)'!$E$2:$E$159,$B20,'WBS(基本設計)'!$N$2:$N$159,"対象")</f>
        <v>1</v>
      </c>
      <c r="D20" s="138">
        <f>SUMIF('WBS(詳細設計_製造)'!$D$2:$D$182,$B20,'WBS(詳細設計_製造)'!$G$2:$G$182)</f>
        <v>1</v>
      </c>
      <c r="E20" s="138">
        <f>SUMIF('WBS(詳細設計_製造)'!$D$2:$D$182,$B20,'WBS(詳細設計_製造)'!$H$2:$H$182)</f>
        <v>1.5</v>
      </c>
      <c r="F20" s="138">
        <f>SUMIF('WBS(テスト)'!$D$2:$D$95,$B20,'WBS(テスト)'!$G$2:$G$95)</f>
        <v>1.5</v>
      </c>
      <c r="G20" s="138">
        <f t="shared" si="0"/>
        <v>5</v>
      </c>
      <c r="H20" s="138">
        <f>COUNTIF('WBS(詳細設計_製造)'!$D$2:$D$182,$B20)+COUNTIF('WBS(テスト)'!$D$2:$D$95,$B20)</f>
        <v>3</v>
      </c>
    </row>
    <row r="21" spans="1:8">
      <c r="A21" t="s">
        <v>2009</v>
      </c>
      <c r="B21" t="s">
        <v>3163</v>
      </c>
      <c r="C21" s="138">
        <f>SUMIFS('WBS(基本設計)'!$I$2:$I$159,'WBS(基本設計)'!$E$2:$E$159,$B21,'WBS(基本設計)'!$N$2:$N$159,"対象")</f>
        <v>0.5</v>
      </c>
      <c r="D21" s="138">
        <f>SUMIF('WBS(詳細設計_製造)'!$D$2:$D$182,$B21,'WBS(詳細設計_製造)'!$G$2:$G$182)</f>
        <v>2</v>
      </c>
      <c r="E21" s="138">
        <f>SUMIF('WBS(詳細設計_製造)'!$D$2:$D$182,$B21,'WBS(詳細設計_製造)'!$H$2:$H$182)</f>
        <v>0</v>
      </c>
      <c r="F21" s="138">
        <f>SUMIF('WBS(テスト)'!$D$2:$D$95,$B21,'WBS(テスト)'!$G$2:$G$95)</f>
        <v>0.5</v>
      </c>
      <c r="G21" s="138">
        <f t="shared" si="0"/>
        <v>3</v>
      </c>
      <c r="H21" s="138">
        <f>COUNTIF('WBS(詳細設計_製造)'!$D$2:$D$182,$B21)+COUNTIF('WBS(テスト)'!$D$2:$D$95,$B21)</f>
        <v>2</v>
      </c>
    </row>
    <row r="22" spans="1:8">
      <c r="A22" t="s">
        <v>2009</v>
      </c>
      <c r="B22" t="s">
        <v>2145</v>
      </c>
      <c r="C22" s="138">
        <f>SUMIFS('WBS(基本設計)'!$I$2:$I$159,'WBS(基本設計)'!$E$2:$E$159,$B22,'WBS(基本設計)'!$N$2:$N$159,"対象")</f>
        <v>0.5</v>
      </c>
      <c r="D22" s="138">
        <f>SUMIF('WBS(詳細設計_製造)'!$D$2:$D$182,$B22,'WBS(詳細設計_製造)'!$G$2:$G$182)</f>
        <v>0</v>
      </c>
      <c r="E22" s="138">
        <f>SUMIF('WBS(詳細設計_製造)'!$D$2:$D$182,$B22,'WBS(詳細設計_製造)'!$H$2:$H$182)</f>
        <v>0</v>
      </c>
      <c r="F22" s="138">
        <f>SUMIF('WBS(テスト)'!$D$2:$D$95,$B22,'WBS(テスト)'!$G$2:$G$95)</f>
        <v>0</v>
      </c>
      <c r="G22" s="138">
        <f t="shared" si="0"/>
        <v>0.5</v>
      </c>
      <c r="H22" s="138">
        <f>COUNTIF('WBS(詳細設計_製造)'!$D$2:$D$182,$B22)+COUNTIF('WBS(テスト)'!$D$2:$D$95,$B22)</f>
        <v>0</v>
      </c>
    </row>
    <row r="23" spans="1:8">
      <c r="A23" t="s">
        <v>2011</v>
      </c>
      <c r="B23" t="s">
        <v>1616</v>
      </c>
      <c r="C23" s="138">
        <f>SUMIFS('WBS(基本設計)'!$I$2:$I$159,'WBS(基本設計)'!$E$2:$E$159,$B23,'WBS(基本設計)'!$N$2:$N$159,"対象")</f>
        <v>3</v>
      </c>
      <c r="D23" s="138">
        <f>SUMIF('WBS(詳細設計_製造)'!$D$2:$D$182,$B23,'WBS(詳細設計_製造)'!$G$2:$G$182)</f>
        <v>3</v>
      </c>
      <c r="E23" s="138">
        <f>SUMIF('WBS(詳細設計_製造)'!$D$2:$D$182,$B23,'WBS(詳細設計_製造)'!$H$2:$H$182)</f>
        <v>3</v>
      </c>
      <c r="F23" s="138">
        <f>SUMIF('WBS(テスト)'!$D$2:$D$95,$B23,'WBS(テスト)'!$G$2:$G$95)</f>
        <v>4</v>
      </c>
      <c r="G23" s="138">
        <f t="shared" si="0"/>
        <v>13</v>
      </c>
      <c r="H23" s="138">
        <f>COUNTIF('WBS(詳細設計_製造)'!$D$2:$D$182,$B23)+COUNTIF('WBS(テスト)'!$D$2:$D$95,$B23)</f>
        <v>3</v>
      </c>
    </row>
    <row r="24" spans="1:8">
      <c r="A24" t="s">
        <v>2011</v>
      </c>
      <c r="B24" t="s">
        <v>1617</v>
      </c>
      <c r="C24" s="138">
        <f>SUMIFS('WBS(基本設計)'!$I$2:$I$159,'WBS(基本設計)'!$E$2:$E$159,$B24,'WBS(基本設計)'!$N$2:$N$159,"対象")</f>
        <v>0.75</v>
      </c>
      <c r="D24" s="138">
        <f>SUMIF('WBS(詳細設計_製造)'!$D$2:$D$182,$B24,'WBS(詳細設計_製造)'!$G$2:$G$182)</f>
        <v>1.5</v>
      </c>
      <c r="E24" s="138">
        <f>SUMIF('WBS(詳細設計_製造)'!$D$2:$D$182,$B24,'WBS(詳細設計_製造)'!$H$2:$H$182)</f>
        <v>1.5</v>
      </c>
      <c r="F24" s="138">
        <f>SUMIF('WBS(テスト)'!$D$2:$D$95,$B24,'WBS(テスト)'!$G$2:$G$95)</f>
        <v>1</v>
      </c>
      <c r="G24" s="138">
        <f t="shared" si="0"/>
        <v>4.75</v>
      </c>
      <c r="H24" s="138">
        <f>COUNTIF('WBS(詳細設計_製造)'!$D$2:$D$182,$B24)+COUNTIF('WBS(テスト)'!$D$2:$D$95,$B24)</f>
        <v>3</v>
      </c>
    </row>
    <row r="25" spans="1:8">
      <c r="A25" t="s">
        <v>2013</v>
      </c>
      <c r="B25" t="s">
        <v>3164</v>
      </c>
      <c r="C25" s="138">
        <f>SUMIFS('WBS(基本設計)'!$I$2:$I$159,'WBS(基本設計)'!$E$2:$E$159,$B25,'WBS(基本設計)'!$N$2:$N$159,"対象")</f>
        <v>0.75</v>
      </c>
      <c r="D25" s="138">
        <f>SUMIF('WBS(詳細設計_製造)'!$D$2:$D$182,$B25,'WBS(詳細設計_製造)'!$G$2:$G$182)</f>
        <v>1.5</v>
      </c>
      <c r="E25" s="138">
        <f>SUMIF('WBS(詳細設計_製造)'!$D$2:$D$182,$B25,'WBS(詳細設計_製造)'!$H$2:$H$182)</f>
        <v>2</v>
      </c>
      <c r="F25" s="138">
        <f>SUMIF('WBS(テスト)'!$D$2:$D$95,$B25,'WBS(テスト)'!$G$2:$G$95)</f>
        <v>3</v>
      </c>
      <c r="G25" s="138">
        <f t="shared" si="0"/>
        <v>7.25</v>
      </c>
      <c r="H25" s="138">
        <f>COUNTIF('WBS(詳細設計_製造)'!$D$2:$D$182,$B25)+COUNTIF('WBS(テスト)'!$D$2:$D$95,$B25)</f>
        <v>3</v>
      </c>
    </row>
    <row r="26" spans="1:8">
      <c r="A26" t="s">
        <v>2013</v>
      </c>
      <c r="B26" t="s">
        <v>3165</v>
      </c>
      <c r="C26" s="138">
        <f>SUMIFS('WBS(基本設計)'!$I$2:$I$159,'WBS(基本設計)'!$E$2:$E$159,$B26,'WBS(基本設計)'!$N$2:$N$159,"対象")</f>
        <v>0.75</v>
      </c>
      <c r="D26" s="138">
        <f>SUMIF('WBS(詳細設計_製造)'!$D$2:$D$182,$B26,'WBS(詳細設計_製造)'!$G$2:$G$182)</f>
        <v>0.5</v>
      </c>
      <c r="E26" s="138">
        <f>SUMIF('WBS(詳細設計_製造)'!$D$2:$D$182,$B26,'WBS(詳細設計_製造)'!$H$2:$H$182)</f>
        <v>1</v>
      </c>
      <c r="F26" s="138">
        <f>SUMIF('WBS(テスト)'!$D$2:$D$95,$B26,'WBS(テスト)'!$G$2:$G$95)</f>
        <v>2</v>
      </c>
      <c r="G26" s="138">
        <f t="shared" si="0"/>
        <v>4.25</v>
      </c>
      <c r="H26" s="138">
        <f>COUNTIF('WBS(詳細設計_製造)'!$D$2:$D$182,$B26)+COUNTIF('WBS(テスト)'!$D$2:$D$95,$B26)</f>
        <v>3</v>
      </c>
    </row>
    <row r="27" spans="1:8">
      <c r="A27" t="s">
        <v>2013</v>
      </c>
      <c r="B27" t="s">
        <v>1636</v>
      </c>
      <c r="C27" s="138">
        <f>SUMIFS('WBS(基本設計)'!$I$2:$I$159,'WBS(基本設計)'!$E$2:$E$159,$B27,'WBS(基本設計)'!$N$2:$N$159,"対象")</f>
        <v>1</v>
      </c>
      <c r="D27" s="138">
        <f>SUMIF('WBS(詳細設計_製造)'!$D$2:$D$182,$B27,'WBS(詳細設計_製造)'!$G$2:$G$182)</f>
        <v>1</v>
      </c>
      <c r="E27" s="138">
        <f>SUMIF('WBS(詳細設計_製造)'!$D$2:$D$182,$B27,'WBS(詳細設計_製造)'!$H$2:$H$182)</f>
        <v>1.5</v>
      </c>
      <c r="F27" s="138">
        <f>SUMIF('WBS(テスト)'!$D$2:$D$95,$B27,'WBS(テスト)'!$G$2:$G$95)</f>
        <v>1.5</v>
      </c>
      <c r="G27" s="138">
        <f t="shared" si="0"/>
        <v>5</v>
      </c>
      <c r="H27" s="138">
        <f>COUNTIF('WBS(詳細設計_製造)'!$D$2:$D$182,$B27)+COUNTIF('WBS(テスト)'!$D$2:$D$95,$B27)</f>
        <v>3</v>
      </c>
    </row>
    <row r="28" spans="1:8">
      <c r="A28" t="s">
        <v>2013</v>
      </c>
      <c r="B28" t="s">
        <v>1642</v>
      </c>
      <c r="C28" s="138">
        <f>SUMIFS('WBS(基本設計)'!$I$2:$I$159,'WBS(基本設計)'!$E$2:$E$159,$B28,'WBS(基本設計)'!$N$2:$N$159,"対象")</f>
        <v>1.5</v>
      </c>
      <c r="D28" s="138">
        <f>SUMIF('WBS(詳細設計_製造)'!$D$2:$D$182,$B28,'WBS(詳細設計_製造)'!$G$2:$G$182)</f>
        <v>1.5</v>
      </c>
      <c r="E28" s="138">
        <f>SUMIF('WBS(詳細設計_製造)'!$D$2:$D$182,$B28,'WBS(詳細設計_製造)'!$H$2:$H$182)</f>
        <v>2</v>
      </c>
      <c r="F28" s="138">
        <f>SUMIF('WBS(テスト)'!$D$2:$D$95,$B28,'WBS(テスト)'!$G$2:$G$95)</f>
        <v>2</v>
      </c>
      <c r="G28" s="138">
        <f t="shared" si="0"/>
        <v>7</v>
      </c>
      <c r="H28" s="138">
        <f>COUNTIF('WBS(詳細設計_製造)'!$D$2:$D$182,$B28)+COUNTIF('WBS(テスト)'!$D$2:$D$95,$B28)</f>
        <v>3</v>
      </c>
    </row>
    <row r="29" spans="1:8">
      <c r="A29" t="s">
        <v>2015</v>
      </c>
      <c r="B29" t="s">
        <v>1652</v>
      </c>
      <c r="C29" s="138">
        <f>SUMIFS('WBS(基本設計)'!$I$2:$I$159,'WBS(基本設計)'!$E$2:$E$159,$B29,'WBS(基本設計)'!$N$2:$N$159,"対象")</f>
        <v>1</v>
      </c>
      <c r="D29" s="138">
        <f>SUMIF('WBS(詳細設計_製造)'!$D$2:$D$182,$B29,'WBS(詳細設計_製造)'!$G$2:$G$182)</f>
        <v>2</v>
      </c>
      <c r="E29" s="138">
        <f>SUMIF('WBS(詳細設計_製造)'!$D$2:$D$182,$B29,'WBS(詳細設計_製造)'!$H$2:$H$182)</f>
        <v>2</v>
      </c>
      <c r="F29" s="138">
        <f>SUMIF('WBS(テスト)'!$D$2:$D$95,$B29,'WBS(テスト)'!$G$2:$G$95)</f>
        <v>3</v>
      </c>
      <c r="G29" s="138">
        <f t="shared" si="0"/>
        <v>8</v>
      </c>
      <c r="H29" s="138">
        <f>COUNTIF('WBS(詳細設計_製造)'!$D$2:$D$182,$B29)+COUNTIF('WBS(テスト)'!$D$2:$D$95,$B29)</f>
        <v>3</v>
      </c>
    </row>
    <row r="30" spans="1:8">
      <c r="A30" t="s">
        <v>2015</v>
      </c>
      <c r="B30" t="s">
        <v>2108</v>
      </c>
      <c r="C30" s="138">
        <f>SUMIFS('WBS(基本設計)'!$I$2:$I$159,'WBS(基本設計)'!$E$2:$E$159,$B30,'WBS(基本設計)'!$N$2:$N$159,"対象")</f>
        <v>1</v>
      </c>
      <c r="D30" s="138">
        <f>SUMIF('WBS(詳細設計_製造)'!$D$2:$D$182,$B30,'WBS(詳細設計_製造)'!$G$2:$G$182)</f>
        <v>1.5</v>
      </c>
      <c r="E30" s="138">
        <f>SUMIF('WBS(詳細設計_製造)'!$D$2:$D$182,$B30,'WBS(詳細設計_製造)'!$H$2:$H$182)</f>
        <v>1.5</v>
      </c>
      <c r="F30" s="138">
        <f>SUMIF('WBS(テスト)'!$D$2:$D$95,$B30,'WBS(テスト)'!$G$2:$G$95)</f>
        <v>4</v>
      </c>
      <c r="G30" s="138">
        <f t="shared" si="0"/>
        <v>8</v>
      </c>
      <c r="H30" s="138">
        <f>COUNTIF('WBS(詳細設計_製造)'!$D$2:$D$182,$B30)+COUNTIF('WBS(テスト)'!$D$2:$D$95,$B30)</f>
        <v>3</v>
      </c>
    </row>
    <row r="31" spans="1:8">
      <c r="A31" t="s">
        <v>3132</v>
      </c>
      <c r="B31" t="s">
        <v>3166</v>
      </c>
      <c r="C31" s="138">
        <f>SUMIFS('WBS(基本設計)'!$I$2:$I$159,'WBS(基本設計)'!$E$2:$E$159,$B31,'WBS(基本設計)'!$N$2:$N$159,"対象")</f>
        <v>2</v>
      </c>
      <c r="D31" s="138">
        <f>SUMIF('WBS(詳細設計_製造)'!$D$2:$D$182,$B31,'WBS(詳細設計_製造)'!$G$2:$G$182)</f>
        <v>0</v>
      </c>
      <c r="E31" s="138">
        <f>SUMIF('WBS(詳細設計_製造)'!$D$2:$D$182,$B31,'WBS(詳細設計_製造)'!$H$2:$H$182)</f>
        <v>3</v>
      </c>
      <c r="F31" s="138">
        <f>SUMIF('WBS(テスト)'!$D$2:$D$95,$B31,'WBS(テスト)'!$G$2:$G$95)</f>
        <v>4</v>
      </c>
      <c r="G31" s="138">
        <f t="shared" si="0"/>
        <v>9</v>
      </c>
      <c r="H31" s="138">
        <f>COUNTIF('WBS(詳細設計_製造)'!$D$2:$D$182,$B31)+COUNTIF('WBS(テスト)'!$D$2:$D$95,$B31)</f>
        <v>2</v>
      </c>
    </row>
    <row r="32" spans="1:8">
      <c r="A32" t="s">
        <v>3132</v>
      </c>
      <c r="B32" t="s">
        <v>1627</v>
      </c>
      <c r="C32" s="138">
        <f>SUMIFS('WBS(基本設計)'!$I$2:$I$159,'WBS(基本設計)'!$E$2:$E$159,$B32,'WBS(基本設計)'!$N$2:$N$159,"対象")</f>
        <v>3</v>
      </c>
      <c r="D32" s="138">
        <f>SUMIF('WBS(詳細設計_製造)'!$D$2:$D$182,$B32,'WBS(詳細設計_製造)'!$G$2:$G$182)</f>
        <v>2</v>
      </c>
      <c r="E32" s="138">
        <f>SUMIF('WBS(詳細設計_製造)'!$D$2:$D$182,$B32,'WBS(詳細設計_製造)'!$H$2:$H$182)</f>
        <v>3</v>
      </c>
      <c r="F32" s="138">
        <f>SUMIF('WBS(テスト)'!$D$2:$D$95,$B32,'WBS(テスト)'!$G$2:$G$95)</f>
        <v>5</v>
      </c>
      <c r="G32" s="138">
        <f t="shared" si="0"/>
        <v>13</v>
      </c>
      <c r="H32" s="138">
        <f>COUNTIF('WBS(詳細設計_製造)'!$D$2:$D$182,$B32)+COUNTIF('WBS(テスト)'!$D$2:$D$95,$B32)</f>
        <v>3</v>
      </c>
    </row>
    <row r="33" spans="1:8">
      <c r="A33" t="s">
        <v>3132</v>
      </c>
      <c r="B33" t="s">
        <v>1635</v>
      </c>
      <c r="C33" s="138">
        <f>SUMIFS('WBS(基本設計)'!$I$2:$I$159,'WBS(基本設計)'!$E$2:$E$159,$B33,'WBS(基本設計)'!$N$2:$N$159,"対象")</f>
        <v>1</v>
      </c>
      <c r="D33" s="138">
        <f>SUMIF('WBS(詳細設計_製造)'!$D$2:$D$182,$B33,'WBS(詳細設計_製造)'!$G$2:$G$182)</f>
        <v>1.5</v>
      </c>
      <c r="E33" s="138">
        <f>SUMIF('WBS(詳細設計_製造)'!$D$2:$D$182,$B33,'WBS(詳細設計_製造)'!$H$2:$H$182)</f>
        <v>2</v>
      </c>
      <c r="F33" s="138">
        <f>SUMIF('WBS(テスト)'!$D$2:$D$95,$B33,'WBS(テスト)'!$G$2:$G$95)</f>
        <v>1.5</v>
      </c>
      <c r="G33" s="138">
        <f t="shared" si="0"/>
        <v>6</v>
      </c>
      <c r="H33" s="138">
        <f>COUNTIF('WBS(詳細設計_製造)'!$D$2:$D$182,$B33)+COUNTIF('WBS(テスト)'!$D$2:$D$95,$B33)</f>
        <v>3</v>
      </c>
    </row>
    <row r="34" spans="1:8">
      <c r="A34" t="s">
        <v>1651</v>
      </c>
      <c r="B34" t="s">
        <v>1620</v>
      </c>
      <c r="C34" s="138">
        <f>SUMIFS('WBS(基本設計)'!$I$2:$I$159,'WBS(基本設計)'!$E$2:$E$159,$B34,'WBS(基本設計)'!$N$2:$N$159,"対象")</f>
        <v>3</v>
      </c>
      <c r="D34" s="138">
        <f>SUMIF('WBS(詳細設計_製造)'!$D$2:$D$182,$B34,'WBS(詳細設計_製造)'!$G$2:$G$182)</f>
        <v>2</v>
      </c>
      <c r="E34" s="138">
        <f>SUMIF('WBS(詳細設計_製造)'!$D$2:$D$182,$B34,'WBS(詳細設計_製造)'!$H$2:$H$182)</f>
        <v>2</v>
      </c>
      <c r="F34" s="138">
        <f>SUMIF('WBS(テスト)'!$D$2:$D$95,$B34,'WBS(テスト)'!$G$2:$G$95)</f>
        <v>2</v>
      </c>
      <c r="G34" s="138">
        <f t="shared" si="0"/>
        <v>9</v>
      </c>
      <c r="H34" s="138">
        <f>COUNTIF('WBS(詳細設計_製造)'!$D$2:$D$182,$B34)+COUNTIF('WBS(テスト)'!$D$2:$D$95,$B34)</f>
        <v>3</v>
      </c>
    </row>
    <row r="35" spans="1:8">
      <c r="A35" t="s">
        <v>2017</v>
      </c>
      <c r="B35" t="s">
        <v>3167</v>
      </c>
      <c r="C35" s="138">
        <f>SUMIFS('WBS(基本設計)'!$I$2:$I$159,'WBS(基本設計)'!$E$2:$E$159,$B35,'WBS(基本設計)'!$N$2:$N$159,"対象")</f>
        <v>4</v>
      </c>
      <c r="D35" s="138">
        <f>SUMIF('WBS(詳細設計_製造)'!$D$2:$D$182,$B35,'WBS(詳細設計_製造)'!$G$2:$G$182)</f>
        <v>4</v>
      </c>
      <c r="E35" s="138">
        <f>SUMIF('WBS(詳細設計_製造)'!$D$2:$D$182,$B35,'WBS(詳細設計_製造)'!$H$2:$H$182)</f>
        <v>4.5</v>
      </c>
      <c r="F35" s="138">
        <f>SUMIF('WBS(テスト)'!$D$2:$D$95,$B35,'WBS(テスト)'!$G$2:$G$95)</f>
        <v>9</v>
      </c>
      <c r="G35" s="138">
        <f t="shared" si="0"/>
        <v>21.5</v>
      </c>
      <c r="H35" s="138">
        <f>COUNTIF('WBS(詳細設計_製造)'!$D$2:$D$182,$B35)+COUNTIF('WBS(テスト)'!$D$2:$D$95,$B35)</f>
        <v>6</v>
      </c>
    </row>
    <row r="36" spans="1:8">
      <c r="A36" t="s">
        <v>2017</v>
      </c>
      <c r="B36" t="s">
        <v>3168</v>
      </c>
      <c r="C36" s="138">
        <f>SUMIFS('WBS(基本設計)'!$I$2:$I$159,'WBS(基本設計)'!$E$2:$E$159,$B36,'WBS(基本設計)'!$N$2:$N$159,"対象")</f>
        <v>0.5</v>
      </c>
      <c r="D36" s="138">
        <f>SUMIF('WBS(詳細設計_製造)'!$D$2:$D$182,$B36,'WBS(詳細設計_製造)'!$G$2:$G$182)</f>
        <v>1.5</v>
      </c>
      <c r="E36" s="138">
        <f>SUMIF('WBS(詳細設計_製造)'!$D$2:$D$182,$B36,'WBS(詳細設計_製造)'!$H$2:$H$182)</f>
        <v>2.5</v>
      </c>
      <c r="F36" s="138">
        <f>SUMIF('WBS(テスト)'!$D$2:$D$95,$B36,'WBS(テスト)'!$G$2:$G$95)</f>
        <v>4</v>
      </c>
      <c r="G36" s="138">
        <f t="shared" si="0"/>
        <v>8.5</v>
      </c>
      <c r="H36" s="138">
        <f>COUNTIF('WBS(詳細設計_製造)'!$D$2:$D$182,$B36)+COUNTIF('WBS(テスト)'!$D$2:$D$95,$B36)</f>
        <v>4</v>
      </c>
    </row>
    <row r="37" spans="1:8">
      <c r="A37" t="s">
        <v>3135</v>
      </c>
      <c r="B37" t="s">
        <v>3169</v>
      </c>
      <c r="C37" s="138">
        <f>SUMIFS('WBS(基本設計)'!$I$2:$I$159,'WBS(基本設計)'!$E$2:$E$159,$B37,'WBS(基本設計)'!$N$2:$N$159,"対象")</f>
        <v>1.5</v>
      </c>
      <c r="D37" s="138">
        <f>SUMIF('WBS(詳細設計_製造)'!$D$2:$D$182,$B37,'WBS(詳細設計_製造)'!$G$2:$G$182)</f>
        <v>1.5</v>
      </c>
      <c r="E37" s="138">
        <f>SUMIF('WBS(詳細設計_製造)'!$D$2:$D$182,$B37,'WBS(詳細設計_製造)'!$H$2:$H$182)</f>
        <v>3</v>
      </c>
      <c r="F37" s="138">
        <f>SUMIF('WBS(テスト)'!$D$2:$D$95,$B37,'WBS(テスト)'!$G$2:$G$95)</f>
        <v>2</v>
      </c>
      <c r="G37" s="138">
        <f t="shared" si="0"/>
        <v>8</v>
      </c>
      <c r="H37" s="138">
        <f>COUNTIF('WBS(詳細設計_製造)'!$D$2:$D$182,$B37)+COUNTIF('WBS(テスト)'!$D$2:$D$95,$B37)</f>
        <v>4</v>
      </c>
    </row>
    <row r="38" spans="1:8">
      <c r="A38" t="s">
        <v>2018</v>
      </c>
      <c r="B38" t="s">
        <v>2171</v>
      </c>
      <c r="C38" s="138">
        <f>SUMIFS('WBS(基本設計)'!$I$2:$I$159,'WBS(基本設計)'!$E$2:$E$159,$B38,'WBS(基本設計)'!$N$2:$N$159,"対象")</f>
        <v>1</v>
      </c>
      <c r="D38" s="138">
        <f>SUMIF('WBS(詳細設計_製造)'!$D$2:$D$182,$B38,'WBS(詳細設計_製造)'!$G$2:$G$182)</f>
        <v>2</v>
      </c>
      <c r="E38" s="138">
        <f>SUMIF('WBS(詳細設計_製造)'!$D$2:$D$182,$B38,'WBS(詳細設計_製造)'!$H$2:$H$182)</f>
        <v>4</v>
      </c>
      <c r="F38" s="138">
        <f>SUMIF('WBS(テスト)'!$D$2:$D$95,$B38,'WBS(テスト)'!$G$2:$G$95)</f>
        <v>4</v>
      </c>
      <c r="G38" s="138">
        <f t="shared" si="0"/>
        <v>11</v>
      </c>
      <c r="H38" s="138">
        <f>COUNTIF('WBS(詳細設計_製造)'!$D$2:$D$182,$B38)+COUNTIF('WBS(テスト)'!$D$2:$D$95,$B38)</f>
        <v>4</v>
      </c>
    </row>
    <row r="39" spans="1:8">
      <c r="A39" t="s">
        <v>2018</v>
      </c>
      <c r="B39" t="s">
        <v>3743</v>
      </c>
      <c r="C39" s="138">
        <f>SUMIFS('WBS(基本設計)'!$I$2:$I$159,'WBS(基本設計)'!$E$2:$E$159,$B39,'WBS(基本設計)'!$N$2:$N$159,"対象")</f>
        <v>2</v>
      </c>
      <c r="D39" s="138">
        <f>SUMIF('WBS(詳細設計_製造)'!$D$2:$D$182,$B39,'WBS(詳細設計_製造)'!$G$2:$G$182)</f>
        <v>1.5</v>
      </c>
      <c r="E39" s="138">
        <f>SUMIF('WBS(詳細設計_製造)'!$D$2:$D$182,$B39,'WBS(詳細設計_製造)'!$H$2:$H$182)</f>
        <v>2</v>
      </c>
      <c r="F39" s="138">
        <f>SUMIF('WBS(テスト)'!$D$2:$D$95,$B39,'WBS(テスト)'!$G$2:$G$95)</f>
        <v>2</v>
      </c>
      <c r="G39" s="138">
        <f t="shared" si="0"/>
        <v>7.5</v>
      </c>
      <c r="H39" s="138">
        <f>COUNTIF('WBS(詳細設計_製造)'!$D$2:$D$182,$B39)+COUNTIF('WBS(テスト)'!$D$2:$D$95,$B39)</f>
        <v>3</v>
      </c>
    </row>
    <row r="40" spans="1:8">
      <c r="A40" t="s">
        <v>2019</v>
      </c>
      <c r="B40" t="s">
        <v>1602</v>
      </c>
      <c r="C40" s="138">
        <f>SUMIFS('WBS(基本設計)'!$I$2:$I$159,'WBS(基本設計)'!$E$2:$E$159,$B40,'WBS(基本設計)'!$N$2:$N$159,"対象")</f>
        <v>7</v>
      </c>
      <c r="D40" s="138">
        <f>SUMIF('WBS(詳細設計_製造)'!$D$2:$D$182,$B40,'WBS(詳細設計_製造)'!$G$2:$G$182)</f>
        <v>5</v>
      </c>
      <c r="E40" s="138">
        <f>SUMIF('WBS(詳細設計_製造)'!$D$2:$D$182,$B40,'WBS(詳細設計_製造)'!$H$2:$H$182)</f>
        <v>6</v>
      </c>
      <c r="F40" s="138">
        <f>SUMIF('WBS(テスト)'!$D$2:$D$95,$B40,'WBS(テスト)'!$G$2:$G$95)</f>
        <v>13</v>
      </c>
      <c r="G40" s="138">
        <f t="shared" si="0"/>
        <v>31</v>
      </c>
      <c r="H40" s="138">
        <f>COUNTIF('WBS(詳細設計_製造)'!$D$2:$D$182,$B40)+COUNTIF('WBS(テスト)'!$D$2:$D$95,$B40)</f>
        <v>7</v>
      </c>
    </row>
    <row r="41" spans="1:8">
      <c r="A41" t="s">
        <v>2019</v>
      </c>
      <c r="B41" t="s">
        <v>3170</v>
      </c>
      <c r="C41" s="138">
        <f>SUMIFS('WBS(基本設計)'!$I$2:$I$159,'WBS(基本設計)'!$E$2:$E$159,$B41,'WBS(基本設計)'!$N$2:$N$159,"対象")</f>
        <v>2</v>
      </c>
      <c r="D41" s="138">
        <f>SUMIF('WBS(詳細設計_製造)'!$D$2:$D$182,$B41,'WBS(詳細設計_製造)'!$G$2:$G$182)</f>
        <v>0</v>
      </c>
      <c r="E41" s="138">
        <f>SUMIF('WBS(詳細設計_製造)'!$D$2:$D$182,$B41,'WBS(詳細設計_製造)'!$H$2:$H$182)</f>
        <v>2</v>
      </c>
      <c r="F41" s="138">
        <f>SUMIF('WBS(テスト)'!$D$2:$D$95,$B41,'WBS(テスト)'!$G$2:$G$95)</f>
        <v>1</v>
      </c>
      <c r="G41" s="138">
        <f t="shared" si="0"/>
        <v>5</v>
      </c>
      <c r="H41" s="138">
        <f>COUNTIF('WBS(詳細設計_製造)'!$D$2:$D$182,$B41)+COUNTIF('WBS(テスト)'!$D$2:$D$95,$B41)</f>
        <v>2</v>
      </c>
    </row>
    <row r="42" spans="1:8">
      <c r="A42" t="s">
        <v>2019</v>
      </c>
      <c r="B42" t="s">
        <v>1632</v>
      </c>
      <c r="C42" s="138">
        <f>SUMIFS('WBS(基本設計)'!$I$2:$I$159,'WBS(基本設計)'!$E$2:$E$159,$B42,'WBS(基本設計)'!$N$2:$N$159,"対象")</f>
        <v>1</v>
      </c>
      <c r="D42" s="138">
        <f>SUMIF('WBS(詳細設計_製造)'!$D$2:$D$182,$B42,'WBS(詳細設計_製造)'!$G$2:$G$182)</f>
        <v>0</v>
      </c>
      <c r="E42" s="138">
        <f>SUMIF('WBS(詳細設計_製造)'!$D$2:$D$182,$B42,'WBS(詳細設計_製造)'!$H$2:$H$182)</f>
        <v>1</v>
      </c>
      <c r="F42" s="138">
        <f>SUMIF('WBS(テスト)'!$D$2:$D$95,$B42,'WBS(テスト)'!$G$2:$G$95)</f>
        <v>1</v>
      </c>
      <c r="G42" s="138">
        <f t="shared" si="0"/>
        <v>3</v>
      </c>
      <c r="H42" s="138">
        <f>COUNTIF('WBS(詳細設計_製造)'!$D$2:$D$182,$B42)+COUNTIF('WBS(テスト)'!$D$2:$D$95,$B42)</f>
        <v>2</v>
      </c>
    </row>
    <row r="43" spans="1:8">
      <c r="A43" t="s">
        <v>2020</v>
      </c>
      <c r="B43" t="s">
        <v>2125</v>
      </c>
      <c r="C43" s="138">
        <f>SUMIFS('WBS(基本設計)'!$I$2:$I$159,'WBS(基本設計)'!$E$2:$E$159,$B43,'WBS(基本設計)'!$N$2:$N$159,"対象")</f>
        <v>2</v>
      </c>
      <c r="D43" s="138">
        <f>SUMIF('WBS(詳細設計_製造)'!$D$2:$D$182,$B43,'WBS(詳細設計_製造)'!$G$2:$G$182)</f>
        <v>4</v>
      </c>
      <c r="E43" s="138">
        <f>SUMIF('WBS(詳細設計_製造)'!$D$2:$D$182,$B43,'WBS(詳細設計_製造)'!$H$2:$H$182)</f>
        <v>4.5</v>
      </c>
      <c r="F43" s="138">
        <f>SUMIF('WBS(テスト)'!$D$2:$D$95,$B43,'WBS(テスト)'!$G$2:$G$95)</f>
        <v>7</v>
      </c>
      <c r="G43" s="138">
        <f t="shared" si="0"/>
        <v>17.5</v>
      </c>
      <c r="H43" s="138">
        <f>COUNTIF('WBS(詳細設計_製造)'!$D$2:$D$182,$B43)+COUNTIF('WBS(テスト)'!$D$2:$D$95,$B43)</f>
        <v>6</v>
      </c>
    </row>
    <row r="44" spans="1:8">
      <c r="A44" t="s">
        <v>2020</v>
      </c>
      <c r="B44" t="s">
        <v>2179</v>
      </c>
      <c r="C44" s="138">
        <f>SUMIFS('WBS(基本設計)'!$I$2:$I$159,'WBS(基本設計)'!$E$2:$E$159,$B44,'WBS(基本設計)'!$N$2:$N$159,"対象")</f>
        <v>1</v>
      </c>
      <c r="D44" s="138">
        <f>SUMIF('WBS(詳細設計_製造)'!$D$2:$D$182,$B44,'WBS(詳細設計_製造)'!$G$2:$G$182)</f>
        <v>1</v>
      </c>
      <c r="E44" s="138">
        <f>SUMIF('WBS(詳細設計_製造)'!$D$2:$D$182,$B44,'WBS(詳細設計_製造)'!$H$2:$H$182)</f>
        <v>1.5</v>
      </c>
      <c r="F44" s="138">
        <f>SUMIF('WBS(テスト)'!$D$2:$D$95,$B44,'WBS(テスト)'!$G$2:$G$95)</f>
        <v>1.5</v>
      </c>
      <c r="G44" s="138">
        <f t="shared" si="0"/>
        <v>5</v>
      </c>
      <c r="H44" s="138">
        <f>COUNTIF('WBS(詳細設計_製造)'!$D$2:$D$182,$B44)+COUNTIF('WBS(テスト)'!$D$2:$D$95,$B44)</f>
        <v>3</v>
      </c>
    </row>
    <row r="45" spans="1:8">
      <c r="A45" t="s">
        <v>2023</v>
      </c>
      <c r="B45" t="s">
        <v>1639</v>
      </c>
      <c r="C45" s="138">
        <f>SUMIFS('WBS(基本設計)'!$I$2:$I$159,'WBS(基本設計)'!$E$2:$E$159,$B45,'WBS(基本設計)'!$N$2:$N$159,"対象")</f>
        <v>2.5</v>
      </c>
      <c r="D45" s="138">
        <f>SUMIF('WBS(詳細設計_製造)'!$D$2:$D$182,$B45,'WBS(詳細設計_製造)'!$G$2:$G$182)</f>
        <v>2</v>
      </c>
      <c r="E45" s="138">
        <f>SUMIF('WBS(詳細設計_製造)'!$D$2:$D$182,$B45,'WBS(詳細設計_製造)'!$H$2:$H$182)</f>
        <v>3</v>
      </c>
      <c r="F45" s="138">
        <f>SUMIF('WBS(テスト)'!$D$2:$D$95,$B45,'WBS(テスト)'!$G$2:$G$95)</f>
        <v>1.5</v>
      </c>
      <c r="G45" s="138">
        <f t="shared" si="0"/>
        <v>9</v>
      </c>
      <c r="H45" s="138">
        <f>COUNTIF('WBS(詳細設計_製造)'!$D$2:$D$182,$B45)+COUNTIF('WBS(テスト)'!$D$2:$D$95,$B45)</f>
        <v>4</v>
      </c>
    </row>
    <row r="46" spans="1:8">
      <c r="A46" t="s">
        <v>2023</v>
      </c>
      <c r="B46" t="s">
        <v>1640</v>
      </c>
      <c r="C46" s="138">
        <f>SUMIFS('WBS(基本設計)'!$I$2:$I$159,'WBS(基本設計)'!$E$2:$E$159,$B46,'WBS(基本設計)'!$N$2:$N$159,"対象")</f>
        <v>0.5</v>
      </c>
      <c r="D46" s="138">
        <f>SUMIF('WBS(詳細設計_製造)'!$D$2:$D$182,$B46,'WBS(詳細設計_製造)'!$G$2:$G$182)</f>
        <v>1.5</v>
      </c>
      <c r="E46" s="138">
        <f>SUMIF('WBS(詳細設計_製造)'!$D$2:$D$182,$B46,'WBS(詳細設計_製造)'!$H$2:$H$182)</f>
        <v>2</v>
      </c>
      <c r="F46" s="138">
        <f>SUMIF('WBS(テスト)'!$D$2:$D$95,$B46,'WBS(テスト)'!$G$2:$G$95)</f>
        <v>0.5</v>
      </c>
      <c r="G46" s="138">
        <f t="shared" si="0"/>
        <v>4.5</v>
      </c>
      <c r="H46" s="138">
        <f>COUNTIF('WBS(詳細設計_製造)'!$D$2:$D$182,$B46)+COUNTIF('WBS(テスト)'!$D$2:$D$95,$B46)</f>
        <v>3</v>
      </c>
    </row>
    <row r="47" spans="1:8">
      <c r="A47" t="s">
        <v>2023</v>
      </c>
      <c r="B47" t="s">
        <v>1641</v>
      </c>
      <c r="C47" s="138">
        <f>SUMIFS('WBS(基本設計)'!$I$2:$I$159,'WBS(基本設計)'!$E$2:$E$159,$B47,'WBS(基本設計)'!$N$2:$N$159,"対象")</f>
        <v>0.5</v>
      </c>
      <c r="D47" s="138">
        <f>SUMIF('WBS(詳細設計_製造)'!$D$2:$D$182,$B47,'WBS(詳細設計_製造)'!$G$2:$G$182)</f>
        <v>1.5</v>
      </c>
      <c r="E47" s="138">
        <f>SUMIF('WBS(詳細設計_製造)'!$D$2:$D$182,$B47,'WBS(詳細設計_製造)'!$H$2:$H$182)</f>
        <v>2</v>
      </c>
      <c r="F47" s="138">
        <f>SUMIF('WBS(テスト)'!$D$2:$D$95,$B47,'WBS(テスト)'!$G$2:$G$95)</f>
        <v>1</v>
      </c>
      <c r="G47" s="138">
        <f t="shared" si="0"/>
        <v>5</v>
      </c>
      <c r="H47" s="138">
        <f>COUNTIF('WBS(詳細設計_製造)'!$D$2:$D$182,$B47)+COUNTIF('WBS(テスト)'!$D$2:$D$95,$B47)</f>
        <v>3</v>
      </c>
    </row>
    <row r="48" spans="1:8">
      <c r="A48" t="s">
        <v>1655</v>
      </c>
      <c r="B48" t="s">
        <v>1634</v>
      </c>
      <c r="C48" s="138">
        <f>SUMIFS('WBS(基本設計)'!$I$2:$I$159,'WBS(基本設計)'!$E$2:$E$159,$B48,'WBS(基本設計)'!$N$2:$N$159,"対象")</f>
        <v>1</v>
      </c>
      <c r="D48" s="138">
        <f>SUMIF('WBS(詳細設計_製造)'!$D$2:$D$182,$B48,'WBS(詳細設計_製造)'!$G$2:$G$182)</f>
        <v>1</v>
      </c>
      <c r="E48" s="138">
        <f>SUMIF('WBS(詳細設計_製造)'!$D$2:$D$182,$B48,'WBS(詳細設計_製造)'!$H$2:$H$182)</f>
        <v>2</v>
      </c>
      <c r="F48" s="138">
        <f>SUMIF('WBS(テスト)'!$D$2:$D$95,$B48,'WBS(テスト)'!$G$2:$G$95)</f>
        <v>1.5</v>
      </c>
      <c r="G48" s="138">
        <f t="shared" si="0"/>
        <v>5.5</v>
      </c>
      <c r="H48" s="138">
        <f>COUNTIF('WBS(詳細設計_製造)'!$D$2:$D$182,$B48)+COUNTIF('WBS(テスト)'!$D$2:$D$95,$B48)</f>
        <v>3</v>
      </c>
    </row>
    <row r="49" spans="1:8">
      <c r="A49" t="s">
        <v>2028</v>
      </c>
      <c r="B49" t="s">
        <v>2121</v>
      </c>
      <c r="C49" s="138">
        <f>SUMIFS('WBS(基本設計)'!$I$2:$I$159,'WBS(基本設計)'!$E$2:$E$159,$B49,'WBS(基本設計)'!$N$2:$N$159,"対象")</f>
        <v>2</v>
      </c>
      <c r="D49" s="138">
        <f>SUMIF('WBS(詳細設計_製造)'!$D$2:$D$182,$B49,'WBS(詳細設計_製造)'!$G$2:$G$182)</f>
        <v>2</v>
      </c>
      <c r="E49" s="138">
        <f>SUMIF('WBS(詳細設計_製造)'!$D$2:$D$182,$B49,'WBS(詳細設計_製造)'!$H$2:$H$182)</f>
        <v>2</v>
      </c>
      <c r="F49" s="138">
        <f>SUMIF('WBS(テスト)'!$D$2:$D$95,$B49,'WBS(テスト)'!$G$2:$G$95)</f>
        <v>1.5</v>
      </c>
      <c r="G49" s="138">
        <f t="shared" si="0"/>
        <v>7.5</v>
      </c>
      <c r="H49" s="138">
        <f>COUNTIF('WBS(詳細設計_製造)'!$D$2:$D$182,$B49)+COUNTIF('WBS(テスト)'!$D$2:$D$95,$B49)</f>
        <v>3</v>
      </c>
    </row>
    <row r="50" spans="1:8">
      <c r="A50" t="s">
        <v>2028</v>
      </c>
      <c r="B50" t="s">
        <v>2075</v>
      </c>
      <c r="C50" s="138">
        <f>SUMIFS('WBS(基本設計)'!$I$2:$I$159,'WBS(基本設計)'!$E$2:$E$159,$B50,'WBS(基本設計)'!$N$2:$N$159,"対象")</f>
        <v>4</v>
      </c>
      <c r="D50" s="138">
        <f>SUMIF('WBS(詳細設計_製造)'!$D$2:$D$182,$B50,'WBS(詳細設計_製造)'!$G$2:$G$182)</f>
        <v>5</v>
      </c>
      <c r="E50" s="138">
        <f>SUMIF('WBS(詳細設計_製造)'!$D$2:$D$182,$B50,'WBS(詳細設計_製造)'!$H$2:$H$182)</f>
        <v>12</v>
      </c>
      <c r="F50" s="138">
        <f>SUMIF('WBS(テスト)'!$D$2:$D$95,$B50,'WBS(テスト)'!$G$2:$G$95)</f>
        <v>4</v>
      </c>
      <c r="G50" s="138">
        <f t="shared" si="0"/>
        <v>25</v>
      </c>
      <c r="H50" s="138">
        <f>COUNTIF('WBS(詳細設計_製造)'!$D$2:$D$182,$B50)+COUNTIF('WBS(テスト)'!$D$2:$D$95,$B50)</f>
        <v>4</v>
      </c>
    </row>
    <row r="51" spans="1:8">
      <c r="A51" t="s">
        <v>2028</v>
      </c>
      <c r="B51" t="s">
        <v>2077</v>
      </c>
      <c r="C51" s="138">
        <f>SUMIFS('WBS(基本設計)'!$I$2:$I$159,'WBS(基本設計)'!$E$2:$E$159,$B51,'WBS(基本設計)'!$N$2:$N$159,"対象")</f>
        <v>2</v>
      </c>
      <c r="D51" s="138">
        <f>SUMIF('WBS(詳細設計_製造)'!$D$2:$D$182,$B51,'WBS(詳細設計_製造)'!$G$2:$G$182)</f>
        <v>4</v>
      </c>
      <c r="E51" s="138">
        <f>SUMIF('WBS(詳細設計_製造)'!$D$2:$D$182,$B51,'WBS(詳細設計_製造)'!$H$2:$H$182)</f>
        <v>15</v>
      </c>
      <c r="F51" s="138">
        <f>SUMIF('WBS(テスト)'!$D$2:$D$95,$B51,'WBS(テスト)'!$G$2:$G$95)</f>
        <v>4</v>
      </c>
      <c r="G51" s="138">
        <f t="shared" si="0"/>
        <v>25</v>
      </c>
      <c r="H51" s="138">
        <f>COUNTIF('WBS(詳細設計_製造)'!$D$2:$D$182,$B51)+COUNTIF('WBS(テスト)'!$D$2:$D$95,$B51)</f>
        <v>5</v>
      </c>
    </row>
    <row r="52" spans="1:8">
      <c r="A52" t="s">
        <v>2028</v>
      </c>
      <c r="B52" t="s">
        <v>2097</v>
      </c>
      <c r="C52" s="138">
        <f>SUMIFS('WBS(基本設計)'!$I$2:$I$159,'WBS(基本設計)'!$E$2:$E$159,$B52,'WBS(基本設計)'!$N$2:$N$159,"対象")</f>
        <v>4</v>
      </c>
      <c r="D52" s="138">
        <f>SUMIF('WBS(詳細設計_製造)'!$D$2:$D$182,$B52,'WBS(詳細設計_製造)'!$G$2:$G$182)</f>
        <v>3</v>
      </c>
      <c r="E52" s="138">
        <f>SUMIF('WBS(詳細設計_製造)'!$D$2:$D$182,$B52,'WBS(詳細設計_製造)'!$H$2:$H$182)</f>
        <v>4</v>
      </c>
      <c r="F52" s="138">
        <f>SUMIF('WBS(テスト)'!$D$2:$D$95,$B52,'WBS(テスト)'!$G$2:$G$95)</f>
        <v>2</v>
      </c>
      <c r="G52" s="138">
        <f t="shared" si="0"/>
        <v>13</v>
      </c>
      <c r="H52" s="138">
        <f>COUNTIF('WBS(詳細設計_製造)'!$D$2:$D$182,$B52)+COUNTIF('WBS(テスト)'!$D$2:$D$95,$B52)</f>
        <v>3</v>
      </c>
    </row>
    <row r="53" spans="1:8">
      <c r="A53" t="s">
        <v>2028</v>
      </c>
      <c r="B53" t="s">
        <v>2167</v>
      </c>
      <c r="C53" s="138">
        <f>SUMIFS('WBS(基本設計)'!$I$2:$I$159,'WBS(基本設計)'!$E$2:$E$159,$B53,'WBS(基本設計)'!$N$2:$N$159,"対象")</f>
        <v>1</v>
      </c>
      <c r="D53" s="138">
        <f>SUMIF('WBS(詳細設計_製造)'!$D$2:$D$182,$B53,'WBS(詳細設計_製造)'!$G$2:$G$182)</f>
        <v>2</v>
      </c>
      <c r="E53" s="138">
        <f>SUMIF('WBS(詳細設計_製造)'!$D$2:$D$182,$B53,'WBS(詳細設計_製造)'!$H$2:$H$182)</f>
        <v>10</v>
      </c>
      <c r="F53" s="138">
        <f>SUMIF('WBS(テスト)'!$D$2:$D$95,$B53,'WBS(テスト)'!$G$2:$G$95)</f>
        <v>2</v>
      </c>
      <c r="G53" s="138">
        <f t="shared" si="0"/>
        <v>15</v>
      </c>
      <c r="H53" s="138">
        <f>COUNTIF('WBS(詳細設計_製造)'!$D$2:$D$182,$B53)+COUNTIF('WBS(テスト)'!$D$2:$D$95,$B53)</f>
        <v>4</v>
      </c>
    </row>
    <row r="54" spans="1:8">
      <c r="A54" t="s">
        <v>2028</v>
      </c>
      <c r="B54" t="s">
        <v>2083</v>
      </c>
      <c r="C54" s="138">
        <f>SUMIFS('WBS(基本設計)'!$I$2:$I$159,'WBS(基本設計)'!$E$2:$E$159,$B54,'WBS(基本設計)'!$N$2:$N$159,"対象")</f>
        <v>1.5</v>
      </c>
      <c r="D54" s="138">
        <f>SUMIF('WBS(詳細設計_製造)'!$D$2:$D$182,$B54,'WBS(詳細設計_製造)'!$G$2:$G$182)</f>
        <v>0</v>
      </c>
      <c r="E54" s="138">
        <f>SUMIF('WBS(詳細設計_製造)'!$D$2:$D$182,$B54,'WBS(詳細設計_製造)'!$H$2:$H$182)</f>
        <v>0</v>
      </c>
      <c r="F54" s="138">
        <f>SUMIF('WBS(テスト)'!$D$2:$D$95,$B54,'WBS(テスト)'!$G$2:$G$95)</f>
        <v>0</v>
      </c>
      <c r="G54" s="138">
        <f t="shared" si="0"/>
        <v>1.5</v>
      </c>
      <c r="H54" s="138">
        <f>COUNTIF('WBS(詳細設計_製造)'!$D$2:$D$182,$B54)+COUNTIF('WBS(テスト)'!$D$2:$D$95,$B54)</f>
        <v>0</v>
      </c>
    </row>
    <row r="55" spans="1:8">
      <c r="A55" t="s">
        <v>2028</v>
      </c>
      <c r="B55" t="s">
        <v>3171</v>
      </c>
      <c r="C55" s="138">
        <f>SUMIFS('WBS(基本設計)'!$I$2:$I$159,'WBS(基本設計)'!$E$2:$E$159,$B55,'WBS(基本設計)'!$N$2:$N$159,"対象")</f>
        <v>3</v>
      </c>
      <c r="D55" s="138">
        <f>SUMIF('WBS(詳細設計_製造)'!$D$2:$D$182,$B55,'WBS(詳細設計_製造)'!$G$2:$G$182)</f>
        <v>5</v>
      </c>
      <c r="E55" s="138">
        <f>SUMIF('WBS(詳細設計_製造)'!$D$2:$D$182,$B55,'WBS(詳細設計_製造)'!$H$2:$H$182)</f>
        <v>0</v>
      </c>
      <c r="F55" s="138">
        <f>SUMIF('WBS(テスト)'!$D$2:$D$95,$B55,'WBS(テスト)'!$G$2:$G$95)</f>
        <v>7</v>
      </c>
      <c r="G55" s="138">
        <f t="shared" si="0"/>
        <v>15</v>
      </c>
      <c r="H55" s="138">
        <f>COUNTIF('WBS(詳細設計_製造)'!$D$2:$D$182,$B55)+COUNTIF('WBS(テスト)'!$D$2:$D$95,$B55)</f>
        <v>4</v>
      </c>
    </row>
    <row r="56" spans="1:8">
      <c r="A56" t="s">
        <v>2031</v>
      </c>
      <c r="B56" t="s">
        <v>2106</v>
      </c>
      <c r="C56" s="138">
        <f>SUMIFS('WBS(基本設計)'!$I$2:$I$159,'WBS(基本設計)'!$E$2:$E$159,$B56,'WBS(基本設計)'!$N$2:$N$159,"対象")</f>
        <v>4</v>
      </c>
      <c r="D56" s="138">
        <f>SUMIF('WBS(詳細設計_製造)'!$D$2:$D$182,$B56,'WBS(詳細設計_製造)'!$G$2:$G$182)</f>
        <v>3</v>
      </c>
      <c r="E56" s="138">
        <f>SUMIF('WBS(詳細設計_製造)'!$D$2:$D$182,$B56,'WBS(詳細設計_製造)'!$H$2:$H$182)</f>
        <v>3</v>
      </c>
      <c r="F56" s="138">
        <f>SUMIF('WBS(テスト)'!$D$2:$D$95,$B56,'WBS(テスト)'!$G$2:$G$95)</f>
        <v>8</v>
      </c>
      <c r="G56" s="138">
        <f t="shared" si="0"/>
        <v>18</v>
      </c>
      <c r="H56" s="138">
        <f>COUNTIF('WBS(詳細設計_製造)'!$D$2:$D$182,$B56)+COUNTIF('WBS(テスト)'!$D$2:$D$95,$B56)</f>
        <v>3</v>
      </c>
    </row>
    <row r="57" spans="1:8">
      <c r="A57" t="s">
        <v>2031</v>
      </c>
      <c r="B57" t="s">
        <v>2069</v>
      </c>
      <c r="C57" s="138">
        <f>SUMIFS('WBS(基本設計)'!$I$2:$I$159,'WBS(基本設計)'!$E$2:$E$159,$B57,'WBS(基本設計)'!$N$2:$N$159,"対象")</f>
        <v>6.5</v>
      </c>
      <c r="D57" s="138">
        <f>SUMIF('WBS(詳細設計_製造)'!$D$2:$D$182,$B57,'WBS(詳細設計_製造)'!$G$2:$G$182)</f>
        <v>2</v>
      </c>
      <c r="E57" s="138">
        <f>SUMIF('WBS(詳細設計_製造)'!$D$2:$D$182,$B57,'WBS(詳細設計_製造)'!$H$2:$H$182)</f>
        <v>1</v>
      </c>
      <c r="F57" s="138">
        <f>SUMIF('WBS(テスト)'!$D$2:$D$95,$B57,'WBS(テスト)'!$G$2:$G$95)</f>
        <v>6</v>
      </c>
      <c r="G57" s="138">
        <f t="shared" si="0"/>
        <v>15.5</v>
      </c>
      <c r="H57" s="138">
        <f>COUNTIF('WBS(詳細設計_製造)'!$D$2:$D$182,$B57)+COUNTIF('WBS(テスト)'!$D$2:$D$95,$B57)</f>
        <v>3</v>
      </c>
    </row>
    <row r="58" spans="1:8">
      <c r="A58" t="s">
        <v>2031</v>
      </c>
      <c r="B58" t="s">
        <v>2087</v>
      </c>
      <c r="C58" s="138">
        <f>SUMIFS('WBS(基本設計)'!$I$2:$I$159,'WBS(基本設計)'!$E$2:$E$159,$B58,'WBS(基本設計)'!$N$2:$N$159,"対象")</f>
        <v>3</v>
      </c>
      <c r="D58" s="138">
        <f>SUMIF('WBS(詳細設計_製造)'!$D$2:$D$182,$B58,'WBS(詳細設計_製造)'!$G$2:$G$182)</f>
        <v>2</v>
      </c>
      <c r="E58" s="138">
        <f>SUMIF('WBS(詳細設計_製造)'!$D$2:$D$182,$B58,'WBS(詳細設計_製造)'!$H$2:$H$182)</f>
        <v>2</v>
      </c>
      <c r="F58" s="138">
        <f>SUMIF('WBS(テスト)'!$D$2:$D$95,$B58,'WBS(テスト)'!$G$2:$G$95)</f>
        <v>3</v>
      </c>
      <c r="G58" s="138">
        <f t="shared" si="0"/>
        <v>10</v>
      </c>
      <c r="H58" s="138">
        <f>COUNTIF('WBS(詳細設計_製造)'!$D$2:$D$182,$B58)+COUNTIF('WBS(テスト)'!$D$2:$D$95,$B58)</f>
        <v>3</v>
      </c>
    </row>
    <row r="59" spans="1:8">
      <c r="A59" t="s">
        <v>2031</v>
      </c>
      <c r="B59" t="s">
        <v>2101</v>
      </c>
      <c r="C59" s="138">
        <f>SUMIFS('WBS(基本設計)'!$I$2:$I$159,'WBS(基本設計)'!$E$2:$E$159,$B59,'WBS(基本設計)'!$N$2:$N$159,"対象")</f>
        <v>4</v>
      </c>
      <c r="D59" s="138">
        <f>SUMIF('WBS(詳細設計_製造)'!$D$2:$D$182,$B59,'WBS(詳細設計_製造)'!$G$2:$G$182)</f>
        <v>2</v>
      </c>
      <c r="E59" s="138">
        <f>SUMIF('WBS(詳細設計_製造)'!$D$2:$D$182,$B59,'WBS(詳細設計_製造)'!$H$2:$H$182)</f>
        <v>2</v>
      </c>
      <c r="F59" s="138">
        <f>SUMIF('WBS(テスト)'!$D$2:$D$95,$B59,'WBS(テスト)'!$G$2:$G$95)</f>
        <v>0</v>
      </c>
      <c r="G59" s="138">
        <f t="shared" si="0"/>
        <v>8</v>
      </c>
      <c r="H59" s="138">
        <f>COUNTIF('WBS(詳細設計_製造)'!$D$2:$D$182,$B59)+COUNTIF('WBS(テスト)'!$D$2:$D$95,$B59)</f>
        <v>2</v>
      </c>
    </row>
    <row r="60" spans="1:8">
      <c r="A60" t="s">
        <v>2033</v>
      </c>
      <c r="B60" t="s">
        <v>2081</v>
      </c>
      <c r="C60" s="138">
        <f>SUMIFS('WBS(基本設計)'!$I$2:$I$159,'WBS(基本設計)'!$E$2:$E$159,$B60,'WBS(基本設計)'!$N$2:$N$159,"対象")</f>
        <v>11.5</v>
      </c>
      <c r="D60" s="138">
        <f>SUMIF('WBS(詳細設計_製造)'!$D$2:$D$182,$B60,'WBS(詳細設計_製造)'!$G$2:$G$182)</f>
        <v>9</v>
      </c>
      <c r="E60" s="138">
        <f>SUMIF('WBS(詳細設計_製造)'!$D$2:$D$182,$B60,'WBS(詳細設計_製造)'!$H$2:$H$182)</f>
        <v>22</v>
      </c>
      <c r="F60" s="138">
        <f>SUMIF('WBS(テスト)'!$D$2:$D$95,$B60,'WBS(テスト)'!$G$2:$G$95)</f>
        <v>11</v>
      </c>
      <c r="G60" s="138">
        <f t="shared" si="0"/>
        <v>53.5</v>
      </c>
      <c r="H60" s="138">
        <f>COUNTIF('WBS(詳細設計_製造)'!$D$2:$D$182,$B60)+COUNTIF('WBS(テスト)'!$D$2:$D$95,$B60)</f>
        <v>9</v>
      </c>
    </row>
    <row r="61" spans="1:8">
      <c r="A61" t="s">
        <v>2033</v>
      </c>
      <c r="B61" t="s">
        <v>2115</v>
      </c>
      <c r="C61" s="138">
        <f>SUMIFS('WBS(基本設計)'!$I$2:$I$159,'WBS(基本設計)'!$E$2:$E$159,$B61,'WBS(基本設計)'!$N$2:$N$159,"対象")</f>
        <v>2</v>
      </c>
      <c r="D61" s="138">
        <f>SUMIF('WBS(詳細設計_製造)'!$D$2:$D$182,$B61,'WBS(詳細設計_製造)'!$G$2:$G$182)</f>
        <v>2</v>
      </c>
      <c r="E61" s="138">
        <f>SUMIF('WBS(詳細設計_製造)'!$D$2:$D$182,$B61,'WBS(詳細設計_製造)'!$H$2:$H$182)</f>
        <v>4</v>
      </c>
      <c r="F61" s="138">
        <f>SUMIF('WBS(テスト)'!$D$2:$D$95,$B61,'WBS(テスト)'!$G$2:$G$95)</f>
        <v>11</v>
      </c>
      <c r="G61" s="138">
        <f t="shared" si="0"/>
        <v>19</v>
      </c>
      <c r="H61" s="138">
        <f>COUNTIF('WBS(詳細設計_製造)'!$D$2:$D$182,$B61)+COUNTIF('WBS(テスト)'!$D$2:$D$95,$B61)</f>
        <v>4</v>
      </c>
    </row>
    <row r="62" spans="1:8">
      <c r="A62" t="s">
        <v>2033</v>
      </c>
      <c r="B62" t="s">
        <v>2175</v>
      </c>
      <c r="C62" s="138">
        <f>SUMIFS('WBS(基本設計)'!$I$2:$I$159,'WBS(基本設計)'!$E$2:$E$159,$B62,'WBS(基本設計)'!$N$2:$N$159,"対象")</f>
        <v>1</v>
      </c>
      <c r="D62" s="138">
        <f>SUMIF('WBS(詳細設計_製造)'!$D$2:$D$182,$B62,'WBS(詳細設計_製造)'!$G$2:$G$182)</f>
        <v>0</v>
      </c>
      <c r="E62" s="138">
        <f>SUMIF('WBS(詳細設計_製造)'!$D$2:$D$182,$B62,'WBS(詳細設計_製造)'!$H$2:$H$182)</f>
        <v>0</v>
      </c>
      <c r="F62" s="138">
        <f>SUMIF('WBS(テスト)'!$D$2:$D$95,$B62,'WBS(テスト)'!$G$2:$G$95)</f>
        <v>2</v>
      </c>
      <c r="G62" s="138">
        <f t="shared" si="0"/>
        <v>3</v>
      </c>
      <c r="H62" s="138">
        <f>COUNTIF('WBS(詳細設計_製造)'!$D$2:$D$182,$B62)+COUNTIF('WBS(テスト)'!$D$2:$D$95,$B62)</f>
        <v>1</v>
      </c>
    </row>
    <row r="63" spans="1:8">
      <c r="A63" t="s">
        <v>2035</v>
      </c>
      <c r="B63" t="s">
        <v>2073</v>
      </c>
      <c r="C63" s="138">
        <f>SUMIFS('WBS(基本設計)'!$I$2:$I$159,'WBS(基本設計)'!$E$2:$E$159,$B63,'WBS(基本設計)'!$N$2:$N$159,"対象")</f>
        <v>4</v>
      </c>
      <c r="D63" s="138">
        <f>SUMIF('WBS(詳細設計_製造)'!$D$2:$D$182,$B63,'WBS(詳細設計_製造)'!$G$2:$G$182)</f>
        <v>3</v>
      </c>
      <c r="E63" s="138">
        <f>SUMIF('WBS(詳細設計_製造)'!$D$2:$D$182,$B63,'WBS(詳細設計_製造)'!$H$2:$H$182)</f>
        <v>6</v>
      </c>
      <c r="F63" s="138">
        <f>SUMIF('WBS(テスト)'!$D$2:$D$95,$B63,'WBS(テスト)'!$G$2:$G$95)</f>
        <v>14</v>
      </c>
      <c r="G63" s="138">
        <f t="shared" si="0"/>
        <v>27</v>
      </c>
      <c r="H63" s="138">
        <f>COUNTIF('WBS(詳細設計_製造)'!$D$2:$D$182,$B63)+COUNTIF('WBS(テスト)'!$D$2:$D$95,$B63)</f>
        <v>5</v>
      </c>
    </row>
    <row r="64" spans="1:8">
      <c r="A64" t="s">
        <v>2035</v>
      </c>
      <c r="B64" t="s">
        <v>2104</v>
      </c>
      <c r="C64" s="138">
        <f>SUMIFS('WBS(基本設計)'!$I$2:$I$159,'WBS(基本設計)'!$E$2:$E$159,$B64,'WBS(基本設計)'!$N$2:$N$159,"対象")</f>
        <v>3</v>
      </c>
      <c r="D64" s="138">
        <f>SUMIF('WBS(詳細設計_製造)'!$D$2:$D$182,$B64,'WBS(詳細設計_製造)'!$G$2:$G$182)</f>
        <v>3</v>
      </c>
      <c r="E64" s="138">
        <f>SUMIF('WBS(詳細設計_製造)'!$D$2:$D$182,$B64,'WBS(詳細設計_製造)'!$H$2:$H$182)</f>
        <v>4</v>
      </c>
      <c r="F64" s="138">
        <f>SUMIF('WBS(テスト)'!$D$2:$D$95,$B64,'WBS(テスト)'!$G$2:$G$95)</f>
        <v>7</v>
      </c>
      <c r="G64" s="138">
        <f t="shared" si="0"/>
        <v>17</v>
      </c>
      <c r="H64" s="138">
        <f>COUNTIF('WBS(詳細設計_製造)'!$D$2:$D$182,$B64)+COUNTIF('WBS(テスト)'!$D$2:$D$95,$B64)</f>
        <v>4</v>
      </c>
    </row>
    <row r="65" spans="1:8">
      <c r="A65" t="s">
        <v>2035</v>
      </c>
      <c r="B65" t="s">
        <v>2127</v>
      </c>
      <c r="C65" s="138">
        <f>SUMIFS('WBS(基本設計)'!$I$2:$I$159,'WBS(基本設計)'!$E$2:$E$159,$B65,'WBS(基本設計)'!$N$2:$N$159,"対象")</f>
        <v>3</v>
      </c>
      <c r="D65" s="138">
        <f>SUMIF('WBS(詳細設計_製造)'!$D$2:$D$182,$B65,'WBS(詳細設計_製造)'!$G$2:$G$182)</f>
        <v>2</v>
      </c>
      <c r="E65" s="138">
        <f>SUMIF('WBS(詳細設計_製造)'!$D$2:$D$182,$B65,'WBS(詳細設計_製造)'!$H$2:$H$182)</f>
        <v>3</v>
      </c>
      <c r="F65" s="138">
        <f>SUMIF('WBS(テスト)'!$D$2:$D$95,$B65,'WBS(テスト)'!$G$2:$G$95)</f>
        <v>4</v>
      </c>
      <c r="G65" s="138">
        <f t="shared" si="0"/>
        <v>12</v>
      </c>
      <c r="H65" s="138">
        <f>COUNTIF('WBS(詳細設計_製造)'!$D$2:$D$182,$B65)+COUNTIF('WBS(テスト)'!$D$2:$D$95,$B65)</f>
        <v>3</v>
      </c>
    </row>
    <row r="66" spans="1:8">
      <c r="A66" t="s">
        <v>2037</v>
      </c>
      <c r="B66" t="s">
        <v>2165</v>
      </c>
      <c r="C66" s="138">
        <f>SUMIFS('WBS(基本設計)'!$I$2:$I$159,'WBS(基本設計)'!$E$2:$E$159,$B66,'WBS(基本設計)'!$N$2:$N$159,"対象")</f>
        <v>3</v>
      </c>
      <c r="D66" s="138">
        <f>SUMIF('WBS(詳細設計_製造)'!$D$2:$D$182,$B66,'WBS(詳細設計_製造)'!$G$2:$G$182)</f>
        <v>3</v>
      </c>
      <c r="E66" s="138">
        <f>SUMIF('WBS(詳細設計_製造)'!$D$2:$D$182,$B66,'WBS(詳細設計_製造)'!$H$2:$H$182)</f>
        <v>8</v>
      </c>
      <c r="F66" s="138">
        <f>SUMIF('WBS(テスト)'!$D$2:$D$95,$B66,'WBS(テスト)'!$G$2:$G$95)</f>
        <v>6</v>
      </c>
      <c r="G66" s="138">
        <f t="shared" si="0"/>
        <v>20</v>
      </c>
      <c r="H66" s="138">
        <f>COUNTIF('WBS(詳細設計_製造)'!$D$2:$D$182,$B66)+COUNTIF('WBS(テスト)'!$D$2:$D$95,$B66)</f>
        <v>3</v>
      </c>
    </row>
    <row r="67" spans="1:8">
      <c r="A67" t="s">
        <v>2037</v>
      </c>
      <c r="B67" t="s">
        <v>2117</v>
      </c>
      <c r="C67" s="138">
        <f>SUMIFS('WBS(基本設計)'!$I$2:$I$159,'WBS(基本設計)'!$E$2:$E$159,$B67,'WBS(基本設計)'!$N$2:$N$159,"対象")</f>
        <v>1</v>
      </c>
      <c r="D67" s="138">
        <f>SUMIF('WBS(詳細設計_製造)'!$D$2:$D$182,$B67,'WBS(詳細設計_製造)'!$G$2:$G$182)</f>
        <v>0</v>
      </c>
      <c r="E67" s="138">
        <f>SUMIF('WBS(詳細設計_製造)'!$D$2:$D$182,$B67,'WBS(詳細設計_製造)'!$H$2:$H$182)</f>
        <v>1</v>
      </c>
      <c r="F67" s="138">
        <f>SUMIF('WBS(テスト)'!$D$2:$D$95,$B67,'WBS(テスト)'!$G$2:$G$95)</f>
        <v>4</v>
      </c>
      <c r="G67" s="138">
        <f t="shared" ref="G67:G84" si="1">SUM(C67:F67)</f>
        <v>6</v>
      </c>
      <c r="H67" s="138">
        <f>COUNTIF('WBS(詳細設計_製造)'!$D$2:$D$182,$B67)+COUNTIF('WBS(テスト)'!$D$2:$D$95,$B67)</f>
        <v>2</v>
      </c>
    </row>
    <row r="68" spans="1:8">
      <c r="A68" t="s">
        <v>2037</v>
      </c>
      <c r="B68" t="s">
        <v>2110</v>
      </c>
      <c r="C68" s="138">
        <f>SUMIFS('WBS(基本設計)'!$I$2:$I$159,'WBS(基本設計)'!$E$2:$E$159,$B68,'WBS(基本設計)'!$N$2:$N$159,"対象")</f>
        <v>2</v>
      </c>
      <c r="D68" s="138">
        <f>SUMIF('WBS(詳細設計_製造)'!$D$2:$D$182,$B68,'WBS(詳細設計_製造)'!$G$2:$G$182)</f>
        <v>0</v>
      </c>
      <c r="E68" s="138">
        <f>SUMIF('WBS(詳細設計_製造)'!$D$2:$D$182,$B68,'WBS(詳細設計_製造)'!$H$2:$H$182)</f>
        <v>1</v>
      </c>
      <c r="F68" s="138">
        <f>SUMIF('WBS(テスト)'!$D$2:$D$95,$B68,'WBS(テスト)'!$G$2:$G$95)</f>
        <v>8</v>
      </c>
      <c r="G68" s="138">
        <f t="shared" si="1"/>
        <v>11</v>
      </c>
      <c r="H68" s="138">
        <f>COUNTIF('WBS(詳細設計_製造)'!$D$2:$D$182,$B68)+COUNTIF('WBS(テスト)'!$D$2:$D$95,$B68)</f>
        <v>2</v>
      </c>
    </row>
    <row r="69" spans="1:8">
      <c r="A69" t="s">
        <v>2037</v>
      </c>
      <c r="B69" t="s">
        <v>2112</v>
      </c>
      <c r="C69" s="138">
        <f>SUMIFS('WBS(基本設計)'!$I$2:$I$159,'WBS(基本設計)'!$E$2:$E$159,$B69,'WBS(基本設計)'!$N$2:$N$159,"対象")</f>
        <v>0.5</v>
      </c>
      <c r="D69" s="138">
        <f>SUMIF('WBS(詳細設計_製造)'!$D$2:$D$182,$B69,'WBS(詳細設計_製造)'!$G$2:$G$182)</f>
        <v>1.5</v>
      </c>
      <c r="E69" s="138">
        <f>SUMIF('WBS(詳細設計_製造)'!$D$2:$D$182,$B69,'WBS(詳細設計_製造)'!$H$2:$H$182)</f>
        <v>2</v>
      </c>
      <c r="F69" s="138">
        <f>SUMIF('WBS(テスト)'!$D$2:$D$95,$B69,'WBS(テスト)'!$G$2:$G$95)</f>
        <v>3</v>
      </c>
      <c r="G69" s="138">
        <f t="shared" si="1"/>
        <v>7</v>
      </c>
      <c r="H69" s="138">
        <f>COUNTIF('WBS(詳細設計_製造)'!$D$2:$D$182,$B69)+COUNTIF('WBS(テスト)'!$D$2:$D$95,$B69)</f>
        <v>3</v>
      </c>
    </row>
    <row r="70" spans="1:8">
      <c r="A70" t="s">
        <v>2037</v>
      </c>
      <c r="B70" t="s">
        <v>3747</v>
      </c>
      <c r="C70" s="138">
        <f>SUMIFS('WBS(基本設計)'!$I$2:$I$159,'WBS(基本設計)'!$E$2:$E$159,$B70,'WBS(基本設計)'!$N$2:$N$159,"対象")</f>
        <v>2</v>
      </c>
      <c r="D70" s="138">
        <f>SUMIF('WBS(詳細設計_製造)'!$D$2:$D$182,$B70,'WBS(詳細設計_製造)'!$G$2:$G$182)</f>
        <v>1.5</v>
      </c>
      <c r="E70" s="138">
        <f>SUMIF('WBS(詳細設計_製造)'!$D$2:$D$182,$B70,'WBS(詳細設計_製造)'!$H$2:$H$182)</f>
        <v>2</v>
      </c>
      <c r="F70" s="138">
        <f>SUMIF('WBS(テスト)'!$D$2:$D$95,$B70,'WBS(テスト)'!$G$2:$G$95)</f>
        <v>2</v>
      </c>
      <c r="G70" s="138">
        <f t="shared" si="1"/>
        <v>7.5</v>
      </c>
      <c r="H70" s="138">
        <f>COUNTIF('WBS(詳細設計_製造)'!$D$2:$D$182,$B70)+COUNTIF('WBS(テスト)'!$D$2:$D$95,$B70)</f>
        <v>3</v>
      </c>
    </row>
    <row r="71" spans="1:8">
      <c r="A71" t="s">
        <v>2037</v>
      </c>
      <c r="B71" t="s">
        <v>3172</v>
      </c>
      <c r="C71" s="138">
        <f>SUMIFS('WBS(基本設計)'!$I$2:$I$159,'WBS(基本設計)'!$E$2:$E$159,$B71,'WBS(基本設計)'!$N$2:$N$159,"対象")</f>
        <v>6</v>
      </c>
      <c r="D71" s="138">
        <f>SUMIF('WBS(詳細設計_製造)'!$D$2:$D$182,$B71,'WBS(詳細設計_製造)'!$G$2:$G$182)</f>
        <v>6</v>
      </c>
      <c r="E71" s="138">
        <f>SUMIF('WBS(詳細設計_製造)'!$D$2:$D$182,$B71,'WBS(詳細設計_製造)'!$H$2:$H$182)</f>
        <v>9</v>
      </c>
      <c r="F71" s="138">
        <f>SUMIF('WBS(テスト)'!$D$2:$D$95,$B71,'WBS(テスト)'!$G$2:$G$95)</f>
        <v>9</v>
      </c>
      <c r="G71" s="138">
        <f t="shared" si="1"/>
        <v>30</v>
      </c>
      <c r="H71" s="138">
        <f>COUNTIF('WBS(詳細設計_製造)'!$D$2:$D$182,$B71)+COUNTIF('WBS(テスト)'!$D$2:$D$95,$B71)</f>
        <v>7</v>
      </c>
    </row>
    <row r="72" spans="1:8">
      <c r="A72" t="s">
        <v>2037</v>
      </c>
      <c r="B72" t="s">
        <v>2819</v>
      </c>
      <c r="C72" s="138">
        <f>SUMIFS('WBS(基本設計)'!$I$2:$I$159,'WBS(基本設計)'!$E$2:$E$159,$B72,'WBS(基本設計)'!$N$2:$N$159,"対象")</f>
        <v>7</v>
      </c>
      <c r="D72" s="138">
        <f>SUMIF('WBS(詳細設計_製造)'!$D$2:$D$182,$B72,'WBS(詳細設計_製造)'!$G$2:$G$182)</f>
        <v>0</v>
      </c>
      <c r="E72" s="138">
        <f>SUMIF('WBS(詳細設計_製造)'!$D$2:$D$182,$B72,'WBS(詳細設計_製造)'!$H$2:$H$182)</f>
        <v>0</v>
      </c>
      <c r="F72" s="138">
        <f>SUMIF('WBS(テスト)'!$D$2:$D$95,$B72,'WBS(テスト)'!$G$2:$G$95)</f>
        <v>0</v>
      </c>
      <c r="G72" s="138">
        <f t="shared" si="1"/>
        <v>7</v>
      </c>
      <c r="H72" s="138">
        <f>COUNTIF('WBS(詳細設計_製造)'!$D$2:$D$182,$B72)+COUNTIF('WBS(テスト)'!$D$2:$D$95,$B72)</f>
        <v>0</v>
      </c>
    </row>
    <row r="73" spans="1:8">
      <c r="A73" t="s">
        <v>2037</v>
      </c>
      <c r="B73" t="s">
        <v>2822</v>
      </c>
      <c r="C73" s="138">
        <f>SUMIFS('WBS(基本設計)'!$I$2:$I$159,'WBS(基本設計)'!$E$2:$E$159,$B73,'WBS(基本設計)'!$N$2:$N$159,"対象")</f>
        <v>2</v>
      </c>
      <c r="D73" s="138">
        <f>SUMIF('WBS(詳細設計_製造)'!$D$2:$D$182,$B73,'WBS(詳細設計_製造)'!$G$2:$G$182)</f>
        <v>0</v>
      </c>
      <c r="E73" s="138">
        <f>SUMIF('WBS(詳細設計_製造)'!$D$2:$D$182,$B73,'WBS(詳細設計_製造)'!$H$2:$H$182)</f>
        <v>0</v>
      </c>
      <c r="F73" s="138">
        <f>SUMIF('WBS(テスト)'!$D$2:$D$95,$B73,'WBS(テスト)'!$G$2:$G$95)</f>
        <v>0</v>
      </c>
      <c r="G73" s="138">
        <f t="shared" si="1"/>
        <v>2</v>
      </c>
      <c r="H73" s="138">
        <f>COUNTIF('WBS(詳細設計_製造)'!$D$2:$D$182,$B73)+COUNTIF('WBS(テスト)'!$D$2:$D$95,$B73)</f>
        <v>0</v>
      </c>
    </row>
    <row r="74" spans="1:8">
      <c r="A74" t="s">
        <v>2037</v>
      </c>
      <c r="B74" t="s">
        <v>2825</v>
      </c>
      <c r="C74" s="138">
        <f>SUMIFS('WBS(基本設計)'!$I$2:$I$159,'WBS(基本設計)'!$E$2:$E$159,$B74,'WBS(基本設計)'!$N$2:$N$159,"対象")</f>
        <v>3.5</v>
      </c>
      <c r="D74" s="138">
        <f>SUMIF('WBS(詳細設計_製造)'!$D$2:$D$182,$B74,'WBS(詳細設計_製造)'!$G$2:$G$182)</f>
        <v>0</v>
      </c>
      <c r="E74" s="138">
        <f>SUMIF('WBS(詳細設計_製造)'!$D$2:$D$182,$B74,'WBS(詳細設計_製造)'!$H$2:$H$182)</f>
        <v>0</v>
      </c>
      <c r="F74" s="138">
        <f>SUMIF('WBS(テスト)'!$D$2:$D$95,$B74,'WBS(テスト)'!$G$2:$G$95)</f>
        <v>0</v>
      </c>
      <c r="G74" s="138">
        <f t="shared" si="1"/>
        <v>3.5</v>
      </c>
      <c r="H74" s="138">
        <f>COUNTIF('WBS(詳細設計_製造)'!$D$2:$D$182,$B74)+COUNTIF('WBS(テスト)'!$D$2:$D$95,$B74)</f>
        <v>0</v>
      </c>
    </row>
    <row r="75" spans="1:8">
      <c r="A75" t="s">
        <v>2038</v>
      </c>
      <c r="B75" t="s">
        <v>2099</v>
      </c>
      <c r="C75" s="138">
        <f>SUMIFS('WBS(基本設計)'!$I$2:$I$159,'WBS(基本設計)'!$E$2:$E$159,$B75,'WBS(基本設計)'!$N$2:$N$159,"対象")</f>
        <v>1</v>
      </c>
      <c r="D75" s="138">
        <f>SUMIF('WBS(詳細設計_製造)'!$D$2:$D$182,$B75,'WBS(詳細設計_製造)'!$G$2:$G$182)</f>
        <v>0</v>
      </c>
      <c r="E75" s="138">
        <f>SUMIF('WBS(詳細設計_製造)'!$D$2:$D$182,$B75,'WBS(詳細設計_製造)'!$H$2:$H$182)</f>
        <v>0</v>
      </c>
      <c r="F75" s="138">
        <f>SUMIF('WBS(テスト)'!$D$2:$D$95,$B75,'WBS(テスト)'!$G$2:$G$95)</f>
        <v>14</v>
      </c>
      <c r="G75" s="138">
        <f t="shared" si="1"/>
        <v>15</v>
      </c>
      <c r="H75" s="138">
        <f>COUNTIF('WBS(詳細設計_製造)'!$D$2:$D$182,$B75)+COUNTIF('WBS(テスト)'!$D$2:$D$95,$B75)</f>
        <v>2</v>
      </c>
    </row>
    <row r="76" spans="1:8">
      <c r="A76" t="s">
        <v>2038</v>
      </c>
      <c r="B76" t="s">
        <v>2091</v>
      </c>
      <c r="C76" s="138">
        <f>SUMIFS('WBS(基本設計)'!$I$2:$I$159,'WBS(基本設計)'!$E$2:$E$159,$B76,'WBS(基本設計)'!$N$2:$N$159,"対象")</f>
        <v>1.5</v>
      </c>
      <c r="D76" s="138">
        <f>SUMIF('WBS(詳細設計_製造)'!$D$2:$D$182,$B76,'WBS(詳細設計_製造)'!$G$2:$G$182)</f>
        <v>2</v>
      </c>
      <c r="E76" s="138">
        <f>SUMIF('WBS(詳細設計_製造)'!$D$2:$D$182,$B76,'WBS(詳細設計_製造)'!$H$2:$H$182)</f>
        <v>2</v>
      </c>
      <c r="F76" s="138">
        <f>SUMIF('WBS(テスト)'!$D$2:$D$95,$B76,'WBS(テスト)'!$G$2:$G$95)</f>
        <v>5</v>
      </c>
      <c r="G76" s="138">
        <f t="shared" si="1"/>
        <v>10.5</v>
      </c>
      <c r="H76" s="138">
        <f>COUNTIF('WBS(詳細設計_製造)'!$D$2:$D$182,$B76)+COUNTIF('WBS(テスト)'!$D$2:$D$95,$B76)</f>
        <v>3</v>
      </c>
    </row>
    <row r="77" spans="1:8">
      <c r="A77" t="s">
        <v>2040</v>
      </c>
      <c r="B77" t="s">
        <v>2123</v>
      </c>
      <c r="C77" s="138">
        <f>SUMIFS('WBS(基本設計)'!$I$2:$I$159,'WBS(基本設計)'!$E$2:$E$159,$B77,'WBS(基本設計)'!$N$2:$N$159,"対象")</f>
        <v>3.5</v>
      </c>
      <c r="D77" s="138">
        <f>SUMIF('WBS(詳細設計_製造)'!$D$2:$D$182,$B77,'WBS(詳細設計_製造)'!$G$2:$G$182)</f>
        <v>3</v>
      </c>
      <c r="E77" s="138">
        <f>SUMIF('WBS(詳細設計_製造)'!$D$2:$D$182,$B77,'WBS(詳細設計_製造)'!$H$2:$H$182)</f>
        <v>2</v>
      </c>
      <c r="F77" s="138">
        <f>SUMIF('WBS(テスト)'!$D$2:$D$95,$B77,'WBS(テスト)'!$G$2:$G$95)</f>
        <v>8</v>
      </c>
      <c r="G77" s="138">
        <f t="shared" si="1"/>
        <v>16.5</v>
      </c>
      <c r="H77" s="138">
        <f>COUNTIF('WBS(詳細設計_製造)'!$D$2:$D$182,$B77)+COUNTIF('WBS(テスト)'!$D$2:$D$95,$B77)</f>
        <v>3</v>
      </c>
    </row>
    <row r="78" spans="1:8">
      <c r="A78" t="s">
        <v>2040</v>
      </c>
      <c r="B78" t="s">
        <v>2132</v>
      </c>
      <c r="C78" s="138">
        <f>SUMIFS('WBS(基本設計)'!$I$2:$I$159,'WBS(基本設計)'!$E$2:$E$159,$B78,'WBS(基本設計)'!$N$2:$N$159,"対象")</f>
        <v>2</v>
      </c>
      <c r="D78" s="138">
        <f>SUMIF('WBS(詳細設計_製造)'!$D$2:$D$182,$B78,'WBS(詳細設計_製造)'!$G$2:$G$182)</f>
        <v>2</v>
      </c>
      <c r="E78" s="138">
        <f>SUMIF('WBS(詳細設計_製造)'!$D$2:$D$182,$B78,'WBS(詳細設計_製造)'!$H$2:$H$182)</f>
        <v>0</v>
      </c>
      <c r="F78" s="138">
        <f>SUMIF('WBS(テスト)'!$D$2:$D$95,$B78,'WBS(テスト)'!$G$2:$G$95)</f>
        <v>2</v>
      </c>
      <c r="G78" s="138">
        <f t="shared" si="1"/>
        <v>6</v>
      </c>
      <c r="H78" s="138">
        <f>COUNTIF('WBS(詳細設計_製造)'!$D$2:$D$182,$B78)+COUNTIF('WBS(テスト)'!$D$2:$D$95,$B78)</f>
        <v>2</v>
      </c>
    </row>
    <row r="79" spans="1:8">
      <c r="A79" t="s">
        <v>2040</v>
      </c>
      <c r="B79" t="s">
        <v>2130</v>
      </c>
      <c r="C79" s="138">
        <f>SUMIFS('WBS(基本設計)'!$I$2:$I$159,'WBS(基本設計)'!$E$2:$E$159,$B79,'WBS(基本設計)'!$N$2:$N$159,"対象")</f>
        <v>1.5</v>
      </c>
      <c r="D79" s="138">
        <f>SUMIF('WBS(詳細設計_製造)'!$D$2:$D$182,$B79,'WBS(詳細設計_製造)'!$G$2:$G$182)</f>
        <v>2</v>
      </c>
      <c r="E79" s="138">
        <f>SUMIF('WBS(詳細設計_製造)'!$D$2:$D$182,$B79,'WBS(詳細設計_製造)'!$H$2:$H$182)</f>
        <v>4</v>
      </c>
      <c r="F79" s="138">
        <f>SUMIF('WBS(テスト)'!$D$2:$D$95,$B79,'WBS(テスト)'!$G$2:$G$95)</f>
        <v>4</v>
      </c>
      <c r="G79" s="138">
        <f t="shared" si="1"/>
        <v>11.5</v>
      </c>
      <c r="H79" s="138">
        <f>COUNTIF('WBS(詳細設計_製造)'!$D$2:$D$182,$B79)+COUNTIF('WBS(テスト)'!$D$2:$D$95,$B79)</f>
        <v>3</v>
      </c>
    </row>
    <row r="80" spans="1:8">
      <c r="A80" t="s">
        <v>2042</v>
      </c>
      <c r="B80" t="s">
        <v>2119</v>
      </c>
      <c r="C80" s="138">
        <f>SUMIFS('WBS(基本設計)'!$I$2:$I$159,'WBS(基本設計)'!$E$2:$E$159,$B80,'WBS(基本設計)'!$N$2:$N$159,"対象")</f>
        <v>2.5</v>
      </c>
      <c r="D80" s="138">
        <f>SUMIF('WBS(詳細設計_製造)'!$D$2:$D$182,$B80,'WBS(詳細設計_製造)'!$G$2:$G$182)</f>
        <v>1.5</v>
      </c>
      <c r="E80" s="138">
        <f>SUMIF('WBS(詳細設計_製造)'!$D$2:$D$182,$B80,'WBS(詳細設計_製造)'!$H$2:$H$182)</f>
        <v>0</v>
      </c>
      <c r="F80" s="138">
        <f>SUMIF('WBS(テスト)'!$D$2:$D$95,$B80,'WBS(テスト)'!$G$2:$G$95)</f>
        <v>0</v>
      </c>
      <c r="G80" s="138">
        <f t="shared" si="1"/>
        <v>4</v>
      </c>
      <c r="H80" s="138">
        <f>COUNTIF('WBS(詳細設計_製造)'!$D$2:$D$182,$B80)+COUNTIF('WBS(テスト)'!$D$2:$D$95,$B80)</f>
        <v>1</v>
      </c>
    </row>
    <row r="81" spans="1:8">
      <c r="A81" t="s">
        <v>2042</v>
      </c>
      <c r="B81" t="s">
        <v>2134</v>
      </c>
      <c r="C81" s="138">
        <f>SUMIFS('WBS(基本設計)'!$I$2:$I$159,'WBS(基本設計)'!$E$2:$E$159,$B81,'WBS(基本設計)'!$N$2:$N$159,"対象")</f>
        <v>7</v>
      </c>
      <c r="D81" s="138">
        <f>SUMIF('WBS(詳細設計_製造)'!$D$2:$D$182,$B81,'WBS(詳細設計_製造)'!$G$2:$G$182)</f>
        <v>3</v>
      </c>
      <c r="E81" s="138">
        <f>SUMIF('WBS(詳細設計_製造)'!$D$2:$D$182,$B81,'WBS(詳細設計_製造)'!$H$2:$H$182)</f>
        <v>2</v>
      </c>
      <c r="F81" s="138">
        <f>SUMIF('WBS(テスト)'!$D$2:$D$95,$B81,'WBS(テスト)'!$G$2:$G$95)</f>
        <v>6</v>
      </c>
      <c r="G81" s="138">
        <f t="shared" si="1"/>
        <v>18</v>
      </c>
      <c r="H81" s="138">
        <f>COUNTIF('WBS(詳細設計_製造)'!$D$2:$D$182,$B81)+COUNTIF('WBS(テスト)'!$D$2:$D$95,$B81)</f>
        <v>3</v>
      </c>
    </row>
    <row r="82" spans="1:8">
      <c r="A82" t="s">
        <v>2042</v>
      </c>
      <c r="B82" t="s">
        <v>2169</v>
      </c>
      <c r="C82" s="138">
        <f>SUMIFS('WBS(基本設計)'!$I$2:$I$159,'WBS(基本設計)'!$E$2:$E$159,$B82,'WBS(基本設計)'!$N$2:$N$159,"対象")</f>
        <v>15</v>
      </c>
      <c r="D82" s="138">
        <f>SUMIF('WBS(詳細設計_製造)'!$D$2:$D$182,$B82,'WBS(詳細設計_製造)'!$G$2:$G$182)</f>
        <v>9</v>
      </c>
      <c r="E82" s="138">
        <f>SUMIF('WBS(詳細設計_製造)'!$D$2:$D$182,$B82,'WBS(詳細設計_製造)'!$H$2:$H$182)</f>
        <v>6</v>
      </c>
      <c r="F82" s="138">
        <f>SUMIF('WBS(テスト)'!$D$2:$D$95,$B82,'WBS(テスト)'!$G$2:$G$95)</f>
        <v>8</v>
      </c>
      <c r="G82" s="138">
        <f t="shared" si="1"/>
        <v>38</v>
      </c>
      <c r="H82" s="138">
        <f>COUNTIF('WBS(詳細設計_製造)'!$D$2:$D$182,$B82)+COUNTIF('WBS(テスト)'!$D$2:$D$95,$B82)</f>
        <v>3</v>
      </c>
    </row>
    <row r="83" spans="1:8">
      <c r="A83" t="s">
        <v>2043</v>
      </c>
      <c r="B83" t="s">
        <v>2177</v>
      </c>
      <c r="C83" s="138">
        <f>SUMIFS('WBS(基本設計)'!$I$2:$I$159,'WBS(基本設計)'!$E$2:$E$159,$B83,'WBS(基本設計)'!$N$2:$N$159,"対象")</f>
        <v>1</v>
      </c>
      <c r="D83" s="138">
        <f>SUMIF('WBS(詳細設計_製造)'!$D$2:$D$182,$B83,'WBS(詳細設計_製造)'!$G$2:$G$182)</f>
        <v>2</v>
      </c>
      <c r="E83" s="138">
        <f>SUMIF('WBS(詳細設計_製造)'!$D$2:$D$182,$B83,'WBS(詳細設計_製造)'!$H$2:$H$182)</f>
        <v>4</v>
      </c>
      <c r="F83" s="138">
        <f>SUMIF('WBS(テスト)'!$D$2:$D$95,$B83,'WBS(テスト)'!$G$2:$G$95)</f>
        <v>5</v>
      </c>
      <c r="G83" s="138">
        <f t="shared" si="1"/>
        <v>12</v>
      </c>
      <c r="H83" s="138">
        <f>COUNTIF('WBS(詳細設計_製造)'!$D$2:$D$182,$B83)+COUNTIF('WBS(テスト)'!$D$2:$D$95,$B83)</f>
        <v>3</v>
      </c>
    </row>
    <row r="84" spans="1:8">
      <c r="A84" t="s">
        <v>2043</v>
      </c>
      <c r="B84" t="s">
        <v>2173</v>
      </c>
      <c r="C84" s="138">
        <f>SUMIFS('WBS(基本設計)'!$I$2:$I$159,'WBS(基本設計)'!$E$2:$E$159,$B84,'WBS(基本設計)'!$N$2:$N$159,"対象")</f>
        <v>3</v>
      </c>
      <c r="D84" s="138">
        <f>SUMIF('WBS(詳細設計_製造)'!$D$2:$D$182,$B84,'WBS(詳細設計_製造)'!$G$2:$G$182)</f>
        <v>0</v>
      </c>
      <c r="E84" s="138">
        <f>SUMIF('WBS(詳細設計_製造)'!$D$2:$D$182,$B84,'WBS(詳細設計_製造)'!$H$2:$H$182)</f>
        <v>0</v>
      </c>
      <c r="F84" s="138">
        <f>SUMIF('WBS(テスト)'!$D$2:$D$95,$B84,'WBS(テスト)'!$G$2:$G$95)</f>
        <v>0</v>
      </c>
      <c r="G84" s="138">
        <f t="shared" si="1"/>
        <v>3</v>
      </c>
      <c r="H84" s="138">
        <f>COUNTIF('WBS(詳細設計_製造)'!$D$2:$D$182,$B84)+COUNTIF('WBS(テスト)'!$D$2:$D$95,$B84)</f>
        <v>0</v>
      </c>
    </row>
    <row r="85" spans="1:8">
      <c r="C85" s="138"/>
      <c r="D85" s="138"/>
      <c r="E85" s="138"/>
      <c r="F85" s="138"/>
      <c r="G85" s="138"/>
      <c r="H85" s="138"/>
    </row>
    <row r="86" spans="1:8">
      <c r="A86" s="2" t="s">
        <v>3</v>
      </c>
      <c r="B86" s="2"/>
      <c r="C86" s="139">
        <f>SUM(C2:C84)</f>
        <v>220.5</v>
      </c>
      <c r="D86" s="139">
        <f>SUM(D2:D84)</f>
        <v>184</v>
      </c>
      <c r="E86" s="139">
        <f>SUM(E2:E84)</f>
        <v>276.5</v>
      </c>
      <c r="F86" s="139">
        <f>SUM(F2:F84)</f>
        <v>345</v>
      </c>
      <c r="G86" s="139">
        <f>SUM(G2:G84)</f>
        <v>1026</v>
      </c>
      <c r="H86" s="139">
        <f>SUM(H2:H84)</f>
        <v>275</v>
      </c>
    </row>
  </sheetData>
  <autoFilter ref="A1:H84" xr:uid="{F7B7A54F-346E-3646-A1DA-7D48FBCA8819}"/>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コスト見積もり</vt:lpstr>
      <vt:lpstr>設計決定一覧</vt:lpstr>
      <vt:lpstr>ADR一覧</vt:lpstr>
      <vt:lpstr>要件マッピング</vt:lpstr>
      <vt:lpstr>提供API一覧</vt:lpstr>
      <vt:lpstr>要件・機能対応表</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2026-09-09T03:02:20Z</dcterms:modified>
</cp:coreProperties>
</file>