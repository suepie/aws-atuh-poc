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74E40DDD-CBC6-A24E-9447-5D0F44132442}" xr6:coauthVersionLast="47" xr6:coauthVersionMax="47" xr10:uidLastSave="{00000000-0000-0000-0000-000000000000}"/>
  <bookViews>
    <workbookView xWindow="34200" yWindow="0" windowWidth="38400" windowHeight="21600" firstSheet="6" activeTab="13" xr2:uid="{3DFCE3C5-E09C-1942-8E2D-30A61B5A45AE}"/>
  </bookViews>
  <sheets>
    <sheet name="01_表紙・改訂履歴" sheetId="1" r:id="rId1"/>
    <sheet name="02_全体概要" sheetId="2" r:id="rId2"/>
    <sheet name="03_構成図" sheetId="3" r:id="rId3"/>
    <sheet name="04_リソース一覧" sheetId="4" r:id="rId4"/>
    <sheet name="05_処理フロー" sheetId="5" r:id="rId5"/>
    <sheet name="06_実行モード"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_Phase3-4" sheetId="14" r:id="rId14"/>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8" i="14" l="1"/>
  <c r="C48" i="14"/>
  <c r="B48" i="14"/>
  <c r="D47" i="14"/>
  <c r="C47" i="14"/>
  <c r="B47" i="14"/>
  <c r="D46" i="14"/>
  <c r="C46" i="14"/>
  <c r="B46" i="14"/>
  <c r="D45" i="14"/>
  <c r="C45" i="14"/>
  <c r="B45" i="14"/>
  <c r="D44" i="14"/>
  <c r="C44" i="14"/>
  <c r="B44" i="14"/>
  <c r="D43" i="14"/>
  <c r="C43" i="14"/>
  <c r="B43" i="14"/>
  <c r="D42" i="14"/>
  <c r="C42" i="14"/>
  <c r="B42" i="14"/>
  <c r="D41" i="14"/>
  <c r="C41" i="14"/>
  <c r="B41" i="14"/>
</calcChain>
</file>

<file path=xl/sharedStrings.xml><?xml version="1.0" encoding="utf-8"?>
<sst xmlns="http://schemas.openxmlformats.org/spreadsheetml/2006/main" count="2402" uniqueCount="1785">
  <si>
    <t>項目</t>
  </si>
  <si>
    <t>内容</t>
  </si>
  <si>
    <t>—</t>
  </si>
  <si>
    <t>github.com/suepie/aws-atuh-poc</t>
  </si>
  <si>
    <t>10-external-monitoring-overview.md</t>
  </si>
  <si>
    <t>18-scan-modes-and-scheduling.md</t>
  </si>
  <si>
    <t>17-deployment-integration-and-registration.md</t>
  </si>
  <si>
    <t>11-central-probe-architecture.md</t>
  </si>
  <si>
    <t>12-app-registry-design.md</t>
  </si>
  <si>
    <t>f3d78f85f1854328fcea7136df53cd5b55acb192</t>
  </si>
  <si>
    <t>13-openapi-registry-design.md</t>
  </si>
  <si>
    <t>14-probe-implementation-guide.md</t>
  </si>
  <si>
    <t>15-alert-routing-design.md</t>
  </si>
  <si>
    <t>451acac4d07f7089b950217d5ff0804a2c9b6f78</t>
  </si>
  <si>
    <t>16-cross-account-iam-design.md</t>
  </si>
  <si>
    <t>code-samples/README.md</t>
  </si>
  <si>
    <t>d11ae6a4d1d6079aaf634250904d8915ac3b497a</t>
  </si>
  <si>
    <t>担当</t>
  </si>
  <si>
    <t>発見 Lambda</t>
  </si>
  <si>
    <t>Alert Router Lambda</t>
  </si>
  <si>
    <t>#</t>
  </si>
  <si>
    <t>結果</t>
  </si>
  <si>
    <t>B</t>
  </si>
  <si>
    <t>状態</t>
  </si>
  <si>
    <t>実装済み</t>
  </si>
  <si>
    <t>alert-router-lambda</t>
  </si>
  <si>
    <t>備考</t>
  </si>
  <si>
    <t>Node.js 22 / AWS SDK v3</t>
  </si>
  <si>
    <t>Alert Router</t>
  </si>
  <si>
    <t>値</t>
  </si>
  <si>
    <t>P1</t>
  </si>
  <si>
    <t>P2</t>
  </si>
  <si>
    <t>P3</t>
  </si>
  <si>
    <t>実施</t>
  </si>
  <si>
    <t>手段</t>
  </si>
  <si>
    <t>対策</t>
  </si>
  <si>
    <t>理由</t>
  </si>
  <si>
    <t>ADR-059</t>
  </si>
  <si>
    <t>ADR-061</t>
  </si>
  <si>
    <t>M-Q-11-1</t>
  </si>
  <si>
    <t>probe 頻度（5min / 15min）とコストのバランス</t>
  </si>
  <si>
    <t>M-Q-13-1</t>
  </si>
  <si>
    <t>ADR</t>
  </si>
  <si>
    <t>タイトル</t>
  </si>
  <si>
    <t>パス</t>
  </si>
  <si>
    <t>本書での扱い</t>
  </si>
  <si>
    <t>doc/adr/061-deploy-detection-pull-model.md</t>
  </si>
  <si>
    <t>参照のみ（番号参照）</t>
  </si>
  <si>
    <t>Central Auth Check Canary Architecture（Pattern β）</t>
  </si>
  <si>
    <t>doc/adr/059-central-auth-check-canary-architecture.md</t>
  </si>
  <si>
    <t>ADR-039</t>
  </si>
  <si>
    <t>Centralized Network Account Edge Layer（インターネット境界 CloudFront + WAF）</t>
  </si>
  <si>
    <t>doc/adr/039-centralized-network-account-edge-layer.md</t>
  </si>
  <si>
    <t>本文中で境界層の根拠として言及</t>
  </si>
  <si>
    <t>doc/api-platform/basic-design/00-index.md</t>
  </si>
  <si>
    <t>基本設計書群の目録</t>
  </si>
  <si>
    <t>対象外</t>
  </si>
  <si>
    <t>要件定義であり基本設計の写しの対象外</t>
  </si>
  <si>
    <t>巡回発見（発見 Lambda）</t>
  </si>
  <si>
    <t>probe Lambda（central-probe-lib を Lambda handler に転用）</t>
  </si>
  <si>
    <t>・本書は現行仕様のみを断定形で記述する。設計に至った経緯は ADR-061 / ADR-059 参照。</t>
    <phoneticPr fontId="2"/>
  </si>
  <si>
    <t>・決定事項（D-M-*）は「10_設計判断一覧」、未決事項（M-Q-* / BD-Q-*）は「11_未決事項」に分離して記載する。未決は未決のまま記載し、確定した設計として書かない。</t>
    <phoneticPr fontId="2"/>
  </si>
  <si>
    <t>・作成者・承認者・担当の空欄は未定を意味する（記入用）。</t>
    <phoneticPr fontId="2"/>
  </si>
  <si>
    <t>・図は本書内に挿入位置（【図 N 挿入位置】の枠）を用意し、作図は別途行う。挿入すべき図の一覧は「02_全体概要」シート末尾を参照。</t>
    <phoneticPr fontId="2"/>
  </si>
  <si>
    <t>第 10 章 外形監視 概要</t>
  </si>
  <si>
    <t>第 11 章 中央 probe アーキテクチャ</t>
  </si>
  <si>
    <t>第 12 章 App Registry 設計</t>
  </si>
  <si>
    <t>第 13 章 OpenAPI Registry 設計</t>
  </si>
  <si>
    <t>第 14 章 probe 実装ガイド</t>
  </si>
  <si>
    <t>第 15 章 Alert Routing 設計</t>
  </si>
  <si>
    <t>第 16 章 クロスアカウント IAM 設計</t>
  </si>
  <si>
    <t>第 17 章 デプロイ連携・登録</t>
  </si>
  <si>
    <t>第 18 章 スキャンモードとスケジューリング</t>
  </si>
  <si>
    <t>検証の経過記録であり現行仕様ではない</t>
  </si>
  <si>
    <t>実装コード本体</t>
  </si>
  <si>
    <t>実装物</t>
  </si>
  <si>
    <t>central-probe-lib</t>
  </si>
  <si>
    <t>認証実装確認処理 基本設計</t>
    <phoneticPr fontId="2"/>
  </si>
  <si>
    <t>API プラットフォーム／認証外形監視（Pattern β 中央集約）</t>
    <phoneticPr fontId="2"/>
  </si>
  <si>
    <t>1. 文書情報</t>
    <phoneticPr fontId="2"/>
  </si>
  <si>
    <t>項目</t>
    <phoneticPr fontId="2"/>
  </si>
  <si>
    <t>内容</t>
    <phoneticPr fontId="2"/>
  </si>
  <si>
    <t>文書名</t>
    <phoneticPr fontId="2"/>
  </si>
  <si>
    <t>—</t>
    <phoneticPr fontId="2"/>
  </si>
  <si>
    <t>機構名</t>
    <phoneticPr fontId="2"/>
  </si>
  <si>
    <t>認証実装確認処理（ADR-059 での名称は Central Auth Check Canary）</t>
    <phoneticPr fontId="2"/>
  </si>
  <si>
    <t>定めること</t>
    <phoneticPr fontId="2"/>
  </si>
  <si>
    <t>アプリチームに認証を実装させたうえで、その実装漏れを中央で継続検知する仕組みの基本設計</t>
    <phoneticPr fontId="2"/>
  </si>
  <si>
    <t>採用方式</t>
    <phoneticPr fontId="2"/>
  </si>
  <si>
    <t>Pattern β（中央集約）／pull 型中央巡回 × CodeCommit コミット差分単独</t>
    <phoneticPr fontId="2"/>
  </si>
  <si>
    <t>版</t>
    <phoneticPr fontId="2"/>
  </si>
  <si>
    <t>作成日</t>
    <phoneticPr fontId="2"/>
  </si>
  <si>
    <t>作成者</t>
    <phoneticPr fontId="2"/>
  </si>
  <si>
    <t>承認者</t>
    <phoneticPr fontId="2"/>
  </si>
  <si>
    <t>記載方針</t>
    <phoneticPr fontId="2"/>
  </si>
  <si>
    <t>3. 改訂履歴</t>
    <phoneticPr fontId="2"/>
  </si>
  <si>
    <t>日付</t>
    <phoneticPr fontId="2"/>
  </si>
  <si>
    <t>変更内容</t>
    <phoneticPr fontId="2"/>
  </si>
  <si>
    <t>担当</t>
    <phoneticPr fontId="2"/>
  </si>
  <si>
    <t>構成リソース一覧（中央 / App / 境界）</t>
    <phoneticPr fontId="2"/>
  </si>
  <si>
    <t>リソース</t>
    <phoneticPr fontId="2"/>
  </si>
  <si>
    <t>AWS サービス</t>
    <phoneticPr fontId="2"/>
  </si>
  <si>
    <t>役割</t>
    <phoneticPr fontId="2"/>
  </si>
  <si>
    <t>EventBridge Scheduler</t>
    <phoneticPr fontId="2"/>
  </si>
  <si>
    <t>EventBridge</t>
    <phoneticPr fontId="2"/>
  </si>
  <si>
    <t>巡回の起点。1 時間毎に発見 Lambda を起動</t>
    <phoneticPr fontId="2"/>
  </si>
  <si>
    <t>発見 Lambda</t>
    <phoneticPr fontId="2"/>
  </si>
  <si>
    <t>Lambda</t>
    <phoneticPr fontId="2"/>
  </si>
  <si>
    <t>変更検知と登録の実行体（pull）。各 App アカウントの CodeCommit を読み取り巡回し、リポジトリ発見・コミット差分（lastCheckedCommitId 比較）・台帳登録・spec 取得を行い、変更のあったアプリの検査を起動する</t>
    <phoneticPr fontId="2"/>
  </si>
  <si>
    <t>Monitoring Registry</t>
    <phoneticPr fontId="2"/>
  </si>
  <si>
    <t>S3（Versioning）×1 バケット</t>
    <phoneticPr fontId="2"/>
  </si>
  <si>
    <t>台帳 + spec コピーの一体ストア（DynamoDB は不使用）。registry/{appId}/{env}.json = 監視対象の台帳＋巡回スナップショット（baseUrl / authPattern / 通知先 / 前回確認コミット ID。設定値は monitoring.yaml 由来、書き手は発見 Lambda）。openapi/… = リポジトリ内 openapi.yaml（正本）のコピーで、endpoint 一覧と公開印（MON-1）の情報源</t>
    <phoneticPr fontId="2"/>
  </si>
  <si>
    <t>認証実装チェック Lambda（認証実装確認処理）</t>
    <phoneticPr fontId="2"/>
  </si>
  <si>
    <t>検査の実行体。台帳と仕様を読み、各 endpoint に未認証／正規の 2 種リクエストを送って認証の効き具合を確かめる</t>
    <phoneticPr fontId="2"/>
  </si>
  <si>
    <t>CloudWatch Metrics / アラーム</t>
    <phoneticPr fontId="2"/>
  </si>
  <si>
    <t>CloudWatch</t>
    <phoneticPr fontId="2"/>
  </si>
  <si>
    <t>検査結果の記録と発報。AuthCheckCritical &gt; 0 で認証漏れアラーム</t>
    <phoneticPr fontId="2"/>
  </si>
  <si>
    <t>Alert Router Lambda</t>
    <phoneticPr fontId="2"/>
  </si>
  <si>
    <t>通知の振り分け役。検知結果を 4×4 分類に従い P1/P2/P3 の宛先へ振り分ける（「全部 Security 行き」を防ぐ）</t>
    <phoneticPr fontId="2"/>
  </si>
  <si>
    <t>SNS（P1 / P2 / P3）</t>
    <phoneticPr fontId="2"/>
  </si>
  <si>
    <t>SNS</t>
    <phoneticPr fontId="2"/>
  </si>
  <si>
    <t>通知の出口。P1 = Security 即時 / P2 = Platform 24h / P3 = アプリチーム</t>
    <phoneticPr fontId="2"/>
  </si>
  <si>
    <t>Secrets Manager</t>
    <phoneticPr fontId="2"/>
  </si>
  <si>
    <t>Service Catalog 製品</t>
    <phoneticPr fontId="2"/>
  </si>
  <si>
    <t>Service Catalog</t>
    <phoneticPr fontId="2"/>
  </si>
  <si>
    <t>正規デプロイの型。認証必須・Origin Protection・タグ付与を全部込みで提供（アプリはパラメータを選ぶだけ。登録処理は含まない＝中央が発見する）</t>
    <phoneticPr fontId="2"/>
  </si>
  <si>
    <t>CodeCommit リポジトリ</t>
    <phoneticPr fontId="2"/>
  </si>
  <si>
    <t>CodeCommit</t>
    <phoneticPr fontId="2"/>
  </si>
  <si>
    <t>変更検知とメタデータの源。monitoring.yaml（監視宣言）+ openapi.yaml（spec 正本）を置く。コミット差分が M1 のトリガ</t>
    <phoneticPr fontId="2"/>
  </si>
  <si>
    <t>DiscoveryReadRole</t>
    <phoneticPr fontId="2"/>
  </si>
  <si>
    <t>IAM ロール（StackSets 配布）</t>
    <phoneticPr fontId="2"/>
  </si>
  <si>
    <t>中央からの読み取り窓口。発見 Lambda だけが AssumeRole でき、codecommit read のみ</t>
    <phoneticPr fontId="2"/>
  </si>
  <si>
    <t>API GW / ALB</t>
    <phoneticPr fontId="2"/>
  </si>
  <si>
    <t>検査の対象（アプリの認証実装そのもの）。probe が実際に叩く</t>
    <phoneticPr fontId="2"/>
  </si>
  <si>
    <t>アプリごとの CloudFront + WAF</t>
    <phoneticPr fontId="2"/>
  </si>
  <si>
    <t>CloudFront / WAF</t>
    <phoneticPr fontId="2"/>
  </si>
  <si>
    <t>インターネット境界（Origin Protection）。probe は実ユーザーと同じくここを経由して検査する（境界を破らない）</t>
    <phoneticPr fontId="2"/>
  </si>
  <si>
    <t>4. 1 行まとめ</t>
    <phoneticPr fontId="2"/>
  </si>
  <si>
    <t>構成要素 / 実装物</t>
    <phoneticPr fontId="2"/>
  </si>
  <si>
    <t>状態</t>
    <phoneticPr fontId="2"/>
  </si>
  <si>
    <t>central-probe-lib（probe lib）</t>
    <phoneticPr fontId="2"/>
  </si>
  <si>
    <t>実装済み</t>
    <phoneticPr fontId="2"/>
  </si>
  <si>
    <t>認証実装確認処理 本体（OpenAPI 動的発見、Hybrid 検証、4×4 分類）。node --test で 27 PASS（classify 16 + probe 統合 4 + extractEndpoints 7）</t>
    <phoneticPr fontId="2"/>
  </si>
  <si>
    <t>alert-router-lambda</t>
    <phoneticPr fontId="2"/>
  </si>
  <si>
    <t>発見 Lambda（discovery）</t>
    <phoneticPr fontId="2"/>
  </si>
  <si>
    <t>未実装（M-Q-17-4、Phase 3/4）</t>
    <phoneticPr fontId="2"/>
  </si>
  <si>
    <t>巡回・差分検知・自動登録・OpenAPI pull 取得</t>
    <phoneticPr fontId="2"/>
  </si>
  <si>
    <t>probe lib の lib/registry.js</t>
    <phoneticPr fontId="2"/>
  </si>
  <si>
    <t>改修待ち（M-Q-12-3）</t>
    <phoneticPr fontId="2"/>
  </si>
  <si>
    <t>現実装は旧 DynamoDB Scan のまま。S3 台帳化に伴い S3 List/Get へ改修が必要</t>
    <phoneticPr fontId="2"/>
  </si>
  <si>
    <t>app-registry-lambda</t>
    <phoneticPr fontId="2"/>
  </si>
  <si>
    <t>旧 push 型の参考実装</t>
    <phoneticPr fontId="2"/>
  </si>
  <si>
    <t>App Registry CRUD。PutItem / 正規化ロジックは発見 Lambda に流用予定。現行構成要素ではない</t>
    <phoneticPr fontId="2"/>
  </si>
  <si>
    <t>openapi-export-lambda</t>
    <phoneticPr fontId="2"/>
  </si>
  <si>
    <t>get-export → S3 Put。ロジックは発見 Lambda に流用予定。現行構成要素ではない</t>
    <phoneticPr fontId="2"/>
  </si>
  <si>
    <t>full orchestration E2E（認証実装チェック Lambda E2E / Positive probe / metrics 着地）</t>
    <phoneticPr fontId="2"/>
  </si>
  <si>
    <t>未実施（SAM local or 実 AWS 要）</t>
    <phoneticPr fontId="2"/>
  </si>
  <si>
    <t>6. Runtime / SDK</t>
    <phoneticPr fontId="2"/>
  </si>
  <si>
    <t>対象</t>
    <phoneticPr fontId="2"/>
  </si>
  <si>
    <t>バージョン</t>
    <phoneticPr fontId="2"/>
  </si>
  <si>
    <t>備考</t>
    <phoneticPr fontId="2"/>
  </si>
  <si>
    <t>認証実装チェック Lambda（現行）</t>
    <phoneticPr fontId="2"/>
  </si>
  <si>
    <t>Node.js 22 / AWS SDK v3</t>
    <phoneticPr fontId="2"/>
  </si>
  <si>
    <t>probe lib を実行、synthetics 抽象は https 実装で注入</t>
    <phoneticPr fontId="2"/>
  </si>
  <si>
    <t>データ定義</t>
    <phoneticPr fontId="2"/>
  </si>
  <si>
    <t>型</t>
    <phoneticPr fontId="2"/>
  </si>
  <si>
    <t>説明</t>
    <phoneticPr fontId="2"/>
  </si>
  <si>
    <t>例</t>
    <phoneticPr fontId="2"/>
  </si>
  <si>
    <t>由来 / 管理</t>
    <phoneticPr fontId="2"/>
  </si>
  <si>
    <t>appId</t>
    <phoneticPr fontId="2"/>
  </si>
  <si>
    <t>S</t>
    <phoneticPr fontId="2"/>
  </si>
  <si>
    <t>アプリ一意識別子（キーと同値）</t>
    <phoneticPr fontId="2"/>
  </si>
  <si>
    <t>expense-api</t>
    <phoneticPr fontId="2"/>
  </si>
  <si>
    <t>キーと同値</t>
    <phoneticPr fontId="2"/>
  </si>
  <si>
    <t>env</t>
    <phoneticPr fontId="2"/>
  </si>
  <si>
    <t>環境（キーと同値）</t>
    <phoneticPr fontId="2"/>
  </si>
  <si>
    <t>prod / stg / dev</t>
    <phoneticPr fontId="2"/>
  </si>
  <si>
    <t>baseUrl</t>
    <phoneticPr fontId="2"/>
  </si>
  <si>
    <t>probe 先の CloudFront URL（Origin Protection 経由）</t>
    <phoneticPr fontId="2"/>
  </si>
  <si>
    <t>https://expense.example.com</t>
    <phoneticPr fontId="2"/>
  </si>
  <si>
    <t>monitoring.yaml</t>
    <phoneticPr fontId="2"/>
  </si>
  <si>
    <t>authPattern</t>
    <phoneticPr fontId="2"/>
  </si>
  <si>
    <t>認証パターン（下記 enum）</t>
    <phoneticPr fontId="2"/>
  </si>
  <si>
    <t>api-gw-jwt</t>
    <phoneticPr fontId="2"/>
  </si>
  <si>
    <t>openApiS3Key</t>
    <phoneticPr fontId="2"/>
  </si>
  <si>
    <t>spec コピーのキー</t>
    <phoneticPr fontId="2"/>
  </si>
  <si>
    <t>openapi/111122223333/expense-api/openapi.yaml</t>
    <phoneticPr fontId="2"/>
  </si>
  <si>
    <t>巡回が導出</t>
    <phoneticPr fontId="2"/>
  </si>
  <si>
    <t>testTokenSecret</t>
    <phoneticPr fontId="2"/>
  </si>
  <si>
    <t>Positive test 用 token の Secret 名（共通基盤アカウント内）</t>
    <phoneticPr fontId="2"/>
  </si>
  <si>
    <t>canary-central-readonly</t>
    <phoneticPr fontId="2"/>
  </si>
  <si>
    <t>alertRouting</t>
    <phoneticPr fontId="2"/>
  </si>
  <si>
    <t>M</t>
    <phoneticPr fontId="2"/>
  </si>
  <si>
    <t>通知先設定</t>
    <phoneticPr fontId="2"/>
  </si>
  <si>
    <t>{ p1: 'arn:...:security', p2: 'arn:...:platform', p3: 'arn:...:app-team-x' }</t>
    <phoneticPr fontId="2"/>
  </si>
  <si>
    <t>台帳のみ・中央管理</t>
    <phoneticPr fontId="2"/>
  </si>
  <si>
    <t>enabled</t>
    <phoneticPr fontId="2"/>
  </si>
  <si>
    <t>BOOL</t>
    <phoneticPr fontId="2"/>
  </si>
  <si>
    <t>監視有効フラグ（中央管理）</t>
    <phoneticPr fontId="2"/>
  </si>
  <si>
    <t>registeredAt</t>
    <phoneticPr fontId="2"/>
  </si>
  <si>
    <t>ISO8601 登録日時</t>
    <phoneticPr fontId="2"/>
  </si>
  <si>
    <t>2026-07-06T00:00:00Z</t>
    <phoneticPr fontId="2"/>
  </si>
  <si>
    <t>巡回</t>
    <phoneticPr fontId="2"/>
  </si>
  <si>
    <t>repositoryName</t>
    <phoneticPr fontId="2"/>
  </si>
  <si>
    <t>CodeCommit リポジトリ名（発見元）</t>
    <phoneticPr fontId="2"/>
  </si>
  <si>
    <t>巡回 / monitoring.yaml</t>
    <phoneticPr fontId="2"/>
  </si>
  <si>
    <t>branch</t>
    <phoneticPr fontId="2"/>
  </si>
  <si>
    <t>監視対象ブランチ</t>
    <phoneticPr fontId="2"/>
  </si>
  <si>
    <t>main</t>
    <phoneticPr fontId="2"/>
  </si>
  <si>
    <t>pathPrefix</t>
    <phoneticPr fontId="2"/>
  </si>
  <si>
    <t>モノレポ時のアプリパス</t>
    <phoneticPr fontId="2"/>
  </si>
  <si>
    <t>apps/expense-api/</t>
    <phoneticPr fontId="2"/>
  </si>
  <si>
    <t>lastCheckedCommitId</t>
    <phoneticPr fontId="2"/>
  </si>
  <si>
    <t>前回確認した先端コミット ID（M1 差分の基準）</t>
    <phoneticPr fontId="2"/>
  </si>
  <si>
    <t>a1b2c3d…</t>
    <phoneticPr fontId="2"/>
  </si>
  <si>
    <t>巡回状態</t>
    <phoneticPr fontId="2"/>
  </si>
  <si>
    <t>lastSeenAt</t>
    <phoneticPr fontId="2"/>
  </si>
  <si>
    <t>巡回で最後に観測した日時</t>
    <phoneticPr fontId="2"/>
  </si>
  <si>
    <t>2026-08-07T00:00:00Z</t>
    <phoneticPr fontId="2"/>
  </si>
  <si>
    <t>{</t>
    <phoneticPr fontId="2"/>
  </si>
  <si>
    <t>}</t>
    <phoneticPr fontId="2"/>
  </si>
  <si>
    <t>値</t>
    <phoneticPr fontId="2"/>
  </si>
  <si>
    <t>バケット</t>
    <phoneticPr fontId="2"/>
  </si>
  <si>
    <t>&lt;common-platform-acct&gt;-monitoring-registry（Versioning 有効。台帳と spec コピーが同居）</t>
    <phoneticPr fontId="2"/>
  </si>
  <si>
    <t>台帳</t>
    <phoneticPr fontId="2"/>
  </si>
  <si>
    <t>registry/{appId}/{env}.json</t>
    <phoneticPr fontId="2"/>
  </si>
  <si>
    <t>spec コピー</t>
    <phoneticPr fontId="2"/>
  </si>
  <si>
    <t>openapi/{accountId}/{appId}/openapi.yaml</t>
    <phoneticPr fontId="2"/>
  </si>
  <si>
    <t>Versioning</t>
    <phoneticPr fontId="2"/>
  </si>
  <si>
    <t>有効（履歴を保持）</t>
    <phoneticPr fontId="2"/>
  </si>
  <si>
    <t>取得元</t>
    <phoneticPr fontId="2"/>
  </si>
  <si>
    <t>発見 Lambda がリポジトリ内 openapi.yaml（正本）を GetFile で取得して Put</t>
    <phoneticPr fontId="2"/>
  </si>
  <si>
    <t>意味</t>
    <phoneticPr fontId="2"/>
  </si>
  <si>
    <t>Negative 期待</t>
    <phoneticPr fontId="2"/>
  </si>
  <si>
    <t>Positive</t>
    <phoneticPr fontId="2"/>
  </si>
  <si>
    <t>API GW + JWT Authorizer</t>
    <phoneticPr fontId="2"/>
  </si>
  <si>
    <t>401/403</t>
    <phoneticPr fontId="2"/>
  </si>
  <si>
    <t>Bearer で 200</t>
    <phoneticPr fontId="2"/>
  </si>
  <si>
    <t>検証済</t>
    <phoneticPr fontId="2"/>
  </si>
  <si>
    <t>api-gw-iam</t>
    <phoneticPr fontId="2"/>
  </si>
  <si>
    <t>API GW + AWS_IAM</t>
    <phoneticPr fontId="2"/>
  </si>
  <si>
    <t>（SigV4、Phase 2）</t>
    <phoneticPr fontId="2"/>
  </si>
  <si>
    <t>Phase 2</t>
    <phoneticPr fontId="2"/>
  </si>
  <si>
    <t>alb-code-jwt</t>
    <phoneticPr fontId="2"/>
  </si>
  <si>
    <t>ALB + アプリコード JWT</t>
    <phoneticPr fontId="2"/>
  </si>
  <si>
    <t>alb-cookie-monolith</t>
    <phoneticPr fontId="2"/>
  </si>
  <si>
    <t>ALB + Cookie SSR モノリス</t>
    <phoneticPr fontId="2"/>
  </si>
  <si>
    <t>302 Redirect to /login</t>
    <phoneticPr fontId="2"/>
  </si>
  <si>
    <t>Puppeteer ログイン</t>
    <phoneticPr fontId="2"/>
  </si>
  <si>
    <t>Negative 済 / Positive 要 PoC</t>
    <phoneticPr fontId="2"/>
  </si>
  <si>
    <t>bff-cookie-session</t>
    <phoneticPr fontId="2"/>
  </si>
  <si>
    <t>BFF（ブラウザ↔BFF = Cookie セッション）</t>
    <phoneticPr fontId="2"/>
  </si>
  <si>
    <t>401 or 302（BFF 実装依存）</t>
    <phoneticPr fontId="2"/>
  </si>
  <si>
    <t>Puppeteer ログイン → Cookie</t>
    <phoneticPr fontId="2"/>
  </si>
  <si>
    <t>lambda-url-iam</t>
    <phoneticPr fontId="2"/>
  </si>
  <si>
    <t>Lambda Function URL + IAM</t>
    <phoneticPr fontId="2"/>
  </si>
  <si>
    <t># monitoring.yaml（リポジトリ直下）</t>
    <phoneticPr fontId="2"/>
  </si>
  <si>
    <t>appId: expense-api</t>
    <phoneticPr fontId="2"/>
  </si>
  <si>
    <t>pathPrefix: apps/expense-api/    # モノレポ時のみ（単一アプリ repo は省略可）</t>
    <phoneticPr fontId="2"/>
  </si>
  <si>
    <t>branch: main                     # 省略時 main</t>
    <phoneticPr fontId="2"/>
  </si>
  <si>
    <t>openapi: openapi.yaml            # リポジトリ内の spec パス</t>
    <phoneticPr fontId="2"/>
  </si>
  <si>
    <t>environments:</t>
    <phoneticPr fontId="2"/>
  </si>
  <si>
    <t>規約</t>
    <phoneticPr fontId="2"/>
  </si>
  <si>
    <t>不備時の挙動</t>
    <phoneticPr fontId="2"/>
  </si>
  <si>
    <t>ファイル自体</t>
    <phoneticPr fontId="2"/>
  </si>
  <si>
    <t>必須（これが監視対象の宣言）</t>
    <phoneticPr fontId="2"/>
  </si>
  <si>
    <t>API リポジトリ命名規約（例 *-api）に該当するのに無い場合はメタ不足アラート（M-Q-17-3）</t>
    <phoneticPr fontId="2"/>
  </si>
  <si>
    <t>既定 api-gw-jwt で Negative のみ検査 + メタ不足アラート</t>
    <phoneticPr fontId="2"/>
  </si>
  <si>
    <t>検査不能 → メタ不足アラート</t>
    <phoneticPr fontId="2"/>
  </si>
  <si>
    <t>通知先（alertRouting）</t>
    <phoneticPr fontId="2"/>
  </si>
  <si>
    <t>enabled（一時停止）</t>
    <phoneticPr fontId="2"/>
  </si>
  <si>
    <t>yaml に書かない。台帳側で中央管理（アプリ側の勝手な監視停止を防ぐ）</t>
    <phoneticPr fontId="2"/>
  </si>
  <si>
    <t>アノテーション</t>
    <phoneticPr fontId="2"/>
  </si>
  <si>
    <t>デフォルト</t>
    <phoneticPr fontId="2"/>
  </si>
  <si>
    <t>x-synthetics-skip-auth-check: true</t>
    <phoneticPr fontId="2"/>
  </si>
  <si>
    <t>Negative probe 対象外（public endpoint）※ public は必須明示（MON-1）</t>
    <phoneticPr fontId="2"/>
  </si>
  <si>
    <t>false（= 認証必須）</t>
    <phoneticPr fontId="2"/>
  </si>
  <si>
    <t>x-canary-positive-test: true | false | pre-prod-only</t>
    <phoneticPr fontId="2"/>
  </si>
  <si>
    <t>Positive test 実施</t>
    <phoneticPr fontId="2"/>
  </si>
  <si>
    <t>x-canary-test-token-secret: &lt;name&gt;</t>
    <phoneticPr fontId="2"/>
  </si>
  <si>
    <t>使用 token の Secret 名</t>
    <phoneticPr fontId="2"/>
  </si>
  <si>
    <t>app の testTokenSecret</t>
    <phoneticPr fontId="2"/>
  </si>
  <si>
    <t>x-canary-path-params: { key: value }</t>
    <phoneticPr fontId="2"/>
  </si>
  <si>
    <t>path parameter の dummy 値</t>
    <phoneticPr fontId="2"/>
  </si>
  <si>
    <t>x-canary-cleanup: { action, path, idFrom }</t>
    <phoneticPr fontId="2"/>
  </si>
  <si>
    <t>probe 後の後処理（POST 等）</t>
    <phoneticPr fontId="2"/>
  </si>
  <si>
    <t>x-canary-auth-mode: cookie-redirect</t>
    <phoneticPr fontId="2"/>
  </si>
  <si>
    <t>モノリス Cookie フロー</t>
    <phoneticPr fontId="2"/>
  </si>
  <si>
    <t>x-canary-expected-redirect: /login</t>
    <phoneticPr fontId="2"/>
  </si>
  <si>
    <t>Cookie モノリスの期待リダイレクト先</t>
    <phoneticPr fontId="2"/>
  </si>
  <si>
    <t>paths:</t>
    <phoneticPr fontId="2"/>
  </si>
  <si>
    <t>Namespace</t>
    <phoneticPr fontId="2"/>
  </si>
  <si>
    <t>APIPlatform/AuthCheck</t>
    <phoneticPr fontId="2"/>
  </si>
  <si>
    <t>Dimensions</t>
    <phoneticPr fontId="2"/>
  </si>
  <si>
    <t>AppId, Env, AuthPattern</t>
    <phoneticPr fontId="2"/>
  </si>
  <si>
    <t>アラーム条件</t>
    <phoneticPr fontId="2"/>
  </si>
  <si>
    <t>AuthCheckCritical &gt; 0（Lambda 実行のため canary FAIL 依存でなく metric ベース）</t>
    <phoneticPr fontId="2"/>
  </si>
  <si>
    <t>メトリクス名</t>
    <phoneticPr fontId="2"/>
  </si>
  <si>
    <t>単位</t>
    <phoneticPr fontId="2"/>
  </si>
  <si>
    <t>AuthCheckPassed</t>
    <phoneticPr fontId="2"/>
  </si>
  <si>
    <t>Count</t>
    <phoneticPr fontId="2"/>
  </si>
  <si>
    <t>正常（Neg=401/403 + Pos=200）</t>
    <phoneticPr fontId="2"/>
  </si>
  <si>
    <t>AuthCheckCritical</t>
    <phoneticPr fontId="2"/>
  </si>
  <si>
    <t>認証漏れ（Neg=200）</t>
    <phoneticPr fontId="2"/>
  </si>
  <si>
    <t>AuthCheckWarn</t>
    <phoneticPr fontId="2"/>
  </si>
  <si>
    <t>テスト構成 / token 失効</t>
    <phoneticPr fontId="2"/>
  </si>
  <si>
    <t>AuthCheckInfo</t>
    <phoneticPr fontId="2"/>
  </si>
  <si>
    <t>Backend バグ（Pos=500）</t>
    <phoneticPr fontId="2"/>
  </si>
  <si>
    <t>EndpointsProbed</t>
    <phoneticPr fontId="2"/>
  </si>
  <si>
    <t>probe した endpoint 総数</t>
    <phoneticPr fontId="2"/>
  </si>
  <si>
    <t>Negative status</t>
    <phoneticPr fontId="2"/>
  </si>
  <si>
    <t>Positive status</t>
    <phoneticPr fontId="2"/>
  </si>
  <si>
    <t>分類</t>
    <phoneticPr fontId="2"/>
  </si>
  <si>
    <t>severity</t>
    <phoneticPr fontId="2"/>
  </si>
  <si>
    <t>priority</t>
    <phoneticPr fontId="2"/>
  </si>
  <si>
    <t>通知先</t>
    <phoneticPr fontId="2"/>
  </si>
  <si>
    <t>200/201/204</t>
    <phoneticPr fontId="2"/>
  </si>
  <si>
    <t>OK</t>
    <phoneticPr fontId="2"/>
  </si>
  <si>
    <t>通知なし</t>
    <phoneticPr fontId="2"/>
  </si>
  <si>
    <t>CRITICAL（認証 missing）</t>
    <phoneticPr fontId="2"/>
  </si>
  <si>
    <t>CRITICAL</t>
    <phoneticPr fontId="2"/>
  </si>
  <si>
    <t>P1</t>
    <phoneticPr fontId="2"/>
  </si>
  <si>
    <t>Security オンコール</t>
    <phoneticPr fontId="2"/>
  </si>
  <si>
    <t>CRITICAL（認証逆転）</t>
    <phoneticPr fontId="2"/>
  </si>
  <si>
    <t>WARN（token 失効）</t>
    <phoneticPr fontId="2"/>
  </si>
  <si>
    <t>WARN</t>
    <phoneticPr fontId="2"/>
  </si>
  <si>
    <t>P2</t>
    <phoneticPr fontId="2"/>
  </si>
  <si>
    <t>Platform</t>
    <phoneticPr fontId="2"/>
  </si>
  <si>
    <t>WARN（endpoint 不在 / 構成）</t>
    <phoneticPr fontId="2"/>
  </si>
  <si>
    <t>INFO（Backend バグ）</t>
    <phoneticPr fontId="2"/>
  </si>
  <si>
    <t>INFO</t>
    <phoneticPr fontId="2"/>
  </si>
  <si>
    <t>P3</t>
    <phoneticPr fontId="2"/>
  </si>
  <si>
    <t>App team</t>
    <phoneticPr fontId="2"/>
  </si>
  <si>
    <t>any</t>
    <phoneticPr fontId="2"/>
  </si>
  <si>
    <t>WARN（構成ミス）</t>
    <phoneticPr fontId="2"/>
  </si>
  <si>
    <t>null(skip)</t>
    <phoneticPr fontId="2"/>
  </si>
  <si>
    <t>OK（public + health）</t>
    <phoneticPr fontId="2"/>
  </si>
  <si>
    <t>環境</t>
    <phoneticPr fontId="2"/>
  </si>
  <si>
    <t>Negative</t>
    <phoneticPr fontId="2"/>
  </si>
  <si>
    <t>Positive (GET)</t>
    <phoneticPr fontId="2"/>
  </si>
  <si>
    <t>Positive (POST 等)</t>
    <phoneticPr fontId="2"/>
  </si>
  <si>
    <t>Smoke</t>
    <phoneticPr fontId="2"/>
  </si>
  <si>
    <t>Production</t>
    <phoneticPr fontId="2"/>
  </si>
  <si>
    <t>対象 endpoint</t>
    <phoneticPr fontId="2"/>
  </si>
  <si>
    <t>対象 GET</t>
    <phoneticPr fontId="2"/>
  </si>
  <si>
    <t>skip（副作用回避）</t>
    <phoneticPr fontId="2"/>
  </si>
  <si>
    <t>実施</t>
    <phoneticPr fontId="2"/>
  </si>
  <si>
    <t>Staging / Dev</t>
    <phoneticPr fontId="2"/>
  </si>
  <si>
    <t>実施（cleanup 付き）</t>
    <phoneticPr fontId="2"/>
  </si>
  <si>
    <t>設計判断一覧（決定事項）</t>
    <phoneticPr fontId="2"/>
  </si>
  <si>
    <t>本シートは決定事項（D-M-*）のみを収める。未決事項（M-Q-* / BD-Q-*）は「11_未決事項」シートに分離。判断に至った経緯は ADR 参照列の ADR を参照する。なお参照した md 内に D-G-* の ID は存在しない。</t>
    <phoneticPr fontId="2"/>
  </si>
  <si>
    <t>ID</t>
    <phoneticPr fontId="2"/>
  </si>
  <si>
    <t>判断</t>
    <phoneticPr fontId="2"/>
  </si>
  <si>
    <t>根拠</t>
    <phoneticPr fontId="2"/>
  </si>
  <si>
    <t>ADR 参照</t>
    <phoneticPr fontId="2"/>
  </si>
  <si>
    <t>D-M-10-1</t>
    <phoneticPr fontId="2"/>
  </si>
  <si>
    <t>Pattern β（中央集約）を採用</t>
    <phoneticPr fontId="2"/>
  </si>
  <si>
    <t>Deploy 漏れが構造的にゼロ、「中央でチェック」要件と一致</t>
    <phoneticPr fontId="2"/>
  </si>
  <si>
    <t>ADR-059</t>
    <phoneticPr fontId="2"/>
  </si>
  <si>
    <t>D-M-10-2</t>
    <phoneticPr fontId="2"/>
  </si>
  <si>
    <t>実装と設計の二重管理を避ける</t>
    <phoneticPr fontId="2"/>
  </si>
  <si>
    <t>D-M-10-3</t>
    <phoneticPr fontId="2"/>
  </si>
  <si>
    <t>設計は Phase 4 で実行検証してから確定</t>
    <phoneticPr fontId="2"/>
  </si>
  <si>
    <t>「検証済み事実」を積み上げる方針（BD 品質方針）</t>
    <phoneticPr fontId="2"/>
  </si>
  <si>
    <t>D-M-10-4</t>
    <phoneticPr fontId="2"/>
  </si>
  <si>
    <t>Lambda 3 本は VPC 外配置（VPC / EP / TGW / NAT 不要）。probe の外向き HTTPS は NW-2（NWFW 経由）の明示的例外として受容し、宛先 allowlist のコード強制 + 中央管理コード + 監査で代償</t>
    <phoneticPr fontId="2"/>
  </si>
  <si>
    <t>宛先が固定 3 種のみで任意外部 SaaS を呼ばない監視系に NWFW 経路を組むのは複雑さに見合わない。例外承認は M-Q-10-3、Phase 2 Private 対応時に probe のみ VPC 化。In 境界（CloudFront + WAF）は従来どおり実 UX と同じ向きで通過</t>
    <phoneticPr fontId="2"/>
  </si>
  <si>
    <t>D-M-11-1</t>
    <phoneticPr fontId="2"/>
  </si>
  <si>
    <t>Negative + Positive の Hybrid 検証を必須化</t>
    <phoneticPr fontId="2"/>
  </si>
  <si>
    <t>Negative 単独では構成ミスと認証漏れを区別不能</t>
    <phoneticPr fontId="2"/>
  </si>
  <si>
    <t>D-M-11-2</t>
    <phoneticPr fontId="2"/>
  </si>
  <si>
    <t>二重実装の分類ずれを防ぐ</t>
    <phoneticPr fontId="2"/>
  </si>
  <si>
    <t>D-M-11-3</t>
    <phoneticPr fontId="2"/>
  </si>
  <si>
    <t>probe は Lambda + 共通 probe lib（OpenAPI 動的発見）。Synthetics / Multi Checks は将来オプション</t>
    <phoneticPr fontId="2"/>
  </si>
  <si>
    <t>D-M-11-4</t>
    <phoneticPr fontId="2"/>
  </si>
  <si>
    <t>Cookie モノリスは 302 を認証拒否とみなし監視対象化</t>
    <phoneticPr fontId="2"/>
  </si>
  <si>
    <t>API GW 非依存アプリも担保</t>
    <phoneticPr fontId="2"/>
  </si>
  <si>
    <t>D-M-11-5</t>
    <phoneticPr fontId="2"/>
  </si>
  <si>
    <t>CRITICAL で AuthCheckCritical メトリクス → アラーム発火</t>
    <phoneticPr fontId="2"/>
  </si>
  <si>
    <t>D-M-12-1</t>
    <phoneticPr fontId="2"/>
  </si>
  <si>
    <t>消せない情報は 3 つ・書き手 1 本・MB 未満で DB が過剰。ストアを S3 1 つに集約</t>
    <phoneticPr fontId="2"/>
  </si>
  <si>
    <t>ADR-061 追記 2026-08-13</t>
    <phoneticPr fontId="2"/>
  </si>
  <si>
    <t>D-M-12-2</t>
    <phoneticPr fontId="2"/>
  </si>
  <si>
    <t>probe 先は CloudFront URL（API GW 直でない）</t>
    <phoneticPr fontId="2"/>
  </si>
  <si>
    <t>Origin Protection を破らず実 UX 同一条件で検証</t>
    <phoneticPr fontId="2"/>
  </si>
  <si>
    <t>D-M-12-3</t>
    <phoneticPr fontId="2"/>
  </si>
  <si>
    <t>登録は中央巡回の自動発見（書き手は発見 Lambda のみ、旧 Custom Resource 廃止）</t>
    <phoneticPr fontId="2"/>
  </si>
  <si>
    <t>登録漏れ構造ゼロ + 書き込みクロスアカウント権限の排除</t>
    <phoneticPr fontId="2"/>
  </si>
  <si>
    <t>ADR-061</t>
    <phoneticPr fontId="2"/>
  </si>
  <si>
    <t>D-M-12-4</t>
    <phoneticPr fontId="2"/>
  </si>
  <si>
    <t>台帳に巡回スナップショット（lastCheckedCommitId / lastSeenAt / repo 系属性）を同居</t>
    <phoneticPr fontId="2"/>
  </si>
  <si>
    <t>差分判定・消滅検知・発見元の監査を 1 箇所で完結</t>
    <phoneticPr fontId="2"/>
  </si>
  <si>
    <t>D-M-12-5</t>
    <phoneticPr fontId="2"/>
  </si>
  <si>
    <t>enabled で監視の有効／無効を切替（中央管理）</t>
    <phoneticPr fontId="2"/>
  </si>
  <si>
    <t>メンテ時などに削除せず一時停止できる。アプリが自分で監視を止められない</t>
    <phoneticPr fontId="2"/>
  </si>
  <si>
    <t>D-M-13-1</t>
    <phoneticPr fontId="2"/>
  </si>
  <si>
    <t>正本はリポジトリ内の openapi.yaml</t>
    <phoneticPr fontId="2"/>
  </si>
  <si>
    <t>コミット差分と同じ読み取り経路で完結。deploy との drift は probe 実測で顕在化</t>
    <phoneticPr fontId="2"/>
  </si>
  <si>
    <t>ADR-061 改訂</t>
    <phoneticPr fontId="2"/>
  </si>
  <si>
    <t>D-M-13-2</t>
    <phoneticPr fontId="2"/>
  </si>
  <si>
    <t>probe 制御は OpenAPI アノテーションで表現</t>
    <phoneticPr fontId="2"/>
  </si>
  <si>
    <t>アプリチームの追加作業を最小化、endpoint と同じ場所で管理</t>
    <phoneticPr fontId="2"/>
  </si>
  <si>
    <t>D-M-13-3</t>
    <phoneticPr fontId="2"/>
  </si>
  <si>
    <t>Versioning 有効</t>
    <phoneticPr fontId="2"/>
  </si>
  <si>
    <t>正本の時点管理（監査・巻き戻し）</t>
    <phoneticPr fontId="2"/>
  </si>
  <si>
    <t>D-M-13-4</t>
    <phoneticPr fontId="2"/>
  </si>
  <si>
    <t>新規 endpoint は OpenAPI 更新で自動追随（probe 無改修）</t>
    <phoneticPr fontId="2"/>
  </si>
  <si>
    <t>監視維持の自動化</t>
    <phoneticPr fontId="2"/>
  </si>
  <si>
    <t>D-M-14-1</t>
    <phoneticPr fontId="2"/>
  </si>
  <si>
    <t>probe lib を分割（registry / openapi / token / probe / classify / emit）</t>
    <phoneticPr fontId="2"/>
  </si>
  <si>
    <t>D-M-14-2</t>
    <phoneticPr fontId="2"/>
  </si>
  <si>
    <t>Multi Checks は将来オプション（≤10 固定 endpoint、Synthetics）</t>
    <phoneticPr fontId="2"/>
  </si>
  <si>
    <t>OAuth ネイティブで手軽だが動的発見不可・定期実行前提</t>
    <phoneticPr fontId="2"/>
  </si>
  <si>
    <t>D-M-14-3</t>
    <phoneticPr fontId="2"/>
  </si>
  <si>
    <t>モノリスは authPattern=alb-cookie-monolith で 302 検証</t>
    <phoneticPr fontId="2"/>
  </si>
  <si>
    <t>API GW 非依存アプリを担保</t>
    <phoneticPr fontId="2"/>
  </si>
  <si>
    <t>D-M-14-4</t>
    <phoneticPr fontId="2"/>
  </si>
  <si>
    <t>既存 TGW を再利用し全 App アカウント到達</t>
    <phoneticPr fontId="2"/>
  </si>
  <si>
    <t>D-M-14-5</t>
    <phoneticPr fontId="2"/>
  </si>
  <si>
    <t>「検証済み」と「未検証」を誤認させない</t>
    <phoneticPr fontId="2"/>
  </si>
  <si>
    <t>D-M-15-1</t>
    <phoneticPr fontId="2"/>
  </si>
  <si>
    <t>4×4 分類で P1 / P2 / P3 に振り分け（全部 Security でない）</t>
    <phoneticPr fontId="2"/>
  </si>
  <si>
    <t>誤検知で Security を疲弊させない</t>
    <phoneticPr fontId="2"/>
  </si>
  <si>
    <t>D-M-15-2</t>
    <phoneticPr fontId="2"/>
  </si>
  <si>
    <t>ARN は App Registry alertRouting → 環境変数デフォルトの 2 段解決</t>
    <phoneticPr fontId="2"/>
  </si>
  <si>
    <t>アプリ個別 + 全社既定の両立</t>
    <phoneticPr fontId="2"/>
  </si>
  <si>
    <t>D-M-15-3</t>
    <phoneticPr fontId="2"/>
  </si>
  <si>
    <t>二重実装のずれ防止</t>
    <phoneticPr fontId="2"/>
  </si>
  <si>
    <t>D-M-15-4</t>
    <phoneticPr fontId="2"/>
  </si>
  <si>
    <t>ARN 未解決は throw（DLQ）</t>
    <phoneticPr fontId="2"/>
  </si>
  <si>
    <t>設定不備を握り潰さず可視化</t>
    <phoneticPr fontId="2"/>
  </si>
  <si>
    <t>D-M-16-1</t>
    <phoneticPr fontId="2"/>
  </si>
  <si>
    <t>クロスアカウントは中央 → App の読み取り AssumeRole 1 種のみ（書き込み経路は廃止）</t>
    <phoneticPr fontId="2"/>
  </si>
  <si>
    <t>pull 型統一。攻撃面・設定ミス面の最小化</t>
    <phoneticPr fontId="2"/>
  </si>
  <si>
    <t>D-M-16-2</t>
    <phoneticPr fontId="2"/>
  </si>
  <si>
    <t>probe は Public URL 経由でクロスアカウント権限不要</t>
    <phoneticPr fontId="2"/>
  </si>
  <si>
    <t>実 UX 同一 + 権限を巡回読み取りだけに限定</t>
    <phoneticPr fontId="2"/>
  </si>
  <si>
    <t>D-M-16-3</t>
    <phoneticPr fontId="2"/>
  </si>
  <si>
    <t>DiscoveryReadRole は read-only + 信頼先 1 本 + ExternalId + 全アカウント同一名</t>
    <phoneticPr fontId="2"/>
  </si>
  <si>
    <t>漏洩時影響の最小化・confused deputy 防止・機械的な AssumeRole</t>
    <phoneticPr fontId="2"/>
  </si>
  <si>
    <t>D-M-16-4</t>
    <phoneticPr fontId="2"/>
  </si>
  <si>
    <t>配布は StackSets（Organizations 自動デプロイ）</t>
    <phoneticPr fontId="2"/>
  </si>
  <si>
    <t>新規アカウントにも自動追随 → 巡回の空白を作らない</t>
    <phoneticPr fontId="2"/>
  </si>
  <si>
    <t>D-M-16-5</t>
    <phoneticPr fontId="2"/>
  </si>
  <si>
    <t>ROSA 側 P-18 確定まで自管理前提で記述、差分改訂</t>
    <phoneticPr fontId="2"/>
  </si>
  <si>
    <t>前提変更に追随（BD-Q-01）</t>
    <phoneticPr fontId="2"/>
  </si>
  <si>
    <t>D-M-17-1</t>
    <phoneticPr fontId="2"/>
  </si>
  <si>
    <t>デプロイ検知は pull 型中央巡回に統一</t>
    <phoneticPr fontId="2"/>
  </si>
  <si>
    <t>登録漏れが構造的にゼロ、アプリ側フットプリント実質ゼロ、トリガーが中央に統一</t>
    <phoneticPr fontId="2"/>
  </si>
  <si>
    <t>D-M-17-2</t>
    <phoneticPr fontId="2"/>
  </si>
  <si>
    <t>巡回間隔は 1 時間</t>
    <phoneticPr fontId="2"/>
  </si>
  <si>
    <t>一次防衛は deploy 前ガード。外形監視は検知網であり 1 時間で許容</t>
    <phoneticPr fontId="2"/>
  </si>
  <si>
    <t>D-M-17-3</t>
    <phoneticPr fontId="2"/>
  </si>
  <si>
    <t>変更検知は CodeCommit コミット差分（lastCheckedCommitId 比較）単独</t>
    <phoneticPr fontId="2"/>
  </si>
  <si>
    <t>「以前確認した範囲からの変更」を Git ネイティブに表現。モノリスも自動対象化。穴（コンソール直変更／未デプロイ）は L2 Config Rules + M3 + SCP で補完</t>
    <phoneticPr fontId="2"/>
  </si>
  <si>
    <t>D-M-17-4</t>
    <phoneticPr fontId="2"/>
  </si>
  <si>
    <t>メタデータは monitoring.yaml（config-as-code）で宣言、通知先と enabled は台帳側</t>
    <phoneticPr fontId="2"/>
  </si>
  <si>
    <t>PR レビューで変更管理可。ARN・監視停止権限は repo に持たせない</t>
    <phoneticPr fontId="2"/>
  </si>
  <si>
    <t>D-M-17-5</t>
    <phoneticPr fontId="2"/>
  </si>
  <si>
    <t>probe 範囲はアプリ単位の全 endpoint（diff で endpoint 絞りしない）</t>
    <phoneticPr fontId="2"/>
  </si>
  <si>
    <t>認証 middleware 削除は diff から endpoint に紐づかない</t>
    <phoneticPr fontId="2"/>
  </si>
  <si>
    <t>D-M-17-6</t>
    <phoneticPr fontId="2"/>
  </si>
  <si>
    <t>Service Catalog 製品は「守られた API を作る」に専念（登録処理を持たない）</t>
    <phoneticPr fontId="2"/>
  </si>
  <si>
    <t>「見つける」は中央（関心の分離）</t>
    <phoneticPr fontId="2"/>
  </si>
  <si>
    <t>D-M-18-1</t>
    <phoneticPr fontId="2"/>
  </si>
  <si>
    <t>「5 分全量」を廃し、M1 巡回差分（自動・1h）+ M3 フル（手動）の 2 モードに</t>
    <phoneticPr fontId="2"/>
  </si>
  <si>
    <t>常時監視とデプロイ検証を分離、常時負荷を桁で削減</t>
    <phoneticPr fontId="2"/>
  </si>
  <si>
    <t>D-M-18-2</t>
    <phoneticPr fontId="2"/>
  </si>
  <si>
    <t>M1 の差分粒度はアプリ単位（変更アプリの全 endpoint）</t>
    <phoneticPr fontId="2"/>
  </si>
  <si>
    <t>OpenAPI 不変の認証コード変更（middleware 削除等）を見逃さない</t>
    <phoneticPr fontId="2"/>
  </si>
  <si>
    <t>D-M-18-3</t>
    <phoneticPr fontId="2"/>
  </si>
  <si>
    <t>M2 常時 heartbeat は当面なし（将来、重要 endpoint をアプリと合意後）</t>
    <phoneticPr fontId="2"/>
  </si>
  <si>
    <t>重要 endpoint の定義に業務会話が要る、決め打ち全量は本末転倒</t>
    <phoneticPr fontId="2"/>
  </si>
  <si>
    <t>D-M-18-4</t>
    <phoneticPr fontId="2"/>
  </si>
  <si>
    <t>M3 フルは手動（スケジュールなし）</t>
    <phoneticPr fontId="2"/>
  </si>
  <si>
    <t>網羅確認は人の判断契機（初回／監査／大変更後）で十分、常時コストゼロ</t>
    <phoneticPr fontId="2"/>
  </si>
  <si>
    <t>D-M-18-5</t>
    <phoneticPr fontId="2"/>
  </si>
  <si>
    <t>実行基盤を Lambda に一本化、Synthetics は将来オプション</t>
    <phoneticPr fontId="2"/>
  </si>
  <si>
    <t>M2 廃止で定期実行メリットが不要、probe lib は共通で資産流用</t>
    <phoneticPr fontId="2"/>
  </si>
  <si>
    <t>D-M-18-6</t>
    <phoneticPr fontId="2"/>
  </si>
  <si>
    <t>アラームは CloudWatch metric（AuthCheckCritical&gt;0）</t>
    <phoneticPr fontId="2"/>
  </si>
  <si>
    <t>canary FAIL 依存をやめ Lambda でも成立させる</t>
    <phoneticPr fontId="2"/>
  </si>
  <si>
    <t>D-M-18-7</t>
    <phoneticPr fontId="2"/>
  </si>
  <si>
    <t>M1 のトリガは中央巡回（pull、1 時間毎）。アプリ側イベントに依存しない</t>
    <phoneticPr fontId="2"/>
  </si>
  <si>
    <t>登録漏れ構造ゼロ・トリガー中央統一</t>
    <phoneticPr fontId="2"/>
  </si>
  <si>
    <t>05_処理フロー</t>
  </si>
  <si>
    <t>出典一覧（本書の出典表記 ↔ 参照元ファイルの場所とパス）</t>
  </si>
  <si>
    <t>1. 参照元の所在</t>
  </si>
  <si>
    <t>リポジトリ</t>
  </si>
  <si>
    <t>基本設計書ディレクトリ</t>
  </si>
  <si>
    <t>doc/api-platform/basic-design/</t>
  </si>
  <si>
    <t>ADR ディレクトリ</t>
  </si>
  <si>
    <t>doc/adr/</t>
  </si>
  <si>
    <t>ファイル名</t>
  </si>
  <si>
    <t>doc/api-platform/basic-design/10-external-monitoring-overview.md</t>
  </si>
  <si>
    <t>doc/api-platform/basic-design/11-central-probe-architecture.md</t>
  </si>
  <si>
    <t>doc/api-platform/basic-design/12-app-registry-design.md</t>
  </si>
  <si>
    <t>doc/api-platform/basic-design/13-openapi-registry-design.md</t>
  </si>
  <si>
    <t>doc/api-platform/basic-design/14-probe-implementation-guide.md</t>
  </si>
  <si>
    <t>doc/api-platform/basic-design/15-alert-routing-design.md</t>
  </si>
  <si>
    <t>doc/api-platform/basic-design/16-cross-account-iam-design.md</t>
  </si>
  <si>
    <t>doc/api-platform/basic-design/17-deployment-integration-and-registration.md</t>
  </si>
  <si>
    <t>doc/api-platform/basic-design/18-scan-modes-and-scheduling.md</t>
  </si>
  <si>
    <t>doc/api-platform/basic-design/code-samples/README.md</t>
  </si>
  <si>
    <t>3. ADR（経緯。本書本文では番号参照のみ）</t>
  </si>
  <si>
    <t>デプロイ検知の pull 型統一</t>
  </si>
  <si>
    <t>061-deploy-detection-pull-model.md</t>
  </si>
  <si>
    <t>059-central-auth-check-canary-architecture.md</t>
  </si>
  <si>
    <t>Centralized Network Account Edge Layer（インターネット境界）</t>
  </si>
  <si>
    <t>039-centralized-network-account-edge-layer.md</t>
  </si>
  <si>
    <t>4. 目録（参照のみ）</t>
  </si>
  <si>
    <t>00-index.md</t>
  </si>
  <si>
    <t>ADR の目録</t>
  </si>
  <si>
    <t>doc/adr/00-index.md</t>
  </si>
  <si>
    <t>5. 本書の対象外（所在のみ記録）</t>
  </si>
  <si>
    <t>要件定義</t>
  </si>
  <si>
    <t>doc/api-platform/proposal/</t>
  </si>
  <si>
    <t>検証の歴史記録</t>
  </si>
  <si>
    <t>doc/api-platform/basic-design/research/</t>
  </si>
  <si>
    <t>doc/api-platform/basic-design/code-samples/（README.md を除く）</t>
  </si>
  <si>
    <t>実装物。データ契約のみ転記対象</t>
  </si>
  <si>
    <t>0.1</t>
    <phoneticPr fontId="2"/>
  </si>
  <si>
    <t>2026-08-14</t>
    <phoneticPr fontId="2"/>
  </si>
  <si>
    <t>初版</t>
    <phoneticPr fontId="2"/>
  </si>
  <si>
    <t>全体概要（目的 / 方式サマリ / 用語）</t>
    <phoneticPr fontId="2"/>
  </si>
  <si>
    <t>1. 目的</t>
    <phoneticPr fontId="2"/>
  </si>
  <si>
    <t>観点</t>
    <phoneticPr fontId="2"/>
  </si>
  <si>
    <t>この設計書群で定めること</t>
    <phoneticPr fontId="2"/>
  </si>
  <si>
    <t>なぜ外形監視が要るか</t>
    <phoneticPr fontId="2"/>
  </si>
  <si>
    <t>静的解析や Config Rules は設定・コードの検査であり、実際に稼働中の API が未認証リクエストを弾いているかは保証できない。実トラフィックで probe する外形監視（検知 5 レイヤーの L5）が最後の砦になる。L5 は実装方式を問わず 95-99% 担保できる唯一の層。</t>
    <phoneticPr fontId="2"/>
  </si>
  <si>
    <t>存在意義</t>
    <phoneticPr fontId="2"/>
  </si>
  <si>
    <t>静的解析をすり抜けた認証漏れを、稼働後に probe → classify → 通知 → 是正で捕捉する。</t>
    <phoneticPr fontId="2"/>
  </si>
  <si>
    <t>2. スコープ</t>
    <phoneticPr fontId="2"/>
  </si>
  <si>
    <t>本設計書で扱う</t>
    <phoneticPr fontId="2"/>
  </si>
  <si>
    <t>認証実装チェック（Lambda / 検査ロジック probe lib）</t>
    <phoneticPr fontId="2"/>
  </si>
  <si>
    <t>扱う</t>
    <phoneticPr fontId="2"/>
  </si>
  <si>
    <t>App Registry（S3 台帳）</t>
    <phoneticPr fontId="2"/>
  </si>
  <si>
    <t>OpenAPI Registry（S3・台帳と同一バケット）</t>
    <phoneticPr fontId="2"/>
  </si>
  <si>
    <t>Alert Router（4×4 → SNS）</t>
    <phoneticPr fontId="2"/>
  </si>
  <si>
    <t>クロスアカウント IAM / 配布</t>
    <phoneticPr fontId="2"/>
  </si>
  <si>
    <t>静的解析 / Config Rules</t>
    <phoneticPr fontId="2"/>
  </si>
  <si>
    <t>扱わない</t>
    <phoneticPr fontId="2"/>
  </si>
  <si>
    <t>3. 方式サマリ（現行仕様）</t>
    <phoneticPr fontId="2"/>
  </si>
  <si>
    <t>現行仕様</t>
    <phoneticPr fontId="2"/>
  </si>
  <si>
    <t>監視方式</t>
    <phoneticPr fontId="2"/>
  </si>
  <si>
    <t>Pattern β（中央集約）。probe を各アプリに配らず、共通基盤アカウントの認証実装確認処理（Lambda）が全アプリを横断監視する。</t>
    <phoneticPr fontId="2"/>
  </si>
  <si>
    <t>変更検知</t>
    <phoneticPr fontId="2"/>
  </si>
  <si>
    <t>pull 型中央巡回 × CodeCommit コミット差分単独（台帳の lastCheckedCommitId と先端コミット ID の比較）。アプリ側に登録処理・登録イベントはない。</t>
    <phoneticPr fontId="2"/>
  </si>
  <si>
    <t>巡回頻度</t>
    <phoneticPr fontId="2"/>
  </si>
  <si>
    <t>1 時間毎（EventBridge Scheduler が発見 Lambda を起動）。検知遅延は最大 1 時間。</t>
    <phoneticPr fontId="2"/>
  </si>
  <si>
    <t>実行モード</t>
    <phoneticPr fontId="2"/>
  </si>
  <si>
    <t>M1 巡回差分（自動・変更のあったアプリの全 endpoint）+ M3 フル監査（手動・全アプリ全 endpoint）。M2 常時 heartbeat は将来。</t>
    <phoneticPr fontId="2"/>
  </si>
  <si>
    <t>Lambda 構成</t>
    <phoneticPr fontId="2"/>
  </si>
  <si>
    <t>3 本（発見 Lambda / 認証実装チェック Lambda / Alert Router Lambda）。すべて VPC 外に配置。</t>
    <phoneticPr fontId="2"/>
  </si>
  <si>
    <t>ストア</t>
    <phoneticPr fontId="2"/>
  </si>
  <si>
    <t>S3 ×1 バケット（Monitoring Registry）。registry/ = 台帳＋巡回スナップショット、openapi/ = spec コピー。DynamoDB は不使用。</t>
    <phoneticPr fontId="2"/>
  </si>
  <si>
    <t>検査方式</t>
    <phoneticPr fontId="2"/>
  </si>
  <si>
    <t>Negative（未認証検査）+ Positive（正規検査）の Hybrid 検証。結果を 4×4 真偽値表で分類する。</t>
    <phoneticPr fontId="2"/>
  </si>
  <si>
    <t>probe 範囲</t>
    <phoneticPr fontId="2"/>
  </si>
  <si>
    <t>アプリ単位の全 endpoint（endpoint 単位に絞らない）。</t>
    <phoneticPr fontId="2"/>
  </si>
  <si>
    <t>probe 経路</t>
    <phoneticPr fontId="2"/>
  </si>
  <si>
    <t>実ユーザーと同じ経路（インバウンド境界の CloudFront + WAF → Origin Protection → API GW / ALB）。</t>
    <phoneticPr fontId="2"/>
  </si>
  <si>
    <t>通知</t>
    <phoneticPr fontId="2"/>
  </si>
  <si>
    <t>4×4 分類の severity / priority に従い P1 Security 即時 / P2 Platform 24h / P3 App team の SNS へ振り分ける。</t>
    <phoneticPr fontId="2"/>
  </si>
  <si>
    <t>アラーム</t>
    <phoneticPr fontId="2"/>
  </si>
  <si>
    <t>CloudWatch metric AuthCheckCritical &gt; 0。</t>
    <phoneticPr fontId="2"/>
  </si>
  <si>
    <t>モノリス</t>
    <phoneticPr fontId="2"/>
  </si>
  <si>
    <t>リポジトリは必ず存在するため git 巡回で自動発見される。Cookie セッションは 302 を認証拒否とみなして監視対象化する。</t>
    <phoneticPr fontId="2"/>
  </si>
  <si>
    <t>アプリチームの作業</t>
    <phoneticPr fontId="2"/>
  </si>
  <si>
    <t>3 点のみ（Service Catalog 製品の launch / monitoring.yaml をリポジトリに置く / OpenAPI に公開印 MON-1 を付ける）。</t>
    <phoneticPr fontId="2"/>
  </si>
  <si>
    <t>アカウント構成</t>
    <phoneticPr fontId="2"/>
  </si>
  <si>
    <t>共通基盤アカウント（中央・自社管理）／インバウンド境界＝ネットワーク監査アカウント（他組織管理の可能性）／各 App アカウント／認証基盤（Broker アカウント）／アウトバウンド境界アカウント（他組織管理）。</t>
    <phoneticPr fontId="2"/>
  </si>
  <si>
    <t>4. 用語（英語のまま使う語の意味）</t>
    <phoneticPr fontId="2"/>
  </si>
  <si>
    <t>用語</t>
    <phoneticPr fontId="2"/>
  </si>
  <si>
    <t>認証実装確認処理</t>
    <phoneticPr fontId="2"/>
  </si>
  <si>
    <t>本機構の名称。アプリの認証実装漏れを中央で継続検知する仕組み。ADR-059 での名称は Central Auth Check Canary。</t>
    <phoneticPr fontId="2"/>
  </si>
  <si>
    <t>変更検知と登録の実行体（pull）。各 App アカウントの CodeCommit を読み取り巡回し、リポジトリ発見・コミット差分・台帳登録・spec 取得を行い、変更のあったアプリの検査を起動する。</t>
    <phoneticPr fontId="2"/>
  </si>
  <si>
    <t>認証実装チェック Lambda</t>
    <phoneticPr fontId="2"/>
  </si>
  <si>
    <t>検査の実行体。台帳と仕様を読み、各 endpoint に未認証／正規の 2 種リクエストを送って認証の効き具合を確かめる。</t>
    <phoneticPr fontId="2"/>
  </si>
  <si>
    <t>probe（プローブ）</t>
    <phoneticPr fontId="2"/>
  </si>
  <si>
    <t>原義は「探針」。本設計では「実際に HTTP リクエストを送り、応答で認証の効き具合を確かめる検査」を指す。設定を読むのではなく、実物に触って確かめるのが特徴。</t>
    <phoneticPr fontId="2"/>
  </si>
  <si>
    <t>Negative probe（未認証検査）</t>
    <phoneticPr fontId="2"/>
  </si>
  <si>
    <t>認証情報なしでリクエスト → 401/403（Cookie 系は 302）が返れば正常。2xx が返れば認証漏れ。</t>
    <phoneticPr fontId="2"/>
  </si>
  <si>
    <t>Positive probe（正規検査）</t>
    <phoneticPr fontId="2"/>
  </si>
  <si>
    <t>有効なトークン付きでリクエスト → 200 が返れば API 稼働とテスト健全性を確認。Negative との組合せで誤検知を防ぐ。</t>
    <phoneticPr fontId="2"/>
  </si>
  <si>
    <t>probe lib（検査ロジック）</t>
    <phoneticPr fontId="2"/>
  </si>
  <si>
    <t>上記の検査を実装した共通ライブラリ。認証実装チェック Lambda が実行する。</t>
    <phoneticPr fontId="2"/>
  </si>
  <si>
    <t>Pattern β</t>
    <phoneticPr fontId="2"/>
  </si>
  <si>
    <t>検査を各アプリに配らず中央 1 箇所から横断実行する方式。</t>
    <phoneticPr fontId="2"/>
  </si>
  <si>
    <t>M1 / M3</t>
    <phoneticPr fontId="2"/>
  </si>
  <si>
    <t>実行モード。M1 = 巡回差分（自動・1 時間毎の巡回で変化アプリのみ検査）／M3 = フル監査（手動）。</t>
    <phoneticPr fontId="2"/>
  </si>
  <si>
    <t>5. 図一覧（本書に挿入する図。各シートの【図 N 挿入位置】枠に貼り込む）</t>
    <phoneticPr fontId="2"/>
  </si>
  <si>
    <t>図番号・図名</t>
    <phoneticPr fontId="2"/>
  </si>
  <si>
    <t>描くべき内容（この要素・関係を漏らさない）</t>
    <phoneticPr fontId="2"/>
  </si>
  <si>
    <t>区分</t>
    <phoneticPr fontId="2"/>
  </si>
  <si>
    <t>挿入シート</t>
    <phoneticPr fontId="2"/>
  </si>
  <si>
    <t>図1 全体骨格（Pattern β）</t>
    <phoneticPr fontId="2"/>
  </si>
  <si>
    <t>4 アカウント区分（共通基盤／ネットワーク監査＝境界／App A／App B）と 11 ノード（発見 Lambda・Monitoring Registry S3・認証実装確認処理 Lambda・Alert Router・SNS／CloudFront+WAF ×2／CodeCommit ×2・API GW / ALB ×2）、矢印 11 本。巡回読み取り（発見 Lambda → CodeCommit）は境界非経由、probe は境界経由で描き分ける</t>
    <phoneticPr fontId="2"/>
  </si>
  <si>
    <t>A</t>
    <phoneticPr fontId="2"/>
  </si>
  <si>
    <t>03_構成図</t>
    <phoneticPr fontId="2"/>
  </si>
  <si>
    <t>図2 統合構成図（登録・トリガー・検査・通知 ①〜⑥）</t>
    <phoneticPr fontId="2"/>
  </si>
  <si>
    <t>運用者（M3）+ 13 ノード。番号付き矢印 ①AssumeRole ②CodeCommit 読み取り ③台帳・spec 登録 ④M1 起動 ⑤Neg/Pos probe ⑥Metrics・Alert、および無番号の EventBridge→発見 Lambda／M3／台帳取得／CloudFront→API GW／Alert Router→SNS／Service Catalog→API GW</t>
    <phoneticPr fontId="2"/>
  </si>
  <si>
    <t>図3 AWS リソース構成図（アカウント横断・イン／アウト境界）</t>
    <phoneticPr fontId="2"/>
  </si>
  <si>
    <t>共通基盤（VPC なし・Lambda 3 本すべて VPC 外／S3 1 バケット／Secrets／CloudWatch／SNS）／インバウンド境界アカウント（CloudFront+WAF・Origin Protection）／各 App（DiscoveryReadRole・CodeCommit・API GW / ALB）／認証基盤 Broker（Keycloak /token）／アウトバウンド境界アカウント（TGW+NWFW・非経由）。通信経路 A〜D を線種で区別し、A / B のみインターネットと In 境界を通り Out 境界を通らないことを明示</t>
    <phoneticPr fontId="2"/>
  </si>
  <si>
    <t>図4 巡回フロー（①〜⑦ + 新規発見・消滅検知）</t>
    <phoneticPr fontId="2"/>
  </si>
  <si>
    <t>EventBridge（1h）→ 発見 Lambda。①Organizations 列挙 ②AssumeRole ③ListRepositories ④GetBranch ⑤lastCheckedCommitId 比較 ⑥GetDifferences / GetFile → 台帳更新・spec Put ⑦M1 invoke → lastCheckedCommitId 更新。分岐として新規発見（自動登録）・消滅検知（enabled=false）・メタ不足アラート</t>
    <phoneticPr fontId="2"/>
  </si>
  <si>
    <t>05_処理フロー</t>
    <phoneticPr fontId="2"/>
  </si>
  <si>
    <t>図5 検査シーケンス（1 回の実行 ①〜⑨）</t>
    <phoneticPr fontId="2"/>
  </si>
  <si>
    <t>認証実装確認処理を主体としたシーケンス図。①台帳 scan ②spec fetch ③extractEndpoints ④Negative probe ⑤Positive probe ⑥classify ⑦Alert Router invoke ⑧putMetrics ⑨AuthCheckCritical。アプリループと endpoint ループの入れ子を明示</t>
    <phoneticPr fontId="2"/>
  </si>
  <si>
    <t>図6 エンドツーエンド フロー（①〜⑧）</t>
    <phoneticPr fontId="2"/>
  </si>
  <si>
    <t>①コミット &amp; デプロイ（静的解析 pass）②巡回発見（最大 1h）③M1 自動 / M3 手動 ④probe ⑤classify（OK は Metrics のみ・それ以外は ⑥ へ）⑥Alert Router ⑦通知 P1 / P2 / P3 ⑧是正 SLA。担当章の帯を添える</t>
    <phoneticPr fontId="2"/>
  </si>
  <si>
    <t>図7 実行モードの時間軸と probe 範囲</t>
    <phoneticPr fontId="2"/>
  </si>
  <si>
    <t>横軸を時間として、M1 = 1 時間毎の巡回（読み取り）と変更検知時のみ probe（変更アプリの全 endpoint）／M3 = 手動・全アプリ全 endpoint／M2 = 将来（重要 endpoint を 5-15 分）を並べ、検知遅延 最大 1 時間を明示</t>
    <phoneticPr fontId="2"/>
  </si>
  <si>
    <t>B</t>
    <phoneticPr fontId="2"/>
  </si>
  <si>
    <t>06_実行モード</t>
    <phoneticPr fontId="2"/>
  </si>
  <si>
    <t>図8 受容した穴 2 つと補完レイヤーの関係</t>
    <phoneticPr fontId="2"/>
  </si>
  <si>
    <t>穴① コンソール直変更 → L2 Config Rules + M3 + SCP、穴② コミット ≠ デプロイ → 次回巡回（1h 後）+ M3 で補完。L5 外形監視が単層で完結しないこと、一次防衛が deploy 前ガード（静的解析・製品テンプレ）であることを図示</t>
    <phoneticPr fontId="2"/>
  </si>
  <si>
    <t>図9 Monitoring Registry S3 のキー体系</t>
    <phoneticPr fontId="2"/>
  </si>
  <si>
    <t>1 バケット内に registry/{appId}/{env}.json（台帳＋巡回スナップショット）と openapi/{accountId}/{appId}/openapi.yaml（spec コピー）が同居し Versioning 有効。読み手（認証実装チェック Lambda・Alert Router）と書き手（発見 Lambda・共通基盤チーム手動）を矢印で区別</t>
    <phoneticPr fontId="2"/>
  </si>
  <si>
    <t>07_データ定義</t>
    <phoneticPr fontId="2"/>
  </si>
  <si>
    <t>図10 メタデータの供給関係（誰が何を決めるか）</t>
    <phoneticPr fontId="2"/>
  </si>
  <si>
    <t>monitoring.yaml 由来（baseUrl / authPattern / testTokenSecret / repo 系）→ 台帳、台帳のみ中央管理（alertRouting / enabled）、リポジトリ内 openapi.yaml（正本）→ S3 コピー → extractEndpoints。アプリ側に登録処理がないことを明示</t>
    <phoneticPr fontId="2"/>
  </si>
  <si>
    <t>図11 4×4 真偽値表から通知先までの振り分け</t>
    <phoneticPr fontId="2"/>
  </si>
  <si>
    <t>Negative status × Positive status の 8 組合せ → OK / CRITICAL / WARN / INFO → severity・priority → P1 Security 即時 / P2 Platform 24h / P3 App team / 通知なし。classify を probe と Alert Router が共有すること、ARN は台帳 alertRouting → 環境変数の 2 段解決であることを併記</t>
    <phoneticPr fontId="2"/>
  </si>
  <si>
    <t>図12 クロスアカウント IAM の関係</t>
    <phoneticPr fontId="2"/>
  </si>
  <si>
    <t>共通基盤の DiscoveryLambdaRole → 各 App の DiscoveryReadRole（codecommit read-only・信頼先 1 本・ExternalId）への AssumeRole 1 種のみ。StackSets による全アカウント同一名配布、CentralProbeRole / alert-router-lambda-role の権限範囲、台帳への書き込みが中央アカウント内のみであることを図示</t>
    <phoneticPr fontId="2"/>
  </si>
  <si>
    <t>08_セキュリティ・IAM</t>
    <phoneticPr fontId="2"/>
  </si>
  <si>
    <t>図13 Positive トークンの発行フロー</t>
    <phoneticPr fontId="2"/>
  </si>
  <si>
    <t>認証基盤の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</si>
  <si>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構成図</t>
    <phoneticPr fontId="2"/>
  </si>
  <si>
    <t>図1. 全体骨格（Pattern β）</t>
    <phoneticPr fontId="2"/>
  </si>
  <si>
    <t>【図1 全体骨格（Pattern β） 挿入位置】</t>
    <phoneticPr fontId="2"/>
  </si>
  <si>
    <t>描くべき内容: 4 アカウント区分と 11 ノード（発見 Lambda・Monitoring Registry S3・認証実装確認処理 Lambda・Alert Router・SNS／CloudFront+WAF ×2／CodeCommit ×2・API GW / ALB ×2）、矢印 11 本。巡回読み取りは境界非経由、probe は境界経由で描き分ける</t>
    <phoneticPr fontId="2"/>
  </si>
  <si>
    <t>（この枠に図を貼り込む。要素・矢印の追加および省略はしない）</t>
    <phoneticPr fontId="2"/>
  </si>
  <si>
    <t>アカウント</t>
    <phoneticPr fontId="2"/>
  </si>
  <si>
    <t>ノード</t>
    <phoneticPr fontId="2"/>
  </si>
  <si>
    <t>役割・注記</t>
    <phoneticPr fontId="2"/>
  </si>
  <si>
    <t>共通基盤アカウント（中央運用・自社管理）</t>
    <phoneticPr fontId="2"/>
  </si>
  <si>
    <t>1 時間毎巡回</t>
    <phoneticPr fontId="2"/>
  </si>
  <si>
    <t>Monitoring Registry S3</t>
    <phoneticPr fontId="2"/>
  </si>
  <si>
    <t>台帳 registry/ + spec openapi/</t>
    <phoneticPr fontId="2"/>
  </si>
  <si>
    <t>認証実装確認処理 Lambda</t>
    <phoneticPr fontId="2"/>
  </si>
  <si>
    <t>probe lib 共通。M1 巡回差分 / M3 フル</t>
    <phoneticPr fontId="2"/>
  </si>
  <si>
    <t>分類結果の振り分け</t>
    <phoneticPr fontId="2"/>
  </si>
  <si>
    <t>P1 Security / P2 Platform / P3 App</t>
    <phoneticPr fontId="2"/>
  </si>
  <si>
    <t>ネットワーク監査アカウント（境界層 ADR-039・他組織管理の可能性）</t>
    <phoneticPr fontId="2"/>
  </si>
  <si>
    <t>CloudFront + WAF（アプリ A 用）</t>
    <phoneticPr fontId="2"/>
  </si>
  <si>
    <t>インターネット境界</t>
    <phoneticPr fontId="2"/>
  </si>
  <si>
    <t>CloudFront + WAF（アプリ B 用）</t>
    <phoneticPr fontId="2"/>
  </si>
  <si>
    <t>App アカウント A</t>
    <phoneticPr fontId="2"/>
  </si>
  <si>
    <t>monitoring.yaml + openapi.yaml</t>
    <phoneticPr fontId="2"/>
  </si>
  <si>
    <t>認証実装</t>
    <phoneticPr fontId="2"/>
  </si>
  <si>
    <t>App アカウント B</t>
    <phoneticPr fontId="2"/>
  </si>
  <si>
    <t>#</t>
    <phoneticPr fontId="2"/>
  </si>
  <si>
    <t>From</t>
    <phoneticPr fontId="2"/>
  </si>
  <si>
    <t>To</t>
    <phoneticPr fontId="2"/>
  </si>
  <si>
    <t>ラベル</t>
    <phoneticPr fontId="2"/>
  </si>
  <si>
    <t>経路区分</t>
    <phoneticPr fontId="2"/>
  </si>
  <si>
    <t>CodeCommit（App A）</t>
    <phoneticPr fontId="2"/>
  </si>
  <si>
    <t>読み取り AssumeRole：コミット差分・monitoring.yaml・spec 取得</t>
    <phoneticPr fontId="2"/>
  </si>
  <si>
    <t>巡回読み取り（境界非経由）</t>
    <phoneticPr fontId="2"/>
  </si>
  <si>
    <t>CodeCommit（App B）</t>
    <phoneticPr fontId="2"/>
  </si>
  <si>
    <t>同</t>
    <phoneticPr fontId="2"/>
  </si>
  <si>
    <t>自動登録・スナップショット・spec Put</t>
    <phoneticPr fontId="2"/>
  </si>
  <si>
    <t>中央内部</t>
    <phoneticPr fontId="2"/>
  </si>
  <si>
    <t>変化あり → M1 起動</t>
    <phoneticPr fontId="2"/>
  </si>
  <si>
    <t>台帳 List/Get + spec Get（M1 対象 / M3 全量）</t>
    <phoneticPr fontId="2"/>
  </si>
  <si>
    <t>probe は実 UX と同じ境界経由</t>
    <phoneticPr fontId="2"/>
  </si>
  <si>
    <t>probe（In 境界経由）</t>
    <phoneticPr fontId="2"/>
  </si>
  <si>
    <t>API GW / ALB（App A）</t>
    <phoneticPr fontId="2"/>
  </si>
  <si>
    <t>API GW / ALB（App B）</t>
    <phoneticPr fontId="2"/>
  </si>
  <si>
    <t>CRITICAL / WARN / INFO</t>
    <phoneticPr fontId="2"/>
  </si>
  <si>
    <t>SNS（P1/P2/P3）</t>
    <phoneticPr fontId="2"/>
  </si>
  <si>
    <t>注記: 境界（CloudFront + WAF）はネットワーク監査アカウントにあり、probe はそこを実ユーザーと同じ経路で通る</t>
    <phoneticPr fontId="2"/>
  </si>
  <si>
    <t>注記: 巡回の読み取り（発見 Lambda → CodeCommit）は境界を通らない。AWS API を読み取りロールで直接呼ぶ。変更検知はコミット差分で、コンソール直変更等 git に現れない変更は L2 Config Rules + M3 が補完</t>
    <phoneticPr fontId="2"/>
  </si>
  <si>
    <t>図2. 統合構成図（登録・トリガー・検査・通知）</t>
    <phoneticPr fontId="2"/>
  </si>
  <si>
    <t>【図2 統合構成図（登録・トリガー・検査・通知 ①〜⑥） 挿入位置】</t>
    <phoneticPr fontId="2"/>
  </si>
  <si>
    <t>描くべき内容: 運用者（M3）+ 13 ノード。①AssumeRole ②CodeCommit 読み取り ③台帳・spec 登録 ④M1 起動 ⑤Neg / Pos probe ⑥Metrics・Alert、および無番号の EventBridge→発見 Lambda／M3／台帳取得／CloudFront→API GW／Alert Router→SNS／Service Catalog→API GW</t>
    <phoneticPr fontId="2"/>
  </si>
  <si>
    <t>（外部）</t>
    <phoneticPr fontId="2"/>
  </si>
  <si>
    <t>運用者</t>
    <phoneticPr fontId="2"/>
  </si>
  <si>
    <t>M3 手動実行</t>
    <phoneticPr fontId="2"/>
  </si>
  <si>
    <t>1 時間毎</t>
    <phoneticPr fontId="2"/>
  </si>
  <si>
    <t>発見・差分検知・OpenAPI 取得</t>
    <phoneticPr fontId="2"/>
  </si>
  <si>
    <t>registry/（台帳 + スナップショット）／openapi/（spec コピー）</t>
    <phoneticPr fontId="2"/>
  </si>
  <si>
    <t>probe / classify lib 共通</t>
    <phoneticPr fontId="2"/>
  </si>
  <si>
    <t>CloudWatch Metrics / Alarm</t>
    <phoneticPr fontId="2"/>
  </si>
  <si>
    <t>AuthCheckCritical &gt; 0</t>
    <phoneticPr fontId="2"/>
  </si>
  <si>
    <t>ネットワーク監査アカウント（境界層 ADR-039）</t>
    <phoneticPr fontId="2"/>
  </si>
  <si>
    <t>Origin Protection</t>
    <phoneticPr fontId="2"/>
  </si>
  <si>
    <t>各 App アカウント（監視対象）</t>
    <phoneticPr fontId="2"/>
  </si>
  <si>
    <t>認証必須・Origin Protection・タグ</t>
    <phoneticPr fontId="2"/>
  </si>
  <si>
    <t>codecommit 読み取り専用（StackSets 配布）</t>
    <phoneticPr fontId="2"/>
  </si>
  <si>
    <t>1 時間毎の起動</t>
    <phoneticPr fontId="2"/>
  </si>
  <si>
    <t>①</t>
    <phoneticPr fontId="2"/>
  </si>
  <si>
    <t>AssumeRole（読み取り）</t>
    <phoneticPr fontId="2"/>
  </si>
  <si>
    <t>②</t>
    <phoneticPr fontId="2"/>
  </si>
  <si>
    <t>ListRepositories / GetBranch / コミット ID 比較 / GetFile</t>
    <phoneticPr fontId="2"/>
  </si>
  <si>
    <t>③</t>
    <phoneticPr fontId="2"/>
  </si>
  <si>
    <t>自動登録・lastCheckedCommitId 更新 + spec Put（repo の openapi.yaml）</t>
    <phoneticPr fontId="2"/>
  </si>
  <si>
    <t>④</t>
    <phoneticPr fontId="2"/>
  </si>
  <si>
    <t>M1 起動（変更アプリのみ）</t>
    <phoneticPr fontId="2"/>
  </si>
  <si>
    <t>M3 フル監査</t>
    <phoneticPr fontId="2"/>
  </si>
  <si>
    <t>台帳 + spec 取得</t>
    <phoneticPr fontId="2"/>
  </si>
  <si>
    <t>⑤</t>
    <phoneticPr fontId="2"/>
  </si>
  <si>
    <t>Neg/Pos probe（実 UX と同じ境界経由）</t>
    <phoneticPr fontId="2"/>
  </si>
  <si>
    <t>⑥</t>
    <phoneticPr fontId="2"/>
  </si>
  <si>
    <t>結果</t>
    <phoneticPr fontId="2"/>
  </si>
  <si>
    <t>製品から API を払い出す</t>
    <phoneticPr fontId="2"/>
  </si>
  <si>
    <t>App アカウント内</t>
    <phoneticPr fontId="2"/>
  </si>
  <si>
    <t>注記: 登録・OpenAPI 取得はすべて中央の pull（CodeCommit のコミット差分）で、アプリ側に登録処理はない</t>
    <phoneticPr fontId="2"/>
  </si>
  <si>
    <t>注記: 2 本の経路は別物。巡回の読み取り（①②＝CodeCommit）は AWS API を直接呼び境界を通らない。probe（⑤）は実ユーザーと同じく境界（ネットワーク監査アカウントの CloudFront）を通る</t>
    <phoneticPr fontId="2"/>
  </si>
  <si>
    <t>図3. AWS リソース構成図（アカウント横断・イン／アウト境界含む）</t>
    <phoneticPr fontId="2"/>
  </si>
  <si>
    <t>【図3 AWS リソース構成図（アカウント横断・イン／アウト境界） 挿入位置】</t>
    <phoneticPr fontId="2"/>
  </si>
  <si>
    <t>描くべき内容: 共通基盤（VPC なし・Lambda 3 本すべて VPC 外／S3 1 バケット／Secrets／CloudWatch／SNS）／インバウンド境界アカウント（CloudFront+WAF）／各 App（DiscoveryReadRole・CodeCommit・API GW / ALB）／認証基盤 Broker（Keycloak /token）／アウトバウンド境界アカウント（TGW+NWFW・非経由）。経路 A〜D を線種で区別し、A / B のみ In 境界を通り Out 境界を通らないことを明示</t>
    <phoneticPr fontId="2"/>
  </si>
  <si>
    <t>共通基盤アカウント（自社管理）— VPC なし</t>
    <phoneticPr fontId="2"/>
  </si>
  <si>
    <t>共通基盤アカウント（つづき）</t>
    <phoneticPr fontId="2"/>
  </si>
  <si>
    <t>インターネット</t>
    <phoneticPr fontId="2"/>
  </si>
  <si>
    <t>インバウンド境界アカウント（他組織管理・ADR-039）</t>
    <phoneticPr fontId="2"/>
  </si>
  <si>
    <t>各 App アカウント</t>
    <phoneticPr fontId="2"/>
  </si>
  <si>
    <t>認証基盤（Broker アカウント）</t>
    <phoneticPr fontId="2"/>
  </si>
  <si>
    <t>EventBridge Scheduler
rate(1 hour)</t>
    <phoneticPr fontId="2"/>
  </si>
  <si>
    <t>Monitoring Registry S3
registry/ 台帳 + openapi/ spec</t>
    <phoneticPr fontId="2"/>
  </si>
  <si>
    <t>アプリごとの CloudFront + WAF
Origin Protection</t>
    <phoneticPr fontId="2"/>
  </si>
  <si>
    <t>DiscoveryReadRole
（codecommit read-only）</t>
    <phoneticPr fontId="2"/>
  </si>
  <si>
    <t>Keycloak /token
client_credentials</t>
    <phoneticPr fontId="2"/>
  </si>
  <si>
    <t>発見 Lambda（VPC 外）</t>
    <phoneticPr fontId="2"/>
  </si>
  <si>
    <t>Secrets Manager
canary-central-readonly</t>
    <phoneticPr fontId="2"/>
  </si>
  <si>
    <t>CodeCommit
monitoring.yaml + openapi.yaml</t>
    <phoneticPr fontId="2"/>
  </si>
  <si>
    <t>認証実装チェック Lambda（VPC 外）</t>
    <phoneticPr fontId="2"/>
  </si>
  <si>
    <t>CloudWatch
Metrics / Alarm</t>
    <phoneticPr fontId="2"/>
  </si>
  <si>
    <t>API GW / ALB
認証実装</t>
    <phoneticPr fontId="2"/>
  </si>
  <si>
    <t>Alert Router Lambda（VPC 外）</t>
    <phoneticPr fontId="2"/>
  </si>
  <si>
    <t>SNS P1 / P2 / P3</t>
    <phoneticPr fontId="2"/>
  </si>
  <si>
    <t>アウトバウンド境界アカウント（他組織管理）</t>
    <phoneticPr fontId="2"/>
  </si>
  <si>
    <t>Transit Gateway + Network Firewall
ドメインフィルタ</t>
    <phoneticPr fontId="2"/>
  </si>
  <si>
    <t>注記: Lambda 3 本はすべて VPC 外（Lambda マネージド網）に配置する。VPC / VPC Endpoint 群 / TGW Attachment / NAT が一切不要になる。代償として probe の外向き HTTPS がアウトバウンド境界（NWFW）を通らない ——これは NW-2 の明示的な例外として受容し、代償統制で補う（詳細は 08_セキュリティ・IAM シート）</t>
    <phoneticPr fontId="2"/>
  </si>
  <si>
    <t>通信経路一覧（何が・どこを通るか）</t>
    <phoneticPr fontId="2"/>
  </si>
  <si>
    <t>経路</t>
    <phoneticPr fontId="2"/>
  </si>
  <si>
    <t>中身</t>
    <phoneticPr fontId="2"/>
  </si>
  <si>
    <t>通る境界</t>
    <phoneticPr fontId="2"/>
  </si>
  <si>
    <t>必要な許可</t>
    <phoneticPr fontId="2"/>
  </si>
  <si>
    <t>probe → アプリ（Negative / Positive）</t>
    <phoneticPr fontId="2"/>
  </si>
  <si>
    <t>HTTPS 443（実 UX と同一）</t>
    <phoneticPr fontId="2"/>
  </si>
  <si>
    <t>Lambda マネージド egress → インターネット → CloudFront + WAF（In）→ API GW。Out（NWFW）は非経由（例外）</t>
    <phoneticPr fontId="2"/>
  </si>
  <si>
    <t>なし（宛先は台帳の baseUrl のみ。代償統制あり）</t>
    <phoneticPr fontId="2"/>
  </si>
  <si>
    <t>probe → 認証基盤 /token（Positive 用短命トークン）</t>
    <phoneticPr fontId="2"/>
  </si>
  <si>
    <t>HTTPS 443</t>
    <phoneticPr fontId="2"/>
  </si>
  <si>
    <t>同上（Out 非経由）</t>
    <phoneticPr fontId="2"/>
  </si>
  <si>
    <t>同上（宛先は認証基盤ドメイン固定）</t>
    <phoneticPr fontId="2"/>
  </si>
  <si>
    <t>C</t>
    <phoneticPr fontId="2"/>
  </si>
  <si>
    <t>巡回読み取り（発見 Lambda → App アカウントの CodeCommit）</t>
    <phoneticPr fontId="2"/>
  </si>
  <si>
    <t>AWS API（STS AssumeRole → codecommit GetBranch / GetDifferences / GetFile）</t>
    <phoneticPr fontId="2"/>
  </si>
  <si>
    <t>境界非経由（AWS 網）</t>
    <phoneticPr fontId="2"/>
  </si>
  <si>
    <t>D</t>
    <phoneticPr fontId="2"/>
  </si>
  <si>
    <t>中央内部（台帳／仕様／Secrets／Metrics／通知）</t>
    <phoneticPr fontId="2"/>
  </si>
  <si>
    <t>S3（Monitoring Registry）/ Secrets / CloudWatch / SNS / Lambda Invoke</t>
    <phoneticPr fontId="2"/>
  </si>
  <si>
    <t>境界非経由（AWS 網。VPC Endpoint 不要）</t>
    <phoneticPr fontId="2"/>
  </si>
  <si>
    <t>IAM のみ</t>
    <phoneticPr fontId="2"/>
  </si>
  <si>
    <t>注記: 経路 A はインバウンド境界（CloudFront + WAF）を実ユーザーと同じ向きで通過する（Origin Protection を破らない検査）。In 側はバイパスしない</t>
    <phoneticPr fontId="2"/>
  </si>
  <si>
    <t>注記: 経路 C / D は AWS API・AWS 網内であり、インターネット境界（In / Out とも）は無関係</t>
    <phoneticPr fontId="2"/>
  </si>
  <si>
    <t>注記: Phase 2では認証実装チェック Lambda のみ VPC 化が必要になる（VPC + TGW で Internal ALB へ到達）。その時点で経路 A の Out 統制接続も再検討する。発見 Lambda と Alert Router は Phase 2 でも VPC 外のまま</t>
    <phoneticPr fontId="2"/>
  </si>
  <si>
    <t>1. 共通基盤アカウント（中央）側</t>
    <phoneticPr fontId="2"/>
  </si>
  <si>
    <t>正規検査用の資格情報（canary-central-readonly）。実行ごとに短命トークンを発行</t>
    <phoneticPr fontId="2"/>
  </si>
  <si>
    <t>2. 各 App アカウント側</t>
    <phoneticPr fontId="2"/>
  </si>
  <si>
    <t>3. ネットワーク監査アカウント側（境界、他組織管理の可能性）</t>
    <phoneticPr fontId="2"/>
  </si>
  <si>
    <t>アプリがリポジトリに monitoring.yaml を置いてコミットすると、中央の発見 Lambda が 1 時間毎の巡回（コミット差分）で見つけて台帳・仕様を自動登録し、変更のあったアプリ（M1）と手動監査時（M3）に認証実装チェック Lambda が実際にリクエストを投げて認証漏れを検査、問題があれば 4×4 分類で適切なチームに通知される。アプリ側に登録処理はない（モノリスも同じ）</t>
    <phoneticPr fontId="2"/>
  </si>
  <si>
    <t>処理フロー（巡回 ①〜⑦ / 検査シーケンス / エンドツーエンド）</t>
    <phoneticPr fontId="2"/>
  </si>
  <si>
    <t>図4. 巡回フロー（M1 トリガー）</t>
    <phoneticPr fontId="2"/>
  </si>
  <si>
    <t>【図4 巡回フロー（①〜⑦ + 新規発見・消滅検知） 挿入位置】</t>
    <phoneticPr fontId="2"/>
  </si>
  <si>
    <t>描くべき内容: EventBridge（1h）→ 発見 Lambda。①Organizations 列挙 ②AssumeRole ③ListRepositories ④GetBranch ⑤lastCheckedCommitId 比較 ⑥GetDifferences / GetFile → 台帳更新・spec Put ⑦M1 invoke → lastCheckedCommitId 更新。新規発見・消滅検知・メタ不足アラートの分岐</t>
    <phoneticPr fontId="2"/>
  </si>
  <si>
    <t>ステップ</t>
    <phoneticPr fontId="2"/>
  </si>
  <si>
    <t>主体</t>
    <phoneticPr fontId="2"/>
  </si>
  <si>
    <t>相手</t>
    <phoneticPr fontId="2"/>
  </si>
  <si>
    <t>① 列挙</t>
    <phoneticPr fontId="2"/>
  </si>
  <si>
    <t>AWS Organizations</t>
    <phoneticPr fontId="2"/>
  </si>
  <si>
    <t>② AssumeRole</t>
    <phoneticPr fontId="2"/>
  </si>
  <si>
    <t>StackSets 配布済みの読み取り専用ロールで入る</t>
    <phoneticPr fontId="2"/>
  </si>
  <si>
    <t>③ リポジトリ列挙</t>
    <phoneticPr fontId="2"/>
  </si>
  <si>
    <t>ListRepositories。monitoring.yaml を持つリポジトリ = 監視対象</t>
    <phoneticPr fontId="2"/>
  </si>
  <si>
    <t>④ 先端取得</t>
    <phoneticPr fontId="2"/>
  </si>
  <si>
    <t>GetBranch で対象ブランチ（既定 main）の先端コミット ID を取得</t>
    <phoneticPr fontId="2"/>
  </si>
  <si>
    <t>⑤ 差分判定</t>
    <phoneticPr fontId="2"/>
  </si>
  <si>
    <t>台帳の lastCheckedCommitId と比較。違えば「前回確認から変更があった」</t>
    <phoneticPr fontId="2"/>
  </si>
  <si>
    <t>⑥ 内容取得</t>
    <phoneticPr fontId="2"/>
  </si>
  <si>
    <t>CodeCommit / Monitoring Registry S3</t>
    <phoneticPr fontId="2"/>
  </si>
  <si>
    <t>変化したリポジトリは GetDifferences（変更パス → モノレポ時のアプリ特定）+ GetFile で monitoring.yaml / openapi.yaml を取得し、台帳更新・OpenAPI Registry へ Put</t>
    <phoneticPr fontId="2"/>
  </si>
  <si>
    <t>⑦ M1 起動</t>
    <phoneticPr fontId="2"/>
  </si>
  <si>
    <t>変化のあったアプリを対象に invoke。完了後 lastCheckedCommitId を更新</t>
    <phoneticPr fontId="2"/>
  </si>
  <si>
    <t>新規発見</t>
    <phoneticPr fontId="2"/>
  </si>
  <si>
    <t>台帳に無い monitoring.yaml 付きリポジトリは自動登録。「登録漏れ」という概念自体が消える</t>
    <phoneticPr fontId="2"/>
  </si>
  <si>
    <t>消滅検知</t>
    <phoneticPr fontId="2"/>
  </si>
  <si>
    <t>リポジトリ削除 / monitoring.yaml 削除は台帳を enabled=false に（棚卸しアラート）</t>
    <phoneticPr fontId="2"/>
  </si>
  <si>
    <t>（分岐）</t>
    <phoneticPr fontId="2"/>
  </si>
  <si>
    <t>メタ不足アラート</t>
    <phoneticPr fontId="2"/>
  </si>
  <si>
    <t>monitoring.yaml 不備の場合</t>
    <phoneticPr fontId="2"/>
  </si>
  <si>
    <t>モノレポ / ブランチの扱い</t>
    <phoneticPr fontId="2"/>
  </si>
  <si>
    <t>モノレポ</t>
    <phoneticPr fontId="2"/>
  </si>
  <si>
    <t>GetDifferences の変更パスを monitoring.yaml の pathPrefix と突合し、変更のあったアプリだけを M1 対象にする（リポジトリ = アプリ 1:1 なら比較不要）</t>
    <phoneticPr fontId="2"/>
  </si>
  <si>
    <t>ブランチ</t>
    <phoneticPr fontId="2"/>
  </si>
  <si>
    <t>監視対象はデプロイブランチ（既定 main、monitoring.yaml で変更可）のみ。feature ブランチのコミットは対象外</t>
    <phoneticPr fontId="2"/>
  </si>
  <si>
    <t>アプリ単位の全 endpoint（endpoint 単位に絞らない。認証 middleware 削除は diff からどの endpoint に効くか判定できないため）</t>
    <phoneticPr fontId="2"/>
  </si>
  <si>
    <t>図5. 検査シーケンス（1 回の実行）</t>
    <phoneticPr fontId="2"/>
  </si>
  <si>
    <t>【図5 検査シーケンス（1 回の実行 ①〜⑨） 挿入位置】</t>
    <phoneticPr fontId="2"/>
  </si>
  <si>
    <t>描くべき内容: ①台帳 scan ②spec fetch ③extractEndpoints ④Negative probe ⑤Positive probe ⑥classify ⑦Alert Router invoke ⑧putMetrics ⑨AuthCheckCritical。アプリループと endpoint ループの入れ子を明示</t>
    <phoneticPr fontId="2"/>
  </si>
  <si>
    <t>処理</t>
    <phoneticPr fontId="2"/>
  </si>
  <si>
    <t>scanEnabledApps（enabled=true）</t>
    <phoneticPr fontId="2"/>
  </si>
  <si>
    <t>OpenAPI Registry S3</t>
    <phoneticPr fontId="2"/>
  </si>
  <si>
    <t>（各アプリのループ）fetchSpec（openApiS3Key）</t>
    <phoneticPr fontId="2"/>
  </si>
  <si>
    <t>extractEndpoints（アノテーション解釈）</t>
    <phoneticPr fontId="2"/>
  </si>
  <si>
    <t>アプリ CloudFront</t>
    <phoneticPr fontId="2"/>
  </si>
  <si>
    <t>（各 endpoint のループ）Negative probe（認証ヘッダなし）</t>
    <phoneticPr fontId="2"/>
  </si>
  <si>
    <t>Positive probe（Bearer 等、対象時のみ）</t>
    <phoneticPr fontId="2"/>
  </si>
  <si>
    <t>classify（4×4 真偽値表）</t>
    <phoneticPr fontId="2"/>
  </si>
  <si>
    <t>⑦</t>
    <phoneticPr fontId="2"/>
  </si>
  <si>
    <t>Alert Router</t>
    <phoneticPr fontId="2"/>
  </si>
  <si>
    <t>severity != OK のとき invokeAlertRouter</t>
    <phoneticPr fontId="2"/>
  </si>
  <si>
    <t>⑧</t>
    <phoneticPr fontId="2"/>
  </si>
  <si>
    <t>putMetrics（per-app 集計）</t>
    <phoneticPr fontId="2"/>
  </si>
  <si>
    <t>⑨</t>
    <phoneticPr fontId="2"/>
  </si>
  <si>
    <t>CRITICAL があれば AuthCheckCritical 発火</t>
    <phoneticPr fontId="2"/>
  </si>
  <si>
    <t>実装対応: index.js（handler）+ lib/registry.js（①）+ lib/openapi.js（②③）+ lib/probe.js（④⑤）+ lib/classify.js（⑥）+ lib/emit.js（⑦⑧）</t>
    <phoneticPr fontId="2"/>
  </si>
  <si>
    <t>図6. エンドツーエンド フロー（deploy → 検知 → 通知 → 是正）</t>
    <phoneticPr fontId="2"/>
  </si>
  <si>
    <t>【図6 エンドツーエンド フロー（①〜⑧） 挿入位置】</t>
    <phoneticPr fontId="2"/>
  </si>
  <si>
    <t>描くべき内容: ①コミット &amp; デプロイ（静的解析 pass）②巡回発見（最大 1h）③M1 自動 / M3 手動 ④probe ⑤classify（OK は Metrics のみ）⑥Alert Router ⑦通知 P1 / P2 / P3 ⑧是正 SLA。担当章の帯を添える</t>
    <phoneticPr fontId="2"/>
  </si>
  <si>
    <t>段階</t>
    <phoneticPr fontId="2"/>
  </si>
  <si>
    <t>コミット &amp; デプロイ</t>
    <phoneticPr fontId="2"/>
  </si>
  <si>
    <t>静的解析 pass</t>
    <phoneticPr fontId="2"/>
  </si>
  <si>
    <t>巡回発見（コミット差分）</t>
    <phoneticPr fontId="2"/>
  </si>
  <si>
    <t>最大 1h 後に検知・登録・spec 取得</t>
    <phoneticPr fontId="2"/>
  </si>
  <si>
    <t>起動</t>
    <phoneticPr fontId="2"/>
  </si>
  <si>
    <t>M1 起動（自動）／ M3 フル（手動）</t>
    <phoneticPr fontId="2"/>
  </si>
  <si>
    <t>probe</t>
    <phoneticPr fontId="2"/>
  </si>
  <si>
    <t>Negative + Positive</t>
    <phoneticPr fontId="2"/>
  </si>
  <si>
    <t>classify</t>
    <phoneticPr fontId="2"/>
  </si>
  <si>
    <t>4×4 真偽値表。OK → Metrics 記録のみ／CRITICAL・WARN・INFO → ⑥へ</t>
    <phoneticPr fontId="2"/>
  </si>
  <si>
    <t>是正</t>
    <phoneticPr fontId="2"/>
  </si>
  <si>
    <t>SLA 内</t>
    <phoneticPr fontId="2"/>
  </si>
  <si>
    <t>具体的ユースケース（OpenAPI → probe → classify → alert）</t>
    <phoneticPr fontId="2"/>
  </si>
  <si>
    <t>ケース</t>
    <phoneticPr fontId="2"/>
  </si>
  <si>
    <t>アラート</t>
    <phoneticPr fontId="2"/>
  </si>
  <si>
    <t>1 標準的な JWT API（正常）</t>
    <phoneticPr fontId="2"/>
  </si>
  <si>
    <t>なし</t>
    <phoneticPr fontId="2"/>
  </si>
  <si>
    <t>2 認証漏れ（AuthorizationType=NONE でデプロイ）</t>
    <phoneticPr fontId="2"/>
  </si>
  <si>
    <t>CRITICAL / P1</t>
    <phoneticPr fontId="2"/>
  </si>
  <si>
    <t>Security 即時</t>
    <phoneticPr fontId="2"/>
  </si>
  <si>
    <t>3 test token 失効</t>
    <phoneticPr fontId="2"/>
  </si>
  <si>
    <t>WARN / P2</t>
    <phoneticPr fontId="2"/>
  </si>
  <si>
    <t>4 Cookie モノリス（正常）</t>
    <phoneticPr fontId="2"/>
  </si>
  <si>
    <t>4' Cookie モノリス（漏れ）</t>
    <phoneticPr fontId="2"/>
  </si>
  <si>
    <t>Security</t>
    <phoneticPr fontId="2"/>
  </si>
  <si>
    <t>注記: ケース 3 は Negative だけなら「401 で OK」と誤判定していた。Positive 併用で「認証 OK だがテストが壊れている」を分離する</t>
    <phoneticPr fontId="2"/>
  </si>
  <si>
    <t>実行モード（M1 / M3 / M2）と差分粒度・受容した穴</t>
    <phoneticPr fontId="2"/>
  </si>
  <si>
    <t>1. 実行モード一覧</t>
    <phoneticPr fontId="2"/>
  </si>
  <si>
    <t>【図7 実行モードの時間軸と probe 範囲 挿入位置】</t>
    <phoneticPr fontId="2"/>
  </si>
  <si>
    <t>描くべき内容: M1 = 1 時間毎の巡回（読み取り）と変更検知時のみ probe（変更アプリの全 endpoint）／M3 = 手動・全アプリ全 endpoint／M2 = 将来（重要 endpoint を 5-15 分）。検知遅延 最大 1 時間を明示</t>
    <phoneticPr fontId="2"/>
  </si>
  <si>
    <t>モード</t>
    <phoneticPr fontId="2"/>
  </si>
  <si>
    <t>トリガ</t>
    <phoneticPr fontId="2"/>
  </si>
  <si>
    <t>範囲</t>
    <phoneticPr fontId="2"/>
  </si>
  <si>
    <t>頻度</t>
    <phoneticPr fontId="2"/>
  </si>
  <si>
    <t>M1 巡回差分</t>
    <phoneticPr fontId="2"/>
  </si>
  <si>
    <t>中央巡回（発見 Lambda が 1 時間毎に CodeCommit のコミット差分を確認）</t>
    <phoneticPr fontId="2"/>
  </si>
  <si>
    <t>変更のあったアプリの全 endpoint</t>
    <phoneticPr fontId="2"/>
  </si>
  <si>
    <t>1 時間毎（検知遅延 最大 1h）</t>
    <phoneticPr fontId="2"/>
  </si>
  <si>
    <t>Phase 1</t>
    <phoneticPr fontId="2"/>
  </si>
  <si>
    <t>手動</t>
    <phoneticPr fontId="2"/>
  </si>
  <si>
    <t>全アプリ全 endpoint</t>
    <phoneticPr fontId="2"/>
  </si>
  <si>
    <t>オンデマンド</t>
    <phoneticPr fontId="2"/>
  </si>
  <si>
    <t>M2 常時 heartbeat</t>
    <phoneticPr fontId="2"/>
  </si>
  <si>
    <t>スケジュール</t>
    <phoneticPr fontId="2"/>
  </si>
  <si>
    <t>重要 endpoint のサブセット</t>
    <phoneticPr fontId="2"/>
  </si>
  <si>
    <t>5-15 分</t>
    <phoneticPr fontId="2"/>
  </si>
  <si>
    <t>将来（重要 endpoint の定義はアプリと会話後）</t>
    <phoneticPr fontId="2"/>
  </si>
  <si>
    <t>2. M1 の巡回と M2 heartbeat の違い（M2 を当面なしとする現行仕様）</t>
    <phoneticPr fontId="2"/>
  </si>
  <si>
    <t>・M1 の巡回は「リポジトリの読み取り」（コミット ID 比較）であり、probe（HTTP 検査）は変更のあったアプリだけに飛ぶ。M2 heartbeat は「endpoint への probe を常時定期実行」する別物で、重要 endpoint の定義がないと全量 probe の重さに戻る。</t>
    <phoneticPr fontId="2"/>
  </si>
  <si>
    <t>・重要 endpoint の定義はアプリチームと会話しないと決められない（全 GET か / 認証必須のみか / 業務上の重要度か）。</t>
    <phoneticPr fontId="2"/>
  </si>
  <si>
    <t>・M1（巡回差分）で「コミット = 変更の事実」を最大 1 時間遅れで捕捉でき、M3（手動フル）で「網羅確認」ができるため、常時 probe がなくても認証漏れの主要な入り口（コード変更）は塞げる。</t>
    <phoneticPr fontId="2"/>
  </si>
  <si>
    <t>・M2 は将来、アプリと重要 endpoint を合意した上で追加する（M-Q-18-1）。</t>
    <phoneticPr fontId="2"/>
  </si>
  <si>
    <t>3. M1 の差分粒度は「アプリ単位」</t>
    <phoneticPr fontId="2"/>
  </si>
  <si>
    <t>粒度</t>
    <phoneticPr fontId="2"/>
  </si>
  <si>
    <t>見逃すケース</t>
    <phoneticPr fontId="2"/>
  </si>
  <si>
    <t>採否</t>
    <phoneticPr fontId="2"/>
  </si>
  <si>
    <t>endpoint 単位（OpenAPI diff）</t>
    <phoneticPr fontId="2"/>
  </si>
  <si>
    <t>コードで認証 middleware を外したが OpenAPI は不変 → 差分に出ず見逃す</t>
    <phoneticPr fontId="2"/>
  </si>
  <si>
    <t>不採用</t>
    <phoneticPr fontId="2"/>
  </si>
  <si>
    <t>アプリ単位（変更アプリの全 endpoint）</t>
    <phoneticPr fontId="2"/>
  </si>
  <si>
    <t>採用</t>
    <phoneticPr fontId="2"/>
  </si>
  <si>
    <t>認証漏れの典型（AuthorizationType=NONE / middleware 削除）は OpenAPI に現れないことが多い。だから「変更されたアプリは全 endpoint を probe」する。全アプリ全量よりは軽く（変更アプリのみ）、endpoint 差分より安全</t>
    <phoneticPr fontId="2"/>
  </si>
  <si>
    <t>4. M1 の実行基盤（発見 → probe の 2 段）</t>
    <phoneticPr fontId="2"/>
  </si>
  <si>
    <t>発見 Lambda の 1 時間毎巡回（CodeCommit のコミット差分 = lastCheckedCommitId 比較）が変更を検知し、変更のあったアプリだけ M1 を起動する。アプリ側イベントには依存しない。</t>
    <phoneticPr fontId="2"/>
  </si>
  <si>
    <t>EventBridge Scheduler（1h）起動。Organizations 列挙 + 読み取り AssumeRole + 差分判定</t>
    <phoneticPr fontId="2"/>
  </si>
  <si>
    <t>発見 Lambda から invoke（変化アプリのみ）。payload { mode:'delta', appId, env }</t>
    <phoneticPr fontId="2"/>
  </si>
  <si>
    <t>probe ロジック</t>
    <phoneticPr fontId="2"/>
  </si>
  <si>
    <t>lib/probe.js / classify.js / emit.js を共通流用。synthetics 抽象を素の https 実装で注入</t>
    <phoneticPr fontId="2"/>
  </si>
  <si>
    <t>5. M3 フル監査（手動）</t>
    <phoneticPr fontId="2"/>
  </si>
  <si>
    <t>手動（運用者が CLI / コンソールから invoke）</t>
    <phoneticPr fontId="2"/>
  </si>
  <si>
    <t>全アプリ全 endpoint（台帳 registry/ を List）</t>
    <phoneticPr fontId="2"/>
  </si>
  <si>
    <t>用途</t>
    <phoneticPr fontId="2"/>
  </si>
  <si>
    <t>初回の全量確認 / 大きな変更後 / 監査前 / 定期棚卸し（人が判断）</t>
    <phoneticPr fontId="2"/>
  </si>
  <si>
    <t>実行基盤</t>
    <phoneticPr fontId="2"/>
  </si>
  <si>
    <t>M1 と同じ認証実装チェック Lambda（mode=full）。実装 1 つを payload で切替</t>
    <phoneticPr fontId="2"/>
  </si>
  <si>
    <t>起動例</t>
    <phoneticPr fontId="2"/>
  </si>
  <si>
    <t>aws lambda invoke --function-name central-auth-probe --payload '{"mode":"full"}' /dev/null ／ 特定アプリだけ全量: {"mode":"full","appId":"expense-api","env":"prod"}</t>
    <phoneticPr fontId="2"/>
  </si>
  <si>
    <t>コスト</t>
    <phoneticPr fontId="2"/>
  </si>
  <si>
    <t>スケジュール実行しないため、常時コストはゼロ。必要な時だけ人が回す</t>
    <phoneticPr fontId="2"/>
  </si>
  <si>
    <t>6. 受容した穴 2 つと補完レイヤー</t>
    <phoneticPr fontId="2"/>
  </si>
  <si>
    <t>【図8 受容した穴 2 つと補完レイヤーの関係 挿入位置】</t>
    <phoneticPr fontId="2"/>
  </si>
  <si>
    <t>描くべき内容: 穴① コンソール直変更 → L2 Config Rules + M3 + SCP、穴② コミット ≠ デプロイ → 次回巡回（1h 後）+ M3。L5 外形監視が単層で完結しないこと、一次防衛が deploy 前ガードであること</t>
    <phoneticPr fontId="2"/>
  </si>
  <si>
    <t>穴</t>
    <phoneticPr fontId="2"/>
  </si>
  <si>
    <t>補完レイヤー</t>
    <phoneticPr fontId="2"/>
  </si>
  <si>
    <t>① コンソール直変更</t>
    <phoneticPr fontId="2"/>
  </si>
  <si>
    <t>コンソールで Authorizer を外す等、git に現れない変更は検知できない</t>
    <phoneticPr fontId="2"/>
  </si>
  <si>
    <t>L2 Config Rules（AuthorizationType=NONE の drift 検知）+ M3 手動フル+ SCP で製品外の直接変更を抑止</t>
    <phoneticPr fontId="2"/>
  </si>
  <si>
    <t>② コミット ≠ デプロイ</t>
    <phoneticPr fontId="2"/>
  </si>
  <si>
    <t>コミット直後の検査は本番がまだ旧コードの可能性（偽安心）</t>
    <phoneticPr fontId="2"/>
  </si>
  <si>
    <t>次回巡回（1h 後）の再検査が事実上のリトライになる + M3。恒常的に未デプロイのままなら probe が 404 / WARN で顕在化</t>
    <phoneticPr fontId="2"/>
  </si>
  <si>
    <t>検知遅延: コミット後最大 1 時間。一次防衛は deploy 前ガードであり、外形監視は検知網のため許容</t>
    <phoneticPr fontId="2"/>
  </si>
  <si>
    <t>外形監視は検知 5 レイヤーの L5 であり、単層で完結させず L2（Config）と組み合わせて穴を塞ぐのが前提</t>
    <phoneticPr fontId="2"/>
  </si>
  <si>
    <t>7. 実行基盤は Lambda に一本化（CloudWatch Synthetics は不採用・将来オプション）</t>
    <phoneticPr fontId="2"/>
  </si>
  <si>
    <t>要素</t>
    <phoneticPr fontId="2"/>
  </si>
  <si>
    <t>Synthetics canary（不採用）</t>
    <phoneticPr fontId="2"/>
  </si>
  <si>
    <t>Lambda（採用）</t>
    <phoneticPr fontId="2"/>
  </si>
  <si>
    <t>実行モデル</t>
    <phoneticPr fontId="2"/>
  </si>
  <si>
    <t>全 endpoint へのスケジュール定期 probe</t>
    <phoneticPr fontId="2"/>
  </si>
  <si>
    <t>巡回差分（M1）/ 手動（M3）時のみ probe</t>
    <phoneticPr fontId="2"/>
  </si>
  <si>
    <t>probe lib</t>
    <phoneticPr fontId="2"/>
  </si>
  <si>
    <t>共通</t>
    <phoneticPr fontId="2"/>
  </si>
  <si>
    <t>共通（不変）</t>
    <phoneticPr fontId="2"/>
  </si>
  <si>
    <t>classify / alert</t>
    <phoneticPr fontId="2"/>
  </si>
  <si>
    <t>canary FAIL → SuccessPercent&lt;100</t>
    <phoneticPr fontId="2"/>
  </si>
  <si>
    <t>CloudWatch metric AuthCheckCritical &gt; 0</t>
    <phoneticPr fontId="2"/>
  </si>
  <si>
    <t>run ごと $0.0012 上乗せ + 定期実行分</t>
    <phoneticPr fontId="2"/>
  </si>
  <si>
    <t>巡回 + 変化時 probe で概ね無料枠内</t>
    <phoneticPr fontId="2"/>
  </si>
  <si>
    <t>将来オプション: M2（常時 heartbeat）を追加する / HAR・スクリーンショット・Multilocation・run 履歴 UI が要る場合は、Synthetics canary を M2 の実行環境として復活させる。その時も probe lib は共通</t>
    <phoneticPr fontId="2"/>
  </si>
  <si>
    <t>1. App Registry（S3 台帳）スキーマ</t>
    <phoneticPr fontId="2"/>
  </si>
  <si>
    <t>置き場: Monitoring Registry バケットの registry/{appId}/{env}.json（1 アプリ×環境 = 1 JSON オブジェクト。DynamoDB は不使用）。発見 Lambda が巡回（CodeCommit の monitoring.yaml）から自動登録・同期し、認証実装確認処理が registry/ を List → Get する</t>
    <phoneticPr fontId="2"/>
  </si>
  <si>
    <t>baseUrl / authPattern / testTokenSecret / repo 系は monitoring.yaml 由来（巡回同期）、alertRouting / enabled は台帳のみで中央管理。認証実装確認処理は enabled=true のみ検査する。M1 は該当 1 オブジェクトのみ Get、M3 は全 List</t>
    <phoneticPr fontId="2"/>
  </si>
  <si>
    <t>台帳 JSON 例</t>
    <phoneticPr fontId="2"/>
  </si>
  <si>
    <t>"appId": "expense-api",</t>
    <phoneticPr fontId="2"/>
  </si>
  <si>
    <t>"env": "prod",</t>
    <phoneticPr fontId="2"/>
  </si>
  <si>
    <t>"baseUrl": "https://expense.example.com",</t>
    <phoneticPr fontId="2"/>
  </si>
  <si>
    <t>"authPattern": "api-gw-jwt",</t>
    <phoneticPr fontId="2"/>
  </si>
  <si>
    <t>"openApiS3Key": "openapi/111122223333/expense-api/openapi.yaml",</t>
    <phoneticPr fontId="2"/>
  </si>
  <si>
    <t>"testTokenSecret": "canary-central-readonly",</t>
    <phoneticPr fontId="2"/>
  </si>
  <si>
    <t>"alertRouting": { "p1": "arn:aws:sns:...:security" },</t>
    <phoneticPr fontId="2"/>
  </si>
  <si>
    <t>"enabled": true,</t>
    <phoneticPr fontId="2"/>
  </si>
  <si>
    <t>"registeredAt": "2026-07-06T00:00:00Z",</t>
    <phoneticPr fontId="2"/>
  </si>
  <si>
    <t>"repositoryName": "expense-api",</t>
    <phoneticPr fontId="2"/>
  </si>
  <si>
    <t>"branch": "main",</t>
    <phoneticPr fontId="2"/>
  </si>
  <si>
    <t>"pathPrefix": "",</t>
    <phoneticPr fontId="2"/>
  </si>
  <si>
    <t>"lastCheckedCommitId": "a1b2c3d…",</t>
    <phoneticPr fontId="2"/>
  </si>
  <si>
    <t>"lastSeenAt": "2026-08-13T00:00:00Z"</t>
    <phoneticPr fontId="2"/>
  </si>
  <si>
    <t>2. Monitoring Registry S3 構造</t>
    <phoneticPr fontId="2"/>
  </si>
  <si>
    <t>【図9 Monitoring Registry S3 のキー体系 挿入位置】</t>
    <phoneticPr fontId="2"/>
  </si>
  <si>
    <t>描くべき内容: 1 バケット内に registry/{appId}/{env}.json（台帳＋巡回スナップショット）と openapi/{accountId}/{appId}/openapi.yaml（spec コピー）が同居し Versioning 有効。読み手（認証実装チェック Lambda・Alert Router）と書き手（発見 Lambda・共通基盤チーム手動）を区別</t>
    <phoneticPr fontId="2"/>
  </si>
  <si>
    <t>3. authPattern enum（6 値。認証実装確認処理が assertion 方式を切替）</t>
    <phoneticPr fontId="2"/>
  </si>
  <si>
    <t>bff-cookie-session は BFF アーキパターンのブラウザ↔BFF 入口を監視する。BFF↔API 間（Bearer）は内部通信のため、BFF 入口の監視で実質カバー。API を独立監視する場合は別レコードで api-gw-jwt として登録</t>
    <phoneticPr fontId="2"/>
  </si>
  <si>
    <t>4. monitoring.yaml 規約（リポジトリ直下・config-as-code）</t>
    <phoneticPr fontId="2"/>
  </si>
  <si>
    <t>【図10 メタデータの供給関係（誰が何を決めるか） 挿入位置】</t>
    <phoneticPr fontId="2"/>
  </si>
  <si>
    <t>描くべき内容: monitoring.yaml 由来（baseUrl / authPattern / testTokenSecret / repo 系）→ 台帳、台帳のみ中央管理（alertRouting / enabled）、リポジトリ内 openapi.yaml（正本）→ S3 コピー → extractEndpoints。アプリ側に登録処理がないこと</t>
    <phoneticPr fontId="2"/>
  </si>
  <si>
    <t>監視メタデータはリポジトリ直下の monitoring.yaml で宣言する。このファイルがあるリポジトリ = 監視対象</t>
    <phoneticPr fontId="2"/>
  </si>
  <si>
    <t>prod:</t>
    <phoneticPr fontId="2"/>
  </si>
  <si>
    <t>baseUrl: https://expense.example.com   # probe 先（CloudFront URL）</t>
    <phoneticPr fontId="2"/>
  </si>
  <si>
    <t>authPattern: api-gw-jwt                # 検査方式</t>
    <phoneticPr fontId="2"/>
  </si>
  <si>
    <t>stg:</t>
    <phoneticPr fontId="2"/>
  </si>
  <si>
    <t>baseUrl: https://stg.expense.example.com</t>
    <phoneticPr fontId="2"/>
  </si>
  <si>
    <t>authPattern: api-gw-jwt</t>
    <phoneticPr fontId="2"/>
  </si>
  <si>
    <t>testTokenSecret: canary-central-readonly   # 省略時は共通</t>
    <phoneticPr fontId="2"/>
  </si>
  <si>
    <t>enum</t>
    <phoneticPr fontId="2"/>
  </si>
  <si>
    <t>CloudFront URL</t>
    <phoneticPr fontId="2"/>
  </si>
  <si>
    <t>yaml に書かない（SNS ARN を repo に置かない）。台帳側で共通基盤チームが管理、未設定は全社デフォルト</t>
    <phoneticPr fontId="2"/>
  </si>
  <si>
    <t>リソースタグ（app-id / cost-center 等）は課金按分用として従来どおり必須。監視メタの供給源はタグでなく monitoring.yaml に一本化した</t>
    <phoneticPr fontId="2"/>
  </si>
  <si>
    <t>5. OpenAPI アノテーションと MON-1（公開明示は必須・default-deny）</t>
    <phoneticPr fontId="2"/>
  </si>
  <si>
    <t>死守事項 MON-1（必須・default-deny）: すべての endpoint はデフォルトで「認証必須」とみなす。認証不要（public）な endpoint は x-synthetics-skip-auth-check: true を必ず明示する。明示のない endpoint は認証必須として Negative probe で検査し、未認証で 2xx が返れば CRITICAL/P1（認証漏れ）とする</t>
    <phoneticPr fontId="2"/>
  </si>
  <si>
    <t>・アノテーション未記載 = 認証必須。「うっかり公開」を検知する側に倒すための default-deny 設計</t>
    <phoneticPr fontId="2"/>
  </si>
  <si>
    <t>・public を意図する endpoint に明示を付け忘れると、正しく公開していても「認証漏れ」として P1 アラートが出る → アプリチームは明示せざるを得ない（＝必須が自然に強制される）</t>
    <phoneticPr fontId="2"/>
  </si>
  <si>
    <t>・公開明示は唯一アプリが必ず書くべき監視用アノテーション（他は任意）。これが「アプリは OpenAPI に公開印を付けるだけ」という責任境界の中核</t>
    <phoneticPr fontId="2"/>
  </si>
  <si>
    <t>・公開明示された endpoint も、それが本当に公開してよいかは別途セキュリティレビュー対象（無制限に skip を濫用させない。棚卸しは中央）</t>
    <phoneticPr fontId="2"/>
  </si>
  <si>
    <t>解釈は lib/openapi.js の extractEndpoints</t>
    <phoneticPr fontId="2"/>
  </si>
  <si>
    <t>記述例</t>
    <phoneticPr fontId="2"/>
  </si>
  <si>
    <t>/api/users:</t>
    <phoneticPr fontId="2"/>
  </si>
  <si>
    <t>get:</t>
    <phoneticPr fontId="2"/>
  </si>
  <si>
    <t>x-canary-positive-test: true</t>
    <phoneticPr fontId="2"/>
  </si>
  <si>
    <t>x-canary-test-token-secret: canary-central-readonly</t>
    <phoneticPr fontId="2"/>
  </si>
  <si>
    <t>/api/orders:</t>
    <phoneticPr fontId="2"/>
  </si>
  <si>
    <t>post:</t>
    <phoneticPr fontId="2"/>
  </si>
  <si>
    <t>x-canary-positive-test: pre-prod-only     # 本番は Negative のみ（副作用回避）</t>
    <phoneticPr fontId="2"/>
  </si>
  <si>
    <t>x-canary-cleanup: { action: DELETE, path: /api/orders/{orderId}, idFrom: response.body.orderId }</t>
    <phoneticPr fontId="2"/>
  </si>
  <si>
    <t>/_/health:</t>
    <phoneticPr fontId="2"/>
  </si>
  <si>
    <t>x-synthetics-skip-auth-check: true        # public</t>
    <phoneticPr fontId="2"/>
  </si>
  <si>
    <t>/dashboard:</t>
    <phoneticPr fontId="2"/>
  </si>
  <si>
    <t>x-canary-auth-mode: cookie-redirect        # SSR モノリス</t>
    <phoneticPr fontId="2"/>
  </si>
  <si>
    <t>6. CloudWatch Metrics（認証実装確認処理が emit）</t>
    <phoneticPr fontId="2"/>
  </si>
  <si>
    <t>7. 4×4 真偽値表（分類ロジック。probe と alert-router で共有）</t>
    <phoneticPr fontId="2"/>
  </si>
  <si>
    <t>【図11 4×4 真偽値表から通知先までの振り分け 挿入位置】</t>
    <phoneticPr fontId="2"/>
  </si>
  <si>
    <t>描くべき内容: Negative × Positive の 8 組合せ → OK / CRITICAL / WARN / INFO → severity・priority → P1 Security 即時 / P2 Platform 24h / P3 App team / 通知なし。classify を probe と Alert Router が共有、ARN は台帳 alertRouting → 環境変数の 2 段解決</t>
    <phoneticPr fontId="2"/>
  </si>
  <si>
    <t>Negative / Positive の役割: Negative（認証ヘッダなし → 401/403、Cookie モノリスは 302）で認証実装漏れを検知、Positive（valid Bearer 等 → 200/201/204）で API 稼働 + テスト健全性を確認</t>
    <phoneticPr fontId="2"/>
  </si>
  <si>
    <t>Smoke test: 冒頭で既知の挙動を確認し、テスト基盤自体の健全性を担保する。Smoke 失敗時は「認証漏れ」ではなく「テスト基盤問題」として分離アラート</t>
    <phoneticPr fontId="2"/>
  </si>
  <si>
    <t>8. Alert イベント形式（probe → alert-router）</t>
    <phoneticPr fontId="2"/>
  </si>
  <si>
    <t>"path": "/api/users",</t>
    <phoneticPr fontId="2"/>
  </si>
  <si>
    <t>"method": "GET",</t>
    <phoneticPr fontId="2"/>
  </si>
  <si>
    <t>"negStatus": 200,</t>
    <phoneticPr fontId="2"/>
  </si>
  <si>
    <t>"posStatus": 200,</t>
    <phoneticPr fontId="2"/>
  </si>
  <si>
    <t>"severity": "CRITICAL",</t>
    <phoneticPr fontId="2"/>
  </si>
  <si>
    <t>"reason": "Auth missing or bypassed",</t>
    <phoneticPr fontId="2"/>
  </si>
  <si>
    <t>"timestamp": "2026-07-06T00:05:00Z"</t>
    <phoneticPr fontId="2"/>
  </si>
  <si>
    <t>Alert イベント自体には SNS ARN が含まれない。Alert Router が台帳の alertRouting → 環境変数 DEFAULT_PX_TOPIC_ARN の 2 段で解決する（08 シート参照）</t>
    <phoneticPr fontId="2"/>
  </si>
  <si>
    <t>9. 環境別の検査動作</t>
    <phoneticPr fontId="2"/>
  </si>
  <si>
    <t>「対象 endpoint」= M1 なら変更アプリの全 endpoint、M3 なら全 endpoint。制御は OpenAPI アノテーション x-canary-positive-test: pre-prod-only。POST の副作用回避は本番の鉄則</t>
    <phoneticPr fontId="2"/>
  </si>
  <si>
    <t>セキュリティ・IAM</t>
    <phoneticPr fontId="2"/>
  </si>
  <si>
    <t>1. アカウント分離</t>
    <phoneticPr fontId="2"/>
  </si>
  <si>
    <t>置くもの</t>
    <phoneticPr fontId="2"/>
  </si>
  <si>
    <t>管理主体</t>
    <phoneticPr fontId="2"/>
  </si>
  <si>
    <t>共通基盤アカウント</t>
    <phoneticPr fontId="2"/>
  </si>
  <si>
    <t>認証実装確認処理のリソース群（App Registry / OpenAPI Registry / 認証実装チェック Lambda / Alert Router / Secrets）+ 発見 Lambda + SNS + CloudWatch</t>
    <phoneticPr fontId="2"/>
  </si>
  <si>
    <t>自社管理</t>
    <phoneticPr fontId="2"/>
  </si>
  <si>
    <t>ネットワーク監査アカウント（インバウンド境界）</t>
    <phoneticPr fontId="2"/>
  </si>
  <si>
    <t>インターネット境界（アプリごとの CloudFront + WAF、Origin Protection、ADR-039）</t>
    <phoneticPr fontId="2"/>
  </si>
  <si>
    <t>他組織管理の可能性あり（ROSA 側 P-18）</t>
    <phoneticPr fontId="2"/>
  </si>
  <si>
    <t>アウトバウンド境界アカウント</t>
    <phoneticPr fontId="2"/>
  </si>
  <si>
    <t>Transit Gateway + Network Firewall（ドメインフィルタ）</t>
    <phoneticPr fontId="2"/>
  </si>
  <si>
    <t>他組織管理</t>
    <phoneticPr fontId="2"/>
  </si>
  <si>
    <t>Service Catalog 製品 / CodeCommit / API GW・ALB / DiscoveryReadRole</t>
    <phoneticPr fontId="2"/>
  </si>
  <si>
    <t>各アプリチーム</t>
    <phoneticPr fontId="2"/>
  </si>
  <si>
    <t>Keycloak /token（client_credentials）</t>
    <phoneticPr fontId="2"/>
  </si>
  <si>
    <t>認証基盤</t>
    <phoneticPr fontId="2"/>
  </si>
  <si>
    <t>probe は境界越しに実ユーザーと同じ経路で検査する。認証実装確認処理は共通基盤アカウント（自社管理）に置くため、境界が他組織管理になっても再設計は不要。影響は probe 先経路の調整のみ（BD-Q-01）</t>
    <phoneticPr fontId="2"/>
  </si>
  <si>
    <t>巡回の読み取り経路（中央 → App）も境界を通らないため、境界の管理主体変更の影響を受けない</t>
    <phoneticPr fontId="2"/>
  </si>
  <si>
    <t>2. クロスアカウント要件の全体像</t>
    <phoneticPr fontId="2"/>
  </si>
  <si>
    <t>方向</t>
    <phoneticPr fontId="2"/>
  </si>
  <si>
    <t>手段</t>
    <phoneticPr fontId="2"/>
  </si>
  <si>
    <t>権限</t>
    <phoneticPr fontId="2"/>
  </si>
  <si>
    <t>巡回発見（リポジトリ読み取り）</t>
    <phoneticPr fontId="2"/>
  </si>
  <si>
    <t>中央 → App アカウント（読み取り）</t>
    <phoneticPr fontId="2"/>
  </si>
  <si>
    <t>発見 Lambda が DiscoveryReadRole に AssumeRole → CodeCommit を読む</t>
    <phoneticPr fontId="2"/>
  </si>
  <si>
    <t>codecommit read-only（下記 3.）</t>
    <phoneticPr fontId="2"/>
  </si>
  <si>
    <t>probe → アプリ</t>
    <phoneticPr fontId="2"/>
  </si>
  <si>
    <t>中央 → App アカウント</t>
    <phoneticPr fontId="2"/>
  </si>
  <si>
    <t>Public CloudFront URL</t>
    <phoneticPr fontId="2"/>
  </si>
  <si>
    <t>権限不要</t>
    <phoneticPr fontId="2"/>
  </si>
  <si>
    <t>probe → OAuth /token</t>
    <phoneticPr fontId="2"/>
  </si>
  <si>
    <t>中央 → 認証基盤</t>
    <phoneticPr fontId="2"/>
  </si>
  <si>
    <t>Public URL</t>
    <phoneticPr fontId="2"/>
  </si>
  <si>
    <t>probe 自体はクロスアカウント権限を要さない（実ユーザーと同じ Public 経路）。権限が要るのは巡回の読み取りだけ。台帳への書き込みは中央アカウント内のみ</t>
    <phoneticPr fontId="2"/>
  </si>
  <si>
    <t>3. DiscoveryReadRole の設計</t>
    <phoneticPr fontId="2"/>
  </si>
  <si>
    <t>【図12 クロスアカウント IAM の関係 挿入位置】</t>
    <phoneticPr fontId="2"/>
  </si>
  <si>
    <t>描くべき内容: DiscoveryLambdaRole → 各 App の DiscoveryReadRole（codecommit read-only・信頼先 1 本・ExternalId）への AssumeRole 1 種のみ。StackSets の全アカウント同一名配布、CentralProbeRole / alert-router-lambda-role の権限範囲、台帳書き込みが中央アカウント内のみであること</t>
    <phoneticPr fontId="2"/>
  </si>
  <si>
    <t>各 App アカウントに読み取り専用ロールを 1 つ配布し、中央の発見 Lambda だけが引き受けられるようにする</t>
    <phoneticPr fontId="2"/>
  </si>
  <si>
    <t>// 権限（App アカウント側、read-only 最小）</t>
    <phoneticPr fontId="2"/>
  </si>
  <si>
    <t>"Version": "2012-10-17",</t>
    <phoneticPr fontId="2"/>
  </si>
  <si>
    <t>"Statement": [{</t>
    <phoneticPr fontId="2"/>
  </si>
  <si>
    <t>"Effect": "Allow",</t>
    <phoneticPr fontId="2"/>
  </si>
  <si>
    <t>"Action": [</t>
    <phoneticPr fontId="2"/>
  </si>
  <si>
    <t>"codecommit:ListRepositories",</t>
    <phoneticPr fontId="2"/>
  </si>
  <si>
    <t>"codecommit:GetBranch",        // 先端コミット ID</t>
    <phoneticPr fontId="2"/>
  </si>
  <si>
    <t>"codecommit:GetCommit",</t>
    <phoneticPr fontId="2"/>
  </si>
  <si>
    <t>"codecommit:GetDifferences",   // 変更パス（モノレポのアプリ特定）</t>
    <phoneticPr fontId="2"/>
  </si>
  <si>
    <t>"codecommit:GetFile"           // monitoring.yaml / openapi.yaml 取得</t>
    <phoneticPr fontId="2"/>
  </si>
  <si>
    <t>],</t>
    <phoneticPr fontId="2"/>
  </si>
  <si>
    <t>"Resource": "*"</t>
    <phoneticPr fontId="2"/>
  </si>
  <si>
    <t>}]</t>
    <phoneticPr fontId="2"/>
  </si>
  <si>
    <t>// 信頼ポリシー（引受け元を発見 Lambda ロールに限定 + ExternalId）</t>
    <phoneticPr fontId="2"/>
  </si>
  <si>
    <t>"Principal": { "AWS": "arn:aws:iam::&lt;common-platform-acct&gt;:role/DiscoveryLambdaRole" },</t>
    <phoneticPr fontId="2"/>
  </si>
  <si>
    <t>"Action": "sts:AssumeRole",</t>
    <phoneticPr fontId="2"/>
  </si>
  <si>
    <t>"Condition": { "StringEquals": { "sts:ExternalId": "auth-impl-discovery" } }</t>
    <phoneticPr fontId="2"/>
  </si>
  <si>
    <t>・read-only（codecommit 読み取り）のみ。漏洩時の影響はソースコードの閲覧（変更・削除・実行は不可）。ソース閲覧自体が機微なため、信頼先限定・ExternalId・CloudTrail での AssumeRole 監査を必須とする</t>
    <phoneticPr fontId="2"/>
  </si>
  <si>
    <t>・信頼先を発見 Lambda のロール 1 本に限定 + ExternalId（confused deputy 防止）</t>
    <phoneticPr fontId="2"/>
  </si>
  <si>
    <t>・全 App アカウントで同一ロール名（DiscoveryReadRole）にし、発見 Lambda は arn:aws:iam::{accountId}:role/DiscoveryReadRole を機械的に組み立てて AssumeRole</t>
    <phoneticPr fontId="2"/>
  </si>
  <si>
    <t>・対象リポジトリを絞りたい場合は Resource を命名規約（例 arn:aws:codecommit:*:*:*-api）で限定可能（M-Q-16-3）</t>
    <phoneticPr fontId="2"/>
  </si>
  <si>
    <t>4. 必要な IAM 一覧</t>
    <phoneticPr fontId="2"/>
  </si>
  <si>
    <t>ロール</t>
    <phoneticPr fontId="2"/>
  </si>
  <si>
    <t>使い手</t>
    <phoneticPr fontId="2"/>
  </si>
  <si>
    <t>DiscoveryLambdaRole</t>
    <phoneticPr fontId="2"/>
  </si>
  <si>
    <t>CentralProbeRole</t>
    <phoneticPr fontId="2"/>
  </si>
  <si>
    <t>s3:GetObject・ListBucket（Monitoring Registry：台帳 + spec）/ secretsmanager:GetSecretValue / cloudwatch:PutMetricData / lambda:InvokeFunction（Alert Router）</t>
    <phoneticPr fontId="2"/>
  </si>
  <si>
    <t>alert-router-lambda-role</t>
    <phoneticPr fontId="2"/>
  </si>
  <si>
    <t>s3:GetObject（registry/*、alertRouting 解決）/ sns:Publish</t>
    <phoneticPr fontId="2"/>
  </si>
  <si>
    <t>各 App アカウント（StackSets 配布）</t>
    <phoneticPr fontId="2"/>
  </si>
  <si>
    <t>中央の発見 Lambda（AssumeRole）</t>
    <phoneticPr fontId="2"/>
  </si>
  <si>
    <t>codecommit:ListRepositories / GetBranch / GetCommit / GetDifferences / GetFile（read-only）</t>
    <phoneticPr fontId="2"/>
  </si>
  <si>
    <t>App アカウント側に置くのは読み取りロール 1 つだけ</t>
    <phoneticPr fontId="2"/>
  </si>
  <si>
    <t>5. 配布（StackSets）</t>
    <phoneticPr fontId="2"/>
  </si>
  <si>
    <t>配布物</t>
    <phoneticPr fontId="2"/>
  </si>
  <si>
    <t>CloudFormation StackSets（Organizations 連携・自動デプロイ）</t>
    <phoneticPr fontId="2"/>
  </si>
  <si>
    <t>新規アカウント作成時も自動で配布 → 巡回が即座に読める</t>
    <phoneticPr fontId="2"/>
  </si>
  <si>
    <t>Portfolio 共有（Organizations / RAM）</t>
    <phoneticPr fontId="2"/>
  </si>
  <si>
    <t>認証必須 / Origin Protection / タグの「守られた API の型」</t>
    <phoneticPr fontId="2"/>
  </si>
  <si>
    <t>6. 台帳の書き込み権限（中央のみ）</t>
    <phoneticPr fontId="2"/>
  </si>
  <si>
    <t>書き手</t>
    <phoneticPr fontId="2"/>
  </si>
  <si>
    <t>同一アカウント内 PutObject</t>
    <phoneticPr fontId="2"/>
  </si>
  <si>
    <t>s3:PutObject（registry/* / openapi/* プレフィックス限定）</t>
    <phoneticPr fontId="2"/>
  </si>
  <si>
    <t>共通基盤チーム（手動）</t>
    <phoneticPr fontId="2"/>
  </si>
  <si>
    <t>コンソール / CLI で JSON 更新</t>
    <phoneticPr fontId="2"/>
  </si>
  <si>
    <t>同上（alertRouting 設定・enabled 切替）</t>
    <phoneticPr fontId="2"/>
  </si>
  <si>
    <t>App アカウント側からの書き込み経路は存在しない。バケットは Versioning 有効なので誤更新は履歴から戻せる</t>
    <phoneticPr fontId="2"/>
  </si>
  <si>
    <t>7. VPC 外配置の判断（NW-2 例外の明示受容と代償統制）</t>
    <phoneticPr fontId="2"/>
  </si>
  <si>
    <t>構成</t>
    <phoneticPr fontId="2"/>
  </si>
  <si>
    <t>Lambda 3 本はすべて VPC 外（Lambda マネージド網）に配置する</t>
    <phoneticPr fontId="2"/>
  </si>
  <si>
    <t>得られる簡素化</t>
    <phoneticPr fontId="2"/>
  </si>
  <si>
    <t>VPC / サブネット / ENI 管理・Interface VPC Endpoint 群・TGW Attachment・NAT 依存・NWFW への許可ドメイン申請（アプリ追加のたび）がすべて不要</t>
    <phoneticPr fontId="2"/>
  </si>
  <si>
    <t>例外の内容</t>
    <phoneticPr fontId="2"/>
  </si>
  <si>
    <t>例外が許容できる理由</t>
    <phoneticPr fontId="2"/>
  </si>
  <si>
    <t>代償統制</t>
    <phoneticPr fontId="2"/>
  </si>
  <si>
    <t>宛先 allowlist をコードで強制（probe の接続先は App Registry の baseUrl と設定済み token URL のみ。任意 URL を受け取る口を作らない）+ IAM 最小権限 + CloudTrail / Lambda ログで監査</t>
    <phoneticPr fontId="2"/>
  </si>
  <si>
    <t>承認</t>
    <phoneticPr fontId="2"/>
  </si>
  <si>
    <t>NW-2 の例外としてセキュリティ / 他組織（境界管理側）への明示的な承認を得る（M-Q-10-3。未決）</t>
    <phoneticPr fontId="2"/>
  </si>
  <si>
    <t>・経路 A はインバウンド境界（CloudFront + WAF）を実ユーザーと同じ向きで通過する（Origin Protection を破らない検査）。In 側はバイパスしない</t>
    <phoneticPr fontId="2"/>
  </si>
  <si>
    <t>・経路 C / D は AWS API・AWS 網内であり、インターネット境界（In / Out とも）は無関係</t>
    <phoneticPr fontId="2"/>
  </si>
  <si>
    <t>・Phase 2では認証実装チェック Lambda のみ VPC 化が必要になる。発見 Lambda と Alert Router は Phase 2 でも VPC 外のまま</t>
    <phoneticPr fontId="2"/>
  </si>
  <si>
    <t>8. Positive トークンの管理（共通クライアント資格情報 + 短命トークン）</t>
    <phoneticPr fontId="2"/>
  </si>
  <si>
    <t>【図13 Positive トークンの発行フロー 挿入位置】</t>
    <phoneticPr fontId="2"/>
  </si>
  <si>
    <t>描くべき内容: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</si>
  <si>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Positive probe（valid token → 200 期待）に使う認証情報は、静的な長寿命トークンを持たない。共通の OAuth クライアント資格情報を 1 つだけ持ち、実行ごとに短命トークンを発行する</t>
    <phoneticPr fontId="2"/>
  </si>
  <si>
    <t>認証基盤(Keycloak) に canary 専用サービスアカウント "api-canary-probe" を 1 つ</t>
    <phoneticPr fontId="2"/>
  </si>
  <si>
    <t>└ client_id/secret → Secrets Manager（共通基盤アカウント）に保管</t>
    <phoneticPr fontId="2"/>
  </si>
  <si>
    <t>└ GetSecretValue できるのは 認証実装チェック Lambda の IAM ロールのみ</t>
    <phoneticPr fontId="2"/>
  </si>
  <si>
    <t>【1 回の probe 実行ごと】</t>
    <phoneticPr fontId="2"/>
  </si>
  <si>
    <t>認証実装チェック Lambda → Keycloak /token（client_credentials grant）</t>
    <phoneticPr fontId="2"/>
  </si>
  <si>
    <t>→ 短命アクセストークン（5〜15 分）取得 → Positive probe に使用 → 破棄</t>
    <phoneticPr fontId="2"/>
  </si>
  <si>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phoneticPr fontId="2"/>
  </si>
  <si>
    <t>対策</t>
    <phoneticPr fontId="2"/>
  </si>
  <si>
    <t>漏洩しにくく</t>
    <phoneticPr fontId="2"/>
  </si>
  <si>
    <t>保管</t>
    <phoneticPr fontId="2"/>
  </si>
  <si>
    <t>client_secret は Secrets Manager のみ（環境変数・コード埋込・ログ出力禁止＝05 OBS-3）</t>
    <phoneticPr fontId="2"/>
  </si>
  <si>
    <t>アクセス</t>
    <phoneticPr fontId="2"/>
  </si>
  <si>
    <t>認証実装チェック Lambda ロールだけが secretsmanager:GetSecretValue（最小 IAM）</t>
    <phoneticPr fontId="2"/>
  </si>
  <si>
    <t>ローテ</t>
    <phoneticPr fontId="2"/>
  </si>
  <si>
    <t>自動ローテーション（30/90 日、Secrets Manager rotation）</t>
    <phoneticPr fontId="2"/>
  </si>
  <si>
    <t>中央アカウントからの egress のみ・TLS</t>
    <phoneticPr fontId="2"/>
  </si>
  <si>
    <t>影響を小さく</t>
    <phoneticPr fontId="2"/>
  </si>
  <si>
    <t>最小権限</t>
    <phoneticPr fontId="2"/>
  </si>
  <si>
    <t>canary クライアントは読み取り専用・最小スコープ（管理者でも書込でもない）</t>
    <phoneticPr fontId="2"/>
  </si>
  <si>
    <t>短 TTL</t>
    <phoneticPr fontId="2"/>
  </si>
  <si>
    <t>トークンは数分で失効 → 捕捉されてもすぐ死ぬ</t>
    <phoneticPr fontId="2"/>
  </si>
  <si>
    <t>GET 限定</t>
    <phoneticPr fontId="2"/>
  </si>
  <si>
    <t>Positive は GET のみ</t>
    <phoneticPr fontId="2"/>
  </si>
  <si>
    <t>即失効</t>
    <phoneticPr fontId="2"/>
  </si>
  <si>
    <t>発火元は中央アカウントの既知プリンシパル → 異常利用検知でクライアント無効化</t>
    <phoneticPr fontId="2"/>
  </si>
  <si>
    <t>レベル</t>
    <phoneticPr fontId="2"/>
  </si>
  <si>
    <t>canary スコープ</t>
    <phoneticPr fontId="2"/>
  </si>
  <si>
    <t>漏洩時の影響</t>
    <phoneticPr fontId="2"/>
  </si>
  <si>
    <t>全 API 横断の読み取り専用</t>
    <phoneticPr fontId="2"/>
  </si>
  <si>
    <t>canary として read-only GET が可能（中程度）</t>
    <phoneticPr fontId="2"/>
  </si>
  <si>
    <t>Phase 1 採用</t>
    <phoneticPr fontId="2"/>
  </si>
  <si>
    <t>canary 専用テナント / 合成データのみ読める</t>
    <phoneticPr fontId="2"/>
  </si>
  <si>
    <t>実データに一切届かない（最小）</t>
    <phoneticPr fontId="2"/>
  </si>
  <si>
    <t>目標（認証基盤 Keycloak のロール設計へ引き渡し、M-Q-11-4）</t>
    <phoneticPr fontId="2"/>
  </si>
  <si>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phoneticPr fontId="2"/>
  </si>
  <si>
    <t>9. 通知先 ARN の解決（2 段）</t>
    <phoneticPr fontId="2"/>
  </si>
  <si>
    <t>順</t>
    <phoneticPr fontId="2"/>
  </si>
  <si>
    <t>解決元</t>
    <phoneticPr fontId="2"/>
  </si>
  <si>
    <t>App Registry（S3 台帳）の alertRouting {p1,p2,p3}</t>
    <phoneticPr fontId="2"/>
  </si>
  <si>
    <t>registry/{appId}/{env}.json の GetObject で引く</t>
    <phoneticPr fontId="2"/>
  </si>
  <si>
    <t>環境変数 DEFAULT_P1/P2/P3_TOPIC_ARN</t>
    <phoneticPr fontId="2"/>
  </si>
  <si>
    <t>台帳に無ければ fallback</t>
    <phoneticPr fontId="2"/>
  </si>
  <si>
    <t>（未解決）</t>
    <phoneticPr fontId="2"/>
  </si>
  <si>
    <t>どちらも無ければ ARN 未解決エラー → throw（DLQ / retry で可視化）</t>
    <phoneticPr fontId="2"/>
  </si>
  <si>
    <t>Alert イベント自体には SNS ARN が含まれない。アプリ個別の通知先（alertRouting）と全社デフォルト（環境変数）の 2 段構え</t>
    <phoneticPr fontId="2"/>
  </si>
  <si>
    <t>通知メッセージ: Subject = どのアプリ・どの endpoint で何が起きたか / Body = negStatus・posStatus、reason、対応 SLA（P1 即時・P2 24h・P3 通常）/ MessageAttributes = severity・priority・appId・env（SNS フィルタ用）</t>
    <phoneticPr fontId="2"/>
  </si>
  <si>
    <t>10. 分類 → 通知先・SLA</t>
    <phoneticPr fontId="2"/>
  </si>
  <si>
    <t>routingKey</t>
    <phoneticPr fontId="2"/>
  </si>
  <si>
    <t>SLA</t>
    <phoneticPr fontId="2"/>
  </si>
  <si>
    <t>典型</t>
    <phoneticPr fontId="2"/>
  </si>
  <si>
    <t>p1</t>
    <phoneticPr fontId="2"/>
  </si>
  <si>
    <t>即時</t>
    <phoneticPr fontId="2"/>
  </si>
  <si>
    <t>認証 missing（Neg=2xx）</t>
    <phoneticPr fontId="2"/>
  </si>
  <si>
    <t>p2</t>
    <phoneticPr fontId="2"/>
  </si>
  <si>
    <t>Platform チーム</t>
    <phoneticPr fontId="2"/>
  </si>
  <si>
    <t>24h</t>
    <phoneticPr fontId="2"/>
  </si>
  <si>
    <t>token 失効 / endpoint 不在</t>
    <phoneticPr fontId="2"/>
  </si>
  <si>
    <t>p3</t>
    <phoneticPr fontId="2"/>
  </si>
  <si>
    <t>通常</t>
    <phoneticPr fontId="2"/>
  </si>
  <si>
    <t>Backend バグ（Pos=5xx）</t>
    <phoneticPr fontId="2"/>
  </si>
  <si>
    <t>正常</t>
    <phoneticPr fontId="2"/>
  </si>
  <si>
    <t>アプリチーム向け手順</t>
    <phoneticPr fontId="2"/>
  </si>
  <si>
    <t>1. やること 3 点</t>
    <phoneticPr fontId="2"/>
  </si>
  <si>
    <t>手順</t>
    <phoneticPr fontId="2"/>
  </si>
  <si>
    <t>やること</t>
    <phoneticPr fontId="2"/>
  </si>
  <si>
    <t>かんたんな説明</t>
    <phoneticPr fontId="2"/>
  </si>
  <si>
    <t>Service Catalog で製品を launch する</t>
    <phoneticPr fontId="2"/>
  </si>
  <si>
    <t>リポジトリの直下に monitoring.yaml を置く</t>
    <phoneticPr fontId="2"/>
  </si>
  <si>
    <t>OpenAPI に公開印を付ける</t>
    <phoneticPr fontId="2"/>
  </si>
  <si>
    <t>2. アプリチームがやらなくてよいこと</t>
    <phoneticPr fontId="2"/>
  </si>
  <si>
    <t>理由</t>
    <phoneticPr fontId="2"/>
  </si>
  <si>
    <t>監視対象への登録作業・登録用のコード</t>
    <phoneticPr fontId="2"/>
  </si>
  <si>
    <t>OpenAPI の中央へのアップロード</t>
    <phoneticPr fontId="2"/>
  </si>
  <si>
    <t>通知先（SNS ARN）の設定</t>
    <phoneticPr fontId="2"/>
  </si>
  <si>
    <t>監視の一時停止（enabled）</t>
    <phoneticPr fontId="2"/>
  </si>
  <si>
    <t>endpoint を追加したときの監視設定</t>
    <phoneticPr fontId="2"/>
  </si>
  <si>
    <t>3. monitoring.yaml テンプレート</t>
    <phoneticPr fontId="2"/>
  </si>
  <si>
    <t>authPattern: api-gw-jwt                # 検査方式（enum）</t>
    <phoneticPr fontId="2"/>
  </si>
  <si>
    <t>書き方の注意</t>
    <phoneticPr fontId="2"/>
  </si>
  <si>
    <t>書き忘れ・間違いのとき</t>
    <phoneticPr fontId="2"/>
  </si>
  <si>
    <t>ファイルそのもの</t>
    <phoneticPr fontId="2"/>
  </si>
  <si>
    <t>4. OpenAPI の公開印（MON-1）</t>
    <phoneticPr fontId="2"/>
  </si>
  <si>
    <t>x-synthetics-skip-auth-check: true   # ← 公開（認証不要）の endpoint に必ず付ける</t>
    <phoneticPr fontId="2"/>
  </si>
  <si>
    <t>5. コミットしてから監視されるまで</t>
    <phoneticPr fontId="2"/>
  </si>
  <si>
    <t>起きること</t>
    <phoneticPr fontId="2"/>
  </si>
  <si>
    <t>かかる時間</t>
    <phoneticPr fontId="2"/>
  </si>
  <si>
    <t>コミットする（静的解析を通す）</t>
    <phoneticPr fontId="2"/>
  </si>
  <si>
    <t>中央の巡回がコミットの変化に気づき、台帳と OpenAPI を自動で取り込む</t>
    <phoneticPr fontId="2"/>
  </si>
  <si>
    <t>最大 1 時間</t>
    <phoneticPr fontId="2"/>
  </si>
  <si>
    <t>そのアプリの全 endpoint に対して検査（未認証検査 + 正規検査）が走る</t>
    <phoneticPr fontId="2"/>
  </si>
  <si>
    <t>上記の直後</t>
    <phoneticPr fontId="2"/>
  </si>
  <si>
    <t>問題があれば分類され、担当チームへ通知される（P1 Security 即時 / P2 Platform 24h / P3 App team 通常）</t>
    <phoneticPr fontId="2"/>
  </si>
  <si>
    <t>動的発見が Pattern β に必須、定期実行は不要</t>
    <phoneticPr fontId="2"/>
  </si>
  <si>
    <t>「認証漏れ」を運用に即時可視化</t>
    <phoneticPr fontId="2"/>
  </si>
  <si>
    <t>台帳ストアは S3。DynamoDB は不使用</t>
    <phoneticPr fontId="2"/>
  </si>
  <si>
    <t>未決事項（M-Q-* / BD-Q-*）</t>
    <phoneticPr fontId="2"/>
  </si>
  <si>
    <t>本シートは未決事項のみを収める。決定事項（D-M-*）は「10_設計判断一覧」シート。未決は未決のまま記載し、確定した設計としては書かない。担当・期限は未定のため空欄（記入用）。</t>
    <phoneticPr fontId="2"/>
  </si>
  <si>
    <t>期限</t>
    <phoneticPr fontId="2"/>
  </si>
  <si>
    <t>BD-Q-01</t>
    <phoneticPr fontId="2"/>
  </si>
  <si>
    <t>ROSA 側 P-18（監査アカウント他組織管理）確定時の責任分界 / probe 先経路の改訂</t>
    <phoneticPr fontId="2"/>
  </si>
  <si>
    <t>M-Q-10-1</t>
    <phoneticPr fontId="2"/>
  </si>
  <si>
    <t>Central 障害時の Multilocation（DR region replica）採否</t>
    <phoneticPr fontId="2"/>
  </si>
  <si>
    <t>M-Q-10-2</t>
    <phoneticPr fontId="2"/>
  </si>
  <si>
    <t>full-run（SAM local / 実 AWS）の実施タイミング</t>
    <phoneticPr fontId="2"/>
  </si>
  <si>
    <t>M-Q-10-3</t>
    <phoneticPr fontId="2"/>
  </si>
  <si>
    <t>NW-2 例外（VPC 外 Lambda の Egress が NWFW 非経由）の明示的承認をセキュリティ / 境界管理の他組織から取得</t>
    <phoneticPr fontId="2"/>
  </si>
  <si>
    <t>M-Q-11-2</t>
    <phoneticPr fontId="2"/>
  </si>
  <si>
    <t>SigV4 Positive（api-gw-iam）の実装（@aws-sdk/signature-v4 手動署名、Phase 2）</t>
    <phoneticPr fontId="2"/>
  </si>
  <si>
    <t>M-Q-11-3</t>
    <phoneticPr fontId="2"/>
  </si>
  <si>
    <t>Cookie モノリス Positive（Puppeteer ログイン）の実装</t>
    <phoneticPr fontId="2"/>
  </si>
  <si>
    <t>M-Q-11-4</t>
    <phoneticPr fontId="2"/>
  </si>
  <si>
    <t>Positive トークン スコープ B（canary 専用テナント / 合成データ）の設計（認証基盤 Keycloak へ引き渡し）。Phase 1 は A、機微データ API から B へ移行</t>
    <phoneticPr fontId="2"/>
  </si>
  <si>
    <t>M-Q-12-1</t>
    <phoneticPr fontId="2"/>
  </si>
  <si>
    <t>alertRouting を全アプリ個別指定か、env 既定 + 上書きか</t>
    <phoneticPr fontId="2"/>
  </si>
  <si>
    <t>M-Q-12-2</t>
    <phoneticPr fontId="2"/>
  </si>
  <si>
    <t>バケットのバックアップ方針（Versioning は有効。加えてレプリケーション要否）</t>
    <phoneticPr fontId="2"/>
  </si>
  <si>
    <t>M-Q-12-3</t>
    <phoneticPr fontId="2"/>
  </si>
  <si>
    <t>probe lib lib/registry.js の S3 対応改修（DynamoDB Scan → S3 List/Get。M-Q-17-4 発見 Lambda 実装と同時に）+ 手動更新との競合対策（ETag 条件付き PUT）</t>
    <phoneticPr fontId="2"/>
  </si>
  <si>
    <t>OpenAPI を持たないレガシー API の扱い</t>
  </si>
  <si>
    <t>M-Q-13-2</t>
    <phoneticPr fontId="2"/>
  </si>
  <si>
    <t>S3 Object Lock（改ざん防止）の要否</t>
    <phoneticPr fontId="2"/>
  </si>
  <si>
    <t>M-Q-13-3</t>
    <phoneticPr fontId="2"/>
  </si>
  <si>
    <t>probe の S3Client に forcePathStyle 相当のテスト用オプションを持たせるか（本番不要）</t>
    <phoneticPr fontId="2"/>
  </si>
  <si>
    <t>M-Q-14-1</t>
    <phoneticPr fontId="2"/>
  </si>
  <si>
    <t>SigV4 Positive / Cookie Positive / cleanup 実行の実装（Phase 2）</t>
    <phoneticPr fontId="2"/>
  </si>
  <si>
    <t>M-Q-14-2</t>
    <phoneticPr fontId="2"/>
  </si>
  <si>
    <t>Multilocation（DR region replica）採否（Central 障害耐性）</t>
    <phoneticPr fontId="2"/>
  </si>
  <si>
    <t>M-Q-14-3</t>
    <phoneticPr fontId="2"/>
  </si>
  <si>
    <t>authPattern 追加時の probe.js 拡張方針</t>
    <phoneticPr fontId="2"/>
  </si>
  <si>
    <t>M-Q-15-1</t>
    <phoneticPr fontId="2"/>
  </si>
  <si>
    <t>SNS の先（PagerDuty / Slack / メール）の接続方式</t>
    <phoneticPr fontId="2"/>
  </si>
  <si>
    <t>M-Q-15-2</t>
    <phoneticPr fontId="2"/>
  </si>
  <si>
    <t>P1 の自動 deny / rollback 連動の要否</t>
    <phoneticPr fontId="2"/>
  </si>
  <si>
    <t>M-Q-15-3</t>
    <phoneticPr fontId="2"/>
  </si>
  <si>
    <t>誤検知抑制（同一 endpoint の連続アラート抑制 / dedup）</t>
    <phoneticPr fontId="2"/>
  </si>
  <si>
    <t>M-Q-16-1</t>
    <phoneticPr fontId="2"/>
  </si>
  <si>
    <t>DiscoveryReadRole の配布対象範囲</t>
    <phoneticPr fontId="2"/>
  </si>
  <si>
    <t>M-Q-16-2</t>
    <phoneticPr fontId="2"/>
  </si>
  <si>
    <t>発見 Lambda の並列度・スロットリング（アカウント数増加時の API コール制御）</t>
    <phoneticPr fontId="2"/>
  </si>
  <si>
    <t>M-Q-16-3</t>
    <phoneticPr fontId="2"/>
  </si>
  <si>
    <t>DiscoveryReadRole の Resource をリポジトリ命名規約（例 arn:aws:codecommit:*:*:*-api）で限定するか</t>
    <phoneticPr fontId="2"/>
  </si>
  <si>
    <t>M-Q-17-1</t>
    <phoneticPr fontId="2"/>
  </si>
  <si>
    <t>SCP 強制（製品外の API GW 作成・変更禁止）の採否 — git 単独検知の穴を入口で塞ぐ鍵</t>
    <phoneticPr fontId="2"/>
  </si>
  <si>
    <t>M-Q-17-2</t>
    <phoneticPr fontId="2"/>
  </si>
  <si>
    <t>対象アカウントの範囲指定（Organizations 全体 / 特定 OU / 明示リスト）</t>
    <phoneticPr fontId="2"/>
  </si>
  <si>
    <t>M-Q-17-3</t>
    <phoneticPr fontId="2"/>
  </si>
  <si>
    <t>API リポジトリの判定規約（命名規約 *-api 等）と monitoring.yaml 置き忘れ検出の運用</t>
    <phoneticPr fontId="2"/>
  </si>
  <si>
    <t>M-Q-17-4</t>
    <phoneticPr fontId="2"/>
  </si>
  <si>
    <t>発見 Lambda の実装 + PoC（Phase 3/4。CodeCommit GetDifferences / GetFile のページング・レート制御含む）</t>
    <phoneticPr fontId="2"/>
  </si>
  <si>
    <t>M-Q-17-5</t>
    <phoneticPr fontId="2"/>
  </si>
  <si>
    <t>消滅検知（enabled=false 化）とアプリ廃止手続きの運用整合</t>
    <phoneticPr fontId="2"/>
  </si>
  <si>
    <t>M-Q-17-6</t>
    <phoneticPr fontId="2"/>
  </si>
  <si>
    <t>リポジトリ内 openapi.yaml と本番デプロイの drift 検出（M3 実測 404 で顕在化はするが、能動検出の要否）</t>
    <phoneticPr fontId="2"/>
  </si>
  <si>
    <t>M-Q-18-1</t>
    <phoneticPr fontId="2"/>
  </si>
  <si>
    <t>M2 の重要 endpoint 定義（アプリチームと会話）+ 追加時期。定義できたら x-canary-heartbeat: true アノテーション + Synthetics canary で実装</t>
    <phoneticPr fontId="2"/>
  </si>
  <si>
    <t>M-Q-18-3</t>
    <phoneticPr fontId="2"/>
  </si>
  <si>
    <t>M3 手動実行の権限・実行者（共通基盤チームのみか、アプリチームも自アプリを回せるか）</t>
    <phoneticPr fontId="2"/>
  </si>
  <si>
    <t>結論</t>
    <phoneticPr fontId="2"/>
  </si>
  <si>
    <t>M-Q-18-2</t>
    <phoneticPr fontId="2"/>
  </si>
  <si>
    <t>M1 トリガの確定</t>
    <phoneticPr fontId="2"/>
  </si>
  <si>
    <t>解決: 中央巡回（pull、1h）に統一（ADR-061）</t>
    <phoneticPr fontId="2"/>
  </si>
  <si>
    <t>M-Q-18-4</t>
    <phoneticPr fontId="2"/>
  </si>
  <si>
    <t>モノリスの変更を M3 で補う</t>
    <phoneticPr fontId="2"/>
  </si>
  <si>
    <t>解消: git 巡回でモノリスも自動発見・自動検知。M3 の役割は「git に現れない変更（コンソール直変更等）の網羅確認」に純化</t>
    <phoneticPr fontId="2"/>
  </si>
  <si>
    <t>注記: 文書情報の作成者・承認者、改訂履歴の担当、および本シートの担当・期限は未定のため空欄とする（記入用）。</t>
    <phoneticPr fontId="2"/>
  </si>
  <si>
    <t>・本書に記載する内容はすべて現行仕様。参照元資料のタイトルと所在は「13_出典一覧」シートにまとめる。</t>
  </si>
  <si>
    <t>ロジックは検証済み。残るは AWS 環境依存の full-run。要 PoC 項目あり</t>
  </si>
  <si>
    <t>注記: 静的解析をすり抜けた認証漏れを、稼働後に ④〜⑧ で捕捉するのが本機構の存在意義。①〜③はライフサイクル、④〜⑤の 1 実行内の詳細は図5 の検査シーケンスに示す。</t>
  </si>
  <si>
    <t>実行基盤は Lambda、実行モードは M1 巡回差分（自動）+ M3 フル監査（手動）。M2 常時 heartbeat は将来とする。</t>
  </si>
  <si>
    <t>本シートは台帳スキーマ・monitoring.yaml 規約・OpenAPI アノテーション・CloudWatch Metrics・4×4 真偽値表・Alert イベント形式のデータ定義を示す。</t>
  </si>
  <si>
    <t>「Negative = 401/403 かつ Positive = 200」のペアが揃って初めて OK。分類結果（severity / priority）は Alert Router と同一ロジックを共有する。</t>
  </si>
  <si>
    <t>エラー処理: probe からの Invoke は単一イベント想定だが配列でも処理（バッチ耐性）。1 件でも失敗したら throw → Lambda 失敗（retry / DLQ 発火）。classify.js と format.js の SEVERITY_META が 4×4 の分類定義を共有する。</t>
  </si>
  <si>
    <t>データ定義はデータ契約を正とし、設計書は意図を説明する</t>
  </si>
  <si>
    <t>分類は 4×4 真偽値表、classify を probe / alert-router で共通化</t>
  </si>
  <si>
    <t>独立テスト + classify の共通化</t>
  </si>
  <si>
    <t>分類ロジックは probe の classify.js と共通化</t>
  </si>
  <si>
    <t>解決済み（参照用）</t>
  </si>
  <si>
    <t>セキュリティ方針 NW-2「Outbound は NWFW ドメインフィルタ経由」の例外となる（監視系の外向き HTTPS が組織の Egress 統制を通らない）</t>
  </si>
  <si>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</si>
  <si>
    <t>関連文書</t>
  </si>
  <si>
    <t>参照元資料のタイトル・所在・パスは「13_出典一覧」シートにまとめる。</t>
  </si>
  <si>
    <t>1. ADR（設計判断の経緯。本文では番号参照のみとし、内容は転記しない）</t>
  </si>
  <si>
    <t>2. 設計要素と実装物の対応</t>
  </si>
  <si>
    <t>設計要素</t>
  </si>
  <si>
    <t>認証実装チェック（probe / classify / emit）</t>
  </si>
  <si>
    <t>未実装（M-Q-17-4）</t>
  </si>
  <si>
    <t>未実装</t>
  </si>
  <si>
    <t>App Registry（台帳 CRUD）</t>
  </si>
  <si>
    <t>app-registry-lambda（旧 push 型の参考実装。ロジックを発見 Lambda に流用予定）</t>
  </si>
  <si>
    <t>現行構成要素ではない</t>
  </si>
  <si>
    <t>OpenAPI Registry（spec 取得）</t>
  </si>
  <si>
    <t>openapi-export-lambda（旧 push 型の参考実装。ロジックを発見 Lambda に流用予定）</t>
  </si>
  <si>
    <t>実行モード M1 / M3</t>
  </si>
  <si>
    <t>実装済み（発見 Lambda 連携は未実装）</t>
  </si>
  <si>
    <t>台帳アクセス（probe 側）</t>
  </si>
  <si>
    <t>central-probe-lib の lib/registry.js</t>
  </si>
  <si>
    <t>S3 改修待ち（M-Q-12-3）</t>
  </si>
  <si>
    <t>本書（Excel）は認証実装確認処理の基本設計そのものであり、本文に出典表記は持たない。内容の元となった資料のタイトル・概要・所在は本シートにまとめ、必要時にたどれるようにする。</t>
  </si>
  <si>
    <t>2. 参照元資料（基本設計書）</t>
  </si>
  <si>
    <t>目的・スコープ、全体骨格、統合構成、AWS リソース構成と通信経路 A〜D、リソース一覧、用語表。→ 02 / 03 / 04 / 05 / 08 シート</t>
  </si>
  <si>
    <t>S3 台帳のキー体系・項目定義・JSON 例、probe 先を CloudFront とする理由、台帳への書き込み権限。→ 07 / 08 シート</t>
  </si>
  <si>
    <t>spec の正本と S3 コピー、公開明示 MON-1（default-deny）、probe 制御アノテーション一覧、新規 endpoint の自動追随。→ 07 / 09 シート</t>
  </si>
  <si>
    <t>probe lib のモジュール構成、モノリス / BFF / Private API 対応、要 PoC 項目、テスト状況。→ 04 シート</t>
  </si>
  <si>
    <t>4×4 分類から P1 / P2 / P3 への振り分け、通知先 ARN の 2 段解決、通知メッセージ、エラー処理。→ 08 シート</t>
  </si>
  <si>
    <t>アカウント分離、DiscoveryReadRole の権限・信頼ポリシー、中央側 3 ロール、StackSets 配布。→ 08 シート</t>
  </si>
  <si>
    <t>巡回フロー、受容した穴 2 つと補完レイヤー、monitoring.yaml 規約、モノリス対応、SCP。→ 05 / 06 / 07 / 09 シート</t>
  </si>
  <si>
    <t>データ契約</t>
  </si>
  <si>
    <t>台帳スキーマ、authPattern enum（6 値）、OpenAPI アノテーション、CloudWatch Metrics、4×4 真偽値表、Alert イベント形式。データ定義はこの資料を正とする。→ 04 / 07 シート</t>
  </si>
  <si>
    <t>静的解析ガイドライン（04-static-analysis-guidelines.md）・セキュリティ（05-security.md）・課金按分（03-billing-cost-allocation-rules.md）は本書から参照のみで、転記対象外。所在は同ディレクトリ。</t>
  </si>
  <si>
    <t>区分 A = 既存の設計図を描き直すもの。区分 B = 本書の表・記述を図化するもの（内容の追加はしない）。</t>
  </si>
  <si>
    <t>アプリチームの作業は 3 点のみ。監視への登録作業はない（中央の機構が自動で発見する）。</t>
  </si>
  <si>
    <t>AppId / Env / CostCenter / Owner を入力して払い出す。この製品には「認証が必ず有効な API」「Origin Protection」「必須タグ」があらかじめ組み込まれている。</t>
  </si>
  <si>
    <t>「このアプリを監視する」という宣言ファイル。リポジトリ直下に置いてコミットすれば監視対象となる。内容は下記 3. のテンプレートのとおり。</t>
  </si>
  <si>
    <t>認証が不要（誰でも呼べる）な endpoint にのみ x-synthetics-skip-auth-check: true を記述する。詳細は下記 4.（MON-1）。</t>
  </si>
  <si>
    <t>中央の発見 Lambda が 1 時間毎にリポジトリを巡回して自動で発見し、台帳に登録する。</t>
  </si>
  <si>
    <t>中央がリポジトリの openapi.yaml を読み取ってコピーする。</t>
  </si>
  <si>
    <t>monitoring.yaml には記述しない。共通基盤チームが台帳側で管理する（未設定の場合は全社デフォルト）。</t>
  </si>
  <si>
    <t>monitoring.yaml には記述しない。台帳側の中央管理とする。</t>
  </si>
  <si>
    <t>OpenAPI を更新してコミットすれば、次回巡回（最大 1 時間）で新しい endpoint も自動で検査対象になる。probe 側の改修は不要。</t>
  </si>
  <si>
    <t>必須。これが監視対象の宣言となる。</t>
  </si>
  <si>
    <t>API リポジトリの命名規約（例: *-api）に該当するのに存在しない場合、メタ不足アラートが発報される。</t>
  </si>
  <si>
    <t>認証方式を enum（6 種）から選択する。</t>
  </si>
  <si>
    <t>既定値 api-gw-jwt が使われ、Negative（未認証検査）のみ実施 + メタ不足アラートが発報される。</t>
  </si>
  <si>
    <t>CloudFront の URL を記述する（API Gateway の直 URL ではない）。</t>
  </si>
  <si>
    <t>検査不能のため、メタ不足アラートが発報される。</t>
  </si>
  <si>
    <t>監視対象はデプロイブランチ（既定 main）のみ。feature ブランチのコミットは対象外。</t>
  </si>
  <si>
    <t>monitoring.yaml はリポジトリ内にあるため、PR レビューで変更管理できる。</t>
  </si>
  <si>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</si>
  <si>
    <t>・「記述がない = 認証必須」とする理由: 「うっかり公開した endpoint」を必ず検知できる側に倒しているため。</t>
  </si>
  <si>
    <t>・公開印は、アプリチームが必ず記述する必要がある唯一の監視用アノテーション（他は任意）。</t>
  </si>
  <si>
    <t>・公開印を付した endpoint も、公開の妥当性は別途セキュリティレビューの対象とする（棚卸しは中央が実施）。</t>
  </si>
  <si>
    <t>4×4 分類 → SNS routing。LocalStack 3.8.1 で台帳から alertRouting.p1 を解決し SNS Publish まで検証済み</t>
  </si>
  <si>
    <t>静的解析ルール（cfn-guard 3 + Semgrep 3）</t>
  </si>
  <si>
    <t>フィクスチャ検証済み</t>
  </si>
  <si>
    <t>ローカル検証で実バグ 2 件を修正。静的解析自体は本機構のスコープ外（別領域）だが、本設計のローカル検証範囲に含む</t>
  </si>
  <si>
    <t>5. 実装状態（「検証済み」と「未実装」を混同しないための一覧）。本設計は机上でなくローカル環境で実際に走らせて検証している。</t>
  </si>
  <si>
    <t>解説・選択肢（回答記入用）</t>
  </si>
  <si>
    <t>【解説】インターネット境界（CloudFront+WAF）が他組織管理になるかの確定待ち。確定しても中央リソースは自社の共通基盤アカウントにあるため再設計は不要で、probe が境界を通る経路の運用調整のみ発生する。【回答】当方では決められない（ROSA 側 P-18 の確定待ち）。→ 確定日と結果を記入: ＿＿</t>
  </si>
  <si>
    <t>【解説】中央（共通基盤アカウント）が障害になると監視が全停止する。別リージョンに監視系の複製を併走させるか。障害中も「検査が止まるだけ」で本番アプリには影響しない。【選択肢】a) Phase 1 は無し。復旧後に M3 フル監査で追い付く（★）/ b) Phase 2 検討として残す / c) Phase 1 から複製を持つ　【→ 回答: ＿＿】</t>
  </si>
  <si>
    <t>【解説】ローカルで検証済みのロジックを、実 AWS（or SAM）で通しで動かす時期の話。決定事項ではなく実施タイミングのみ。【回答例】「発見 Lambda 実装（M-Q-17-4）完了後に実施」で足りる。【→ 回答: ＿＿】</t>
  </si>
  <si>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</si>
  <si>
    <t>【解説】AWS IAM 認証（SigV4 署名）の API に対する「正しい署名を付けたら通る」側の検査は未実装（Phase 2 計画）。未認証を弾く検査（Negative）は今でも可能。【回答】決定不要（Phase 2 実装タスク）。</t>
  </si>
  <si>
    <t>【解説】Cookie ログイン型アプリ（モノリス/BFF）の「正規ログインしたら見える」側の検査は、ブラウザ自動操作（Puppeteer）の実装が必要で未実装。未ログインを弾く検査（302 確認）は今でも可能。【回答】決定不要（Phase 2 実装タスク）。</t>
  </si>
  <si>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</si>
  <si>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</si>
  <si>
    <t>【解説】実装済みコード registry.js が旧 DynamoDB 読み取りのままで、S3 台帳への切替改修が必要。【回答】決定不要（実装タスク。発見 Lambda 実装 M-Q-17-4 と同時に対応）。</t>
  </si>
  <si>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</si>
  <si>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</si>
  <si>
    <t>【解説】ローカルテスト環境（LocalStack）専用の接続オプションをコードに持たせるかという実装細目。本番動作には無関係。【回答】決定不要（実装時に判断）。</t>
  </si>
  <si>
    <t>【解説】M-Q-11-2 / 11-3 と同じ Phase 2 実装群（SigV4 検査・Cookie ログイン検査・検査後のデータ後始末処理）。【回答】決定不要（Phase 2 実装タスク）。</t>
  </si>
  <si>
    <t>【解説】M-Q-10-1 と同一論点（重複）。回答は M-Q-10-1 に合わせる。【→ 回答: M-Q-10-1 と同じ】</t>
  </si>
  <si>
    <t>【解説】将来、新しい認証方式（authPattern）が増えたときに検査コードをどう拡張するかの方針メモ。【回答】決定不要（実装ガイドラインとして実装時に整備）。</t>
  </si>
  <si>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</si>
  <si>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</si>
  <si>
    <t>【解説】同じ認証漏れが直らない間、1 時間ごとの巡回のたびに同じアラートが再送される。同一内容を一定時間抑制（dedup）するか。【選択肢】a) 同一 アプリ×endpoint×重大度 は 24h 抑制 / b) 抑制なし（毎回発報）/ 補足: 通知先チームの希望も影響するため要ヒアリング（暫定: ヒアリング後に決定 ★）【→ 回答: ＿＿】</t>
  </si>
  <si>
    <t>【解説】読み取りロール（DiscoveryReadRole）を StackSets でどの範囲のアカウントに配るか。M-Q-17-2 の巡回対象範囲と同じ回答になる。【選択肢】a) アプリ系 OU のみ（★・暫定回答済み）/ b) Organizations 全体 / c) 明示リスト　【→ 回答: ＿＿】</t>
  </si>
  <si>
    <t>【解説】アカウント数が増えたときの巡回 API 呼び出しの流量制御（並列数・リトライ）。【回答】決定不要（実装タスク）。</t>
  </si>
  <si>
    <t>【解説】読み取りロールが読めるリポジトリを命名規約（例 *-api）で絞るか、アカウント内全リポジトリ可にするか。絞ると安全だが、規約外リポジトリは巡回に映らなくなる。M-Q-17-3 の命名規約の決定に依存。【選択肢】a) 全リポジトリ読み取り可（発見漏れ優先 ★）/ b) 命名規約で Resource を限定（最小権限優先）【→ 回答: ＿＿】</t>
  </si>
  <si>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Rules+M3 で運用（★・暫定回答済み）/ c) 導入しない　【→ 回答: ＿＿】</t>
  </si>
  <si>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</si>
  <si>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</si>
  <si>
    <t>【解説】中核コンポーネント「発見 Lambda」の実装と PoC。設計は確定済みで残るは実装のみ。【回答】決定不要（Phase 3/4 実装タスク）。</t>
  </si>
  <si>
    <t>【解説】アプリ廃止時の流れ。リポジトリ削除を巡回が検知→監視停止(enabled=false)+棚卸しアラート→人が確認して台帳から削除、という運用で良いか。【回答例】「検知→enabled=false→30 日棚卸し→手動削除」を標準運用とする。【→ 回答: ＿＿】</t>
  </si>
  <si>
    <t>【解説】リポジトリの API 仕様書と本番の実態のズレ（デプロイ忘れ等）を、能動的に突合して検出するか。現状でも検査時に 404/警告として自然に表面化する。【選択肢】a) 能動検出しない（実測での顕在化に任せる ★）/ b) M3 実行時に本番 API 定義と突合する　【→ 回答: ＿＿】</t>
  </si>
  <si>
    <t>【解説】将来モード M2（重要 endpoint だけ常時ヘルスチェック）の話。どの endpoint が「重要」かはアプリチームと会話しないと決められないため保留中。【回答】決定不要（Phase 2。アプリヒアリング後）。</t>
  </si>
  <si>
    <t>【解説】手動フル監査（M3）を実行できる人の範囲。【選択肢】a) 共通基盤チームのみ（★・暫定回答済み）/ b) アプリチームも自アプリ分のみ実行可　【→ 回答: ＿＿】</t>
  </si>
  <si>
    <t>解決: M1=巡回差分（1h）/ M3=手動の 2 モードに再設計済みで、定期 probe 自体が存在しない（ADR-061）</t>
  </si>
  <si>
    <t>解消: monitoring.yaml に endpoint リストを直接列挙して代替可</t>
  </si>
  <si>
    <t>アプリチームに認証を実装させたうえで、その実装漏れを中央で継続検知する仕組み（＝認証実装確認処理）の詳細設計。ガイドライン章が「アプリチームが守るルール」を定めるのに対し、本書は共通基盤チームが運用する中央機構を定める。</t>
  </si>
  <si>
    <t>Private は probe 用 VPC + TGW（Phase 2）</t>
  </si>
  <si>
    <t>要 PoC 項目をコード内 TODO + 設計書に明示する</t>
  </si>
  <si>
    <t>ListAccounts で対象 App アカウントを列挙（対象 OU で絞込可）。※ 列挙方式は未決 M-Q-17-2（organizations:ListAccounts は Organizations 管理アカウント（または delegated admin）限定のため、共通基盤アカウントの Lambda からの直接呼び出しは不可。案 a なら管理アカウントの列挙用ロールへの sts:AssumeRole、案 b なら ssm:GetParameter の静的リストに置換）</t>
  </si>
  <si>
    <t>organizations:ListAccounts / sts:AssumeRole（各 App の DiscoveryReadRole）/ s3:PutObject・GetObject・ListBucket（Monitoring Registry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</si>
  <si>
    <t>true</t>
  </si>
  <si>
    <t>false</t>
  </si>
  <si>
    <t>インターネット経路には接続しない（非経由。NW-2 の明示的例外、M-Q-10-3）</t>
  </si>
  <si>
    <t>なお、コンソールで直接 API の設定を変更した場合は git に現れないため、本巡回では検知できない。その分は Config Rules（L2）と手動フル監査（M3）、および SCP で補完する（SCP の導入は判断中）。</t>
  </si>
  <si>
    <t>Organizations 列挙 + 読み取り AssumeRole + コミット差分判定</t>
  </si>
  <si>
    <t>4×4 分類に基づく SNS Publish</t>
  </si>
  <si>
    <t>STS / AssumeRole</t>
  </si>
  <si>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</si>
  <si>
    <t>図14 発報フロー（2 系統）</t>
  </si>
  <si>
    <t>即時系: 認証実装チェック Lambda → Alert Router（classify 済みイベント Invoke）→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</si>
  <si>
    <t>詳細通信フロー（構成図作成用：アカウント × リソース × 経由エンドポイント）</t>
  </si>
  <si>
    <t>通信経路 A〜D を、構成図に矢印を引ける粒度（ステップごとの発信元 / 宛先 / 経由エンドポイント / 認証）まで分解する。リージョンは例として ap-northeast-1。VPC 外 Lambda の通信は AWS API 宛 = AWS 網内、インターネット宛（probe / token）= Lambda マネージド egress から直接（アウトバウンド境界は非経由）。</t>
  </si>
  <si>
    <t>F1. git 連携フロー（開発者 push → 巡回検知 → M1 起動）</t>
  </si>
  <si>
    <t>通信</t>
  </si>
  <si>
    <t>発信元（アカウント / リソース）</t>
  </si>
  <si>
    <t>宛先（アカウント / リソース）</t>
  </si>
  <si>
    <t>経由・エンドポイント</t>
  </si>
  <si>
    <t>プロトコル・認証</t>
  </si>
  <si>
    <t>W1</t>
  </si>
  <si>
    <t>git push</t>
  </si>
  <si>
    <t>App / 開発者端末・CI（CodeBuild 等）</t>
  </si>
  <si>
    <t>App / CodeCommit リポジトリ</t>
  </si>
  <si>
    <t>git-codecommit.ap-northeast-1.amazonaws.com（git HTTPS）</t>
  </si>
  <si>
    <t>443、IAM 認証（git-remote-codecommit / HTTPS Git 認証情報）</t>
  </si>
  <si>
    <t>W2</t>
  </si>
  <si>
    <t>定期起動</t>
  </si>
  <si>
    <t>共通基盤 / EventBridge Scheduler</t>
  </si>
  <si>
    <t>共通基盤 / 発見 Lambda</t>
  </si>
  <si>
    <t>AWS サービス間（Scheduler → lambda.ap-northeast-1.amazonaws.com）</t>
  </si>
  <si>
    <t>Scheduler 実行ロールで Invoke</t>
  </si>
  <si>
    <t>W3</t>
  </si>
  <si>
    <t>対象アカウント列挙</t>
  </si>
  <si>
    <t>方式未確定（M-Q-17-2）</t>
  </si>
  <si>
    <t>※ organizations:ListAccounts は管理アカウント（or delegated admin）でしか呼べない → 案 a: 管理アカウントの列挙用ロールへ AssumeRole（organizations.us-east-1.amazonaws.com、グローバル）/ 案 b: 静的リスト（SSM / 設定ファイル）</t>
  </si>
  <si>
    <t>443、IAM</t>
  </si>
  <si>
    <t>W4</t>
  </si>
  <si>
    <t>AssumeRole</t>
  </si>
  <si>
    <t>共通基盤 / 発見 Lambda（DiscoveryLambdaRole）</t>
  </si>
  <si>
    <t>App / DiscoveryReadRole</t>
  </si>
  <si>
    <t>sts.ap-northeast-1.amazonaws.com（リージョナル STS）</t>
  </si>
  <si>
    <t>443、sts:AssumeRole + ExternalId</t>
  </si>
  <si>
    <t>W5</t>
  </si>
  <si>
    <t>リポジトリ列挙・先端取得</t>
  </si>
  <si>
    <t>共通基盤 / 発見 Lambda（DiscoveryReadRole の一時クレデンシャル）</t>
  </si>
  <si>
    <t>App / CodeCommit（コントロールプレーン）</t>
  </si>
  <si>
    <t>codecommit.ap-northeast-1.amazonaws.com</t>
  </si>
  <si>
    <t>443、ListRepositories / GetBranch</t>
  </si>
  <si>
    <t>W6</t>
  </si>
  <si>
    <t>台帳読取</t>
  </si>
  <si>
    <t>共通基盤 / Monitoring Registry S3 registry/</t>
  </si>
  <si>
    <t>s3.ap-northeast-1.amazonaws.com</t>
  </si>
  <si>
    <t>443、GetObject（同一アカウント IAM）</t>
  </si>
  <si>
    <t>W7</t>
  </si>
  <si>
    <t>差分・ファイル取得</t>
  </si>
  <si>
    <t>App / CodeCommit</t>
  </si>
  <si>
    <t>443、GetDifferences / GetFile</t>
  </si>
  <si>
    <t>W8</t>
  </si>
  <si>
    <t>台帳更新 + spec 配置</t>
  </si>
  <si>
    <t>共通基盤 / Monitoring Registry S3（registry/ + openapi/）</t>
  </si>
  <si>
    <t>443、PutObject</t>
  </si>
  <si>
    <t>W9</t>
  </si>
  <si>
    <t>M1 起動</t>
  </si>
  <si>
    <t>共通基盤 / 認証実装チェック Lambda</t>
  </si>
  <si>
    <t>lambda.ap-northeast-1.amazonaws.com</t>
  </si>
  <si>
    <t>443、lambda:InvokeFunction</t>
  </si>
  <si>
    <t>構成図のポイント: W1 は App アカウント内で完結（開発者 → repo）。W4 / W5 / W7 だけがアカウント跨ぎ（共通基盤 → App）で、すべて AWS API（インバウンド／アウトバウンド境界とも非経由）。W5 / W7 は App アカウントの DiscoveryReadRole の権限（codecommit read-only）で実行する。</t>
  </si>
  <si>
    <t>F2. 検査（probe）フロー — M1 / M3 の 1 実行</t>
  </si>
  <si>
    <t>台帳・spec 取得</t>
  </si>
  <si>
    <t>共通基盤 / Monitoring Registry S3</t>
  </si>
  <si>
    <t>s3.ap-northeast-1.amazonaws.com（M1 = 対象 1 件 Get / M3 = registry/ List → Get）</t>
  </si>
  <si>
    <t>クライアント資格情報取得</t>
  </si>
  <si>
    <t>共通基盤 / Secrets Manager（canary-central-readonly）</t>
  </si>
  <si>
    <t>secretsmanager.ap-northeast-1.amazonaws.com</t>
  </si>
  <si>
    <t>443、IAM（+ KMS）</t>
  </si>
  <si>
    <t>短命トークン取得（Positive 用）</t>
  </si>
  <si>
    <t>Broker（認証基盤）/ Keycloak 公開 /token</t>
  </si>
  <si>
    <t>Lambda マネージド egress → インターネット → 認証基盤の公開エンドポイント（認証基盤側の境界・経路はそちらの設計に従う）</t>
  </si>
  <si>
    <t>443、OAuth client_credentials</t>
  </si>
  <si>
    <t>P4</t>
  </si>
  <si>
    <t>Negative / Positive probe</t>
  </si>
  <si>
    <t>App / API GW・ALB（ただし直接ではない）</t>
  </si>
  <si>
    <t>Lambda マネージド egress → インターネット → ネットワーク監査 / アプリごとの CloudFront + WAF → Origin Protection（X-Origin-Verify + prefix list）→ App / API GW（execute-api リージョナル）or ALB</t>
  </si>
  <si>
    <t>443。Negative = 認証ヘッダなし / Positive = Bearer（P3 のトークン）</t>
  </si>
  <si>
    <t>P5</t>
  </si>
  <si>
    <t>メトリクス発行</t>
  </si>
  <si>
    <t>共通基盤 / CloudWatch Metrics（APIPlatform/AuthCheck）</t>
  </si>
  <si>
    <t>monitoring.ap-northeast-1.amazonaws.com</t>
  </si>
  <si>
    <t>443、PutMetricData</t>
  </si>
  <si>
    <t>P6</t>
  </si>
  <si>
    <t>検知イベント送付（severity ≠ OK 時）</t>
  </si>
  <si>
    <t>共通基盤 / Alert Router Lambda</t>
  </si>
  <si>
    <t>構成図のポイント: probe（P4）だけがインバウンド境界（ネットワーク監査アカウントの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</si>
  <si>
    <t>F3. 発報（アラート）フロー — 2 系統</t>
  </si>
  <si>
    <t>【図14 発報フロー（2 系統） 挿入位置】</t>
  </si>
  <si>
    <t>描くべき内容: 即時系（N1 classify 済みイベント Invoke → N2 alertRouting 解決（S3 registry/ Get）→ N3 SNS P1/P2/P3 Publish → N4 各チーム配信）と、保険系（N5 PutMetricData → CloudWatch AuthCheckCritical → N6 アラーム（&gt;0）→ SNS P1）の 2 系統を両方描く</t>
  </si>
  <si>
    <t>（この枠に図を貼り込む。即時系が落ちても検知を失わない構図と、すべて共通基盤アカウント内で完結し境界・App アカウントが関与しないことを明示する）</t>
  </si>
  <si>
    <t>発信元</t>
  </si>
  <si>
    <t>宛先</t>
  </si>
  <si>
    <t>N1</t>
  </si>
  <si>
    <t>検知イベント（即時系）</t>
  </si>
  <si>
    <t>共通基盤 / Alert Router</t>
  </si>
  <si>
    <t>4×4 分類済み（Alert イベント形式）</t>
  </si>
  <si>
    <t>N2</t>
  </si>
  <si>
    <t>通知先解決</t>
  </si>
  <si>
    <t>共通基盤 / S3 registry/{appId}/{env}.json</t>
  </si>
  <si>
    <t>alertRouting → 無ければ環境変数デフォルト</t>
  </si>
  <si>
    <t>N3</t>
  </si>
  <si>
    <t>通知発行</t>
  </si>
  <si>
    <t>共通基盤 / SNS トピック P1 / P2 / P3</t>
  </si>
  <si>
    <t>sns.ap-northeast-1.amazonaws.com</t>
  </si>
  <si>
    <t>severity で振り分け（P1 = Security 即時 / P2 = Platform 24h / P3 = App）</t>
  </si>
  <si>
    <t>N4</t>
  </si>
  <si>
    <t>配信</t>
  </si>
  <si>
    <t>共通基盤 / SNS</t>
  </si>
  <si>
    <t>各チーム（メール / AWS Chatbot → Slack 等）</t>
  </si>
  <si>
    <t>SNS サブスクリプション</t>
  </si>
  <si>
    <t>接続方式は M-Q-15-1</t>
  </si>
  <si>
    <t>N5</t>
  </si>
  <si>
    <t>メトリクス（保険系）</t>
  </si>
  <si>
    <t>共通基盤 / CloudWatch</t>
  </si>
  <si>
    <t>P5 と同一</t>
  </si>
  <si>
    <t>N6</t>
  </si>
  <si>
    <t>アラーム発報</t>
  </si>
  <si>
    <t>共通基盤 / CloudWatch アラーム（AuthCheckCritical &gt; 0）</t>
  </si>
  <si>
    <t>共通基盤 / SNS（P1）</t>
  </si>
  <si>
    <t>CloudWatch → SNS（サービス間）</t>
  </si>
  <si>
    <t>即時系（N1〜N4）が落ちても検知を失わない保険</t>
  </si>
  <si>
    <t>構成図のポイント: 発報は即時系（N1〜N4: Alert Router 経由・アプリ別の宛先解決あり）と保険系（N5〜N6: メトリクス → アラーム・宛先固定）の 2 系統を両方描く。すべて共通基盤アカウント内で完結し、境界・App アカウントは関与しない。</t>
  </si>
  <si>
    <t>3c70968e6148d4cab5376a8a53d7da1c2912d2e2</t>
  </si>
  <si>
    <t>cf9e9ee0c3c05eb079e9a4577ce09ccc0b99a353</t>
  </si>
  <si>
    <t>075f8473efcdf80c6a6f90b1f69b0b475cd24a62</t>
  </si>
  <si>
    <t>0405bbcffc0ad32061c43245950013d881c1fade</t>
  </si>
  <si>
    <t>5592544f07a867d3537409ad9f8a4035caa85fac</t>
  </si>
  <si>
    <t>目的・スコープ、全体骨格、統合構成、AWS リソース構成と通信経路 A〜D、詳細通信フロー（W1〜W9 / P1〜P6 / N1〜N6）、リソース一覧、用語表。→ 02 / 03 / 04 / 05 / 08 シート</t>
  </si>
  <si>
    <t>0.2</t>
  </si>
  <si>
    <t>現行仕様のみを断定形で記述する。設計に至った経緯は本文に書かず ADR-061 / ADR-059 を参照する。参照元資料のタイトル・所在は「13_出典一覧」シートにまとめる。</t>
  </si>
  <si>
    <t>2026-08-18</t>
  </si>
  <si>
    <t>レビュー指摘を反映（定めることの重複解消、D-M-14-4「probe 用 VPC」への修正、D-M-14-5 の判断追記、ListAccounts の未決制約注記、真偽値表記の統一、Runtime 表の 3 Lambda 化 ほか）。詳細通信フロー（W / P / N）、用語「STS / AssumeRole」、図14 発報フロー（2 系統）を追加</t>
  </si>
  <si>
    <t/>
  </si>
  <si>
    <t>M-Q-11-5</t>
  </si>
  <si>
    <t>probe 識別ヘッダの WAF 許可ルールを境界管理側（ネットワーク監査アカウント）へ依頼・合意。M-Q-10-3（NW-2 例外承認）と同じ相手のため同梱で調整可</t>
  </si>
  <si>
    <t>【解説】probe はインバウンド境界の WAF を通過するため、WAF（Bot Control / ジオ制限等）が probe 自体を 403 でブロックすると、認証レイヤーに到達していないのに「401/403 = 認証は正常」と誤判定する（偽陰性）、または「認証逆転 CRITICAL」と誤報する。対策として probe 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</si>
  <si>
    <t>M-Q-18-5</t>
  </si>
  <si>
    <t>前提規模の確定（対象アカウント数等）</t>
  </si>
  <si>
    <t>解決: Phase 1 の対象は約 3 アカウント。発見 Lambda は単一実行で Lambda 15 分制限に十分な余裕があり、fan-out 分割への移行は不要（規模拡大時に再評価）</t>
  </si>
  <si>
    <t>実行方式</t>
  </si>
  <si>
    <t>mode=full は台帳を List した後、アプリ単位に自分自身を mode=delta 相当で fan-out invoke する（1 Lambda 実行 = 1 アプリ）。全量を 1 実行で回さないため、アプリ数が増えても Lambda 15 分制限に当たらない</t>
  </si>
  <si>
    <t>8. 運用設計（メタ監視・エラー処理・スケール上限）</t>
  </si>
  <si>
    <t>監視の空白 = 認証漏れの検知空白。監視系自身の停止・失敗を、被監視系（AuthCheck 系メトリクス）とは別系統で検知する。通知先はいずれも P2（Platform）とする（監視系の障害はアプリの障害ではないため）。</t>
  </si>
  <si>
    <t>8.1 メタ監視 —「巡回が止まっていること」を検知する</t>
  </si>
  <si>
    <t>検知対象</t>
  </si>
  <si>
    <t>アラーム条件（初期値）</t>
  </si>
  <si>
    <t>MM-1</t>
  </si>
  <si>
    <t>巡回の停止（最重要）</t>
  </si>
  <si>
    <t>発見 Lambda が巡回成功時に DiscoveryLastSuccess メトリクス（Count=1）を emit</t>
  </si>
  <si>
    <t>2 時間欠損（= 巡回 2 回分未実行）で発報</t>
  </si>
  <si>
    <t>MM-2</t>
  </si>
  <si>
    <t>発見 Lambda の失敗</t>
  </si>
  <si>
    <t>Lambda 標準 Errors / Scheduler の起動失敗</t>
  </si>
  <si>
    <t>Errors ≥ 1</t>
  </si>
  <si>
    <t>MM-3</t>
  </si>
  <si>
    <t>一部アカウントの巡回失敗</t>
  </si>
  <si>
    <t>DiscoveryAccountErrors メトリクス（失敗アカウント数）</t>
  </si>
  <si>
    <t>≥ 1（8.2 の部分失敗と連動）</t>
  </si>
  <si>
    <t>MM-4</t>
  </si>
  <si>
    <t>検査 Lambda の失敗</t>
  </si>
  <si>
    <t>Lambda 標準 Errors + 非同期 invoke の DLQ（SQS）</t>
  </si>
  <si>
    <t>Errors ≥ 1 or DLQ 滞留 ≥ 1</t>
  </si>
  <si>
    <t>MM-5</t>
  </si>
  <si>
    <t>Alert Router の失敗</t>
  </si>
  <si>
    <t>throw → リトライ / DLQ</t>
  </si>
  <si>
    <t>DLQ 滞留 ≥ 1</t>
  </si>
  <si>
    <t>保険系アラーム（AuthCheckCritical &gt; 0）は「検知した結果の発報」、本節は「検知できていない状態の発報」で役割が異なる。両方そろって初めて検知網が閉じる。</t>
  </si>
  <si>
    <t>各 Lambda のログはログ・監視ガイドライン（OBS-1〜4）に準拠（実行 ID を相関 ID として出力、トークン・コミット内容はマスク、保持期間明示）。</t>
  </si>
  <si>
    <t>8.2 エラー処理・リトライ・冪等性</t>
  </si>
  <si>
    <t>箇所</t>
  </si>
  <si>
    <t>方針</t>
  </si>
  <si>
    <t>発見 Lambda の巡回</t>
  </si>
  <si>
    <t>アカウント単位で try-catch し、1 アカウントの失敗（AssumeRole 不可・スロットリング等）で全体を止めない。失敗数を DiscoveryAccountErrors で emit（MM-3）し、次回巡回で自然リトライ</t>
  </si>
  <si>
    <t>lastCheckedCommitId の更新タイミング</t>
  </si>
  <si>
    <t>M1 起動が成功した後にのみ更新する。途中失敗時は据え置かれ、次回巡回が同じ差分を再検知する（at-least-once）。probe は読み取り検査で冪等のため重複実行は無害</t>
  </si>
  <si>
    <t>発見 → 検査の invoke</t>
  </si>
  <si>
    <t>非同期（Event invoke）。Lambda 標準の自動リトライ（2 回）+ DLQ（SQS）を設定（MM-4）。同期にしないのは、1 アプリの検査失敗で巡回全体を巻き込まないため</t>
  </si>
  <si>
    <t>検査 Lambda 内の endpoint 失敗</t>
  </si>
  <si>
    <t>endpoint 単位で継続（1 endpoint のタイムアウトで残りを打ち切らない）。接続不能は 4×4 の WARN（構成）系に分類</t>
  </si>
  <si>
    <t>1 件でも失敗したら throw → リトライ / DLQ</t>
  </si>
  <si>
    <t>CodeCommit スロットリング</t>
  </si>
  <si>
    <t>CodeCommit API はアカウント単位のレート制限あり。SDK 標準リトライ（指数バックオフ）+ 発見 Lambda の直列処理で吸収。並列化する場合の制御は M-Q-16-2</t>
  </si>
  <si>
    <t>8.3 スケール上限（Lambda 15 分制限）と fan-out 方針</t>
  </si>
  <si>
    <t>Lambda の最大実行時間は 15 分。1 実行に詰め込まない構造にする。</t>
  </si>
  <si>
    <t>実行</t>
  </si>
  <si>
    <t>1 実行の範囲</t>
  </si>
  <si>
    <t>15 分制限への設計</t>
  </si>
  <si>
    <t>発見 Lambda（巡回）</t>
  </si>
  <si>
    <t>全アカウント走査（現行）</t>
  </si>
  <si>
    <t>処理はアカウント単位の読み取り（数 API 呼び出し / repo）で軽く、Phase 1 の前提規模（対象約 3 アカウント）では 1 実行に十分収まる。収まらない規模に達したら親（列挙のみ）/ 子（1 アカウント処理）の fan-out に分割する（構造は M3 と同型。閾値監視は Lambda Duration アラームで前倒し検知）</t>
  </si>
  <si>
    <t>検査 Lambda（M1）</t>
  </si>
  <si>
    <t>1 アプリの全 endpoint</t>
  </si>
  <si>
    <t>20 endpoint × 2 probe × 数秒でも数分オーダー。1 アプリ = 1 実行なので endpoint 数が極端でない限り収まる</t>
  </si>
  <si>
    <t>検査 Lambda（M3）</t>
  </si>
  <si>
    <t>台帳 List → アプリ単位に fan-out</t>
  </si>
  <si>
    <t>全量を 1 実行で回さないため上限に当たらない</t>
  </si>
  <si>
    <t>前提: 表の 401/403 は「アプリの認証レイヤーが返した」ものであること。WAF が probe をブロックした 403 は別扱い（WARN「境界でブロック」。下記 10.）。</t>
  </si>
  <si>
    <t>10. WAF 干渉と誤判定の防止</t>
  </si>
  <si>
    <t>probe はインバウンド境界の WAF を通過する。WAF のルール（レートベース / Bot Control / ジオ制限等）が probe 自体をブロックすると、応答コードが同じ 403 でも意味がまったく違うため、2 種類の誤判定が起きる。</t>
  </si>
  <si>
    <t>WAF が probe をブロックすると</t>
  </si>
  <si>
    <t>4×4 での素朴な解釈</t>
  </si>
  <si>
    <t>実際</t>
  </si>
  <si>
    <t>Negative probe が WAF 403</t>
  </si>
  <si>
    <t>「401/403 = 認証は正常」</t>
  </si>
  <si>
    <t>認証まで到達していない</t>
  </si>
  <si>
    <t>偽陰性（認証漏れがあっても OK 判定）</t>
  </si>
  <si>
    <t>Positive probe が WAF 403</t>
  </si>
  <si>
    <t>「Neg 2xx + Pos 403 = 認証逆転 CRITICAL」等</t>
  </si>
  <si>
    <t>認証は正常、WAF が弾いただけ</t>
  </si>
  <si>
    <t>誤 CRITICAL（誤報）</t>
  </si>
  <si>
    <t>段</t>
  </si>
  <si>
    <t>1（主対策）</t>
  </si>
  <si>
    <t>probe の識別と WAF 許可</t>
  </si>
  <si>
    <t>probe 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は境界管理側のため設定依頼が必要（M-Q-11-5）。probe は変更時のみ・低頻度なのでレートルールには通常かからないが、Bot Control / ジオ制限は明示許可がないと誤爆し得る</t>
  </si>
  <si>
    <t>2（副対策）</t>
  </si>
  <si>
    <t>classify 側の防御</t>
  </si>
  <si>
    <t>WAF ブロック応答は API GW / アプリの 401/403 と応答の形が異なる（CloudFront / WAF 由来のエラーボディ・ヘッダ）。classify は WAF ブロックと判定できた場合、OK / CRITICAL ではなく WARN「probe が境界でブロックされた（テスト構成問題）」に分類し、Smoke test にも境界通過確認を含める</t>
  </si>
  <si>
    <t>原則: 「403 だから認証は効いている」とは限らない。probe が認証レイヤーに到達したことを確かめて初めて Negative の 401/403 を「正常」と判定できる。</t>
  </si>
  <si>
    <t>D-M-18-8</t>
  </si>
  <si>
    <t>メタ監視を被監視系と別系統で設計（巡回鮮度 DiscoveryLastSuccess の 2h 欠損アラーム + Lambda Errors + DLQ 滞留。通知は P2）</t>
  </si>
  <si>
    <t>監視の空白 = 検知の空白。保険系（AuthCheckCritical）は「検知結果」、メタ監視は「検知不能状態」の発報で役割が異なる</t>
  </si>
  <si>
    <t>D-M-18-9</t>
  </si>
  <si>
    <t>at-least-once + 冪等（lastCheckedCommitId は M1 起動成功後のみ更新、発見 → 検査は非同期 invoke + DLQ、アカウント単位の部分失敗分離）。M3 と大規模巡回はアプリ / アカウント単位の fan-out</t>
  </si>
  <si>
    <t>Lambda 15 分制限に構造で当たらない。probe は読み取り検査で重複無害</t>
  </si>
  <si>
    <t>最新確認コミット</t>
  </si>
  <si>
    <t>58ae954d7e265e9882351826961e4e37702a26aa</t>
  </si>
  <si>
    <t>確認日時</t>
  </si>
  <si>
    <t>2026-08-18T14:08:39Z</t>
  </si>
  <si>
    <t>未反映の更新</t>
  </si>
  <si>
    <t>第 10 / 12 / 13 / 17 章は、最新確認コミット時点で本書に反映済みの版（下表の blob SHA）より新しい。次版で取り込む。</t>
  </si>
  <si>
    <t>33606e278464829e43ac2a3fb21568e8f0fc176f</t>
  </si>
  <si>
    <t>ade0bc6518fab5a9245075c8633b68bb7c94e355</t>
  </si>
  <si>
    <t>blob SHA（本書に反映済みの版）</t>
  </si>
  <si>
    <t>検査シーケンス、Negative / Positive の Hybrid 検証と 4×4 分類、WAF 干渉と誤判定の防止、authPattern 別の検査方式、Positive トークン管理、環境別動作、ユースケース。→ 05 / 07 / 08 シート</t>
  </si>
  <si>
    <t>M1 巡回差分 / M3 手動フル（fan-out）/ M2 将来の定義、差分粒度、実行基盤、運用設計（メタ監視・エラー処理・スケール上限）、アラーム。実行モデルはこの章を正とする。→ 06 シート</t>
  </si>
  <si>
    <t>0.3</t>
  </si>
  <si>
    <t>未決に M-Q-11-5（probe 識別ヘッダの WAF 許可）を追加。M-Q-18-5 を解決済みへ。運用設計（メタ監視 MM-1〜5 / エラー処理・冪等性 / スケール上限と fan-out）、M3 の fan-out 実行方式、WAF 干渉と誤判定の防止、D-M-18-8・D-M-18-9 を追加</t>
  </si>
  <si>
    <t>認証実装確認処理 — 残作業 WBS・工数見積（Phase 3 実装〜リリース）</t>
  </si>
  <si>
    <t>元資料作成日 2026-08-19。前提: 対象約 3 アカウント・パイロット 1 本から開始／AWS + Node.js 実装者 1 名主担当（レビュー工数込み）／1 人日 = 実働 1 日で、外部依頼の待ち時間は工数に含めない（別途カレンダー日数で管理）／実装済み資産（probe lib・alert-router・旧 push 型 2 Lambda のロジック）を流用／単一リージョン・IaC は組織標準に従う。</t>
  </si>
  <si>
    <t>WBS 番号</t>
  </si>
  <si>
    <t>大分類</t>
  </si>
  <si>
    <t>タスク</t>
  </si>
  <si>
    <t>成果物</t>
  </si>
  <si>
    <t>依存（先行タスク）</t>
  </si>
  <si>
    <t>外部待ち</t>
  </si>
  <si>
    <t>工数-標準</t>
  </si>
  <si>
    <t>工数-min</t>
  </si>
  <si>
    <t>工数-max</t>
  </si>
  <si>
    <t>開始予定</t>
  </si>
  <si>
    <t>終了予定</t>
  </si>
  <si>
    <t>W1-1</t>
  </si>
  <si>
    <t>W1 外部調整・依頼</t>
  </si>
  <si>
    <t>NW-2 例外承認の取得（M-Q-10-3）: 説明資料整備（VPC 外配置の判断の表ベース）+ セキュリティ / 境界管理他組織への説明・合意</t>
  </si>
  <si>
    <t>承認記録</t>
  </si>
  <si>
    <t>◎</t>
  </si>
  <si>
    <t>W1-2 と同じ相手に同梱。最優先着手</t>
  </si>
  <si>
    <t>W1-2</t>
  </si>
  <si>
    <t>probe 識別ヘッダの WAF 許可ルール依頼（M-Q-11-5）: ヘッダ仕様確定 + 依頼・合意</t>
  </si>
  <si>
    <t>合意済みヘッダ仕様</t>
  </si>
  <si>
    <t>W1-1 と同時</t>
  </si>
  <si>
    <t>W1-1 に同梱</t>
  </si>
  <si>
    <t>W1-3</t>
  </si>
  <si>
    <t>Organizations 委任ポリシー設定依頼（M-Q-17-2 案 c）: ポリシー文面作成 + 管理アカウント作業依頼・確認</t>
  </si>
  <si>
    <t>委任ポリシー適用済み</t>
  </si>
  <si>
    <t>W1-4</t>
  </si>
  <si>
    <t>Keycloak canary クライアント作成依頼（スコープ A）: api-canary-probe（client_credentials・read-only）の作成依頼 + 受入確認（/token 疎通）</t>
  </si>
  <si>
    <t>クライアント発行済み</t>
  </si>
  <si>
    <t>W1-5</t>
  </si>
  <si>
    <t>通知運用ヒアリング: メール宛先 DL 確定（M-Q-15-1 = b）+ dedup 方針ヒアリング（M-Q-15-3）</t>
  </si>
  <si>
    <t>宛先一覧・dedup 決定</t>
  </si>
  <si>
    <t>W2-1</t>
  </si>
  <si>
    <t>W2 実装</t>
  </si>
  <si>
    <t>共通基盤 IaC: Monitoring Registry S3（バケット・prefix ポリシー・Versioning）/ SNS×3 / DLQ（SQS）/ CloudWatch アラーム群（AuthCheckCritical・MM-1〜5）/ EventBridge Scheduler / IAM 3 ロール</t>
  </si>
  <si>
    <t>IaC 一式</t>
  </si>
  <si>
    <t>◆ クリティカルパス</t>
  </si>
  <si>
    <t>W2-2</t>
  </si>
  <si>
    <t>発見 Lambda 実装（M-Q-17-4）: アカウント列挙（委任ポリシー）→ AssumeRole → ListRepositories / GetBranch → lastCheckedCommitId 比較 → GetDifferences / GetFile → monitoring.yaml パース・検証 → 台帳同期（ETag 条件付き PUT）→ spec Put → M1 非同期 invoke → 消滅検知 → メタ不足アラート → DiscoveryLastSuccess / AccountErrors emit → 部分失敗分離</t>
  </si>
  <si>
    <t>discovery Lambda + 単体テスト</t>
  </si>
  <si>
    <t>W2-3</t>
  </si>
  <si>
    <t>probe Lambda 化: index.js handler 転用・synthetics 抽象の https 注入・mode=delta/full・M3 のアプリ単位 fan-out・X-Auth-Probe ヘッダ付与</t>
  </si>
  <si>
    <t>probe Lambda</t>
  </si>
  <si>
    <t>W2-4</t>
  </si>
  <si>
    <t>台帳アクセスの S3 化（M-Q-12-3）: probe lib registry.js（Scan → List/Get）+ alert-router の通知先解決（GetItem → GetObject）</t>
  </si>
  <si>
    <t>改修済み lib + テスト更新</t>
  </si>
  <si>
    <t>W2-5</t>
  </si>
  <si>
    <t>classify の WAF ブロック判定（副対策）+ Smoke に境界通過確認</t>
  </si>
  <si>
    <t>classify 拡張 + テスト</t>
  </si>
  <si>
    <t>W1-2（ヘッダ仕様）</t>
  </si>
  <si>
    <t>W2-6</t>
  </si>
  <si>
    <t>token.js の実 IdP 接続確認・調整 + Secrets ローテーション（rotation Lambda or 手動ローテ手順のどちらかを選択・実装）</t>
  </si>
  <si>
    <t>ローテ機構</t>
  </si>
  <si>
    <t>W2-7</t>
  </si>
  <si>
    <t>dedup 実装（W1-5 の決定が 24h 抑制の場合のみ。S3 に抑制状態を持つ）</t>
  </si>
  <si>
    <t>dedup 機構</t>
  </si>
  <si>
    <t>条件付き</t>
  </si>
  <si>
    <t>W2-8</t>
  </si>
  <si>
    <t>DiscoveryReadRole StackSets テンプレ作成・3 アカウント配布</t>
  </si>
  <si>
    <t>StackSets</t>
  </si>
  <si>
    <t>W2-9</t>
  </si>
  <si>
    <t>Service Catalog 製品テンプレ実装（api-gateway-rest-public: 認証必須・Origin Protection・タグ）</t>
  </si>
  <si>
    <t>製品テンプレ + Portfolio</t>
  </si>
  <si>
    <t>製品なしでも監視自体は動く（並行リリース可）</t>
  </si>
  <si>
    <t>W2-10</t>
  </si>
  <si>
    <t>コードレビュー・静的解析（CI）通し・リファクタ</t>
  </si>
  <si>
    <t>レビュー済みコード</t>
  </si>
  <si>
    <t>W2-2〜7</t>
  </si>
  <si>
    <t>W3-1</t>
  </si>
  <si>
    <t>W3 テスト</t>
  </si>
  <si>
    <t>単体テスト整備（発見 Lambda 系 + 改修分。既存 46 PASS の維持含む）</t>
  </si>
  <si>
    <t>テストコード</t>
  </si>
  <si>
    <t>W2 各</t>
  </si>
  <si>
    <t>W3-2</t>
  </si>
  <si>
    <t>ローカル統合（LocalStack / SAM: 巡回 → 登録 → M1 → 通知の通し）</t>
  </si>
  <si>
    <t>検証記録</t>
  </si>
  <si>
    <t>W2-2〜4</t>
  </si>
  <si>
    <t>W3-3</t>
  </si>
  <si>
    <t>実 AWS PoC 環境構築: 共通基盤一式 + App アカウント（1〜3）に CodeCommit repo・サンプル API（API GW + Authorizer）・CloudFront + WAF 簡易構成</t>
  </si>
  <si>
    <t>PoC 環境</t>
  </si>
  <si>
    <t>W2-1 / 8 / 9, W1-3 / 4</t>
  </si>
  <si>
    <t>W3-4</t>
  </si>
  <si>
    <t>E2E シナリオテスト: ①新規発見・自動登録 ②コミット変更 → M1 ③認証漏れ（NONE）→ P1 ④公開印 skip ⑤モノリス 302 ⑥token 失効 → WARN ⑦WAF ブロック → WARN（誤 CRITICAL にならない）⑧消滅検知 ⑨メタ監視発火（巡回停止）⑩発報 2 系統・宛先解決</t>
  </si>
  <si>
    <t>E2E 結果一覧</t>
  </si>
  <si>
    <t>W3-5</t>
  </si>
  <si>
    <t>障害系テスト: 部分失敗分離 / 非同期 invoke リトライ → DLQ / lastCheckedCommitId 据え置き再検知（at-least-once）</t>
  </si>
  <si>
    <t>W3-6</t>
  </si>
  <si>
    <t>性能実測: 巡回 1 実行の所要時間（3 アカウント）/ 1 アプリ probe 時間 / Duration アラーム閾値設定</t>
  </si>
  <si>
    <t>実測値・閾値</t>
  </si>
  <si>
    <t>W3-7</t>
  </si>
  <si>
    <t>セキュリティ確認: 最小権限の実査（IAM Access Analyzer 等）/ ExternalId 動作 / ログに秘密が出ないこと</t>
  </si>
  <si>
    <t>チェック結果</t>
  </si>
  <si>
    <t>W3-8</t>
  </si>
  <si>
    <t>テスト報告書・設計書への検証結果反映</t>
  </si>
  <si>
    <t>報告書</t>
  </si>
  <si>
    <t>W3-4〜7</t>
  </si>
  <si>
    <t>W4-1</t>
  </si>
  <si>
    <t>W4 運用準備</t>
  </si>
  <si>
    <t>Runbook 作成（5 本）: ①P1（認証漏れ）対応 ②M3 手動実行 ③メタ監視発報対応（巡回停止・DLQ）④台帳手動更新（enabled / alertRouting・ETag 手順）⑤棚卸し（消滅検知・公開印 skip 濫用レビュー、M-Q-17-5 運用含む）</t>
  </si>
  <si>
    <t>Runbook 5 本</t>
  </si>
  <si>
    <t>W4-2</t>
  </si>
  <si>
    <t>運用引き継ぎ・訓練（P1 模擬発報 1 回を含む）</t>
  </si>
  <si>
    <t>実施記録</t>
  </si>
  <si>
    <t>W4-3</t>
  </si>
  <si>
    <t>運用ダッシュボード（CloudWatch: AuthCheck 系 + メタ監視の 1 画面。任意）</t>
  </si>
  <si>
    <t>ダッシュボード</t>
  </si>
  <si>
    <t>任意</t>
  </si>
  <si>
    <t>W5-1</t>
  </si>
  <si>
    <t>W5 ガイド・展開</t>
  </si>
  <si>
    <t>アプリチーム向け利用ガイド: monitoring.yaml の書き方 / MON-1（公開印）/ アラートが来たら / FAQ（アプリチーム向け手順シートを配布形に整える）</t>
  </si>
  <si>
    <t>利用ガイド</t>
  </si>
  <si>
    <t>W5-2</t>
  </si>
  <si>
    <t>説明会（1 回）+ 初期問い合わせ対応枠</t>
  </si>
  <si>
    <t>W5-3</t>
  </si>
  <si>
    <t>パイロット導入（1 アプリ: monitoring.yaml 設置支援 → 検知確認）→ 残アプリ展開（3 アカウント）</t>
  </si>
  <si>
    <t>導入完了</t>
  </si>
  <si>
    <t>W3-4, W5-1</t>
  </si>
  <si>
    <t>W6-1</t>
  </si>
  <si>
    <t>W6 ドキュメント同期</t>
  </si>
  <si>
    <t>設計書（md）の実装反映・未決消し込み・検証済み事実の更新</t>
  </si>
  <si>
    <t>更新済み md</t>
  </si>
  <si>
    <t>W6-2</t>
  </si>
  <si>
    <t>Excel 設計書の同期（編集指示書の作成・検収）</t>
  </si>
  <si>
    <t>更新済み Excel</t>
  </si>
  <si>
    <t>W7-1</t>
  </si>
  <si>
    <t>W7 管理</t>
  </si>
  <si>
    <t>進捗・課題管理、外部調整の追跡（全体の約 10%）</t>
  </si>
  <si>
    <t>集計（上表の工数を分類ごとに合計）</t>
  </si>
  <si>
    <t>W7 管理（約 10%）</t>
  </si>
  <si>
    <t>合計</t>
  </si>
  <si>
    <t>注記: 集計は上表の各タスク行を SUMIF で合算した値。元資料の W2 小計 min は 15.5 と記載されているが、W2 各タスクの min の合計は 13.5（差 2.0）。同様に元資料の合計 min 38.5 に対し本表は 36.5。元資料側の小計の見直しが必要。</t>
  </si>
  <si>
    <t>進め方（クリティカルパスと着手順）</t>
  </si>
  <si>
    <t>クリティカルパス: W2-1 → W2-2 / W2-3 / W2-4 → W3-3 → W3-4 →（W4-1 → W5-3）</t>
  </si>
  <si>
    <t>最初に着手すべきは W1（外部調整）。承認・設定の待ち時間が最長になり得るため、実装と並行して先行発注する（特に W1-1 と W1-2 は同じ相手に同梱）。</t>
  </si>
  <si>
    <t>1 名専任なら実働 約 2.5〜3 か月（外部リードタイム除く）。実装（W2）とテスト環境構築（W3-3）を 2 名で並行すれば 約 1.5〜2 か月。</t>
  </si>
  <si>
    <t>リスク（見積が膨らむ主要因）</t>
  </si>
  <si>
    <t>リスク</t>
  </si>
  <si>
    <t>影響先</t>
  </si>
  <si>
    <t>NW-2 例外が否認され VPC + NWFW 経路へ設計戻し</t>
  </si>
  <si>
    <t>W2-1 / W2-3 に +5〜8 人日</t>
  </si>
  <si>
    <t>旧 VPC 案が復活する最大リスク</t>
  </si>
  <si>
    <t>WAF 許可ルールの調整難航（他組織）</t>
  </si>
  <si>
    <t>W3-4 の ⑦ が塞がる</t>
  </si>
  <si>
    <t>副対策（classify 判定）のみで暫定リリースは可能</t>
  </si>
  <si>
    <t>Service Catalog 製品の組織要件が重い（承認フロー等）</t>
  </si>
  <si>
    <t>W2-9 が +2〜4 人日</t>
  </si>
  <si>
    <t>Keycloak 側クライアント発行の遅延</t>
  </si>
  <si>
    <t>Positive 検査系（W3-4 の ③ ⑥）</t>
  </si>
  <si>
    <t>Negative のみで先行リリース可能（設計上許容済み）</t>
  </si>
  <si>
    <t>本 WBS のスコープ外（Phase 2 以降と確定済み）</t>
  </si>
  <si>
    <t>SigV4 Positive（M-Q-11-2）/ Cookie モノリス Positive・cleanup（M-Q-11-3, M-Q-14-1）/ M2 heartbeat（M-Q-18-1）/ Private API probe の VPC 化 / Positive スコープ B の設計（M-Q-11-4。依頼のみ本 WBS の W1-4）/ SCP 強制（M-Q-17-1 = Phase 2 判断）/ Multilocation（M-Q-10-1）/ ガイドライン章側の残未決。</t>
  </si>
  <si>
    <t>0.4</t>
  </si>
  <si>
    <t>0.4</t>
    <phoneticPr fontId="2"/>
  </si>
  <si>
    <t>2026-08-19</t>
    <phoneticPr fontId="2"/>
  </si>
  <si>
    <t>「14_WBS_Phase3-4」シートを追加（Phase 3 実装〜リリースの残作業 WBS・工数見積 32 タスク、集計・リスク・スコープ外）</t>
  </si>
  <si>
    <t>　</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</si>
</sst>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9" formatCode="0.0"/>
  </numFmts>
  <fonts count="14">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b/>
      <sz val="12"/>
      <color rgb="FF1F4E79"/>
      <name val="游ゴシック"/>
      <family val="2"/>
      <charset val="128"/>
      <scheme val="minor"/>
    </font>
    <font>
      <b/>
      <sz val="12"/>
      <color rgb="FFFFFFFF"/>
      <name val="游ゴシック"/>
      <family val="2"/>
      <charset val="128"/>
      <scheme val="minor"/>
    </font>
    <font>
      <sz val="12"/>
      <color theme="1"/>
      <name val="Consolas"/>
      <family val="2"/>
    </font>
    <font>
      <b/>
      <sz val="12"/>
      <color rgb="FF1F4E79"/>
      <name val="Consolas"/>
      <family val="2"/>
    </font>
    <font>
      <b/>
      <sz val="12"/>
      <color rgb="FF7F6000"/>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
      <b/>
      <sz val="12"/>
      <color rgb="FF1F4E79"/>
      <name val="Meiryo UI"/>
      <family val="2"/>
      <charset val="128"/>
    </font>
    <font>
      <b/>
      <sz val="12"/>
      <color theme="1"/>
      <name val="Meiryo UI"/>
      <family val="2"/>
      <charset val="128"/>
    </font>
  </fonts>
  <fills count="15">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s>
  <borders count="18">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s>
  <cellStyleXfs count="1">
    <xf numFmtId="0" fontId="0" fillId="0" borderId="0">
      <alignment vertical="center"/>
    </xf>
  </cellStyleXfs>
  <cellXfs count="79">
    <xf numFmtId="0" fontId="0" fillId="0" borderId="0" xfId="0">
      <alignment vertical="center"/>
    </xf>
    <xf numFmtId="0" fontId="3" fillId="0" borderId="0" xfId="0" applyFont="1">
      <alignment vertical="center"/>
    </xf>
    <xf numFmtId="0" fontId="4" fillId="0" borderId="0" xfId="0" applyFont="1">
      <alignment vertical="center"/>
    </xf>
    <xf numFmtId="0" fontId="0" fillId="0" borderId="0" xfId="0" applyAlignment="1">
      <alignment vertical="top"/>
    </xf>
    <xf numFmtId="0" fontId="0" fillId="0" borderId="0" xfId="0" applyAlignment="1">
      <alignment vertical="top" wrapText="1"/>
    </xf>
    <xf numFmtId="0" fontId="5" fillId="2" borderId="3" xfId="0" applyFont="1" applyFill="1" applyBorder="1" applyAlignment="1">
      <alignment horizontal="center" vertical="center"/>
    </xf>
    <xf numFmtId="0" fontId="0" fillId="0" borderId="3" xfId="0" applyBorder="1" applyAlignment="1">
      <alignment vertical="top" wrapText="1"/>
    </xf>
    <xf numFmtId="0" fontId="5" fillId="2" borderId="2" xfId="0" applyFont="1" applyFill="1" applyBorder="1" applyAlignment="1">
      <alignment horizontal="center" vertical="center"/>
    </xf>
    <xf numFmtId="0" fontId="0" fillId="0" borderId="2" xfId="0" applyBorder="1" applyAlignment="1">
      <alignment vertical="top" wrapText="1"/>
    </xf>
    <xf numFmtId="0" fontId="0" fillId="0" borderId="0" xfId="0" applyFill="1" applyBorder="1" applyAlignment="1">
      <alignment vertical="top" wrapText="1"/>
    </xf>
    <xf numFmtId="0" fontId="4" fillId="0" borderId="0" xfId="0" applyFont="1" applyFill="1" applyBorder="1" applyAlignment="1">
      <alignment vertical="top" wrapText="1"/>
    </xf>
    <xf numFmtId="0" fontId="1" fillId="3" borderId="4" xfId="0" applyFont="1" applyFill="1" applyBorder="1" applyAlignment="1">
      <alignment vertical="center" wrapText="1"/>
    </xf>
    <xf numFmtId="0" fontId="1" fillId="4" borderId="4" xfId="0" applyFont="1" applyFill="1" applyBorder="1" applyAlignment="1">
      <alignment vertical="center" wrapText="1"/>
    </xf>
    <xf numFmtId="0" fontId="1" fillId="5" borderId="4" xfId="0" applyFont="1" applyFill="1" applyBorder="1" applyAlignment="1">
      <alignment vertical="center" wrapText="1"/>
    </xf>
    <xf numFmtId="0" fontId="1" fillId="6" borderId="4" xfId="0" applyFont="1" applyFill="1" applyBorder="1" applyAlignment="1">
      <alignment vertical="center" wrapText="1"/>
    </xf>
    <xf numFmtId="0" fontId="0" fillId="0" borderId="0" xfId="0" applyAlignment="1">
      <alignment vertical="center" wrapText="1"/>
    </xf>
    <xf numFmtId="0" fontId="0" fillId="3" borderId="5" xfId="0" applyFill="1" applyBorder="1" applyAlignment="1">
      <alignment horizontal="center" vertical="center" wrapText="1"/>
    </xf>
    <xf numFmtId="0" fontId="0" fillId="3" borderId="1" xfId="0" applyFill="1" applyBorder="1" applyAlignment="1">
      <alignment horizontal="center" vertical="center" wrapText="1"/>
    </xf>
    <xf numFmtId="0" fontId="0" fillId="3" borderId="6" xfId="0" applyFill="1" applyBorder="1" applyAlignment="1">
      <alignment horizontal="center" vertical="center" wrapText="1"/>
    </xf>
    <xf numFmtId="0" fontId="0" fillId="3" borderId="7" xfId="0" applyFill="1" applyBorder="1" applyAlignment="1">
      <alignment horizontal="center" vertical="center" wrapText="1"/>
    </xf>
    <xf numFmtId="0" fontId="0" fillId="8" borderId="7" xfId="0" applyFill="1" applyBorder="1" applyAlignment="1">
      <alignment horizontal="center" vertical="center" wrapText="1"/>
    </xf>
    <xf numFmtId="0" fontId="0" fillId="4" borderId="5" xfId="0" applyFill="1" applyBorder="1" applyAlignment="1">
      <alignment horizontal="center" vertical="center" wrapText="1"/>
    </xf>
    <xf numFmtId="0" fontId="0" fillId="5" borderId="5" xfId="0" applyFill="1" applyBorder="1" applyAlignment="1">
      <alignment horizontal="center" vertical="center" wrapText="1"/>
    </xf>
    <xf numFmtId="0" fontId="0" fillId="6" borderId="7" xfId="0" applyFill="1" applyBorder="1" applyAlignment="1">
      <alignment horizontal="center" vertical="center" wrapText="1"/>
    </xf>
    <xf numFmtId="0" fontId="0" fillId="6" borderId="1" xfId="0" applyFill="1" applyBorder="1" applyAlignment="1">
      <alignment horizontal="center" vertical="center" wrapText="1"/>
    </xf>
    <xf numFmtId="0" fontId="0" fillId="6" borderId="6" xfId="0" applyFill="1" applyBorder="1" applyAlignment="1">
      <alignment horizontal="center" vertical="center" wrapText="1"/>
    </xf>
    <xf numFmtId="0" fontId="1" fillId="7" borderId="8" xfId="0" applyFont="1" applyFill="1" applyBorder="1" applyAlignment="1">
      <alignment vertical="center" wrapText="1"/>
    </xf>
    <xf numFmtId="0" fontId="0" fillId="7" borderId="1" xfId="0" applyFill="1" applyBorder="1" applyAlignment="1">
      <alignment horizontal="center" vertical="center" wrapText="1"/>
    </xf>
    <xf numFmtId="0" fontId="1" fillId="9" borderId="8" xfId="0" applyFont="1" applyFill="1" applyBorder="1" applyAlignment="1">
      <alignment vertical="center" wrapText="1"/>
    </xf>
    <xf numFmtId="0" fontId="0" fillId="9" borderId="5" xfId="0" applyFill="1" applyBorder="1" applyAlignment="1">
      <alignment horizontal="center" vertical="center" wrapText="1"/>
    </xf>
    <xf numFmtId="0" fontId="0" fillId="9" borderId="1" xfId="0" applyFill="1" applyBorder="1" applyAlignment="1">
      <alignment horizontal="center" vertical="center" wrapText="1"/>
    </xf>
    <xf numFmtId="56" fontId="0" fillId="0" borderId="2" xfId="0" applyNumberFormat="1" applyBorder="1" applyAlignment="1">
      <alignment vertical="top" wrapText="1"/>
    </xf>
    <xf numFmtId="0" fontId="4" fillId="0" borderId="0" xfId="0" applyFont="1" applyAlignment="1">
      <alignment vertical="top" wrapText="1"/>
    </xf>
    <xf numFmtId="0" fontId="6" fillId="10" borderId="0" xfId="0" applyFont="1" applyFill="1">
      <alignment vertical="center"/>
    </xf>
    <xf numFmtId="0" fontId="7" fillId="10" borderId="0" xfId="0" applyFont="1" applyFill="1">
      <alignment vertical="center"/>
    </xf>
    <xf numFmtId="0" fontId="1" fillId="11" borderId="0" xfId="0" applyFont="1" applyFill="1" applyAlignment="1">
      <alignment vertical="center" wrapText="1"/>
    </xf>
    <xf numFmtId="0" fontId="0" fillId="12" borderId="2" xfId="0" applyFill="1" applyBorder="1" applyAlignment="1">
      <alignment vertical="top" wrapText="1"/>
    </xf>
    <xf numFmtId="0" fontId="6" fillId="10" borderId="0" xfId="0" applyFont="1" applyFill="1" applyAlignment="1">
      <alignment vertical="top" wrapText="1"/>
    </xf>
    <xf numFmtId="0" fontId="0" fillId="11" borderId="2" xfId="0" applyFill="1" applyBorder="1" applyAlignment="1">
      <alignment vertical="top" wrapText="1"/>
    </xf>
    <xf numFmtId="0" fontId="5" fillId="13" borderId="3" xfId="0" applyFont="1" applyFill="1" applyBorder="1" applyAlignment="1">
      <alignment horizontal="center" vertical="center"/>
    </xf>
    <xf numFmtId="0" fontId="5" fillId="13" borderId="2" xfId="0" applyFont="1" applyFill="1" applyBorder="1" applyAlignment="1">
      <alignment horizontal="center" vertical="center"/>
    </xf>
    <xf numFmtId="49" fontId="0" fillId="0" borderId="2" xfId="0" applyNumberFormat="1" applyBorder="1" applyAlignment="1">
      <alignment vertical="top" wrapText="1"/>
    </xf>
    <xf numFmtId="0" fontId="0" fillId="14" borderId="0" xfId="0" applyFill="1" applyBorder="1" applyAlignment="1">
      <alignment vertical="top" wrapText="1"/>
    </xf>
    <xf numFmtId="0" fontId="0" fillId="14" borderId="9" xfId="0" applyFill="1" applyBorder="1" applyAlignment="1">
      <alignment vertical="top" wrapText="1"/>
    </xf>
    <xf numFmtId="0" fontId="0" fillId="14" borderId="10" xfId="0" applyFill="1" applyBorder="1" applyAlignment="1">
      <alignment vertical="top" wrapText="1"/>
    </xf>
    <xf numFmtId="0" fontId="0" fillId="14" borderId="12" xfId="0" applyFill="1" applyBorder="1" applyAlignment="1">
      <alignment vertical="top" wrapText="1"/>
    </xf>
    <xf numFmtId="0" fontId="0" fillId="14" borderId="13" xfId="0" applyFill="1" applyBorder="1" applyAlignment="1">
      <alignment vertical="top" wrapText="1"/>
    </xf>
    <xf numFmtId="0" fontId="0" fillId="14" borderId="14" xfId="0" applyFill="1" applyBorder="1" applyAlignment="1">
      <alignment vertical="top" wrapText="1"/>
    </xf>
    <xf numFmtId="0" fontId="0" fillId="14" borderId="15" xfId="0" applyFill="1" applyBorder="1" applyAlignment="1">
      <alignment vertical="top" wrapText="1"/>
    </xf>
    <xf numFmtId="0" fontId="0" fillId="14" borderId="16" xfId="0" applyFill="1" applyBorder="1" applyAlignment="1">
      <alignment vertical="top" wrapText="1"/>
    </xf>
    <xf numFmtId="0" fontId="8" fillId="14" borderId="11" xfId="0" applyFont="1" applyFill="1" applyBorder="1" applyAlignment="1">
      <alignment vertical="top" wrapText="1"/>
    </xf>
    <xf numFmtId="0" fontId="9" fillId="0" borderId="0" xfId="0" applyFont="1">
      <alignment vertical="center"/>
    </xf>
    <xf numFmtId="0" fontId="10" fillId="0" borderId="0" xfId="0" applyFont="1">
      <alignment vertical="center"/>
    </xf>
    <xf numFmtId="0" fontId="10" fillId="0" borderId="0" xfId="0" applyFont="1" applyAlignment="1">
      <alignment vertical="top"/>
    </xf>
    <xf numFmtId="0" fontId="11" fillId="2" borderId="2" xfId="0" applyFont="1" applyFill="1" applyBorder="1" applyAlignment="1">
      <alignment horizontal="center" vertical="center"/>
    </xf>
    <xf numFmtId="0" fontId="10" fillId="0" borderId="2" xfId="0" applyFont="1" applyBorder="1" applyAlignment="1">
      <alignment vertical="top" wrapText="1"/>
    </xf>
    <xf numFmtId="0" fontId="12" fillId="0" borderId="0" xfId="0" applyFont="1">
      <alignment vertical="center"/>
    </xf>
    <xf numFmtId="0" fontId="12" fillId="0" borderId="0" xfId="0" applyFont="1" applyFill="1" applyBorder="1" applyAlignment="1">
      <alignment vertical="top" wrapText="1"/>
    </xf>
    <xf numFmtId="0" fontId="10" fillId="10" borderId="0" xfId="0" applyFont="1" applyFill="1">
      <alignment vertical="center"/>
    </xf>
    <xf numFmtId="0" fontId="12" fillId="10" borderId="0" xfId="0" applyFont="1" applyFill="1">
      <alignment vertical="center"/>
    </xf>
    <xf numFmtId="0" fontId="10" fillId="0" borderId="0" xfId="0" applyFont="1" applyFill="1" applyBorder="1" applyAlignment="1">
      <alignment vertical="top"/>
    </xf>
    <xf numFmtId="0" fontId="13" fillId="11" borderId="0" xfId="0" applyFont="1" applyFill="1" applyAlignment="1">
      <alignment vertical="center"/>
    </xf>
    <xf numFmtId="0" fontId="5" fillId="13" borderId="2" xfId="0" applyFont="1" applyFill="1" applyBorder="1" applyAlignment="1">
      <alignment horizontal="center" vertical="center" wrapText="1"/>
    </xf>
    <xf numFmtId="49" fontId="4" fillId="0" borderId="2" xfId="0" applyNumberFormat="1" applyFont="1" applyBorder="1" applyAlignment="1">
      <alignment vertical="top" wrapText="1"/>
    </xf>
    <xf numFmtId="0" fontId="4" fillId="0" borderId="0" xfId="0" applyFont="1" applyFill="1" applyBorder="1" applyAlignment="1">
      <alignment horizontal="left" vertical="top"/>
    </xf>
    <xf numFmtId="0" fontId="3" fillId="0" borderId="0" xfId="0" applyFont="1" applyAlignment="1">
      <alignment horizontal="left" vertical="center"/>
    </xf>
    <xf numFmtId="0" fontId="0" fillId="0" borderId="0" xfId="0" applyAlignment="1">
      <alignment horizontal="left" vertical="center"/>
    </xf>
    <xf numFmtId="0" fontId="0" fillId="0" borderId="0" xfId="0" applyAlignment="1">
      <alignment horizontal="left" vertical="top"/>
    </xf>
    <xf numFmtId="0" fontId="5" fillId="2" borderId="2" xfId="0" applyFont="1" applyFill="1" applyBorder="1" applyAlignment="1">
      <alignment horizontal="left" vertical="center"/>
    </xf>
    <xf numFmtId="0" fontId="0" fillId="0" borderId="2" xfId="0" applyBorder="1" applyAlignment="1">
      <alignment horizontal="left" vertical="top"/>
    </xf>
    <xf numFmtId="179" fontId="0" fillId="0" borderId="2" xfId="0" applyNumberFormat="1" applyBorder="1" applyAlignment="1">
      <alignment horizontal="left" vertical="top"/>
    </xf>
    <xf numFmtId="0" fontId="0" fillId="0" borderId="2" xfId="0" applyBorder="1" applyAlignment="1">
      <alignment horizontal="left" vertical="center"/>
    </xf>
    <xf numFmtId="179" fontId="0" fillId="0" borderId="2" xfId="0" applyNumberFormat="1" applyBorder="1" applyAlignment="1">
      <alignment horizontal="left" vertical="center"/>
    </xf>
    <xf numFmtId="179" fontId="5" fillId="2" borderId="2" xfId="0" applyNumberFormat="1" applyFont="1" applyFill="1" applyBorder="1" applyAlignment="1">
      <alignment horizontal="left" vertical="center"/>
    </xf>
    <xf numFmtId="0" fontId="1" fillId="0" borderId="2" xfId="0" applyFont="1" applyBorder="1" applyAlignment="1">
      <alignment horizontal="left" vertical="center"/>
    </xf>
    <xf numFmtId="179" fontId="1" fillId="0" borderId="2" xfId="0" applyNumberFormat="1" applyFont="1" applyBorder="1" applyAlignment="1">
      <alignment horizontal="left" vertical="center"/>
    </xf>
    <xf numFmtId="0" fontId="0" fillId="11" borderId="17" xfId="0" applyFill="1" applyBorder="1" applyAlignment="1">
      <alignment horizontal="left" vertical="center"/>
    </xf>
    <xf numFmtId="0" fontId="4" fillId="0" borderId="0" xfId="0" applyFont="1" applyAlignment="1">
      <alignment horizontal="left" vertical="center"/>
    </xf>
    <xf numFmtId="0" fontId="4" fillId="0" borderId="0" xfId="0" applyFont="1" applyAlignment="1">
      <alignment horizontal="left" vertical="top"/>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160BE1-063F-A349-854D-20148F405AAA}">
  <we:reference id="wa200010725" version="1.0.0.1" store="en-US" storeType="OMEX"/>
  <we:alternateReferences>
    <we:reference id="wa200010725" version="1.0.0.1" store="" storeType="OMEX"/>
  </we:alternateReferences>
  <we:properties>
    <we:property name="claude.fileId" value="&quot;b9cb7434-595b-466c-bb7e-75abe0fbc06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68219-F8FF-964D-9E27-EF797A07CBDF}">
  <dimension ref="A1:D44"/>
  <sheetViews>
    <sheetView workbookViewId="0">
      <selection activeCell="F23" sqref="F23"/>
    </sheetView>
  </sheetViews>
  <sheetFormatPr baseColWidth="10" defaultRowHeight="20"/>
  <cols>
    <col min="1" max="1" width="30" customWidth="1"/>
    <col min="2" max="2" width="61.42578125" customWidth="1"/>
    <col min="3" max="3" width="30" customWidth="1"/>
    <col min="4" max="4" width="15.7109375" customWidth="1"/>
  </cols>
  <sheetData>
    <row r="1" spans="1:3" ht="27">
      <c r="A1" s="1" t="s">
        <v>77</v>
      </c>
    </row>
    <row r="2" spans="1:3">
      <c r="A2" t="s">
        <v>78</v>
      </c>
    </row>
    <row r="4" spans="1:3">
      <c r="A4" s="2" t="s">
        <v>79</v>
      </c>
    </row>
    <row r="5" spans="1:3">
      <c r="A5" s="7" t="s">
        <v>80</v>
      </c>
      <c r="B5" s="7" t="s">
        <v>81</v>
      </c>
      <c r="C5" s="7"/>
    </row>
    <row r="6" spans="1:3" ht="21">
      <c r="A6" s="8" t="s">
        <v>82</v>
      </c>
      <c r="B6" s="8" t="s">
        <v>77</v>
      </c>
      <c r="C6" s="8" t="s">
        <v>83</v>
      </c>
    </row>
    <row r="7" spans="1:3" ht="21">
      <c r="A7" s="8" t="s">
        <v>84</v>
      </c>
      <c r="B7" s="8" t="s">
        <v>85</v>
      </c>
      <c r="C7" s="8"/>
    </row>
    <row r="8" spans="1:3" ht="42">
      <c r="A8" s="8" t="s">
        <v>86</v>
      </c>
      <c r="B8" s="8" t="s">
        <v>87</v>
      </c>
      <c r="C8" s="8"/>
    </row>
    <row r="9" spans="1:3" ht="21">
      <c r="A9" s="8" t="s">
        <v>88</v>
      </c>
      <c r="B9" s="8" t="s">
        <v>89</v>
      </c>
      <c r="C9" s="8"/>
    </row>
    <row r="10" spans="1:3" ht="21">
      <c r="A10" s="8" t="s">
        <v>90</v>
      </c>
      <c r="B10" s="41" t="s">
        <v>1780</v>
      </c>
      <c r="C10" s="8" t="s">
        <v>83</v>
      </c>
    </row>
    <row r="11" spans="1:3" ht="21">
      <c r="A11" s="8" t="s">
        <v>91</v>
      </c>
      <c r="B11" s="41" t="s">
        <v>522</v>
      </c>
      <c r="C11" s="8" t="s">
        <v>83</v>
      </c>
    </row>
    <row r="12" spans="1:3" ht="21">
      <c r="A12" s="8" t="s">
        <v>92</v>
      </c>
      <c r="B12" s="8"/>
      <c r="C12" s="8" t="s">
        <v>83</v>
      </c>
    </row>
    <row r="13" spans="1:3" ht="21">
      <c r="A13" s="8" t="s">
        <v>93</v>
      </c>
      <c r="B13" s="8"/>
      <c r="C13" s="8" t="s">
        <v>83</v>
      </c>
    </row>
    <row r="14" spans="1:3">
      <c r="A14" s="8"/>
      <c r="B14" s="8"/>
      <c r="C14" s="8"/>
    </row>
    <row r="15" spans="1:3" ht="63">
      <c r="A15" s="8" t="s">
        <v>94</v>
      </c>
      <c r="B15" s="8" t="s">
        <v>1520</v>
      </c>
      <c r="C15" s="8" t="s">
        <v>83</v>
      </c>
    </row>
    <row r="22" spans="4:4">
      <c r="D22" s="8"/>
    </row>
    <row r="23" spans="4:4">
      <c r="D23" s="8"/>
    </row>
    <row r="24" spans="4:4">
      <c r="D24" s="8"/>
    </row>
    <row r="25" spans="4:4">
      <c r="D25" s="8"/>
    </row>
    <row r="26" spans="4:4">
      <c r="D26" s="8"/>
    </row>
    <row r="27" spans="4:4">
      <c r="D27" s="8"/>
    </row>
    <row r="28" spans="4:4">
      <c r="D28" s="8"/>
    </row>
    <row r="29" spans="4:4">
      <c r="D29" s="8"/>
    </row>
    <row r="30" spans="4:4">
      <c r="D30" s="8"/>
    </row>
    <row r="31" spans="4:4">
      <c r="D31" s="8"/>
    </row>
    <row r="34" spans="1:4" ht="21">
      <c r="A34" s="10" t="s">
        <v>95</v>
      </c>
    </row>
    <row r="35" spans="1:4">
      <c r="A35" s="7" t="s">
        <v>90</v>
      </c>
      <c r="B35" s="7" t="s">
        <v>96</v>
      </c>
      <c r="C35" s="7" t="s">
        <v>97</v>
      </c>
      <c r="D35" s="7" t="s">
        <v>98</v>
      </c>
    </row>
    <row r="36" spans="1:4" ht="21">
      <c r="A36" s="41" t="s">
        <v>521</v>
      </c>
      <c r="B36" s="41" t="s">
        <v>522</v>
      </c>
      <c r="C36" s="8" t="s">
        <v>523</v>
      </c>
      <c r="D36" s="8"/>
    </row>
    <row r="37" spans="1:4" ht="189">
      <c r="A37" s="41" t="s">
        <v>1519</v>
      </c>
      <c r="B37" s="41" t="s">
        <v>1521</v>
      </c>
      <c r="C37" s="41" t="s">
        <v>1522</v>
      </c>
      <c r="D37" s="41" t="s">
        <v>1523</v>
      </c>
    </row>
    <row r="38" spans="1:4" ht="147">
      <c r="A38" s="41" t="s">
        <v>1626</v>
      </c>
      <c r="B38" s="41" t="s">
        <v>1521</v>
      </c>
      <c r="C38" s="41" t="s">
        <v>1627</v>
      </c>
      <c r="D38" s="41" t="s">
        <v>1523</v>
      </c>
    </row>
    <row r="39" spans="1:4" ht="84">
      <c r="A39" s="63" t="s">
        <v>1781</v>
      </c>
      <c r="B39" s="41" t="s">
        <v>1782</v>
      </c>
      <c r="C39" s="41" t="s">
        <v>1783</v>
      </c>
      <c r="D39" s="41" t="s">
        <v>1523</v>
      </c>
    </row>
    <row r="40" spans="1:4" ht="63">
      <c r="A40" s="4" t="s">
        <v>60</v>
      </c>
    </row>
    <row r="41" spans="1:4" ht="63">
      <c r="A41" s="4" t="s">
        <v>1277</v>
      </c>
    </row>
    <row r="42" spans="1:4" ht="105">
      <c r="A42" s="4" t="s">
        <v>61</v>
      </c>
    </row>
    <row r="43" spans="1:4" ht="42">
      <c r="A43" s="4" t="s">
        <v>62</v>
      </c>
    </row>
    <row r="44" spans="1:4">
      <c r="A44" t="s">
        <v>63</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8D42C-589D-FD40-8240-035A97FA79D2}">
  <dimension ref="A1:D67"/>
  <sheetViews>
    <sheetView workbookViewId="0">
      <selection activeCell="B78" sqref="B78"/>
    </sheetView>
  </sheetViews>
  <sheetFormatPr baseColWidth="10" defaultRowHeight="20"/>
  <cols>
    <col min="1" max="1" width="27.140625" customWidth="1"/>
    <col min="2" max="2" width="91.42578125" customWidth="1"/>
    <col min="3" max="3" width="8.5703125" customWidth="1"/>
    <col min="4" max="5" width="24.28515625" customWidth="1"/>
  </cols>
  <sheetData>
    <row r="1" spans="1:2" ht="27">
      <c r="A1" s="1" t="s">
        <v>524</v>
      </c>
    </row>
    <row r="3" spans="1:2">
      <c r="A3" s="2" t="s">
        <v>525</v>
      </c>
    </row>
    <row r="4" spans="1:2">
      <c r="A4" s="7" t="s">
        <v>526</v>
      </c>
      <c r="B4" s="7" t="s">
        <v>81</v>
      </c>
    </row>
    <row r="5" spans="1:2" ht="63">
      <c r="A5" s="8" t="s">
        <v>527</v>
      </c>
      <c r="B5" s="8" t="s">
        <v>1380</v>
      </c>
    </row>
    <row r="6" spans="1:2" ht="63">
      <c r="A6" s="8" t="s">
        <v>528</v>
      </c>
      <c r="B6" s="8" t="s">
        <v>529</v>
      </c>
    </row>
    <row r="7" spans="1:2" ht="21">
      <c r="A7" s="8" t="s">
        <v>530</v>
      </c>
      <c r="B7" s="8" t="s">
        <v>531</v>
      </c>
    </row>
    <row r="10" spans="1:2" ht="21">
      <c r="A10" s="10" t="s">
        <v>532</v>
      </c>
    </row>
    <row r="11" spans="1:2">
      <c r="A11" s="7" t="s">
        <v>158</v>
      </c>
      <c r="B11" s="7" t="s">
        <v>533</v>
      </c>
    </row>
    <row r="12" spans="1:2" ht="42">
      <c r="A12" s="8" t="s">
        <v>534</v>
      </c>
      <c r="B12" s="8" t="s">
        <v>535</v>
      </c>
    </row>
    <row r="13" spans="1:2" ht="21">
      <c r="A13" s="8" t="s">
        <v>536</v>
      </c>
      <c r="B13" s="8" t="s">
        <v>535</v>
      </c>
    </row>
    <row r="14" spans="1:2" ht="42">
      <c r="A14" s="8" t="s">
        <v>537</v>
      </c>
      <c r="B14" s="8" t="s">
        <v>535</v>
      </c>
    </row>
    <row r="15" spans="1:2" ht="21">
      <c r="A15" s="8" t="s">
        <v>538</v>
      </c>
      <c r="B15" s="8" t="s">
        <v>535</v>
      </c>
    </row>
    <row r="16" spans="1:2" ht="21">
      <c r="A16" s="8" t="s">
        <v>539</v>
      </c>
      <c r="B16" s="8" t="s">
        <v>535</v>
      </c>
    </row>
    <row r="17" spans="1:2" ht="21">
      <c r="A17" s="8" t="s">
        <v>540</v>
      </c>
      <c r="B17" s="8" t="s">
        <v>541</v>
      </c>
    </row>
    <row r="20" spans="1:2" ht="21">
      <c r="A20" s="10" t="s">
        <v>542</v>
      </c>
    </row>
    <row r="21" spans="1:2">
      <c r="A21" s="7" t="s">
        <v>80</v>
      </c>
      <c r="B21" s="7" t="s">
        <v>543</v>
      </c>
    </row>
    <row r="22" spans="1:2" ht="42">
      <c r="A22" s="8" t="s">
        <v>544</v>
      </c>
      <c r="B22" s="8" t="s">
        <v>545</v>
      </c>
    </row>
    <row r="23" spans="1:2" ht="42">
      <c r="A23" s="8" t="s">
        <v>546</v>
      </c>
      <c r="B23" s="8" t="s">
        <v>547</v>
      </c>
    </row>
    <row r="24" spans="1:2" ht="21">
      <c r="A24" s="8" t="s">
        <v>548</v>
      </c>
      <c r="B24" s="8" t="s">
        <v>549</v>
      </c>
    </row>
    <row r="25" spans="1:2" ht="42">
      <c r="A25" s="8" t="s">
        <v>550</v>
      </c>
      <c r="B25" s="8" t="s">
        <v>551</v>
      </c>
    </row>
    <row r="26" spans="1:2" ht="21">
      <c r="A26" s="8" t="s">
        <v>552</v>
      </c>
      <c r="B26" s="8" t="s">
        <v>553</v>
      </c>
    </row>
    <row r="27" spans="1:2" ht="42">
      <c r="A27" s="8" t="s">
        <v>554</v>
      </c>
      <c r="B27" s="8" t="s">
        <v>555</v>
      </c>
    </row>
    <row r="28" spans="1:2" ht="21">
      <c r="A28" s="8" t="s">
        <v>556</v>
      </c>
      <c r="B28" s="8" t="s">
        <v>557</v>
      </c>
    </row>
    <row r="29" spans="1:2" ht="21">
      <c r="A29" s="8" t="s">
        <v>558</v>
      </c>
      <c r="B29" s="8" t="s">
        <v>559</v>
      </c>
    </row>
    <row r="30" spans="1:2" ht="21">
      <c r="A30" s="8" t="s">
        <v>560</v>
      </c>
      <c r="B30" s="8" t="s">
        <v>561</v>
      </c>
    </row>
    <row r="31" spans="1:2" ht="21">
      <c r="A31" s="8" t="s">
        <v>562</v>
      </c>
      <c r="B31" s="8" t="s">
        <v>563</v>
      </c>
    </row>
    <row r="32" spans="1:2" ht="21">
      <c r="A32" s="8" t="s">
        <v>564</v>
      </c>
      <c r="B32" s="8" t="s">
        <v>565</v>
      </c>
    </row>
    <row r="33" spans="1:2" ht="42">
      <c r="A33" s="8" t="s">
        <v>566</v>
      </c>
      <c r="B33" s="8" t="s">
        <v>567</v>
      </c>
    </row>
    <row r="34" spans="1:2" ht="42">
      <c r="A34" s="8" t="s">
        <v>568</v>
      </c>
      <c r="B34" s="8" t="s">
        <v>569</v>
      </c>
    </row>
    <row r="35" spans="1:2" ht="42">
      <c r="A35" s="8" t="s">
        <v>570</v>
      </c>
      <c r="B35" s="8" t="s">
        <v>571</v>
      </c>
    </row>
    <row r="38" spans="1:2" ht="42">
      <c r="A38" s="10" t="s">
        <v>572</v>
      </c>
    </row>
    <row r="39" spans="1:2">
      <c r="A39" s="7" t="s">
        <v>573</v>
      </c>
      <c r="B39" s="7" t="s">
        <v>232</v>
      </c>
    </row>
    <row r="40" spans="1:2" ht="42">
      <c r="A40" s="8" t="s">
        <v>574</v>
      </c>
      <c r="B40" s="8" t="s">
        <v>575</v>
      </c>
    </row>
    <row r="41" spans="1:2" ht="42">
      <c r="A41" s="8" t="s">
        <v>106</v>
      </c>
      <c r="B41" s="8" t="s">
        <v>576</v>
      </c>
    </row>
    <row r="42" spans="1:2" ht="42">
      <c r="A42" s="8" t="s">
        <v>577</v>
      </c>
      <c r="B42" s="8" t="s">
        <v>578</v>
      </c>
    </row>
    <row r="43" spans="1:2" ht="42">
      <c r="A43" s="8" t="s">
        <v>579</v>
      </c>
      <c r="B43" s="8" t="s">
        <v>580</v>
      </c>
    </row>
    <row r="44" spans="1:2" ht="21">
      <c r="A44" s="8" t="s">
        <v>581</v>
      </c>
      <c r="B44" s="8" t="s">
        <v>582</v>
      </c>
    </row>
    <row r="45" spans="1:2" ht="42">
      <c r="A45" s="8" t="s">
        <v>583</v>
      </c>
      <c r="B45" s="8" t="s">
        <v>584</v>
      </c>
    </row>
    <row r="46" spans="1:2" ht="21">
      <c r="A46" s="8" t="s">
        <v>585</v>
      </c>
      <c r="B46" s="8" t="s">
        <v>586</v>
      </c>
    </row>
    <row r="47" spans="1:2" ht="21">
      <c r="A47" s="8" t="s">
        <v>587</v>
      </c>
      <c r="B47" s="8" t="s">
        <v>588</v>
      </c>
    </row>
    <row r="48" spans="1:2" ht="21">
      <c r="A48" s="8" t="s">
        <v>589</v>
      </c>
      <c r="B48" s="8" t="s">
        <v>590</v>
      </c>
    </row>
    <row r="49" spans="1:4" ht="63">
      <c r="A49" s="8" t="s">
        <v>1391</v>
      </c>
      <c r="B49" s="8" t="s">
        <v>1392</v>
      </c>
    </row>
    <row r="51" spans="1:4" ht="63">
      <c r="A51" s="10" t="s">
        <v>591</v>
      </c>
    </row>
    <row r="52" spans="1:4">
      <c r="A52" t="s">
        <v>1321</v>
      </c>
    </row>
    <row r="53" spans="1:4">
      <c r="A53" s="7" t="s">
        <v>592</v>
      </c>
      <c r="B53" s="7" t="s">
        <v>593</v>
      </c>
      <c r="C53" s="7" t="s">
        <v>594</v>
      </c>
      <c r="D53" s="7" t="s">
        <v>595</v>
      </c>
    </row>
    <row r="54" spans="1:4" ht="84">
      <c r="A54" s="8" t="s">
        <v>596</v>
      </c>
      <c r="B54" s="8" t="s">
        <v>597</v>
      </c>
      <c r="C54" s="8" t="s">
        <v>598</v>
      </c>
      <c r="D54" s="8" t="s">
        <v>599</v>
      </c>
    </row>
    <row r="55" spans="1:4" ht="63">
      <c r="A55" s="8" t="s">
        <v>600</v>
      </c>
      <c r="B55" s="8" t="s">
        <v>601</v>
      </c>
      <c r="C55" s="8" t="s">
        <v>598</v>
      </c>
      <c r="D55" s="8" t="s">
        <v>599</v>
      </c>
    </row>
    <row r="56" spans="1:4" ht="84">
      <c r="A56" s="8" t="s">
        <v>602</v>
      </c>
      <c r="B56" s="8" t="s">
        <v>603</v>
      </c>
      <c r="C56" s="8" t="s">
        <v>598</v>
      </c>
      <c r="D56" s="8" t="s">
        <v>599</v>
      </c>
    </row>
    <row r="57" spans="1:4" ht="63">
      <c r="A57" s="8" t="s">
        <v>604</v>
      </c>
      <c r="B57" s="8" t="s">
        <v>605</v>
      </c>
      <c r="C57" s="8" t="s">
        <v>598</v>
      </c>
      <c r="D57" s="8" t="s">
        <v>606</v>
      </c>
    </row>
    <row r="58" spans="1:4" ht="63">
      <c r="A58" s="8" t="s">
        <v>607</v>
      </c>
      <c r="B58" s="8" t="s">
        <v>608</v>
      </c>
      <c r="C58" s="8" t="s">
        <v>598</v>
      </c>
      <c r="D58" s="8" t="s">
        <v>606</v>
      </c>
    </row>
    <row r="59" spans="1:4" ht="42">
      <c r="A59" s="8" t="s">
        <v>609</v>
      </c>
      <c r="B59" s="8" t="s">
        <v>610</v>
      </c>
      <c r="C59" s="8" t="s">
        <v>598</v>
      </c>
      <c r="D59" s="8" t="s">
        <v>606</v>
      </c>
    </row>
    <row r="60" spans="1:4" ht="42">
      <c r="A60" s="8" t="s">
        <v>611</v>
      </c>
      <c r="B60" s="8" t="s">
        <v>612</v>
      </c>
      <c r="C60" s="8" t="s">
        <v>613</v>
      </c>
      <c r="D60" s="8" t="s">
        <v>614</v>
      </c>
    </row>
    <row r="61" spans="1:4" ht="63">
      <c r="A61" s="8" t="s">
        <v>615</v>
      </c>
      <c r="B61" s="8" t="s">
        <v>616</v>
      </c>
      <c r="C61" s="8" t="s">
        <v>613</v>
      </c>
      <c r="D61" s="8" t="s">
        <v>614</v>
      </c>
    </row>
    <row r="62" spans="1:4" ht="63">
      <c r="A62" s="8" t="s">
        <v>617</v>
      </c>
      <c r="B62" s="8" t="s">
        <v>618</v>
      </c>
      <c r="C62" s="8" t="s">
        <v>613</v>
      </c>
      <c r="D62" s="8" t="s">
        <v>619</v>
      </c>
    </row>
    <row r="63" spans="1:4" ht="63">
      <c r="A63" s="8" t="s">
        <v>620</v>
      </c>
      <c r="B63" s="8" t="s">
        <v>621</v>
      </c>
      <c r="C63" s="8" t="s">
        <v>613</v>
      </c>
      <c r="D63" s="8" t="s">
        <v>619</v>
      </c>
    </row>
    <row r="64" spans="1:4" ht="63">
      <c r="A64" s="8" t="s">
        <v>622</v>
      </c>
      <c r="B64" s="8" t="s">
        <v>623</v>
      </c>
      <c r="C64" s="8" t="s">
        <v>613</v>
      </c>
      <c r="D64" s="8" t="s">
        <v>619</v>
      </c>
    </row>
    <row r="65" spans="1:4" ht="63">
      <c r="A65" s="8" t="s">
        <v>624</v>
      </c>
      <c r="B65" s="8" t="s">
        <v>625</v>
      </c>
      <c r="C65" s="8" t="s">
        <v>613</v>
      </c>
      <c r="D65" s="8" t="s">
        <v>626</v>
      </c>
    </row>
    <row r="66" spans="1:4" ht="63">
      <c r="A66" s="8" t="s">
        <v>627</v>
      </c>
      <c r="B66" s="8" t="s">
        <v>628</v>
      </c>
      <c r="C66" s="8" t="s">
        <v>613</v>
      </c>
      <c r="D66" s="8" t="s">
        <v>626</v>
      </c>
    </row>
    <row r="67" spans="1:4" ht="84">
      <c r="A67" s="8" t="s">
        <v>1393</v>
      </c>
      <c r="B67" s="8" t="s">
        <v>1394</v>
      </c>
      <c r="C67" s="8" t="s">
        <v>22</v>
      </c>
      <c r="D67" s="8" t="s">
        <v>485</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CE13B-69B0-1847-B6E5-D76B875054E9}">
  <dimension ref="A1:F109"/>
  <sheetViews>
    <sheetView topLeftCell="A94" zoomScale="92" workbookViewId="0">
      <selection activeCell="E109" sqref="E109"/>
    </sheetView>
  </sheetViews>
  <sheetFormatPr baseColWidth="10" defaultRowHeight="20"/>
  <cols>
    <col min="1" max="1" width="35.7109375" customWidth="1"/>
    <col min="2" max="2" width="30" customWidth="1"/>
    <col min="3" max="3" width="32.85546875" customWidth="1"/>
    <col min="4" max="4" width="47.140625" customWidth="1"/>
    <col min="5" max="5" width="24.28515625" customWidth="1"/>
    <col min="6" max="6" width="15.7109375" customWidth="1"/>
  </cols>
  <sheetData>
    <row r="1" spans="1:4" ht="27">
      <c r="A1" s="1" t="s">
        <v>629</v>
      </c>
    </row>
    <row r="3" spans="1:4" ht="21" thickBot="1">
      <c r="A3" s="2" t="s">
        <v>630</v>
      </c>
    </row>
    <row r="4" spans="1:4" ht="22" customHeight="1">
      <c r="A4" s="50" t="s">
        <v>631</v>
      </c>
      <c r="B4" s="43"/>
      <c r="C4" s="47"/>
    </row>
    <row r="5" spans="1:4" ht="22" customHeight="1">
      <c r="A5" s="45" t="s">
        <v>632</v>
      </c>
      <c r="B5" s="42"/>
      <c r="C5" s="48"/>
    </row>
    <row r="6" spans="1:4" ht="22" customHeight="1">
      <c r="A6" s="45"/>
      <c r="B6" s="42"/>
      <c r="C6" s="48"/>
    </row>
    <row r="7" spans="1:4" ht="22" customHeight="1" thickBot="1">
      <c r="A7" s="46" t="s">
        <v>633</v>
      </c>
      <c r="B7" s="44"/>
      <c r="C7" s="49"/>
    </row>
    <row r="9" spans="1:4">
      <c r="A9" s="7" t="s">
        <v>634</v>
      </c>
      <c r="B9" s="7" t="s">
        <v>635</v>
      </c>
      <c r="C9" s="7" t="s">
        <v>636</v>
      </c>
      <c r="D9" s="7"/>
    </row>
    <row r="10" spans="1:4" ht="21">
      <c r="A10" s="8" t="s">
        <v>637</v>
      </c>
      <c r="B10" s="8" t="s">
        <v>106</v>
      </c>
      <c r="C10" s="8" t="s">
        <v>638</v>
      </c>
      <c r="D10" s="8"/>
    </row>
    <row r="11" spans="1:4" ht="21">
      <c r="A11" s="8" t="s">
        <v>637</v>
      </c>
      <c r="B11" s="8" t="s">
        <v>639</v>
      </c>
      <c r="C11" s="8" t="s">
        <v>640</v>
      </c>
      <c r="D11" s="8"/>
    </row>
    <row r="12" spans="1:4" ht="21">
      <c r="A12" s="8" t="s">
        <v>637</v>
      </c>
      <c r="B12" s="8" t="s">
        <v>641</v>
      </c>
      <c r="C12" s="8" t="s">
        <v>642</v>
      </c>
      <c r="D12" s="8"/>
    </row>
    <row r="13" spans="1:4" ht="21">
      <c r="A13" s="8" t="s">
        <v>637</v>
      </c>
      <c r="B13" s="8" t="s">
        <v>117</v>
      </c>
      <c r="C13" s="8" t="s">
        <v>643</v>
      </c>
      <c r="D13" s="8"/>
    </row>
    <row r="14" spans="1:4" ht="21">
      <c r="A14" s="8" t="s">
        <v>637</v>
      </c>
      <c r="B14" s="8" t="s">
        <v>120</v>
      </c>
      <c r="C14" s="8" t="s">
        <v>644</v>
      </c>
      <c r="D14" s="8"/>
    </row>
    <row r="15" spans="1:4" ht="42">
      <c r="A15" s="8" t="s">
        <v>645</v>
      </c>
      <c r="B15" s="8" t="s">
        <v>646</v>
      </c>
      <c r="C15" s="8" t="s">
        <v>647</v>
      </c>
      <c r="D15" s="8"/>
    </row>
    <row r="16" spans="1:4" ht="42">
      <c r="A16" s="8" t="s">
        <v>645</v>
      </c>
      <c r="B16" s="8" t="s">
        <v>648</v>
      </c>
      <c r="C16" s="8" t="s">
        <v>647</v>
      </c>
      <c r="D16" s="8"/>
    </row>
    <row r="17" spans="1:6" ht="21">
      <c r="A17" s="8" t="s">
        <v>649</v>
      </c>
      <c r="B17" s="8" t="s">
        <v>127</v>
      </c>
      <c r="C17" s="8" t="s">
        <v>650</v>
      </c>
      <c r="D17" s="8"/>
    </row>
    <row r="18" spans="1:6" ht="21">
      <c r="A18" s="8" t="s">
        <v>649</v>
      </c>
      <c r="B18" s="8" t="s">
        <v>132</v>
      </c>
      <c r="C18" s="8" t="s">
        <v>651</v>
      </c>
      <c r="D18" s="8"/>
    </row>
    <row r="19" spans="1:6" ht="21">
      <c r="A19" s="8" t="s">
        <v>652</v>
      </c>
      <c r="B19" s="8" t="s">
        <v>127</v>
      </c>
      <c r="C19" s="8" t="s">
        <v>83</v>
      </c>
      <c r="D19" s="8"/>
    </row>
    <row r="20" spans="1:6" ht="21">
      <c r="A20" s="8" t="s">
        <v>652</v>
      </c>
      <c r="B20" s="8" t="s">
        <v>132</v>
      </c>
      <c r="C20" s="8" t="s">
        <v>651</v>
      </c>
      <c r="D20" s="8"/>
    </row>
    <row r="23" spans="1:6">
      <c r="A23" s="7" t="s">
        <v>653</v>
      </c>
      <c r="B23" s="7" t="s">
        <v>654</v>
      </c>
      <c r="C23" s="7" t="s">
        <v>655</v>
      </c>
      <c r="D23" s="7" t="s">
        <v>656</v>
      </c>
      <c r="E23" s="7" t="s">
        <v>657</v>
      </c>
      <c r="F23" s="7"/>
    </row>
    <row r="24" spans="1:6" ht="42">
      <c r="A24" s="8">
        <v>1</v>
      </c>
      <c r="B24" s="8" t="s">
        <v>106</v>
      </c>
      <c r="C24" s="8" t="s">
        <v>658</v>
      </c>
      <c r="D24" s="8" t="s">
        <v>659</v>
      </c>
      <c r="E24" s="8" t="s">
        <v>660</v>
      </c>
      <c r="F24" s="8"/>
    </row>
    <row r="25" spans="1:6" ht="21">
      <c r="A25" s="8">
        <v>2</v>
      </c>
      <c r="B25" s="8" t="s">
        <v>106</v>
      </c>
      <c r="C25" s="8" t="s">
        <v>661</v>
      </c>
      <c r="D25" s="8" t="s">
        <v>662</v>
      </c>
      <c r="E25" s="8" t="s">
        <v>660</v>
      </c>
      <c r="F25" s="8"/>
    </row>
    <row r="26" spans="1:6" ht="21">
      <c r="A26" s="8">
        <v>3</v>
      </c>
      <c r="B26" s="8" t="s">
        <v>106</v>
      </c>
      <c r="C26" s="8" t="s">
        <v>639</v>
      </c>
      <c r="D26" s="8" t="s">
        <v>663</v>
      </c>
      <c r="E26" s="8" t="s">
        <v>664</v>
      </c>
      <c r="F26" s="8"/>
    </row>
    <row r="27" spans="1:6" ht="21">
      <c r="A27" s="8">
        <v>4</v>
      </c>
      <c r="B27" s="8" t="s">
        <v>106</v>
      </c>
      <c r="C27" s="8" t="s">
        <v>641</v>
      </c>
      <c r="D27" s="8" t="s">
        <v>665</v>
      </c>
      <c r="E27" s="8" t="s">
        <v>664</v>
      </c>
      <c r="F27" s="8"/>
    </row>
    <row r="28" spans="1:6" ht="21">
      <c r="A28" s="8">
        <v>5</v>
      </c>
      <c r="B28" s="8" t="s">
        <v>641</v>
      </c>
      <c r="C28" s="8" t="s">
        <v>639</v>
      </c>
      <c r="D28" s="8" t="s">
        <v>666</v>
      </c>
      <c r="E28" s="8" t="s">
        <v>664</v>
      </c>
      <c r="F28" s="8"/>
    </row>
    <row r="29" spans="1:6" ht="21">
      <c r="A29" s="8">
        <v>6</v>
      </c>
      <c r="B29" s="8" t="s">
        <v>641</v>
      </c>
      <c r="C29" s="8" t="s">
        <v>646</v>
      </c>
      <c r="D29" s="8" t="s">
        <v>667</v>
      </c>
      <c r="E29" s="8" t="s">
        <v>668</v>
      </c>
      <c r="F29" s="8"/>
    </row>
    <row r="30" spans="1:6" ht="21">
      <c r="A30" s="8">
        <v>7</v>
      </c>
      <c r="B30" s="8" t="s">
        <v>646</v>
      </c>
      <c r="C30" s="8" t="s">
        <v>669</v>
      </c>
      <c r="D30" s="8" t="s">
        <v>83</v>
      </c>
      <c r="E30" s="8" t="s">
        <v>668</v>
      </c>
      <c r="F30" s="8"/>
    </row>
    <row r="31" spans="1:6" ht="21">
      <c r="A31" s="8">
        <v>8</v>
      </c>
      <c r="B31" s="8" t="s">
        <v>641</v>
      </c>
      <c r="C31" s="8" t="s">
        <v>648</v>
      </c>
      <c r="D31" s="8" t="s">
        <v>83</v>
      </c>
      <c r="E31" s="8" t="s">
        <v>668</v>
      </c>
      <c r="F31" s="8"/>
    </row>
    <row r="32" spans="1:6" ht="21">
      <c r="A32" s="8">
        <v>9</v>
      </c>
      <c r="B32" s="8" t="s">
        <v>648</v>
      </c>
      <c r="C32" s="8" t="s">
        <v>670</v>
      </c>
      <c r="D32" s="8" t="s">
        <v>83</v>
      </c>
      <c r="E32" s="8" t="s">
        <v>668</v>
      </c>
      <c r="F32" s="8"/>
    </row>
    <row r="33" spans="1:6" ht="21">
      <c r="A33" s="8">
        <v>10</v>
      </c>
      <c r="B33" s="8" t="s">
        <v>641</v>
      </c>
      <c r="C33" s="8" t="s">
        <v>117</v>
      </c>
      <c r="D33" s="8" t="s">
        <v>671</v>
      </c>
      <c r="E33" s="8" t="s">
        <v>664</v>
      </c>
      <c r="F33" s="8"/>
    </row>
    <row r="34" spans="1:6" ht="21">
      <c r="A34" s="8">
        <v>11</v>
      </c>
      <c r="B34" s="8" t="s">
        <v>117</v>
      </c>
      <c r="C34" s="8" t="s">
        <v>672</v>
      </c>
      <c r="D34" s="8" t="s">
        <v>83</v>
      </c>
      <c r="E34" s="8" t="s">
        <v>664</v>
      </c>
      <c r="F34" s="8"/>
    </row>
    <row r="36" spans="1:6">
      <c r="A36" s="3" t="s">
        <v>673</v>
      </c>
    </row>
    <row r="37" spans="1:6">
      <c r="A37" s="3" t="s">
        <v>674</v>
      </c>
    </row>
    <row r="39" spans="1:6" ht="21" thickBot="1">
      <c r="A39" s="2" t="s">
        <v>675</v>
      </c>
    </row>
    <row r="40" spans="1:6" ht="22" customHeight="1">
      <c r="A40" s="50" t="s">
        <v>676</v>
      </c>
      <c r="B40" s="43"/>
      <c r="C40" s="47"/>
    </row>
    <row r="41" spans="1:6" ht="22" customHeight="1">
      <c r="A41" s="45" t="s">
        <v>677</v>
      </c>
      <c r="B41" s="42"/>
      <c r="C41" s="48"/>
    </row>
    <row r="42" spans="1:6" ht="22" customHeight="1">
      <c r="A42" s="45"/>
      <c r="B42" s="42"/>
      <c r="C42" s="48"/>
    </row>
    <row r="43" spans="1:6" ht="22" customHeight="1" thickBot="1">
      <c r="A43" s="46" t="s">
        <v>633</v>
      </c>
      <c r="B43" s="44"/>
      <c r="C43" s="49"/>
    </row>
    <row r="45" spans="1:6">
      <c r="A45" s="7" t="s">
        <v>634</v>
      </c>
      <c r="B45" s="7" t="s">
        <v>635</v>
      </c>
      <c r="C45" s="7" t="s">
        <v>636</v>
      </c>
      <c r="D45" s="7"/>
    </row>
    <row r="46" spans="1:6" ht="21">
      <c r="A46" s="8" t="s">
        <v>678</v>
      </c>
      <c r="B46" s="8" t="s">
        <v>679</v>
      </c>
      <c r="C46" s="8" t="s">
        <v>680</v>
      </c>
      <c r="D46" s="8"/>
    </row>
    <row r="47" spans="1:6" ht="21">
      <c r="A47" s="8" t="s">
        <v>637</v>
      </c>
      <c r="B47" s="8" t="s">
        <v>103</v>
      </c>
      <c r="C47" s="8" t="s">
        <v>681</v>
      </c>
      <c r="D47" s="8"/>
    </row>
    <row r="48" spans="1:6" ht="21">
      <c r="A48" s="8" t="s">
        <v>637</v>
      </c>
      <c r="B48" s="8" t="s">
        <v>106</v>
      </c>
      <c r="C48" s="8" t="s">
        <v>682</v>
      </c>
      <c r="D48" s="8"/>
    </row>
    <row r="49" spans="1:6" ht="42">
      <c r="A49" s="8" t="s">
        <v>637</v>
      </c>
      <c r="B49" s="8" t="s">
        <v>639</v>
      </c>
      <c r="C49" s="8" t="s">
        <v>683</v>
      </c>
      <c r="D49" s="8"/>
    </row>
    <row r="50" spans="1:6" ht="21">
      <c r="A50" s="8" t="s">
        <v>637</v>
      </c>
      <c r="B50" s="8" t="s">
        <v>577</v>
      </c>
      <c r="C50" s="8" t="s">
        <v>684</v>
      </c>
      <c r="D50" s="8"/>
    </row>
    <row r="51" spans="1:6" ht="21">
      <c r="A51" s="8" t="s">
        <v>637</v>
      </c>
      <c r="B51" s="8" t="s">
        <v>685</v>
      </c>
      <c r="C51" s="8" t="s">
        <v>686</v>
      </c>
      <c r="D51" s="8"/>
    </row>
    <row r="52" spans="1:6" ht="21">
      <c r="A52" s="8" t="s">
        <v>637</v>
      </c>
      <c r="B52" s="8" t="s">
        <v>117</v>
      </c>
      <c r="C52" s="8" t="s">
        <v>83</v>
      </c>
      <c r="D52" s="8"/>
    </row>
    <row r="53" spans="1:6" ht="21">
      <c r="A53" s="8" t="s">
        <v>637</v>
      </c>
      <c r="B53" s="8" t="s">
        <v>120</v>
      </c>
      <c r="C53" s="8" t="s">
        <v>644</v>
      </c>
      <c r="D53" s="8"/>
    </row>
    <row r="54" spans="1:6" ht="42">
      <c r="A54" s="8" t="s">
        <v>687</v>
      </c>
      <c r="B54" s="8" t="s">
        <v>134</v>
      </c>
      <c r="C54" s="8" t="s">
        <v>688</v>
      </c>
      <c r="D54" s="8"/>
    </row>
    <row r="55" spans="1:6" ht="21">
      <c r="A55" s="8" t="s">
        <v>689</v>
      </c>
      <c r="B55" s="8" t="s">
        <v>123</v>
      </c>
      <c r="C55" s="8" t="s">
        <v>690</v>
      </c>
      <c r="D55" s="8"/>
    </row>
    <row r="56" spans="1:6" ht="21">
      <c r="A56" s="8" t="s">
        <v>689</v>
      </c>
      <c r="B56" s="8" t="s">
        <v>126</v>
      </c>
      <c r="C56" s="8" t="s">
        <v>650</v>
      </c>
      <c r="D56" s="8"/>
    </row>
    <row r="57" spans="1:6" ht="21">
      <c r="A57" s="8" t="s">
        <v>689</v>
      </c>
      <c r="B57" s="8" t="s">
        <v>132</v>
      </c>
      <c r="C57" s="8" t="s">
        <v>651</v>
      </c>
      <c r="D57" s="8"/>
    </row>
    <row r="58" spans="1:6" ht="42">
      <c r="A58" s="8" t="s">
        <v>689</v>
      </c>
      <c r="B58" s="8" t="s">
        <v>129</v>
      </c>
      <c r="C58" s="8" t="s">
        <v>691</v>
      </c>
      <c r="D58" s="8"/>
    </row>
    <row r="61" spans="1:6">
      <c r="A61" s="7" t="s">
        <v>653</v>
      </c>
      <c r="B61" s="7" t="s">
        <v>654</v>
      </c>
      <c r="C61" s="7" t="s">
        <v>655</v>
      </c>
      <c r="D61" s="7" t="s">
        <v>656</v>
      </c>
      <c r="E61" s="7" t="s">
        <v>657</v>
      </c>
      <c r="F61" s="7"/>
    </row>
    <row r="62" spans="1:6" ht="21">
      <c r="A62" s="8" t="s">
        <v>83</v>
      </c>
      <c r="B62" s="8" t="s">
        <v>103</v>
      </c>
      <c r="C62" s="8" t="s">
        <v>106</v>
      </c>
      <c r="D62" s="8" t="s">
        <v>692</v>
      </c>
      <c r="E62" s="8" t="s">
        <v>664</v>
      </c>
      <c r="F62" s="8"/>
    </row>
    <row r="63" spans="1:6" ht="21">
      <c r="A63" s="8" t="s">
        <v>693</v>
      </c>
      <c r="B63" s="8" t="s">
        <v>106</v>
      </c>
      <c r="C63" s="8" t="s">
        <v>129</v>
      </c>
      <c r="D63" s="8" t="s">
        <v>694</v>
      </c>
      <c r="E63" s="8" t="s">
        <v>660</v>
      </c>
      <c r="F63" s="8"/>
    </row>
    <row r="64" spans="1:6" ht="21">
      <c r="A64" s="8" t="s">
        <v>695</v>
      </c>
      <c r="B64" s="8" t="s">
        <v>129</v>
      </c>
      <c r="C64" s="8" t="s">
        <v>126</v>
      </c>
      <c r="D64" s="8" t="s">
        <v>696</v>
      </c>
      <c r="E64" s="8" t="s">
        <v>660</v>
      </c>
      <c r="F64" s="8"/>
    </row>
    <row r="65" spans="1:6" ht="42">
      <c r="A65" s="8" t="s">
        <v>697</v>
      </c>
      <c r="B65" s="8" t="s">
        <v>106</v>
      </c>
      <c r="C65" s="8" t="s">
        <v>639</v>
      </c>
      <c r="D65" s="8" t="s">
        <v>698</v>
      </c>
      <c r="E65" s="8" t="s">
        <v>664</v>
      </c>
      <c r="F65" s="8"/>
    </row>
    <row r="66" spans="1:6" ht="21">
      <c r="A66" s="8" t="s">
        <v>699</v>
      </c>
      <c r="B66" s="8" t="s">
        <v>106</v>
      </c>
      <c r="C66" s="8" t="s">
        <v>577</v>
      </c>
      <c r="D66" s="8" t="s">
        <v>700</v>
      </c>
      <c r="E66" s="8" t="s">
        <v>664</v>
      </c>
      <c r="F66" s="8"/>
    </row>
    <row r="67" spans="1:6" ht="21">
      <c r="A67" s="8" t="s">
        <v>83</v>
      </c>
      <c r="B67" s="8" t="s">
        <v>679</v>
      </c>
      <c r="C67" s="8" t="s">
        <v>577</v>
      </c>
      <c r="D67" s="8" t="s">
        <v>701</v>
      </c>
      <c r="E67" s="8" t="s">
        <v>664</v>
      </c>
      <c r="F67" s="8"/>
    </row>
    <row r="68" spans="1:6" ht="21">
      <c r="A68" s="8" t="s">
        <v>83</v>
      </c>
      <c r="B68" s="8" t="s">
        <v>577</v>
      </c>
      <c r="C68" s="8" t="s">
        <v>639</v>
      </c>
      <c r="D68" s="8" t="s">
        <v>702</v>
      </c>
      <c r="E68" s="8" t="s">
        <v>664</v>
      </c>
      <c r="F68" s="8"/>
    </row>
    <row r="69" spans="1:6" ht="21">
      <c r="A69" s="8" t="s">
        <v>703</v>
      </c>
      <c r="B69" s="8" t="s">
        <v>577</v>
      </c>
      <c r="C69" s="8" t="s">
        <v>134</v>
      </c>
      <c r="D69" s="8" t="s">
        <v>704</v>
      </c>
      <c r="E69" s="8" t="s">
        <v>668</v>
      </c>
      <c r="F69" s="8"/>
    </row>
    <row r="70" spans="1:6" ht="21">
      <c r="A70" s="8" t="s">
        <v>83</v>
      </c>
      <c r="B70" s="8" t="s">
        <v>134</v>
      </c>
      <c r="C70" s="8" t="s">
        <v>132</v>
      </c>
      <c r="D70" s="8" t="s">
        <v>83</v>
      </c>
      <c r="E70" s="8" t="s">
        <v>668</v>
      </c>
      <c r="F70" s="8"/>
    </row>
    <row r="71" spans="1:6" ht="21">
      <c r="A71" s="8" t="s">
        <v>705</v>
      </c>
      <c r="B71" s="8" t="s">
        <v>577</v>
      </c>
      <c r="C71" s="8" t="s">
        <v>685</v>
      </c>
      <c r="D71" s="8" t="s">
        <v>706</v>
      </c>
      <c r="E71" s="8" t="s">
        <v>664</v>
      </c>
      <c r="F71" s="8"/>
    </row>
    <row r="72" spans="1:6" ht="21">
      <c r="A72" s="8" t="s">
        <v>705</v>
      </c>
      <c r="B72" s="8" t="s">
        <v>577</v>
      </c>
      <c r="C72" s="8" t="s">
        <v>117</v>
      </c>
      <c r="D72" s="8" t="s">
        <v>671</v>
      </c>
      <c r="E72" s="8" t="s">
        <v>664</v>
      </c>
      <c r="F72" s="8"/>
    </row>
    <row r="73" spans="1:6" ht="21">
      <c r="A73" s="8" t="s">
        <v>83</v>
      </c>
      <c r="B73" s="8" t="s">
        <v>117</v>
      </c>
      <c r="C73" s="8" t="s">
        <v>672</v>
      </c>
      <c r="D73" s="8" t="s">
        <v>83</v>
      </c>
      <c r="E73" s="8" t="s">
        <v>664</v>
      </c>
      <c r="F73" s="8"/>
    </row>
    <row r="74" spans="1:6" ht="21">
      <c r="A74" s="8" t="s">
        <v>83</v>
      </c>
      <c r="B74" s="8" t="s">
        <v>123</v>
      </c>
      <c r="C74" s="8" t="s">
        <v>132</v>
      </c>
      <c r="D74" s="8" t="s">
        <v>707</v>
      </c>
      <c r="E74" s="8" t="s">
        <v>708</v>
      </c>
      <c r="F74" s="8"/>
    </row>
    <row r="76" spans="1:6">
      <c r="A76" s="3" t="s">
        <v>709</v>
      </c>
    </row>
    <row r="77" spans="1:6">
      <c r="A77" s="3" t="s">
        <v>710</v>
      </c>
    </row>
    <row r="80" spans="1:6" ht="21" thickBot="1">
      <c r="A80" s="2" t="s">
        <v>711</v>
      </c>
    </row>
    <row r="81" spans="1:6" ht="22" customHeight="1">
      <c r="A81" s="50" t="s">
        <v>712</v>
      </c>
      <c r="B81" s="43"/>
      <c r="C81" s="47"/>
    </row>
    <row r="82" spans="1:6" ht="22" customHeight="1">
      <c r="A82" s="45" t="s">
        <v>713</v>
      </c>
      <c r="B82" s="42"/>
      <c r="C82" s="48"/>
    </row>
    <row r="83" spans="1:6" ht="22" customHeight="1">
      <c r="A83" s="45"/>
      <c r="B83" s="42"/>
      <c r="C83" s="48"/>
    </row>
    <row r="84" spans="1:6" ht="22" customHeight="1" thickBot="1">
      <c r="A84" s="46" t="s">
        <v>633</v>
      </c>
      <c r="B84" s="44"/>
      <c r="C84" s="49"/>
    </row>
    <row r="86" spans="1:6" ht="21" thickBot="1"/>
    <row r="87" spans="1:6" ht="42">
      <c r="A87" s="11" t="s">
        <v>714</v>
      </c>
      <c r="B87" s="11" t="s">
        <v>715</v>
      </c>
      <c r="C87" s="12" t="s">
        <v>716</v>
      </c>
      <c r="D87" s="13" t="s">
        <v>717</v>
      </c>
      <c r="E87" s="14" t="s">
        <v>718</v>
      </c>
      <c r="F87" s="26" t="s">
        <v>719</v>
      </c>
    </row>
    <row r="88" spans="1:6" ht="44" customHeight="1">
      <c r="A88" s="19" t="s">
        <v>720</v>
      </c>
      <c r="B88" s="19" t="s">
        <v>721</v>
      </c>
      <c r="C88" s="21" t="s">
        <v>716</v>
      </c>
      <c r="D88" s="22" t="s">
        <v>722</v>
      </c>
      <c r="E88" s="23" t="s">
        <v>723</v>
      </c>
      <c r="F88" s="27" t="s">
        <v>724</v>
      </c>
    </row>
    <row r="89" spans="1:6" ht="44" customHeight="1">
      <c r="A89" s="20" t="s">
        <v>725</v>
      </c>
      <c r="B89" s="18" t="s">
        <v>726</v>
      </c>
      <c r="E89" s="25" t="s">
        <v>727</v>
      </c>
    </row>
    <row r="90" spans="1:6" ht="44" customHeight="1">
      <c r="A90" s="20" t="s">
        <v>728</v>
      </c>
      <c r="B90" s="18" t="s">
        <v>729</v>
      </c>
      <c r="E90" s="24" t="s">
        <v>730</v>
      </c>
    </row>
    <row r="91" spans="1:6" ht="44" customHeight="1">
      <c r="A91" s="16" t="s">
        <v>731</v>
      </c>
      <c r="B91" s="17" t="s">
        <v>732</v>
      </c>
    </row>
    <row r="92" spans="1:6" ht="21" thickBot="1"/>
    <row r="93" spans="1:6" ht="42">
      <c r="A93" s="28" t="s">
        <v>733</v>
      </c>
    </row>
    <row r="94" spans="1:6" ht="44" customHeight="1">
      <c r="A94" s="29" t="s">
        <v>734</v>
      </c>
      <c r="B94" s="30" t="s">
        <v>1387</v>
      </c>
    </row>
    <row r="96" spans="1:6">
      <c r="A96" s="3" t="s">
        <v>735</v>
      </c>
    </row>
    <row r="99" spans="1:6">
      <c r="A99" s="2" t="s">
        <v>736</v>
      </c>
    </row>
    <row r="100" spans="1:6">
      <c r="A100" s="7" t="s">
        <v>653</v>
      </c>
      <c r="B100" s="7" t="s">
        <v>737</v>
      </c>
      <c r="C100" s="7" t="s">
        <v>738</v>
      </c>
      <c r="D100" s="7" t="s">
        <v>739</v>
      </c>
      <c r="E100" s="7" t="s">
        <v>740</v>
      </c>
      <c r="F100" s="7"/>
    </row>
    <row r="101" spans="1:6" ht="63">
      <c r="A101" s="8" t="s">
        <v>598</v>
      </c>
      <c r="B101" s="8" t="s">
        <v>741</v>
      </c>
      <c r="C101" s="8" t="s">
        <v>742</v>
      </c>
      <c r="D101" s="8" t="s">
        <v>743</v>
      </c>
      <c r="E101" s="8" t="s">
        <v>744</v>
      </c>
      <c r="F101" s="8"/>
    </row>
    <row r="102" spans="1:6" ht="42">
      <c r="A102" s="8" t="s">
        <v>613</v>
      </c>
      <c r="B102" s="8" t="s">
        <v>745</v>
      </c>
      <c r="C102" s="8" t="s">
        <v>746</v>
      </c>
      <c r="D102" s="8" t="s">
        <v>747</v>
      </c>
      <c r="E102" s="8" t="s">
        <v>748</v>
      </c>
      <c r="F102" s="8"/>
    </row>
    <row r="103" spans="1:6" ht="63">
      <c r="A103" s="8" t="s">
        <v>749</v>
      </c>
      <c r="B103" s="8" t="s">
        <v>750</v>
      </c>
      <c r="C103" s="8" t="s">
        <v>751</v>
      </c>
      <c r="D103" s="8" t="s">
        <v>752</v>
      </c>
      <c r="E103" s="8" t="s">
        <v>129</v>
      </c>
      <c r="F103" s="8"/>
    </row>
    <row r="104" spans="1:6" ht="42">
      <c r="A104" s="8" t="s">
        <v>753</v>
      </c>
      <c r="B104" s="8" t="s">
        <v>754</v>
      </c>
      <c r="C104" s="8" t="s">
        <v>755</v>
      </c>
      <c r="D104" s="8" t="s">
        <v>756</v>
      </c>
      <c r="E104" s="8" t="s">
        <v>757</v>
      </c>
      <c r="F104" s="8"/>
    </row>
    <row r="107" spans="1:6">
      <c r="A107" s="3" t="s">
        <v>758</v>
      </c>
    </row>
    <row r="108" spans="1:6">
      <c r="A108" s="3" t="s">
        <v>759</v>
      </c>
    </row>
    <row r="109" spans="1:6">
      <c r="A109" s="3" t="s">
        <v>760</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4D32-4D78-B94D-9362-B7B8C8DE5C12}">
  <dimension ref="A1:C48"/>
  <sheetViews>
    <sheetView workbookViewId="0">
      <selection activeCell="C69" sqref="C69"/>
    </sheetView>
  </sheetViews>
  <sheetFormatPr baseColWidth="10" defaultRowHeight="20"/>
  <cols>
    <col min="1" max="1" width="42.85546875" customWidth="1"/>
    <col min="2" max="2" width="25.7109375" customWidth="1"/>
    <col min="3" max="3" width="88.5703125" customWidth="1"/>
  </cols>
  <sheetData>
    <row r="1" spans="1:3" ht="27">
      <c r="A1" s="1" t="s">
        <v>99</v>
      </c>
    </row>
    <row r="3" spans="1:3">
      <c r="A3" s="2" t="s">
        <v>761</v>
      </c>
    </row>
    <row r="4" spans="1:3">
      <c r="A4" s="7" t="s">
        <v>100</v>
      </c>
      <c r="B4" s="7" t="s">
        <v>101</v>
      </c>
      <c r="C4" s="7" t="s">
        <v>102</v>
      </c>
    </row>
    <row r="5" spans="1:3" ht="21">
      <c r="A5" s="8" t="s">
        <v>103</v>
      </c>
      <c r="B5" s="8" t="s">
        <v>104</v>
      </c>
      <c r="C5" s="8" t="s">
        <v>105</v>
      </c>
    </row>
    <row r="6" spans="1:3" ht="42">
      <c r="A6" s="8" t="s">
        <v>106</v>
      </c>
      <c r="B6" s="8" t="s">
        <v>107</v>
      </c>
      <c r="C6" s="8" t="s">
        <v>108</v>
      </c>
    </row>
    <row r="7" spans="1:3" ht="84">
      <c r="A7" s="8" t="s">
        <v>109</v>
      </c>
      <c r="B7" s="8" t="s">
        <v>110</v>
      </c>
      <c r="C7" s="8" t="s">
        <v>111</v>
      </c>
    </row>
    <row r="8" spans="1:3" ht="42">
      <c r="A8" s="8" t="s">
        <v>112</v>
      </c>
      <c r="B8" s="8" t="s">
        <v>107</v>
      </c>
      <c r="C8" s="8" t="s">
        <v>113</v>
      </c>
    </row>
    <row r="9" spans="1:3" ht="21">
      <c r="A9" s="8" t="s">
        <v>114</v>
      </c>
      <c r="B9" s="8" t="s">
        <v>115</v>
      </c>
      <c r="C9" s="8" t="s">
        <v>116</v>
      </c>
    </row>
    <row r="10" spans="1:3" ht="21">
      <c r="A10" s="8" t="s">
        <v>117</v>
      </c>
      <c r="B10" s="8" t="s">
        <v>107</v>
      </c>
      <c r="C10" s="8" t="s">
        <v>118</v>
      </c>
    </row>
    <row r="11" spans="1:3" ht="21">
      <c r="A11" s="8" t="s">
        <v>119</v>
      </c>
      <c r="B11" s="8" t="s">
        <v>120</v>
      </c>
      <c r="C11" s="8" t="s">
        <v>121</v>
      </c>
    </row>
    <row r="12" spans="1:3" ht="21">
      <c r="A12" s="8" t="s">
        <v>122</v>
      </c>
      <c r="B12" s="8" t="s">
        <v>122</v>
      </c>
      <c r="C12" s="8" t="s">
        <v>762</v>
      </c>
    </row>
    <row r="15" spans="1:3" ht="21">
      <c r="A15" s="10" t="s">
        <v>763</v>
      </c>
    </row>
    <row r="16" spans="1:3">
      <c r="A16" s="7" t="s">
        <v>100</v>
      </c>
      <c r="B16" s="7" t="s">
        <v>101</v>
      </c>
      <c r="C16" s="7" t="s">
        <v>102</v>
      </c>
    </row>
    <row r="17" spans="1:3" ht="42">
      <c r="A17" s="8" t="s">
        <v>123</v>
      </c>
      <c r="B17" s="8" t="s">
        <v>124</v>
      </c>
      <c r="C17" s="8" t="s">
        <v>125</v>
      </c>
    </row>
    <row r="18" spans="1:3" ht="42">
      <c r="A18" s="8" t="s">
        <v>126</v>
      </c>
      <c r="B18" s="8" t="s">
        <v>127</v>
      </c>
      <c r="C18" s="8" t="s">
        <v>128</v>
      </c>
    </row>
    <row r="19" spans="1:3" ht="21">
      <c r="A19" s="8" t="s">
        <v>129</v>
      </c>
      <c r="B19" s="8" t="s">
        <v>130</v>
      </c>
      <c r="C19" s="8" t="s">
        <v>131</v>
      </c>
    </row>
    <row r="20" spans="1:3" ht="21">
      <c r="A20" s="8" t="s">
        <v>132</v>
      </c>
      <c r="B20" s="8" t="s">
        <v>83</v>
      </c>
      <c r="C20" s="8" t="s">
        <v>133</v>
      </c>
    </row>
    <row r="23" spans="1:3" ht="42">
      <c r="A23" s="10" t="s">
        <v>764</v>
      </c>
    </row>
    <row r="24" spans="1:3">
      <c r="A24" s="7" t="s">
        <v>100</v>
      </c>
      <c r="B24" s="7" t="s">
        <v>101</v>
      </c>
      <c r="C24" s="7" t="s">
        <v>102</v>
      </c>
    </row>
    <row r="25" spans="1:3" ht="42">
      <c r="A25" s="8" t="s">
        <v>134</v>
      </c>
      <c r="B25" s="8" t="s">
        <v>135</v>
      </c>
      <c r="C25" s="8" t="s">
        <v>136</v>
      </c>
    </row>
    <row r="28" spans="1:3">
      <c r="A28" s="2" t="s">
        <v>137</v>
      </c>
    </row>
    <row r="29" spans="1:3" ht="168">
      <c r="A29" s="4" t="s">
        <v>765</v>
      </c>
    </row>
    <row r="32" spans="1:3">
      <c r="A32" s="2" t="s">
        <v>1347</v>
      </c>
    </row>
    <row r="33" spans="1:3">
      <c r="A33" s="7" t="s">
        <v>138</v>
      </c>
      <c r="B33" s="7" t="s">
        <v>139</v>
      </c>
      <c r="C33" s="7" t="s">
        <v>81</v>
      </c>
    </row>
    <row r="34" spans="1:3" ht="42">
      <c r="A34" s="8" t="s">
        <v>140</v>
      </c>
      <c r="B34" s="8" t="s">
        <v>141</v>
      </c>
      <c r="C34" s="8" t="s">
        <v>142</v>
      </c>
    </row>
    <row r="35" spans="1:3" ht="21">
      <c r="A35" s="8" t="s">
        <v>143</v>
      </c>
      <c r="B35" s="8" t="s">
        <v>24</v>
      </c>
      <c r="C35" s="8" t="s">
        <v>1343</v>
      </c>
    </row>
    <row r="36" spans="1:3" ht="42">
      <c r="A36" s="8" t="s">
        <v>144</v>
      </c>
      <c r="B36" s="8" t="s">
        <v>145</v>
      </c>
      <c r="C36" s="8" t="s">
        <v>146</v>
      </c>
    </row>
    <row r="37" spans="1:3" ht="21">
      <c r="A37" s="8" t="s">
        <v>147</v>
      </c>
      <c r="B37" s="8" t="s">
        <v>148</v>
      </c>
      <c r="C37" s="8" t="s">
        <v>149</v>
      </c>
    </row>
    <row r="38" spans="1:3" ht="21">
      <c r="A38" s="8" t="s">
        <v>150</v>
      </c>
      <c r="B38" s="8" t="s">
        <v>151</v>
      </c>
      <c r="C38" s="8" t="s">
        <v>152</v>
      </c>
    </row>
    <row r="39" spans="1:3" ht="21">
      <c r="A39" s="8" t="s">
        <v>153</v>
      </c>
      <c r="B39" s="8" t="s">
        <v>151</v>
      </c>
      <c r="C39" s="8" t="s">
        <v>154</v>
      </c>
    </row>
    <row r="40" spans="1:3" ht="42">
      <c r="A40" s="8" t="s">
        <v>155</v>
      </c>
      <c r="B40" s="8" t="s">
        <v>156</v>
      </c>
      <c r="C40" s="8" t="s">
        <v>1278</v>
      </c>
    </row>
    <row r="41" spans="1:3" ht="42">
      <c r="A41" s="8" t="s">
        <v>1344</v>
      </c>
      <c r="B41" s="8" t="s">
        <v>1345</v>
      </c>
      <c r="C41" s="8" t="s">
        <v>1346</v>
      </c>
    </row>
    <row r="44" spans="1:3">
      <c r="A44" s="2" t="s">
        <v>157</v>
      </c>
    </row>
    <row r="45" spans="1:3">
      <c r="A45" s="7" t="s">
        <v>158</v>
      </c>
      <c r="B45" s="7" t="s">
        <v>159</v>
      </c>
      <c r="C45" s="7" t="s">
        <v>160</v>
      </c>
    </row>
    <row r="46" spans="1:3" ht="21">
      <c r="A46" s="8" t="s">
        <v>161</v>
      </c>
      <c r="B46" s="8" t="s">
        <v>162</v>
      </c>
      <c r="C46" s="8" t="s">
        <v>163</v>
      </c>
    </row>
    <row r="47" spans="1:3" ht="21">
      <c r="A47" s="8" t="s">
        <v>18</v>
      </c>
      <c r="B47" s="8" t="s">
        <v>27</v>
      </c>
      <c r="C47" s="8" t="s">
        <v>1389</v>
      </c>
    </row>
    <row r="48" spans="1:3" ht="21">
      <c r="A48" s="8" t="s">
        <v>19</v>
      </c>
      <c r="B48" s="8" t="s">
        <v>27</v>
      </c>
      <c r="C48" s="8" t="s">
        <v>1390</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9CE4-FC1C-434B-A788-0635C1D26046}">
  <dimension ref="A1:F120"/>
  <sheetViews>
    <sheetView topLeftCell="A10" workbookViewId="0"/>
  </sheetViews>
  <sheetFormatPr baseColWidth="10" defaultRowHeight="20"/>
  <cols>
    <col min="1" max="1" width="35.7109375" customWidth="1"/>
    <col min="2" max="2" width="27.140625" customWidth="1"/>
    <col min="3" max="3" width="34.28515625" customWidth="1"/>
    <col min="4" max="4" width="74.28515625" customWidth="1"/>
    <col min="5" max="5" width="48.5703125" customWidth="1"/>
    <col min="6" max="6" width="35.7109375" customWidth="1"/>
  </cols>
  <sheetData>
    <row r="1" spans="1:5" ht="27">
      <c r="A1" s="1" t="s">
        <v>766</v>
      </c>
    </row>
    <row r="3" spans="1:5" ht="21" thickBot="1">
      <c r="A3" s="2" t="s">
        <v>767</v>
      </c>
    </row>
    <row r="4" spans="1:5" ht="22" customHeight="1">
      <c r="A4" s="50" t="s">
        <v>768</v>
      </c>
      <c r="B4" s="43"/>
      <c r="C4" s="47"/>
    </row>
    <row r="5" spans="1:5" ht="22" customHeight="1">
      <c r="A5" s="45" t="s">
        <v>769</v>
      </c>
      <c r="B5" s="42"/>
      <c r="C5" s="48"/>
    </row>
    <row r="6" spans="1:5" ht="22" customHeight="1">
      <c r="A6" s="45"/>
      <c r="B6" s="42"/>
      <c r="C6" s="48"/>
    </row>
    <row r="7" spans="1:5" ht="22" customHeight="1" thickBot="1">
      <c r="A7" s="46" t="s">
        <v>633</v>
      </c>
      <c r="B7" s="44"/>
      <c r="C7" s="49"/>
    </row>
    <row r="9" spans="1:5">
      <c r="A9" s="7" t="s">
        <v>770</v>
      </c>
      <c r="B9" s="7" t="s">
        <v>771</v>
      </c>
      <c r="C9" s="7" t="s">
        <v>772</v>
      </c>
      <c r="D9" s="7" t="s">
        <v>81</v>
      </c>
      <c r="E9" s="7"/>
    </row>
    <row r="10" spans="1:5" ht="105">
      <c r="A10" s="8" t="s">
        <v>773</v>
      </c>
      <c r="B10" s="8" t="s">
        <v>106</v>
      </c>
      <c r="C10" s="8" t="s">
        <v>774</v>
      </c>
      <c r="D10" s="8" t="s">
        <v>1383</v>
      </c>
      <c r="E10" s="8"/>
    </row>
    <row r="11" spans="1:5" ht="21">
      <c r="A11" s="8" t="s">
        <v>775</v>
      </c>
      <c r="B11" s="8" t="s">
        <v>106</v>
      </c>
      <c r="C11" s="8" t="s">
        <v>718</v>
      </c>
      <c r="D11" s="8" t="s">
        <v>776</v>
      </c>
      <c r="E11" s="8"/>
    </row>
    <row r="12" spans="1:5" ht="21">
      <c r="A12" s="8" t="s">
        <v>777</v>
      </c>
      <c r="B12" s="8" t="s">
        <v>106</v>
      </c>
      <c r="C12" s="8" t="s">
        <v>127</v>
      </c>
      <c r="D12" s="8" t="s">
        <v>778</v>
      </c>
      <c r="E12" s="8"/>
    </row>
    <row r="13" spans="1:5" ht="21">
      <c r="A13" s="8" t="s">
        <v>779</v>
      </c>
      <c r="B13" s="8" t="s">
        <v>106</v>
      </c>
      <c r="C13" s="8" t="s">
        <v>127</v>
      </c>
      <c r="D13" s="8" t="s">
        <v>780</v>
      </c>
      <c r="E13" s="8"/>
    </row>
    <row r="14" spans="1:5" ht="21">
      <c r="A14" s="8" t="s">
        <v>781</v>
      </c>
      <c r="B14" s="8" t="s">
        <v>106</v>
      </c>
      <c r="C14" s="8" t="s">
        <v>639</v>
      </c>
      <c r="D14" s="8" t="s">
        <v>782</v>
      </c>
      <c r="E14" s="8"/>
    </row>
    <row r="15" spans="1:5" ht="42">
      <c r="A15" s="8" t="s">
        <v>783</v>
      </c>
      <c r="B15" s="8" t="s">
        <v>106</v>
      </c>
      <c r="C15" s="8" t="s">
        <v>784</v>
      </c>
      <c r="D15" s="8" t="s">
        <v>785</v>
      </c>
      <c r="E15" s="8"/>
    </row>
    <row r="16" spans="1:5" ht="21">
      <c r="A16" s="8" t="s">
        <v>786</v>
      </c>
      <c r="B16" s="8" t="s">
        <v>106</v>
      </c>
      <c r="C16" s="8" t="s">
        <v>577</v>
      </c>
      <c r="D16" s="8" t="s">
        <v>787</v>
      </c>
      <c r="E16" s="8"/>
    </row>
    <row r="17" spans="1:5" ht="21">
      <c r="A17" s="8" t="s">
        <v>788</v>
      </c>
      <c r="B17" s="8" t="s">
        <v>106</v>
      </c>
      <c r="C17" s="8" t="s">
        <v>639</v>
      </c>
      <c r="D17" s="8" t="s">
        <v>789</v>
      </c>
      <c r="E17" s="8"/>
    </row>
    <row r="18" spans="1:5" ht="21">
      <c r="A18" s="8" t="s">
        <v>790</v>
      </c>
      <c r="B18" s="8" t="s">
        <v>106</v>
      </c>
      <c r="C18" s="8" t="s">
        <v>639</v>
      </c>
      <c r="D18" s="8" t="s">
        <v>791</v>
      </c>
      <c r="E18" s="8"/>
    </row>
    <row r="19" spans="1:5" ht="21">
      <c r="A19" s="8" t="s">
        <v>792</v>
      </c>
      <c r="B19" s="8" t="s">
        <v>106</v>
      </c>
      <c r="C19" s="8" t="s">
        <v>793</v>
      </c>
      <c r="D19" s="8" t="s">
        <v>794</v>
      </c>
      <c r="E19" s="8"/>
    </row>
    <row r="22" spans="1:5" ht="21">
      <c r="A22" s="10" t="s">
        <v>795</v>
      </c>
    </row>
    <row r="23" spans="1:5">
      <c r="A23" s="7" t="s">
        <v>526</v>
      </c>
      <c r="B23" s="7" t="s">
        <v>543</v>
      </c>
      <c r="C23" s="7"/>
    </row>
    <row r="24" spans="1:5" ht="105">
      <c r="A24" s="8" t="s">
        <v>796</v>
      </c>
      <c r="B24" s="8" t="s">
        <v>797</v>
      </c>
      <c r="C24" s="8"/>
    </row>
    <row r="25" spans="1:5" ht="84">
      <c r="A25" s="8" t="s">
        <v>798</v>
      </c>
      <c r="B25" s="8" t="s">
        <v>799</v>
      </c>
      <c r="C25" s="8"/>
    </row>
    <row r="26" spans="1:5" ht="105">
      <c r="A26" s="8" t="s">
        <v>558</v>
      </c>
      <c r="B26" s="8" t="s">
        <v>800</v>
      </c>
      <c r="C26" s="8"/>
    </row>
    <row r="30" spans="1:5" ht="21" thickBot="1">
      <c r="A30" s="2" t="s">
        <v>801</v>
      </c>
    </row>
    <row r="31" spans="1:5" ht="22" customHeight="1">
      <c r="A31" s="50" t="s">
        <v>802</v>
      </c>
      <c r="B31" s="43"/>
      <c r="C31" s="47"/>
    </row>
    <row r="32" spans="1:5" ht="22" customHeight="1">
      <c r="A32" s="45" t="s">
        <v>803</v>
      </c>
      <c r="B32" s="42"/>
      <c r="C32" s="48"/>
    </row>
    <row r="33" spans="1:5" ht="22" customHeight="1">
      <c r="A33" s="45"/>
      <c r="B33" s="42"/>
      <c r="C33" s="48"/>
    </row>
    <row r="34" spans="1:5" ht="22" customHeight="1" thickBot="1">
      <c r="A34" s="46" t="s">
        <v>633</v>
      </c>
      <c r="B34" s="44"/>
      <c r="C34" s="49"/>
    </row>
    <row r="36" spans="1:5">
      <c r="A36" s="7" t="s">
        <v>653</v>
      </c>
      <c r="B36" s="7" t="s">
        <v>771</v>
      </c>
      <c r="C36" s="7" t="s">
        <v>772</v>
      </c>
      <c r="D36" s="7" t="s">
        <v>804</v>
      </c>
      <c r="E36" s="7"/>
    </row>
    <row r="37" spans="1:5" ht="21">
      <c r="A37" s="8" t="s">
        <v>693</v>
      </c>
      <c r="B37" s="8" t="s">
        <v>574</v>
      </c>
      <c r="C37" s="8" t="s">
        <v>536</v>
      </c>
      <c r="D37" s="8" t="s">
        <v>805</v>
      </c>
      <c r="E37" s="8"/>
    </row>
    <row r="38" spans="1:5" ht="21">
      <c r="A38" s="8" t="s">
        <v>695</v>
      </c>
      <c r="B38" s="8" t="s">
        <v>574</v>
      </c>
      <c r="C38" s="8" t="s">
        <v>806</v>
      </c>
      <c r="D38" s="8" t="s">
        <v>807</v>
      </c>
      <c r="E38" s="8"/>
    </row>
    <row r="39" spans="1:5" ht="21">
      <c r="A39" s="8" t="s">
        <v>697</v>
      </c>
      <c r="B39" s="8" t="s">
        <v>574</v>
      </c>
      <c r="C39" s="8" t="s">
        <v>574</v>
      </c>
      <c r="D39" s="8" t="s">
        <v>808</v>
      </c>
      <c r="E39" s="8"/>
    </row>
    <row r="40" spans="1:5" ht="21">
      <c r="A40" s="8" t="s">
        <v>699</v>
      </c>
      <c r="B40" s="8" t="s">
        <v>574</v>
      </c>
      <c r="C40" s="8" t="s">
        <v>809</v>
      </c>
      <c r="D40" s="8" t="s">
        <v>810</v>
      </c>
      <c r="E40" s="8"/>
    </row>
    <row r="41" spans="1:5" ht="21">
      <c r="A41" s="8" t="s">
        <v>703</v>
      </c>
      <c r="B41" s="8" t="s">
        <v>574</v>
      </c>
      <c r="C41" s="8" t="s">
        <v>809</v>
      </c>
      <c r="D41" s="8" t="s">
        <v>811</v>
      </c>
      <c r="E41" s="8"/>
    </row>
    <row r="42" spans="1:5" ht="21">
      <c r="A42" s="8" t="s">
        <v>705</v>
      </c>
      <c r="B42" s="8" t="s">
        <v>574</v>
      </c>
      <c r="C42" s="8" t="s">
        <v>574</v>
      </c>
      <c r="D42" s="8" t="s">
        <v>812</v>
      </c>
      <c r="E42" s="8"/>
    </row>
    <row r="43" spans="1:5" ht="21">
      <c r="A43" s="8" t="s">
        <v>813</v>
      </c>
      <c r="B43" s="8" t="s">
        <v>574</v>
      </c>
      <c r="C43" s="8" t="s">
        <v>814</v>
      </c>
      <c r="D43" s="8" t="s">
        <v>815</v>
      </c>
      <c r="E43" s="8"/>
    </row>
    <row r="44" spans="1:5" ht="21">
      <c r="A44" s="8" t="s">
        <v>816</v>
      </c>
      <c r="B44" s="8" t="s">
        <v>574</v>
      </c>
      <c r="C44" s="8" t="s">
        <v>115</v>
      </c>
      <c r="D44" s="8" t="s">
        <v>817</v>
      </c>
      <c r="E44" s="8"/>
    </row>
    <row r="45" spans="1:5" ht="21">
      <c r="A45" s="8" t="s">
        <v>818</v>
      </c>
      <c r="B45" s="8" t="s">
        <v>574</v>
      </c>
      <c r="C45" s="8" t="s">
        <v>574</v>
      </c>
      <c r="D45" s="8" t="s">
        <v>819</v>
      </c>
      <c r="E45" s="8"/>
    </row>
    <row r="47" spans="1:5" ht="84">
      <c r="A47" s="9" t="s">
        <v>820</v>
      </c>
    </row>
    <row r="49" spans="1:5" ht="43" thickBot="1">
      <c r="A49" s="10" t="s">
        <v>821</v>
      </c>
    </row>
    <row r="50" spans="1:5" ht="22" customHeight="1">
      <c r="A50" s="50" t="s">
        <v>822</v>
      </c>
      <c r="B50" s="43"/>
      <c r="C50" s="47"/>
    </row>
    <row r="51" spans="1:5" ht="22" customHeight="1">
      <c r="A51" s="45" t="s">
        <v>823</v>
      </c>
      <c r="B51" s="42"/>
      <c r="C51" s="48"/>
    </row>
    <row r="52" spans="1:5" ht="22" customHeight="1">
      <c r="A52" s="45"/>
      <c r="B52" s="42"/>
      <c r="C52" s="48"/>
    </row>
    <row r="53" spans="1:5" ht="22" customHeight="1" thickBot="1">
      <c r="A53" s="46" t="s">
        <v>633</v>
      </c>
      <c r="B53" s="44"/>
      <c r="C53" s="49"/>
    </row>
    <row r="55" spans="1:5">
      <c r="A55" s="7" t="s">
        <v>653</v>
      </c>
      <c r="B55" s="7" t="s">
        <v>824</v>
      </c>
      <c r="C55" s="7" t="s">
        <v>81</v>
      </c>
      <c r="D55" s="7"/>
      <c r="E55" s="7"/>
    </row>
    <row r="56" spans="1:5" ht="21">
      <c r="A56" s="8" t="s">
        <v>693</v>
      </c>
      <c r="B56" s="8" t="s">
        <v>825</v>
      </c>
      <c r="C56" s="8" t="s">
        <v>826</v>
      </c>
      <c r="D56" s="8"/>
      <c r="E56" s="8"/>
    </row>
    <row r="57" spans="1:5" ht="21">
      <c r="A57" s="8" t="s">
        <v>695</v>
      </c>
      <c r="B57" s="8" t="s">
        <v>827</v>
      </c>
      <c r="C57" s="8" t="s">
        <v>828</v>
      </c>
      <c r="D57" s="8"/>
      <c r="E57" s="8"/>
    </row>
    <row r="58" spans="1:5" ht="21">
      <c r="A58" s="8" t="s">
        <v>697</v>
      </c>
      <c r="B58" s="8" t="s">
        <v>829</v>
      </c>
      <c r="C58" s="8" t="s">
        <v>830</v>
      </c>
      <c r="D58" s="8"/>
      <c r="E58" s="8"/>
    </row>
    <row r="59" spans="1:5" ht="21">
      <c r="A59" s="8" t="s">
        <v>699</v>
      </c>
      <c r="B59" s="8" t="s">
        <v>831</v>
      </c>
      <c r="C59" s="8" t="s">
        <v>832</v>
      </c>
      <c r="D59" s="8"/>
      <c r="E59" s="8"/>
    </row>
    <row r="60" spans="1:5" ht="42">
      <c r="A60" s="8" t="s">
        <v>703</v>
      </c>
      <c r="B60" s="8" t="s">
        <v>833</v>
      </c>
      <c r="C60" s="8" t="s">
        <v>834</v>
      </c>
      <c r="D60" s="8"/>
      <c r="E60" s="8"/>
    </row>
    <row r="61" spans="1:5" ht="21">
      <c r="A61" s="8" t="s">
        <v>705</v>
      </c>
      <c r="B61" s="8" t="s">
        <v>814</v>
      </c>
      <c r="C61" s="8" t="s">
        <v>643</v>
      </c>
      <c r="D61" s="8"/>
      <c r="E61" s="8"/>
    </row>
    <row r="62" spans="1:5" ht="21">
      <c r="A62" s="8" t="s">
        <v>813</v>
      </c>
      <c r="B62" s="8" t="s">
        <v>562</v>
      </c>
      <c r="C62" s="8" t="s">
        <v>644</v>
      </c>
      <c r="D62" s="8"/>
      <c r="E62" s="8"/>
    </row>
    <row r="63" spans="1:5" ht="21">
      <c r="A63" s="8" t="s">
        <v>816</v>
      </c>
      <c r="B63" s="8" t="s">
        <v>835</v>
      </c>
      <c r="C63" s="8" t="s">
        <v>836</v>
      </c>
      <c r="D63" s="8"/>
      <c r="E63" s="8"/>
    </row>
    <row r="65" spans="1:5" ht="105">
      <c r="A65" s="9" t="s">
        <v>1279</v>
      </c>
    </row>
    <row r="68" spans="1:5">
      <c r="A68" s="2" t="s">
        <v>837</v>
      </c>
    </row>
    <row r="69" spans="1:5">
      <c r="A69" s="7" t="s">
        <v>838</v>
      </c>
      <c r="B69" s="7" t="s">
        <v>338</v>
      </c>
      <c r="C69" s="7" t="s">
        <v>234</v>
      </c>
      <c r="D69" s="7" t="s">
        <v>833</v>
      </c>
      <c r="E69" s="7" t="s">
        <v>839</v>
      </c>
    </row>
    <row r="70" spans="1:5" ht="21">
      <c r="A70" s="8" t="s">
        <v>840</v>
      </c>
      <c r="B70" s="8">
        <v>401</v>
      </c>
      <c r="C70" s="8">
        <v>200</v>
      </c>
      <c r="D70" s="8" t="s">
        <v>317</v>
      </c>
      <c r="E70" s="8" t="s">
        <v>841</v>
      </c>
    </row>
    <row r="71" spans="1:5" ht="42">
      <c r="A71" s="8" t="s">
        <v>842</v>
      </c>
      <c r="B71" s="8">
        <v>200</v>
      </c>
      <c r="C71" s="8" t="s">
        <v>83</v>
      </c>
      <c r="D71" s="8" t="s">
        <v>843</v>
      </c>
      <c r="E71" s="8" t="s">
        <v>844</v>
      </c>
    </row>
    <row r="72" spans="1:5" ht="21">
      <c r="A72" s="8" t="s">
        <v>845</v>
      </c>
      <c r="B72" s="8">
        <v>401</v>
      </c>
      <c r="C72" s="8">
        <v>401</v>
      </c>
      <c r="D72" s="8" t="s">
        <v>846</v>
      </c>
      <c r="E72" s="8" t="s">
        <v>327</v>
      </c>
    </row>
    <row r="73" spans="1:5" ht="21">
      <c r="A73" s="8" t="s">
        <v>847</v>
      </c>
      <c r="B73" s="8">
        <v>302</v>
      </c>
      <c r="C73" s="8" t="s">
        <v>83</v>
      </c>
      <c r="D73" s="8" t="s">
        <v>317</v>
      </c>
      <c r="E73" s="8" t="s">
        <v>841</v>
      </c>
    </row>
    <row r="74" spans="1:5" ht="21">
      <c r="A74" s="8" t="s">
        <v>848</v>
      </c>
      <c r="B74" s="8">
        <v>200</v>
      </c>
      <c r="C74" s="8" t="s">
        <v>83</v>
      </c>
      <c r="D74" s="8" t="s">
        <v>843</v>
      </c>
      <c r="E74" s="8" t="s">
        <v>849</v>
      </c>
    </row>
    <row r="76" spans="1:5" ht="63">
      <c r="A76" s="9" t="s">
        <v>850</v>
      </c>
    </row>
    <row r="78" spans="1:5" ht="42">
      <c r="A78" s="10" t="s">
        <v>1395</v>
      </c>
    </row>
    <row r="79" spans="1:5" ht="168">
      <c r="A79" s="4" t="s">
        <v>1396</v>
      </c>
    </row>
    <row r="81" spans="1:6">
      <c r="A81" s="2" t="s">
        <v>1397</v>
      </c>
    </row>
    <row r="82" spans="1:6">
      <c r="A82" s="7" t="s">
        <v>20</v>
      </c>
      <c r="B82" s="7" t="s">
        <v>1398</v>
      </c>
      <c r="C82" s="7" t="s">
        <v>1399</v>
      </c>
      <c r="D82" s="7" t="s">
        <v>1400</v>
      </c>
      <c r="E82" s="7" t="s">
        <v>1401</v>
      </c>
      <c r="F82" s="7" t="s">
        <v>1402</v>
      </c>
    </row>
    <row r="83" spans="1:6" ht="126">
      <c r="A83" s="8" t="s">
        <v>1403</v>
      </c>
      <c r="B83" s="8" t="s">
        <v>1404</v>
      </c>
      <c r="C83" s="8" t="s">
        <v>1405</v>
      </c>
      <c r="D83" s="8" t="s">
        <v>1406</v>
      </c>
      <c r="E83" s="8" t="s">
        <v>1407</v>
      </c>
      <c r="F83" s="8" t="s">
        <v>1408</v>
      </c>
    </row>
    <row r="84" spans="1:6" ht="105">
      <c r="A84" s="8" t="s">
        <v>1409</v>
      </c>
      <c r="B84" s="8" t="s">
        <v>1410</v>
      </c>
      <c r="C84" s="8" t="s">
        <v>1411</v>
      </c>
      <c r="D84" s="8" t="s">
        <v>1412</v>
      </c>
      <c r="E84" s="8" t="s">
        <v>1413</v>
      </c>
      <c r="F84" s="8" t="s">
        <v>1414</v>
      </c>
    </row>
    <row r="85" spans="1:6" ht="315">
      <c r="A85" s="8" t="s">
        <v>1415</v>
      </c>
      <c r="B85" s="8" t="s">
        <v>1416</v>
      </c>
      <c r="C85" s="8" t="s">
        <v>1412</v>
      </c>
      <c r="D85" s="8" t="s">
        <v>1417</v>
      </c>
      <c r="E85" s="8" t="s">
        <v>1418</v>
      </c>
      <c r="F85" s="8" t="s">
        <v>1419</v>
      </c>
    </row>
    <row r="86" spans="1:6" ht="84">
      <c r="A86" s="8" t="s">
        <v>1420</v>
      </c>
      <c r="B86" s="8" t="s">
        <v>1421</v>
      </c>
      <c r="C86" s="8" t="s">
        <v>1422</v>
      </c>
      <c r="D86" s="8" t="s">
        <v>1423</v>
      </c>
      <c r="E86" s="8" t="s">
        <v>1424</v>
      </c>
      <c r="F86" s="8" t="s">
        <v>1425</v>
      </c>
    </row>
    <row r="87" spans="1:6" ht="84">
      <c r="A87" s="8" t="s">
        <v>1426</v>
      </c>
      <c r="B87" s="8" t="s">
        <v>1427</v>
      </c>
      <c r="C87" s="8" t="s">
        <v>1428</v>
      </c>
      <c r="D87" s="8" t="s">
        <v>1429</v>
      </c>
      <c r="E87" s="8" t="s">
        <v>1430</v>
      </c>
      <c r="F87" s="8" t="s">
        <v>1431</v>
      </c>
    </row>
    <row r="88" spans="1:6" ht="105">
      <c r="A88" s="8" t="s">
        <v>1432</v>
      </c>
      <c r="B88" s="8" t="s">
        <v>1433</v>
      </c>
      <c r="C88" s="8" t="s">
        <v>1412</v>
      </c>
      <c r="D88" s="8" t="s">
        <v>1434</v>
      </c>
      <c r="E88" s="8" t="s">
        <v>1435</v>
      </c>
      <c r="F88" s="8" t="s">
        <v>1436</v>
      </c>
    </row>
    <row r="89" spans="1:6" ht="84">
      <c r="A89" s="8" t="s">
        <v>1437</v>
      </c>
      <c r="B89" s="8" t="s">
        <v>1438</v>
      </c>
      <c r="C89" s="8" t="s">
        <v>1412</v>
      </c>
      <c r="D89" s="8" t="s">
        <v>1439</v>
      </c>
      <c r="E89" s="8" t="s">
        <v>1430</v>
      </c>
      <c r="F89" s="8" t="s">
        <v>1440</v>
      </c>
    </row>
    <row r="90" spans="1:6" ht="42">
      <c r="A90" s="8" t="s">
        <v>1441</v>
      </c>
      <c r="B90" s="8" t="s">
        <v>1442</v>
      </c>
      <c r="C90" s="8" t="s">
        <v>1412</v>
      </c>
      <c r="D90" s="8" t="s">
        <v>1443</v>
      </c>
      <c r="E90" s="8" t="s">
        <v>1435</v>
      </c>
      <c r="F90" s="8" t="s">
        <v>1444</v>
      </c>
    </row>
    <row r="91" spans="1:6" ht="63">
      <c r="A91" s="8" t="s">
        <v>1445</v>
      </c>
      <c r="B91" s="8" t="s">
        <v>1446</v>
      </c>
      <c r="C91" s="8" t="s">
        <v>1412</v>
      </c>
      <c r="D91" s="8" t="s">
        <v>1447</v>
      </c>
      <c r="E91" s="8" t="s">
        <v>1448</v>
      </c>
      <c r="F91" s="8" t="s">
        <v>1449</v>
      </c>
    </row>
    <row r="93" spans="1:6" ht="147">
      <c r="A93" s="9" t="s">
        <v>1450</v>
      </c>
    </row>
    <row r="95" spans="1:6" ht="42">
      <c r="A95" s="10" t="s">
        <v>1451</v>
      </c>
    </row>
    <row r="96" spans="1:6">
      <c r="A96" s="7" t="s">
        <v>20</v>
      </c>
      <c r="B96" s="7" t="s">
        <v>1398</v>
      </c>
      <c r="C96" s="7" t="s">
        <v>1399</v>
      </c>
      <c r="D96" s="7" t="s">
        <v>1400</v>
      </c>
      <c r="E96" s="7" t="s">
        <v>1401</v>
      </c>
      <c r="F96" s="7" t="s">
        <v>1402</v>
      </c>
    </row>
    <row r="97" spans="1:6" ht="105">
      <c r="A97" s="8" t="s">
        <v>30</v>
      </c>
      <c r="B97" s="8" t="s">
        <v>1452</v>
      </c>
      <c r="C97" s="8" t="s">
        <v>1447</v>
      </c>
      <c r="D97" s="8" t="s">
        <v>1453</v>
      </c>
      <c r="E97" s="8" t="s">
        <v>1454</v>
      </c>
      <c r="F97" s="8" t="s">
        <v>1419</v>
      </c>
    </row>
    <row r="98" spans="1:6" ht="63">
      <c r="A98" s="8" t="s">
        <v>31</v>
      </c>
      <c r="B98" s="8" t="s">
        <v>1455</v>
      </c>
      <c r="C98" s="8" t="s">
        <v>1447</v>
      </c>
      <c r="D98" s="8" t="s">
        <v>1456</v>
      </c>
      <c r="E98" s="8" t="s">
        <v>1457</v>
      </c>
      <c r="F98" s="8" t="s">
        <v>1458</v>
      </c>
    </row>
    <row r="99" spans="1:6" ht="147">
      <c r="A99" s="8" t="s">
        <v>32</v>
      </c>
      <c r="B99" s="8" t="s">
        <v>1459</v>
      </c>
      <c r="C99" s="8" t="s">
        <v>1447</v>
      </c>
      <c r="D99" s="8" t="s">
        <v>1460</v>
      </c>
      <c r="E99" s="8" t="s">
        <v>1461</v>
      </c>
      <c r="F99" s="8" t="s">
        <v>1462</v>
      </c>
    </row>
    <row r="100" spans="1:6" ht="252">
      <c r="A100" s="8" t="s">
        <v>1463</v>
      </c>
      <c r="B100" s="8" t="s">
        <v>1464</v>
      </c>
      <c r="C100" s="8" t="s">
        <v>1447</v>
      </c>
      <c r="D100" s="8" t="s">
        <v>1465</v>
      </c>
      <c r="E100" s="8" t="s">
        <v>1466</v>
      </c>
      <c r="F100" s="8" t="s">
        <v>1467</v>
      </c>
    </row>
    <row r="101" spans="1:6" ht="63">
      <c r="A101" s="8" t="s">
        <v>1468</v>
      </c>
      <c r="B101" s="8" t="s">
        <v>1469</v>
      </c>
      <c r="C101" s="8" t="s">
        <v>1447</v>
      </c>
      <c r="D101" s="8" t="s">
        <v>1470</v>
      </c>
      <c r="E101" s="8" t="s">
        <v>1471</v>
      </c>
      <c r="F101" s="8" t="s">
        <v>1472</v>
      </c>
    </row>
    <row r="102" spans="1:6" ht="63">
      <c r="A102" s="8" t="s">
        <v>1473</v>
      </c>
      <c r="B102" s="8" t="s">
        <v>1474</v>
      </c>
      <c r="C102" s="8" t="s">
        <v>1447</v>
      </c>
      <c r="D102" s="8" t="s">
        <v>1475</v>
      </c>
      <c r="E102" s="8" t="s">
        <v>1448</v>
      </c>
      <c r="F102" s="8" t="s">
        <v>1449</v>
      </c>
    </row>
    <row r="104" spans="1:6" ht="147">
      <c r="A104" s="9" t="s">
        <v>1476</v>
      </c>
    </row>
    <row r="106" spans="1:6" ht="22" thickBot="1">
      <c r="A106" s="10" t="s">
        <v>1477</v>
      </c>
    </row>
    <row r="107" spans="1:6" ht="21">
      <c r="A107" s="50" t="s">
        <v>1478</v>
      </c>
      <c r="B107" s="43"/>
      <c r="C107" s="47"/>
    </row>
    <row r="108" spans="1:6" ht="147">
      <c r="A108" s="45" t="s">
        <v>1479</v>
      </c>
      <c r="B108" s="42"/>
      <c r="C108" s="48"/>
    </row>
    <row r="109" spans="1:6" ht="85" thickBot="1">
      <c r="A109" s="46" t="s">
        <v>1480</v>
      </c>
      <c r="B109" s="44"/>
      <c r="C109" s="49"/>
    </row>
    <row r="112" spans="1:6">
      <c r="A112" s="7" t="s">
        <v>20</v>
      </c>
      <c r="B112" s="7" t="s">
        <v>1398</v>
      </c>
      <c r="C112" s="7" t="s">
        <v>1481</v>
      </c>
      <c r="D112" s="7" t="s">
        <v>1482</v>
      </c>
      <c r="E112" s="7" t="s">
        <v>1401</v>
      </c>
      <c r="F112" s="7" t="s">
        <v>26</v>
      </c>
    </row>
    <row r="113" spans="1:6" ht="21">
      <c r="A113" s="8" t="s">
        <v>1483</v>
      </c>
      <c r="B113" s="8" t="s">
        <v>1484</v>
      </c>
      <c r="C113" s="8" t="s">
        <v>1447</v>
      </c>
      <c r="D113" s="8" t="s">
        <v>1485</v>
      </c>
      <c r="E113" s="8" t="s">
        <v>1448</v>
      </c>
      <c r="F113" s="8" t="s">
        <v>1486</v>
      </c>
    </row>
    <row r="114" spans="1:6" ht="21">
      <c r="A114" s="8" t="s">
        <v>1487</v>
      </c>
      <c r="B114" s="8" t="s">
        <v>1488</v>
      </c>
      <c r="C114" s="8" t="s">
        <v>1485</v>
      </c>
      <c r="D114" s="8" t="s">
        <v>1489</v>
      </c>
      <c r="E114" s="8" t="s">
        <v>1435</v>
      </c>
      <c r="F114" s="8" t="s">
        <v>1490</v>
      </c>
    </row>
    <row r="115" spans="1:6" ht="42">
      <c r="A115" s="8" t="s">
        <v>1491</v>
      </c>
      <c r="B115" s="8" t="s">
        <v>1492</v>
      </c>
      <c r="C115" s="8" t="s">
        <v>1485</v>
      </c>
      <c r="D115" s="8" t="s">
        <v>1493</v>
      </c>
      <c r="E115" s="8" t="s">
        <v>1494</v>
      </c>
      <c r="F115" s="8" t="s">
        <v>1495</v>
      </c>
    </row>
    <row r="116" spans="1:6" ht="21">
      <c r="A116" s="8" t="s">
        <v>1496</v>
      </c>
      <c r="B116" s="8" t="s">
        <v>1497</v>
      </c>
      <c r="C116" s="8" t="s">
        <v>1498</v>
      </c>
      <c r="D116" s="8" t="s">
        <v>1499</v>
      </c>
      <c r="E116" s="8" t="s">
        <v>1500</v>
      </c>
      <c r="F116" s="8" t="s">
        <v>1501</v>
      </c>
    </row>
    <row r="117" spans="1:6" ht="21">
      <c r="A117" s="8" t="s">
        <v>1502</v>
      </c>
      <c r="B117" s="8" t="s">
        <v>1503</v>
      </c>
      <c r="C117" s="8" t="s">
        <v>1447</v>
      </c>
      <c r="D117" s="8" t="s">
        <v>1504</v>
      </c>
      <c r="E117" s="8" t="s">
        <v>1471</v>
      </c>
      <c r="F117" s="8" t="s">
        <v>1505</v>
      </c>
    </row>
    <row r="118" spans="1:6" ht="42">
      <c r="A118" s="8" t="s">
        <v>1506</v>
      </c>
      <c r="B118" s="8" t="s">
        <v>1507</v>
      </c>
      <c r="C118" s="8" t="s">
        <v>1508</v>
      </c>
      <c r="D118" s="8" t="s">
        <v>1509</v>
      </c>
      <c r="E118" s="8" t="s">
        <v>1510</v>
      </c>
      <c r="F118" s="8" t="s">
        <v>1511</v>
      </c>
    </row>
    <row r="120" spans="1:6" ht="126">
      <c r="A120" s="9" t="s">
        <v>1512</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5BEFB-1968-9340-B22A-C748422A09D9}">
  <dimension ref="A1:E104"/>
  <sheetViews>
    <sheetView topLeftCell="A15" workbookViewId="0"/>
  </sheetViews>
  <sheetFormatPr baseColWidth="10" defaultRowHeight="20"/>
  <cols>
    <col min="1" max="1" width="32.85546875" customWidth="1"/>
    <col min="2" max="3" width="60" customWidth="1"/>
    <col min="4" max="4" width="28.5703125" customWidth="1"/>
    <col min="5" max="5" width="27.140625" customWidth="1"/>
  </cols>
  <sheetData>
    <row r="1" spans="1:5" ht="27">
      <c r="A1" s="1" t="s">
        <v>851</v>
      </c>
    </row>
    <row r="2" spans="1:5" ht="63">
      <c r="A2" s="4" t="s">
        <v>1280</v>
      </c>
    </row>
    <row r="4" spans="1:5" ht="21" thickBot="1">
      <c r="A4" s="2" t="s">
        <v>852</v>
      </c>
    </row>
    <row r="5" spans="1:5" ht="22" customHeight="1">
      <c r="A5" s="50" t="s">
        <v>853</v>
      </c>
      <c r="B5" s="43"/>
      <c r="C5" s="47"/>
    </row>
    <row r="6" spans="1:5" ht="22" customHeight="1">
      <c r="A6" s="45" t="s">
        <v>854</v>
      </c>
      <c r="B6" s="42"/>
      <c r="C6" s="48"/>
    </row>
    <row r="7" spans="1:5" ht="22" customHeight="1">
      <c r="A7" s="45"/>
      <c r="B7" s="42"/>
      <c r="C7" s="48"/>
    </row>
    <row r="8" spans="1:5" ht="22" customHeight="1" thickBot="1">
      <c r="A8" s="46" t="s">
        <v>633</v>
      </c>
      <c r="B8" s="44"/>
      <c r="C8" s="49"/>
    </row>
    <row r="10" spans="1:5">
      <c r="A10" s="7" t="s">
        <v>855</v>
      </c>
      <c r="B10" s="7" t="s">
        <v>856</v>
      </c>
      <c r="C10" s="7" t="s">
        <v>857</v>
      </c>
      <c r="D10" s="7" t="s">
        <v>858</v>
      </c>
      <c r="E10" s="7" t="s">
        <v>139</v>
      </c>
    </row>
    <row r="11" spans="1:5" ht="42">
      <c r="A11" s="8" t="s">
        <v>859</v>
      </c>
      <c r="B11" s="8" t="s">
        <v>860</v>
      </c>
      <c r="C11" s="8" t="s">
        <v>861</v>
      </c>
      <c r="D11" s="8" t="s">
        <v>862</v>
      </c>
      <c r="E11" s="8" t="s">
        <v>863</v>
      </c>
    </row>
    <row r="12" spans="1:5" ht="21">
      <c r="A12" s="8" t="s">
        <v>701</v>
      </c>
      <c r="B12" s="8" t="s">
        <v>864</v>
      </c>
      <c r="C12" s="8" t="s">
        <v>865</v>
      </c>
      <c r="D12" s="8" t="s">
        <v>866</v>
      </c>
      <c r="E12" s="8" t="s">
        <v>863</v>
      </c>
    </row>
    <row r="13" spans="1:5" ht="42">
      <c r="A13" s="8" t="s">
        <v>867</v>
      </c>
      <c r="B13" s="8" t="s">
        <v>868</v>
      </c>
      <c r="C13" s="8" t="s">
        <v>869</v>
      </c>
      <c r="D13" s="8" t="s">
        <v>870</v>
      </c>
      <c r="E13" s="8" t="s">
        <v>871</v>
      </c>
    </row>
    <row r="16" spans="1:5" ht="42">
      <c r="A16" s="10" t="s">
        <v>872</v>
      </c>
    </row>
    <row r="17" spans="1:4" ht="147">
      <c r="A17" s="4" t="s">
        <v>873</v>
      </c>
    </row>
    <row r="18" spans="1:4" ht="63">
      <c r="A18" s="4" t="s">
        <v>874</v>
      </c>
    </row>
    <row r="19" spans="1:4" ht="105">
      <c r="A19" s="4" t="s">
        <v>875</v>
      </c>
    </row>
    <row r="20" spans="1:4" ht="42">
      <c r="A20" s="4" t="s">
        <v>876</v>
      </c>
    </row>
    <row r="23" spans="1:4" ht="21">
      <c r="A23" s="32" t="s">
        <v>877</v>
      </c>
    </row>
    <row r="24" spans="1:4">
      <c r="A24" s="7" t="s">
        <v>878</v>
      </c>
      <c r="B24" s="7" t="s">
        <v>879</v>
      </c>
      <c r="C24" s="7" t="s">
        <v>880</v>
      </c>
      <c r="D24" s="7"/>
    </row>
    <row r="25" spans="1:4" ht="21">
      <c r="A25" s="8" t="s">
        <v>881</v>
      </c>
      <c r="B25" s="8" t="s">
        <v>882</v>
      </c>
      <c r="C25" s="8" t="s">
        <v>883</v>
      </c>
      <c r="D25" s="8"/>
    </row>
    <row r="26" spans="1:4" ht="21">
      <c r="A26" s="8" t="s">
        <v>884</v>
      </c>
      <c r="B26" s="8" t="s">
        <v>83</v>
      </c>
      <c r="C26" s="8" t="s">
        <v>885</v>
      </c>
      <c r="D26" s="8"/>
    </row>
    <row r="28" spans="1:4" ht="147">
      <c r="A28" s="4" t="s">
        <v>886</v>
      </c>
    </row>
    <row r="31" spans="1:4">
      <c r="A31" s="2" t="s">
        <v>887</v>
      </c>
    </row>
    <row r="32" spans="1:4">
      <c r="A32" s="7" t="s">
        <v>80</v>
      </c>
      <c r="B32" s="7" t="s">
        <v>81</v>
      </c>
      <c r="C32" s="7"/>
    </row>
    <row r="33" spans="1:3" ht="63">
      <c r="A33" s="8" t="s">
        <v>856</v>
      </c>
      <c r="B33" s="8" t="s">
        <v>888</v>
      </c>
      <c r="C33" s="8"/>
    </row>
    <row r="34" spans="1:3" ht="42">
      <c r="A34" s="8" t="s">
        <v>106</v>
      </c>
      <c r="B34" s="8" t="s">
        <v>889</v>
      </c>
      <c r="C34" s="8"/>
    </row>
    <row r="35" spans="1:3" ht="42">
      <c r="A35" s="8" t="s">
        <v>577</v>
      </c>
      <c r="B35" s="8" t="s">
        <v>890</v>
      </c>
      <c r="C35" s="8"/>
    </row>
    <row r="36" spans="1:3" ht="42">
      <c r="A36" s="8" t="s">
        <v>891</v>
      </c>
      <c r="B36" s="8" t="s">
        <v>892</v>
      </c>
      <c r="C36" s="8"/>
    </row>
    <row r="39" spans="1:3" ht="21">
      <c r="A39" s="10" t="s">
        <v>893</v>
      </c>
    </row>
    <row r="40" spans="1:3">
      <c r="A40" s="7" t="s">
        <v>80</v>
      </c>
      <c r="B40" s="7" t="s">
        <v>81</v>
      </c>
      <c r="C40" s="5"/>
    </row>
    <row r="41" spans="1:3" ht="21">
      <c r="A41" s="8" t="s">
        <v>856</v>
      </c>
      <c r="B41" s="8" t="s">
        <v>894</v>
      </c>
      <c r="C41" s="6"/>
    </row>
    <row r="42" spans="1:3" ht="21">
      <c r="A42" s="8" t="s">
        <v>857</v>
      </c>
      <c r="B42" s="8" t="s">
        <v>895</v>
      </c>
      <c r="C42" s="6"/>
    </row>
    <row r="43" spans="1:3" ht="21">
      <c r="A43" s="8" t="s">
        <v>896</v>
      </c>
      <c r="B43" s="8" t="s">
        <v>897</v>
      </c>
      <c r="C43" s="6"/>
    </row>
    <row r="44" spans="1:3" ht="42">
      <c r="A44" s="8" t="s">
        <v>898</v>
      </c>
      <c r="B44" s="8" t="s">
        <v>899</v>
      </c>
      <c r="C44" s="6"/>
    </row>
    <row r="45" spans="1:3" ht="63">
      <c r="A45" s="8" t="s">
        <v>900</v>
      </c>
      <c r="B45" s="8" t="s">
        <v>901</v>
      </c>
      <c r="C45" s="6"/>
    </row>
    <row r="46" spans="1:3" ht="63">
      <c r="A46" s="8" t="s">
        <v>1530</v>
      </c>
      <c r="B46" s="8" t="s">
        <v>1531</v>
      </c>
      <c r="C46" s="6"/>
    </row>
    <row r="47" spans="1:3" ht="21">
      <c r="A47" s="8" t="s">
        <v>902</v>
      </c>
      <c r="B47" s="8" t="s">
        <v>903</v>
      </c>
      <c r="C47" s="6"/>
    </row>
    <row r="50" spans="1:4" ht="22" thickBot="1">
      <c r="A50" s="10" t="s">
        <v>904</v>
      </c>
    </row>
    <row r="51" spans="1:4" ht="22" customHeight="1">
      <c r="A51" s="50" t="s">
        <v>905</v>
      </c>
      <c r="B51" s="43"/>
      <c r="C51" s="47"/>
    </row>
    <row r="52" spans="1:4" ht="22" customHeight="1">
      <c r="A52" s="45" t="s">
        <v>906</v>
      </c>
      <c r="B52" s="42"/>
      <c r="C52" s="48"/>
    </row>
    <row r="53" spans="1:4" ht="22" customHeight="1">
      <c r="A53" s="45"/>
      <c r="B53" s="42"/>
      <c r="C53" s="48"/>
    </row>
    <row r="54" spans="1:4" ht="22" customHeight="1" thickBot="1">
      <c r="A54" s="46" t="s">
        <v>633</v>
      </c>
      <c r="B54" s="44"/>
      <c r="C54" s="49"/>
    </row>
    <row r="56" spans="1:4">
      <c r="A56" s="7" t="s">
        <v>907</v>
      </c>
      <c r="B56" s="7" t="s">
        <v>81</v>
      </c>
      <c r="C56" s="7" t="s">
        <v>908</v>
      </c>
      <c r="D56" s="7"/>
    </row>
    <row r="57" spans="1:4" ht="42">
      <c r="A57" s="8" t="s">
        <v>909</v>
      </c>
      <c r="B57" s="8" t="s">
        <v>910</v>
      </c>
      <c r="C57" s="8" t="s">
        <v>911</v>
      </c>
      <c r="D57" s="8"/>
    </row>
    <row r="58" spans="1:4" ht="42">
      <c r="A58" s="8" t="s">
        <v>912</v>
      </c>
      <c r="B58" s="8" t="s">
        <v>913</v>
      </c>
      <c r="C58" s="8" t="s">
        <v>914</v>
      </c>
      <c r="D58" s="8"/>
    </row>
    <row r="60" spans="1:4" ht="63">
      <c r="A60" s="4" t="s">
        <v>915</v>
      </c>
    </row>
    <row r="61" spans="1:4" ht="63">
      <c r="A61" s="4" t="s">
        <v>916</v>
      </c>
    </row>
    <row r="64" spans="1:4">
      <c r="A64" s="2" t="s">
        <v>917</v>
      </c>
    </row>
    <row r="65" spans="1:4">
      <c r="A65" s="7" t="s">
        <v>918</v>
      </c>
      <c r="B65" s="7" t="s">
        <v>919</v>
      </c>
      <c r="C65" s="7" t="s">
        <v>920</v>
      </c>
      <c r="D65" s="7"/>
    </row>
    <row r="66" spans="1:4" ht="21">
      <c r="A66" s="8" t="s">
        <v>921</v>
      </c>
      <c r="B66" s="8" t="s">
        <v>922</v>
      </c>
      <c r="C66" s="8" t="s">
        <v>923</v>
      </c>
      <c r="D66" s="8"/>
    </row>
    <row r="67" spans="1:4" ht="21">
      <c r="A67" s="8" t="s">
        <v>924</v>
      </c>
      <c r="B67" s="8" t="s">
        <v>925</v>
      </c>
      <c r="C67" s="8" t="s">
        <v>926</v>
      </c>
      <c r="D67" s="8"/>
    </row>
    <row r="68" spans="1:4" ht="21">
      <c r="A68" s="8" t="s">
        <v>927</v>
      </c>
      <c r="B68" s="8" t="s">
        <v>925</v>
      </c>
      <c r="C68" s="8" t="s">
        <v>926</v>
      </c>
      <c r="D68" s="8"/>
    </row>
    <row r="69" spans="1:4" ht="21">
      <c r="A69" s="8" t="s">
        <v>564</v>
      </c>
      <c r="B69" s="8" t="s">
        <v>928</v>
      </c>
      <c r="C69" s="8" t="s">
        <v>929</v>
      </c>
      <c r="D69" s="8"/>
    </row>
    <row r="70" spans="1:4" ht="21">
      <c r="A70" s="8" t="s">
        <v>902</v>
      </c>
      <c r="B70" s="8" t="s">
        <v>930</v>
      </c>
      <c r="C70" s="8" t="s">
        <v>931</v>
      </c>
      <c r="D70" s="8"/>
    </row>
    <row r="72" spans="1:4" ht="126">
      <c r="A72" s="9" t="s">
        <v>932</v>
      </c>
    </row>
    <row r="75" spans="1:4">
      <c r="A75" s="2" t="s">
        <v>1532</v>
      </c>
    </row>
    <row r="76" spans="1:4" ht="126">
      <c r="A76" s="4" t="s">
        <v>1533</v>
      </c>
    </row>
    <row r="78" spans="1:4">
      <c r="A78" s="2" t="s">
        <v>1534</v>
      </c>
    </row>
    <row r="79" spans="1:4">
      <c r="A79" s="7" t="s">
        <v>20</v>
      </c>
      <c r="B79" s="7" t="s">
        <v>1535</v>
      </c>
      <c r="C79" s="7" t="s">
        <v>34</v>
      </c>
      <c r="D79" s="7" t="s">
        <v>1536</v>
      </c>
    </row>
    <row r="80" spans="1:4" ht="42">
      <c r="A80" s="8" t="s">
        <v>1537</v>
      </c>
      <c r="B80" s="8" t="s">
        <v>1538</v>
      </c>
      <c r="C80" s="8" t="s">
        <v>1539</v>
      </c>
      <c r="D80" s="8" t="s">
        <v>1540</v>
      </c>
    </row>
    <row r="81" spans="1:4" ht="21">
      <c r="A81" s="8" t="s">
        <v>1541</v>
      </c>
      <c r="B81" s="8" t="s">
        <v>1542</v>
      </c>
      <c r="C81" s="8" t="s">
        <v>1543</v>
      </c>
      <c r="D81" s="8" t="s">
        <v>1544</v>
      </c>
    </row>
    <row r="82" spans="1:4" ht="21">
      <c r="A82" s="8" t="s">
        <v>1545</v>
      </c>
      <c r="B82" s="8" t="s">
        <v>1546</v>
      </c>
      <c r="C82" s="8" t="s">
        <v>1547</v>
      </c>
      <c r="D82" s="8" t="s">
        <v>1548</v>
      </c>
    </row>
    <row r="83" spans="1:4" ht="21">
      <c r="A83" s="8" t="s">
        <v>1549</v>
      </c>
      <c r="B83" s="8" t="s">
        <v>1550</v>
      </c>
      <c r="C83" s="8" t="s">
        <v>1551</v>
      </c>
      <c r="D83" s="8" t="s">
        <v>1552</v>
      </c>
    </row>
    <row r="84" spans="1:4" ht="21">
      <c r="A84" s="8" t="s">
        <v>1553</v>
      </c>
      <c r="B84" s="8" t="s">
        <v>1554</v>
      </c>
      <c r="C84" s="8" t="s">
        <v>1555</v>
      </c>
      <c r="D84" s="8" t="s">
        <v>1556</v>
      </c>
    </row>
    <row r="86" spans="1:4" ht="105">
      <c r="A86" s="4" t="s">
        <v>1557</v>
      </c>
    </row>
    <row r="87" spans="1:4" ht="84">
      <c r="A87" s="4" t="s">
        <v>1558</v>
      </c>
    </row>
    <row r="89" spans="1:4" ht="21">
      <c r="A89" s="10" t="s">
        <v>1559</v>
      </c>
    </row>
    <row r="90" spans="1:4">
      <c r="A90" s="7" t="s">
        <v>1560</v>
      </c>
      <c r="B90" s="7" t="s">
        <v>1561</v>
      </c>
    </row>
    <row r="91" spans="1:4" ht="63">
      <c r="A91" s="8" t="s">
        <v>1562</v>
      </c>
      <c r="B91" s="8" t="s">
        <v>1563</v>
      </c>
    </row>
    <row r="92" spans="1:4" ht="63">
      <c r="A92" s="8" t="s">
        <v>1564</v>
      </c>
      <c r="B92" s="8" t="s">
        <v>1565</v>
      </c>
    </row>
    <row r="93" spans="1:4" ht="63">
      <c r="A93" s="8" t="s">
        <v>1566</v>
      </c>
      <c r="B93" s="8" t="s">
        <v>1567</v>
      </c>
    </row>
    <row r="94" spans="1:4" ht="42">
      <c r="A94" s="8" t="s">
        <v>1568</v>
      </c>
      <c r="B94" s="8" t="s">
        <v>1569</v>
      </c>
    </row>
    <row r="95" spans="1:4" ht="21">
      <c r="A95" s="8" t="s">
        <v>28</v>
      </c>
      <c r="B95" s="8" t="s">
        <v>1570</v>
      </c>
    </row>
    <row r="96" spans="1:4" ht="63">
      <c r="A96" s="8" t="s">
        <v>1571</v>
      </c>
      <c r="B96" s="8" t="s">
        <v>1572</v>
      </c>
    </row>
    <row r="99" spans="1:3" ht="42">
      <c r="A99" s="10" t="s">
        <v>1573</v>
      </c>
    </row>
    <row r="100" spans="1:3" ht="42">
      <c r="A100" s="4" t="s">
        <v>1574</v>
      </c>
    </row>
    <row r="101" spans="1:3">
      <c r="A101" s="7" t="s">
        <v>1575</v>
      </c>
      <c r="B101" s="7" t="s">
        <v>1576</v>
      </c>
      <c r="C101" s="7" t="s">
        <v>1577</v>
      </c>
    </row>
    <row r="102" spans="1:3" ht="105">
      <c r="A102" s="8" t="s">
        <v>1578</v>
      </c>
      <c r="B102" s="8" t="s">
        <v>1579</v>
      </c>
      <c r="C102" s="8" t="s">
        <v>1580</v>
      </c>
    </row>
    <row r="103" spans="1:3" ht="42">
      <c r="A103" s="8" t="s">
        <v>1581</v>
      </c>
      <c r="B103" s="8" t="s">
        <v>1582</v>
      </c>
      <c r="C103" s="8" t="s">
        <v>1583</v>
      </c>
    </row>
    <row r="104" spans="1:3" ht="21">
      <c r="A104" s="8" t="s">
        <v>1584</v>
      </c>
      <c r="B104" s="8" t="s">
        <v>1585</v>
      </c>
      <c r="C104" s="8" t="s">
        <v>1586</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9B5-6F54-194F-B116-79744427E101}">
  <dimension ref="A1:F216"/>
  <sheetViews>
    <sheetView topLeftCell="A146" workbookViewId="0">
      <selection activeCell="B173" sqref="B173"/>
    </sheetView>
  </sheetViews>
  <sheetFormatPr baseColWidth="10" defaultRowHeight="20"/>
  <cols>
    <col min="1" max="1" width="27.140625" customWidth="1"/>
    <col min="2" max="2" width="35.7109375" customWidth="1"/>
    <col min="3" max="4" width="47.140625" customWidth="1"/>
    <col min="5" max="5" width="27.140625" customWidth="1"/>
    <col min="6" max="6" width="21.42578125" customWidth="1"/>
  </cols>
  <sheetData>
    <row r="1" spans="1:6" ht="27">
      <c r="A1" s="1" t="s">
        <v>164</v>
      </c>
    </row>
    <row r="2" spans="1:6" ht="105">
      <c r="A2" s="4" t="s">
        <v>1281</v>
      </c>
    </row>
    <row r="4" spans="1:6">
      <c r="A4" s="2" t="s">
        <v>933</v>
      </c>
    </row>
    <row r="5" spans="1:6" ht="210">
      <c r="A5" s="4" t="s">
        <v>934</v>
      </c>
    </row>
    <row r="7" spans="1:6">
      <c r="A7" s="7" t="s">
        <v>80</v>
      </c>
      <c r="B7" s="7" t="s">
        <v>165</v>
      </c>
      <c r="C7" s="7" t="s">
        <v>166</v>
      </c>
      <c r="D7" s="7" t="s">
        <v>167</v>
      </c>
      <c r="E7" s="7" t="s">
        <v>168</v>
      </c>
      <c r="F7" s="7"/>
    </row>
    <row r="8" spans="1:6" ht="21">
      <c r="A8" s="8" t="s">
        <v>169</v>
      </c>
      <c r="B8" s="8" t="s">
        <v>170</v>
      </c>
      <c r="C8" s="8" t="s">
        <v>171</v>
      </c>
      <c r="D8" s="8" t="s">
        <v>172</v>
      </c>
      <c r="E8" s="8" t="s">
        <v>173</v>
      </c>
      <c r="F8" s="8"/>
    </row>
    <row r="9" spans="1:6" ht="21">
      <c r="A9" s="8" t="s">
        <v>174</v>
      </c>
      <c r="B9" s="8" t="s">
        <v>170</v>
      </c>
      <c r="C9" s="8" t="s">
        <v>175</v>
      </c>
      <c r="D9" s="8" t="s">
        <v>176</v>
      </c>
      <c r="E9" s="8" t="s">
        <v>173</v>
      </c>
      <c r="F9" s="8"/>
    </row>
    <row r="10" spans="1:6" ht="21">
      <c r="A10" s="8" t="s">
        <v>177</v>
      </c>
      <c r="B10" s="8" t="s">
        <v>170</v>
      </c>
      <c r="C10" s="8" t="s">
        <v>178</v>
      </c>
      <c r="D10" s="8" t="s">
        <v>179</v>
      </c>
      <c r="E10" s="8" t="s">
        <v>180</v>
      </c>
      <c r="F10" s="8"/>
    </row>
    <row r="11" spans="1:6" ht="21">
      <c r="A11" s="8" t="s">
        <v>181</v>
      </c>
      <c r="B11" s="8" t="s">
        <v>170</v>
      </c>
      <c r="C11" s="8" t="s">
        <v>182</v>
      </c>
      <c r="D11" s="8" t="s">
        <v>183</v>
      </c>
      <c r="E11" s="8" t="s">
        <v>180</v>
      </c>
      <c r="F11" s="8"/>
    </row>
    <row r="12" spans="1:6" ht="21">
      <c r="A12" s="8" t="s">
        <v>184</v>
      </c>
      <c r="B12" s="8" t="s">
        <v>170</v>
      </c>
      <c r="C12" s="8" t="s">
        <v>185</v>
      </c>
      <c r="D12" s="8" t="s">
        <v>186</v>
      </c>
      <c r="E12" s="8" t="s">
        <v>187</v>
      </c>
      <c r="F12" s="8"/>
    </row>
    <row r="13" spans="1:6" ht="42">
      <c r="A13" s="8" t="s">
        <v>188</v>
      </c>
      <c r="B13" s="8" t="s">
        <v>170</v>
      </c>
      <c r="C13" s="8" t="s">
        <v>189</v>
      </c>
      <c r="D13" s="8" t="s">
        <v>190</v>
      </c>
      <c r="E13" s="8" t="s">
        <v>180</v>
      </c>
      <c r="F13" s="8"/>
    </row>
    <row r="14" spans="1:6" ht="42">
      <c r="A14" s="8" t="s">
        <v>191</v>
      </c>
      <c r="B14" s="8" t="s">
        <v>192</v>
      </c>
      <c r="C14" s="8" t="s">
        <v>193</v>
      </c>
      <c r="D14" s="8" t="s">
        <v>194</v>
      </c>
      <c r="E14" s="8" t="s">
        <v>195</v>
      </c>
      <c r="F14" s="8"/>
    </row>
    <row r="15" spans="1:6" ht="21">
      <c r="A15" s="8" t="s">
        <v>196</v>
      </c>
      <c r="B15" s="8" t="s">
        <v>197</v>
      </c>
      <c r="C15" s="8" t="s">
        <v>198</v>
      </c>
      <c r="D15" s="41" t="s">
        <v>1385</v>
      </c>
      <c r="E15" s="8" t="s">
        <v>195</v>
      </c>
      <c r="F15" s="8"/>
    </row>
    <row r="16" spans="1:6" ht="21">
      <c r="A16" s="8" t="s">
        <v>199</v>
      </c>
      <c r="B16" s="8" t="s">
        <v>170</v>
      </c>
      <c r="C16" s="8" t="s">
        <v>200</v>
      </c>
      <c r="D16" s="8" t="s">
        <v>201</v>
      </c>
      <c r="E16" s="8" t="s">
        <v>202</v>
      </c>
      <c r="F16" s="8"/>
    </row>
    <row r="17" spans="1:6" ht="21">
      <c r="A17" s="8" t="s">
        <v>203</v>
      </c>
      <c r="B17" s="8" t="s">
        <v>170</v>
      </c>
      <c r="C17" s="8" t="s">
        <v>204</v>
      </c>
      <c r="D17" s="8" t="s">
        <v>172</v>
      </c>
      <c r="E17" s="8" t="s">
        <v>205</v>
      </c>
      <c r="F17" s="8"/>
    </row>
    <row r="18" spans="1:6" ht="21">
      <c r="A18" s="8" t="s">
        <v>206</v>
      </c>
      <c r="B18" s="8" t="s">
        <v>170</v>
      </c>
      <c r="C18" s="8" t="s">
        <v>207</v>
      </c>
      <c r="D18" s="8" t="s">
        <v>208</v>
      </c>
      <c r="E18" s="8" t="s">
        <v>205</v>
      </c>
      <c r="F18" s="8"/>
    </row>
    <row r="19" spans="1:6" ht="21">
      <c r="A19" s="8" t="s">
        <v>209</v>
      </c>
      <c r="B19" s="8" t="s">
        <v>170</v>
      </c>
      <c r="C19" s="8" t="s">
        <v>210</v>
      </c>
      <c r="D19" s="8" t="s">
        <v>211</v>
      </c>
      <c r="E19" s="8" t="s">
        <v>205</v>
      </c>
      <c r="F19" s="8"/>
    </row>
    <row r="20" spans="1:6" ht="21">
      <c r="A20" s="8" t="s">
        <v>212</v>
      </c>
      <c r="B20" s="8" t="s">
        <v>170</v>
      </c>
      <c r="C20" s="8" t="s">
        <v>213</v>
      </c>
      <c r="D20" s="8" t="s">
        <v>214</v>
      </c>
      <c r="E20" s="8" t="s">
        <v>215</v>
      </c>
      <c r="F20" s="8"/>
    </row>
    <row r="21" spans="1:6" ht="21">
      <c r="A21" s="8" t="s">
        <v>216</v>
      </c>
      <c r="B21" s="8" t="s">
        <v>170</v>
      </c>
      <c r="C21" s="8" t="s">
        <v>217</v>
      </c>
      <c r="D21" s="8" t="s">
        <v>218</v>
      </c>
      <c r="E21" s="8" t="s">
        <v>215</v>
      </c>
      <c r="F21" s="8"/>
    </row>
    <row r="23" spans="1:6" ht="168">
      <c r="A23" s="9" t="s">
        <v>935</v>
      </c>
    </row>
    <row r="26" spans="1:6">
      <c r="A26" s="2" t="s">
        <v>936</v>
      </c>
    </row>
    <row r="27" spans="1:6">
      <c r="A27" s="33" t="s">
        <v>219</v>
      </c>
    </row>
    <row r="28" spans="1:6">
      <c r="A28" s="33" t="s">
        <v>937</v>
      </c>
    </row>
    <row r="29" spans="1:6">
      <c r="A29" s="33" t="s">
        <v>938</v>
      </c>
    </row>
    <row r="30" spans="1:6">
      <c r="A30" s="33" t="s">
        <v>939</v>
      </c>
    </row>
    <row r="31" spans="1:6">
      <c r="A31" s="33" t="s">
        <v>940</v>
      </c>
    </row>
    <row r="32" spans="1:6">
      <c r="A32" s="33" t="s">
        <v>941</v>
      </c>
    </row>
    <row r="33" spans="1:3">
      <c r="A33" s="33" t="s">
        <v>942</v>
      </c>
    </row>
    <row r="34" spans="1:3">
      <c r="A34" s="33" t="s">
        <v>943</v>
      </c>
    </row>
    <row r="35" spans="1:3">
      <c r="A35" s="33" t="s">
        <v>944</v>
      </c>
    </row>
    <row r="36" spans="1:3">
      <c r="A36" s="33" t="s">
        <v>945</v>
      </c>
    </row>
    <row r="37" spans="1:3">
      <c r="A37" s="33" t="s">
        <v>946</v>
      </c>
    </row>
    <row r="38" spans="1:3">
      <c r="A38" s="33" t="s">
        <v>947</v>
      </c>
    </row>
    <row r="39" spans="1:3">
      <c r="A39" s="33" t="s">
        <v>948</v>
      </c>
    </row>
    <row r="40" spans="1:3">
      <c r="A40" s="33" t="s">
        <v>949</v>
      </c>
    </row>
    <row r="41" spans="1:3">
      <c r="A41" s="33" t="s">
        <v>950</v>
      </c>
    </row>
    <row r="42" spans="1:3">
      <c r="A42" s="33" t="s">
        <v>220</v>
      </c>
    </row>
    <row r="45" spans="1:3" ht="21" thickBot="1">
      <c r="A45" s="34" t="s">
        <v>951</v>
      </c>
    </row>
    <row r="46" spans="1:3" ht="22" customHeight="1">
      <c r="A46" s="50" t="s">
        <v>952</v>
      </c>
      <c r="B46" s="43"/>
      <c r="C46" s="47"/>
    </row>
    <row r="47" spans="1:3" ht="22" customHeight="1">
      <c r="A47" s="45" t="s">
        <v>953</v>
      </c>
      <c r="B47" s="42"/>
      <c r="C47" s="48"/>
    </row>
    <row r="48" spans="1:3" ht="22" customHeight="1">
      <c r="A48" s="45"/>
      <c r="B48" s="42"/>
      <c r="C48" s="48"/>
    </row>
    <row r="49" spans="1:6" ht="22" customHeight="1" thickBot="1">
      <c r="A49" s="46" t="s">
        <v>633</v>
      </c>
      <c r="B49" s="44"/>
      <c r="C49" s="49"/>
    </row>
    <row r="51" spans="1:6">
      <c r="A51" s="7" t="s">
        <v>80</v>
      </c>
      <c r="B51" s="7" t="s">
        <v>221</v>
      </c>
      <c r="C51" s="7"/>
    </row>
    <row r="52" spans="1:6" ht="63">
      <c r="A52" s="8" t="s">
        <v>222</v>
      </c>
      <c r="B52" s="8" t="s">
        <v>223</v>
      </c>
      <c r="C52" s="8"/>
    </row>
    <row r="53" spans="1:6" ht="21">
      <c r="A53" s="8" t="s">
        <v>224</v>
      </c>
      <c r="B53" s="8" t="s">
        <v>225</v>
      </c>
      <c r="C53" s="8"/>
    </row>
    <row r="54" spans="1:6" ht="21">
      <c r="A54" s="8" t="s">
        <v>226</v>
      </c>
      <c r="B54" s="8" t="s">
        <v>227</v>
      </c>
      <c r="C54" s="8"/>
    </row>
    <row r="55" spans="1:6" ht="21">
      <c r="A55" s="8" t="s">
        <v>228</v>
      </c>
      <c r="B55" s="8" t="s">
        <v>229</v>
      </c>
      <c r="C55" s="8"/>
    </row>
    <row r="56" spans="1:6" ht="42">
      <c r="A56" s="8" t="s">
        <v>230</v>
      </c>
      <c r="B56" s="8" t="s">
        <v>231</v>
      </c>
      <c r="C56" s="8"/>
    </row>
    <row r="59" spans="1:6" ht="63">
      <c r="A59" s="10" t="s">
        <v>954</v>
      </c>
    </row>
    <row r="60" spans="1:6">
      <c r="A60" s="7" t="s">
        <v>221</v>
      </c>
      <c r="B60" s="7" t="s">
        <v>232</v>
      </c>
      <c r="C60" s="7" t="s">
        <v>233</v>
      </c>
      <c r="D60" s="7" t="s">
        <v>234</v>
      </c>
      <c r="E60" s="7" t="s">
        <v>139</v>
      </c>
      <c r="F60" s="7"/>
    </row>
    <row r="61" spans="1:6" ht="21">
      <c r="A61" s="8" t="s">
        <v>183</v>
      </c>
      <c r="B61" s="8" t="s">
        <v>235</v>
      </c>
      <c r="C61" s="8" t="s">
        <v>236</v>
      </c>
      <c r="D61" s="8" t="s">
        <v>237</v>
      </c>
      <c r="E61" s="8" t="s">
        <v>238</v>
      </c>
      <c r="F61" s="8"/>
    </row>
    <row r="62" spans="1:6" ht="21">
      <c r="A62" s="8" t="s">
        <v>239</v>
      </c>
      <c r="B62" s="8" t="s">
        <v>240</v>
      </c>
      <c r="C62" s="8">
        <v>403</v>
      </c>
      <c r="D62" s="8" t="s">
        <v>241</v>
      </c>
      <c r="E62" s="8" t="s">
        <v>242</v>
      </c>
      <c r="F62" s="8"/>
    </row>
    <row r="63" spans="1:6" ht="21">
      <c r="A63" s="8" t="s">
        <v>243</v>
      </c>
      <c r="B63" s="8" t="s">
        <v>244</v>
      </c>
      <c r="C63" s="8" t="s">
        <v>236</v>
      </c>
      <c r="D63" s="8" t="s">
        <v>237</v>
      </c>
      <c r="E63" s="8" t="s">
        <v>238</v>
      </c>
      <c r="F63" s="8"/>
    </row>
    <row r="64" spans="1:6" ht="21">
      <c r="A64" s="8" t="s">
        <v>245</v>
      </c>
      <c r="B64" s="8" t="s">
        <v>246</v>
      </c>
      <c r="C64" s="8" t="s">
        <v>247</v>
      </c>
      <c r="D64" s="8" t="s">
        <v>248</v>
      </c>
      <c r="E64" s="8" t="s">
        <v>249</v>
      </c>
      <c r="F64" s="8"/>
    </row>
    <row r="65" spans="1:6" ht="21">
      <c r="A65" s="8" t="s">
        <v>250</v>
      </c>
      <c r="B65" s="8" t="s">
        <v>251</v>
      </c>
      <c r="C65" s="8" t="s">
        <v>252</v>
      </c>
      <c r="D65" s="8" t="s">
        <v>253</v>
      </c>
      <c r="E65" s="8" t="s">
        <v>249</v>
      </c>
      <c r="F65" s="8"/>
    </row>
    <row r="66" spans="1:6" ht="21">
      <c r="A66" s="8" t="s">
        <v>254</v>
      </c>
      <c r="B66" s="8" t="s">
        <v>255</v>
      </c>
      <c r="C66" s="8">
        <v>403</v>
      </c>
      <c r="D66" s="8" t="s">
        <v>241</v>
      </c>
      <c r="E66" s="8" t="s">
        <v>242</v>
      </c>
      <c r="F66" s="8"/>
    </row>
    <row r="68" spans="1:6" ht="147">
      <c r="A68" s="9" t="s">
        <v>955</v>
      </c>
    </row>
    <row r="71" spans="1:6" ht="21" thickBot="1">
      <c r="A71" s="2" t="s">
        <v>956</v>
      </c>
    </row>
    <row r="72" spans="1:6" ht="22" customHeight="1">
      <c r="A72" s="50" t="s">
        <v>957</v>
      </c>
      <c r="B72" s="43"/>
      <c r="C72" s="47"/>
    </row>
    <row r="73" spans="1:6" ht="22" customHeight="1">
      <c r="A73" s="45" t="s">
        <v>958</v>
      </c>
      <c r="B73" s="42"/>
      <c r="C73" s="48"/>
    </row>
    <row r="74" spans="1:6" ht="22" customHeight="1">
      <c r="A74" s="45"/>
      <c r="B74" s="42"/>
      <c r="C74" s="48"/>
    </row>
    <row r="75" spans="1:6" ht="22" customHeight="1" thickBot="1">
      <c r="A75" s="46" t="s">
        <v>633</v>
      </c>
      <c r="B75" s="44"/>
      <c r="C75" s="49"/>
    </row>
    <row r="77" spans="1:6" ht="84">
      <c r="A77" s="4" t="s">
        <v>959</v>
      </c>
    </row>
    <row r="79" spans="1:6">
      <c r="A79" s="33" t="s">
        <v>256</v>
      </c>
    </row>
    <row r="80" spans="1:6">
      <c r="A80" s="33" t="s">
        <v>257</v>
      </c>
    </row>
    <row r="81" spans="1:4">
      <c r="A81" s="33" t="s">
        <v>258</v>
      </c>
    </row>
    <row r="82" spans="1:4">
      <c r="A82" s="33" t="s">
        <v>259</v>
      </c>
    </row>
    <row r="83" spans="1:4">
      <c r="A83" s="33" t="s">
        <v>260</v>
      </c>
    </row>
    <row r="84" spans="1:4">
      <c r="A84" s="33" t="s">
        <v>261</v>
      </c>
    </row>
    <row r="85" spans="1:4">
      <c r="A85" s="33" t="s">
        <v>960</v>
      </c>
    </row>
    <row r="86" spans="1:4">
      <c r="A86" s="33" t="s">
        <v>961</v>
      </c>
    </row>
    <row r="87" spans="1:4">
      <c r="A87" s="33" t="s">
        <v>962</v>
      </c>
    </row>
    <row r="88" spans="1:4">
      <c r="A88" s="33" t="s">
        <v>963</v>
      </c>
    </row>
    <row r="89" spans="1:4">
      <c r="A89" s="33" t="s">
        <v>964</v>
      </c>
    </row>
    <row r="90" spans="1:4">
      <c r="A90" s="33" t="s">
        <v>965</v>
      </c>
    </row>
    <row r="91" spans="1:4">
      <c r="A91" s="33" t="s">
        <v>966</v>
      </c>
    </row>
    <row r="93" spans="1:4">
      <c r="A93" s="7" t="s">
        <v>80</v>
      </c>
      <c r="B93" s="7" t="s">
        <v>262</v>
      </c>
      <c r="C93" s="7" t="s">
        <v>263</v>
      </c>
      <c r="D93" s="7"/>
    </row>
    <row r="94" spans="1:4" ht="42">
      <c r="A94" s="8" t="s">
        <v>264</v>
      </c>
      <c r="B94" s="8" t="s">
        <v>265</v>
      </c>
      <c r="C94" s="8" t="s">
        <v>266</v>
      </c>
      <c r="D94" s="8"/>
    </row>
    <row r="95" spans="1:4" ht="21">
      <c r="A95" s="8" t="s">
        <v>181</v>
      </c>
      <c r="B95" s="8" t="s">
        <v>967</v>
      </c>
      <c r="C95" s="8" t="s">
        <v>267</v>
      </c>
      <c r="D95" s="8"/>
    </row>
    <row r="96" spans="1:4" ht="21">
      <c r="A96" s="8" t="s">
        <v>177</v>
      </c>
      <c r="B96" s="8" t="s">
        <v>968</v>
      </c>
      <c r="C96" s="8" t="s">
        <v>268</v>
      </c>
      <c r="D96" s="8"/>
    </row>
    <row r="97" spans="1:4" ht="63">
      <c r="A97" s="8" t="s">
        <v>269</v>
      </c>
      <c r="B97" s="8" t="s">
        <v>969</v>
      </c>
      <c r="C97" s="8" t="s">
        <v>83</v>
      </c>
      <c r="D97" s="8"/>
    </row>
    <row r="98" spans="1:4" ht="42">
      <c r="A98" s="8" t="s">
        <v>270</v>
      </c>
      <c r="B98" s="8" t="s">
        <v>271</v>
      </c>
      <c r="C98" s="8" t="s">
        <v>83</v>
      </c>
      <c r="D98" s="8"/>
    </row>
    <row r="100" spans="1:4" ht="105">
      <c r="A100" s="9" t="s">
        <v>970</v>
      </c>
    </row>
    <row r="103" spans="1:4">
      <c r="A103" s="2" t="s">
        <v>971</v>
      </c>
    </row>
    <row r="104" spans="1:4" ht="231">
      <c r="A104" s="35" t="s">
        <v>972</v>
      </c>
    </row>
    <row r="106" spans="1:4" ht="63">
      <c r="A106" s="4" t="s">
        <v>973</v>
      </c>
    </row>
    <row r="107" spans="1:4" ht="126">
      <c r="A107" s="4" t="s">
        <v>974</v>
      </c>
    </row>
    <row r="108" spans="1:4" ht="105">
      <c r="A108" s="4" t="s">
        <v>975</v>
      </c>
    </row>
    <row r="109" spans="1:4" ht="105">
      <c r="A109" s="4" t="s">
        <v>976</v>
      </c>
    </row>
    <row r="111" spans="1:4">
      <c r="A111" s="7" t="s">
        <v>272</v>
      </c>
      <c r="B111" s="7" t="s">
        <v>232</v>
      </c>
      <c r="C111" s="7" t="s">
        <v>273</v>
      </c>
      <c r="D111" s="7"/>
    </row>
    <row r="112" spans="1:4" ht="42">
      <c r="A112" s="8" t="s">
        <v>274</v>
      </c>
      <c r="B112" s="8" t="s">
        <v>275</v>
      </c>
      <c r="C112" s="8" t="s">
        <v>276</v>
      </c>
      <c r="D112" s="8"/>
    </row>
    <row r="113" spans="1:4" ht="42">
      <c r="A113" s="8" t="s">
        <v>277</v>
      </c>
      <c r="B113" s="8" t="s">
        <v>278</v>
      </c>
      <c r="C113" s="41" t="s">
        <v>1386</v>
      </c>
      <c r="D113" s="8"/>
    </row>
    <row r="114" spans="1:4" ht="42">
      <c r="A114" s="8" t="s">
        <v>279</v>
      </c>
      <c r="B114" s="8" t="s">
        <v>280</v>
      </c>
      <c r="C114" s="8" t="s">
        <v>281</v>
      </c>
      <c r="D114" s="8"/>
    </row>
    <row r="115" spans="1:4" ht="42">
      <c r="A115" s="8" t="s">
        <v>282</v>
      </c>
      <c r="B115" s="8" t="s">
        <v>283</v>
      </c>
      <c r="C115" s="8" t="s">
        <v>83</v>
      </c>
      <c r="D115" s="8"/>
    </row>
    <row r="116" spans="1:4" ht="42">
      <c r="A116" s="8" t="s">
        <v>284</v>
      </c>
      <c r="B116" s="8" t="s">
        <v>285</v>
      </c>
      <c r="C116" s="8" t="s">
        <v>83</v>
      </c>
      <c r="D116" s="8"/>
    </row>
    <row r="117" spans="1:4" ht="42">
      <c r="A117" s="8" t="s">
        <v>286</v>
      </c>
      <c r="B117" s="8" t="s">
        <v>287</v>
      </c>
      <c r="C117" s="8" t="s">
        <v>83</v>
      </c>
      <c r="D117" s="8"/>
    </row>
    <row r="118" spans="1:4" ht="42">
      <c r="A118" s="8" t="s">
        <v>288</v>
      </c>
      <c r="B118" s="8" t="s">
        <v>289</v>
      </c>
      <c r="C118" s="8" t="s">
        <v>83</v>
      </c>
      <c r="D118" s="8"/>
    </row>
    <row r="120" spans="1:4" ht="42">
      <c r="A120" s="9" t="s">
        <v>977</v>
      </c>
    </row>
    <row r="122" spans="1:4" ht="21">
      <c r="A122" s="10" t="s">
        <v>978</v>
      </c>
    </row>
    <row r="123" spans="1:4">
      <c r="A123" s="33" t="s">
        <v>290</v>
      </c>
    </row>
    <row r="124" spans="1:4">
      <c r="A124" s="33" t="s">
        <v>979</v>
      </c>
    </row>
    <row r="125" spans="1:4">
      <c r="A125" s="33" t="s">
        <v>980</v>
      </c>
    </row>
    <row r="126" spans="1:4">
      <c r="A126" s="33" t="s">
        <v>981</v>
      </c>
    </row>
    <row r="127" spans="1:4">
      <c r="A127" s="33" t="s">
        <v>982</v>
      </c>
    </row>
    <row r="128" spans="1:4">
      <c r="A128" s="33" t="s">
        <v>983</v>
      </c>
    </row>
    <row r="129" spans="1:3">
      <c r="A129" s="33" t="s">
        <v>984</v>
      </c>
    </row>
    <row r="130" spans="1:3">
      <c r="A130" s="33" t="s">
        <v>985</v>
      </c>
    </row>
    <row r="131" spans="1:3">
      <c r="A131" s="33" t="s">
        <v>986</v>
      </c>
    </row>
    <row r="132" spans="1:3">
      <c r="A132" s="33" t="s">
        <v>987</v>
      </c>
    </row>
    <row r="133" spans="1:3">
      <c r="A133" s="33" t="s">
        <v>980</v>
      </c>
    </row>
    <row r="134" spans="1:3">
      <c r="A134" s="33" t="s">
        <v>988</v>
      </c>
    </row>
    <row r="135" spans="1:3">
      <c r="A135" s="33" t="s">
        <v>989</v>
      </c>
    </row>
    <row r="136" spans="1:3">
      <c r="A136" s="33" t="s">
        <v>980</v>
      </c>
    </row>
    <row r="137" spans="1:3">
      <c r="A137" s="33" t="s">
        <v>990</v>
      </c>
    </row>
    <row r="138" spans="1:3">
      <c r="A138" s="33" t="s">
        <v>288</v>
      </c>
    </row>
    <row r="142" spans="1:3">
      <c r="A142" s="2" t="s">
        <v>991</v>
      </c>
    </row>
    <row r="143" spans="1:3">
      <c r="A143" s="7" t="s">
        <v>80</v>
      </c>
      <c r="B143" s="7" t="s">
        <v>221</v>
      </c>
      <c r="C143" s="7"/>
    </row>
    <row r="144" spans="1:3" ht="21">
      <c r="A144" s="8" t="s">
        <v>291</v>
      </c>
      <c r="B144" s="8" t="s">
        <v>292</v>
      </c>
      <c r="C144" s="8"/>
    </row>
    <row r="145" spans="1:4" ht="21">
      <c r="A145" s="8" t="s">
        <v>293</v>
      </c>
      <c r="B145" s="8" t="s">
        <v>294</v>
      </c>
      <c r="C145" s="8"/>
    </row>
    <row r="146" spans="1:4" ht="42">
      <c r="A146" s="8" t="s">
        <v>295</v>
      </c>
      <c r="B146" s="8" t="s">
        <v>296</v>
      </c>
      <c r="C146" s="8"/>
    </row>
    <row r="149" spans="1:4">
      <c r="A149" s="7" t="s">
        <v>297</v>
      </c>
      <c r="B149" s="7" t="s">
        <v>298</v>
      </c>
      <c r="C149" s="7" t="s">
        <v>232</v>
      </c>
      <c r="D149" s="7"/>
    </row>
    <row r="150" spans="1:4" ht="21">
      <c r="A150" s="8" t="s">
        <v>299</v>
      </c>
      <c r="B150" s="8" t="s">
        <v>300</v>
      </c>
      <c r="C150" s="8" t="s">
        <v>301</v>
      </c>
      <c r="D150" s="8"/>
    </row>
    <row r="151" spans="1:4" ht="21">
      <c r="A151" s="8" t="s">
        <v>302</v>
      </c>
      <c r="B151" s="8" t="s">
        <v>300</v>
      </c>
      <c r="C151" s="8" t="s">
        <v>303</v>
      </c>
      <c r="D151" s="8"/>
    </row>
    <row r="152" spans="1:4" ht="21">
      <c r="A152" s="8" t="s">
        <v>304</v>
      </c>
      <c r="B152" s="8" t="s">
        <v>300</v>
      </c>
      <c r="C152" s="8" t="s">
        <v>305</v>
      </c>
      <c r="D152" s="8"/>
    </row>
    <row r="153" spans="1:4" ht="21">
      <c r="A153" s="8" t="s">
        <v>306</v>
      </c>
      <c r="B153" s="8" t="s">
        <v>300</v>
      </c>
      <c r="C153" s="8" t="s">
        <v>307</v>
      </c>
      <c r="D153" s="8"/>
    </row>
    <row r="154" spans="1:4" ht="21">
      <c r="A154" s="8" t="s">
        <v>308</v>
      </c>
      <c r="B154" s="8" t="s">
        <v>300</v>
      </c>
      <c r="C154" s="8" t="s">
        <v>309</v>
      </c>
      <c r="D154" s="8"/>
    </row>
    <row r="157" spans="1:4" ht="64" thickBot="1">
      <c r="A157" s="10" t="s">
        <v>992</v>
      </c>
    </row>
    <row r="158" spans="1:4" ht="22" customHeight="1">
      <c r="A158" s="50" t="s">
        <v>993</v>
      </c>
      <c r="B158" s="43"/>
      <c r="C158" s="47"/>
    </row>
    <row r="159" spans="1:4" ht="22" customHeight="1">
      <c r="A159" s="45" t="s">
        <v>994</v>
      </c>
      <c r="B159" s="42"/>
      <c r="C159" s="48"/>
    </row>
    <row r="160" spans="1:4" ht="22" customHeight="1">
      <c r="A160" s="45"/>
      <c r="B160" s="42"/>
      <c r="C160" s="48"/>
    </row>
    <row r="161" spans="1:6" ht="22" customHeight="1" thickBot="1">
      <c r="A161" s="46" t="s">
        <v>633</v>
      </c>
      <c r="B161" s="44"/>
      <c r="C161" s="49"/>
    </row>
    <row r="163" spans="1:6">
      <c r="A163" s="7" t="s">
        <v>310</v>
      </c>
      <c r="B163" s="7" t="s">
        <v>311</v>
      </c>
      <c r="C163" s="7" t="s">
        <v>312</v>
      </c>
      <c r="D163" s="7" t="s">
        <v>313</v>
      </c>
      <c r="E163" s="7" t="s">
        <v>314</v>
      </c>
      <c r="F163" s="7" t="s">
        <v>315</v>
      </c>
    </row>
    <row r="164" spans="1:6" ht="21">
      <c r="A164" s="8" t="s">
        <v>236</v>
      </c>
      <c r="B164" s="8" t="s">
        <v>316</v>
      </c>
      <c r="C164" s="8" t="s">
        <v>317</v>
      </c>
      <c r="D164" s="8" t="s">
        <v>83</v>
      </c>
      <c r="E164" s="8" t="s">
        <v>83</v>
      </c>
      <c r="F164" s="8" t="s">
        <v>318</v>
      </c>
    </row>
    <row r="165" spans="1:6" ht="21">
      <c r="A165" s="36">
        <v>200</v>
      </c>
      <c r="B165" s="36">
        <v>200</v>
      </c>
      <c r="C165" s="36" t="s">
        <v>319</v>
      </c>
      <c r="D165" s="36" t="s">
        <v>320</v>
      </c>
      <c r="E165" s="36" t="s">
        <v>321</v>
      </c>
      <c r="F165" s="36" t="s">
        <v>322</v>
      </c>
    </row>
    <row r="166" spans="1:6" ht="21">
      <c r="A166" s="36">
        <v>200</v>
      </c>
      <c r="B166" s="36" t="s">
        <v>236</v>
      </c>
      <c r="C166" s="36" t="s">
        <v>323</v>
      </c>
      <c r="D166" s="36" t="s">
        <v>320</v>
      </c>
      <c r="E166" s="36" t="s">
        <v>321</v>
      </c>
      <c r="F166" s="36" t="s">
        <v>322</v>
      </c>
    </row>
    <row r="167" spans="1:6" ht="21">
      <c r="A167" s="8" t="s">
        <v>236</v>
      </c>
      <c r="B167" s="8" t="s">
        <v>236</v>
      </c>
      <c r="C167" s="8" t="s">
        <v>324</v>
      </c>
      <c r="D167" s="8" t="s">
        <v>325</v>
      </c>
      <c r="E167" s="8" t="s">
        <v>326</v>
      </c>
      <c r="F167" s="8" t="s">
        <v>327</v>
      </c>
    </row>
    <row r="168" spans="1:6" ht="21">
      <c r="A168" s="8" t="s">
        <v>236</v>
      </c>
      <c r="B168" s="8">
        <v>404</v>
      </c>
      <c r="C168" s="8" t="s">
        <v>328</v>
      </c>
      <c r="D168" s="8" t="s">
        <v>325</v>
      </c>
      <c r="E168" s="8" t="s">
        <v>326</v>
      </c>
      <c r="F168" s="8" t="s">
        <v>327</v>
      </c>
    </row>
    <row r="169" spans="1:6" ht="21">
      <c r="A169" s="8" t="s">
        <v>236</v>
      </c>
      <c r="B169" s="8">
        <v>500</v>
      </c>
      <c r="C169" s="8" t="s">
        <v>329</v>
      </c>
      <c r="D169" s="8" t="s">
        <v>330</v>
      </c>
      <c r="E169" s="8" t="s">
        <v>331</v>
      </c>
      <c r="F169" s="8" t="s">
        <v>332</v>
      </c>
    </row>
    <row r="170" spans="1:6" ht="21">
      <c r="A170" s="8">
        <v>404</v>
      </c>
      <c r="B170" s="8" t="s">
        <v>333</v>
      </c>
      <c r="C170" s="8" t="s">
        <v>334</v>
      </c>
      <c r="D170" s="8" t="s">
        <v>325</v>
      </c>
      <c r="E170" s="8" t="s">
        <v>326</v>
      </c>
      <c r="F170" s="8" t="s">
        <v>327</v>
      </c>
    </row>
    <row r="171" spans="1:6" ht="21">
      <c r="A171" s="8" t="s">
        <v>335</v>
      </c>
      <c r="B171" s="8">
        <v>200</v>
      </c>
      <c r="C171" s="8" t="s">
        <v>336</v>
      </c>
      <c r="D171" s="8" t="s">
        <v>83</v>
      </c>
      <c r="E171" s="8" t="s">
        <v>83</v>
      </c>
      <c r="F171" s="8" t="s">
        <v>318</v>
      </c>
    </row>
    <row r="173" spans="1:6" ht="105">
      <c r="A173" s="4" t="s">
        <v>1282</v>
      </c>
    </row>
    <row r="174" spans="1:6" ht="147">
      <c r="A174" s="4" t="s">
        <v>995</v>
      </c>
    </row>
    <row r="175" spans="1:6" ht="105">
      <c r="A175" s="4" t="s">
        <v>996</v>
      </c>
    </row>
    <row r="176" spans="1:6" ht="105">
      <c r="A176" s="9" t="s">
        <v>1587</v>
      </c>
    </row>
    <row r="178" spans="1:1" ht="42">
      <c r="A178" s="32" t="s">
        <v>997</v>
      </c>
    </row>
    <row r="179" spans="1:1">
      <c r="A179" s="33" t="s">
        <v>219</v>
      </c>
    </row>
    <row r="180" spans="1:1">
      <c r="A180" s="33" t="s">
        <v>937</v>
      </c>
    </row>
    <row r="181" spans="1:1">
      <c r="A181" s="33" t="s">
        <v>938</v>
      </c>
    </row>
    <row r="182" spans="1:1">
      <c r="A182" s="33" t="s">
        <v>940</v>
      </c>
    </row>
    <row r="183" spans="1:1">
      <c r="A183" s="33" t="s">
        <v>998</v>
      </c>
    </row>
    <row r="184" spans="1:1">
      <c r="A184" s="33" t="s">
        <v>999</v>
      </c>
    </row>
    <row r="185" spans="1:1">
      <c r="A185" s="33" t="s">
        <v>1000</v>
      </c>
    </row>
    <row r="186" spans="1:1">
      <c r="A186" s="33" t="s">
        <v>1001</v>
      </c>
    </row>
    <row r="187" spans="1:1">
      <c r="A187" s="33" t="s">
        <v>1002</v>
      </c>
    </row>
    <row r="188" spans="1:1">
      <c r="A188" s="33" t="s">
        <v>1003</v>
      </c>
    </row>
    <row r="189" spans="1:1">
      <c r="A189" s="33" t="s">
        <v>1004</v>
      </c>
    </row>
    <row r="190" spans="1:1">
      <c r="A190" s="33" t="s">
        <v>220</v>
      </c>
    </row>
    <row r="193" spans="1:6" ht="102">
      <c r="A193" s="37" t="s">
        <v>1005</v>
      </c>
    </row>
    <row r="196" spans="1:6">
      <c r="A196" s="2" t="s">
        <v>1006</v>
      </c>
    </row>
    <row r="197" spans="1:6">
      <c r="A197" s="7" t="s">
        <v>337</v>
      </c>
      <c r="B197" s="7" t="s">
        <v>338</v>
      </c>
      <c r="C197" s="7" t="s">
        <v>339</v>
      </c>
      <c r="D197" s="7" t="s">
        <v>340</v>
      </c>
      <c r="E197" s="7" t="s">
        <v>341</v>
      </c>
      <c r="F197" s="7"/>
    </row>
    <row r="198" spans="1:6" ht="21">
      <c r="A198" s="8" t="s">
        <v>342</v>
      </c>
      <c r="B198" s="8" t="s">
        <v>343</v>
      </c>
      <c r="C198" s="8" t="s">
        <v>344</v>
      </c>
      <c r="D198" s="8" t="s">
        <v>345</v>
      </c>
      <c r="E198" s="8" t="s">
        <v>346</v>
      </c>
      <c r="F198" s="8"/>
    </row>
    <row r="199" spans="1:6" ht="21">
      <c r="A199" s="8" t="s">
        <v>347</v>
      </c>
      <c r="B199" s="8" t="s">
        <v>343</v>
      </c>
      <c r="C199" s="8" t="s">
        <v>344</v>
      </c>
      <c r="D199" s="8" t="s">
        <v>348</v>
      </c>
      <c r="E199" s="8" t="s">
        <v>346</v>
      </c>
      <c r="F199" s="8"/>
    </row>
    <row r="201" spans="1:6" ht="126">
      <c r="A201" s="4" t="s">
        <v>1007</v>
      </c>
    </row>
    <row r="204" spans="1:6">
      <c r="A204" s="2" t="s">
        <v>1588</v>
      </c>
    </row>
    <row r="205" spans="1:6" ht="147">
      <c r="A205" s="4" t="s">
        <v>1589</v>
      </c>
    </row>
    <row r="207" spans="1:6">
      <c r="A207" s="7" t="s">
        <v>1590</v>
      </c>
      <c r="B207" s="7" t="s">
        <v>1591</v>
      </c>
      <c r="C207" s="7" t="s">
        <v>1592</v>
      </c>
      <c r="D207" s="7" t="s">
        <v>21</v>
      </c>
    </row>
    <row r="208" spans="1:6" ht="21">
      <c r="A208" s="8" t="s">
        <v>1593</v>
      </c>
      <c r="B208" s="8" t="s">
        <v>1594</v>
      </c>
      <c r="C208" s="8" t="s">
        <v>1595</v>
      </c>
      <c r="D208" s="8" t="s">
        <v>1596</v>
      </c>
    </row>
    <row r="209" spans="1:4" ht="42">
      <c r="A209" s="8" t="s">
        <v>1597</v>
      </c>
      <c r="B209" s="8" t="s">
        <v>1598</v>
      </c>
      <c r="C209" s="8" t="s">
        <v>1599</v>
      </c>
      <c r="D209" s="8" t="s">
        <v>1600</v>
      </c>
    </row>
    <row r="212" spans="1:4">
      <c r="A212" s="7" t="s">
        <v>1601</v>
      </c>
      <c r="B212" s="7" t="s">
        <v>35</v>
      </c>
      <c r="C212" s="7" t="s">
        <v>1</v>
      </c>
    </row>
    <row r="213" spans="1:4" ht="168">
      <c r="A213" s="8" t="s">
        <v>1602</v>
      </c>
      <c r="B213" s="8" t="s">
        <v>1603</v>
      </c>
      <c r="C213" s="8" t="s">
        <v>1604</v>
      </c>
    </row>
    <row r="214" spans="1:4" ht="126">
      <c r="A214" s="8" t="s">
        <v>1605</v>
      </c>
      <c r="B214" s="8" t="s">
        <v>1606</v>
      </c>
      <c r="C214" s="8" t="s">
        <v>1607</v>
      </c>
    </row>
    <row r="216" spans="1:4" ht="105">
      <c r="A216" s="4" t="s">
        <v>1608</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F13BF-CB40-7D4A-AE7A-56E1F2C561B0}">
  <dimension ref="A1:F151"/>
  <sheetViews>
    <sheetView topLeftCell="A95" workbookViewId="0">
      <selection activeCell="A96" sqref="A96"/>
    </sheetView>
  </sheetViews>
  <sheetFormatPr baseColWidth="10" defaultRowHeight="20"/>
  <cols>
    <col min="1" max="1" width="40" customWidth="1"/>
    <col min="2" max="2" width="35.7109375" customWidth="1"/>
    <col min="3" max="3" width="40" customWidth="1"/>
    <col min="4" max="4" width="74.28515625" customWidth="1"/>
    <col min="5" max="5" width="21.42578125" customWidth="1"/>
    <col min="6" max="6" width="17.140625" customWidth="1"/>
  </cols>
  <sheetData>
    <row r="1" spans="1:6" ht="27">
      <c r="A1" s="1" t="s">
        <v>1008</v>
      </c>
    </row>
    <row r="3" spans="1:6">
      <c r="A3" s="2" t="s">
        <v>1009</v>
      </c>
    </row>
    <row r="4" spans="1:6">
      <c r="A4" s="7" t="s">
        <v>634</v>
      </c>
      <c r="B4" s="7" t="s">
        <v>1010</v>
      </c>
      <c r="C4" s="7" t="s">
        <v>1011</v>
      </c>
      <c r="D4" s="7"/>
    </row>
    <row r="5" spans="1:6" ht="84">
      <c r="A5" s="8" t="s">
        <v>1012</v>
      </c>
      <c r="B5" s="8" t="s">
        <v>1013</v>
      </c>
      <c r="C5" s="8" t="s">
        <v>1014</v>
      </c>
      <c r="D5" s="8"/>
    </row>
    <row r="6" spans="1:6" ht="63">
      <c r="A6" s="8" t="s">
        <v>1015</v>
      </c>
      <c r="B6" s="8" t="s">
        <v>1016</v>
      </c>
      <c r="C6" s="8" t="s">
        <v>1017</v>
      </c>
      <c r="D6" s="8"/>
    </row>
    <row r="7" spans="1:6" ht="42">
      <c r="A7" s="8" t="s">
        <v>1018</v>
      </c>
      <c r="B7" s="8" t="s">
        <v>1019</v>
      </c>
      <c r="C7" s="8" t="s">
        <v>1020</v>
      </c>
      <c r="D7" s="8"/>
    </row>
    <row r="8" spans="1:6" ht="42">
      <c r="A8" s="8" t="s">
        <v>718</v>
      </c>
      <c r="B8" s="8" t="s">
        <v>1021</v>
      </c>
      <c r="C8" s="8" t="s">
        <v>1022</v>
      </c>
      <c r="D8" s="8"/>
    </row>
    <row r="9" spans="1:6" ht="21">
      <c r="A9" s="8" t="s">
        <v>719</v>
      </c>
      <c r="B9" s="8" t="s">
        <v>1023</v>
      </c>
      <c r="C9" s="8" t="s">
        <v>1024</v>
      </c>
      <c r="D9" s="8"/>
    </row>
    <row r="11" spans="1:6" ht="105">
      <c r="A11" s="4" t="s">
        <v>1025</v>
      </c>
    </row>
    <row r="12" spans="1:6" ht="42">
      <c r="A12" s="4" t="s">
        <v>1026</v>
      </c>
    </row>
    <row r="15" spans="1:6">
      <c r="A15" s="2" t="s">
        <v>1027</v>
      </c>
    </row>
    <row r="16" spans="1:6">
      <c r="A16" s="7" t="s">
        <v>653</v>
      </c>
      <c r="B16" s="7" t="s">
        <v>737</v>
      </c>
      <c r="C16" s="7" t="s">
        <v>1028</v>
      </c>
      <c r="D16" s="7" t="s">
        <v>1029</v>
      </c>
      <c r="E16" s="7" t="s">
        <v>1030</v>
      </c>
      <c r="F16" s="7"/>
    </row>
    <row r="17" spans="1:6" ht="42">
      <c r="A17" s="8">
        <v>1</v>
      </c>
      <c r="B17" s="8" t="s">
        <v>1031</v>
      </c>
      <c r="C17" s="8" t="s">
        <v>1032</v>
      </c>
      <c r="D17" s="8" t="s">
        <v>1033</v>
      </c>
      <c r="E17" s="8" t="s">
        <v>1034</v>
      </c>
      <c r="F17" s="8"/>
    </row>
    <row r="18" spans="1:6" ht="21">
      <c r="A18" s="8" t="s">
        <v>83</v>
      </c>
      <c r="B18" s="8" t="s">
        <v>1035</v>
      </c>
      <c r="C18" s="8" t="s">
        <v>1036</v>
      </c>
      <c r="D18" s="8" t="s">
        <v>1037</v>
      </c>
      <c r="E18" s="8" t="s">
        <v>1038</v>
      </c>
      <c r="F18" s="8"/>
    </row>
    <row r="19" spans="1:6" ht="21">
      <c r="A19" s="8" t="s">
        <v>83</v>
      </c>
      <c r="B19" s="8" t="s">
        <v>1039</v>
      </c>
      <c r="C19" s="8" t="s">
        <v>1040</v>
      </c>
      <c r="D19" s="8" t="s">
        <v>1041</v>
      </c>
      <c r="E19" s="8" t="s">
        <v>1038</v>
      </c>
      <c r="F19" s="8"/>
    </row>
    <row r="21" spans="1:6" ht="84">
      <c r="A21" s="9" t="s">
        <v>1042</v>
      </c>
    </row>
    <row r="24" spans="1:6" ht="21" thickBot="1">
      <c r="A24" s="2" t="s">
        <v>1043</v>
      </c>
    </row>
    <row r="25" spans="1:6" ht="22" customHeight="1">
      <c r="A25" s="50" t="s">
        <v>1044</v>
      </c>
      <c r="B25" s="43"/>
      <c r="C25" s="47"/>
    </row>
    <row r="26" spans="1:6" ht="22" customHeight="1">
      <c r="A26" s="45" t="s">
        <v>1045</v>
      </c>
      <c r="B26" s="42"/>
      <c r="C26" s="48"/>
    </row>
    <row r="27" spans="1:6" ht="22" customHeight="1">
      <c r="A27" s="45"/>
      <c r="B27" s="42"/>
      <c r="C27" s="48"/>
    </row>
    <row r="28" spans="1:6" ht="22" customHeight="1" thickBot="1">
      <c r="A28" s="46" t="s">
        <v>633</v>
      </c>
      <c r="B28" s="44"/>
      <c r="C28" s="49"/>
    </row>
    <row r="30" spans="1:6" ht="63">
      <c r="A30" s="4" t="s">
        <v>1046</v>
      </c>
    </row>
    <row r="32" spans="1:6">
      <c r="A32" s="33" t="s">
        <v>1047</v>
      </c>
    </row>
    <row r="33" spans="1:1">
      <c r="A33" s="33" t="s">
        <v>219</v>
      </c>
    </row>
    <row r="34" spans="1:1">
      <c r="A34" s="33" t="s">
        <v>1048</v>
      </c>
    </row>
    <row r="35" spans="1:1">
      <c r="A35" s="33" t="s">
        <v>1049</v>
      </c>
    </row>
    <row r="36" spans="1:1">
      <c r="A36" s="33" t="s">
        <v>1050</v>
      </c>
    </row>
    <row r="37" spans="1:1">
      <c r="A37" s="33" t="s">
        <v>1051</v>
      </c>
    </row>
    <row r="38" spans="1:1">
      <c r="A38" s="33" t="s">
        <v>1052</v>
      </c>
    </row>
    <row r="39" spans="1:1">
      <c r="A39" s="33" t="s">
        <v>1053</v>
      </c>
    </row>
    <row r="40" spans="1:1">
      <c r="A40" s="33" t="s">
        <v>1054</v>
      </c>
    </row>
    <row r="41" spans="1:1">
      <c r="A41" s="33" t="s">
        <v>1055</v>
      </c>
    </row>
    <row r="42" spans="1:1">
      <c r="A42" s="33" t="s">
        <v>1056</v>
      </c>
    </row>
    <row r="43" spans="1:1">
      <c r="A43" s="33" t="s">
        <v>1057</v>
      </c>
    </row>
    <row r="44" spans="1:1">
      <c r="A44" s="33" t="s">
        <v>1058</v>
      </c>
    </row>
    <row r="45" spans="1:1">
      <c r="A45" s="33" t="s">
        <v>1059</v>
      </c>
    </row>
    <row r="46" spans="1:1">
      <c r="A46" s="33" t="s">
        <v>220</v>
      </c>
    </row>
    <row r="48" spans="1:1">
      <c r="A48" s="33" t="s">
        <v>1060</v>
      </c>
    </row>
    <row r="49" spans="1:5">
      <c r="A49" s="33" t="s">
        <v>219</v>
      </c>
    </row>
    <row r="50" spans="1:5">
      <c r="A50" s="33" t="s">
        <v>1050</v>
      </c>
    </row>
    <row r="51" spans="1:5">
      <c r="A51" s="33" t="s">
        <v>1061</v>
      </c>
    </row>
    <row r="52" spans="1:5">
      <c r="A52" s="33" t="s">
        <v>1062</v>
      </c>
    </row>
    <row r="53" spans="1:5">
      <c r="A53" s="33" t="s">
        <v>1063</v>
      </c>
    </row>
    <row r="54" spans="1:5">
      <c r="A54" s="33" t="s">
        <v>220</v>
      </c>
    </row>
    <row r="56" spans="1:5" ht="105">
      <c r="A56" s="4" t="s">
        <v>1064</v>
      </c>
    </row>
    <row r="57" spans="1:5" ht="42">
      <c r="A57" s="4" t="s">
        <v>1065</v>
      </c>
    </row>
    <row r="58" spans="1:5" ht="84">
      <c r="A58" s="4" t="s">
        <v>1066</v>
      </c>
    </row>
    <row r="59" spans="1:5" ht="63">
      <c r="A59" s="4" t="s">
        <v>1067</v>
      </c>
    </row>
    <row r="62" spans="1:5" ht="21">
      <c r="A62" s="32" t="s">
        <v>1068</v>
      </c>
    </row>
    <row r="63" spans="1:5">
      <c r="A63" s="7" t="s">
        <v>594</v>
      </c>
      <c r="B63" s="7" t="s">
        <v>1069</v>
      </c>
      <c r="C63" s="7" t="s">
        <v>1070</v>
      </c>
      <c r="D63" s="7" t="s">
        <v>1030</v>
      </c>
      <c r="E63" s="7"/>
    </row>
    <row r="64" spans="1:5" ht="126">
      <c r="A64" s="8" t="s">
        <v>1012</v>
      </c>
      <c r="B64" s="8" t="s">
        <v>1071</v>
      </c>
      <c r="C64" s="8" t="s">
        <v>106</v>
      </c>
      <c r="D64" s="8" t="s">
        <v>1384</v>
      </c>
      <c r="E64" s="8"/>
    </row>
    <row r="65" spans="1:5" ht="63">
      <c r="A65" s="8" t="s">
        <v>1012</v>
      </c>
      <c r="B65" s="8" t="s">
        <v>1072</v>
      </c>
      <c r="C65" s="8" t="s">
        <v>577</v>
      </c>
      <c r="D65" s="8" t="s">
        <v>1073</v>
      </c>
      <c r="E65" s="8"/>
    </row>
    <row r="66" spans="1:5" ht="21">
      <c r="A66" s="8" t="s">
        <v>1012</v>
      </c>
      <c r="B66" s="8" t="s">
        <v>1074</v>
      </c>
      <c r="C66" s="8" t="s">
        <v>814</v>
      </c>
      <c r="D66" s="8" t="s">
        <v>1075</v>
      </c>
      <c r="E66" s="8"/>
    </row>
    <row r="67" spans="1:5" ht="42">
      <c r="A67" s="8" t="s">
        <v>1076</v>
      </c>
      <c r="B67" s="8" t="s">
        <v>129</v>
      </c>
      <c r="C67" s="8" t="s">
        <v>1077</v>
      </c>
      <c r="D67" s="8" t="s">
        <v>1078</v>
      </c>
      <c r="E67" s="8"/>
    </row>
    <row r="69" spans="1:5" ht="42">
      <c r="A69" s="9" t="s">
        <v>1079</v>
      </c>
    </row>
    <row r="71" spans="1:5" ht="21">
      <c r="A71" s="10" t="s">
        <v>1080</v>
      </c>
    </row>
    <row r="72" spans="1:5">
      <c r="A72" s="7" t="s">
        <v>1081</v>
      </c>
      <c r="B72" s="7" t="s">
        <v>1029</v>
      </c>
      <c r="C72" s="7" t="s">
        <v>81</v>
      </c>
      <c r="D72" s="7"/>
    </row>
    <row r="73" spans="1:5" ht="42">
      <c r="A73" s="8" t="s">
        <v>129</v>
      </c>
      <c r="B73" s="8" t="s">
        <v>1082</v>
      </c>
      <c r="C73" s="8" t="s">
        <v>1083</v>
      </c>
      <c r="D73" s="8"/>
    </row>
    <row r="74" spans="1:5" ht="42">
      <c r="A74" s="8" t="s">
        <v>123</v>
      </c>
      <c r="B74" s="8" t="s">
        <v>1084</v>
      </c>
      <c r="C74" s="8" t="s">
        <v>1085</v>
      </c>
      <c r="D74" s="8"/>
    </row>
    <row r="77" spans="1:5">
      <c r="A77" s="2" t="s">
        <v>1086</v>
      </c>
    </row>
    <row r="78" spans="1:5">
      <c r="A78" s="7" t="s">
        <v>1087</v>
      </c>
      <c r="B78" s="7" t="s">
        <v>737</v>
      </c>
      <c r="C78" s="7" t="s">
        <v>1030</v>
      </c>
      <c r="D78" s="7"/>
    </row>
    <row r="79" spans="1:5" ht="42">
      <c r="A79" s="8" t="s">
        <v>106</v>
      </c>
      <c r="B79" s="8" t="s">
        <v>1088</v>
      </c>
      <c r="C79" s="8" t="s">
        <v>1089</v>
      </c>
      <c r="D79" s="8"/>
    </row>
    <row r="80" spans="1:5" ht="21">
      <c r="A80" s="8" t="s">
        <v>1090</v>
      </c>
      <c r="B80" s="8" t="s">
        <v>1091</v>
      </c>
      <c r="C80" s="8" t="s">
        <v>1092</v>
      </c>
      <c r="D80" s="8"/>
    </row>
    <row r="82" spans="1:3" ht="63">
      <c r="A82" s="4" t="s">
        <v>1093</v>
      </c>
    </row>
    <row r="85" spans="1:3">
      <c r="A85" s="2" t="s">
        <v>1094</v>
      </c>
    </row>
    <row r="86" spans="1:3">
      <c r="A86" s="7" t="s">
        <v>526</v>
      </c>
      <c r="B86" s="7" t="s">
        <v>81</v>
      </c>
      <c r="C86" s="7"/>
    </row>
    <row r="87" spans="1:3" ht="42">
      <c r="A87" s="8" t="s">
        <v>1095</v>
      </c>
      <c r="B87" s="8" t="s">
        <v>1096</v>
      </c>
      <c r="C87" s="8"/>
    </row>
    <row r="88" spans="1:3" ht="84">
      <c r="A88" s="8" t="s">
        <v>1097</v>
      </c>
      <c r="B88" s="8" t="s">
        <v>1098</v>
      </c>
      <c r="C88" s="8"/>
    </row>
    <row r="89" spans="1:3" ht="84">
      <c r="A89" s="8" t="s">
        <v>1099</v>
      </c>
      <c r="B89" s="8" t="s">
        <v>1289</v>
      </c>
      <c r="C89" s="8"/>
    </row>
    <row r="90" spans="1:3" ht="147">
      <c r="A90" s="8" t="s">
        <v>1100</v>
      </c>
      <c r="B90" s="8" t="s">
        <v>1290</v>
      </c>
      <c r="C90" s="8"/>
    </row>
    <row r="91" spans="1:3" ht="105">
      <c r="A91" s="8" t="s">
        <v>1101</v>
      </c>
      <c r="B91" s="8" t="s">
        <v>1102</v>
      </c>
      <c r="C91" s="8"/>
    </row>
    <row r="92" spans="1:3" ht="63">
      <c r="A92" s="38" t="s">
        <v>1103</v>
      </c>
      <c r="B92" s="38" t="s">
        <v>1104</v>
      </c>
      <c r="C92" s="38"/>
    </row>
    <row r="94" spans="1:3" ht="84">
      <c r="A94" s="4" t="s">
        <v>1105</v>
      </c>
    </row>
    <row r="95" spans="1:3" ht="42">
      <c r="A95" s="4" t="s">
        <v>1106</v>
      </c>
    </row>
    <row r="96" spans="1:3" ht="63">
      <c r="A96" s="4" t="s">
        <v>1107</v>
      </c>
    </row>
    <row r="99" spans="1:3" ht="43" thickBot="1">
      <c r="A99" s="32" t="s">
        <v>1108</v>
      </c>
    </row>
    <row r="100" spans="1:3" ht="22" customHeight="1">
      <c r="A100" s="50" t="s">
        <v>1109</v>
      </c>
      <c r="B100" s="43"/>
      <c r="C100" s="47"/>
    </row>
    <row r="101" spans="1:3" ht="22" customHeight="1">
      <c r="A101" s="45" t="s">
        <v>1110</v>
      </c>
      <c r="B101" s="42"/>
      <c r="C101" s="48"/>
    </row>
    <row r="102" spans="1:3" ht="22" customHeight="1">
      <c r="A102" s="45"/>
      <c r="B102" s="42"/>
      <c r="C102" s="48"/>
    </row>
    <row r="103" spans="1:3" ht="22" customHeight="1" thickBot="1">
      <c r="A103" s="46" t="s">
        <v>633</v>
      </c>
      <c r="B103" s="44"/>
      <c r="C103" s="49"/>
    </row>
    <row r="105" spans="1:3" ht="84">
      <c r="A105" s="4" t="s">
        <v>1111</v>
      </c>
    </row>
    <row r="107" spans="1:3">
      <c r="A107" s="33" t="s">
        <v>1112</v>
      </c>
    </row>
    <row r="108" spans="1:3">
      <c r="A108" s="33" t="s">
        <v>1113</v>
      </c>
    </row>
    <row r="109" spans="1:3">
      <c r="A109" s="33" t="s">
        <v>1114</v>
      </c>
    </row>
    <row r="110" spans="1:3">
      <c r="A110" s="33"/>
    </row>
    <row r="111" spans="1:3">
      <c r="A111" s="33" t="s">
        <v>1115</v>
      </c>
    </row>
    <row r="112" spans="1:3">
      <c r="A112" s="33" t="s">
        <v>1116</v>
      </c>
    </row>
    <row r="113" spans="1:5">
      <c r="A113" s="33" t="s">
        <v>1117</v>
      </c>
    </row>
    <row r="115" spans="1:5" ht="119">
      <c r="A115" s="37" t="s">
        <v>1118</v>
      </c>
    </row>
    <row r="117" spans="1:5">
      <c r="A117" s="7" t="s">
        <v>594</v>
      </c>
      <c r="B117" s="7" t="s">
        <v>1119</v>
      </c>
      <c r="C117" s="7" t="s">
        <v>81</v>
      </c>
      <c r="D117" s="7"/>
    </row>
    <row r="118" spans="1:5" ht="42">
      <c r="A118" s="8" t="s">
        <v>1120</v>
      </c>
      <c r="B118" s="8" t="s">
        <v>1121</v>
      </c>
      <c r="C118" s="8" t="s">
        <v>1122</v>
      </c>
      <c r="D118" s="8"/>
    </row>
    <row r="119" spans="1:5" ht="42">
      <c r="A119" s="8" t="s">
        <v>1120</v>
      </c>
      <c r="B119" s="8" t="s">
        <v>1123</v>
      </c>
      <c r="C119" s="8" t="s">
        <v>1124</v>
      </c>
      <c r="D119" s="8"/>
    </row>
    <row r="120" spans="1:5" ht="42">
      <c r="A120" s="8" t="s">
        <v>1120</v>
      </c>
      <c r="B120" s="8" t="s">
        <v>1125</v>
      </c>
      <c r="C120" s="8" t="s">
        <v>1126</v>
      </c>
      <c r="D120" s="8"/>
    </row>
    <row r="121" spans="1:5" ht="21">
      <c r="A121" s="8" t="s">
        <v>1120</v>
      </c>
      <c r="B121" s="8" t="s">
        <v>737</v>
      </c>
      <c r="C121" s="8" t="s">
        <v>1127</v>
      </c>
      <c r="D121" s="8"/>
    </row>
    <row r="122" spans="1:5" ht="42">
      <c r="A122" s="8" t="s">
        <v>1128</v>
      </c>
      <c r="B122" s="8" t="s">
        <v>1129</v>
      </c>
      <c r="C122" s="8" t="s">
        <v>1130</v>
      </c>
      <c r="D122" s="8"/>
    </row>
    <row r="123" spans="1:5" ht="21">
      <c r="A123" s="8" t="s">
        <v>1128</v>
      </c>
      <c r="B123" s="8" t="s">
        <v>1131</v>
      </c>
      <c r="C123" s="8" t="s">
        <v>1132</v>
      </c>
      <c r="D123" s="8"/>
    </row>
    <row r="124" spans="1:5" ht="21">
      <c r="A124" s="8" t="s">
        <v>1128</v>
      </c>
      <c r="B124" s="8" t="s">
        <v>1133</v>
      </c>
      <c r="C124" s="8" t="s">
        <v>1134</v>
      </c>
      <c r="D124" s="8"/>
    </row>
    <row r="125" spans="1:5" ht="42">
      <c r="A125" s="8" t="s">
        <v>1128</v>
      </c>
      <c r="B125" s="8" t="s">
        <v>1135</v>
      </c>
      <c r="C125" s="8" t="s">
        <v>1136</v>
      </c>
      <c r="D125" s="8"/>
    </row>
    <row r="128" spans="1:5">
      <c r="A128" s="7" t="s">
        <v>1137</v>
      </c>
      <c r="B128" s="7" t="s">
        <v>1138</v>
      </c>
      <c r="C128" s="7" t="s">
        <v>1139</v>
      </c>
      <c r="D128" s="7" t="s">
        <v>880</v>
      </c>
      <c r="E128" s="7"/>
    </row>
    <row r="129" spans="1:5" ht="21">
      <c r="A129" s="8" t="s">
        <v>598</v>
      </c>
      <c r="B129" s="8" t="s">
        <v>1140</v>
      </c>
      <c r="C129" s="8" t="s">
        <v>1141</v>
      </c>
      <c r="D129" s="8" t="s">
        <v>1142</v>
      </c>
      <c r="E129" s="8"/>
    </row>
    <row r="130" spans="1:5" ht="21">
      <c r="A130" s="8" t="s">
        <v>613</v>
      </c>
      <c r="B130" s="8" t="s">
        <v>1143</v>
      </c>
      <c r="C130" s="8" t="s">
        <v>1144</v>
      </c>
      <c r="D130" s="8" t="s">
        <v>1145</v>
      </c>
      <c r="E130" s="8"/>
    </row>
    <row r="132" spans="1:5" ht="126">
      <c r="A132" s="4" t="s">
        <v>1146</v>
      </c>
    </row>
    <row r="135" spans="1:5">
      <c r="A135" s="2" t="s">
        <v>1147</v>
      </c>
    </row>
    <row r="136" spans="1:5">
      <c r="A136" s="7" t="s">
        <v>1148</v>
      </c>
      <c r="B136" s="7" t="s">
        <v>1149</v>
      </c>
      <c r="C136" s="7" t="s">
        <v>81</v>
      </c>
      <c r="D136" s="7"/>
    </row>
    <row r="137" spans="1:5" ht="42">
      <c r="A137" s="8">
        <v>1</v>
      </c>
      <c r="B137" s="8" t="s">
        <v>1150</v>
      </c>
      <c r="C137" s="8" t="s">
        <v>1151</v>
      </c>
      <c r="D137" s="8"/>
    </row>
    <row r="138" spans="1:5" ht="21">
      <c r="A138" s="8">
        <v>2</v>
      </c>
      <c r="B138" s="8" t="s">
        <v>1152</v>
      </c>
      <c r="C138" s="8" t="s">
        <v>1153</v>
      </c>
      <c r="D138" s="8"/>
    </row>
    <row r="139" spans="1:5" ht="42">
      <c r="A139" s="8">
        <v>3</v>
      </c>
      <c r="B139" s="8" t="s">
        <v>1154</v>
      </c>
      <c r="C139" s="8" t="s">
        <v>1155</v>
      </c>
      <c r="D139" s="8"/>
    </row>
    <row r="141" spans="1:5" ht="63">
      <c r="A141" s="4" t="s">
        <v>1156</v>
      </c>
    </row>
    <row r="142" spans="1:5" ht="105">
      <c r="A142" s="4" t="s">
        <v>1157</v>
      </c>
    </row>
    <row r="143" spans="1:5" ht="105">
      <c r="A143" s="4" t="s">
        <v>1283</v>
      </c>
    </row>
    <row r="146" spans="1:6" ht="21">
      <c r="A146" s="32" t="s">
        <v>1158</v>
      </c>
    </row>
    <row r="147" spans="1:6">
      <c r="A147" s="7" t="s">
        <v>313</v>
      </c>
      <c r="B147" s="7" t="s">
        <v>314</v>
      </c>
      <c r="C147" s="7" t="s">
        <v>1159</v>
      </c>
      <c r="D147" s="7" t="s">
        <v>315</v>
      </c>
      <c r="E147" s="7" t="s">
        <v>1160</v>
      </c>
      <c r="F147" s="7" t="s">
        <v>1161</v>
      </c>
    </row>
    <row r="148" spans="1:6" ht="42">
      <c r="A148" s="8" t="s">
        <v>320</v>
      </c>
      <c r="B148" s="8" t="s">
        <v>321</v>
      </c>
      <c r="C148" s="8" t="s">
        <v>1162</v>
      </c>
      <c r="D148" s="8" t="s">
        <v>322</v>
      </c>
      <c r="E148" s="8" t="s">
        <v>1163</v>
      </c>
      <c r="F148" s="8" t="s">
        <v>1164</v>
      </c>
    </row>
    <row r="149" spans="1:6" ht="42">
      <c r="A149" s="8" t="s">
        <v>325</v>
      </c>
      <c r="B149" s="8" t="s">
        <v>326</v>
      </c>
      <c r="C149" s="8" t="s">
        <v>1165</v>
      </c>
      <c r="D149" s="8" t="s">
        <v>1166</v>
      </c>
      <c r="E149" s="8" t="s">
        <v>1167</v>
      </c>
      <c r="F149" s="8" t="s">
        <v>1168</v>
      </c>
    </row>
    <row r="150" spans="1:6" ht="42">
      <c r="A150" s="8" t="s">
        <v>330</v>
      </c>
      <c r="B150" s="8" t="s">
        <v>331</v>
      </c>
      <c r="C150" s="8" t="s">
        <v>1169</v>
      </c>
      <c r="D150" s="8" t="s">
        <v>332</v>
      </c>
      <c r="E150" s="8" t="s">
        <v>1170</v>
      </c>
      <c r="F150" s="8" t="s">
        <v>1171</v>
      </c>
    </row>
    <row r="151" spans="1:6" ht="21">
      <c r="A151" s="8" t="s">
        <v>317</v>
      </c>
      <c r="B151" s="8" t="s">
        <v>83</v>
      </c>
      <c r="C151" s="8" t="s">
        <v>83</v>
      </c>
      <c r="D151" s="8" t="s">
        <v>318</v>
      </c>
      <c r="E151" s="8" t="s">
        <v>83</v>
      </c>
      <c r="F151" s="8" t="s">
        <v>1172</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5C37E-C305-3940-BA40-24062CD80BFB}">
  <dimension ref="A1:C63"/>
  <sheetViews>
    <sheetView workbookViewId="0">
      <selection activeCell="C59" sqref="C59"/>
    </sheetView>
  </sheetViews>
  <sheetFormatPr baseColWidth="10" defaultRowHeight="26" customHeight="1"/>
  <cols>
    <col min="1" max="1" width="41.42578125" style="52" customWidth="1"/>
    <col min="2" max="2" width="60" style="52" customWidth="1"/>
    <col min="3" max="3" width="67.140625" style="52" customWidth="1"/>
    <col min="4" max="16384" width="10.7109375" style="52"/>
  </cols>
  <sheetData>
    <row r="1" spans="1:3" ht="26" customHeight="1">
      <c r="A1" s="51" t="s">
        <v>1173</v>
      </c>
    </row>
    <row r="2" spans="1:3" ht="26" customHeight="1">
      <c r="A2" s="53" t="s">
        <v>1322</v>
      </c>
    </row>
    <row r="4" spans="1:3" ht="26" customHeight="1">
      <c r="A4" s="56" t="s">
        <v>1174</v>
      </c>
    </row>
    <row r="5" spans="1:3" ht="26" customHeight="1">
      <c r="A5" s="54" t="s">
        <v>1175</v>
      </c>
      <c r="B5" s="54" t="s">
        <v>1176</v>
      </c>
      <c r="C5" s="54" t="s">
        <v>1177</v>
      </c>
    </row>
    <row r="6" spans="1:3" ht="26" customHeight="1">
      <c r="A6" s="55">
        <v>1</v>
      </c>
      <c r="B6" s="55" t="s">
        <v>1178</v>
      </c>
      <c r="C6" s="55" t="s">
        <v>1323</v>
      </c>
    </row>
    <row r="7" spans="1:3" ht="26" customHeight="1">
      <c r="A7" s="55">
        <v>2</v>
      </c>
      <c r="B7" s="55" t="s">
        <v>1179</v>
      </c>
      <c r="C7" s="55" t="s">
        <v>1324</v>
      </c>
    </row>
    <row r="8" spans="1:3" ht="26" customHeight="1">
      <c r="A8" s="55">
        <v>3</v>
      </c>
      <c r="B8" s="55" t="s">
        <v>1180</v>
      </c>
      <c r="C8" s="55" t="s">
        <v>1325</v>
      </c>
    </row>
    <row r="11" spans="1:3" ht="26" customHeight="1">
      <c r="A11" s="56" t="s">
        <v>1181</v>
      </c>
    </row>
    <row r="12" spans="1:3" ht="26" customHeight="1">
      <c r="A12" s="54" t="s">
        <v>80</v>
      </c>
      <c r="B12" s="54" t="s">
        <v>1182</v>
      </c>
      <c r="C12" s="54"/>
    </row>
    <row r="13" spans="1:3" ht="26" customHeight="1">
      <c r="A13" s="55" t="s">
        <v>1183</v>
      </c>
      <c r="B13" s="55" t="s">
        <v>1326</v>
      </c>
      <c r="C13" s="55"/>
    </row>
    <row r="14" spans="1:3" ht="26" customHeight="1">
      <c r="A14" s="55" t="s">
        <v>1184</v>
      </c>
      <c r="B14" s="55" t="s">
        <v>1327</v>
      </c>
      <c r="C14" s="55"/>
    </row>
    <row r="15" spans="1:3" ht="26" customHeight="1">
      <c r="A15" s="55" t="s">
        <v>1185</v>
      </c>
      <c r="B15" s="55" t="s">
        <v>1328</v>
      </c>
      <c r="C15" s="55"/>
    </row>
    <row r="16" spans="1:3" ht="26" customHeight="1">
      <c r="A16" s="55" t="s">
        <v>1186</v>
      </c>
      <c r="B16" s="55" t="s">
        <v>1329</v>
      </c>
      <c r="C16" s="55"/>
    </row>
    <row r="17" spans="1:3" ht="26" customHeight="1">
      <c r="A17" s="55" t="s">
        <v>1187</v>
      </c>
      <c r="B17" s="55" t="s">
        <v>1330</v>
      </c>
      <c r="C17" s="55"/>
    </row>
    <row r="20" spans="1:3" ht="26" customHeight="1">
      <c r="A20" s="57" t="s">
        <v>1188</v>
      </c>
    </row>
    <row r="21" spans="1:3" ht="26" customHeight="1">
      <c r="A21" s="58" t="s">
        <v>256</v>
      </c>
    </row>
    <row r="22" spans="1:3" ht="26" customHeight="1">
      <c r="A22" s="58" t="s">
        <v>257</v>
      </c>
    </row>
    <row r="23" spans="1:3" ht="26" customHeight="1">
      <c r="A23" s="58" t="s">
        <v>258</v>
      </c>
    </row>
    <row r="24" spans="1:3" ht="26" customHeight="1">
      <c r="A24" s="58" t="s">
        <v>259</v>
      </c>
    </row>
    <row r="25" spans="1:3" ht="26" customHeight="1">
      <c r="A25" s="58" t="s">
        <v>260</v>
      </c>
    </row>
    <row r="26" spans="1:3" ht="26" customHeight="1">
      <c r="A26" s="58" t="s">
        <v>261</v>
      </c>
    </row>
    <row r="27" spans="1:3" ht="26" customHeight="1">
      <c r="A27" s="58" t="s">
        <v>960</v>
      </c>
    </row>
    <row r="28" spans="1:3" ht="26" customHeight="1">
      <c r="A28" s="58" t="s">
        <v>961</v>
      </c>
    </row>
    <row r="29" spans="1:3" ht="26" customHeight="1">
      <c r="A29" s="58" t="s">
        <v>1189</v>
      </c>
    </row>
    <row r="30" spans="1:3" ht="26" customHeight="1">
      <c r="A30" s="58" t="s">
        <v>963</v>
      </c>
    </row>
    <row r="31" spans="1:3" ht="26" customHeight="1">
      <c r="A31" s="58" t="s">
        <v>964</v>
      </c>
    </row>
    <row r="32" spans="1:3" ht="26" customHeight="1">
      <c r="A32" s="58" t="s">
        <v>965</v>
      </c>
    </row>
    <row r="33" spans="1:3" ht="26" customHeight="1">
      <c r="A33" s="58" t="s">
        <v>966</v>
      </c>
    </row>
    <row r="35" spans="1:3" ht="26" customHeight="1">
      <c r="A35" s="54" t="s">
        <v>1190</v>
      </c>
      <c r="B35" s="54" t="s">
        <v>81</v>
      </c>
      <c r="C35" s="54" t="s">
        <v>1191</v>
      </c>
    </row>
    <row r="36" spans="1:3" ht="38">
      <c r="A36" s="55" t="s">
        <v>1192</v>
      </c>
      <c r="B36" s="55" t="s">
        <v>1331</v>
      </c>
      <c r="C36" s="55" t="s">
        <v>1332</v>
      </c>
    </row>
    <row r="37" spans="1:3" ht="38">
      <c r="A37" s="55" t="s">
        <v>181</v>
      </c>
      <c r="B37" s="55" t="s">
        <v>1333</v>
      </c>
      <c r="C37" s="55" t="s">
        <v>1334</v>
      </c>
    </row>
    <row r="38" spans="1:3" ht="19">
      <c r="A38" s="55" t="s">
        <v>177</v>
      </c>
      <c r="B38" s="55" t="s">
        <v>1335</v>
      </c>
      <c r="C38" s="55" t="s">
        <v>1336</v>
      </c>
    </row>
    <row r="39" spans="1:3" ht="19">
      <c r="A39" s="55" t="s">
        <v>206</v>
      </c>
      <c r="B39" s="55" t="s">
        <v>1337</v>
      </c>
      <c r="C39" s="55" t="s">
        <v>83</v>
      </c>
    </row>
    <row r="41" spans="1:3" ht="26" customHeight="1">
      <c r="A41" s="60" t="s">
        <v>1338</v>
      </c>
    </row>
    <row r="43" spans="1:3" ht="26" customHeight="1">
      <c r="A43" s="57" t="s">
        <v>1193</v>
      </c>
    </row>
    <row r="44" spans="1:3" ht="26" customHeight="1">
      <c r="A44" s="61" t="s">
        <v>1339</v>
      </c>
    </row>
    <row r="46" spans="1:3" ht="26" customHeight="1">
      <c r="A46" s="53" t="s">
        <v>1340</v>
      </c>
    </row>
    <row r="47" spans="1:3" ht="26" customHeight="1">
      <c r="A47" s="53" t="s">
        <v>1341</v>
      </c>
    </row>
    <row r="48" spans="1:3" ht="26" customHeight="1">
      <c r="A48" s="53" t="s">
        <v>1342</v>
      </c>
    </row>
    <row r="50" spans="1:3" ht="26" customHeight="1">
      <c r="A50" s="58" t="s">
        <v>290</v>
      </c>
    </row>
    <row r="51" spans="1:3" ht="26" customHeight="1">
      <c r="A51" s="58" t="s">
        <v>987</v>
      </c>
    </row>
    <row r="52" spans="1:3" ht="26" customHeight="1">
      <c r="A52" s="58" t="s">
        <v>980</v>
      </c>
    </row>
    <row r="53" spans="1:3" ht="26" customHeight="1">
      <c r="A53" s="58" t="s">
        <v>1194</v>
      </c>
    </row>
    <row r="56" spans="1:3" ht="26" customHeight="1">
      <c r="A56" s="59" t="s">
        <v>1195</v>
      </c>
    </row>
    <row r="57" spans="1:3" ht="26" customHeight="1">
      <c r="A57" s="54" t="s">
        <v>653</v>
      </c>
      <c r="B57" s="54" t="s">
        <v>1196</v>
      </c>
      <c r="C57" s="54" t="s">
        <v>1197</v>
      </c>
    </row>
    <row r="58" spans="1:3" ht="26" customHeight="1">
      <c r="A58" s="55">
        <v>1</v>
      </c>
      <c r="B58" s="55" t="s">
        <v>1198</v>
      </c>
      <c r="C58" s="55" t="s">
        <v>83</v>
      </c>
    </row>
    <row r="59" spans="1:3" ht="26" customHeight="1">
      <c r="A59" s="55">
        <v>2</v>
      </c>
      <c r="B59" s="55" t="s">
        <v>1199</v>
      </c>
      <c r="C59" s="55" t="s">
        <v>1200</v>
      </c>
    </row>
    <row r="60" spans="1:3" ht="26" customHeight="1">
      <c r="A60" s="55">
        <v>3</v>
      </c>
      <c r="B60" s="55" t="s">
        <v>1201</v>
      </c>
      <c r="C60" s="55" t="s">
        <v>1202</v>
      </c>
    </row>
    <row r="61" spans="1:3" ht="26" customHeight="1">
      <c r="A61" s="55">
        <v>4</v>
      </c>
      <c r="B61" s="55" t="s">
        <v>1203</v>
      </c>
      <c r="C61" s="55" t="s">
        <v>83</v>
      </c>
    </row>
    <row r="63" spans="1:3" ht="26" customHeight="1">
      <c r="A63" s="53" t="s">
        <v>1388</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E3BA3-C03B-BA4B-B611-FC633187F1C2}">
  <dimension ref="A1:D51"/>
  <sheetViews>
    <sheetView workbookViewId="0">
      <pane ySplit="4" topLeftCell="A5" activePane="bottomLeft" state="frozen"/>
      <selection pane="bottomLeft" activeCell="C32" sqref="C32"/>
    </sheetView>
  </sheetViews>
  <sheetFormatPr baseColWidth="10" defaultRowHeight="18"/>
  <cols>
    <col min="1" max="1" width="12.85546875" style="52" customWidth="1"/>
    <col min="2" max="3" width="74.28515625" style="52" customWidth="1"/>
    <col min="4" max="4" width="24.28515625" style="52" customWidth="1"/>
    <col min="5" max="16384" width="10.7109375" style="52"/>
  </cols>
  <sheetData>
    <row r="1" spans="1:4" ht="22">
      <c r="A1" s="51" t="s">
        <v>349</v>
      </c>
    </row>
    <row r="2" spans="1:4" ht="25" customHeight="1">
      <c r="A2" s="53" t="s">
        <v>350</v>
      </c>
    </row>
    <row r="4" spans="1:4">
      <c r="A4" s="54" t="s">
        <v>351</v>
      </c>
      <c r="B4" s="54" t="s">
        <v>352</v>
      </c>
      <c r="C4" s="54" t="s">
        <v>353</v>
      </c>
      <c r="D4" s="54" t="s">
        <v>354</v>
      </c>
    </row>
    <row r="5" spans="1:4" ht="19">
      <c r="A5" s="55" t="s">
        <v>355</v>
      </c>
      <c r="B5" s="55" t="s">
        <v>356</v>
      </c>
      <c r="C5" s="55" t="s">
        <v>357</v>
      </c>
      <c r="D5" s="55" t="s">
        <v>358</v>
      </c>
    </row>
    <row r="6" spans="1:4" ht="19">
      <c r="A6" s="55" t="s">
        <v>359</v>
      </c>
      <c r="B6" s="55" t="s">
        <v>1284</v>
      </c>
      <c r="C6" s="55" t="s">
        <v>360</v>
      </c>
      <c r="D6" s="55" t="s">
        <v>83</v>
      </c>
    </row>
    <row r="7" spans="1:4" ht="19">
      <c r="A7" s="55" t="s">
        <v>361</v>
      </c>
      <c r="B7" s="55" t="s">
        <v>362</v>
      </c>
      <c r="C7" s="55" t="s">
        <v>363</v>
      </c>
      <c r="D7" s="55" t="s">
        <v>83</v>
      </c>
    </row>
    <row r="8" spans="1:4" ht="57">
      <c r="A8" s="55" t="s">
        <v>364</v>
      </c>
      <c r="B8" s="55" t="s">
        <v>365</v>
      </c>
      <c r="C8" s="55" t="s">
        <v>366</v>
      </c>
      <c r="D8" s="55" t="s">
        <v>83</v>
      </c>
    </row>
    <row r="9" spans="1:4" ht="19">
      <c r="A9" s="55" t="s">
        <v>367</v>
      </c>
      <c r="B9" s="55" t="s">
        <v>368</v>
      </c>
      <c r="C9" s="55" t="s">
        <v>369</v>
      </c>
      <c r="D9" s="55" t="s">
        <v>83</v>
      </c>
    </row>
    <row r="10" spans="1:4" ht="19">
      <c r="A10" s="55" t="s">
        <v>370</v>
      </c>
      <c r="B10" s="55" t="s">
        <v>1285</v>
      </c>
      <c r="C10" s="55" t="s">
        <v>371</v>
      </c>
      <c r="D10" s="55" t="s">
        <v>83</v>
      </c>
    </row>
    <row r="11" spans="1:4" ht="38">
      <c r="A11" s="55" t="s">
        <v>372</v>
      </c>
      <c r="B11" s="55" t="s">
        <v>373</v>
      </c>
      <c r="C11" s="55" t="s">
        <v>1204</v>
      </c>
      <c r="D11" s="55" t="s">
        <v>83</v>
      </c>
    </row>
    <row r="12" spans="1:4" ht="19">
      <c r="A12" s="55" t="s">
        <v>374</v>
      </c>
      <c r="B12" s="55" t="s">
        <v>375</v>
      </c>
      <c r="C12" s="55" t="s">
        <v>376</v>
      </c>
      <c r="D12" s="55" t="s">
        <v>83</v>
      </c>
    </row>
    <row r="13" spans="1:4" ht="19">
      <c r="A13" s="55" t="s">
        <v>377</v>
      </c>
      <c r="B13" s="55" t="s">
        <v>378</v>
      </c>
      <c r="C13" s="55" t="s">
        <v>1205</v>
      </c>
      <c r="D13" s="55" t="s">
        <v>83</v>
      </c>
    </row>
    <row r="14" spans="1:4" ht="19">
      <c r="A14" s="55" t="s">
        <v>379</v>
      </c>
      <c r="B14" s="55" t="s">
        <v>1206</v>
      </c>
      <c r="C14" s="55" t="s">
        <v>380</v>
      </c>
      <c r="D14" s="55" t="s">
        <v>381</v>
      </c>
    </row>
    <row r="15" spans="1:4" ht="19">
      <c r="A15" s="55" t="s">
        <v>382</v>
      </c>
      <c r="B15" s="55" t="s">
        <v>383</v>
      </c>
      <c r="C15" s="55" t="s">
        <v>384</v>
      </c>
      <c r="D15" s="55" t="s">
        <v>83</v>
      </c>
    </row>
    <row r="16" spans="1:4" ht="19">
      <c r="A16" s="55" t="s">
        <v>385</v>
      </c>
      <c r="B16" s="55" t="s">
        <v>386</v>
      </c>
      <c r="C16" s="55" t="s">
        <v>387</v>
      </c>
      <c r="D16" s="55" t="s">
        <v>388</v>
      </c>
    </row>
    <row r="17" spans="1:4" ht="19">
      <c r="A17" s="55" t="s">
        <v>389</v>
      </c>
      <c r="B17" s="55" t="s">
        <v>390</v>
      </c>
      <c r="C17" s="55" t="s">
        <v>391</v>
      </c>
      <c r="D17" s="55" t="s">
        <v>83</v>
      </c>
    </row>
    <row r="18" spans="1:4" ht="19">
      <c r="A18" s="55" t="s">
        <v>392</v>
      </c>
      <c r="B18" s="55" t="s">
        <v>393</v>
      </c>
      <c r="C18" s="55" t="s">
        <v>394</v>
      </c>
      <c r="D18" s="55" t="s">
        <v>83</v>
      </c>
    </row>
    <row r="19" spans="1:4" ht="19">
      <c r="A19" s="55" t="s">
        <v>395</v>
      </c>
      <c r="B19" s="55" t="s">
        <v>396</v>
      </c>
      <c r="C19" s="55" t="s">
        <v>397</v>
      </c>
      <c r="D19" s="55" t="s">
        <v>398</v>
      </c>
    </row>
    <row r="20" spans="1:4" ht="19">
      <c r="A20" s="55" t="s">
        <v>399</v>
      </c>
      <c r="B20" s="55" t="s">
        <v>400</v>
      </c>
      <c r="C20" s="55" t="s">
        <v>401</v>
      </c>
      <c r="D20" s="55" t="s">
        <v>83</v>
      </c>
    </row>
    <row r="21" spans="1:4" ht="19">
      <c r="A21" s="55" t="s">
        <v>402</v>
      </c>
      <c r="B21" s="55" t="s">
        <v>403</v>
      </c>
      <c r="C21" s="55" t="s">
        <v>404</v>
      </c>
      <c r="D21" s="55" t="s">
        <v>83</v>
      </c>
    </row>
    <row r="22" spans="1:4" ht="19">
      <c r="A22" s="55" t="s">
        <v>405</v>
      </c>
      <c r="B22" s="55" t="s">
        <v>406</v>
      </c>
      <c r="C22" s="55" t="s">
        <v>407</v>
      </c>
      <c r="D22" s="55" t="s">
        <v>83</v>
      </c>
    </row>
    <row r="23" spans="1:4" ht="19">
      <c r="A23" s="55" t="s">
        <v>408</v>
      </c>
      <c r="B23" s="55" t="s">
        <v>409</v>
      </c>
      <c r="C23" s="55" t="s">
        <v>1286</v>
      </c>
      <c r="D23" s="55" t="s">
        <v>83</v>
      </c>
    </row>
    <row r="24" spans="1:4" ht="19">
      <c r="A24" s="55" t="s">
        <v>410</v>
      </c>
      <c r="B24" s="55" t="s">
        <v>411</v>
      </c>
      <c r="C24" s="55" t="s">
        <v>412</v>
      </c>
      <c r="D24" s="55" t="s">
        <v>83</v>
      </c>
    </row>
    <row r="25" spans="1:4" ht="19">
      <c r="A25" s="55" t="s">
        <v>413</v>
      </c>
      <c r="B25" s="55" t="s">
        <v>414</v>
      </c>
      <c r="C25" s="55" t="s">
        <v>415</v>
      </c>
      <c r="D25" s="55" t="s">
        <v>358</v>
      </c>
    </row>
    <row r="26" spans="1:4" ht="19">
      <c r="A26" s="55" t="s">
        <v>416</v>
      </c>
      <c r="B26" s="55" t="s">
        <v>1381</v>
      </c>
      <c r="C26" s="55" t="s">
        <v>417</v>
      </c>
      <c r="D26" s="55" t="s">
        <v>358</v>
      </c>
    </row>
    <row r="27" spans="1:4" ht="19">
      <c r="A27" s="55" t="s">
        <v>418</v>
      </c>
      <c r="B27" s="55" t="s">
        <v>1382</v>
      </c>
      <c r="C27" s="55" t="s">
        <v>419</v>
      </c>
      <c r="D27" s="55" t="s">
        <v>83</v>
      </c>
    </row>
    <row r="28" spans="1:4" ht="19">
      <c r="A28" s="55" t="s">
        <v>420</v>
      </c>
      <c r="B28" s="55" t="s">
        <v>421</v>
      </c>
      <c r="C28" s="55" t="s">
        <v>422</v>
      </c>
      <c r="D28" s="55" t="s">
        <v>83</v>
      </c>
    </row>
    <row r="29" spans="1:4" ht="19">
      <c r="A29" s="55" t="s">
        <v>423</v>
      </c>
      <c r="B29" s="55" t="s">
        <v>424</v>
      </c>
      <c r="C29" s="55" t="s">
        <v>425</v>
      </c>
      <c r="D29" s="55" t="s">
        <v>83</v>
      </c>
    </row>
    <row r="30" spans="1:4" ht="19">
      <c r="A30" s="55" t="s">
        <v>426</v>
      </c>
      <c r="B30" s="55" t="s">
        <v>1287</v>
      </c>
      <c r="C30" s="55" t="s">
        <v>427</v>
      </c>
      <c r="D30" s="55" t="s">
        <v>83</v>
      </c>
    </row>
    <row r="31" spans="1:4" ht="19">
      <c r="A31" s="55" t="s">
        <v>428</v>
      </c>
      <c r="B31" s="55" t="s">
        <v>429</v>
      </c>
      <c r="C31" s="55" t="s">
        <v>430</v>
      </c>
      <c r="D31" s="55" t="s">
        <v>83</v>
      </c>
    </row>
    <row r="32" spans="1:4" ht="19">
      <c r="A32" s="55" t="s">
        <v>431</v>
      </c>
      <c r="B32" s="55" t="s">
        <v>432</v>
      </c>
      <c r="C32" s="55" t="s">
        <v>433</v>
      </c>
      <c r="D32" s="55" t="s">
        <v>388</v>
      </c>
    </row>
    <row r="33" spans="1:4" ht="19">
      <c r="A33" s="55" t="s">
        <v>434</v>
      </c>
      <c r="B33" s="55" t="s">
        <v>435</v>
      </c>
      <c r="C33" s="55" t="s">
        <v>436</v>
      </c>
      <c r="D33" s="55" t="s">
        <v>83</v>
      </c>
    </row>
    <row r="34" spans="1:4" ht="19">
      <c r="A34" s="55" t="s">
        <v>437</v>
      </c>
      <c r="B34" s="55" t="s">
        <v>438</v>
      </c>
      <c r="C34" s="55" t="s">
        <v>439</v>
      </c>
      <c r="D34" s="55" t="s">
        <v>83</v>
      </c>
    </row>
    <row r="35" spans="1:4" ht="19">
      <c r="A35" s="55" t="s">
        <v>440</v>
      </c>
      <c r="B35" s="55" t="s">
        <v>441</v>
      </c>
      <c r="C35" s="55" t="s">
        <v>442</v>
      </c>
      <c r="D35" s="55" t="s">
        <v>83</v>
      </c>
    </row>
    <row r="36" spans="1:4" ht="19">
      <c r="A36" s="55" t="s">
        <v>443</v>
      </c>
      <c r="B36" s="55" t="s">
        <v>444</v>
      </c>
      <c r="C36" s="55" t="s">
        <v>445</v>
      </c>
      <c r="D36" s="55" t="s">
        <v>83</v>
      </c>
    </row>
    <row r="37" spans="1:4" ht="19">
      <c r="A37" s="55" t="s">
        <v>446</v>
      </c>
      <c r="B37" s="55" t="s">
        <v>447</v>
      </c>
      <c r="C37" s="55" t="s">
        <v>448</v>
      </c>
      <c r="D37" s="55" t="s">
        <v>388</v>
      </c>
    </row>
    <row r="38" spans="1:4" ht="19">
      <c r="A38" s="55" t="s">
        <v>449</v>
      </c>
      <c r="B38" s="55" t="s">
        <v>450</v>
      </c>
      <c r="C38" s="55" t="s">
        <v>451</v>
      </c>
      <c r="D38" s="55" t="s">
        <v>83</v>
      </c>
    </row>
    <row r="39" spans="1:4" ht="38">
      <c r="A39" s="55" t="s">
        <v>452</v>
      </c>
      <c r="B39" s="55" t="s">
        <v>453</v>
      </c>
      <c r="C39" s="55" t="s">
        <v>454</v>
      </c>
      <c r="D39" s="55" t="s">
        <v>398</v>
      </c>
    </row>
    <row r="40" spans="1:4" ht="19">
      <c r="A40" s="55" t="s">
        <v>455</v>
      </c>
      <c r="B40" s="55" t="s">
        <v>456</v>
      </c>
      <c r="C40" s="55" t="s">
        <v>457</v>
      </c>
      <c r="D40" s="55" t="s">
        <v>83</v>
      </c>
    </row>
    <row r="41" spans="1:4" ht="19">
      <c r="A41" s="55" t="s">
        <v>458</v>
      </c>
      <c r="B41" s="55" t="s">
        <v>459</v>
      </c>
      <c r="C41" s="55" t="s">
        <v>460</v>
      </c>
      <c r="D41" s="55" t="s">
        <v>83</v>
      </c>
    </row>
    <row r="42" spans="1:4" ht="19">
      <c r="A42" s="55" t="s">
        <v>461</v>
      </c>
      <c r="B42" s="55" t="s">
        <v>462</v>
      </c>
      <c r="C42" s="55" t="s">
        <v>463</v>
      </c>
      <c r="D42" s="55" t="s">
        <v>83</v>
      </c>
    </row>
    <row r="43" spans="1:4" ht="19">
      <c r="A43" s="55" t="s">
        <v>464</v>
      </c>
      <c r="B43" s="55" t="s">
        <v>465</v>
      </c>
      <c r="C43" s="55" t="s">
        <v>466</v>
      </c>
      <c r="D43" s="55" t="s">
        <v>83</v>
      </c>
    </row>
    <row r="44" spans="1:4" ht="19">
      <c r="A44" s="55" t="s">
        <v>467</v>
      </c>
      <c r="B44" s="55" t="s">
        <v>468</v>
      </c>
      <c r="C44" s="55" t="s">
        <v>469</v>
      </c>
      <c r="D44" s="55" t="s">
        <v>83</v>
      </c>
    </row>
    <row r="45" spans="1:4" ht="19">
      <c r="A45" s="55" t="s">
        <v>470</v>
      </c>
      <c r="B45" s="55" t="s">
        <v>471</v>
      </c>
      <c r="C45" s="55" t="s">
        <v>472</v>
      </c>
      <c r="D45" s="55" t="s">
        <v>83</v>
      </c>
    </row>
    <row r="46" spans="1:4" ht="19">
      <c r="A46" s="55" t="s">
        <v>473</v>
      </c>
      <c r="B46" s="55" t="s">
        <v>474</v>
      </c>
      <c r="C46" s="55" t="s">
        <v>475</v>
      </c>
      <c r="D46" s="55" t="s">
        <v>83</v>
      </c>
    </row>
    <row r="47" spans="1:4" ht="19">
      <c r="A47" s="55" t="s">
        <v>476</v>
      </c>
      <c r="B47" s="55" t="s">
        <v>477</v>
      </c>
      <c r="C47" s="55" t="s">
        <v>478</v>
      </c>
      <c r="D47" s="55" t="s">
        <v>83</v>
      </c>
    </row>
    <row r="48" spans="1:4" ht="19">
      <c r="A48" s="55" t="s">
        <v>479</v>
      </c>
      <c r="B48" s="55" t="s">
        <v>480</v>
      </c>
      <c r="C48" s="55" t="s">
        <v>481</v>
      </c>
      <c r="D48" s="55" t="s">
        <v>83</v>
      </c>
    </row>
    <row r="49" spans="1:4" ht="19">
      <c r="A49" s="55" t="s">
        <v>482</v>
      </c>
      <c r="B49" s="55" t="s">
        <v>483</v>
      </c>
      <c r="C49" s="55" t="s">
        <v>484</v>
      </c>
      <c r="D49" s="55" t="s">
        <v>388</v>
      </c>
    </row>
    <row r="50" spans="1:4" ht="38">
      <c r="A50" s="55" t="s">
        <v>1609</v>
      </c>
      <c r="B50" s="55" t="s">
        <v>1610</v>
      </c>
      <c r="C50" s="55" t="s">
        <v>1611</v>
      </c>
      <c r="D50" s="55" t="s">
        <v>2</v>
      </c>
    </row>
    <row r="51" spans="1:4" ht="57">
      <c r="A51" s="55" t="s">
        <v>1612</v>
      </c>
      <c r="B51" s="55" t="s">
        <v>1613</v>
      </c>
      <c r="C51" s="55" t="s">
        <v>1614</v>
      </c>
      <c r="D51" s="55" t="s">
        <v>2</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5CB3-3B2C-E045-B349-EAA791B398A9}">
  <dimension ref="A1:E45"/>
  <sheetViews>
    <sheetView topLeftCell="B1" workbookViewId="0">
      <pane ySplit="4" topLeftCell="A17" activePane="bottomLeft" state="frozen"/>
      <selection pane="bottomLeft" activeCell="C8" sqref="C8"/>
    </sheetView>
  </sheetViews>
  <sheetFormatPr baseColWidth="10" defaultRowHeight="20"/>
  <cols>
    <col min="1" max="1" width="14.28515625" customWidth="1"/>
    <col min="2" max="2" width="100" customWidth="1"/>
    <col min="3" max="3" width="88.5703125" customWidth="1"/>
    <col min="4" max="4" width="28.5703125" customWidth="1"/>
    <col min="5" max="5" width="15.7109375" customWidth="1"/>
  </cols>
  <sheetData>
    <row r="1" spans="1:5" ht="27">
      <c r="A1" s="1" t="s">
        <v>1207</v>
      </c>
    </row>
    <row r="2" spans="1:5">
      <c r="A2" s="3" t="s">
        <v>1208</v>
      </c>
    </row>
    <row r="4" spans="1:5" ht="21">
      <c r="A4" s="62" t="s">
        <v>351</v>
      </c>
      <c r="B4" s="62" t="s">
        <v>81</v>
      </c>
      <c r="C4" s="62" t="s">
        <v>1348</v>
      </c>
      <c r="D4" s="62" t="s">
        <v>98</v>
      </c>
      <c r="E4" s="62" t="s">
        <v>1209</v>
      </c>
    </row>
    <row r="5" spans="1:5" ht="63">
      <c r="A5" s="8" t="s">
        <v>1210</v>
      </c>
      <c r="B5" s="8" t="s">
        <v>1211</v>
      </c>
      <c r="C5" s="8" t="s">
        <v>1349</v>
      </c>
      <c r="D5" s="8"/>
      <c r="E5" s="8"/>
    </row>
    <row r="6" spans="1:5" ht="63">
      <c r="A6" s="8" t="s">
        <v>1212</v>
      </c>
      <c r="B6" s="8" t="s">
        <v>1213</v>
      </c>
      <c r="C6" s="31" t="s">
        <v>1350</v>
      </c>
      <c r="D6" s="8"/>
      <c r="E6" s="8"/>
    </row>
    <row r="7" spans="1:5" ht="42">
      <c r="A7" s="8" t="s">
        <v>1214</v>
      </c>
      <c r="B7" s="8" t="s">
        <v>1215</v>
      </c>
      <c r="C7" s="8" t="s">
        <v>1351</v>
      </c>
      <c r="D7" s="8"/>
      <c r="E7" s="8"/>
    </row>
    <row r="8" spans="1:5" ht="105">
      <c r="A8" s="8" t="s">
        <v>1216</v>
      </c>
      <c r="B8" s="8" t="s">
        <v>1217</v>
      </c>
      <c r="C8" s="31" t="s">
        <v>1352</v>
      </c>
      <c r="D8" s="8"/>
      <c r="E8" s="8"/>
    </row>
    <row r="9" spans="1:5" ht="42">
      <c r="A9" s="8" t="s">
        <v>1218</v>
      </c>
      <c r="B9" s="8" t="s">
        <v>1219</v>
      </c>
      <c r="C9" s="8" t="s">
        <v>1353</v>
      </c>
      <c r="D9" s="8"/>
      <c r="E9" s="8"/>
    </row>
    <row r="10" spans="1:5" ht="63">
      <c r="A10" s="8" t="s">
        <v>1220</v>
      </c>
      <c r="B10" s="8" t="s">
        <v>1221</v>
      </c>
      <c r="C10" s="8" t="s">
        <v>1354</v>
      </c>
      <c r="D10" s="8"/>
      <c r="E10" s="8"/>
    </row>
    <row r="11" spans="1:5" ht="63">
      <c r="A11" s="8" t="s">
        <v>1222</v>
      </c>
      <c r="B11" s="8" t="s">
        <v>1223</v>
      </c>
      <c r="C11" s="8" t="s">
        <v>1355</v>
      </c>
      <c r="D11" s="8"/>
      <c r="E11" s="8"/>
    </row>
    <row r="12" spans="1:5" ht="126">
      <c r="A12" s="8" t="s">
        <v>1524</v>
      </c>
      <c r="B12" s="8" t="s">
        <v>1525</v>
      </c>
      <c r="C12" s="8" t="s">
        <v>1526</v>
      </c>
      <c r="D12" s="8"/>
      <c r="E12" s="8"/>
    </row>
    <row r="13" spans="1:5" ht="84">
      <c r="A13" s="8" t="s">
        <v>1224</v>
      </c>
      <c r="B13" s="8" t="s">
        <v>1225</v>
      </c>
      <c r="C13" s="8" t="s">
        <v>1358</v>
      </c>
      <c r="D13" s="8"/>
      <c r="E13" s="8"/>
    </row>
    <row r="14" spans="1:5" ht="63">
      <c r="A14" s="8" t="s">
        <v>1226</v>
      </c>
      <c r="B14" s="8" t="s">
        <v>1227</v>
      </c>
      <c r="C14" s="8" t="s">
        <v>1356</v>
      </c>
      <c r="D14" s="8"/>
      <c r="E14" s="8"/>
    </row>
    <row r="15" spans="1:5" ht="42">
      <c r="A15" s="8" t="s">
        <v>1228</v>
      </c>
      <c r="B15" s="8" t="s">
        <v>1229</v>
      </c>
      <c r="C15" s="8" t="s">
        <v>1357</v>
      </c>
      <c r="D15" s="8"/>
      <c r="E15" s="8"/>
    </row>
    <row r="16" spans="1:5" ht="63">
      <c r="A16" s="8" t="s">
        <v>1231</v>
      </c>
      <c r="B16" s="8" t="s">
        <v>1232</v>
      </c>
      <c r="C16" s="8" t="s">
        <v>1359</v>
      </c>
      <c r="D16" s="8"/>
      <c r="E16" s="8"/>
    </row>
    <row r="17" spans="1:5" ht="42">
      <c r="A17" s="8" t="s">
        <v>1233</v>
      </c>
      <c r="B17" s="8" t="s">
        <v>1234</v>
      </c>
      <c r="C17" s="8" t="s">
        <v>1360</v>
      </c>
      <c r="D17" s="8"/>
      <c r="E17" s="8"/>
    </row>
    <row r="18" spans="1:5" ht="42">
      <c r="A18" s="8" t="s">
        <v>1235</v>
      </c>
      <c r="B18" s="8" t="s">
        <v>1236</v>
      </c>
      <c r="C18" s="8" t="s">
        <v>1361</v>
      </c>
      <c r="D18" s="8"/>
      <c r="E18" s="8"/>
    </row>
    <row r="19" spans="1:5" ht="21">
      <c r="A19" s="8" t="s">
        <v>1237</v>
      </c>
      <c r="B19" s="8" t="s">
        <v>1238</v>
      </c>
      <c r="C19" s="8" t="s">
        <v>1362</v>
      </c>
      <c r="D19" s="8"/>
      <c r="E19" s="8"/>
    </row>
    <row r="20" spans="1:5" ht="42">
      <c r="A20" s="8" t="s">
        <v>1239</v>
      </c>
      <c r="B20" s="8" t="s">
        <v>1240</v>
      </c>
      <c r="C20" s="8" t="s">
        <v>1363</v>
      </c>
      <c r="D20" s="8"/>
      <c r="E20" s="8"/>
    </row>
    <row r="21" spans="1:5" ht="63">
      <c r="A21" s="8" t="s">
        <v>1241</v>
      </c>
      <c r="B21" s="8" t="s">
        <v>1242</v>
      </c>
      <c r="C21" s="8" t="s">
        <v>1364</v>
      </c>
      <c r="D21" s="8"/>
      <c r="E21" s="8"/>
    </row>
    <row r="22" spans="1:5" ht="63">
      <c r="A22" s="8" t="s">
        <v>1243</v>
      </c>
      <c r="B22" s="8" t="s">
        <v>1244</v>
      </c>
      <c r="C22" s="8" t="s">
        <v>1365</v>
      </c>
      <c r="D22" s="8"/>
      <c r="E22" s="8"/>
    </row>
    <row r="23" spans="1:5" ht="63">
      <c r="A23" s="8" t="s">
        <v>1245</v>
      </c>
      <c r="B23" s="8" t="s">
        <v>1246</v>
      </c>
      <c r="C23" s="8" t="s">
        <v>1366</v>
      </c>
      <c r="D23" s="8"/>
      <c r="E23" s="8"/>
    </row>
    <row r="24" spans="1:5" ht="63">
      <c r="A24" s="8" t="s">
        <v>1247</v>
      </c>
      <c r="B24" s="8" t="s">
        <v>1248</v>
      </c>
      <c r="C24" s="8" t="s">
        <v>1367</v>
      </c>
      <c r="D24" s="8"/>
      <c r="E24" s="8"/>
    </row>
    <row r="25" spans="1:5" ht="42">
      <c r="A25" s="8" t="s">
        <v>1249</v>
      </c>
      <c r="B25" s="8" t="s">
        <v>1250</v>
      </c>
      <c r="C25" s="8" t="s">
        <v>1368</v>
      </c>
      <c r="D25" s="8"/>
      <c r="E25" s="8"/>
    </row>
    <row r="26" spans="1:5" ht="84">
      <c r="A26" s="8" t="s">
        <v>1251</v>
      </c>
      <c r="B26" s="8" t="s">
        <v>1252</v>
      </c>
      <c r="C26" s="8" t="s">
        <v>1369</v>
      </c>
      <c r="D26" s="8"/>
      <c r="E26" s="8"/>
    </row>
    <row r="27" spans="1:5" ht="84">
      <c r="A27" s="8" t="s">
        <v>1253</v>
      </c>
      <c r="B27" s="8" t="s">
        <v>1254</v>
      </c>
      <c r="C27" s="8" t="s">
        <v>1370</v>
      </c>
      <c r="D27" s="8"/>
      <c r="E27" s="8"/>
    </row>
    <row r="28" spans="1:5" ht="105">
      <c r="A28" s="8" t="s">
        <v>1255</v>
      </c>
      <c r="B28" s="8" t="s">
        <v>1256</v>
      </c>
      <c r="C28" s="8" t="s">
        <v>1371</v>
      </c>
      <c r="D28" s="8"/>
      <c r="E28" s="8"/>
    </row>
    <row r="29" spans="1:5" ht="84">
      <c r="A29" s="8" t="s">
        <v>1257</v>
      </c>
      <c r="B29" s="8" t="s">
        <v>1258</v>
      </c>
      <c r="C29" s="8" t="s">
        <v>1372</v>
      </c>
      <c r="D29" s="8"/>
      <c r="E29" s="8"/>
    </row>
    <row r="30" spans="1:5" ht="42">
      <c r="A30" s="8" t="s">
        <v>1259</v>
      </c>
      <c r="B30" s="8" t="s">
        <v>1260</v>
      </c>
      <c r="C30" s="8" t="s">
        <v>1373</v>
      </c>
      <c r="D30" s="8"/>
      <c r="E30" s="8"/>
    </row>
    <row r="31" spans="1:5" ht="63">
      <c r="A31" s="8" t="s">
        <v>1261</v>
      </c>
      <c r="B31" s="8" t="s">
        <v>1262</v>
      </c>
      <c r="C31" s="8" t="s">
        <v>1374</v>
      </c>
      <c r="D31" s="8"/>
      <c r="E31" s="8"/>
    </row>
    <row r="32" spans="1:5" ht="63">
      <c r="A32" s="8" t="s">
        <v>1263</v>
      </c>
      <c r="B32" s="8" t="s">
        <v>1264</v>
      </c>
      <c r="C32" s="8" t="s">
        <v>1375</v>
      </c>
      <c r="D32" s="8"/>
      <c r="E32" s="8"/>
    </row>
    <row r="33" spans="1:5" ht="42">
      <c r="A33" s="8" t="s">
        <v>1265</v>
      </c>
      <c r="B33" s="8" t="s">
        <v>1266</v>
      </c>
      <c r="C33" s="8" t="s">
        <v>1376</v>
      </c>
      <c r="D33" s="8"/>
      <c r="E33" s="8"/>
    </row>
    <row r="34" spans="1:5" ht="42">
      <c r="A34" s="8" t="s">
        <v>1267</v>
      </c>
      <c r="B34" s="8" t="s">
        <v>1268</v>
      </c>
      <c r="C34" s="8" t="s">
        <v>1377</v>
      </c>
      <c r="D34" s="8"/>
      <c r="E34" s="8"/>
    </row>
    <row r="38" spans="1:5">
      <c r="A38" s="2" t="s">
        <v>1288</v>
      </c>
    </row>
    <row r="39" spans="1:5">
      <c r="A39" s="40" t="s">
        <v>351</v>
      </c>
      <c r="B39" s="40" t="s">
        <v>81</v>
      </c>
      <c r="C39" s="40" t="s">
        <v>1269</v>
      </c>
      <c r="D39" s="39"/>
    </row>
    <row r="40" spans="1:5" ht="42">
      <c r="A40" s="8" t="s">
        <v>1270</v>
      </c>
      <c r="B40" s="8" t="s">
        <v>1271</v>
      </c>
      <c r="C40" s="8" t="s">
        <v>1272</v>
      </c>
      <c r="D40" s="6"/>
    </row>
    <row r="41" spans="1:5" ht="105">
      <c r="A41" s="8" t="s">
        <v>1273</v>
      </c>
      <c r="B41" s="8" t="s">
        <v>1274</v>
      </c>
      <c r="C41" s="8" t="s">
        <v>1275</v>
      </c>
      <c r="D41" s="6"/>
    </row>
    <row r="42" spans="1:5" ht="84">
      <c r="A42" s="8" t="s">
        <v>39</v>
      </c>
      <c r="B42" s="8" t="s">
        <v>40</v>
      </c>
      <c r="C42" s="8" t="s">
        <v>1378</v>
      </c>
    </row>
    <row r="43" spans="1:5" ht="63">
      <c r="A43" s="8" t="s">
        <v>41</v>
      </c>
      <c r="B43" s="8" t="s">
        <v>1230</v>
      </c>
      <c r="C43" s="8" t="s">
        <v>1379</v>
      </c>
    </row>
    <row r="44" spans="1:5" ht="42">
      <c r="A44" s="8" t="s">
        <v>1527</v>
      </c>
      <c r="B44" s="8" t="s">
        <v>1528</v>
      </c>
      <c r="C44" s="8" t="s">
        <v>1529</v>
      </c>
    </row>
    <row r="45" spans="1:5" ht="168">
      <c r="A45" s="15" t="s">
        <v>1276</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3C945-1046-C947-8E59-E47C9A796148}">
  <dimension ref="A1:C19"/>
  <sheetViews>
    <sheetView workbookViewId="0"/>
  </sheetViews>
  <sheetFormatPr baseColWidth="10" defaultRowHeight="20"/>
  <cols>
    <col min="1" max="1" width="42.85546875" customWidth="1"/>
    <col min="2" max="2" width="74.28515625" customWidth="1"/>
    <col min="3" max="3" width="37.140625" customWidth="1"/>
    <col min="4" max="4" width="14.28515625" customWidth="1"/>
    <col min="5" max="5" width="42.85546875" customWidth="1"/>
  </cols>
  <sheetData>
    <row r="1" spans="1:3" ht="27">
      <c r="A1" s="1" t="s">
        <v>1291</v>
      </c>
    </row>
    <row r="2" spans="1:3" ht="42">
      <c r="A2" s="4" t="s">
        <v>1292</v>
      </c>
    </row>
    <row r="4" spans="1:3">
      <c r="A4" s="2" t="s">
        <v>1293</v>
      </c>
    </row>
    <row r="5" spans="1:3">
      <c r="A5" s="7" t="s">
        <v>42</v>
      </c>
      <c r="B5" s="7" t="s">
        <v>43</v>
      </c>
      <c r="C5" s="7" t="s">
        <v>45</v>
      </c>
    </row>
    <row r="6" spans="1:3" ht="21">
      <c r="A6" s="8" t="s">
        <v>38</v>
      </c>
      <c r="B6" s="8" t="s">
        <v>505</v>
      </c>
      <c r="C6" s="8" t="s">
        <v>47</v>
      </c>
    </row>
    <row r="7" spans="1:3" ht="21">
      <c r="A7" s="8" t="s">
        <v>37</v>
      </c>
      <c r="B7" s="8" t="s">
        <v>48</v>
      </c>
      <c r="C7" s="8" t="s">
        <v>47</v>
      </c>
    </row>
    <row r="8" spans="1:3" ht="21">
      <c r="A8" s="8" t="s">
        <v>50</v>
      </c>
      <c r="B8" s="8" t="s">
        <v>51</v>
      </c>
      <c r="C8" s="8" t="s">
        <v>53</v>
      </c>
    </row>
    <row r="11" spans="1:3" ht="21">
      <c r="A11" s="10" t="s">
        <v>1294</v>
      </c>
    </row>
    <row r="12" spans="1:3">
      <c r="A12" s="7" t="s">
        <v>1295</v>
      </c>
      <c r="B12" s="7" t="s">
        <v>75</v>
      </c>
      <c r="C12" s="7" t="s">
        <v>23</v>
      </c>
    </row>
    <row r="13" spans="1:3" ht="21">
      <c r="A13" s="8" t="s">
        <v>1296</v>
      </c>
      <c r="B13" s="8" t="s">
        <v>76</v>
      </c>
      <c r="C13" s="8" t="s">
        <v>24</v>
      </c>
    </row>
    <row r="14" spans="1:3" ht="21">
      <c r="A14" s="8" t="s">
        <v>28</v>
      </c>
      <c r="B14" s="8" t="s">
        <v>25</v>
      </c>
      <c r="C14" s="8" t="s">
        <v>24</v>
      </c>
    </row>
    <row r="15" spans="1:3" ht="21">
      <c r="A15" s="8" t="s">
        <v>58</v>
      </c>
      <c r="B15" s="8" t="s">
        <v>1297</v>
      </c>
      <c r="C15" s="8" t="s">
        <v>1298</v>
      </c>
    </row>
    <row r="16" spans="1:3" ht="21">
      <c r="A16" s="8" t="s">
        <v>1299</v>
      </c>
      <c r="B16" s="8" t="s">
        <v>1300</v>
      </c>
      <c r="C16" s="8" t="s">
        <v>1301</v>
      </c>
    </row>
    <row r="17" spans="1:3" ht="21">
      <c r="A17" s="8" t="s">
        <v>1302</v>
      </c>
      <c r="B17" s="8" t="s">
        <v>1303</v>
      </c>
      <c r="C17" s="8" t="s">
        <v>1301</v>
      </c>
    </row>
    <row r="18" spans="1:3" ht="21">
      <c r="A18" s="8" t="s">
        <v>1304</v>
      </c>
      <c r="B18" s="8" t="s">
        <v>59</v>
      </c>
      <c r="C18" s="8" t="s">
        <v>1305</v>
      </c>
    </row>
    <row r="19" spans="1:3" ht="21">
      <c r="A19" s="8" t="s">
        <v>1306</v>
      </c>
      <c r="B19" s="8" t="s">
        <v>1307</v>
      </c>
      <c r="C19" s="8" t="s">
        <v>1308</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8D921-C17E-DC4C-BFBC-7E1D3ED34A1B}">
  <dimension ref="A1:E46"/>
  <sheetViews>
    <sheetView topLeftCell="A2" workbookViewId="0">
      <selection activeCell="D15" sqref="D15"/>
    </sheetView>
  </sheetViews>
  <sheetFormatPr baseColWidth="10" defaultRowHeight="20"/>
  <cols>
    <col min="1" max="1" width="20" customWidth="1"/>
    <col min="2" max="2" width="80" customWidth="1"/>
    <col min="3" max="3" width="47.140625" customWidth="1"/>
    <col min="4" max="4" width="67.140625" customWidth="1"/>
    <col min="5" max="5" width="42.85546875" customWidth="1"/>
  </cols>
  <sheetData>
    <row r="1" spans="1:5" ht="27">
      <c r="A1" s="1" t="s">
        <v>486</v>
      </c>
    </row>
    <row r="2" spans="1:5" ht="168">
      <c r="A2" s="4" t="s">
        <v>1309</v>
      </c>
    </row>
    <row r="4" spans="1:5">
      <c r="A4" s="2" t="s">
        <v>487</v>
      </c>
    </row>
    <row r="5" spans="1:5">
      <c r="A5" s="7" t="s">
        <v>0</v>
      </c>
      <c r="B5" s="7" t="s">
        <v>29</v>
      </c>
    </row>
    <row r="6" spans="1:5" ht="63">
      <c r="A6" s="8" t="s">
        <v>488</v>
      </c>
      <c r="B6" s="8" t="s">
        <v>3</v>
      </c>
    </row>
    <row r="7" spans="1:5" ht="21">
      <c r="A7" s="8" t="s">
        <v>1615</v>
      </c>
      <c r="B7" s="8" t="s">
        <v>1616</v>
      </c>
    </row>
    <row r="8" spans="1:5" ht="21">
      <c r="A8" s="8" t="s">
        <v>1617</v>
      </c>
      <c r="B8" s="8" t="s">
        <v>1618</v>
      </c>
    </row>
    <row r="9" spans="1:5" ht="63">
      <c r="A9" s="8" t="s">
        <v>489</v>
      </c>
      <c r="B9" s="8" t="s">
        <v>490</v>
      </c>
    </row>
    <row r="10" spans="1:5" ht="42">
      <c r="A10" s="8" t="s">
        <v>491</v>
      </c>
      <c r="B10" s="8" t="s">
        <v>492</v>
      </c>
    </row>
    <row r="11" spans="1:5" ht="42">
      <c r="A11" s="8" t="s">
        <v>1619</v>
      </c>
      <c r="B11" s="8" t="s">
        <v>1620</v>
      </c>
    </row>
    <row r="13" spans="1:5" ht="42">
      <c r="A13" s="10" t="s">
        <v>1310</v>
      </c>
    </row>
    <row r="14" spans="1:5">
      <c r="A14" s="7" t="s">
        <v>43</v>
      </c>
      <c r="B14" s="7" t="s">
        <v>1518</v>
      </c>
      <c r="C14" s="7" t="s">
        <v>493</v>
      </c>
      <c r="D14" s="7" t="s">
        <v>44</v>
      </c>
      <c r="E14" s="7" t="s">
        <v>1623</v>
      </c>
    </row>
    <row r="15" spans="1:5" ht="42">
      <c r="A15" s="8" t="s">
        <v>64</v>
      </c>
      <c r="B15" s="8" t="s">
        <v>1311</v>
      </c>
      <c r="C15" s="8" t="s">
        <v>4</v>
      </c>
      <c r="D15" s="8" t="s">
        <v>494</v>
      </c>
      <c r="E15" s="8" t="s">
        <v>1513</v>
      </c>
    </row>
    <row r="16" spans="1:5" ht="63">
      <c r="A16" s="8" t="s">
        <v>65</v>
      </c>
      <c r="B16" s="8" t="s">
        <v>1624</v>
      </c>
      <c r="C16" s="8" t="s">
        <v>7</v>
      </c>
      <c r="D16" s="8" t="s">
        <v>495</v>
      </c>
      <c r="E16" s="8" t="s">
        <v>1621</v>
      </c>
    </row>
    <row r="17" spans="1:5" ht="42">
      <c r="A17" s="8" t="s">
        <v>66</v>
      </c>
      <c r="B17" s="8" t="s">
        <v>1312</v>
      </c>
      <c r="C17" s="8" t="s">
        <v>8</v>
      </c>
      <c r="D17" s="8" t="s">
        <v>496</v>
      </c>
      <c r="E17" s="8" t="s">
        <v>9</v>
      </c>
    </row>
    <row r="18" spans="1:5" ht="42">
      <c r="A18" s="8" t="s">
        <v>67</v>
      </c>
      <c r="B18" s="8" t="s">
        <v>1313</v>
      </c>
      <c r="C18" s="8" t="s">
        <v>10</v>
      </c>
      <c r="D18" s="8" t="s">
        <v>497</v>
      </c>
      <c r="E18" s="8" t="s">
        <v>1514</v>
      </c>
    </row>
    <row r="19" spans="1:5" ht="42">
      <c r="A19" s="8" t="s">
        <v>68</v>
      </c>
      <c r="B19" s="8" t="s">
        <v>1314</v>
      </c>
      <c r="C19" s="8" t="s">
        <v>11</v>
      </c>
      <c r="D19" s="8" t="s">
        <v>498</v>
      </c>
      <c r="E19" s="8" t="s">
        <v>1515</v>
      </c>
    </row>
    <row r="20" spans="1:5" ht="42">
      <c r="A20" s="8" t="s">
        <v>69</v>
      </c>
      <c r="B20" s="8" t="s">
        <v>1315</v>
      </c>
      <c r="C20" s="8" t="s">
        <v>12</v>
      </c>
      <c r="D20" s="8" t="s">
        <v>499</v>
      </c>
      <c r="E20" s="8" t="s">
        <v>13</v>
      </c>
    </row>
    <row r="21" spans="1:5" ht="42">
      <c r="A21" s="8" t="s">
        <v>70</v>
      </c>
      <c r="B21" s="8" t="s">
        <v>1316</v>
      </c>
      <c r="C21" s="8" t="s">
        <v>14</v>
      </c>
      <c r="D21" s="8" t="s">
        <v>500</v>
      </c>
      <c r="E21" s="8" t="s">
        <v>1516</v>
      </c>
    </row>
    <row r="22" spans="1:5" ht="42">
      <c r="A22" s="8" t="s">
        <v>71</v>
      </c>
      <c r="B22" s="8" t="s">
        <v>1317</v>
      </c>
      <c r="C22" s="8" t="s">
        <v>6</v>
      </c>
      <c r="D22" s="8" t="s">
        <v>501</v>
      </c>
      <c r="E22" s="8" t="s">
        <v>1517</v>
      </c>
    </row>
    <row r="23" spans="1:5" ht="42">
      <c r="A23" s="8" t="s">
        <v>72</v>
      </c>
      <c r="B23" s="8" t="s">
        <v>1625</v>
      </c>
      <c r="C23" s="8" t="s">
        <v>5</v>
      </c>
      <c r="D23" s="8" t="s">
        <v>502</v>
      </c>
      <c r="E23" s="8" t="s">
        <v>1622</v>
      </c>
    </row>
    <row r="24" spans="1:5" ht="42">
      <c r="A24" s="8" t="s">
        <v>1318</v>
      </c>
      <c r="B24" s="8" t="s">
        <v>1319</v>
      </c>
      <c r="C24" s="8" t="s">
        <v>15</v>
      </c>
      <c r="D24" s="8" t="s">
        <v>503</v>
      </c>
      <c r="E24" s="8" t="s">
        <v>16</v>
      </c>
    </row>
    <row r="26" spans="1:5" ht="210">
      <c r="A26" s="9" t="s">
        <v>1320</v>
      </c>
    </row>
    <row r="29" spans="1:5">
      <c r="A29" s="2" t="s">
        <v>504</v>
      </c>
    </row>
    <row r="30" spans="1:5">
      <c r="A30" s="7" t="s">
        <v>42</v>
      </c>
      <c r="B30" s="7" t="s">
        <v>43</v>
      </c>
      <c r="C30" s="7" t="s">
        <v>493</v>
      </c>
      <c r="D30" s="7" t="s">
        <v>44</v>
      </c>
    </row>
    <row r="31" spans="1:5" ht="105">
      <c r="A31" s="8" t="s">
        <v>38</v>
      </c>
      <c r="B31" s="8" t="s">
        <v>505</v>
      </c>
      <c r="C31" s="8" t="s">
        <v>506</v>
      </c>
      <c r="D31" s="8" t="s">
        <v>46</v>
      </c>
    </row>
    <row r="32" spans="1:5" ht="126">
      <c r="A32" s="8" t="s">
        <v>37</v>
      </c>
      <c r="B32" s="8" t="s">
        <v>48</v>
      </c>
      <c r="C32" s="8" t="s">
        <v>507</v>
      </c>
      <c r="D32" s="8" t="s">
        <v>49</v>
      </c>
    </row>
    <row r="33" spans="1:4" ht="147">
      <c r="A33" s="8" t="s">
        <v>50</v>
      </c>
      <c r="B33" s="8" t="s">
        <v>508</v>
      </c>
      <c r="C33" s="8" t="s">
        <v>509</v>
      </c>
      <c r="D33" s="8" t="s">
        <v>52</v>
      </c>
    </row>
    <row r="36" spans="1:4" ht="42">
      <c r="A36" s="10" t="s">
        <v>510</v>
      </c>
    </row>
    <row r="37" spans="1:4">
      <c r="A37" s="7" t="s">
        <v>1</v>
      </c>
      <c r="B37" s="7" t="s">
        <v>493</v>
      </c>
      <c r="C37" s="7" t="s">
        <v>44</v>
      </c>
    </row>
    <row r="38" spans="1:4" ht="105">
      <c r="A38" s="8" t="s">
        <v>55</v>
      </c>
      <c r="B38" s="8" t="s">
        <v>511</v>
      </c>
      <c r="C38" s="8" t="s">
        <v>54</v>
      </c>
    </row>
    <row r="39" spans="1:4" ht="42">
      <c r="A39" s="8" t="s">
        <v>512</v>
      </c>
      <c r="B39" s="8" t="s">
        <v>511</v>
      </c>
      <c r="C39" s="8" t="s">
        <v>513</v>
      </c>
    </row>
    <row r="42" spans="1:4">
      <c r="A42" s="2" t="s">
        <v>514</v>
      </c>
    </row>
    <row r="43" spans="1:4">
      <c r="A43" s="7" t="s">
        <v>56</v>
      </c>
      <c r="B43" s="7" t="s">
        <v>44</v>
      </c>
      <c r="C43" s="7" t="s">
        <v>36</v>
      </c>
    </row>
    <row r="44" spans="1:4" ht="84">
      <c r="A44" s="8" t="s">
        <v>515</v>
      </c>
      <c r="B44" s="8" t="s">
        <v>516</v>
      </c>
      <c r="C44" s="8" t="s">
        <v>57</v>
      </c>
    </row>
    <row r="45" spans="1:4" ht="105">
      <c r="A45" s="8" t="s">
        <v>517</v>
      </c>
      <c r="B45" s="8" t="s">
        <v>518</v>
      </c>
      <c r="C45" s="8" t="s">
        <v>73</v>
      </c>
    </row>
    <row r="46" spans="1:4" ht="147">
      <c r="A46" s="8" t="s">
        <v>74</v>
      </c>
      <c r="B46" s="8" t="s">
        <v>519</v>
      </c>
      <c r="C46" s="8" t="s">
        <v>520</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87403-3B57-8349-98EA-D46E8B7A3C4B}">
  <dimension ref="A1:N68"/>
  <sheetViews>
    <sheetView tabSelected="1" topLeftCell="C1" workbookViewId="0">
      <pane ySplit="4" topLeftCell="A5" activePane="bottomLeft" state="frozen"/>
      <selection pane="bottomLeft" activeCell="H22" sqref="H22"/>
    </sheetView>
  </sheetViews>
  <sheetFormatPr baseColWidth="10" defaultRowHeight="20"/>
  <cols>
    <col min="1" max="1" width="10" style="66" customWidth="1"/>
    <col min="2" max="2" width="18.5703125" style="66" customWidth="1"/>
    <col min="3" max="3" width="61.42578125" style="66" customWidth="1"/>
    <col min="4" max="4" width="24.28515625" style="66" customWidth="1"/>
    <col min="5" max="5" width="20" style="66" customWidth="1"/>
    <col min="6" max="6" width="7.85546875" style="66" customWidth="1"/>
    <col min="7" max="9" width="8.5703125" style="66" customWidth="1"/>
    <col min="10" max="10" width="11.42578125" style="66" customWidth="1"/>
    <col min="11" max="12" width="12.140625" style="66" customWidth="1"/>
    <col min="13" max="13" width="10" style="66" customWidth="1"/>
    <col min="14" max="14" width="32.85546875" style="66" customWidth="1"/>
    <col min="15" max="16384" width="10.7109375" style="66"/>
  </cols>
  <sheetData>
    <row r="1" spans="1:14" ht="27">
      <c r="A1" s="65" t="s">
        <v>1628</v>
      </c>
    </row>
    <row r="2" spans="1:14">
      <c r="A2" s="67" t="s">
        <v>1629</v>
      </c>
    </row>
    <row r="4" spans="1:14">
      <c r="A4" s="68" t="s">
        <v>1630</v>
      </c>
      <c r="B4" s="68" t="s">
        <v>1631</v>
      </c>
      <c r="C4" s="68" t="s">
        <v>1632</v>
      </c>
      <c r="D4" s="68" t="s">
        <v>1633</v>
      </c>
      <c r="E4" s="68" t="s">
        <v>1634</v>
      </c>
      <c r="F4" s="68" t="s">
        <v>1635</v>
      </c>
      <c r="G4" s="68" t="s">
        <v>1636</v>
      </c>
      <c r="H4" s="68" t="s">
        <v>1637</v>
      </c>
      <c r="I4" s="68" t="s">
        <v>1638</v>
      </c>
      <c r="J4" s="68" t="s">
        <v>17</v>
      </c>
      <c r="K4" s="68" t="s">
        <v>1639</v>
      </c>
      <c r="L4" s="68" t="s">
        <v>1640</v>
      </c>
      <c r="M4" s="68" t="s">
        <v>23</v>
      </c>
      <c r="N4" s="68" t="s">
        <v>26</v>
      </c>
    </row>
    <row r="5" spans="1:14">
      <c r="A5" s="69" t="s">
        <v>1641</v>
      </c>
      <c r="B5" s="69" t="s">
        <v>1642</v>
      </c>
      <c r="C5" s="69" t="s">
        <v>1643</v>
      </c>
      <c r="D5" s="69" t="s">
        <v>1644</v>
      </c>
      <c r="E5" s="69" t="s">
        <v>2</v>
      </c>
      <c r="F5" s="69" t="s">
        <v>1645</v>
      </c>
      <c r="G5" s="70">
        <v>1.5</v>
      </c>
      <c r="H5" s="70">
        <v>1</v>
      </c>
      <c r="I5" s="70">
        <v>3</v>
      </c>
      <c r="J5" s="69"/>
      <c r="K5" s="69"/>
      <c r="L5" s="69"/>
      <c r="M5" s="69"/>
      <c r="N5" s="69" t="s">
        <v>1646</v>
      </c>
    </row>
    <row r="6" spans="1:14">
      <c r="A6" s="69" t="s">
        <v>1647</v>
      </c>
      <c r="B6" s="69" t="s">
        <v>1642</v>
      </c>
      <c r="C6" s="69" t="s">
        <v>1648</v>
      </c>
      <c r="D6" s="69" t="s">
        <v>1649</v>
      </c>
      <c r="E6" s="69" t="s">
        <v>1650</v>
      </c>
      <c r="F6" s="69" t="s">
        <v>1645</v>
      </c>
      <c r="G6" s="70">
        <v>1</v>
      </c>
      <c r="H6" s="70">
        <v>0.5</v>
      </c>
      <c r="I6" s="70">
        <v>2</v>
      </c>
      <c r="J6" s="69"/>
      <c r="K6" s="69"/>
      <c r="L6" s="69"/>
      <c r="M6" s="69"/>
      <c r="N6" s="69" t="s">
        <v>1651</v>
      </c>
    </row>
    <row r="7" spans="1:14">
      <c r="A7" s="69" t="s">
        <v>1652</v>
      </c>
      <c r="B7" s="69" t="s">
        <v>1642</v>
      </c>
      <c r="C7" s="69" t="s">
        <v>1653</v>
      </c>
      <c r="D7" s="69" t="s">
        <v>1654</v>
      </c>
      <c r="E7" s="69" t="s">
        <v>2</v>
      </c>
      <c r="F7" s="69" t="s">
        <v>1645</v>
      </c>
      <c r="G7" s="70">
        <v>0.5</v>
      </c>
      <c r="H7" s="70">
        <v>0.5</v>
      </c>
      <c r="I7" s="70">
        <v>1</v>
      </c>
      <c r="J7" s="69"/>
      <c r="K7" s="69"/>
      <c r="L7" s="69"/>
      <c r="M7" s="69"/>
      <c r="N7" s="69"/>
    </row>
    <row r="8" spans="1:14">
      <c r="A8" s="69" t="s">
        <v>1655</v>
      </c>
      <c r="B8" s="69" t="s">
        <v>1642</v>
      </c>
      <c r="C8" s="69" t="s">
        <v>1656</v>
      </c>
      <c r="D8" s="69" t="s">
        <v>1657</v>
      </c>
      <c r="E8" s="69" t="s">
        <v>2</v>
      </c>
      <c r="F8" s="69" t="s">
        <v>1645</v>
      </c>
      <c r="G8" s="70">
        <v>1</v>
      </c>
      <c r="H8" s="70">
        <v>0.5</v>
      </c>
      <c r="I8" s="70">
        <v>1.5</v>
      </c>
      <c r="J8" s="69"/>
      <c r="K8" s="69"/>
      <c r="L8" s="69"/>
      <c r="M8" s="69"/>
      <c r="N8" s="69"/>
    </row>
    <row r="9" spans="1:14">
      <c r="A9" s="69" t="s">
        <v>1658</v>
      </c>
      <c r="B9" s="69" t="s">
        <v>1642</v>
      </c>
      <c r="C9" s="69" t="s">
        <v>1659</v>
      </c>
      <c r="D9" s="69" t="s">
        <v>1660</v>
      </c>
      <c r="E9" s="69" t="s">
        <v>2</v>
      </c>
      <c r="F9" s="69"/>
      <c r="G9" s="70">
        <v>0.5</v>
      </c>
      <c r="H9" s="70">
        <v>0.5</v>
      </c>
      <c r="I9" s="70">
        <v>1</v>
      </c>
      <c r="J9" s="69"/>
      <c r="K9" s="69"/>
      <c r="L9" s="69"/>
      <c r="M9" s="69"/>
      <c r="N9" s="69"/>
    </row>
    <row r="10" spans="1:14">
      <c r="A10" s="71"/>
      <c r="B10" s="71" t="s">
        <v>1784</v>
      </c>
      <c r="C10" s="71"/>
      <c r="D10" s="71"/>
      <c r="E10" s="71"/>
      <c r="F10" s="71"/>
      <c r="G10" s="72"/>
      <c r="H10" s="72"/>
      <c r="I10" s="72"/>
      <c r="J10" s="71"/>
      <c r="K10" s="71"/>
      <c r="L10" s="71"/>
      <c r="M10" s="71"/>
      <c r="N10" s="71"/>
    </row>
    <row r="11" spans="1:14">
      <c r="A11" s="69" t="s">
        <v>1661</v>
      </c>
      <c r="B11" s="69" t="s">
        <v>1662</v>
      </c>
      <c r="C11" s="69" t="s">
        <v>1663</v>
      </c>
      <c r="D11" s="69" t="s">
        <v>1664</v>
      </c>
      <c r="E11" s="69" t="s">
        <v>2</v>
      </c>
      <c r="F11" s="69"/>
      <c r="G11" s="70">
        <v>3</v>
      </c>
      <c r="H11" s="70">
        <v>2</v>
      </c>
      <c r="I11" s="70">
        <v>4</v>
      </c>
      <c r="J11" s="69"/>
      <c r="K11" s="69"/>
      <c r="L11" s="69"/>
      <c r="M11" s="69"/>
      <c r="N11" s="69" t="s">
        <v>1665</v>
      </c>
    </row>
    <row r="12" spans="1:14">
      <c r="A12" s="69" t="s">
        <v>1666</v>
      </c>
      <c r="B12" s="69" t="s">
        <v>1662</v>
      </c>
      <c r="C12" s="69" t="s">
        <v>1667</v>
      </c>
      <c r="D12" s="69" t="s">
        <v>1668</v>
      </c>
      <c r="E12" s="69" t="s">
        <v>1661</v>
      </c>
      <c r="F12" s="69"/>
      <c r="G12" s="70">
        <v>5</v>
      </c>
      <c r="H12" s="70">
        <v>4</v>
      </c>
      <c r="I12" s="70">
        <v>7</v>
      </c>
      <c r="J12" s="69"/>
      <c r="K12" s="69"/>
      <c r="L12" s="69"/>
      <c r="M12" s="69"/>
      <c r="N12" s="69" t="s">
        <v>1665</v>
      </c>
    </row>
    <row r="13" spans="1:14">
      <c r="A13" s="69" t="s">
        <v>1669</v>
      </c>
      <c r="B13" s="69" t="s">
        <v>1662</v>
      </c>
      <c r="C13" s="69" t="s">
        <v>1670</v>
      </c>
      <c r="D13" s="69" t="s">
        <v>1671</v>
      </c>
      <c r="E13" s="69" t="s">
        <v>1661</v>
      </c>
      <c r="F13" s="69"/>
      <c r="G13" s="70">
        <v>2</v>
      </c>
      <c r="H13" s="70">
        <v>1.5</v>
      </c>
      <c r="I13" s="70">
        <v>3</v>
      </c>
      <c r="J13" s="69"/>
      <c r="K13" s="69"/>
      <c r="L13" s="69"/>
      <c r="M13" s="69"/>
      <c r="N13" s="69" t="s">
        <v>1665</v>
      </c>
    </row>
    <row r="14" spans="1:14">
      <c r="A14" s="69" t="s">
        <v>1672</v>
      </c>
      <c r="B14" s="69" t="s">
        <v>1662</v>
      </c>
      <c r="C14" s="69" t="s">
        <v>1673</v>
      </c>
      <c r="D14" s="69" t="s">
        <v>1674</v>
      </c>
      <c r="E14" s="69" t="s">
        <v>1661</v>
      </c>
      <c r="F14" s="69"/>
      <c r="G14" s="70">
        <v>1.5</v>
      </c>
      <c r="H14" s="70">
        <v>1</v>
      </c>
      <c r="I14" s="70">
        <v>2</v>
      </c>
      <c r="J14" s="69"/>
      <c r="K14" s="69"/>
      <c r="L14" s="69"/>
      <c r="M14" s="69"/>
      <c r="N14" s="69" t="s">
        <v>1665</v>
      </c>
    </row>
    <row r="15" spans="1:14">
      <c r="A15" s="69" t="s">
        <v>1675</v>
      </c>
      <c r="B15" s="69" t="s">
        <v>1662</v>
      </c>
      <c r="C15" s="69" t="s">
        <v>1676</v>
      </c>
      <c r="D15" s="69" t="s">
        <v>1677</v>
      </c>
      <c r="E15" s="69" t="s">
        <v>1678</v>
      </c>
      <c r="F15" s="69"/>
      <c r="G15" s="70">
        <v>1</v>
      </c>
      <c r="H15" s="70">
        <v>0.5</v>
      </c>
      <c r="I15" s="70">
        <v>1.5</v>
      </c>
      <c r="J15" s="69"/>
      <c r="K15" s="69"/>
      <c r="L15" s="69"/>
      <c r="M15" s="69"/>
      <c r="N15" s="69"/>
    </row>
    <row r="16" spans="1:14">
      <c r="A16" s="69" t="s">
        <v>1679</v>
      </c>
      <c r="B16" s="69" t="s">
        <v>1662</v>
      </c>
      <c r="C16" s="69" t="s">
        <v>1680</v>
      </c>
      <c r="D16" s="69" t="s">
        <v>1681</v>
      </c>
      <c r="E16" s="69" t="s">
        <v>1655</v>
      </c>
      <c r="F16" s="69"/>
      <c r="G16" s="70">
        <v>1.5</v>
      </c>
      <c r="H16" s="70">
        <v>1</v>
      </c>
      <c r="I16" s="70">
        <v>2.5</v>
      </c>
      <c r="J16" s="69"/>
      <c r="K16" s="69"/>
      <c r="L16" s="69"/>
      <c r="M16" s="69"/>
      <c r="N16" s="69"/>
    </row>
    <row r="17" spans="1:14">
      <c r="A17" s="69" t="s">
        <v>1682</v>
      </c>
      <c r="B17" s="69" t="s">
        <v>1662</v>
      </c>
      <c r="C17" s="69" t="s">
        <v>1683</v>
      </c>
      <c r="D17" s="69" t="s">
        <v>1684</v>
      </c>
      <c r="E17" s="69" t="s">
        <v>1658</v>
      </c>
      <c r="F17" s="69"/>
      <c r="G17" s="70">
        <v>1</v>
      </c>
      <c r="H17" s="70">
        <v>0</v>
      </c>
      <c r="I17" s="70">
        <v>1.5</v>
      </c>
      <c r="J17" s="69"/>
      <c r="K17" s="69"/>
      <c r="L17" s="69"/>
      <c r="M17" s="69"/>
      <c r="N17" s="69" t="s">
        <v>1685</v>
      </c>
    </row>
    <row r="18" spans="1:14">
      <c r="A18" s="69" t="s">
        <v>1686</v>
      </c>
      <c r="B18" s="69" t="s">
        <v>1662</v>
      </c>
      <c r="C18" s="69" t="s">
        <v>1687</v>
      </c>
      <c r="D18" s="69" t="s">
        <v>1688</v>
      </c>
      <c r="E18" s="69" t="s">
        <v>1661</v>
      </c>
      <c r="F18" s="69"/>
      <c r="G18" s="70">
        <v>1</v>
      </c>
      <c r="H18" s="70">
        <v>0.5</v>
      </c>
      <c r="I18" s="70">
        <v>1.5</v>
      </c>
      <c r="J18" s="69"/>
      <c r="K18" s="69"/>
      <c r="L18" s="69"/>
      <c r="M18" s="69"/>
      <c r="N18" s="69"/>
    </row>
    <row r="19" spans="1:14">
      <c r="A19" s="69" t="s">
        <v>1689</v>
      </c>
      <c r="B19" s="69" t="s">
        <v>1662</v>
      </c>
      <c r="C19" s="69" t="s">
        <v>1690</v>
      </c>
      <c r="D19" s="69" t="s">
        <v>1691</v>
      </c>
      <c r="E19" s="69" t="s">
        <v>2</v>
      </c>
      <c r="F19" s="69"/>
      <c r="G19" s="70">
        <v>3</v>
      </c>
      <c r="H19" s="70">
        <v>2</v>
      </c>
      <c r="I19" s="70">
        <v>5</v>
      </c>
      <c r="J19" s="69"/>
      <c r="K19" s="69"/>
      <c r="L19" s="69"/>
      <c r="M19" s="69"/>
      <c r="N19" s="69" t="s">
        <v>1692</v>
      </c>
    </row>
    <row r="20" spans="1:14">
      <c r="A20" s="69" t="s">
        <v>1693</v>
      </c>
      <c r="B20" s="69" t="s">
        <v>1662</v>
      </c>
      <c r="C20" s="69" t="s">
        <v>1694</v>
      </c>
      <c r="D20" s="69" t="s">
        <v>1695</v>
      </c>
      <c r="E20" s="69" t="s">
        <v>1696</v>
      </c>
      <c r="F20" s="69"/>
      <c r="G20" s="70">
        <v>1.5</v>
      </c>
      <c r="H20" s="70">
        <v>1</v>
      </c>
      <c r="I20" s="70">
        <v>2</v>
      </c>
      <c r="J20" s="69"/>
      <c r="K20" s="69"/>
      <c r="L20" s="69"/>
      <c r="M20" s="69"/>
      <c r="N20" s="69"/>
    </row>
    <row r="21" spans="1:14">
      <c r="A21" s="69" t="s">
        <v>1697</v>
      </c>
      <c r="B21" s="69" t="s">
        <v>1698</v>
      </c>
      <c r="C21" s="69" t="s">
        <v>1699</v>
      </c>
      <c r="D21" s="69" t="s">
        <v>1700</v>
      </c>
      <c r="E21" s="69" t="s">
        <v>1701</v>
      </c>
      <c r="F21" s="69"/>
      <c r="G21" s="70">
        <v>2</v>
      </c>
      <c r="H21" s="70">
        <v>1.5</v>
      </c>
      <c r="I21" s="70">
        <v>3</v>
      </c>
      <c r="J21" s="69"/>
      <c r="K21" s="69"/>
      <c r="L21" s="69"/>
      <c r="M21" s="69"/>
      <c r="N21" s="69"/>
    </row>
    <row r="22" spans="1:14">
      <c r="A22" s="69" t="s">
        <v>1702</v>
      </c>
      <c r="B22" s="69" t="s">
        <v>1698</v>
      </c>
      <c r="C22" s="69" t="s">
        <v>1703</v>
      </c>
      <c r="D22" s="69" t="s">
        <v>1704</v>
      </c>
      <c r="E22" s="69" t="s">
        <v>1705</v>
      </c>
      <c r="F22" s="69"/>
      <c r="G22" s="70">
        <v>2</v>
      </c>
      <c r="H22" s="70">
        <v>1.5</v>
      </c>
      <c r="I22" s="70">
        <v>3</v>
      </c>
      <c r="J22" s="69"/>
      <c r="K22" s="69"/>
      <c r="L22" s="69"/>
      <c r="M22" s="69"/>
      <c r="N22" s="69"/>
    </row>
    <row r="23" spans="1:14">
      <c r="A23" s="69" t="s">
        <v>1706</v>
      </c>
      <c r="B23" s="69" t="s">
        <v>1698</v>
      </c>
      <c r="C23" s="69" t="s">
        <v>1707</v>
      </c>
      <c r="D23" s="69" t="s">
        <v>1708</v>
      </c>
      <c r="E23" s="69" t="s">
        <v>1709</v>
      </c>
      <c r="F23" s="69"/>
      <c r="G23" s="70">
        <v>3</v>
      </c>
      <c r="H23" s="70">
        <v>2</v>
      </c>
      <c r="I23" s="70">
        <v>5</v>
      </c>
      <c r="J23" s="69"/>
      <c r="K23" s="69"/>
      <c r="L23" s="69"/>
      <c r="M23" s="69"/>
      <c r="N23" s="69" t="s">
        <v>1665</v>
      </c>
    </row>
    <row r="24" spans="1:14">
      <c r="A24" s="69" t="s">
        <v>1710</v>
      </c>
      <c r="B24" s="69" t="s">
        <v>1698</v>
      </c>
      <c r="C24" s="69" t="s">
        <v>1711</v>
      </c>
      <c r="D24" s="69" t="s">
        <v>1712</v>
      </c>
      <c r="E24" s="69" t="s">
        <v>1706</v>
      </c>
      <c r="F24" s="69"/>
      <c r="G24" s="70">
        <v>3</v>
      </c>
      <c r="H24" s="70">
        <v>2</v>
      </c>
      <c r="I24" s="70">
        <v>4.5</v>
      </c>
      <c r="J24" s="69"/>
      <c r="K24" s="69"/>
      <c r="L24" s="69"/>
      <c r="M24" s="69"/>
      <c r="N24" s="69" t="s">
        <v>1665</v>
      </c>
    </row>
    <row r="25" spans="1:14">
      <c r="A25" s="69" t="s">
        <v>1713</v>
      </c>
      <c r="B25" s="69" t="s">
        <v>1698</v>
      </c>
      <c r="C25" s="69" t="s">
        <v>1714</v>
      </c>
      <c r="D25" s="69" t="s">
        <v>1704</v>
      </c>
      <c r="E25" s="69" t="s">
        <v>1706</v>
      </c>
      <c r="F25" s="69"/>
      <c r="G25" s="70">
        <v>1</v>
      </c>
      <c r="H25" s="70">
        <v>0.5</v>
      </c>
      <c r="I25" s="70">
        <v>1.5</v>
      </c>
      <c r="J25" s="69"/>
      <c r="K25" s="69"/>
      <c r="L25" s="69"/>
      <c r="M25" s="69"/>
      <c r="N25" s="69"/>
    </row>
    <row r="26" spans="1:14">
      <c r="A26" s="69" t="s">
        <v>1715</v>
      </c>
      <c r="B26" s="69" t="s">
        <v>1698</v>
      </c>
      <c r="C26" s="69" t="s">
        <v>1716</v>
      </c>
      <c r="D26" s="69" t="s">
        <v>1717</v>
      </c>
      <c r="E26" s="69" t="s">
        <v>1706</v>
      </c>
      <c r="F26" s="69"/>
      <c r="G26" s="70">
        <v>0.5</v>
      </c>
      <c r="H26" s="70">
        <v>0.5</v>
      </c>
      <c r="I26" s="70">
        <v>1</v>
      </c>
      <c r="J26" s="69"/>
      <c r="K26" s="69"/>
      <c r="L26" s="69"/>
      <c r="M26" s="69"/>
      <c r="N26" s="69"/>
    </row>
    <row r="27" spans="1:14">
      <c r="A27" s="69" t="s">
        <v>1718</v>
      </c>
      <c r="B27" s="69" t="s">
        <v>1698</v>
      </c>
      <c r="C27" s="69" t="s">
        <v>1719</v>
      </c>
      <c r="D27" s="69" t="s">
        <v>1720</v>
      </c>
      <c r="E27" s="69" t="s">
        <v>1706</v>
      </c>
      <c r="F27" s="69"/>
      <c r="G27" s="70">
        <v>1</v>
      </c>
      <c r="H27" s="70">
        <v>0.5</v>
      </c>
      <c r="I27" s="70">
        <v>1.5</v>
      </c>
      <c r="J27" s="69"/>
      <c r="K27" s="69"/>
      <c r="L27" s="69"/>
      <c r="M27" s="69"/>
      <c r="N27" s="69"/>
    </row>
    <row r="28" spans="1:14">
      <c r="A28" s="69" t="s">
        <v>1721</v>
      </c>
      <c r="B28" s="69" t="s">
        <v>1698</v>
      </c>
      <c r="C28" s="69" t="s">
        <v>1722</v>
      </c>
      <c r="D28" s="69" t="s">
        <v>1723</v>
      </c>
      <c r="E28" s="69" t="s">
        <v>1724</v>
      </c>
      <c r="F28" s="69"/>
      <c r="G28" s="70">
        <v>1</v>
      </c>
      <c r="H28" s="70">
        <v>0.5</v>
      </c>
      <c r="I28" s="70">
        <v>1.5</v>
      </c>
      <c r="J28" s="69"/>
      <c r="K28" s="69"/>
      <c r="L28" s="69"/>
      <c r="M28" s="69"/>
      <c r="N28" s="69"/>
    </row>
    <row r="29" spans="1:14">
      <c r="A29" s="69" t="s">
        <v>1725</v>
      </c>
      <c r="B29" s="69" t="s">
        <v>1726</v>
      </c>
      <c r="C29" s="69" t="s">
        <v>1727</v>
      </c>
      <c r="D29" s="69" t="s">
        <v>1728</v>
      </c>
      <c r="E29" s="69" t="s">
        <v>1710</v>
      </c>
      <c r="F29" s="69"/>
      <c r="G29" s="70">
        <v>3</v>
      </c>
      <c r="H29" s="70">
        <v>2</v>
      </c>
      <c r="I29" s="70">
        <v>4.5</v>
      </c>
      <c r="J29" s="69"/>
      <c r="K29" s="69"/>
      <c r="L29" s="69"/>
      <c r="M29" s="69"/>
      <c r="N29" s="69" t="s">
        <v>1665</v>
      </c>
    </row>
    <row r="30" spans="1:14">
      <c r="A30" s="69" t="s">
        <v>1729</v>
      </c>
      <c r="B30" s="69" t="s">
        <v>1726</v>
      </c>
      <c r="C30" s="69" t="s">
        <v>1730</v>
      </c>
      <c r="D30" s="69" t="s">
        <v>1731</v>
      </c>
      <c r="E30" s="69" t="s">
        <v>1725</v>
      </c>
      <c r="F30" s="69"/>
      <c r="G30" s="70">
        <v>1</v>
      </c>
      <c r="H30" s="70">
        <v>0.5</v>
      </c>
      <c r="I30" s="70">
        <v>1.5</v>
      </c>
      <c r="J30" s="69"/>
      <c r="K30" s="69"/>
      <c r="L30" s="69"/>
      <c r="M30" s="69"/>
      <c r="N30" s="69"/>
    </row>
    <row r="31" spans="1:14">
      <c r="A31" s="69" t="s">
        <v>1732</v>
      </c>
      <c r="B31" s="69" t="s">
        <v>1726</v>
      </c>
      <c r="C31" s="69" t="s">
        <v>1733</v>
      </c>
      <c r="D31" s="69" t="s">
        <v>1734</v>
      </c>
      <c r="E31" s="69" t="s">
        <v>1706</v>
      </c>
      <c r="F31" s="69"/>
      <c r="G31" s="70">
        <v>1</v>
      </c>
      <c r="H31" s="70">
        <v>0</v>
      </c>
      <c r="I31" s="70">
        <v>1.5</v>
      </c>
      <c r="J31" s="69"/>
      <c r="K31" s="69"/>
      <c r="L31" s="69"/>
      <c r="M31" s="69"/>
      <c r="N31" s="69" t="s">
        <v>1735</v>
      </c>
    </row>
    <row r="32" spans="1:14">
      <c r="A32" s="69" t="s">
        <v>1736</v>
      </c>
      <c r="B32" s="69" t="s">
        <v>1737</v>
      </c>
      <c r="C32" s="69" t="s">
        <v>1738</v>
      </c>
      <c r="D32" s="69" t="s">
        <v>1739</v>
      </c>
      <c r="E32" s="69" t="s">
        <v>2</v>
      </c>
      <c r="F32" s="69"/>
      <c r="G32" s="70">
        <v>2</v>
      </c>
      <c r="H32" s="70">
        <v>1.5</v>
      </c>
      <c r="I32" s="70">
        <v>3</v>
      </c>
      <c r="J32" s="69"/>
      <c r="K32" s="69"/>
      <c r="L32" s="69"/>
      <c r="M32" s="69"/>
      <c r="N32" s="69"/>
    </row>
    <row r="33" spans="1:14">
      <c r="A33" s="69" t="s">
        <v>1740</v>
      </c>
      <c r="B33" s="69" t="s">
        <v>1737</v>
      </c>
      <c r="C33" s="69" t="s">
        <v>1741</v>
      </c>
      <c r="D33" s="69" t="s">
        <v>33</v>
      </c>
      <c r="E33" s="69" t="s">
        <v>1736</v>
      </c>
      <c r="F33" s="69"/>
      <c r="G33" s="70">
        <v>1</v>
      </c>
      <c r="H33" s="70">
        <v>0.5</v>
      </c>
      <c r="I33" s="70">
        <v>2</v>
      </c>
      <c r="J33" s="69"/>
      <c r="K33" s="69"/>
      <c r="L33" s="69"/>
      <c r="M33" s="69"/>
      <c r="N33" s="69"/>
    </row>
    <row r="34" spans="1:14">
      <c r="A34" s="69" t="s">
        <v>1742</v>
      </c>
      <c r="B34" s="69" t="s">
        <v>1737</v>
      </c>
      <c r="C34" s="69" t="s">
        <v>1743</v>
      </c>
      <c r="D34" s="69" t="s">
        <v>1744</v>
      </c>
      <c r="E34" s="69" t="s">
        <v>1745</v>
      </c>
      <c r="F34" s="69"/>
      <c r="G34" s="70">
        <v>2</v>
      </c>
      <c r="H34" s="70">
        <v>1.5</v>
      </c>
      <c r="I34" s="70">
        <v>3</v>
      </c>
      <c r="J34" s="69"/>
      <c r="K34" s="69"/>
      <c r="L34" s="69"/>
      <c r="M34" s="69"/>
      <c r="N34" s="69" t="s">
        <v>1665</v>
      </c>
    </row>
    <row r="35" spans="1:14">
      <c r="A35" s="69" t="s">
        <v>1746</v>
      </c>
      <c r="B35" s="69" t="s">
        <v>1747</v>
      </c>
      <c r="C35" s="69" t="s">
        <v>1748</v>
      </c>
      <c r="D35" s="69" t="s">
        <v>1749</v>
      </c>
      <c r="E35" s="69" t="s">
        <v>1721</v>
      </c>
      <c r="F35" s="69"/>
      <c r="G35" s="70">
        <v>1.5</v>
      </c>
      <c r="H35" s="70">
        <v>1</v>
      </c>
      <c r="I35" s="70">
        <v>2</v>
      </c>
      <c r="J35" s="69"/>
      <c r="K35" s="69"/>
      <c r="L35" s="69"/>
      <c r="M35" s="69"/>
      <c r="N35" s="69"/>
    </row>
    <row r="36" spans="1:14">
      <c r="A36" s="69" t="s">
        <v>1750</v>
      </c>
      <c r="B36" s="69" t="s">
        <v>1747</v>
      </c>
      <c r="C36" s="69" t="s">
        <v>1751</v>
      </c>
      <c r="D36" s="69" t="s">
        <v>1752</v>
      </c>
      <c r="E36" s="69" t="s">
        <v>1746</v>
      </c>
      <c r="F36" s="69"/>
      <c r="G36" s="70">
        <v>0.5</v>
      </c>
      <c r="H36" s="70">
        <v>0.5</v>
      </c>
      <c r="I36" s="70">
        <v>1</v>
      </c>
      <c r="J36" s="69"/>
      <c r="K36" s="69"/>
      <c r="L36" s="69"/>
      <c r="M36" s="69"/>
      <c r="N36" s="69"/>
    </row>
    <row r="37" spans="1:14">
      <c r="A37" s="69" t="s">
        <v>1753</v>
      </c>
      <c r="B37" s="69" t="s">
        <v>1754</v>
      </c>
      <c r="C37" s="69" t="s">
        <v>1755</v>
      </c>
      <c r="D37" s="69" t="s">
        <v>2</v>
      </c>
      <c r="E37" s="69" t="s">
        <v>2</v>
      </c>
      <c r="F37" s="69"/>
      <c r="G37" s="70">
        <v>5</v>
      </c>
      <c r="H37" s="70">
        <v>3.5</v>
      </c>
      <c r="I37" s="70">
        <v>8</v>
      </c>
      <c r="J37" s="69"/>
      <c r="K37" s="69"/>
      <c r="L37" s="69"/>
      <c r="M37" s="69"/>
      <c r="N37" s="69"/>
    </row>
    <row r="38" spans="1:14">
      <c r="A38" s="71"/>
      <c r="B38" s="71"/>
      <c r="C38" s="71"/>
      <c r="D38" s="71"/>
      <c r="E38" s="71"/>
      <c r="F38" s="71"/>
      <c r="G38" s="71"/>
      <c r="H38" s="71"/>
      <c r="I38" s="71"/>
      <c r="J38" s="71"/>
      <c r="K38" s="71"/>
      <c r="L38" s="71"/>
      <c r="M38" s="71"/>
      <c r="N38" s="71"/>
    </row>
    <row r="40" spans="1:14">
      <c r="A40" s="64" t="s">
        <v>1756</v>
      </c>
    </row>
    <row r="41" spans="1:14">
      <c r="A41" s="68" t="s">
        <v>1642</v>
      </c>
      <c r="B41" s="73">
        <f>SUMIF($A$5:$A$37,"W1*",G$5:G$37)</f>
        <v>4.5</v>
      </c>
      <c r="C41" s="73">
        <f>SUMIF($A$5:$A$37,"W1*",H$5:H$37)</f>
        <v>3</v>
      </c>
      <c r="D41" s="73">
        <f>SUMIF($A$5:$A$37,"W1*",I$5:I$37)</f>
        <v>8.5</v>
      </c>
    </row>
    <row r="42" spans="1:14">
      <c r="A42" s="71" t="s">
        <v>1662</v>
      </c>
      <c r="B42" s="72">
        <f>SUMIF($A$5:$A$37,"W2*",G$5:G$37)</f>
        <v>20.5</v>
      </c>
      <c r="C42" s="72">
        <f>SUMIF($A$5:$A$37,"W2*",H$5:H$37)</f>
        <v>13.5</v>
      </c>
      <c r="D42" s="72">
        <f>SUMIF($A$5:$A$37,"W2*",I$5:I$37)</f>
        <v>30</v>
      </c>
    </row>
    <row r="43" spans="1:14">
      <c r="A43" s="71" t="s">
        <v>1698</v>
      </c>
      <c r="B43" s="72">
        <f>SUMIF($A$5:$A$37,"W3*",G$5:G$37)</f>
        <v>13.5</v>
      </c>
      <c r="C43" s="72">
        <f>SUMIF($A$5:$A$37,"W3*",H$5:H$37)</f>
        <v>9</v>
      </c>
      <c r="D43" s="72">
        <f>SUMIF($A$5:$A$37,"W3*",I$5:I$37)</f>
        <v>21</v>
      </c>
    </row>
    <row r="44" spans="1:14">
      <c r="A44" s="71" t="s">
        <v>1726</v>
      </c>
      <c r="B44" s="72">
        <f>SUMIF($A$5:$A$37,"W4*",G$5:G$37)</f>
        <v>5</v>
      </c>
      <c r="C44" s="72">
        <f>SUMIF($A$5:$A$37,"W4*",H$5:H$37)</f>
        <v>2.5</v>
      </c>
      <c r="D44" s="72">
        <f>SUMIF($A$5:$A$37,"W4*",I$5:I$37)</f>
        <v>7.5</v>
      </c>
    </row>
    <row r="45" spans="1:14">
      <c r="A45" s="71" t="s">
        <v>1737</v>
      </c>
      <c r="B45" s="72">
        <f>SUMIF($A$5:$A$37,"W5*",G$5:G$37)</f>
        <v>5</v>
      </c>
      <c r="C45" s="72">
        <f>SUMIF($A$5:$A$37,"W5*",H$5:H$37)</f>
        <v>3.5</v>
      </c>
      <c r="D45" s="72">
        <f>SUMIF($A$5:$A$37,"W5*",I$5:I$37)</f>
        <v>8</v>
      </c>
    </row>
    <row r="46" spans="1:14">
      <c r="A46" s="71" t="s">
        <v>1747</v>
      </c>
      <c r="B46" s="72">
        <f>SUMIF($A$5:$A$37,"W6*",G$5:G$37)</f>
        <v>2</v>
      </c>
      <c r="C46" s="72">
        <f>SUMIF($A$5:$A$37,"W6*",H$5:H$37)</f>
        <v>1.5</v>
      </c>
      <c r="D46" s="72">
        <f>SUMIF($A$5:$A$37,"W6*",I$5:I$37)</f>
        <v>3</v>
      </c>
    </row>
    <row r="47" spans="1:14">
      <c r="A47" s="71" t="s">
        <v>1757</v>
      </c>
      <c r="B47" s="72">
        <f>SUMIF($A$5:$A$37,"W7*",G$5:G$37)</f>
        <v>5</v>
      </c>
      <c r="C47" s="72">
        <f>SUMIF($A$5:$A$37,"W7*",H$5:H$37)</f>
        <v>3.5</v>
      </c>
      <c r="D47" s="72">
        <f>SUMIF($A$5:$A$37,"W7*",I$5:I$37)</f>
        <v>8</v>
      </c>
    </row>
    <row r="48" spans="1:14">
      <c r="A48" s="74" t="s">
        <v>1758</v>
      </c>
      <c r="B48" s="75">
        <f>SUM(B41:B47)</f>
        <v>55.5</v>
      </c>
      <c r="C48" s="75">
        <f>SUM(C41:C47)</f>
        <v>36.5</v>
      </c>
      <c r="D48" s="75">
        <f>SUM(D41:D47)</f>
        <v>86</v>
      </c>
    </row>
    <row r="49" spans="1:4">
      <c r="A49" s="71"/>
      <c r="B49" s="71"/>
      <c r="C49" s="71"/>
      <c r="D49" s="71"/>
    </row>
    <row r="50" spans="1:4">
      <c r="A50" s="76" t="s">
        <v>1759</v>
      </c>
    </row>
    <row r="53" spans="1:4">
      <c r="A53" s="77" t="s">
        <v>1760</v>
      </c>
    </row>
    <row r="54" spans="1:4">
      <c r="A54" s="67" t="s">
        <v>1761</v>
      </c>
    </row>
    <row r="55" spans="1:4">
      <c r="A55" s="67" t="s">
        <v>1762</v>
      </c>
    </row>
    <row r="56" spans="1:4">
      <c r="A56" s="67" t="s">
        <v>1763</v>
      </c>
    </row>
    <row r="59" spans="1:4">
      <c r="A59" s="78" t="s">
        <v>1764</v>
      </c>
    </row>
    <row r="60" spans="1:4">
      <c r="A60" s="68" t="s">
        <v>1765</v>
      </c>
      <c r="B60" s="68" t="s">
        <v>1766</v>
      </c>
      <c r="C60" s="68" t="s">
        <v>26</v>
      </c>
    </row>
    <row r="61" spans="1:4">
      <c r="A61" s="69" t="s">
        <v>1767</v>
      </c>
      <c r="B61" s="69" t="s">
        <v>1768</v>
      </c>
      <c r="C61" s="69" t="s">
        <v>1769</v>
      </c>
    </row>
    <row r="62" spans="1:4">
      <c r="A62" s="69" t="s">
        <v>1770</v>
      </c>
      <c r="B62" s="69" t="s">
        <v>1771</v>
      </c>
      <c r="C62" s="69" t="s">
        <v>1772</v>
      </c>
    </row>
    <row r="63" spans="1:4">
      <c r="A63" s="69" t="s">
        <v>1773</v>
      </c>
      <c r="B63" s="69" t="s">
        <v>1774</v>
      </c>
      <c r="C63" s="69" t="s">
        <v>1692</v>
      </c>
    </row>
    <row r="64" spans="1:4">
      <c r="A64" s="69" t="s">
        <v>1775</v>
      </c>
      <c r="B64" s="69" t="s">
        <v>1776</v>
      </c>
      <c r="C64" s="69" t="s">
        <v>1777</v>
      </c>
    </row>
    <row r="67" spans="1:1">
      <c r="A67" s="64" t="s">
        <v>1778</v>
      </c>
    </row>
    <row r="68" spans="1:1">
      <c r="A68" s="67" t="s">
        <v>1779</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14</vt:i4>
      </vt:variant>
    </vt:vector>
  </HeadingPairs>
  <TitlesOfParts>
    <vt:vector size="14" baseType="lpstr">
      <vt:lpstr>01_表紙・改訂履歴</vt:lpstr>
      <vt:lpstr>02_全体概要</vt:lpstr>
      <vt:lpstr>03_構成図</vt:lpstr>
      <vt:lpstr>04_リソース一覧</vt:lpstr>
      <vt:lpstr>05_処理フロー</vt:lpstr>
      <vt:lpstr>06_実行モード</vt:lpstr>
      <vt:lpstr>07_データ定義</vt:lpstr>
      <vt:lpstr>08_セキュリティ・IAM</vt:lpstr>
      <vt:lpstr>09_アプリチーム向け手順</vt:lpstr>
      <vt:lpstr>10_設計判断一覧</vt:lpstr>
      <vt:lpstr>11_未決事項</vt:lpstr>
      <vt:lpstr>12_関連文書</vt:lpstr>
      <vt:lpstr>13_出典一覧</vt:lpstr>
      <vt:lpstr>14_WBS_Phase3-4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2026-08-19T06:44:03Z</dcterms:modified>
</cp:coreProperties>
</file>