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21460" tabRatio="600" firstSheet="10" activeTab="17" autoFilterDateGrouping="1"/>
  </bookViews>
  <sheets>
    <sheet xmlns:r="http://schemas.openxmlformats.org/officeDocument/2006/relationships" name="01_表紙・改訂履歴" sheetId="1" state="visible" r:id="rId1"/>
    <sheet xmlns:r="http://schemas.openxmlformats.org/officeDocument/2006/relationships" name="02_全体概要" sheetId="2" state="visible" r:id="rId2"/>
    <sheet xmlns:r="http://schemas.openxmlformats.org/officeDocument/2006/relationships" name="03_構成図" sheetId="3" state="visible" r:id="rId3"/>
    <sheet xmlns:r="http://schemas.openxmlformats.org/officeDocument/2006/relationships" name="04_リソース一覧" sheetId="4" state="visible" r:id="rId4"/>
    <sheet xmlns:r="http://schemas.openxmlformats.org/officeDocument/2006/relationships" name="05_処理フロー" sheetId="5" state="visible" r:id="rId5"/>
    <sheet xmlns:r="http://schemas.openxmlformats.org/officeDocument/2006/relationships" name="06_実行トリガー" sheetId="6" state="visible" r:id="rId6"/>
    <sheet xmlns:r="http://schemas.openxmlformats.org/officeDocument/2006/relationships" name="07_データ定義" sheetId="7" state="visible" r:id="rId7"/>
    <sheet xmlns:r="http://schemas.openxmlformats.org/officeDocument/2006/relationships" name="08_セキュリティ・IAM" sheetId="8" state="visible" r:id="rId8"/>
    <sheet xmlns:r="http://schemas.openxmlformats.org/officeDocument/2006/relationships" name="09_アプリチーム向け手順" sheetId="9" state="visible" r:id="rId9"/>
    <sheet xmlns:r="http://schemas.openxmlformats.org/officeDocument/2006/relationships" name="10_設計判断一覧" sheetId="10" state="visible" r:id="rId10"/>
    <sheet xmlns:r="http://schemas.openxmlformats.org/officeDocument/2006/relationships" name="11_未決事項" sheetId="11" state="visible" r:id="rId11"/>
    <sheet xmlns:r="http://schemas.openxmlformats.org/officeDocument/2006/relationships" name="12_関連文書" sheetId="12" state="visible" r:id="rId12"/>
    <sheet xmlns:r="http://schemas.openxmlformats.org/officeDocument/2006/relationships" name="13_出典一覧" sheetId="13" state="visible" r:id="rId13"/>
    <sheet xmlns:r="http://schemas.openxmlformats.org/officeDocument/2006/relationships" name="14_WBS" sheetId="14" state="visible" r:id="rId14"/>
    <sheet xmlns:r="http://schemas.openxmlformats.org/officeDocument/2006/relationships" name="15_WBS集計" sheetId="15" state="visible" r:id="rId15"/>
    <sheet xmlns:r="http://schemas.openxmlformats.org/officeDocument/2006/relationships" name="16_ランニング費用" sheetId="16" state="visible" r:id="rId16"/>
    <sheet xmlns:r="http://schemas.openxmlformats.org/officeDocument/2006/relationships" name="17_運用工数" sheetId="17" state="visible" r:id="rId17"/>
    <sheet xmlns:r="http://schemas.openxmlformats.org/officeDocument/2006/relationships" name="18_処理一覧" sheetId="18" state="visible" r:id="rId18"/>
    <sheet xmlns:r="http://schemas.openxmlformats.org/officeDocument/2006/relationships" name="19_処理共通仕様" sheetId="19" state="visible" r:id="rId19"/>
    <sheet xmlns:r="http://schemas.openxmlformats.org/officeDocument/2006/relationships" name="対象検索-01_認証実装確認処理開始" sheetId="20" state="visible" r:id="rId20"/>
    <sheet xmlns:r="http://schemas.openxmlformats.org/officeDocument/2006/relationships" name="対象検索-02_対象アカウント一覧取得" sheetId="21" state="visible" r:id="rId21"/>
    <sheet xmlns:r="http://schemas.openxmlformats.org/officeDocument/2006/relationships" name="対象検索-03_対象アカウント接続権限取得" sheetId="22" state="visible" r:id="rId22"/>
    <sheet xmlns:r="http://schemas.openxmlformats.org/officeDocument/2006/relationships" name="対象検索-04_認証構成情報一覧取得" sheetId="23" state="visible" r:id="rId23"/>
    <sheet xmlns:r="http://schemas.openxmlformats.org/officeDocument/2006/relationships" name="対象検索-05_前回確認状態取得" sheetId="24" state="visible" r:id="rId24"/>
    <sheet xmlns:r="http://schemas.openxmlformats.org/officeDocument/2006/relationships" name="対象検索-06_認証構成情報比較" sheetId="25" state="visible" r:id="rId25"/>
    <sheet xmlns:r="http://schemas.openxmlformats.org/officeDocument/2006/relationships" name="対象検索-07_認証構成情報取得" sheetId="26" state="visible" r:id="rId26"/>
    <sheet xmlns:r="http://schemas.openxmlformats.org/officeDocument/2006/relationships" name="対象検索-08_認証構成情報検証" sheetId="27" state="visible" r:id="rId27"/>
    <sheet xmlns:r="http://schemas.openxmlformats.org/officeDocument/2006/relationships" name="対象検索-09_認証構成情報登録" sheetId="28" state="visible" r:id="rId28"/>
    <sheet xmlns:r="http://schemas.openxmlformats.org/officeDocument/2006/relationships" name="対象検索-10_API仕様登録" sheetId="29" state="visible" r:id="rId29"/>
    <sheet xmlns:r="http://schemas.openxmlformats.org/officeDocument/2006/relationships" name="対象検索-11_認証実装確認依頼" sheetId="30" state="visible" r:id="rId30"/>
    <sheet xmlns:r="http://schemas.openxmlformats.org/officeDocument/2006/relationships" name="対象検索-12_構成情報不備通知" sheetId="31" state="visible" r:id="rId31"/>
    <sheet xmlns:r="http://schemas.openxmlformats.org/officeDocument/2006/relationships" name="対象検索-13_監視対象消滅検知" sheetId="32" state="visible" r:id="rId32"/>
    <sheet xmlns:r="http://schemas.openxmlformats.org/officeDocument/2006/relationships" name="対象検索-14_巡回結果メトリクス送信" sheetId="33" state="visible" r:id="rId33"/>
    <sheet xmlns:r="http://schemas.openxmlformats.org/officeDocument/2006/relationships" name="全量-01_全量確認処理開始（定期）" sheetId="34" state="visible" r:id="rId34"/>
    <sheet xmlns:r="http://schemas.openxmlformats.org/officeDocument/2006/relationships" name="全量-02_全量確認処理開始（手動）" sheetId="35" state="visible" r:id="rId35"/>
    <sheet xmlns:r="http://schemas.openxmlformats.org/officeDocument/2006/relationships" name="全量-03_監視対象一覧取得" sheetId="36" state="visible" r:id="rId36"/>
    <sheet xmlns:r="http://schemas.openxmlformats.org/officeDocument/2006/relationships" name="全量-04_アプリ単位確認依頼" sheetId="37" state="visible" r:id="rId37"/>
    <sheet xmlns:r="http://schemas.openxmlformats.org/officeDocument/2006/relationships" name="認証実装チェック-01_認証構成情報参照" sheetId="38" state="visible" r:id="rId38"/>
    <sheet xmlns:r="http://schemas.openxmlformats.org/officeDocument/2006/relationships" name="認証実装チェック-02_API仕様取得" sheetId="39" state="visible" r:id="rId39"/>
    <sheet xmlns:r="http://schemas.openxmlformats.org/officeDocument/2006/relationships" name="認証実装チェック-03_正常系確認用トークン取得" sheetId="40" state="visible" r:id="rId40"/>
    <sheet xmlns:r="http://schemas.openxmlformats.org/officeDocument/2006/relationships" name="認証実装チェック-04_未認証アクセス確認" sheetId="41" state="visible" r:id="rId41"/>
    <sheet xmlns:r="http://schemas.openxmlformats.org/officeDocument/2006/relationships" name="認証実装チェック-05_正常系アクセス確認" sheetId="42" state="visible" r:id="rId42"/>
    <sheet xmlns:r="http://schemas.openxmlformats.org/officeDocument/2006/relationships" name="認証実装チェック-06_確認結果判定" sheetId="43" state="visible" r:id="rId43"/>
    <sheet xmlns:r="http://schemas.openxmlformats.org/officeDocument/2006/relationships" name="認証実装チェック-07_確認結果メトリクス送信" sheetId="44" state="visible" r:id="rId44"/>
    <sheet xmlns:r="http://schemas.openxmlformats.org/officeDocument/2006/relationships" name="認証実装チェック-08_検知結果通知依頼" sheetId="45" state="visible" r:id="rId45"/>
    <sheet xmlns:r="http://schemas.openxmlformats.org/officeDocument/2006/relationships" name="通知-01_通知先解決" sheetId="46" state="visible" r:id="rId46"/>
    <sheet xmlns:r="http://schemas.openxmlformats.org/officeDocument/2006/relationships" name="通知-02_重要度別通知送信" sheetId="47" state="visible" r:id="rId47"/>
    <sheet xmlns:r="http://schemas.openxmlformats.org/officeDocument/2006/relationships" name="通知-03_メトリクス閾値通知" sheetId="48" state="visible" r:id="rId48"/>
    <sheet xmlns:r="http://schemas.openxmlformats.org/officeDocument/2006/relationships" name="運用-01_監視機構稼働監視通知" sheetId="49" state="visible" r:id="rId49"/>
    <sheet xmlns:r="http://schemas.openxmlformats.org/officeDocument/2006/relationships" name="運用-02_処理失敗退避・再処理" sheetId="50" state="visible" r:id="rId50"/>
    <sheet xmlns:r="http://schemas.openxmlformats.org/officeDocument/2006/relationships" name="運用-03_監視設定手動更新" sheetId="51" state="visible" r:id="rId51"/>
    <sheet xmlns:r="http://schemas.openxmlformats.org/officeDocument/2006/relationships" name="連携-01_認証構成情報配置" sheetId="52" state="visible" r:id="rId52"/>
  </sheets>
  <definedNames>
    <definedName name="_xlnm._FilterDatabase" localSheetId="13" hidden="1">'14_WBS'!$A$1:$M$136</definedName>
    <definedName name="_xlnm._FilterDatabase" localSheetId="17" hidden="1">'18_処理一覧'!$A$4:$J$37</definedName>
  </definedNames>
  <calcPr calcId="191029" fullCalcOnLoad="1"/>
</workbook>
</file>

<file path=xl/styles.xml><?xml version="1.0" encoding="utf-8"?>
<styleSheet xmlns="http://schemas.openxmlformats.org/spreadsheetml/2006/main">
  <numFmts count="1">
    <numFmt numFmtId="164" formatCode="0.0"/>
  </numFmts>
  <fonts count="18">
    <font>
      <name val="游ゴシック"/>
      <charset val="128"/>
      <family val="2"/>
      <color theme="1"/>
      <sz val="12"/>
      <scheme val="minor"/>
    </font>
    <font>
      <name val="游ゴシック"/>
      <charset val="128"/>
      <family val="2"/>
      <sz val="6"/>
      <scheme val="minor"/>
    </font>
    <font>
      <name val="Meiryo UI"/>
      <charset val="128"/>
      <family val="2"/>
      <b val="1"/>
      <color theme="1"/>
      <sz val="16"/>
    </font>
    <font>
      <name val="Meiryo UI"/>
      <charset val="128"/>
      <family val="2"/>
      <color theme="1"/>
      <sz val="12"/>
    </font>
    <font>
      <name val="Meiryo UI"/>
      <charset val="128"/>
      <family val="2"/>
      <b val="1"/>
      <color rgb="FFFFFFFF"/>
      <sz val="12"/>
    </font>
    <font>
      <name val="Meiryo UI"/>
      <charset val="128"/>
      <family val="2"/>
      <b val="1"/>
      <color rgb="FF1F4E79"/>
      <sz val="12"/>
    </font>
    <font>
      <name val="Meiryo UI"/>
      <charset val="128"/>
      <family val="2"/>
      <b val="1"/>
      <color rgb="FF7F6000"/>
      <sz val="12"/>
    </font>
    <font>
      <name val="Meiryo UI"/>
      <charset val="128"/>
      <family val="2"/>
      <b val="1"/>
      <color theme="1"/>
      <sz val="12"/>
    </font>
    <font>
      <name val="Meiryo UI"/>
      <charset val="128"/>
      <family val="2"/>
      <b val="1"/>
      <color rgb="FFFFFFFF"/>
      <sz val="14"/>
    </font>
    <font>
      <name val="Meiryo UI"/>
      <charset val="128"/>
      <family val="2"/>
      <sz val="10"/>
    </font>
    <font>
      <name val="Meiryo UI"/>
      <charset val="128"/>
      <family val="2"/>
      <b val="1"/>
      <sz val="10"/>
    </font>
    <font>
      <name val="Meiryo UI"/>
      <charset val="128"/>
      <family val="2"/>
      <color rgb="FF0563C1"/>
      <sz val="10"/>
      <u val="single"/>
    </font>
    <font>
      <name val="Meiryo UI"/>
      <charset val="128"/>
      <family val="2"/>
      <b val="1"/>
      <color rgb="FFFFFFFF"/>
      <sz val="11"/>
    </font>
    <font>
      <b val="1"/>
      <color rgb="00FFFFFF"/>
      <sz val="14"/>
    </font>
    <font>
      <b val="1"/>
      <color rgb="00FFFFFF"/>
      <sz val="11"/>
    </font>
    <font>
      <b val="1"/>
      <sz val="10"/>
    </font>
    <font>
      <sz val="10"/>
    </font>
    <font>
      <color rgb="000563C1"/>
      <sz val="10"/>
      <u val="single"/>
    </font>
  </fonts>
  <fills count="27">
    <fill>
      <patternFill/>
    </fill>
    <fill>
      <patternFill patternType="gray125"/>
    </fill>
    <fill>
      <patternFill patternType="solid">
        <fgColor rgb="FF1F4E79"/>
        <bgColor indexed="64"/>
      </patternFill>
    </fill>
    <fill>
      <patternFill patternType="solid">
        <fgColor rgb="FFFFF3E0"/>
        <bgColor indexed="64"/>
      </patternFill>
    </fill>
    <fill>
      <patternFill patternType="solid">
        <fgColor rgb="FFFFFFFF"/>
        <bgColor indexed="64"/>
      </patternFill>
    </fill>
    <fill>
      <patternFill patternType="solid">
        <fgColor rgb="FFFCE4EC"/>
        <bgColor indexed="64"/>
      </patternFill>
    </fill>
    <fill>
      <patternFill patternType="solid">
        <fgColor rgb="FFE8F5E9"/>
        <bgColor indexed="64"/>
      </patternFill>
    </fill>
    <fill>
      <patternFill patternType="solid">
        <fgColor rgb="FFEDE7F6"/>
        <bgColor indexed="64"/>
      </patternFill>
    </fill>
    <fill>
      <patternFill patternType="solid">
        <fgColor rgb="FFFFF9C4"/>
        <bgColor indexed="64"/>
      </patternFill>
    </fill>
    <fill>
      <patternFill patternType="solid">
        <fgColor rgb="FFEEEEEE"/>
        <bgColor indexed="64"/>
      </patternFill>
    </fill>
    <fill>
      <patternFill patternType="solid">
        <fgColor rgb="FFF2F2F2"/>
        <bgColor indexed="64"/>
      </patternFill>
    </fill>
    <fill>
      <patternFill patternType="solid">
        <fgColor rgb="FFFFFF00"/>
        <bgColor indexed="64"/>
      </patternFill>
    </fill>
    <fill>
      <patternFill patternType="solid">
        <fgColor rgb="FFFFCDD2"/>
        <bgColor indexed="64"/>
      </patternFill>
    </fill>
    <fill>
      <patternFill patternType="solid">
        <fgColor rgb="FFC00000"/>
        <bgColor indexed="64"/>
      </patternFill>
    </fill>
    <fill>
      <patternFill patternType="solid">
        <fgColor rgb="FFFFF2CC"/>
        <bgColor indexed="64"/>
      </patternFill>
    </fill>
    <fill>
      <patternFill patternType="solid">
        <fgColor rgb="FFDDEBF7"/>
        <bgColor indexed="64"/>
      </patternFill>
    </fill>
    <fill>
      <patternFill patternType="solid">
        <fgColor theme="0" tint="-0.0499893185216834"/>
        <bgColor indexed="64"/>
      </patternFill>
    </fill>
    <fill>
      <patternFill patternType="solid">
        <fgColor rgb="FF2F5597"/>
      </patternFill>
    </fill>
    <fill>
      <patternFill patternType="solid">
        <fgColor rgb="FF8EA9DB"/>
      </patternFill>
    </fill>
    <fill>
      <patternFill patternType="solid">
        <fgColor rgb="FFF2F2F2"/>
      </patternFill>
    </fill>
    <fill>
      <patternFill patternType="solid">
        <fgColor rgb="FFFFF2CC"/>
      </patternFill>
    </fill>
    <fill>
      <patternFill patternType="solid">
        <fgColor rgb="FFD9E1F2"/>
      </patternFill>
    </fill>
    <fill>
      <patternFill patternType="solid">
        <fgColor rgb="002F5597"/>
      </patternFill>
    </fill>
    <fill>
      <patternFill patternType="solid">
        <fgColor rgb="008EA9DB"/>
      </patternFill>
    </fill>
    <fill>
      <patternFill patternType="solid">
        <fgColor rgb="00F2F2F2"/>
      </patternFill>
    </fill>
    <fill>
      <patternFill patternType="solid">
        <fgColor rgb="00FFF2CC"/>
      </patternFill>
    </fill>
    <fill>
      <patternFill patternType="solid">
        <fgColor rgb="00D9E1F2"/>
      </patternFill>
    </fill>
  </fills>
  <borders count="39">
    <border>
      <left/>
      <right/>
      <top/>
      <bottom/>
      <diagonal/>
    </border>
    <border>
      <left style="thin">
        <color rgb="FF7F7F7F"/>
      </left>
      <right style="thin">
        <color rgb="FF7F7F7F"/>
      </right>
      <top style="thin">
        <color rgb="FF7F7F7F"/>
      </top>
      <bottom style="thin">
        <color rgb="FF7F7F7F"/>
      </bottom>
      <diagonal/>
    </border>
    <border>
      <left style="thin">
        <color rgb="FF8EA9DB"/>
      </left>
      <right style="thin">
        <color rgb="FF8EA9DB"/>
      </right>
      <top style="thin">
        <color rgb="FF8EA9DB"/>
      </top>
      <bottom style="thin">
        <color rgb="FF8EA9DB"/>
      </bottom>
      <diagonal/>
    </border>
    <border>
      <left/>
      <right style="thin">
        <color rgb="FF8EA9DB"/>
      </right>
      <top style="thin">
        <color rgb="FF8EA9DB"/>
      </top>
      <bottom style="thin">
        <color rgb="FF8EA9DB"/>
      </bottom>
      <diagonal/>
    </border>
    <border>
      <left style="medium">
        <color rgb="FF404040"/>
      </left>
      <right/>
      <top style="medium">
        <color rgb="FF404040"/>
      </top>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style="medium">
        <color rgb="FF404040"/>
      </left>
      <right style="medium">
        <color rgb="FF404040"/>
      </right>
      <top style="medium">
        <color rgb="FF404040"/>
      </top>
      <bottom/>
      <diagonal/>
    </border>
    <border>
      <left/>
      <right/>
      <top style="mediumDashed">
        <color rgb="FFBF8F00"/>
      </top>
      <bottom/>
      <diagonal/>
    </border>
    <border>
      <left/>
      <right/>
      <top/>
      <bottom style="mediumDashed">
        <color rgb="FFBF8F00"/>
      </bottom>
      <diagonal/>
    </border>
    <border>
      <left style="mediumDashed">
        <color rgb="FFBF8F00"/>
      </left>
      <right/>
      <top style="mediumDashed">
        <color rgb="FFBF8F00"/>
      </top>
      <bottom/>
      <diagonal/>
    </border>
    <border>
      <left style="mediumDashed">
        <color rgb="FFBF8F00"/>
      </left>
      <right/>
      <top/>
      <bottom/>
      <diagonal/>
    </border>
    <border>
      <left style="mediumDashed">
        <color rgb="FFBF8F00"/>
      </left>
      <right/>
      <top/>
      <bottom style="mediumDashed">
        <color rgb="FFBF8F00"/>
      </bottom>
      <diagonal/>
    </border>
    <border>
      <left/>
      <right style="mediumDashed">
        <color rgb="FFBF8F00"/>
      </right>
      <top style="mediumDashed">
        <color rgb="FFBF8F00"/>
      </top>
      <bottom/>
      <diagonal/>
    </border>
    <border>
      <left/>
      <right style="mediumDashed">
        <color rgb="FFBF8F00"/>
      </right>
      <top/>
      <bottom/>
      <diagonal/>
    </border>
    <border>
      <left/>
      <right style="mediumDashed">
        <color rgb="FFBF8F00"/>
      </right>
      <top/>
      <bottom style="mediumDashed">
        <color rgb="FFBF8F00"/>
      </bottom>
      <diagonal/>
    </border>
    <border>
      <left style="thin">
        <color rgb="FF8EA9DB"/>
      </left>
      <right style="thin">
        <color rgb="FF8EA9DB"/>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applyAlignment="1">
      <alignment vertical="center"/>
    </xf>
  </cellStyleXfs>
  <cellXfs count="150">
    <xf numFmtId="0" fontId="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top"/>
    </xf>
    <xf numFmtId="0" fontId="4" fillId="2" borderId="2" applyAlignment="1" pivotButton="0" quotePrefix="0" xfId="0">
      <alignment horizontal="center" vertical="center"/>
    </xf>
    <xf numFmtId="0" fontId="3" fillId="0" borderId="2" applyAlignment="1" pivotButton="0" quotePrefix="0" xfId="0">
      <alignment vertical="top" wrapText="1"/>
    </xf>
    <xf numFmtId="0" fontId="3" fillId="0" borderId="0" pivotButton="0" quotePrefix="0" xfId="0"/>
    <xf numFmtId="0" fontId="5" fillId="0" borderId="0" applyAlignment="1" pivotButton="0" quotePrefix="0" xfId="0">
      <alignment vertical="center"/>
    </xf>
    <xf numFmtId="49" fontId="3" fillId="0" borderId="2" applyAlignment="1" pivotButton="0" quotePrefix="0" xfId="0">
      <alignment vertical="top" wrapText="1"/>
    </xf>
    <xf numFmtId="0" fontId="5" fillId="0" borderId="0" applyAlignment="1" pivotButton="0" quotePrefix="0" xfId="0">
      <alignment vertical="top" wrapText="1"/>
    </xf>
    <xf numFmtId="49" fontId="5" fillId="0" borderId="2" applyAlignment="1" pivotButton="0" quotePrefix="0" xfId="0">
      <alignment vertical="top" wrapText="1"/>
    </xf>
    <xf numFmtId="0" fontId="6" fillId="14" borderId="11" applyAlignment="1" pivotButton="0" quotePrefix="0" xfId="0">
      <alignment vertical="top" wrapText="1"/>
    </xf>
    <xf numFmtId="0" fontId="3" fillId="14" borderId="9" applyAlignment="1" pivotButton="0" quotePrefix="0" xfId="0">
      <alignment vertical="top" wrapText="1"/>
    </xf>
    <xf numFmtId="0" fontId="3" fillId="14" borderId="14" applyAlignment="1" pivotButton="0" quotePrefix="0" xfId="0">
      <alignment vertical="top" wrapText="1"/>
    </xf>
    <xf numFmtId="0" fontId="3" fillId="14" borderId="12" applyAlignment="1" pivotButton="0" quotePrefix="0" xfId="0">
      <alignment vertical="top" wrapText="1"/>
    </xf>
    <xf numFmtId="0" fontId="3" fillId="14" borderId="0" applyAlignment="1" pivotButton="0" quotePrefix="0" xfId="0">
      <alignment vertical="top" wrapText="1"/>
    </xf>
    <xf numFmtId="0" fontId="3" fillId="14" borderId="15" applyAlignment="1" pivotButton="0" quotePrefix="0" xfId="0">
      <alignment vertical="top" wrapText="1"/>
    </xf>
    <xf numFmtId="0" fontId="3" fillId="14" borderId="13" applyAlignment="1" pivotButton="0" quotePrefix="0" xfId="0">
      <alignment vertical="top" wrapText="1"/>
    </xf>
    <xf numFmtId="0" fontId="3" fillId="14" borderId="10" applyAlignment="1" pivotButton="0" quotePrefix="0" xfId="0">
      <alignment vertical="top" wrapText="1"/>
    </xf>
    <xf numFmtId="0" fontId="3" fillId="14" borderId="16" applyAlignment="1" pivotButton="0" quotePrefix="0" xfId="0">
      <alignment vertical="top" wrapText="1"/>
    </xf>
    <xf numFmtId="0" fontId="7" fillId="3" borderId="4" applyAlignment="1" pivotButton="0" quotePrefix="0" xfId="0">
      <alignment vertical="center" wrapText="1"/>
    </xf>
    <xf numFmtId="0" fontId="7" fillId="4" borderId="4" applyAlignment="1" pivotButton="0" quotePrefix="0" xfId="0">
      <alignment vertical="center" wrapText="1"/>
    </xf>
    <xf numFmtId="0" fontId="7" fillId="5" borderId="4" applyAlignment="1" pivotButton="0" quotePrefix="0" xfId="0">
      <alignment vertical="center" wrapText="1"/>
    </xf>
    <xf numFmtId="0" fontId="7" fillId="6" borderId="4" applyAlignment="1" pivotButton="0" quotePrefix="0" xfId="0">
      <alignment vertical="center" wrapText="1"/>
    </xf>
    <xf numFmtId="0" fontId="7" fillId="7" borderId="8" applyAlignment="1" pivotButton="0" quotePrefix="0" xfId="0">
      <alignment vertical="center" wrapText="1"/>
    </xf>
    <xf numFmtId="0" fontId="3" fillId="3" borderId="7" applyAlignment="1" pivotButton="0" quotePrefix="0" xfId="0">
      <alignment horizontal="center" vertical="center" wrapText="1"/>
    </xf>
    <xf numFmtId="0" fontId="3" fillId="4" borderId="5" applyAlignment="1" pivotButton="0" quotePrefix="0" xfId="0">
      <alignment horizontal="center" vertical="center" wrapText="1"/>
    </xf>
    <xf numFmtId="0" fontId="3" fillId="5" borderId="5" applyAlignment="1" pivotButton="0" quotePrefix="0" xfId="0">
      <alignment horizontal="center" vertical="center" wrapText="1"/>
    </xf>
    <xf numFmtId="0" fontId="3" fillId="6" borderId="7"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7" applyAlignment="1" pivotButton="0" quotePrefix="0" xfId="0">
      <alignment horizontal="center" vertical="center" wrapText="1"/>
    </xf>
    <xf numFmtId="0" fontId="3" fillId="3" borderId="6" applyAlignment="1" pivotButton="0" quotePrefix="0" xfId="0">
      <alignment horizontal="center" vertical="center" wrapText="1"/>
    </xf>
    <xf numFmtId="0" fontId="3" fillId="6"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3" borderId="5" applyAlignment="1" pivotButton="0" quotePrefix="0" xfId="0">
      <alignment horizontal="center" vertical="center" wrapText="1"/>
    </xf>
    <xf numFmtId="0" fontId="3" fillId="3" borderId="1" applyAlignment="1" pivotButton="0" quotePrefix="0" xfId="0">
      <alignment horizontal="center" vertical="center" wrapText="1"/>
    </xf>
    <xf numFmtId="0" fontId="7" fillId="9" borderId="8" applyAlignment="1" pivotButton="0" quotePrefix="0" xfId="0">
      <alignment vertical="center" wrapText="1"/>
    </xf>
    <xf numFmtId="0" fontId="3" fillId="9" borderId="5" applyAlignment="1" pivotButton="0" quotePrefix="0" xfId="0">
      <alignment horizontal="center" vertical="center" wrapText="1"/>
    </xf>
    <xf numFmtId="0" fontId="3" fillId="9" borderId="1" applyAlignment="1" pivotButton="0" quotePrefix="0" xfId="0">
      <alignment horizontal="center" vertical="center" wrapText="1"/>
    </xf>
    <xf numFmtId="0" fontId="3" fillId="0" borderId="0" applyAlignment="1" pivotButton="0" quotePrefix="0" xfId="0">
      <alignment vertical="top" wrapText="1"/>
    </xf>
    <xf numFmtId="0" fontId="3" fillId="0" borderId="2" applyAlignment="1" pivotButton="0" quotePrefix="0" xfId="0">
      <alignment vertical="center"/>
    </xf>
    <xf numFmtId="0" fontId="4" fillId="2" borderId="2" applyAlignment="1" pivotButton="0" quotePrefix="0" xfId="0">
      <alignment horizontal="center" vertical="top" wrapText="1"/>
    </xf>
    <xf numFmtId="0" fontId="5" fillId="0" borderId="0" applyAlignment="1" pivotButton="0" quotePrefix="0" xfId="0">
      <alignment vertical="top"/>
    </xf>
    <xf numFmtId="0" fontId="2" fillId="0" borderId="0" applyAlignment="1" pivotButton="0" quotePrefix="0" xfId="0">
      <alignment vertical="top"/>
    </xf>
    <xf numFmtId="0" fontId="2" fillId="9" borderId="0" applyAlignment="1" pivotButton="0" quotePrefix="0" xfId="0">
      <alignment vertical="top"/>
    </xf>
    <xf numFmtId="0" fontId="2" fillId="14" borderId="0" applyAlignment="1" pivotButton="0" quotePrefix="0" xfId="0">
      <alignment vertical="top"/>
    </xf>
    <xf numFmtId="0" fontId="6" fillId="14" borderId="11" applyAlignment="1" pivotButton="0" quotePrefix="0" xfId="0">
      <alignment vertical="top"/>
    </xf>
    <xf numFmtId="0" fontId="3" fillId="14" borderId="12" applyAlignment="1" pivotButton="0" quotePrefix="0" xfId="0">
      <alignment vertical="top"/>
    </xf>
    <xf numFmtId="0" fontId="3" fillId="14" borderId="13" applyAlignment="1" pivotButton="0" quotePrefix="0" xfId="0">
      <alignment vertical="top"/>
    </xf>
    <xf numFmtId="0" fontId="4" fillId="2" borderId="3" applyAlignment="1" pivotButton="0" quotePrefix="0" xfId="0">
      <alignment horizontal="center" vertical="center"/>
    </xf>
    <xf numFmtId="0" fontId="3" fillId="0" borderId="3" applyAlignment="1" pivotButton="0" quotePrefix="0" xfId="0">
      <alignment vertical="top" wrapText="1"/>
    </xf>
    <xf numFmtId="0" fontId="4" fillId="2" borderId="2" applyAlignment="1" pivotButton="0" quotePrefix="0" xfId="0">
      <alignment horizontal="center" vertical="center" wrapText="1"/>
    </xf>
    <xf numFmtId="0" fontId="3" fillId="0" borderId="2" applyAlignment="1" pivotButton="0" quotePrefix="0" xfId="0">
      <alignment horizontal="center" vertical="top" wrapText="1"/>
    </xf>
    <xf numFmtId="49" fontId="3" fillId="0" borderId="2" applyAlignment="1" pivotButton="0" quotePrefix="0" xfId="0">
      <alignment horizontal="center" vertical="top" wrapText="1"/>
    </xf>
    <xf numFmtId="0" fontId="3" fillId="10" borderId="0" applyAlignment="1" pivotButton="0" quotePrefix="0" xfId="0">
      <alignment vertical="center"/>
    </xf>
    <xf numFmtId="0" fontId="5" fillId="10" borderId="0" applyAlignment="1" pivotButton="0" quotePrefix="0" xfId="0">
      <alignment vertical="center"/>
    </xf>
    <xf numFmtId="0" fontId="7" fillId="11" borderId="0" applyAlignment="1" pivotButton="0" quotePrefix="0" xfId="0">
      <alignment vertical="center"/>
    </xf>
    <xf numFmtId="0" fontId="3" fillId="12" borderId="2" applyAlignment="1" pivotButton="0" quotePrefix="0" xfId="0">
      <alignment vertical="top" wrapText="1"/>
    </xf>
    <xf numFmtId="0" fontId="3" fillId="10" borderId="0" applyAlignment="1" pivotButton="0" quotePrefix="0" xfId="0">
      <alignment vertical="top"/>
    </xf>
    <xf numFmtId="0" fontId="7" fillId="0" borderId="0" applyAlignment="1" pivotButton="0" quotePrefix="0" xfId="0">
      <alignment vertical="top" wrapText="1"/>
    </xf>
    <xf numFmtId="0" fontId="3" fillId="0" borderId="2" applyAlignment="1" pivotButton="0" quotePrefix="0" xfId="0">
      <alignment vertical="top"/>
    </xf>
    <xf numFmtId="0" fontId="3" fillId="14" borderId="9" applyAlignment="1" pivotButton="0" quotePrefix="0" xfId="0">
      <alignment vertical="top"/>
    </xf>
    <xf numFmtId="0" fontId="3" fillId="14" borderId="14" applyAlignment="1" pivotButton="0" quotePrefix="0" xfId="0">
      <alignment vertical="top"/>
    </xf>
    <xf numFmtId="0" fontId="3" fillId="14" borderId="0" applyAlignment="1" pivotButton="0" quotePrefix="0" xfId="0">
      <alignment vertical="top"/>
    </xf>
    <xf numFmtId="0" fontId="3" fillId="14" borderId="15" applyAlignment="1" pivotButton="0" quotePrefix="0" xfId="0">
      <alignment vertical="top"/>
    </xf>
    <xf numFmtId="0" fontId="3" fillId="14" borderId="10" applyAlignment="1" pivotButton="0" quotePrefix="0" xfId="0">
      <alignment vertical="top"/>
    </xf>
    <xf numFmtId="0" fontId="3" fillId="14" borderId="16" applyAlignment="1" pivotButton="0" quotePrefix="0" xfId="0">
      <alignment vertical="top"/>
    </xf>
    <xf numFmtId="0" fontId="3" fillId="16" borderId="0" applyAlignment="1" pivotButton="0" quotePrefix="0" xfId="0">
      <alignment vertical="center"/>
    </xf>
    <xf numFmtId="0" fontId="3" fillId="0" borderId="0" applyAlignment="1" pivotButton="0" quotePrefix="0" xfId="0">
      <alignment vertical="center" wrapText="1"/>
    </xf>
    <xf numFmtId="0" fontId="3" fillId="0" borderId="3" applyAlignment="1" pivotButton="0" quotePrefix="0" xfId="0">
      <alignment vertical="top"/>
    </xf>
    <xf numFmtId="0" fontId="3" fillId="11" borderId="2" applyAlignment="1" pivotButton="0" quotePrefix="0" xfId="0">
      <alignment vertical="top"/>
    </xf>
    <xf numFmtId="0" fontId="7" fillId="11" borderId="0" applyAlignment="1" pivotButton="0" quotePrefix="0" xfId="0">
      <alignment vertical="center" wrapText="1"/>
    </xf>
    <xf numFmtId="0" fontId="3" fillId="5" borderId="0" applyAlignment="1" pivotButton="0" quotePrefix="0" xfId="0">
      <alignment vertical="center" wrapText="1"/>
    </xf>
    <xf numFmtId="0" fontId="3" fillId="10" borderId="0" applyAlignment="1" pivotButton="0" quotePrefix="0" xfId="0">
      <alignment vertical="top" wrapText="1"/>
    </xf>
    <xf numFmtId="0" fontId="7" fillId="11" borderId="0" applyAlignment="1" pivotButton="0" quotePrefix="0" xfId="0">
      <alignment vertical="top" wrapText="1"/>
    </xf>
    <xf numFmtId="0" fontId="4" fillId="13" borderId="2" applyAlignment="1" pivotButton="0" quotePrefix="0" xfId="0">
      <alignment horizontal="center" vertical="center" wrapText="1"/>
    </xf>
    <xf numFmtId="56" fontId="3" fillId="0" borderId="2" applyAlignment="1" pivotButton="0" quotePrefix="0" xfId="0">
      <alignment vertical="top" wrapText="1"/>
    </xf>
    <xf numFmtId="0" fontId="4" fillId="13" borderId="2" applyAlignment="1" pivotButton="0" quotePrefix="0" xfId="0">
      <alignment horizontal="center" vertical="center"/>
    </xf>
    <xf numFmtId="0" fontId="4" fillId="13" borderId="3" applyAlignment="1" pivotButton="0" quotePrefix="0" xfId="0">
      <alignment horizontal="center" vertical="center"/>
    </xf>
    <xf numFmtId="0" fontId="5" fillId="0" borderId="0" pivotButton="0" quotePrefix="0" xfId="0"/>
    <xf numFmtId="164" fontId="3" fillId="0" borderId="2" applyAlignment="1" pivotButton="0" quotePrefix="0" xfId="0">
      <alignment vertical="top" wrapText="1"/>
    </xf>
    <xf numFmtId="2" fontId="3" fillId="0" borderId="2" applyAlignment="1" pivotButton="0" quotePrefix="0" xfId="0">
      <alignment vertical="center"/>
    </xf>
    <xf numFmtId="0" fontId="7" fillId="15" borderId="2" applyAlignment="1" pivotButton="0" quotePrefix="0" xfId="0">
      <alignment horizontal="center" vertical="top" wrapText="1"/>
    </xf>
    <xf numFmtId="0" fontId="7" fillId="15" borderId="2" applyAlignment="1" pivotButton="0" quotePrefix="0" xfId="0">
      <alignment vertical="center"/>
    </xf>
    <xf numFmtId="0" fontId="7" fillId="15" borderId="2" applyAlignment="1" pivotButton="0" quotePrefix="0" xfId="0">
      <alignment horizontal="center" vertical="center"/>
    </xf>
    <xf numFmtId="164" fontId="7" fillId="15" borderId="2" applyAlignment="1" pivotButton="0" quotePrefix="0" xfId="0">
      <alignment vertical="center"/>
    </xf>
    <xf numFmtId="2" fontId="7" fillId="15" borderId="2" applyAlignment="1" pivotButton="0" quotePrefix="0" xfId="0">
      <alignment vertical="center"/>
    </xf>
    <xf numFmtId="2" fontId="3" fillId="0" borderId="2" applyAlignment="1" pivotButton="0" quotePrefix="0" xfId="0">
      <alignment vertical="top" wrapText="1"/>
    </xf>
    <xf numFmtId="0" fontId="7" fillId="14" borderId="2" applyAlignment="1" pivotButton="0" quotePrefix="0" xfId="0">
      <alignment horizontal="center" vertical="top" wrapText="1"/>
    </xf>
    <xf numFmtId="0" fontId="7" fillId="14" borderId="2" applyAlignment="1" pivotButton="0" quotePrefix="0" xfId="0">
      <alignment vertical="center"/>
    </xf>
    <xf numFmtId="0" fontId="7" fillId="14" borderId="2" applyAlignment="1" pivotButton="0" quotePrefix="0" xfId="0">
      <alignment horizontal="center" vertical="center"/>
    </xf>
    <xf numFmtId="164" fontId="7" fillId="14" borderId="2" applyAlignment="1" pivotButton="0" quotePrefix="0" xfId="0">
      <alignment vertical="center"/>
    </xf>
    <xf numFmtId="2" fontId="7" fillId="14" borderId="2" applyAlignment="1" pivotButton="0" quotePrefix="0" xfId="0">
      <alignment vertical="center"/>
    </xf>
    <xf numFmtId="164" fontId="3" fillId="0" borderId="2" applyAlignment="1" pivotButton="0" quotePrefix="0" xfId="0">
      <alignment vertical="center"/>
    </xf>
    <xf numFmtId="0" fontId="7" fillId="0" borderId="2" applyAlignment="1" pivotButton="0" quotePrefix="0" xfId="0">
      <alignment vertical="center"/>
    </xf>
    <xf numFmtId="164" fontId="7" fillId="0" borderId="2" applyAlignment="1" pivotButton="0" quotePrefix="0" xfId="0">
      <alignment vertical="center"/>
    </xf>
    <xf numFmtId="0" fontId="3" fillId="11" borderId="17" applyAlignment="1" pivotButton="0" quotePrefix="0" xfId="0">
      <alignment vertical="center" wrapText="1"/>
    </xf>
    <xf numFmtId="1" fontId="3" fillId="0" borderId="2" applyAlignment="1" pivotButton="0" quotePrefix="0" xfId="0">
      <alignment vertical="top" wrapText="1"/>
    </xf>
    <xf numFmtId="0" fontId="7" fillId="0" borderId="2" applyAlignment="1" pivotButton="0" quotePrefix="0" xfId="0">
      <alignment vertical="top" wrapText="1"/>
    </xf>
    <xf numFmtId="1" fontId="7" fillId="0" borderId="2" applyAlignment="1" pivotButton="0" quotePrefix="0" xfId="0">
      <alignment vertical="center"/>
    </xf>
    <xf numFmtId="49" fontId="3" fillId="0" borderId="2" applyAlignment="1" pivotButton="0" quotePrefix="0" xfId="0">
      <alignment horizontal="right" vertical="top"/>
    </xf>
    <xf numFmtId="0" fontId="3" fillId="5" borderId="2" applyAlignment="1" pivotButton="0" quotePrefix="0" xfId="0">
      <alignment vertical="top"/>
    </xf>
    <xf numFmtId="49" fontId="3" fillId="5" borderId="2" applyAlignment="1" pivotButton="0" quotePrefix="0" xfId="0">
      <alignment horizontal="right" vertical="top"/>
    </xf>
    <xf numFmtId="0" fontId="7" fillId="5" borderId="2" applyAlignment="1" pivotButton="0" quotePrefix="0" xfId="0">
      <alignment vertical="top"/>
    </xf>
    <xf numFmtId="0" fontId="7" fillId="15" borderId="2" applyAlignment="1" pivotButton="0" quotePrefix="0" xfId="0">
      <alignment vertical="top"/>
    </xf>
    <xf numFmtId="49" fontId="7" fillId="15" borderId="2" applyAlignment="1" pivotButton="0" quotePrefix="0" xfId="0">
      <alignment horizontal="right" vertical="top"/>
    </xf>
    <xf numFmtId="0" fontId="3" fillId="14" borderId="0" applyAlignment="1" pivotButton="0" quotePrefix="0" xfId="0">
      <alignment vertical="center"/>
    </xf>
    <xf numFmtId="0" fontId="3" fillId="0" borderId="2" applyAlignment="1" pivotButton="0" quotePrefix="0" xfId="0">
      <alignment horizontal="right" vertical="top"/>
    </xf>
    <xf numFmtId="0" fontId="7" fillId="15" borderId="2" applyAlignment="1" pivotButton="0" quotePrefix="0" xfId="0">
      <alignment horizontal="right" vertical="top"/>
    </xf>
    <xf numFmtId="0" fontId="7" fillId="0" borderId="2" applyAlignment="1" pivotButton="0" quotePrefix="0" xfId="0">
      <alignment vertical="top"/>
    </xf>
    <xf numFmtId="0" fontId="10" fillId="21" borderId="18" applyAlignment="1" pivotButton="0" quotePrefix="0" xfId="0">
      <alignment vertical="top" wrapText="1"/>
    </xf>
    <xf numFmtId="0" fontId="9" fillId="0" borderId="18" applyAlignment="1" pivotButton="0" quotePrefix="0" xfId="0">
      <alignment vertical="top" wrapText="1"/>
    </xf>
    <xf numFmtId="0" fontId="9" fillId="20" borderId="18" applyAlignment="1" pivotButton="0" quotePrefix="0" xfId="0">
      <alignment vertical="top" wrapText="1"/>
    </xf>
    <xf numFmtId="0" fontId="3" fillId="20" borderId="18" applyAlignment="1" pivotButton="0" quotePrefix="0" xfId="0">
      <alignment vertical="top" wrapText="1"/>
    </xf>
    <xf numFmtId="0" fontId="10" fillId="19" borderId="18" applyAlignment="1" pivotButton="0" quotePrefix="0" xfId="0">
      <alignment vertical="top" wrapText="1"/>
    </xf>
    <xf numFmtId="0" fontId="10" fillId="21" borderId="28" applyAlignment="1" pivotButton="0" quotePrefix="0" xfId="0">
      <alignment vertical="top" wrapText="1"/>
    </xf>
    <xf numFmtId="0" fontId="9" fillId="0" borderId="28" applyAlignment="1" pivotButton="0" quotePrefix="0" xfId="0">
      <alignment vertical="top" wrapText="1"/>
    </xf>
    <xf numFmtId="0" fontId="11" fillId="0" borderId="28" applyAlignment="1" pivotButton="0" quotePrefix="0" xfId="0">
      <alignment vertical="top" wrapText="1"/>
    </xf>
    <xf numFmtId="0" fontId="9" fillId="20" borderId="28" applyAlignment="1" pivotButton="0" quotePrefix="0" xfId="0">
      <alignment vertical="top" wrapText="1"/>
    </xf>
    <xf numFmtId="0" fontId="8" fillId="17" borderId="0" applyAlignment="1" pivotButton="0" quotePrefix="0" xfId="0">
      <alignment vertical="center"/>
    </xf>
    <xf numFmtId="0" fontId="3" fillId="0" borderId="0" pivotButton="0" quotePrefix="0" xfId="0"/>
    <xf numFmtId="0" fontId="9" fillId="0" borderId="0" applyAlignment="1" pivotButton="0" quotePrefix="0" xfId="0">
      <alignment vertical="top" wrapText="1"/>
    </xf>
    <xf numFmtId="0" fontId="9" fillId="0" borderId="18" applyAlignment="1" pivotButton="0" quotePrefix="0" xfId="0">
      <alignment vertical="top" wrapText="1"/>
    </xf>
    <xf numFmtId="0" fontId="3" fillId="0" borderId="21" pivotButton="0" quotePrefix="0" xfId="0"/>
    <xf numFmtId="0" fontId="3" fillId="0" borderId="22" pivotButton="0" quotePrefix="0" xfId="0"/>
    <xf numFmtId="0" fontId="12" fillId="18" borderId="0" pivotButton="0" quotePrefix="0" xfId="0"/>
    <xf numFmtId="0" fontId="9" fillId="20" borderId="18" applyAlignment="1" pivotButton="0" quotePrefix="0" xfId="0">
      <alignment vertical="top" wrapText="1"/>
    </xf>
    <xf numFmtId="0" fontId="3" fillId="0" borderId="19" pivotButton="0" quotePrefix="0" xfId="0"/>
    <xf numFmtId="0" fontId="3" fillId="0" borderId="20" pivotButton="0" quotePrefix="0" xfId="0"/>
    <xf numFmtId="0" fontId="3" fillId="0" borderId="23" pivotButton="0" quotePrefix="0" xfId="0"/>
    <xf numFmtId="0" fontId="3" fillId="0" borderId="24" pivotButton="0" quotePrefix="0" xfId="0"/>
    <xf numFmtId="0" fontId="3" fillId="0" borderId="25" pivotButton="0" quotePrefix="0" xfId="0"/>
    <xf numFmtId="0" fontId="3" fillId="0" borderId="26" pivotButton="0" quotePrefix="0" xfId="0"/>
    <xf numFmtId="0" fontId="3" fillId="0" borderId="27" pivotButton="0" quotePrefix="0" xfId="0"/>
    <xf numFmtId="0" fontId="0" fillId="0" borderId="0" pivotButton="0" quotePrefix="0" xfId="0"/>
    <xf numFmtId="164" fontId="3" fillId="0" borderId="2" applyAlignment="1" pivotButton="0" quotePrefix="0" xfId="0">
      <alignment vertical="top" wrapText="1"/>
    </xf>
    <xf numFmtId="164" fontId="7" fillId="15" borderId="2" applyAlignment="1" pivotButton="0" quotePrefix="0" xfId="0">
      <alignment vertical="center"/>
    </xf>
    <xf numFmtId="164" fontId="7" fillId="14" borderId="2" applyAlignment="1" pivotButton="0" quotePrefix="0" xfId="0">
      <alignment vertical="center"/>
    </xf>
    <xf numFmtId="164" fontId="3" fillId="0" borderId="2" applyAlignment="1" pivotButton="0" quotePrefix="0" xfId="0">
      <alignment vertical="center"/>
    </xf>
    <xf numFmtId="164" fontId="7" fillId="0" borderId="2" applyAlignment="1" pivotButton="0" quotePrefix="0" xfId="0">
      <alignment vertical="center"/>
    </xf>
    <xf numFmtId="0" fontId="13" fillId="22" borderId="0" applyAlignment="1" pivotButton="0" quotePrefix="0" xfId="0">
      <alignment vertical="center"/>
    </xf>
    <xf numFmtId="0" fontId="16" fillId="0" borderId="0" applyAlignment="1" pivotButton="0" quotePrefix="0" xfId="0">
      <alignment vertical="top" wrapText="1"/>
    </xf>
    <xf numFmtId="0" fontId="15" fillId="26" borderId="29" applyAlignment="1" pivotButton="0" quotePrefix="0" xfId="0">
      <alignment vertical="top" wrapText="1"/>
    </xf>
    <xf numFmtId="0" fontId="16" fillId="0" borderId="29" applyAlignment="1" pivotButton="0" quotePrefix="0" xfId="0">
      <alignment vertical="top" wrapText="1"/>
    </xf>
    <xf numFmtId="0" fontId="17" fillId="0" borderId="29" applyAlignment="1" pivotButton="0" quotePrefix="0" xfId="0">
      <alignment vertical="top" wrapText="1"/>
    </xf>
    <xf numFmtId="0" fontId="16" fillId="25" borderId="29" applyAlignment="1" pivotButton="0" quotePrefix="0" xfId="0">
      <alignment vertical="top" wrapText="1"/>
    </xf>
    <xf numFmtId="0" fontId="14" fillId="23" borderId="0" pivotButton="0" quotePrefix="0" xfId="0"/>
    <xf numFmtId="0" fontId="0" fillId="25" borderId="29" applyAlignment="1" pivotButton="0" quotePrefix="0" xfId="0">
      <alignment vertical="top" wrapText="1"/>
    </xf>
    <xf numFmtId="0" fontId="15" fillId="24" borderId="29" applyAlignment="1" pivotButton="0" quotePrefix="0" xfId="0">
      <alignment vertical="top" wrapText="1"/>
    </xf>
    <xf numFmtId="0" fontId="0" fillId="0" borderId="29"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46"/>
  <sheetViews>
    <sheetView topLeftCell="A29" workbookViewId="0">
      <selection activeCell="B31" sqref="B31"/>
    </sheetView>
  </sheetViews>
  <sheetFormatPr baseColWidth="10" defaultRowHeight="18"/>
  <cols>
    <col width="30" customWidth="1" style="120" min="1" max="1"/>
    <col width="61.42578125" customWidth="1" style="120" min="2" max="2"/>
    <col width="30" customWidth="1" style="120" min="3" max="3"/>
    <col width="15.7109375" customWidth="1" style="120" min="4" max="4"/>
    <col width="10.7109375" customWidth="1" style="2" min="5" max="16384"/>
  </cols>
  <sheetData>
    <row r="1" ht="27" customHeight="1" s="134">
      <c r="A1" s="1" t="inlineStr">
        <is>
          <t>認証実装確認処理 基本設計</t>
        </is>
      </c>
    </row>
    <row r="2">
      <c r="A2" s="2" t="inlineStr">
        <is>
          <t>API プラットフォーム／認証外形監視（Pattern β 中央集約）</t>
        </is>
      </c>
    </row>
    <row r="4">
      <c r="A4" s="7" t="inlineStr">
        <is>
          <t>1. 文書情報</t>
        </is>
      </c>
    </row>
    <row r="5">
      <c r="A5" s="4" t="inlineStr">
        <is>
          <t>項目</t>
        </is>
      </c>
      <c r="B5" s="4" t="inlineStr">
        <is>
          <t>内容</t>
        </is>
      </c>
      <c r="C5" s="4" t="n"/>
    </row>
    <row r="6" ht="21" customHeight="1" s="134">
      <c r="A6" s="5" t="inlineStr">
        <is>
          <t>文書名</t>
        </is>
      </c>
      <c r="B6" s="5" t="inlineStr">
        <is>
          <t>認証実装確認処理 基本設計</t>
        </is>
      </c>
      <c r="C6" s="5" t="inlineStr">
        <is>
          <t>—</t>
        </is>
      </c>
    </row>
    <row r="7" ht="21" customHeight="1" s="134">
      <c r="A7" s="5" t="inlineStr">
        <is>
          <t>機構名</t>
        </is>
      </c>
      <c r="B7" s="5" t="inlineStr">
        <is>
          <t>認証実装確認処理（ADR-059 での名称は Central Auth Check Canary）</t>
        </is>
      </c>
      <c r="C7" s="5" t="n"/>
    </row>
    <row r="8" ht="42" customHeight="1" s="134">
      <c r="A8" s="5" t="inlineStr">
        <is>
          <t>定めること</t>
        </is>
      </c>
      <c r="B8" s="5" t="inlineStr">
        <is>
          <t>アプリチームに認証を実装させたうえで、その実装漏れを中央で継続検知する仕組みの基本設計</t>
        </is>
      </c>
      <c r="C8" s="5" t="n"/>
    </row>
    <row r="9" ht="21" customHeight="1" s="134">
      <c r="A9" s="5" t="inlineStr">
        <is>
          <t>採用方式</t>
        </is>
      </c>
      <c r="B9" s="5" t="inlineStr">
        <is>
          <t>Pattern β（中央集約）／pull 型中央巡回 × 認証構成情報（S3）の VersionId 比較 単独</t>
        </is>
      </c>
      <c r="C9" s="5" t="n"/>
    </row>
    <row r="10" ht="21" customHeight="1" s="134">
      <c r="A10" s="5" t="inlineStr">
        <is>
          <t>版</t>
        </is>
      </c>
      <c r="B10" s="8" t="inlineStr">
        <is>
          <t>0.9</t>
        </is>
      </c>
      <c r="C10" s="5" t="inlineStr">
        <is>
          <t>—</t>
        </is>
      </c>
    </row>
    <row r="11" ht="21" customHeight="1" s="134">
      <c r="A11" s="5" t="inlineStr">
        <is>
          <t>作成日</t>
        </is>
      </c>
      <c r="B11" s="8" t="inlineStr">
        <is>
          <t>2026-08-14</t>
        </is>
      </c>
      <c r="C11" s="5" t="inlineStr">
        <is>
          <t>—</t>
        </is>
      </c>
    </row>
    <row r="12" ht="21" customHeight="1" s="134">
      <c r="A12" s="5" t="inlineStr">
        <is>
          <t>作成者</t>
        </is>
      </c>
      <c r="B12" s="5" t="n"/>
      <c r="C12" s="5" t="inlineStr">
        <is>
          <t>—</t>
        </is>
      </c>
    </row>
    <row r="13" ht="21" customHeight="1" s="134">
      <c r="A13" s="5" t="inlineStr">
        <is>
          <t>承認者</t>
        </is>
      </c>
      <c r="B13" s="5" t="n"/>
      <c r="C13" s="5" t="inlineStr">
        <is>
          <t>—</t>
        </is>
      </c>
    </row>
    <row r="14">
      <c r="A14" s="5" t="n"/>
      <c r="B14" s="5" t="n"/>
      <c r="C14" s="5" t="n"/>
    </row>
    <row r="15" ht="63" customHeight="1" s="134">
      <c r="A15" s="5" t="inlineStr">
        <is>
          <t>記載方針</t>
        </is>
      </c>
      <c r="B15" s="5" t="inlineStr">
        <is>
          <t>現行仕様のみを断定形で記述する。設計に至った経緯は本文に書かず ADR-061 / ADR-059 を参照する。参照元資料のタイトル・所在は「13_出典一覧」シートにまとめる。</t>
        </is>
      </c>
      <c r="C15" s="5" t="inlineStr">
        <is>
          <t>—</t>
        </is>
      </c>
    </row>
    <row r="22">
      <c r="D22" s="5" t="n"/>
    </row>
    <row r="23">
      <c r="D23" s="5" t="n"/>
    </row>
    <row r="24">
      <c r="D24" s="5" t="n"/>
    </row>
    <row r="25">
      <c r="D25" s="5" t="n"/>
    </row>
    <row r="26">
      <c r="D26" s="5" t="n"/>
    </row>
    <row r="27">
      <c r="D27" s="5" t="n"/>
    </row>
    <row r="28">
      <c r="D28" s="5" t="n"/>
    </row>
    <row r="29">
      <c r="D29" s="5" t="n"/>
    </row>
    <row r="30">
      <c r="D30" s="5" t="n"/>
    </row>
    <row r="31">
      <c r="D31" s="5" t="n"/>
    </row>
    <row r="34" ht="21" customHeight="1" s="134">
      <c r="A34" s="9" t="inlineStr">
        <is>
          <t>3. 改訂履歴</t>
        </is>
      </c>
    </row>
    <row r="35">
      <c r="A35" s="4" t="inlineStr">
        <is>
          <t>版</t>
        </is>
      </c>
      <c r="B35" s="4" t="inlineStr">
        <is>
          <t>日付</t>
        </is>
      </c>
      <c r="C35" s="4" t="inlineStr">
        <is>
          <t>変更内容</t>
        </is>
      </c>
      <c r="D35" s="4" t="inlineStr">
        <is>
          <t>担当</t>
        </is>
      </c>
    </row>
    <row r="36" ht="21" customHeight="1" s="134">
      <c r="A36" s="8" t="inlineStr">
        <is>
          <t>0.1</t>
        </is>
      </c>
      <c r="B36" s="8" t="inlineStr">
        <is>
          <t>2026-08-14</t>
        </is>
      </c>
      <c r="C36" s="5" t="inlineStr">
        <is>
          <t>初版</t>
        </is>
      </c>
      <c r="D36" s="5" t="n"/>
    </row>
    <row r="37" ht="189" customHeight="1" s="134">
      <c r="A37" s="8" t="inlineStr">
        <is>
          <t>0.2</t>
        </is>
      </c>
      <c r="B37" s="8" t="inlineStr">
        <is>
          <t>2026-08-18</t>
        </is>
      </c>
      <c r="C37" s="8" t="inlineStr">
        <is>
          <t>レビュー指摘を反映（定めることの重複解消、D-M-14-4「検査 用 VPC」への修正、D-M-14-5 の判断追記、ListAccounts の未決制約注記、真偽値表記の統一、Runtime 表の 3 Lambda 化 ほか）。詳細通信フロー（W / P / N）、用語「STS / AssumeRole」、図14 発報フロー（2 系統）を追加</t>
        </is>
      </c>
      <c r="D37" s="8" t="n"/>
    </row>
    <row r="38" ht="189" customHeight="1" s="134">
      <c r="A38" s="8" t="inlineStr">
        <is>
          <t>0.3</t>
        </is>
      </c>
      <c r="B38" s="8" t="inlineStr">
        <is>
          <t>2026-08-18</t>
        </is>
      </c>
      <c r="C38" s="8" t="inlineStr">
        <is>
          <t>未決に M-Q-11-5（検査 識別ヘッダの WAF 許可）を追加。M-Q-18-5 を解決済みへ。運用設計（メタ監視 MM-1〜5 / エラー処理・冪等性 / スケール上限と 分割起動）、全量検査（モード2）の 分割起動 実行方式、WAF 干渉と誤判定の防止、D-M-18-8・D-M-18-9 を追加</t>
        </is>
      </c>
      <c r="D38" s="8" t="n"/>
    </row>
    <row r="39" ht="84" customHeight="1" s="134">
      <c r="A39" s="10" t="inlineStr">
        <is>
          <t>0.4</t>
        </is>
      </c>
      <c r="B39" s="8" t="inlineStr">
        <is>
          <t>2026-08-19</t>
        </is>
      </c>
      <c r="C39" s="8" t="inlineStr">
        <is>
          <t>「14_WBS_Phase3-4」シートを追加（Phase 3 実装〜リリースの残作業 WBS・工数見積 32 タスク、集計・リスク・スコープ外）</t>
        </is>
      </c>
      <c r="D39" s="8" t="n"/>
    </row>
    <row r="40" ht="84" customHeight="1" s="134">
      <c r="A40" s="8" t="inlineStr">
        <is>
          <t>0.5</t>
        </is>
      </c>
      <c r="B40" s="8" t="inlineStr">
        <is>
          <t>2026-08-19</t>
        </is>
      </c>
      <c r="C40" s="8" t="inlineStr">
        <is>
          <t>「14_WBS」を追加（明細 75 行・オートフィルタ・区分の入力規則）。集計はピボットで行うため小計行と集計シートは持たない</t>
        </is>
      </c>
      <c r="D40" s="8" t="n"/>
    </row>
    <row r="41" ht="126" customHeight="1" s="134">
      <c r="A41" s="8" t="inlineStr">
        <is>
          <t>0.6</t>
        </is>
      </c>
      <c r="B41" s="8" t="inlineStr">
        <is>
          <t>2026-08-19</t>
        </is>
      </c>
      <c r="C41" s="8" t="inlineStr">
        <is>
          <t>「14_WBS」を v3 に全面改訂（明細 125 行: W1 6 / W2-A 25 / W2-B 10 / W2-C 65 / W3 9 / W4〜W7 10。設計・実装・単体テストを ID 規約 -d/-i/-t で分離）。「15_WBS集計」を追加</t>
        </is>
      </c>
      <c r="D41" s="8" t="n"/>
    </row>
    <row r="42" ht="147" customHeight="1" s="134">
      <c r="A42" s="8" t="inlineStr">
        <is>
          <t>0.7</t>
        </is>
      </c>
      <c r="B42" s="8" t="inlineStr">
        <is>
          <t>2026-08-19</t>
        </is>
      </c>
      <c r="C42" s="8" t="inlineStr">
        <is>
          <t>WBS 内容列に用語補足を追記（15 行）・区分「改修」の定義を明記（15_WBS集計 前提 5）・W1 外部調整の記述を自立説明化（タスク名を平易化、内容を【これは何か】【なぜ調整が必要か】【やること】の 3 部構成に）</t>
        </is>
      </c>
      <c r="D42" s="8" t="n"/>
    </row>
    <row r="43" ht="168" customHeight="1" s="134">
      <c r="A43" s="8" t="inlineStr">
        <is>
          <t>0.8</t>
        </is>
      </c>
      <c r="B43" s="8" t="inlineStr">
        <is>
          <t>2026-08-19</t>
        </is>
      </c>
      <c r="C43" s="8" t="inlineStr">
        <is>
          <t>WBS v4 差分を反映: 手動変更検知（deploymentId 併読）の C12-d/i/t を新設（3 行・+9 人時）、W1-6 を「無ければ実装必須」に格上げ、S0-d を権限 6 アクション化、W5-1・W4-1 に「変更は必ず git 経由」原則を明記。明細 128 行・総合計 486.5 人時</t>
        </is>
      </c>
      <c r="D43" s="8" t="n"/>
    </row>
    <row r="44" ht="168" customHeight="1" s="134">
      <c r="A44" s="8" t="inlineStr">
        <is>
          <t>0.9</t>
        </is>
      </c>
      <c r="B44" s="8" t="inlineStr">
        <is>
          <t>2026-09-11</t>
        </is>
      </c>
      <c r="C44" s="8" t="inlineStr">
        <is>
          <t>md 改訂 4 件を反映: ① S3 認証構成情報方式（ADR-061 追記 2026-08-21。CodeCommit 巡回 → 認証構成情報の VersionId 比較、deploymentId 併読は廃止）② 実行モードを 2 つに統合（18 章。heartbeat 型＝旧 M2 は廃止）③ Lambda 3 本の日本語呼称（対象検索 / 認証実装チェック / アラート検知）④ 用語改定（監視資材 → 認証構成情報 / 資材バケット → 認証構成情報連携バケット / Monitoring Registry → 認証構成情報配置バケット）。あわせて 13_出典一覧の参照コミット・blob SHA を更新、15_WBS集計を v7（487 人時 / 126 行）に、16 の RC-13 を認証構成情報連携バケットへ差し替え（合計 $11〜13）。</t>
        </is>
      </c>
      <c r="D44" s="8" t="n"/>
    </row>
    <row r="45" ht="168" customHeight="1" s="134">
      <c r="A45" s="8" t="inlineStr">
        <is>
          <t>0.9</t>
        </is>
      </c>
      <c r="B45" s="8" t="inlineStr">
        <is>
          <t>2026-09-11</t>
        </is>
      </c>
      <c r="C45" s="8" t="inlineStr">
        <is>
          <t>処理設計セクション（シート 18〜52）を統合。基本設計シート 01〜17 に変更なし（全セル照合済み）。シート 18 以降は tools/add_process_sheets_to_apipf.py の生成物のため直接編集しない</t>
        </is>
      </c>
      <c r="D45" s="8" t="n"/>
    </row>
    <row r="46">
      <c r="A46" s="2" t="inlineStr">
        <is>
          <t>・図は本書内に挿入位置（【図 N 挿入位置】の枠）を用意し、作図は別途行う。挿入すべき図の一覧は「02_全体概要」シート末尾を参照。</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70"/>
  <sheetViews>
    <sheetView topLeftCell="A19" zoomScale="103" workbookViewId="0">
      <selection activeCell="B26" sqref="B26"/>
    </sheetView>
  </sheetViews>
  <sheetFormatPr baseColWidth="10" defaultRowHeight="18"/>
  <cols>
    <col width="27.140625" customWidth="1" style="120" min="1" max="1"/>
    <col width="101" customWidth="1" style="120" min="2" max="2"/>
    <col width="8.5703125" customWidth="1" style="120" min="3" max="3"/>
    <col width="24.28515625" customWidth="1" style="120" min="4" max="5"/>
    <col width="10.7109375" customWidth="1" style="2" min="6" max="16384"/>
  </cols>
  <sheetData>
    <row r="1" ht="27" customHeight="1" s="134">
      <c r="A1" s="1" t="inlineStr">
        <is>
          <t>全体概要（目的 / 方式サマリ / 用語）</t>
        </is>
      </c>
    </row>
    <row r="3">
      <c r="A3" s="7" t="inlineStr">
        <is>
          <t>1. 目的</t>
        </is>
      </c>
    </row>
    <row r="4">
      <c r="A4" s="4" t="inlineStr">
        <is>
          <t>観点</t>
        </is>
      </c>
      <c r="B4" s="4" t="inlineStr">
        <is>
          <t>内容</t>
        </is>
      </c>
    </row>
    <row r="5" ht="42" customHeight="1" s="134">
      <c r="A5" s="5" t="inlineStr">
        <is>
          <t>この設計書群で定めること</t>
        </is>
      </c>
      <c r="B5" s="5" t="inlineStr">
        <is>
          <t>アプリチームが実装する認証の実装漏れを中央で継続検知する仕組み（＝認証実装確認処理）の基本設計。
ガイドラインが「アプリチームが守るルール」を定めるのに対し、本書は共通基盤チームが運用する中央機構の設計を定める。</t>
        </is>
      </c>
    </row>
    <row r="6" ht="42" customHeight="1" s="134">
      <c r="A6" s="5" t="inlineStr">
        <is>
          <t>なぜ外形監視が要るか</t>
        </is>
      </c>
      <c r="B6" s="5" t="inlineStr">
        <is>
          <t>静的解析や Config Rules は設定・コードの検査であり、実際に稼働中の API が未認証リクエストを弾いているかは保証できない。
実トラフィックで確認する外形監視が最後の砦になる。</t>
        </is>
      </c>
    </row>
    <row r="7" ht="21" customHeight="1" s="134">
      <c r="A7" s="5" t="inlineStr">
        <is>
          <t>存在意義</t>
        </is>
      </c>
      <c r="B7" s="5" t="inlineStr">
        <is>
          <t>静的解析をすり抜けた認証漏れを、稼働後に 検査 → 分類 → 通知 → 是正で捕捉する。</t>
        </is>
      </c>
    </row>
    <row r="10" ht="21" customHeight="1" s="134">
      <c r="A10" s="9" t="inlineStr">
        <is>
          <t>2. スコープ</t>
        </is>
      </c>
    </row>
    <row r="11">
      <c r="A11" s="4" t="inlineStr">
        <is>
          <t>対象</t>
        </is>
      </c>
      <c r="B11" s="4" t="inlineStr">
        <is>
          <t>本設計書で扱う</t>
        </is>
      </c>
    </row>
    <row r="12" ht="42" customHeight="1" s="134">
      <c r="A12" s="5" t="inlineStr">
        <is>
          <t>認証実装チェック（Lambda / 検査ロジック probe lib）</t>
        </is>
      </c>
      <c r="B12" s="5" t="inlineStr">
        <is>
          <t>扱う</t>
        </is>
      </c>
    </row>
    <row r="13" ht="21" customHeight="1" s="134">
      <c r="A13" s="5" t="inlineStr">
        <is>
          <t>App Registry（S3 台帳）</t>
        </is>
      </c>
      <c r="B13" s="5" t="inlineStr">
        <is>
          <t>扱う</t>
        </is>
      </c>
    </row>
    <row r="14" ht="42" customHeight="1" s="134">
      <c r="A14" s="5" t="inlineStr">
        <is>
          <t>OpenAPI Registry（S3・台帳と同一バケット）</t>
        </is>
      </c>
      <c r="B14" s="5" t="inlineStr">
        <is>
          <t>扱う</t>
        </is>
      </c>
    </row>
    <row r="15" ht="21" customHeight="1" s="134">
      <c r="A15" s="5" t="inlineStr">
        <is>
          <t>アラート検知 Lambda（4×4 → SNS）</t>
        </is>
      </c>
      <c r="B15" s="5" t="inlineStr">
        <is>
          <t>扱う</t>
        </is>
      </c>
    </row>
    <row r="16" ht="21" customHeight="1" s="134">
      <c r="A16" s="5" t="inlineStr">
        <is>
          <t>クロスアカウント IAM / 配布</t>
        </is>
      </c>
      <c r="B16" s="5" t="inlineStr">
        <is>
          <t>扱う</t>
        </is>
      </c>
    </row>
    <row r="17" ht="21" customHeight="1" s="134">
      <c r="A17" s="5" t="inlineStr">
        <is>
          <t>静的解析 / Config Rules</t>
        </is>
      </c>
      <c r="B17" s="5" t="inlineStr">
        <is>
          <t>扱わない</t>
        </is>
      </c>
    </row>
    <row r="20" ht="21" customHeight="1" s="134">
      <c r="A20" s="9" t="inlineStr">
        <is>
          <t>3. 方式サマリ（現行仕様）</t>
        </is>
      </c>
    </row>
    <row r="21">
      <c r="A21" s="4" t="inlineStr">
        <is>
          <t>項目</t>
        </is>
      </c>
      <c r="B21" s="4" t="inlineStr">
        <is>
          <t>現行仕様</t>
        </is>
      </c>
    </row>
    <row r="22" ht="21" customHeight="1" s="134">
      <c r="A22" s="5" t="inlineStr">
        <is>
          <t>監視方式</t>
        </is>
      </c>
      <c r="B22" s="5" t="inlineStr">
        <is>
          <t>検査を各アプリに配らず、共通基盤アカウントの認証実装確認処理（Lambda）が全アプリを横断監視する。</t>
        </is>
      </c>
    </row>
    <row r="23" ht="42" customHeight="1" s="134">
      <c r="A23" s="5" t="inlineStr">
        <is>
          <t>変更検知</t>
        </is>
      </c>
      <c r="B23" s="5" t="inlineStr">
        <is>
          <t>pull 型中央巡回 × 認証構成情報（S3）の VersionId 比較 単独。各 App アカウントの認証構成情報連携バケットをデプロイパイプライン最終段が更新し、中央はそれだけを読む（認証構成情報オンリー原則）。アプリ側に登録処理・登録イベントはない。</t>
        </is>
      </c>
    </row>
    <row r="24" ht="21" customHeight="1" s="134">
      <c r="A24" s="5" t="inlineStr">
        <is>
          <t>巡回頻度</t>
        </is>
      </c>
      <c r="B24" s="5" t="inlineStr">
        <is>
          <t>1 時間毎（EventBridge Scheduler が対象検索 Lambda を起動）。検知遅延は最大 1 時間。</t>
        </is>
      </c>
    </row>
    <row r="25" ht="42" customHeight="1" s="134">
      <c r="A25" s="5" t="inlineStr">
        <is>
          <t>実行モード</t>
        </is>
      </c>
      <c r="B25" s="5" t="inlineStr">
        <is>
          <t>自動差分検査（モード1）（自動・変更のあったアプリの全 endpoint）+ 全量検査（モード2）（日次定期＋随時手動・全アプリ全 endpoint）の 2 つ。heartbeat 型検査（旧 M2）は廃止（2026-08-20）。</t>
        </is>
      </c>
    </row>
    <row r="26" ht="21" customHeight="1" s="134">
      <c r="A26" s="5" t="inlineStr">
        <is>
          <t>Lambda 構成</t>
        </is>
      </c>
      <c r="B26" s="5" t="inlineStr">
        <is>
          <t>3 本（対象検索 Lambda / 認証実装チェック Lambda / アラート検知 Lambda）。すべて VPC 外に配置（NW-2 の明示的例外。承認は M-Q-10-3）。</t>
        </is>
      </c>
    </row>
    <row r="27" ht="42" customHeight="1" s="134">
      <c r="A27" s="5" t="inlineStr">
        <is>
          <t>ストア</t>
        </is>
      </c>
      <c r="B27" s="5" t="inlineStr">
        <is>
          <t>S3 ×1 バケット（認証構成情報配置バケット）。registry/ = 台帳＋巡回スナップショット、openapi/ = spec コピー。DynamoDB は不使用。</t>
        </is>
      </c>
    </row>
    <row r="28" ht="21" customHeight="1" s="134">
      <c r="A28" s="5" t="inlineStr">
        <is>
          <t>検査方式</t>
        </is>
      </c>
      <c r="B28" s="5" t="inlineStr">
        <is>
          <t>Negative（未認証検査）+ Positive（正規検査）の Hybrid 検証。結果を 4×4 真偽値表で分類する。</t>
        </is>
      </c>
    </row>
    <row r="29" ht="21" customHeight="1" s="134">
      <c r="A29" s="5" t="inlineStr">
        <is>
          <t>検査 範囲</t>
        </is>
      </c>
      <c r="B29" s="5" t="inlineStr">
        <is>
          <t>アプリ単位の全 endpoint（endpoint 単位に絞らない）。</t>
        </is>
      </c>
    </row>
    <row r="30" ht="21" customHeight="1" s="134">
      <c r="A30" s="5" t="inlineStr">
        <is>
          <t>検査 経路</t>
        </is>
      </c>
      <c r="B30" s="5" t="inlineStr">
        <is>
          <t>実ユーザーと同じ経路（インバウンド境界の CloudFront + WAF → Origin Protection → API GW / ALB）。</t>
        </is>
      </c>
    </row>
    <row r="31" ht="21" customHeight="1" s="134">
      <c r="A31" s="5" t="inlineStr">
        <is>
          <t>通知</t>
        </is>
      </c>
      <c r="B31" s="5" t="inlineStr">
        <is>
          <t>4×4 分類の severity / priority に従い P1 Security 即時 / P2 Platform 24h / P3 App team の SNS へ振り分ける。</t>
        </is>
      </c>
    </row>
    <row r="32" ht="21" customHeight="1" s="134">
      <c r="A32" s="5" t="inlineStr">
        <is>
          <t>アラーム</t>
        </is>
      </c>
      <c r="B32" s="5" t="inlineStr">
        <is>
          <t>CloudWatch metric AuthCheckCritical &gt; 0。</t>
        </is>
      </c>
    </row>
    <row r="33" ht="21" customHeight="1" s="134">
      <c r="A33" s="5" t="inlineStr">
        <is>
          <t>モノリス</t>
        </is>
      </c>
      <c r="B33" s="5" t="inlineStr">
        <is>
          <t>認証構成情報のアップロードは構成を問わないため、ALB 直モノリスも同じ仕組みで自動発見される（openapi.yaml が無い場合は endpoint リストを monitoring.yaml に列挙）。Cookie セッションは 302 を認証拒否とみなして監視対象化する。</t>
        </is>
      </c>
    </row>
    <row r="34" ht="21" customHeight="1" s="134">
      <c r="A34" s="5" t="inlineStr">
        <is>
          <t>アプリチームの作業</t>
        </is>
      </c>
      <c r="B34" s="5" t="inlineStr">
        <is>
          <t>3 点のみ（Service Catalog 製品の launch / デプロイ成功後に認証構成情報を認証構成情報連携バケットへアップロード / OpenAPI に公開印 MON-1 を付ける）。</t>
        </is>
      </c>
    </row>
    <row r="35" ht="42" customHeight="1" s="134">
      <c r="A35" s="5" t="inlineStr">
        <is>
          <t>アカウント構成</t>
        </is>
      </c>
      <c r="B35" s="5" t="inlineStr">
        <is>
          <t>共通基盤アカウント（中央・自社管理）／インバウンド境界＝ネットワーク監査アカウント（他組織管理の可能性）／各 App アカウント／認証基盤（Broker アカウント）／アウトバウンド境界アカウント（他組織管理）。</t>
        </is>
      </c>
    </row>
    <row r="38" ht="42" customHeight="1" s="134">
      <c r="A38" s="9" t="inlineStr">
        <is>
          <t>4. 用語（英語のまま使う語の意味）</t>
        </is>
      </c>
    </row>
    <row r="39">
      <c r="A39" s="4" t="inlineStr">
        <is>
          <t>用語</t>
        </is>
      </c>
      <c r="B39" s="4" t="inlineStr">
        <is>
          <t>意味</t>
        </is>
      </c>
    </row>
    <row r="40" ht="21" customHeight="1" s="134">
      <c r="A40" s="5" t="inlineStr">
        <is>
          <t>認証実装確認処理</t>
        </is>
      </c>
      <c r="B40" s="5" t="inlineStr">
        <is>
          <t>本機構の名称。アプリの認証実装漏れを中央で継続検知する仕組み。ADR-059 での名称は Central Auth Check Canary。</t>
        </is>
      </c>
    </row>
    <row r="41" ht="42" customHeight="1" s="134">
      <c r="A41" s="5" t="inlineStr">
        <is>
          <t>対象検索 Lambda</t>
        </is>
      </c>
      <c r="B41" s="5" t="inlineStr">
        <is>
          <t>変更検知と登録の実行体（pull）。各 App アカウントの認証構成情報連携バケットを 1 時間毎に読み取り巡回し、VersionId 比較・新規発見・台帳登録・spec 取得を行い、変更のあったアプリの検査を起動する。</t>
        </is>
      </c>
    </row>
    <row r="42" ht="21" customHeight="1" s="134">
      <c r="A42" s="5" t="inlineStr">
        <is>
          <t>認証実装チェック Lambda</t>
        </is>
      </c>
      <c r="B42" s="5" t="inlineStr">
        <is>
          <t>検査の実行体。台帳と仕様を読み、各 endpoint に未認証／正規の 2 種リクエストを送って認証の効き具合を確かめる。</t>
        </is>
      </c>
    </row>
    <row r="43" ht="42" customHeight="1" s="134">
      <c r="A43" s="5" t="inlineStr">
        <is>
          <t>検査（probe）</t>
        </is>
      </c>
      <c r="B43" s="5" t="inlineStr">
        <is>
          <t>原義は「探針」。本設計では「実際に HTTP リクエストを送り、応答で認証の効き具合を確かめる検査」を指す。設定を読むのではなく、実物に触って確かめるのが特徴。</t>
        </is>
      </c>
    </row>
    <row r="44" ht="21" customHeight="1" s="134">
      <c r="A44" s="5" t="inlineStr">
        <is>
          <t>未認証検査（Negative probe）</t>
        </is>
      </c>
      <c r="B44" s="5" t="inlineStr">
        <is>
          <t>認証情報なしでリクエスト → 401/403（Cookie 系は 302）が返れば正常。2xx が返れば認証漏れ。</t>
        </is>
      </c>
    </row>
    <row r="45" ht="21" customHeight="1" s="134">
      <c r="A45" s="5" t="inlineStr">
        <is>
          <t>正規検査（Positive probe）</t>
        </is>
      </c>
      <c r="B45" s="5" t="inlineStr">
        <is>
          <t>有効なトークン付きでリクエスト → 200 が返れば API 稼働とテスト健全性を確認。Negative との組合せで誤検知を防ぐ。</t>
        </is>
      </c>
    </row>
    <row r="46" ht="21" customHeight="1" s="134">
      <c r="A46" s="5" t="inlineStr">
        <is>
          <t>検査ロジック（probe lib）</t>
        </is>
      </c>
      <c r="B46" s="5" t="inlineStr">
        <is>
          <t>上記の検査を実装した共通ライブラリ。認証実装チェック Lambda が実行する。</t>
        </is>
      </c>
    </row>
    <row r="47" ht="21" customHeight="1" s="134">
      <c r="A47" s="5" t="inlineStr">
        <is>
          <t>Pattern β</t>
        </is>
      </c>
      <c r="B47" s="5" t="inlineStr">
        <is>
          <t>検査を各アプリに配らず中央 1 箇所から横断実行する方式。</t>
        </is>
      </c>
    </row>
    <row r="48" ht="42" customHeight="1" s="134">
      <c r="A48" s="5" t="inlineStr">
        <is>
          <t>自動差分検査（モード1） / 全量検査（モード2）</t>
        </is>
      </c>
      <c r="B48" s="5" t="inlineStr">
        <is>
          <t>実行モード（2 つだけ）。自動差分検査（モード1、旧称 M1） = 1 時間毎の巡回で変化アプリのみ自動検査／全量検査（モード2、旧称 M3「手動全量検査」） = 全アプリ全 endpoint を日次定期＋随時手動で検査。heartbeat 型の常時定期検査（旧 M2）は廃止（2026-08-20）。</t>
        </is>
      </c>
    </row>
    <row r="49" ht="63" customHeight="1" s="134">
      <c r="A49" s="5" t="inlineStr">
        <is>
          <t>STS / AssumeRole</t>
        </is>
      </c>
      <c r="B49" s="5" t="inlineStr">
        <is>
          <t>AWS Security Token Service =「一時的な認証情報の発行所」。AssumeRole で他アカウントのロール（例: DiscoveryReadRole）を引き受け、期限付き・最小権限の一時キーを得る。恒久キーを配らずにクロスアカウント読み取りを実現する標準手段。</t>
        </is>
      </c>
    </row>
    <row r="50" ht="63" customHeight="1" s="134">
      <c r="A50" s="5" t="inlineStr">
        <is>
          <t>認証構成情報</t>
        </is>
      </c>
      <c r="B50" s="5" t="inlineStr">
        <is>
          <t>アプリが提供する監視メタデータ {appId}/monitoring.yaml と API 仕様 openapi.yaml（+ 任意 deploy-info.json）。デプロイパイプライン最終段で認証構成情報連携バケットへアップロードされる。旧称: 監視資材</t>
        </is>
      </c>
    </row>
    <row r="51" ht="63" customHeight="1" s="134">
      <c r="A51" s="5" t="inlineStr">
        <is>
          <t>認証構成情報連携バケット</t>
        </is>
      </c>
      <c r="B51" s="5" t="inlineStr">
        <is>
          <t>App アカウント側。各 App アカウントに StackSets 配布する S3 バケット auth-monitoring-artifacts-{accountId}（Versioning 有効）。アプリが認証構成情報を置き、中央はそれだけを読む。旧称: 資材バケット</t>
        </is>
      </c>
    </row>
    <row r="52" ht="63" customHeight="1" s="134">
      <c r="A52" s="5" t="inlineStr">
        <is>
          <t>認証構成情報配置バケット</t>
        </is>
      </c>
      <c r="B52" s="5" t="inlineStr">
        <is>
          <t>共通基盤アカウント側。台帳 registry/{appId}/{env}.json と API 仕様の複写 openapi/… を保管する S3 ×1。旧称: Monitoring Registry</t>
        </is>
      </c>
    </row>
    <row r="54" ht="63" customHeight="1" s="134">
      <c r="A54" s="9" t="inlineStr">
        <is>
          <t>5. 図一覧（本書に挿入する図。各シートの【図 N 挿入位置】枠に貼り込む）</t>
        </is>
      </c>
    </row>
    <row r="55" ht="63" customHeight="1" s="134">
      <c r="A55" s="2" t="inlineStr">
        <is>
          <t>区分 A = 既存の設計図を描き直すもの。区分 B = 本書の表・記述を図化するもの（内容の追加はしない）。</t>
        </is>
      </c>
    </row>
    <row r="56" ht="84" customHeight="1" s="134">
      <c r="A56" s="4" t="inlineStr">
        <is>
          <t>図番号・図名</t>
        </is>
      </c>
      <c r="B56" s="4" t="inlineStr">
        <is>
          <t>描くべき内容（この要素・関係を漏らさない）</t>
        </is>
      </c>
      <c r="C56" s="4" t="inlineStr">
        <is>
          <t>区分</t>
        </is>
      </c>
      <c r="D56" s="4" t="inlineStr">
        <is>
          <t>挿入シート</t>
        </is>
      </c>
    </row>
    <row r="57" ht="63" customHeight="1" s="134">
      <c r="A57" s="5" t="inlineStr">
        <is>
          <t>図1 全体骨格（Pattern β）</t>
        </is>
      </c>
      <c r="B57" s="5" t="inlineStr">
        <is>
          <t>4 アカウント区分（共通基盤／ネットワーク監査＝境界／App A／App B）と 11 ノード（対象検索 Lambda・認証構成情報配置バケット S3・認証実装チェック Lambda・アラート検知 Lambda・SNS／CloudFront+WAF ×2／認証構成情報連携バケット ×2・API GW / ALB ×2）、矢印 11 本。巡回読み取り（対象検索 Lambda → 認証構成情報連携バケット）は境界非経由、検査は境界経由で描き分ける</t>
        </is>
      </c>
      <c r="C57" s="5" t="inlineStr">
        <is>
          <t>A</t>
        </is>
      </c>
      <c r="D57" s="5" t="inlineStr">
        <is>
          <t>03_構成図</t>
        </is>
      </c>
    </row>
    <row r="58" ht="42" customHeight="1" s="134">
      <c r="A58" s="5" t="inlineStr">
        <is>
          <t>図2 統合構成図（登録・トリガー・検査・通知 ①〜⑥）</t>
        </is>
      </c>
      <c r="B58" s="5" t="inlineStr">
        <is>
          <t>運用者（全量検査（モード2）を随時手動起動）＋ Scheduler（日次定期起動）+ 13 ノード。番号付き矢印 ①AssumeRole ②認証構成情報 List・VersionId 比較 / GetObject ③台帳・spec 登録 ④自動差分検査（モード1）起動 ⑤未認証/正規検査 ⑥Metrics・Alert、および無番号の EventBridge→対象検索 Lambda／全量検査（モード2）／台帳取得／CloudFront→API GW／アラート検知 Lambda→SNS／Service Catalog→API GW</t>
        </is>
      </c>
      <c r="C58" s="5" t="inlineStr">
        <is>
          <t>A</t>
        </is>
      </c>
      <c r="D58" s="5" t="inlineStr">
        <is>
          <t>03_構成図</t>
        </is>
      </c>
    </row>
    <row r="59" ht="42" customHeight="1" s="134">
      <c r="A59" s="5" t="inlineStr">
        <is>
          <t>図3 AWS リソース構成図（アカウント横断・イン／アウト境界）</t>
        </is>
      </c>
      <c r="B59" s="5" t="inlineStr">
        <is>
          <t>共通基盤（VPC なし・Lambda 3 本すべて VPC 外／S3 1 バケット／Secrets／CloudWatch／SNS）／インバウンド境界アカウント（CloudFront+WAF・Origin Protection）／各 App（DiscoveryReadRole・認証構成情報連携バケット・ArtifactUploadRole-{appId}・API GW / ALB）／認証基盤 Broker（Keycloak /token）／アウトバウンド境界アカウント（TGW+NWFW・非経由）。通信経路 A〜D を線種で区別し、A / B のみインターネットと In 境界を通り Out 境界を通らないことを明示</t>
        </is>
      </c>
      <c r="C59" s="5" t="inlineStr">
        <is>
          <t>A</t>
        </is>
      </c>
      <c r="D59" s="5" t="inlineStr">
        <is>
          <t>03_構成図</t>
        </is>
      </c>
    </row>
    <row r="60" ht="63" customHeight="1" s="134">
      <c r="A60" s="5" t="inlineStr">
        <is>
          <t>図4 巡回フロー（①〜⑦ + 新規発見・消滅検知）</t>
        </is>
      </c>
      <c r="B60" s="5" t="inlineStr">
        <is>
          <t>EventBridge（1h）→ 対象検索 Lambda。①ListAccounts（Organizations 列挙）②AssumeRole（s3 read-only）③認証構成情報連携バケットの {appId}/ を List ④monitoring.yaml / openapi.yaml の VersionId 取得 ⑤台帳の lastArtifactVersions と比較 ⑥変化したアプリのみ GetObject → 台帳更新・spec Put ⑦自動差分検査（モード1）起動 → 起動成功後に lastArtifactVersions 更新。分岐として新規発見（台帳に無い monitoring.yaml は自動登録）・消滅検知（enabled=false + 棚卸しアラート）・メタ不足アラート</t>
        </is>
      </c>
      <c r="C60" s="5" t="inlineStr">
        <is>
          <t>A</t>
        </is>
      </c>
      <c r="D60" s="5" t="inlineStr">
        <is>
          <t>05_処理フロー</t>
        </is>
      </c>
    </row>
    <row r="61" ht="63" customHeight="1" s="134">
      <c r="A61" s="5" t="inlineStr">
        <is>
          <t>図5 検査シーケンス（1 回の実行 ①〜⑨）</t>
        </is>
      </c>
      <c r="B61" s="5" t="inlineStr">
        <is>
          <t>認証実装確認処理を主体としたシーケンス図。①台帳 scan ②spec fetch ③extractEndpoints ④未認証検査 ⑤正規検査 ⑥分類 ⑦アラート検知 Lambda 起動 ⑧putMetrics ⑨AuthCheckCritical。アプリループと endpoint ループの入れ子を明示</t>
        </is>
      </c>
      <c r="C61" s="5" t="inlineStr">
        <is>
          <t>A</t>
        </is>
      </c>
      <c r="D61" s="5" t="inlineStr">
        <is>
          <t>05_処理フロー</t>
        </is>
      </c>
    </row>
    <row r="62" ht="63" customHeight="1" s="134">
      <c r="A62" s="5" t="inlineStr">
        <is>
          <t>図6 エンドツーエンド フロー（①〜⑧）</t>
        </is>
      </c>
      <c r="B62" s="5" t="inlineStr">
        <is>
          <t>①デプロイ（静的解析 pass）→ 認証構成情報を連携バケットへアップロード ②巡回発見（最大 1h）③自動差分検査（モード1） 自動 / 全量検査（モード2） 日次定期＋手動 ④検査 ⑤分類（OK は Metrics のみ・それ以外は ⑥ へ）⑥アラート検知 Lambda ⑦通知 P1 / P2 / P3 ⑧是正 SLA。担当章の帯を添える</t>
        </is>
      </c>
      <c r="C62" s="5" t="inlineStr">
        <is>
          <t>A</t>
        </is>
      </c>
      <c r="D62" s="5" t="inlineStr">
        <is>
          <t>05_処理フロー</t>
        </is>
      </c>
    </row>
    <row r="63" ht="42" customHeight="1" s="134">
      <c r="A63" s="5" t="inlineStr">
        <is>
          <t>図7 実行モードの時間軸と 検査 範囲</t>
        </is>
      </c>
      <c r="B63" s="5" t="inlineStr">
        <is>
          <t>横軸を時間として、自動差分検査（モード1） = 1 時間毎の巡回（読み取り）と変更検知時のみ検査（変更アプリの全 endpoint）／全量検査（モード2） = 日次定期＋随時手動・全アプリ全 endpoint を並べ、検知遅延 最大 1 時間（モード1）／最大 24 時間（モード2）を明示。heartbeat 型検査（旧 M2）は廃止済みのため描かない</t>
        </is>
      </c>
      <c r="C63" s="5" t="inlineStr">
        <is>
          <t>B</t>
        </is>
      </c>
      <c r="D63" s="5" t="inlineStr">
        <is>
          <t>06_実行トリガー</t>
        </is>
      </c>
    </row>
    <row r="64" ht="63" customHeight="1" s="134">
      <c r="A64" s="5" t="inlineStr">
        <is>
          <t>図8 受容した穴 2 つと補完レイヤーの関係</t>
        </is>
      </c>
      <c r="B64" s="5" t="inlineStr">
        <is>
          <t>穴① コンソール直変更 → L2 Config Rules + 全量検査（モード2、日次・最大 24h） + SCP（M-Q-17-1）、穴② 認証構成情報のアップロード忘れ・内容誤り（原則アプリ責任・顧客合意 M-Q-17-7）→ staleness 検知 + 月次棚卸し + 日次全量で補完。L5 外形監視が単層で完結しないこと、一次防衛が deploy 前ガード（静的解析・製品テンプレ）であることを図示</t>
        </is>
      </c>
      <c r="C64" s="5" t="inlineStr">
        <is>
          <t>B</t>
        </is>
      </c>
      <c r="D64" s="5" t="inlineStr">
        <is>
          <t>06_実行トリガー</t>
        </is>
      </c>
    </row>
    <row r="65" ht="63" customHeight="1" s="134">
      <c r="A65" s="5" t="inlineStr">
        <is>
          <t>図9 認証構成情報配置バケット S3 のキー体系</t>
        </is>
      </c>
      <c r="B65" s="5" t="inlineStr">
        <is>
          <t>1 バケット内に registry/{appId}/{env}.json（台帳＋巡回スナップショット）と openapi/{accountId}/{appId}/openapi.yaml（spec コピー）が同居し Versioning 有効。読み手（認証実装チェック Lambda・アラート検知 Lambda）と書き手（対象検索 Lambda・共通基盤チーム手動）を矢印で区別</t>
        </is>
      </c>
      <c r="C65" s="5" t="inlineStr">
        <is>
          <t>B</t>
        </is>
      </c>
      <c r="D65" s="5" t="inlineStr">
        <is>
          <t>07_データ定義</t>
        </is>
      </c>
    </row>
    <row r="66" ht="63" customHeight="1" s="134">
      <c r="A66" s="5" t="inlineStr">
        <is>
          <t>図10 メタデータの供給関係（誰が何を決めるか）</t>
        </is>
      </c>
      <c r="B66" s="5" t="inlineStr">
        <is>
          <t>monitoring.yaml 由来（baseUrl / authPattern / testTokenSecret）→ 台帳、台帳のみ中央管理（alertRouting / enabled）、巡回が記録（artifactBucket / artifactPrefix / lastArtifactVersions / lastSeenAt）、連携バケットの openapi.yaml（デプロイ版の写し。正本はベンダー git）→ 配置バケットへコピー → extractEndpoints。アプリ側に登録処理がないことを明示</t>
        </is>
      </c>
      <c r="C66" s="5" t="inlineStr">
        <is>
          <t>B</t>
        </is>
      </c>
      <c r="D66" s="5" t="inlineStr">
        <is>
          <t>07_データ定義</t>
        </is>
      </c>
    </row>
    <row r="67" ht="84" customHeight="1" s="134">
      <c r="A67" s="5" t="inlineStr">
        <is>
          <t>図11 4×4 真偽値表から通知先までの振り分け</t>
        </is>
      </c>
      <c r="B67" s="5" t="inlineStr">
        <is>
          <t>Negative status × Positive status の 8 組合せ → OK / CRITICAL / WARN / INFO → severity・priority → P1 Security 即時 / P2 Platform 24h / P3 App team / 通知なし。分類を 検査と アラート検知 Lambda が共有すること、ARN は台帳 alertRouting → 環境変数の 2 段解決であることを併記</t>
        </is>
      </c>
      <c r="C67" s="5" t="inlineStr">
        <is>
          <t>B</t>
        </is>
      </c>
      <c r="D67" s="5" t="inlineStr">
        <is>
          <t>07_データ定義</t>
        </is>
      </c>
    </row>
    <row r="68" ht="76" customHeight="1" s="134">
      <c r="A68" s="5" t="inlineStr">
        <is>
          <t>図12 クロスアカウント IAM の関係</t>
        </is>
      </c>
      <c r="B68" s="5" t="inlineStr">
        <is>
          <t>共通基盤の DiscoveryLambdaRole → 各 App の DiscoveryReadRole（認証構成情報連携バケットの s3 read-only・信頼先 1 本・ExternalId）への AssumeRole 1 種のみ。App アカウント内で完結する ArtifactUploadRole-{appId}（自 {appId}/* への PutObject 限定）を併記。StackSets による全アカウント同一名配布、CentralProbeRole / alert-router-lambda-role の権限範囲、台帳への書き込みが中央アカウント内のみであることを図示</t>
        </is>
      </c>
      <c r="C68" s="5" t="inlineStr">
        <is>
          <t>B</t>
        </is>
      </c>
      <c r="D68" s="5" t="inlineStr">
        <is>
          <t>08_セキュリティ・IAM</t>
        </is>
      </c>
    </row>
    <row r="69" ht="38" customHeight="1" s="134">
      <c r="A69" s="5" t="inlineStr">
        <is>
          <t>図13 Positive トークンの発行フロー</t>
        </is>
      </c>
      <c r="B69" s="5" t="inlineStr">
        <is>
          <t>認証基盤の canary 専用サービスアカウント（client_id / secret）→ Secrets Manager（共通基盤）→ 認証実装チェック Lambda ロールのみ取得可 → /token（client_credentials）→ 短命トークン（5〜15 分）→ 正規検査 → 破棄。スコープ A 採用・B 目標を注記</t>
        </is>
      </c>
      <c r="C69" s="5" t="inlineStr">
        <is>
          <t>B</t>
        </is>
      </c>
      <c r="D69" s="5" t="inlineStr">
        <is>
          <t>08_セキュリティ・IAM</t>
        </is>
      </c>
    </row>
    <row r="70" ht="76" customHeight="1" s="134">
      <c r="A70" s="5" t="inlineStr">
        <is>
          <t>図14 発報フロー（2 系統）</t>
        </is>
      </c>
      <c r="B70" s="5" t="inlineStr">
        <is>
          <t>即時系: 認証実装チェック Lambda → アラート検知 Lambda（分類 済みイベント 起動）→ S3 registry/ で alertRouting 解決 → SNS P1/P2/P3 → 各チーム配信。保険系: 認証実装チェック Lambda → CloudWatch PutMetricData → AuthCheckCritical &gt; 0 アラーム → SNS（P1・宛先固定）。即時系が落ちても検知を失わない構図と、すべて共通基盤アカウント内で完結し境界・App アカウントが関与しないことを明示</t>
        </is>
      </c>
      <c r="C70" s="5" t="inlineStr">
        <is>
          <t>B</t>
        </is>
      </c>
      <c r="D70" s="5" t="inlineStr">
        <is>
          <t>05_処理フロー</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09"/>
  <sheetViews>
    <sheetView topLeftCell="A12" workbookViewId="0">
      <selection activeCell="E109" sqref="E109"/>
    </sheetView>
  </sheetViews>
  <sheetFormatPr baseColWidth="10" defaultRowHeight="18"/>
  <cols>
    <col width="35.7109375" customWidth="1" style="120" min="1" max="1"/>
    <col width="30" customWidth="1" style="120" min="2" max="2"/>
    <col width="32.85546875" customWidth="1" style="120" min="3" max="3"/>
    <col width="47.140625" customWidth="1" style="120" min="4" max="4"/>
    <col width="24.28515625" customWidth="1" style="120" min="5" max="5"/>
    <col width="15.7109375" customWidth="1" style="120" min="6" max="6"/>
    <col width="10.7109375" customWidth="1" style="2" min="7" max="16384"/>
  </cols>
  <sheetData>
    <row r="1" ht="27" customHeight="1" s="134">
      <c r="A1" s="1" t="inlineStr">
        <is>
          <t>構成図</t>
        </is>
      </c>
    </row>
    <row r="3" ht="21" customHeight="1" s="134" thickBot="1">
      <c r="A3" s="7" t="inlineStr">
        <is>
          <t>図1. 全体骨格（Pattern β）</t>
        </is>
      </c>
    </row>
    <row r="4" ht="22" customHeight="1" s="134">
      <c r="A4" s="11" t="inlineStr">
        <is>
          <t>【図1 全体骨格（Pattern β） 挿入位置】</t>
        </is>
      </c>
      <c r="B4" s="12" t="n"/>
      <c r="C4" s="13" t="n"/>
    </row>
    <row r="5" ht="22" customHeight="1" s="134">
      <c r="A5" s="14" t="inlineStr">
        <is>
          <t>描くべき内容: 4 アカウント区分と 11 ノード（対象検索 Lambda・認証構成情報配置バケット S3・認証実装チェック Lambda・アラート検知 Lambda・SNS／CloudFront+WAF ×2／認証構成情報連携バケット S3 ×2・API GW / ALB ×2）、矢印 11 本。巡回読み取り（対象検索 Lambda → 認証構成情報連携バケット）は境界非経由、検査は境界経由で描き分ける</t>
        </is>
      </c>
      <c r="B5" s="15" t="n"/>
      <c r="C5" s="16" t="n"/>
    </row>
    <row r="6" ht="22" customHeight="1" s="134">
      <c r="A6" s="14" t="n"/>
      <c r="B6" s="15" t="n"/>
      <c r="C6" s="16" t="n"/>
    </row>
    <row r="7" ht="22" customHeight="1" s="134" thickBot="1">
      <c r="A7" s="17" t="inlineStr">
        <is>
          <t>（この枠に図を貼り込む。要素・矢印の追加および省略はしない）</t>
        </is>
      </c>
      <c r="B7" s="18" t="n"/>
      <c r="C7" s="19" t="n"/>
    </row>
    <row r="9">
      <c r="A9" s="4" t="inlineStr">
        <is>
          <t>アカウント</t>
        </is>
      </c>
      <c r="B9" s="4" t="inlineStr">
        <is>
          <t>ノード</t>
        </is>
      </c>
      <c r="C9" s="4" t="inlineStr">
        <is>
          <t>役割・注記</t>
        </is>
      </c>
      <c r="D9" s="4" t="n"/>
    </row>
    <row r="10" ht="21" customHeight="1" s="134">
      <c r="A10" s="5" t="inlineStr">
        <is>
          <t>共通基盤アカウント（中央運用・自社管理）</t>
        </is>
      </c>
      <c r="B10" s="5" t="inlineStr">
        <is>
          <t>対象検索 Lambda</t>
        </is>
      </c>
      <c r="C10" s="5" t="inlineStr">
        <is>
          <t>1 時間毎巡回</t>
        </is>
      </c>
      <c r="D10" s="5" t="n"/>
    </row>
    <row r="11" ht="21" customHeight="1" s="134">
      <c r="A11" s="5" t="inlineStr">
        <is>
          <t>共通基盤アカウント（中央運用・自社管理）</t>
        </is>
      </c>
      <c r="B11" s="5" t="inlineStr">
        <is>
          <t>認証構成情報配置バケット S3</t>
        </is>
      </c>
      <c r="C11" s="5" t="inlineStr">
        <is>
          <t>台帳 registry/ + spec openapi/</t>
        </is>
      </c>
      <c r="D11" s="5" t="n"/>
    </row>
    <row r="12" ht="63" customHeight="1" s="134">
      <c r="A12" s="5" t="inlineStr">
        <is>
          <t>共通基盤アカウント（中央運用・自社管理）</t>
        </is>
      </c>
      <c r="B12" s="5" t="inlineStr">
        <is>
          <t>認証実装チェック Lambda</t>
        </is>
      </c>
      <c r="C12" s="5" t="inlineStr">
        <is>
          <t>probe lib 共通。自動差分検査（モード1） / 全量検査（モード2） フル</t>
        </is>
      </c>
      <c r="D12" s="5" t="n"/>
    </row>
    <row r="13" ht="21" customHeight="1" s="134">
      <c r="A13" s="5" t="inlineStr">
        <is>
          <t>共通基盤アカウント（中央運用・自社管理）</t>
        </is>
      </c>
      <c r="B13" s="5" t="inlineStr">
        <is>
          <t>アラート検知 Lambda</t>
        </is>
      </c>
      <c r="C13" s="5" t="inlineStr">
        <is>
          <t>分類結果の振り分け</t>
        </is>
      </c>
      <c r="D13" s="5" t="n"/>
    </row>
    <row r="14" ht="21" customHeight="1" s="134">
      <c r="A14" s="5" t="inlineStr">
        <is>
          <t>共通基盤アカウント（中央運用・自社管理）</t>
        </is>
      </c>
      <c r="B14" s="5" t="inlineStr">
        <is>
          <t>SNS</t>
        </is>
      </c>
      <c r="C14" s="5" t="inlineStr">
        <is>
          <t>P1 Security / P2 Platform / P3 App</t>
        </is>
      </c>
      <c r="D14" s="5" t="n"/>
    </row>
    <row r="15" ht="42" customHeight="1" s="134">
      <c r="A15" s="5" t="inlineStr">
        <is>
          <t>ネットワーク監査アカウント（境界層 ADR-039・他組織管理の可能性）</t>
        </is>
      </c>
      <c r="B15" s="5" t="inlineStr">
        <is>
          <t>CloudFront + WAF（アプリ A 用）</t>
        </is>
      </c>
      <c r="C15" s="5" t="inlineStr">
        <is>
          <t>インターネット境界</t>
        </is>
      </c>
      <c r="D15" s="5" t="n"/>
    </row>
    <row r="16" ht="42" customHeight="1" s="134">
      <c r="A16" s="5" t="inlineStr">
        <is>
          <t>ネットワーク監査アカウント（境界層 ADR-039・他組織管理の可能性）</t>
        </is>
      </c>
      <c r="B16" s="5" t="inlineStr">
        <is>
          <t>CloudFront + WAF（アプリ B 用）</t>
        </is>
      </c>
      <c r="C16" s="5" t="inlineStr">
        <is>
          <t>インターネット境界</t>
        </is>
      </c>
      <c r="D16" s="5" t="n"/>
    </row>
    <row r="17" ht="21" customHeight="1" s="134">
      <c r="A17" s="5" t="inlineStr">
        <is>
          <t>App アカウント A</t>
        </is>
      </c>
      <c r="B17" s="5" t="inlineStr">
        <is>
          <t>認証構成情報連携バケット S3</t>
        </is>
      </c>
      <c r="C17" s="5" t="inlineStr">
        <is>
          <t>monitoring.yaml + openapi.yaml</t>
        </is>
      </c>
      <c r="D17" s="5" t="n"/>
    </row>
    <row r="18" ht="21" customHeight="1" s="134">
      <c r="A18" s="5" t="inlineStr">
        <is>
          <t>App アカウント A</t>
        </is>
      </c>
      <c r="B18" s="5" t="inlineStr">
        <is>
          <t>API GW / ALB</t>
        </is>
      </c>
      <c r="C18" s="5" t="inlineStr">
        <is>
          <t>認証実装</t>
        </is>
      </c>
      <c r="D18" s="5" t="n"/>
    </row>
    <row r="19" ht="21" customHeight="1" s="134">
      <c r="A19" s="5" t="inlineStr">
        <is>
          <t>App アカウント B</t>
        </is>
      </c>
      <c r="B19" s="5" t="inlineStr">
        <is>
          <t>認証構成情報連携バケット S3</t>
        </is>
      </c>
      <c r="C19" s="5" t="inlineStr">
        <is>
          <t>—</t>
        </is>
      </c>
      <c r="D19" s="5" t="n"/>
    </row>
    <row r="20" ht="21" customHeight="1" s="134">
      <c r="A20" s="5" t="inlineStr">
        <is>
          <t>App アカウント B</t>
        </is>
      </c>
      <c r="B20" s="5" t="inlineStr">
        <is>
          <t>API GW / ALB</t>
        </is>
      </c>
      <c r="C20" s="5" t="inlineStr">
        <is>
          <t>認証実装</t>
        </is>
      </c>
      <c r="D20" s="5" t="n"/>
    </row>
    <row r="23">
      <c r="A23" s="4" t="inlineStr">
        <is>
          <t>#</t>
        </is>
      </c>
      <c r="B23" s="4" t="inlineStr">
        <is>
          <t>From</t>
        </is>
      </c>
      <c r="C23" s="4" t="inlineStr">
        <is>
          <t>To</t>
        </is>
      </c>
      <c r="D23" s="4" t="inlineStr">
        <is>
          <t>ラベル</t>
        </is>
      </c>
      <c r="E23" s="4" t="inlineStr">
        <is>
          <t>経路区分</t>
        </is>
      </c>
      <c r="F23" s="4" t="n"/>
    </row>
    <row r="24" ht="42" customHeight="1" s="134">
      <c r="A24" s="5" t="n">
        <v>1</v>
      </c>
      <c r="B24" s="5" t="inlineStr">
        <is>
          <t>対象検索 Lambda</t>
        </is>
      </c>
      <c r="C24" s="5" t="inlineStr">
        <is>
          <t>認証構成情報連携バケット S3（App A）</t>
        </is>
      </c>
      <c r="D24" s="5" t="inlineStr">
        <is>
          <t>読み取り AssumeRole：認証構成情報 VersionId 比較・monitoring.yaml・spec 取得</t>
        </is>
      </c>
      <c r="E24" s="5" t="inlineStr">
        <is>
          <t>巡回読み取り（境界非経由）</t>
        </is>
      </c>
      <c r="F24" s="5" t="n"/>
    </row>
    <row r="25" ht="21" customHeight="1" s="134">
      <c r="A25" s="5" t="n">
        <v>2</v>
      </c>
      <c r="B25" s="5" t="inlineStr">
        <is>
          <t>対象検索 Lambda</t>
        </is>
      </c>
      <c r="C25" s="5" t="inlineStr">
        <is>
          <t>認証構成情報連携バケット S3（App B）</t>
        </is>
      </c>
      <c r="D25" s="5" t="inlineStr">
        <is>
          <t>同</t>
        </is>
      </c>
      <c r="E25" s="5" t="inlineStr">
        <is>
          <t>巡回読み取り（境界非経由）</t>
        </is>
      </c>
      <c r="F25" s="5" t="n"/>
    </row>
    <row r="26" ht="21" customHeight="1" s="134">
      <c r="A26" s="5" t="n">
        <v>3</v>
      </c>
      <c r="B26" s="5" t="inlineStr">
        <is>
          <t>対象検索 Lambda</t>
        </is>
      </c>
      <c r="C26" s="5" t="inlineStr">
        <is>
          <t>認証構成情報配置バケット S3</t>
        </is>
      </c>
      <c r="D26" s="5" t="inlineStr">
        <is>
          <t>自動登録・スナップショット・spec Put</t>
        </is>
      </c>
      <c r="E26" s="5" t="inlineStr">
        <is>
          <t>中央内部</t>
        </is>
      </c>
      <c r="F26" s="5" t="n"/>
    </row>
    <row r="27" ht="21" customHeight="1" s="134">
      <c r="A27" s="5" t="n">
        <v>4</v>
      </c>
      <c r="B27" s="5" t="inlineStr">
        <is>
          <t>対象検索 Lambda</t>
        </is>
      </c>
      <c r="C27" s="5" t="inlineStr">
        <is>
          <t>認証実装チェック Lambda</t>
        </is>
      </c>
      <c r="D27" s="5" t="inlineStr">
        <is>
          <t>変化あり → 自動差分検査（モード1）起動</t>
        </is>
      </c>
      <c r="E27" s="5" t="inlineStr">
        <is>
          <t>中央内部</t>
        </is>
      </c>
      <c r="F27" s="5" t="n"/>
    </row>
    <row r="28" ht="42" customHeight="1" s="134">
      <c r="A28" s="5" t="n">
        <v>5</v>
      </c>
      <c r="B28" s="5" t="inlineStr">
        <is>
          <t>認証実装チェック Lambda</t>
        </is>
      </c>
      <c r="C28" s="5" t="inlineStr">
        <is>
          <t>認証構成情報配置バケット S3</t>
        </is>
      </c>
      <c r="D28" s="5" t="inlineStr">
        <is>
          <t>台帳 List/Get + spec Get（自動差分検査（モード1）対象 / 全量検査（モード2） 全量）</t>
        </is>
      </c>
      <c r="E28" s="5" t="inlineStr">
        <is>
          <t>中央内部</t>
        </is>
      </c>
      <c r="F28" s="5" t="n"/>
    </row>
    <row r="29" ht="21" customHeight="1" s="134">
      <c r="A29" s="5" t="n">
        <v>6</v>
      </c>
      <c r="B29" s="5" t="inlineStr">
        <is>
          <t>認証実装チェック Lambda</t>
        </is>
      </c>
      <c r="C29" s="5" t="inlineStr">
        <is>
          <t>CloudFront + WAF（アプリ A 用）</t>
        </is>
      </c>
      <c r="D29" s="5" t="inlineStr">
        <is>
          <t>検査は実 UX と同じ境界経由</t>
        </is>
      </c>
      <c r="E29" s="5" t="inlineStr">
        <is>
          <t>検査（In 境界経由）</t>
        </is>
      </c>
      <c r="F29" s="5" t="n"/>
    </row>
    <row r="30" ht="21" customHeight="1" s="134">
      <c r="A30" s="5" t="n">
        <v>7</v>
      </c>
      <c r="B30" s="5" t="inlineStr">
        <is>
          <t>CloudFront + WAF（アプリ A 用）</t>
        </is>
      </c>
      <c r="C30" s="5" t="inlineStr">
        <is>
          <t>API GW / ALB（App A）</t>
        </is>
      </c>
      <c r="D30" s="5" t="inlineStr">
        <is>
          <t>—</t>
        </is>
      </c>
      <c r="E30" s="5" t="inlineStr">
        <is>
          <t>検査（In 境界経由）</t>
        </is>
      </c>
      <c r="F30" s="5" t="n"/>
    </row>
    <row r="31" ht="21" customHeight="1" s="134">
      <c r="A31" s="5" t="n">
        <v>8</v>
      </c>
      <c r="B31" s="5" t="inlineStr">
        <is>
          <t>認証実装チェック Lambda</t>
        </is>
      </c>
      <c r="C31" s="5" t="inlineStr">
        <is>
          <t>CloudFront + WAF（アプリ B 用）</t>
        </is>
      </c>
      <c r="D31" s="5" t="inlineStr">
        <is>
          <t>—</t>
        </is>
      </c>
      <c r="E31" s="5" t="inlineStr">
        <is>
          <t>検査（In 境界経由）</t>
        </is>
      </c>
      <c r="F31" s="5" t="n"/>
    </row>
    <row r="32" ht="21" customHeight="1" s="134">
      <c r="A32" s="5" t="n">
        <v>9</v>
      </c>
      <c r="B32" s="5" t="inlineStr">
        <is>
          <t>CloudFront + WAF（アプリ B 用）</t>
        </is>
      </c>
      <c r="C32" s="5" t="inlineStr">
        <is>
          <t>API GW / ALB（App B）</t>
        </is>
      </c>
      <c r="D32" s="5" t="inlineStr">
        <is>
          <t>—</t>
        </is>
      </c>
      <c r="E32" s="5" t="inlineStr">
        <is>
          <t>検査（In 境界経由）</t>
        </is>
      </c>
      <c r="F32" s="5" t="n"/>
    </row>
    <row r="33" ht="21" customHeight="1" s="134">
      <c r="A33" s="5" t="n">
        <v>10</v>
      </c>
      <c r="B33" s="5" t="inlineStr">
        <is>
          <t>認証実装チェック Lambda</t>
        </is>
      </c>
      <c r="C33" s="5" t="inlineStr">
        <is>
          <t>アラート検知 Lambda</t>
        </is>
      </c>
      <c r="D33" s="5" t="inlineStr">
        <is>
          <t>CRITICAL / WARN / INFO</t>
        </is>
      </c>
      <c r="E33" s="5" t="inlineStr">
        <is>
          <t>中央内部</t>
        </is>
      </c>
      <c r="F33" s="5" t="n"/>
    </row>
    <row r="34" ht="21" customHeight="1" s="134">
      <c r="A34" s="5" t="n">
        <v>11</v>
      </c>
      <c r="B34" s="5" t="inlineStr">
        <is>
          <t>アラート検知 Lambda</t>
        </is>
      </c>
      <c r="C34" s="5" t="inlineStr">
        <is>
          <t>SNS（P1/P2/P3）</t>
        </is>
      </c>
      <c r="D34" s="5" t="inlineStr">
        <is>
          <t>—</t>
        </is>
      </c>
      <c r="E34" s="5" t="inlineStr">
        <is>
          <t>中央内部</t>
        </is>
      </c>
      <c r="F34" s="5" t="n"/>
    </row>
    <row r="36">
      <c r="A36" s="3" t="inlineStr">
        <is>
          <t>注記: 境界（CloudFront + WAF）はネットワーク監査アカウントにあり、検査はそこを実ユーザーと同じ経路で通る</t>
        </is>
      </c>
    </row>
    <row r="37">
      <c r="A37" s="3" t="inlineStr">
        <is>
          <t>注記: 巡回の読み取り（対象検索 Lambda → 認証構成情報連携バケット）は境界を通らない。AWS API（S3）を読み取りロールで直接呼ぶ。変更検知は認証構成情報の VersionId 比較で、認証構成情報に現れないコンソール直変更は L2 Config Rules + 全量検査（モード2、日次定期・最大 24h）が補完</t>
        </is>
      </c>
    </row>
    <row r="39" ht="21" customHeight="1" s="134" thickBot="1">
      <c r="A39" s="7" t="inlineStr">
        <is>
          <t>図2. 統合構成図（登録・トリガー・検査・通知）</t>
        </is>
      </c>
    </row>
    <row r="40" ht="22" customHeight="1" s="134">
      <c r="A40" s="11" t="inlineStr">
        <is>
          <t>【図2 統合構成図（登録・トリガー・検査・通知 ①〜⑥） 挿入位置】</t>
        </is>
      </c>
      <c r="B40" s="12" t="n"/>
      <c r="C40" s="13" t="n"/>
    </row>
    <row r="41" ht="22" customHeight="1" s="134">
      <c r="A41" s="14" t="inlineStr">
        <is>
          <t>描くべき内容: 運用者（全量検査（モード2）を随時手動起動）＋ Scheduler（日次定期起動）+ 13 ノード。①AssumeRole ②認証構成情報 List・VersionId 比較 / GetObject ③台帳・spec 登録（lastArtifactVersions 更新）④自動差分検査（モード1）起動 ⑤Neg/Pos 検査 ⑥Metrics・Alert、および無番号の EventBridge→対象検索 Lambda／全量検査（モード2）／台帳取得／CloudFront→API GW／アラート検知 Lambda→SNS／Service Catalog→API GW</t>
        </is>
      </c>
      <c r="B41" s="15" t="n"/>
      <c r="C41" s="16" t="n"/>
    </row>
    <row r="42" ht="22" customHeight="1" s="134">
      <c r="A42" s="14" t="n"/>
      <c r="B42" s="15" t="n"/>
      <c r="C42" s="16" t="n"/>
    </row>
    <row r="43" ht="22" customHeight="1" s="134" thickBot="1">
      <c r="A43" s="17" t="inlineStr">
        <is>
          <t>（この枠に図を貼り込む。要素・矢印の追加および省略はしない）</t>
        </is>
      </c>
      <c r="B43" s="18" t="n"/>
      <c r="C43" s="19" t="n"/>
    </row>
    <row r="45">
      <c r="A45" s="4" t="inlineStr">
        <is>
          <t>アカウント</t>
        </is>
      </c>
      <c r="B45" s="4" t="inlineStr">
        <is>
          <t>ノード</t>
        </is>
      </c>
      <c r="C45" s="4" t="inlineStr">
        <is>
          <t>役割・注記</t>
        </is>
      </c>
      <c r="D45" s="4" t="n"/>
    </row>
    <row r="46" ht="21" customHeight="1" s="134">
      <c r="A46" s="5" t="inlineStr">
        <is>
          <t>（外部）</t>
        </is>
      </c>
      <c r="B46" s="5" t="inlineStr">
        <is>
          <t>運用者</t>
        </is>
      </c>
      <c r="C46" s="5" t="inlineStr">
        <is>
          <t>全量検査（モード2） 手動実行</t>
        </is>
      </c>
      <c r="D46" s="5" t="n"/>
    </row>
    <row r="47" ht="21" customHeight="1" s="134">
      <c r="A47" s="5" t="inlineStr">
        <is>
          <t>共通基盤アカウント（中央運用・自社管理）</t>
        </is>
      </c>
      <c r="B47" s="5" t="inlineStr">
        <is>
          <t>EventBridge Scheduler</t>
        </is>
      </c>
      <c r="C47" s="5" t="inlineStr">
        <is>
          <t>1 時間毎</t>
        </is>
      </c>
      <c r="D47" s="5" t="n"/>
    </row>
    <row r="48" ht="21" customHeight="1" s="134">
      <c r="A48" s="5" t="inlineStr">
        <is>
          <t>共通基盤アカウント（中央運用・自社管理）</t>
        </is>
      </c>
      <c r="B48" s="5" t="inlineStr">
        <is>
          <t>対象検索 Lambda</t>
        </is>
      </c>
      <c r="C48" s="5" t="inlineStr">
        <is>
          <t>発見・差分検知・OpenAPI 取得</t>
        </is>
      </c>
      <c r="D48" s="5" t="n"/>
    </row>
    <row r="49" ht="42" customHeight="1" s="134">
      <c r="A49" s="5" t="inlineStr">
        <is>
          <t>共通基盤アカウント（中央運用・自社管理）</t>
        </is>
      </c>
      <c r="B49" s="5" t="inlineStr">
        <is>
          <t>認証構成情報配置バケット S3</t>
        </is>
      </c>
      <c r="C49" s="5" t="inlineStr">
        <is>
          <t>registry/（台帳 + スナップショット）／openapi/（spec コピー）</t>
        </is>
      </c>
      <c r="D49" s="5" t="n"/>
    </row>
    <row r="50" ht="21" customHeight="1" s="134">
      <c r="A50" s="5" t="inlineStr">
        <is>
          <t>共通基盤アカウント（中央運用・自社管理）</t>
        </is>
      </c>
      <c r="B50" s="5" t="inlineStr">
        <is>
          <t>認証実装チェック Lambda</t>
        </is>
      </c>
      <c r="C50" s="5" t="inlineStr">
        <is>
          <t>検査 / 分類 lib 共通</t>
        </is>
      </c>
      <c r="D50" s="5" t="n"/>
    </row>
    <row r="51" ht="21" customHeight="1" s="134">
      <c r="A51" s="5" t="inlineStr">
        <is>
          <t>共通基盤アカウント（中央運用・自社管理）</t>
        </is>
      </c>
      <c r="B51" s="5" t="inlineStr">
        <is>
          <t>CloudWatch Metrics / Alarm</t>
        </is>
      </c>
      <c r="C51" s="5" t="inlineStr">
        <is>
          <t>AuthCheckCritical &gt; 0</t>
        </is>
      </c>
      <c r="D51" s="5" t="n"/>
    </row>
    <row r="52" ht="21" customHeight="1" s="134">
      <c r="A52" s="5" t="inlineStr">
        <is>
          <t>共通基盤アカウント（中央運用・自社管理）</t>
        </is>
      </c>
      <c r="B52" s="5" t="inlineStr">
        <is>
          <t>アラート検知 Lambda</t>
        </is>
      </c>
      <c r="C52" s="5" t="inlineStr">
        <is>
          <t>—</t>
        </is>
      </c>
      <c r="D52" s="5" t="n"/>
    </row>
    <row r="53" ht="21" customHeight="1" s="134">
      <c r="A53" s="5" t="inlineStr">
        <is>
          <t>共通基盤アカウント（中央運用・自社管理）</t>
        </is>
      </c>
      <c r="B53" s="5" t="inlineStr">
        <is>
          <t>SNS</t>
        </is>
      </c>
      <c r="C53" s="5" t="inlineStr">
        <is>
          <t>P1 Security / P2 Platform / P3 App</t>
        </is>
      </c>
      <c r="D53" s="5" t="n"/>
    </row>
    <row r="54" ht="42" customHeight="1" s="134">
      <c r="A54" s="5" t="inlineStr">
        <is>
          <t>ネットワーク監査アカウント（境界層 ADR-039）</t>
        </is>
      </c>
      <c r="B54" s="5" t="inlineStr">
        <is>
          <t>アプリごとの CloudFront + WAF</t>
        </is>
      </c>
      <c r="C54" s="5" t="inlineStr">
        <is>
          <t>Origin Protection</t>
        </is>
      </c>
      <c r="D54" s="5" t="n"/>
    </row>
    <row r="55" ht="21" customHeight="1" s="134">
      <c r="A55" s="5" t="inlineStr">
        <is>
          <t>各 App アカウント（監視対象）</t>
        </is>
      </c>
      <c r="B55" s="5" t="inlineStr">
        <is>
          <t>Service Catalog 製品</t>
        </is>
      </c>
      <c r="C55" s="5" t="inlineStr">
        <is>
          <t>認証必須・Origin Protection・タグ</t>
        </is>
      </c>
      <c r="D55" s="5" t="n"/>
    </row>
    <row r="56" ht="42" customHeight="1" s="134">
      <c r="A56" s="5" t="inlineStr">
        <is>
          <t>各 App アカウント（監視対象）</t>
        </is>
      </c>
      <c r="B56" s="5" t="inlineStr">
        <is>
          <t>認証構成情報連携バケット S3</t>
        </is>
      </c>
      <c r="C56" s="5" t="inlineStr">
        <is>
          <t>monitoring.yaml + openapi.yaml（+ 任意 deploy-info.json）</t>
        </is>
      </c>
      <c r="D56" s="5" t="n"/>
    </row>
    <row r="57" ht="21" customHeight="1" s="134">
      <c r="A57" s="5" t="inlineStr">
        <is>
          <t>各 App アカウント（監視対象）</t>
        </is>
      </c>
      <c r="B57" s="5" t="inlineStr">
        <is>
          <t>API GW / ALB</t>
        </is>
      </c>
      <c r="C57" s="5" t="inlineStr">
        <is>
          <t>認証実装</t>
        </is>
      </c>
      <c r="D57" s="5" t="n"/>
    </row>
    <row r="58" ht="21" customHeight="1" s="134">
      <c r="A58" s="5" t="inlineStr">
        <is>
          <t>各 App アカウント（監視対象）</t>
        </is>
      </c>
      <c r="B58" s="5" t="inlineStr">
        <is>
          <t>DiscoveryReadRole</t>
        </is>
      </c>
      <c r="C58" s="5" t="inlineStr">
        <is>
          <t>認証構成情報 s3 読み取り専用（StackSets 配布）</t>
        </is>
      </c>
      <c r="D58" s="5" t="n"/>
    </row>
    <row r="61">
      <c r="A61" s="4" t="inlineStr">
        <is>
          <t>#</t>
        </is>
      </c>
      <c r="B61" s="4" t="inlineStr">
        <is>
          <t>From</t>
        </is>
      </c>
      <c r="C61" s="4" t="inlineStr">
        <is>
          <t>To</t>
        </is>
      </c>
      <c r="D61" s="4" t="inlineStr">
        <is>
          <t>ラベル</t>
        </is>
      </c>
      <c r="E61" s="4" t="inlineStr">
        <is>
          <t>経路区分</t>
        </is>
      </c>
      <c r="F61" s="4" t="n"/>
    </row>
    <row r="62" ht="21" customHeight="1" s="134">
      <c r="A62" s="5" t="inlineStr">
        <is>
          <t>—</t>
        </is>
      </c>
      <c r="B62" s="5" t="inlineStr">
        <is>
          <t>EventBridge Scheduler</t>
        </is>
      </c>
      <c r="C62" s="5" t="inlineStr">
        <is>
          <t>対象検索 Lambda</t>
        </is>
      </c>
      <c r="D62" s="5" t="inlineStr">
        <is>
          <t>1 時間毎の起動</t>
        </is>
      </c>
      <c r="E62" s="5" t="inlineStr">
        <is>
          <t>中央内部</t>
        </is>
      </c>
      <c r="F62" s="5" t="n"/>
    </row>
    <row r="63" ht="21" customHeight="1" s="134">
      <c r="A63" s="5" t="inlineStr">
        <is>
          <t>①</t>
        </is>
      </c>
      <c r="B63" s="5" t="inlineStr">
        <is>
          <t>対象検索 Lambda</t>
        </is>
      </c>
      <c r="C63" s="5" t="inlineStr">
        <is>
          <t>DiscoveryReadRole</t>
        </is>
      </c>
      <c r="D63" s="5" t="inlineStr">
        <is>
          <t>AssumeRole（読み取り）</t>
        </is>
      </c>
      <c r="E63" s="5" t="inlineStr">
        <is>
          <t>巡回読み取り（境界非経由）</t>
        </is>
      </c>
      <c r="F63" s="5" t="n"/>
    </row>
    <row r="64" ht="21" customHeight="1" s="134">
      <c r="A64" s="5" t="inlineStr">
        <is>
          <t>②</t>
        </is>
      </c>
      <c r="B64" s="5" t="inlineStr">
        <is>
          <t>DiscoveryReadRole</t>
        </is>
      </c>
      <c r="C64" s="5" t="inlineStr">
        <is>
          <t>認証構成情報連携バケット S3</t>
        </is>
      </c>
      <c r="D64" s="5" t="inlineStr">
        <is>
          <t>認証構成情報 List・VersionId 取得 / GetObject</t>
        </is>
      </c>
      <c r="E64" s="5" t="inlineStr">
        <is>
          <t>巡回読み取り（境界非経由）</t>
        </is>
      </c>
      <c r="F64" s="5" t="n"/>
    </row>
    <row r="65" ht="42" customHeight="1" s="134">
      <c r="A65" s="5" t="inlineStr">
        <is>
          <t>③</t>
        </is>
      </c>
      <c r="B65" s="5" t="inlineStr">
        <is>
          <t>対象検索 Lambda</t>
        </is>
      </c>
      <c r="C65" s="5" t="inlineStr">
        <is>
          <t>認証構成情報配置バケット S3</t>
        </is>
      </c>
      <c r="D65" s="5" t="inlineStr">
        <is>
          <t>自動登録・lastArtifactVersions 更新 + spec Put（認証構成情報の openapi.yaml）</t>
        </is>
      </c>
      <c r="E65" s="5" t="inlineStr">
        <is>
          <t>中央内部</t>
        </is>
      </c>
      <c r="F65" s="5" t="n"/>
    </row>
    <row r="66" ht="21" customHeight="1" s="134">
      <c r="A66" s="5" t="inlineStr">
        <is>
          <t>④</t>
        </is>
      </c>
      <c r="B66" s="5" t="inlineStr">
        <is>
          <t>対象検索 Lambda</t>
        </is>
      </c>
      <c r="C66" s="5" t="inlineStr">
        <is>
          <t>認証実装チェック Lambda</t>
        </is>
      </c>
      <c r="D66" s="5" t="inlineStr">
        <is>
          <t>自動差分検査（モード1）起動（変更アプリのみ）</t>
        </is>
      </c>
      <c r="E66" s="5" t="inlineStr">
        <is>
          <t>中央内部</t>
        </is>
      </c>
      <c r="F66" s="5" t="n"/>
    </row>
    <row r="67" ht="21" customHeight="1" s="134">
      <c r="A67" s="5" t="inlineStr">
        <is>
          <t>—</t>
        </is>
      </c>
      <c r="B67" s="5" t="inlineStr">
        <is>
          <t>運用者</t>
        </is>
      </c>
      <c r="C67" s="5" t="inlineStr">
        <is>
          <t>認証実装チェック Lambda</t>
        </is>
      </c>
      <c r="D67" s="5" t="inlineStr">
        <is>
          <t>全量検査（モード2）</t>
        </is>
      </c>
      <c r="E67" s="5" t="inlineStr">
        <is>
          <t>中央内部</t>
        </is>
      </c>
      <c r="F67" s="5" t="n"/>
    </row>
    <row r="68" ht="21" customHeight="1" s="134">
      <c r="A68" s="5" t="inlineStr">
        <is>
          <t>—</t>
        </is>
      </c>
      <c r="B68" s="5" t="inlineStr">
        <is>
          <t>認証実装チェック Lambda</t>
        </is>
      </c>
      <c r="C68" s="5" t="inlineStr">
        <is>
          <t>認証構成情報配置バケット S3</t>
        </is>
      </c>
      <c r="D68" s="5" t="inlineStr">
        <is>
          <t>台帳 + spec 取得</t>
        </is>
      </c>
      <c r="E68" s="5" t="inlineStr">
        <is>
          <t>中央内部</t>
        </is>
      </c>
      <c r="F68" s="5" t="n"/>
    </row>
    <row r="69" ht="21" customHeight="1" s="134">
      <c r="A69" s="5" t="inlineStr">
        <is>
          <t>⑤</t>
        </is>
      </c>
      <c r="B69" s="5" t="inlineStr">
        <is>
          <t>認証実装チェック Lambda</t>
        </is>
      </c>
      <c r="C69" s="5" t="inlineStr">
        <is>
          <t>アプリごとの CloudFront + WAF</t>
        </is>
      </c>
      <c r="D69" s="5" t="inlineStr">
        <is>
          <t>未認証/正規検査（実 UX と同じ境界経由）</t>
        </is>
      </c>
      <c r="E69" s="5" t="inlineStr">
        <is>
          <t>検査（In 境界経由）</t>
        </is>
      </c>
      <c r="F69" s="5" t="n"/>
    </row>
    <row r="70" ht="21" customHeight="1" s="134">
      <c r="A70" s="5" t="inlineStr">
        <is>
          <t>—</t>
        </is>
      </c>
      <c r="B70" s="5" t="inlineStr">
        <is>
          <t>アプリごとの CloudFront + WAF</t>
        </is>
      </c>
      <c r="C70" s="5" t="inlineStr">
        <is>
          <t>API GW / ALB</t>
        </is>
      </c>
      <c r="D70" s="5" t="inlineStr">
        <is>
          <t>—</t>
        </is>
      </c>
      <c r="E70" s="5" t="inlineStr">
        <is>
          <t>検査（In 境界経由）</t>
        </is>
      </c>
      <c r="F70" s="5" t="n"/>
    </row>
    <row r="71" ht="21" customHeight="1" s="134">
      <c r="A71" s="5" t="inlineStr">
        <is>
          <t>⑥</t>
        </is>
      </c>
      <c r="B71" s="5" t="inlineStr">
        <is>
          <t>認証実装チェック Lambda</t>
        </is>
      </c>
      <c r="C71" s="5" t="inlineStr">
        <is>
          <t>CloudWatch Metrics / Alarm</t>
        </is>
      </c>
      <c r="D71" s="5" t="inlineStr">
        <is>
          <t>結果</t>
        </is>
      </c>
      <c r="E71" s="5" t="inlineStr">
        <is>
          <t>中央内部</t>
        </is>
      </c>
      <c r="F71" s="5" t="n"/>
    </row>
    <row r="72" ht="21" customHeight="1" s="134">
      <c r="A72" s="5" t="inlineStr">
        <is>
          <t>⑥</t>
        </is>
      </c>
      <c r="B72" s="5" t="inlineStr">
        <is>
          <t>認証実装チェック Lambda</t>
        </is>
      </c>
      <c r="C72" s="5" t="inlineStr">
        <is>
          <t>アラート検知 Lambda</t>
        </is>
      </c>
      <c r="D72" s="5" t="inlineStr">
        <is>
          <t>CRITICAL / WARN / INFO</t>
        </is>
      </c>
      <c r="E72" s="5" t="inlineStr">
        <is>
          <t>中央内部</t>
        </is>
      </c>
      <c r="F72" s="5" t="n"/>
    </row>
    <row r="73" ht="21" customHeight="1" s="134">
      <c r="A73" s="5" t="inlineStr">
        <is>
          <t>—</t>
        </is>
      </c>
      <c r="B73" s="5" t="inlineStr">
        <is>
          <t>アラート検知 Lambda</t>
        </is>
      </c>
      <c r="C73" s="5" t="inlineStr">
        <is>
          <t>SNS（P1/P2/P3）</t>
        </is>
      </c>
      <c r="D73" s="5" t="inlineStr">
        <is>
          <t>—</t>
        </is>
      </c>
      <c r="E73" s="5" t="inlineStr">
        <is>
          <t>中央内部</t>
        </is>
      </c>
      <c r="F73" s="5" t="n"/>
    </row>
    <row r="74" ht="21" customHeight="1" s="134">
      <c r="A74" s="5" t="inlineStr">
        <is>
          <t>—</t>
        </is>
      </c>
      <c r="B74" s="5" t="inlineStr">
        <is>
          <t>Service Catalog 製品</t>
        </is>
      </c>
      <c r="C74" s="5" t="inlineStr">
        <is>
          <t>API GW / ALB</t>
        </is>
      </c>
      <c r="D74" s="5" t="inlineStr">
        <is>
          <t>製品から API を払い出す</t>
        </is>
      </c>
      <c r="E74" s="5" t="inlineStr">
        <is>
          <t>App アカウント内</t>
        </is>
      </c>
      <c r="F74" s="5" t="n"/>
    </row>
    <row r="76">
      <c r="A76" s="3" t="inlineStr">
        <is>
          <t>注記: 登録・OpenAPI 取得はすべて中央の pull（S3 認証構成情報の VersionId 比較）で、アプリ側に登録処理はない（認証構成情報アップロードはデプロイパイプラインの標準ステップ）</t>
        </is>
      </c>
    </row>
    <row r="77">
      <c r="A77" s="3" t="inlineStr">
        <is>
          <t>注記: 2 本の経路は別物。巡回の読み取り（①②＝認証構成情報連携バケット）は AWS API を直接呼び境界を通らない。検査（⑤）は実ユーザーと同じく境界（ネットワーク監査アカウントの CloudFront）を通る</t>
        </is>
      </c>
    </row>
    <row r="80" ht="21" customHeight="1" s="134" thickBot="1">
      <c r="A80" s="7" t="inlineStr">
        <is>
          <t>図3. AWS リソース構成図（アカウント横断・イン／アウト境界含む）</t>
        </is>
      </c>
    </row>
    <row r="81" ht="22" customHeight="1" s="134">
      <c r="A81" s="11" t="inlineStr">
        <is>
          <t>【図3 AWS リソース構成図（アカウント横断・イン／アウト境界） 挿入位置】</t>
        </is>
      </c>
      <c r="B81" s="12" t="n"/>
      <c r="C81" s="13" t="n"/>
    </row>
    <row r="82" ht="22" customHeight="1" s="134">
      <c r="A82" s="14" t="inlineStr">
        <is>
          <t>描くべき内容: 共通基盤（VPC なし・Lambda 3 本すべて VPC 外／S3 1 バケット／Secrets／CloudWatch／SNS）／インバウンド境界アカウント（CloudFront+WAF）／各 App（DiscoveryReadRole・認証構成情報連携バケット S3・API GW / ALB）／認証基盤 Broker（Keycloak /token）／アウトバウンド境界アカウント（TGW+NWFW・非経由）。経路 A〜D を線種で区別し、A / B のみ In 境界を通り Out 境界を通らないことを明示</t>
        </is>
      </c>
      <c r="B82" s="15" t="n"/>
      <c r="C82" s="16" t="n"/>
    </row>
    <row r="83" ht="22" customHeight="1" s="134">
      <c r="A83" s="14" t="n"/>
      <c r="B83" s="15" t="n"/>
      <c r="C83" s="16" t="n"/>
    </row>
    <row r="84" ht="22" customHeight="1" s="134" thickBot="1">
      <c r="A84" s="17" t="inlineStr">
        <is>
          <t>（この枠に図を貼り込む。要素・矢印の追加および省略はしない）</t>
        </is>
      </c>
      <c r="B84" s="18" t="n"/>
      <c r="C84" s="19" t="n"/>
    </row>
    <row r="86" ht="21" customHeight="1" s="134" thickBot="1"/>
    <row r="87" ht="42" customHeight="1" s="134">
      <c r="A87" s="20" t="inlineStr">
        <is>
          <t>共通基盤アカウント（自社管理）— VPC なし</t>
        </is>
      </c>
      <c r="B87" s="20" t="inlineStr">
        <is>
          <t>共通基盤アカウント（つづき）</t>
        </is>
      </c>
      <c r="C87" s="21" t="inlineStr">
        <is>
          <t>インターネット</t>
        </is>
      </c>
      <c r="D87" s="22" t="inlineStr">
        <is>
          <t>インバウンド境界アカウント（他組織管理・ADR-039）</t>
        </is>
      </c>
      <c r="E87" s="23" t="inlineStr">
        <is>
          <t>各 App アカウント</t>
        </is>
      </c>
      <c r="F87" s="24" t="inlineStr">
        <is>
          <t>認証基盤（Broker アカウント）</t>
        </is>
      </c>
    </row>
    <row r="88" ht="44" customHeight="1" s="134">
      <c r="A88" s="25" t="inlineStr">
        <is>
          <t>EventBridge Scheduler
rate(1 hour)</t>
        </is>
      </c>
      <c r="B88" s="25" t="inlineStr">
        <is>
          <t>認証構成情報配置バケット S3
registry/ 台帳 + openapi/ spec</t>
        </is>
      </c>
      <c r="C88" s="26" t="inlineStr">
        <is>
          <t>インターネット</t>
        </is>
      </c>
      <c r="D88" s="27" t="inlineStr">
        <is>
          <t>アプリごとの CloudFront + WAF
Origin Protection</t>
        </is>
      </c>
      <c r="E88" s="28" t="inlineStr">
        <is>
          <t>DiscoveryReadRole
（認証構成情報 s3 read-only）</t>
        </is>
      </c>
      <c r="F88" s="29" t="inlineStr">
        <is>
          <t>Keycloak /token
client_credentials</t>
        </is>
      </c>
    </row>
    <row r="89" ht="44" customHeight="1" s="134">
      <c r="A89" s="30" t="inlineStr">
        <is>
          <t>対象検索 Lambda（VPC 外）</t>
        </is>
      </c>
      <c r="B89" s="31" t="inlineStr">
        <is>
          <t>Secrets Manager
canary-central-readonly</t>
        </is>
      </c>
      <c r="E89" s="32" t="inlineStr">
        <is>
          <t>認証構成情報連携バケット S3
monitoring.yaml + openapi.yaml</t>
        </is>
      </c>
    </row>
    <row r="90" ht="44" customHeight="1" s="134">
      <c r="A90" s="30" t="inlineStr">
        <is>
          <t>認証実装チェック Lambda（VPC 外）</t>
        </is>
      </c>
      <c r="B90" s="31" t="inlineStr">
        <is>
          <t>CloudWatch
Metrics / Alarm</t>
        </is>
      </c>
      <c r="E90" s="33" t="inlineStr">
        <is>
          <t>API GW / ALB
認証実装</t>
        </is>
      </c>
    </row>
    <row r="91" ht="44" customHeight="1" s="134">
      <c r="A91" s="34" t="inlineStr">
        <is>
          <t>アラート検知 Lambda（VPC 外）</t>
        </is>
      </c>
      <c r="B91" s="35" t="inlineStr">
        <is>
          <t>SNS P1 / P2 / P3</t>
        </is>
      </c>
    </row>
    <row r="92" ht="21" customHeight="1" s="134" thickBot="1"/>
    <row r="93" ht="42" customHeight="1" s="134">
      <c r="A93" s="36" t="inlineStr">
        <is>
          <t>アウトバウンド境界アカウント（他組織管理）</t>
        </is>
      </c>
    </row>
    <row r="94" ht="44" customHeight="1" s="134">
      <c r="A94" s="37" t="inlineStr">
        <is>
          <t>Transit Gateway + Network Firewall
ドメインフィルタ</t>
        </is>
      </c>
      <c r="B94" s="38" t="inlineStr">
        <is>
          <t>インターネット経路には接続しない（非経由。NW-2 の明示的例外、M-Q-10-3）</t>
        </is>
      </c>
    </row>
    <row r="96">
      <c r="A96" s="3" t="inlineStr">
        <is>
          <t>注記: Lambda 3 本はすべて VPC 外（Lambda マネージド網）に配置する。VPC / VPC Endpoint 群 / TGW Attachment / NAT が一切不要になる。代償として 検査の外向き HTTPS がアウトバウンド境界（NWFW）を通らない ——これは NW-2 の明示的な例外として受容し、代償統制で補う（詳細は 08_セキュリティ・IAM シート）</t>
        </is>
      </c>
    </row>
    <row r="99">
      <c r="A99" s="7" t="inlineStr">
        <is>
          <t>通信経路一覧（何が・どこを通るか）</t>
        </is>
      </c>
    </row>
    <row r="100">
      <c r="A100" s="4" t="inlineStr">
        <is>
          <t>#</t>
        </is>
      </c>
      <c r="B100" s="4" t="inlineStr">
        <is>
          <t>経路</t>
        </is>
      </c>
      <c r="C100" s="4" t="inlineStr">
        <is>
          <t>中身</t>
        </is>
      </c>
      <c r="D100" s="4" t="inlineStr">
        <is>
          <t>通る境界</t>
        </is>
      </c>
      <c r="E100" s="4" t="inlineStr">
        <is>
          <t>必要な許可</t>
        </is>
      </c>
      <c r="F100" s="4" t="n"/>
    </row>
    <row r="101" ht="63" customHeight="1" s="134">
      <c r="A101" s="5" t="inlineStr">
        <is>
          <t>A</t>
        </is>
      </c>
      <c r="B101" s="5" t="inlineStr">
        <is>
          <t>検査 → アプリ（Negative / Positive）</t>
        </is>
      </c>
      <c r="C101" s="5" t="inlineStr">
        <is>
          <t>HTTPS 443（実 UX と同一）</t>
        </is>
      </c>
      <c r="D101" s="5" t="inlineStr">
        <is>
          <t>Lambda マネージド egress → インターネット → CloudFront + WAF（In）→ API GW。Out（NWFW）は非経由（例外）</t>
        </is>
      </c>
      <c r="E101" s="5" t="inlineStr">
        <is>
          <t>なし（宛先は台帳の baseUrl のみ。代償統制あり）</t>
        </is>
      </c>
      <c r="F101" s="5" t="n"/>
    </row>
    <row r="102" ht="42" customHeight="1" s="134">
      <c r="A102" s="5" t="inlineStr">
        <is>
          <t>B</t>
        </is>
      </c>
      <c r="B102" s="5" t="inlineStr">
        <is>
          <t>検査 → 認証基盤 /token（Positive 用短命トークン）</t>
        </is>
      </c>
      <c r="C102" s="5" t="inlineStr">
        <is>
          <t>HTTPS 443</t>
        </is>
      </c>
      <c r="D102" s="5" t="inlineStr">
        <is>
          <t>同上（Out 非経由）</t>
        </is>
      </c>
      <c r="E102" s="5" t="inlineStr">
        <is>
          <t>同上（宛先は認証基盤ドメイン固定）</t>
        </is>
      </c>
      <c r="F102" s="5" t="n"/>
    </row>
    <row r="103" ht="63" customHeight="1" s="134">
      <c r="A103" s="5" t="inlineStr">
        <is>
          <t>C</t>
        </is>
      </c>
      <c r="B103" s="5" t="inlineStr">
        <is>
          <t>巡回読み取り（対象検索 Lambda → App アカウントの認証構成情報連携バケット S3）</t>
        </is>
      </c>
      <c r="C103" s="5" t="inlineStr">
        <is>
          <t>AWS API（STS AssumeRole → s3 ListObjectsV2 / ListObjectVersions / GetObject）</t>
        </is>
      </c>
      <c r="D103" s="5" t="inlineStr">
        <is>
          <t>境界非経由（AWS 網）</t>
        </is>
      </c>
      <c r="E103" s="5" t="inlineStr">
        <is>
          <t>DiscoveryReadRole</t>
        </is>
      </c>
      <c r="F103" s="5" t="n"/>
    </row>
    <row r="104" ht="42" customHeight="1" s="134">
      <c r="A104" s="5" t="inlineStr">
        <is>
          <t>D</t>
        </is>
      </c>
      <c r="B104" s="5" t="inlineStr">
        <is>
          <t>中央内部（台帳／仕様／Secrets／Metrics／通知）</t>
        </is>
      </c>
      <c r="C104" s="5" t="inlineStr">
        <is>
          <t>S3（認証構成情報配置バケット）/ Secrets / CloudWatch / SNS / Lambda 起動</t>
        </is>
      </c>
      <c r="D104" s="5" t="inlineStr">
        <is>
          <t>境界非経由（AWS 網。VPC Endpoint 不要）</t>
        </is>
      </c>
      <c r="E104" s="5" t="inlineStr">
        <is>
          <t>IAM のみ</t>
        </is>
      </c>
      <c r="F104" s="5" t="n"/>
    </row>
    <row r="107">
      <c r="A107" s="3" t="inlineStr">
        <is>
          <t>注記: 経路 A はインバウンド境界（CloudFront + WAF）を実ユーザーと同じ向きで通過する（Origin Protection を破らない検査）。In 側はバイパスしない</t>
        </is>
      </c>
    </row>
    <row r="108">
      <c r="A108" s="3" t="inlineStr">
        <is>
          <t>注記: 経路 C / D は AWS API・AWS 網内であり、インターネット境界（In / Out とも）は無関係</t>
        </is>
      </c>
    </row>
    <row r="109">
      <c r="A109" s="3" t="inlineStr">
        <is>
          <t>注記: Phase 2では認証実装チェック Lambda のみ VPC 化が必要になる（VPC + TGW で Internal ALB へ到達）。その時点で経路 A の Out 統制接続も再検討する。対象検索 Lambda と アラート検知 Lambda は Phase 2 でも VPC 外のまま</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49"/>
  <sheetViews>
    <sheetView workbookViewId="0">
      <selection activeCell="C30" sqref="C30"/>
    </sheetView>
  </sheetViews>
  <sheetFormatPr baseColWidth="10" defaultRowHeight="18"/>
  <cols>
    <col width="42.85546875" customWidth="1" style="120" min="1" max="1"/>
    <col width="25.7109375" customWidth="1" style="120" min="2" max="2"/>
    <col width="88.5703125" customWidth="1" style="120" min="3" max="3"/>
    <col width="10.7109375" customWidth="1" style="2" min="4" max="16384"/>
  </cols>
  <sheetData>
    <row r="1" ht="27" customHeight="1" s="134">
      <c r="A1" s="1" t="inlineStr">
        <is>
          <t>構成リソース一覧（中央 / App / 境界）</t>
        </is>
      </c>
    </row>
    <row r="3">
      <c r="A3" s="7" t="inlineStr">
        <is>
          <t>1. 共通基盤アカウント（中央）側</t>
        </is>
      </c>
    </row>
    <row r="4">
      <c r="A4" s="4" t="inlineStr">
        <is>
          <t>リソース</t>
        </is>
      </c>
      <c r="B4" s="4" t="inlineStr">
        <is>
          <t>AWS サービス</t>
        </is>
      </c>
      <c r="C4" s="4" t="inlineStr">
        <is>
          <t>役割</t>
        </is>
      </c>
    </row>
    <row r="5" ht="42" customHeight="1" s="134">
      <c r="A5" s="5" t="inlineStr">
        <is>
          <t>EventBridge Scheduler</t>
        </is>
      </c>
      <c r="B5" s="5" t="inlineStr">
        <is>
          <t>EventBridge</t>
        </is>
      </c>
      <c r="C5" s="5" t="inlineStr">
        <is>
          <t>定期起動の起点（2 本）。① 1 時間毎に対象検索 Lambda を起動（巡回）② 日次に認証実装チェック Lambda を mode=full で起動（全量検査（モード2）の定期実行）</t>
        </is>
      </c>
    </row>
    <row r="6" ht="63" customHeight="1" s="134">
      <c r="A6" s="5" t="inlineStr">
        <is>
          <t>対象検索 Lambda</t>
        </is>
      </c>
      <c r="B6" s="5" t="inlineStr">
        <is>
          <t>Lambda</t>
        </is>
      </c>
      <c r="C6" s="5" t="inlineStr">
        <is>
          <t>変更検知と登録の実行体（pull）。各 App アカウントの認証構成情報連携バケットを読み取り巡回し、認証構成情報（{appId}/monitoring.yaml）の発見・認証構成情報 VersionId 比較（lastArtifactVersions）・台帳登録・spec 取得を行い、変更のあったアプリの検査を起動する</t>
        </is>
      </c>
    </row>
    <row r="7" ht="84" customHeight="1" s="134">
      <c r="A7" s="5" t="inlineStr">
        <is>
          <t>認証構成情報配置バケット</t>
        </is>
      </c>
      <c r="B7" s="5" t="inlineStr">
        <is>
          <t>S3（Versioning）×1 バケット</t>
        </is>
      </c>
      <c r="C7" s="5" t="inlineStr">
        <is>
          <t>台帳 + spec コピーの一体ストア（DynamoDB は不使用）。registry/{appId}/{env}.json = 監視対象の台帳＋巡回スナップショット（baseUrl / authPattern / 通知先 / 前回確認した認証構成情報の VersionId（lastArtifactVersions）。設定値は monitoring.yaml 由来、書き手は対象検索 Lambda）。openapi/… = 認証構成情報連携バケットのデプロイ版 openapi.yaml（正本はベンダー git）のさらにコピーで、endpoint 一覧と公開印（MON-1）の情報源</t>
        </is>
      </c>
    </row>
    <row r="8" ht="42" customHeight="1" s="134">
      <c r="A8" s="5" t="inlineStr">
        <is>
          <t>認証実装チェック Lambda（認証実装確認処理）</t>
        </is>
      </c>
      <c r="B8" s="5" t="inlineStr">
        <is>
          <t>Lambda</t>
        </is>
      </c>
      <c r="C8" s="5" t="inlineStr">
        <is>
          <t>検査の実行体。台帳と仕様を読み、各 endpoint に未認証／正規の 2 種リクエストを送って認証の効き具合を確かめる</t>
        </is>
      </c>
    </row>
    <row r="9" ht="21" customHeight="1" s="134">
      <c r="A9" s="5" t="inlineStr">
        <is>
          <t>CloudWatch Metrics / アラーム</t>
        </is>
      </c>
      <c r="B9" s="5" t="inlineStr">
        <is>
          <t>CloudWatch</t>
        </is>
      </c>
      <c r="C9" s="5" t="inlineStr">
        <is>
          <t>検査結果の記録と発報。AuthCheckCritical &gt; 0 で認証漏れアラーム</t>
        </is>
      </c>
    </row>
    <row r="10" ht="21" customHeight="1" s="134">
      <c r="A10" s="5" t="inlineStr">
        <is>
          <t>アラート検知 Lambda</t>
        </is>
      </c>
      <c r="B10" s="5" t="inlineStr">
        <is>
          <t>Lambda</t>
        </is>
      </c>
      <c r="C10" s="5" t="inlineStr">
        <is>
          <t>通知の振り分け役。検知結果を 4×4 分類に従い P1/P2/P3 の宛先へ振り分ける（「全部 Security 行き」を防ぐ）</t>
        </is>
      </c>
    </row>
    <row r="11" ht="21" customHeight="1" s="134">
      <c r="A11" s="5" t="inlineStr">
        <is>
          <t>SNS（P1 / P2 / P3）</t>
        </is>
      </c>
      <c r="B11" s="5" t="inlineStr">
        <is>
          <t>SNS</t>
        </is>
      </c>
      <c r="C11" s="5" t="inlineStr">
        <is>
          <t>通知の出口。P1 = Security 即時 / P2 = Platform 24h / P3 = アプリチーム</t>
        </is>
      </c>
    </row>
    <row r="12" ht="21" customHeight="1" s="134">
      <c r="A12" s="5" t="inlineStr">
        <is>
          <t>Secrets Manager</t>
        </is>
      </c>
      <c r="B12" s="5" t="inlineStr">
        <is>
          <t>Secrets Manager</t>
        </is>
      </c>
      <c r="C12" s="5" t="inlineStr">
        <is>
          <t>正規検査用の資格情報（canary-central-readonly）。実行ごとに短命トークンを発行</t>
        </is>
      </c>
    </row>
    <row r="15" ht="21" customHeight="1" s="134">
      <c r="A15" s="9" t="inlineStr">
        <is>
          <t>2. 各 App アカウント側</t>
        </is>
      </c>
    </row>
    <row r="16">
      <c r="A16" s="4" t="inlineStr">
        <is>
          <t>リソース</t>
        </is>
      </c>
      <c r="B16" s="4" t="inlineStr">
        <is>
          <t>AWS サービス</t>
        </is>
      </c>
      <c r="C16" s="4" t="inlineStr">
        <is>
          <t>役割</t>
        </is>
      </c>
    </row>
    <row r="17" ht="42" customHeight="1" s="134">
      <c r="A17" s="5" t="inlineStr">
        <is>
          <t>Service Catalog 製品</t>
        </is>
      </c>
      <c r="B17" s="5" t="inlineStr">
        <is>
          <t>Service Catalog</t>
        </is>
      </c>
      <c r="C17" s="5" t="inlineStr">
        <is>
          <t>正規デプロイの型。認証必須・Origin Protection・タグ付与を全部込みで提供（アプリはパラメータを選ぶだけ。登録処理は含まない＝中央が発見する）</t>
        </is>
      </c>
    </row>
    <row r="18" ht="63" customHeight="1" s="134">
      <c r="A18" s="5" t="inlineStr">
        <is>
          <t>認証構成情報連携バケット</t>
        </is>
      </c>
      <c r="B18" s="5" t="inlineStr">
        <is>
          <t>S3（auth-monitoring-artifacts-{accountId}、StackSets 配布・Versioning）</t>
        </is>
      </c>
      <c r="C18" s="5" t="inlineStr">
        <is>
          <t>変更検知とメタデータの源。デプロイパイプライン最終段で monitoring.yaml（監視宣言）+ openapi.yaml（デプロイ版 spec の写し）+ 任意 deploy-info.json をアップロード。認証構成情報の VersionId 変化が自動差分検査（モード1）のトリガー</t>
        </is>
      </c>
    </row>
    <row r="19" ht="21" customHeight="1" s="134">
      <c r="A19" s="5" t="inlineStr">
        <is>
          <t>DiscoveryReadRole</t>
        </is>
      </c>
      <c r="B19" s="5" t="inlineStr">
        <is>
          <t>IAM ロール（StackSets 配布）</t>
        </is>
      </c>
      <c r="C19" s="5" t="inlineStr">
        <is>
          <t>中央からの読み取り窓口。対象検索 Lambda だけが AssumeRole でき、認証構成情報連携バケットの s3 read のみ</t>
        </is>
      </c>
    </row>
    <row r="20" ht="21" customHeight="1" s="134">
      <c r="A20" s="5" t="inlineStr">
        <is>
          <t>ArtifactUploadRole-{appId}</t>
        </is>
      </c>
      <c r="B20" s="5" t="inlineStr">
        <is>
          <t>IAM ロール（StackSets 配布）</t>
        </is>
      </c>
      <c r="C20" s="5" t="inlineStr">
        <is>
          <t>ベンダー CI からの認証構成情報アップロード窓口。{appId}/* 限定の s3:PutObject のみ（デプロイロールと分離）</t>
        </is>
      </c>
    </row>
    <row r="21" ht="21" customHeight="1" s="134">
      <c r="A21" s="5" t="inlineStr">
        <is>
          <t>API GW / ALB</t>
        </is>
      </c>
      <c r="B21" s="5" t="inlineStr">
        <is>
          <t>—</t>
        </is>
      </c>
      <c r="C21" s="5" t="inlineStr">
        <is>
          <t>検査の対象（アプリの認証実装そのもの）。検査が実際に叩く</t>
        </is>
      </c>
    </row>
    <row r="24" ht="42" customHeight="1" s="134">
      <c r="A24" s="9" t="inlineStr">
        <is>
          <t>3. ネットワーク監査アカウント側（境界、他組織管理の可能性）</t>
        </is>
      </c>
    </row>
    <row r="25">
      <c r="A25" s="4" t="inlineStr">
        <is>
          <t>リソース</t>
        </is>
      </c>
      <c r="B25" s="4" t="inlineStr">
        <is>
          <t>AWS サービス</t>
        </is>
      </c>
      <c r="C25" s="4" t="inlineStr">
        <is>
          <t>役割</t>
        </is>
      </c>
    </row>
    <row r="26" ht="42" customHeight="1" s="134">
      <c r="A26" s="5" t="inlineStr">
        <is>
          <t>アプリごとの CloudFront + WAF</t>
        </is>
      </c>
      <c r="B26" s="5" t="inlineStr">
        <is>
          <t>CloudFront / WAF</t>
        </is>
      </c>
      <c r="C26" s="5" t="inlineStr">
        <is>
          <t>インターネット境界（Origin Protection）。検査は実ユーザーと同じくここを経由して検査する（境界を破らない）</t>
        </is>
      </c>
    </row>
    <row r="29">
      <c r="A29" s="7" t="inlineStr">
        <is>
          <t>4. 1 行まとめ</t>
        </is>
      </c>
    </row>
    <row r="30" ht="210" customHeight="1" s="134">
      <c r="A30" s="39" t="inlineStr">
        <is>
          <t>アプリがデプロイ時に認証構成情報（monitoring.yaml + openapi.yaml）を認証構成情報連携バケットへアップロードすると、中央の対象検索 Lambda が 1 時間毎の巡回（認証構成情報 VersionId 比較）で見つけて台帳・仕様を自動登録し、変更のあったアプリ（自動差分検査（モード1））と日次・監査時の全量（全量検査（モード2））に認証実装チェック Lambda が実際にリクエストを投げて認証漏れを検査、問題があれば 4×4 分類で適切なチームに通知される。アプリ側に登録処理はない（モノリスも同じ）。</t>
        </is>
      </c>
    </row>
    <row r="33">
      <c r="A33" s="7" t="inlineStr">
        <is>
          <t>5. 実装状態（「検証済み」と「未実装」を混同しないための一覧）。本設計は机上でなくローカル環境で実際に走らせて検証している。</t>
        </is>
      </c>
    </row>
    <row r="34">
      <c r="A34" s="4" t="inlineStr">
        <is>
          <t>構成要素 / 実装物</t>
        </is>
      </c>
      <c r="B34" s="4" t="inlineStr">
        <is>
          <t>状態</t>
        </is>
      </c>
      <c r="C34" s="4" t="inlineStr">
        <is>
          <t>内容</t>
        </is>
      </c>
    </row>
    <row r="35" ht="42" customHeight="1" s="134">
      <c r="A35" s="5" t="inlineStr">
        <is>
          <t>central-probe-lib（probe lib）</t>
        </is>
      </c>
      <c r="B35" s="5" t="inlineStr">
        <is>
          <t>実装済み</t>
        </is>
      </c>
      <c r="C35" s="5" t="inlineStr">
        <is>
          <t>認証実装確認処理 本体（OpenAPI 動的発見、Hybrid 検証、4×4 分類）。node --test で 27 PASS（分類 16 + 検査 統合 4 + extractEndpoints 7）</t>
        </is>
      </c>
    </row>
    <row r="36" ht="21" customHeight="1" s="134">
      <c r="A36" s="5" t="inlineStr">
        <is>
          <t>alert-router-lambda</t>
        </is>
      </c>
      <c r="B36" s="5" t="inlineStr">
        <is>
          <t>実装済み</t>
        </is>
      </c>
      <c r="C36" s="5" t="inlineStr">
        <is>
          <t>4×4 分類 → SNS routing。LocalStack 3.8.1 で台帳から alertRouting.p1 を解決し SNS Publish まで検証済み</t>
        </is>
      </c>
    </row>
    <row r="37" ht="42" customHeight="1" s="134">
      <c r="A37" s="5" t="inlineStr">
        <is>
          <t>対象検索 Lambda（discovery）</t>
        </is>
      </c>
      <c r="B37" s="5" t="inlineStr">
        <is>
          <t>未実装（M-Q-17-4、Phase 3/4）</t>
        </is>
      </c>
      <c r="C37" s="5" t="inlineStr">
        <is>
          <t>巡回・差分検知・自動登録・OpenAPI pull 取得</t>
        </is>
      </c>
    </row>
    <row r="38" ht="21" customHeight="1" s="134">
      <c r="A38" s="5" t="inlineStr">
        <is>
          <t>probe lib の lib/registry.js</t>
        </is>
      </c>
      <c r="B38" s="5" t="inlineStr">
        <is>
          <t>改修待ち（M-Q-12-3）</t>
        </is>
      </c>
      <c r="C38" s="5" t="inlineStr">
        <is>
          <t>現実装は旧 DynamoDB Scan のまま。S3 台帳化に伴い S3 List/Get へ改修が必要</t>
        </is>
      </c>
    </row>
    <row r="39" ht="21" customHeight="1" s="134">
      <c r="A39" s="5" t="inlineStr">
        <is>
          <t>app-registry-lambda</t>
        </is>
      </c>
      <c r="B39" s="5" t="inlineStr">
        <is>
          <t>旧 push 型の参考実装</t>
        </is>
      </c>
      <c r="C39" s="5" t="inlineStr">
        <is>
          <t>App Registry CRUD。PutItem / 正規化ロジックは対象検索 Lambda に流用予定。現行構成要素ではない</t>
        </is>
      </c>
    </row>
    <row r="40" ht="21" customHeight="1" s="134">
      <c r="A40" s="5" t="inlineStr">
        <is>
          <t>openapi-export-lambda</t>
        </is>
      </c>
      <c r="B40" s="5" t="inlineStr">
        <is>
          <t>旧 push 型の参考実装</t>
        </is>
      </c>
      <c r="C40" s="5" t="inlineStr">
        <is>
          <t>get-export → S3 Put。ロジックは対象検索 Lambda に流用予定。現行構成要素ではない</t>
        </is>
      </c>
    </row>
    <row r="41" ht="42" customHeight="1" s="134">
      <c r="A41" s="5" t="inlineStr">
        <is>
          <t>full orchestration E2E（認証実装チェック Lambda E2E / 正規検査 / metrics 着地）</t>
        </is>
      </c>
      <c r="B41" s="5" t="inlineStr">
        <is>
          <t>未実施（SAM local or 実 AWS 要）</t>
        </is>
      </c>
      <c r="C41" s="5" t="inlineStr">
        <is>
          <t>ロジックは検証済み。残るは AWS 環境依存の full-run。要 PoC 項目あり</t>
        </is>
      </c>
    </row>
    <row r="42" ht="42" customHeight="1" s="134">
      <c r="A42" s="5" t="inlineStr">
        <is>
          <t>静的解析ルール（cfn-guard 3 + Semgrep 3）</t>
        </is>
      </c>
      <c r="B42" s="5" t="inlineStr">
        <is>
          <t>フィクスチャ検証済み</t>
        </is>
      </c>
      <c r="C42" s="5" t="inlineStr">
        <is>
          <t>ローカル検証で実バグ 2 件を修正。静的解析自体は本機構のスコープ外（別領域）だが、本設計のローカル検証範囲に含む</t>
        </is>
      </c>
    </row>
    <row r="45">
      <c r="A45" s="7" t="inlineStr">
        <is>
          <t>6. Runtime / SDK</t>
        </is>
      </c>
    </row>
    <row r="46">
      <c r="A46" s="4" t="inlineStr">
        <is>
          <t>対象</t>
        </is>
      </c>
      <c r="B46" s="4" t="inlineStr">
        <is>
          <t>バージョン</t>
        </is>
      </c>
      <c r="C46" s="4" t="inlineStr">
        <is>
          <t>備考</t>
        </is>
      </c>
    </row>
    <row r="47" ht="21" customHeight="1" s="134">
      <c r="A47" s="5" t="inlineStr">
        <is>
          <t>認証実装チェック Lambda（現行）</t>
        </is>
      </c>
      <c r="B47" s="5" t="inlineStr">
        <is>
          <t>Node.js 22 / AWS SDK v3</t>
        </is>
      </c>
      <c r="C47" s="5" t="inlineStr">
        <is>
          <t>probe lib を実行、synthetics 抽象は https 実装で注入</t>
        </is>
      </c>
    </row>
    <row r="48" ht="21" customHeight="1" s="134">
      <c r="A48" s="5" t="inlineStr">
        <is>
          <t>対象検索 Lambda</t>
        </is>
      </c>
      <c r="B48" s="5" t="inlineStr">
        <is>
          <t>Node.js 22 / AWS SDK v3</t>
        </is>
      </c>
      <c r="C48" s="5" t="inlineStr">
        <is>
          <t>Organizations 列挙 + 読み取り AssumeRole + 認証構成情報 VersionId 比較</t>
        </is>
      </c>
    </row>
    <row r="49" ht="21" customHeight="1" s="134">
      <c r="A49" s="5" t="inlineStr">
        <is>
          <t>アラート検知 Lambda</t>
        </is>
      </c>
      <c r="B49" s="5" t="inlineStr">
        <is>
          <t>Node.js 22 / AWS SDK v3</t>
        </is>
      </c>
      <c r="C49" s="5" t="inlineStr">
        <is>
          <t>4×4 分類に基づく SNS Publish</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21"/>
  <sheetViews>
    <sheetView topLeftCell="A47" workbookViewId="0">
      <selection activeCell="D77" sqref="D77"/>
    </sheetView>
  </sheetViews>
  <sheetFormatPr baseColWidth="10" defaultRowHeight="18"/>
  <cols>
    <col width="35.7109375" customWidth="1" style="120" min="1" max="1"/>
    <col width="27.140625" customWidth="1" style="120" min="2" max="2"/>
    <col width="34.28515625" customWidth="1" style="120" min="3" max="3"/>
    <col width="74.28515625" customWidth="1" style="120" min="4" max="4"/>
    <col width="48.5703125" customWidth="1" style="120" min="5" max="5"/>
    <col width="35.7109375" customWidth="1" style="120" min="6" max="6"/>
    <col width="10.7109375" customWidth="1" style="2" min="7" max="16384"/>
  </cols>
  <sheetData>
    <row r="1" ht="27" customHeight="1" s="134">
      <c r="A1" s="1" t="inlineStr">
        <is>
          <t>処理フロー（巡回 ①〜⑦ / 検査シーケンス / エンドツーエンド）</t>
        </is>
      </c>
    </row>
    <row r="3" ht="21" customHeight="1" s="134" thickBot="1">
      <c r="A3" s="7" t="inlineStr">
        <is>
          <t>図4. 巡回フロー（自動差分検査（モード1） トリガー）</t>
        </is>
      </c>
    </row>
    <row r="4" ht="22" customHeight="1" s="134">
      <c r="A4" s="11" t="inlineStr">
        <is>
          <t>【図4 巡回フロー（①〜⑦ + 新規発見・消滅検知） 挿入位置】</t>
        </is>
      </c>
      <c r="B4" s="12" t="n"/>
      <c r="C4" s="13" t="n"/>
    </row>
    <row r="5" ht="22" customHeight="1" s="134">
      <c r="A5" s="14" t="inlineStr">
        <is>
          <t>描くべき内容: EventBridge（1h）→ 対象検索 Lambda。①Organizations 列挙 ②AssumeRole（認証構成情報 s3 read-only）③認証構成情報 List（{appId}/ プレフィックス）④認証構成情報 VersionId 取得 ⑤lastArtifactVersions 比較 ⑥GetObject（monitoring.yaml / openapi.yaml）→ 台帳更新・spec Put ⑦自動差分検査（モード1）起動 → lastArtifactVersions 更新。新規発見・消滅検知・メタ不足／認証構成情報 staleness の分岐</t>
        </is>
      </c>
      <c r="B5" s="15" t="n"/>
      <c r="C5" s="16" t="n"/>
    </row>
    <row r="6" ht="22" customHeight="1" s="134">
      <c r="A6" s="14" t="n"/>
      <c r="B6" s="15" t="n"/>
      <c r="C6" s="16" t="n"/>
    </row>
    <row r="7" ht="22" customHeight="1" s="134" thickBot="1">
      <c r="A7" s="17" t="inlineStr">
        <is>
          <t>（この枠に図を貼り込む。要素・矢印の追加および省略はしない）</t>
        </is>
      </c>
      <c r="B7" s="18" t="n"/>
      <c r="C7" s="19" t="n"/>
    </row>
    <row r="9">
      <c r="A9" s="4" t="inlineStr">
        <is>
          <t>ステップ</t>
        </is>
      </c>
      <c r="B9" s="4" t="inlineStr">
        <is>
          <t>主体</t>
        </is>
      </c>
      <c r="C9" s="4" t="inlineStr">
        <is>
          <t>相手</t>
        </is>
      </c>
      <c r="D9" s="4" t="inlineStr">
        <is>
          <t>内容</t>
        </is>
      </c>
      <c r="E9" s="4" t="n"/>
    </row>
    <row r="10" ht="42" customHeight="1" s="134">
      <c r="A10" s="5" t="inlineStr">
        <is>
          <t>① 列挙</t>
        </is>
      </c>
      <c r="B10" s="5" t="inlineStr">
        <is>
          <t>対象検索 Lambda</t>
        </is>
      </c>
      <c r="C10" s="5" t="inlineStr">
        <is>
          <t>AWS Organizations</t>
        </is>
      </c>
      <c r="D10" s="5" t="inlineStr">
        <is>
          <t>対象 App アカウントを列挙（⚠ organizations:ListAccounts は管理アカウント限定のため列挙方式は M-Q-17-2 で確定）</t>
        </is>
      </c>
      <c r="E10" s="5" t="n"/>
    </row>
    <row r="11" ht="42" customHeight="1" s="134">
      <c r="A11" s="5" t="inlineStr">
        <is>
          <t>② AssumeRole</t>
        </is>
      </c>
      <c r="B11" s="5" t="inlineStr">
        <is>
          <t>対象検索 Lambda</t>
        </is>
      </c>
      <c r="C11" s="5" t="inlineStr">
        <is>
          <t>各 App アカウント</t>
        </is>
      </c>
      <c r="D11" s="5" t="inlineStr">
        <is>
          <t>各アカウントに StackSets 配布済みの読み取り専用ロール（認証構成情報連携バケットの s3 read のみ）で入る</t>
        </is>
      </c>
      <c r="E11" s="5" t="n"/>
    </row>
    <row r="12" ht="42" customHeight="1" s="134">
      <c r="A12" s="5" t="inlineStr">
        <is>
          <t>③ 認証構成情報列挙</t>
        </is>
      </c>
      <c r="B12" s="5" t="inlineStr">
        <is>
          <t>対象検索 Lambda</t>
        </is>
      </c>
      <c r="C12" s="5" t="inlineStr">
        <is>
          <t>App アカウントの認証構成情報連携バケット</t>
        </is>
      </c>
      <c r="D12" s="5" t="inlineStr">
        <is>
          <t>認証構成情報連携バケットの {appId}/ プレフィックスを List。{appId}/monitoring.yaml が置かれている = 監視対象</t>
        </is>
      </c>
      <c r="E12" s="5" t="n"/>
    </row>
    <row r="13" ht="21" customHeight="1" s="134">
      <c r="A13" s="5" t="inlineStr">
        <is>
          <t>④ バージョン取得</t>
        </is>
      </c>
      <c r="B13" s="5" t="inlineStr">
        <is>
          <t>対象検索 Lambda</t>
        </is>
      </c>
      <c r="C13" s="5" t="inlineStr">
        <is>
          <t>App アカウントの認証構成情報連携バケット</t>
        </is>
      </c>
      <c r="D13" s="5" t="inlineStr">
        <is>
          <t>monitoring.yaml / openapi.yaml の VersionId（と ETag）を取得</t>
        </is>
      </c>
      <c r="E13" s="5" t="n"/>
    </row>
    <row r="14" ht="42" customHeight="1" s="134">
      <c r="A14" s="5" t="inlineStr">
        <is>
          <t>⑤ 差分判定</t>
        </is>
      </c>
      <c r="B14" s="5" t="inlineStr">
        <is>
          <t>対象検索 Lambda</t>
        </is>
      </c>
      <c r="C14" s="5" t="inlineStr">
        <is>
          <t>認証構成情報配置バケット S3</t>
        </is>
      </c>
      <c r="D14" s="5" t="inlineStr">
        <is>
          <t>台帳の lastArtifactVersions と比較。違えば「前回確認から認証構成情報が更新された = 新しい版がデプロイされた」</t>
        </is>
      </c>
      <c r="E14" s="5" t="n"/>
    </row>
    <row r="15" ht="42" customHeight="1" s="134">
      <c r="A15" s="5" t="inlineStr">
        <is>
          <t>⑥ 内容取得</t>
        </is>
      </c>
      <c r="B15" s="5" t="inlineStr">
        <is>
          <t>対象検索 Lambda</t>
        </is>
      </c>
      <c r="C15" s="5" t="inlineStr">
        <is>
          <t>App アカウントの認証構成情報連携バケット / 認証構成情報配置バケット S3</t>
        </is>
      </c>
      <c r="D15" s="5" t="inlineStr">
        <is>
          <t>変化したアプリのみ GetObject で monitoring.yaml / openapi.yaml を取得し、台帳更新・OpenAPI Registry へ Put</t>
        </is>
      </c>
      <c r="E15" s="5" t="n"/>
    </row>
    <row r="16" ht="42" customHeight="1" s="134">
      <c r="A16" s="5" t="inlineStr">
        <is>
          <t>⑦ 自動差分検査（モード1）起動</t>
        </is>
      </c>
      <c r="B16" s="5" t="inlineStr">
        <is>
          <t>対象検索 Lambda</t>
        </is>
      </c>
      <c r="C16" s="5" t="inlineStr">
        <is>
          <t>認証実装チェック Lambda</t>
        </is>
      </c>
      <c r="D16" s="5" t="inlineStr">
        <is>
          <t>変化のあったアプリを対象に認証実装チェック Lambda を invoke（{mode:'delta', appId, env}）。完了後 lastArtifactVersions を更新</t>
        </is>
      </c>
      <c r="E16" s="5" t="n"/>
    </row>
    <row r="17" ht="21" customHeight="1" s="134">
      <c r="A17" s="5" t="inlineStr">
        <is>
          <t>新規発見</t>
        </is>
      </c>
      <c r="B17" s="5" t="inlineStr">
        <is>
          <t>対象検索 Lambda</t>
        </is>
      </c>
      <c r="C17" s="5" t="inlineStr">
        <is>
          <t>認証構成情報配置バケット S3</t>
        </is>
      </c>
      <c r="D17" s="5" t="inlineStr">
        <is>
          <t>台帳に無い {appId}/monitoring.yaml は自動登録。「登録漏れ」という概念自体が消える</t>
        </is>
      </c>
      <c r="E17" s="5" t="n"/>
    </row>
    <row r="18" ht="21" customHeight="1" s="134">
      <c r="A18" s="5" t="inlineStr">
        <is>
          <t>消滅検知</t>
        </is>
      </c>
      <c r="B18" s="5" t="inlineStr">
        <is>
          <t>対象検索 Lambda</t>
        </is>
      </c>
      <c r="C18" s="5" t="inlineStr">
        <is>
          <t>認証構成情報配置バケット S3</t>
        </is>
      </c>
      <c r="D18" s="5" t="inlineStr">
        <is>
          <t>認証構成情報（monitoring.yaml）の削除は台帳を enabled=false に（棚卸しアラート）</t>
        </is>
      </c>
      <c r="E18" s="5" t="n"/>
    </row>
    <row r="19" ht="21" customHeight="1" s="134">
      <c r="A19" s="5" t="inlineStr">
        <is>
          <t>（分岐）</t>
        </is>
      </c>
      <c r="B19" s="5" t="inlineStr">
        <is>
          <t>対象検索 Lambda</t>
        </is>
      </c>
      <c r="C19" s="5" t="inlineStr">
        <is>
          <t>メタ不足アラート</t>
        </is>
      </c>
      <c r="D19" s="5" t="inlineStr">
        <is>
          <t>monitoring.yaml 不備 / 認証構成情報 staleness の場合</t>
        </is>
      </c>
      <c r="E19" s="5" t="n"/>
    </row>
    <row r="20" ht="105" customHeight="1" s="134">
      <c r="A20" s="5" t="inlineStr">
        <is>
          <t>注記: 変更検知の単位は認証構成情報オブジェクト。マルチパートアップロードでは ETag が MD5 と一致しないため、VersionId 主・ETag 副で比較する（認証構成情報連携バケットは Versioning 必須）。</t>
        </is>
      </c>
      <c r="B20" s="5" t="n"/>
      <c r="C20" s="5" t="n"/>
      <c r="D20" s="5" t="n"/>
      <c r="E20" s="5" t="n"/>
    </row>
    <row r="21">
      <c r="A21" s="40" t="n"/>
      <c r="B21" s="40" t="n"/>
      <c r="C21" s="40" t="n"/>
      <c r="D21" s="40" t="n"/>
      <c r="E21" s="40" t="n"/>
    </row>
    <row r="22">
      <c r="A22" s="40" t="n"/>
      <c r="B22" s="40" t="n"/>
      <c r="C22" s="40" t="n"/>
      <c r="D22" s="40" t="n"/>
      <c r="E22" s="40" t="n"/>
    </row>
    <row r="23" ht="21" customHeight="1" s="134">
      <c r="A23" s="9" t="inlineStr">
        <is>
          <t>認証構成情報とデプロイの関係</t>
        </is>
      </c>
    </row>
    <row r="24" ht="21" customHeight="1" s="134">
      <c r="A24" s="41" t="inlineStr">
        <is>
          <t>観点</t>
        </is>
      </c>
      <c r="B24" s="41" t="inlineStr">
        <is>
          <t>現行仕様</t>
        </is>
      </c>
      <c r="C24" s="41" t="n"/>
    </row>
    <row r="25" ht="126" customHeight="1" s="134">
      <c r="A25" s="5" t="inlineStr">
        <is>
          <t>認証構成情報</t>
        </is>
      </c>
      <c r="B25" s="5" t="inlineStr">
        <is>
          <t>認証構成情報はデプロイされた版の写しであり、git のブランチ・コミットの概念は中央からは見えない（追跡が必要な場合は任意の deploy-info.json に commitId 等を書ける）</t>
        </is>
      </c>
      <c r="C25" s="5" t="n"/>
    </row>
    <row r="26" ht="105" customHeight="1" s="134">
      <c r="A26" s="5" t="inlineStr">
        <is>
          <t>probe 範囲</t>
        </is>
      </c>
      <c r="B26" s="5" t="inlineStr">
        <is>
          <t>アプリ単位の全 endpoint（endpoint 単位に絞らない。認証 middleware 削除は差分からどの endpoint に効くか判定できないため）</t>
        </is>
      </c>
      <c r="C26" s="5" t="n"/>
    </row>
    <row r="27">
      <c r="A27" s="5" t="n"/>
      <c r="B27" s="5" t="n"/>
      <c r="C27" s="5" t="n"/>
    </row>
    <row r="31" ht="21" customHeight="1" s="134" thickBot="1">
      <c r="A31" s="7" t="inlineStr">
        <is>
          <t>図5. 検査シーケンス（1 回の実行）</t>
        </is>
      </c>
    </row>
    <row r="32" ht="22" customHeight="1" s="134">
      <c r="A32" s="11" t="inlineStr">
        <is>
          <t>【図5 検査シーケンス（1 回の実行 ①〜⑨） 挿入位置】</t>
        </is>
      </c>
      <c r="B32" s="12" t="n"/>
      <c r="C32" s="13" t="n"/>
    </row>
    <row r="33" ht="22" customHeight="1" s="134">
      <c r="A33" s="14" t="inlineStr">
        <is>
          <t>描くべき内容: ①台帳 scan ②spec fetch ③extractEndpoints ④未認証検査 ⑤正規検査 ⑥分類 ⑦アラート検知 Lambda 起動 ⑧putMetrics ⑨AuthCheckCritical。アプリループと endpoint ループの入れ子を明示</t>
        </is>
      </c>
      <c r="B33" s="15" t="n"/>
      <c r="C33" s="16" t="n"/>
    </row>
    <row r="34" ht="22" customHeight="1" s="134">
      <c r="A34" s="14" t="n"/>
      <c r="B34" s="15" t="n"/>
      <c r="C34" s="16" t="n"/>
    </row>
    <row r="35" ht="22" customHeight="1" s="134" thickBot="1">
      <c r="A35" s="17" t="inlineStr">
        <is>
          <t>（この枠に図を貼り込む。要素・矢印の追加および省略はしない）</t>
        </is>
      </c>
      <c r="B35" s="18" t="n"/>
      <c r="C35" s="19" t="n"/>
    </row>
    <row r="37">
      <c r="A37" s="4" t="inlineStr">
        <is>
          <t>#</t>
        </is>
      </c>
      <c r="B37" s="4" t="inlineStr">
        <is>
          <t>主体</t>
        </is>
      </c>
      <c r="C37" s="4" t="inlineStr">
        <is>
          <t>相手</t>
        </is>
      </c>
      <c r="D37" s="4" t="inlineStr">
        <is>
          <t>処理</t>
        </is>
      </c>
      <c r="E37" s="4" t="n"/>
    </row>
    <row r="38" ht="21" customHeight="1" s="134">
      <c r="A38" s="5" t="inlineStr">
        <is>
          <t>①</t>
        </is>
      </c>
      <c r="B38" s="5" t="inlineStr">
        <is>
          <t>認証実装確認処理</t>
        </is>
      </c>
      <c r="C38" s="5" t="inlineStr">
        <is>
          <t>App Registry（S3 台帳）</t>
        </is>
      </c>
      <c r="D38" s="5" t="inlineStr">
        <is>
          <t>scanEnabledApps（enabled=true）</t>
        </is>
      </c>
      <c r="E38" s="5" t="n"/>
    </row>
    <row r="39" ht="21" customHeight="1" s="134">
      <c r="A39" s="5" t="inlineStr">
        <is>
          <t>②</t>
        </is>
      </c>
      <c r="B39" s="5" t="inlineStr">
        <is>
          <t>認証実装確認処理</t>
        </is>
      </c>
      <c r="C39" s="5" t="inlineStr">
        <is>
          <t>OpenAPI Registry S3</t>
        </is>
      </c>
      <c r="D39" s="5" t="inlineStr">
        <is>
          <t>（各アプリのループ）fetchSpec（openApiS3Key）</t>
        </is>
      </c>
      <c r="E39" s="5" t="n"/>
    </row>
    <row r="40" ht="21" customHeight="1" s="134">
      <c r="A40" s="5" t="inlineStr">
        <is>
          <t>③</t>
        </is>
      </c>
      <c r="B40" s="5" t="inlineStr">
        <is>
          <t>認証実装確認処理</t>
        </is>
      </c>
      <c r="C40" s="5" t="inlineStr">
        <is>
          <t>認証実装確認処理</t>
        </is>
      </c>
      <c r="D40" s="5" t="inlineStr">
        <is>
          <t>extractEndpoints（アノテーション解釈）</t>
        </is>
      </c>
      <c r="E40" s="5" t="n"/>
    </row>
    <row r="41" ht="21" customHeight="1" s="134">
      <c r="A41" s="5" t="inlineStr">
        <is>
          <t>④</t>
        </is>
      </c>
      <c r="B41" s="5" t="inlineStr">
        <is>
          <t>認証実装確認処理</t>
        </is>
      </c>
      <c r="C41" s="5" t="inlineStr">
        <is>
          <t>アプリ CloudFront</t>
        </is>
      </c>
      <c r="D41" s="5" t="inlineStr">
        <is>
          <t>（各 endpoint のループ）未認証検査（認証ヘッダなし）</t>
        </is>
      </c>
      <c r="E41" s="5" t="n"/>
    </row>
    <row r="42" ht="21" customHeight="1" s="134">
      <c r="A42" s="5" t="inlineStr">
        <is>
          <t>⑤</t>
        </is>
      </c>
      <c r="B42" s="5" t="inlineStr">
        <is>
          <t>認証実装確認処理</t>
        </is>
      </c>
      <c r="C42" s="5" t="inlineStr">
        <is>
          <t>アプリ CloudFront</t>
        </is>
      </c>
      <c r="D42" s="5" t="inlineStr">
        <is>
          <t>正規検査（Bearer 等、対象時のみ）</t>
        </is>
      </c>
      <c r="E42" s="5" t="n"/>
    </row>
    <row r="43" ht="21" customHeight="1" s="134">
      <c r="A43" s="5" t="inlineStr">
        <is>
          <t>⑥</t>
        </is>
      </c>
      <c r="B43" s="5" t="inlineStr">
        <is>
          <t>認証実装確認処理</t>
        </is>
      </c>
      <c r="C43" s="5" t="inlineStr">
        <is>
          <t>認証実装確認処理</t>
        </is>
      </c>
      <c r="D43" s="5" t="inlineStr">
        <is>
          <t>分類（4×4 真偽値表）</t>
        </is>
      </c>
      <c r="E43" s="5" t="n"/>
    </row>
    <row r="44" ht="21" customHeight="1" s="134">
      <c r="A44" s="5" t="inlineStr">
        <is>
          <t>⑦</t>
        </is>
      </c>
      <c r="B44" s="5" t="inlineStr">
        <is>
          <t>認証実装確認処理</t>
        </is>
      </c>
      <c r="C44" s="5" t="inlineStr">
        <is>
          <t>アラート検知 Lambda</t>
        </is>
      </c>
      <c r="D44" s="5" t="inlineStr">
        <is>
          <t>severity != OK のとき 起動AlertRouter</t>
        </is>
      </c>
      <c r="E44" s="5" t="n"/>
    </row>
    <row r="45" ht="21" customHeight="1" s="134">
      <c r="A45" s="5" t="inlineStr">
        <is>
          <t>⑧</t>
        </is>
      </c>
      <c r="B45" s="5" t="inlineStr">
        <is>
          <t>認証実装確認処理</t>
        </is>
      </c>
      <c r="C45" s="5" t="inlineStr">
        <is>
          <t>CloudWatch</t>
        </is>
      </c>
      <c r="D45" s="5" t="inlineStr">
        <is>
          <t>putMetrics（per-app 集計）</t>
        </is>
      </c>
      <c r="E45" s="5" t="n"/>
    </row>
    <row r="46" ht="21" customHeight="1" s="134">
      <c r="A46" s="5" t="inlineStr">
        <is>
          <t>⑨</t>
        </is>
      </c>
      <c r="B46" s="5" t="inlineStr">
        <is>
          <t>認証実装確認処理</t>
        </is>
      </c>
      <c r="C46" s="5" t="inlineStr">
        <is>
          <t>認証実装確認処理</t>
        </is>
      </c>
      <c r="D46" s="5" t="inlineStr">
        <is>
          <t>CRITICAL があれば AuthCheckCritical 発火</t>
        </is>
      </c>
      <c r="E46" s="5" t="n"/>
    </row>
    <row r="48" ht="84" customHeight="1" s="134">
      <c r="A48" s="39" t="inlineStr">
        <is>
          <t>実装対応: index.js（ハンドラ）+ lib/registry.js（①）+ lib/openapi.js（②③）+ lib/probe.js（④⑤）+ lib/classify.js（⑥）+ lib/emit.js（⑦⑧）</t>
        </is>
      </c>
    </row>
    <row r="50" ht="43" customHeight="1" s="134" thickBot="1">
      <c r="A50" s="9" t="inlineStr">
        <is>
          <t>図6. エンドツーエンド フロー（deploy → 検知 → 通知 → 是正）</t>
        </is>
      </c>
    </row>
    <row r="51" ht="22" customHeight="1" s="134">
      <c r="A51" s="11" t="inlineStr">
        <is>
          <t>【図6 エンドツーエンド フロー（①〜⑧） 挿入位置】</t>
        </is>
      </c>
      <c r="B51" s="12" t="n"/>
      <c r="C51" s="13" t="n"/>
    </row>
    <row r="52" ht="22" customHeight="1" s="134">
      <c r="A52" s="14" t="inlineStr">
        <is>
          <t>描くべき内容: ①デプロイ &amp; 認証構成情報アップロード（静的解析 pass）②巡回発見（認証構成情報 VersionId 比較・最大 1h）③自動差分検査（モード1）自動 / 全量検査（モード2、日次+手動）④検査 ⑤分類（OK は Metrics のみ・それ以外は ⑥ へ）⑥アラート検知 Lambda ⑦通知 P1 / P2 / P3 ⑧是正 SLA。担当章の帯を添える</t>
        </is>
      </c>
      <c r="B52" s="15" t="n"/>
      <c r="C52" s="16" t="n"/>
    </row>
    <row r="53" ht="22" customHeight="1" s="134">
      <c r="A53" s="14" t="n"/>
      <c r="B53" s="15" t="n"/>
      <c r="C53" s="16" t="n"/>
    </row>
    <row r="54" ht="22" customHeight="1" s="134" thickBot="1">
      <c r="A54" s="17" t="inlineStr">
        <is>
          <t>（この枠に図を貼り込む。要素・矢印の追加および省略はしない）</t>
        </is>
      </c>
      <c r="B54" s="18" t="n"/>
      <c r="C54" s="19" t="n"/>
    </row>
    <row r="56">
      <c r="A56" s="4" t="inlineStr">
        <is>
          <t>#</t>
        </is>
      </c>
      <c r="B56" s="4" t="inlineStr">
        <is>
          <t>段階</t>
        </is>
      </c>
      <c r="C56" s="4" t="inlineStr">
        <is>
          <t>内容</t>
        </is>
      </c>
      <c r="D56" s="4" t="n"/>
      <c r="E56" s="4" t="n"/>
    </row>
    <row r="57" ht="21" customHeight="1" s="134">
      <c r="A57" s="5" t="inlineStr">
        <is>
          <t>①</t>
        </is>
      </c>
      <c r="B57" s="5" t="inlineStr">
        <is>
          <t>デプロイ &amp; 認証構成情報アップロード</t>
        </is>
      </c>
      <c r="C57" s="5" t="inlineStr">
        <is>
          <t>静的解析 pass</t>
        </is>
      </c>
      <c r="D57" s="5" t="n"/>
      <c r="E57" s="5" t="n"/>
    </row>
    <row r="58" ht="21" customHeight="1" s="134">
      <c r="A58" s="5" t="inlineStr">
        <is>
          <t>②</t>
        </is>
      </c>
      <c r="B58" s="5" t="inlineStr">
        <is>
          <t>巡回発見（認証構成情報 VersionId 比較）</t>
        </is>
      </c>
      <c r="C58" s="5" t="inlineStr">
        <is>
          <t>最大 1h 後に検知・登録・spec 取得</t>
        </is>
      </c>
      <c r="D58" s="5" t="n"/>
      <c r="E58" s="5" t="n"/>
    </row>
    <row r="59" ht="42" customHeight="1" s="134">
      <c r="A59" s="5" t="inlineStr">
        <is>
          <t>③</t>
        </is>
      </c>
      <c r="B59" s="5" t="inlineStr">
        <is>
          <t>起動</t>
        </is>
      </c>
      <c r="C59" s="5" t="inlineStr">
        <is>
          <t>自動差分検査（モード1）起動（自動）／ 全量検査（モード2） フル（手動）</t>
        </is>
      </c>
      <c r="D59" s="5" t="n"/>
      <c r="E59" s="5" t="n"/>
    </row>
    <row r="60" ht="21" customHeight="1" s="134">
      <c r="A60" s="5" t="inlineStr">
        <is>
          <t>④</t>
        </is>
      </c>
      <c r="B60" s="5" t="inlineStr">
        <is>
          <t>検査</t>
        </is>
      </c>
      <c r="C60" s="5" t="inlineStr">
        <is>
          <t>Negative + Positive</t>
        </is>
      </c>
      <c r="D60" s="5" t="n"/>
      <c r="E60" s="5" t="n"/>
    </row>
    <row r="61" ht="42" customHeight="1" s="134">
      <c r="A61" s="5" t="inlineStr">
        <is>
          <t>⑤</t>
        </is>
      </c>
      <c r="B61" s="5" t="inlineStr">
        <is>
          <t>分類</t>
        </is>
      </c>
      <c r="C61" s="5" t="inlineStr">
        <is>
          <t>4×4 真偽値表。OK → Metrics 記録のみ／CRITICAL・WARN・INFO → ⑥へ</t>
        </is>
      </c>
      <c r="D61" s="5" t="n"/>
      <c r="E61" s="5" t="n"/>
    </row>
    <row r="62" ht="21" customHeight="1" s="134">
      <c r="A62" s="5" t="inlineStr">
        <is>
          <t>⑥</t>
        </is>
      </c>
      <c r="B62" s="5" t="inlineStr">
        <is>
          <t>アラート検知 Lambda</t>
        </is>
      </c>
      <c r="C62" s="5" t="inlineStr">
        <is>
          <t>分類結果の振り分け</t>
        </is>
      </c>
      <c r="D62" s="5" t="n"/>
      <c r="E62" s="5" t="n"/>
    </row>
    <row r="63" ht="21" customHeight="1" s="134">
      <c r="A63" s="5" t="inlineStr">
        <is>
          <t>⑦</t>
        </is>
      </c>
      <c r="B63" s="5" t="inlineStr">
        <is>
          <t>通知</t>
        </is>
      </c>
      <c r="C63" s="5" t="inlineStr">
        <is>
          <t>P1 Security / P2 Platform / P3 App</t>
        </is>
      </c>
      <c r="D63" s="5" t="n"/>
      <c r="E63" s="5" t="n"/>
    </row>
    <row r="64" ht="21" customHeight="1" s="134">
      <c r="A64" s="5" t="inlineStr">
        <is>
          <t>⑧</t>
        </is>
      </c>
      <c r="B64" s="5" t="inlineStr">
        <is>
          <t>是正</t>
        </is>
      </c>
      <c r="C64" s="5" t="inlineStr">
        <is>
          <t>SLA 内</t>
        </is>
      </c>
      <c r="D64" s="5" t="n"/>
      <c r="E64" s="5" t="n"/>
    </row>
    <row r="66" ht="105" customHeight="1" s="134">
      <c r="A66" s="39" t="inlineStr">
        <is>
          <t>注記: 静的解析をすり抜けた認証漏れを、稼働後に ④〜⑧ で捕捉するのが本機構の存在意義。①〜③はライフサイクル、④〜⑤の 1 実行内の詳細は図5 の検査シーケンスに示す。</t>
        </is>
      </c>
    </row>
    <row r="69">
      <c r="A69" s="7" t="inlineStr">
        <is>
          <t>具体的ユースケース（OpenAPI → 検査 → 分類 → alert）</t>
        </is>
      </c>
    </row>
    <row r="70">
      <c r="A70" s="4" t="inlineStr">
        <is>
          <t>ケース</t>
        </is>
      </c>
      <c r="B70" s="4" t="inlineStr">
        <is>
          <t>Negative</t>
        </is>
      </c>
      <c r="C70" s="4" t="inlineStr">
        <is>
          <t>Positive</t>
        </is>
      </c>
      <c r="D70" s="4" t="inlineStr">
        <is>
          <t>分類</t>
        </is>
      </c>
      <c r="E70" s="4" t="inlineStr">
        <is>
          <t>アラート</t>
        </is>
      </c>
    </row>
    <row r="71" ht="21" customHeight="1" s="134">
      <c r="A71" s="5" t="inlineStr">
        <is>
          <t>1 標準的な JWT API（正常）</t>
        </is>
      </c>
      <c r="B71" s="5" t="n">
        <v>401</v>
      </c>
      <c r="C71" s="5" t="n">
        <v>200</v>
      </c>
      <c r="D71" s="5" t="inlineStr">
        <is>
          <t>OK</t>
        </is>
      </c>
      <c r="E71" s="5" t="inlineStr">
        <is>
          <t>なし</t>
        </is>
      </c>
    </row>
    <row r="72" ht="42" customHeight="1" s="134">
      <c r="A72" s="5" t="inlineStr">
        <is>
          <t>2 認証漏れ（AuthorizationType=NONE でデプロイ）</t>
        </is>
      </c>
      <c r="B72" s="5" t="n">
        <v>200</v>
      </c>
      <c r="C72" s="5" t="inlineStr">
        <is>
          <t>—</t>
        </is>
      </c>
      <c r="D72" s="5" t="inlineStr">
        <is>
          <t>CRITICAL / P1</t>
        </is>
      </c>
      <c r="E72" s="5" t="inlineStr">
        <is>
          <t>Security 即時</t>
        </is>
      </c>
    </row>
    <row r="73" ht="21" customHeight="1" s="134">
      <c r="A73" s="5" t="inlineStr">
        <is>
          <t>3 test token 失効</t>
        </is>
      </c>
      <c r="B73" s="5" t="n">
        <v>401</v>
      </c>
      <c r="C73" s="5" t="n">
        <v>401</v>
      </c>
      <c r="D73" s="5" t="inlineStr">
        <is>
          <t>WARN / P2</t>
        </is>
      </c>
      <c r="E73" s="5" t="inlineStr">
        <is>
          <t>Platform</t>
        </is>
      </c>
    </row>
    <row r="74" ht="21" customHeight="1" s="134">
      <c r="A74" s="5" t="inlineStr">
        <is>
          <t>4 Cookie モノリス（正常）</t>
        </is>
      </c>
      <c r="B74" s="5" t="n">
        <v>302</v>
      </c>
      <c r="C74" s="5" t="inlineStr">
        <is>
          <t>—</t>
        </is>
      </c>
      <c r="D74" s="5" t="inlineStr">
        <is>
          <t>OK</t>
        </is>
      </c>
      <c r="E74" s="5" t="inlineStr">
        <is>
          <t>なし</t>
        </is>
      </c>
    </row>
    <row r="75" ht="21" customHeight="1" s="134">
      <c r="A75" s="5" t="inlineStr">
        <is>
          <t>4' Cookie モノリス（漏れ）</t>
        </is>
      </c>
      <c r="B75" s="5" t="n">
        <v>200</v>
      </c>
      <c r="C75" s="5" t="inlineStr">
        <is>
          <t>—</t>
        </is>
      </c>
      <c r="D75" s="5" t="inlineStr">
        <is>
          <t>CRITICAL / P1</t>
        </is>
      </c>
      <c r="E75" s="5" t="inlineStr">
        <is>
          <t>Security</t>
        </is>
      </c>
    </row>
    <row r="77" ht="63" customHeight="1" s="134">
      <c r="A77" s="39" t="inlineStr">
        <is>
          <t>注記: ケース 3 は Negative だけなら「401 で OK」と誤判定していた。Positive 併用で「認証 OK だがテストが壊れている」を分離する</t>
        </is>
      </c>
    </row>
    <row r="79">
      <c r="A79" s="42" t="inlineStr">
        <is>
          <t>詳細通信フロー（構成図作成用：アカウント × リソース × 経由エンドポイント）</t>
        </is>
      </c>
    </row>
    <row r="80" ht="168" customHeight="1" s="134">
      <c r="A80" s="39" t="inlineStr">
        <is>
          <t>通信経路 A〜D を、構成図に矢印を引ける粒度（ステップごとの発信元 / 宛先 / 経由エンドポイント / 認証）まで分解する。リージョンは例として ap-northeast-1。VPC 外 Lambda の通信は AWS API 宛 = AWS 網内、インターネット宛（検査 / token）= Lambda マネージド egress から直接（アウトバウンド境界は非経由）。</t>
        </is>
      </c>
    </row>
    <row r="82">
      <c r="A82" s="7" t="inlineStr">
        <is>
          <t>F1. 認証構成情報連携フロー（CI 認証構成情報アップロード → 巡回検知 → 自動差分検査（モード1）起動）</t>
        </is>
      </c>
    </row>
    <row r="83">
      <c r="A83" s="4" t="inlineStr">
        <is>
          <t>#</t>
        </is>
      </c>
      <c r="B83" s="4" t="inlineStr">
        <is>
          <t>通信</t>
        </is>
      </c>
      <c r="C83" s="4" t="inlineStr">
        <is>
          <t>発信元（アカウント / リソース）</t>
        </is>
      </c>
      <c r="D83" s="4" t="inlineStr">
        <is>
          <t>宛先（アカウント / リソース）</t>
        </is>
      </c>
      <c r="E83" s="4" t="inlineStr">
        <is>
          <t>経由・エンドポイント</t>
        </is>
      </c>
      <c r="F83" s="4" t="inlineStr">
        <is>
          <t>プロトコル・認証</t>
        </is>
      </c>
    </row>
    <row r="84" ht="42" customHeight="1" s="134">
      <c r="A84" s="5" t="inlineStr">
        <is>
          <t>W1</t>
        </is>
      </c>
      <c r="B84" s="5" t="inlineStr">
        <is>
          <t>認証構成情報アップロード</t>
        </is>
      </c>
      <c r="C84" s="5" t="inlineStr">
        <is>
          <t>App / ベンダー CI（ArtifactUploadRole-{appId} を Assume、デプロイ成功後）</t>
        </is>
      </c>
      <c r="D84" s="5" t="inlineStr">
        <is>
          <t>App / 認証構成情報連携バケット S3（{appId}/ プレフィックス）</t>
        </is>
      </c>
      <c r="E84" s="5" t="inlineStr">
        <is>
          <t>s3.ap-northeast-1.amazonaws.com</t>
        </is>
      </c>
      <c r="F84" s="5" t="inlineStr">
        <is>
          <t>443、s3:PutObject（{appId}/* 限定）</t>
        </is>
      </c>
    </row>
    <row r="85" ht="42" customHeight="1" s="134">
      <c r="A85" s="5" t="inlineStr">
        <is>
          <t>W2</t>
        </is>
      </c>
      <c r="B85" s="5" t="inlineStr">
        <is>
          <t>定期起動</t>
        </is>
      </c>
      <c r="C85" s="5" t="inlineStr">
        <is>
          <t>共通基盤 / EventBridge Scheduler</t>
        </is>
      </c>
      <c r="D85" s="5" t="inlineStr">
        <is>
          <t>共通基盤 / 対象検索 Lambda</t>
        </is>
      </c>
      <c r="E85" s="5" t="inlineStr">
        <is>
          <t>AWS サービス間（Scheduler → lambda.ap-northeast-1.amazonaws.com）</t>
        </is>
      </c>
      <c r="F85" s="5" t="inlineStr">
        <is>
          <t>Scheduler 実行ロールで 起動</t>
        </is>
      </c>
    </row>
    <row r="86" ht="105" customHeight="1" s="134">
      <c r="A86" s="5" t="inlineStr">
        <is>
          <t>W3</t>
        </is>
      </c>
      <c r="B86" s="5" t="inlineStr">
        <is>
          <t>対象アカウント列挙</t>
        </is>
      </c>
      <c r="C86" s="5" t="inlineStr">
        <is>
          <t>共通基盤 / 対象検索 Lambda</t>
        </is>
      </c>
      <c r="D86" s="5" t="inlineStr">
        <is>
          <t>方式未確定（M-Q-17-2）</t>
        </is>
      </c>
      <c r="E86" s="5" t="inlineStr">
        <is>
          <t>※ organizations:ListAccounts は管理アカウント（or delegated admin）でしか呼べない → 案 a: 管理アカウントの列挙用ロールへ AssumeRole（organizations.us-east-1.amazonaws.com、グローバル）/ 案 b: 静的リスト（SSM / 設定ファイル）</t>
        </is>
      </c>
      <c r="F86" s="5" t="inlineStr">
        <is>
          <t>443、IAM</t>
        </is>
      </c>
    </row>
    <row r="87" ht="42" customHeight="1" s="134">
      <c r="A87" s="5" t="inlineStr">
        <is>
          <t>W4</t>
        </is>
      </c>
      <c r="B87" s="5" t="inlineStr">
        <is>
          <t>AssumeRole</t>
        </is>
      </c>
      <c r="C87" s="5" t="inlineStr">
        <is>
          <t>共通基盤 / 対象検索 Lambda（DiscoveryLambdaRole）</t>
        </is>
      </c>
      <c r="D87" s="5" t="inlineStr">
        <is>
          <t>App / DiscoveryReadRole</t>
        </is>
      </c>
      <c r="E87" s="5" t="inlineStr">
        <is>
          <t>sts.ap-northeast-1.amazonaws.com（リージョナル STS）</t>
        </is>
      </c>
      <c r="F87" s="5" t="inlineStr">
        <is>
          <t>443、sts:AssumeRole + ExternalId</t>
        </is>
      </c>
    </row>
    <row r="88" ht="63" customHeight="1" s="134">
      <c r="A88" s="5" t="inlineStr">
        <is>
          <t>W5</t>
        </is>
      </c>
      <c r="B88" s="5" t="inlineStr">
        <is>
          <t>認証構成情報列挙・VersionId 取得</t>
        </is>
      </c>
      <c r="C88" s="5" t="inlineStr">
        <is>
          <t>共通基盤 / 対象検索 Lambda（DiscoveryReadRole の一時クレデンシャル）</t>
        </is>
      </c>
      <c r="D88" s="5" t="inlineStr">
        <is>
          <t>App / 認証構成情報連携バケット S3（{appId}/ プレフィックス）</t>
        </is>
      </c>
      <c r="E88" s="5" t="inlineStr">
        <is>
          <t>s3.ap-northeast-1.amazonaws.com</t>
        </is>
      </c>
      <c r="F88" s="5" t="inlineStr">
        <is>
          <t>443、ListObjectsV2 / ListObjectVersions</t>
        </is>
      </c>
    </row>
    <row r="89" ht="42" customHeight="1" s="134">
      <c r="A89" s="5" t="inlineStr">
        <is>
          <t>W6</t>
        </is>
      </c>
      <c r="B89" s="5" t="inlineStr">
        <is>
          <t>台帳読取</t>
        </is>
      </c>
      <c r="C89" s="5" t="inlineStr">
        <is>
          <t>共通基盤 / 対象検索 Lambda</t>
        </is>
      </c>
      <c r="D89" s="5" t="inlineStr">
        <is>
          <t>共通基盤 / 認証構成情報配置バケット S3 registry/</t>
        </is>
      </c>
      <c r="E89" s="5" t="inlineStr">
        <is>
          <t>s3.ap-northeast-1.amazonaws.com</t>
        </is>
      </c>
      <c r="F89" s="5" t="inlineStr">
        <is>
          <t>443、GetObject（同一アカウント IAM。lastArtifactVersions 比較）</t>
        </is>
      </c>
    </row>
    <row r="90" ht="42" customHeight="1" s="134">
      <c r="A90" s="5" t="inlineStr">
        <is>
          <t>W7</t>
        </is>
      </c>
      <c r="B90" s="5" t="inlineStr">
        <is>
          <t>認証構成情報取得</t>
        </is>
      </c>
      <c r="C90" s="5" t="inlineStr">
        <is>
          <t>共通基盤 / 対象検索 Lambda</t>
        </is>
      </c>
      <c r="D90" s="5" t="inlineStr">
        <is>
          <t>App / 認証構成情報連携バケット S3</t>
        </is>
      </c>
      <c r="E90" s="5" t="inlineStr">
        <is>
          <t>s3.ap-northeast-1.amazonaws.com</t>
        </is>
      </c>
      <c r="F90" s="5" t="inlineStr">
        <is>
          <t>443、GetObject（monitoring.yaml・openapi.yaml）</t>
        </is>
      </c>
    </row>
    <row r="91" ht="21" customHeight="1" s="134">
      <c r="A91" s="5" t="inlineStr">
        <is>
          <t>W8</t>
        </is>
      </c>
      <c r="B91" s="5" t="inlineStr">
        <is>
          <t>台帳更新 + spec 配置</t>
        </is>
      </c>
      <c r="C91" s="5" t="inlineStr">
        <is>
          <t>共通基盤 / 対象検索 Lambda</t>
        </is>
      </c>
      <c r="D91" s="5" t="inlineStr">
        <is>
          <t>共通基盤 / 認証構成情報配置バケット S3（registry/ + openapi/）</t>
        </is>
      </c>
      <c r="E91" s="5" t="inlineStr">
        <is>
          <t>s3.ap-northeast-1.amazonaws.com</t>
        </is>
      </c>
      <c r="F91" s="5" t="inlineStr">
        <is>
          <t>443、PutObject</t>
        </is>
      </c>
    </row>
    <row r="92" ht="21" customHeight="1" s="134">
      <c r="A92" s="5" t="inlineStr">
        <is>
          <t>W9</t>
        </is>
      </c>
      <c r="B92" s="5" t="inlineStr">
        <is>
          <t>自動差分検査（モード1）起動</t>
        </is>
      </c>
      <c r="C92" s="5" t="inlineStr">
        <is>
          <t>共通基盤 / 対象検索 Lambda</t>
        </is>
      </c>
      <c r="D92" s="5" t="inlineStr">
        <is>
          <t>共通基盤 / 認証実装チェック Lambda</t>
        </is>
      </c>
      <c r="E92" s="5" t="inlineStr">
        <is>
          <t>lambda.ap-northeast-1.amazonaws.com</t>
        </is>
      </c>
      <c r="F92" s="5" t="inlineStr">
        <is>
          <t>443、lambda:InvokeFunction</t>
        </is>
      </c>
    </row>
    <row r="94">
      <c r="A94" s="3" t="inlineStr">
        <is>
          <t>構成図のポイント: W1 は App アカウントの認証構成情報連携バケットへの書き込みで完結（ベンダー CI → 自アプリ prefix のみ）。W4 / W5 / W7 だけがアカウント跨ぎ（共通基盤 → App）で、すべて AWS API（インバウンド／アウトバウンド境界とも非経由）。W5 / W7 は App アカウントの DiscoveryReadRole の権限（認証構成情報 s3 read-only）で実行する。</t>
        </is>
      </c>
    </row>
    <row r="96" ht="42" customHeight="1" s="134">
      <c r="A96" s="9" t="inlineStr">
        <is>
          <t>F2. 検査（検査）フロー — 自動差分検査（モード1） / 全量検査（モード2）の 1 実行</t>
        </is>
      </c>
    </row>
    <row r="97">
      <c r="A97" s="4" t="inlineStr">
        <is>
          <t>#</t>
        </is>
      </c>
      <c r="B97" s="4" t="inlineStr">
        <is>
          <t>通信</t>
        </is>
      </c>
      <c r="C97" s="4" t="inlineStr">
        <is>
          <t>発信元（アカウント / リソース）</t>
        </is>
      </c>
      <c r="D97" s="4" t="inlineStr">
        <is>
          <t>宛先（アカウント / リソース）</t>
        </is>
      </c>
      <c r="E97" s="4" t="inlineStr">
        <is>
          <t>経由・エンドポイント</t>
        </is>
      </c>
      <c r="F97" s="4" t="inlineStr">
        <is>
          <t>プロトコル・認証</t>
        </is>
      </c>
    </row>
    <row r="98" ht="63" customHeight="1" s="134">
      <c r="A98" s="5" t="inlineStr">
        <is>
          <t>P1</t>
        </is>
      </c>
      <c r="B98" s="5" t="inlineStr">
        <is>
          <t>台帳・spec 取得</t>
        </is>
      </c>
      <c r="C98" s="5" t="inlineStr">
        <is>
          <t>共通基盤 / 認証実装チェック Lambda</t>
        </is>
      </c>
      <c r="D98" s="5" t="inlineStr">
        <is>
          <t>共通基盤 / 認証構成情報配置バケット S3</t>
        </is>
      </c>
      <c r="E98" s="5" t="inlineStr">
        <is>
          <t>s3.ap-northeast-1.amazonaws.com（自動差分検査（モード1） = 対象 1 件 Get / 全量検査（モード2） = registry/ List → Get）</t>
        </is>
      </c>
      <c r="F98" s="5" t="inlineStr">
        <is>
          <t>443、IAM</t>
        </is>
      </c>
    </row>
    <row r="99" ht="21" customHeight="1" s="134">
      <c r="A99" s="5" t="inlineStr">
        <is>
          <t>P2</t>
        </is>
      </c>
      <c r="B99" s="5" t="inlineStr">
        <is>
          <t>クライアント資格情報取得</t>
        </is>
      </c>
      <c r="C99" s="5" t="inlineStr">
        <is>
          <t>共通基盤 / 認証実装チェック Lambda</t>
        </is>
      </c>
      <c r="D99" s="5" t="inlineStr">
        <is>
          <t>共通基盤 / Secrets Manager（canary-central-readonly）</t>
        </is>
      </c>
      <c r="E99" s="5" t="inlineStr">
        <is>
          <t>secretsmanager.ap-northeast-1.amazonaws.com</t>
        </is>
      </c>
      <c r="F99" s="5" t="inlineStr">
        <is>
          <t>443、IAM（+ KMS）</t>
        </is>
      </c>
    </row>
    <row r="100" ht="63" customHeight="1" s="134">
      <c r="A100" s="5" t="inlineStr">
        <is>
          <t>P3</t>
        </is>
      </c>
      <c r="B100" s="5" t="inlineStr">
        <is>
          <t>短命トークン取得（Positive 用）</t>
        </is>
      </c>
      <c r="C100" s="5" t="inlineStr">
        <is>
          <t>共通基盤 / 認証実装チェック Lambda</t>
        </is>
      </c>
      <c r="D100" s="5" t="inlineStr">
        <is>
          <t>Broker（認証基盤）/ Keycloak 公開 /token</t>
        </is>
      </c>
      <c r="E100" s="5" t="inlineStr">
        <is>
          <t>Lambda マネージド egress → インターネット → 認証基盤の公開エンドポイント（認証基盤側の境界・経路はそちらの設計に従う）</t>
        </is>
      </c>
      <c r="F100" s="5" t="inlineStr">
        <is>
          <t>443、OAuth client_credentials</t>
        </is>
      </c>
    </row>
    <row r="101" ht="84" customHeight="1" s="134">
      <c r="A101" s="5" t="inlineStr">
        <is>
          <t>P4</t>
        </is>
      </c>
      <c r="B101" s="5" t="inlineStr">
        <is>
          <t>Negative / 正規検査</t>
        </is>
      </c>
      <c r="C101" s="5" t="inlineStr">
        <is>
          <t>共通基盤 / 認証実装チェック Lambda</t>
        </is>
      </c>
      <c r="D101" s="5" t="inlineStr">
        <is>
          <t>App / API GW・ALB（ただし直接ではない）</t>
        </is>
      </c>
      <c r="E101" s="5" t="inlineStr">
        <is>
          <t>Lambda マネージド egress → インターネット → ネットワーク監査 / アプリごとの CloudFront + WAF → Origin Protection（X-Origin-Verify + prefix list）→ App / API GW（execute-api リージョナル）or ALB</t>
        </is>
      </c>
      <c r="F101" s="5" t="inlineStr">
        <is>
          <t>443。Negative = 認証ヘッダなし / Positive = Bearer（P3 のトークン）</t>
        </is>
      </c>
    </row>
    <row r="102" ht="21" customHeight="1" s="134">
      <c r="A102" s="5" t="inlineStr">
        <is>
          <t>P5</t>
        </is>
      </c>
      <c r="B102" s="5" t="inlineStr">
        <is>
          <t>メトリクス発行</t>
        </is>
      </c>
      <c r="C102" s="5" t="inlineStr">
        <is>
          <t>共通基盤 / 認証実装チェック Lambda</t>
        </is>
      </c>
      <c r="D102" s="5" t="inlineStr">
        <is>
          <t>共通基盤 / CloudWatch Metrics（APIPlatform/AuthCheck）</t>
        </is>
      </c>
      <c r="E102" s="5" t="inlineStr">
        <is>
          <t>monitoring.ap-northeast-1.amazonaws.com</t>
        </is>
      </c>
      <c r="F102" s="5" t="inlineStr">
        <is>
          <t>443、PutMetricData</t>
        </is>
      </c>
    </row>
    <row r="103" ht="42" customHeight="1" s="134">
      <c r="A103" s="5" t="inlineStr">
        <is>
          <t>P6</t>
        </is>
      </c>
      <c r="B103" s="5" t="inlineStr">
        <is>
          <t>検知イベント送付（severity ≠ OK 時）</t>
        </is>
      </c>
      <c r="C103" s="5" t="inlineStr">
        <is>
          <t>共通基盤 / 認証実装チェック Lambda</t>
        </is>
      </c>
      <c r="D103" s="5" t="inlineStr">
        <is>
          <t>共通基盤 / アラート検知 Lambda</t>
        </is>
      </c>
      <c r="E103" s="5" t="inlineStr">
        <is>
          <t>lambda.ap-northeast-1.amazonaws.com</t>
        </is>
      </c>
      <c r="F103" s="5" t="inlineStr">
        <is>
          <t>443、lambda:InvokeFunction</t>
        </is>
      </c>
    </row>
    <row r="105" ht="147" customHeight="1" s="134">
      <c r="A105" s="39" t="inlineStr">
        <is>
          <t>構成図のポイント: 検査（P4）だけがインバウンド境界（ネットワーク監査アカウントの CloudFront + WAF）を通る。P4 の最終宛先は App アカウントだが、矢印は必ず CloudFront を経由させて描く（直接 App へ引かない）。P3 / P4 はアウトバウンド境界（NWFW）を通らない（明示的例外）。</t>
        </is>
      </c>
    </row>
    <row r="107" ht="22" customHeight="1" s="134" thickBot="1">
      <c r="A107" s="9" t="inlineStr">
        <is>
          <t>F3. 発報（アラート）フロー — 2 系統</t>
        </is>
      </c>
    </row>
    <row r="108" ht="21" customHeight="1" s="134">
      <c r="A108" s="11" t="inlineStr">
        <is>
          <t>【図14 発報フロー（2 系統） 挿入位置】</t>
        </is>
      </c>
      <c r="B108" s="12" t="n"/>
      <c r="C108" s="13" t="n"/>
    </row>
    <row r="109" ht="147" customHeight="1" s="134">
      <c r="A109" s="14" t="inlineStr">
        <is>
          <t>描くべき内容: 即時系（N1 分類 済みイベント 起動 → N2 alertRouting 解決（S3 registry/ Get）→ N3 SNS P1/P2/P3 Publish → N4 各チーム配信）と、保険系（N5 PutMetricData → CloudWatch AuthCheckCritical → N6 アラーム（&gt;0）→ SNS P1）の 2 系統を両方描く</t>
        </is>
      </c>
      <c r="B109" s="15" t="n"/>
      <c r="C109" s="16" t="n"/>
    </row>
    <row r="110" ht="85" customHeight="1" s="134" thickBot="1">
      <c r="A110" s="17" t="inlineStr">
        <is>
          <t>（この枠に図を貼り込む。即時系が落ちても検知を失わない構図と、すべて共通基盤アカウント内で完結し境界・App アカウントが関与しないことを明示する）</t>
        </is>
      </c>
      <c r="B110" s="18" t="n"/>
      <c r="C110" s="19" t="n"/>
    </row>
    <row r="113">
      <c r="A113" s="4" t="inlineStr">
        <is>
          <t>#</t>
        </is>
      </c>
      <c r="B113" s="4" t="inlineStr">
        <is>
          <t>通信</t>
        </is>
      </c>
      <c r="C113" s="4" t="inlineStr">
        <is>
          <t>発信元</t>
        </is>
      </c>
      <c r="D113" s="4" t="inlineStr">
        <is>
          <t>宛先</t>
        </is>
      </c>
      <c r="E113" s="4" t="inlineStr">
        <is>
          <t>経由・エンドポイント</t>
        </is>
      </c>
      <c r="F113" s="4" t="inlineStr">
        <is>
          <t>備考</t>
        </is>
      </c>
    </row>
    <row r="114" ht="21" customHeight="1" s="134">
      <c r="A114" s="5" t="inlineStr">
        <is>
          <t>N1</t>
        </is>
      </c>
      <c r="B114" s="5" t="inlineStr">
        <is>
          <t>検知イベント（即時系）</t>
        </is>
      </c>
      <c r="C114" s="5" t="inlineStr">
        <is>
          <t>共通基盤 / 認証実装チェック Lambda</t>
        </is>
      </c>
      <c r="D114" s="5" t="inlineStr">
        <is>
          <t>共通基盤 / アラート検知 Lambda</t>
        </is>
      </c>
      <c r="E114" s="5" t="inlineStr">
        <is>
          <t>lambda.ap-northeast-1.amazonaws.com</t>
        </is>
      </c>
      <c r="F114" s="5" t="inlineStr">
        <is>
          <t>4×4 分類済み（Alert イベント形式）</t>
        </is>
      </c>
    </row>
    <row r="115" ht="21" customHeight="1" s="134">
      <c r="A115" s="5" t="inlineStr">
        <is>
          <t>N2</t>
        </is>
      </c>
      <c r="B115" s="5" t="inlineStr">
        <is>
          <t>通知先解決</t>
        </is>
      </c>
      <c r="C115" s="5" t="inlineStr">
        <is>
          <t>共通基盤 / アラート検知 Lambda</t>
        </is>
      </c>
      <c r="D115" s="5" t="inlineStr">
        <is>
          <t>共通基盤 / S3 registry/{appId}/{env}.json</t>
        </is>
      </c>
      <c r="E115" s="5" t="inlineStr">
        <is>
          <t>s3.ap-northeast-1.amazonaws.com</t>
        </is>
      </c>
      <c r="F115" s="5" t="inlineStr">
        <is>
          <t>alertRouting → 無ければ環境変数デフォルト</t>
        </is>
      </c>
    </row>
    <row r="116" ht="42" customHeight="1" s="134">
      <c r="A116" s="5" t="inlineStr">
        <is>
          <t>N3</t>
        </is>
      </c>
      <c r="B116" s="5" t="inlineStr">
        <is>
          <t>通知発行</t>
        </is>
      </c>
      <c r="C116" s="5" t="inlineStr">
        <is>
          <t>共通基盤 / アラート検知 Lambda</t>
        </is>
      </c>
      <c r="D116" s="5" t="inlineStr">
        <is>
          <t>共通基盤 / SNS トピック P1 / P2 / P3</t>
        </is>
      </c>
      <c r="E116" s="5" t="inlineStr">
        <is>
          <t>sns.ap-northeast-1.amazonaws.com</t>
        </is>
      </c>
      <c r="F116" s="5" t="inlineStr">
        <is>
          <t>severity で振り分け（P1 = Security 即時 / P2 = Platform 24h / P3 = App）</t>
        </is>
      </c>
    </row>
    <row r="117" ht="21" customHeight="1" s="134">
      <c r="A117" s="5" t="inlineStr">
        <is>
          <t>N4</t>
        </is>
      </c>
      <c r="B117" s="5" t="inlineStr">
        <is>
          <t>配信</t>
        </is>
      </c>
      <c r="C117" s="5" t="inlineStr">
        <is>
          <t>共通基盤 / SNS</t>
        </is>
      </c>
      <c r="D117" s="5" t="inlineStr">
        <is>
          <t>各チーム（メール / AWS Chatbot → Slack 等）</t>
        </is>
      </c>
      <c r="E117" s="5" t="inlineStr">
        <is>
          <t>SNS サブスクリプション</t>
        </is>
      </c>
      <c r="F117" s="5" t="inlineStr">
        <is>
          <t>接続方式は M-Q-15-1</t>
        </is>
      </c>
    </row>
    <row r="118" ht="21" customHeight="1" s="134">
      <c r="A118" s="5" t="inlineStr">
        <is>
          <t>N5</t>
        </is>
      </c>
      <c r="B118" s="5" t="inlineStr">
        <is>
          <t>メトリクス（保険系）</t>
        </is>
      </c>
      <c r="C118" s="5" t="inlineStr">
        <is>
          <t>共通基盤 / 認証実装チェック Lambda</t>
        </is>
      </c>
      <c r="D118" s="5" t="inlineStr">
        <is>
          <t>共通基盤 / CloudWatch</t>
        </is>
      </c>
      <c r="E118" s="5" t="inlineStr">
        <is>
          <t>monitoring.ap-northeast-1.amazonaws.com</t>
        </is>
      </c>
      <c r="F118" s="5" t="inlineStr">
        <is>
          <t>P5 と同一</t>
        </is>
      </c>
    </row>
    <row r="119" ht="42" customHeight="1" s="134">
      <c r="A119" s="5" t="inlineStr">
        <is>
          <t>N6</t>
        </is>
      </c>
      <c r="B119" s="5" t="inlineStr">
        <is>
          <t>アラーム発報</t>
        </is>
      </c>
      <c r="C119" s="5" t="inlineStr">
        <is>
          <t>共通基盤 / CloudWatch アラーム（AuthCheckCritical &gt; 0）</t>
        </is>
      </c>
      <c r="D119" s="5" t="inlineStr">
        <is>
          <t>共通基盤 / SNS（P1）</t>
        </is>
      </c>
      <c r="E119" s="5" t="inlineStr">
        <is>
          <t>CloudWatch → SNS（サービス間）</t>
        </is>
      </c>
      <c r="F119" s="5" t="inlineStr">
        <is>
          <t>即時系（N1〜N4）が落ちても検知を失わない保険</t>
        </is>
      </c>
    </row>
    <row r="121" ht="126" customHeight="1" s="134">
      <c r="A121" s="39" t="inlineStr">
        <is>
          <t>構成図のポイント: 発報は即時系（N1〜N4: アラート検知 Lambda 経由・アプリ別の宛先解決あり）と保険系（N5〜N6: メトリクス → アラーム・宛先固定）の 2 系統を両方描く。すべて共通基盤アカウント内で完結し、境界・App アカウントは関与しない。</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09"/>
  <sheetViews>
    <sheetView topLeftCell="A69" workbookViewId="0">
      <selection activeCell="C27" sqref="C27"/>
    </sheetView>
  </sheetViews>
  <sheetFormatPr baseColWidth="10" defaultRowHeight="18"/>
  <cols>
    <col width="32.85546875" customWidth="1" style="120" min="1" max="1"/>
    <col width="60" customWidth="1" style="120" min="2" max="2"/>
    <col width="70.5703125" customWidth="1" style="120" min="3" max="3"/>
    <col width="28.5703125" customWidth="1" style="120" min="4" max="4"/>
    <col width="27.140625" customWidth="1" style="120" min="5" max="5"/>
    <col width="10.7109375" customWidth="1" style="2" min="6" max="16384"/>
  </cols>
  <sheetData>
    <row r="1" ht="27" customHeight="1" s="134">
      <c r="A1" s="1" t="inlineStr">
        <is>
          <t>検査の実行タイミング（トリガー）設計 — いつ・何をきっかけに検査が走るか</t>
        </is>
      </c>
    </row>
    <row r="2" ht="27" customHeight="1" s="134">
      <c r="A2" s="43" t="inlineStr">
        <is>
          <t>自動差分検査（モード1）= 1 時間毎の巡回で「変更があった」と検知されたアプリを自動検査（認証構成情報連携バケットの認証構成情報 VersionId 比較）</t>
        </is>
      </c>
    </row>
    <row r="3" ht="27" customHeight="1" s="134">
      <c r="A3" s="43" t="inlineStr">
        <is>
          <t>全量検査（モード2）= 全アプリ・全量を 日次の定期自動実行＋監査時などの随時手動実行 で検査</t>
        </is>
      </c>
    </row>
    <row r="4" ht="27" customHeight="1" s="134">
      <c r="A4" s="44" t="inlineStr">
        <is>
          <t>heartbeat 型検査（旧 M2、重要 endpoint への 5-15 分 probe）は廃止（2026-08-20）。シグナルなし変化は日次全量が受け、重要 endpoint の選定が不要になった</t>
        </is>
      </c>
    </row>
    <row r="5" ht="27" customHeight="1" s="134">
      <c r="A5" s="45" t="inlineStr">
        <is>
          <t>検査が「どう動くか」は 05_処理フロー、「いつ動くか」は本シート</t>
        </is>
      </c>
    </row>
    <row r="6" ht="27" customHeight="1" s="134">
      <c r="A6" s="1" t="n"/>
    </row>
    <row r="7">
      <c r="A7" s="3" t="inlineStr">
        <is>
          <t>実行基盤は Lambda、モードは自動差分検査（モード1）+ 全量検査（モード2）の 2 つ。heartbeat 型検査（旧 M2）は廃止。</t>
        </is>
      </c>
    </row>
    <row r="9" ht="21" customHeight="1" s="134" thickBot="1">
      <c r="A9" s="7" t="inlineStr">
        <is>
          <t>1. モード一覧</t>
        </is>
      </c>
    </row>
    <row r="10" ht="22" customHeight="1" s="134">
      <c r="A10" s="46" t="inlineStr">
        <is>
          <t>【図7 実行モードの時間軸と 検査 範囲 挿入位置】</t>
        </is>
      </c>
      <c r="B10" s="12" t="n"/>
      <c r="C10" s="13" t="n"/>
    </row>
    <row r="11" ht="22" customHeight="1" s="134">
      <c r="A11" s="47" t="inlineStr">
        <is>
          <t>描くべき内容: 横軸を時間として、自動差分検査（モード1） = 1 時間毎の巡回（読み取り）と変更検知時のみ検査（変更アプリの全 endpoint）／全量検査（モード2） = 日次定期＋随時手動・全アプリ全 endpoint を並べ、検知遅延 最大 1 時間（モード1）／最大 24 時間（モード2）を明示。heartbeat 型検査（旧 M2）は廃止済みのため描かない</t>
        </is>
      </c>
      <c r="B11" s="15" t="n"/>
      <c r="C11" s="16" t="n"/>
    </row>
    <row r="12" ht="22" customHeight="1" s="134">
      <c r="A12" s="47" t="n"/>
      <c r="B12" s="15" t="n"/>
      <c r="C12" s="16" t="n"/>
    </row>
    <row r="13" ht="22" customHeight="1" s="134" thickBot="1">
      <c r="A13" s="48" t="inlineStr">
        <is>
          <t>（この枠に図を貼り込む。要素・矢印の追加および省略はしない）</t>
        </is>
      </c>
      <c r="B13" s="18" t="n"/>
      <c r="C13" s="19" t="n"/>
    </row>
    <row r="15">
      <c r="A15" s="4" t="inlineStr">
        <is>
          <t>モード</t>
        </is>
      </c>
      <c r="B15" s="4" t="inlineStr">
        <is>
          <t>トリガ</t>
        </is>
      </c>
      <c r="C15" s="4" t="inlineStr">
        <is>
          <t>範囲</t>
        </is>
      </c>
      <c r="D15" s="4" t="inlineStr">
        <is>
          <t>頻度</t>
        </is>
      </c>
      <c r="E15" s="4" t="inlineStr">
        <is>
          <t>状態</t>
        </is>
      </c>
    </row>
    <row r="16" ht="42" customHeight="1" s="134">
      <c r="A16" s="5" t="inlineStr">
        <is>
          <t>自動差分検査（モード1）</t>
        </is>
      </c>
      <c r="B16" s="5" t="inlineStr">
        <is>
          <t>中央巡回（対象検索 Lambda が 1 時間毎に各 App アカウントの認証構成情報連携バケットを読み取り、認証構成情報 VersionId の変化を確認）</t>
        </is>
      </c>
      <c r="C16" s="5" t="inlineStr">
        <is>
          <t>変更のあったアプリの全 endpoint</t>
        </is>
      </c>
      <c r="D16" s="5" t="inlineStr">
        <is>
          <t>1 時間毎（検知遅延 最大 1h）</t>
        </is>
      </c>
      <c r="E16" s="5" t="inlineStr">
        <is>
          <t>Phase 1</t>
        </is>
      </c>
    </row>
    <row r="17" ht="21" customHeight="1" s="134">
      <c r="A17" s="5" t="inlineStr">
        <is>
          <t>全量検査（モード2）</t>
        </is>
      </c>
      <c r="B17" s="5" t="inlineStr">
        <is>
          <t>日次定期（EventBridge Scheduler）+ 運用者の手動（随時）</t>
        </is>
      </c>
      <c r="C17" s="5" t="inlineStr">
        <is>
          <t>全アプリ全 endpoint</t>
        </is>
      </c>
      <c r="D17" s="5" t="inlineStr">
        <is>
          <t>日次 + オンデマンド</t>
        </is>
      </c>
      <c r="E17" s="5" t="inlineStr">
        <is>
          <t>Phase 1</t>
        </is>
      </c>
    </row>
    <row r="20">
      <c r="A20" s="42" t="inlineStr">
        <is>
          <t>2. 自動差分検査（モード1）の巡回と heartbeat 型検査（旧 M2）の違い（heartbeat 型を廃止した理由）</t>
        </is>
      </c>
    </row>
    <row r="21">
      <c r="A21" s="3" t="inlineStr">
        <is>
          <t>・自動差分検査（モード1）の巡回は「認証構成情報連携バケットの読み取り」（VersionId 比較）であり、検査（HTTP 検査）は変更のあったアプリだけに飛ぶ。heartbeat 型検査（旧 M2）は「endpoint への検査を常時定期実行」する別物で、重要 endpoint の定義がないと全量検査の重さに戻る。</t>
        </is>
      </c>
    </row>
    <row r="22">
      <c r="A22" s="3" t="inlineStr">
        <is>
          <t>・その重要 endpoint の定義・維持はアプリチームとの業務会話に依存し（全 GET か / 認証必須のみか / 業務上の重要度か）、コストが検知価値に見合わない。全量なら選定自体が不要になる。</t>
        </is>
      </c>
    </row>
    <row r="23">
      <c r="A23" s="3" t="inlineStr">
        <is>
          <t>・自動差分検査（モード1）で「認証構成情報の更新 = 新しい版がデプロイされた事実」を最大 1 時間遅れで捕捉でき、全量検査（モード2、日次定期＋手動）で「網羅確認」ができるため、常時検査がなくても認証漏れの主要な入り口は塞げる。</t>
        </is>
      </c>
    </row>
    <row r="24">
      <c r="A24" s="3" t="inlineStr">
        <is>
          <t>・したがって heartbeat 型検査（旧 M2）は廃止（2026-08-20、D-M-18-3）。シグナルなしの変化は全量検査（モード2）の日次定期実行が最大 24 時間で受け、設定レベルの即時性は Config Rules（L2）が受け持つ。</t>
        </is>
      </c>
    </row>
    <row r="27" ht="42" customHeight="1" s="134">
      <c r="A27" s="9" t="inlineStr">
        <is>
          <t>3. 自動差分検査（モード1）の差分粒度は「アプリ単位」</t>
        </is>
      </c>
    </row>
    <row r="28">
      <c r="A28" s="4" t="inlineStr">
        <is>
          <t>粒度</t>
        </is>
      </c>
      <c r="B28" s="4" t="inlineStr">
        <is>
          <t>見逃すケース</t>
        </is>
      </c>
      <c r="C28" s="4" t="inlineStr">
        <is>
          <t>採否</t>
        </is>
      </c>
      <c r="D28" s="4" t="n"/>
    </row>
    <row r="29" ht="21" customHeight="1" s="134">
      <c r="A29" s="5" t="inlineStr">
        <is>
          <t>endpoint 単位（OpenAPI diff）</t>
        </is>
      </c>
      <c r="B29" s="5" t="inlineStr">
        <is>
          <t>コードで認証 middleware を外したが OpenAPI は不変 → 差分に出ず見逃す</t>
        </is>
      </c>
      <c r="C29" s="5" t="inlineStr">
        <is>
          <t>不採用</t>
        </is>
      </c>
      <c r="D29" s="5" t="n"/>
    </row>
    <row r="30" ht="21" customHeight="1" s="134">
      <c r="A30" s="5" t="inlineStr">
        <is>
          <t>アプリ単位（変更アプリの全 endpoint）</t>
        </is>
      </c>
      <c r="B30" s="5" t="inlineStr">
        <is>
          <t>—</t>
        </is>
      </c>
      <c r="C30" s="5" t="inlineStr">
        <is>
          <t>採用</t>
        </is>
      </c>
      <c r="D30" s="5" t="n"/>
    </row>
    <row r="32">
      <c r="A32" s="3" t="inlineStr">
        <is>
          <t>認証漏れの典型（AuthorizationType=NONE / middleware 削除）は OpenAPI に現れないことが多い。だから「変更されたアプリは全 endpoint を 検査」する。全アプリ全量よりは軽く（変更アプリのみ）、endpoint 差分より安全</t>
        </is>
      </c>
    </row>
    <row r="35">
      <c r="A35" s="7" t="inlineStr">
        <is>
          <t>4. 自動差分検査（モード1）の実行基盤（発見 → 検査の 2 段）</t>
        </is>
      </c>
    </row>
    <row r="36">
      <c r="A36" s="4" t="inlineStr">
        <is>
          <t>項目</t>
        </is>
      </c>
      <c r="B36" s="4" t="inlineStr">
        <is>
          <t>内容</t>
        </is>
      </c>
      <c r="C36" s="4" t="n"/>
    </row>
    <row r="37" ht="63" customHeight="1" s="134">
      <c r="A37" s="5" t="inlineStr">
        <is>
          <t>トリガ</t>
        </is>
      </c>
      <c r="B37" s="5" t="inlineStr">
        <is>
          <t>対象検索 Lambda の 1 時間毎巡回（認証構成情報連携バケットの認証構成情報 VersionId = lastArtifactVersions 比較）が変更を検知し、変更のあったアプリだけ自動差分検査（モード1）を起動する。アプリ側イベントには依存しない。</t>
        </is>
      </c>
      <c r="C37" s="5" t="n"/>
    </row>
    <row r="38" ht="42" customHeight="1" s="134">
      <c r="A38" s="5" t="inlineStr">
        <is>
          <t>対象検索 Lambda</t>
        </is>
      </c>
      <c r="B38" s="5" t="inlineStr">
        <is>
          <t>EventBridge Scheduler（1h）起動。Organizations 列挙 + 読み取り AssumeRole + 差分判定</t>
        </is>
      </c>
      <c r="C38" s="5" t="n"/>
    </row>
    <row r="39" ht="42" customHeight="1" s="134">
      <c r="A39" s="5" t="inlineStr">
        <is>
          <t>認証実装チェック Lambda</t>
        </is>
      </c>
      <c r="B39" s="5" t="inlineStr">
        <is>
          <t>対象検索 Lambda から 起動（変化アプリのみ）。payload { mode:'delta', appId, env }</t>
        </is>
      </c>
      <c r="C39" s="5" t="n"/>
    </row>
    <row r="40" ht="42" customHeight="1" s="134">
      <c r="A40" s="5" t="inlineStr">
        <is>
          <t>検査 ロジック</t>
        </is>
      </c>
      <c r="B40" s="5" t="inlineStr">
        <is>
          <t>lib/probe.js / classify.js / emit.js を共通流用。synthetics 抽象を素の https 実装で注入</t>
        </is>
      </c>
      <c r="C40" s="5" t="n"/>
    </row>
    <row r="43" ht="21" customHeight="1" s="134">
      <c r="A43" s="9" t="inlineStr">
        <is>
          <t>5. 全量検査（モード2）（手動）</t>
        </is>
      </c>
    </row>
    <row r="44">
      <c r="A44" s="4" t="inlineStr">
        <is>
          <t>項目</t>
        </is>
      </c>
      <c r="B44" s="4" t="inlineStr">
        <is>
          <t>内容</t>
        </is>
      </c>
      <c r="C44" s="49" t="n"/>
    </row>
    <row r="45" ht="42" customHeight="1" s="134">
      <c r="A45" s="5" t="inlineStr">
        <is>
          <t>トリガ</t>
        </is>
      </c>
      <c r="B45" s="5" t="inlineStr">
        <is>
          <t>日次定期（EventBridge Scheduler）+ 手動（運用者が CLI / コンソールから invoke）</t>
        </is>
      </c>
      <c r="C45" s="50" t="n"/>
    </row>
    <row r="46" ht="21" customHeight="1" s="134">
      <c r="A46" s="5" t="inlineStr">
        <is>
          <t>範囲</t>
        </is>
      </c>
      <c r="B46" s="5" t="inlineStr">
        <is>
          <t>全アプリ全 endpoint（台帳 registry/ を List）</t>
        </is>
      </c>
      <c r="C46" s="50" t="n"/>
    </row>
    <row r="47" ht="21" customHeight="1" s="134">
      <c r="A47" s="5" t="inlineStr">
        <is>
          <t>用途</t>
        </is>
      </c>
      <c r="B47" s="5" t="inlineStr">
        <is>
          <t>初回の全量確認 / 大きな変更後 / 監査前 / 定期棚卸し（人が判断）</t>
        </is>
      </c>
      <c r="C47" s="50" t="n"/>
    </row>
    <row r="48" ht="42" customHeight="1" s="134">
      <c r="A48" s="5" t="inlineStr">
        <is>
          <t>実行基盤</t>
        </is>
      </c>
      <c r="B48" s="5" t="inlineStr">
        <is>
          <t>自動差分検査（モード1）と同じ認証実装チェック Lambda（mode=full）。実装 1 つを payload で切替</t>
        </is>
      </c>
      <c r="C48" s="50" t="n"/>
    </row>
    <row r="49" ht="63" customHeight="1" s="134">
      <c r="A49" s="5" t="inlineStr">
        <is>
          <t>起動例</t>
        </is>
      </c>
      <c r="B49" s="5" t="inlineStr">
        <is>
          <t>aws lambda invoke --function-name central-auth-probe --payload '{"mode":"full"}' /dev/null ／ 特定アプリだけ全量: {"mode":"full","appId":"expense-api","env":"prod"}</t>
        </is>
      </c>
      <c r="C49" s="50" t="n"/>
    </row>
    <row r="50" ht="63" customHeight="1" s="134">
      <c r="A50" s="5" t="inlineStr">
        <is>
          <t>実行方式</t>
        </is>
      </c>
      <c r="B50" s="5" t="inlineStr">
        <is>
          <t>mode=full は台帳を List した後、アプリ単位に自分自身を mode=delta 相当で 分割起動する（1 Lambda 実行 = 1 アプリ）。全量を 1 実行で回さないため、アプリ数が増えても Lambda 15 分制限に当たらない</t>
        </is>
      </c>
      <c r="C50" s="50" t="n"/>
    </row>
    <row r="51" ht="21" customHeight="1" s="134">
      <c r="A51" s="5" t="inlineStr">
        <is>
          <t>コスト</t>
        </is>
      </c>
      <c r="B51" s="5" t="inlineStr">
        <is>
          <t>日次定期実行分のコストのみ。随時の手動実行は必要な時だけ人が回す</t>
        </is>
      </c>
      <c r="C51" s="50" t="n"/>
    </row>
    <row r="54" ht="22" customHeight="1" s="134" thickBot="1">
      <c r="A54" s="9" t="inlineStr">
        <is>
          <t>6. 受容した穴 2 つと補完レイヤー</t>
        </is>
      </c>
    </row>
    <row r="55" ht="22" customHeight="1" s="134">
      <c r="A55" s="46" t="inlineStr">
        <is>
          <t>【図8 受容した穴 2 つと補完レイヤーの関係 挿入位置】</t>
        </is>
      </c>
      <c r="B55" s="12" t="n"/>
      <c r="C55" s="13" t="n"/>
    </row>
    <row r="56" ht="22" customHeight="1" s="134">
      <c r="A56" s="47" t="inlineStr">
        <is>
          <t>描くべき内容: 穴① コンソール直変更 → L2 Config Rules の実体化 + ガイド・Runbook に「変更は必ず CI/CD 経由」+ 全量検査（モード2、日次）が挙動レベルで最大 24h で捕捉、穴② アップロード忘れ・認証構成情報の誤り → 原則アプリ責任（staleness 検知・月次棚卸し・日次全量が補助）、穴③ アップロード ≠ デプロイの逆転 → 規約・パイプライン例で「デプロイ成功後」を固定</t>
        </is>
      </c>
      <c r="B56" s="15" t="n"/>
      <c r="C56" s="16" t="n"/>
    </row>
    <row r="57" ht="22" customHeight="1" s="134">
      <c r="A57" s="47" t="n"/>
      <c r="B57" s="15" t="n"/>
      <c r="C57" s="16" t="n"/>
    </row>
    <row r="58" ht="22" customHeight="1" s="134" thickBot="1">
      <c r="A58" s="48" t="inlineStr">
        <is>
          <t>（この枠に図を貼り込む。要素・矢印の追加および省略はしない）</t>
        </is>
      </c>
      <c r="B58" s="18" t="n"/>
      <c r="C58" s="19" t="n"/>
    </row>
    <row r="60">
      <c r="A60" s="4" t="inlineStr">
        <is>
          <t>穴</t>
        </is>
      </c>
      <c r="B60" s="4" t="inlineStr">
        <is>
          <t>内容</t>
        </is>
      </c>
      <c r="C60" s="4" t="inlineStr">
        <is>
          <t>補完レイヤー</t>
        </is>
      </c>
      <c r="D60" s="49" t="n"/>
    </row>
    <row r="61" ht="63" customHeight="1" s="134">
      <c r="A61" s="5" t="inlineStr">
        <is>
          <t>① コンソール直変更</t>
        </is>
      </c>
      <c r="B61" s="5" t="inlineStr">
        <is>
          <t>コンソールで Authorizer を外す等、認証構成情報に現れない変更</t>
        </is>
      </c>
      <c r="C61" s="5" t="inlineStr">
        <is>
          <t>② L2 Config Rules の実体化（AuthorizationType=NONE の drift 検知。実在確認の上、無ければ実装）① ガイド・Runbook に「変更は必ず CI/CD 経由」を明記 + 全量検査（モード2、日次定期）が挙動レベルで最大 24h で捕捉。SCP による防止は Phase 2 判断</t>
        </is>
      </c>
      <c r="D61" s="50" t="n"/>
    </row>
    <row r="62" ht="84" customHeight="1" s="134">
      <c r="A62" s="5" t="inlineStr">
        <is>
          <t>② アップロード忘れ・認証構成情報の誤り</t>
        </is>
      </c>
      <c r="B62" s="5" t="inlineStr">
        <is>
          <t>デプロイしたのに認証構成情報を上げていない / 内容が実態と違う → 古い spec のまま検査され、新設 endpoint が検査対象に入らない</t>
        </is>
      </c>
      <c r="C62" s="5" t="inlineStr">
        <is>
          <t>原則アプリ責任（顧客合意 M-Q-17-7）。中央の補助検知: (a) staleness 検知 — 認証構成情報の最終更新が閾値（例 90 日）超のアプリを棚卸しアラート (b) 月次棚卸し — API 提供契約 / タグと台帳の突合（M-Q-17-3）(c) 日次全量検査は既知の endpoint については認証漏れを継続捕捉</t>
        </is>
      </c>
      <c r="D62" s="50" t="n"/>
    </row>
    <row r="63" ht="42" customHeight="1" s="134">
      <c r="A63" s="5" t="inlineStr">
        <is>
          <t>③ アップロード ≠ デプロイの逆転</t>
        </is>
      </c>
      <c r="B63" s="5" t="inlineStr">
        <is>
          <t>手順違反でデプロイ前にアップロードした場合の偽安心</t>
        </is>
      </c>
      <c r="C63" s="5" t="inlineStr">
        <is>
          <t>アップロードは「デプロイ成功後」を規約・パイプライン例で固定。逆転しても次回巡回・日次全量が実態基準で再検査</t>
        </is>
      </c>
      <c r="D63" s="39" t="n"/>
    </row>
    <row r="65" ht="63" customHeight="1" s="134">
      <c r="A65" s="39" t="inlineStr">
        <is>
          <t>検知遅延: 認証構成情報アップロード後 最大 1 時間。一次防衛は deploy 前ガードであり、外形監視は検知網のため許容</t>
        </is>
      </c>
    </row>
    <row r="66" ht="63" customHeight="1" s="134">
      <c r="A66" s="39" t="inlineStr">
        <is>
          <t>外形監視は検知 5 レイヤーの L5 であり、単層で完結させず L2（Config）と組み合わせて穴を塞ぐのが前提</t>
        </is>
      </c>
    </row>
    <row r="69">
      <c r="A69" s="7" t="inlineStr">
        <is>
          <t>7. 実行基盤は Lambda に一本化（CloudWatch Synthetics は不採用・将来オプション）</t>
        </is>
      </c>
    </row>
    <row r="70">
      <c r="A70" s="4" t="inlineStr">
        <is>
          <t>要素</t>
        </is>
      </c>
      <c r="B70" s="4" t="inlineStr">
        <is>
          <t>Synthetics canary（不採用）</t>
        </is>
      </c>
      <c r="C70" s="4" t="inlineStr">
        <is>
          <t>Lambda（採用）</t>
        </is>
      </c>
      <c r="D70" s="4" t="n"/>
    </row>
    <row r="71" ht="21" customHeight="1" s="134">
      <c r="A71" s="5" t="inlineStr">
        <is>
          <t>実行モデル</t>
        </is>
      </c>
      <c r="B71" s="5" t="inlineStr">
        <is>
          <t>全 endpoint へのスケジュール定期 検査</t>
        </is>
      </c>
      <c r="C71" s="5" t="inlineStr">
        <is>
          <t>巡回差分（自動差分検査（モード1））/ 手動（全量検査（モード2））時のみ 検査</t>
        </is>
      </c>
      <c r="D71" s="5" t="n"/>
    </row>
    <row r="72" ht="21" customHeight="1" s="134">
      <c r="A72" s="5" t="inlineStr">
        <is>
          <t>probe lib</t>
        </is>
      </c>
      <c r="B72" s="5" t="inlineStr">
        <is>
          <t>共通</t>
        </is>
      </c>
      <c r="C72" s="5" t="inlineStr">
        <is>
          <t>共通（不変）</t>
        </is>
      </c>
      <c r="D72" s="5" t="n"/>
    </row>
    <row r="73" ht="21" customHeight="1" s="134">
      <c r="A73" s="5" t="inlineStr">
        <is>
          <t>分類 / alert</t>
        </is>
      </c>
      <c r="B73" s="5" t="inlineStr">
        <is>
          <t>共通</t>
        </is>
      </c>
      <c r="C73" s="5" t="inlineStr">
        <is>
          <t>共通（不変）</t>
        </is>
      </c>
      <c r="D73" s="5" t="n"/>
    </row>
    <row r="74" ht="21" customHeight="1" s="134">
      <c r="A74" s="5" t="inlineStr">
        <is>
          <t>アラーム</t>
        </is>
      </c>
      <c r="B74" s="5" t="inlineStr">
        <is>
          <t>canary FAIL → SuccessPercent&lt;100</t>
        </is>
      </c>
      <c r="C74" s="5" t="inlineStr">
        <is>
          <t>CloudWatch metric AuthCheckCritical &gt; 0</t>
        </is>
      </c>
      <c r="D74" s="5" t="n"/>
    </row>
    <row r="75" ht="21" customHeight="1" s="134">
      <c r="A75" s="5" t="inlineStr">
        <is>
          <t>コスト</t>
        </is>
      </c>
      <c r="B75" s="5" t="inlineStr">
        <is>
          <t>run ごと $0.0012 上乗せ + 定期実行分</t>
        </is>
      </c>
      <c r="C75" s="5" t="inlineStr">
        <is>
          <t>巡回 + 変化時 検査で概ね無料枠内</t>
        </is>
      </c>
      <c r="D75" s="5" t="n"/>
    </row>
    <row r="77">
      <c r="A77" s="3" t="inlineStr">
        <is>
          <t>将来オプション: 高頻度の heartbeat 型検査（旧 M2、廃止）を将来復活させる / HAR・スクリーンショット・Multilocation・run 履歴 UI が要る場合は、Synthetics canary をその実行環境として使う。その時も probe lib は共通（18 §18.4.1）。</t>
        </is>
      </c>
    </row>
    <row r="80">
      <c r="A80" s="7" t="inlineStr">
        <is>
          <t>8. 運用設計（メタ監視・エラー処理・スケール上限）</t>
        </is>
      </c>
    </row>
    <row r="81">
      <c r="A81" s="3" t="inlineStr">
        <is>
          <t>監視の空白 = 認証漏れの検知空白。監視系自身の停止・失敗を、被監視系（AuthCheck 系メトリクス）とは別系統で検知する。通知先はいずれも P2（Platform）とする（監視系の障害はアプリの障害ではないため）。</t>
        </is>
      </c>
    </row>
    <row r="83">
      <c r="A83" s="7" t="inlineStr">
        <is>
          <t>8.1 メタ監視 —「巡回が止まっていること」を検知する</t>
        </is>
      </c>
    </row>
    <row r="84">
      <c r="A84" s="4" t="inlineStr">
        <is>
          <t>#</t>
        </is>
      </c>
      <c r="B84" s="4" t="inlineStr">
        <is>
          <t>検知対象</t>
        </is>
      </c>
      <c r="C84" s="4" t="inlineStr">
        <is>
          <t>手段</t>
        </is>
      </c>
      <c r="D84" s="4" t="inlineStr">
        <is>
          <t>アラーム条件（初期値）</t>
        </is>
      </c>
    </row>
    <row r="85" ht="42" customHeight="1" s="134">
      <c r="A85" s="5" t="inlineStr">
        <is>
          <t>MM-1</t>
        </is>
      </c>
      <c r="B85" s="5" t="inlineStr">
        <is>
          <t>巡回の停止（最重要）</t>
        </is>
      </c>
      <c r="C85" s="5" t="inlineStr">
        <is>
          <t>対象検索 Lambda が巡回成功時に DiscoveryLastSuccess メトリクス（Count=1）を 発行</t>
        </is>
      </c>
      <c r="D85" s="5" t="inlineStr">
        <is>
          <t>2 時間欠損（= 巡回 2 回分未実行）で発報</t>
        </is>
      </c>
    </row>
    <row r="86" ht="21" customHeight="1" s="134">
      <c r="A86" s="5" t="inlineStr">
        <is>
          <t>MM-2</t>
        </is>
      </c>
      <c r="B86" s="5" t="inlineStr">
        <is>
          <t>対象検索 Lambda の失敗</t>
        </is>
      </c>
      <c r="C86" s="5" t="inlineStr">
        <is>
          <t>Lambda 標準 Errors / Scheduler の起動失敗</t>
        </is>
      </c>
      <c r="D86" s="5" t="inlineStr">
        <is>
          <t>Errors ≥ 1</t>
        </is>
      </c>
    </row>
    <row r="87" ht="21" customHeight="1" s="134">
      <c r="A87" s="5" t="inlineStr">
        <is>
          <t>MM-3</t>
        </is>
      </c>
      <c r="B87" s="5" t="inlineStr">
        <is>
          <t>一部アカウントの巡回失敗</t>
        </is>
      </c>
      <c r="C87" s="5" t="inlineStr">
        <is>
          <t>DiscoveryAccountErrors メトリクス（失敗アカウント数）</t>
        </is>
      </c>
      <c r="D87" s="5" t="inlineStr">
        <is>
          <t>≥ 1（8.2 の部分失敗と連動）</t>
        </is>
      </c>
    </row>
    <row r="88" ht="21" customHeight="1" s="134">
      <c r="A88" s="5" t="inlineStr">
        <is>
          <t>MM-4</t>
        </is>
      </c>
      <c r="B88" s="5" t="inlineStr">
        <is>
          <t>検査 Lambda の失敗</t>
        </is>
      </c>
      <c r="C88" s="5" t="inlineStr">
        <is>
          <t>Lambda 標準 Errors + 非同期 起動の DLQ（SQS）</t>
        </is>
      </c>
      <c r="D88" s="5" t="inlineStr">
        <is>
          <t>Errors ≥ 1 or DLQ 滞留 ≥ 1</t>
        </is>
      </c>
    </row>
    <row r="89" ht="21" customHeight="1" s="134">
      <c r="A89" s="5" t="inlineStr">
        <is>
          <t>MM-5</t>
        </is>
      </c>
      <c r="B89" s="5" t="inlineStr">
        <is>
          <t>アラート検知 Lambda の失敗</t>
        </is>
      </c>
      <c r="C89" s="5" t="inlineStr">
        <is>
          <t>throw → リトライ / DLQ</t>
        </is>
      </c>
      <c r="D89" s="5" t="inlineStr">
        <is>
          <t>DLQ 滞留 ≥ 1</t>
        </is>
      </c>
    </row>
    <row r="91" ht="105" customHeight="1" s="134">
      <c r="A91" s="39" t="inlineStr">
        <is>
          <t>保険系アラーム（AuthCheckCritical &gt; 0）は「検知した結果の発報」、本節は「検知できていない状態の発報」で役割が異なる。両方そろって初めて検知網が閉じる。</t>
        </is>
      </c>
    </row>
    <row r="92" ht="84" customHeight="1" s="134">
      <c r="A92" s="39" t="inlineStr">
        <is>
          <t>各 Lambda のログはログ・監視ガイドライン（OBS-1〜4）に準拠（実行 ID を相関 ID として出力、トークン・認証構成情報の内容はマスク、保持期間明示）。</t>
        </is>
      </c>
    </row>
    <row r="94" ht="21" customHeight="1" s="134">
      <c r="A94" s="9" t="inlineStr">
        <is>
          <t>8.2 エラー処理・リトライ・冪等性</t>
        </is>
      </c>
    </row>
    <row r="95">
      <c r="A95" s="4" t="inlineStr">
        <is>
          <t>箇所</t>
        </is>
      </c>
      <c r="B95" s="4" t="inlineStr">
        <is>
          <t>方針</t>
        </is>
      </c>
    </row>
    <row r="96" ht="63" customHeight="1" s="134">
      <c r="A96" s="5" t="inlineStr">
        <is>
          <t>対象検索 Lambda の巡回</t>
        </is>
      </c>
      <c r="B96" s="5" t="inlineStr">
        <is>
          <t>アカウント単位で try-catch し、1 アカウントの失敗（AssumeRole 不可・スロットリング等）で全体を止めない。失敗数を DiscoveryAccountErrors で 発行（MM-3）し、次回巡回で自然リトライ</t>
        </is>
      </c>
    </row>
    <row r="97" ht="63" customHeight="1" s="134">
      <c r="A97" s="5" t="inlineStr">
        <is>
          <t>lastArtifactVersions の更新タイミング</t>
        </is>
      </c>
      <c r="B97" s="5" t="inlineStr">
        <is>
          <t>自動差分検査（モード1）起動が成功した後にのみ更新する。途中失敗時は据え置かれ、次回巡回が同じ差分を再検知する（at-least-once）。検査は読み取り検査で冪等のため重複実行は無害</t>
        </is>
      </c>
    </row>
    <row r="98" ht="63" customHeight="1" s="134">
      <c r="A98" s="5" t="inlineStr">
        <is>
          <t>発見 → 検査の 起動</t>
        </is>
      </c>
      <c r="B98" s="5" t="inlineStr">
        <is>
          <t>非同期（Event 起動）。Lambda 標準の自動リトライ（2 回）+ DLQ（SQS）を設定（MM-4）。同期にしないのは、1 アプリの検査失敗で巡回全体を巻き込まないため</t>
        </is>
      </c>
    </row>
    <row r="99" ht="42" customHeight="1" s="134">
      <c r="A99" s="5" t="inlineStr">
        <is>
          <t>検査 Lambda 内の endpoint 失敗</t>
        </is>
      </c>
      <c r="B99" s="5" t="inlineStr">
        <is>
          <t>endpoint 単位で継続（1 endpoint のタイムアウトで残りを打ち切らない）。接続不能は 4×4 の WARN（構成）系に分類</t>
        </is>
      </c>
    </row>
    <row r="100" ht="21" customHeight="1" s="134">
      <c r="A100" s="5" t="inlineStr">
        <is>
          <t>アラート検知 Lambda</t>
        </is>
      </c>
      <c r="B100" s="5" t="inlineStr">
        <is>
          <t>1 件でも失敗したら throw → リトライ / DLQ</t>
        </is>
      </c>
    </row>
    <row r="101" ht="63" customHeight="1" s="134">
      <c r="A101" s="5" t="inlineStr">
        <is>
          <t>S3 スロットリング</t>
        </is>
      </c>
      <c r="B101" s="5" t="inlineStr">
        <is>
          <t>S3 API はプレフィックス単位のレート制限あり。SDK 標準リトライ（指数バックオフ）+ 対象検索 Lambda の直列処理で吸収。並列化する場合の制御は M-Q-16-2</t>
        </is>
      </c>
    </row>
    <row r="104">
      <c r="A104" s="42" t="inlineStr">
        <is>
          <t>8.3 スケール上限（Lambda 15 分制限）と 分割起動 方針</t>
        </is>
      </c>
    </row>
    <row r="105">
      <c r="A105" s="3" t="inlineStr">
        <is>
          <t>Lambda の最大実行時間は 15 分。1 実行に詰め込まない構造にする。</t>
        </is>
      </c>
    </row>
    <row r="106">
      <c r="A106" s="4" t="inlineStr">
        <is>
          <t>実行</t>
        </is>
      </c>
      <c r="B106" s="4" t="inlineStr">
        <is>
          <t>1 実行の範囲</t>
        </is>
      </c>
      <c r="C106" s="4" t="inlineStr">
        <is>
          <t>15 分制限への設計</t>
        </is>
      </c>
    </row>
    <row r="107" ht="84" customHeight="1" s="134">
      <c r="A107" s="5" t="inlineStr">
        <is>
          <t>対象検索 Lambda（巡回）</t>
        </is>
      </c>
      <c r="B107" s="5" t="inlineStr">
        <is>
          <t>全アカウント走査（現行）</t>
        </is>
      </c>
      <c r="C107" s="5" t="inlineStr">
        <is>
          <t>処理はアカウント単位の読み取り（数 API 呼び出し / repo）で軽く、Phase 1 の前提規模（対象約 3 アカウント）では 1 実行に十分収まる。収まらない規模に達したら親（列挙のみ）/ 子（1 アカウント処理）の 分割起動に分割する（構造は 全量検査（モード2）と同型。閾値監視は Lambda Duration アラームで前倒し検知）</t>
        </is>
      </c>
    </row>
    <row r="108" ht="42" customHeight="1" s="134">
      <c r="A108" s="5" t="inlineStr">
        <is>
          <t>検査 Lambda（自動差分検査（モード1））</t>
        </is>
      </c>
      <c r="B108" s="5" t="inlineStr">
        <is>
          <t>1 アプリの全 endpoint</t>
        </is>
      </c>
      <c r="C108" s="5" t="inlineStr">
        <is>
          <t>20 endpoint × 2 検査 × 数秒でも数分オーダー。1 アプリ = 1 実行なので endpoint 数が極端でない限り収まる</t>
        </is>
      </c>
    </row>
    <row r="109" ht="21" customHeight="1" s="134">
      <c r="A109" s="5" t="inlineStr">
        <is>
          <t>検査 Lambda（全量検査（モード2））</t>
        </is>
      </c>
      <c r="B109" s="5" t="inlineStr">
        <is>
          <t>台帳 List → アプリ単位に 分割起動</t>
        </is>
      </c>
      <c r="C109" s="5" t="inlineStr">
        <is>
          <t>全量を 1 実行で回さないため上限に当たらない</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272"/>
  <sheetViews>
    <sheetView topLeftCell="A247" workbookViewId="0">
      <selection activeCell="D268" sqref="D268"/>
    </sheetView>
  </sheetViews>
  <sheetFormatPr baseColWidth="10" defaultRowHeight="18"/>
  <cols>
    <col width="27.140625" customWidth="1" style="120" min="1" max="1"/>
    <col width="35.7109375" customWidth="1" style="120" min="2" max="2"/>
    <col width="47.140625" customWidth="1" style="120" min="3" max="4"/>
    <col width="26.140625" bestFit="1" customWidth="1" style="120" min="5" max="5"/>
    <col width="21.42578125" customWidth="1" style="120" min="6" max="6"/>
    <col width="10.7109375" customWidth="1" style="2" min="7" max="16384"/>
  </cols>
  <sheetData>
    <row r="1" ht="27" customHeight="1" s="134">
      <c r="A1" s="1" t="inlineStr">
        <is>
          <t>データ定義</t>
        </is>
      </c>
    </row>
    <row r="2">
      <c r="A2" s="3" t="inlineStr">
        <is>
          <t>本シートは台帳スキーマ・monitoring.yaml 規約・OpenAPI アノテーション・CloudWatch Metrics・4×4 真偽値表・Alert イベント形式のデータ定義を示す。</t>
        </is>
      </c>
    </row>
    <row r="3">
      <c r="A3" s="42" t="inlineStr">
        <is>
          <t>0. このシートに載せるデータ定義の一覧</t>
        </is>
      </c>
    </row>
    <row r="4" ht="21" customHeight="1" s="134">
      <c r="A4" s="41" t="inlineStr">
        <is>
          <t>#</t>
        </is>
      </c>
      <c r="B4" s="51" t="inlineStr">
        <is>
          <t>データ定義</t>
        </is>
      </c>
      <c r="C4" s="51" t="inlineStr">
        <is>
          <t>中身</t>
        </is>
      </c>
      <c r="D4" s="51" t="inlineStr">
        <is>
          <t>何のために使うか</t>
        </is>
      </c>
      <c r="E4" s="51" t="inlineStr">
        <is>
          <t>本シートの節</t>
        </is>
      </c>
    </row>
    <row r="5" ht="105" customHeight="1" s="134">
      <c r="A5" s="52" t="n">
        <v>1</v>
      </c>
      <c r="B5" s="5" t="inlineStr">
        <is>
          <t>App Registry（S3 台帳）スキーマ</t>
        </is>
      </c>
      <c r="C5" s="5" t="inlineStr">
        <is>
          <t>1 アプリ × 1 環境ぶんの管理項目 14 個（appId / env / baseUrl / authPattern / openApiS3Key / testTokenSecret / alertRouting / enabled / registeredAt / artifactBucket / artifactPrefix / lastArtifactVersions / deployInfo / lastSeenAt）+ JSON 例</t>
        </is>
      </c>
      <c r="D5" s="5" t="inlineStr">
        <is>
          <t>中央が「どのアプリをどう検査するか」を読む唯一の管理簿</t>
        </is>
      </c>
      <c r="E5" s="53" t="inlineStr">
        <is>
          <t>1.</t>
        </is>
      </c>
    </row>
    <row r="6" ht="63" customHeight="1" s="134">
      <c r="A6" s="52" t="n">
        <v>2</v>
      </c>
      <c r="B6" s="5" t="inlineStr">
        <is>
          <t>認証構成情報配置バケット S3 構造</t>
        </is>
      </c>
      <c r="C6" s="5" t="inlineStr">
        <is>
          <t>バケットとキー体系（registry/{appId}/{env}.json、openapi/{accountId}/{appId}/openapi.yaml）・Versioning</t>
        </is>
      </c>
      <c r="D6" s="5" t="inlineStr">
        <is>
          <t>台帳と API 仕様書コピーの置き場所の取り決め</t>
        </is>
      </c>
      <c r="E6" s="53" t="inlineStr">
        <is>
          <t>2.</t>
        </is>
      </c>
    </row>
    <row r="7" ht="42" customHeight="1" s="134">
      <c r="A7" s="52" t="n">
        <v>3</v>
      </c>
      <c r="B7" s="5" t="inlineStr">
        <is>
          <t>authPattern enum（6 値）</t>
        </is>
      </c>
      <c r="C7" s="5" t="inlineStr">
        <is>
          <t>認証方式の識別子と、方式ごとの未認証時の期待応答・正規検査の手段</t>
        </is>
      </c>
      <c r="D7" s="5" t="inlineStr">
        <is>
          <t>検査の期待値（401 / 403 / 302 など）を切り替える</t>
        </is>
      </c>
      <c r="E7" s="53" t="inlineStr">
        <is>
          <t>3.</t>
        </is>
      </c>
    </row>
    <row r="8" ht="84" customHeight="1" s="134">
      <c r="A8" s="52" t="n">
        <v>4</v>
      </c>
      <c r="B8" s="5" t="inlineStr">
        <is>
          <t>認証構成情報の規約</t>
        </is>
      </c>
      <c r="C8" s="5" t="inlineStr">
        <is>
          <t>各 App アカウントの認証構成情報連携バケットに置く認証構成情報（バケット・キー体系・monitoring.yaml / openapi.yaml / 任意 deploy-info.json）＋項目規約と不備時の挙動、アップロード権限</t>
        </is>
      </c>
      <c r="D8" s="5" t="inlineStr">
        <is>
          <t>台帳への供給源。このファイルの有無が監視対象の宣言そのもの</t>
        </is>
      </c>
      <c r="E8" s="53" t="inlineStr">
        <is>
          <t>4.</t>
        </is>
      </c>
    </row>
    <row r="9" ht="42" customHeight="1" s="134">
      <c r="A9" s="52" t="n">
        <v>5</v>
      </c>
      <c r="B9" s="5" t="inlineStr">
        <is>
          <t>OpenAPI アノテーションと MON-1</t>
        </is>
      </c>
      <c r="C9" s="5" t="inlineStr">
        <is>
          <t>検査制御の印 7 種（公開明示 x-synthetics-skip-auth-check ほか）と default-deny の原則</t>
        </is>
      </c>
      <c r="D9" s="5" t="inlineStr">
        <is>
          <t>どの endpoint をどう検査するかの指定</t>
        </is>
      </c>
      <c r="E9" s="53" t="inlineStr">
        <is>
          <t>5.</t>
        </is>
      </c>
    </row>
    <row r="10" ht="21" customHeight="1" s="134">
      <c r="A10" s="52" t="n">
        <v>6</v>
      </c>
      <c r="B10" s="5" t="inlineStr">
        <is>
          <t>CloudWatch Metrics</t>
        </is>
      </c>
      <c r="C10" s="5" t="inlineStr">
        <is>
          <t>namespace・Dimensions・メトリクス 5 種・アラーム条件</t>
        </is>
      </c>
      <c r="D10" s="5" t="inlineStr">
        <is>
          <t>検査結果の記録と発報</t>
        </is>
      </c>
      <c r="E10" s="53" t="inlineStr">
        <is>
          <t>6.</t>
        </is>
      </c>
    </row>
    <row r="11" ht="42" customHeight="1" s="134">
      <c r="A11" s="52" t="n">
        <v>7</v>
      </c>
      <c r="B11" s="5" t="inlineStr">
        <is>
          <t>4×4 真偽値表</t>
        </is>
      </c>
      <c r="C11" s="5" t="inlineStr">
        <is>
          <t>未認証検査 × 正規検査の応答組合せ 8 行 → 重大度・優先度・通知先</t>
        </is>
      </c>
      <c r="D11" s="5" t="inlineStr">
        <is>
          <t>検知結果の判定ロジック（検査と アラート検知 Lambda が共有）</t>
        </is>
      </c>
      <c r="E11" s="53" t="inlineStr">
        <is>
          <t>7.</t>
        </is>
      </c>
    </row>
    <row r="12" ht="21" customHeight="1" s="134">
      <c r="A12" s="52" t="n">
        <v>8</v>
      </c>
      <c r="B12" s="5" t="inlineStr">
        <is>
          <t>Alert イベント形式</t>
        </is>
      </c>
      <c r="C12" s="5" t="inlineStr">
        <is>
          <t>検査 → アラート検知 Lambda へ渡す JSON の 10 項目</t>
        </is>
      </c>
      <c r="D12" s="5" t="inlineStr">
        <is>
          <t>通知の入力データ</t>
        </is>
      </c>
      <c r="E12" s="53" t="inlineStr">
        <is>
          <t>8.</t>
        </is>
      </c>
    </row>
    <row r="13" ht="42" customHeight="1" s="134">
      <c r="A13" s="52" t="n">
        <v>9</v>
      </c>
      <c r="B13" s="5" t="inlineStr">
        <is>
          <t>環境別の検査動作</t>
        </is>
      </c>
      <c r="C13" s="5" t="inlineStr">
        <is>
          <t>本番 / 検証それぞれの未認証検査・正規検査・POST の実施範囲</t>
        </is>
      </c>
      <c r="D13" s="5" t="inlineStr">
        <is>
          <t>本番での副作用回避の規則</t>
        </is>
      </c>
      <c r="E13" s="53" t="inlineStr">
        <is>
          <t>9.</t>
        </is>
      </c>
    </row>
    <row r="14" ht="42" customHeight="1" s="134">
      <c r="A14" s="52" t="n">
        <v>10</v>
      </c>
      <c r="B14" s="5" t="inlineStr">
        <is>
          <t>WAF 干渉と誤判定の防止</t>
        </is>
      </c>
      <c r="C14" s="5" t="inlineStr">
        <is>
          <t>WAF 由来 403 の識別条件と対策 2 段（識別ヘッダ許可・分類側の防御）</t>
        </is>
      </c>
      <c r="D14" s="5" t="inlineStr">
        <is>
          <t>4×4 判定の前提条件（403 の意味の切り分け）</t>
        </is>
      </c>
      <c r="E14" s="53" t="inlineStr">
        <is>
          <t>10.</t>
        </is>
      </c>
    </row>
    <row r="15" ht="42" customHeight="1" s="134">
      <c r="A15" s="52" t="n">
        <v>11</v>
      </c>
      <c r="B15" s="5" t="inlineStr">
        <is>
          <t>検査起動 payload</t>
        </is>
      </c>
      <c r="C15" s="5" t="inlineStr">
        <is>
          <t>対象検索 Lambda → 検査 Lambda の受け渡し形式（mode / appId / env）と起動例</t>
        </is>
      </c>
      <c r="D15" s="5" t="inlineStr">
        <is>
          <t>自動差分検査（モード1）の自動起動・全量検査（モード2）の全量指定</t>
        </is>
      </c>
      <c r="E15" s="53" t="inlineStr">
        <is>
          <t>11.</t>
        </is>
      </c>
    </row>
    <row r="16" ht="42" customHeight="1" s="134">
      <c r="A16" s="52" t="n">
        <v>12</v>
      </c>
      <c r="B16" s="5" t="inlineStr">
        <is>
          <t>検査識別ヘッダ X-Auth-Probe</t>
        </is>
      </c>
      <c r="C16" s="5" t="inlineStr">
        <is>
          <t>ヘッダ名・値の保管場所・付与元・WAF 許可ルールとの対応</t>
        </is>
      </c>
      <c r="D16" s="5" t="inlineStr">
        <is>
          <t>検査が WAF にブロックされ誤判定になるのを防ぐ</t>
        </is>
      </c>
      <c r="E16" s="53" t="inlineStr">
        <is>
          <t>12.</t>
        </is>
      </c>
    </row>
    <row r="17">
      <c r="A17" s="3" t="n"/>
    </row>
    <row r="18">
      <c r="A18" s="3" t="n"/>
    </row>
    <row r="20">
      <c r="A20" s="7" t="inlineStr">
        <is>
          <t>1. App Registry（S3 台帳）スキーマ</t>
        </is>
      </c>
    </row>
    <row r="21">
      <c r="A21" s="3" t="inlineStr">
        <is>
          <t>置き場: 認証構成情報配置バケットの registry/{appId}/{env}.json（1 アプリ×環境 = 1 JSON オブジェクト。DynamoDB は不使用）。対象検索 Lambda が巡回（各 App アカウントの認証構成情報連携バケットの monitoring.yaml）から自動登録・同期し、認証実装確認処理が registry/ を List → Get する。</t>
        </is>
      </c>
    </row>
    <row r="23" ht="21" customHeight="1" s="134">
      <c r="A23" s="41" t="inlineStr">
        <is>
          <t>項目</t>
        </is>
      </c>
      <c r="B23" s="41" t="inlineStr">
        <is>
          <t>型</t>
        </is>
      </c>
      <c r="C23" s="41" t="inlineStr">
        <is>
          <t>説明</t>
        </is>
      </c>
      <c r="D23" s="41" t="inlineStr">
        <is>
          <t>例</t>
        </is>
      </c>
      <c r="E23" s="41" t="inlineStr">
        <is>
          <t>由来 / 管理</t>
        </is>
      </c>
      <c r="F23" s="41" t="n"/>
    </row>
    <row r="24" ht="42" customHeight="1" s="134">
      <c r="A24" s="5" t="inlineStr">
        <is>
          <t>appId</t>
        </is>
      </c>
      <c r="B24" s="5" t="inlineStr">
        <is>
          <t>S</t>
        </is>
      </c>
      <c r="C24" s="5" t="inlineStr">
        <is>
          <t>台帳の識別子（キーと同値）</t>
        </is>
      </c>
      <c r="D24" s="5" t="inlineStr">
        <is>
          <t>expense-api</t>
        </is>
      </c>
      <c r="E24" s="5" t="inlineStr">
        <is>
          <t>キーと同値</t>
        </is>
      </c>
      <c r="F24" s="5" t="inlineStr">
        <is>
          <t>データ契約 §2.1, 12 §12.1</t>
        </is>
      </c>
    </row>
    <row r="25" ht="42" customHeight="1" s="134">
      <c r="A25" s="5" t="inlineStr">
        <is>
          <t>env</t>
        </is>
      </c>
      <c r="B25" s="5" t="inlineStr">
        <is>
          <t>S</t>
        </is>
      </c>
      <c r="C25" s="5" t="inlineStr">
        <is>
          <t>台帳の識別子（キーと同値）</t>
        </is>
      </c>
      <c r="D25" s="5" t="inlineStr">
        <is>
          <t>prod / stg / dev</t>
        </is>
      </c>
      <c r="E25" s="5" t="inlineStr">
        <is>
          <t>キーと同値</t>
        </is>
      </c>
      <c r="F25" s="5" t="inlineStr">
        <is>
          <t>データ契約 §2.1, 12 §12.1</t>
        </is>
      </c>
    </row>
    <row r="26" ht="42" customHeight="1" s="134">
      <c r="A26" s="5" t="inlineStr">
        <is>
          <t>baseUrl</t>
        </is>
      </c>
      <c r="B26" s="5" t="inlineStr">
        <is>
          <t>S</t>
        </is>
      </c>
      <c r="C26" s="5" t="inlineStr">
        <is>
          <t>検査先 CloudFront URL（Origin Protection 経由）</t>
        </is>
      </c>
      <c r="D26" s="5" t="inlineStr">
        <is>
          <t>https://expense.example.com</t>
        </is>
      </c>
      <c r="E26" s="5" t="inlineStr">
        <is>
          <t>monitoring.yaml</t>
        </is>
      </c>
      <c r="F26" s="5" t="inlineStr">
        <is>
          <t>データ契約 §2.1, 12 §12.1</t>
        </is>
      </c>
    </row>
    <row r="27" ht="42" customHeight="1" s="134">
      <c r="A27" s="5" t="inlineStr">
        <is>
          <t>authPattern</t>
        </is>
      </c>
      <c r="B27" s="5" t="inlineStr">
        <is>
          <t>S</t>
        </is>
      </c>
      <c r="C27" s="5" t="inlineStr">
        <is>
          <t>認証方式 enum</t>
        </is>
      </c>
      <c r="D27" s="5" t="inlineStr">
        <is>
          <t>api-gw-jwt</t>
        </is>
      </c>
      <c r="E27" s="5" t="inlineStr">
        <is>
          <t>monitoring.yaml</t>
        </is>
      </c>
      <c r="F27" s="5" t="inlineStr">
        <is>
          <t>データ契約 §2.1, 12 §12.1</t>
        </is>
      </c>
    </row>
    <row r="28" ht="42" customHeight="1" s="134">
      <c r="A28" s="5" t="inlineStr">
        <is>
          <t>openApiS3Key</t>
        </is>
      </c>
      <c r="B28" s="5" t="inlineStr">
        <is>
          <t>S</t>
        </is>
      </c>
      <c r="C28" s="5" t="inlineStr">
        <is>
          <t>spec コピーのキー</t>
        </is>
      </c>
      <c r="D28" s="5" t="inlineStr">
        <is>
          <t>openapi/111122223333/expense-api/openapi.yaml</t>
        </is>
      </c>
      <c r="E28" s="5" t="inlineStr">
        <is>
          <t>巡回が導出</t>
        </is>
      </c>
      <c r="F28" s="5" t="inlineStr">
        <is>
          <t>データ契約 §2.1, 12 §12.1</t>
        </is>
      </c>
    </row>
    <row r="29" ht="42" customHeight="1" s="134">
      <c r="A29" s="5" t="inlineStr">
        <is>
          <t>testTokenSecret</t>
        </is>
      </c>
      <c r="B29" s="5" t="inlineStr">
        <is>
          <t>S</t>
        </is>
      </c>
      <c r="C29" s="5" t="inlineStr">
        <is>
          <t>Positive 用 token の Secret 名</t>
        </is>
      </c>
      <c r="D29" s="5" t="inlineStr">
        <is>
          <t>canary-central-readonly</t>
        </is>
      </c>
      <c r="E29" s="5" t="inlineStr">
        <is>
          <t>monitoring.yaml</t>
        </is>
      </c>
      <c r="F29" s="5" t="inlineStr">
        <is>
          <t>データ契約 §2.1, 12 §12.1</t>
        </is>
      </c>
    </row>
    <row r="30" ht="42" customHeight="1" s="134">
      <c r="A30" s="5" t="inlineStr">
        <is>
          <t>alertRouting</t>
        </is>
      </c>
      <c r="B30" s="5" t="inlineStr">
        <is>
          <t>M</t>
        </is>
      </c>
      <c r="C30" s="5" t="inlineStr">
        <is>
          <t>通知先 {p1,p2,p3} の SNS ARN（未設定は全社デフォルト）</t>
        </is>
      </c>
      <c r="D30" s="5" t="inlineStr">
        <is>
          <t>{ p1: 'arn:aws:sns:...:security' }</t>
        </is>
      </c>
      <c r="E30" s="5" t="inlineStr">
        <is>
          <t>台帳のみ・中央管理</t>
        </is>
      </c>
      <c r="F30" s="5" t="inlineStr">
        <is>
          <t>データ契約 §2.1, 12 §12.1</t>
        </is>
      </c>
    </row>
    <row r="31" ht="42" customHeight="1" s="134">
      <c r="A31" s="5" t="inlineStr">
        <is>
          <t>enabled</t>
        </is>
      </c>
      <c r="B31" s="5" t="inlineStr">
        <is>
          <t>BOOL</t>
        </is>
      </c>
      <c r="C31" s="5" t="inlineStr">
        <is>
          <t>監視有効フラグ（monitoring.yaml には置かない）</t>
        </is>
      </c>
      <c r="D31" s="5" t="b">
        <v>1</v>
      </c>
      <c r="E31" s="5" t="inlineStr">
        <is>
          <t>台帳のみ・中央管理</t>
        </is>
      </c>
      <c r="F31" s="5" t="inlineStr">
        <is>
          <t>データ契約 §2.1, 12 §12.1</t>
        </is>
      </c>
    </row>
    <row r="32" ht="42" customHeight="1" s="134">
      <c r="A32" s="5" t="inlineStr">
        <is>
          <t>registeredAt</t>
        </is>
      </c>
      <c r="B32" s="5" t="inlineStr">
        <is>
          <t>S</t>
        </is>
      </c>
      <c r="C32" s="5" t="inlineStr">
        <is>
          <t>ISO8601 登録日時</t>
        </is>
      </c>
      <c r="D32" s="5" t="inlineStr">
        <is>
          <t>2026-07-06T00:00:00Z</t>
        </is>
      </c>
      <c r="E32" s="5" t="inlineStr">
        <is>
          <t>巡回</t>
        </is>
      </c>
      <c r="F32" s="5" t="inlineStr">
        <is>
          <t>データ契約 §2.1, 12 §12.1</t>
        </is>
      </c>
    </row>
    <row r="33" ht="42" customHeight="1" s="134">
      <c r="A33" s="5" t="inlineStr">
        <is>
          <t>artifactBucket</t>
        </is>
      </c>
      <c r="B33" s="5" t="inlineStr">
        <is>
          <t>S</t>
        </is>
      </c>
      <c r="C33" s="5" t="inlineStr">
        <is>
          <t>発見元の認証構成情報連携バケット</t>
        </is>
      </c>
      <c r="D33" s="8" t="inlineStr">
        <is>
          <t>auth-monitoring-artifacts-111122223333</t>
        </is>
      </c>
      <c r="E33" s="5" t="inlineStr">
        <is>
          <t>巡回が記録</t>
        </is>
      </c>
      <c r="F33" s="5" t="inlineStr">
        <is>
          <t>データ契約 §2.1, 12 §12.1</t>
        </is>
      </c>
    </row>
    <row r="34" ht="42" customHeight="1" s="134">
      <c r="A34" s="5" t="inlineStr">
        <is>
          <t>artifactPrefix</t>
        </is>
      </c>
      <c r="B34" s="5" t="inlineStr">
        <is>
          <t>S</t>
        </is>
      </c>
      <c r="C34" s="5" t="inlineStr">
        <is>
          <t>発見元の {appId}/ プレフィックス</t>
        </is>
      </c>
      <c r="D34" s="5" t="inlineStr">
        <is>
          <t>expense-api/</t>
        </is>
      </c>
      <c r="E34" s="5" t="inlineStr">
        <is>
          <t>巡回が記録</t>
        </is>
      </c>
      <c r="F34" s="5" t="inlineStr">
        <is>
          <t>データ契約 §2.1, 12 §12.1</t>
        </is>
      </c>
    </row>
    <row r="35" ht="42" customHeight="1" s="134">
      <c r="A35" s="5" t="inlineStr">
        <is>
          <t>lastArtifactVersions</t>
        </is>
      </c>
      <c r="B35" s="5" t="inlineStr">
        <is>
          <t>M</t>
        </is>
      </c>
      <c r="C35" s="5" t="inlineStr">
        <is>
          <t>前回確認した認証構成情報（monitoring.yaml / openapi.yaml）の S3 VersionId。差分判定の基準</t>
        </is>
      </c>
      <c r="D35" s="5" t="inlineStr">
        <is>
          <t>{ 'monitoring.yaml': '3z9K…', 'openapi.yaml': '8aQ2…' }</t>
        </is>
      </c>
      <c r="E35" s="5" t="inlineStr">
        <is>
          <t>巡回状態</t>
        </is>
      </c>
      <c r="F35" s="5" t="inlineStr">
        <is>
          <t>データ契約 §2.1, 12 §12.1</t>
        </is>
      </c>
    </row>
    <row r="36" ht="42" customHeight="1" s="134">
      <c r="A36" s="5" t="inlineStr">
        <is>
          <t>deployInfo</t>
        </is>
      </c>
      <c r="B36" s="5" t="inlineStr">
        <is>
          <t>M</t>
        </is>
      </c>
      <c r="C36" s="5" t="inlineStr">
        <is>
          <t>ベンダー CI が申告した commitId / deployedAt 等の追跡用参考値（検知には使わない。staleness 検知の補助）</t>
        </is>
      </c>
      <c r="D36" s="5" t="inlineStr">
        <is>
          <t>{ commitId: 'a1b2c3d…', deployedAt: '2026-08-20T12:00:00Z' }</t>
        </is>
      </c>
      <c r="E36" s="5" t="inlineStr">
        <is>
          <t>deploy-info.json（任意）</t>
        </is>
      </c>
      <c r="F36" s="5" t="inlineStr">
        <is>
          <t>データ契約 §2.1, 12 §12.1</t>
        </is>
      </c>
    </row>
    <row r="37" ht="42" customHeight="1" s="134">
      <c r="A37" s="5" t="inlineStr">
        <is>
          <t>lastSeenAt</t>
        </is>
      </c>
      <c r="B37" s="5" t="inlineStr">
        <is>
          <t>S</t>
        </is>
      </c>
      <c r="C37" s="5" t="inlineStr">
        <is>
          <t>最後に観測した日時（消滅検知用）</t>
        </is>
      </c>
      <c r="D37" s="5" t="inlineStr">
        <is>
          <t>2026-08-21T00:00:00Z</t>
        </is>
      </c>
      <c r="E37" s="5" t="inlineStr">
        <is>
          <t>巡回状態</t>
        </is>
      </c>
      <c r="F37" s="5" t="inlineStr">
        <is>
          <t>データ契約 §2.1, 12 §12.1</t>
        </is>
      </c>
    </row>
    <row r="38">
      <c r="A38" s="5" t="n"/>
      <c r="B38" s="5" t="n"/>
      <c r="C38" s="5" t="n"/>
      <c r="D38" s="5" t="n"/>
      <c r="E38" s="5" t="n"/>
      <c r="F38" s="5" t="n"/>
    </row>
    <row r="39">
      <c r="A39" s="5" t="n"/>
      <c r="B39" s="5" t="n"/>
      <c r="C39" s="5" t="n"/>
      <c r="D39" s="5" t="n"/>
      <c r="E39" s="5" t="n"/>
      <c r="F39" s="5" t="n"/>
    </row>
    <row r="40">
      <c r="A40" s="5" t="n"/>
      <c r="B40" s="5" t="n"/>
      <c r="C40" s="5" t="n"/>
      <c r="D40" s="5" t="n"/>
      <c r="E40" s="5" t="n"/>
      <c r="F40" s="5" t="n"/>
    </row>
    <row r="42" ht="399" customHeight="1" s="134">
      <c r="A42" s="39" t="inlineStr">
        <is>
          <t>baseUrl / authPattern / testTokenSecret は monitoring.yaml 由来（巡回同期）、artifactBucket / artifactPrefix / lastArtifactVersions / lastSeenAt は巡回状態、alertRouting / enabled は台帳のみで中央管理。認証実装確認処理は enabled=true のみ検査する。自動差分検査（モード1）は該当 1 オブジェクトのみ Get、全量検査（モード2）は全 List。旧スキーマ（repositoryName / branch / pathPrefix / lastCheckedCommitId / apiGatewayId / stage / deploymentId）は 2026-08-21 廃止。</t>
        </is>
      </c>
    </row>
    <row r="45">
      <c r="A45" s="7" t="inlineStr">
        <is>
          <t>台帳 JSON 例（キー例: registry/expense-api/prod.json）</t>
        </is>
      </c>
    </row>
    <row r="46">
      <c r="A46" s="54" t="inlineStr">
        <is>
          <t>{</t>
        </is>
      </c>
    </row>
    <row r="47">
      <c r="A47" s="54" t="inlineStr">
        <is>
          <t>"appId": "expense-api",</t>
        </is>
      </c>
    </row>
    <row r="48">
      <c r="A48" s="54" t="inlineStr">
        <is>
          <t>"env": "prod",</t>
        </is>
      </c>
    </row>
    <row r="49">
      <c r="A49" s="54" t="inlineStr">
        <is>
          <t>"baseUrl": "https://expense.example.com",</t>
        </is>
      </c>
    </row>
    <row r="50">
      <c r="A50" s="54" t="inlineStr">
        <is>
          <t>"authPattern": "api-gw-jwt",</t>
        </is>
      </c>
    </row>
    <row r="51">
      <c r="A51" s="54" t="inlineStr">
        <is>
          <t>"openApiS3Key": "openapi/111122223333/expense-api/openapi.yaml",</t>
        </is>
      </c>
    </row>
    <row r="52">
      <c r="A52" s="54" t="inlineStr">
        <is>
          <t>"testTokenSecret": "canary-central-readonly",</t>
        </is>
      </c>
    </row>
    <row r="53">
      <c r="A53" s="54" t="inlineStr">
        <is>
          <t>"alertRouting": { "p1": "arn:aws:sns:...:security" },</t>
        </is>
      </c>
    </row>
    <row r="54">
      <c r="A54" s="54" t="inlineStr">
        <is>
          <t>"enabled": true,</t>
        </is>
      </c>
    </row>
    <row r="55">
      <c r="A55" s="54" t="inlineStr">
        <is>
          <t>"registeredAt": "2026-07-06T00:00:00Z",</t>
        </is>
      </c>
    </row>
    <row r="56">
      <c r="A56" s="54" t="inlineStr">
        <is>
          <t>"artifactBucket": "auth-monitoring-artifacts-111122223333",</t>
        </is>
      </c>
    </row>
    <row r="57">
      <c r="A57" s="54" t="inlineStr">
        <is>
          <t>"artifactPrefix": "expense-api/",</t>
        </is>
      </c>
    </row>
    <row r="58">
      <c r="A58" s="54" t="inlineStr">
        <is>
          <t>"lastArtifactVersions": { "monitoring.yaml": "3z9K…", "openapi.yaml": "8aQ2…" },</t>
        </is>
      </c>
    </row>
    <row r="59">
      <c r="A59" s="54" t="inlineStr">
        <is>
          <t>"deployInfo": { "commitId": "a1b2c3d…", "deployedAt": "2026-08-20T12:00:00Z" },</t>
        </is>
      </c>
    </row>
    <row r="60">
      <c r="A60" s="54" t="inlineStr">
        <is>
          <t>"lastSeenAt": "2026-08-21T00:00:00Z"</t>
        </is>
      </c>
    </row>
    <row r="61">
      <c r="A61" s="54" t="inlineStr">
        <is>
          <t>}</t>
        </is>
      </c>
    </row>
    <row r="62">
      <c r="A62" s="54" t="n"/>
    </row>
    <row r="63">
      <c r="A63" s="54" t="n"/>
    </row>
    <row r="64">
      <c r="A64" s="54" t="n"/>
    </row>
    <row r="67" ht="21" customHeight="1" s="134" thickBot="1">
      <c r="A67" s="55" t="inlineStr">
        <is>
          <t>2. 認証構成情報配置バケット S3 構造</t>
        </is>
      </c>
    </row>
    <row r="68" ht="22" customHeight="1" s="134">
      <c r="A68" s="11" t="inlineStr">
        <is>
          <t>【図9 認証構成情報配置バケット S3 のキー体系 挿入位置】</t>
        </is>
      </c>
      <c r="B68" s="12" t="n"/>
      <c r="C68" s="13" t="n"/>
    </row>
    <row r="69" ht="22" customHeight="1" s="134">
      <c r="A69" s="14" t="inlineStr">
        <is>
          <t>描くべき内容: 1 バケット内に registry/{appId}/{env}.json（台帳＋巡回スナップショット）と openapi/{accountId}/{appId}/openapi.yaml（spec コピー）が同居し Versioning 有効。読み手（認証実装チェック Lambda・アラート検知 Lambda）と書き手（対象検索 Lambda・共通基盤チーム手動）を区別</t>
        </is>
      </c>
      <c r="B69" s="15" t="n"/>
      <c r="C69" s="16" t="n"/>
    </row>
    <row r="70" ht="22" customHeight="1" s="134">
      <c r="A70" s="14" t="n"/>
      <c r="B70" s="15" t="n"/>
      <c r="C70" s="16" t="n"/>
    </row>
    <row r="71" ht="22" customHeight="1" s="134" thickBot="1">
      <c r="A71" s="17" t="inlineStr">
        <is>
          <t>（この枠に図を貼り込む。要素・矢印の追加および省略はしない）</t>
        </is>
      </c>
      <c r="B71" s="18" t="n"/>
      <c r="C71" s="19" t="n"/>
    </row>
    <row r="73">
      <c r="A73" s="4" t="inlineStr">
        <is>
          <t>項目</t>
        </is>
      </c>
      <c r="B73" s="4" t="inlineStr">
        <is>
          <t>値</t>
        </is>
      </c>
      <c r="C73" s="4" t="n"/>
    </row>
    <row r="74" ht="63" customHeight="1" s="134">
      <c r="A74" s="5" t="inlineStr">
        <is>
          <t>バケット</t>
        </is>
      </c>
      <c r="B74" s="5" t="inlineStr">
        <is>
          <t>&lt;common-platform-acct&gt;-monitoring-registry（Versioning 有効。台帳と spec コピーが同居）</t>
        </is>
      </c>
      <c r="C74" s="5" t="n"/>
    </row>
    <row r="75" ht="21" customHeight="1" s="134">
      <c r="A75" s="5" t="inlineStr">
        <is>
          <t>台帳</t>
        </is>
      </c>
      <c r="B75" s="5" t="inlineStr">
        <is>
          <t>registry/{appId}/{env}.json</t>
        </is>
      </c>
      <c r="C75" s="5" t="n"/>
    </row>
    <row r="76" ht="21" customHeight="1" s="134">
      <c r="A76" s="5" t="inlineStr">
        <is>
          <t>spec コピー</t>
        </is>
      </c>
      <c r="B76" s="5" t="inlineStr">
        <is>
          <t>openapi/{accountId}/{appId}/openapi.yaml</t>
        </is>
      </c>
      <c r="C76" s="5" t="n"/>
    </row>
    <row r="77" ht="21" customHeight="1" s="134">
      <c r="A77" s="5" t="inlineStr">
        <is>
          <t>Versioning</t>
        </is>
      </c>
      <c r="B77" s="5" t="inlineStr">
        <is>
          <t>有効（履歴を保持）</t>
        </is>
      </c>
      <c r="C77" s="5" t="n"/>
    </row>
    <row r="78" ht="63" customHeight="1" s="134">
      <c r="A78" s="5" t="inlineStr">
        <is>
          <t>取得元</t>
        </is>
      </c>
      <c r="B78" s="5" t="inlineStr">
        <is>
          <t>対象検索 Lambda が認証構成情報連携バケットの openapi.yaml（デプロイ版の写し）を GetObject で取得して Put</t>
        </is>
      </c>
      <c r="C78" s="5" t="n"/>
    </row>
    <row r="81" ht="63" customHeight="1" s="134">
      <c r="A81" s="9" t="inlineStr">
        <is>
          <t>3. authPattern enum（6 値。認証実装確認処理が assertion 方式を切替）</t>
        </is>
      </c>
    </row>
    <row r="82">
      <c r="A82" s="4" t="inlineStr">
        <is>
          <t>値</t>
        </is>
      </c>
      <c r="B82" s="4" t="inlineStr">
        <is>
          <t>意味</t>
        </is>
      </c>
      <c r="C82" s="4" t="inlineStr">
        <is>
          <t>Negative 期待</t>
        </is>
      </c>
      <c r="D82" s="4" t="inlineStr">
        <is>
          <t>Positive</t>
        </is>
      </c>
      <c r="E82" s="4" t="inlineStr">
        <is>
          <t>状態</t>
        </is>
      </c>
      <c r="F82" s="4" t="n"/>
    </row>
    <row r="83" ht="21" customHeight="1" s="134">
      <c r="A83" s="5" t="inlineStr">
        <is>
          <t>api-gw-jwt</t>
        </is>
      </c>
      <c r="B83" s="5" t="inlineStr">
        <is>
          <t>API GW + JWT Authorizer</t>
        </is>
      </c>
      <c r="C83" s="5" t="inlineStr">
        <is>
          <t>401/403</t>
        </is>
      </c>
      <c r="D83" s="5" t="inlineStr">
        <is>
          <t>Bearer で 200</t>
        </is>
      </c>
      <c r="E83" s="5" t="inlineStr">
        <is>
          <t>検証済</t>
        </is>
      </c>
      <c r="F83" s="5" t="n"/>
    </row>
    <row r="84" ht="21" customHeight="1" s="134">
      <c r="A84" s="5" t="inlineStr">
        <is>
          <t>api-gw-iam</t>
        </is>
      </c>
      <c r="B84" s="5" t="inlineStr">
        <is>
          <t>API GW + AWS_IAM</t>
        </is>
      </c>
      <c r="C84" s="5" t="n">
        <v>403</v>
      </c>
      <c r="D84" s="5" t="inlineStr">
        <is>
          <t>（SigV4、Phase 2）</t>
        </is>
      </c>
      <c r="E84" s="5" t="inlineStr">
        <is>
          <t>Phase 2</t>
        </is>
      </c>
      <c r="F84" s="5" t="n"/>
    </row>
    <row r="85" ht="21" customHeight="1" s="134">
      <c r="A85" s="5" t="inlineStr">
        <is>
          <t>alb-code-jwt</t>
        </is>
      </c>
      <c r="B85" s="5" t="inlineStr">
        <is>
          <t>ALB + アプリコード JWT</t>
        </is>
      </c>
      <c r="C85" s="5" t="inlineStr">
        <is>
          <t>401/403</t>
        </is>
      </c>
      <c r="D85" s="5" t="inlineStr">
        <is>
          <t>Bearer で 200</t>
        </is>
      </c>
      <c r="E85" s="5" t="inlineStr">
        <is>
          <t>検証済</t>
        </is>
      </c>
      <c r="F85" s="5" t="n"/>
    </row>
    <row r="86" ht="21" customHeight="1" s="134">
      <c r="A86" s="5" t="inlineStr">
        <is>
          <t>alb-cookie-monolith</t>
        </is>
      </c>
      <c r="B86" s="5" t="inlineStr">
        <is>
          <t>ALB + Cookie SSR モノリス</t>
        </is>
      </c>
      <c r="C86" s="5" t="inlineStr">
        <is>
          <t>302 Redirect to /login</t>
        </is>
      </c>
      <c r="D86" s="5" t="inlineStr">
        <is>
          <t>Puppeteer ログイン</t>
        </is>
      </c>
      <c r="E86" s="5" t="inlineStr">
        <is>
          <t>Negative 済 / Positive 要 PoC</t>
        </is>
      </c>
      <c r="F86" s="5" t="n"/>
    </row>
    <row r="87" ht="21" customHeight="1" s="134">
      <c r="A87" s="5" t="inlineStr">
        <is>
          <t>bff-cookie-session</t>
        </is>
      </c>
      <c r="B87" s="5" t="inlineStr">
        <is>
          <t>BFF（ブラウザ↔BFF = Cookie セッション）</t>
        </is>
      </c>
      <c r="C87" s="5" t="inlineStr">
        <is>
          <t>401 or 302（BFF 実装依存）</t>
        </is>
      </c>
      <c r="D87" s="5" t="inlineStr">
        <is>
          <t>Puppeteer ログイン → Cookie</t>
        </is>
      </c>
      <c r="E87" s="5" t="inlineStr">
        <is>
          <t>Negative 済 / Positive 要 PoC</t>
        </is>
      </c>
      <c r="F87" s="5" t="n"/>
    </row>
    <row r="88" ht="21" customHeight="1" s="134">
      <c r="A88" s="5" t="inlineStr">
        <is>
          <t>lambda-url-iam</t>
        </is>
      </c>
      <c r="B88" s="5" t="inlineStr">
        <is>
          <t>Lambda Function URL + IAM</t>
        </is>
      </c>
      <c r="C88" s="5" t="n">
        <v>403</v>
      </c>
      <c r="D88" s="5" t="inlineStr">
        <is>
          <t>（SigV4、Phase 2）</t>
        </is>
      </c>
      <c r="E88" s="5" t="inlineStr">
        <is>
          <t>Phase 2</t>
        </is>
      </c>
      <c r="F88" s="5" t="n"/>
    </row>
    <row r="90" ht="147" customHeight="1" s="134">
      <c r="A90" s="39" t="inlineStr">
        <is>
          <t>bff-cookie-session は BFF アーキパターンのブラウザ↔BFF 入口を監視する。BFF↔API 間（Bearer）は内部通信のため、BFF 入口の監視で実質カバー。API を独立監視する場合は別レコードで api-gw-jwt として登録</t>
        </is>
      </c>
    </row>
    <row r="93" ht="21" customHeight="1" s="134" thickBot="1">
      <c r="A93" s="7" t="inlineStr">
        <is>
          <t>4. 認証構成情報の規約（S3・config-as-code）</t>
        </is>
      </c>
    </row>
    <row r="94" ht="22" customHeight="1" s="134">
      <c r="A94" s="11" t="inlineStr">
        <is>
          <t>【図10 メタデータの供給関係（誰が何を決めるか） 挿入位置】</t>
        </is>
      </c>
      <c r="B94" s="12" t="n"/>
      <c r="C94" s="13" t="n"/>
    </row>
    <row r="95" ht="22" customHeight="1" s="134">
      <c r="A95" s="14" t="inlineStr">
        <is>
          <t>描くべき内容: 認証構成情報連携バケット由来（baseUrl / authPattern / testTokenSecret）→ 台帳、台帳のみ中央管理（alertRouting / enabled）、認証構成情報の openapi.yaml（デプロイ版の写し）→ S3 コピー → extractEndpoints。アプリ側に登録処理がないこと（アップロードはデプロイパイプラインの標準ステップ）</t>
        </is>
      </c>
      <c r="B95" s="15" t="n"/>
      <c r="C95" s="16" t="n"/>
    </row>
    <row r="96" ht="22" customHeight="1" s="134">
      <c r="A96" s="14" t="n"/>
      <c r="B96" s="15" t="n"/>
      <c r="C96" s="16" t="n"/>
    </row>
    <row r="97" ht="22" customHeight="1" s="134" thickBot="1">
      <c r="A97" s="17" t="inlineStr">
        <is>
          <t>（この枠に図を貼り込む。要素・矢印の追加および省略はしない）</t>
        </is>
      </c>
      <c r="B97" s="18" t="n"/>
      <c r="C97" s="19" t="n"/>
    </row>
    <row r="99" ht="84" customHeight="1" s="134">
      <c r="A99" s="39" t="inlineStr">
        <is>
          <t>監視メタデータは各 App アカウントの認証構成情報連携バケットに規定キーで置く。{appId}/monitoring.yaml がある = 監視対象。</t>
        </is>
      </c>
    </row>
    <row r="101">
      <c r="A101" s="54" t="inlineStr">
        <is>
          <t>s3://auth-monitoring-artifacts-{accountId}/     ← StackSets 配布（Versioning 有効）</t>
        </is>
      </c>
    </row>
    <row r="102">
      <c r="A102" s="54" t="inlineStr">
        <is>
          <t xml:space="preserve">  {appId}/</t>
        </is>
      </c>
    </row>
    <row r="103">
      <c r="A103" s="54" t="inlineStr">
        <is>
          <t xml:space="preserve">    monitoring.yaml      # 監視宣言（下記）</t>
        </is>
      </c>
    </row>
    <row r="104">
      <c r="A104" s="54" t="inlineStr">
        <is>
          <t xml:space="preserve">    openapi.yaml         # デプロイした版の spec（正本はベンダー git、これはデプロイ版の写し）</t>
        </is>
      </c>
    </row>
    <row r="105">
      <c r="A105" s="54" t="inlineStr">
        <is>
          <t xml:space="preserve">    deploy-info.json     # 任意: { "commitId": "…", "deployedAt": "…", "pipelineRunId": "…" }</t>
        </is>
      </c>
    </row>
    <row r="106">
      <c r="A106" s="54" t="n"/>
    </row>
    <row r="107">
      <c r="A107" s="54" t="inlineStr">
        <is>
          <t># {appId}/monitoring.yaml</t>
        </is>
      </c>
    </row>
    <row r="108">
      <c r="A108" s="54" t="inlineStr">
        <is>
          <t>appId: expense-api               # プレフィックスと一致必須</t>
        </is>
      </c>
    </row>
    <row r="109">
      <c r="A109" s="54" t="inlineStr">
        <is>
          <t>environments:</t>
        </is>
      </c>
    </row>
    <row r="110">
      <c r="A110" s="54" t="inlineStr">
        <is>
          <t xml:space="preserve">  prod:</t>
        </is>
      </c>
    </row>
    <row r="111">
      <c r="A111" s="54" t="inlineStr">
        <is>
          <t xml:space="preserve">    baseUrl: https://expense.example.com   # 検査先（CloudFront URL）</t>
        </is>
      </c>
    </row>
    <row r="112">
      <c r="A112" s="54" t="inlineStr">
        <is>
          <t xml:space="preserve">    authPattern: api-gw-jwt                # 検査方式（enum）</t>
        </is>
      </c>
    </row>
    <row r="113">
      <c r="A113" s="54" t="inlineStr">
        <is>
          <t xml:space="preserve">  stg:</t>
        </is>
      </c>
    </row>
    <row r="114">
      <c r="A114" s="54" t="inlineStr">
        <is>
          <t xml:space="preserve">    baseUrl: https://stg.expense.example.com</t>
        </is>
      </c>
    </row>
    <row r="115">
      <c r="A115" s="54" t="inlineStr">
        <is>
          <t xml:space="preserve">    authPattern: api-gw-jwt</t>
        </is>
      </c>
    </row>
    <row r="116">
      <c r="A116" s="54" t="inlineStr">
        <is>
          <t>testTokenSecret: canary-central-readonly   # 省略時は共通</t>
        </is>
      </c>
    </row>
    <row r="117">
      <c r="A117" s="54" t="n"/>
    </row>
    <row r="119">
      <c r="A119" s="4" t="inlineStr">
        <is>
          <t>項目</t>
        </is>
      </c>
      <c r="B119" s="4" t="inlineStr">
        <is>
          <t>規約</t>
        </is>
      </c>
      <c r="C119" s="4" t="inlineStr">
        <is>
          <t>不備時の挙動</t>
        </is>
      </c>
      <c r="D119" s="49" t="n"/>
    </row>
    <row r="120" ht="42" customHeight="1" s="134">
      <c r="A120" s="5" t="inlineStr">
        <is>
          <t>{appId}/monitoring.yaml</t>
        </is>
      </c>
      <c r="B120" s="5" t="inlineStr">
        <is>
          <t>必須（これが監視対象の宣言）</t>
        </is>
      </c>
      <c r="C120" s="5" t="inlineStr">
        <is>
          <t>API 提供契約 / タグがあるのに認証構成情報が無い場合は棚卸しで検出（M-Q-17-3）</t>
        </is>
      </c>
      <c r="D120" s="50" t="n"/>
    </row>
    <row r="121" ht="21" customHeight="1" s="134">
      <c r="A121" s="5" t="inlineStr">
        <is>
          <t>appId</t>
        </is>
      </c>
      <c r="B121" s="5" t="inlineStr">
        <is>
          <t>プレフィックスと一致必須</t>
        </is>
      </c>
      <c r="C121" s="5" t="inlineStr">
        <is>
          <t>不一致は取り込み拒否 + メタ不足アラート</t>
        </is>
      </c>
      <c r="D121" s="50" t="n"/>
    </row>
    <row r="122" ht="21" customHeight="1" s="134">
      <c r="A122" s="5" t="inlineStr">
        <is>
          <t>authPattern</t>
        </is>
      </c>
      <c r="B122" s="5" t="inlineStr">
        <is>
          <t>enum（データ契約 §2.1）</t>
        </is>
      </c>
      <c r="C122" s="5" t="inlineStr">
        <is>
          <t>既定 api-gw-jwt で 未認証検査のみ実施 + メタ不足アラート</t>
        </is>
      </c>
      <c r="D122" s="50" t="n"/>
    </row>
    <row r="123" ht="21" customHeight="1" s="134">
      <c r="A123" s="5" t="inlineStr">
        <is>
          <t>baseUrl</t>
        </is>
      </c>
      <c r="B123" s="5" t="inlineStr">
        <is>
          <t>CloudFront URL</t>
        </is>
      </c>
      <c r="C123" s="5" t="inlineStr">
        <is>
          <t>検査不能 → メタ不足アラート</t>
        </is>
      </c>
      <c r="D123" s="50" t="n"/>
    </row>
    <row r="124" ht="42" customHeight="1" s="134">
      <c r="A124" s="5" t="inlineStr">
        <is>
          <t>openapi.yaml</t>
        </is>
      </c>
      <c r="B124" s="5" t="inlineStr">
        <is>
          <t>同プレフィックスに併置</t>
        </is>
      </c>
      <c r="C124" s="5" t="inlineStr">
        <is>
          <t>無い場合は endpoint リストを monitoring.yaml に列挙（モノリス等）</t>
        </is>
      </c>
      <c r="D124" s="50" t="n"/>
    </row>
    <row r="125" ht="42" customHeight="1" s="134">
      <c r="A125" s="5" t="inlineStr">
        <is>
          <t>deploy-info.json</t>
        </is>
      </c>
      <c r="B125" s="5" t="inlineStr">
        <is>
          <t>任意（commitId 等の追跡用参考値。中央は検知に使わない）</t>
        </is>
      </c>
      <c r="C125" s="5" t="inlineStr">
        <is>
          <t>—</t>
        </is>
      </c>
      <c r="D125" s="50" t="n"/>
    </row>
    <row r="126" ht="63" customHeight="1" s="134">
      <c r="A126" s="5" t="inlineStr">
        <is>
          <t>通知先（alertRouting）</t>
        </is>
      </c>
      <c r="B126" s="5" t="inlineStr">
        <is>
          <t>認証構成情報に書かない（SNS ARN を外部ベンダーの手に置かない）。台帳側で共通基盤チームが管理、未設定は全社デフォルト</t>
        </is>
      </c>
      <c r="C126" s="5" t="inlineStr">
        <is>
          <t>—</t>
        </is>
      </c>
      <c r="D126" s="39" t="n"/>
    </row>
    <row r="127" ht="42" customHeight="1" s="134">
      <c r="A127" s="5" t="inlineStr">
        <is>
          <t>enabled（一時停止）</t>
        </is>
      </c>
      <c r="B127" s="5" t="inlineStr">
        <is>
          <t>認証構成情報に書かない。台帳側で中央管理（アプリ側の勝手な監視停止を防ぐ）</t>
        </is>
      </c>
      <c r="C127" s="5" t="inlineStr">
        <is>
          <t>—</t>
        </is>
      </c>
    </row>
    <row r="128">
      <c r="A128" s="3" t="n"/>
    </row>
    <row r="129" ht="231" customHeight="1" s="134">
      <c r="A129" s="39" t="inlineStr">
        <is>
          <t>アップロード権限（16 章が正）: 認証構成情報連携バケットにはアプリ単位の専用アップロードロール（{appId}/ プレフィックス限定の s3:PutObject のみ。デプロイロールとは分離）を StackSets で同梱配布する。ベンダー CI はこのロールを各自の接続方式で Assume する。1 ベンダー複数アプリの場合もロールはアプリ単位（他アプリの認証構成情報は書けない）。</t>
        </is>
      </c>
    </row>
    <row r="130" ht="231" customHeight="1" s="134">
      <c r="A130" s="39" t="inlineStr">
        <is>
          <t>旧方式（リポジトリ直下の monitoring.yaml、pathPrefix / branch / openapi パス指定、apiGatewayId / stage）は CodeCommit 前提の規約で 2026-08-21 廃止。認証構成情報はアプリ単位でアップロードされるため、モノレポのパス突合・ブランチ指定は不要になった。リソースタグ（app-id / cost-center 等）は課金按分用として従来どおり必須。</t>
        </is>
      </c>
    </row>
    <row r="131">
      <c r="A131" s="7" t="inlineStr">
        <is>
          <t>5. OpenAPI アノテーションと MON-1（公開明示は必須・default-deny）</t>
        </is>
      </c>
    </row>
    <row r="132">
      <c r="A132" s="56" t="inlineStr">
        <is>
          <t>死守事項 MON-1（必須・default-deny）: すべての endpoint はデフォルトで「認証必須」とみなす。認証不要（public）な endpoint は x-synthetics-skip-auth-check: true を必ず明示する。明示のない endpoint は認証必須として 未認証検査で検査し、未認証で 2xx が返れば CRITICAL/P1（認証漏れ）とする</t>
        </is>
      </c>
    </row>
    <row r="134">
      <c r="A134" s="3" t="inlineStr">
        <is>
          <t>・アノテーション未記載 = 認証必須。「うっかり公開」を検知する側に倒すための default-deny 設計</t>
        </is>
      </c>
    </row>
    <row r="135">
      <c r="A135" s="3" t="inlineStr">
        <is>
          <t>・public を意図する endpoint に明示を付け忘れると、正しく公開していても「認証漏れ」として P1 アラートが出る → アプリチームは明示せざるを得ない（＝必須が自然に強制される）</t>
        </is>
      </c>
    </row>
    <row r="136">
      <c r="A136" s="3" t="inlineStr">
        <is>
          <t>・公開明示は唯一アプリが必ず書くべき監視用アノテーション（他は任意）。これが「アプリは OpenAPI に公開印を付けるだけ」という責任境界の中核</t>
        </is>
      </c>
    </row>
    <row r="137">
      <c r="A137" s="3" t="inlineStr">
        <is>
          <t>・公開明示された endpoint も、それが本当に公開してよいかは別途セキュリティレビュー対象（無制限に skip を濫用させない。棚卸しは中央）</t>
        </is>
      </c>
    </row>
    <row r="139">
      <c r="A139" s="4" t="inlineStr">
        <is>
          <t>アノテーション</t>
        </is>
      </c>
      <c r="B139" s="4" t="inlineStr">
        <is>
          <t>意味</t>
        </is>
      </c>
      <c r="C139" s="4" t="inlineStr">
        <is>
          <t>デフォルト</t>
        </is>
      </c>
      <c r="D139" s="4" t="n"/>
    </row>
    <row r="140" ht="42" customHeight="1" s="134">
      <c r="A140" s="5" t="inlineStr">
        <is>
          <t>x-synthetics-skip-auth-check: true</t>
        </is>
      </c>
      <c r="B140" s="5" t="inlineStr">
        <is>
          <t>未認証検査 対象外（public endpoint）※ public は必須明示（MON-1）</t>
        </is>
      </c>
      <c r="C140" s="5" t="inlineStr">
        <is>
          <t>false（= 認証必須）</t>
        </is>
      </c>
      <c r="D140" s="5" t="n"/>
    </row>
    <row r="141" ht="42" customHeight="1" s="134">
      <c r="A141" s="5" t="inlineStr">
        <is>
          <t>x-canary-positive-test: true | false | pre-prod-only</t>
        </is>
      </c>
      <c r="B141" s="5" t="inlineStr">
        <is>
          <t>Positive test 実施</t>
        </is>
      </c>
      <c r="C141" s="8" t="inlineStr">
        <is>
          <t>false</t>
        </is>
      </c>
      <c r="D141" s="5" t="n"/>
    </row>
    <row r="142" ht="42" customHeight="1" s="134">
      <c r="A142" s="5" t="inlineStr">
        <is>
          <t>x-canary-test-token-secret: &lt;name&gt;</t>
        </is>
      </c>
      <c r="B142" s="5" t="inlineStr">
        <is>
          <t>使用 token の Secret 名</t>
        </is>
      </c>
      <c r="C142" s="5" t="inlineStr">
        <is>
          <t>app の testTokenSecret</t>
        </is>
      </c>
      <c r="D142" s="5" t="n"/>
    </row>
    <row r="143" ht="42" customHeight="1" s="134">
      <c r="A143" s="5" t="inlineStr">
        <is>
          <t>x-canary-path-params: { key: value }</t>
        </is>
      </c>
      <c r="B143" s="5" t="inlineStr">
        <is>
          <t>path parameter の dummy 値</t>
        </is>
      </c>
      <c r="C143" s="5" t="inlineStr">
        <is>
          <t>—</t>
        </is>
      </c>
      <c r="D143" s="5" t="n"/>
    </row>
    <row r="144" ht="42" customHeight="1" s="134">
      <c r="A144" s="5" t="inlineStr">
        <is>
          <t>x-canary-cleanup: { action, path, idFrom }</t>
        </is>
      </c>
      <c r="B144" s="5" t="inlineStr">
        <is>
          <t>検査 後の後処理（POST 等）</t>
        </is>
      </c>
      <c r="C144" s="5" t="inlineStr">
        <is>
          <t>—</t>
        </is>
      </c>
      <c r="D144" s="5" t="n"/>
    </row>
    <row r="145" ht="42" customHeight="1" s="134">
      <c r="A145" s="5" t="inlineStr">
        <is>
          <t>x-canary-auth-mode: cookie-redirect</t>
        </is>
      </c>
      <c r="B145" s="5" t="inlineStr">
        <is>
          <t>モノリス Cookie フロー</t>
        </is>
      </c>
      <c r="C145" s="5" t="inlineStr">
        <is>
          <t>—</t>
        </is>
      </c>
      <c r="D145" s="5" t="n"/>
    </row>
    <row r="146" ht="42" customHeight="1" s="134">
      <c r="A146" s="5" t="inlineStr">
        <is>
          <t>x-canary-expected-redirect: /login</t>
        </is>
      </c>
      <c r="B146" s="5" t="inlineStr">
        <is>
          <t>Cookie モノリスの期待リダイレクト先</t>
        </is>
      </c>
      <c r="C146" s="5" t="inlineStr">
        <is>
          <t>—</t>
        </is>
      </c>
      <c r="D146" s="5" t="n"/>
    </row>
    <row r="148" ht="42" customHeight="1" s="134">
      <c r="A148" s="39" t="inlineStr">
        <is>
          <t>解釈は lib/openapi.js の extractEndpoints</t>
        </is>
      </c>
    </row>
    <row r="150" ht="21" customHeight="1" s="134">
      <c r="A150" s="9" t="inlineStr">
        <is>
          <t>記述例</t>
        </is>
      </c>
    </row>
    <row r="151">
      <c r="A151" s="54" t="inlineStr">
        <is>
          <t>paths:</t>
        </is>
      </c>
    </row>
    <row r="152">
      <c r="A152" s="54" t="inlineStr">
        <is>
          <t>/api/users:</t>
        </is>
      </c>
    </row>
    <row r="153">
      <c r="A153" s="54" t="inlineStr">
        <is>
          <t>get:</t>
        </is>
      </c>
    </row>
    <row r="154">
      <c r="A154" s="54" t="inlineStr">
        <is>
          <t>x-canary-positive-test: true</t>
        </is>
      </c>
    </row>
    <row r="155">
      <c r="A155" s="54" t="inlineStr">
        <is>
          <t>x-canary-test-token-secret: canary-central-readonly</t>
        </is>
      </c>
    </row>
    <row r="156">
      <c r="A156" s="54" t="inlineStr">
        <is>
          <t>/api/orders:</t>
        </is>
      </c>
    </row>
    <row r="157">
      <c r="A157" s="54" t="inlineStr">
        <is>
          <t>post:</t>
        </is>
      </c>
    </row>
    <row r="158">
      <c r="A158" s="54" t="inlineStr">
        <is>
          <t>x-canary-positive-test: pre-prod-only     # 本番は Negative のみ（副作用回避）</t>
        </is>
      </c>
    </row>
    <row r="159">
      <c r="A159" s="54" t="inlineStr">
        <is>
          <t>x-canary-cleanup: { action: DELETE, path: /api/orders/{orderId}, idFrom: response.body.orderId }</t>
        </is>
      </c>
    </row>
    <row r="160">
      <c r="A160" s="54" t="inlineStr">
        <is>
          <t>/_/health:</t>
        </is>
      </c>
    </row>
    <row r="161">
      <c r="A161" s="54" t="inlineStr">
        <is>
          <t>get:</t>
        </is>
      </c>
    </row>
    <row r="162">
      <c r="A162" s="54" t="inlineStr">
        <is>
          <t>x-synthetics-skip-auth-check: true        # public</t>
        </is>
      </c>
    </row>
    <row r="163">
      <c r="A163" s="54" t="inlineStr">
        <is>
          <t>/dashboard:</t>
        </is>
      </c>
    </row>
    <row r="164">
      <c r="A164" s="54" t="inlineStr">
        <is>
          <t>get:</t>
        </is>
      </c>
    </row>
    <row r="165">
      <c r="A165" s="54" t="inlineStr">
        <is>
          <t>x-canary-auth-mode: cookie-redirect        # SSR モノリス</t>
        </is>
      </c>
    </row>
    <row r="166">
      <c r="A166" s="54" t="inlineStr">
        <is>
          <t>x-canary-expected-redirect: /login</t>
        </is>
      </c>
    </row>
    <row r="170">
      <c r="A170" s="7" t="inlineStr">
        <is>
          <t>6. CloudWatch Metrics（認証実装確認処理が 発行）</t>
        </is>
      </c>
    </row>
    <row r="171">
      <c r="A171" s="4" t="inlineStr">
        <is>
          <t>項目</t>
        </is>
      </c>
      <c r="B171" s="4" t="inlineStr">
        <is>
          <t>値</t>
        </is>
      </c>
      <c r="C171" s="4" t="n"/>
    </row>
    <row r="172" ht="21" customHeight="1" s="134">
      <c r="A172" s="5" t="inlineStr">
        <is>
          <t>Namespace</t>
        </is>
      </c>
      <c r="B172" s="5" t="inlineStr">
        <is>
          <t>APIPlatform/AuthCheck</t>
        </is>
      </c>
      <c r="C172" s="5" t="n"/>
    </row>
    <row r="173" ht="21" customHeight="1" s="134">
      <c r="A173" s="5" t="inlineStr">
        <is>
          <t>Dimensions</t>
        </is>
      </c>
      <c r="B173" s="5" t="inlineStr">
        <is>
          <t>AppId, Env, AuthPattern</t>
        </is>
      </c>
      <c r="C173" s="5" t="n"/>
    </row>
    <row r="174" ht="42" customHeight="1" s="134">
      <c r="A174" s="5" t="inlineStr">
        <is>
          <t>アラーム条件</t>
        </is>
      </c>
      <c r="B174" s="5" t="inlineStr">
        <is>
          <t>AuthCheckCritical &gt; 0（Lambda 実行のため canary FAIL 依存でなく metric ベース）</t>
        </is>
      </c>
      <c r="C174" s="5" t="n"/>
    </row>
    <row r="177">
      <c r="A177" s="4" t="inlineStr">
        <is>
          <t>メトリクス名</t>
        </is>
      </c>
      <c r="B177" s="4" t="inlineStr">
        <is>
          <t>単位</t>
        </is>
      </c>
      <c r="C177" s="4" t="inlineStr">
        <is>
          <t>意味</t>
        </is>
      </c>
      <c r="D177" s="4" t="n"/>
    </row>
    <row r="178" ht="21" customHeight="1" s="134">
      <c r="A178" s="5" t="inlineStr">
        <is>
          <t>AuthCheckPassed</t>
        </is>
      </c>
      <c r="B178" s="5" t="inlineStr">
        <is>
          <t>Count</t>
        </is>
      </c>
      <c r="C178" s="5" t="inlineStr">
        <is>
          <t>正常（Neg=401/403 + Pos=200）</t>
        </is>
      </c>
      <c r="D178" s="5" t="n"/>
    </row>
    <row r="179" ht="21" customHeight="1" s="134">
      <c r="A179" s="5" t="inlineStr">
        <is>
          <t>AuthCheckCritical</t>
        </is>
      </c>
      <c r="B179" s="5" t="inlineStr">
        <is>
          <t>Count</t>
        </is>
      </c>
      <c r="C179" s="5" t="inlineStr">
        <is>
          <t>認証漏れ（Neg=200）</t>
        </is>
      </c>
      <c r="D179" s="5" t="n"/>
    </row>
    <row r="180" ht="21" customHeight="1" s="134">
      <c r="A180" s="5" t="inlineStr">
        <is>
          <t>AuthCheckWarn</t>
        </is>
      </c>
      <c r="B180" s="5" t="inlineStr">
        <is>
          <t>Count</t>
        </is>
      </c>
      <c r="C180" s="5" t="inlineStr">
        <is>
          <t>テスト構成 / token 失効</t>
        </is>
      </c>
      <c r="D180" s="5" t="n"/>
    </row>
    <row r="181" ht="21" customHeight="1" s="134">
      <c r="A181" s="5" t="inlineStr">
        <is>
          <t>AuthCheckInfo</t>
        </is>
      </c>
      <c r="B181" s="5" t="inlineStr">
        <is>
          <t>Count</t>
        </is>
      </c>
      <c r="C181" s="5" t="inlineStr">
        <is>
          <t>Backend バグ（Pos=500）</t>
        </is>
      </c>
      <c r="D181" s="5" t="n"/>
    </row>
    <row r="182" ht="21" customHeight="1" s="134">
      <c r="A182" s="5" t="inlineStr">
        <is>
          <t>EndpointsProbed</t>
        </is>
      </c>
      <c r="B182" s="5" t="inlineStr">
        <is>
          <t>Count</t>
        </is>
      </c>
      <c r="C182" s="5" t="inlineStr">
        <is>
          <t>検査した endpoint 総数</t>
        </is>
      </c>
      <c r="D182" s="5" t="n"/>
    </row>
    <row r="185" ht="21" customHeight="1" s="134" thickBot="1">
      <c r="A185" s="42" t="inlineStr">
        <is>
          <t>7. 4×4 真偽値表（分類ロジック。検査と alert-router で共有）</t>
        </is>
      </c>
    </row>
    <row r="186" ht="22" customHeight="1" s="134">
      <c r="A186" s="11" t="inlineStr">
        <is>
          <t>【図11 4×4 真偽値表から通知先までの振り分け 挿入位置】</t>
        </is>
      </c>
      <c r="B186" s="12" t="n"/>
      <c r="C186" s="13" t="n"/>
    </row>
    <row r="187" ht="22" customHeight="1" s="134">
      <c r="A187" s="14" t="inlineStr">
        <is>
          <t>描くべき内容: Negative × Positive の 8 組合せ → OK / CRITICAL / WARN / INFO → severity・priority → P1 Security 即時 / P2 Platform 24h / P3 App team / 通知なし。分類を 検査と アラート検知 Lambda が共有、ARN は台帳 alertRouting → 環境変数の 2 段解決</t>
        </is>
      </c>
      <c r="B187" s="15" t="n"/>
      <c r="C187" s="16" t="n"/>
    </row>
    <row r="188" ht="22" customHeight="1" s="134">
      <c r="A188" s="14" t="n"/>
      <c r="B188" s="15" t="n"/>
      <c r="C188" s="16" t="n"/>
    </row>
    <row r="189" ht="22" customHeight="1" s="134" thickBot="1">
      <c r="A189" s="17" t="inlineStr">
        <is>
          <t>（この枠に図を貼り込む。要素・矢印の追加および省略はしない）</t>
        </is>
      </c>
      <c r="B189" s="18" t="n"/>
      <c r="C189" s="19" t="n"/>
    </row>
    <row r="191">
      <c r="A191" s="4" t="inlineStr">
        <is>
          <t>Negative status</t>
        </is>
      </c>
      <c r="B191" s="4" t="inlineStr">
        <is>
          <t>Positive status</t>
        </is>
      </c>
      <c r="C191" s="4" t="inlineStr">
        <is>
          <t>分類</t>
        </is>
      </c>
      <c r="D191" s="4" t="inlineStr">
        <is>
          <t>severity</t>
        </is>
      </c>
      <c r="E191" s="4" t="inlineStr">
        <is>
          <t>priority</t>
        </is>
      </c>
      <c r="F191" s="4" t="inlineStr">
        <is>
          <t>通知先</t>
        </is>
      </c>
    </row>
    <row r="192" ht="21" customHeight="1" s="134">
      <c r="A192" s="5" t="inlineStr">
        <is>
          <t>401/403</t>
        </is>
      </c>
      <c r="B192" s="5" t="inlineStr">
        <is>
          <t>200/201/204</t>
        </is>
      </c>
      <c r="C192" s="5" t="inlineStr">
        <is>
          <t>OK</t>
        </is>
      </c>
      <c r="D192" s="5" t="inlineStr">
        <is>
          <t>—</t>
        </is>
      </c>
      <c r="E192" s="5" t="inlineStr">
        <is>
          <t>—</t>
        </is>
      </c>
      <c r="F192" s="5" t="inlineStr">
        <is>
          <t>通知なし</t>
        </is>
      </c>
    </row>
    <row r="193" ht="21" customHeight="1" s="134">
      <c r="A193" s="57" t="n">
        <v>200</v>
      </c>
      <c r="B193" s="57" t="n">
        <v>200</v>
      </c>
      <c r="C193" s="57" t="inlineStr">
        <is>
          <t>CRITICAL（認証 missing）</t>
        </is>
      </c>
      <c r="D193" s="57" t="inlineStr">
        <is>
          <t>CRITICAL</t>
        </is>
      </c>
      <c r="E193" s="57" t="inlineStr">
        <is>
          <t>P1</t>
        </is>
      </c>
      <c r="F193" s="57" t="inlineStr">
        <is>
          <t>Security オンコール</t>
        </is>
      </c>
    </row>
    <row r="194" ht="21" customHeight="1" s="134">
      <c r="A194" s="57" t="n">
        <v>200</v>
      </c>
      <c r="B194" s="57" t="inlineStr">
        <is>
          <t>401/403</t>
        </is>
      </c>
      <c r="C194" s="57" t="inlineStr">
        <is>
          <t>CRITICAL（認証逆転）</t>
        </is>
      </c>
      <c r="D194" s="57" t="inlineStr">
        <is>
          <t>CRITICAL</t>
        </is>
      </c>
      <c r="E194" s="57" t="inlineStr">
        <is>
          <t>P1</t>
        </is>
      </c>
      <c r="F194" s="57" t="inlineStr">
        <is>
          <t>Security オンコール</t>
        </is>
      </c>
    </row>
    <row r="195" ht="21" customHeight="1" s="134">
      <c r="A195" s="5" t="inlineStr">
        <is>
          <t>401/403</t>
        </is>
      </c>
      <c r="B195" s="5" t="inlineStr">
        <is>
          <t>401/403</t>
        </is>
      </c>
      <c r="C195" s="5" t="inlineStr">
        <is>
          <t>WARN（token 失効）</t>
        </is>
      </c>
      <c r="D195" s="5" t="inlineStr">
        <is>
          <t>WARN</t>
        </is>
      </c>
      <c r="E195" s="5" t="inlineStr">
        <is>
          <t>P2</t>
        </is>
      </c>
      <c r="F195" s="5" t="inlineStr">
        <is>
          <t>Platform</t>
        </is>
      </c>
    </row>
    <row r="196" ht="21" customHeight="1" s="134">
      <c r="A196" s="5" t="inlineStr">
        <is>
          <t>401/403</t>
        </is>
      </c>
      <c r="B196" s="5" t="n">
        <v>404</v>
      </c>
      <c r="C196" s="5" t="inlineStr">
        <is>
          <t>WARN（endpoint 不在 / 構成）</t>
        </is>
      </c>
      <c r="D196" s="5" t="inlineStr">
        <is>
          <t>WARN</t>
        </is>
      </c>
      <c r="E196" s="5" t="inlineStr">
        <is>
          <t>P2</t>
        </is>
      </c>
      <c r="F196" s="5" t="inlineStr">
        <is>
          <t>Platform</t>
        </is>
      </c>
    </row>
    <row r="197" ht="21" customHeight="1" s="134">
      <c r="A197" s="5" t="inlineStr">
        <is>
          <t>401/403</t>
        </is>
      </c>
      <c r="B197" s="5" t="n">
        <v>500</v>
      </c>
      <c r="C197" s="5" t="inlineStr">
        <is>
          <t>INFO（Backend バグ）</t>
        </is>
      </c>
      <c r="D197" s="5" t="inlineStr">
        <is>
          <t>INFO</t>
        </is>
      </c>
      <c r="E197" s="5" t="inlineStr">
        <is>
          <t>P3</t>
        </is>
      </c>
      <c r="F197" s="5" t="inlineStr">
        <is>
          <t>App team</t>
        </is>
      </c>
    </row>
    <row r="198" ht="21" customHeight="1" s="134">
      <c r="A198" s="5" t="n">
        <v>404</v>
      </c>
      <c r="B198" s="5" t="inlineStr">
        <is>
          <t>any</t>
        </is>
      </c>
      <c r="C198" s="5" t="inlineStr">
        <is>
          <t>WARN（構成ミス）</t>
        </is>
      </c>
      <c r="D198" s="5" t="inlineStr">
        <is>
          <t>WARN</t>
        </is>
      </c>
      <c r="E198" s="5" t="inlineStr">
        <is>
          <t>P2</t>
        </is>
      </c>
      <c r="F198" s="5" t="inlineStr">
        <is>
          <t>Platform</t>
        </is>
      </c>
    </row>
    <row r="199" ht="21" customHeight="1" s="134">
      <c r="A199" s="5" t="inlineStr">
        <is>
          <t>null(skip)</t>
        </is>
      </c>
      <c r="B199" s="5" t="n">
        <v>200</v>
      </c>
      <c r="C199" s="5" t="inlineStr">
        <is>
          <t>OK（public + health）</t>
        </is>
      </c>
      <c r="D199" s="5" t="inlineStr">
        <is>
          <t>—</t>
        </is>
      </c>
      <c r="E199" s="5" t="inlineStr">
        <is>
          <t>—</t>
        </is>
      </c>
      <c r="F199" s="5" t="inlineStr">
        <is>
          <t>通知なし</t>
        </is>
      </c>
    </row>
    <row r="201">
      <c r="A201" s="3" t="inlineStr">
        <is>
          <t>「Negative = 401/403 かつ Positive = 200」のペアが揃って初めて OK。分類結果（severity / priority）は アラート検知 Lambda と同一ロジックを共有する。</t>
        </is>
      </c>
    </row>
    <row r="202">
      <c r="A202" s="3" t="inlineStr">
        <is>
          <t>Negative / Positive の役割: Negative（認証ヘッダなし → 401/403、Cookie モノリスは 302）で認証実装漏れを検知、Positive（valid Bearer 等 → 200/201/204）で API 稼働 + テスト健全性を確認</t>
        </is>
      </c>
    </row>
    <row r="203">
      <c r="A203" s="3" t="inlineStr">
        <is>
          <t>Smoke test: 冒頭で既知の挙動を確認し、テスト基盤自体の健全性を担保する。Smoke 失敗時は「認証漏れ」ではなく「テスト基盤問題」として分離アラート</t>
        </is>
      </c>
    </row>
    <row r="204">
      <c r="A204" s="3" t="inlineStr">
        <is>
          <t>前提: 表の 401/403 は「アプリの認証レイヤーが返した」ものであること。WAF が 検査をブロックした 403 は別扱い（WARN「境界でブロック」。下記 10.）。</t>
        </is>
      </c>
    </row>
    <row r="206" ht="42" customHeight="1" s="134">
      <c r="A206" s="9" t="inlineStr">
        <is>
          <t>8. Alert イベント形式（検査 → alert-router）</t>
        </is>
      </c>
    </row>
    <row r="207">
      <c r="A207" s="54" t="inlineStr">
        <is>
          <t>{</t>
        </is>
      </c>
    </row>
    <row r="208">
      <c r="A208" s="54" t="inlineStr">
        <is>
          <t>"appId": "expense-api",</t>
        </is>
      </c>
    </row>
    <row r="209">
      <c r="A209" s="54" t="inlineStr">
        <is>
          <t>"env": "prod",</t>
        </is>
      </c>
    </row>
    <row r="210">
      <c r="A210" s="54" t="inlineStr">
        <is>
          <t>"authPattern": "api-gw-jwt",</t>
        </is>
      </c>
    </row>
    <row r="211">
      <c r="A211" s="54" t="inlineStr">
        <is>
          <t>"path": "/api/users",</t>
        </is>
      </c>
    </row>
    <row r="212">
      <c r="A212" s="54" t="inlineStr">
        <is>
          <t>"method": "GET",</t>
        </is>
      </c>
    </row>
    <row r="213">
      <c r="A213" s="54" t="inlineStr">
        <is>
          <t>"negStatus": 200,</t>
        </is>
      </c>
    </row>
    <row r="214">
      <c r="A214" s="54" t="inlineStr">
        <is>
          <t>"posStatus": 200,</t>
        </is>
      </c>
    </row>
    <row r="215">
      <c r="A215" s="54" t="inlineStr">
        <is>
          <t>"severity": "CRITICAL",</t>
        </is>
      </c>
    </row>
    <row r="216">
      <c r="A216" s="54" t="inlineStr">
        <is>
          <t>"reason": "Auth missing or bypassed",</t>
        </is>
      </c>
    </row>
    <row r="217">
      <c r="A217" s="54" t="inlineStr">
        <is>
          <t>"timestamp": "2026-07-06T00:05:00Z"</t>
        </is>
      </c>
    </row>
    <row r="218">
      <c r="A218" s="54" t="inlineStr">
        <is>
          <t>}</t>
        </is>
      </c>
    </row>
    <row r="221">
      <c r="A221" s="58" t="inlineStr">
        <is>
          <t>Alert イベント自体には SNS ARN が含まれない。アラート検知 Lambda が台帳の alertRouting → 環境変数 DEFAULT_PX_TOPIC_ARN の 2 段で解決する（08 シート参照）</t>
        </is>
      </c>
    </row>
    <row r="224">
      <c r="A224" s="7" t="inlineStr">
        <is>
          <t>9. 環境別の検査動作</t>
        </is>
      </c>
    </row>
    <row r="225">
      <c r="A225" s="4" t="inlineStr">
        <is>
          <t>環境</t>
        </is>
      </c>
      <c r="B225" s="4" t="inlineStr">
        <is>
          <t>Negative</t>
        </is>
      </c>
      <c r="C225" s="4" t="inlineStr">
        <is>
          <t>Positive (GET)</t>
        </is>
      </c>
      <c r="D225" s="4" t="inlineStr">
        <is>
          <t>Positive (POST 等)</t>
        </is>
      </c>
      <c r="E225" s="4" t="inlineStr">
        <is>
          <t>Smoke</t>
        </is>
      </c>
      <c r="F225" s="4" t="n"/>
    </row>
    <row r="226" ht="21" customHeight="1" s="134">
      <c r="A226" s="5" t="inlineStr">
        <is>
          <t>Production</t>
        </is>
      </c>
      <c r="B226" s="5" t="inlineStr">
        <is>
          <t>対象 endpoint</t>
        </is>
      </c>
      <c r="C226" s="5" t="inlineStr">
        <is>
          <t>対象 GET</t>
        </is>
      </c>
      <c r="D226" s="5" t="inlineStr">
        <is>
          <t>skip（副作用回避）</t>
        </is>
      </c>
      <c r="E226" s="5" t="inlineStr">
        <is>
          <t>実施</t>
        </is>
      </c>
      <c r="F226" s="5" t="n"/>
    </row>
    <row r="227" ht="21" customHeight="1" s="134">
      <c r="A227" s="5" t="inlineStr">
        <is>
          <t>Staging / Dev</t>
        </is>
      </c>
      <c r="B227" s="5" t="inlineStr">
        <is>
          <t>対象 endpoint</t>
        </is>
      </c>
      <c r="C227" s="5" t="inlineStr">
        <is>
          <t>対象 GET</t>
        </is>
      </c>
      <c r="D227" s="5" t="inlineStr">
        <is>
          <t>実施（cleanup 付き）</t>
        </is>
      </c>
      <c r="E227" s="5" t="inlineStr">
        <is>
          <t>実施</t>
        </is>
      </c>
      <c r="F227" s="5" t="n"/>
    </row>
    <row r="229">
      <c r="A229" s="3" t="inlineStr">
        <is>
          <t>「対象 endpoint」= 自動差分検査（モード1） なら変更アプリの全 endpoint、全量検査（モード2） なら全 endpoint。制御は OpenAPI アノテーション x-canary-positive-test: pre-prod-only。POST の副作用回避は本番の鉄則</t>
        </is>
      </c>
    </row>
    <row r="232">
      <c r="A232" s="7" t="inlineStr">
        <is>
          <t>10. WAF 干渉と誤判定の防止</t>
        </is>
      </c>
    </row>
    <row r="233">
      <c r="A233" s="3" t="inlineStr">
        <is>
          <t>検査はインバウンド境界の WAF を通過する。WAF のルール（レートベース / Bot Control / ジオ制限等）が 検査 自体をブロックすると、応答コードが同じ 403 でも意味がまったく違うため、2 種類の誤判定が起きる。</t>
        </is>
      </c>
    </row>
    <row r="235">
      <c r="A235" s="4" t="inlineStr">
        <is>
          <t>WAF が 検査をブロックすると</t>
        </is>
      </c>
      <c r="B235" s="4" t="inlineStr">
        <is>
          <t>4×4 での素朴な解釈</t>
        </is>
      </c>
      <c r="C235" s="4" t="inlineStr">
        <is>
          <t>実際</t>
        </is>
      </c>
      <c r="D235" s="4" t="inlineStr">
        <is>
          <t>結果</t>
        </is>
      </c>
    </row>
    <row r="236" ht="21" customHeight="1" s="134">
      <c r="A236" s="5" t="inlineStr">
        <is>
          <t>未認証検査が WAF 403</t>
        </is>
      </c>
      <c r="B236" s="5" t="inlineStr">
        <is>
          <t>「401/403 = 認証は正常」</t>
        </is>
      </c>
      <c r="C236" s="5" t="inlineStr">
        <is>
          <t>認証まで到達していない</t>
        </is>
      </c>
      <c r="D236" s="5" t="inlineStr">
        <is>
          <t>偽陰性（認証漏れがあっても OK 判定）</t>
        </is>
      </c>
    </row>
    <row r="237" ht="42" customHeight="1" s="134">
      <c r="A237" s="5" t="inlineStr">
        <is>
          <t>正規検査が WAF 403</t>
        </is>
      </c>
      <c r="B237" s="5" t="inlineStr">
        <is>
          <t>「Neg 2xx + Pos 403 = 認証逆転 CRITICAL」等</t>
        </is>
      </c>
      <c r="C237" s="5" t="inlineStr">
        <is>
          <t>認証は正常、WAF が弾いただけ</t>
        </is>
      </c>
      <c r="D237" s="5" t="inlineStr">
        <is>
          <t>誤 CRITICAL（誤報）</t>
        </is>
      </c>
    </row>
    <row r="240">
      <c r="A240" s="4" t="inlineStr">
        <is>
          <t>段</t>
        </is>
      </c>
      <c r="B240" s="4" t="inlineStr">
        <is>
          <t>対策</t>
        </is>
      </c>
      <c r="C240" s="4" t="inlineStr">
        <is>
          <t>内容</t>
        </is>
      </c>
    </row>
    <row r="241" ht="168" customHeight="1" s="134">
      <c r="A241" s="5" t="inlineStr">
        <is>
          <t>1（主対策）</t>
        </is>
      </c>
      <c r="B241" s="5" t="inlineStr">
        <is>
          <t>検査の識別と WAF 許可</t>
        </is>
      </c>
      <c r="C241" s="5" t="inlineStr">
        <is>
          <t>検査は固定の識別ヘッダ（例 X-Auth-Probe: &lt;secret&gt;）を付与し、各アプリの WAF に「この識別を持つリクエストは Bot Control / レートルールの対象外」とする許可ルールを入れる（Origin Protection の X-Origin-Verify と同じ発想）。WAF は境界管理側のため設定依頼が必要（M-Q-11-5）。検査は変更時のみ・低頻度なのでレートルールには通常かからないが、Bot Control / ジオ制限は明示許可がないと誤爆し得る</t>
        </is>
      </c>
    </row>
    <row r="242" ht="126" customHeight="1" s="134">
      <c r="A242" s="5" t="inlineStr">
        <is>
          <t>2（副対策）</t>
        </is>
      </c>
      <c r="B242" s="5" t="inlineStr">
        <is>
          <t>分類 側の防御</t>
        </is>
      </c>
      <c r="C242" s="5" t="inlineStr">
        <is>
          <t>WAF ブロック応答は API GW / アプリの 401/403 と応答の形が異なる（CloudFront / WAF 由来のエラーボディ・ヘッダ）。分類は WAF ブロックと判定できた場合、OK / CRITICAL ではなく WARN「検査が境界でブロックされた（テスト構成問題）」に分類し、Smoke test にも境界通過確認を含める</t>
        </is>
      </c>
    </row>
    <row r="244">
      <c r="A244" s="3" t="inlineStr">
        <is>
          <t>原則: 「403 だから認証は効いている」とは限らない。検査が認証レイヤーに到達したことを確かめて初めて Negative の 401/403 を「正常」と判定できる。</t>
        </is>
      </c>
    </row>
    <row r="247">
      <c r="A247" s="7" t="inlineStr">
        <is>
          <t>11. 検査起動 payload（対象検索 Lambda → 検査 Lambda）</t>
        </is>
      </c>
    </row>
    <row r="248" ht="126" customHeight="1" s="134">
      <c r="A248" s="39" t="inlineStr">
        <is>
          <t>対象検索 Lambda が変化のあったアプリを対象に検査 Lambda を起動する際の受け渡し形式。非同期 Event invokeで、Lambda 標準の自動リトライ（2 回）+ DLQ を設定する。</t>
        </is>
      </c>
    </row>
    <row r="249">
      <c r="A249" s="4" t="inlineStr">
        <is>
          <t>項目</t>
        </is>
      </c>
      <c r="B249" s="4" t="inlineStr">
        <is>
          <t>型</t>
        </is>
      </c>
      <c r="C249" s="4" t="inlineStr">
        <is>
          <t>説明</t>
        </is>
      </c>
      <c r="D249" s="4" t="inlineStr">
        <is>
          <t>例</t>
        </is>
      </c>
    </row>
    <row r="250" ht="42" customHeight="1" s="134">
      <c r="A250" s="5" t="inlineStr">
        <is>
          <t>mode</t>
        </is>
      </c>
      <c r="B250" s="5" t="inlineStr">
        <is>
          <t>S</t>
        </is>
      </c>
      <c r="C250" s="5" t="inlineStr">
        <is>
          <t>delta（変化のあった 1 アプリの全 endpoint）/ full（全アプリ全量）</t>
        </is>
      </c>
      <c r="D250" s="5" t="inlineStr">
        <is>
          <t>delta</t>
        </is>
      </c>
    </row>
    <row r="251" ht="42" customHeight="1" s="134">
      <c r="A251" s="5" t="inlineStr">
        <is>
          <t>appId</t>
        </is>
      </c>
      <c r="B251" s="5" t="inlineStr">
        <is>
          <t>S</t>
        </is>
      </c>
      <c r="C251" s="5" t="inlineStr">
        <is>
          <t>対象アプリ ID。delta では必須。full で指定すると特定アプリだけを全量検査</t>
        </is>
      </c>
      <c r="D251" s="5" t="inlineStr">
        <is>
          <t>expense-api</t>
        </is>
      </c>
    </row>
    <row r="252" ht="21" customHeight="1" s="134">
      <c r="A252" s="5" t="inlineStr">
        <is>
          <t>env</t>
        </is>
      </c>
      <c r="B252" s="5" t="inlineStr">
        <is>
          <t>S</t>
        </is>
      </c>
      <c r="C252" s="5" t="inlineStr">
        <is>
          <t>対象環境</t>
        </is>
      </c>
      <c r="D252" s="5" t="inlineStr">
        <is>
          <t>prod</t>
        </is>
      </c>
    </row>
    <row r="254" ht="21" customHeight="1" s="134">
      <c r="A254" s="59" t="inlineStr">
        <is>
          <t>起動例</t>
        </is>
      </c>
    </row>
    <row r="255">
      <c r="A255" s="54" t="inlineStr">
        <is>
          <t>{ mode: 'delta', appId, env }              # 対象検索 Lambda からの 自動差分検査（モード1）起動</t>
        </is>
      </c>
    </row>
    <row r="256">
      <c r="A256" s="54" t="inlineStr">
        <is>
          <t>{"mode":"full"}                            # 全アプリ Scan → 全 endpoint 検査</t>
        </is>
      </c>
    </row>
    <row r="257">
      <c r="A257" s="54" t="inlineStr">
        <is>
          <t>{"mode":"full","appId":"expense-api","env":"prod"}   # 特定アプリだけ全量</t>
        </is>
      </c>
    </row>
    <row r="259">
      <c r="A259" s="58" t="inlineStr">
        <is>
          <t>注記: full は台帳を List した後、アプリ単位に自分自身を分割起動する（1 Lambda 実行 = 1 アプリ）。全量を 1 実行で回さないため Lambda 15 分制限に当たらない。</t>
        </is>
      </c>
    </row>
    <row r="261">
      <c r="A261" s="7" t="inlineStr">
        <is>
          <t>12. 検査識別ヘッダ X-Auth-Probe</t>
        </is>
      </c>
    </row>
    <row r="262">
      <c r="A262" s="3" t="inlineStr">
        <is>
          <t>検査リクエストを WAF にボットと誤認させないための合言葉ヘッダ。これがないと「認証の 403」と「WAF の 403」が区別できず、偽陰性（漏れの見逃し）や誤 CRITICAL を招く。</t>
        </is>
      </c>
    </row>
    <row r="263">
      <c r="A263" s="4" t="inlineStr">
        <is>
          <t>項目</t>
        </is>
      </c>
      <c r="B263" s="4" t="inlineStr">
        <is>
          <t>内容</t>
        </is>
      </c>
    </row>
    <row r="264" ht="21" customHeight="1" s="134">
      <c r="A264" s="5" t="inlineStr">
        <is>
          <t>ヘッダ名</t>
        </is>
      </c>
      <c r="B264" s="5" t="inlineStr">
        <is>
          <t>X-Auth-Probe</t>
        </is>
      </c>
    </row>
    <row r="265" ht="63" customHeight="1" s="134">
      <c r="A265" s="5" t="inlineStr">
        <is>
          <t>値</t>
        </is>
      </c>
      <c r="B265" s="5" t="inlineStr">
        <is>
          <t>secret（Secrets Manager に保管）。命名・値生成方法・ローテ方針は基盤リソース側で設計する</t>
        </is>
      </c>
    </row>
    <row r="266" ht="42" customHeight="1" s="134">
      <c r="A266" s="5" t="inlineStr">
        <is>
          <t>付与元</t>
        </is>
      </c>
      <c r="B266" s="5" t="inlineStr">
        <is>
          <t>検査 Lambda。全検査リクエストに付与し、値は Secrets から参照する</t>
        </is>
      </c>
    </row>
    <row r="267" ht="84" customHeight="1" s="134">
      <c r="A267" s="5" t="inlineStr">
        <is>
          <t>用途</t>
        </is>
      </c>
      <c r="B267" s="5" t="inlineStr">
        <is>
          <t>各アプリの WAF に「この識別を持つリクエストは Bot Control / レートルールの対象外」とする許可ルールを入れてもらうための合言葉</t>
        </is>
      </c>
    </row>
    <row r="268" ht="21" customHeight="1" s="134">
      <c r="A268" s="5" t="inlineStr">
        <is>
          <t>発想の元</t>
        </is>
      </c>
      <c r="B268" s="5" t="inlineStr">
        <is>
          <t>Origin Protection の X-Origin-Verify と同じ</t>
        </is>
      </c>
    </row>
    <row r="269" ht="42" customHeight="1" s="134">
      <c r="A269" s="5" t="inlineStr">
        <is>
          <t>設定主体</t>
        </is>
      </c>
      <c r="B269" s="5" t="inlineStr">
        <is>
          <t>WAF は境界管理側の所管のため設定依頼が必要（M-Q-11-5）</t>
        </is>
      </c>
    </row>
    <row r="270" ht="42" customHeight="1" s="134">
      <c r="A270" s="5" t="inlineStr">
        <is>
          <t>ローテ</t>
        </is>
      </c>
      <c r="B270" s="5" t="inlineStr">
        <is>
          <t>WAF 側と値を合わせる運用。ローテ時は検査側も追従する</t>
        </is>
      </c>
    </row>
    <row r="272">
      <c r="A272" s="3" t="inlineStr">
        <is>
          <t>注記: 検査は変更時のみ・低頻度なのでレートルールには通常かからないが、Bot Control / ジオ制限は明示許可がないと誤爆し得る。secret 未取得時のフェイル動作は検査 Lambda の単体テスト対象。</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64"/>
  <sheetViews>
    <sheetView topLeftCell="A99" workbookViewId="0">
      <selection activeCell="C32" sqref="C32"/>
    </sheetView>
  </sheetViews>
  <sheetFormatPr baseColWidth="10" defaultRowHeight="18"/>
  <cols>
    <col width="40" customWidth="1" style="120" min="1" max="1"/>
    <col width="35.7109375" customWidth="1" style="120" min="2" max="2"/>
    <col width="40" customWidth="1" style="120" min="3" max="3"/>
    <col width="74.28515625" customWidth="1" style="120" min="4" max="4"/>
    <col width="21.42578125" customWidth="1" style="120" min="5" max="5"/>
    <col width="17.140625" customWidth="1" style="120" min="6" max="6"/>
    <col width="10.7109375" customWidth="1" style="2" min="7" max="16384"/>
  </cols>
  <sheetData>
    <row r="1" ht="27" customHeight="1" s="134">
      <c r="A1" s="1" t="inlineStr">
        <is>
          <t>セキュリティ・IAM</t>
        </is>
      </c>
    </row>
    <row r="2">
      <c r="C2" s="2" t="inlineStr">
        <is>
          <t xml:space="preserve"> </t>
        </is>
      </c>
    </row>
    <row r="3">
      <c r="A3" s="7" t="inlineStr">
        <is>
          <t>1. アカウント分離</t>
        </is>
      </c>
    </row>
    <row r="4">
      <c r="A4" s="4" t="inlineStr">
        <is>
          <t>アカウント</t>
        </is>
      </c>
      <c r="B4" s="4" t="inlineStr">
        <is>
          <t>置くもの</t>
        </is>
      </c>
      <c r="C4" s="4" t="inlineStr">
        <is>
          <t>管理主体</t>
        </is>
      </c>
      <c r="D4" s="4" t="n"/>
    </row>
    <row r="5">
      <c r="A5" s="60" t="inlineStr">
        <is>
          <t>共通基盤アカウント</t>
        </is>
      </c>
      <c r="B5" s="60" t="inlineStr">
        <is>
          <t>認証実装確認処理のリソース群（App Registry / OpenAPI Registry / 認証実装チェック Lambda / アラート検知 Lambda / Secrets）+ 対象検索 Lambda + SNS + CloudWatch</t>
        </is>
      </c>
      <c r="C5" s="60" t="inlineStr">
        <is>
          <t>自社管理</t>
        </is>
      </c>
      <c r="D5" s="60" t="n"/>
    </row>
    <row r="6">
      <c r="A6" s="60" t="inlineStr">
        <is>
          <t>ネットワーク監査アカウント（インバウンド境界）</t>
        </is>
      </c>
      <c r="B6" s="60" t="inlineStr">
        <is>
          <t>インターネット境界（アプリごとの CloudFront + WAF、Origin Protection、ADR-039）</t>
        </is>
      </c>
      <c r="C6" s="60" t="inlineStr">
        <is>
          <t>他組織管理の可能性あり（ROSA 側 P-18）</t>
        </is>
      </c>
      <c r="D6" s="60" t="n"/>
    </row>
    <row r="7">
      <c r="A7" s="60" t="inlineStr">
        <is>
          <t>アウトバウンド境界アカウント</t>
        </is>
      </c>
      <c r="B7" s="60" t="inlineStr">
        <is>
          <t>Transit Gateway + Network Firewall（ドメインフィルタ）</t>
        </is>
      </c>
      <c r="C7" s="60" t="inlineStr">
        <is>
          <t>他組織管理</t>
        </is>
      </c>
      <c r="D7" s="60" t="n"/>
    </row>
    <row r="8">
      <c r="A8" s="60" t="inlineStr">
        <is>
          <t>各 App アカウント</t>
        </is>
      </c>
      <c r="B8" s="60" t="inlineStr">
        <is>
          <t>Service Catalog 製品 / 認証構成情報連携バケット S3 / API GW・ALB / DiscoveryReadRole / ArtifactUploadRole-{appId}</t>
        </is>
      </c>
      <c r="C8" s="60" t="inlineStr">
        <is>
          <t>各アプリチーム</t>
        </is>
      </c>
      <c r="D8" s="60" t="n"/>
    </row>
    <row r="9">
      <c r="A9" s="60" t="inlineStr">
        <is>
          <t>認証基盤（Broker アカウント）</t>
        </is>
      </c>
      <c r="B9" s="60" t="inlineStr">
        <is>
          <t>Keycloak /token（client_credentials）</t>
        </is>
      </c>
      <c r="C9" s="60" t="inlineStr">
        <is>
          <t>認証基盤</t>
        </is>
      </c>
      <c r="D9" s="60" t="n"/>
    </row>
    <row r="11">
      <c r="A11" s="3" t="inlineStr">
        <is>
          <t>検査は境界越しに実ユーザーと同じ経路で検査する。認証実装確認処理は共通基盤アカウント（自社管理）に置くため、境界が他組織管理になっても再設計は不要。影響は 検査 先経路の調整のみ（BD-Q-01）</t>
        </is>
      </c>
    </row>
    <row r="12">
      <c r="A12" s="3" t="inlineStr">
        <is>
          <t>巡回の読み取り経路（中央 → App）も境界を通らないため、境界の管理主体変更の影響を受けない</t>
        </is>
      </c>
    </row>
    <row r="15">
      <c r="A15" s="7" t="inlineStr">
        <is>
          <t>2. クロスアカウント要件の全体像</t>
        </is>
      </c>
    </row>
    <row r="16">
      <c r="A16" s="4" t="inlineStr">
        <is>
          <t>#</t>
        </is>
      </c>
      <c r="B16" s="4" t="inlineStr">
        <is>
          <t>経路</t>
        </is>
      </c>
      <c r="C16" s="4" t="inlineStr">
        <is>
          <t>方向</t>
        </is>
      </c>
      <c r="D16" s="4" t="inlineStr">
        <is>
          <t>手段</t>
        </is>
      </c>
      <c r="E16" s="4" t="inlineStr">
        <is>
          <t>権限</t>
        </is>
      </c>
      <c r="F16" s="4" t="n"/>
    </row>
    <row r="17">
      <c r="A17" s="60" t="n">
        <v>1</v>
      </c>
      <c r="B17" s="60" t="inlineStr">
        <is>
          <t>巡回発見（認証構成情報の読み取り）</t>
        </is>
      </c>
      <c r="C17" s="60" t="inlineStr">
        <is>
          <t>中央 → App アカウント（読み取り）</t>
        </is>
      </c>
      <c r="D17" s="60" t="inlineStr">
        <is>
          <t>対象検索 Lambda が DiscoveryReadRole に AssumeRole → 認証構成情報連携バケットを読む</t>
        </is>
      </c>
      <c r="E17" s="60" t="inlineStr">
        <is>
          <t>s3 read-only（下記 3.）</t>
        </is>
      </c>
      <c r="F17" s="60" t="n"/>
    </row>
    <row r="18">
      <c r="A18" s="60" t="inlineStr">
        <is>
          <t>—</t>
        </is>
      </c>
      <c r="B18" s="60" t="inlineStr">
        <is>
          <t>検査 → アプリ</t>
        </is>
      </c>
      <c r="C18" s="60" t="inlineStr">
        <is>
          <t>中央 → App アカウント</t>
        </is>
      </c>
      <c r="D18" s="60" t="inlineStr">
        <is>
          <t>Public CloudFront URL</t>
        </is>
      </c>
      <c r="E18" s="60" t="inlineStr">
        <is>
          <t>権限不要</t>
        </is>
      </c>
      <c r="F18" s="60" t="n"/>
    </row>
    <row r="19">
      <c r="A19" s="60" t="inlineStr">
        <is>
          <t>—</t>
        </is>
      </c>
      <c r="B19" s="60" t="inlineStr">
        <is>
          <t>検査 → OAuth /token</t>
        </is>
      </c>
      <c r="C19" s="60" t="inlineStr">
        <is>
          <t>中央 → 認証基盤</t>
        </is>
      </c>
      <c r="D19" s="60" t="inlineStr">
        <is>
          <t>Public URL</t>
        </is>
      </c>
      <c r="E19" s="60" t="inlineStr">
        <is>
          <t>権限不要</t>
        </is>
      </c>
      <c r="F19" s="60" t="n"/>
    </row>
    <row r="21">
      <c r="A21" s="3" t="inlineStr">
        <is>
          <t>検査 自体はクロスアカウント権限を要さない（実ユーザーと同じ Public 経路）。権限が要るのは巡回の読み取りだけ。台帳への書き込みは中央アカウント内のみ</t>
        </is>
      </c>
    </row>
    <row r="24" ht="21" customHeight="1" s="134" thickBot="1">
      <c r="A24" s="7" t="inlineStr">
        <is>
          <t>3. DiscoveryReadRole の設計</t>
        </is>
      </c>
    </row>
    <row r="25" ht="22" customHeight="1" s="134">
      <c r="A25" s="46" t="inlineStr">
        <is>
          <t>【図12 クロスアカウント IAM の関係 挿入位置】</t>
        </is>
      </c>
      <c r="B25" s="61" t="n"/>
      <c r="C25" s="62" t="n"/>
    </row>
    <row r="26" ht="22" customHeight="1" s="134">
      <c r="A26" s="47" t="inlineStr">
        <is>
          <t>描くべき内容: DiscoveryLambdaRole → 各 App の DiscoveryReadRole（認証構成情報連携バケットの s3 read-only・信頼先 1 本・ExternalId）への AssumeRole 1 種のみ。ベンダー CI → ArtifactUploadRole-{appId}（{appId}/* 限定 PutObject）の書き込み経路。StackSets の全アカウント同一名配布、CentralProbeRole / alert-router-lambda-role の権限範囲、台帳書き込みが中央アカウント内のみであること</t>
        </is>
      </c>
      <c r="B26" s="63" t="n"/>
      <c r="C26" s="64" t="n"/>
    </row>
    <row r="27" ht="22" customHeight="1" s="134">
      <c r="A27" s="47" t="n"/>
      <c r="B27" s="63" t="n"/>
      <c r="C27" s="64" t="n"/>
    </row>
    <row r="28" ht="22" customHeight="1" s="134" thickBot="1">
      <c r="A28" s="48" t="inlineStr">
        <is>
          <t>（この枠に図を貼り込む。要素・矢印の追加および省略はしない）</t>
        </is>
      </c>
      <c r="B28" s="65" t="n"/>
      <c r="C28" s="66" t="n"/>
    </row>
    <row r="30">
      <c r="A30" s="3" t="inlineStr">
        <is>
          <t>各 App アカウントに読み取り専用ロールを 1 つ配布し、中央の対象検索 Lambda だけが引き受けられるようにする</t>
        </is>
      </c>
    </row>
    <row r="32">
      <c r="A32" s="54" t="inlineStr">
        <is>
          <t>// 権限（App アカウント側、read-only 最小。認証構成情報連携バケット限定）</t>
        </is>
      </c>
      <c r="B32" s="67" t="n"/>
    </row>
    <row r="33">
      <c r="A33" s="54" t="inlineStr">
        <is>
          <t>{</t>
        </is>
      </c>
      <c r="B33" s="67" t="n"/>
    </row>
    <row r="34">
      <c r="A34" s="54" t="inlineStr">
        <is>
          <t xml:space="preserve">  "Version": "2012-10-17",</t>
        </is>
      </c>
      <c r="B34" s="67" t="n"/>
    </row>
    <row r="35">
      <c r="A35" s="54" t="inlineStr">
        <is>
          <t xml:space="preserve">  "Statement": [</t>
        </is>
      </c>
      <c r="B35" s="67" t="n"/>
    </row>
    <row r="36">
      <c r="A36" s="54" t="inlineStr">
        <is>
          <t xml:space="preserve">    {</t>
        </is>
      </c>
      <c r="B36" s="67" t="n"/>
    </row>
    <row r="37">
      <c r="A37" s="54" t="inlineStr">
        <is>
          <t xml:space="preserve">      "Effect": "Allow",</t>
        </is>
      </c>
      <c r="B37" s="67" t="n"/>
    </row>
    <row r="38">
      <c r="A38" s="54" t="inlineStr">
        <is>
          <t xml:space="preserve">      "Action": ["s3:ListBucket", "s3:ListBucketVersions"],</t>
        </is>
      </c>
      <c r="B38" s="67" t="n"/>
    </row>
    <row r="39">
      <c r="A39" s="54" t="inlineStr">
        <is>
          <t xml:space="preserve">      "Resource": "arn:aws:s3:::auth-monitoring-artifacts-&lt;accountId&gt;"</t>
        </is>
      </c>
      <c r="B39" s="67" t="n"/>
    </row>
    <row r="40">
      <c r="A40" s="54" t="inlineStr">
        <is>
          <t xml:space="preserve">    },</t>
        </is>
      </c>
      <c r="B40" s="67" t="n"/>
    </row>
    <row r="41">
      <c r="A41" s="54" t="inlineStr">
        <is>
          <t xml:space="preserve">    {</t>
        </is>
      </c>
      <c r="B41" s="67" t="n"/>
    </row>
    <row r="42">
      <c r="A42" s="54" t="inlineStr">
        <is>
          <t xml:space="preserve">      "Effect": "Allow",</t>
        </is>
      </c>
      <c r="B42" s="67" t="n"/>
    </row>
    <row r="43">
      <c r="A43" s="54" t="inlineStr">
        <is>
          <t xml:space="preserve">      "Action": ["s3:GetObject", "s3:GetObjectVersion"],</t>
        </is>
      </c>
      <c r="B43" s="67" t="n"/>
    </row>
    <row r="44">
      <c r="A44" s="54" t="inlineStr">
        <is>
          <t xml:space="preserve">      "Resource": "arn:aws:s3:::auth-monitoring-artifacts-&lt;accountId&gt;/*"</t>
        </is>
      </c>
      <c r="B44" s="67" t="n"/>
    </row>
    <row r="45">
      <c r="A45" s="54" t="inlineStr">
        <is>
          <t xml:space="preserve">    }</t>
        </is>
      </c>
      <c r="B45" s="67" t="n"/>
    </row>
    <row r="46">
      <c r="A46" s="54" t="inlineStr">
        <is>
          <t xml:space="preserve">  ]</t>
        </is>
      </c>
      <c r="B46" s="67" t="n"/>
    </row>
    <row r="47">
      <c r="A47" s="54" t="inlineStr">
        <is>
          <t>}</t>
        </is>
      </c>
    </row>
    <row r="48">
      <c r="A48" s="67" t="inlineStr">
        <is>
          <t>// 信頼ポリシー（引受け元を対象検索 Lambda ロールに限定 + ExternalId）</t>
        </is>
      </c>
      <c r="B48" s="67" t="n"/>
      <c r="C48" s="67" t="n"/>
    </row>
    <row r="49">
      <c r="A49" s="67" t="inlineStr">
        <is>
          <t>{</t>
        </is>
      </c>
      <c r="B49" s="67" t="n"/>
      <c r="C49" s="67" t="n"/>
    </row>
    <row r="50">
      <c r="A50" s="67" t="inlineStr">
        <is>
          <t>"Effect": "Allow",</t>
        </is>
      </c>
      <c r="B50" s="67" t="n"/>
      <c r="C50" s="67" t="n"/>
    </row>
    <row r="51">
      <c r="A51" s="67" t="inlineStr">
        <is>
          <t>"Principal": { "AWS": "arn:aws:iam::&lt;common-platform-acct&gt;:role/DiscoveryLambdaRole" },</t>
        </is>
      </c>
      <c r="B51" s="67" t="n"/>
      <c r="C51" s="67" t="n"/>
    </row>
    <row r="52">
      <c r="A52" s="67" t="inlineStr">
        <is>
          <t>"Action": "sts:AssumeRole",</t>
        </is>
      </c>
      <c r="B52" s="67" t="n"/>
      <c r="C52" s="67" t="n"/>
    </row>
    <row r="53">
      <c r="A53" s="67" t="inlineStr">
        <is>
          <t>"Condition": { "StringEquals": { "sts:ExternalId": "auth-impl-discovery" } }</t>
        </is>
      </c>
      <c r="B53" s="67" t="n"/>
      <c r="C53" s="67" t="n"/>
    </row>
    <row r="54">
      <c r="A54" s="67" t="inlineStr">
        <is>
          <t>}</t>
        </is>
      </c>
      <c r="B54" s="67" t="n"/>
      <c r="C54" s="67" t="n"/>
    </row>
    <row r="56">
      <c r="A56" s="3" t="inlineStr">
        <is>
          <t>・read-only（認証構成情報連携バケットの s3 読み取り）のみ。漏洩時の影響は認証構成情報（monitoring.yaml / openapi.yaml）の閲覧（変更・削除・実行は不可。ソースコード・AWS 構成は見えない — 旧 codecommit 権限より機微性が大幅に低下）。</t>
        </is>
      </c>
    </row>
    <row r="57">
      <c r="A57" s="3" t="inlineStr">
        <is>
          <t>・信頼先を対象検索 Lambda のロール 1 本に限定 + ExternalId（confused deputy 防止）</t>
        </is>
      </c>
    </row>
    <row r="58">
      <c r="A58" s="3" t="inlineStr">
        <is>
          <t>・全 App アカウントで同一ロール名（DiscoveryReadRole）・同一バケット命名規約（auth-monitoring-artifacts-{accountId}、M-Q-17-8）にし、対象検索 Lambda は ARN を機械的に組み立てて AssumeRole。</t>
        </is>
      </c>
    </row>
    <row r="59">
      <c r="A59" s="3" t="inlineStr">
        <is>
          <t>・2026-08-21 更新: 旧権限（codecommit 5 アクション + apigateway:GET）は外部 git 化と認証構成情報オンリー原則により全廃。読み取り対象は認証構成情報連携バケットのみで、git・API GW 構成には触れない。</t>
        </is>
      </c>
    </row>
    <row r="60">
      <c r="A60" s="7" t="inlineStr">
        <is>
          <t>3.2 アップロードロール（ArtifactUploadRole-{appId}）の設計</t>
        </is>
      </c>
    </row>
    <row r="61">
      <c r="A61" s="2" t="inlineStr">
        <is>
          <t>外部ベンダーの CI が認証構成情報を Put するためのアプリ単位の専用ロール。デプロイロールとは分離する（D-M-17-7）。</t>
        </is>
      </c>
    </row>
    <row r="62">
      <c r="A62" s="54" t="inlineStr">
        <is>
          <t>// 権限（App アカウント側、自アプリ prefix 限定の書き込みのみ）</t>
        </is>
      </c>
    </row>
    <row r="63">
      <c r="A63" s="54" t="inlineStr">
        <is>
          <t>{</t>
        </is>
      </c>
    </row>
    <row r="64">
      <c r="A64" s="54" t="inlineStr">
        <is>
          <t xml:space="preserve">  "Version": "2012-10-17",</t>
        </is>
      </c>
    </row>
    <row r="65">
      <c r="A65" s="54" t="inlineStr">
        <is>
          <t xml:space="preserve">  "Statement": [{</t>
        </is>
      </c>
    </row>
    <row r="66">
      <c r="A66" s="54" t="inlineStr">
        <is>
          <t xml:space="preserve">    "Effect": "Allow",</t>
        </is>
      </c>
    </row>
    <row r="67">
      <c r="A67" s="54" t="inlineStr">
        <is>
          <t xml:space="preserve">    "Action": "s3:PutObject",</t>
        </is>
      </c>
    </row>
    <row r="68">
      <c r="A68" s="54" t="inlineStr">
        <is>
          <t xml:space="preserve">    "Resource": "arn:aws:s3:::auth-monitoring-artifacts-&lt;accountId&gt;/&lt;appId&gt;/*"</t>
        </is>
      </c>
    </row>
    <row r="69">
      <c r="A69" s="54" t="inlineStr">
        <is>
          <t xml:space="preserve">  }]</t>
        </is>
      </c>
    </row>
    <row r="70">
      <c r="A70" s="54" t="inlineStr">
        <is>
          <t>}</t>
        </is>
      </c>
    </row>
    <row r="71" ht="126" customHeight="1" s="134">
      <c r="A71" s="68" t="inlineStr">
        <is>
          <t>・削除・読み取り権限なし（Put のみ。旧版は Versioning が保全し、取り消しは中央 / アカウント管理者の操作）。信頼ポリシーはベンダー CI の接続方式（IAM ロール / OIDC federation 等）に合わせてアプリごとに設定し、ExternalId または OIDC の sub/aud 条件で引受け元を限定する。</t>
        </is>
      </c>
    </row>
    <row r="72" ht="84" customHeight="1" s="134">
      <c r="A72" s="68" t="inlineStr">
        <is>
          <t>・1 ベンダー複数アプリでもロールはアプリ単位（他アプリの prefix には書けない）。バケットポリシー側でも {appId}/ 外への Put を Deny し二重化する。</t>
        </is>
      </c>
    </row>
    <row r="73">
      <c r="A73" s="42" t="inlineStr">
        <is>
          <t>4. 必要な IAM 一覧</t>
        </is>
      </c>
    </row>
    <row r="74">
      <c r="A74" s="4" t="inlineStr">
        <is>
          <t>区分</t>
        </is>
      </c>
      <c r="B74" s="4" t="inlineStr">
        <is>
          <t>ロール</t>
        </is>
      </c>
      <c r="C74" s="4" t="inlineStr">
        <is>
          <t>使い手</t>
        </is>
      </c>
      <c r="D74" s="4" t="inlineStr">
        <is>
          <t>権限</t>
        </is>
      </c>
      <c r="E74" s="49" t="n"/>
    </row>
    <row r="75">
      <c r="A75" s="60" t="inlineStr">
        <is>
          <t>共通基盤アカウント</t>
        </is>
      </c>
      <c r="B75" s="60" t="inlineStr">
        <is>
          <t>DiscoveryLambdaRole</t>
        </is>
      </c>
      <c r="C75" s="60" t="inlineStr">
        <is>
          <t>対象検索 Lambda</t>
        </is>
      </c>
      <c r="D75" s="60" t="inlineStr">
        <is>
          <t>organizations:ListAccounts / sts:AssumeRole（各 App の DiscoveryReadRole）/ s3:PutObject・GetObject・ListBucket（認証構成情報配置バケット の registry/* + openapi/*）/ lambda:InvokeFunction（認証実装チェック Lambda）。※ 列挙方式は未決 M-Q-17-2（organizations:ListAccounts は Organizations 管理アカウント（または delegated admin）限定で、共通基盤アカウントからの直接呼び出しは不可。案 a なら管理アカウントの列挙用ロールへの sts:AssumeRole、案 b なら ssm:GetParameter に置換する）</t>
        </is>
      </c>
      <c r="E75" s="69" t="n"/>
    </row>
    <row r="76">
      <c r="A76" s="60" t="inlineStr">
        <is>
          <t>共通基盤アカウント</t>
        </is>
      </c>
      <c r="B76" s="60" t="inlineStr">
        <is>
          <t>CentralProbeRole</t>
        </is>
      </c>
      <c r="C76" s="60" t="inlineStr">
        <is>
          <t>認証実装チェック Lambda</t>
        </is>
      </c>
      <c r="D76" s="60" t="inlineStr">
        <is>
          <t>s3:GetObject・ListBucket（認証構成情報配置バケット：台帳 + spec）/ secretsmanager:GetSecretValue / cloudwatch:PutMetricData / lambda:InvokeFunction（アラート検知 Lambda）</t>
        </is>
      </c>
      <c r="E76" s="69" t="n"/>
    </row>
    <row r="77">
      <c r="A77" s="60" t="inlineStr">
        <is>
          <t>共通基盤アカウント</t>
        </is>
      </c>
      <c r="B77" s="60" t="inlineStr">
        <is>
          <t>alert-router-lambda-role</t>
        </is>
      </c>
      <c r="C77" s="60" t="inlineStr">
        <is>
          <t>アラート検知 Lambda</t>
        </is>
      </c>
      <c r="D77" s="60" t="inlineStr">
        <is>
          <t>s3:GetObject（registry/*、alertRouting 解決）/ sns:Publish</t>
        </is>
      </c>
      <c r="E77" s="69" t="n"/>
    </row>
    <row r="78" ht="42" customHeight="1" s="134">
      <c r="A78" s="5" t="inlineStr">
        <is>
          <t>各 App アカウント（StackSets 配布）</t>
        </is>
      </c>
      <c r="B78" s="5" t="inlineStr">
        <is>
          <t>DiscoveryReadRole</t>
        </is>
      </c>
      <c r="C78" s="5" t="inlineStr">
        <is>
          <t>中央の対象検索 Lambda（AssumeRole）</t>
        </is>
      </c>
      <c r="D78" s="5" t="inlineStr">
        <is>
          <t>認証構成情報連携バケットの s3:ListBucket / ListBucketVersions / GetObject / GetObjectVersion（read-only）</t>
        </is>
      </c>
      <c r="E78" s="69" t="n"/>
    </row>
    <row r="79" ht="42" customHeight="1" s="134">
      <c r="A79" s="5" t="inlineStr">
        <is>
          <t>各 App アカウント（StackSets 配布）</t>
        </is>
      </c>
      <c r="B79" s="5" t="inlineStr">
        <is>
          <t>ArtifactUploadRole-{appId}</t>
        </is>
      </c>
      <c r="C79" s="5" t="inlineStr">
        <is>
          <t>各アプリのベンダー CI（アプリごとの接続方式で Assume）</t>
        </is>
      </c>
      <c r="D79" s="5" t="inlineStr">
        <is>
          <t>認証構成情報連携バケットの {appId}/* への s3:PutObject のみ</t>
        </is>
      </c>
      <c r="E79" s="3" t="n"/>
    </row>
    <row r="80" ht="42" customHeight="1" s="134">
      <c r="A80" s="5" t="inlineStr">
        <is>
          <t>各 App アカウント（StackSets 配布）</t>
        </is>
      </c>
      <c r="B80" s="5" t="inlineStr">
        <is>
          <t>認証構成情報連携バケット</t>
        </is>
      </c>
      <c r="C80" s="5" t="inlineStr">
        <is>
          <t>—（S3。Versioning 有効 + バケットポリシーで prefix 外 Put を Deny）</t>
        </is>
      </c>
      <c r="D80" s="5" t="inlineStr">
        <is>
          <t>—</t>
        </is>
      </c>
      <c r="E80" s="3" t="n"/>
    </row>
    <row r="82">
      <c r="A82" s="3" t="inlineStr">
        <is>
          <t>App アカウント側に置くのは認証構成情報連携バケット + 読み取りロール 1 本 + アプリ単位のアップロードロール。旧 push 型で必要だった中央への Invoke / 書き込み AssumeRole / Custom Resource 実行権限は不要のまま（中央への書き込み開放はしない）。</t>
        </is>
      </c>
    </row>
    <row r="84">
      <c r="A84" s="42" t="inlineStr">
        <is>
          <t>5. 配布（StackSets）</t>
        </is>
      </c>
    </row>
    <row r="85">
      <c r="A85" s="4" t="inlineStr">
        <is>
          <t>配布物</t>
        </is>
      </c>
      <c r="B85" s="4" t="inlineStr">
        <is>
          <t>手段</t>
        </is>
      </c>
      <c r="C85" s="4" t="inlineStr">
        <is>
          <t>内容</t>
        </is>
      </c>
      <c r="D85" s="4" t="n"/>
    </row>
    <row r="86">
      <c r="A86" s="60" t="inlineStr">
        <is>
          <t>DiscoveryReadRole</t>
        </is>
      </c>
      <c r="B86" s="60" t="inlineStr">
        <is>
          <t>CloudFormation StackSets（Organizations 連携・自動デプロイ）</t>
        </is>
      </c>
      <c r="C86" s="60" t="inlineStr">
        <is>
          <t>新規アカウント作成時も自動で配布 → 巡回が即座に読める</t>
        </is>
      </c>
      <c r="D86" s="60" t="n"/>
    </row>
    <row r="87">
      <c r="A87" s="60" t="inlineStr">
        <is>
          <t>Service Catalog 製品</t>
        </is>
      </c>
      <c r="B87" s="60" t="inlineStr">
        <is>
          <t>Portfolio 共有（Organizations / RAM）</t>
        </is>
      </c>
      <c r="C87" s="60" t="inlineStr">
        <is>
          <t>認証必須 / Origin Protection / タグの「守られた API の型」</t>
        </is>
      </c>
    </row>
    <row r="90">
      <c r="A90" s="7" t="inlineStr">
        <is>
          <t>6. 台帳の書き込み権限（中央のみ）</t>
        </is>
      </c>
    </row>
    <row r="91">
      <c r="A91" s="4" t="inlineStr">
        <is>
          <t>書き手</t>
        </is>
      </c>
      <c r="B91" s="4" t="inlineStr">
        <is>
          <t>経路</t>
        </is>
      </c>
      <c r="C91" s="4" t="inlineStr">
        <is>
          <t>権限</t>
        </is>
      </c>
      <c r="D91" s="4" t="n"/>
    </row>
    <row r="92">
      <c r="A92" s="60" t="inlineStr">
        <is>
          <t>対象検索 Lambda</t>
        </is>
      </c>
      <c r="B92" s="60" t="inlineStr">
        <is>
          <t>同一アカウント内 PutObject</t>
        </is>
      </c>
      <c r="C92" s="60" t="inlineStr">
        <is>
          <t>s3:PutObject（registry/* / openapi/* プレフィックス限定）</t>
        </is>
      </c>
      <c r="D92" s="60" t="n"/>
    </row>
    <row r="93">
      <c r="A93" s="60" t="inlineStr">
        <is>
          <t>共通基盤チーム（手動）</t>
        </is>
      </c>
      <c r="B93" s="60" t="inlineStr">
        <is>
          <t>コンソール / CLI で JSON 更新</t>
        </is>
      </c>
      <c r="C93" s="60" t="inlineStr">
        <is>
          <t>同上（alertRouting 設定・enabled 切替）</t>
        </is>
      </c>
      <c r="D93" s="60" t="n"/>
    </row>
    <row r="95">
      <c r="A95" s="3" t="inlineStr">
        <is>
          <t>App アカウント側からの書き込み経路は存在しない。バケットは Versioning 有効なので誤更新は履歴から戻せる</t>
        </is>
      </c>
    </row>
    <row r="98">
      <c r="A98" s="7" t="inlineStr">
        <is>
          <t>7. VPC 外配置の判断（NW-2 例外の明示受容と代償統制）</t>
        </is>
      </c>
    </row>
    <row r="99">
      <c r="A99" s="4" t="inlineStr">
        <is>
          <t>観点</t>
        </is>
      </c>
      <c r="B99" s="4" t="inlineStr">
        <is>
          <t>内容</t>
        </is>
      </c>
      <c r="C99" s="4" t="n"/>
    </row>
    <row r="100">
      <c r="A100" s="60" t="inlineStr">
        <is>
          <t>構成</t>
        </is>
      </c>
      <c r="B100" s="60" t="inlineStr">
        <is>
          <t>Lambda 3 本はすべて VPC 外（Lambda マネージド網）に配置する</t>
        </is>
      </c>
      <c r="C100" s="60" t="n"/>
    </row>
    <row r="101">
      <c r="A101" s="60" t="inlineStr">
        <is>
          <t>得られる簡素化</t>
        </is>
      </c>
      <c r="B101" s="60" t="inlineStr">
        <is>
          <t>VPC / サブネット / ENI 管理・Interface VPC Endpoint 群・TGW Attachment・NAT 依存・NWFW への許可ドメイン申請（アプリ追加のたび）がすべて不要</t>
        </is>
      </c>
      <c r="C101" s="60" t="n"/>
    </row>
    <row r="102">
      <c r="A102" s="60" t="inlineStr">
        <is>
          <t>例外の内容</t>
        </is>
      </c>
      <c r="B102" s="60" t="inlineStr">
        <is>
          <t>セキュリティ方針 NW-2「Outbound は NWFW ドメインフィルタ経由」の例外となる（監視系の外向き HTTPS が組織の Egress 統制を通らない）</t>
        </is>
      </c>
      <c r="C102" s="60" t="n"/>
    </row>
    <row r="103">
      <c r="A103" s="60" t="inlineStr">
        <is>
          <t>例外が許容できる理由</t>
        </is>
      </c>
      <c r="B103" s="60" t="inlineStr">
        <is>
          <t>① 宛先が固定 3 種のみ（台帳の baseUrl = 自組織の CloudFront／認証基盤 /token／AWS API）で、任意の外部 SaaS を呼ぶコードパスが存在しない ② コードは共通基盤チーム管理・CI 静的解析対象で、アプリ任意コードが乗らない ③ 漏洩リスク側は Positive トークン管理（短命トークン）で別途統制済み</t>
        </is>
      </c>
      <c r="C103" s="60" t="n"/>
    </row>
    <row r="104">
      <c r="A104" s="60" t="inlineStr">
        <is>
          <t>代償統制</t>
        </is>
      </c>
      <c r="B104" s="60" t="inlineStr">
        <is>
          <t>宛先 allowlist をコードで強制（検査の接続先は App Registry の baseUrl と設定済み token URL のみ。任意 URL を受け取る口を作らない）+ IAM 最小権限 + CloudTrail / Lambda ログで監査</t>
        </is>
      </c>
      <c r="C104" s="60" t="n"/>
    </row>
    <row r="105">
      <c r="A105" s="70" t="inlineStr">
        <is>
          <t>承認</t>
        </is>
      </c>
      <c r="B105" s="70" t="inlineStr">
        <is>
          <t>NW-2 の例外としてセキュリティ / 他組織（境界管理側）への明示的な承認を得る（M-Q-10-3。未決）</t>
        </is>
      </c>
      <c r="C105" s="70" t="n"/>
    </row>
    <row r="107">
      <c r="A107" s="3" t="inlineStr">
        <is>
          <t>・経路 A はインバウンド境界（CloudFront + WAF）を実ユーザーと同じ向きで通過する（Origin Protection を破らない検査）。In 側はバイパスしない</t>
        </is>
      </c>
    </row>
    <row r="108">
      <c r="A108" s="3" t="inlineStr">
        <is>
          <t>・経路 C / D は AWS API・AWS 網内であり、インターネット境界（In / Out とも）は無関係</t>
        </is>
      </c>
    </row>
    <row r="109">
      <c r="A109" s="3" t="inlineStr">
        <is>
          <t>・Phase 2では認証実装チェック Lambda のみ VPC 化が必要になる。対象検索 Lambda と アラート検知 Lambda は Phase 2 でも VPC 外のまま</t>
        </is>
      </c>
    </row>
    <row r="112" ht="21" customHeight="1" s="134" thickBot="1">
      <c r="A112" s="42" t="inlineStr">
        <is>
          <t>8. Positive トークンの管理（共通クライアント資格情報 + 短命トークン）</t>
        </is>
      </c>
    </row>
    <row r="113" ht="22" customHeight="1" s="134">
      <c r="A113" s="46" t="inlineStr">
        <is>
          <t>【図13 Positive トークンの発行フロー 挿入位置】</t>
        </is>
      </c>
      <c r="B113" s="61" t="n"/>
      <c r="C113" s="62" t="n"/>
    </row>
    <row r="114" ht="22" customHeight="1" s="134">
      <c r="A114" s="47" t="inlineStr">
        <is>
          <t>描くべき内容: canary 専用サービスアカウント（client_id / secret）→ Secrets Manager（共通基盤）→ 認証実装チェック Lambda ロールのみ取得可 → /token（client_credentials）→ 短命トークン（5〜15 分）→ 正規検査 → 破棄。スコープ A 採用・B 目標を注記</t>
        </is>
      </c>
      <c r="B114" s="63" t="n"/>
      <c r="C114" s="64" t="n"/>
    </row>
    <row r="115" ht="22" customHeight="1" s="134">
      <c r="A115" s="47" t="n"/>
      <c r="B115" s="63" t="n"/>
      <c r="C115" s="64" t="n"/>
    </row>
    <row r="116" ht="22" customHeight="1" s="134" thickBot="1">
      <c r="A116" s="48" t="inlineStr">
        <is>
          <t>（この枠に図を貼り込む。要素・矢印の追加および省略はしない）</t>
        </is>
      </c>
      <c r="B116" s="65" t="n"/>
      <c r="C116" s="66" t="n"/>
    </row>
    <row r="118">
      <c r="A118" s="3" t="inlineStr">
        <is>
          <t>正規検査（valid token → 200 期待）に使う認証情報は、静的な長寿命トークンを持たない。共通の OAuth クライアント資格情報を 1 つだけ持ち、実行ごとに短命トークンを発行する</t>
        </is>
      </c>
    </row>
    <row r="120">
      <c r="A120" s="54" t="inlineStr">
        <is>
          <t>認証基盤(Keycloak) に canary 専用サービスアカウント "api-canary-probe" を 1 つ</t>
        </is>
      </c>
    </row>
    <row r="121">
      <c r="A121" s="54" t="inlineStr">
        <is>
          <t>└ client_id/secret → Secrets Manager（共通基盤アカウント）に保管</t>
        </is>
      </c>
    </row>
    <row r="122">
      <c r="A122" s="54" t="inlineStr">
        <is>
          <t>└ GetSecretValue できるのは 認証実装チェック Lambda の IAM ロールのみ</t>
        </is>
      </c>
    </row>
    <row r="123">
      <c r="A123" s="54" t="n"/>
    </row>
    <row r="124">
      <c r="A124" s="54" t="inlineStr">
        <is>
          <t>【1 回の 検査 実行ごと】</t>
        </is>
      </c>
    </row>
    <row r="125">
      <c r="A125" s="54" t="inlineStr">
        <is>
          <t>認証実装チェック Lambda → Keycloak /token（client_credentials grant）</t>
        </is>
      </c>
    </row>
    <row r="126">
      <c r="A126" s="54" t="inlineStr">
        <is>
          <t>→ 短命アクセストークン（5〜15 分）取得 → 正規検査に使用 → 破棄</t>
        </is>
      </c>
    </row>
    <row r="128">
      <c r="A128" s="58" t="inlineStr">
        <is>
          <t>「ずっと使える 1 つ」の実体はクライアント資格情報（全 API 共通・定期ローテ）で、実際のトークンは毎回使い捨て。lib/token.js が取得・キャッシュ（TTL 内）する。x-canary-test-token-secret は既定で共通 Secret（canary-central-readonly 相当のクライアント資格情報）を指す</t>
        </is>
      </c>
    </row>
    <row r="130">
      <c r="A130" s="4" t="inlineStr">
        <is>
          <t>区分</t>
        </is>
      </c>
      <c r="B130" s="4" t="inlineStr">
        <is>
          <t>対策</t>
        </is>
      </c>
      <c r="C130" s="4" t="inlineStr">
        <is>
          <t>内容</t>
        </is>
      </c>
      <c r="D130" s="4" t="n"/>
    </row>
    <row r="131">
      <c r="A131" s="60" t="inlineStr">
        <is>
          <t>漏洩しにくく</t>
        </is>
      </c>
      <c r="B131" s="60" t="inlineStr">
        <is>
          <t>保管</t>
        </is>
      </c>
      <c r="C131" s="60" t="inlineStr">
        <is>
          <t>client_secret は Secrets Manager のみ（環境変数・コード埋込・ログ出力禁止＝05 OBS-3）</t>
        </is>
      </c>
      <c r="D131" s="60" t="n"/>
    </row>
    <row r="132">
      <c r="A132" s="60" t="inlineStr">
        <is>
          <t>漏洩しにくく</t>
        </is>
      </c>
      <c r="B132" s="60" t="inlineStr">
        <is>
          <t>アクセス</t>
        </is>
      </c>
      <c r="C132" s="60" t="inlineStr">
        <is>
          <t>認証実装チェック Lambda ロールだけが secretsmanager:GetSecretValue（最小 IAM）</t>
        </is>
      </c>
      <c r="D132" s="60" t="n"/>
    </row>
    <row r="133">
      <c r="A133" s="60" t="inlineStr">
        <is>
          <t>漏洩しにくく</t>
        </is>
      </c>
      <c r="B133" s="60" t="inlineStr">
        <is>
          <t>ローテ</t>
        </is>
      </c>
      <c r="C133" s="60" t="inlineStr">
        <is>
          <t>自動ローテーション（30/90 日、Secrets Manager rotation）</t>
        </is>
      </c>
      <c r="D133" s="60" t="n"/>
    </row>
    <row r="134">
      <c r="A134" s="60" t="inlineStr">
        <is>
          <t>漏洩しにくく</t>
        </is>
      </c>
      <c r="B134" s="60" t="inlineStr">
        <is>
          <t>経路</t>
        </is>
      </c>
      <c r="C134" s="60" t="inlineStr">
        <is>
          <t>中央アカウントからの egress のみ・TLS</t>
        </is>
      </c>
      <c r="D134" s="60" t="n"/>
    </row>
    <row r="135">
      <c r="A135" s="60" t="inlineStr">
        <is>
          <t>影響を小さく</t>
        </is>
      </c>
      <c r="B135" s="60" t="inlineStr">
        <is>
          <t>最小権限</t>
        </is>
      </c>
      <c r="C135" s="60" t="inlineStr">
        <is>
          <t>canary クライアントは読み取り専用・最小スコープ（管理者でも書込でもない）</t>
        </is>
      </c>
      <c r="D135" s="60" t="n"/>
    </row>
    <row r="136">
      <c r="A136" s="60" t="inlineStr">
        <is>
          <t>影響を小さく</t>
        </is>
      </c>
      <c r="B136" s="60" t="inlineStr">
        <is>
          <t>短 TTL</t>
        </is>
      </c>
      <c r="C136" s="60" t="inlineStr">
        <is>
          <t>トークンは数分で失効 → 捕捉されてもすぐ死ぬ</t>
        </is>
      </c>
      <c r="D136" s="60" t="n"/>
    </row>
    <row r="137">
      <c r="A137" s="60" t="inlineStr">
        <is>
          <t>影響を小さく</t>
        </is>
      </c>
      <c r="B137" s="60" t="inlineStr">
        <is>
          <t>GET 限定</t>
        </is>
      </c>
      <c r="C137" s="60" t="inlineStr">
        <is>
          <t>Positive は GET のみ</t>
        </is>
      </c>
      <c r="D137" s="60" t="n"/>
    </row>
    <row r="138">
      <c r="A138" s="60" t="inlineStr">
        <is>
          <t>影響を小さく</t>
        </is>
      </c>
      <c r="B138" s="60" t="inlineStr">
        <is>
          <t>即失効</t>
        </is>
      </c>
      <c r="C138" s="60" t="inlineStr">
        <is>
          <t>発火元は中央アカウントの既知プリンシパル → 異常利用検知でクライアント無効化</t>
        </is>
      </c>
      <c r="D138" s="60" t="n"/>
    </row>
    <row r="141">
      <c r="A141" s="4" t="inlineStr">
        <is>
          <t>レベル</t>
        </is>
      </c>
      <c r="B141" s="4" t="inlineStr">
        <is>
          <t>canary スコープ</t>
        </is>
      </c>
      <c r="C141" s="4" t="inlineStr">
        <is>
          <t>漏洩時の影響</t>
        </is>
      </c>
      <c r="D141" s="4" t="inlineStr">
        <is>
          <t>採否</t>
        </is>
      </c>
      <c r="E141" s="4" t="n"/>
    </row>
    <row r="142">
      <c r="A142" s="60" t="inlineStr">
        <is>
          <t>A</t>
        </is>
      </c>
      <c r="B142" s="60" t="inlineStr">
        <is>
          <t>全 API 横断の読み取り専用</t>
        </is>
      </c>
      <c r="C142" s="60" t="inlineStr">
        <is>
          <t>canary として read-only GET が可能（中程度）</t>
        </is>
      </c>
      <c r="D142" s="60" t="inlineStr">
        <is>
          <t>Phase 1 採用</t>
        </is>
      </c>
      <c r="E142" s="60" t="n"/>
    </row>
    <row r="143">
      <c r="A143" s="60" t="inlineStr">
        <is>
          <t>B</t>
        </is>
      </c>
      <c r="B143" s="60" t="inlineStr">
        <is>
          <t>canary 専用テナント / 合成データのみ読める</t>
        </is>
      </c>
      <c r="C143" s="60" t="inlineStr">
        <is>
          <t>実データに一切届かない（最小）</t>
        </is>
      </c>
      <c r="D143" s="60" t="inlineStr">
        <is>
          <t>目標（認証基盤 Keycloak のロール設計へ引き渡し、M-Q-11-4）</t>
        </is>
      </c>
      <c r="E143" s="60" t="n"/>
    </row>
    <row r="145">
      <c r="A145" s="3" t="inlineStr">
        <is>
          <t>方針: Phase 1 は A（共通 1 クライアント + 短 TTL + 自動ローテ）で開始し、B（canary 専用スコープ = 漏洩しても実データに届かない）を目標とする。B は認証基盤側で canary 専用テナント / スコープを用意する必要がある。機微データを扱う API から順に B へ移行する</t>
        </is>
      </c>
    </row>
    <row r="148">
      <c r="A148" s="7" t="inlineStr">
        <is>
          <t>9. 通知先 ARN の解決（2 段）</t>
        </is>
      </c>
    </row>
    <row r="149">
      <c r="A149" s="4" t="inlineStr">
        <is>
          <t>順</t>
        </is>
      </c>
      <c r="B149" s="4" t="inlineStr">
        <is>
          <t>解決元</t>
        </is>
      </c>
      <c r="C149" s="4" t="inlineStr">
        <is>
          <t>内容</t>
        </is>
      </c>
      <c r="D149" s="4" t="n"/>
    </row>
    <row r="150">
      <c r="A150" s="60" t="n">
        <v>1</v>
      </c>
      <c r="B150" s="60" t="inlineStr">
        <is>
          <t>App Registry（S3 台帳）の alertRouting {p1,p2,p3}</t>
        </is>
      </c>
      <c r="C150" s="60" t="inlineStr">
        <is>
          <t>registry/{appId}/{env}.json の GetObject で引く</t>
        </is>
      </c>
      <c r="D150" s="60" t="n"/>
    </row>
    <row r="151">
      <c r="A151" s="60" t="n">
        <v>2</v>
      </c>
      <c r="B151" s="60" t="inlineStr">
        <is>
          <t>環境変数 DEFAULT_P1/P2/P3_TOPIC_ARN</t>
        </is>
      </c>
      <c r="C151" s="60" t="inlineStr">
        <is>
          <t>台帳に無ければ fallback</t>
        </is>
      </c>
      <c r="D151" s="60" t="n"/>
    </row>
    <row r="152">
      <c r="A152" s="60" t="n">
        <v>3</v>
      </c>
      <c r="B152" s="60" t="inlineStr">
        <is>
          <t>（未解決）</t>
        </is>
      </c>
      <c r="C152" s="60" t="inlineStr">
        <is>
          <t>どちらも無ければ ARN 未解決エラー → throw（DLQ / retry で可視化）</t>
        </is>
      </c>
      <c r="D152" s="60" t="n"/>
    </row>
    <row r="154">
      <c r="A154" s="3" t="inlineStr">
        <is>
          <t>Alert イベント自体には SNS ARN が含まれない。アプリ個別の通知先（alertRouting）と全社デフォルト（環境変数）の 2 段構え</t>
        </is>
      </c>
    </row>
    <row r="155">
      <c r="A155" s="3" t="inlineStr">
        <is>
          <t>通知メッセージ: Subject = どのアプリ・どの endpoint で何が起きたか / Body = negStatus・posStatus、reason、対応 SLA（P1 即時・P2 24h・P3 通常）/ MessageAttributes = severity・priority・appId・env（SNS フィルタ用）</t>
        </is>
      </c>
    </row>
    <row r="156">
      <c r="A156" s="3" t="inlineStr">
        <is>
          <t>エラー処理: 検査 Lambda からの起動は単一イベント想定だが配列でも処理（バッチ耐性）。1 件でも失敗したら throw → Lambda 失敗（retry / DLQ 発火）。classify.js と format.js の SEVERITY_META が 4×4 の分類定義を共有する。</t>
        </is>
      </c>
    </row>
    <row r="159">
      <c r="A159" s="42" t="inlineStr">
        <is>
          <t>10. 分類 → 通知先・SLA</t>
        </is>
      </c>
    </row>
    <row r="160">
      <c r="A160" s="4" t="inlineStr">
        <is>
          <t>severity</t>
        </is>
      </c>
      <c r="B160" s="4" t="inlineStr">
        <is>
          <t>priority</t>
        </is>
      </c>
      <c r="C160" s="4" t="inlineStr">
        <is>
          <t>routingKey</t>
        </is>
      </c>
      <c r="D160" s="4" t="inlineStr">
        <is>
          <t>通知先</t>
        </is>
      </c>
      <c r="E160" s="4" t="inlineStr">
        <is>
          <t>SLA</t>
        </is>
      </c>
      <c r="F160" s="4" t="inlineStr">
        <is>
          <t>典型</t>
        </is>
      </c>
    </row>
    <row r="161">
      <c r="A161" s="60" t="inlineStr">
        <is>
          <t>CRITICAL</t>
        </is>
      </c>
      <c r="B161" s="60" t="inlineStr">
        <is>
          <t>P1</t>
        </is>
      </c>
      <c r="C161" s="60" t="inlineStr">
        <is>
          <t>p1</t>
        </is>
      </c>
      <c r="D161" s="60" t="inlineStr">
        <is>
          <t>Security オンコール</t>
        </is>
      </c>
      <c r="E161" s="60" t="inlineStr">
        <is>
          <t>即時</t>
        </is>
      </c>
      <c r="F161" s="60" t="inlineStr">
        <is>
          <t>認証 missing（Neg=2xx）</t>
        </is>
      </c>
    </row>
    <row r="162">
      <c r="A162" s="60" t="inlineStr">
        <is>
          <t>WARN</t>
        </is>
      </c>
      <c r="B162" s="60" t="inlineStr">
        <is>
          <t>P2</t>
        </is>
      </c>
      <c r="C162" s="60" t="inlineStr">
        <is>
          <t>p2</t>
        </is>
      </c>
      <c r="D162" s="60" t="inlineStr">
        <is>
          <t>Platform チーム</t>
        </is>
      </c>
      <c r="E162" s="60" t="inlineStr">
        <is>
          <t>24h</t>
        </is>
      </c>
      <c r="F162" s="60" t="inlineStr">
        <is>
          <t>token 失効 / endpoint 不在</t>
        </is>
      </c>
    </row>
    <row r="163">
      <c r="A163" s="60" t="inlineStr">
        <is>
          <t>INFO</t>
        </is>
      </c>
      <c r="B163" s="60" t="inlineStr">
        <is>
          <t>P3</t>
        </is>
      </c>
      <c r="C163" s="60" t="inlineStr">
        <is>
          <t>p3</t>
        </is>
      </c>
      <c r="D163" s="60" t="inlineStr">
        <is>
          <t>App team</t>
        </is>
      </c>
      <c r="E163" s="60" t="inlineStr">
        <is>
          <t>通常</t>
        </is>
      </c>
      <c r="F163" s="60" t="inlineStr">
        <is>
          <t>Backend バグ（Pos=5xx）</t>
        </is>
      </c>
    </row>
    <row r="164">
      <c r="A164" s="60" t="inlineStr">
        <is>
          <t>OK</t>
        </is>
      </c>
      <c r="B164" s="60" t="inlineStr">
        <is>
          <t>—</t>
        </is>
      </c>
      <c r="C164" s="60" t="inlineStr">
        <is>
          <t>—</t>
        </is>
      </c>
      <c r="D164" s="60" t="inlineStr">
        <is>
          <t>通知なし</t>
        </is>
      </c>
      <c r="E164" s="60" t="inlineStr">
        <is>
          <t>—</t>
        </is>
      </c>
      <c r="F164" s="60" t="inlineStr">
        <is>
          <t>正常</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80"/>
  <sheetViews>
    <sheetView topLeftCell="A40" workbookViewId="0">
      <selection activeCell="C13" sqref="C13"/>
    </sheetView>
  </sheetViews>
  <sheetFormatPr baseColWidth="10" defaultRowHeight="26" customHeight="1"/>
  <cols>
    <col width="41.42578125" customWidth="1" style="2" min="1" max="1"/>
    <col width="60" customWidth="1" style="2" min="2" max="2"/>
    <col width="67.140625" customWidth="1" style="2" min="3" max="3"/>
    <col width="10.7109375" customWidth="1" style="2" min="4" max="4"/>
    <col width="10.7109375" customWidth="1" style="2" min="5" max="16384"/>
  </cols>
  <sheetData>
    <row r="1" ht="26" customHeight="1" s="134">
      <c r="A1" s="1" t="inlineStr">
        <is>
          <t>アプリチーム向け手順</t>
        </is>
      </c>
    </row>
    <row r="2" ht="26" customHeight="1" s="134">
      <c r="A2" s="39" t="inlineStr">
        <is>
          <t>アプリチーム（ベンダー）の作業は 3 点のみ。監視への登録作業はない（中央の機構が認証構成情報から自動で発見する）。</t>
        </is>
      </c>
    </row>
    <row r="4" ht="26" customHeight="1" s="134">
      <c r="A4" s="7" t="inlineStr">
        <is>
          <t>1. やること 3 点</t>
        </is>
      </c>
    </row>
    <row r="5" ht="26" customHeight="1" s="134">
      <c r="A5" s="51" t="inlineStr">
        <is>
          <t>手順</t>
        </is>
      </c>
      <c r="B5" s="51" t="inlineStr">
        <is>
          <t>やること</t>
        </is>
      </c>
      <c r="C5" s="51" t="inlineStr">
        <is>
          <t>かんたんな説明</t>
        </is>
      </c>
    </row>
    <row r="6" ht="26" customHeight="1" s="134">
      <c r="A6" s="5" t="n">
        <v>1</v>
      </c>
      <c r="B6" s="5" t="inlineStr">
        <is>
          <t>Service Catalog で製品を launch する</t>
        </is>
      </c>
      <c r="C6" s="5" t="inlineStr">
        <is>
          <t>AppId / Env / CostCenter / Owner を入力して払い出す。この製品には「認証が必ず有効な API」「Origin Protection」「必須タグ」があらかじめ組み込まれている。</t>
        </is>
      </c>
    </row>
    <row r="7" ht="26" customHeight="1" s="134">
      <c r="A7" s="5" t="n">
        <v>2</v>
      </c>
      <c r="B7" s="5" t="inlineStr">
        <is>
          <t>デプロイパイプラインの最終段で認証構成情報をアップロードする</t>
        </is>
      </c>
      <c r="C7" s="5" t="inlineStr">
        <is>
          <t>自アカウントの認証構成情報連携バケット（auth-monitoring-artifacts-{accountId}）の {appId}/ 配下に monitoring.yaml と openapi.yaml を置く。専用のアップロードロール（ArtifactUploadRole-{appId}）を Assume して Put する。CI から AWS へ接続する方式は、アプリごとの既存方式でよい。</t>
        </is>
      </c>
    </row>
    <row r="8" ht="26" customHeight="1" s="134">
      <c r="A8" s="5" t="n">
        <v>3</v>
      </c>
      <c r="B8" s="5" t="inlineStr">
        <is>
          <t>OpenAPI に公開印を付ける</t>
        </is>
      </c>
      <c r="C8" s="5" t="inlineStr">
        <is>
          <t>認証が不要（誰でも呼べる）な endpoint にのみ x-synthetics-skip-auth-check: true を記述する。詳細は下記 5.（MON-1）。</t>
        </is>
      </c>
    </row>
    <row r="10" ht="26" customHeight="1" s="134">
      <c r="A10" s="71" t="inlineStr">
        <is>
          <t>原則: アップロードは必ずデプロイ成功後に行うこと。これにより「認証構成情報がある = その版がデプロイ済み」が成り立ち、中央の検査が実態と一致する。変更は必ず CI/CD 経由で行い、コンソールでの直接変更はしない（認証構成情報に現れず検知が遅れる）。</t>
        </is>
      </c>
    </row>
    <row r="12" ht="26" customHeight="1" s="134">
      <c r="A12" s="72" t="inlineStr">
        <is>
          <t>責任分界（顧客・ベンダー合意事項）: 認証構成情報のアップロード漏れ・内容の誤りは、原則アプリ（ベンダー）側の責任とする。中央は検知網（認証構成情報の最終更新が古いアプリの棚卸しアラート・月次棚卸し・日次の全量検査）で補助するが、「認証構成情報が正しく上がっていること」の保証責任は負わない。この分界は顧客・ベンダーとの合意が必要（M-Q-17-7）。</t>
        </is>
      </c>
    </row>
    <row r="14" ht="26" customHeight="1" s="134">
      <c r="A14" s="7" t="inlineStr">
        <is>
          <t>2. やらなくてよいこと</t>
        </is>
      </c>
    </row>
    <row r="15" ht="26" customHeight="1" s="134">
      <c r="A15" s="51" t="inlineStr">
        <is>
          <t>項目</t>
        </is>
      </c>
      <c r="B15" s="51" t="inlineStr">
        <is>
          <t>理由</t>
        </is>
      </c>
    </row>
    <row r="16" ht="26" customHeight="1" s="134">
      <c r="A16" s="5" t="inlineStr">
        <is>
          <t>監視対象への登録作業・登録用のコード</t>
        </is>
      </c>
      <c r="B16" s="5" t="inlineStr">
        <is>
          <t>中央の対象検索 Lambda が 1 時間毎に認証構成情報連携バケットを巡回して自動で見つけ、台帳に登録する。</t>
        </is>
      </c>
    </row>
    <row r="17" ht="26" customHeight="1" s="134">
      <c r="A17" s="5" t="inlineStr">
        <is>
          <t>OpenAPI の中央へのアップロード</t>
        </is>
      </c>
      <c r="B17" s="5" t="inlineStr">
        <is>
          <t>認証構成情報連携バケットに置いた openapi.yaml を中央が取得してコピーする。</t>
        </is>
      </c>
    </row>
    <row r="18" ht="26" customHeight="1" s="134">
      <c r="A18" s="5" t="inlineStr">
        <is>
          <t>通知先（SNS ARN）の設定</t>
        </is>
      </c>
      <c r="B18" s="5" t="inlineStr">
        <is>
          <t>認証構成情報には書かない。共通基盤チームが台帳側で管理する（未設定なら全社デフォルト）。</t>
        </is>
      </c>
    </row>
    <row r="19" ht="26" customHeight="1" s="134">
      <c r="A19" s="5" t="inlineStr">
        <is>
          <t>監視の一時停止（enabled）</t>
        </is>
      </c>
      <c r="B19" s="5" t="inlineStr">
        <is>
          <t>認証構成情報には書かない。台帳側の中央管理。</t>
        </is>
      </c>
    </row>
    <row r="20" ht="26" customHeight="1" s="134">
      <c r="A20" s="5" t="inlineStr">
        <is>
          <t>endpoint を追加したときの監視設定</t>
        </is>
      </c>
      <c r="B20" s="5" t="inlineStr">
        <is>
          <t>openapi.yaml を更新して認証構成情報をアップロードすれば、次回巡回（最大 1 時間）で新しい endpoint も自動で検査対象になる。検査側の改修は不要。</t>
        </is>
      </c>
    </row>
    <row r="22" ht="26" customHeight="1" s="134">
      <c r="A22" s="9" t="inlineStr">
        <is>
          <t>3. 認証構成情報の置き方</t>
        </is>
      </c>
    </row>
    <row r="23" ht="26" customHeight="1" s="134">
      <c r="A23" s="54" t="inlineStr">
        <is>
          <t>s3://auth-monitoring-artifacts-{accountId}/     ← 各アカウントに配布済み（Versioning 有効）</t>
        </is>
      </c>
    </row>
    <row r="24" ht="26" customHeight="1" s="134">
      <c r="A24" s="54" t="inlineStr">
        <is>
          <t xml:space="preserve">  {appId}/</t>
        </is>
      </c>
    </row>
    <row r="25" ht="26" customHeight="1" s="134">
      <c r="A25" s="54" t="inlineStr">
        <is>
          <t xml:space="preserve">    monitoring.yaml      # 監視宣言（下記 4.）</t>
        </is>
      </c>
    </row>
    <row r="26" ht="26" customHeight="1" s="134">
      <c r="A26" s="54" t="inlineStr">
        <is>
          <t xml:space="preserve">    openapi.yaml         # デプロイした版の API 仕様</t>
        </is>
      </c>
    </row>
    <row r="27" ht="26" customHeight="1" s="134">
      <c r="A27" s="54" t="inlineStr">
        <is>
          <t xml:space="preserve">    deploy-info.json     # 任意: { "commitId": "…", "deployedAt": "…", "pipelineRunId": "…" }</t>
        </is>
      </c>
    </row>
    <row r="29" ht="26" customHeight="1" s="134">
      <c r="A29" s="73" t="inlineStr">
        <is>
          <t>アップロードは ArtifactUploadRole-{appId} を Assume して行う。このロールは自アプリの {appId}/ 配下への Put だけができ、削除・読み取りはできない（他アプリの認証構成情報にも触れない）。</t>
        </is>
      </c>
    </row>
    <row r="31" ht="26" customHeight="1" s="134">
      <c r="A31" s="7" t="inlineStr">
        <is>
          <t>4. monitoring.yaml の書き方</t>
        </is>
      </c>
    </row>
    <row r="32" ht="26" customHeight="1" s="134">
      <c r="A32" s="54" t="inlineStr">
        <is>
          <t># {appId}/monitoring.yaml</t>
        </is>
      </c>
    </row>
    <row r="33" ht="26" customHeight="1" s="134">
      <c r="A33" s="54" t="inlineStr">
        <is>
          <t>appId: expense-api               # プレフィックスと一致必須</t>
        </is>
      </c>
    </row>
    <row r="34" ht="26" customHeight="1" s="134">
      <c r="A34" s="54" t="inlineStr">
        <is>
          <t>environments:</t>
        </is>
      </c>
    </row>
    <row r="35" ht="26" customHeight="1" s="134">
      <c r="A35" s="54" t="inlineStr">
        <is>
          <t xml:space="preserve">  prod:</t>
        </is>
      </c>
    </row>
    <row r="36" ht="26" customHeight="1" s="134">
      <c r="A36" s="54" t="inlineStr">
        <is>
          <t xml:space="preserve">    baseUrl: https://expense.example.com   # 検査先（CloudFront URL）</t>
        </is>
      </c>
    </row>
    <row r="37" ht="26" customHeight="1" s="134">
      <c r="A37" s="54" t="inlineStr">
        <is>
          <t xml:space="preserve">    authPattern: api-gw-jwt                # 検査方式（enum）</t>
        </is>
      </c>
    </row>
    <row r="38" ht="26" customHeight="1" s="134">
      <c r="A38" s="54" t="inlineStr">
        <is>
          <t xml:space="preserve">  stg:</t>
        </is>
      </c>
    </row>
    <row r="39" ht="26" customHeight="1" s="134">
      <c r="A39" s="54" t="inlineStr">
        <is>
          <t xml:space="preserve">    baseUrl: https://stg.expense.example.com</t>
        </is>
      </c>
    </row>
    <row r="40" ht="26" customHeight="1" s="134">
      <c r="A40" s="54" t="inlineStr">
        <is>
          <t xml:space="preserve">    authPattern: api-gw-jwt</t>
        </is>
      </c>
    </row>
    <row r="41" ht="20" customHeight="1" s="134">
      <c r="A41" s="54" t="inlineStr">
        <is>
          <t>testTokenSecret: canary-central-readonly   # 省略時は共通</t>
        </is>
      </c>
    </row>
    <row r="42" ht="20" customHeight="1" s="134"/>
    <row r="43" ht="21" customHeight="1" s="134">
      <c r="A43" s="51" t="inlineStr">
        <is>
          <t>項目</t>
        </is>
      </c>
      <c r="B43" s="51" t="inlineStr">
        <is>
          <t>書き方</t>
        </is>
      </c>
      <c r="C43" s="51" t="inlineStr">
        <is>
          <t>書き忘れ・間違いのとき</t>
        </is>
      </c>
    </row>
    <row r="44" ht="21" customHeight="1" s="134">
      <c r="A44" s="5" t="inlineStr">
        <is>
          <t>{appId}/monitoring.yaml</t>
        </is>
      </c>
      <c r="B44" s="5" t="inlineStr">
        <is>
          <t>必須。これが監視対象の宣言になる。</t>
        </is>
      </c>
      <c r="C44" s="5" t="inlineStr">
        <is>
          <t>API 提供契約やタグがあるのに認証構成情報が無い場合は、中央の棚卸しで検出される。</t>
        </is>
      </c>
    </row>
    <row r="45" ht="21" customHeight="1" s="134">
      <c r="A45" s="5" t="inlineStr">
        <is>
          <t>appId</t>
        </is>
      </c>
      <c r="B45" s="5" t="inlineStr">
        <is>
          <t>プレフィックス（フォルダ名）と一致させる。</t>
        </is>
      </c>
      <c r="C45" s="5" t="inlineStr">
        <is>
          <t>不一致は取り込み拒否 + メタ不足アラート。</t>
        </is>
      </c>
    </row>
    <row r="46" ht="21" customHeight="1" s="134">
      <c r="A46" s="5" t="inlineStr">
        <is>
          <t>authPattern</t>
        </is>
      </c>
      <c r="B46" s="5" t="inlineStr">
        <is>
          <t>認証方式を enum（6 種）から選ぶ。</t>
        </is>
      </c>
      <c r="C46" s="5" t="inlineStr">
        <is>
          <t>既定値 api-gw-jwt が使われ、未認証検査のみ実施 + メタ不足アラート。</t>
        </is>
      </c>
    </row>
    <row r="47" ht="26" customHeight="1" s="134">
      <c r="A47" s="5" t="inlineStr">
        <is>
          <t>baseUrl</t>
        </is>
      </c>
      <c r="B47" s="5" t="inlineStr">
        <is>
          <t>CloudFront の URL を書く（API Gateway の直 URL ではない）。</t>
        </is>
      </c>
      <c r="C47" s="5" t="inlineStr">
        <is>
          <t>検査できないため、メタ不足アラート。</t>
        </is>
      </c>
    </row>
    <row r="48" ht="26" customHeight="1" s="134">
      <c r="A48" s="5" t="inlineStr">
        <is>
          <t>openapi.yaml</t>
        </is>
      </c>
      <c r="B48" s="5" t="inlineStr">
        <is>
          <t>同じ {appId}/ 配下に併置する。</t>
        </is>
      </c>
      <c r="C48" s="5" t="inlineStr">
        <is>
          <t>無い場合は endpoint リストを monitoring.yaml に列挙する（ALB 直モノリス等）。</t>
        </is>
      </c>
    </row>
    <row r="49" ht="26" customHeight="1" s="134">
      <c r="A49" s="5" t="inlineStr">
        <is>
          <t>deploy-info.json</t>
        </is>
      </c>
      <c r="B49" s="5" t="inlineStr">
        <is>
          <t>任意。commitId / deployedAt 等の追跡用。</t>
        </is>
      </c>
      <c r="C49" s="5" t="inlineStr">
        <is>
          <t>中央は検知に使わないため、無くても問題ない。</t>
        </is>
      </c>
    </row>
    <row r="51" ht="26" customHeight="1" s="134">
      <c r="A51" s="9" t="inlineStr">
        <is>
          <t>5. OpenAPI の公開印（MON-1）</t>
        </is>
      </c>
    </row>
    <row r="52" ht="26" customHeight="1" s="134">
      <c r="A52" s="74" t="inlineStr">
        <is>
          <t>ルール: 本機構は「記述のない endpoint はすべて認証必須」と判定する（default-deny）。したがって、認証なしで公開する endpoint には x-synthetics-skip-auth-check: true を必ず記述する。記述漏れの場合、正しく公開している endpoint でも「認証漏れ」として P1（Security 即時）のアラートが発報される。</t>
        </is>
      </c>
    </row>
    <row r="54" ht="26" customHeight="1" s="134">
      <c r="A54" s="39" t="inlineStr">
        <is>
          <t>・「記述がない = 認証必須」とする理由: 「うっかり公開した endpoint」を必ず検知できる側に倒しているため。</t>
        </is>
      </c>
    </row>
    <row r="55" ht="26" customHeight="1" s="134">
      <c r="A55" s="39" t="inlineStr">
        <is>
          <t>・公開印は、アプリチームが必ず記述する必要がある唯一の監視用アノテーション（他は任意）。</t>
        </is>
      </c>
    </row>
    <row r="56" ht="26" customHeight="1" s="134">
      <c r="A56" s="39" t="inlineStr">
        <is>
          <t>・公開印を付した endpoint も、公開の妥当性は別途セキュリティレビューの対象とする（棚卸しは中央が実施）。</t>
        </is>
      </c>
    </row>
    <row r="58" ht="26" customHeight="1" s="134">
      <c r="A58" s="54" t="inlineStr">
        <is>
          <t>paths:</t>
        </is>
      </c>
    </row>
    <row r="59" ht="26" customHeight="1" s="134">
      <c r="A59" s="54" t="inlineStr">
        <is>
          <t xml:space="preserve">  /_/health:</t>
        </is>
      </c>
    </row>
    <row r="60" ht="26" customHeight="1" s="134">
      <c r="A60" s="54" t="inlineStr">
        <is>
          <t xml:space="preserve">    get:</t>
        </is>
      </c>
    </row>
    <row r="61" ht="26" customHeight="1" s="134">
      <c r="A61" s="54" t="inlineStr">
        <is>
          <t xml:space="preserve">      x-synthetics-skip-auth-check: true   # ← 公開（認証不要）の endpoint に必ず付ける</t>
        </is>
      </c>
    </row>
    <row r="63" ht="26" customHeight="1" s="134">
      <c r="A63" s="55" t="inlineStr">
        <is>
          <t>6. 認証構成情報を上げてから監視されるまで</t>
        </is>
      </c>
    </row>
    <row r="64" ht="26" customHeight="1" s="134">
      <c r="A64" s="51" t="inlineStr">
        <is>
          <t>#</t>
        </is>
      </c>
      <c r="B64" s="51" t="inlineStr">
        <is>
          <t>起きること</t>
        </is>
      </c>
      <c r="C64" s="51" t="inlineStr">
        <is>
          <t>かかる時間</t>
        </is>
      </c>
    </row>
    <row r="65" ht="26" customHeight="1" s="134">
      <c r="A65" s="5" t="n">
        <v>1</v>
      </c>
      <c r="B65" s="5" t="inlineStr">
        <is>
          <t>デプロイする（静的解析を通す）</t>
        </is>
      </c>
      <c r="C65" s="5" t="inlineStr">
        <is>
          <t>—</t>
        </is>
      </c>
    </row>
    <row r="66" ht="26" customHeight="1" s="134">
      <c r="A66" s="5" t="n">
        <v>2</v>
      </c>
      <c r="B66" s="5" t="inlineStr">
        <is>
          <t>デプロイ成功後、パイプラインが認証構成情報（monitoring.yaml / openapi.yaml）を認証構成情報連携バケットへアップロードする</t>
        </is>
      </c>
      <c r="C66" s="5" t="inlineStr">
        <is>
          <t>デプロイ直後</t>
        </is>
      </c>
    </row>
    <row r="67" ht="26" customHeight="1" s="134">
      <c r="A67" s="5" t="n">
        <v>3</v>
      </c>
      <c r="B67" s="5" t="inlineStr">
        <is>
          <t>中央の巡回が認証構成情報の VersionId の変化に気づき、台帳と OpenAPI を自動で取り込む</t>
        </is>
      </c>
      <c r="C67" s="5" t="inlineStr">
        <is>
          <t>最大 1 時間</t>
        </is>
      </c>
    </row>
    <row r="68" ht="26" customHeight="1" s="134">
      <c r="A68" s="5" t="n">
        <v>4</v>
      </c>
      <c r="B68" s="5" t="inlineStr">
        <is>
          <t>そのアプリの全 endpoint に対して検査（未認証検査 + 正規検査）が走り、問題があれば担当チームへ通知される（P1 Security 即時 / P2 Platform 24h / P3 App team 通常）</t>
        </is>
      </c>
      <c r="C68" s="5" t="inlineStr">
        <is>
          <t>上記の直後</t>
        </is>
      </c>
    </row>
    <row r="70" ht="26" customHeight="1" s="134">
      <c r="A70" s="39" t="inlineStr">
        <is>
          <t>なお、コンソールで直接 API の設定を変更した場合は認証構成情報に現れないため、この巡回では検知できない。その分は Config Rules（L2）と全量検査（モード2、日次定期＋手動。最大 24 時間で挙動レベルで捕捉）が補完する。だからこそ変更は必ず CI/CD 経由とすること（SCP による強制は Phase 2 判断）。</t>
        </is>
      </c>
    </row>
    <row r="72" ht="26" customHeight="1" s="134">
      <c r="A72" s="7" t="inlineStr">
        <is>
          <t>7. アラートが来たら</t>
        </is>
      </c>
    </row>
    <row r="73" ht="26" customHeight="1" s="134">
      <c r="A73" s="51" t="inlineStr">
        <is>
          <t>通知種別</t>
        </is>
      </c>
      <c r="B73" s="51" t="inlineStr">
        <is>
          <t>意味</t>
        </is>
      </c>
      <c r="C73" s="51" t="inlineStr">
        <is>
          <t>アプリチームの動き</t>
        </is>
      </c>
    </row>
    <row r="74" ht="26" customHeight="1" s="134">
      <c r="A74" s="5" t="inlineStr">
        <is>
          <t>P3</t>
        </is>
      </c>
      <c r="B74" s="5" t="inlineStr">
        <is>
          <t>自アプリの構成・メタ不足系の通知</t>
        </is>
      </c>
      <c r="C74" s="5" t="inlineStr">
        <is>
          <t>monitoring.yaml / openapi.yaml を確認し、修正して認証構成情報を再アップロード（次回巡回で自動再検査）</t>
        </is>
      </c>
    </row>
    <row r="75" ht="26" customHeight="1" s="134">
      <c r="A75" s="5" t="inlineStr">
        <is>
          <t>P1 関連の連絡</t>
        </is>
      </c>
      <c r="B75" s="5" t="inlineStr">
        <is>
          <t>セキュリティ・共通基盤チームから連絡が来た場合</t>
        </is>
      </c>
      <c r="C75" s="5" t="inlineStr">
        <is>
          <t>認証設定の即時確認と修正を最優先で対応</t>
        </is>
      </c>
    </row>
    <row r="76" ht="26" customHeight="1" s="134">
      <c r="A76" s="5" t="inlineStr">
        <is>
          <t>不明時</t>
        </is>
      </c>
      <c r="B76" s="5" t="inlineStr">
        <is>
          <t>判断がつかない場合</t>
        </is>
      </c>
      <c r="C76" s="5" t="inlineStr">
        <is>
          <t>共通基盤チームへ問い合わせる</t>
        </is>
      </c>
    </row>
    <row r="78" ht="26" customHeight="1" s="134">
      <c r="A78" s="9" t="inlineStr">
        <is>
          <t>8. 知っておくこと</t>
        </is>
      </c>
    </row>
    <row r="79" ht="26" customHeight="1" s="134">
      <c r="A79" s="39" t="inlineStr">
        <is>
          <t>監視は毎日 1 回、全 endpoint への検査リクエスト（X-Auth-Probe ヘッダ付き）を送る。アプリのアクセスログに定期的な 401/403 が記録されるのは正常（認証構成情報の更新がなくても飛ぶ）。</t>
        </is>
      </c>
    </row>
    <row r="80" ht="26" customHeight="1" s="134">
      <c r="A80" s="39" t="inlineStr">
        <is>
          <t>認証構成情報の最終更新が長期間（例 90 日）ないアプリは、中央の棚卸しアラートの対象になる。デプロイのたびに認証構成情報が上がっていれば自然に更新される。</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55"/>
  <sheetViews>
    <sheetView workbookViewId="0">
      <pane ySplit="4" topLeftCell="A5" activePane="bottomLeft" state="frozen"/>
      <selection pane="bottomLeft" activeCell="C30" sqref="C30"/>
    </sheetView>
  </sheetViews>
  <sheetFormatPr baseColWidth="10" defaultRowHeight="18"/>
  <cols>
    <col width="12.85546875" customWidth="1" style="2" min="1" max="1"/>
    <col width="74.28515625" customWidth="1" style="2" min="2" max="3"/>
    <col width="24.28515625" customWidth="1" style="2" min="4" max="4"/>
    <col width="10.7109375" customWidth="1" style="2" min="5" max="5"/>
    <col width="10.7109375" customWidth="1" style="2" min="6" max="16384"/>
  </cols>
  <sheetData>
    <row r="1" ht="22" customHeight="1" s="134">
      <c r="A1" s="1" t="inlineStr">
        <is>
          <t>設計判断一覧（決定事項）</t>
        </is>
      </c>
    </row>
    <row r="2" ht="25" customHeight="1" s="134">
      <c r="A2" s="3" t="inlineStr">
        <is>
          <t>本シートは決定事項（D-M-*）のみを収める。未決事項（M-Q-* / BD-Q-*）は「11_未決事項」シートに分離。判断に至った経緯は ADR 参照列の ADR を参照する。なお参照した md 内に D-G-* の ID は存在しない。</t>
        </is>
      </c>
    </row>
    <row r="4">
      <c r="A4" s="4" t="inlineStr">
        <is>
          <t>ID</t>
        </is>
      </c>
      <c r="B4" s="4" t="inlineStr">
        <is>
          <t>判断</t>
        </is>
      </c>
      <c r="C4" s="4" t="inlineStr">
        <is>
          <t>根拠</t>
        </is>
      </c>
      <c r="D4" s="4" t="inlineStr">
        <is>
          <t>ADR 参照</t>
        </is>
      </c>
    </row>
    <row r="5" ht="19" customHeight="1" s="134">
      <c r="A5" s="5" t="inlineStr">
        <is>
          <t>D-M-10-1</t>
        </is>
      </c>
      <c r="B5" s="5" t="inlineStr">
        <is>
          <t>Pattern β（中央集約）を採用</t>
        </is>
      </c>
      <c r="C5" s="5" t="inlineStr">
        <is>
          <t>Deploy 漏れが構造的にゼロ、「中央でチェック」要件と一致</t>
        </is>
      </c>
      <c r="D5" s="5" t="inlineStr">
        <is>
          <t>ADR-059</t>
        </is>
      </c>
    </row>
    <row r="6" ht="19" customHeight="1" s="134">
      <c r="A6" s="5" t="inlineStr">
        <is>
          <t>D-M-10-2</t>
        </is>
      </c>
      <c r="B6" s="5" t="inlineStr">
        <is>
          <t>データ定義はデータ契約を正とし、設計書は意図を説明する</t>
        </is>
      </c>
      <c r="C6" s="5" t="inlineStr">
        <is>
          <t>実装と設計の二重管理を避ける</t>
        </is>
      </c>
      <c r="D6" s="5" t="inlineStr">
        <is>
          <t>—</t>
        </is>
      </c>
    </row>
    <row r="7" ht="19" customHeight="1" s="134">
      <c r="A7" s="5" t="inlineStr">
        <is>
          <t>D-M-10-3</t>
        </is>
      </c>
      <c r="B7" s="5" t="inlineStr">
        <is>
          <t>設計は Phase 4 で実行検証してから確定</t>
        </is>
      </c>
      <c r="C7" s="5" t="inlineStr">
        <is>
          <t>「検証済み事実」を積み上げる方針（BD 品質方針）</t>
        </is>
      </c>
      <c r="D7" s="5" t="inlineStr">
        <is>
          <t>—</t>
        </is>
      </c>
    </row>
    <row r="8" ht="57" customHeight="1" s="134">
      <c r="A8" s="5" t="inlineStr">
        <is>
          <t>D-M-10-4</t>
        </is>
      </c>
      <c r="B8" s="5" t="inlineStr">
        <is>
          <t>Lambda 3 本は VPC 外配置（VPC / EP / TGW / NAT 不要）。検査の外向き HTTPS は NW-2（NWFW 経由）の明示的例外として受容し、宛先 allowlist のコード強制 + 中央管理コード + 監査で代償</t>
        </is>
      </c>
      <c r="C8" s="5" t="inlineStr">
        <is>
          <t>宛先が固定 3 種のみで任意外部 SaaS を呼ばない監視系に NWFW 経路を組むのは複雑さに見合わない。例外承認は M-Q-10-3、Phase 2 Private 対応時に 検査のみ VPC 化。In 境界（CloudFront + WAF）は従来どおり実 UX と同じ向きで通過</t>
        </is>
      </c>
      <c r="D8" s="5" t="inlineStr">
        <is>
          <t>—</t>
        </is>
      </c>
    </row>
    <row r="9" ht="19" customHeight="1" s="134">
      <c r="A9" s="5" t="inlineStr">
        <is>
          <t>D-M-11-1</t>
        </is>
      </c>
      <c r="B9" s="5" t="inlineStr">
        <is>
          <t>Negative + Positive の Hybrid 検証を必須化</t>
        </is>
      </c>
      <c r="C9" s="5" t="inlineStr">
        <is>
          <t>Negative 単独では構成ミスと認証漏れを区別不能</t>
        </is>
      </c>
      <c r="D9" s="5" t="inlineStr">
        <is>
          <t>—</t>
        </is>
      </c>
    </row>
    <row r="10" ht="19" customHeight="1" s="134">
      <c r="A10" s="5" t="inlineStr">
        <is>
          <t>D-M-11-2</t>
        </is>
      </c>
      <c r="B10" s="5" t="inlineStr">
        <is>
          <t>分類は 4×4 真偽値表、分類を 検査 / alert-router で共通化</t>
        </is>
      </c>
      <c r="C10" s="5" t="inlineStr">
        <is>
          <t>二重実装の分類ずれを防ぐ</t>
        </is>
      </c>
      <c r="D10" s="5" t="inlineStr">
        <is>
          <t>—</t>
        </is>
      </c>
    </row>
    <row r="11" ht="38" customHeight="1" s="134">
      <c r="A11" s="5" t="inlineStr">
        <is>
          <t>D-M-11-3</t>
        </is>
      </c>
      <c r="B11" s="5" t="inlineStr">
        <is>
          <t>検査は Lambda + 共通 probe lib（OpenAPI 動的発見）。Synthetics / Multi Checks は将来オプション</t>
        </is>
      </c>
      <c r="C11" s="5" t="inlineStr">
        <is>
          <t>動的発見が Pattern β に必須、定期実行は不要</t>
        </is>
      </c>
      <c r="D11" s="5" t="inlineStr">
        <is>
          <t>—</t>
        </is>
      </c>
    </row>
    <row r="12" ht="19" customHeight="1" s="134">
      <c r="A12" s="5" t="inlineStr">
        <is>
          <t>D-M-11-4</t>
        </is>
      </c>
      <c r="B12" s="5" t="inlineStr">
        <is>
          <t>Cookie モノリスは 302 を認証拒否とみなし監視対象化</t>
        </is>
      </c>
      <c r="C12" s="5" t="inlineStr">
        <is>
          <t>API GW 非依存アプリも担保</t>
        </is>
      </c>
      <c r="D12" s="5" t="inlineStr">
        <is>
          <t>—</t>
        </is>
      </c>
    </row>
    <row r="13" ht="19" customHeight="1" s="134">
      <c r="A13" s="5" t="inlineStr">
        <is>
          <t>D-M-11-5</t>
        </is>
      </c>
      <c r="B13" s="5" t="inlineStr">
        <is>
          <t>CRITICAL で AuthCheckCritical メトリクス → アラーム発火</t>
        </is>
      </c>
      <c r="C13" s="5" t="inlineStr">
        <is>
          <t>「認証漏れ」を運用に即時可視化</t>
        </is>
      </c>
      <c r="D13" s="5" t="inlineStr">
        <is>
          <t>—</t>
        </is>
      </c>
    </row>
    <row r="14" ht="19" customHeight="1" s="134">
      <c r="A14" s="5" t="inlineStr">
        <is>
          <t>D-M-12-1</t>
        </is>
      </c>
      <c r="B14" s="5" t="inlineStr">
        <is>
          <t>台帳ストアは S3。DynamoDB は不使用</t>
        </is>
      </c>
      <c r="C14" s="5" t="inlineStr">
        <is>
          <t>消せない情報は 3 つ・書き手 1 本・MB 未満で DB が過剰。ストアを S3 1 つに集約</t>
        </is>
      </c>
      <c r="D14" s="5" t="inlineStr">
        <is>
          <t>ADR-061 追記 2026-08-13</t>
        </is>
      </c>
    </row>
    <row r="15" ht="19" customHeight="1" s="134">
      <c r="A15" s="5" t="inlineStr">
        <is>
          <t>D-M-12-2</t>
        </is>
      </c>
      <c r="B15" s="5" t="inlineStr">
        <is>
          <t>検査 先は CloudFront URL（API GW 直でない）</t>
        </is>
      </c>
      <c r="C15" s="5" t="inlineStr">
        <is>
          <t>Origin Protection を破らず実 UX 同一条件で検証</t>
        </is>
      </c>
      <c r="D15" s="5" t="inlineStr">
        <is>
          <t>—</t>
        </is>
      </c>
    </row>
    <row r="16" ht="19" customHeight="1" s="134">
      <c r="A16" s="5" t="inlineStr">
        <is>
          <t>D-M-12-3</t>
        </is>
      </c>
      <c r="B16" s="5" t="inlineStr">
        <is>
          <t>登録は中央巡回の自動発見（書き手は対象検索 Lambda のみ、旧 Custom Resource 廃止）</t>
        </is>
      </c>
      <c r="C16" s="5" t="inlineStr">
        <is>
          <t>登録漏れ構造ゼロ + 書き込みクロスアカウント権限の排除</t>
        </is>
      </c>
      <c r="D16" s="5" t="inlineStr">
        <is>
          <t>ADR-061</t>
        </is>
      </c>
    </row>
    <row r="17" ht="19" customHeight="1" s="134">
      <c r="A17" s="5" t="inlineStr">
        <is>
          <t>D-M-12-4</t>
        </is>
      </c>
      <c r="B17" s="5" t="inlineStr">
        <is>
          <t>台帳に巡回スナップショット（lastArtifactVersions / lastSeenAt / 認証構成情報系属性）を同居</t>
        </is>
      </c>
      <c r="C17" s="5" t="inlineStr">
        <is>
          <t>差分判定・消滅検知・発見元の監査を 1 箇所で完結</t>
        </is>
      </c>
      <c r="D17" s="5" t="inlineStr">
        <is>
          <t>—</t>
        </is>
      </c>
    </row>
    <row r="18" ht="19" customHeight="1" s="134">
      <c r="A18" s="5" t="inlineStr">
        <is>
          <t>D-M-12-5</t>
        </is>
      </c>
      <c r="B18" s="5" t="inlineStr">
        <is>
          <t>enabled で監視の有効／無効を切替（中央管理）</t>
        </is>
      </c>
      <c r="C18" s="5" t="inlineStr">
        <is>
          <t>メンテ時などに削除せず一時停止できる。アプリが自分で監視を止められない</t>
        </is>
      </c>
      <c r="D18" s="5" t="inlineStr">
        <is>
          <t>—</t>
        </is>
      </c>
    </row>
    <row r="19" ht="19" customHeight="1" s="134">
      <c r="A19" s="5" t="inlineStr">
        <is>
          <t>D-M-13-1</t>
        </is>
      </c>
      <c r="B19" s="5" t="inlineStr">
        <is>
          <t>正本はベンダー git、中央が読むのは認証構成情報連携バケットの openapi.yaml（デプロイ版の写し）</t>
        </is>
      </c>
      <c r="C19" s="5" t="inlineStr">
        <is>
          <t>認証構成情報と同じ読み取り経路で完結。deploy との設定ずれは検査実測で顕在化</t>
        </is>
      </c>
      <c r="D19" s="5" t="inlineStr">
        <is>
          <t>ADR-061 改訂</t>
        </is>
      </c>
    </row>
    <row r="20" ht="19" customHeight="1" s="134">
      <c r="A20" s="5" t="inlineStr">
        <is>
          <t>D-M-13-2</t>
        </is>
      </c>
      <c r="B20" s="5" t="inlineStr">
        <is>
          <t>検査 制御は OpenAPI アノテーションで表現</t>
        </is>
      </c>
      <c r="C20" s="5" t="inlineStr">
        <is>
          <t>アプリチームの追加作業を最小化、endpoint と同じ場所で管理</t>
        </is>
      </c>
      <c r="D20" s="5" t="inlineStr">
        <is>
          <t>—</t>
        </is>
      </c>
    </row>
    <row r="21" ht="19" customHeight="1" s="134">
      <c r="A21" s="5" t="inlineStr">
        <is>
          <t>D-M-13-3</t>
        </is>
      </c>
      <c r="B21" s="5" t="inlineStr">
        <is>
          <t>Versioning 有効</t>
        </is>
      </c>
      <c r="C21" s="5" t="inlineStr">
        <is>
          <t>正本の時点管理（監査・巻き戻し）</t>
        </is>
      </c>
      <c r="D21" s="5" t="inlineStr">
        <is>
          <t>—</t>
        </is>
      </c>
    </row>
    <row r="22" ht="19" customHeight="1" s="134">
      <c r="A22" s="5" t="inlineStr">
        <is>
          <t>D-M-13-4</t>
        </is>
      </c>
      <c r="B22" s="5" t="inlineStr">
        <is>
          <t>新規 endpoint は OpenAPI 更新で自動追随（検査 無改修）</t>
        </is>
      </c>
      <c r="C22" s="5" t="inlineStr">
        <is>
          <t>監視維持の自動化</t>
        </is>
      </c>
      <c r="D22" s="5" t="inlineStr">
        <is>
          <t>—</t>
        </is>
      </c>
    </row>
    <row r="23" ht="19" customHeight="1" s="134">
      <c r="A23" s="5" t="inlineStr">
        <is>
          <t>D-M-14-1</t>
        </is>
      </c>
      <c r="B23" s="5" t="inlineStr">
        <is>
          <t>probe lib を分割（registry / openapi / token / 検査 / 分類 / 発行）</t>
        </is>
      </c>
      <c r="C23" s="5" t="inlineStr">
        <is>
          <t>独立テスト + 分類の共通化</t>
        </is>
      </c>
      <c r="D23" s="5" t="inlineStr">
        <is>
          <t>—</t>
        </is>
      </c>
    </row>
    <row r="24" ht="19" customHeight="1" s="134">
      <c r="A24" s="5" t="inlineStr">
        <is>
          <t>D-M-14-2</t>
        </is>
      </c>
      <c r="B24" s="5" t="inlineStr">
        <is>
          <t>Multi Checks は将来オプション（≤10 固定 endpoint、Synthetics）</t>
        </is>
      </c>
      <c r="C24" s="5" t="inlineStr">
        <is>
          <t>OAuth ネイティブで手軽だが動的発見不可・定期実行前提</t>
        </is>
      </c>
      <c r="D24" s="5" t="inlineStr">
        <is>
          <t>—</t>
        </is>
      </c>
    </row>
    <row r="25" ht="19" customHeight="1" s="134">
      <c r="A25" s="5" t="inlineStr">
        <is>
          <t>D-M-14-3</t>
        </is>
      </c>
      <c r="B25" s="5" t="inlineStr">
        <is>
          <t>モノリスは authPattern=alb-cookie-monolith で 302 検証</t>
        </is>
      </c>
      <c r="C25" s="5" t="inlineStr">
        <is>
          <t>API GW 非依存アプリを担保</t>
        </is>
      </c>
      <c r="D25" s="5" t="inlineStr">
        <is>
          <t>ADR-059</t>
        </is>
      </c>
    </row>
    <row r="26" ht="19" customHeight="1" s="134">
      <c r="A26" s="5" t="inlineStr">
        <is>
          <t>D-M-14-4</t>
        </is>
      </c>
      <c r="B26" s="5" t="inlineStr">
        <is>
          <t>Private は 検査 用 VPC + TGW（Phase 2）</t>
        </is>
      </c>
      <c r="C26" s="5" t="inlineStr">
        <is>
          <t>既存 TGW を再利用し全 App アカウント到達</t>
        </is>
      </c>
      <c r="D26" s="5" t="inlineStr">
        <is>
          <t>ADR-059</t>
        </is>
      </c>
    </row>
    <row r="27" ht="19" customHeight="1" s="134">
      <c r="A27" s="5" t="inlineStr">
        <is>
          <t>D-M-14-5</t>
        </is>
      </c>
      <c r="B27" s="5" t="inlineStr">
        <is>
          <t>要 PoC 項目をコード内 TODO + 設計書に明示する</t>
        </is>
      </c>
      <c r="C27" s="5" t="inlineStr">
        <is>
          <t>「検証済み」と「未検証」を誤認させない</t>
        </is>
      </c>
      <c r="D27" s="5" t="inlineStr">
        <is>
          <t>—</t>
        </is>
      </c>
    </row>
    <row r="28" ht="19" customHeight="1" s="134">
      <c r="A28" s="5" t="inlineStr">
        <is>
          <t>D-M-15-1</t>
        </is>
      </c>
      <c r="B28" s="5" t="inlineStr">
        <is>
          <t>4×4 分類で P1 / P2 / P3 に振り分け（全部 Security でない）</t>
        </is>
      </c>
      <c r="C28" s="5" t="inlineStr">
        <is>
          <t>誤検知で Security を疲弊させない</t>
        </is>
      </c>
      <c r="D28" s="5" t="inlineStr">
        <is>
          <t>—</t>
        </is>
      </c>
    </row>
    <row r="29" ht="19" customHeight="1" s="134">
      <c r="A29" s="5" t="inlineStr">
        <is>
          <t>D-M-15-2</t>
        </is>
      </c>
      <c r="B29" s="5" t="inlineStr">
        <is>
          <t>ARN は App Registry alertRouting → 環境変数デフォルトの 2 段解決</t>
        </is>
      </c>
      <c r="C29" s="5" t="inlineStr">
        <is>
          <t>アプリ個別 + 全社既定の両立</t>
        </is>
      </c>
      <c r="D29" s="5" t="inlineStr">
        <is>
          <t>—</t>
        </is>
      </c>
    </row>
    <row r="30" ht="19" customHeight="1" s="134">
      <c r="A30" s="5" t="inlineStr">
        <is>
          <t>D-M-15-3</t>
        </is>
      </c>
      <c r="B30" s="5" t="inlineStr">
        <is>
          <t>分類ロジックは検査側の classify.js と共通化</t>
        </is>
      </c>
      <c r="C30" s="5" t="inlineStr">
        <is>
          <t>二重実装のずれ防止</t>
        </is>
      </c>
      <c r="D30" s="5" t="inlineStr">
        <is>
          <t>—</t>
        </is>
      </c>
    </row>
    <row r="31" ht="19" customHeight="1" s="134">
      <c r="A31" s="5" t="inlineStr">
        <is>
          <t>D-M-15-4</t>
        </is>
      </c>
      <c r="B31" s="5" t="inlineStr">
        <is>
          <t>ARN 未解決は throw（DLQ）</t>
        </is>
      </c>
      <c r="C31" s="5" t="inlineStr">
        <is>
          <t>設定不備を握り潰さず可視化</t>
        </is>
      </c>
      <c r="D31" s="5" t="inlineStr">
        <is>
          <t>—</t>
        </is>
      </c>
    </row>
    <row r="32" ht="19" customHeight="1" s="134">
      <c r="A32" s="5" t="inlineStr">
        <is>
          <t>D-M-16-1</t>
        </is>
      </c>
      <c r="B32" s="5" t="inlineStr">
        <is>
          <t>クロスアカウントは中央 → App の読み取り AssumeRole 1 種のみ（書き込み経路は廃止）</t>
        </is>
      </c>
      <c r="C32" s="5" t="inlineStr">
        <is>
          <t>pull 型統一。攻撃面・設定ミス面の最小化</t>
        </is>
      </c>
      <c r="D32" s="5" t="inlineStr">
        <is>
          <t>ADR-061</t>
        </is>
      </c>
    </row>
    <row r="33" ht="19" customHeight="1" s="134">
      <c r="A33" s="5" t="inlineStr">
        <is>
          <t>D-M-16-2</t>
        </is>
      </c>
      <c r="B33" s="5" t="inlineStr">
        <is>
          <t>検査は Public URL 経由でクロスアカウント権限不要</t>
        </is>
      </c>
      <c r="C33" s="5" t="inlineStr">
        <is>
          <t>実 UX 同一 + 権限を巡回読み取りだけに限定</t>
        </is>
      </c>
      <c r="D33" s="5" t="inlineStr">
        <is>
          <t>—</t>
        </is>
      </c>
    </row>
    <row r="34" ht="19" customHeight="1" s="134">
      <c r="A34" s="5" t="inlineStr">
        <is>
          <t>D-M-16-3</t>
        </is>
      </c>
      <c r="B34" s="5" t="inlineStr">
        <is>
          <t>DiscoveryReadRole は read-only + 信頼先 1 本 + ExternalId + 全アカウント同一名</t>
        </is>
      </c>
      <c r="C34" s="5" t="inlineStr">
        <is>
          <t>漏洩時影響の最小化・confused deputy 防止・機械的な AssumeRole</t>
        </is>
      </c>
      <c r="D34" s="5" t="inlineStr">
        <is>
          <t>—</t>
        </is>
      </c>
    </row>
    <row r="35" ht="19" customHeight="1" s="134">
      <c r="A35" s="5" t="inlineStr">
        <is>
          <t>D-M-16-4</t>
        </is>
      </c>
      <c r="B35" s="5" t="inlineStr">
        <is>
          <t>配布は StackSets（Organizations 自動デプロイ）</t>
        </is>
      </c>
      <c r="C35" s="5" t="inlineStr">
        <is>
          <t>新規アカウントにも自動追随 → 巡回の空白を作らない</t>
        </is>
      </c>
      <c r="D35" s="5" t="inlineStr">
        <is>
          <t>—</t>
        </is>
      </c>
    </row>
    <row r="36" ht="19" customHeight="1" s="134">
      <c r="A36" s="5" t="inlineStr">
        <is>
          <t>D-M-16-5</t>
        </is>
      </c>
      <c r="B36" s="5" t="inlineStr">
        <is>
          <t>ROSA 側 P-18 確定まで自管理前提で記述、差分改訂</t>
        </is>
      </c>
      <c r="C36" s="5" t="inlineStr">
        <is>
          <t>前提変更に追随（BD-Q-01）</t>
        </is>
      </c>
      <c r="D36" s="5" t="inlineStr">
        <is>
          <t>—</t>
        </is>
      </c>
    </row>
    <row r="37" ht="19" customHeight="1" s="134">
      <c r="A37" s="5" t="inlineStr">
        <is>
          <t>D-M-16-6</t>
        </is>
      </c>
      <c r="B37" s="5" t="inlineStr">
        <is>
          <t>読み取り対象は認証構成情報連携バケットのみ（codecommit / apigateway 権限は 2026-08-21 全廃）</t>
        </is>
      </c>
      <c r="C37" s="5" t="inlineStr">
        <is>
          <t>認証構成情報オンリー原則。ベンダーへの権限説明が単純・漏洩時影響も認証構成情報閲覧のみに縮小</t>
        </is>
      </c>
      <c r="D37" s="5" t="inlineStr">
        <is>
          <t>ADR-061 追記 2026-08-21</t>
        </is>
      </c>
    </row>
    <row r="38" ht="38" customHeight="1" s="134">
      <c r="A38" s="5" t="inlineStr">
        <is>
          <t>D-M-16-7</t>
        </is>
      </c>
      <c r="B38" s="5" t="inlineStr">
        <is>
          <t>アップロードは ArtifactUploadRole-{appId}（Put のみ・prefix 限定・デプロイロール分離）+ バケットポリシーで二重 Deny</t>
        </is>
      </c>
      <c r="C38" s="5" t="inlineStr">
        <is>
          <t>最小権限・アプリ間分離・書込経路の監査容易性</t>
        </is>
      </c>
      <c r="D38" s="5" t="inlineStr">
        <is>
          <t>—</t>
        </is>
      </c>
    </row>
    <row r="39" ht="19" customHeight="1" s="134">
      <c r="A39" s="5" t="inlineStr">
        <is>
          <t>D-M-17-1</t>
        </is>
      </c>
      <c r="B39" s="5" t="inlineStr">
        <is>
          <t>デプロイ検知は pull 型中央巡回に統一</t>
        </is>
      </c>
      <c r="C39" s="5" t="inlineStr">
        <is>
          <t>登録漏れが構造的にゼロ、アプリ側フットプリント実質ゼロ、トリガーが中央に統一</t>
        </is>
      </c>
      <c r="D39" s="5" t="inlineStr">
        <is>
          <t>ADR-061</t>
        </is>
      </c>
    </row>
    <row r="40" ht="19" customHeight="1" s="134">
      <c r="A40" s="5" t="inlineStr">
        <is>
          <t>D-M-17-2</t>
        </is>
      </c>
      <c r="B40" s="5" t="inlineStr">
        <is>
          <t>巡回間隔は 1 時間</t>
        </is>
      </c>
      <c r="C40" s="5" t="inlineStr">
        <is>
          <t>一次防衛は deploy 前ガード。外形監視は検知網であり 1 時間で許容</t>
        </is>
      </c>
      <c r="D40" s="5" t="inlineStr">
        <is>
          <t>—</t>
        </is>
      </c>
    </row>
    <row r="41" ht="57" customHeight="1" s="134">
      <c r="A41" s="5" t="inlineStr">
        <is>
          <t>D-M-17-3</t>
        </is>
      </c>
      <c r="B41" s="5" t="inlineStr">
        <is>
          <t>変更検知は S3 認証構成情報の VersionId 比較 単独（2026-08-21。外部 git 前提により CodeCommit 巡回を置換、同時に deploymentId 併読を廃止）</t>
        </is>
      </c>
      <c r="C41" s="5" t="inlineStr">
        <is>
          <t>認証構成情報オンリー原則: 中央が App アカウントで読むのは認証構成情報だけ（権限説明が単純・通信の線が最少）。アップロードがデプロイ後のため「認証構成情報あり = デプロイ済み」が成立。コンソール直変更は Config Rules + ガイド + 日次全量（24h）で受容</t>
        </is>
      </c>
      <c r="D41" s="5" t="inlineStr">
        <is>
          <t>ADR-061 追記 2026-08-21</t>
        </is>
      </c>
    </row>
    <row r="42" ht="19" customHeight="1" s="134">
      <c r="A42" s="5" t="inlineStr">
        <is>
          <t>D-M-17-4</t>
        </is>
      </c>
      <c r="B42" s="5" t="inlineStr">
        <is>
          <t>メタデータは monitoring.yaml（config-as-code）で宣言、通知先と enabled は台帳側</t>
        </is>
      </c>
      <c r="C42" s="5" t="inlineStr">
        <is>
          <t>PR レビューで変更管理可。ARN・監視停止権限は repo に持たせない</t>
        </is>
      </c>
      <c r="D42" s="5" t="inlineStr">
        <is>
          <t>—</t>
        </is>
      </c>
    </row>
    <row r="43" ht="19" customHeight="1" s="134">
      <c r="A43" s="5" t="inlineStr">
        <is>
          <t>D-M-17-5</t>
        </is>
      </c>
      <c r="B43" s="5" t="inlineStr">
        <is>
          <t>検査 範囲はアプリ単位の全 endpoint（diff で endpoint 絞りしない）</t>
        </is>
      </c>
      <c r="C43" s="5" t="inlineStr">
        <is>
          <t>認証 middleware 削除は diff から endpoint に紐づかない</t>
        </is>
      </c>
      <c r="D43" s="5" t="inlineStr">
        <is>
          <t>—</t>
        </is>
      </c>
    </row>
    <row r="44" ht="19" customHeight="1" s="134">
      <c r="A44" s="5" t="inlineStr">
        <is>
          <t>D-M-17-6</t>
        </is>
      </c>
      <c r="B44" s="5" t="inlineStr">
        <is>
          <t>Service Catalog 製品は「守られた API を作る」に専念（登録処理を持たない）</t>
        </is>
      </c>
      <c r="C44" s="5" t="inlineStr">
        <is>
          <t>「見つける」は中央（関心の分離）</t>
        </is>
      </c>
      <c r="D44" s="5" t="inlineStr">
        <is>
          <t>—</t>
        </is>
      </c>
    </row>
    <row r="45" ht="19" customHeight="1" s="134">
      <c r="A45" s="5" t="inlineStr">
        <is>
          <t>D-M-17-7</t>
        </is>
      </c>
      <c r="B45" s="5" t="inlineStr">
        <is>
          <t>アップロードはアプリ単位の専用ロール（デプロイロールと分離、{appId}/ prefix 限定 PutObject のみ）</t>
        </is>
      </c>
      <c r="C45" s="5" t="inlineStr">
        <is>
          <t>最小権限・ベンダー複数アプリでも相互に書けない・デプロイ権限と認証構成情報アップロード権限の分離</t>
        </is>
      </c>
      <c r="D45" s="5" t="inlineStr">
        <is>
          <t>—</t>
        </is>
      </c>
    </row>
    <row r="46" ht="19" customHeight="1" s="134">
      <c r="A46" s="5" t="inlineStr">
        <is>
          <t>D-M-17-8</t>
        </is>
      </c>
      <c r="B46" s="5" t="inlineStr">
        <is>
          <t>認証構成情報のアップロード漏れ・誤りは原則アプリ責任（中央は staleness 検知・棚卸し・日次全量で補助）</t>
        </is>
      </c>
      <c r="C46" s="5" t="inlineStr">
        <is>
          <t>外部ベンダーの CI 内部は中央から統制できない。責任分界を契約で明確化（顧客合意 M-Q-17-7）</t>
        </is>
      </c>
      <c r="D46" s="5" t="inlineStr">
        <is>
          <t>—</t>
        </is>
      </c>
    </row>
    <row r="47" ht="38" customHeight="1" s="134">
      <c r="A47" s="5" t="inlineStr">
        <is>
          <t>D-M-18-1</t>
        </is>
      </c>
      <c r="B47" s="5" t="inlineStr">
        <is>
          <t>「5 分全量」を廃し、自動差分検査（モード1）（自動・1h）+ 全量検査（モード2） フル（手動）の 2 モードに</t>
        </is>
      </c>
      <c r="C47" s="5" t="inlineStr">
        <is>
          <t>常時監視とデプロイ検証を分離、常時負荷を桁で削減</t>
        </is>
      </c>
      <c r="D47" s="5" t="inlineStr">
        <is>
          <t>—</t>
        </is>
      </c>
    </row>
    <row r="48" ht="19" customHeight="1" s="134">
      <c r="A48" s="5" t="inlineStr">
        <is>
          <t>D-M-18-2</t>
        </is>
      </c>
      <c r="B48" s="5" t="inlineStr">
        <is>
          <t>自動差分検査（モード1）の差分粒度はアプリ単位（変更アプリの全 endpoint）</t>
        </is>
      </c>
      <c r="C48" s="5" t="inlineStr">
        <is>
          <t>OpenAPI 不変の認証コード変更（middleware 削除等）を見逃さない</t>
        </is>
      </c>
      <c r="D48" s="5" t="inlineStr">
        <is>
          <t>—</t>
        </is>
      </c>
    </row>
    <row r="49" ht="38" customHeight="1" s="134">
      <c r="A49" s="5" t="inlineStr">
        <is>
          <t>D-M-18-3</t>
        </is>
      </c>
      <c r="B49" s="5" t="inlineStr">
        <is>
          <t>heartbeat 型検査（旧 M2、廃止）は当面なし（将来、重要 endpoint をアプリと合意後）</t>
        </is>
      </c>
      <c r="C49" s="5" t="inlineStr">
        <is>
          <t>重要 endpoint の定義に業務会話が要る、決め打ち全量は本末転倒</t>
        </is>
      </c>
      <c r="D49" s="5" t="inlineStr">
        <is>
          <t>—</t>
        </is>
      </c>
    </row>
    <row r="50" ht="19" customHeight="1" s="134">
      <c r="A50" s="5" t="inlineStr">
        <is>
          <t>D-M-18-4</t>
        </is>
      </c>
      <c r="B50" s="5" t="inlineStr">
        <is>
          <t>全量検査（モード2） フルは手動（スケジュールなし）</t>
        </is>
      </c>
      <c r="C50" s="5" t="inlineStr">
        <is>
          <t>網羅確認は人の判断契機（初回／監査／大変更後）で十分、常時コストゼロ</t>
        </is>
      </c>
      <c r="D50" s="5" t="inlineStr">
        <is>
          <t>—</t>
        </is>
      </c>
    </row>
    <row r="51" ht="38" customHeight="1" s="134">
      <c r="A51" s="5" t="inlineStr">
        <is>
          <t>D-M-18-5</t>
        </is>
      </c>
      <c r="B51" s="5" t="inlineStr">
        <is>
          <t>実行基盤を Lambda に一本化、Synthetics は将来オプション</t>
        </is>
      </c>
      <c r="C51" s="5" t="inlineStr">
        <is>
          <t>heartbeat 型検査（旧 M2、廃止） 廃止で定期実行メリットが不要、probe lib は共通で資産流用</t>
        </is>
      </c>
      <c r="D51" s="5" t="inlineStr">
        <is>
          <t>—</t>
        </is>
      </c>
    </row>
    <row r="52" ht="19" customHeight="1" s="134">
      <c r="A52" s="5" t="inlineStr">
        <is>
          <t>D-M-18-6</t>
        </is>
      </c>
      <c r="B52" s="5" t="inlineStr">
        <is>
          <t>アラームは CloudWatch metric（AuthCheckCritical&gt;0）</t>
        </is>
      </c>
      <c r="C52" s="5" t="inlineStr">
        <is>
          <t>canary FAIL 依存をやめ Lambda でも成立させる</t>
        </is>
      </c>
      <c r="D52" s="5" t="inlineStr">
        <is>
          <t>—</t>
        </is>
      </c>
    </row>
    <row r="53" ht="19" customHeight="1" s="134">
      <c r="A53" s="5" t="inlineStr">
        <is>
          <t>D-M-18-7</t>
        </is>
      </c>
      <c r="B53" s="5" t="inlineStr">
        <is>
          <t>自動差分検査（モード1）のトリガは中央巡回（pull、1 時間毎）。アプリ側イベントに依存しない</t>
        </is>
      </c>
      <c r="C53" s="5" t="inlineStr">
        <is>
          <t>登録漏れ構造ゼロ・トリガー中央統一</t>
        </is>
      </c>
      <c r="D53" s="5" t="inlineStr">
        <is>
          <t>ADR-061</t>
        </is>
      </c>
    </row>
    <row r="54" ht="38" customHeight="1" s="134">
      <c r="A54" s="5" t="inlineStr">
        <is>
          <t>D-M-18-8</t>
        </is>
      </c>
      <c r="B54" s="5" t="inlineStr">
        <is>
          <t>メタ監視を被監視系と別系統で設計（巡回鮮度 DiscoveryLastSuccess の 2h 欠損アラーム + Lambda Errors + DLQ 滞留。通知は P2）</t>
        </is>
      </c>
      <c r="C54" s="5" t="inlineStr">
        <is>
          <t>監視の空白 = 検知の空白。保険系（AuthCheckCritical）は「検知結果」、メタ監視は「検知不能状態」の発報で役割が異なる</t>
        </is>
      </c>
      <c r="D54" s="5" t="inlineStr">
        <is>
          <t>—</t>
        </is>
      </c>
    </row>
    <row r="55" ht="57" customHeight="1" s="134">
      <c r="A55" s="5" t="inlineStr">
        <is>
          <t>D-M-18-9</t>
        </is>
      </c>
      <c r="B55" s="5" t="inlineStr">
        <is>
          <t>at-least-once + 冪等（lastArtifactVersions は自動差分検査（モード1）起動成功後のみ更新、発見 → 検査は非同期起動 + DLQ、アカウント単位の部分失敗分離）。全量検査（モード2）と大規模巡回はアプリ / アカウント単位の分割起動</t>
        </is>
      </c>
      <c r="C55" s="5" t="inlineStr">
        <is>
          <t>Lambda 15 分制限に構造で当たらない。検査は読み取り検査で重複無害</t>
        </is>
      </c>
      <c r="D55" s="5" t="inlineStr">
        <is>
          <t>—</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54"/>
  <sheetViews>
    <sheetView workbookViewId="0">
      <pane ySplit="4" topLeftCell="A5" activePane="bottomLeft" state="frozen"/>
      <selection pane="bottomLeft" activeCell="B8" sqref="B8"/>
    </sheetView>
  </sheetViews>
  <sheetFormatPr baseColWidth="10" defaultRowHeight="18"/>
  <cols>
    <col width="14.28515625" customWidth="1" style="120" min="1" max="1"/>
    <col width="100" customWidth="1" style="120" min="2" max="2"/>
    <col width="88.5703125" customWidth="1" style="120" min="3" max="3"/>
    <col width="28.5703125" customWidth="1" style="120" min="4" max="4"/>
    <col width="15.7109375" customWidth="1" style="120" min="5" max="5"/>
    <col width="10.7109375" customWidth="1" style="2" min="6" max="16384"/>
  </cols>
  <sheetData>
    <row r="1" ht="27" customHeight="1" s="134">
      <c r="A1" s="1" t="inlineStr">
        <is>
          <t>未決事項（M-Q-* / BD-Q-*）</t>
        </is>
      </c>
    </row>
    <row r="2">
      <c r="A2" s="3" t="inlineStr">
        <is>
          <t>本シートは未決事項のみを収める。決定事項（D-M-*）は「10_設計判断一覧」シート。未決は未決のまま記載し、確定した設計としては書かない。担当・期限は未定のため空欄（記入用）。</t>
        </is>
      </c>
    </row>
    <row r="4" ht="21" customHeight="1" s="134">
      <c r="A4" s="75" t="inlineStr">
        <is>
          <t>ID</t>
        </is>
      </c>
      <c r="B4" s="75" t="inlineStr">
        <is>
          <t>内容</t>
        </is>
      </c>
      <c r="C4" s="75" t="inlineStr">
        <is>
          <t>解説・選択肢（回答記入用）</t>
        </is>
      </c>
      <c r="D4" s="75" t="inlineStr">
        <is>
          <t>担当</t>
        </is>
      </c>
      <c r="E4" s="75" t="inlineStr">
        <is>
          <t>期限</t>
        </is>
      </c>
    </row>
    <row r="5" ht="63" customHeight="1" s="134">
      <c r="A5" s="5" t="inlineStr">
        <is>
          <t>BD-Q-01</t>
        </is>
      </c>
      <c r="B5" s="5" t="inlineStr">
        <is>
          <t>ROSA 側 P-18（監査アカウント他組織管理）確定時の責任分界 / 検査 先経路の改訂</t>
        </is>
      </c>
      <c r="C5" s="5" t="inlineStr">
        <is>
          <t>【解説】インターネット境界（CloudFront+WAF）が他組織管理になるかの確定待ち。確定しても中央リソースは自社の共通基盤アカウントにあるため再設計は不要で、検査が境界を通る経路の運用調整のみ発生する。【回答】当方では決められない（ROSA 側 P-18 の確定待ち）。→ 確定日と結果を記入: ＿＿</t>
        </is>
      </c>
      <c r="D5" s="5" t="n"/>
      <c r="E5" s="5" t="n"/>
    </row>
    <row r="6" ht="84" customHeight="1" s="134">
      <c r="A6" s="5" t="inlineStr">
        <is>
          <t>M-Q-10-1</t>
        </is>
      </c>
      <c r="B6" s="5" t="inlineStr">
        <is>
          <t>Central 障害時の Multilocation（DR region replica）採否</t>
        </is>
      </c>
      <c r="C6" s="76" t="inlineStr">
        <is>
          <t>【解説】中央（共通基盤アカウント）が障害になると監視が全停止する。別リージョンに監視系の複製を併走させるか。障害中も「検査が止まるだけ」で本番アプリには影響しない。【選択肢】a) Phase 1 は無し。復旧後に 全量検査（モード2）で追い付く（★）/ b) Phase 2 検討として残す / c) Phase 1 から複製を持つ　【→ 回答: ＿＿】</t>
        </is>
      </c>
      <c r="D6" s="5" t="n"/>
      <c r="E6" s="5" t="n"/>
    </row>
    <row r="7" ht="42" customHeight="1" s="134">
      <c r="A7" s="5" t="inlineStr">
        <is>
          <t>M-Q-10-2</t>
        </is>
      </c>
      <c r="B7" s="5" t="inlineStr">
        <is>
          <t>full-run（SAM local / 実 AWS）の実施タイミング</t>
        </is>
      </c>
      <c r="C7" s="5" t="inlineStr">
        <is>
          <t>【解説】ローカルで検証済みのロジックを、実 AWS（or SAM）で通しで動かす時期の話。決定事項ではなく実施タイミングのみ。【回答例】「対象検索 Lambda 実装（M-Q-17-4）完了後に実施」で足りる。【→ 回答: ＿＿】</t>
        </is>
      </c>
      <c r="D7" s="5" t="n"/>
      <c r="E7" s="5" t="n"/>
    </row>
    <row r="8" ht="105" customHeight="1" s="134">
      <c r="A8" s="5" t="inlineStr">
        <is>
          <t>M-Q-10-3</t>
        </is>
      </c>
      <c r="B8" s="5" t="inlineStr">
        <is>
          <t>NW-2 例外（VPC 外 Lambda の Egress が NWFW 非経由）の明示的承認をセキュリティ / 境界管理の他組織から取得</t>
        </is>
      </c>
      <c r="C8" s="76" t="inlineStr">
        <is>
          <t>【解説】監視 Lambda を VPC 外に置いたため、外向き通信が組織のアウトバウンド統制（Network Firewall のドメインフィルタ）を通らない。これは社内ルール NW-2 の例外にあたるため、セキュリティ部門と境界管理の他組織から明示的な承認を得る必要がある。宛先が固定 3 種のみ・コードは中央管理という例外理由と代償統制の説明資料は「08_セキュリティ・IAM」シートの「VPC 外配置の判断」表がそのまま使える。【回答】承認取得タスク。承認者と取得日を記入: ＿＿</t>
        </is>
      </c>
      <c r="D8" s="5" t="n"/>
      <c r="E8" s="5" t="n"/>
    </row>
    <row r="9" ht="42" customHeight="1" s="134">
      <c r="A9" s="5" t="inlineStr">
        <is>
          <t>M-Q-11-2</t>
        </is>
      </c>
      <c r="B9" s="5" t="inlineStr">
        <is>
          <t>SigV4 Positive（api-gw-iam）の実装（@aws-sdk/signature-v4 手動署名、Phase 2）</t>
        </is>
      </c>
      <c r="C9" s="5" t="inlineStr">
        <is>
          <t>【解説】AWS IAM 認証（SigV4 署名）の API に対する「正しい署名を付けたら通る」側の検査は未実装（Phase 2 計画）。未認証を弾く検査（Negative）は今でも可能。【回答】決定不要（Phase 2 実装タスク）。</t>
        </is>
      </c>
      <c r="D9" s="5" t="n"/>
      <c r="E9" s="5" t="n"/>
    </row>
    <row r="10" ht="63" customHeight="1" s="134">
      <c r="A10" s="5" t="inlineStr">
        <is>
          <t>M-Q-11-3</t>
        </is>
      </c>
      <c r="B10" s="5" t="inlineStr">
        <is>
          <t>Cookie モノリス Positive（Puppeteer ログイン）の実装</t>
        </is>
      </c>
      <c r="C10" s="5" t="inlineStr">
        <is>
          <t>【解説】Cookie ログイン型アプリ（モノリス/BFF）の「正規ログインしたら見える」側の検査は、ブラウザ自動操作（Puppeteer）の実装が必要で未実装。未ログインを弾く検査（302 確認）は今でも可能。【回答】決定不要（Phase 2 実装タスク）。</t>
        </is>
      </c>
      <c r="D10" s="5" t="n"/>
      <c r="E10" s="5" t="n"/>
    </row>
    <row r="11" ht="63" customHeight="1" s="134">
      <c r="A11" s="5" t="inlineStr">
        <is>
          <t>M-Q-11-4</t>
        </is>
      </c>
      <c r="B11" s="5" t="inlineStr">
        <is>
          <t>Positive トークン スコープ B（canary 専用テナント / 合成データ）の設計（認証基盤 Keycloak へ引き渡し）。Phase 1 は A、機微データ API から B へ移行</t>
        </is>
      </c>
      <c r="C11" s="5" t="inlineStr">
        <is>
          <t>【解説】検査用の正規トークンが漏れても実データに一切届かないようにする強化策。認証基盤（Keycloak）側に「検査専用テナント/合成データしか読めないスコープ」を作ってもらう必要がある（現在はスコープ A=全 API 読み取り専用で開始）。【回答】認証基盤チームへの引き渡し事項。依頼日と回答を記入: ＿＿</t>
        </is>
      </c>
      <c r="D11" s="5" t="n"/>
      <c r="E11" s="5" t="n"/>
    </row>
    <row r="12" ht="126" customHeight="1" s="134">
      <c r="A12" s="5" t="inlineStr">
        <is>
          <t>M-Q-11-5</t>
        </is>
      </c>
      <c r="B12" s="5" t="inlineStr">
        <is>
          <t>検査 識別ヘッダの WAF 許可ルールを境界管理側（ネットワーク監査アカウント）へ依頼・合意。M-Q-10-3（NW-2 例外承認）と同じ相手のため同梱で調整可</t>
        </is>
      </c>
      <c r="C12" s="5" t="inlineStr">
        <is>
          <t>【解説】検査はインバウンド境界の WAF を通過するため、WAF（Bot Control / ジオ制限等）が 検査 自体を 403 でブロックすると、認証レイヤーに到達していないのに「401/403 = 認証は正常」と誤判定する（偽陰性）、または「認証逆転 CRITICAL」と誤報する。対策として 検査に固定の識別ヘッダ（例 X-Auth-Probe）を付け、各アプリの WAF でレート／Bot Control ルールの対象外とする許可ルールを境界管理側に入れてもらう必要がある。M-Q-10-3（NW-2 例外承認）と依頼先が同じため同梱で調整できる。【回答】依頼・合意タスク。依頼日と合意内容を記入: ＿＿</t>
        </is>
      </c>
      <c r="D12" s="5" t="n"/>
      <c r="E12" s="5" t="n"/>
    </row>
    <row r="13" ht="84" customHeight="1" s="134">
      <c r="A13" s="5" t="inlineStr">
        <is>
          <t>M-Q-12-1</t>
        </is>
      </c>
      <c r="B13" s="5" t="inlineStr">
        <is>
          <t>alertRouting を全アプリ個別指定か、env 既定 + 上書きか</t>
        </is>
      </c>
      <c r="C13" s="5" t="inlineStr">
        <is>
          <t>【解説】alertRouting とは「このアプリのアラートをどのチーム（SNS トピック）に届けるか」の宛先設定（台帳の 1 項目）。設定が無いアプリは全社デフォルトのトピックに届く 2 段構え。全アプリに個別設定を必須にするか、デフォルト運用で始めるかの選択。【選択肢】a) 全社デフォルトで開始し、必要なアプリだけ個別設定（★・運用が軽い）/ b) 全アプリ個別設定を必須にする（宛先は正確だが登録運用が重い）【→ 回答: ＿＿】</t>
        </is>
      </c>
      <c r="D13" s="5" t="n"/>
      <c r="E13" s="5" t="n"/>
    </row>
    <row r="14" ht="63" customHeight="1" s="134">
      <c r="A14" s="5" t="inlineStr">
        <is>
          <t>M-Q-12-2</t>
        </is>
      </c>
      <c r="B14" s="5" t="inlineStr">
        <is>
          <t>バケットのバックアップ方針（Versioning は有効。加えてレプリケーション要否）</t>
        </is>
      </c>
      <c r="C14" s="5" t="inlineStr">
        <is>
          <t>【解説】台帳と spec を置く S3 バケットの保全レベル。Versioning（誤更新を履歴から戻せる）は有効済み。加えて別リージョンへの複製（レプリケーション）まで要るか。データは巡回で再生成可能なため失っても再構築できる。【選択肢】a) Versioning のみ（★）/ b) クロスリージョンレプリケーションも追加　【→ 回答: ＿＿】</t>
        </is>
      </c>
      <c r="D14" s="5" t="n"/>
      <c r="E14" s="5" t="n"/>
    </row>
    <row r="15" ht="42" customHeight="1" s="134">
      <c r="A15" s="5" t="inlineStr">
        <is>
          <t>M-Q-12-3</t>
        </is>
      </c>
      <c r="B15" s="5" t="inlineStr">
        <is>
          <t>probe lib lib/registry.js の S3 対応改修（DynamoDB Scan → S3 List/Get。M-Q-17-4 対象検索 Lambda 実装と同時に）+ 手動更新との競合対策（ETag 条件付き PUT）</t>
        </is>
      </c>
      <c r="C15" s="5" t="inlineStr">
        <is>
          <t>【解説】実装済みコード registry.js が旧 DynamoDB 読み取りのままで、S3 台帳への切替改修が必要。【回答】決定不要（実装タスク。対象検索 Lambda 実装 M-Q-17-4 と同時に対応）。</t>
        </is>
      </c>
      <c r="D15" s="5" t="n"/>
      <c r="E15" s="5" t="n"/>
    </row>
    <row r="16" ht="63" customHeight="1" s="134">
      <c r="A16" s="5" t="inlineStr">
        <is>
          <t>M-Q-13-2</t>
        </is>
      </c>
      <c r="B16" s="5" t="inlineStr">
        <is>
          <t>S3 Object Lock（改ざん防止）の要否</t>
        </is>
      </c>
      <c r="C16" s="5" t="inlineStr">
        <is>
          <t>【解説】S3 Object Lock = 一定期間削除・上書きを不可能にする改ざん防止機能。監査証跡レベルの保全が必要かどうか。台帳・spec は運用データであり Versioning で通常は十分。【選択肢】a) 不要（Versioning で足りる ★）/ b) 必要（監査要件がある場合）【→ 回答: ＿＿】</t>
        </is>
      </c>
      <c r="D16" s="5" t="n"/>
      <c r="E16" s="5" t="n"/>
    </row>
    <row r="17" ht="42" customHeight="1" s="134">
      <c r="A17" s="5" t="inlineStr">
        <is>
          <t>M-Q-13-3</t>
        </is>
      </c>
      <c r="B17" s="5" t="inlineStr">
        <is>
          <t>検査の S3Client に forcePathStyle 相当のテスト用オプションを持たせるか（本番不要）</t>
        </is>
      </c>
      <c r="C17" s="5" t="inlineStr">
        <is>
          <t>【解説】ローカルテスト環境（LocalStack）専用の接続オプションをコードに持たせるかという実装細目。本番動作には無関係。【回答】決定不要（実装時に判断）。</t>
        </is>
      </c>
      <c r="D17" s="5" t="n"/>
      <c r="E17" s="5" t="n"/>
    </row>
    <row r="18" ht="42" customHeight="1" s="134">
      <c r="A18" s="5" t="inlineStr">
        <is>
          <t>M-Q-14-1</t>
        </is>
      </c>
      <c r="B18" s="5" t="inlineStr">
        <is>
          <t>SigV4 Positive / Cookie Positive / cleanup 実行の実装（Phase 2）</t>
        </is>
      </c>
      <c r="C18" s="5" t="inlineStr">
        <is>
          <t>【解説】M-Q-11-2 / 11-3 と同じ Phase 2 実装群（SigV4 検査・Cookie ログイン検査・検査後のデータ後始末処理）。【回答】決定不要（Phase 2 実装タスク）。</t>
        </is>
      </c>
      <c r="D18" s="5" t="n"/>
      <c r="E18" s="5" t="n"/>
    </row>
    <row r="19" ht="21" customHeight="1" s="134">
      <c r="A19" s="5" t="inlineStr">
        <is>
          <t>M-Q-14-2</t>
        </is>
      </c>
      <c r="B19" s="5" t="inlineStr">
        <is>
          <t>Multilocation（DR region replica）採否（Central 障害耐性）</t>
        </is>
      </c>
      <c r="C19" s="5" t="inlineStr">
        <is>
          <t>【解説】M-Q-10-1 と同一論点（重複）。回答は M-Q-10-1 に合わせる。【→ 回答: M-Q-10-1 と同じ】</t>
        </is>
      </c>
      <c r="D19" s="5" t="n"/>
      <c r="E19" s="5" t="n"/>
    </row>
    <row r="20" ht="42" customHeight="1" s="134">
      <c r="A20" s="5" t="inlineStr">
        <is>
          <t>M-Q-14-3</t>
        </is>
      </c>
      <c r="B20" s="5" t="inlineStr">
        <is>
          <t>authPattern 追加時の probe.js 拡張方針</t>
        </is>
      </c>
      <c r="C20" s="5" t="inlineStr">
        <is>
          <t>【解説】将来、新しい認証方式（authPattern）が増えたときに検査コードをどう拡張するかの方針メモ。【回答】決定不要（実装ガイドラインとして実装時に整備）。</t>
        </is>
      </c>
      <c r="D20" s="5" t="n"/>
      <c r="E20" s="5" t="n"/>
    </row>
    <row r="21" ht="63" customHeight="1" s="134">
      <c r="A21" s="5" t="inlineStr">
        <is>
          <t>M-Q-15-1</t>
        </is>
      </c>
      <c r="B21" s="5" t="inlineStr">
        <is>
          <t>SNS の先（PagerDuty / Slack / メール）の接続方式</t>
        </is>
      </c>
      <c r="C21" s="5" t="inlineStr">
        <is>
          <t>【解説】アラートの最終到達先。SNS トピックまでは設計済みで、その先を何に繋ぐか。P1=重大（認証漏れ・即時対応）、P2=構成系（24h）、P3=アプリ通知。【選択肢】a) P1=Slack+メール、P2/P3=Slack（Chatbot 連携）/ b) 全部メール（暫定回答済み ★）/ c) P1 のみ PagerDuty 等のオンコールツール　【→ 回答: ＿＿】</t>
        </is>
      </c>
      <c r="D21" s="5" t="n"/>
      <c r="E21" s="5" t="n"/>
    </row>
    <row r="22" ht="63" customHeight="1" s="134">
      <c r="A22" s="5" t="inlineStr">
        <is>
          <t>M-Q-15-2</t>
        </is>
      </c>
      <c r="B22" s="5" t="inlineStr">
        <is>
          <t>P1 の自動 deny / rollback 連動の要否</t>
        </is>
      </c>
      <c r="C22" s="5" t="inlineStr">
        <is>
          <t>【解説】P1（認証漏れ）検知時に、通知だけでなく自動で API を遮断・ロールバックまでするか。誤検知時に正常なサービスを止めるリスクとのトレードオフ。【選択肢】a) Phase 1 は通知まで。遮断は手動 Runbook（★）/ b) 自動遮断を検討する　【→ 回答: ＿＿】</t>
        </is>
      </c>
      <c r="D22" s="5" t="n"/>
      <c r="E22" s="5" t="n"/>
    </row>
    <row r="23" ht="63" customHeight="1" s="134">
      <c r="A23" s="5" t="inlineStr">
        <is>
          <t>M-Q-15-3</t>
        </is>
      </c>
      <c r="B23" s="5" t="inlineStr">
        <is>
          <t>誤検知抑制（同一 endpoint の連続アラート抑制 / 重複抑制）</t>
        </is>
      </c>
      <c r="C23" s="5" t="inlineStr">
        <is>
          <t>【解説】同じ認証漏れが直らない間、1 時間ごとの巡回のたびに同じアラートが再送される。同一内容を一定時間抑制（重複抑制）するか。【選択肢】a) 同一 アプリ×endpoint×重大度 は 24h 抑制 / b) 抑制なし（毎回発報）/ 補足: 通知先チームの希望も影響するため要ヒアリング（暫定: ヒアリング後に決定 ★）【→ 回答: ＿＿】</t>
        </is>
      </c>
      <c r="D23" s="5" t="n"/>
      <c r="E23" s="5" t="n"/>
    </row>
    <row r="24" ht="63" customHeight="1" s="134">
      <c r="A24" s="5" t="inlineStr">
        <is>
          <t>M-Q-16-1</t>
        </is>
      </c>
      <c r="B24" s="5" t="inlineStr">
        <is>
          <t>DiscoveryReadRole の配布対象範囲</t>
        </is>
      </c>
      <c r="C24" s="5" t="inlineStr">
        <is>
          <t>【解説】読み取りロール（DiscoveryReadRole）を StackSets でどの範囲のアカウントに配るか。M-Q-17-2 の巡回対象範囲と同じ回答になる。【選択肢】a) アプリ系 OU のみ（★・暫定回答済み）/ b) Organizations 全体 / c) 明示リスト　【→ 回答: ＿＿】</t>
        </is>
      </c>
      <c r="D24" s="5" t="n"/>
      <c r="E24" s="5" t="n"/>
    </row>
    <row r="25" ht="42" customHeight="1" s="134">
      <c r="A25" s="5" t="inlineStr">
        <is>
          <t>M-Q-16-2</t>
        </is>
      </c>
      <c r="B25" s="5" t="inlineStr">
        <is>
          <t>対象検索 Lambda の並列度・スロットリング（アカウント数増加時の API コール制御）</t>
        </is>
      </c>
      <c r="C25" s="5" t="inlineStr">
        <is>
          <t>【解説】アカウント数が増えたときの巡回 API 呼び出しの流量制御（並列数・リトライ）。【回答】決定不要（実装タスク）。</t>
        </is>
      </c>
      <c r="D25" s="5" t="n"/>
      <c r="E25" s="5" t="n"/>
    </row>
    <row r="26" ht="84" customHeight="1" s="134">
      <c r="A26" s="5" t="inlineStr">
        <is>
          <t>M-Q-17-1</t>
        </is>
      </c>
      <c r="B26" s="5" t="inlineStr">
        <is>
          <t>SCP 強制（製品外の API GW 作成・変更禁止）の採否 — コンソール直変更を入口で塞ぐ鍵（deploymentId 併読廃止により重要度上昇）</t>
        </is>
      </c>
      <c r="C26" s="5" t="inlineStr">
        <is>
          <t>【解説】Service Catalog 製品を通さない API GW の直接作成・変更を SCP（組織ポリシー）で禁止するか。禁止すれば「変更は必ず git 経由」になり、git 監視の唯一の穴（コンソール直変更）を入口で塞げる。ただし全社 SCP は調整コストが大きい。【選択肢】a) Phase 1 から導入 / b) Phase 2 で導入。まず Config Rules+全量検査（モード2）で運用（★・暫定回答済み）/ c) 導入しない　【→ 回答: ＿＿】</t>
        </is>
      </c>
      <c r="D26" s="5" t="n"/>
      <c r="E26" s="5" t="n"/>
    </row>
    <row r="27" ht="105" customHeight="1" s="134">
      <c r="A27" s="5" t="inlineStr">
        <is>
          <t>M-Q-17-2</t>
        </is>
      </c>
      <c r="B27" s="5" t="inlineStr">
        <is>
          <t>対象アカウントの範囲指定（Organizations 全体 / 特定 OU / 明示リスト）</t>
        </is>
      </c>
      <c r="C27" s="5" t="inlineStr">
        <is>
          <t>【解説】巡回がどうやって対象アカウント一覧を得るか。技術制約: アカウント一覧 API（ListAccounts）は Organizations 管理アカウントでしか呼べないため、方式は 2 択。【選択肢】a) 管理アカウントに一覧取得用の読み取りロールを置き AssumeRole（新規アカウント自動追随 ★・暫定回答済み）/ b) 静的リスト（SSM に手動管理。管理アカウントに触らない代わり追加時に手作業）。あわせて範囲: アプリ系 OU のみ（暫定回答済み）/ 全体 / 明示リスト　【→ 回答: 方式＿＿・範囲＿＿】</t>
        </is>
      </c>
      <c r="D27" s="5" t="n"/>
      <c r="E27" s="5" t="n"/>
    </row>
    <row r="28" ht="84" customHeight="1" s="134">
      <c r="A28" s="5" t="inlineStr">
        <is>
          <t>M-Q-17-3</t>
        </is>
      </c>
      <c r="B28" s="5" t="inlineStr">
        <is>
          <t>「認証構成情報が上がってくるはずなのに無い」の突合方法（API 提供契約リスト / タグ / Service Catalog launch 実績のどれと突合するか）と staleness 閾値（仮 90 日）</t>
        </is>
      </c>
      <c r="C28" s="5" t="inlineStr">
        <is>
          <t>【解説】「監視対象アプリのリポジトリ」を名前で見分ける規約（例: *-api で終わる）を決めるか。規約があると「API リポジトリなのに monitoring.yaml を置き忘れている」を検出してアラートできる。規約が無いと置き忘れ＝監視されないまま気付けない。【選択肢】a) 命名規約を採用（例 *-api。★・暫定回答済み。具体的な命名パターンを記入）/ b) 規約なし　【→ 回答: ＿＿ / 命名パターン: ＿＿】</t>
        </is>
      </c>
      <c r="D28" s="5" t="n"/>
      <c r="E28" s="5" t="n"/>
    </row>
    <row r="29" ht="42" customHeight="1" s="134">
      <c r="A29" s="5" t="inlineStr">
        <is>
          <t>M-Q-17-4</t>
        </is>
      </c>
      <c r="B29" s="5" t="inlineStr">
        <is>
          <t>対象検索 Lambda の実装 + PoC（Phase 3/4。S3 List/GetObject のページング・VersionId 比較・アカウント横断のレート制御）</t>
        </is>
      </c>
      <c r="C29" s="5" t="inlineStr">
        <is>
          <t>【解説】中核コンポーネント「対象検索 Lambda」の実装と PoC。設計は確定済みで残るは実装のみ。【回答】決定不要（Phase 3/4 実装タスク）。</t>
        </is>
      </c>
      <c r="D29" s="5" t="n"/>
      <c r="E29" s="5" t="n"/>
    </row>
    <row r="30" ht="63" customHeight="1" s="134">
      <c r="A30" s="5" t="inlineStr">
        <is>
          <t>M-Q-17-5</t>
        </is>
      </c>
      <c r="B30" s="5" t="inlineStr">
        <is>
          <t>消滅検知（enabled=false 化）とアプリ廃止手続きの運用整合</t>
        </is>
      </c>
      <c r="C30" s="5" t="inlineStr">
        <is>
          <t>【解説】アプリ廃止時の流れ。リポジトリ削除を巡回が検知→監視停止(enabled=false)+棚卸しアラート→人が確認して台帳から削除、という運用で良いか。【回答例】「検知→enabled=false→30 日棚卸し→手動削除」を標準運用とする。【→ 回答: ＿＿】</t>
        </is>
      </c>
      <c r="D30" s="5" t="n"/>
      <c r="E30" s="5" t="n"/>
    </row>
    <row r="31" ht="63" customHeight="1" s="134">
      <c r="A31" s="5" t="inlineStr">
        <is>
          <t>M-Q-17-6</t>
        </is>
      </c>
      <c r="B31" s="5" t="inlineStr">
        <is>
          <t>認証構成情報 openapi.yaml と本番デプロイの設定ずれ検出（全量検査（モード2、日次）の実測 404 で顕在化はするが、能動検出の要否）</t>
        </is>
      </c>
      <c r="C31" s="5" t="inlineStr">
        <is>
          <t>【解説】リポジトリの API 仕様書と本番の実態のズレ（デプロイ忘れ等）を、能動的に突合して検出するか。現状でも検査時に 404/警告として自然に表面化する。【選択肢】a) 能動検出しない（実測での顕在化に任せる ★）/ b) 全量検査（モード2）実行時に本番 API 定義と突合する　【→ 回答: ＿＿】</t>
        </is>
      </c>
      <c r="D31" s="5" t="n"/>
      <c r="E31" s="5" t="n"/>
    </row>
    <row r="32" ht="84" customHeight="1" s="134">
      <c r="A32" s="5" t="inlineStr">
        <is>
          <t>M-Q-17-7</t>
        </is>
      </c>
      <c r="B32" s="5" t="inlineStr">
        <is>
          <t>責任分界の顧客・ベンダー合意: 認証構成情報アップロード漏れ・内容誤りは原則アプリ責任（中央は補助検知のみ）とする条項。告知資料・契約への反映</t>
        </is>
      </c>
      <c r="C32" s="5" t="inlineStr">
        <is>
          <t>【解説】外部ベンダーの CI 内部は中央から統制できないため、「認証構成情報が正しく上がっていること」の保証責任はアプリ（ベンダー）側に置く設計になっている。中央は staleness 検知（認証構成情報の最終更新が閾値超）・月次棚卸し・日次の全量検査で補助するのみ。この分界を顧客・ベンダーと合意し、告知資料と契約条項に落とす必要がある。【回答】合意取得タスク。合意日と反映先を記入: ＿＿</t>
        </is>
      </c>
      <c r="D32" s="5" t="n"/>
      <c r="E32" s="5" t="n"/>
    </row>
    <row r="33" ht="105" customHeight="1" s="134">
      <c r="A33" s="5" t="inlineStr">
        <is>
          <t>M-Q-17-8</t>
        </is>
      </c>
      <c r="B33" s="5" t="inlineStr">
        <is>
          <t>認証構成情報連携バケットの命名規約・暗号化方式（SSE-S3/KMS）・旧版ライフサイクル（保持期間）</t>
        </is>
      </c>
      <c r="C33" s="5" t="inlineStr">
        <is>
          <t>【解説】認証構成情報連携バケットは StackSets で全 App アカウントに配布するため、命名規約（例 auth-monitoring-artifacts-{accountId}）を固定しないと対象検索 Lambda が ARN を機械的に組み立てられない。あわせて暗号化方式と、Versioning で増える旧版の保持期間を決める。【選択肢】命名: a) auth-monitoring-artifacts-{accountId}（★・機械組み立て可）/ 暗号化: a) SSE-S3（★・費用ゼロ）/ b) SSE-KMS / 旧版保持: 例 90 日 【→ 回答: ＿＿】</t>
        </is>
      </c>
      <c r="D33" s="5" t="n"/>
      <c r="E33" s="5" t="n"/>
    </row>
    <row r="34" ht="63" customHeight="1" s="134">
      <c r="A34" s="5" t="inlineStr">
        <is>
          <t>M-Q-18-1（解消）</t>
        </is>
      </c>
      <c r="B34" s="5" t="inlineStr">
        <is>
          <t>【解消 2026-08-20】heartbeat 型検査（旧 M2）の重要 endpoint 定義 → heartbeat 型の廃止（D-M-18-3）により、重要 endpoint の定義自体が不要になった</t>
        </is>
      </c>
      <c r="C34" s="5" t="inlineStr">
        <is>
          <t>【解説】旧「将来モード」の話。シグナルなしの変化は全量検査（モード2）の日次定期実行が最大 24 時間で受け、設定レベルの即時性は Config Rules（L2）が受け持つ形に整理された。【→ 回答不要（解消済み）】</t>
        </is>
      </c>
      <c r="D34" s="5" t="n"/>
      <c r="E34" s="5" t="n"/>
    </row>
    <row r="35" ht="42" customHeight="1" s="134">
      <c r="A35" s="5" t="inlineStr">
        <is>
          <t>M-Q-18-3</t>
        </is>
      </c>
      <c r="B35" s="5" t="inlineStr">
        <is>
          <t>全量検査（モード2） 手動実行の権限・実行者（共通基盤チームのみか、アプリチームも自アプリを回せるか）</t>
        </is>
      </c>
      <c r="C35" s="5" t="inlineStr">
        <is>
          <t>【解説】手動フル監査（全量検査（モード2））を実行できる人の範囲。【選択肢】a) 共通基盤チームのみ（★・暫定回答済み）/ b) アプリチームも自アプリ分のみ実行可　【→ 回答: ＿＿】</t>
        </is>
      </c>
      <c r="D35" s="5" t="n"/>
      <c r="E35" s="5" t="n"/>
    </row>
    <row r="36" ht="84" customHeight="1" s="134">
      <c r="A36" s="5" t="inlineStr">
        <is>
          <t>RC-Q-1</t>
        </is>
      </c>
      <c r="B36" s="5" t="inlineStr">
        <is>
          <t>App アカウント側費用（RC-12/13）の按分整理 — 課金ガイドへの記載方法</t>
        </is>
      </c>
      <c r="C36" s="5" t="inlineStr">
        <is>
          <t>【解説】App アカウント側費用（RC-12/13）の按分整理 — 課金ガイドへの記載方法。監視のために App アカウント側で発生する費用は Config Rules（RC-12）と 認証構成情報連携バケット（RC-13、S3）の 2 件で、これを「監視のための共通負担」として課金按分の説明に明記する必要がある（出典: 16_ランニング費用 シート）。【→ 回答: ＿＿】</t>
        </is>
      </c>
      <c r="D36" s="5" t="n"/>
      <c r="E36" s="5" t="n"/>
    </row>
    <row r="37" ht="63" customHeight="1" s="134">
      <c r="A37" s="5" t="inlineStr">
        <is>
          <t>RC-Q-2</t>
        </is>
      </c>
      <c r="B37" s="5" t="inlineStr">
        <is>
          <t>全量検査（モード2）の定期実行頻度（月次推奨 / 四半期 / 監査時のみ）— OP-3 と連動</t>
        </is>
      </c>
      <c r="C37" s="5" t="inlineStr">
        <is>
          <t>【解説】全量検査（モード2）の定期実行頻度（月次推奨 / 四半期 / 監査時のみ）— OP-3 と連動。運用工数 OP-3（全量検査（モード2）実行 1.0h/回）の月換算に直結する（出典: 16_ランニング費用 / 17_運用工数 シート）。【選択肢】a) 月次（★・現行の見積もり前提）/ b) 四半期 / c) 監査時のみ 【→ 回答: ＿＿】</t>
        </is>
      </c>
      <c r="D37" s="5" t="n"/>
      <c r="E37" s="5" t="n"/>
    </row>
    <row r="38" ht="84" customHeight="1" s="134">
      <c r="A38" s="5" t="inlineStr">
        <is>
          <t>RC-Q-3</t>
        </is>
      </c>
      <c r="B38" s="5" t="inlineStr">
        <is>
          <t>認証構成情報配置バケット の暗号化方式（SSE-S3 / SSE-KMS）— RC-14 の要否</t>
        </is>
      </c>
      <c r="C38" s="5" t="inlineStr">
        <is>
          <t>【解説】認証構成情報配置バケット の暗号化方式（SSE-S3 / SSE-KMS）— RC-14 の要否。SSE-S3 なら KMS 費用は不要、CMK 1 本なら $1/月 + リクエスト料が発生する。決定は基盤 IaC の A 系タスクに従う（出典: 16_ランニング費用 シート）。【選択肢】a) SSE-S3（★・費用ゼロ）/ b) SSE-KMS（CMK 管理が必要な場合）【→ 回答: ＿＿】</t>
        </is>
      </c>
      <c r="D38" s="5" t="n"/>
      <c r="E38" s="5" t="n"/>
    </row>
    <row r="39" ht="63" customHeight="1" s="134">
      <c r="A39" s="5" t="inlineStr">
        <is>
          <t>RC-Q-4</t>
        </is>
      </c>
      <c r="B39" s="5" t="inlineStr">
        <is>
          <t>ログ保持期間の本決め（A 系タスクで設定。RC-10 の保存費に影響）</t>
        </is>
      </c>
      <c r="C39" s="5" t="inlineStr">
        <is>
          <t>【解説】ログ保持期間の本決め（A 系タスクで設定。RC-10 の保存費に影響）。3 Lambda のロググループの保持期間を明示設定する（未定なら 90 日仮置き）。組織標準値がある場合はそれに従う（出典: 16_ランニング費用 シート）。【→ 回答: ＿＿】</t>
        </is>
      </c>
      <c r="D39" s="5" t="n"/>
      <c r="E39" s="5" t="n"/>
    </row>
    <row r="40" ht="63" customHeight="1" s="134">
      <c r="A40" s="5" t="inlineStr">
        <is>
          <t>OP-Q-1</t>
        </is>
      </c>
      <c r="B40" s="5" t="inlineStr">
        <is>
          <t>導入期 3 か月後の実績による頻度・工数の v2 改訂（レビュー日を運用カレンダーに登録）</t>
        </is>
      </c>
      <c r="C40" s="5" t="inlineStr">
        <is>
          <t>【解説】導入期 3 か月後の実績による頻度・工数の v2 改訂（レビュー日を運用カレンダーに登録）。運用工数の半分は発生ベースで、想定件数は運用実績で必ずブレるため、実測して見積もりを改訂する（出典: 17_運用工数 シート）。【→ 回答: レビュー日＿＿】</t>
        </is>
      </c>
      <c r="D40" s="5" t="n"/>
      <c r="E40" s="5" t="n"/>
    </row>
    <row r="41" ht="63" customHeight="1" s="134">
      <c r="A41" s="5" t="inlineStr">
        <is>
          <t>OP-Q-2</t>
        </is>
      </c>
      <c r="B41" s="5" t="inlineStr">
        <is>
          <t>P1 の対応 SLA（一次切り分け・アプリ通知・暫定遮断の各期限）— セキュリティチームと合意要</t>
        </is>
      </c>
      <c r="C41" s="5" t="inlineStr">
        <is>
          <t>【解説】P1 の対応 SLA（一次切り分け・アプリ通知・暫定遮断の各期限）— セキュリティチームと合意要。P1 は件数こそ少ないが対応期限が最も厳しく、Runbook ① の一次切り分けは 30 分以内を目標としている（出典: 17_運用工数 シート）。【→ 回答: ＿＿】</t>
        </is>
      </c>
      <c r="D41" s="5" t="n"/>
      <c r="E41" s="5" t="n"/>
    </row>
    <row r="42" ht="63" customHeight="1" s="134">
      <c r="A42" s="5" t="inlineStr">
        <is>
          <t>OP-Q-3</t>
        </is>
      </c>
      <c r="B42" s="5" t="inlineStr">
        <is>
          <t>月次サマリレポート（検知件数・対応状況）の要否と宛先 — 不要なら OP に追加なし、必要なら +1h/月</t>
        </is>
      </c>
      <c r="C42" s="5" t="inlineStr">
        <is>
          <t>【解説】月次サマリレポート（検知件数・対応状況）の要否と宛先 — 不要なら OP に追加なし、必要なら +1h/月（出典: 17_運用工数 シート）。【選択肢】a) 不要（★・工数増なし）/ b) 必要（+1h/月。宛先を記入）【→ 回答: ＿＿】</t>
        </is>
      </c>
      <c r="D42" s="5" t="n"/>
      <c r="E42" s="5" t="n"/>
    </row>
    <row r="43" ht="63" customHeight="1" s="134">
      <c r="A43" s="5" t="inlineStr">
        <is>
          <t>OP-Q-4</t>
        </is>
      </c>
      <c r="B43" s="5" t="inlineStr">
        <is>
          <t>拡大時（10 アプリ超）の体制見直しトリガー（件数 or 工数の閾値）</t>
        </is>
      </c>
      <c r="C43" s="5" t="inlineStr">
        <is>
          <t>【解説】拡大時（10 アプリ超）の体制見直しトリガー（件数 or 工数の閾値）。30 アプリ時は月 55h（0.34 FTE）の想定で、どの水準で増員・専任化を検討するかを決めておく（出典: 17_運用工数 シート）。【→ 回答: ＿＿】</t>
        </is>
      </c>
      <c r="D43" s="5" t="n"/>
      <c r="E43" s="5" t="n"/>
    </row>
    <row r="47">
      <c r="A47" s="7" t="inlineStr">
        <is>
          <t>解決済み（参照用）</t>
        </is>
      </c>
    </row>
    <row r="48">
      <c r="A48" s="77" t="inlineStr">
        <is>
          <t>ID</t>
        </is>
      </c>
      <c r="B48" s="77" t="inlineStr">
        <is>
          <t>内容</t>
        </is>
      </c>
      <c r="C48" s="77" t="inlineStr">
        <is>
          <t>結論</t>
        </is>
      </c>
      <c r="D48" s="78" t="n"/>
    </row>
    <row r="49" ht="21" customHeight="1" s="134">
      <c r="A49" s="5" t="inlineStr">
        <is>
          <t>M-Q-18-2</t>
        </is>
      </c>
      <c r="B49" s="5" t="inlineStr">
        <is>
          <t>自動差分検査（モード1） トリガの確定</t>
        </is>
      </c>
      <c r="C49" s="5" t="inlineStr">
        <is>
          <t>解決: 中央巡回（pull、1h）に統一（ADR-061）</t>
        </is>
      </c>
      <c r="D49" s="50" t="n"/>
    </row>
    <row r="50" ht="42" customHeight="1" s="134">
      <c r="A50" s="5" t="inlineStr">
        <is>
          <t>M-Q-18-4</t>
        </is>
      </c>
      <c r="B50" s="5" t="inlineStr">
        <is>
          <t>モノリスの変更を 全量検査（モード2）で補う</t>
        </is>
      </c>
      <c r="C50" s="5" t="inlineStr">
        <is>
          <t>解消: git 巡回でモノリスも自動発見・自動検知。全量検査（モード2）の役割は「git に現れない変更（コンソール直変更等）の網羅確認」に純化</t>
        </is>
      </c>
      <c r="D50" s="50" t="n"/>
    </row>
    <row r="51" ht="42" customHeight="1" s="134">
      <c r="A51" s="5" t="inlineStr">
        <is>
          <t>M-Q-11-1</t>
        </is>
      </c>
      <c r="B51" s="5" t="inlineStr">
        <is>
          <t>検査 頻度（5min / 15min）とコストのバランス</t>
        </is>
      </c>
      <c r="C51" s="5" t="inlineStr">
        <is>
          <t>解決: 自動差分検査（モード1）=巡回差分（1h）/ 全量検査（モード2）=手動の 2 モードに再設計済みで、定期 検査 自体が存在しない（ADR-061）</t>
        </is>
      </c>
    </row>
    <row r="52" ht="21" customHeight="1" s="134">
      <c r="A52" s="5" t="inlineStr">
        <is>
          <t>M-Q-13-1</t>
        </is>
      </c>
      <c r="B52" s="5" t="inlineStr">
        <is>
          <t>OpenAPI を持たないレガシー API の扱い</t>
        </is>
      </c>
      <c r="C52" s="5" t="inlineStr">
        <is>
          <t>解消: monitoring.yaml に endpoint リストを直接列挙して代替可</t>
        </is>
      </c>
    </row>
    <row r="53" ht="42" customHeight="1" s="134">
      <c r="A53" s="5" t="inlineStr">
        <is>
          <t>M-Q-18-5</t>
        </is>
      </c>
      <c r="B53" s="5" t="inlineStr">
        <is>
          <t>前提規模の確定（対象アカウント数等）</t>
        </is>
      </c>
      <c r="C53" s="5" t="inlineStr">
        <is>
          <t>解決: Phase 1 の対象は約 3 アカウント。対象検索 Lambda は単一実行で Lambda 15 分制限に十分な余裕があり、分割起動 分割への移行は不要（規模拡大時に再評価）</t>
        </is>
      </c>
    </row>
    <row r="54" ht="168" customHeight="1" s="134">
      <c r="A54" s="68" t="inlineStr">
        <is>
          <t>注記: 文書情報の作成者・承認者、改訂履歴の担当、および本シートの担当・期限は未定のため空欄とする（記入用）。</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23"/>
  <sheetViews>
    <sheetView workbookViewId="0">
      <selection activeCell="C36" sqref="C36"/>
    </sheetView>
  </sheetViews>
  <sheetFormatPr baseColWidth="10" defaultRowHeight="18"/>
  <cols>
    <col width="42.85546875" customWidth="1" style="120" min="1" max="1"/>
    <col width="74.28515625" customWidth="1" style="120" min="2" max="2"/>
    <col width="37.140625" customWidth="1" style="120" min="3" max="3"/>
    <col width="14.28515625" customWidth="1" style="120" min="4" max="4"/>
    <col width="42.85546875" customWidth="1" style="120" min="5" max="5"/>
    <col width="10.7109375" customWidth="1" style="2" min="6" max="16384"/>
  </cols>
  <sheetData>
    <row r="1" ht="27" customHeight="1" s="134">
      <c r="A1" s="1" t="inlineStr">
        <is>
          <t>関連文書</t>
        </is>
      </c>
    </row>
    <row r="2" ht="42" customHeight="1" s="134">
      <c r="A2" s="39" t="inlineStr">
        <is>
          <t>参照元資料のタイトル・所在・パスは「13_出典一覧」シートにまとめる。</t>
        </is>
      </c>
    </row>
    <row r="4">
      <c r="A4" s="7" t="inlineStr">
        <is>
          <t>1. ADR（設計判断の経緯。本文では番号参照のみとし、内容は転記しない）</t>
        </is>
      </c>
    </row>
    <row r="5">
      <c r="A5" s="4" t="inlineStr">
        <is>
          <t>ADR</t>
        </is>
      </c>
      <c r="B5" s="4" t="inlineStr">
        <is>
          <t>タイトル</t>
        </is>
      </c>
      <c r="C5" s="4" t="inlineStr">
        <is>
          <t>本書での扱い</t>
        </is>
      </c>
    </row>
    <row r="6" ht="21" customHeight="1" s="134">
      <c r="A6" s="5" t="inlineStr">
        <is>
          <t>ADR-061</t>
        </is>
      </c>
      <c r="B6" s="5" t="inlineStr">
        <is>
          <t>デプロイ検知の pull 型統一</t>
        </is>
      </c>
      <c r="C6" s="5" t="inlineStr">
        <is>
          <t>参照のみ（番号参照）</t>
        </is>
      </c>
    </row>
    <row r="7" ht="21" customHeight="1" s="134">
      <c r="A7" s="5" t="inlineStr">
        <is>
          <t>ADR-059</t>
        </is>
      </c>
      <c r="B7" s="5" t="inlineStr">
        <is>
          <t>Central Auth Check Canary Architecture（Pattern β）</t>
        </is>
      </c>
      <c r="C7" s="5" t="inlineStr">
        <is>
          <t>参照のみ（番号参照）</t>
        </is>
      </c>
    </row>
    <row r="8" ht="21" customHeight="1" s="134">
      <c r="A8" s="5" t="inlineStr">
        <is>
          <t>ADR-039</t>
        </is>
      </c>
      <c r="B8" s="5" t="inlineStr">
        <is>
          <t>Centralized Network Account Edge Layer（インターネット境界 CloudFront + WAF）</t>
        </is>
      </c>
      <c r="C8" s="5" t="inlineStr">
        <is>
          <t>本文中で境界層の根拠として言及</t>
        </is>
      </c>
    </row>
    <row r="11" ht="21" customHeight="1" s="134">
      <c r="A11" s="9" t="inlineStr">
        <is>
          <t>2. 設計要素と実装物の対応</t>
        </is>
      </c>
    </row>
    <row r="12">
      <c r="A12" s="4" t="inlineStr">
        <is>
          <t>設計要素</t>
        </is>
      </c>
      <c r="B12" s="4" t="inlineStr">
        <is>
          <t>実装物</t>
        </is>
      </c>
      <c r="C12" s="4" t="inlineStr">
        <is>
          <t>状態</t>
        </is>
      </c>
    </row>
    <row r="13" ht="21" customHeight="1" s="134">
      <c r="A13" s="5" t="inlineStr">
        <is>
          <t>認証実装チェック（検査 / 分類 / 発行）</t>
        </is>
      </c>
      <c r="B13" s="5" t="inlineStr">
        <is>
          <t>central-probe-lib</t>
        </is>
      </c>
      <c r="C13" s="5" t="inlineStr">
        <is>
          <t>実装済み</t>
        </is>
      </c>
    </row>
    <row r="14" ht="21" customHeight="1" s="134">
      <c r="A14" s="5" t="inlineStr">
        <is>
          <t>アラート検知 Lambda</t>
        </is>
      </c>
      <c r="B14" s="5" t="inlineStr">
        <is>
          <t>alert-router-lambda</t>
        </is>
      </c>
      <c r="C14" s="5" t="inlineStr">
        <is>
          <t>実装済み</t>
        </is>
      </c>
    </row>
    <row r="15" ht="21" customHeight="1" s="134">
      <c r="A15" s="5" t="inlineStr">
        <is>
          <t>巡回発見（対象検索 Lambda）</t>
        </is>
      </c>
      <c r="B15" s="5" t="inlineStr">
        <is>
          <t>未実装（M-Q-17-4）</t>
        </is>
      </c>
      <c r="C15" s="5" t="inlineStr">
        <is>
          <t>未実装</t>
        </is>
      </c>
    </row>
    <row r="16" ht="21" customHeight="1" s="134">
      <c r="A16" s="5" t="inlineStr">
        <is>
          <t>App Registry（台帳 CRUD）</t>
        </is>
      </c>
      <c r="B16" s="5" t="inlineStr">
        <is>
          <t>app-registry-lambda（旧 push 型の参考実装。ロジックを対象検索 Lambda に流用予定）</t>
        </is>
      </c>
      <c r="C16" s="5" t="inlineStr">
        <is>
          <t>現行構成要素ではない</t>
        </is>
      </c>
    </row>
    <row r="17" ht="21" customHeight="1" s="134">
      <c r="A17" s="5" t="inlineStr">
        <is>
          <t>OpenAPI Registry（spec 取得）</t>
        </is>
      </c>
      <c r="B17" s="5" t="inlineStr">
        <is>
          <t>openapi-export-lambda（旧 push 型の参考実装。ロジックを対象検索 Lambda に流用予定）</t>
        </is>
      </c>
      <c r="C17" s="5" t="inlineStr">
        <is>
          <t>現行構成要素ではない</t>
        </is>
      </c>
    </row>
    <row r="18" ht="42" customHeight="1" s="134">
      <c r="A18" s="5" t="inlineStr">
        <is>
          <t>実行モード 自動差分検査（モード1） / 全量検査（モード2）</t>
        </is>
      </c>
      <c r="B18" s="5" t="inlineStr">
        <is>
          <t>検査 Lambda（central-probe-lib を Lambda ハンドラに転用）</t>
        </is>
      </c>
      <c r="C18" s="5" t="inlineStr">
        <is>
          <t>実装済み（対象検索 Lambda 連携は未実装）</t>
        </is>
      </c>
    </row>
    <row r="19" ht="21" customHeight="1" s="134">
      <c r="A19" s="5" t="inlineStr">
        <is>
          <t>台帳アクセス（検査 側）</t>
        </is>
      </c>
      <c r="B19" s="5" t="inlineStr">
        <is>
          <t>central-probe-lib の lib/registry.js</t>
        </is>
      </c>
      <c r="C19" s="5" t="inlineStr">
        <is>
          <t>S3 改修待ち（M-Q-12-3）</t>
        </is>
      </c>
    </row>
    <row r="21">
      <c r="A21" s="79" t="inlineStr">
        <is>
          <t>3. 処理設計セクション（本ブック内）</t>
        </is>
      </c>
    </row>
    <row r="22">
      <c r="A22" s="4" t="inlineStr">
        <is>
          <t>文書</t>
        </is>
      </c>
      <c r="B22" s="4" t="inlineStr">
        <is>
          <t>所在</t>
        </is>
      </c>
      <c r="C22" s="4" t="inlineStr">
        <is>
          <t>内容</t>
        </is>
      </c>
    </row>
    <row r="23" ht="95" customHeight="1" s="134">
      <c r="A23" s="5" t="inlineStr">
        <is>
          <t>処理設計（本ブック内）</t>
        </is>
      </c>
      <c r="B23" s="5" t="inlineStr">
        <is>
          <t>本ブック シート 18〜52</t>
        </is>
      </c>
      <c r="C23" s="5" t="inlineStr">
        <is>
          <t>処理単位の I/O・シーケンス・例外・権限。SSOT は research/process-design-template.md、生成は tools/add_process_sheets_to_apipf.py + tools/process_catalog.py（再生成すると 18 以降の記入は消える）</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47"/>
  <sheetViews>
    <sheetView topLeftCell="A2" workbookViewId="0">
      <selection activeCell="D15" sqref="D15"/>
    </sheetView>
  </sheetViews>
  <sheetFormatPr baseColWidth="10" defaultRowHeight="18"/>
  <cols>
    <col width="20" customWidth="1" style="120" min="1" max="1"/>
    <col width="80" customWidth="1" style="120" min="2" max="2"/>
    <col width="47.140625" customWidth="1" style="120" min="3" max="3"/>
    <col width="67.140625" customWidth="1" style="120" min="4" max="4"/>
    <col width="42.85546875" customWidth="1" style="120" min="5" max="5"/>
    <col width="10.7109375" customWidth="1" style="2" min="6" max="16384"/>
  </cols>
  <sheetData>
    <row r="1" ht="27" customHeight="1" s="134">
      <c r="A1" s="1" t="inlineStr">
        <is>
          <t>出典一覧（本書の出典表記 ↔ 参照元ファイルの場所とパス）</t>
        </is>
      </c>
    </row>
    <row r="2" ht="168" customHeight="1" s="134">
      <c r="A2" s="39" t="inlineStr">
        <is>
          <t>本書（Excel）は認証実装確認処理の基本設計そのものであり、本文に出典表記は持たない。内容の元となった資料のタイトル・概要・所在は本シートにまとめ、必要時にたどれるようにする。</t>
        </is>
      </c>
    </row>
    <row r="4">
      <c r="A4" s="7" t="inlineStr">
        <is>
          <t>1. 参照元の所在</t>
        </is>
      </c>
    </row>
    <row r="5">
      <c r="A5" s="4" t="inlineStr">
        <is>
          <t>項目</t>
        </is>
      </c>
      <c r="B5" s="4" t="inlineStr">
        <is>
          <t>値</t>
        </is>
      </c>
    </row>
    <row r="6" ht="21" customHeight="1" s="134">
      <c r="A6" s="5" t="inlineStr">
        <is>
          <t>リポジトリ</t>
        </is>
      </c>
      <c r="B6" s="5" t="inlineStr">
        <is>
          <t>github.com/suepie/aws-atuh-poc</t>
        </is>
      </c>
    </row>
    <row r="7" ht="21" customHeight="1" s="134">
      <c r="A7" s="5" t="inlineStr">
        <is>
          <t>最新確認コミット</t>
        </is>
      </c>
      <c r="B7" s="5" t="inlineStr">
        <is>
          <t>d68d10f60ce1c35c084ef50b05d329a36d1cd0ca</t>
        </is>
      </c>
    </row>
    <row r="8" ht="21" customHeight="1" s="134">
      <c r="A8" s="5" t="inlineStr">
        <is>
          <t>確認日時</t>
        </is>
      </c>
      <c r="B8" s="5" t="inlineStr">
        <is>
          <t>2026-09-11T00:37:21+09:00</t>
        </is>
      </c>
    </row>
    <row r="9" ht="21" customHeight="1" s="134">
      <c r="A9" s="5" t="inlineStr">
        <is>
          <t>基本設計書ディレクトリ</t>
        </is>
      </c>
      <c r="B9" s="5" t="inlineStr">
        <is>
          <t>doc/api-platform/basic-design/</t>
        </is>
      </c>
    </row>
    <row r="10" ht="21" customHeight="1" s="134">
      <c r="A10" s="5" t="inlineStr">
        <is>
          <t>ADR ディレクトリ</t>
        </is>
      </c>
      <c r="B10" s="5" t="inlineStr">
        <is>
          <t>doc/adr/</t>
        </is>
      </c>
    </row>
    <row r="11" ht="42" customHeight="1" s="134">
      <c r="A11" s="5" t="inlineStr">
        <is>
          <t>md 改訂の取り込み状況</t>
        </is>
      </c>
      <c r="B11" s="5" t="inlineStr">
        <is>
          <t>2026-09-11 版で第 10 / 11 / 12 / 13 / 16 / 17 / 18 章および code-samples/README・WBS の最新版を取り込み済み（S3 認証構成情報方式・実行モード 2 つ統合・Lambda 3 本の日本語呼称・用語改定）。下表の blob SHA は取り込んだ版を指す。</t>
        </is>
      </c>
    </row>
    <row r="13" ht="42" customHeight="1" s="134">
      <c r="A13" s="9" t="inlineStr">
        <is>
          <t>2. 参照元資料（基本設計書）</t>
        </is>
      </c>
    </row>
    <row r="14">
      <c r="A14" s="4" t="inlineStr">
        <is>
          <t>タイトル</t>
        </is>
      </c>
      <c r="B14" s="4" t="inlineStr">
        <is>
          <t>目的・スコープ、全体骨格、統合構成、AWS リソース構成と通信経路 A〜D、詳細通信フロー（W1〜W9 / P1〜P6 / N1〜N6）、リソース一覧、用語表。→ 02 / 03 / 04 / 05 / 08 シート</t>
        </is>
      </c>
      <c r="C14" s="4" t="inlineStr">
        <is>
          <t>ファイル名</t>
        </is>
      </c>
      <c r="D14" s="4" t="inlineStr">
        <is>
          <t>パス</t>
        </is>
      </c>
      <c r="E14" s="4" t="inlineStr">
        <is>
          <t>blob SHA（本書に反映済みの版）</t>
        </is>
      </c>
    </row>
    <row r="15" ht="42" customHeight="1" s="134">
      <c r="A15" s="5" t="inlineStr">
        <is>
          <t>第 10 章 外形監視 概要</t>
        </is>
      </c>
      <c r="B15" s="5" t="inlineStr">
        <is>
          <t>目的・スコープ、全体骨格、統合構成、AWS リソース構成と通信経路 A〜D、リソース一覧、用語表。→ 02 / 03 / 04 / 05 / 08 シート</t>
        </is>
      </c>
      <c r="C15" s="5" t="inlineStr">
        <is>
          <t>10-external-monitoring-overview.md</t>
        </is>
      </c>
      <c r="D15" s="5" t="inlineStr">
        <is>
          <t>doc/api-platform/basic-design/10-external-monitoring-overview.md</t>
        </is>
      </c>
      <c r="E15" s="5" t="inlineStr">
        <is>
          <t>5de0e377f89cfbd6c59d3eab17fc159d7ee9a2d3</t>
        </is>
      </c>
    </row>
    <row r="16" ht="63" customHeight="1" s="134">
      <c r="A16" s="5" t="inlineStr">
        <is>
          <t>第 11 章 認証実装確認処理 アーキテクチャ</t>
        </is>
      </c>
      <c r="B16" s="5" t="inlineStr">
        <is>
          <t>検査シーケンス、Negative / Positive の Hybrid 検証と 4×4 分類、WAF 干渉と誤判定の防止、authPattern 別の検査方式、Positive トークン管理、環境別動作、ユースケース。→ 05 / 07 / 08 シート</t>
        </is>
      </c>
      <c r="C16" s="5" t="inlineStr">
        <is>
          <t>11-central-probe-architecture.md</t>
        </is>
      </c>
      <c r="D16" s="5" t="inlineStr">
        <is>
          <t>doc/api-platform/basic-design/11-central-probe-architecture.md</t>
        </is>
      </c>
      <c r="E16" s="5" t="inlineStr">
        <is>
          <t>4f2382ff266d7a6a0dcadd9bc093f4289a388135</t>
        </is>
      </c>
    </row>
    <row r="17" ht="42" customHeight="1" s="134">
      <c r="A17" s="5" t="inlineStr">
        <is>
          <t>第 12 章 App Registry 設計</t>
        </is>
      </c>
      <c r="B17" s="5" t="inlineStr">
        <is>
          <t>S3 台帳のキー体系・項目定義・JSON 例、検査 先を CloudFront とする理由、台帳への書き込み権限。→ 07 / 08 シート</t>
        </is>
      </c>
      <c r="C17" s="5" t="inlineStr">
        <is>
          <t>12-app-registry-design.md</t>
        </is>
      </c>
      <c r="D17" s="5" t="inlineStr">
        <is>
          <t>doc/api-platform/basic-design/12-app-registry-design.md</t>
        </is>
      </c>
      <c r="E17" s="5" t="inlineStr">
        <is>
          <t>d4cdeb813f4b35dd03b74bb2b1cdf530e07b72cc</t>
        </is>
      </c>
    </row>
    <row r="18" ht="42" customHeight="1" s="134">
      <c r="A18" s="5" t="inlineStr">
        <is>
          <t>第 13 章 OpenAPI Registry 設計</t>
        </is>
      </c>
      <c r="B18" s="5" t="inlineStr">
        <is>
          <t>spec の正本と S3 コピー、公開明示 MON-1（default-deny）、検査 制御アノテーション一覧、新規 endpoint の自動追随。→ 07 / 09 シート</t>
        </is>
      </c>
      <c r="C18" s="5" t="inlineStr">
        <is>
          <t>13-openapi-registry-design.md</t>
        </is>
      </c>
      <c r="D18" s="5" t="inlineStr">
        <is>
          <t>doc/api-platform/basic-design/13-openapi-registry-design.md</t>
        </is>
      </c>
      <c r="E18" s="5" t="inlineStr">
        <is>
          <t>2f6d3fc1df077a46a98a1c3a2f059d9c916e62de</t>
        </is>
      </c>
    </row>
    <row r="19" ht="42" customHeight="1" s="134">
      <c r="A19" s="5" t="inlineStr">
        <is>
          <t>第 14 章 認証実装チェック 実装ガイド</t>
        </is>
      </c>
      <c r="B19" s="5" t="inlineStr">
        <is>
          <t>probe lib のモジュール構成、モノリス / BFF / Private API 対応、要 PoC 項目、テスト状況。→ 04 シート</t>
        </is>
      </c>
      <c r="C19" s="5" t="inlineStr">
        <is>
          <t>14-probe-implementation-guide.md</t>
        </is>
      </c>
      <c r="D19" s="5" t="inlineStr">
        <is>
          <t>doc/api-platform/basic-design/14-probe-implementation-guide.md</t>
        </is>
      </c>
      <c r="E19" s="5" t="inlineStr">
        <is>
          <t>a34b394ffffdbf2976a477784fa0ed108074845e</t>
        </is>
      </c>
    </row>
    <row r="20" ht="42" customHeight="1" s="134">
      <c r="A20" s="5" t="inlineStr">
        <is>
          <t>第 15 章 Alert Routing 設計</t>
        </is>
      </c>
      <c r="B20" s="5" t="inlineStr">
        <is>
          <t>4×4 分類から P1 / P2 / P3 への振り分け、通知先 ARN の 2 段解決、通知メッセージ、エラー処理。→ 08 シート</t>
        </is>
      </c>
      <c r="C20" s="5" t="inlineStr">
        <is>
          <t>15-alert-routing-design.md</t>
        </is>
      </c>
      <c r="D20" s="5" t="inlineStr">
        <is>
          <t>doc/api-platform/basic-design/15-alert-routing-design.md</t>
        </is>
      </c>
      <c r="E20" s="5" t="inlineStr">
        <is>
          <t>b55e3e82c59a28b429ba8d4ffcdbc2930d782ce0</t>
        </is>
      </c>
    </row>
    <row r="21" ht="42" customHeight="1" s="134">
      <c r="A21" s="5" t="inlineStr">
        <is>
          <t>第 16 章 クロスアカウント IAM 設計</t>
        </is>
      </c>
      <c r="B21" s="5" t="inlineStr">
        <is>
          <t>アカウント分離、DiscoveryReadRole の権限・信頼ポリシー、中央側 3 ロール、StackSets 配布。→ 08 シート</t>
        </is>
      </c>
      <c r="C21" s="5" t="inlineStr">
        <is>
          <t>16-cross-account-iam-design.md</t>
        </is>
      </c>
      <c r="D21" s="5" t="inlineStr">
        <is>
          <t>doc/api-platform/basic-design/16-cross-account-iam-design.md</t>
        </is>
      </c>
      <c r="E21" s="5" t="inlineStr">
        <is>
          <t>d7a7cf8754f32652558de3f4cff22941344152bd</t>
        </is>
      </c>
    </row>
    <row r="22" ht="42" customHeight="1" s="134">
      <c r="A22" s="5" t="inlineStr">
        <is>
          <t>第 17 章 デプロイ連携・登録</t>
        </is>
      </c>
      <c r="B22" s="5" t="inlineStr">
        <is>
          <t>巡回フロー、受容した穴 2 つと補完レイヤー、monitoring.yaml 規約、モノリス対応、SCP。→ 05 / 06 / 07 / 09 シート</t>
        </is>
      </c>
      <c r="C22" s="5" t="inlineStr">
        <is>
          <t>17-deployment-integration-and-registration.md</t>
        </is>
      </c>
      <c r="D22" s="5" t="inlineStr">
        <is>
          <t>doc/api-platform/basic-design/17-deployment-integration-and-registration.md</t>
        </is>
      </c>
      <c r="E22" s="5" t="inlineStr">
        <is>
          <t>2cec6db57782a896be8ddeec9022507a9f70ff95</t>
        </is>
      </c>
    </row>
    <row r="23" ht="84" customHeight="1" s="134">
      <c r="A23" s="5" t="inlineStr">
        <is>
          <t>第 18 章 スキャンモードとスケジューリング</t>
        </is>
      </c>
      <c r="B23" s="5" t="inlineStr">
        <is>
          <t>自動差分検査（モード1） / 全量検査（モード2）（分割起動）/ heartbeat 型検査（旧 M2、廃止） 将来の定義、差分粒度、実行基盤、運用設計（メタ監視・エラー処理・スケール上限）、アラーム。実行モデルはこの章を正とする。→ 06 シート</t>
        </is>
      </c>
      <c r="C23" s="5" t="inlineStr">
        <is>
          <t>18-scan-modes-and-scheduling.md</t>
        </is>
      </c>
      <c r="D23" s="5" t="inlineStr">
        <is>
          <t>doc/api-platform/basic-design/18-scan-modes-and-scheduling.md</t>
        </is>
      </c>
      <c r="E23" s="5" t="inlineStr">
        <is>
          <t>7cfdd021c181a3d2066c3f9f485ee0f40f999c64</t>
        </is>
      </c>
    </row>
    <row r="24" ht="42" customHeight="1" s="134">
      <c r="A24" s="5" t="inlineStr">
        <is>
          <t>データ契約</t>
        </is>
      </c>
      <c r="B24" s="5" t="inlineStr">
        <is>
          <t>台帳スキーマ、authPattern enum（6 値）、OpenAPI アノテーション、CloudWatch Metrics、4×4 真偽値表、Alert イベント形式。データ定義はこの資料を正とする。→ 04 / 07 シート</t>
        </is>
      </c>
      <c r="C24" s="5" t="inlineStr">
        <is>
          <t>code-samples/README.md</t>
        </is>
      </c>
      <c r="D24" s="5" t="inlineStr">
        <is>
          <t>doc/api-platform/basic-design/code-samples/README.md</t>
        </is>
      </c>
      <c r="E24" s="5" t="inlineStr">
        <is>
          <t>87720e510764b446d5201e9e686a2aec24d46f62</t>
        </is>
      </c>
    </row>
    <row r="25" ht="63" customHeight="1" s="134">
      <c r="A25" s="5" t="inlineStr">
        <is>
          <t>残作業 WBS・工数見積 v7</t>
        </is>
      </c>
      <c r="B25" s="5" t="inlineStr">
        <is>
          <t>Phase 3 実装〜リリースの残作業。AWS リソース毎に設計書行、Lambda は処理毎に設計・実装・単体テストの 3 行。合計 487 人時 / 126 行（v6 で S3 認証構成情報方式、v7 で呼称改定）。→ 14 / 15 シート</t>
        </is>
      </c>
      <c r="C25" s="5" t="inlineStr">
        <is>
          <t>wbs-phase3-4-estimate.md</t>
        </is>
      </c>
      <c r="D25" s="5" t="inlineStr">
        <is>
          <t>doc/api-platform/basic-design/research/wbs-phase3-4-estimate.md</t>
        </is>
      </c>
      <c r="E25" s="5" t="inlineStr">
        <is>
          <t>d97c61201ad988ab09a0df1270b164859273e44f</t>
        </is>
      </c>
    </row>
    <row r="27" ht="210" customHeight="1" s="134">
      <c r="A27" s="39" t="inlineStr">
        <is>
          <t>静的解析ガイドライン（04-static-analysis-guidelines.md）・セキュリティ（05-security.md）・課金按分（03-billing-cost-allocation-rules.md）は本書から参照のみで、転記対象外。所在は同ディレクトリ。</t>
        </is>
      </c>
    </row>
    <row r="30">
      <c r="A30" s="7" t="inlineStr">
        <is>
          <t>3. ADR（経緯。本書本文では番号参照のみ）</t>
        </is>
      </c>
    </row>
    <row r="31">
      <c r="A31" s="4" t="inlineStr">
        <is>
          <t>ADR</t>
        </is>
      </c>
      <c r="B31" s="4" t="inlineStr">
        <is>
          <t>タイトル</t>
        </is>
      </c>
      <c r="C31" s="4" t="inlineStr">
        <is>
          <t>ファイル名</t>
        </is>
      </c>
      <c r="D31" s="4" t="inlineStr">
        <is>
          <t>パス</t>
        </is>
      </c>
    </row>
    <row r="32" ht="21" customHeight="1" s="134">
      <c r="A32" s="5" t="inlineStr">
        <is>
          <t>ADR-061</t>
        </is>
      </c>
      <c r="B32" s="5" t="inlineStr">
        <is>
          <t>デプロイ検知の pull 型統一</t>
        </is>
      </c>
      <c r="C32" s="5" t="inlineStr">
        <is>
          <t>061-deploy-detection-pull-model.md</t>
        </is>
      </c>
      <c r="D32" s="5" t="inlineStr">
        <is>
          <t>doc/adr/061-deploy-detection-pull-model.md</t>
        </is>
      </c>
    </row>
    <row r="33" ht="21" customHeight="1" s="134">
      <c r="A33" s="5" t="inlineStr">
        <is>
          <t>ADR-059</t>
        </is>
      </c>
      <c r="B33" s="5" t="inlineStr">
        <is>
          <t>Central Auth Check Canary Architecture（Pattern β）</t>
        </is>
      </c>
      <c r="C33" s="5" t="inlineStr">
        <is>
          <t>059-central-auth-check-canary-architecture.md</t>
        </is>
      </c>
      <c r="D33" s="5" t="inlineStr">
        <is>
          <t>doc/adr/059-central-auth-check-canary-architecture.md</t>
        </is>
      </c>
    </row>
    <row r="34" ht="21" customHeight="1" s="134">
      <c r="A34" s="5" t="inlineStr">
        <is>
          <t>ADR-039</t>
        </is>
      </c>
      <c r="B34" s="5" t="inlineStr">
        <is>
          <t>Centralized Network Account Edge Layer（インターネット境界）</t>
        </is>
      </c>
      <c r="C34" s="5" t="inlineStr">
        <is>
          <t>039-centralized-network-account-edge-layer.md</t>
        </is>
      </c>
      <c r="D34" s="5" t="inlineStr">
        <is>
          <t>doc/adr/039-centralized-network-account-edge-layer.md</t>
        </is>
      </c>
    </row>
    <row r="37" ht="21" customHeight="1" s="134">
      <c r="A37" s="9" t="inlineStr">
        <is>
          <t>4. 目録（参照のみ）</t>
        </is>
      </c>
    </row>
    <row r="38">
      <c r="A38" s="4" t="inlineStr">
        <is>
          <t>内容</t>
        </is>
      </c>
      <c r="B38" s="4" t="inlineStr">
        <is>
          <t>ファイル名</t>
        </is>
      </c>
      <c r="C38" s="4" t="inlineStr">
        <is>
          <t>パス</t>
        </is>
      </c>
    </row>
    <row r="39" ht="21" customHeight="1" s="134">
      <c r="A39" s="5" t="inlineStr">
        <is>
          <t>基本設計書群の目録</t>
        </is>
      </c>
      <c r="B39" s="5" t="inlineStr">
        <is>
          <t>00-index.md</t>
        </is>
      </c>
      <c r="C39" s="5" t="inlineStr">
        <is>
          <t>doc/api-platform/basic-design/00-index.md</t>
        </is>
      </c>
    </row>
    <row r="40" ht="21" customHeight="1" s="134">
      <c r="A40" s="5" t="inlineStr">
        <is>
          <t>ADR の目録</t>
        </is>
      </c>
      <c r="B40" s="5" t="inlineStr">
        <is>
          <t>00-index.md</t>
        </is>
      </c>
      <c r="C40" s="5" t="inlineStr">
        <is>
          <t>doc/adr/00-index.md</t>
        </is>
      </c>
    </row>
    <row r="43">
      <c r="A43" s="7" t="inlineStr">
        <is>
          <t>5. 本書の対象外（所在のみ記録）</t>
        </is>
      </c>
    </row>
    <row r="44">
      <c r="A44" s="4" t="inlineStr">
        <is>
          <t>対象外</t>
        </is>
      </c>
      <c r="B44" s="4" t="inlineStr">
        <is>
          <t>パス</t>
        </is>
      </c>
      <c r="C44" s="4" t="inlineStr">
        <is>
          <t>理由</t>
        </is>
      </c>
    </row>
    <row r="45" ht="21" customHeight="1" s="134">
      <c r="A45" s="5" t="inlineStr">
        <is>
          <t>要件定義</t>
        </is>
      </c>
      <c r="B45" s="5" t="inlineStr">
        <is>
          <t>doc/api-platform/proposal/</t>
        </is>
      </c>
      <c r="C45" s="5" t="inlineStr">
        <is>
          <t>要件定義であり基本設計の写しの対象外</t>
        </is>
      </c>
    </row>
    <row r="46" ht="21" customHeight="1" s="134">
      <c r="A46" s="5" t="inlineStr">
        <is>
          <t>検証の歴史記録</t>
        </is>
      </c>
      <c r="B46" s="5" t="inlineStr">
        <is>
          <t>doc/api-platform/basic-design/research/</t>
        </is>
      </c>
      <c r="C46" s="5" t="inlineStr">
        <is>
          <t>検証の経過記録であり現行仕様ではない</t>
        </is>
      </c>
    </row>
    <row r="47" ht="21" customHeight="1" s="134">
      <c r="A47" s="5" t="inlineStr">
        <is>
          <t>実装コード本体</t>
        </is>
      </c>
      <c r="B47" s="5" t="inlineStr">
        <is>
          <t>doc/api-platform/basic-design/code-samples/（README.md を除く）</t>
        </is>
      </c>
      <c r="C47" s="5" t="inlineStr">
        <is>
          <t>実装物。データ契約のみ転記対象</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M136"/>
  <sheetViews>
    <sheetView workbookViewId="0">
      <pane ySplit="1" topLeftCell="A2" activePane="bottomLeft" state="frozen"/>
      <selection pane="bottomLeft" activeCell="J3" sqref="J3"/>
    </sheetView>
  </sheetViews>
  <sheetFormatPr baseColWidth="10" defaultRowHeight="18"/>
  <cols>
    <col width="9.140625" customWidth="1" style="120" min="1" max="1"/>
    <col width="11.140625" customWidth="1" style="120" min="2" max="2"/>
    <col width="32.85546875" customWidth="1" style="120" min="3" max="3"/>
    <col width="74.28515625" customWidth="1" style="120" min="4" max="4"/>
    <col width="13.5703125" customWidth="1" style="120" min="5" max="5"/>
    <col width="12.85546875" bestFit="1" customWidth="1" style="120" min="6" max="6"/>
    <col width="7.140625" customWidth="1" style="120" min="7" max="8"/>
    <col width="9.7109375" customWidth="1" style="120" min="9" max="9"/>
    <col width="11.140625" customWidth="1" style="120" min="10" max="11"/>
    <col width="8.85546875" customWidth="1" style="120" min="12" max="12"/>
    <col width="18.5703125" customWidth="1" style="120" min="13" max="13"/>
    <col width="27.140625" customWidth="1" style="120" min="14" max="14"/>
    <col width="10.7109375" customWidth="1" style="2" min="15" max="16384"/>
  </cols>
  <sheetData>
    <row r="1" ht="21" customHeight="1" s="134">
      <c r="A1" s="51" t="inlineStr">
        <is>
          <t>WBS番号</t>
        </is>
      </c>
      <c r="B1" s="51" t="inlineStr">
        <is>
          <t>区分</t>
        </is>
      </c>
      <c r="C1" s="51" t="inlineStr">
        <is>
          <t>タスク</t>
        </is>
      </c>
      <c r="D1" s="51" t="inlineStr">
        <is>
          <t>内容</t>
        </is>
      </c>
      <c r="E1" s="51" t="inlineStr">
        <is>
          <t>依存</t>
        </is>
      </c>
      <c r="F1" s="51" t="inlineStr">
        <is>
          <t>外部待ち</t>
        </is>
      </c>
      <c r="G1" s="51" t="inlineStr">
        <is>
          <t>人時</t>
        </is>
      </c>
      <c r="H1" s="51" t="inlineStr">
        <is>
          <t>人日</t>
        </is>
      </c>
      <c r="I1" s="51" t="inlineStr">
        <is>
          <t>担当</t>
        </is>
      </c>
      <c r="J1" s="51" t="inlineStr">
        <is>
          <t>開始予定</t>
        </is>
      </c>
      <c r="K1" s="51" t="inlineStr">
        <is>
          <t>終了予定</t>
        </is>
      </c>
      <c r="L1" s="51" t="inlineStr">
        <is>
          <t>状態</t>
        </is>
      </c>
      <c r="M1" s="51" t="inlineStr">
        <is>
          <t>備考</t>
        </is>
      </c>
    </row>
    <row r="2" ht="168" customHeight="1" s="134">
      <c r="A2" s="52" t="inlineStr">
        <is>
          <t>W1-1</t>
        </is>
      </c>
      <c r="B2" s="5" t="inlineStr">
        <is>
          <t>外部調整</t>
        </is>
      </c>
      <c r="C2" s="5" t="inlineStr">
        <is>
          <t>監視通信のセキュリティ規則例外の承認取得</t>
        </is>
      </c>
      <c r="D2" s="5" t="inlineStr">
        <is>
          <t>【これは何か】社内セキュリティ規則（NW-2）は「AWS から外部への通信は必ずファイアウォール（許可ドメイン制）を通す」と定めている。今回の監視 Lambda は構成を簡素にするため VPC 外に置いており、検査の外向き通信がこのファイアウォールを通らない＝規則の例外にあたる。【なぜ調整が必要か】規則の所管（セキュリティ部門）とファイアウォールを管理する他組織の了承なしに例外運用はできない。無許可のままでは監査指摘・リリース差し止めのリスク。【やること】例外が許容できる理由（通信先が自組織の 3 種に固定・任意の外部サイトを呼ぶコードが存在しない・コードは中央管理）と代償統制（宛先固定・操作記録）をまとめた説明資料で承認を取り、記録を残す（管理番号: M-Q-10-3）</t>
        </is>
      </c>
      <c r="E2" s="5" t="inlineStr">
        <is>
          <t>—</t>
        </is>
      </c>
      <c r="F2" s="52" t="inlineStr">
        <is>
          <t>◎</t>
        </is>
      </c>
      <c r="G2" s="135" t="n">
        <v>12</v>
      </c>
      <c r="H2" s="81" t="n">
        <v>1.5</v>
      </c>
      <c r="I2" s="40" t="n"/>
      <c r="J2" s="40" t="n"/>
      <c r="K2" s="40" t="n"/>
      <c r="L2" s="40" t="n"/>
      <c r="M2" s="40" t="n"/>
    </row>
    <row r="3" ht="147" customHeight="1" s="134">
      <c r="A3" s="52" t="inlineStr">
        <is>
          <t>W1-2</t>
        </is>
      </c>
      <c r="B3" s="5" t="inlineStr">
        <is>
          <t>外部調整</t>
        </is>
      </c>
      <c r="C3" s="5" t="inlineStr">
        <is>
          <t>検査リクエストを WAF にブロックさせないための許可設定依頼</t>
        </is>
      </c>
      <c r="D3" s="5" t="inlineStr">
        <is>
          <t>【これは何か】WAF＝不正アクセスやボットを自動ブロックする防御壁。監視の検査リクエストは機械的なアクセスのため、ボットと誤認されてブロックされる恐れがあり、そうなると「認証の 403」と「WAF の 403」の区別がつかず誤判定（漏れの見逃し・誤警報）につながる。【なぜ調整が必要か】WAF は境界を管理する他組織の所管で、当方だけでは設定できない。【やること】検査リクエストに付ける合言葉ヘッダ（X-Auth-Probe）の名前と秘密値の受け渡し方法を決め、「このヘッダ付きはブロック対象外」とするルール追加を依頼・合意する。承認相手が W1-1 と同じため同梱で調整（管理番号: M-Q-11-5）</t>
        </is>
      </c>
      <c r="E3" s="5" t="inlineStr">
        <is>
          <t>—</t>
        </is>
      </c>
      <c r="F3" s="52" t="inlineStr">
        <is>
          <t>◎</t>
        </is>
      </c>
      <c r="G3" s="135" t="n">
        <v>8</v>
      </c>
      <c r="H3" s="81" t="n">
        <v>1</v>
      </c>
      <c r="I3" s="40" t="n"/>
      <c r="J3" s="40" t="n"/>
      <c r="K3" s="40" t="n"/>
      <c r="L3" s="40" t="n"/>
      <c r="M3" s="40" t="n"/>
    </row>
    <row r="4" ht="147" customHeight="1" s="134">
      <c r="A4" s="52" t="inlineStr">
        <is>
          <t>W1-3</t>
        </is>
      </c>
      <c r="B4" s="5" t="inlineStr">
        <is>
          <t>外部調整</t>
        </is>
      </c>
      <c r="C4" s="5" t="inlineStr">
        <is>
          <t>巡回対象アカウント一覧の自動取得の許可設定依頼</t>
        </is>
      </c>
      <c r="D4" s="5" t="inlineStr">
        <is>
          <t>【これは何か】巡回は「どの AWS アカウントを見て回るか」の一覧を AWS Organizations から自動取得したい。しかしこの一覧取得 API は組織の親（管理）アカウントしか呼べない。委任ポリシー＝親アカウントが「この操作はこのアカウントにも許す」と一度設定すれば、共通基盤アカウントから直接呼べるようになる仕組み。【なぜ調整が必要か】親アカウントの管理者に設定してもらわないと、アカウント一覧を手作業のリスト管理にせざるを得ず、アカウント追加時の登録漏れ＝監視漏れのリスクが残る。【やること】委任ポリシーの文面を作成 → 親アカウントでの適用を依頼 → 共通基盤から一覧取得できることを確認（管理番号: M-Q-17-2）</t>
        </is>
      </c>
      <c r="E4" s="5" t="inlineStr">
        <is>
          <t>—</t>
        </is>
      </c>
      <c r="F4" s="52" t="inlineStr">
        <is>
          <t>◎</t>
        </is>
      </c>
      <c r="G4" s="135" t="n">
        <v>4</v>
      </c>
      <c r="H4" s="81" t="n">
        <v>0.5</v>
      </c>
      <c r="I4" s="40" t="n"/>
      <c r="J4" s="40" t="n"/>
      <c r="K4" s="40" t="n"/>
      <c r="L4" s="40" t="n"/>
      <c r="M4" s="40" t="n"/>
    </row>
    <row r="5" ht="126" customHeight="1" s="134">
      <c r="A5" s="52" t="inlineStr">
        <is>
          <t>W1-4</t>
        </is>
      </c>
      <c r="B5" s="5" t="inlineStr">
        <is>
          <t>外部調整</t>
        </is>
      </c>
      <c r="C5" s="5" t="inlineStr">
        <is>
          <t>検査用の認証クライアント発行依頼（認証基盤チーム）</t>
        </is>
      </c>
      <c r="D5" s="5" t="inlineStr">
        <is>
          <t>【これは何か】検査には「未認証は弾かれるか」だけでなく「正しいトークンなら通るか」を確かめる正規検査がある。その検査用トークンを発行してもらうためのシステム用アカウント（クライアント。読み取り専用の最小権限）が認証基盤（Keycloak）側に必要。【なぜ調整が必要か】認証基盤は別チームの所管で、クライアントの発行・権限設定は当方ではできない。【やること】検査専用クライアント（api-canary-probe）の発行を依頼し、発行後に実際にトークンが取得できることを受入確認する</t>
        </is>
      </c>
      <c r="E5" s="5" t="inlineStr">
        <is>
          <t>—</t>
        </is>
      </c>
      <c r="F5" s="52" t="inlineStr">
        <is>
          <t>◎</t>
        </is>
      </c>
      <c r="G5" s="135" t="n">
        <v>8</v>
      </c>
      <c r="H5" s="81" t="n">
        <v>1</v>
      </c>
      <c r="I5" s="40" t="n"/>
      <c r="J5" s="40" t="n"/>
      <c r="K5" s="40" t="n"/>
      <c r="L5" s="40" t="n"/>
      <c r="M5" s="40" t="n"/>
    </row>
    <row r="6" ht="126" customHeight="1" s="134">
      <c r="A6" s="52" t="inlineStr">
        <is>
          <t>W1-5</t>
        </is>
      </c>
      <c r="B6" s="5" t="inlineStr">
        <is>
          <t>外部調整</t>
        </is>
      </c>
      <c r="C6" s="5" t="inlineStr">
        <is>
          <t>アラートの届け先と再送ルールの決定（受信チームへのヒアリング）</t>
        </is>
      </c>
      <c r="D6" s="5" t="inlineStr">
        <is>
          <t>【これは何か】検知したアラートは重大度別に 3 系統（P1=重大・即時 / P2=構成系 / P3=アプリ通知）のメールで届く。その宛先メーリングリストと、同じ問題が直るまで 1 時間ごとに同じアラートが再送されることを抑制するか（重複抑制）という運用ルール。【なぜ調整が必要か】受け取る側（セキュリティ・Platform・アプリ各チーム）の体制や好みで正解が変わるため、当方単独で決められない。【やること】宛先 DL の確定と、再送抑制の要否ヒアリング・決定の記録（管理番号: M-Q-15-1 / M-Q-15-3）</t>
        </is>
      </c>
      <c r="E6" s="5" t="inlineStr">
        <is>
          <t>—</t>
        </is>
      </c>
      <c r="F6" s="52" t="n"/>
      <c r="G6" s="135" t="n">
        <v>4</v>
      </c>
      <c r="H6" s="81" t="n">
        <v>0.5</v>
      </c>
      <c r="I6" s="40" t="n"/>
      <c r="J6" s="40" t="n"/>
      <c r="K6" s="40" t="n"/>
      <c r="L6" s="40" t="n"/>
      <c r="M6" s="40" t="n"/>
    </row>
    <row r="7" ht="189" customHeight="1" s="134">
      <c r="A7" s="52" t="inlineStr">
        <is>
          <t>W1-6</t>
        </is>
      </c>
      <c r="B7" s="5" t="inlineStr">
        <is>
          <t>外部調整</t>
        </is>
      </c>
      <c r="C7" s="5" t="inlineStr">
        <is>
          <t>「コンソール直変更」を検知する別の仕組みの実在確認と整備</t>
        </is>
      </c>
      <c r="D7" s="5" t="inlineStr">
        <is>
          <t>【これは何か】本監視は S3 に上がった認証構成情報だけを見る方式（認証構成情報オンリー原則、2026-08-21）のため、コンソールで直接 AWS の認証設定を外した変更は認証構成情報に現れず検知できない（挙動レベルでは日次の全量検査（モード2）が最大 24h で捕捉）。この死角を設定レベルで常時チェックするのが AWS Config Rules。旧方式の deploymentId 併読の廃止により、本監視側の即時検知手段が無くなったため Config Rules の重要度が上がった。【なぜ調整が必要か】その Config Rules が組織に本当に整備されているかを確認していない。無ければ死角が塞がらないまま運用に入ってしまう。【やること】該当ルール（API GW の認証必須チェック）の有無を確認し、無ければ追加実装（+8 人時）を必須タスクとして起票する（管理番号: 17 §17.2.2 ②）</t>
        </is>
      </c>
      <c r="E7" s="5" t="inlineStr">
        <is>
          <t>—</t>
        </is>
      </c>
      <c r="F7" s="52" t="n"/>
      <c r="G7" s="135" t="n">
        <v>4</v>
      </c>
      <c r="H7" s="81" t="n">
        <v>0.5</v>
      </c>
      <c r="I7" s="40" t="n"/>
      <c r="J7" s="40" t="n"/>
      <c r="K7" s="40" t="n"/>
      <c r="L7" s="40" t="n"/>
      <c r="M7" s="40" t="n"/>
    </row>
    <row r="8" ht="168" customHeight="1" s="134">
      <c r="A8" s="52" t="inlineStr">
        <is>
          <t>W1-7</t>
        </is>
      </c>
      <c r="B8" s="5" t="inlineStr">
        <is>
          <t>外部調整</t>
        </is>
      </c>
      <c r="C8" s="5" t="inlineStr">
        <is>
          <t>ベンダーへの認証構成情報アップロードの告知・CI 改修依頼</t>
        </is>
      </c>
      <c r="D8" s="5" t="inlineStr">
        <is>
          <t>【これは何か】コードリポジトリが開発ベンダーごとに外部にあるため、監視は「デプロイパイプラインの最終段で認証構成情報（monitoring.yaml / openapi.yaml）を App アカウントの認証構成情報連携バケットへアップロードしてもらう」方式に確定した（ADR-061 追記 2026-08-21）。【なぜ調整が必要か】アップロードの組み込みは各ベンダーの CI 改修であり、当方では実施できない。またアップロード漏れ・認証構成情報の誤りは原則アプリ責任とする責任分界（M-Q-17-7）は顧客との合意事項。【やること】告知資料（バケット・キー規約 / アップロードロールの Assume 手順 / パイプライン例 / 責任分界）を作成・配布し、各ベンダーの CI 改修とアップロード実績を受入確認する。責任分界は顧客と合意し記録する</t>
        </is>
      </c>
      <c r="E8" s="5" t="inlineStr">
        <is>
          <t>S2</t>
        </is>
      </c>
      <c r="F8" s="52" t="inlineStr">
        <is>
          <t>◎</t>
        </is>
      </c>
      <c r="G8" s="135" t="n">
        <v>8</v>
      </c>
      <c r="H8" s="81">
        <f>G8/8</f>
        <v/>
      </c>
      <c r="I8" s="40" t="n"/>
      <c r="J8" s="40" t="n"/>
      <c r="K8" s="40" t="n"/>
      <c r="L8" s="40" t="n"/>
      <c r="M8" s="40" t="inlineStr">
        <is>
          <t>外部律速</t>
        </is>
      </c>
    </row>
    <row r="9" ht="21" customHeight="1" s="134">
      <c r="A9" s="82" t="inlineStr">
        <is>
          <t>小計 W1</t>
        </is>
      </c>
      <c r="B9" s="83" t="n"/>
      <c r="C9" s="83" t="n"/>
      <c r="D9" s="83" t="n"/>
      <c r="E9" s="83" t="n"/>
      <c r="F9" s="84" t="n"/>
      <c r="G9" s="136">
        <f>SUM(G2:G8)</f>
        <v/>
      </c>
      <c r="H9" s="86">
        <f>SUM(H2:H8)</f>
        <v/>
      </c>
      <c r="I9" s="83" t="n"/>
      <c r="J9" s="83" t="n"/>
      <c r="K9" s="83" t="n"/>
      <c r="L9" s="83" t="n"/>
      <c r="M9" s="83" t="n"/>
    </row>
    <row r="10" ht="42" customHeight="1" s="134">
      <c r="A10" s="52" t="inlineStr">
        <is>
          <t>A1-d</t>
        </is>
      </c>
      <c r="B10" s="5" t="inlineStr">
        <is>
          <t>基盤IaC</t>
        </is>
      </c>
      <c r="C10" s="5" t="inlineStr">
        <is>
          <t>S3 バケット 設計</t>
        </is>
      </c>
      <c r="D10" s="5" t="inlineStr">
        <is>
          <t>認証構成情報配置バケット のパラメータシート: バケット名 / Versioning / SSE 方式 / パブリックブロック / prefix 構成（registry/・openapi/）</t>
        </is>
      </c>
      <c r="E10" s="5" t="inlineStr">
        <is>
          <t>—</t>
        </is>
      </c>
      <c r="F10" s="52" t="n"/>
      <c r="G10" s="135" t="n">
        <v>1</v>
      </c>
      <c r="H10" s="81" t="n">
        <v>0.125</v>
      </c>
      <c r="I10" s="40" t="n"/>
      <c r="J10" s="40" t="n"/>
      <c r="K10" s="40" t="n"/>
      <c r="L10" s="40" t="n"/>
      <c r="M10" s="40" t="n"/>
    </row>
    <row r="11" ht="21" customHeight="1" s="134">
      <c r="A11" s="52" t="inlineStr">
        <is>
          <t>A1-i</t>
        </is>
      </c>
      <c r="B11" s="5" t="inlineStr">
        <is>
          <t>基盤IaC</t>
        </is>
      </c>
      <c r="C11" s="5" t="inlineStr">
        <is>
          <t>S3 バケット 実装</t>
        </is>
      </c>
      <c r="D11" s="5" t="inlineStr">
        <is>
          <t>A1-d の IaC 化・適用・設定実査</t>
        </is>
      </c>
      <c r="E11" s="5" t="inlineStr">
        <is>
          <t>A1-d</t>
        </is>
      </c>
      <c r="F11" s="52" t="n"/>
      <c r="G11" s="135" t="n">
        <v>2</v>
      </c>
      <c r="H11" s="81" t="n">
        <v>0.25</v>
      </c>
      <c r="I11" s="40" t="n"/>
      <c r="J11" s="40" t="n"/>
      <c r="K11" s="40" t="n"/>
      <c r="L11" s="40" t="n"/>
      <c r="M11" s="40" t="n"/>
    </row>
    <row r="12" ht="42" customHeight="1" s="134">
      <c r="A12" s="52" t="inlineStr">
        <is>
          <t>A2-d</t>
        </is>
      </c>
      <c r="B12" s="5" t="inlineStr">
        <is>
          <t>基盤IaC</t>
        </is>
      </c>
      <c r="C12" s="5" t="inlineStr">
        <is>
          <t>S3 バケットポリシー 設計</t>
        </is>
      </c>
      <c r="D12" s="5" t="inlineStr">
        <is>
          <t>prefix 単位のアクセス制御表（誰が registry/*・openapi/* に何を許可されるか。3 ロール準拠）</t>
        </is>
      </c>
      <c r="E12" s="5" t="inlineStr">
        <is>
          <t>A1-d</t>
        </is>
      </c>
      <c r="F12" s="52" t="n"/>
      <c r="G12" s="135" t="n">
        <v>1</v>
      </c>
      <c r="H12" s="81" t="n">
        <v>0.125</v>
      </c>
      <c r="I12" s="40" t="n"/>
      <c r="J12" s="40" t="n"/>
      <c r="K12" s="40" t="n"/>
      <c r="L12" s="40" t="n"/>
      <c r="M12" s="40" t="n"/>
    </row>
    <row r="13" ht="21" customHeight="1" s="134">
      <c r="A13" s="52" t="inlineStr">
        <is>
          <t>A2-i</t>
        </is>
      </c>
      <c r="B13" s="5" t="inlineStr">
        <is>
          <t>基盤IaC</t>
        </is>
      </c>
      <c r="C13" s="5" t="inlineStr">
        <is>
          <t>S3 バケットポリシー 実装</t>
        </is>
      </c>
      <c r="D13" s="5" t="inlineStr">
        <is>
          <t>ポリシー IaC 化・適用・拒否確認（無関係ロールで AccessDenied）</t>
        </is>
      </c>
      <c r="E13" s="5" t="inlineStr">
        <is>
          <t>A2-d</t>
        </is>
      </c>
      <c r="F13" s="52" t="n"/>
      <c r="G13" s="135" t="n">
        <v>2</v>
      </c>
      <c r="H13" s="81" t="n">
        <v>0.25</v>
      </c>
      <c r="I13" s="40" t="n"/>
      <c r="J13" s="40" t="n"/>
      <c r="K13" s="40" t="n"/>
      <c r="L13" s="40" t="n"/>
      <c r="M13" s="40" t="n"/>
    </row>
    <row r="14" ht="21" customHeight="1" s="134">
      <c r="A14" s="52" t="inlineStr">
        <is>
          <t>A3-d</t>
        </is>
      </c>
      <c r="B14" s="5" t="inlineStr">
        <is>
          <t>基盤IaC</t>
        </is>
      </c>
      <c r="C14" s="5" t="inlineStr">
        <is>
          <t>S3 Lifecycle 設計</t>
        </is>
      </c>
      <c r="D14" s="5" t="inlineStr">
        <is>
          <t>noncurrent 版の失効日数（例 90 日）と対象 prefix の決定</t>
        </is>
      </c>
      <c r="E14" s="5" t="inlineStr">
        <is>
          <t>A1-d</t>
        </is>
      </c>
      <c r="F14" s="52" t="n"/>
      <c r="G14" s="135" t="n">
        <v>0.5</v>
      </c>
      <c r="H14" s="81" t="n">
        <v>0.0625</v>
      </c>
      <c r="I14" s="40" t="n"/>
      <c r="J14" s="40" t="n"/>
      <c r="K14" s="40" t="n"/>
      <c r="L14" s="40" t="n"/>
      <c r="M14" s="40" t="n"/>
    </row>
    <row r="15" ht="21" customHeight="1" s="134">
      <c r="A15" s="52" t="inlineStr">
        <is>
          <t>A3-i</t>
        </is>
      </c>
      <c r="B15" s="5" t="inlineStr">
        <is>
          <t>基盤IaC</t>
        </is>
      </c>
      <c r="C15" s="5" t="inlineStr">
        <is>
          <t>S3 Lifecycle 実装</t>
        </is>
      </c>
      <c r="D15" s="5" t="inlineStr">
        <is>
          <t>Lifecycle ルール適用・確認</t>
        </is>
      </c>
      <c r="E15" s="5" t="inlineStr">
        <is>
          <t>A3-d</t>
        </is>
      </c>
      <c r="F15" s="52" t="n"/>
      <c r="G15" s="135" t="n">
        <v>1</v>
      </c>
      <c r="H15" s="81" t="n">
        <v>0.125</v>
      </c>
      <c r="I15" s="40" t="n"/>
      <c r="J15" s="40" t="n"/>
      <c r="K15" s="40" t="n"/>
      <c r="L15" s="40" t="n"/>
      <c r="M15" s="40" t="n"/>
    </row>
    <row r="16" ht="21" customHeight="1" s="134">
      <c r="A16" s="52" t="inlineStr">
        <is>
          <t>A4-d</t>
        </is>
      </c>
      <c r="B16" s="5" t="inlineStr">
        <is>
          <t>基盤IaC</t>
        </is>
      </c>
      <c r="C16" s="5" t="inlineStr">
        <is>
          <t>SNS 設計</t>
        </is>
      </c>
      <c r="D16" s="5" t="inlineStr">
        <is>
          <t>P1/P2/P3 のトピック名・サブスクリプション（W1-5 の DL）・アクセスポリシー</t>
        </is>
      </c>
      <c r="E16" s="5" t="inlineStr">
        <is>
          <t>W1-5</t>
        </is>
      </c>
      <c r="F16" s="52" t="n"/>
      <c r="G16" s="135" t="n">
        <v>0.5</v>
      </c>
      <c r="H16" s="81" t="n">
        <v>0.0625</v>
      </c>
      <c r="I16" s="40" t="n"/>
      <c r="J16" s="40" t="n"/>
      <c r="K16" s="40" t="n"/>
      <c r="L16" s="40" t="n"/>
      <c r="M16" s="40" t="n"/>
    </row>
    <row r="17" ht="21" customHeight="1" s="134">
      <c r="A17" s="52" t="inlineStr">
        <is>
          <t>A4-i</t>
        </is>
      </c>
      <c r="B17" s="5" t="inlineStr">
        <is>
          <t>基盤IaC</t>
        </is>
      </c>
      <c r="C17" s="5" t="inlineStr">
        <is>
          <t>SNS 実装</t>
        </is>
      </c>
      <c r="D17" s="5" t="inlineStr">
        <is>
          <t>3 トピック + メールサブスクリプション作成・確認メール承認</t>
        </is>
      </c>
      <c r="E17" s="5" t="inlineStr">
        <is>
          <t>A4-d</t>
        </is>
      </c>
      <c r="F17" s="52" t="n"/>
      <c r="G17" s="135" t="n">
        <v>2</v>
      </c>
      <c r="H17" s="81" t="n">
        <v>0.25</v>
      </c>
      <c r="I17" s="40" t="n"/>
      <c r="J17" s="40" t="n"/>
      <c r="K17" s="40" t="n"/>
      <c r="L17" s="40" t="n"/>
      <c r="M17" s="40" t="n"/>
    </row>
    <row r="18" ht="63" customHeight="1" s="134">
      <c r="A18" s="52" t="inlineStr">
        <is>
          <t>A5-d</t>
        </is>
      </c>
      <c r="B18" s="5" t="inlineStr">
        <is>
          <t>基盤IaC</t>
        </is>
      </c>
      <c r="C18" s="5" t="inlineStr">
        <is>
          <t>SQS DLQ 設計</t>
        </is>
      </c>
      <c r="D18" s="5" t="inlineStr">
        <is>
          <t>検査 Lambda 用 / アラート検知 Lambda 用の 2 本。保持期間・再処理手順の方針。【補足】DLQ（デッドレターキュー）＝処理に失敗したメッセージの退避先。失敗を握り潰さず、後から中身を見て再処理・原因調査するための受け皿</t>
        </is>
      </c>
      <c r="E18" s="5" t="inlineStr">
        <is>
          <t>—</t>
        </is>
      </c>
      <c r="F18" s="52" t="n"/>
      <c r="G18" s="135" t="n">
        <v>0.5</v>
      </c>
      <c r="H18" s="81" t="n">
        <v>0.0625</v>
      </c>
      <c r="I18" s="40" t="n"/>
      <c r="J18" s="40" t="n"/>
      <c r="K18" s="40" t="n"/>
      <c r="L18" s="40" t="n"/>
      <c r="M18" s="40" t="n"/>
    </row>
    <row r="19" ht="21" customHeight="1" s="134">
      <c r="A19" s="52" t="inlineStr">
        <is>
          <t>A5-i</t>
        </is>
      </c>
      <c r="B19" s="5" t="inlineStr">
        <is>
          <t>基盤IaC</t>
        </is>
      </c>
      <c r="C19" s="5" t="inlineStr">
        <is>
          <t>SQS DLQ 実装</t>
        </is>
      </c>
      <c r="D19" s="5" t="inlineStr">
        <is>
          <t>2 キュー作成・Lambda 非同期設定への紐付け</t>
        </is>
      </c>
      <c r="E19" s="5" t="inlineStr">
        <is>
          <t>A5-d</t>
        </is>
      </c>
      <c r="F19" s="52" t="n"/>
      <c r="G19" s="135" t="n">
        <v>2</v>
      </c>
      <c r="H19" s="81" t="n">
        <v>0.25</v>
      </c>
      <c r="I19" s="40" t="n"/>
      <c r="J19" s="40" t="n"/>
      <c r="K19" s="40" t="n"/>
      <c r="L19" s="40" t="n"/>
      <c r="M19" s="40" t="n"/>
    </row>
    <row r="20" ht="21" customHeight="1" s="134">
      <c r="A20" s="52" t="inlineStr">
        <is>
          <t>A6-d</t>
        </is>
      </c>
      <c r="B20" s="5" t="inlineStr">
        <is>
          <t>基盤IaC</t>
        </is>
      </c>
      <c r="C20" s="5" t="inlineStr">
        <is>
          <t>Scheduler 設計</t>
        </is>
      </c>
      <c r="D20" s="5" t="inlineStr">
        <is>
          <t>rate(1 hour)・リトライポリシー（回数 / 間隔）・Scheduler 側 DLQ・実行ロール</t>
        </is>
      </c>
      <c r="E20" s="5" t="inlineStr">
        <is>
          <t>—</t>
        </is>
      </c>
      <c r="F20" s="52" t="n"/>
      <c r="G20" s="135" t="n">
        <v>1</v>
      </c>
      <c r="H20" s="81" t="n">
        <v>0.125</v>
      </c>
      <c r="I20" s="40" t="n"/>
      <c r="J20" s="40" t="n"/>
      <c r="K20" s="40" t="n"/>
      <c r="L20" s="40" t="n"/>
      <c r="M20" s="40" t="n"/>
    </row>
    <row r="21" ht="21" customHeight="1" s="134">
      <c r="A21" s="52" t="inlineStr">
        <is>
          <t>A6-i</t>
        </is>
      </c>
      <c r="B21" s="5" t="inlineStr">
        <is>
          <t>基盤IaC</t>
        </is>
      </c>
      <c r="C21" s="5" t="inlineStr">
        <is>
          <t>Scheduler 実装</t>
        </is>
      </c>
      <c r="D21" s="5" t="inlineStr">
        <is>
          <t>EventBridge Scheduler 作成・対象検索 Lambda への紐付け・空振り起動確認</t>
        </is>
      </c>
      <c r="E21" s="5" t="inlineStr">
        <is>
          <t>A6-d</t>
        </is>
      </c>
      <c r="F21" s="52" t="n"/>
      <c r="G21" s="135" t="n">
        <v>2</v>
      </c>
      <c r="H21" s="81" t="n">
        <v>0.25</v>
      </c>
      <c r="I21" s="40" t="n"/>
      <c r="J21" s="40" t="n"/>
      <c r="K21" s="40" t="n"/>
      <c r="L21" s="40" t="n"/>
      <c r="M21" s="40" t="n"/>
    </row>
    <row r="22" ht="42" customHeight="1" s="134">
      <c r="A22" s="52" t="inlineStr">
        <is>
          <t>A7-d</t>
        </is>
      </c>
      <c r="B22" s="5" t="inlineStr">
        <is>
          <t>基盤IaC</t>
        </is>
      </c>
      <c r="C22" s="5" t="inlineStr">
        <is>
          <t>IAM: DiscoveryLambdaRole 設計</t>
        </is>
      </c>
      <c r="D22" s="5" t="inlineStr">
        <is>
          <t>ポリシー明細（ListAccounts 委任呼出 / sts:AssumeRole / S3 registry・openapi / lambda:Invoke）と信頼ポリシー</t>
        </is>
      </c>
      <c r="E22" s="5" t="inlineStr">
        <is>
          <t>—</t>
        </is>
      </c>
      <c r="F22" s="52" t="n"/>
      <c r="G22" s="135" t="n">
        <v>1</v>
      </c>
      <c r="H22" s="81" t="n">
        <v>0.125</v>
      </c>
      <c r="I22" s="40" t="n"/>
      <c r="J22" s="40" t="n"/>
      <c r="K22" s="40" t="n"/>
      <c r="L22" s="40" t="n"/>
      <c r="M22" s="40" t="n"/>
    </row>
    <row r="23" ht="21" customHeight="1" s="134">
      <c r="A23" s="52" t="inlineStr">
        <is>
          <t>A7-i</t>
        </is>
      </c>
      <c r="B23" s="5" t="inlineStr">
        <is>
          <t>基盤IaC</t>
        </is>
      </c>
      <c r="C23" s="5" t="inlineStr">
        <is>
          <t>IAM: DiscoveryLambdaRole 実装</t>
        </is>
      </c>
      <c r="D23" s="5" t="inlineStr">
        <is>
          <t>IaC 化・適用</t>
        </is>
      </c>
      <c r="E23" s="5" t="inlineStr">
        <is>
          <t>A7-d</t>
        </is>
      </c>
      <c r="F23" s="52" t="n"/>
      <c r="G23" s="135" t="n">
        <v>2</v>
      </c>
      <c r="H23" s="81" t="n">
        <v>0.25</v>
      </c>
      <c r="I23" s="40" t="n"/>
      <c r="J23" s="40" t="n"/>
      <c r="K23" s="40" t="n"/>
      <c r="L23" s="40" t="n"/>
      <c r="M23" s="40" t="n"/>
    </row>
    <row r="24" ht="21" customHeight="1" s="134">
      <c r="A24" s="52" t="inlineStr">
        <is>
          <t>A8-d</t>
        </is>
      </c>
      <c r="B24" s="5" t="inlineStr">
        <is>
          <t>基盤IaC</t>
        </is>
      </c>
      <c r="C24" s="5" t="inlineStr">
        <is>
          <t>IAM: CentralProbeRole 設計</t>
        </is>
      </c>
      <c r="D24" s="5" t="inlineStr">
        <is>
          <t>S3 Get/List・Secrets Get・CW Put・起動（アラート検知 Lambda）の明細</t>
        </is>
      </c>
      <c r="E24" s="5" t="inlineStr">
        <is>
          <t>—</t>
        </is>
      </c>
      <c r="F24" s="52" t="n"/>
      <c r="G24" s="135" t="n">
        <v>0.5</v>
      </c>
      <c r="H24" s="81" t="n">
        <v>0.0625</v>
      </c>
      <c r="I24" s="40" t="n"/>
      <c r="J24" s="40" t="n"/>
      <c r="K24" s="40" t="n"/>
      <c r="L24" s="40" t="n"/>
      <c r="M24" s="40" t="n"/>
    </row>
    <row r="25" ht="21" customHeight="1" s="134">
      <c r="A25" s="52" t="inlineStr">
        <is>
          <t>A8-i</t>
        </is>
      </c>
      <c r="B25" s="5" t="inlineStr">
        <is>
          <t>基盤IaC</t>
        </is>
      </c>
      <c r="C25" s="5" t="inlineStr">
        <is>
          <t>IAM: CentralProbeRole 実装</t>
        </is>
      </c>
      <c r="D25" s="5" t="inlineStr">
        <is>
          <t>IaC 化・適用</t>
        </is>
      </c>
      <c r="E25" s="5" t="inlineStr">
        <is>
          <t>A8-d</t>
        </is>
      </c>
      <c r="F25" s="52" t="n"/>
      <c r="G25" s="135" t="n">
        <v>1</v>
      </c>
      <c r="H25" s="81" t="n">
        <v>0.125</v>
      </c>
      <c r="I25" s="40" t="n"/>
      <c r="J25" s="40" t="n"/>
      <c r="K25" s="40" t="n"/>
      <c r="L25" s="40" t="n"/>
      <c r="M25" s="40" t="n"/>
    </row>
    <row r="26" ht="21" customHeight="1" s="134">
      <c r="A26" s="52" t="inlineStr">
        <is>
          <t>A9-d</t>
        </is>
      </c>
      <c r="B26" s="5" t="inlineStr">
        <is>
          <t>基盤IaC</t>
        </is>
      </c>
      <c r="C26" s="5" t="inlineStr">
        <is>
          <t>IAM: alert-router-role 設計</t>
        </is>
      </c>
      <c r="D26" s="5" t="inlineStr">
        <is>
          <t>S3 GetObject（registry/*）・SNS Publish の明細</t>
        </is>
      </c>
      <c r="E26" s="5" t="inlineStr">
        <is>
          <t>—</t>
        </is>
      </c>
      <c r="F26" s="52" t="n"/>
      <c r="G26" s="135" t="n">
        <v>0.5</v>
      </c>
      <c r="H26" s="81" t="n">
        <v>0.0625</v>
      </c>
      <c r="I26" s="40" t="n"/>
      <c r="J26" s="40" t="n"/>
      <c r="K26" s="40" t="n"/>
      <c r="L26" s="40" t="n"/>
      <c r="M26" s="40" t="n"/>
    </row>
    <row r="27" ht="21" customHeight="1" s="134">
      <c r="A27" s="52" t="inlineStr">
        <is>
          <t>A9-i</t>
        </is>
      </c>
      <c r="B27" s="5" t="inlineStr">
        <is>
          <t>基盤IaC</t>
        </is>
      </c>
      <c r="C27" s="5" t="inlineStr">
        <is>
          <t>IAM: alert-router-role 実装</t>
        </is>
      </c>
      <c r="D27" s="5" t="inlineStr">
        <is>
          <t>IaC 化・適用</t>
        </is>
      </c>
      <c r="E27" s="5" t="inlineStr">
        <is>
          <t>A9-d</t>
        </is>
      </c>
      <c r="F27" s="52" t="n"/>
      <c r="G27" s="135" t="n">
        <v>1</v>
      </c>
      <c r="H27" s="81" t="n">
        <v>0.125</v>
      </c>
      <c r="I27" s="40" t="n"/>
      <c r="J27" s="40" t="n"/>
      <c r="K27" s="40" t="n"/>
      <c r="L27" s="40" t="n"/>
      <c r="M27" s="40" t="n"/>
    </row>
    <row r="28" ht="21" customHeight="1" s="134">
      <c r="A28" s="52" t="inlineStr">
        <is>
          <t>A10-i</t>
        </is>
      </c>
      <c r="B28" s="5" t="inlineStr">
        <is>
          <t>基盤IaC</t>
        </is>
      </c>
      <c r="C28" s="5" t="inlineStr">
        <is>
          <t>Secrets: canary-central-readonly 登録</t>
        </is>
      </c>
      <c r="D28" s="5" t="inlineStr">
        <is>
          <t>エントリ作成 + W1-4 で発行された client_id / secret の格納・検査からの取得確認</t>
        </is>
      </c>
      <c r="E28" s="5" t="inlineStr">
        <is>
          <t>W1-4</t>
        </is>
      </c>
      <c r="F28" s="52" t="n"/>
      <c r="G28" s="135" t="n">
        <v>1</v>
      </c>
      <c r="H28" s="81" t="n">
        <v>0.125</v>
      </c>
      <c r="I28" s="40" t="n"/>
      <c r="J28" s="40" t="n"/>
      <c r="K28" s="40" t="n"/>
      <c r="L28" s="40" t="n"/>
      <c r="M28" s="40" t="n"/>
    </row>
    <row r="29" ht="21" customHeight="1" s="134">
      <c r="A29" s="52" t="inlineStr">
        <is>
          <t>A11-d</t>
        </is>
      </c>
      <c r="B29" s="5" t="inlineStr">
        <is>
          <t>基盤IaC</t>
        </is>
      </c>
      <c r="C29" s="5" t="inlineStr">
        <is>
          <t>Secrets: X-Auth-Probe 設計</t>
        </is>
      </c>
      <c r="D29" s="5" t="inlineStr">
        <is>
          <t>ヘッダ secret の命名・値生成方法・ローテ方針（WAF 側と値を合わせる運用）</t>
        </is>
      </c>
      <c r="E29" s="5" t="inlineStr">
        <is>
          <t>W1-2</t>
        </is>
      </c>
      <c r="F29" s="52" t="n"/>
      <c r="G29" s="135" t="n">
        <v>0.5</v>
      </c>
      <c r="H29" s="81" t="n">
        <v>0.0625</v>
      </c>
      <c r="I29" s="40" t="n"/>
      <c r="J29" s="40" t="n"/>
      <c r="K29" s="40" t="n"/>
      <c r="L29" s="40" t="n"/>
      <c r="M29" s="40" t="n"/>
    </row>
    <row r="30" ht="21" customHeight="1" s="134">
      <c r="A30" s="52" t="inlineStr">
        <is>
          <t>A11-i</t>
        </is>
      </c>
      <c r="B30" s="5" t="inlineStr">
        <is>
          <t>基盤IaC</t>
        </is>
      </c>
      <c r="C30" s="5" t="inlineStr">
        <is>
          <t>Secrets: X-Auth-Probe 実装</t>
        </is>
      </c>
      <c r="D30" s="5" t="inlineStr">
        <is>
          <t>エントリ作成・検査 Lambda からの参照確認</t>
        </is>
      </c>
      <c r="E30" s="5" t="inlineStr">
        <is>
          <t>A11-d</t>
        </is>
      </c>
      <c r="F30" s="52" t="n"/>
      <c r="G30" s="135" t="n">
        <v>1</v>
      </c>
      <c r="H30" s="81" t="n">
        <v>0.125</v>
      </c>
      <c r="I30" s="40" t="n"/>
      <c r="J30" s="40" t="n"/>
      <c r="K30" s="40" t="n"/>
      <c r="L30" s="40" t="n"/>
      <c r="M30" s="40" t="n"/>
    </row>
    <row r="31" ht="21" customHeight="1" s="134">
      <c r="A31" s="52" t="inlineStr">
        <is>
          <t>A12-i</t>
        </is>
      </c>
      <c r="B31" s="5" t="inlineStr">
        <is>
          <t>基盤IaC</t>
        </is>
      </c>
      <c r="C31" s="5" t="inlineStr">
        <is>
          <t>暗号化方針の確認</t>
        </is>
      </c>
      <c r="D31" s="5" t="inlineStr">
        <is>
          <t>Secrets / S3 の KMS（AWS マネージドで足りるか）の判断記録と設定</t>
        </is>
      </c>
      <c r="E31" s="5" t="inlineStr">
        <is>
          <t>—</t>
        </is>
      </c>
      <c r="F31" s="52" t="n"/>
      <c r="G31" s="135" t="n">
        <v>1</v>
      </c>
      <c r="H31" s="81" t="n">
        <v>0.125</v>
      </c>
      <c r="I31" s="40" t="n"/>
      <c r="J31" s="40" t="n"/>
      <c r="K31" s="40" t="n"/>
      <c r="L31" s="40" t="n"/>
      <c r="M31" s="40" t="n"/>
    </row>
    <row r="32" ht="21" customHeight="1" s="134">
      <c r="A32" s="52" t="inlineStr">
        <is>
          <t>A13-d</t>
        </is>
      </c>
      <c r="B32" s="5" t="inlineStr">
        <is>
          <t>基盤IaC</t>
        </is>
      </c>
      <c r="C32" s="5" t="inlineStr">
        <is>
          <t>タグ + Budgets 設計</t>
        </is>
      </c>
      <c r="D32" s="5" t="inlineStr">
        <is>
          <t>監視系リソース自身への必須タグ値（app-id 等、BL-1）と月次 Budget 額・通知先（BL-2）</t>
        </is>
      </c>
      <c r="E32" s="5" t="inlineStr">
        <is>
          <t>—</t>
        </is>
      </c>
      <c r="F32" s="52" t="n"/>
      <c r="G32" s="135" t="n">
        <v>1</v>
      </c>
      <c r="H32" s="81" t="n">
        <v>0.125</v>
      </c>
      <c r="I32" s="40" t="n"/>
      <c r="J32" s="40" t="n"/>
      <c r="K32" s="40" t="n"/>
      <c r="L32" s="40" t="n"/>
      <c r="M32" s="40" t="n"/>
    </row>
    <row r="33" ht="21" customHeight="1" s="134">
      <c r="A33" s="52" t="inlineStr">
        <is>
          <t>A13-i</t>
        </is>
      </c>
      <c r="B33" s="5" t="inlineStr">
        <is>
          <t>基盤IaC</t>
        </is>
      </c>
      <c r="C33" s="5" t="inlineStr">
        <is>
          <t>タグ + Budgets 実装</t>
        </is>
      </c>
      <c r="D33" s="5" t="inlineStr">
        <is>
          <t>全リソースへのタグ付与（IaC 共通タグ）+ Budgets 作成</t>
        </is>
      </c>
      <c r="E33" s="5" t="inlineStr">
        <is>
          <t>A13-d</t>
        </is>
      </c>
      <c r="F33" s="52" t="n"/>
      <c r="G33" s="135" t="n">
        <v>2</v>
      </c>
      <c r="H33" s="81" t="n">
        <v>0.25</v>
      </c>
      <c r="I33" s="40" t="n"/>
      <c r="J33" s="40" t="n"/>
      <c r="K33" s="40" t="n"/>
      <c r="L33" s="40" t="n"/>
      <c r="M33" s="40" t="n"/>
    </row>
    <row r="34" ht="21" customHeight="1" s="134">
      <c r="A34" s="52" t="inlineStr">
        <is>
          <t>A14-i</t>
        </is>
      </c>
      <c r="B34" s="5" t="inlineStr">
        <is>
          <t>基盤IaC</t>
        </is>
      </c>
      <c r="C34" s="5" t="inlineStr">
        <is>
          <t>Lambda ログ保持設定</t>
        </is>
      </c>
      <c r="D34" s="5" t="inlineStr">
        <is>
          <t>3 Lambda のロググループ保持期間の明示設定（OBS-4。組織標準値、未定なら 90 日仮置き）</t>
        </is>
      </c>
      <c r="E34" s="5" t="inlineStr">
        <is>
          <t>—</t>
        </is>
      </c>
      <c r="F34" s="52" t="n"/>
      <c r="G34" s="135" t="n">
        <v>1</v>
      </c>
      <c r="H34" s="81" t="n">
        <v>0.125</v>
      </c>
      <c r="I34" s="40" t="n"/>
      <c r="J34" s="40" t="n"/>
      <c r="K34" s="40" t="n"/>
      <c r="L34" s="40" t="n"/>
      <c r="M34" s="40" t="n"/>
    </row>
    <row r="35" ht="84" customHeight="1" s="134">
      <c r="A35" s="52" t="inlineStr">
        <is>
          <t>A15-i</t>
        </is>
      </c>
      <c r="B35" s="5" t="inlineStr">
        <is>
          <t>基盤IaC</t>
        </is>
      </c>
      <c r="C35" s="5" t="inlineStr">
        <is>
          <t>全量検査の日次 Scheduler 実装</t>
        </is>
      </c>
      <c r="D35" s="5" t="inlineStr">
        <is>
          <t>EventBridge Scheduler（日次、時刻帯は M-Q-18-3）→ 認証実装チェック Lambda mode=full 起動の IaC + 起動確認。【補足】heartbeat 型検査（旧 M2）廃止の代替として、シグナルなし変化（ALB 直の手動変更・設定駆動の認証切替等）を最大 24h で機械的に捕捉する（D-M-18-4、18 §18.1.1）</t>
        </is>
      </c>
      <c r="E35" s="5" t="inlineStr">
        <is>
          <t>A5-i</t>
        </is>
      </c>
      <c r="F35" s="52" t="n"/>
      <c r="G35" s="135" t="n">
        <v>2</v>
      </c>
      <c r="H35" s="81">
        <f>G35/8</f>
        <v/>
      </c>
      <c r="I35" s="40" t="n"/>
      <c r="J35" s="40" t="n"/>
      <c r="K35" s="40" t="n"/>
      <c r="L35" s="40" t="n"/>
      <c r="M35" s="40" t="n"/>
    </row>
    <row r="36" ht="21" customHeight="1" s="134">
      <c r="A36" s="82" t="inlineStr">
        <is>
          <t>小計 W2-A</t>
        </is>
      </c>
      <c r="B36" s="83" t="n"/>
      <c r="C36" s="83" t="n"/>
      <c r="D36" s="83" t="n"/>
      <c r="E36" s="83" t="n"/>
      <c r="F36" s="84" t="n"/>
      <c r="G36" s="136">
        <f>SUM(G10:G35)</f>
        <v/>
      </c>
      <c r="H36" s="86">
        <f>SUM(H10:H35)</f>
        <v/>
      </c>
      <c r="I36" s="83" t="n"/>
      <c r="J36" s="83" t="n"/>
      <c r="K36" s="83" t="n"/>
      <c r="L36" s="83" t="n"/>
      <c r="M36" s="83" t="n"/>
    </row>
    <row r="37" ht="42" customHeight="1" s="134">
      <c r="A37" s="52" t="inlineStr">
        <is>
          <t>B0-d</t>
        </is>
      </c>
      <c r="B37" s="5" t="inlineStr">
        <is>
          <t>監視(定型)</t>
        </is>
      </c>
      <c r="C37" s="5" t="inlineStr">
        <is>
          <t>監視設計書</t>
        </is>
      </c>
      <c r="D37" s="5" t="inlineStr">
        <is>
          <t>アラーム一覧表（8 本: 名称 / メトリクス / 閾値 / 評価期間 / 通知先 / 対応 Runbook）+ メトリクス定義（DiscoveryLastSuccess / AccountErrors の単位・Dimensions）</t>
        </is>
      </c>
      <c r="E37" s="5" t="inlineStr">
        <is>
          <t>—</t>
        </is>
      </c>
      <c r="F37" s="52" t="n"/>
      <c r="G37" s="135" t="n">
        <v>2</v>
      </c>
      <c r="H37" s="81" t="n">
        <v>0.25</v>
      </c>
      <c r="I37" s="40" t="n"/>
      <c r="J37" s="40" t="n"/>
      <c r="K37" s="40" t="n"/>
      <c r="L37" s="40" t="n"/>
      <c r="M37" s="40" t="n"/>
    </row>
    <row r="38" ht="42" customHeight="1" s="134">
      <c r="A38" s="52" t="inlineStr">
        <is>
          <t>B1-i</t>
        </is>
      </c>
      <c r="B38" s="5" t="inlineStr">
        <is>
          <t>監視(定型)</t>
        </is>
      </c>
      <c r="C38" s="5" t="inlineStr">
        <is>
          <t>メトリクス 発行 実装</t>
        </is>
      </c>
      <c r="D38" s="5" t="inlineStr">
        <is>
          <t>対象検索 Lambda に DiscoveryLastSuccess（巡回成功時）/ DiscoveryAccountErrors（失敗アカウント数）の PutMetricData を実装</t>
        </is>
      </c>
      <c r="E38" s="5" t="inlineStr">
        <is>
          <t>C11-i</t>
        </is>
      </c>
      <c r="F38" s="52" t="n"/>
      <c r="G38" s="135" t="n">
        <v>2</v>
      </c>
      <c r="H38" s="81" t="n">
        <v>0.25</v>
      </c>
      <c r="I38" s="40" t="n"/>
      <c r="J38" s="40" t="n"/>
      <c r="K38" s="40" t="n"/>
      <c r="L38" s="40" t="n"/>
      <c r="M38" s="40" t="n"/>
    </row>
    <row r="39" ht="21" customHeight="1" s="134">
      <c r="A39" s="52" t="inlineStr">
        <is>
          <t>B2-i</t>
        </is>
      </c>
      <c r="B39" s="5" t="inlineStr">
        <is>
          <t>監視(定型)</t>
        </is>
      </c>
      <c r="C39" s="5" t="inlineStr">
        <is>
          <t>アラーム: AuthCheckCritical &gt; 0</t>
        </is>
      </c>
      <c r="D39" s="5" t="inlineStr">
        <is>
          <t>保険系。1 データポイントで発報 → SNS P1</t>
        </is>
      </c>
      <c r="E39" s="5" t="inlineStr">
        <is>
          <t>B0-d</t>
        </is>
      </c>
      <c r="F39" s="52" t="n"/>
      <c r="G39" s="135" t="n">
        <v>1</v>
      </c>
      <c r="H39" s="81" t="n">
        <v>0.125</v>
      </c>
      <c r="I39" s="40" t="n"/>
      <c r="J39" s="40" t="n"/>
      <c r="K39" s="40" t="n"/>
      <c r="L39" s="40" t="n"/>
      <c r="M39" s="40" t="n"/>
    </row>
    <row r="40" ht="21" customHeight="1" s="134">
      <c r="A40" s="52" t="inlineStr">
        <is>
          <t>B3-i</t>
        </is>
      </c>
      <c r="B40" s="5" t="inlineStr">
        <is>
          <t>監視(定型)</t>
        </is>
      </c>
      <c r="C40" s="5" t="inlineStr">
        <is>
          <t>アラーム: MM-1 巡回鮮度</t>
        </is>
      </c>
      <c r="D40" s="5" t="inlineStr">
        <is>
          <t>DiscoveryLastSuccess が 2 時間欠損（missing data 扱い = breaching）→ P2</t>
        </is>
      </c>
      <c r="E40" s="5" t="inlineStr">
        <is>
          <t>B0-d</t>
        </is>
      </c>
      <c r="F40" s="52" t="n"/>
      <c r="G40" s="135" t="n">
        <v>1</v>
      </c>
      <c r="H40" s="81" t="n">
        <v>0.125</v>
      </c>
      <c r="I40" s="40" t="n"/>
      <c r="J40" s="40" t="n"/>
      <c r="K40" s="40" t="n"/>
      <c r="L40" s="40" t="n"/>
      <c r="M40" s="40" t="n"/>
    </row>
    <row r="41" ht="21" customHeight="1" s="134">
      <c r="A41" s="52" t="inlineStr">
        <is>
          <t>B4-i</t>
        </is>
      </c>
      <c r="B41" s="5" t="inlineStr">
        <is>
          <t>監視(定型)</t>
        </is>
      </c>
      <c r="C41" s="5" t="inlineStr">
        <is>
          <t>アラーム: MM-2 対象検索 Lambda Errors</t>
        </is>
      </c>
      <c r="D41" s="5" t="inlineStr">
        <is>
          <t>Lambda Errors ≥ 1（Scheduler 起動失敗も Errors で捕捉）→ P2</t>
        </is>
      </c>
      <c r="E41" s="5" t="inlineStr">
        <is>
          <t>B0-d</t>
        </is>
      </c>
      <c r="F41" s="52" t="n"/>
      <c r="G41" s="135" t="n">
        <v>1</v>
      </c>
      <c r="H41" s="81" t="n">
        <v>0.125</v>
      </c>
      <c r="I41" s="40" t="n"/>
      <c r="J41" s="40" t="n"/>
      <c r="K41" s="40" t="n"/>
      <c r="L41" s="40" t="n"/>
      <c r="M41" s="40" t="n"/>
    </row>
    <row r="42" ht="21" customHeight="1" s="134">
      <c r="A42" s="52" t="inlineStr">
        <is>
          <t>B5-i</t>
        </is>
      </c>
      <c r="B42" s="5" t="inlineStr">
        <is>
          <t>監視(定型)</t>
        </is>
      </c>
      <c r="C42" s="5" t="inlineStr">
        <is>
          <t>アラーム: MM-3 AccountErrors</t>
        </is>
      </c>
      <c r="D42" s="5" t="inlineStr">
        <is>
          <t>DiscoveryAccountErrors ≥ 1 → P2</t>
        </is>
      </c>
      <c r="E42" s="5" t="inlineStr">
        <is>
          <t>B0-d</t>
        </is>
      </c>
      <c r="F42" s="52" t="n"/>
      <c r="G42" s="135" t="n">
        <v>1</v>
      </c>
      <c r="H42" s="81" t="n">
        <v>0.125</v>
      </c>
      <c r="I42" s="40" t="n"/>
      <c r="J42" s="40" t="n"/>
      <c r="K42" s="40" t="n"/>
      <c r="L42" s="40" t="n"/>
      <c r="M42" s="40" t="n"/>
    </row>
    <row r="43" ht="21" customHeight="1" s="134">
      <c r="A43" s="52" t="inlineStr">
        <is>
          <t>B6-i</t>
        </is>
      </c>
      <c r="B43" s="5" t="inlineStr">
        <is>
          <t>監視(定型)</t>
        </is>
      </c>
      <c r="C43" s="5" t="inlineStr">
        <is>
          <t>アラーム: MM-4 検査 Lambda</t>
        </is>
      </c>
      <c r="D43" s="5" t="inlineStr">
        <is>
          <t>Errors ≥ 1 + DLQ（検査用）滞留 ≥ 1 → P2</t>
        </is>
      </c>
      <c r="E43" s="5" t="inlineStr">
        <is>
          <t>B0-d</t>
        </is>
      </c>
      <c r="F43" s="52" t="n"/>
      <c r="G43" s="135" t="n">
        <v>1</v>
      </c>
      <c r="H43" s="81" t="n">
        <v>0.125</v>
      </c>
      <c r="I43" s="40" t="n"/>
      <c r="J43" s="40" t="n"/>
      <c r="K43" s="40" t="n"/>
      <c r="L43" s="40" t="n"/>
      <c r="M43" s="40" t="n"/>
    </row>
    <row r="44" ht="21" customHeight="1" s="134">
      <c r="A44" s="52" t="inlineStr">
        <is>
          <t>B7-i</t>
        </is>
      </c>
      <c r="B44" s="5" t="inlineStr">
        <is>
          <t>監視(定型)</t>
        </is>
      </c>
      <c r="C44" s="5" t="inlineStr">
        <is>
          <t>アラーム: MM-5 アラート検知 Lambda</t>
        </is>
      </c>
      <c r="D44" s="5" t="inlineStr">
        <is>
          <t>DLQ（Router 用）滞留 ≥ 1 → P2</t>
        </is>
      </c>
      <c r="E44" s="5" t="inlineStr">
        <is>
          <t>B0-d</t>
        </is>
      </c>
      <c r="F44" s="52" t="n"/>
      <c r="G44" s="135" t="n">
        <v>1</v>
      </c>
      <c r="H44" s="81" t="n">
        <v>0.125</v>
      </c>
      <c r="I44" s="40" t="n"/>
      <c r="J44" s="40" t="n"/>
      <c r="K44" s="40" t="n"/>
      <c r="L44" s="40" t="n"/>
      <c r="M44" s="40" t="n"/>
    </row>
    <row r="45" ht="21" customHeight="1" s="134">
      <c r="A45" s="52" t="inlineStr">
        <is>
          <t>B8-i</t>
        </is>
      </c>
      <c r="B45" s="5" t="inlineStr">
        <is>
          <t>監視(定型)</t>
        </is>
      </c>
      <c r="C45" s="5" t="inlineStr">
        <is>
          <t>アラーム: 対象検索 Lambda Duration</t>
        </is>
      </c>
      <c r="D45" s="5" t="inlineStr">
        <is>
          <t>15 分制限の前倒し検知（初期閾値は仮置き → W3-5 で本決め）→ P2</t>
        </is>
      </c>
      <c r="E45" s="5" t="inlineStr">
        <is>
          <t>B0-d</t>
        </is>
      </c>
      <c r="F45" s="52" t="n"/>
      <c r="G45" s="135" t="n">
        <v>1</v>
      </c>
      <c r="H45" s="81" t="n">
        <v>0.125</v>
      </c>
      <c r="I45" s="40" t="n"/>
      <c r="J45" s="40" t="n"/>
      <c r="K45" s="40" t="n"/>
      <c r="L45" s="40" t="n"/>
      <c r="M45" s="40" t="n"/>
    </row>
    <row r="46" ht="21" customHeight="1" s="134">
      <c r="A46" s="52" t="inlineStr">
        <is>
          <t>B9-t</t>
        </is>
      </c>
      <c r="B46" s="5" t="inlineStr">
        <is>
          <t>監視(定型)</t>
        </is>
      </c>
      <c r="C46" s="5" t="inlineStr">
        <is>
          <t>全アラームのテスト発報</t>
        </is>
      </c>
      <c r="D46" s="5" t="inlineStr">
        <is>
          <t>8 本すべて閾値を跨がせ、SNS → メール到達まで実確認（訓練 W4-2 とは別の技術確認）</t>
        </is>
      </c>
      <c r="E46" s="5" t="inlineStr">
        <is>
          <t>B2〜B8</t>
        </is>
      </c>
      <c r="F46" s="52" t="n"/>
      <c r="G46" s="135" t="n">
        <v>2</v>
      </c>
      <c r="H46" s="81" t="n">
        <v>0.25</v>
      </c>
      <c r="I46" s="40" t="n"/>
      <c r="J46" s="40" t="n"/>
      <c r="K46" s="40" t="n"/>
      <c r="L46" s="40" t="n"/>
      <c r="M46" s="40" t="n"/>
    </row>
    <row r="47" ht="21" customHeight="1" s="134">
      <c r="A47" s="82" t="inlineStr">
        <is>
          <t>小計 W2-B</t>
        </is>
      </c>
      <c r="B47" s="83" t="n"/>
      <c r="C47" s="83" t="n"/>
      <c r="D47" s="83" t="n"/>
      <c r="E47" s="83" t="n"/>
      <c r="F47" s="84" t="n"/>
      <c r="G47" s="136">
        <f>SUM(G37:G46)</f>
        <v/>
      </c>
      <c r="H47" s="86">
        <f>SUM(H37:H46)</f>
        <v/>
      </c>
      <c r="I47" s="83" t="n"/>
      <c r="J47" s="83" t="n"/>
      <c r="K47" s="83" t="n"/>
      <c r="L47" s="83" t="n"/>
      <c r="M47" s="83" t="n"/>
    </row>
    <row r="48" ht="63" customHeight="1" s="134">
      <c r="A48" s="52" t="inlineStr">
        <is>
          <t>C0-d</t>
        </is>
      </c>
      <c r="B48" s="5" t="inlineStr">
        <is>
          <t>機能実装</t>
        </is>
      </c>
      <c r="C48" s="5" t="inlineStr">
        <is>
          <t>対象検索 Lambda 全体設計</t>
        </is>
      </c>
      <c r="D48" s="5" t="inlineStr">
        <is>
          <t>処理設計書: 全体シーケンス図（W1〜W9 展開）/ 入出力定義（Scheduler イベント・台帳 JSON・自動差分検査（モード1） payload）/ 環境変数一覧 / エラー・リトライ方針の実装割付 / ログ設計（相関 ID・マスク）</t>
        </is>
      </c>
      <c r="E48" s="5" t="inlineStr">
        <is>
          <t>—</t>
        </is>
      </c>
      <c r="F48" s="52" t="n"/>
      <c r="G48" s="135" t="n">
        <v>6</v>
      </c>
      <c r="H48" s="81" t="n">
        <v>0.75</v>
      </c>
      <c r="I48" s="40" t="n"/>
      <c r="J48" s="40" t="n"/>
      <c r="K48" s="40" t="n"/>
      <c r="L48" s="40" t="n"/>
      <c r="M48" s="40" t="n"/>
    </row>
    <row r="49" ht="63" customHeight="1" s="134">
      <c r="A49" s="52" t="inlineStr">
        <is>
          <t>C1-d</t>
        </is>
      </c>
      <c r="B49" s="5" t="inlineStr">
        <is>
          <t>機能実装</t>
        </is>
      </c>
      <c r="C49" s="5" t="inlineStr">
        <is>
          <t>アカウント列挙 設計</t>
        </is>
      </c>
      <c r="D49" s="5" t="inlineStr">
        <is>
          <t>委任ポリシー経由 ListAccounts の呼出仕様・対象 OU フィルタ・ページング。【補足】アカウント列挙＝巡回の対象となる App アカウントの一覧を AWS Organizations から毎回取得する処理。手作業のリスト管理をなくし、アカウント追加に自動追随する</t>
        </is>
      </c>
      <c r="E49" s="5" t="inlineStr">
        <is>
          <t>C0-d</t>
        </is>
      </c>
      <c r="F49" s="52" t="n"/>
      <c r="G49" s="135" t="n">
        <v>1</v>
      </c>
      <c r="H49" s="81" t="n">
        <v>0.125</v>
      </c>
      <c r="I49" s="40" t="n"/>
      <c r="J49" s="40" t="n"/>
      <c r="K49" s="40" t="n"/>
      <c r="L49" s="40" t="n"/>
      <c r="M49" s="40" t="n"/>
    </row>
    <row r="50" ht="21" customHeight="1" s="134">
      <c r="A50" s="52" t="inlineStr">
        <is>
          <t>C1-i</t>
        </is>
      </c>
      <c r="B50" s="5" t="inlineStr">
        <is>
          <t>機能実装</t>
        </is>
      </c>
      <c r="C50" s="5" t="inlineStr">
        <is>
          <t>アカウント列挙 実装</t>
        </is>
      </c>
      <c r="D50" s="5" t="inlineStr">
        <is>
          <t>上記の実装</t>
        </is>
      </c>
      <c r="E50" s="5" t="inlineStr">
        <is>
          <t>C1-d, W1-3</t>
        </is>
      </c>
      <c r="F50" s="52" t="n"/>
      <c r="G50" s="135" t="n">
        <v>2</v>
      </c>
      <c r="H50" s="81" t="n">
        <v>0.25</v>
      </c>
      <c r="I50" s="40" t="n"/>
      <c r="J50" s="40" t="n"/>
      <c r="K50" s="40" t="n"/>
      <c r="L50" s="40" t="n"/>
      <c r="M50" s="40" t="n"/>
    </row>
    <row r="51" ht="21" customHeight="1" s="134">
      <c r="A51" s="52" t="inlineStr">
        <is>
          <t>C1-t</t>
        </is>
      </c>
      <c r="B51" s="5" t="inlineStr">
        <is>
          <t>テスト</t>
        </is>
      </c>
      <c r="C51" s="5" t="inlineStr">
        <is>
          <t>アカウント列挙 単体テスト</t>
        </is>
      </c>
      <c r="D51" s="5" t="inlineStr">
        <is>
          <t>OU フィルタ・ページング・権限エラー時の挙動</t>
        </is>
      </c>
      <c r="E51" s="5" t="inlineStr">
        <is>
          <t>C1-i</t>
        </is>
      </c>
      <c r="F51" s="52" t="n"/>
      <c r="G51" s="135" t="n">
        <v>1</v>
      </c>
      <c r="H51" s="81" t="n">
        <v>0.125</v>
      </c>
      <c r="I51" s="40" t="n"/>
      <c r="J51" s="40" t="n"/>
      <c r="K51" s="40" t="n"/>
      <c r="L51" s="40" t="n"/>
      <c r="M51" s="40" t="n"/>
    </row>
    <row r="52" ht="84" customHeight="1" s="134">
      <c r="A52" s="52" t="inlineStr">
        <is>
          <t>C2-d</t>
        </is>
      </c>
      <c r="B52" s="5" t="inlineStr">
        <is>
          <t>機能実装</t>
        </is>
      </c>
      <c r="C52" s="5" t="inlineStr">
        <is>
          <t>AssumeRole/S3 認証構成情報クライアント 設計</t>
        </is>
      </c>
      <c r="D52" s="5" t="inlineStr">
        <is>
          <t>ExternalId・一時クレデンシャルのライフサイクル・SDK リトライ（指数バックオフ）設定。【補足】AssumeRole＝他アカウントに置かれた読み取り専用ロールの権限を、期限付きで一時的に借る AWS の標準的な仕組み。これで恆久的な鍵を配らずに App アカウントの認証構成情報連携バケットを読める</t>
        </is>
      </c>
      <c r="E52" s="5" t="inlineStr">
        <is>
          <t>C0-d</t>
        </is>
      </c>
      <c r="F52" s="52" t="n"/>
      <c r="G52" s="135" t="n">
        <v>1</v>
      </c>
      <c r="H52" s="81" t="n">
        <v>0.125</v>
      </c>
      <c r="I52" s="40" t="n"/>
      <c r="J52" s="40" t="n"/>
      <c r="K52" s="40" t="n"/>
      <c r="L52" s="40" t="n"/>
      <c r="M52" s="40" t="n"/>
    </row>
    <row r="53" ht="21" customHeight="1" s="134">
      <c r="A53" s="52" t="inlineStr">
        <is>
          <t>C2-i</t>
        </is>
      </c>
      <c r="B53" s="5" t="inlineStr">
        <is>
          <t>機能実装</t>
        </is>
      </c>
      <c r="C53" s="5" t="inlineStr">
        <is>
          <t>AssumeRole/S3 認証構成情報クライアント 実装</t>
        </is>
      </c>
      <c r="D53" s="5" t="inlineStr">
        <is>
          <t>上記の実装</t>
        </is>
      </c>
      <c r="E53" s="5" t="inlineStr">
        <is>
          <t>C2-d, A7-i</t>
        </is>
      </c>
      <c r="F53" s="52" t="n"/>
      <c r="G53" s="135" t="n">
        <v>3</v>
      </c>
      <c r="H53" s="81" t="n">
        <v>0.375</v>
      </c>
      <c r="I53" s="40" t="n"/>
      <c r="J53" s="40" t="n"/>
      <c r="K53" s="40" t="n"/>
      <c r="L53" s="40" t="n"/>
      <c r="M53" s="40" t="n"/>
    </row>
    <row r="54" ht="42" customHeight="1" s="134">
      <c r="A54" s="52" t="inlineStr">
        <is>
          <t>C2-t</t>
        </is>
      </c>
      <c r="B54" s="5" t="inlineStr">
        <is>
          <t>テスト</t>
        </is>
      </c>
      <c r="C54" s="5" t="inlineStr">
        <is>
          <t>AssumeRole/S3 認証構成情報クライアント 単体テスト</t>
        </is>
      </c>
      <c r="D54" s="5" t="inlineStr">
        <is>
          <t>AssumeRole 失敗・スロットリング時のリトライ挙動</t>
        </is>
      </c>
      <c r="E54" s="5" t="inlineStr">
        <is>
          <t>C2-i</t>
        </is>
      </c>
      <c r="F54" s="52" t="n"/>
      <c r="G54" s="135" t="n">
        <v>1</v>
      </c>
      <c r="H54" s="81" t="n">
        <v>0.125</v>
      </c>
      <c r="I54" s="40" t="n"/>
      <c r="J54" s="40" t="n"/>
      <c r="K54" s="40" t="n"/>
      <c r="L54" s="40" t="n"/>
      <c r="M54" s="40" t="n"/>
    </row>
    <row r="55" ht="126" customHeight="1" s="134">
      <c r="A55" s="52" t="inlineStr">
        <is>
          <t>C3-d</t>
        </is>
      </c>
      <c r="B55" s="5" t="inlineStr">
        <is>
          <t>機能実装</t>
        </is>
      </c>
      <c r="C55" s="5" t="inlineStr">
        <is>
          <t>認証構成情報列挙・差分判定 設計</t>
        </is>
      </c>
      <c r="D55" s="5" t="inlineStr">
        <is>
          <t>認証構成情報連携バケットの List（{appId}/ プレフィックス）→ monitoring.yaml / openapi.yaml の VersionId 取得 → lastArtifactVersions 比較のロジックと「変更あり」判定基準。【補足】認証構成情報列挙＝App アカウントの認証構成情報連携バケットを一覧し、monitoring.yaml が置かれたアプリ（＝監視対象）を見つけること。差分判定＝前回巡回で確認した認証構成情報の VersionId と現在を比べ「新しい版がデプロイされたか」を判定すること（マルチパートで ETag が MD5 と一致しないため VersionId 主）</t>
        </is>
      </c>
      <c r="E55" s="5" t="inlineStr">
        <is>
          <t>C0-d</t>
        </is>
      </c>
      <c r="F55" s="52" t="n"/>
      <c r="G55" s="135" t="n">
        <v>1</v>
      </c>
      <c r="H55" s="81" t="n">
        <v>0.125</v>
      </c>
      <c r="I55" s="40" t="n"/>
      <c r="J55" s="40" t="n"/>
      <c r="K55" s="40" t="n"/>
      <c r="L55" s="40" t="n"/>
      <c r="M55" s="40" t="n"/>
    </row>
    <row r="56" ht="21" customHeight="1" s="134">
      <c r="A56" s="52" t="inlineStr">
        <is>
          <t>C3-i</t>
        </is>
      </c>
      <c r="B56" s="5" t="inlineStr">
        <is>
          <t>機能実装</t>
        </is>
      </c>
      <c r="C56" s="5" t="inlineStr">
        <is>
          <t>認証構成情報列挙・差分判定 実装</t>
        </is>
      </c>
      <c r="D56" s="5" t="inlineStr">
        <is>
          <t>上記の実装</t>
        </is>
      </c>
      <c r="E56" s="5" t="inlineStr">
        <is>
          <t>C3-d, C2-i</t>
        </is>
      </c>
      <c r="F56" s="52" t="n"/>
      <c r="G56" s="135" t="n">
        <v>3</v>
      </c>
      <c r="H56" s="81" t="n">
        <v>0.375</v>
      </c>
      <c r="I56" s="40" t="n"/>
      <c r="J56" s="40" t="n"/>
      <c r="K56" s="40" t="n"/>
      <c r="L56" s="40" t="n"/>
      <c r="M56" s="40" t="n"/>
    </row>
    <row r="57" ht="21" customHeight="1" s="134">
      <c r="A57" s="52" t="inlineStr">
        <is>
          <t>C3-t</t>
        </is>
      </c>
      <c r="B57" s="5" t="inlineStr">
        <is>
          <t>テスト</t>
        </is>
      </c>
      <c r="C57" s="5" t="inlineStr">
        <is>
          <t>認証構成情報列挙・差分判定 単体テスト</t>
        </is>
      </c>
      <c r="D57" s="5" t="inlineStr">
        <is>
          <t>初回（台帳なし）/ 変更なし / 変更あり / バケット不在・アクセス拒否 の 4 分岐</t>
        </is>
      </c>
      <c r="E57" s="5" t="inlineStr">
        <is>
          <t>C3-i</t>
        </is>
      </c>
      <c r="F57" s="52" t="n"/>
      <c r="G57" s="135" t="n">
        <v>1</v>
      </c>
      <c r="H57" s="81" t="n">
        <v>0.125</v>
      </c>
      <c r="I57" s="40" t="n"/>
      <c r="J57" s="40" t="n"/>
      <c r="K57" s="40" t="n"/>
      <c r="L57" s="40" t="n"/>
      <c r="M57" s="40" t="n"/>
    </row>
    <row r="58" ht="84" customHeight="1" s="134">
      <c r="A58" s="52" t="inlineStr">
        <is>
          <t>C5-d</t>
        </is>
      </c>
      <c r="B58" s="5" t="inlineStr">
        <is>
          <t>機能実装</t>
        </is>
      </c>
      <c r="C58" s="5" t="inlineStr">
        <is>
          <t>monitoring.yaml 取得・検証 設計</t>
        </is>
      </c>
      <c r="D58" s="5" t="inlineStr">
        <is>
          <t>GetObject・スキーマ検証（W5-2 の JSON Schema 共用）・appId とプレフィックスの一致検証・不備時の分類（メタ不足の種別）。【補足】monitoring.yaml＝アプリが「このアプリを監視して」と宣言する設定ファイル（検査先 URL・認証方式などを記載。デプロイ時に認証構成情報連携バケットの {appId}/ 配下へアップロードする）</t>
        </is>
      </c>
      <c r="E58" s="5" t="inlineStr">
        <is>
          <t>C0-d</t>
        </is>
      </c>
      <c r="F58" s="52" t="n"/>
      <c r="G58" s="135" t="n">
        <v>1</v>
      </c>
      <c r="H58" s="81" t="n">
        <v>0.125</v>
      </c>
      <c r="I58" s="40" t="n"/>
      <c r="J58" s="40" t="n"/>
      <c r="K58" s="40" t="n"/>
      <c r="L58" s="40" t="n"/>
      <c r="M58" s="40" t="n"/>
    </row>
    <row r="59" ht="21" customHeight="1" s="134">
      <c r="A59" s="52" t="inlineStr">
        <is>
          <t>C5-i</t>
        </is>
      </c>
      <c r="B59" s="5" t="inlineStr">
        <is>
          <t>機能実装</t>
        </is>
      </c>
      <c r="C59" s="5" t="inlineStr">
        <is>
          <t>monitoring.yaml 取得・検証 実装</t>
        </is>
      </c>
      <c r="D59" s="5" t="inlineStr">
        <is>
          <t>上記の実装</t>
        </is>
      </c>
      <c r="E59" s="5" t="inlineStr">
        <is>
          <t>C5-d</t>
        </is>
      </c>
      <c r="F59" s="52" t="n"/>
      <c r="G59" s="135" t="n">
        <v>4</v>
      </c>
      <c r="H59" s="81" t="n">
        <v>0.5</v>
      </c>
      <c r="I59" s="40" t="n"/>
      <c r="J59" s="40" t="n"/>
      <c r="K59" s="40" t="n"/>
      <c r="L59" s="40" t="n"/>
      <c r="M59" s="40" t="n"/>
    </row>
    <row r="60" ht="21" customHeight="1" s="134">
      <c r="A60" s="52" t="inlineStr">
        <is>
          <t>C5-t</t>
        </is>
      </c>
      <c r="B60" s="5" t="inlineStr">
        <is>
          <t>テスト</t>
        </is>
      </c>
      <c r="C60" s="5" t="inlineStr">
        <is>
          <t>monitoring.yaml 取得・検証 単体テスト</t>
        </is>
      </c>
      <c r="D60" s="5" t="inlineStr">
        <is>
          <t>正常 / authPattern 不正 / baseUrl 欠落 / yaml 破損 / 6MB 超</t>
        </is>
      </c>
      <c r="E60" s="5" t="inlineStr">
        <is>
          <t>C5-i</t>
        </is>
      </c>
      <c r="F60" s="52" t="n"/>
      <c r="G60" s="135" t="n">
        <v>1</v>
      </c>
      <c r="H60" s="81" t="n">
        <v>0.125</v>
      </c>
      <c r="I60" s="40" t="n"/>
      <c r="J60" s="40" t="n"/>
      <c r="K60" s="40" t="n"/>
      <c r="L60" s="40" t="n"/>
      <c r="M60" s="40" t="n"/>
    </row>
    <row r="61" ht="126" customHeight="1" s="134">
      <c r="A61" s="52" t="inlineStr">
        <is>
          <t>C6-d</t>
        </is>
      </c>
      <c r="B61" s="5" t="inlineStr">
        <is>
          <t>機能実装</t>
        </is>
      </c>
      <c r="C61" s="5" t="inlineStr">
        <is>
          <t>台帳同期 設計</t>
        </is>
      </c>
      <c r="D61" s="5" t="inlineStr">
        <is>
          <t>registry/{appId}/{env}.json の生成・更新仕様、ETag 条件付き PUT、lastArtifactVersions は 自動差分検査（モード1）の起動成功後にのみ更新（at-least-once）。【補足】台帳＝「どのアプリをどう監視するか」を 1 か所に集めた S3 上の管理簿。ETag 条件付き PUT＝「読み込んだ時から誰も更新していなければ書き込む」仕組みで、同時更新による上書き事故を防ぐ。at-least-once＝取りこㄢしゼロを優先し、同じ変更を 2 回検査することは許容する方式（検査は読み取りのみなので重複しても無害）</t>
        </is>
      </c>
      <c r="E61" s="5" t="inlineStr">
        <is>
          <t>C0-d</t>
        </is>
      </c>
      <c r="F61" s="52" t="n"/>
      <c r="G61" s="135" t="n">
        <v>1</v>
      </c>
      <c r="H61" s="81" t="n">
        <v>0.125</v>
      </c>
      <c r="I61" s="40" t="n"/>
      <c r="J61" s="40" t="n"/>
      <c r="K61" s="40" t="n"/>
      <c r="L61" s="40" t="n"/>
      <c r="M61" s="40" t="n"/>
    </row>
    <row r="62" ht="21" customHeight="1" s="134">
      <c r="A62" s="52" t="inlineStr">
        <is>
          <t>C6-i</t>
        </is>
      </c>
      <c r="B62" s="5" t="inlineStr">
        <is>
          <t>機能実装</t>
        </is>
      </c>
      <c r="C62" s="5" t="inlineStr">
        <is>
          <t>台帳同期 実装</t>
        </is>
      </c>
      <c r="D62" s="5" t="inlineStr">
        <is>
          <t>上記の実装</t>
        </is>
      </c>
      <c r="E62" s="5" t="inlineStr">
        <is>
          <t>C6-d, A1-i</t>
        </is>
      </c>
      <c r="F62" s="52" t="n"/>
      <c r="G62" s="135" t="n">
        <v>3</v>
      </c>
      <c r="H62" s="81" t="n">
        <v>0.375</v>
      </c>
      <c r="I62" s="40" t="n"/>
      <c r="J62" s="40" t="n"/>
      <c r="K62" s="40" t="n"/>
      <c r="L62" s="40" t="n"/>
      <c r="M62" s="40" t="n"/>
    </row>
    <row r="63" ht="42" customHeight="1" s="134">
      <c r="A63" s="52" t="inlineStr">
        <is>
          <t>C6-t</t>
        </is>
      </c>
      <c r="B63" s="5" t="inlineStr">
        <is>
          <t>テスト</t>
        </is>
      </c>
      <c r="C63" s="5" t="inlineStr">
        <is>
          <t>台帳同期 単体テスト</t>
        </is>
      </c>
      <c r="D63" s="5" t="inlineStr">
        <is>
          <t>新規作成 / 更新 / ETag 競合（412）/ 中央管理項目（alertRouting・enabled）を上書きしないこと</t>
        </is>
      </c>
      <c r="E63" s="5" t="inlineStr">
        <is>
          <t>C6-i</t>
        </is>
      </c>
      <c r="F63" s="52" t="n"/>
      <c r="G63" s="135" t="n">
        <v>1</v>
      </c>
      <c r="H63" s="81" t="n">
        <v>0.125</v>
      </c>
      <c r="I63" s="40" t="n"/>
      <c r="J63" s="40" t="n"/>
      <c r="K63" s="40" t="n"/>
      <c r="L63" s="40" t="n"/>
      <c r="M63" s="40" t="n"/>
    </row>
    <row r="64" ht="63" customHeight="1" s="134">
      <c r="A64" s="52" t="inlineStr">
        <is>
          <t>C7-d</t>
        </is>
      </c>
      <c r="B64" s="5" t="inlineStr">
        <is>
          <t>機能実装</t>
        </is>
      </c>
      <c r="C64" s="5" t="inlineStr">
        <is>
          <t>spec 配置 設計</t>
        </is>
      </c>
      <c r="D64" s="5" t="inlineStr">
        <is>
          <t>openapi.yaml GetObject → openapi/ Put のキー導出・上書き仕様。【補足】spec＝API 仕様書（openapi.yaml。どんな endpoint があるかの一覧）。検査 Lambda が「どこを叩くか」を知るための情報源で、認証構成情報連携バケットから取得して中央の S3 にコピーしておく</t>
        </is>
      </c>
      <c r="E64" s="5" t="inlineStr">
        <is>
          <t>C5-d</t>
        </is>
      </c>
      <c r="F64" s="52" t="n"/>
      <c r="G64" s="135" t="n">
        <v>0.5</v>
      </c>
      <c r="H64" s="81" t="n">
        <v>0.0625</v>
      </c>
      <c r="I64" s="40" t="n"/>
      <c r="J64" s="40" t="n"/>
      <c r="K64" s="40" t="n"/>
      <c r="L64" s="40" t="n"/>
      <c r="M64" s="40" t="n"/>
    </row>
    <row r="65" ht="21" customHeight="1" s="134">
      <c r="A65" s="52" t="inlineStr">
        <is>
          <t>C7-i</t>
        </is>
      </c>
      <c r="B65" s="5" t="inlineStr">
        <is>
          <t>機能実装</t>
        </is>
      </c>
      <c r="C65" s="5" t="inlineStr">
        <is>
          <t>spec 配置 実装</t>
        </is>
      </c>
      <c r="D65" s="5" t="inlineStr">
        <is>
          <t>上記の実装</t>
        </is>
      </c>
      <c r="E65" s="5" t="inlineStr">
        <is>
          <t>C7-d</t>
        </is>
      </c>
      <c r="F65" s="52" t="n"/>
      <c r="G65" s="135" t="n">
        <v>2</v>
      </c>
      <c r="H65" s="81" t="n">
        <v>0.25</v>
      </c>
      <c r="I65" s="40" t="n"/>
      <c r="J65" s="40" t="n"/>
      <c r="K65" s="40" t="n"/>
      <c r="L65" s="40" t="n"/>
      <c r="M65" s="40" t="n"/>
    </row>
    <row r="66" ht="21" customHeight="1" s="134">
      <c r="A66" s="52" t="inlineStr">
        <is>
          <t>C7-t</t>
        </is>
      </c>
      <c r="B66" s="5" t="inlineStr">
        <is>
          <t>テスト</t>
        </is>
      </c>
      <c r="C66" s="5" t="inlineStr">
        <is>
          <t>spec 配置 単体テスト</t>
        </is>
      </c>
      <c r="D66" s="5" t="inlineStr">
        <is>
          <t>配置キーの正当性・spec 未指定時の挙動</t>
        </is>
      </c>
      <c r="E66" s="5" t="inlineStr">
        <is>
          <t>C7-i</t>
        </is>
      </c>
      <c r="F66" s="52" t="n"/>
      <c r="G66" s="135" t="n">
        <v>0.5</v>
      </c>
      <c r="H66" s="81" t="n">
        <v>0.0625</v>
      </c>
      <c r="I66" s="40" t="n"/>
      <c r="J66" s="40" t="n"/>
      <c r="K66" s="40" t="n"/>
      <c r="L66" s="40" t="n"/>
      <c r="M66" s="40" t="n"/>
    </row>
    <row r="67" ht="105" customHeight="1" s="134">
      <c r="A67" s="52" t="inlineStr">
        <is>
          <t>C8-d</t>
        </is>
      </c>
      <c r="B67" s="5" t="inlineStr">
        <is>
          <t>機能実装</t>
        </is>
      </c>
      <c r="C67" s="5" t="inlineStr">
        <is>
          <t>自動差分検査（モード1）起動 設計</t>
        </is>
      </c>
      <c r="D67" s="5" t="inlineStr">
        <is>
          <t>非同期 Event invoke（payload 仕様・分割起動・DLQ は A5）。【補足】自動差分検査（モード1）＝1 時間毎の巡回で「変更のあったアプリだけ」を自動検査する実行モード（全量検査（モード2）＝運用者が手動で全アプリ全量を検査するモードと対をなす）。自動差分検査（モード1）起動＝対象検索 Lambda が変更を見つけたアプリを対象に、検査 Lambda を呼び出すこと</t>
        </is>
      </c>
      <c r="E67" s="5" t="inlineStr">
        <is>
          <t>C0-d</t>
        </is>
      </c>
      <c r="F67" s="52" t="n"/>
      <c r="G67" s="135" t="n">
        <v>0.5</v>
      </c>
      <c r="H67" s="81" t="n">
        <v>0.0625</v>
      </c>
      <c r="I67" s="40" t="n"/>
      <c r="J67" s="40" t="n"/>
      <c r="K67" s="40" t="n"/>
      <c r="L67" s="40" t="n"/>
      <c r="M67" s="40" t="n"/>
    </row>
    <row r="68" ht="21" customHeight="1" s="134">
      <c r="A68" s="52" t="inlineStr">
        <is>
          <t>C8-i</t>
        </is>
      </c>
      <c r="B68" s="5" t="inlineStr">
        <is>
          <t>機能実装</t>
        </is>
      </c>
      <c r="C68" s="5" t="inlineStr">
        <is>
          <t>自動差分検査（モード1）起動 実装</t>
        </is>
      </c>
      <c r="D68" s="5" t="inlineStr">
        <is>
          <t>上記の実装</t>
        </is>
      </c>
      <c r="E68" s="5" t="inlineStr">
        <is>
          <t>C8-d</t>
        </is>
      </c>
      <c r="F68" s="52" t="n"/>
      <c r="G68" s="135" t="n">
        <v>2</v>
      </c>
      <c r="H68" s="81" t="n">
        <v>0.25</v>
      </c>
      <c r="I68" s="40" t="n"/>
      <c r="J68" s="40" t="n"/>
      <c r="K68" s="40" t="n"/>
      <c r="L68" s="40" t="n"/>
      <c r="M68" s="40" t="n"/>
    </row>
    <row r="69" ht="42" customHeight="1" s="134">
      <c r="A69" s="52" t="inlineStr">
        <is>
          <t>C8-t</t>
        </is>
      </c>
      <c r="B69" s="5" t="inlineStr">
        <is>
          <t>テスト</t>
        </is>
      </c>
      <c r="C69" s="5" t="inlineStr">
        <is>
          <t>自動差分検査（モード1）起動 単体テスト</t>
        </is>
      </c>
      <c r="D69" s="5" t="inlineStr">
        <is>
          <t>起動 payload・複数アプリ変更時の多重起動</t>
        </is>
      </c>
      <c r="E69" s="5" t="inlineStr">
        <is>
          <t>C8-i</t>
        </is>
      </c>
      <c r="F69" s="52" t="n"/>
      <c r="G69" s="135" t="n">
        <v>0.5</v>
      </c>
      <c r="H69" s="81" t="n">
        <v>0.0625</v>
      </c>
      <c r="I69" s="40" t="n"/>
      <c r="J69" s="40" t="n"/>
      <c r="K69" s="40" t="n"/>
      <c r="L69" s="40" t="n"/>
      <c r="M69" s="40" t="n"/>
    </row>
    <row r="70" ht="84" customHeight="1" s="134">
      <c r="A70" s="52" t="inlineStr">
        <is>
          <t>C9-d</t>
        </is>
      </c>
      <c r="B70" s="5" t="inlineStr">
        <is>
          <t>機能実装</t>
        </is>
      </c>
      <c r="C70" s="5" t="inlineStr">
        <is>
          <t>消滅検知・staleness 検知 設計</t>
        </is>
      </c>
      <c r="D70" s="5" t="inlineStr">
        <is>
          <t>認証構成情報（monitoring.yaml）消滅 → enabled=false + 棚卸しアラート（SNS P2）の判定・通知文面。staleness 検知（認証構成情報の最終更新が閾値超 → 棚卸しアラート。アップロード忘れの補助検知、17 §17.2.2）。【補足】消滅検知＝前回まで存在した認証構成情報が無くなった（＝アプリ廃止の可能性）ことを検出し、監視を自動停止したうえで「本当に廃止か」の確認を人に促す仕組み</t>
        </is>
      </c>
      <c r="E70" s="5" t="inlineStr">
        <is>
          <t>C3-d</t>
        </is>
      </c>
      <c r="F70" s="52" t="n"/>
      <c r="G70" s="135" t="n">
        <v>0.5</v>
      </c>
      <c r="H70" s="81" t="n">
        <v>0.0625</v>
      </c>
      <c r="I70" s="40" t="n"/>
      <c r="J70" s="40" t="n"/>
      <c r="K70" s="40" t="n"/>
      <c r="L70" s="40" t="n"/>
      <c r="M70" s="40" t="n"/>
    </row>
    <row r="71" ht="21" customHeight="1" s="134">
      <c r="A71" s="52" t="inlineStr">
        <is>
          <t>C9-i</t>
        </is>
      </c>
      <c r="B71" s="5" t="inlineStr">
        <is>
          <t>機能実装</t>
        </is>
      </c>
      <c r="C71" s="5" t="inlineStr">
        <is>
          <t>消滅検知・staleness 検知 実装</t>
        </is>
      </c>
      <c r="D71" s="5" t="inlineStr">
        <is>
          <t>上記の実装</t>
        </is>
      </c>
      <c r="E71" s="5" t="inlineStr">
        <is>
          <t>C9-d</t>
        </is>
      </c>
      <c r="F71" s="52" t="n"/>
      <c r="G71" s="135" t="n">
        <v>2</v>
      </c>
      <c r="H71" s="81" t="n">
        <v>0.25</v>
      </c>
      <c r="I71" s="40" t="n"/>
      <c r="J71" s="40" t="n"/>
      <c r="K71" s="40" t="n"/>
      <c r="L71" s="40" t="n"/>
      <c r="M71" s="40" t="n"/>
    </row>
    <row r="72" ht="42" customHeight="1" s="134">
      <c r="A72" s="52" t="inlineStr">
        <is>
          <t>C9-t</t>
        </is>
      </c>
      <c r="B72" s="5" t="inlineStr">
        <is>
          <t>テスト</t>
        </is>
      </c>
      <c r="C72" s="5" t="inlineStr">
        <is>
          <t>消滅検知・staleness 検知 単体テスト</t>
        </is>
      </c>
      <c r="D72" s="5" t="inlineStr">
        <is>
          <t>認証構成情報一式の削除 / monitoring.yaml のみ削除 / 一時的な取得失敗と消滅の区別 / staleness 閾値超過</t>
        </is>
      </c>
      <c r="E72" s="5" t="inlineStr">
        <is>
          <t>C9-i</t>
        </is>
      </c>
      <c r="F72" s="52" t="n"/>
      <c r="G72" s="135" t="n">
        <v>1</v>
      </c>
      <c r="H72" s="81" t="n">
        <v>0.125</v>
      </c>
      <c r="I72" s="40" t="n"/>
      <c r="J72" s="40" t="n"/>
      <c r="K72" s="40" t="n"/>
      <c r="L72" s="40" t="n"/>
      <c r="M72" s="40" t="n"/>
    </row>
    <row r="73" ht="84" customHeight="1" s="134">
      <c r="A73" s="52" t="inlineStr">
        <is>
          <t>C10-d</t>
        </is>
      </c>
      <c r="B73" s="5" t="inlineStr">
        <is>
          <t>機能実装</t>
        </is>
      </c>
      <c r="C73" s="5" t="inlineStr">
        <is>
          <t>メタ不足アラート 設計</t>
        </is>
      </c>
      <c r="D73" s="5" t="inlineStr">
        <is>
          <t>不備種別ごとの通知文面・SNS P2 Publish・再通知抑制（毎巡回で重複させない）。【補足】メタ不足＝監視に必要な設定情報（monitoring.yaml そのもの、あるいは検査先 URL・認証方式などの項目）が欠けていて、正しく検査できない状態。放置すると「監視されないアプリ」が生まれるため、アラートで気づかせて設定を直させる</t>
        </is>
      </c>
      <c r="E73" s="5" t="inlineStr">
        <is>
          <t>C5-d</t>
        </is>
      </c>
      <c r="F73" s="52" t="n"/>
      <c r="G73" s="135" t="n">
        <v>0.5</v>
      </c>
      <c r="H73" s="81" t="n">
        <v>0.0625</v>
      </c>
      <c r="I73" s="40" t="n"/>
      <c r="J73" s="40" t="n"/>
      <c r="K73" s="40" t="n"/>
      <c r="L73" s="40" t="n"/>
      <c r="M73" s="40" t="n"/>
    </row>
    <row r="74" ht="21" customHeight="1" s="134">
      <c r="A74" s="52" t="inlineStr">
        <is>
          <t>C10-i</t>
        </is>
      </c>
      <c r="B74" s="5" t="inlineStr">
        <is>
          <t>機能実装</t>
        </is>
      </c>
      <c r="C74" s="5" t="inlineStr">
        <is>
          <t>メタ不足アラート 実装</t>
        </is>
      </c>
      <c r="D74" s="5" t="inlineStr">
        <is>
          <t>上記の実装</t>
        </is>
      </c>
      <c r="E74" s="5" t="inlineStr">
        <is>
          <t>C10-d</t>
        </is>
      </c>
      <c r="F74" s="52" t="n"/>
      <c r="G74" s="135" t="n">
        <v>2</v>
      </c>
      <c r="H74" s="81" t="n">
        <v>0.25</v>
      </c>
      <c r="I74" s="40" t="n"/>
      <c r="J74" s="40" t="n"/>
      <c r="K74" s="40" t="n"/>
      <c r="L74" s="40" t="n"/>
      <c r="M74" s="40" t="n"/>
    </row>
    <row r="75" ht="21" customHeight="1" s="134">
      <c r="A75" s="52" t="inlineStr">
        <is>
          <t>C10-t</t>
        </is>
      </c>
      <c r="B75" s="5" t="inlineStr">
        <is>
          <t>テスト</t>
        </is>
      </c>
      <c r="C75" s="5" t="inlineStr">
        <is>
          <t>メタ不足アラート 単体テスト</t>
        </is>
      </c>
      <c r="D75" s="5" t="inlineStr">
        <is>
          <t>各不備種別の通知・同一不備の重複抑制</t>
        </is>
      </c>
      <c r="E75" s="5" t="inlineStr">
        <is>
          <t>C10-i</t>
        </is>
      </c>
      <c r="F75" s="52" t="n"/>
      <c r="G75" s="135" t="n">
        <v>0.5</v>
      </c>
      <c r="H75" s="81" t="n">
        <v>0.0625</v>
      </c>
      <c r="I75" s="40" t="n"/>
      <c r="J75" s="40" t="n"/>
      <c r="K75" s="40" t="n"/>
      <c r="L75" s="40" t="n"/>
      <c r="M75" s="40" t="n"/>
    </row>
    <row r="76" ht="63" customHeight="1" s="134">
      <c r="A76" s="52" t="inlineStr">
        <is>
          <t>C11-d</t>
        </is>
      </c>
      <c r="B76" s="5" t="inlineStr">
        <is>
          <t>機能実装</t>
        </is>
      </c>
      <c r="C76" s="5" t="inlineStr">
        <is>
          <t>部分失敗分離 設計</t>
        </is>
      </c>
      <c r="D76" s="5" t="inlineStr">
        <is>
          <t>アカウント単位 try-catch 継続・AccountErrors 集計・ログ出力。【補足】部分失敗分離＝一部のアカウントで読み取りに失敗しても巡回全体を止めず、残りのアカウントは処理を続けること（失敗はメトリクスで通知し、次の巡回で自然に再試行される）</t>
        </is>
      </c>
      <c r="E76" s="5" t="inlineStr">
        <is>
          <t>C0-d</t>
        </is>
      </c>
      <c r="F76" s="52" t="n"/>
      <c r="G76" s="135" t="n">
        <v>0.5</v>
      </c>
      <c r="H76" s="81" t="n">
        <v>0.0625</v>
      </c>
      <c r="I76" s="40" t="n"/>
      <c r="J76" s="40" t="n"/>
      <c r="K76" s="40" t="n"/>
      <c r="L76" s="40" t="n"/>
      <c r="M76" s="40" t="n"/>
    </row>
    <row r="77" ht="21" customHeight="1" s="134">
      <c r="A77" s="52" t="inlineStr">
        <is>
          <t>C11-i</t>
        </is>
      </c>
      <c r="B77" s="5" t="inlineStr">
        <is>
          <t>機能実装</t>
        </is>
      </c>
      <c r="C77" s="5" t="inlineStr">
        <is>
          <t>部分失敗分離 実装</t>
        </is>
      </c>
      <c r="D77" s="5" t="inlineStr">
        <is>
          <t>上記の実装（B1-i の 発行と連動）</t>
        </is>
      </c>
      <c r="E77" s="5" t="inlineStr">
        <is>
          <t>C11-d</t>
        </is>
      </c>
      <c r="F77" s="52" t="n"/>
      <c r="G77" s="135" t="n">
        <v>2</v>
      </c>
      <c r="H77" s="81" t="n">
        <v>0.25</v>
      </c>
      <c r="I77" s="40" t="n"/>
      <c r="J77" s="40" t="n"/>
      <c r="K77" s="40" t="n"/>
      <c r="L77" s="40" t="n"/>
      <c r="M77" s="40" t="n"/>
    </row>
    <row r="78" ht="21" customHeight="1" s="134">
      <c r="A78" s="52" t="inlineStr">
        <is>
          <t>C11-t</t>
        </is>
      </c>
      <c r="B78" s="5" t="inlineStr">
        <is>
          <t>テスト</t>
        </is>
      </c>
      <c r="C78" s="5" t="inlineStr">
        <is>
          <t>部分失敗分離 単体テスト</t>
        </is>
      </c>
      <c r="D78" s="5" t="inlineStr">
        <is>
          <t>1 アカウント失敗時に他アカウントが完走・メトリクス値</t>
        </is>
      </c>
      <c r="E78" s="5" t="inlineStr">
        <is>
          <t>C11-i</t>
        </is>
      </c>
      <c r="F78" s="52" t="n"/>
      <c r="G78" s="135" t="n">
        <v>1</v>
      </c>
      <c r="H78" s="81" t="n">
        <v>0.125</v>
      </c>
      <c r="I78" s="40" t="n"/>
      <c r="J78" s="40" t="n"/>
      <c r="K78" s="40" t="n"/>
      <c r="L78" s="40" t="n"/>
      <c r="M78" s="40" t="n"/>
    </row>
    <row r="79" ht="63" customHeight="1" s="134">
      <c r="A79" s="82" t="inlineStr">
        <is>
          <t>小計 W2-C（対象検索 Lambda）</t>
        </is>
      </c>
      <c r="B79" s="83" t="n"/>
      <c r="C79" s="83" t="n"/>
      <c r="D79" s="83" t="n"/>
      <c r="E79" s="83" t="n"/>
      <c r="F79" s="84" t="n"/>
      <c r="G79" s="136">
        <f>SUM(G48:G78)</f>
        <v/>
      </c>
      <c r="H79" s="86">
        <f>SUM(H48:H78)</f>
        <v/>
      </c>
      <c r="I79" s="83" t="n"/>
      <c r="J79" s="83" t="n"/>
      <c r="K79" s="83" t="n"/>
      <c r="L79" s="83" t="n"/>
      <c r="M79" s="83" t="n"/>
    </row>
    <row r="80" ht="42" customHeight="1" s="134">
      <c r="A80" s="52" t="inlineStr">
        <is>
          <t>K0-d</t>
        </is>
      </c>
      <c r="B80" s="5" t="inlineStr">
        <is>
          <t>機能実装</t>
        </is>
      </c>
      <c r="C80" s="5" t="inlineStr">
        <is>
          <t>検査 Lambda 全体設計</t>
        </is>
      </c>
      <c r="D80" s="5" t="inlineStr">
        <is>
          <t>処理設計書: mode 分岐（delta / full）シーケンス / 分割起動 自己 invokeの設計 / 検査 実行フロー（P1〜P6 展開）/ 環境変数一覧 / エラー方針</t>
        </is>
      </c>
      <c r="E80" s="5" t="inlineStr">
        <is>
          <t>—</t>
        </is>
      </c>
      <c r="F80" s="52" t="n"/>
      <c r="G80" s="135" t="n">
        <v>4</v>
      </c>
      <c r="H80" s="81" t="n">
        <v>0.5</v>
      </c>
      <c r="I80" s="40" t="n"/>
      <c r="J80" s="40" t="n"/>
      <c r="K80" s="40" t="n"/>
      <c r="L80" s="40" t="n"/>
      <c r="M80" s="40" t="n"/>
    </row>
    <row r="81" ht="21" customHeight="1" s="134">
      <c r="A81" s="52" t="inlineStr">
        <is>
          <t>K1-d</t>
        </is>
      </c>
      <c r="B81" s="5" t="inlineStr">
        <is>
          <t>機能実装</t>
        </is>
      </c>
      <c r="C81" s="5" t="inlineStr">
        <is>
          <t>ハンドラ 転用 設計</t>
        </is>
      </c>
      <c r="D81" s="5" t="inlineStr">
        <is>
          <t>index.js → Lambda ハンドラ 化・synthetics 抽象を https 実装で注入する構造</t>
        </is>
      </c>
      <c r="E81" s="5" t="inlineStr">
        <is>
          <t>K0-d</t>
        </is>
      </c>
      <c r="F81" s="52" t="n"/>
      <c r="G81" s="135" t="n">
        <v>1</v>
      </c>
      <c r="H81" s="81" t="n">
        <v>0.125</v>
      </c>
      <c r="I81" s="40" t="n"/>
      <c r="J81" s="40" t="n"/>
      <c r="K81" s="40" t="n"/>
      <c r="L81" s="40" t="n"/>
      <c r="M81" s="40" t="n"/>
    </row>
    <row r="82" ht="21" customHeight="1" s="134">
      <c r="A82" s="52" t="inlineStr">
        <is>
          <t>K1-i</t>
        </is>
      </c>
      <c r="B82" s="5" t="inlineStr">
        <is>
          <t>機能実装</t>
        </is>
      </c>
      <c r="C82" s="5" t="inlineStr">
        <is>
          <t>ハンドラ 転用 実装</t>
        </is>
      </c>
      <c r="D82" s="5" t="inlineStr">
        <is>
          <t>上記の実装</t>
        </is>
      </c>
      <c r="E82" s="5" t="inlineStr">
        <is>
          <t>K1-d</t>
        </is>
      </c>
      <c r="F82" s="52" t="n"/>
      <c r="G82" s="135" t="n">
        <v>4</v>
      </c>
      <c r="H82" s="81" t="n">
        <v>0.5</v>
      </c>
      <c r="I82" s="40" t="n"/>
      <c r="J82" s="40" t="n"/>
      <c r="K82" s="40" t="n"/>
      <c r="L82" s="40" t="n"/>
      <c r="M82" s="40" t="n"/>
    </row>
    <row r="83" ht="21" customHeight="1" s="134">
      <c r="A83" s="52" t="inlineStr">
        <is>
          <t>K1-t</t>
        </is>
      </c>
      <c r="B83" s="5" t="inlineStr">
        <is>
          <t>テスト</t>
        </is>
      </c>
      <c r="C83" s="5" t="inlineStr">
        <is>
          <t>ハンドラ 転用 単体テスト</t>
        </is>
      </c>
      <c r="D83" s="5" t="inlineStr">
        <is>
          <t>ハンドラ 起動・https 注入の動作（既存 probe-integration の手法流用）</t>
        </is>
      </c>
      <c r="E83" s="5" t="inlineStr">
        <is>
          <t>K1-i</t>
        </is>
      </c>
      <c r="F83" s="52" t="n"/>
      <c r="G83" s="135" t="n">
        <v>1</v>
      </c>
      <c r="H83" s="81" t="n">
        <v>0.125</v>
      </c>
      <c r="I83" s="40" t="n"/>
      <c r="J83" s="40" t="n"/>
      <c r="K83" s="40" t="n"/>
      <c r="L83" s="40" t="n"/>
      <c r="M83" s="40" t="n"/>
    </row>
    <row r="84" ht="63" customHeight="1" s="134">
      <c r="A84" s="52" t="inlineStr">
        <is>
          <t>K2-d</t>
        </is>
      </c>
      <c r="B84" s="5" t="inlineStr">
        <is>
          <t>機能実装</t>
        </is>
      </c>
      <c r="C84" s="5" t="inlineStr">
        <is>
          <t>mode 分岐・分割起動 設計</t>
        </is>
      </c>
      <c r="D84" s="5" t="inlineStr">
        <is>
          <t>delta（1 アプリ）/ full（台帳 List → アプリ単位に自己 invoke）の仕様。【補足】分割起動＝1 つの処理が対象ごとに自分自身を並列で呼び出して分担する方式。全アプリを 1 回の実行で回すと Lambda の制限時間（15 分）を超え得るため、アプリ単位に分けて起動する</t>
        </is>
      </c>
      <c r="E84" s="5" t="inlineStr">
        <is>
          <t>K0-d</t>
        </is>
      </c>
      <c r="F84" s="52" t="n"/>
      <c r="G84" s="135" t="n">
        <v>1</v>
      </c>
      <c r="H84" s="81" t="n">
        <v>0.125</v>
      </c>
      <c r="I84" s="40" t="n"/>
      <c r="J84" s="40" t="n"/>
      <c r="K84" s="40" t="n"/>
      <c r="L84" s="40" t="n"/>
      <c r="M84" s="40" t="n"/>
    </row>
    <row r="85" ht="21" customHeight="1" s="134">
      <c r="A85" s="52" t="inlineStr">
        <is>
          <t>K2-i</t>
        </is>
      </c>
      <c r="B85" s="5" t="inlineStr">
        <is>
          <t>機能実装</t>
        </is>
      </c>
      <c r="C85" s="5" t="inlineStr">
        <is>
          <t>mode 分岐・分割起動 実装</t>
        </is>
      </c>
      <c r="D85" s="5" t="inlineStr">
        <is>
          <t>上記の実装</t>
        </is>
      </c>
      <c r="E85" s="5" t="inlineStr">
        <is>
          <t>K2-d</t>
        </is>
      </c>
      <c r="F85" s="52" t="n"/>
      <c r="G85" s="135" t="n">
        <v>4</v>
      </c>
      <c r="H85" s="81" t="n">
        <v>0.5</v>
      </c>
      <c r="I85" s="40" t="n"/>
      <c r="J85" s="40" t="n"/>
      <c r="K85" s="40" t="n"/>
      <c r="L85" s="40" t="n"/>
      <c r="M85" s="40" t="n"/>
    </row>
    <row r="86" ht="21" customHeight="1" s="134">
      <c r="A86" s="52" t="inlineStr">
        <is>
          <t>K2-t</t>
        </is>
      </c>
      <c r="B86" s="5" t="inlineStr">
        <is>
          <t>テスト</t>
        </is>
      </c>
      <c r="C86" s="5" t="inlineStr">
        <is>
          <t>mode 分岐・分割起動 単体テスト</t>
        </is>
      </c>
      <c r="D86" s="5" t="inlineStr">
        <is>
          <t>delta 1 件 / full n 件 分割起動 / 空台帳</t>
        </is>
      </c>
      <c r="E86" s="5" t="inlineStr">
        <is>
          <t>K2-i</t>
        </is>
      </c>
      <c r="F86" s="52" t="n"/>
      <c r="G86" s="135" t="n">
        <v>1</v>
      </c>
      <c r="H86" s="81" t="n">
        <v>0.125</v>
      </c>
      <c r="I86" s="40" t="n"/>
      <c r="J86" s="40" t="n"/>
      <c r="K86" s="40" t="n"/>
      <c r="L86" s="40" t="n"/>
      <c r="M86" s="40" t="n"/>
    </row>
    <row r="87" ht="21" customHeight="1" s="134">
      <c r="A87" s="52" t="inlineStr">
        <is>
          <t>K3-d</t>
        </is>
      </c>
      <c r="B87" s="5" t="inlineStr">
        <is>
          <t>機能実装</t>
        </is>
      </c>
      <c r="C87" s="5" t="inlineStr">
        <is>
          <t>検査 識別ヘッダ 設計</t>
        </is>
      </c>
      <c r="D87" s="5" t="inlineStr">
        <is>
          <t>X-Auth-Probe 付与位置・secret 参照（A11）・ローテ時の追従</t>
        </is>
      </c>
      <c r="E87" s="5" t="inlineStr">
        <is>
          <t>K0-d</t>
        </is>
      </c>
      <c r="F87" s="52" t="n"/>
      <c r="G87" s="135" t="n">
        <v>0.5</v>
      </c>
      <c r="H87" s="81" t="n">
        <v>0.0625</v>
      </c>
      <c r="I87" s="40" t="n"/>
      <c r="J87" s="40" t="n"/>
      <c r="K87" s="40" t="n"/>
      <c r="L87" s="40" t="n"/>
      <c r="M87" s="40" t="n"/>
    </row>
    <row r="88" ht="21" customHeight="1" s="134">
      <c r="A88" s="52" t="inlineStr">
        <is>
          <t>K3-i</t>
        </is>
      </c>
      <c r="B88" s="5" t="inlineStr">
        <is>
          <t>機能実装</t>
        </is>
      </c>
      <c r="C88" s="5" t="inlineStr">
        <is>
          <t>検査 識別ヘッダ 実装</t>
        </is>
      </c>
      <c r="D88" s="5" t="inlineStr">
        <is>
          <t>上記の実装</t>
        </is>
      </c>
      <c r="E88" s="5" t="inlineStr">
        <is>
          <t>K3-d, A11-i</t>
        </is>
      </c>
      <c r="F88" s="52" t="n"/>
      <c r="G88" s="135" t="n">
        <v>1</v>
      </c>
      <c r="H88" s="81" t="n">
        <v>0.125</v>
      </c>
      <c r="I88" s="40" t="n"/>
      <c r="J88" s="40" t="n"/>
      <c r="K88" s="40" t="n"/>
      <c r="L88" s="40" t="n"/>
      <c r="M88" s="40" t="n"/>
    </row>
    <row r="89" ht="21" customHeight="1" s="134">
      <c r="A89" s="52" t="inlineStr">
        <is>
          <t>K3-t</t>
        </is>
      </c>
      <c r="B89" s="5" t="inlineStr">
        <is>
          <t>テスト</t>
        </is>
      </c>
      <c r="C89" s="5" t="inlineStr">
        <is>
          <t>検査 識別ヘッダ 単体テスト</t>
        </is>
      </c>
      <c r="D89" s="5" t="inlineStr">
        <is>
          <t>ヘッダ付与・secret 未取得時のフェイル動作</t>
        </is>
      </c>
      <c r="E89" s="5" t="inlineStr">
        <is>
          <t>K3-i</t>
        </is>
      </c>
      <c r="F89" s="52" t="n"/>
      <c r="G89" s="135" t="n">
        <v>0.5</v>
      </c>
      <c r="H89" s="81" t="n">
        <v>0.0625</v>
      </c>
      <c r="I89" s="40" t="n"/>
      <c r="J89" s="40" t="n"/>
      <c r="K89" s="40" t="n"/>
      <c r="L89" s="40" t="n"/>
      <c r="M89" s="40" t="n"/>
    </row>
    <row r="90" ht="42" customHeight="1" s="134">
      <c r="A90" s="52" t="inlineStr">
        <is>
          <t>K4-d</t>
        </is>
      </c>
      <c r="B90" s="5" t="inlineStr">
        <is>
          <t>機能実装</t>
        </is>
      </c>
      <c r="C90" s="5" t="inlineStr">
        <is>
          <t>WAF ブロック判定 設計</t>
        </is>
      </c>
      <c r="D90" s="5" t="inlineStr">
        <is>
          <t>WAF / CloudFront 由来 403 の識別条件（ヘッダ・本文）→ WARN「境界でブロック」分類 + Smoke の境界通過確認</t>
        </is>
      </c>
      <c r="E90" s="5" t="inlineStr">
        <is>
          <t>K0-d, W1-2</t>
        </is>
      </c>
      <c r="F90" s="52" t="n"/>
      <c r="G90" s="135" t="n">
        <v>1</v>
      </c>
      <c r="H90" s="81" t="n">
        <v>0.125</v>
      </c>
      <c r="I90" s="40" t="n"/>
      <c r="J90" s="40" t="n"/>
      <c r="K90" s="40" t="n"/>
      <c r="L90" s="40" t="n"/>
      <c r="M90" s="40" t="n"/>
    </row>
    <row r="91" ht="21" customHeight="1" s="134">
      <c r="A91" s="52" t="inlineStr">
        <is>
          <t>K4-i</t>
        </is>
      </c>
      <c r="B91" s="5" t="inlineStr">
        <is>
          <t>機能実装</t>
        </is>
      </c>
      <c r="C91" s="5" t="inlineStr">
        <is>
          <t>WAF ブロック判定 実装</t>
        </is>
      </c>
      <c r="D91" s="5" t="inlineStr">
        <is>
          <t>分類 拡張 + Smoke 拡張</t>
        </is>
      </c>
      <c r="E91" s="5" t="inlineStr">
        <is>
          <t>K4-d</t>
        </is>
      </c>
      <c r="F91" s="52" t="n"/>
      <c r="G91" s="135" t="n">
        <v>4</v>
      </c>
      <c r="H91" s="81" t="n">
        <v>0.5</v>
      </c>
      <c r="I91" s="40" t="n"/>
      <c r="J91" s="40" t="n"/>
      <c r="K91" s="40" t="n"/>
      <c r="L91" s="40" t="n"/>
      <c r="M91" s="40" t="n"/>
    </row>
    <row r="92" ht="21" customHeight="1" s="134">
      <c r="A92" s="52" t="inlineStr">
        <is>
          <t>K4-t</t>
        </is>
      </c>
      <c r="B92" s="5" t="inlineStr">
        <is>
          <t>テスト</t>
        </is>
      </c>
      <c r="C92" s="5" t="inlineStr">
        <is>
          <t>WAF ブロック判定 単体テスト</t>
        </is>
      </c>
      <c r="D92" s="5" t="inlineStr">
        <is>
          <t>WAF 403 → WARN（CRITICAL / OK にならない）/ アプリ 403 → 従来分類の分離確認</t>
        </is>
      </c>
      <c r="E92" s="5" t="inlineStr">
        <is>
          <t>K4-i</t>
        </is>
      </c>
      <c r="F92" s="52" t="n"/>
      <c r="G92" s="135" t="n">
        <v>1.5</v>
      </c>
      <c r="H92" s="81" t="n">
        <v>0.1875</v>
      </c>
      <c r="I92" s="40" t="n"/>
      <c r="J92" s="40" t="n"/>
      <c r="K92" s="40" t="n"/>
      <c r="L92" s="40" t="n"/>
      <c r="M92" s="40" t="n"/>
    </row>
    <row r="93" ht="63" customHeight="1" s="134">
      <c r="A93" s="82" t="inlineStr">
        <is>
          <t>小計 W2-C（検査 Lambda）</t>
        </is>
      </c>
      <c r="B93" s="83" t="n"/>
      <c r="C93" s="83" t="n"/>
      <c r="D93" s="83" t="n"/>
      <c r="E93" s="83" t="n"/>
      <c r="F93" s="84" t="n"/>
      <c r="G93" s="136">
        <f>SUM(G80:G92)</f>
        <v/>
      </c>
      <c r="H93" s="86">
        <f>SUM(H80:H92)</f>
        <v/>
      </c>
      <c r="I93" s="83" t="n"/>
      <c r="J93" s="83" t="n"/>
      <c r="K93" s="83" t="n"/>
      <c r="L93" s="83" t="n"/>
      <c r="M93" s="83" t="n"/>
    </row>
    <row r="94" ht="105" customHeight="1" s="134">
      <c r="A94" s="52" t="inlineStr">
        <is>
          <t>R0-d</t>
        </is>
      </c>
      <c r="B94" s="5" t="inlineStr">
        <is>
          <t>改修</t>
        </is>
      </c>
      <c r="C94" s="5" t="inlineStr">
        <is>
          <t>S3 化改修 設計</t>
        </is>
      </c>
      <c r="D94" s="5" t="inlineStr">
        <is>
          <t>registry.js / alert-router / emit.js の影響調査と改修方針メモ（呼出箇所・テスト影響一覧）。【補足】改修＝設計変更ではない。検証のため設計確定前に作った参考実装（動作検証済み・テスト 46 本）の台帳読み取り部だけが旧 DynamoDB 前提のため、確定済みの現行設計（S3 台帳）に合わせて手直しして流用する。中核ロジック（検査・分類・通知振り分け）はそのまま活きる</t>
        </is>
      </c>
      <c r="E94" s="5" t="inlineStr">
        <is>
          <t>—</t>
        </is>
      </c>
      <c r="F94" s="52" t="n"/>
      <c r="G94" s="135" t="n">
        <v>2</v>
      </c>
      <c r="H94" s="81" t="n">
        <v>0.25</v>
      </c>
      <c r="I94" s="40" t="n"/>
      <c r="J94" s="40" t="n"/>
      <c r="K94" s="40" t="n"/>
      <c r="L94" s="40" t="n"/>
      <c r="M94" s="40" t="n"/>
    </row>
    <row r="95" ht="21" customHeight="1" s="134">
      <c r="A95" s="52" t="inlineStr">
        <is>
          <t>R1-i</t>
        </is>
      </c>
      <c r="B95" s="5" t="inlineStr">
        <is>
          <t>改修</t>
        </is>
      </c>
      <c r="C95" s="5" t="inlineStr">
        <is>
          <t>registry.js S3 化 実装+UT</t>
        </is>
      </c>
      <c r="D95" s="5" t="inlineStr">
        <is>
          <t>DynamoDB Scan → S3 List/Get（M-Q-12-3）。単体テスト更新込み</t>
        </is>
      </c>
      <c r="E95" s="5" t="inlineStr">
        <is>
          <t>R0-d, A1-i</t>
        </is>
      </c>
      <c r="F95" s="52" t="n"/>
      <c r="G95" s="135" t="n">
        <v>5</v>
      </c>
      <c r="H95" s="81" t="n">
        <v>0.625</v>
      </c>
      <c r="I95" s="40" t="n"/>
      <c r="J95" s="40" t="n"/>
      <c r="K95" s="40" t="n"/>
      <c r="L95" s="40" t="n"/>
      <c r="M95" s="40" t="n"/>
    </row>
    <row r="96" ht="21" customHeight="1" s="134">
      <c r="A96" s="52" t="inlineStr">
        <is>
          <t>R2-i</t>
        </is>
      </c>
      <c r="B96" s="5" t="inlineStr">
        <is>
          <t>改修</t>
        </is>
      </c>
      <c r="C96" s="5" t="inlineStr">
        <is>
          <t>alert-router S3 化 実装+UT</t>
        </is>
      </c>
      <c r="D96" s="5" t="inlineStr">
        <is>
          <t>通知先解決 GetItem → GetObject。既存 19 テストの更新込み</t>
        </is>
      </c>
      <c r="E96" s="5" t="inlineStr">
        <is>
          <t>R0-d, A1-i</t>
        </is>
      </c>
      <c r="F96" s="52" t="n"/>
      <c r="G96" s="135" t="n">
        <v>6</v>
      </c>
      <c r="H96" s="81" t="n">
        <v>0.75</v>
      </c>
      <c r="I96" s="40" t="n"/>
      <c r="J96" s="40" t="n"/>
      <c r="K96" s="40" t="n"/>
      <c r="L96" s="40" t="n"/>
      <c r="M96" s="40" t="n"/>
    </row>
    <row r="97" ht="21" customHeight="1" s="134">
      <c r="A97" s="52" t="inlineStr">
        <is>
          <t>R3-i</t>
        </is>
      </c>
      <c r="B97" s="5" t="inlineStr">
        <is>
          <t>改修</t>
        </is>
      </c>
      <c r="C97" s="5" t="inlineStr">
        <is>
          <t>emit.js / 環境変数整理</t>
        </is>
      </c>
      <c r="D97" s="5" t="inlineStr">
        <is>
          <t>DEFAULT_P1/P2/P3_TOPIC_ARN 等の設定整合・確認</t>
        </is>
      </c>
      <c r="E97" s="5" t="inlineStr">
        <is>
          <t>A4-i</t>
        </is>
      </c>
      <c r="F97" s="52" t="n"/>
      <c r="G97" s="135" t="n">
        <v>1</v>
      </c>
      <c r="H97" s="81" t="n">
        <v>0.125</v>
      </c>
      <c r="I97" s="40" t="n"/>
      <c r="J97" s="40" t="n"/>
      <c r="K97" s="40" t="n"/>
      <c r="L97" s="40" t="n"/>
      <c r="M97" s="40" t="n"/>
    </row>
    <row r="98" ht="42" customHeight="1" s="134">
      <c r="A98" s="52" t="inlineStr">
        <is>
          <t>T0-d</t>
        </is>
      </c>
      <c r="B98" s="5" t="inlineStr">
        <is>
          <t>機能実装</t>
        </is>
      </c>
      <c r="C98" s="5" t="inlineStr">
        <is>
          <t>token・ローテ 設計</t>
        </is>
      </c>
      <c r="D98" s="5" t="inlineStr">
        <is>
          <t>短命トークン取得シーケンスの実装割付 + ローテ方式の選定（rotation Lambda か手動手順か）と設計</t>
        </is>
      </c>
      <c r="E98" s="5" t="inlineStr">
        <is>
          <t>W1-4</t>
        </is>
      </c>
      <c r="F98" s="52" t="n"/>
      <c r="G98" s="135" t="n">
        <v>2</v>
      </c>
      <c r="H98" s="81" t="n">
        <v>0.25</v>
      </c>
      <c r="I98" s="40" t="n"/>
      <c r="J98" s="40" t="n"/>
      <c r="K98" s="40" t="n"/>
      <c r="L98" s="40" t="n"/>
      <c r="M98" s="40" t="n"/>
    </row>
    <row r="99" ht="21" customHeight="1" s="134">
      <c r="A99" s="52" t="inlineStr">
        <is>
          <t>T1-i</t>
        </is>
      </c>
      <c r="B99" s="5" t="inlineStr">
        <is>
          <t>機能実装</t>
        </is>
      </c>
      <c r="C99" s="5" t="inlineStr">
        <is>
          <t>token.js 疎通 実装+UT</t>
        </is>
      </c>
      <c r="D99" s="5" t="inlineStr">
        <is>
          <t>実 IdP（W1-4 クライアント）で client_credentials 実挙動・TTL キャッシュ確認。UT 込み</t>
        </is>
      </c>
      <c r="E99" s="5" t="inlineStr">
        <is>
          <t>T0-d, A10-i</t>
        </is>
      </c>
      <c r="F99" s="52" t="n"/>
      <c r="G99" s="135" t="n">
        <v>4</v>
      </c>
      <c r="H99" s="81" t="n">
        <v>0.5</v>
      </c>
      <c r="I99" s="40" t="n"/>
      <c r="J99" s="40" t="n"/>
      <c r="K99" s="40" t="n"/>
      <c r="L99" s="40" t="n"/>
      <c r="M99" s="40" t="n"/>
    </row>
    <row r="100" ht="21" customHeight="1" s="134">
      <c r="A100" s="52" t="inlineStr">
        <is>
          <t>T2-i</t>
        </is>
      </c>
      <c r="B100" s="5" t="inlineStr">
        <is>
          <t>機能実装</t>
        </is>
      </c>
      <c r="C100" s="5" t="inlineStr">
        <is>
          <t>ローテ機構 実装+UT</t>
        </is>
      </c>
      <c r="D100" s="5" t="inlineStr">
        <is>
          <t>選定方式の実装（rotation Lambda の場合。手動選定なら Runbook 化を W4-1 に振替）</t>
        </is>
      </c>
      <c r="E100" s="5" t="inlineStr">
        <is>
          <t>T0-d</t>
        </is>
      </c>
      <c r="F100" s="52" t="n"/>
      <c r="G100" s="135" t="n">
        <v>7</v>
      </c>
      <c r="H100" s="81" t="n">
        <v>0.875</v>
      </c>
      <c r="I100" s="40" t="n"/>
      <c r="J100" s="40" t="n"/>
      <c r="K100" s="40" t="n"/>
      <c r="L100" s="40" t="n"/>
      <c r="M100" s="40" t="n"/>
    </row>
    <row r="101" ht="21" customHeight="1" s="134">
      <c r="A101" s="52" t="inlineStr">
        <is>
          <t>D0-d</t>
        </is>
      </c>
      <c r="B101" s="5" t="inlineStr">
        <is>
          <t>機能実装</t>
        </is>
      </c>
      <c r="C101" s="5" t="inlineStr">
        <is>
          <t>重複抑制 設計（W1-5 で採用時のみ）</t>
        </is>
      </c>
      <c r="D101" s="5" t="inlineStr">
        <is>
          <t>抑制キー（app×endpoint×severity）・24h 窓・状態の S3 保持・解除条件</t>
        </is>
      </c>
      <c r="E101" s="5" t="inlineStr">
        <is>
          <t>W1-5</t>
        </is>
      </c>
      <c r="F101" s="52" t="n"/>
      <c r="G101" s="135" t="n">
        <v>2</v>
      </c>
      <c r="H101" s="81" t="n">
        <v>0.25</v>
      </c>
      <c r="I101" s="40" t="n"/>
      <c r="J101" s="40" t="n"/>
      <c r="K101" s="40" t="n"/>
      <c r="L101" s="40" t="n"/>
      <c r="M101" s="40" t="n"/>
    </row>
    <row r="102" ht="21" customHeight="1" s="134">
      <c r="A102" s="52" t="inlineStr">
        <is>
          <t>D1-i</t>
        </is>
      </c>
      <c r="B102" s="5" t="inlineStr">
        <is>
          <t>機能実装</t>
        </is>
      </c>
      <c r="C102" s="5" t="inlineStr">
        <is>
          <t>重複抑制 実装</t>
        </is>
      </c>
      <c r="D102" s="5" t="inlineStr">
        <is>
          <t>上記の実装</t>
        </is>
      </c>
      <c r="E102" s="5" t="inlineStr">
        <is>
          <t>D0-d</t>
        </is>
      </c>
      <c r="F102" s="52" t="n"/>
      <c r="G102" s="135" t="n">
        <v>8</v>
      </c>
      <c r="H102" s="81" t="n">
        <v>1</v>
      </c>
      <c r="I102" s="40" t="n"/>
      <c r="J102" s="40" t="n"/>
      <c r="K102" s="40" t="n"/>
      <c r="L102" s="40" t="n"/>
      <c r="M102" s="40" t="n"/>
    </row>
    <row r="103" ht="21" customHeight="1" s="134">
      <c r="A103" s="52" t="inlineStr">
        <is>
          <t>D2-t</t>
        </is>
      </c>
      <c r="B103" s="5" t="inlineStr">
        <is>
          <t>テスト</t>
        </is>
      </c>
      <c r="C103" s="5" t="inlineStr">
        <is>
          <t>重複抑制 単体テスト</t>
        </is>
      </c>
      <c r="D103" s="5" t="inlineStr">
        <is>
          <t>抑制・窓超過後の再通知・severity 変化時は抑制しない</t>
        </is>
      </c>
      <c r="E103" s="5" t="inlineStr">
        <is>
          <t>D1-i</t>
        </is>
      </c>
      <c r="F103" s="52" t="n"/>
      <c r="G103" s="135" t="n">
        <v>2</v>
      </c>
      <c r="H103" s="81" t="n">
        <v>0.25</v>
      </c>
      <c r="I103" s="40" t="n"/>
      <c r="J103" s="40" t="n"/>
      <c r="K103" s="40" t="n"/>
      <c r="L103" s="40" t="n"/>
      <c r="M103" s="40" t="n"/>
    </row>
    <row r="104" ht="105" customHeight="1" s="134">
      <c r="A104" s="52" t="inlineStr">
        <is>
          <t>S0-d</t>
        </is>
      </c>
      <c r="B104" s="5" t="inlineStr">
        <is>
          <t>配布物</t>
        </is>
      </c>
      <c r="C104" s="5" t="inlineStr">
        <is>
          <t>DiscoveryReadRole 設計</t>
        </is>
      </c>
      <c r="D104" s="5" t="inlineStr">
        <is>
          <t>ロール設計書: 権限 s3 read 4 アクション（認証構成情報連携バケット限定）・信頼ポリシー（信頼先 1 本 + ExternalId）・全アカウント同一名（16 §16.2 準拠のパラメータシート）。【補足】DiscoveryReadRole＝各 App アカウントに置く「中央からの読み取り窓口」となる IAM ロール（認証構成情報連携バケットの読み取りのみ可。git・AWS 構成は読めない）。StackSets＝CloudFormation を複数アカウントへ一括配布する仕組みで、新規アカウントにも自動で配られる</t>
        </is>
      </c>
      <c r="E104" s="5" t="inlineStr">
        <is>
          <t>—</t>
        </is>
      </c>
      <c r="F104" s="52" t="n"/>
      <c r="G104" s="135" t="n">
        <v>2</v>
      </c>
      <c r="H104" s="81" t="n">
        <v>0.25</v>
      </c>
      <c r="I104" s="40" t="n"/>
      <c r="J104" s="40" t="n"/>
      <c r="K104" s="40" t="n"/>
      <c r="L104" s="40" t="n"/>
      <c r="M104" s="40" t="n"/>
    </row>
    <row r="105" ht="126" customHeight="1" s="134">
      <c r="A105" s="52" t="inlineStr">
        <is>
          <t>S2-d</t>
        </is>
      </c>
      <c r="B105" s="5" t="inlineStr">
        <is>
          <t>配布物</t>
        </is>
      </c>
      <c r="C105" s="5" t="inlineStr">
        <is>
          <t>認証構成情報連携バケット + アップロードロール 設計</t>
        </is>
      </c>
      <c r="D105" s="5" t="inlineStr">
        <is>
          <t>認証構成情報連携バケット（auth-monitoring-artifacts-{accountId}、Versioning・暗号化・ライフサイクル・prefix 外 Put を Deny するバケットポリシー）+ ArtifactUploadRole-{appId}（{appId}/* 限定 PutObject のみ・デプロイロール分離・信頼先はアプリごとの CI 接続方式）の設計書（16 §16.2.2）。【補足】認証構成情報連携バケット＝アプリのデプロイパイプラインが認証構成情報を置く App アカウント側の S3 バケット。アップロードロール＝ベンダー CI が自アプリの prefix にだけ Put できる最小権限ロール</t>
        </is>
      </c>
      <c r="E105" s="5" t="inlineStr">
        <is>
          <t>S0-d</t>
        </is>
      </c>
      <c r="F105" s="52" t="n"/>
      <c r="G105" s="135" t="n">
        <v>2</v>
      </c>
      <c r="H105" s="81">
        <f>G105/8</f>
        <v/>
      </c>
      <c r="I105" s="40" t="n"/>
      <c r="J105" s="40" t="n"/>
      <c r="K105" s="40" t="n"/>
      <c r="L105" s="40" t="n"/>
      <c r="M105" s="40" t="n"/>
    </row>
    <row r="106" ht="42" customHeight="1" s="134">
      <c r="A106" s="52" t="inlineStr">
        <is>
          <t>S2-i</t>
        </is>
      </c>
      <c r="B106" s="5" t="inlineStr">
        <is>
          <t>配布物</t>
        </is>
      </c>
      <c r="C106" s="5" t="inlineStr">
        <is>
          <t>同 実装</t>
        </is>
      </c>
      <c r="D106" s="5" t="inlineStr">
        <is>
          <t>StackSets テンプレへの組み込み（バケット + ロール。appId・CI 信頼先はパラメータ化）+ 配布・Put/Get 動作確認</t>
        </is>
      </c>
      <c r="E106" s="5" t="inlineStr">
        <is>
          <t>S2-d, S1-i</t>
        </is>
      </c>
      <c r="F106" s="52" t="n"/>
      <c r="G106" s="135" t="n">
        <v>3</v>
      </c>
      <c r="H106" s="81">
        <f>G106/8</f>
        <v/>
      </c>
      <c r="I106" s="40" t="n"/>
      <c r="J106" s="40" t="n"/>
      <c r="K106" s="40" t="n"/>
      <c r="L106" s="40" t="n"/>
      <c r="M106" s="40" t="n"/>
    </row>
    <row r="107" ht="21" customHeight="1" s="134">
      <c r="A107" s="52" t="inlineStr">
        <is>
          <t>S1-i</t>
        </is>
      </c>
      <c r="B107" s="5" t="inlineStr">
        <is>
          <t>配布物</t>
        </is>
      </c>
      <c r="C107" s="5" t="inlineStr">
        <is>
          <t>StackSets テンプレ 実装</t>
        </is>
      </c>
      <c r="D107" s="5" t="inlineStr">
        <is>
          <t>ロールの CFN テンプレ化・StackSets（Organizations 自動デプロイ）定義</t>
        </is>
      </c>
      <c r="E107" s="5" t="inlineStr">
        <is>
          <t>S0-d</t>
        </is>
      </c>
      <c r="F107" s="52" t="n"/>
      <c r="G107" s="135" t="n">
        <v>4</v>
      </c>
      <c r="H107" s="81" t="n">
        <v>0.5</v>
      </c>
      <c r="I107" s="40" t="n"/>
      <c r="J107" s="40" t="n"/>
      <c r="K107" s="40" t="n"/>
      <c r="L107" s="40" t="n"/>
      <c r="M107" s="40" t="n"/>
    </row>
    <row r="108" ht="21" customHeight="1" s="134">
      <c r="A108" s="52" t="inlineStr">
        <is>
          <t>S2-t</t>
        </is>
      </c>
      <c r="B108" s="5" t="inlineStr">
        <is>
          <t>テスト</t>
        </is>
      </c>
      <c r="C108" s="5" t="inlineStr">
        <is>
          <t>StackSets 配布検証</t>
        </is>
      </c>
      <c r="D108" s="5" t="inlineStr">
        <is>
          <t>3 アカウント配布・AssumeRole 実確認・新規アカウント自動配布の設定確認</t>
        </is>
      </c>
      <c r="E108" s="5" t="inlineStr">
        <is>
          <t>S1-i</t>
        </is>
      </c>
      <c r="F108" s="52" t="n"/>
      <c r="G108" s="135" t="n">
        <v>2</v>
      </c>
      <c r="H108" s="81" t="n">
        <v>0.25</v>
      </c>
      <c r="I108" s="40" t="n"/>
      <c r="J108" s="40" t="n"/>
      <c r="K108" s="40" t="n"/>
      <c r="L108" s="40" t="n"/>
      <c r="M108" s="40" t="n"/>
    </row>
    <row r="109" ht="42" customHeight="1" s="134">
      <c r="A109" s="52" t="inlineStr">
        <is>
          <t>P0-d</t>
        </is>
      </c>
      <c r="B109" s="5" t="inlineStr">
        <is>
          <t>配布物</t>
        </is>
      </c>
      <c r="C109" s="5" t="inlineStr">
        <is>
          <t>Service Catalog 製品 設計</t>
        </is>
      </c>
      <c r="D109" s="5" t="inlineStr">
        <is>
          <t>製品設計書: パラメータ一覧（AppId / Env / CostCenter / Owner / AuthPattern）・生成リソース構成（API GW 認証必須固定 + Origin Protection + タグ）・起動フロー図</t>
        </is>
      </c>
      <c r="E109" s="5" t="inlineStr">
        <is>
          <t>—</t>
        </is>
      </c>
      <c r="F109" s="52" t="n"/>
      <c r="G109" s="135" t="n">
        <v>4</v>
      </c>
      <c r="H109" s="81" t="n">
        <v>0.5</v>
      </c>
      <c r="I109" s="40" t="n"/>
      <c r="J109" s="40" t="n"/>
      <c r="K109" s="40" t="n"/>
      <c r="L109" s="40" t="n"/>
      <c r="M109" s="40" t="n"/>
    </row>
    <row r="110" ht="21" customHeight="1" s="134">
      <c r="A110" s="52" t="inlineStr">
        <is>
          <t>P1-i</t>
        </is>
      </c>
      <c r="B110" s="5" t="inlineStr">
        <is>
          <t>配布物</t>
        </is>
      </c>
      <c r="C110" s="5" t="inlineStr">
        <is>
          <t>製品テンプレ 実装</t>
        </is>
      </c>
      <c r="D110" s="5" t="inlineStr">
        <is>
          <t>上記の CFN 化</t>
        </is>
      </c>
      <c r="E110" s="5" t="inlineStr">
        <is>
          <t>P0-d</t>
        </is>
      </c>
      <c r="F110" s="52" t="n"/>
      <c r="G110" s="135" t="n">
        <v>12</v>
      </c>
      <c r="H110" s="81" t="n">
        <v>1.5</v>
      </c>
      <c r="I110" s="40" t="n"/>
      <c r="J110" s="40" t="n"/>
      <c r="K110" s="40" t="n"/>
      <c r="L110" s="40" t="n"/>
      <c r="M110" s="40" t="n"/>
    </row>
    <row r="111" ht="21" customHeight="1" s="134">
      <c r="A111" s="52" t="inlineStr">
        <is>
          <t>P2-i</t>
        </is>
      </c>
      <c r="B111" s="5" t="inlineStr">
        <is>
          <t>配布物</t>
        </is>
      </c>
      <c r="C111" s="5" t="inlineStr">
        <is>
          <t>Portfolio・共有・Launch 制約</t>
        </is>
      </c>
      <c r="D111" s="5" t="inlineStr">
        <is>
          <t>Portfolio 作成・Organizations 共有・起動ロール</t>
        </is>
      </c>
      <c r="E111" s="5" t="inlineStr">
        <is>
          <t>P1-i</t>
        </is>
      </c>
      <c r="F111" s="52" t="n"/>
      <c r="G111" s="135" t="n">
        <v>6</v>
      </c>
      <c r="H111" s="81" t="n">
        <v>0.75</v>
      </c>
      <c r="I111" s="40" t="n"/>
      <c r="J111" s="40" t="n"/>
      <c r="K111" s="40" t="n"/>
      <c r="L111" s="40" t="n"/>
      <c r="M111" s="40" t="n"/>
    </row>
    <row r="112" ht="21" customHeight="1" s="134">
      <c r="A112" s="52" t="inlineStr">
        <is>
          <t>P3-t</t>
        </is>
      </c>
      <c r="B112" s="5" t="inlineStr">
        <is>
          <t>テスト</t>
        </is>
      </c>
      <c r="C112" s="5" t="inlineStr">
        <is>
          <t>製品起動検証</t>
        </is>
      </c>
      <c r="D112" s="5" t="inlineStr">
        <is>
          <t>起動 → パラメータのタグ反映・認証必須・Origin Protection の実査</t>
        </is>
      </c>
      <c r="E112" s="5" t="inlineStr">
        <is>
          <t>P2-i</t>
        </is>
      </c>
      <c r="F112" s="52" t="n"/>
      <c r="G112" s="135" t="n">
        <v>4</v>
      </c>
      <c r="H112" s="81" t="n">
        <v>0.5</v>
      </c>
      <c r="I112" s="40" t="n"/>
      <c r="J112" s="40" t="n"/>
      <c r="K112" s="40" t="n"/>
      <c r="L112" s="40" t="n"/>
      <c r="M112" s="40" t="n"/>
    </row>
    <row r="113" ht="21" customHeight="1" s="134">
      <c r="A113" s="52" t="inlineStr">
        <is>
          <t>REV</t>
        </is>
      </c>
      <c r="B113" s="5" t="inlineStr">
        <is>
          <t>機能実装</t>
        </is>
      </c>
      <c r="C113" s="5" t="inlineStr">
        <is>
          <t>コードレビュー・CI 通し</t>
        </is>
      </c>
      <c r="D113" s="5" t="inlineStr">
        <is>
          <t>全実装分のレビュー・静的解析（CI: cfn-guard / Semgrep）修正</t>
        </is>
      </c>
      <c r="E113" s="5" t="inlineStr">
        <is>
          <t>各-i</t>
        </is>
      </c>
      <c r="F113" s="52" t="n"/>
      <c r="G113" s="135" t="n">
        <v>12</v>
      </c>
      <c r="H113" s="81" t="n">
        <v>1.5</v>
      </c>
      <c r="I113" s="40" t="n"/>
      <c r="J113" s="40" t="n"/>
      <c r="K113" s="40" t="n"/>
      <c r="L113" s="40" t="n"/>
      <c r="M113" s="40" t="n"/>
    </row>
    <row r="114" ht="63" customHeight="1" s="134">
      <c r="A114" s="82" t="inlineStr">
        <is>
          <t>小計 W2-C（改修・周辺）</t>
        </is>
      </c>
      <c r="B114" s="83" t="n"/>
      <c r="C114" s="83" t="n"/>
      <c r="D114" s="83" t="n"/>
      <c r="E114" s="83" t="n"/>
      <c r="F114" s="84" t="n"/>
      <c r="G114" s="136">
        <f>SUM(G94:G113)</f>
        <v/>
      </c>
      <c r="H114" s="86">
        <f>SUM(H94:H113)</f>
        <v/>
      </c>
      <c r="I114" s="83" t="n"/>
      <c r="J114" s="83" t="n"/>
      <c r="K114" s="83" t="n"/>
      <c r="L114" s="83" t="n"/>
      <c r="M114" s="83" t="n"/>
    </row>
    <row r="115" ht="63" customHeight="1" s="134">
      <c r="A115" s="52" t="inlineStr">
        <is>
          <t>W3-1</t>
        </is>
      </c>
      <c r="B115" s="5" t="inlineStr">
        <is>
          <t>テスト</t>
        </is>
      </c>
      <c r="C115" s="5" t="inlineStr">
        <is>
          <t>ローカル統合</t>
        </is>
      </c>
      <c r="D115" s="5" t="inlineStr">
        <is>
          <t>LocalStack（3.8.1 ピン）/ SAM で 巡回 → 台帳登録 → 自動差分検査（モード1）起動 → 分類 → SNS（モック）の通し。確認観点: 台帳 JSON の内容 / spec 配置キー / 起動 payload / 4×4 分類結果</t>
        </is>
      </c>
      <c r="E115" s="5" t="inlineStr">
        <is>
          <t>W2 各</t>
        </is>
      </c>
      <c r="F115" s="52" t="n"/>
      <c r="G115" s="135" t="n">
        <v>16</v>
      </c>
      <c r="H115" s="87" t="n">
        <v>2</v>
      </c>
      <c r="I115" s="5" t="n"/>
      <c r="J115" s="5" t="n"/>
      <c r="K115" s="5" t="n"/>
      <c r="L115" s="5" t="n"/>
      <c r="M115" s="40" t="n"/>
    </row>
    <row r="116" ht="84" customHeight="1" s="134">
      <c r="A116" s="52" t="inlineStr">
        <is>
          <t>W3-2</t>
        </is>
      </c>
      <c r="B116" s="5" t="inlineStr">
        <is>
          <t>テスト</t>
        </is>
      </c>
      <c r="C116" s="5" t="inlineStr">
        <is>
          <t>実 AWS PoC 環境構築</t>
        </is>
      </c>
      <c r="D116" s="5" t="inlineStr">
        <is>
          <t>共通基盤 IaC 一式適用 + App アカウント側: 認証構成情報連携バケット + seed 認証構成情報（{appId}/monitoring.yaml + openapi.yaml）×2 アプリ・アップロードロール経由の Put 動作・サンプル API（API GW + JWT Authorizer、故意の NONE endpoint 付き）・CloudFront + WAF 簡易構成（Origin Protection + 検査 許可ルール）・Keycloak 接続（W1-4）</t>
        </is>
      </c>
      <c r="E116" s="5" t="inlineStr">
        <is>
          <t>W2, W1-3/4</t>
        </is>
      </c>
      <c r="F116" s="52" t="n"/>
      <c r="G116" s="135" t="n">
        <v>24</v>
      </c>
      <c r="H116" s="87" t="n">
        <v>3</v>
      </c>
      <c r="I116" s="5" t="n"/>
      <c r="J116" s="5" t="n"/>
      <c r="K116" s="5" t="n"/>
      <c r="L116" s="5" t="n"/>
      <c r="M116" s="40" t="inlineStr">
        <is>
          <t>クリティカルパス</t>
        </is>
      </c>
    </row>
    <row r="117" ht="105" customHeight="1" s="134">
      <c r="A117" s="52" t="inlineStr">
        <is>
          <t>T-A</t>
        </is>
      </c>
      <c r="B117" s="5" t="inlineStr">
        <is>
          <t>テスト</t>
        </is>
      </c>
      <c r="C117" s="5" t="inlineStr">
        <is>
          <t>結合テスト A: 発見・登録系（7 ケース）</t>
        </is>
      </c>
      <c r="D117" s="5" t="inlineStr">
        <is>
          <t>A-1 新規の認証構成情報（monitoring.yaml あり）→ 台帳生成 + spec 配置 + 自動差分検査（モード1）起動 / A-2 認証構成情報が無いアカウント → 対象外 / A-3 appId とプレフィックス不一致 → 取り込み拒否 + メタ不足アラート / A-4 authPattern 不正 → 既定 api-gw-jwt + メタ不足 / A-5 openapi.yaml のみ更新 → そのアプリだけ 自動差分検査（モード1）を起動 / A-6 認証構成情報の staleness（最終更新が閾値超）→ 棚卸しアラート / A-7 monitoring.yaml 削除 → enabled=false + 棚卸しアラート</t>
        </is>
      </c>
      <c r="E117" s="5" t="inlineStr">
        <is>
          <t>W3-2</t>
        </is>
      </c>
      <c r="F117" s="52" t="n"/>
      <c r="G117" s="135" t="n">
        <v>8</v>
      </c>
      <c r="H117" s="87" t="n">
        <v>1</v>
      </c>
      <c r="I117" s="5" t="n"/>
      <c r="J117" s="5" t="n"/>
      <c r="K117" s="5" t="n"/>
      <c r="L117" s="5" t="n"/>
      <c r="M117" s="40" t="inlineStr">
        <is>
          <t>クリティカルパス</t>
        </is>
      </c>
    </row>
    <row r="118" ht="126" customHeight="1" s="134">
      <c r="A118" s="52" t="inlineStr">
        <is>
          <t>T-B</t>
        </is>
      </c>
      <c r="B118" s="5" t="inlineStr">
        <is>
          <t>テスト</t>
        </is>
      </c>
      <c r="C118" s="5" t="inlineStr">
        <is>
          <t>結合テスト B: 検査・分類系（9 ケース）</t>
        </is>
      </c>
      <c r="D118" s="5" t="inlineStr">
        <is>
          <t>B-1 正常 JWT（Neg401 + Pos200 → OK・通知なし）/ B-2 NONE endpoint（Neg200 → CRITICAL・P1 メール到達・AuthCheckCritical アラーム発火）/ B-3 公開印 skip → 検査 対象外 / B-4 公開印なし public → P1 / B-5 Cookie モノリス（302 → OK、200 → CRITICAL）/ B-6 token 失効（Neg401 + Pos401 → WARN P2）/ B-7 spec にあるが実体なし（Pos404 → WARN）/ B-8 WAF ブロック（→ WARN「境界でブロック」。誤 CRITICAL にならない）/ B-9 本番 POST skip</t>
        </is>
      </c>
      <c r="E118" s="5" t="inlineStr">
        <is>
          <t>W3-2</t>
        </is>
      </c>
      <c r="F118" s="52" t="n"/>
      <c r="G118" s="135" t="n">
        <v>10</v>
      </c>
      <c r="H118" s="87" t="n">
        <v>1.25</v>
      </c>
      <c r="I118" s="5" t="n"/>
      <c r="J118" s="5" t="n"/>
      <c r="K118" s="5" t="n"/>
      <c r="L118" s="5" t="n"/>
      <c r="M118" s="40" t="inlineStr">
        <is>
          <t>クリティカルパス</t>
        </is>
      </c>
    </row>
    <row r="119" ht="63" customHeight="1" s="134">
      <c r="A119" s="52" t="inlineStr">
        <is>
          <t>T-C</t>
        </is>
      </c>
      <c r="B119" s="5" t="inlineStr">
        <is>
          <t>テスト</t>
        </is>
      </c>
      <c r="C119" s="5" t="inlineStr">
        <is>
          <t>結合テスト C: 発報系（5 ケース）</t>
        </is>
      </c>
      <c r="D119" s="5" t="inlineStr">
        <is>
          <t>C-1 alertRouting 個別設定 → その宛先へ / C-2 未設定 → デフォルト ARN へ / C-3 ARN 未解決 → throw → DLQ / C-4 保険系: アラーム → SNS P1（即時系を止めた状態で）/ C-5 重複抑制（採用時: 2 巡目は抑制・24h 後再通知）</t>
        </is>
      </c>
      <c r="E119" s="5" t="inlineStr">
        <is>
          <t>W3-2</t>
        </is>
      </c>
      <c r="F119" s="52" t="n"/>
      <c r="G119" s="135" t="n">
        <v>4</v>
      </c>
      <c r="H119" s="87" t="n">
        <v>0.5</v>
      </c>
      <c r="I119" s="5" t="n"/>
      <c r="J119" s="5" t="n"/>
      <c r="K119" s="5" t="n"/>
      <c r="L119" s="5" t="n"/>
      <c r="M119" s="40" t="n"/>
    </row>
    <row r="120" ht="105" customHeight="1" s="134">
      <c r="A120" s="52" t="inlineStr">
        <is>
          <t>T-D</t>
        </is>
      </c>
      <c r="B120" s="5" t="inlineStr">
        <is>
          <t>テスト</t>
        </is>
      </c>
      <c r="C120" s="5" t="inlineStr">
        <is>
          <t>結合テスト D: 障害・運用系（6 ケース）</t>
        </is>
      </c>
      <c r="D120" s="5" t="inlineStr">
        <is>
          <t>D-1 1 アカウントの AssumeRole 拒否 → 他アカウント完走 + AccountErrors → MM-3 / D-2 検査 起動 失敗 → リトライ → DLQ → MM-4 / D-3 Scheduler 停止 → 2h 後 MM-1 発火 / D-4 自動差分検査（モード1）途中失敗 → lastArtifactVersions 据㹮置き → 次巡回で再検知（at-least-once）/ D-5 全量検査（モード2）の手動起動と日次定期起動 → 分割起動で全アプリ検査 / D-6 台帳の手動更新と巡回の競合（ETag 412 → リトライ）</t>
        </is>
      </c>
      <c r="E120" s="5" t="inlineStr">
        <is>
          <t>W3-2</t>
        </is>
      </c>
      <c r="F120" s="52" t="n"/>
      <c r="G120" s="135" t="n">
        <v>8</v>
      </c>
      <c r="H120" s="87" t="n">
        <v>1</v>
      </c>
      <c r="I120" s="5" t="n"/>
      <c r="J120" s="5" t="n"/>
      <c r="K120" s="5" t="n"/>
      <c r="L120" s="5" t="n"/>
      <c r="M120" s="40" t="n"/>
    </row>
    <row r="121" ht="42" customHeight="1" s="134">
      <c r="A121" s="52" t="inlineStr">
        <is>
          <t>W3-5</t>
        </is>
      </c>
      <c r="B121" s="5" t="inlineStr">
        <is>
          <t>監視(定型)</t>
        </is>
      </c>
      <c r="C121" s="5" t="inlineStr">
        <is>
          <t>性能実測・閾値本決め</t>
        </is>
      </c>
      <c r="D121" s="5" t="inlineStr">
        <is>
          <t>巡回 1 実行・1 アプリ 検査の所要時間実測（3 アカウント）→ Duration ほか B 系アラーム閾値の確定値を監視設計書（B0-d）に反映</t>
        </is>
      </c>
      <c r="E121" s="5" t="inlineStr">
        <is>
          <t>T-A〜D</t>
        </is>
      </c>
      <c r="F121" s="52" t="n"/>
      <c r="G121" s="135" t="n">
        <v>4</v>
      </c>
      <c r="H121" s="87" t="n">
        <v>0.5</v>
      </c>
      <c r="I121" s="5" t="n"/>
      <c r="J121" s="5" t="n"/>
      <c r="K121" s="5" t="n"/>
      <c r="L121" s="5" t="n"/>
      <c r="M121" s="40" t="n"/>
    </row>
    <row r="122" ht="42" customHeight="1" s="134">
      <c r="A122" s="52" t="inlineStr">
        <is>
          <t>W3-6</t>
        </is>
      </c>
      <c r="B122" s="5" t="inlineStr">
        <is>
          <t>テスト</t>
        </is>
      </c>
      <c r="C122" s="5" t="inlineStr">
        <is>
          <t>セキュリティ確認</t>
        </is>
      </c>
      <c r="D122" s="5" t="inlineStr">
        <is>
          <t>IAM 最小権限の実査（Access Analyzer / 手動）・ExternalId なし AssumeRole の拒否確認・全 Lambda ログに secret / トークンが出ないこと（OBS-3）</t>
        </is>
      </c>
      <c r="E122" s="5" t="inlineStr">
        <is>
          <t>W3-2</t>
        </is>
      </c>
      <c r="F122" s="52" t="n"/>
      <c r="G122" s="135" t="n">
        <v>8</v>
      </c>
      <c r="H122" s="87" t="n">
        <v>1</v>
      </c>
      <c r="I122" s="5" t="n"/>
      <c r="J122" s="5" t="n"/>
      <c r="K122" s="5" t="n"/>
      <c r="L122" s="5" t="n"/>
      <c r="M122" s="40" t="n"/>
    </row>
    <row r="123" ht="21" customHeight="1" s="134">
      <c r="A123" s="52" t="inlineStr">
        <is>
          <t>W3-7</t>
        </is>
      </c>
      <c r="B123" s="5" t="inlineStr">
        <is>
          <t>ドキュメント</t>
        </is>
      </c>
      <c r="C123" s="5" t="inlineStr">
        <is>
          <t>テスト報告書</t>
        </is>
      </c>
      <c r="D123" s="5" t="inlineStr">
        <is>
          <t>ケース別結果一覧・検出不具合と対処・設計書（md）への検証済み事実反映</t>
        </is>
      </c>
      <c r="E123" s="5" t="inlineStr">
        <is>
          <t>T-A〜D</t>
        </is>
      </c>
      <c r="F123" s="52" t="n"/>
      <c r="G123" s="135" t="n">
        <v>8</v>
      </c>
      <c r="H123" s="87" t="n">
        <v>1</v>
      </c>
      <c r="I123" s="5" t="n"/>
      <c r="J123" s="5" t="n"/>
      <c r="K123" s="5" t="n"/>
      <c r="L123" s="5" t="n"/>
      <c r="M123" s="40" t="n"/>
    </row>
    <row r="124" ht="21" customHeight="1" s="134">
      <c r="A124" s="82" t="inlineStr">
        <is>
          <t>小計 W3</t>
        </is>
      </c>
      <c r="B124" s="83" t="n"/>
      <c r="C124" s="83" t="n"/>
      <c r="D124" s="83" t="n"/>
      <c r="E124" s="83" t="n"/>
      <c r="F124" s="84" t="n"/>
      <c r="G124" s="136">
        <f>SUM(G115:G123)</f>
        <v/>
      </c>
      <c r="H124" s="86">
        <f>SUM(H115:H123)</f>
        <v/>
      </c>
      <c r="I124" s="83" t="n"/>
      <c r="J124" s="83" t="n"/>
      <c r="K124" s="83" t="n"/>
      <c r="L124" s="83" t="n"/>
      <c r="M124" s="83" t="n"/>
    </row>
    <row r="125" ht="126" customHeight="1" s="134">
      <c r="A125" s="52" t="inlineStr">
        <is>
          <t>W4-1</t>
        </is>
      </c>
      <c r="B125" s="5" t="inlineStr">
        <is>
          <t>運用</t>
        </is>
      </c>
      <c r="C125" s="5" t="inlineStr">
        <is>
          <t>Runbook 5 本</t>
        </is>
      </c>
      <c r="D125" s="5" t="inlineStr">
        <is>
          <t>① P1（認証漏れ）対応: 一次切り分け（真の漏れ / 設定ずれ / 誤検知）→ アプリチーム連絡 → 暂定遮断の判断基準 ② 全量検査（モード2）の手動実行手順（CLI・実行権限）+ 日次定期実行の管理（時刻変更・一時停止） ③ メタ監視発報対応（MM-1〜5 別の初動） ④ 台帳手動更新（enabled 切替・alertRouting 設定・ETag 手順） ⑤ 棚卸し（消滅レコード削除・公開印 skip 濫用の月次レビュー）。各 Runbook に「変更は必ず git 経由」原則（2026-08-19 方針①）を明記</t>
        </is>
      </c>
      <c r="E125" s="5" t="inlineStr">
        <is>
          <t>W3</t>
        </is>
      </c>
      <c r="F125" s="52" t="n"/>
      <c r="G125" s="135" t="n">
        <v>24</v>
      </c>
      <c r="H125" s="81" t="n">
        <v>3</v>
      </c>
      <c r="I125" s="40" t="n"/>
      <c r="J125" s="40" t="n"/>
      <c r="K125" s="40" t="n"/>
      <c r="L125" s="40" t="n"/>
      <c r="M125" s="40" t="n"/>
    </row>
    <row r="126" ht="42" customHeight="1" s="134">
      <c r="A126" s="52" t="inlineStr">
        <is>
          <t>W4-2</t>
        </is>
      </c>
      <c r="B126" s="5" t="inlineStr">
        <is>
          <t>運用</t>
        </is>
      </c>
      <c r="C126" s="5" t="inlineStr">
        <is>
          <t>引き継ぎ・訓練</t>
        </is>
      </c>
      <c r="D126" s="5" t="inlineStr">
        <is>
          <t>運用チームへの説明会 + P1 模擬発報 1 回（B-2 ケースを本番相当で再現し Runbook ① を通しで実施）</t>
        </is>
      </c>
      <c r="E126" s="5" t="inlineStr">
        <is>
          <t>W4-1</t>
        </is>
      </c>
      <c r="F126" s="52" t="n"/>
      <c r="G126" s="135" t="n">
        <v>8</v>
      </c>
      <c r="H126" s="81" t="n">
        <v>1</v>
      </c>
      <c r="I126" s="40" t="n"/>
      <c r="J126" s="40" t="n"/>
      <c r="K126" s="40" t="n"/>
      <c r="L126" s="40" t="n"/>
      <c r="M126" s="40" t="n"/>
    </row>
    <row r="127" ht="42" customHeight="1" s="134">
      <c r="A127" s="52" t="inlineStr">
        <is>
          <t>W4-3</t>
        </is>
      </c>
      <c r="B127" s="5" t="inlineStr">
        <is>
          <t>監視(定型)</t>
        </is>
      </c>
      <c r="C127" s="5" t="inlineStr">
        <is>
          <t>運用ダッシュボード</t>
        </is>
      </c>
      <c r="D127" s="5" t="inlineStr">
        <is>
          <t>CloudWatch ダッシュボード 1 画面: AuthCheck 系 5 メトリクス（per-app）+ メタ監視（LastSuccess・AccountErrors・DLQ 深さ・Duration）</t>
        </is>
      </c>
      <c r="E127" s="5" t="inlineStr">
        <is>
          <t>B 系</t>
        </is>
      </c>
      <c r="F127" s="52" t="n"/>
      <c r="G127" s="135" t="n">
        <v>8</v>
      </c>
      <c r="H127" s="81" t="n">
        <v>1</v>
      </c>
      <c r="I127" s="40" t="n"/>
      <c r="J127" s="40" t="n"/>
      <c r="K127" s="40" t="n"/>
      <c r="L127" s="40" t="n"/>
      <c r="M127" s="40" t="n"/>
    </row>
    <row r="128" ht="63" customHeight="1" s="134">
      <c r="A128" s="52" t="inlineStr">
        <is>
          <t>W5-1</t>
        </is>
      </c>
      <c r="B128" s="5" t="inlineStr">
        <is>
          <t>ガイド</t>
        </is>
      </c>
      <c r="C128" s="5" t="inlineStr">
        <is>
          <t>アプリチーム向け利用ガイド</t>
        </is>
      </c>
      <c r="D128" s="5" t="inlineStr">
        <is>
          <t>章立て: 概要 / やること 3 点 / monitoring.yaml の書き方（全項目解説）/ MON-1 公開印 / 「変更は必ず git 経由」の明記（コンソール直変更の禁止、2026-08-19 方針①）/ アラートが来たら（P3 の見方）/ FAQ（アプリチーム向け手順シートを配布形に再構成）</t>
        </is>
      </c>
      <c r="E128" s="5" t="inlineStr">
        <is>
          <t>—</t>
        </is>
      </c>
      <c r="F128" s="52" t="n"/>
      <c r="G128" s="135" t="n">
        <v>16</v>
      </c>
      <c r="H128" s="81" t="n">
        <v>2</v>
      </c>
      <c r="I128" s="40" t="n"/>
      <c r="J128" s="40" t="n"/>
      <c r="K128" s="40" t="n"/>
      <c r="L128" s="40" t="n"/>
      <c r="M128" s="40" t="n"/>
    </row>
    <row r="129" ht="42" customHeight="1" s="134">
      <c r="A129" s="52" t="inlineStr">
        <is>
          <t>W5-2</t>
        </is>
      </c>
      <c r="B129" s="5" t="inlineStr">
        <is>
          <t>配布物</t>
        </is>
      </c>
      <c r="C129" s="5" t="inlineStr">
        <is>
          <t>monitoring.yaml JSON Schema + サンプル repo</t>
        </is>
      </c>
      <c r="D129" s="5" t="inlineStr">
        <is>
          <t>Schema（C5-i の検証と同一物）+ 雛形 repo（yaml・openapi.yaml・公開印例）をテンプレとして公開</t>
        </is>
      </c>
      <c r="E129" s="5" t="inlineStr">
        <is>
          <t>C5-i</t>
        </is>
      </c>
      <c r="F129" s="52" t="n"/>
      <c r="G129" s="135" t="n">
        <v>4</v>
      </c>
      <c r="H129" s="81" t="n">
        <v>0.5</v>
      </c>
      <c r="I129" s="40" t="n"/>
      <c r="J129" s="40" t="n"/>
      <c r="K129" s="40" t="n"/>
      <c r="L129" s="40" t="n"/>
      <c r="M129" s="40" t="n"/>
    </row>
    <row r="130" ht="21" customHeight="1" s="134">
      <c r="A130" s="52" t="inlineStr">
        <is>
          <t>W5-3</t>
        </is>
      </c>
      <c r="B130" s="5" t="inlineStr">
        <is>
          <t>ガイド</t>
        </is>
      </c>
      <c r="C130" s="5" t="inlineStr">
        <is>
          <t>説明会 + 初期問合せ対応</t>
        </is>
      </c>
      <c r="D130" s="5" t="inlineStr">
        <is>
          <t>アプリチーム向け説明会 1 回（資料は W5-1 流用）+ 導入期の問合せ対応枠</t>
        </is>
      </c>
      <c r="E130" s="5" t="inlineStr">
        <is>
          <t>W5-1</t>
        </is>
      </c>
      <c r="F130" s="52" t="n"/>
      <c r="G130" s="135" t="n">
        <v>8</v>
      </c>
      <c r="H130" s="81" t="n">
        <v>1</v>
      </c>
      <c r="I130" s="40" t="n"/>
      <c r="J130" s="40" t="n"/>
      <c r="K130" s="40" t="n"/>
      <c r="L130" s="40" t="n"/>
      <c r="M130" s="40" t="n"/>
    </row>
    <row r="131" ht="42" customHeight="1" s="134">
      <c r="A131" s="52" t="inlineStr">
        <is>
          <t>W5-4</t>
        </is>
      </c>
      <c r="B131" s="5" t="inlineStr">
        <is>
          <t>ガイド</t>
        </is>
      </c>
      <c r="C131" s="5" t="inlineStr">
        <is>
          <t>パイロット導入 → 展開</t>
        </is>
      </c>
      <c r="D131" s="5" t="inlineStr">
        <is>
          <t>パイロット 1 アプリ: monitoring.yaml 設置支援 → 初回検知確認 → フィードバック反映。その後残りアプリ（3 アカウント）へ展開</t>
        </is>
      </c>
      <c r="E131" s="5" t="inlineStr">
        <is>
          <t>T-A/B, W5-1</t>
        </is>
      </c>
      <c r="F131" s="52" t="n"/>
      <c r="G131" s="135" t="n">
        <v>16</v>
      </c>
      <c r="H131" s="81" t="n">
        <v>2</v>
      </c>
      <c r="I131" s="40" t="n"/>
      <c r="J131" s="40" t="n"/>
      <c r="K131" s="40" t="n"/>
      <c r="L131" s="40" t="n"/>
      <c r="M131" s="40" t="n"/>
    </row>
    <row r="132" ht="21" customHeight="1" s="134">
      <c r="A132" s="52" t="inlineStr">
        <is>
          <t>W6-1</t>
        </is>
      </c>
      <c r="B132" s="5" t="inlineStr">
        <is>
          <t>ドキュメント</t>
        </is>
      </c>
      <c r="C132" s="5" t="inlineStr">
        <is>
          <t>設計書（md）実装反映</t>
        </is>
      </c>
      <c r="D132" s="5" t="inlineStr">
        <is>
          <t>未決の消し込み（実装で確定した項目）・検証済み事実の追記・実装差分の反映</t>
        </is>
      </c>
      <c r="E132" s="5" t="inlineStr">
        <is>
          <t>W3-7</t>
        </is>
      </c>
      <c r="F132" s="52" t="n"/>
      <c r="G132" s="135" t="n">
        <v>12</v>
      </c>
      <c r="H132" s="81" t="n">
        <v>1.5</v>
      </c>
      <c r="I132" s="40" t="n"/>
      <c r="J132" s="40" t="n"/>
      <c r="K132" s="40" t="n"/>
      <c r="L132" s="40" t="n"/>
      <c r="M132" s="40" t="n"/>
    </row>
    <row r="133" ht="21" customHeight="1" s="134">
      <c r="A133" s="52" t="inlineStr">
        <is>
          <t>W6-2</t>
        </is>
      </c>
      <c r="B133" s="5" t="inlineStr">
        <is>
          <t>ドキュメント</t>
        </is>
      </c>
      <c r="C133" s="5" t="inlineStr">
        <is>
          <t>Excel 同期</t>
        </is>
      </c>
      <c r="D133" s="5" t="inlineStr">
        <is>
          <t>md 改訂の Excel 反映指示・検収（参照コミット更新含む）</t>
        </is>
      </c>
      <c r="E133" s="5" t="inlineStr">
        <is>
          <t>W6-1</t>
        </is>
      </c>
      <c r="F133" s="52" t="n"/>
      <c r="G133" s="135" t="n">
        <v>4</v>
      </c>
      <c r="H133" s="81" t="n">
        <v>0.5</v>
      </c>
      <c r="I133" s="40" t="n"/>
      <c r="J133" s="40" t="n"/>
      <c r="K133" s="40" t="n"/>
      <c r="L133" s="40" t="n"/>
      <c r="M133" s="40" t="n"/>
    </row>
    <row r="134" ht="21" customHeight="1" s="134">
      <c r="A134" s="52" t="inlineStr">
        <is>
          <t>W7-1</t>
        </is>
      </c>
      <c r="B134" s="5" t="inlineStr">
        <is>
          <t>管理</t>
        </is>
      </c>
      <c r="C134" s="5" t="inlineStr">
        <is>
          <t>進捗・課題・外部調整の追跡</t>
        </is>
      </c>
      <c r="D134" s="5" t="inlineStr">
        <is>
          <t>週次の進捗整理・課題管理・W1 系リードタイムの督促（全体の約 10%）</t>
        </is>
      </c>
      <c r="E134" s="5" t="inlineStr">
        <is>
          <t>—</t>
        </is>
      </c>
      <c r="F134" s="52" t="n"/>
      <c r="G134" s="135" t="n">
        <v>44</v>
      </c>
      <c r="H134" s="81" t="n">
        <v>5.5</v>
      </c>
      <c r="I134" s="40" t="n"/>
      <c r="J134" s="40" t="n"/>
      <c r="K134" s="40" t="n"/>
      <c r="L134" s="40" t="n"/>
      <c r="M134" s="40" t="n"/>
    </row>
    <row r="135" ht="42" customHeight="1" s="134">
      <c r="A135" s="82" t="inlineStr">
        <is>
          <t>小計 W4〜W7</t>
        </is>
      </c>
      <c r="B135" s="83" t="n"/>
      <c r="C135" s="83" t="n"/>
      <c r="D135" s="83" t="n"/>
      <c r="E135" s="83" t="n"/>
      <c r="F135" s="84" t="n"/>
      <c r="G135" s="136">
        <f>SUM(G125:G134)</f>
        <v/>
      </c>
      <c r="H135" s="86">
        <f>SUM(H125:H134)</f>
        <v/>
      </c>
      <c r="I135" s="83" t="n"/>
      <c r="J135" s="83" t="n"/>
      <c r="K135" s="83" t="n"/>
      <c r="L135" s="83" t="n"/>
      <c r="M135" s="83" t="n"/>
    </row>
    <row r="136" ht="21" customHeight="1" s="134">
      <c r="A136" s="88" t="inlineStr">
        <is>
          <t>総合計</t>
        </is>
      </c>
      <c r="B136" s="89" t="n"/>
      <c r="C136" s="89" t="n"/>
      <c r="D136" s="89" t="n"/>
      <c r="E136" s="89" t="n"/>
      <c r="F136" s="90" t="n"/>
      <c r="G136" s="137">
        <f>G9+G36+G47+G79+G93+G114+G124+G135</f>
        <v/>
      </c>
      <c r="H136" s="92">
        <f>H9+H36+H47+H79+H93+H114+H124+H135</f>
        <v/>
      </c>
      <c r="I136" s="89" t="n"/>
      <c r="J136" s="89" t="n"/>
      <c r="K136" s="89" t="n"/>
      <c r="L136" s="89" t="n"/>
      <c r="M136" s="89" t="n"/>
    </row>
  </sheetData>
  <autoFilter ref="A1:M136"/>
  <dataValidations count="1">
    <dataValidation sqref="B2:B135" showDropDown="0" showInputMessage="1" showErrorMessage="1" allowBlank="1" type="list">
      <formula1>"外部調整,基盤IaC,監視(定型),機能実装,改修,配布物,テスト,運用,ガイド,ドキュメント,管理"</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10" defaultRowHeight="18"/>
  <cols>
    <col width="35.7109375" customWidth="1" style="120" min="1" max="1"/>
    <col width="80" customWidth="1" style="120" min="2" max="2"/>
    <col width="17.140625" customWidth="1" style="120" min="3" max="3"/>
    <col width="18.5703125" customWidth="1" style="120" min="4" max="4"/>
    <col width="10.7109375" customWidth="1" style="2" min="5" max="16384"/>
  </cols>
  <sheetData>
    <row r="1" ht="27" customHeight="1" s="134">
      <c r="A1" s="1" t="inlineStr">
        <is>
          <t>残作業 WBS・工数見積 v7 — 前提・集計・別表・リスク</t>
        </is>
      </c>
    </row>
    <row r="2" ht="63" customHeight="1" s="134">
      <c r="A2" s="39" t="inlineStr">
        <is>
          <t>明細は「14_WBS」シート（126 行）。本シートの人時・人日は 14_WBS を参照する数式。</t>
        </is>
      </c>
    </row>
    <row r="4">
      <c r="A4" s="7" t="inlineStr">
        <is>
          <t>1. 前提条件</t>
        </is>
      </c>
    </row>
    <row r="5">
      <c r="A5" s="4" t="inlineStr">
        <is>
          <t>#</t>
        </is>
      </c>
      <c r="B5" s="4" t="inlineStr">
        <is>
          <t>前提</t>
        </is>
      </c>
    </row>
    <row r="6" ht="21" customHeight="1" s="134">
      <c r="A6" s="5" t="n">
        <v>1</v>
      </c>
      <c r="B6" s="5" t="inlineStr">
        <is>
          <t>1 人日 = 8 人時。人日は換算値</t>
        </is>
      </c>
    </row>
    <row r="7" ht="21" customHeight="1" s="134">
      <c r="A7" s="5" t="n">
        <v>2</v>
      </c>
      <c r="B7" s="5" t="inlineStr">
        <is>
          <t>規模: 対象約 3 アカウント（M-Q-18-5）、パイロットアプリ 1 本から</t>
        </is>
      </c>
    </row>
    <row r="8" ht="21" customHeight="1" s="134">
      <c r="A8" s="5" t="n">
        <v>3</v>
      </c>
      <c r="B8" s="5" t="inlineStr">
        <is>
          <t>要員: AWS + Node.js 経験者 1 名主担当。各行にレビュー時間込み</t>
        </is>
      </c>
    </row>
    <row r="9" ht="21" customHeight="1" s="134">
      <c r="A9" s="5" t="n">
        <v>4</v>
      </c>
      <c r="B9" s="5" t="inlineStr">
        <is>
          <t>外部依頼の待ち時間（リードタイム）は工数外（◎印、カレンダー日で別管理）</t>
        </is>
      </c>
    </row>
    <row r="10" ht="105" customHeight="1" s="134">
      <c r="A10" s="5" t="n">
        <v>5</v>
      </c>
      <c r="B10" s="5" t="inlineStr">
        <is>
          <t>流用資産: probe lib（27 PASS）/ alert-router（19 PASS）/ 旧 push 型 2 Lambda のロジック。区分「改修」の意味: 設計は最初から現行仕様（S3 台帳）で確定しており設計の手戻りではない。設計確定に先立って検証目的で作成した参考実装コードの一部（台帳読み取り部）が旧前提（DynamoDB）のまま残っているため、確定設計に合わせて手直しして流用するタスクを指す。新規書き起こしも可能だが検証済みロジックとテスト資産を捨てることになるため流用を採用</t>
        </is>
      </c>
    </row>
    <row r="11" ht="42" customHeight="1" s="134">
      <c r="A11" s="5" t="n">
        <v>6</v>
      </c>
      <c r="B11" s="5" t="inlineStr">
        <is>
          <t>成果物の体系: AWS リソース毎に「インフラ設計書（パラメータシート）」、Lambda は「処理設計書（シーケンス・IF・エラー方針）」を実装前に作成し、処理毎に単体テストを残す</t>
        </is>
      </c>
    </row>
    <row r="12" ht="21" customHeight="1" s="134">
      <c r="A12" s="5" t="n">
        <v>7</v>
      </c>
      <c r="B12" s="5" t="inlineStr">
        <is>
          <t>ID 規約: -d = 設計 / -i = 実装 / -t = 単体テスト。設計不要の作業系は -i のみ</t>
        </is>
      </c>
    </row>
    <row r="14" ht="84" customHeight="1" s="134">
      <c r="A14" s="39" t="inlineStr">
        <is>
          <t>区分（Excel フィルタ用・11 種）: 外部調整 / 基盤IaC / 監視(定型) / 機能実装 / 改修 / 配布物 / テスト / 運用 / ガイド / ドキュメント / 管理</t>
        </is>
      </c>
    </row>
    <row r="15" ht="63" customHeight="1" s="134">
      <c r="A15" s="39" t="inlineStr">
        <is>
          <t>-d 行の区分は対象と同じ区分（例: A1-d は 基盤IaC）。設計だけ抽出したい場合はタスク名の「設計」でフィルタする。</t>
        </is>
      </c>
    </row>
    <row r="17">
      <c r="A17" s="7" t="inlineStr">
        <is>
          <t>2. スコープ外</t>
        </is>
      </c>
    </row>
    <row r="18" ht="147" customHeight="1" s="134">
      <c r="A18" s="39" t="inlineStr">
        <is>
          <t>SigV4 Positive / Cookie Positive・cleanup / heartbeat 型検査（旧 M2、廃止） / Private API VPC 化 / スコープ B（依頼のみ）/ SCP 強制（Phase 2 判断）/ Multilocation / ガイドライン章（01〜06）側の残未決</t>
        </is>
      </c>
    </row>
    <row r="20">
      <c r="A20" s="7" t="inlineStr">
        <is>
          <t>3. 集計（人時・人日は 14_WBS の該当範囲を参照）</t>
        </is>
      </c>
    </row>
    <row r="21">
      <c r="A21" s="4" t="inlineStr">
        <is>
          <t>分類</t>
        </is>
      </c>
      <c r="B21" s="4" t="inlineStr">
        <is>
          <t>人時</t>
        </is>
      </c>
      <c r="C21" s="4" t="inlineStr">
        <is>
          <t>人日（標準）</t>
        </is>
      </c>
      <c r="D21" s="4" t="inlineStr">
        <is>
          <t>min–max（人日）</t>
        </is>
      </c>
    </row>
    <row r="22">
      <c r="A22" s="40" t="inlineStr">
        <is>
          <t>W1 外部調整・依頼（7 行）</t>
        </is>
      </c>
      <c r="B22" s="138">
        <f>'14_WBS'!G9</f>
        <v/>
      </c>
      <c r="C22" s="138">
        <f>'14_WBS'!H9</f>
        <v/>
      </c>
      <c r="D22" s="40" t="inlineStr">
        <is>
          <t>4–10</t>
        </is>
      </c>
    </row>
    <row r="23">
      <c r="A23" s="40" t="inlineStr">
        <is>
          <t>W2-A 基盤 IaC（26 行）</t>
        </is>
      </c>
      <c r="B23" s="138">
        <f>'14_WBS'!G36</f>
        <v/>
      </c>
      <c r="C23" s="138">
        <f>'14_WBS'!H36</f>
        <v/>
      </c>
      <c r="D23" s="40" t="inlineStr">
        <is>
          <t>3–6</t>
        </is>
      </c>
    </row>
    <row r="24">
      <c r="A24" s="40" t="inlineStr">
        <is>
          <t>W2-B 監視(定型)（10 行）</t>
        </is>
      </c>
      <c r="B24" s="138">
        <f>'14_WBS'!G47</f>
        <v/>
      </c>
      <c r="C24" s="138">
        <f>'14_WBS'!H47</f>
        <v/>
      </c>
      <c r="D24" s="40" t="inlineStr">
        <is>
          <t>1.5–2.5</t>
        </is>
      </c>
    </row>
    <row r="25">
      <c r="A25" s="40" t="inlineStr">
        <is>
          <t>W2-C 対象検索 Lambda（31 行）</t>
        </is>
      </c>
      <c r="B25" s="138">
        <f>'14_WBS'!G79</f>
        <v/>
      </c>
      <c r="C25" s="138">
        <f>'14_WBS'!H79</f>
        <v/>
      </c>
      <c r="D25" s="40" t="n"/>
    </row>
    <row r="26">
      <c r="A26" s="40" t="inlineStr">
        <is>
          <t>W2-C 検査 Lambda（13 行）</t>
        </is>
      </c>
      <c r="B26" s="138">
        <f>'14_WBS'!G93</f>
        <v/>
      </c>
      <c r="C26" s="138">
        <f>'14_WBS'!H93</f>
        <v/>
      </c>
      <c r="D26" s="40" t="n"/>
    </row>
    <row r="27">
      <c r="A27" s="40" t="inlineStr">
        <is>
          <t>W2-C 改修・周辺（20 行）</t>
        </is>
      </c>
      <c r="B27" s="138">
        <f>'14_WBS'!G114</f>
        <v/>
      </c>
      <c r="C27" s="138">
        <f>'14_WBS'!H114</f>
        <v/>
      </c>
      <c r="D27" s="40" t="n"/>
    </row>
    <row r="28">
      <c r="A28" s="40" t="inlineStr">
        <is>
          <t>W3 テスト（9 行）</t>
        </is>
      </c>
      <c r="B28" s="138">
        <f>'14_WBS'!G124</f>
        <v/>
      </c>
      <c r="C28" s="138">
        <f>'14_WBS'!H124</f>
        <v/>
      </c>
      <c r="D28" s="40" t="inlineStr">
        <is>
          <t>8–17.5</t>
        </is>
      </c>
    </row>
    <row r="29">
      <c r="A29" s="40" t="inlineStr">
        <is>
          <t>W4〜W7 運用・ガイド・ドキュメント・管理（10 行）</t>
        </is>
      </c>
      <c r="B29" s="138">
        <f>'14_WBS'!G135</f>
        <v/>
      </c>
      <c r="C29" s="138">
        <f>'14_WBS'!H135</f>
        <v/>
      </c>
      <c r="D29" s="40" t="inlineStr">
        <is>
          <t>13–26.5</t>
        </is>
      </c>
    </row>
    <row r="30">
      <c r="A30" s="94" t="inlineStr">
        <is>
          <t>合計（126 行）</t>
        </is>
      </c>
      <c r="B30" s="139">
        <f>'14_WBS'!G136</f>
        <v/>
      </c>
      <c r="C30" s="139">
        <f>'14_WBS'!H136</f>
        <v/>
      </c>
      <c r="D30" s="94" t="inlineStr">
        <is>
          <t>45–93</t>
        </is>
      </c>
    </row>
    <row r="31" ht="168" customHeight="1" s="134">
      <c r="A31" s="40" t="n"/>
      <c r="B31" s="40" t="n"/>
      <c r="C31" s="40" t="n"/>
      <c r="D31" s="40" t="n"/>
    </row>
    <row r="32" ht="190" customHeight="1" s="134">
      <c r="A32" s="96" t="inlineStr">
        <is>
          <t>注記: 人時・人日は 14_WBS の小計・総合計セルを参照する数式。md（research/wbs-phase3-4-estimate.md §9）の集計表は W2-C を 1 行にまとめ数値を丸めて合計 487 人時としているが、明細を SUM した本表は 487.5 人時になる（差 0.5 は W2-C の丸め）。明細の SUM を正とする。min–max は md §9 の値。W2-C は md 側が 15–31 人日で一括のため個別欄は空、W4〜W7 は md の W4〜W6（9–18）と W7（4–8.5）の合算。</t>
        </is>
      </c>
    </row>
    <row r="34">
      <c r="A34" s="7" t="inlineStr">
        <is>
          <t>4. 別表: 定型監視の工数（区分 = 監視(定型) の横断集計）</t>
        </is>
      </c>
    </row>
    <row r="35" ht="21" customHeight="1" s="134">
      <c r="A35" s="4" t="inlineStr">
        <is>
          <t>ID</t>
        </is>
      </c>
      <c r="B35" s="4" t="inlineStr">
        <is>
          <t>内容</t>
        </is>
      </c>
      <c r="C35" s="4" t="inlineStr">
        <is>
          <t>人時</t>
        </is>
      </c>
    </row>
    <row r="36" ht="21" customHeight="1" s="134">
      <c r="A36" s="5" t="inlineStr">
        <is>
          <t>B0-d</t>
        </is>
      </c>
      <c r="B36" s="5" t="inlineStr">
        <is>
          <t>監視設計書（アラーム一覧・閾値・通知先マトリクス）</t>
        </is>
      </c>
      <c r="C36" s="97" t="n">
        <v>2</v>
      </c>
    </row>
    <row r="37" ht="21" customHeight="1" s="134">
      <c r="A37" s="5" t="inlineStr">
        <is>
          <t>B1-i</t>
        </is>
      </c>
      <c r="B37" s="5" t="inlineStr">
        <is>
          <t>メトリクス 発行 実装</t>
        </is>
      </c>
      <c r="C37" s="97" t="n">
        <v>2</v>
      </c>
    </row>
    <row r="38" ht="21" customHeight="1" s="134">
      <c r="A38" s="5" t="inlineStr">
        <is>
          <t>B2-i〜B8-i</t>
        </is>
      </c>
      <c r="B38" s="5" t="inlineStr">
        <is>
          <t>アラーム実装 7 本</t>
        </is>
      </c>
      <c r="C38" s="97" t="n">
        <v>7</v>
      </c>
    </row>
    <row r="39" ht="21" customHeight="1" s="134">
      <c r="A39" s="5" t="inlineStr">
        <is>
          <t>B9-t</t>
        </is>
      </c>
      <c r="B39" s="5" t="inlineStr">
        <is>
          <t>全アラームのテスト発報</t>
        </is>
      </c>
      <c r="C39" s="97" t="n">
        <v>2</v>
      </c>
    </row>
    <row r="40" ht="21" customHeight="1" s="134">
      <c r="A40" s="5" t="inlineStr">
        <is>
          <t>W3-5</t>
        </is>
      </c>
      <c r="B40" s="5" t="inlineStr">
        <is>
          <t>性能実測・閾値本決め</t>
        </is>
      </c>
      <c r="C40" s="97" t="n">
        <v>4</v>
      </c>
    </row>
    <row r="41" ht="21" customHeight="1" s="134">
      <c r="A41" s="5" t="inlineStr">
        <is>
          <t>W4-3</t>
        </is>
      </c>
      <c r="B41" s="5" t="inlineStr">
        <is>
          <t>運用ダッシュボード</t>
        </is>
      </c>
      <c r="C41" s="97" t="n">
        <v>8</v>
      </c>
    </row>
    <row r="42" ht="19" customHeight="1" s="134">
      <c r="A42" s="98" t="inlineStr">
        <is>
          <t>定型監視 計</t>
        </is>
      </c>
      <c r="B42" s="94" t="n"/>
      <c r="C42" s="99" t="n">
        <v>25</v>
      </c>
    </row>
    <row r="43" ht="63" customHeight="1" s="134"/>
    <row r="44" ht="57" customHeight="1" s="134">
      <c r="A44" s="39" t="inlineStr">
        <is>
          <t>注記: 14_WBS で 区分=監視(定型) をフィルタしても同じ集合が得られる（人時計 25 = 3.1 人日）。</t>
        </is>
      </c>
    </row>
    <row r="46" ht="126" customHeight="1" s="134">
      <c r="A46" s="7" t="inlineStr">
        <is>
          <t>5. 漏れチェック結果</t>
        </is>
      </c>
    </row>
    <row r="47" ht="84" customHeight="1" s="134">
      <c r="A47" s="39" t="inlineStr">
        <is>
          <t>v2 で追加した 10 件（L2 Config Rules 確認 / S3 Lifecycle / Scheduler リトライ / Secrets 格納 / X-Auth-Probe secret / タグ + Budgets / ログ保持 / アラームテスト発報 / メタ不足・棚卸し通知経路 / JSON Schema 配布）は全行に反映済み。</t>
        </is>
      </c>
    </row>
    <row r="48" ht="63" customHeight="1" s="134">
      <c r="A48" s="39" t="inlineStr">
        <is>
          <t>v3 では成果物としての設計書群を明示化した: インフラ設計書（A 系 -d）/ 監視設計書（B0-d）/ Lambda 処理設計書（C0-d・K0-d）/ ロール・製品設計書（S0-d・P0-d）。</t>
        </is>
      </c>
    </row>
    <row r="49" ht="147" customHeight="1" s="134">
      <c r="A49" s="39" t="inlineStr">
        <is>
          <t>設計行の抽出はタスク名「設計」でフィルタ、または ID の -d で判別できる（-d 行は 34 行）。</t>
        </is>
      </c>
    </row>
    <row r="50" ht="147" customHeight="1" s="134">
      <c r="A50" s="39" t="inlineStr">
        <is>
          <t>v4（2026-08-19）: 手動変更検知の方針確定を反映 — C12-d/i/t 新設（deploymentId 併読 +9 人時）/ W1-6 を「無ければ実装必須」に格上げ / S0-d を権限 6 アクション化（apigateway:GET）/ W5-1・W4-1 に「変更は必ず CI/CD 経由」原則を明記。合計 477 → 486 人時。※ ここで導入した deploymentId 併読は v6（2026-08-21）で廃止された</t>
        </is>
      </c>
    </row>
    <row r="51" ht="147" customHeight="1" s="134">
      <c r="A51" s="39" t="inlineStr">
        <is>
          <t>v5（2026-08-20）: 実行モードを 2 つに統合 — 旧「手動全量検査（モード3）」を全量検査（モード2、日次定期＋手動）に再定義し、heartbeat 型（旧 M2）を廃止。A15-i 新設（日次 Scheduler +2 人時）、C8-d / T-D / W4-1 の文言更新。合計 486 → 488 人時。</t>
        </is>
      </c>
    </row>
    <row r="52" ht="21" customHeight="1" s="134">
      <c r="A52" s="39" t="inlineStr">
        <is>
          <t>v6（2026-08-21）: 外部 git（ベンダー保有）対応の S3 認証構成情報方式へ変更（ADR-061 追記 / 17 章全面改訂）— 変更検知を「コミット差分 + deploymentId 併読」から認証構成情報 VersionId 比較 単独に。C4（モノレポ）3 行削除 −5h / C12（deploymentId 併読）3 行削除 −9h / S2-d・S2-i 新設（認証構成情報連携バケット + アップロードロール +5h）/ W1-7 新設（ベンダー告知・CI 改修依頼 +8h、外部律速）。合計 488 → 487 人時（126 行）。</t>
        </is>
      </c>
    </row>
    <row r="53" ht="42" customHeight="1" s="134">
      <c r="A53" s="39" t="inlineStr">
        <is>
          <t>v7（2026-09-11）: 呼称改定のみ（人時・行数は不変）— 監視資材 → 認証構成情報 / 資材バケット → 認証構成情報連携バケット / Monitoring Registry → 認証構成情報配置バケット。工数・依存・スコープの変更はない。</t>
        </is>
      </c>
    </row>
    <row r="54" ht="21" customHeight="1" s="134">
      <c r="A54" s="9" t="inlineStr">
        <is>
          <t>6. リスク（見積が膨らむ主要因）</t>
        </is>
      </c>
    </row>
    <row r="55" ht="21" customHeight="1" s="134">
      <c r="A55" s="4" t="inlineStr">
        <is>
          <t>リスク</t>
        </is>
      </c>
      <c r="B55" s="4" t="inlineStr">
        <is>
          <t>影響</t>
        </is>
      </c>
    </row>
    <row r="56" ht="21" customHeight="1" s="134">
      <c r="A56" s="5" t="inlineStr">
        <is>
          <t>NW-2 例外の否認 → VPC 戻し</t>
        </is>
      </c>
      <c r="B56" s="5" t="inlineStr">
        <is>
          <t>+40〜64 人時</t>
        </is>
      </c>
    </row>
    <row r="57" ht="38" customHeight="1" s="134">
      <c r="A57" s="5" t="inlineStr">
        <is>
          <t>L2 Config Rules が組織に存在しない</t>
        </is>
      </c>
      <c r="B57" s="5" t="inlineStr">
        <is>
          <t>+8 人時の実装が必須発生（v4 で「前提頼み」から「無ければ必ず作る」に格上げ、W1-6）。放置すると死角が塞がらない</t>
        </is>
      </c>
    </row>
    <row r="58" ht="21" customHeight="1" s="134">
      <c r="A58" s="5" t="inlineStr">
        <is>
          <t>WAF 許可ルール調整の難航</t>
        </is>
      </c>
      <c r="B58" s="5" t="inlineStr">
        <is>
          <t>副対策（K4 系）のみで暫定リリース可</t>
        </is>
      </c>
    </row>
    <row r="59" ht="63" customHeight="1" s="134">
      <c r="A59" s="5" t="inlineStr">
        <is>
          <t>Service Catalog 製品の組織承認が重い</t>
        </is>
      </c>
      <c r="B59" s="5" t="inlineStr">
        <is>
          <t>監視自体は先行リリース可</t>
        </is>
      </c>
    </row>
    <row r="60" ht="63" customHeight="1" s="134">
      <c r="A60" s="5" t="inlineStr">
        <is>
          <t>Keycloak クライアント発行の遅延</t>
        </is>
      </c>
      <c r="B60" s="5" t="inlineStr">
        <is>
          <t>Negative のみで先行可（設計上許容）</t>
        </is>
      </c>
    </row>
    <row r="61" ht="42" customHeight="1" s="134">
      <c r="A61" s="5" t="inlineStr">
        <is>
          <t>ベンダー CI 改修の遅延（W1-7・外部律速）</t>
        </is>
      </c>
      <c r="B61" s="5" t="inlineStr">
        <is>
          <t>未対応アプリは監視対象に入らない。staleness 検知・棚卸しで可視化し後追いする（全体リリース自体は可能）</t>
        </is>
      </c>
    </row>
    <row r="63" ht="19" customHeight="1" s="134">
      <c r="A63" s="9" t="inlineStr">
        <is>
          <t>7. メモ（クリティカルパス・体制）</t>
        </is>
      </c>
    </row>
    <row r="64" ht="57" customHeight="1" s="134">
      <c r="A64" s="39" t="inlineStr">
        <is>
          <t>クリティカルパス: W2-A → C0〜C12（発見）/ K 系・R 系（検査） → W3-2 → T-A / T-B →（W4-1 → W5-4）。</t>
        </is>
      </c>
    </row>
    <row r="65" ht="38" customHeight="1" s="134">
      <c r="A65" s="39" t="inlineStr">
        <is>
          <t>1 名専任で実働 約 3 か月（外部リードタイム除く）。W2 と W3-2 を 2 名並行なら 約 2 か月。</t>
        </is>
      </c>
    </row>
    <row r="66" ht="38" customHeight="1" s="134">
      <c r="A66" s="39" t="inlineStr">
        <is>
          <t>W1 は初日に発注（W1-1 / W1-2 は同梱。W1-3 / W1-4 / W1-6 は個別に並行）。</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46"/>
  <sheetViews>
    <sheetView topLeftCell="A12" workbookViewId="0">
      <selection activeCell="F33" sqref="F33"/>
    </sheetView>
  </sheetViews>
  <sheetFormatPr baseColWidth="10" defaultRowHeight="18"/>
  <cols>
    <col width="10" customWidth="1" style="120" min="1" max="1"/>
    <col width="27.140625" customWidth="1" style="120" min="2" max="2"/>
    <col width="21.42578125" customWidth="1" style="120" min="3" max="3"/>
    <col width="47.140625" customWidth="1" style="120" min="4" max="4"/>
    <col width="21.42578125" customWidth="1" style="120" min="5" max="6"/>
    <col width="17.140625" customWidth="1" style="120" min="7" max="7"/>
    <col width="47.140625" customWidth="1" style="120" min="8" max="8"/>
    <col width="10.7109375" customWidth="1" style="2" min="9" max="16384"/>
  </cols>
  <sheetData>
    <row r="1" ht="27" customHeight="1" s="134">
      <c r="A1" s="1" t="inlineStr">
        <is>
          <t>認証実装確認処理 ランニング費用（AWS 利用料）</t>
        </is>
      </c>
    </row>
    <row r="2">
      <c r="A2" s="3" t="inlineStr">
        <is>
          <t>対象範囲: 認証実装確認処理（外形監視）の機構のみ。アプリ本体・CloudFront / WAF（ネットワーク監査アカウント）・ベンダー側 CI / git ホスティング費用・ガイドライン章（01-06）の費用は含まない。</t>
        </is>
      </c>
    </row>
    <row r="4">
      <c r="A4" s="7" t="inlineStr">
        <is>
          <t>1. 前提パラメータ</t>
        </is>
      </c>
    </row>
    <row r="5">
      <c r="A5" s="4" t="inlineStr">
        <is>
          <t>#</t>
        </is>
      </c>
      <c r="B5" s="4" t="inlineStr">
        <is>
          <t>パラメータ</t>
        </is>
      </c>
      <c r="C5" s="4" t="inlineStr">
        <is>
          <t>Phase 1</t>
        </is>
      </c>
      <c r="D5" s="4" t="inlineStr">
        <is>
          <t>将来（拡大時）</t>
        </is>
      </c>
      <c r="E5" s="4" t="inlineStr">
        <is>
          <t>根拠</t>
        </is>
      </c>
    </row>
    <row r="6">
      <c r="A6" s="60" t="inlineStr">
        <is>
          <t>P-1</t>
        </is>
      </c>
      <c r="B6" s="60" t="inlineStr">
        <is>
          <t>App アカウント数 = アプリ数</t>
        </is>
      </c>
      <c r="C6" s="60" t="n">
        <v>3</v>
      </c>
      <c r="D6" s="60" t="n">
        <v>30</v>
      </c>
      <c r="E6" s="60" t="inlineStr">
        <is>
          <t>WBS（Phase 1 ≈ 3 アカウント）</t>
        </is>
      </c>
    </row>
    <row r="7">
      <c r="A7" s="60" t="inlineStr">
        <is>
          <t>P-2</t>
        </is>
      </c>
      <c r="B7" s="60" t="inlineStr">
        <is>
          <t>環境数 / アプリ</t>
        </is>
      </c>
      <c r="C7" s="60" t="inlineStr">
        <is>
          <t>2（prod + stg）</t>
        </is>
      </c>
      <c r="D7" s="60" t="n">
        <v>2</v>
      </c>
      <c r="E7" s="60" t="inlineStr">
        <is>
          <t>monitoring.yaml 規約</t>
        </is>
      </c>
    </row>
    <row r="8">
      <c r="A8" s="60" t="inlineStr">
        <is>
          <t>P-3</t>
        </is>
      </c>
      <c r="B8" s="60" t="inlineStr">
        <is>
          <t>endpoint 数 / アプリ</t>
        </is>
      </c>
      <c r="C8" s="60" t="n">
        <v>30</v>
      </c>
      <c r="D8" s="60" t="n">
        <v>30</v>
      </c>
      <c r="E8" s="60" t="inlineStr">
        <is>
          <t>想定値（要ヒアリング）</t>
        </is>
      </c>
    </row>
    <row r="9">
      <c r="A9" s="60" t="inlineStr">
        <is>
          <t>P-4</t>
        </is>
      </c>
      <c r="B9" s="60" t="inlineStr">
        <is>
          <t>巡回頻度</t>
        </is>
      </c>
      <c r="C9" s="60" t="inlineStr">
        <is>
          <t>1 時間毎 = 約 730 回/月</t>
        </is>
      </c>
      <c r="D9" s="60" t="inlineStr">
        <is>
          <t>同左</t>
        </is>
      </c>
      <c r="E9" s="60" t="inlineStr">
        <is>
          <t>実行モード 自動差分検査（モード1）</t>
        </is>
      </c>
    </row>
    <row r="10">
      <c r="A10" s="60" t="inlineStr">
        <is>
          <t>P-5</t>
        </is>
      </c>
      <c r="B10" s="60" t="inlineStr">
        <is>
          <t>デプロイ（自動差分検査（モード1）起動）</t>
        </is>
      </c>
      <c r="C10" s="60" t="inlineStr">
        <is>
          <t>1 回/営業日/アプリ ≈ 60 回/月</t>
        </is>
      </c>
      <c r="D10" s="60" t="inlineStr">
        <is>
          <t>600 回/月</t>
        </is>
      </c>
      <c r="E10" s="60" t="inlineStr">
        <is>
          <t>想定値</t>
        </is>
      </c>
    </row>
    <row r="11">
      <c r="A11" s="60" t="inlineStr">
        <is>
          <t>P-6</t>
        </is>
      </c>
      <c r="B11" s="60" t="inlineStr">
        <is>
          <t>全量検査（モード2）</t>
        </is>
      </c>
      <c r="C11" s="60" t="inlineStr">
        <is>
          <t>月 1 回</t>
        </is>
      </c>
      <c r="D11" s="60" t="inlineStr">
        <is>
          <t>月 1 回</t>
        </is>
      </c>
      <c r="E11" s="60" t="inlineStr">
        <is>
          <t>運用工数 OP-3（推奨頻度、未決 RC-Q-2）</t>
        </is>
      </c>
    </row>
    <row r="12">
      <c r="A12" s="60" t="inlineStr">
        <is>
          <t>P-7</t>
        </is>
      </c>
      <c r="B12" s="60" t="inlineStr">
        <is>
          <t>Lambda メモリ / 実行時間</t>
        </is>
      </c>
      <c r="C12" s="60" t="inlineStr">
        <is>
          <t>対象検索 512MB×60s / 認証実装チェック 512MB×120s / アラート検知 256MB×5s</t>
        </is>
      </c>
      <c r="D12" s="60" t="inlineStr">
        <is>
          <t>対象検索は巡回対象比例で 300s</t>
        </is>
      </c>
      <c r="E12" s="60" t="inlineStr">
        <is>
          <t>想定値（W3-5 実測で本決め）</t>
        </is>
      </c>
    </row>
    <row r="13">
      <c r="A13" s="60" t="inlineStr">
        <is>
          <t>P-8</t>
        </is>
      </c>
      <c r="B13" s="60" t="inlineStr">
        <is>
          <t>為替目安</t>
        </is>
      </c>
      <c r="C13" s="60" t="inlineStr">
        <is>
          <t>$1 = ¥150</t>
        </is>
      </c>
      <c r="D13" s="60" t="inlineStr">
        <is>
          <t>同左</t>
        </is>
      </c>
      <c r="E13" s="60" t="inlineStr">
        <is>
          <t>概算表示用</t>
        </is>
      </c>
    </row>
    <row r="15">
      <c r="A15" s="63" t="inlineStr">
        <is>
          <t>単価は 2026-08-19 に AWS 公式（価格ページ + Price List API、ap-northeast-1）で検証済み。Scheduler 東京 $1.25/M・Logs 取り込み東京 $0.76/GB に補正</t>
        </is>
      </c>
    </row>
    <row r="17">
      <c r="A17" s="7" t="inlineStr">
        <is>
          <t>2. 費用内訳（月額 USD、東京）</t>
        </is>
      </c>
    </row>
    <row r="18">
      <c r="A18" s="4" t="inlineStr">
        <is>
          <t>ID</t>
        </is>
      </c>
      <c r="B18" s="4" t="inlineStr">
        <is>
          <t>項目</t>
        </is>
      </c>
      <c r="C18" s="4" t="inlineStr">
        <is>
          <t>リソース</t>
        </is>
      </c>
      <c r="D18" s="4" t="inlineStr">
        <is>
          <t>算定（Phase 1）</t>
        </is>
      </c>
      <c r="E18" s="4" t="inlineStr">
        <is>
          <t>月額 USD（Phase 1）</t>
        </is>
      </c>
      <c r="F18" s="4" t="inlineStr">
        <is>
          <t>月額 USD（将来 30）</t>
        </is>
      </c>
      <c r="G18" s="4" t="inlineStr">
        <is>
          <t>負担アカウント</t>
        </is>
      </c>
      <c r="H18" s="4" t="inlineStr">
        <is>
          <t>備考</t>
        </is>
      </c>
    </row>
    <row r="19">
      <c r="A19" s="60" t="inlineStr">
        <is>
          <t>RC-1</t>
        </is>
      </c>
      <c r="B19" s="60" t="inlineStr">
        <is>
          <t>対象検索 Lambda</t>
        </is>
      </c>
      <c r="C19" s="60" t="inlineStr">
        <is>
          <t>Lambda</t>
        </is>
      </c>
      <c r="D19" s="60" t="inlineStr">
        <is>
          <t>730 回 × 60s × 0.5GB = 21,900 GB-s × $0.0000166667</t>
        </is>
      </c>
      <c r="E19" s="100" t="inlineStr">
        <is>
          <t>$0.4</t>
        </is>
      </c>
      <c r="F19" s="100" t="inlineStr">
        <is>
          <t>$1.8</t>
        </is>
      </c>
      <c r="G19" s="60" t="inlineStr">
        <is>
          <t>共通基盤</t>
        </is>
      </c>
      <c r="H19" s="60" t="inlineStr">
        <is>
          <t>将来は巡回 300s/回で試算</t>
        </is>
      </c>
    </row>
    <row r="20">
      <c r="A20" s="60" t="inlineStr">
        <is>
          <t>RC-2</t>
        </is>
      </c>
      <c r="B20" s="60" t="inlineStr">
        <is>
          <t>認証実装チェック Lambda</t>
        </is>
      </c>
      <c r="C20" s="60" t="inlineStr">
        <is>
          <t>Lambda</t>
        </is>
      </c>
      <c r="D20" s="60" t="inlineStr">
        <is>
          <t>63 回 × 120s × 0.5GB ≈ 3,800 GB-s</t>
        </is>
      </c>
      <c r="E20" s="100" t="inlineStr">
        <is>
          <t>$0.1</t>
        </is>
      </c>
      <c r="F20" s="100" t="inlineStr">
        <is>
          <t>$0.6</t>
        </is>
      </c>
      <c r="G20" s="60" t="inlineStr">
        <is>
          <t>共通基盤</t>
        </is>
      </c>
      <c r="H20" s="60" t="inlineStr">
        <is>
          <t>自動差分検査（モード1） 60 + 全量検査（モード2） 3</t>
        </is>
      </c>
    </row>
    <row r="21">
      <c r="A21" s="60" t="inlineStr">
        <is>
          <t>RC-3</t>
        </is>
      </c>
      <c r="B21" s="60" t="inlineStr">
        <is>
          <t>アラート検知 Lambda</t>
        </is>
      </c>
      <c r="C21" s="60" t="inlineStr">
        <is>
          <t>Lambda</t>
        </is>
      </c>
      <c r="D21" s="60" t="inlineStr">
        <is>
          <t>発報数十回 × 5s × 0.25GB</t>
        </is>
      </c>
      <c r="E21" s="100" t="inlineStr">
        <is>
          <t>$0.0</t>
        </is>
      </c>
      <c r="F21" s="100" t="inlineStr">
        <is>
          <t>$0.0</t>
        </is>
      </c>
      <c r="G21" s="60" t="inlineStr">
        <is>
          <t>共通基盤</t>
        </is>
      </c>
      <c r="H21" s="60" t="inlineStr">
        <is>
          <t>無料枠内</t>
        </is>
      </c>
    </row>
    <row r="22">
      <c r="A22" s="60" t="inlineStr">
        <is>
          <t>RC-4</t>
        </is>
      </c>
      <c r="B22" s="60" t="inlineStr">
        <is>
          <t>スケジューラ</t>
        </is>
      </c>
      <c r="C22" s="60" t="inlineStr">
        <is>
          <t>EventBridge Scheduler</t>
        </is>
      </c>
      <c r="D22" s="60" t="inlineStr">
        <is>
          <t>730 起動 × $1.25/M</t>
        </is>
      </c>
      <c r="E22" s="100" t="inlineStr">
        <is>
          <t>$0.0</t>
        </is>
      </c>
      <c r="F22" s="100" t="inlineStr">
        <is>
          <t>$0.0</t>
        </is>
      </c>
      <c r="G22" s="60" t="inlineStr">
        <is>
          <t>共通基盤</t>
        </is>
      </c>
      <c r="H22" s="60" t="inlineStr">
        <is>
          <t>無料枠 1,400 万起動/月</t>
        </is>
      </c>
    </row>
    <row r="23">
      <c r="A23" s="60" t="inlineStr">
        <is>
          <t>RC-5</t>
        </is>
      </c>
      <c r="B23" s="60" t="inlineStr">
        <is>
          <t>認証構成情報配置バケット</t>
        </is>
      </c>
      <c r="C23" s="60" t="inlineStr">
        <is>
          <t>S3 Standard</t>
        </is>
      </c>
      <c r="D23" s="60" t="inlineStr">
        <is>
          <t>&lt;1GB + GET 約 1 万/月 + PUT 少量</t>
        </is>
      </c>
      <c r="E23" s="100" t="inlineStr">
        <is>
          <t>$0.1</t>
        </is>
      </c>
      <c r="F23" s="100" t="inlineStr">
        <is>
          <t>$0.5</t>
        </is>
      </c>
      <c r="G23" s="60" t="inlineStr">
        <is>
          <t>共通基盤</t>
        </is>
      </c>
      <c r="H23" s="60" t="inlineStr">
        <is>
          <t>Versioning 込みでも KB オーダー</t>
        </is>
      </c>
    </row>
    <row r="24">
      <c r="A24" s="60" t="inlineStr">
        <is>
          <t>RC-6</t>
        </is>
      </c>
      <c r="B24" s="60" t="inlineStr">
        <is>
          <t>シークレット</t>
        </is>
      </c>
      <c r="C24" s="60" t="inlineStr">
        <is>
          <t>Secrets Manager</t>
        </is>
      </c>
      <c r="D24" s="60" t="inlineStr">
        <is>
          <t>3 個 × $0.40（検査 トークン共通 + X-Auth-Probe + 予備）</t>
        </is>
      </c>
      <c r="E24" s="100" t="inlineStr">
        <is>
          <t>$1.2</t>
        </is>
      </c>
      <c r="F24" s="100" t="inlineStr">
        <is>
          <t>$1.2〜12</t>
        </is>
      </c>
      <c r="G24" s="60" t="inlineStr">
        <is>
          <t>共通基盤</t>
        </is>
      </c>
      <c r="H24" s="60" t="inlineStr">
        <is>
          <t>将来 M-Q-11-4 スコープ B（アプリ別クライアント）採用なら 30 個 ≈ $12</t>
        </is>
      </c>
    </row>
    <row r="25">
      <c r="A25" s="60" t="inlineStr">
        <is>
          <t>RC-7</t>
        </is>
      </c>
      <c r="B25" s="60" t="inlineStr">
        <is>
          <t>カスタムメトリクス</t>
        </is>
      </c>
      <c r="C25" s="60" t="inlineStr">
        <is>
          <t>CloudWatch</t>
        </is>
      </c>
      <c r="D25" s="60" t="inlineStr">
        <is>
          <t>約 20 個（MM-1〜5 + AccountErrors + アプリ別次元 3×3 ほか）× $0.30</t>
        </is>
      </c>
      <c r="E25" s="100" t="inlineStr">
        <is>
          <t>$6.0</t>
        </is>
      </c>
      <c r="F25" s="100" t="inlineStr">
        <is>
          <t>$30.0</t>
        </is>
      </c>
      <c r="G25" s="60" t="inlineStr">
        <is>
          <t>共通基盤</t>
        </is>
      </c>
      <c r="H25" s="60" t="inlineStr">
        <is>
          <t>最大費目。メトリクスはディメンション組合せごとに 1 個課金 → アプリ数比例</t>
        </is>
      </c>
    </row>
    <row r="26">
      <c r="A26" s="60" t="inlineStr">
        <is>
          <t>RC-8</t>
        </is>
      </c>
      <c r="B26" s="60" t="inlineStr">
        <is>
          <t>アラーム</t>
        </is>
      </c>
      <c r="C26" s="60" t="inlineStr">
        <is>
          <t>CloudWatch</t>
        </is>
      </c>
      <c r="D26" s="60" t="inlineStr">
        <is>
          <t>10 本（B2〜B8 + 保険系）× $0.10</t>
        </is>
      </c>
      <c r="E26" s="100" t="inlineStr">
        <is>
          <t>$1.0</t>
        </is>
      </c>
      <c r="F26" s="100" t="inlineStr">
        <is>
          <t>$1.5</t>
        </is>
      </c>
      <c r="G26" s="60" t="inlineStr">
        <is>
          <t>共通基盤</t>
        </is>
      </c>
      <c r="H26" s="60" t="n"/>
    </row>
    <row r="27">
      <c r="A27" s="60" t="inlineStr">
        <is>
          <t>RC-9</t>
        </is>
      </c>
      <c r="B27" s="60" t="inlineStr">
        <is>
          <t>ダッシュボード</t>
        </is>
      </c>
      <c r="C27" s="60" t="inlineStr">
        <is>
          <t>CloudWatch</t>
        </is>
      </c>
      <c r="D27" s="60" t="inlineStr">
        <is>
          <t>1 個（W4-3）</t>
        </is>
      </c>
      <c r="E27" s="100" t="inlineStr">
        <is>
          <t>$0.0</t>
        </is>
      </c>
      <c r="F27" s="100" t="inlineStr">
        <is>
          <t>$0.0</t>
        </is>
      </c>
      <c r="G27" s="60" t="inlineStr">
        <is>
          <t>共通基盤</t>
        </is>
      </c>
      <c r="H27" s="60" t="inlineStr">
        <is>
          <t>無料枠 3 個内</t>
        </is>
      </c>
    </row>
    <row r="28">
      <c r="A28" s="60" t="inlineStr">
        <is>
          <t>RC-10</t>
        </is>
      </c>
      <c r="B28" s="60" t="inlineStr">
        <is>
          <t>ログ</t>
        </is>
      </c>
      <c r="C28" s="60" t="inlineStr">
        <is>
          <t>CloudWatch Logs</t>
        </is>
      </c>
      <c r="D28" s="60" t="inlineStr">
        <is>
          <t>取り込み 2GB × $0.76 + 保存</t>
        </is>
      </c>
      <c r="E28" s="100" t="inlineStr">
        <is>
          <t>$2.0</t>
        </is>
      </c>
      <c r="F28" s="100" t="inlineStr">
        <is>
          <t>$9.0</t>
        </is>
      </c>
      <c r="G28" s="60" t="inlineStr">
        <is>
          <t>共通基盤</t>
        </is>
      </c>
      <c r="H28" s="60" t="inlineStr">
        <is>
          <t>東京は $0.76/GB。保持期間の設定が保存費を左右（A 系で設定済み前提）</t>
        </is>
      </c>
    </row>
    <row r="29">
      <c r="A29" s="60" t="inlineStr">
        <is>
          <t>RC-11</t>
        </is>
      </c>
      <c r="B29" s="60" t="inlineStr">
        <is>
          <t>通知メール</t>
        </is>
      </c>
      <c r="C29" s="60" t="inlineStr">
        <is>
          <t>SNS</t>
        </is>
      </c>
      <c r="D29" s="60" t="inlineStr">
        <is>
          <t>数百通/月</t>
        </is>
      </c>
      <c r="E29" s="100" t="inlineStr">
        <is>
          <t>$0.0</t>
        </is>
      </c>
      <c r="F29" s="100" t="inlineStr">
        <is>
          <t>$0.0</t>
        </is>
      </c>
      <c r="G29" s="60" t="inlineStr">
        <is>
          <t>共通基盤</t>
        </is>
      </c>
      <c r="H29" s="60" t="inlineStr">
        <is>
          <t>無料枠 1,000 通/月内。$2.00/10 万通</t>
        </is>
      </c>
    </row>
    <row r="30">
      <c r="A30" s="101" t="inlineStr">
        <is>
          <t>RC-12</t>
        </is>
      </c>
      <c r="B30" s="101" t="inlineStr">
        <is>
          <t>Config Rules（②）</t>
        </is>
      </c>
      <c r="C30" s="101" t="inlineStr">
        <is>
          <t>AWS Config</t>
        </is>
      </c>
      <c r="D30" s="101" t="inlineStr">
        <is>
          <t>ルール評価 ~100 回 × $0.001 + 変更 CI ~100 × $0.003</t>
        </is>
      </c>
      <c r="E30" s="102" t="inlineStr">
        <is>
          <t>$0.5</t>
        </is>
      </c>
      <c r="F30" s="102" t="inlineStr">
        <is>
          <t>$3.0</t>
        </is>
      </c>
      <c r="G30" s="103" t="inlineStr">
        <is>
          <t>App 各アカウント</t>
        </is>
      </c>
      <c r="H30" s="101" t="inlineStr">
        <is>
          <t>Config recorder は組織で有効済み前提（W1-6）。増分のみ計上</t>
        </is>
      </c>
    </row>
    <row r="31">
      <c r="A31" s="101" t="inlineStr">
        <is>
          <t>RC-13</t>
        </is>
      </c>
      <c r="B31" s="101" t="inlineStr">
        <is>
          <t>認証構成情報連携バケット</t>
        </is>
      </c>
      <c r="C31" s="101" t="inlineStr">
        <is>
          <t>S3 Standard（App 各アカウント）</t>
        </is>
      </c>
      <c r="D31" s="101" t="inlineStr">
        <is>
          <t>認証構成情報 3 ファイル（KB オーダー）+ Versioning 旧版 + 巡回 List/Get</t>
        </is>
      </c>
      <c r="E31" s="102" t="inlineStr">
        <is>
          <t>$0.0</t>
        </is>
      </c>
      <c r="F31" s="102" t="inlineStr">
        <is>
          <t>$0.1</t>
        </is>
      </c>
      <c r="G31" s="103" t="inlineStr">
        <is>
          <t>App 各アカウント</t>
        </is>
      </c>
      <c r="H31" s="101" t="inlineStr">
        <is>
          <t>2026-08-21 更新: 旧 RC-13（CodeCommit アクティブユーザー $0〜3/月）は S3 認証構成情報化（ADR-061 追記）で消滅。認証構成情報連携バケットの費用は誤差</t>
        </is>
      </c>
    </row>
    <row r="32">
      <c r="A32" s="60" t="inlineStr">
        <is>
          <t>RC-14</t>
        </is>
      </c>
      <c r="B32" s="60" t="inlineStr">
        <is>
          <t>KMS</t>
        </is>
      </c>
      <c r="C32" s="60" t="inlineStr">
        <is>
          <t>KMS</t>
        </is>
      </c>
      <c r="D32" s="60" t="inlineStr">
        <is>
          <t>SSE-S3 なら不要。CMK 1 本なら $1 + リクエスト</t>
        </is>
      </c>
      <c r="E32" s="100" t="inlineStr">
        <is>
          <t>$0〜1</t>
        </is>
      </c>
      <c r="F32" s="100" t="inlineStr">
        <is>
          <t>$0〜1</t>
        </is>
      </c>
      <c r="G32" s="60" t="inlineStr">
        <is>
          <t>共通基盤</t>
        </is>
      </c>
      <c r="H32" s="60" t="inlineStr">
        <is>
          <t>暗号化方式は A 系 IaC の決定に従う（RC-Q-3）</t>
        </is>
      </c>
    </row>
    <row r="33">
      <c r="A33" s="104" t="inlineStr">
        <is>
          <t>合計</t>
        </is>
      </c>
      <c r="B33" s="104" t="n"/>
      <c r="C33" s="104" t="n"/>
      <c r="D33" s="104" t="n"/>
      <c r="E33" s="105" t="inlineStr">
        <is>
          <t>≈ $11〜13/月（≈ ¥1,700〜2,000）</t>
        </is>
      </c>
      <c r="F33" s="105" t="inlineStr">
        <is>
          <t>≈ $48〜61/月（≈ ¥7,000〜9,200）</t>
        </is>
      </c>
      <c r="G33" s="104" t="n"/>
      <c r="H33" s="104" t="inlineStr">
        <is>
          <t>為替目安 $1 = ¥150</t>
        </is>
      </c>
    </row>
    <row r="35">
      <c r="A35" s="7" t="inlineStr">
        <is>
          <t>3. 読み方（要点）</t>
        </is>
      </c>
    </row>
    <row r="36">
      <c r="A36" s="3" t="inlineStr">
        <is>
          <t>機構のランニングは月 2,000 円前後で、支配項は CloudWatch（メトリクス + ログ = 費用の 2/3）。Lambda・S3・Scheduler は事実上ゼロ</t>
        </is>
      </c>
    </row>
    <row r="37">
      <c r="A37" s="3" t="inlineStr">
        <is>
          <t>アプリ数比例で増えるのは RC-7（メトリクス）・RC-10（ログ）・RC-12/13（App アカウント側）。30 アプリでも月 1 万円台</t>
        </is>
      </c>
    </row>
    <row r="38">
      <c r="A38" s="3" t="inlineStr">
        <is>
          <t>App アカウント側に発生する費用が 2 件ある（RC-12/13）。課金按分の説明にこの 2 件を「監視のための共通負担」として明記が必要 → RC-Q-1</t>
        </is>
      </c>
    </row>
    <row r="39">
      <c r="A39" s="3" t="inlineStr">
        <is>
          <t>検査の通信は CloudFront 経由の HTTPS 数千リクエスト/月でデータ転送費は誤差（&lt;$0.1）。巡回のクロスアカウント読み取りは S3 の List/GetObject のみで、認証構成情報は KB オーダーのため無視できる。</t>
        </is>
      </c>
    </row>
    <row r="41">
      <c r="A41" s="42" t="inlineStr">
        <is>
          <t>4. 未決（費用）</t>
        </is>
      </c>
    </row>
    <row r="42">
      <c r="A42" s="4" t="inlineStr">
        <is>
          <t>ID</t>
        </is>
      </c>
      <c r="B42" s="4" t="inlineStr">
        <is>
          <t>内容</t>
        </is>
      </c>
    </row>
    <row r="43">
      <c r="A43" s="60" t="inlineStr">
        <is>
          <t>RC-Q-1</t>
        </is>
      </c>
      <c r="B43" s="60" t="inlineStr">
        <is>
          <t>App アカウント側費用（RC-12/13）の按分整理 — 課金ガイドへの記載方法</t>
        </is>
      </c>
    </row>
    <row r="44">
      <c r="A44" s="60" t="inlineStr">
        <is>
          <t>RC-Q-2</t>
        </is>
      </c>
      <c r="B44" s="60" t="inlineStr">
        <is>
          <t>全量検査（モード2）の定期実行頻度（月次推奨 / 四半期 / 監査時のみ）— OP-3 と連動</t>
        </is>
      </c>
    </row>
    <row r="45">
      <c r="A45" s="60" t="inlineStr">
        <is>
          <t>RC-Q-3</t>
        </is>
      </c>
      <c r="B45" s="60" t="inlineStr">
        <is>
          <t>認証構成情報配置バケット の暗号化方式（SSE-S3 / SSE-KMS）— RC-14 の要否</t>
        </is>
      </c>
    </row>
    <row r="46">
      <c r="A46" s="60" t="inlineStr">
        <is>
          <t>RC-Q-4</t>
        </is>
      </c>
      <c r="B46" s="60" t="inlineStr">
        <is>
          <t>ログ保持期間の本決め（A 系タスクで設定。RC-10 の保存費に影響）</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44"/>
  <sheetViews>
    <sheetView workbookViewId="0">
      <selection activeCell="C18" sqref="C18"/>
    </sheetView>
  </sheetViews>
  <sheetFormatPr baseColWidth="10" defaultRowHeight="18"/>
  <cols>
    <col width="10" customWidth="1" style="120" min="1" max="1"/>
    <col width="62.85546875" customWidth="1" style="120" min="2" max="2"/>
    <col width="28.5703125" customWidth="1" style="120" min="3" max="3"/>
    <col width="61.42578125" customWidth="1" style="120" min="4" max="4"/>
    <col width="15.7109375" customWidth="1" style="120" min="5" max="5"/>
    <col width="8.85546875" customWidth="1" style="120" min="6" max="7"/>
    <col width="17.140625" customWidth="1" style="120" min="8" max="8"/>
    <col width="10.7109375" customWidth="1" style="2" min="9" max="16384"/>
  </cols>
  <sheetData>
    <row r="1" ht="27" customHeight="1" s="134">
      <c r="A1" s="1" t="inlineStr">
        <is>
          <t>認証実装確認処理 運用開始後の作業（運用工数）</t>
        </is>
      </c>
    </row>
    <row r="2">
      <c r="A2" s="106" t="inlineStr">
        <is>
          <t>体制想定 = 共通基盤チーム内の兼務 1 名。頻度は Phase 1（3 アプリ）想定で、導入期 3 か月の実績で v2 改訂（OP-Q-1）</t>
        </is>
      </c>
    </row>
    <row r="3">
      <c r="A3" s="3" t="inlineStr">
        <is>
          <t>時間は 1 件あたりの実働。「件数 × 時間」の変動項はアプリ数比例で、30 アプリ時は下部の集計表を参照。根拠: Runbook 5 本（W4-1 ①〜⑤）、メタ監視 MM-1〜5、4×4 分類。</t>
        </is>
      </c>
    </row>
    <row r="5">
      <c r="A5" s="7" t="inlineStr">
        <is>
          <t>1. 作業一覧（分類別）</t>
        </is>
      </c>
    </row>
    <row r="6">
      <c r="A6" s="4" t="inlineStr">
        <is>
          <t>ID</t>
        </is>
      </c>
      <c r="B6" s="4" t="inlineStr">
        <is>
          <t>分類</t>
        </is>
      </c>
      <c r="C6" s="4" t="inlineStr">
        <is>
          <t>作業</t>
        </is>
      </c>
      <c r="D6" s="4" t="inlineStr">
        <is>
          <t>内容</t>
        </is>
      </c>
      <c r="E6" s="4" t="inlineStr">
        <is>
          <t>周期 or 件数/月</t>
        </is>
      </c>
      <c r="F6" s="4" t="inlineStr">
        <is>
          <t>1 回 h</t>
        </is>
      </c>
      <c r="G6" s="4" t="inlineStr">
        <is>
          <t>月換算 h</t>
        </is>
      </c>
      <c r="H6" s="4" t="inlineStr">
        <is>
          <t>備考</t>
        </is>
      </c>
    </row>
    <row r="7">
      <c r="A7" s="60" t="inlineStr">
        <is>
          <t>OP-1</t>
        </is>
      </c>
      <c r="B7" s="60" t="inlineStr">
        <is>
          <t>定期</t>
        </is>
      </c>
      <c r="C7" s="60" t="inlineStr">
        <is>
          <t>日次ヘルスチェック</t>
        </is>
      </c>
      <c r="D7" s="60" t="inlineStr">
        <is>
          <t>ダッシュボード確認（巡回成功・未処理アラート・AccountErrors）</t>
        </is>
      </c>
      <c r="E7" s="107" t="inlineStr">
        <is>
          <t>営業日</t>
        </is>
      </c>
      <c r="F7" s="107" t="n">
        <v>0.2</v>
      </c>
      <c r="G7" s="107" t="n">
        <v>4</v>
      </c>
      <c r="H7" s="60" t="n"/>
    </row>
    <row r="8">
      <c r="A8" s="60" t="inlineStr">
        <is>
          <t>OP-2</t>
        </is>
      </c>
      <c r="B8" s="60" t="inlineStr">
        <is>
          <t>定期</t>
        </is>
      </c>
      <c r="C8" s="60" t="inlineStr">
        <is>
          <t>月次棚卸し</t>
        </is>
      </c>
      <c r="D8" s="60" t="inlineStr">
        <is>
          <t>消滅レコード削除・公開印 skip 濫用レビュー・enabled 一覧確認（Runbook ⑤）</t>
        </is>
      </c>
      <c r="E8" s="107" t="inlineStr">
        <is>
          <t>月</t>
        </is>
      </c>
      <c r="F8" s="107" t="n">
        <v>2</v>
      </c>
      <c r="G8" s="107" t="n">
        <v>2</v>
      </c>
      <c r="H8" s="60" t="n"/>
    </row>
    <row r="9">
      <c r="A9" s="60" t="inlineStr">
        <is>
          <t>OP-3</t>
        </is>
      </c>
      <c r="B9" s="60" t="inlineStr">
        <is>
          <t>定期</t>
        </is>
      </c>
      <c r="C9" s="60" t="inlineStr">
        <is>
          <t>全量検査（モード2）実行</t>
        </is>
      </c>
      <c r="D9" s="60" t="inlineStr">
        <is>
          <t>全アプリ全量検査 + 結果確認（Runbook ②）</t>
        </is>
      </c>
      <c r="E9" s="107" t="inlineStr">
        <is>
          <t>月（RC-Q-2）</t>
        </is>
      </c>
      <c r="F9" s="107" t="n">
        <v>1</v>
      </c>
      <c r="G9" s="107" t="n">
        <v>1</v>
      </c>
      <c r="H9" s="60" t="n"/>
    </row>
    <row r="10">
      <c r="A10" s="60" t="inlineStr">
        <is>
          <t>OP-4</t>
        </is>
      </c>
      <c r="B10" s="60" t="inlineStr">
        <is>
          <t>定期</t>
        </is>
      </c>
      <c r="C10" s="60" t="inlineStr">
        <is>
          <t>アラームテスト発報</t>
        </is>
      </c>
      <c r="D10" s="60" t="inlineStr">
        <is>
          <t>B-2 相当の擬似ケースで通知経路を通す訓練</t>
        </is>
      </c>
      <c r="E10" s="107" t="inlineStr">
        <is>
          <t>四半期</t>
        </is>
      </c>
      <c r="F10" s="107" t="n">
        <v>2</v>
      </c>
      <c r="G10" s="107" t="n">
        <v>0.7</v>
      </c>
      <c r="H10" s="60" t="n"/>
    </row>
    <row r="11">
      <c r="A11" s="60" t="inlineStr">
        <is>
          <t>OP-5</t>
        </is>
      </c>
      <c r="B11" s="60" t="inlineStr">
        <is>
          <t>定期</t>
        </is>
      </c>
      <c r="C11" s="60" t="inlineStr">
        <is>
          <t>シークレットローテ確認</t>
        </is>
      </c>
      <c r="D11" s="60" t="inlineStr">
        <is>
          <t>検査 トークンクライアント・X-Auth-Probe secret（T2 自動なら結果確認のみ）</t>
        </is>
      </c>
      <c r="E11" s="107" t="inlineStr">
        <is>
          <t>四半期</t>
        </is>
      </c>
      <c r="F11" s="107" t="n">
        <v>2</v>
      </c>
      <c r="G11" s="107" t="n">
        <v>0.7</v>
      </c>
      <c r="H11" s="60" t="n"/>
    </row>
    <row r="12">
      <c r="A12" s="60" t="inlineStr">
        <is>
          <t>OP-6</t>
        </is>
      </c>
      <c r="B12" s="60" t="inlineStr">
        <is>
          <t>定期</t>
        </is>
      </c>
      <c r="C12" s="60" t="inlineStr">
        <is>
          <t>権限棚卸し</t>
        </is>
      </c>
      <c r="D12" s="60" t="inlineStr">
        <is>
          <t>DiscoveryReadRole 信頼先・ExternalId・AssumeRole CloudTrail 監査</t>
        </is>
      </c>
      <c r="E12" s="107" t="inlineStr">
        <is>
          <t>半期</t>
        </is>
      </c>
      <c r="F12" s="107" t="n">
        <v>3</v>
      </c>
      <c r="G12" s="107" t="n">
        <v>0.5</v>
      </c>
      <c r="H12" s="60" t="n"/>
    </row>
    <row r="13">
      <c r="A13" s="60" t="inlineStr">
        <is>
          <t>OP-7</t>
        </is>
      </c>
      <c r="B13" s="60" t="inlineStr">
        <is>
          <t>定期</t>
        </is>
      </c>
      <c r="C13" s="60" t="inlineStr">
        <is>
          <t>ランタイム・SDK 更新</t>
        </is>
      </c>
      <c r="D13" s="60" t="inlineStr">
        <is>
          <t>Lambda ランタイム EOL 追随・依存更新 + 回帰（W3 の UT 資産流用）</t>
        </is>
      </c>
      <c r="E13" s="107" t="inlineStr">
        <is>
          <t>年</t>
        </is>
      </c>
      <c r="F13" s="107" t="n">
        <v>16</v>
      </c>
      <c r="G13" s="107" t="n">
        <v>1.3</v>
      </c>
      <c r="H13" s="60" t="n"/>
    </row>
    <row r="14">
      <c r="A14" s="60" t="inlineStr">
        <is>
          <t>OP-8</t>
        </is>
      </c>
      <c r="B14" s="60" t="inlineStr">
        <is>
          <t>定期</t>
        </is>
      </c>
      <c r="C14" s="60" t="inlineStr">
        <is>
          <t>ガイド・Schema 年次見直し</t>
        </is>
      </c>
      <c r="D14" s="60" t="inlineStr">
        <is>
          <t>利用ガイド / JSON Schema / FAQ の改訂</t>
        </is>
      </c>
      <c r="E14" s="107" t="inlineStr">
        <is>
          <t>年</t>
        </is>
      </c>
      <c r="F14" s="107" t="n">
        <v>8</v>
      </c>
      <c r="G14" s="107" t="n">
        <v>0.7</v>
      </c>
      <c r="H14" s="60" t="n"/>
    </row>
    <row r="15">
      <c r="A15" s="104" t="n"/>
      <c r="B15" s="104" t="inlineStr">
        <is>
          <t>定期 小計</t>
        </is>
      </c>
      <c r="C15" s="104" t="n"/>
      <c r="D15" s="104" t="n"/>
      <c r="E15" s="108" t="n"/>
      <c r="F15" s="108" t="n"/>
      <c r="G15" s="108" t="n">
        <v>10.9</v>
      </c>
      <c r="H15" s="104" t="n"/>
    </row>
    <row r="16">
      <c r="A16" s="60" t="inlineStr">
        <is>
          <t>OP-9</t>
        </is>
      </c>
      <c r="B16" s="60" t="inlineStr">
        <is>
          <t>発生ベース</t>
        </is>
      </c>
      <c r="C16" s="60" t="inlineStr">
        <is>
          <t>P1 対応</t>
        </is>
      </c>
      <c r="D16" s="60" t="inlineStr">
        <is>
          <t>認証漏れ疑いの一次切り分け（真の漏れ / 設定ずれ / 誤検知）→ アプリ連絡 → 暫定遮断判断（Runbook ①）</t>
        </is>
      </c>
      <c r="E16" s="107" t="n">
        <v>0.5</v>
      </c>
      <c r="F16" s="107" t="n">
        <v>4</v>
      </c>
      <c r="G16" s="107" t="n">
        <v>2</v>
      </c>
      <c r="H16" s="60" t="n"/>
    </row>
    <row r="17">
      <c r="A17" s="60" t="inlineStr">
        <is>
          <t>OP-10</t>
        </is>
      </c>
      <c r="B17" s="60" t="inlineStr">
        <is>
          <t>発生ベース</t>
        </is>
      </c>
      <c r="C17" s="60" t="inlineStr">
        <is>
          <t>P2 対応</t>
        </is>
      </c>
      <c r="D17" s="60" t="inlineStr">
        <is>
          <t>メタ不足・消滅検知・Config 設定ずれの確認とアプリ督促</t>
        </is>
      </c>
      <c r="E17" s="107" t="n">
        <v>3</v>
      </c>
      <c r="F17" s="107" t="n">
        <v>1</v>
      </c>
      <c r="G17" s="107" t="n">
        <v>3</v>
      </c>
      <c r="H17" s="60" t="n"/>
    </row>
    <row r="18">
      <c r="A18" s="60" t="inlineStr">
        <is>
          <t>OP-11</t>
        </is>
      </c>
      <c r="B18" s="60" t="inlineStr">
        <is>
          <t>発生ベース</t>
        </is>
      </c>
      <c r="C18" s="60" t="inlineStr">
        <is>
          <t>P3・問い合わせ対応</t>
        </is>
      </c>
      <c r="D18" s="60" t="inlineStr">
        <is>
          <t>アプリ通知系のフォロー・FAQ 対応</t>
        </is>
      </c>
      <c r="E18" s="107" t="n">
        <v>4</v>
      </c>
      <c r="F18" s="107" t="n">
        <v>0.5</v>
      </c>
      <c r="G18" s="107" t="n">
        <v>2</v>
      </c>
      <c r="H18" s="60" t="n"/>
    </row>
    <row r="19">
      <c r="A19" s="60" t="inlineStr">
        <is>
          <t>OP-12</t>
        </is>
      </c>
      <c r="B19" s="60" t="inlineStr">
        <is>
          <t>発生ベース</t>
        </is>
      </c>
      <c r="C19" s="60" t="inlineStr">
        <is>
          <t>誤検知調査</t>
        </is>
      </c>
      <c r="D19" s="60" t="inlineStr">
        <is>
          <t>WAF 干渉（X-Auth-Probe 不通など）・WARN 分類の原因調査</t>
        </is>
      </c>
      <c r="E19" s="107" t="n">
        <v>1</v>
      </c>
      <c r="F19" s="107" t="n">
        <v>2</v>
      </c>
      <c r="G19" s="107" t="n">
        <v>2</v>
      </c>
      <c r="H19" s="60" t="n"/>
    </row>
    <row r="20">
      <c r="A20" s="60" t="inlineStr">
        <is>
          <t>OP-13</t>
        </is>
      </c>
      <c r="B20" s="60" t="inlineStr">
        <is>
          <t>発生ベース</t>
        </is>
      </c>
      <c r="C20" s="60" t="inlineStr">
        <is>
          <t>メタ監視（MM）発報対応</t>
        </is>
      </c>
      <c r="D20" s="60" t="inlineStr">
        <is>
          <t>DiscoveryLastSuccess 欠損等の初動（Runbook ③）</t>
        </is>
      </c>
      <c r="E20" s="107" t="n">
        <v>1</v>
      </c>
      <c r="F20" s="107" t="n">
        <v>1</v>
      </c>
      <c r="G20" s="107" t="n">
        <v>1</v>
      </c>
      <c r="H20" s="60" t="n"/>
    </row>
    <row r="21">
      <c r="A21" s="60" t="inlineStr">
        <is>
          <t>OP-14</t>
        </is>
      </c>
      <c r="B21" s="60" t="inlineStr">
        <is>
          <t>発生ベース</t>
        </is>
      </c>
      <c r="C21" s="60" t="inlineStr">
        <is>
          <t>新規アプリ導入支援</t>
        </is>
      </c>
      <c r="D21" s="60" t="inlineStr">
        <is>
          <t>monitoring.yaml レビュー・アップロードロール払い出し（CI 信頼先設定）・初回アップロード〜検知の受入確認</t>
        </is>
      </c>
      <c r="E21" s="107" t="n">
        <v>1</v>
      </c>
      <c r="F21" s="107" t="n">
        <v>3</v>
      </c>
      <c r="G21" s="107" t="n">
        <v>3</v>
      </c>
      <c r="H21" s="60" t="n"/>
    </row>
    <row r="22">
      <c r="A22" s="60" t="inlineStr">
        <is>
          <t>OP-15</t>
        </is>
      </c>
      <c r="B22" s="60" t="inlineStr">
        <is>
          <t>発生ベース</t>
        </is>
      </c>
      <c r="C22" s="60" t="inlineStr">
        <is>
          <t>外部調整の維持</t>
        </is>
      </c>
      <c r="D22" s="60" t="inlineStr">
        <is>
          <t>WAF ルール変更追随・Keycloak クライアント更新・NW-2 例外の年次更新</t>
        </is>
      </c>
      <c r="E22" s="107" t="n">
        <v>0.5</v>
      </c>
      <c r="F22" s="107" t="n">
        <v>1</v>
      </c>
      <c r="G22" s="107" t="n">
        <v>0.5</v>
      </c>
      <c r="H22" s="60" t="n"/>
    </row>
    <row r="23">
      <c r="A23" s="104" t="n"/>
      <c r="B23" s="104" t="inlineStr">
        <is>
          <t>発生ベース 小計</t>
        </is>
      </c>
      <c r="C23" s="104" t="n"/>
      <c r="D23" s="104" t="n"/>
      <c r="E23" s="108" t="n"/>
      <c r="F23" s="108" t="n"/>
      <c r="G23" s="108" t="n">
        <v>13.5</v>
      </c>
      <c r="H23" s="104" t="n"/>
    </row>
    <row r="24">
      <c r="A24" s="60" t="inlineStr">
        <is>
          <t>OP-16</t>
        </is>
      </c>
      <c r="B24" s="60" t="inlineStr">
        <is>
          <t>改善・維持</t>
        </is>
      </c>
      <c r="C24" s="60" t="inlineStr">
        <is>
          <t>設計書・Excel・Runbook の同期</t>
        </is>
      </c>
      <c r="D24" s="60" t="inlineStr">
        <is>
          <t>実装差分・未決消し込みの反映</t>
        </is>
      </c>
      <c r="E24" s="107" t="n"/>
      <c r="F24" s="107" t="n"/>
      <c r="G24" s="107" t="n">
        <v>1</v>
      </c>
      <c r="H24" s="60" t="n"/>
    </row>
    <row r="25">
      <c r="A25" s="60" t="inlineStr">
        <is>
          <t>OP-17</t>
        </is>
      </c>
      <c r="B25" s="60" t="inlineStr">
        <is>
          <t>改善・維持</t>
        </is>
      </c>
      <c r="C25" s="60" t="inlineStr">
        <is>
          <t>閾値チューニング</t>
        </is>
      </c>
      <c r="D25" s="60" t="inlineStr">
        <is>
          <t>アラーム・WARN 分類の見直し（実績ベース）</t>
        </is>
      </c>
      <c r="E25" s="107" t="n"/>
      <c r="F25" s="107" t="n"/>
      <c r="G25" s="107" t="n">
        <v>0.5</v>
      </c>
      <c r="H25" s="60" t="n"/>
    </row>
    <row r="26">
      <c r="A26" s="104" t="n"/>
      <c r="B26" s="104" t="inlineStr">
        <is>
          <t>改善・維持 小計</t>
        </is>
      </c>
      <c r="C26" s="104" t="n"/>
      <c r="D26" s="104" t="n"/>
      <c r="E26" s="108" t="n"/>
      <c r="F26" s="108" t="n"/>
      <c r="G26" s="108" t="n">
        <v>1.5</v>
      </c>
      <c r="H26" s="104" t="n"/>
    </row>
    <row r="28">
      <c r="A28" s="7" t="inlineStr">
        <is>
          <t>2. 集計</t>
        </is>
      </c>
    </row>
    <row r="29">
      <c r="A29" s="4" t="inlineStr">
        <is>
          <t>期間</t>
        </is>
      </c>
      <c r="B29" s="4" t="inlineStr">
        <is>
          <t>月間工数</t>
        </is>
      </c>
      <c r="C29" s="4" t="inlineStr">
        <is>
          <t>人日/月</t>
        </is>
      </c>
      <c r="D29" s="4" t="inlineStr">
        <is>
          <t>FTE 換算</t>
        </is>
      </c>
    </row>
    <row r="30">
      <c r="A30" s="60" t="inlineStr">
        <is>
          <t>導入期（リリース後 3 か月）</t>
        </is>
      </c>
      <c r="B30" s="60" t="inlineStr">
        <is>
          <t>約 39h（定常 26h × 1.5。チューニング・導入支援・誤検知が集中）</t>
        </is>
      </c>
      <c r="C30" s="60" t="n">
        <v>4.9</v>
      </c>
      <c r="D30" s="60" t="n">
        <v>0.24</v>
      </c>
    </row>
    <row r="31">
      <c r="A31" s="109" t="inlineStr">
        <is>
          <t>定常期（Phase 1、3 アプリ）</t>
        </is>
      </c>
      <c r="B31" s="109" t="inlineStr">
        <is>
          <t>約 26h</t>
        </is>
      </c>
      <c r="C31" s="109" t="n">
        <v>3.3</v>
      </c>
      <c r="D31" s="109" t="n">
        <v>0.16</v>
      </c>
    </row>
    <row r="32">
      <c r="A32" s="60" t="inlineStr">
        <is>
          <t>拡大時（30 アプリ）</t>
        </is>
      </c>
      <c r="B32" s="60" t="inlineStr">
        <is>
          <t>約 55h（OP-9〜14 がアプリ数比例で ×3〜4、定期作業は微増）</t>
        </is>
      </c>
      <c r="C32" s="60" t="n">
        <v>6.9</v>
      </c>
      <c r="D32" s="60" t="n">
        <v>0.34</v>
      </c>
    </row>
    <row r="34">
      <c r="A34" s="7" t="inlineStr">
        <is>
          <t>3. 読み方</t>
        </is>
      </c>
    </row>
    <row r="35">
      <c r="A35" s="3" t="inlineStr">
        <is>
          <t>専任は不要。定常期は兼務 1 名で 2 割弱の稼働。拡大時も 0.3〜0.4 FTE</t>
        </is>
      </c>
    </row>
    <row r="36">
      <c r="A36" s="3" t="inlineStr">
        <is>
          <t>工数の半分は発生ベース（OP-9〜15）であり、想定件数は運用実績で必ずブレる。導入期 3 か月の実績で頻度を実測し、本表を v2 改訂する（OP-Q-1）</t>
        </is>
      </c>
    </row>
    <row r="37">
      <c r="A37" s="3" t="inlineStr">
        <is>
          <t>P1（OP-9）は件数こそ少ないが対応期限が最も厳しい（認証漏れの可能性 = セキュリティインシデント扱い）。Runbook ① の一次切り分け 30 分以内を目標にする</t>
        </is>
      </c>
    </row>
    <row r="39">
      <c r="A39" s="42" t="inlineStr">
        <is>
          <t>4. 未決（運用）</t>
        </is>
      </c>
    </row>
    <row r="40">
      <c r="A40" s="4" t="inlineStr">
        <is>
          <t>ID</t>
        </is>
      </c>
      <c r="B40" s="4" t="inlineStr">
        <is>
          <t>内容</t>
        </is>
      </c>
    </row>
    <row r="41">
      <c r="A41" s="60" t="inlineStr">
        <is>
          <t>OP-Q-1</t>
        </is>
      </c>
      <c r="B41" s="60" t="inlineStr">
        <is>
          <t>導入期 3 か月後の実績による頻度・工数の v2 改訂（レビュー日を運用カレンダーに登録）</t>
        </is>
      </c>
    </row>
    <row r="42">
      <c r="A42" s="60" t="inlineStr">
        <is>
          <t>OP-Q-2</t>
        </is>
      </c>
      <c r="B42" s="60" t="inlineStr">
        <is>
          <t>P1 の対応 SLA（一次切り分け・アプリ通知・暫定遮断の各期限）— セキュリティチームと合意要</t>
        </is>
      </c>
    </row>
    <row r="43">
      <c r="A43" s="60" t="inlineStr">
        <is>
          <t>OP-Q-3</t>
        </is>
      </c>
      <c r="B43" s="60" t="inlineStr">
        <is>
          <t>月次サマリレポート（検知件数・対応状況）の要否と宛先 — 不要なら OP に追加なし、必要なら +1h/月</t>
        </is>
      </c>
    </row>
    <row r="44">
      <c r="A44" s="60" t="inlineStr">
        <is>
          <t>OP-Q-4</t>
        </is>
      </c>
      <c r="B44" s="60" t="inlineStr">
        <is>
          <t>拡大時（10 アプリ超）の体制見直しトリガー（件数 or 工数の閾値）</t>
        </is>
      </c>
    </row>
  </sheetData>
  <pageMargins left="0.7" right="0.7" top="0.75" bottom="0.75" header="0.3" footer="0.3"/>
</worksheet>
</file>

<file path=xl/worksheets/sheet18.xml><?xml version="1.0" encoding="utf-8"?>
<worksheet xmlns="http://schemas.openxmlformats.org/spreadsheetml/2006/main">
  <sheetPr>
    <tabColor rgb="002F5597"/>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10" customWidth="1" style="134" min="1" max="1"/>
    <col width="30" customWidth="1" style="134" min="2" max="2"/>
    <col width="22" customWidth="1" style="134" min="3" max="3"/>
    <col width="20" customWidth="1" style="134" min="4" max="4"/>
    <col width="30" customWidth="1" style="134" min="5" max="5"/>
    <col width="30" customWidth="1" style="134" min="6" max="6"/>
    <col width="10" customWidth="1" style="134" min="7" max="7"/>
    <col width="44" customWidth="1" style="134" min="8" max="8"/>
    <col width="20" customWidth="1" style="134" min="9" max="9"/>
    <col width="12" customWidth="1" style="134" min="10" max="10"/>
  </cols>
  <sheetData>
    <row r="1" ht="26" customHeight="1" s="134">
      <c r="A1" s="140" t="inlineStr">
        <is>
          <t>処理一覧（処理設計セクションのハブ）</t>
        </is>
      </c>
    </row>
    <row r="2" ht="40" customHeight="1" s="134">
      <c r="A2" s="141" t="inlineStr">
        <is>
          <t>本シート以降は「処理設計」セクション（シート 18〜）。1 処理 = 1 シートで I/O・シーケンス・例外を定義する。構成図は 03、リソース一覧は 04、データ定義は 07、IAM は 08、コストは 16/17 を参照（重複記載しない）。設計の正は md（doc/api-platform/basic-design/ 10〜18 章）。⚠ 本セクションは tools/add_process_sheets_to_apipf.py の生成物。記入は Excel でなく tools/process_catalog.py の d=dict(...) に書くこと（再生成で消えるため）。</t>
        </is>
      </c>
    </row>
    <row r="4">
      <c r="A4" s="142" t="inlineStr">
        <is>
          <t>処理ID</t>
        </is>
      </c>
      <c r="B4" s="142" t="inlineStr">
        <is>
          <t>処理名</t>
        </is>
      </c>
      <c r="C4" s="142" t="inlineStr">
        <is>
          <t>系統</t>
        </is>
      </c>
      <c r="D4" s="142" t="inlineStr">
        <is>
          <t>実行契機</t>
        </is>
      </c>
      <c r="E4" s="142" t="inlineStr">
        <is>
          <t>起動元</t>
        </is>
      </c>
      <c r="F4" s="142" t="inlineStr">
        <is>
          <t>起動先</t>
        </is>
      </c>
      <c r="G4" s="142" t="inlineStr">
        <is>
          <t>方式</t>
        </is>
      </c>
      <c r="H4" s="142" t="inlineStr">
        <is>
          <t>概要</t>
        </is>
      </c>
      <c r="I4" s="142" t="inlineStr">
        <is>
          <t>シート</t>
        </is>
      </c>
      <c r="J4" s="142" t="inlineStr">
        <is>
          <t>記入状態</t>
        </is>
      </c>
    </row>
    <row r="5">
      <c r="A5" s="143" t="inlineStr">
        <is>
          <t>対象検索-01</t>
        </is>
      </c>
      <c r="B5" s="143" t="inlineStr">
        <is>
          <t>認証実装確認処理開始</t>
        </is>
      </c>
      <c r="C5" s="143" t="inlineStr">
        <is>
          <t>対象検索（1 時間毎の巡回）</t>
        </is>
      </c>
      <c r="D5" s="143" t="inlineStr">
        <is>
          <t>対象検索（1 時間毎）</t>
        </is>
      </c>
      <c r="E5" s="143" t="inlineStr">
        <is>
          <t>EventBridge Scheduler（rate(1 hour)）</t>
        </is>
      </c>
      <c r="F5" s="143" t="inlineStr">
        <is>
          <t>対象検索 Lambda</t>
        </is>
      </c>
      <c r="G5" s="143" t="inlineStr">
        <is>
          <t>非同期</t>
        </is>
      </c>
      <c r="H5" s="143" t="inlineStr">
        <is>
          <t>監視対象の変更有無を確認する巡回処理を定期起動する。</t>
        </is>
      </c>
      <c r="I5" s="144" t="inlineStr">
        <is>
          <t>対象検索-01_認証実装確認処理開始</t>
        </is>
      </c>
      <c r="J5" s="145" t="inlineStr">
        <is>
          <t>記入待ち</t>
        </is>
      </c>
    </row>
    <row r="6">
      <c r="A6" s="143" t="inlineStr">
        <is>
          <t>対象検索-02</t>
        </is>
      </c>
      <c r="B6" s="143" t="inlineStr">
        <is>
          <t>対象アカウント一覧取得</t>
        </is>
      </c>
      <c r="C6" s="143" t="inlineStr">
        <is>
          <t>対象検索（1 時間毎の巡回）</t>
        </is>
      </c>
      <c r="D6" s="143" t="inlineStr">
        <is>
          <t>対象検索（1 時間毎）</t>
        </is>
      </c>
      <c r="E6" s="143" t="inlineStr">
        <is>
          <t>対象検索 Lambda</t>
        </is>
      </c>
      <c r="F6" s="143" t="inlineStr">
        <is>
          <t>AWS Organizations</t>
        </is>
      </c>
      <c r="G6" s="143" t="inlineStr">
        <is>
          <t>同期</t>
        </is>
      </c>
      <c r="H6" s="143" t="inlineStr">
        <is>
          <t>巡回対象となる App アカウントの一覧を取得する。</t>
        </is>
      </c>
      <c r="I6" s="144" t="inlineStr">
        <is>
          <t>対象検索-02_対象アカウント一覧取得</t>
        </is>
      </c>
      <c r="J6" s="145" t="inlineStr">
        <is>
          <t>記入待ち</t>
        </is>
      </c>
    </row>
    <row r="7">
      <c r="A7" s="143" t="inlineStr">
        <is>
          <t>対象検索-03</t>
        </is>
      </c>
      <c r="B7" s="143" t="inlineStr">
        <is>
          <t>対象アカウント接続権限取得</t>
        </is>
      </c>
      <c r="C7" s="143" t="inlineStr">
        <is>
          <t>対象検索（1 時間毎の巡回）</t>
        </is>
      </c>
      <c r="D7" s="143" t="inlineStr">
        <is>
          <t>対象検索（1 時間毎）</t>
        </is>
      </c>
      <c r="E7" s="143" t="inlineStr">
        <is>
          <t>対象検索 Lambda</t>
        </is>
      </c>
      <c r="F7" s="143" t="inlineStr">
        <is>
          <t>STS →（各 App の）DiscoveryReadRole</t>
        </is>
      </c>
      <c r="G7" s="143" t="inlineStr">
        <is>
          <t>同期</t>
        </is>
      </c>
      <c r="H7" s="143" t="inlineStr">
        <is>
          <t>App アカウントの認証構成情報を読むための一時クレデンシャルを取得する。</t>
        </is>
      </c>
      <c r="I7" s="144" t="inlineStr">
        <is>
          <t>対象検索-03_対象アカウント接続権限取得</t>
        </is>
      </c>
      <c r="J7" s="145" t="inlineStr">
        <is>
          <t>記入待ち</t>
        </is>
      </c>
    </row>
    <row r="8">
      <c r="A8" s="143" t="inlineStr">
        <is>
          <t>対象検索-04</t>
        </is>
      </c>
      <c r="B8" s="143" t="inlineStr">
        <is>
          <t>認証構成情報一覧・版数取得</t>
        </is>
      </c>
      <c r="C8" s="143" t="inlineStr">
        <is>
          <t>対象検索（1 時間毎の巡回）</t>
        </is>
      </c>
      <c r="D8" s="143" t="inlineStr">
        <is>
          <t>対象検索（1 時間毎）</t>
        </is>
      </c>
      <c r="E8" s="143" t="inlineStr">
        <is>
          <t>対象検索 Lambda</t>
        </is>
      </c>
      <c r="F8" s="143" t="inlineStr">
        <is>
          <t>認証構成情報連携バケット（App アカウント）</t>
        </is>
      </c>
      <c r="G8" s="143" t="inlineStr">
        <is>
          <t>同期</t>
        </is>
      </c>
      <c r="H8" s="143" t="inlineStr">
        <is>
          <t>連携バケットの {appId}/ を列挙し、各ファイルの版数（VersionId）を取得する（本文は取得しない）。</t>
        </is>
      </c>
      <c r="I8" s="144" t="inlineStr">
        <is>
          <t>対象検索-04_認証構成情報一覧取得</t>
        </is>
      </c>
      <c r="J8" s="145" t="inlineStr">
        <is>
          <t>記入待ち</t>
        </is>
      </c>
    </row>
    <row r="9">
      <c r="A9" s="143" t="inlineStr">
        <is>
          <t>対象検索-05</t>
        </is>
      </c>
      <c r="B9" s="143" t="inlineStr">
        <is>
          <t>前回確認状態取得</t>
        </is>
      </c>
      <c r="C9" s="143" t="inlineStr">
        <is>
          <t>対象検索（1 時間毎の巡回）</t>
        </is>
      </c>
      <c r="D9" s="143" t="inlineStr">
        <is>
          <t>対象検索（1 時間毎）</t>
        </is>
      </c>
      <c r="E9" s="143" t="inlineStr">
        <is>
          <t>対象検索 Lambda</t>
        </is>
      </c>
      <c r="F9" s="143" t="inlineStr">
        <is>
          <t>認証構成情報配置バケット（registry/）</t>
        </is>
      </c>
      <c r="G9" s="143" t="inlineStr">
        <is>
          <t>同期</t>
        </is>
      </c>
      <c r="H9" s="143" t="inlineStr">
        <is>
          <t>前回巡回時に確認した版数（lastArtifactVersions）などの状態を台帳から読み取る。</t>
        </is>
      </c>
      <c r="I9" s="144" t="inlineStr">
        <is>
          <t>対象検索-05_前回確認状態取得</t>
        </is>
      </c>
      <c r="J9" s="145" t="inlineStr">
        <is>
          <t>記入待ち</t>
        </is>
      </c>
    </row>
    <row r="10">
      <c r="A10" s="143" t="inlineStr">
        <is>
          <t>対象検索-06</t>
        </is>
      </c>
      <c r="B10" s="143" t="inlineStr">
        <is>
          <t>認証構成情報比較</t>
        </is>
      </c>
      <c r="C10" s="143" t="inlineStr">
        <is>
          <t>対象検索（1 時間毎の巡回）</t>
        </is>
      </c>
      <c r="D10" s="143" t="inlineStr">
        <is>
          <t>対象検索（1 時間毎）</t>
        </is>
      </c>
      <c r="E10" s="143" t="inlineStr">
        <is>
          <t>対象検索 Lambda（内部）</t>
        </is>
      </c>
      <c r="F10" s="143" t="inlineStr">
        <is>
          <t>—</t>
        </is>
      </c>
      <c r="G10" s="143" t="inlineStr">
        <is>
          <t>内部</t>
        </is>
      </c>
      <c r="H10" s="143" t="inlineStr">
        <is>
          <t>連携バケットの版数と台帳の記録値を比較し、認証実装確認の要否を判定する。</t>
        </is>
      </c>
      <c r="I10" s="144" t="inlineStr">
        <is>
          <t>対象検索-06_認証構成情報比較</t>
        </is>
      </c>
      <c r="J10" s="145" t="inlineStr">
        <is>
          <t>記入待ち</t>
        </is>
      </c>
    </row>
    <row r="11">
      <c r="A11" s="143" t="inlineStr">
        <is>
          <t>対象検索-07</t>
        </is>
      </c>
      <c r="B11" s="143" t="inlineStr">
        <is>
          <t>認証構成情報取得</t>
        </is>
      </c>
      <c r="C11" s="143" t="inlineStr">
        <is>
          <t>対象検索（1 時間毎の巡回）</t>
        </is>
      </c>
      <c r="D11" s="143" t="inlineStr">
        <is>
          <t>対象検索（1 時間毎）</t>
        </is>
      </c>
      <c r="E11" s="143" t="inlineStr">
        <is>
          <t>対象検索 Lambda</t>
        </is>
      </c>
      <c r="F11" s="143" t="inlineStr">
        <is>
          <t>認証構成情報連携バケット（App アカウント）</t>
        </is>
      </c>
      <c r="G11" s="143" t="inlineStr">
        <is>
          <t>同期</t>
        </is>
      </c>
      <c r="H11" s="143" t="inlineStr">
        <is>
          <t>変更が検知されたアプリの認証構成情報（monitoring.yaml / openapi.yaml / deploy-info.json）を取得する。</t>
        </is>
      </c>
      <c r="I11" s="144" t="inlineStr">
        <is>
          <t>対象検索-07_認証構成情報取得</t>
        </is>
      </c>
      <c r="J11" s="145" t="inlineStr">
        <is>
          <t>記入待ち</t>
        </is>
      </c>
    </row>
    <row r="12">
      <c r="A12" s="143" t="inlineStr">
        <is>
          <t>対象検索-08</t>
        </is>
      </c>
      <c r="B12" s="143" t="inlineStr">
        <is>
          <t>認証構成情報検証</t>
        </is>
      </c>
      <c r="C12" s="143" t="inlineStr">
        <is>
          <t>対象検索（1 時間毎の巡回）</t>
        </is>
      </c>
      <c r="D12" s="143" t="inlineStr">
        <is>
          <t>対象検索（1 時間毎）</t>
        </is>
      </c>
      <c r="E12" s="143" t="inlineStr">
        <is>
          <t>対象検索 Lambda（内部）</t>
        </is>
      </c>
      <c r="F12" s="143" t="inlineStr">
        <is>
          <t>—</t>
        </is>
      </c>
      <c r="G12" s="143" t="inlineStr">
        <is>
          <t>内部</t>
        </is>
      </c>
      <c r="H12" s="143" t="inlineStr">
        <is>
          <t>monitoring.yaml のスキーマ検証と、appId とプレフィックスの一致検証を行う。</t>
        </is>
      </c>
      <c r="I12" s="144" t="inlineStr">
        <is>
          <t>対象検索-08_認証構成情報検証</t>
        </is>
      </c>
      <c r="J12" s="145" t="inlineStr">
        <is>
          <t>記入待ち</t>
        </is>
      </c>
    </row>
    <row r="13">
      <c r="A13" s="143" t="inlineStr">
        <is>
          <t>対象検索-09</t>
        </is>
      </c>
      <c r="B13" s="143" t="inlineStr">
        <is>
          <t>認証構成情報登録</t>
        </is>
      </c>
      <c r="C13" s="143" t="inlineStr">
        <is>
          <t>対象検索（1 時間毎の巡回）</t>
        </is>
      </c>
      <c r="D13" s="143" t="inlineStr">
        <is>
          <t>対象検索（1 時間毎）</t>
        </is>
      </c>
      <c r="E13" s="143" t="inlineStr">
        <is>
          <t>対象検索 Lambda</t>
        </is>
      </c>
      <c r="F13" s="143" t="inlineStr">
        <is>
          <t>認証構成情報配置バケット（registry/）</t>
        </is>
      </c>
      <c r="G13" s="143" t="inlineStr">
        <is>
          <t>同期</t>
        </is>
      </c>
      <c r="H13" s="143" t="inlineStr">
        <is>
          <t>台帳へ設定値を同期し、確認状態を更新する。中央管理項目（通知先・監視有効フラグ）は上書きしない。</t>
        </is>
      </c>
      <c r="I13" s="144" t="inlineStr">
        <is>
          <t>対象検索-09_認証構成情報登録</t>
        </is>
      </c>
      <c r="J13" s="145" t="inlineStr">
        <is>
          <t>記入待ち</t>
        </is>
      </c>
    </row>
    <row r="14">
      <c r="A14" s="143" t="inlineStr">
        <is>
          <t>対象検索-10</t>
        </is>
      </c>
      <c r="B14" s="143" t="inlineStr">
        <is>
          <t>API 仕様登録</t>
        </is>
      </c>
      <c r="C14" s="143" t="inlineStr">
        <is>
          <t>対象検索（1 時間毎の巡回）</t>
        </is>
      </c>
      <c r="D14" s="143" t="inlineStr">
        <is>
          <t>対象検索（1 時間毎）</t>
        </is>
      </c>
      <c r="E14" s="143" t="inlineStr">
        <is>
          <t>対象検索 Lambda</t>
        </is>
      </c>
      <c r="F14" s="143" t="inlineStr">
        <is>
          <t>認証構成情報配置バケット（openapi/）</t>
        </is>
      </c>
      <c r="G14" s="143" t="inlineStr">
        <is>
          <t>同期</t>
        </is>
      </c>
      <c r="H14" s="143" t="inlineStr">
        <is>
          <t>取得した API 仕様（openapi.yaml）を中央の仕様保管領域へ複写する。</t>
        </is>
      </c>
      <c r="I14" s="144" t="inlineStr">
        <is>
          <t>対象検索-10_API仕様登録</t>
        </is>
      </c>
      <c r="J14" s="145" t="inlineStr">
        <is>
          <t>記入待ち</t>
        </is>
      </c>
    </row>
    <row r="15">
      <c r="A15" s="143" t="inlineStr">
        <is>
          <t>対象検索-11</t>
        </is>
      </c>
      <c r="B15" s="143" t="inlineStr">
        <is>
          <t>認証実装確認依頼</t>
        </is>
      </c>
      <c r="C15" s="143" t="inlineStr">
        <is>
          <t>対象検索（1 時間毎の巡回）</t>
        </is>
      </c>
      <c r="D15" s="143" t="inlineStr">
        <is>
          <t>対象検索（1 時間毎）</t>
        </is>
      </c>
      <c r="E15" s="143" t="inlineStr">
        <is>
          <t>対象検索 Lambda</t>
        </is>
      </c>
      <c r="F15" s="143" t="inlineStr">
        <is>
          <t>認証実装チェック Lambda</t>
        </is>
      </c>
      <c r="G15" s="143" t="inlineStr">
        <is>
          <t>非同期</t>
        </is>
      </c>
      <c r="H15" s="143" t="inlineStr">
        <is>
          <t>変更が確定したアプリを対象に認証実装の確認を依頼する（自動差分検査＝モード1）。</t>
        </is>
      </c>
      <c r="I15" s="144" t="inlineStr">
        <is>
          <t>対象検索-11_認証実装確認依頼</t>
        </is>
      </c>
      <c r="J15" s="145" t="inlineStr">
        <is>
          <t>記入待ち</t>
        </is>
      </c>
    </row>
    <row r="16">
      <c r="A16" s="143" t="inlineStr">
        <is>
          <t>対象検索-12</t>
        </is>
      </c>
      <c r="B16" s="143" t="inlineStr">
        <is>
          <t>構成情報不備通知</t>
        </is>
      </c>
      <c r="C16" s="143" t="inlineStr">
        <is>
          <t>対象検索（1 時間毎の巡回）</t>
        </is>
      </c>
      <c r="D16" s="143" t="inlineStr">
        <is>
          <t>対象検索（1 時間毎）</t>
        </is>
      </c>
      <c r="E16" s="143" t="inlineStr">
        <is>
          <t>対象検索 Lambda</t>
        </is>
      </c>
      <c r="F16" s="143" t="inlineStr">
        <is>
          <t>SNS（P2 Platform）</t>
        </is>
      </c>
      <c r="G16" s="143" t="inlineStr">
        <is>
          <t>同期</t>
        </is>
      </c>
      <c r="H16" s="143" t="inlineStr">
        <is>
          <t>認証構成情報の不備（appId 不一致・必須項目欠落・認証方式の値が不正など）を通知する。</t>
        </is>
      </c>
      <c r="I16" s="144" t="inlineStr">
        <is>
          <t>対象検索-12_構成情報不備通知</t>
        </is>
      </c>
      <c r="J16" s="145" t="inlineStr">
        <is>
          <t>記入待ち</t>
        </is>
      </c>
    </row>
    <row r="17">
      <c r="A17" s="143" t="inlineStr">
        <is>
          <t>対象検索-13</t>
        </is>
      </c>
      <c r="B17" s="143" t="inlineStr">
        <is>
          <t>監視対象消滅・鮮度低下検知</t>
        </is>
      </c>
      <c r="C17" s="143" t="inlineStr">
        <is>
          <t>対象検索（1 時間毎の巡回）</t>
        </is>
      </c>
      <c r="D17" s="143" t="inlineStr">
        <is>
          <t>対象検索（1 時間毎）</t>
        </is>
      </c>
      <c r="E17" s="143" t="inlineStr">
        <is>
          <t>対象検索 Lambda</t>
        </is>
      </c>
      <c r="F17" s="143" t="inlineStr">
        <is>
          <t>配置バケット（registry/）+ SNS（P2）</t>
        </is>
      </c>
      <c r="G17" s="143" t="inlineStr">
        <is>
          <t>同期</t>
        </is>
      </c>
      <c r="H17" s="143" t="inlineStr">
        <is>
          <t>認証構成情報の消滅（アプリ廃止の可能性）と、長期間更新されていない状態（鮮度低下）を検知する。</t>
        </is>
      </c>
      <c r="I17" s="144" t="inlineStr">
        <is>
          <t>対象検索-13_監視対象消滅検知</t>
        </is>
      </c>
      <c r="J17" s="145" t="inlineStr">
        <is>
          <t>記入待ち</t>
        </is>
      </c>
    </row>
    <row r="18">
      <c r="A18" s="143" t="inlineStr">
        <is>
          <t>対象検索-14</t>
        </is>
      </c>
      <c r="B18" s="143" t="inlineStr">
        <is>
          <t>巡回結果メトリクス送信</t>
        </is>
      </c>
      <c r="C18" s="143" t="inlineStr">
        <is>
          <t>対象検索（1 時間毎の巡回）</t>
        </is>
      </c>
      <c r="D18" s="143" t="inlineStr">
        <is>
          <t>対象検索（1 時間毎）</t>
        </is>
      </c>
      <c r="E18" s="143" t="inlineStr">
        <is>
          <t>対象検索 Lambda</t>
        </is>
      </c>
      <c r="F18" s="143" t="inlineStr">
        <is>
          <t>CloudWatch</t>
        </is>
      </c>
      <c r="G18" s="143" t="inlineStr">
        <is>
          <t>同期</t>
        </is>
      </c>
      <c r="H18" s="143" t="inlineStr">
        <is>
          <t>巡回の成功・失敗アカウント数などを、監視機構自身の稼働監視用メトリクスとして送信する。</t>
        </is>
      </c>
      <c r="I18" s="144" t="inlineStr">
        <is>
          <t>対象検索-14_巡回結果メトリクス送信</t>
        </is>
      </c>
      <c r="J18" s="145" t="inlineStr">
        <is>
          <t>記入待ち</t>
        </is>
      </c>
    </row>
    <row r="19">
      <c r="A19" s="143" t="inlineStr">
        <is>
          <t>全量-01</t>
        </is>
      </c>
      <c r="B19" s="143" t="inlineStr">
        <is>
          <t>全量確認処理開始（定期）</t>
        </is>
      </c>
      <c r="C19" s="143" t="inlineStr">
        <is>
          <t>全量（全量確認 固有）</t>
        </is>
      </c>
      <c r="D19" s="143" t="inlineStr">
        <is>
          <t>全量（日次）</t>
        </is>
      </c>
      <c r="E19" s="143" t="inlineStr">
        <is>
          <t>EventBridge Scheduler（日次）</t>
        </is>
      </c>
      <c r="F19" s="143" t="inlineStr">
        <is>
          <t>認証実装チェック Lambda</t>
        </is>
      </c>
      <c r="G19" s="143" t="inlineStr">
        <is>
          <t>非同期</t>
        </is>
      </c>
      <c r="H19" s="143" t="inlineStr">
        <is>
          <t>認証構成情報の変化に関係なく全アプリを確認するため、全量確認を定期起動する。</t>
        </is>
      </c>
      <c r="I19" s="144" t="inlineStr">
        <is>
          <t>全量-01_全量確認処理開始（定期）</t>
        </is>
      </c>
      <c r="J19" s="145" t="inlineStr">
        <is>
          <t>記入待ち</t>
        </is>
      </c>
    </row>
    <row r="20">
      <c r="A20" s="143" t="inlineStr">
        <is>
          <t>全量-02</t>
        </is>
      </c>
      <c r="B20" s="143" t="inlineStr">
        <is>
          <t>全量確認処理開始（手動）</t>
        </is>
      </c>
      <c r="C20" s="143" t="inlineStr">
        <is>
          <t>全量（全量確認 固有）</t>
        </is>
      </c>
      <c r="D20" s="143" t="inlineStr">
        <is>
          <t>全量（手動・随時）</t>
        </is>
      </c>
      <c r="E20" s="143" t="inlineStr">
        <is>
          <t>運用者（CLI / コンソール）</t>
        </is>
      </c>
      <c r="F20" s="143" t="inlineStr">
        <is>
          <t>認証実装チェック Lambda</t>
        </is>
      </c>
      <c r="G20" s="143" t="inlineStr">
        <is>
          <t>非同期</t>
        </is>
      </c>
      <c r="H20" s="143" t="inlineStr">
        <is>
          <t>運用者の判断で全量確認を実行する。実装は定期起動と同一で、起動元が人である点だけが異なる。</t>
        </is>
      </c>
      <c r="I20" s="144" t="inlineStr">
        <is>
          <t>全量-02_全量確認処理開始（手動）</t>
        </is>
      </c>
      <c r="J20" s="145" t="inlineStr">
        <is>
          <t>記入待ち</t>
        </is>
      </c>
    </row>
    <row r="21">
      <c r="A21" s="143" t="inlineStr">
        <is>
          <t>全量-03</t>
        </is>
      </c>
      <c r="B21" s="143" t="inlineStr">
        <is>
          <t>監視対象一覧取得</t>
        </is>
      </c>
      <c r="C21" s="143" t="inlineStr">
        <is>
          <t>全量（全量確認 固有）</t>
        </is>
      </c>
      <c r="D21" s="143" t="inlineStr">
        <is>
          <t>全量（日次・手動）</t>
        </is>
      </c>
      <c r="E21" s="143" t="inlineStr">
        <is>
          <t>認証実装チェック Lambda</t>
        </is>
      </c>
      <c r="F21" s="143" t="inlineStr">
        <is>
          <t>認証構成情報配置バケット（registry/）</t>
        </is>
      </c>
      <c r="G21" s="143" t="inlineStr">
        <is>
          <t>同期</t>
        </is>
      </c>
      <c r="H21" s="143" t="inlineStr">
        <is>
          <t>台帳を全件読み出し、監視有効な対象アプリの一覧を得る。</t>
        </is>
      </c>
      <c r="I21" s="144" t="inlineStr">
        <is>
          <t>全量-03_監視対象一覧取得</t>
        </is>
      </c>
      <c r="J21" s="145" t="inlineStr">
        <is>
          <t>記入待ち</t>
        </is>
      </c>
    </row>
    <row r="22">
      <c r="A22" s="143" t="inlineStr">
        <is>
          <t>全量-04</t>
        </is>
      </c>
      <c r="B22" s="143" t="inlineStr">
        <is>
          <t>アプリ単位確認依頼（fan-out）</t>
        </is>
      </c>
      <c r="C22" s="143" t="inlineStr">
        <is>
          <t>全量（全量確認 固有）</t>
        </is>
      </c>
      <c r="D22" s="143" t="inlineStr">
        <is>
          <t>全量（日次・手動）</t>
        </is>
      </c>
      <c r="E22" s="143" t="inlineStr">
        <is>
          <t>認証実装チェック Lambda</t>
        </is>
      </c>
      <c r="F22" s="143" t="inlineStr">
        <is>
          <t>認証実装チェック Lambda（自身）</t>
        </is>
      </c>
      <c r="G22" s="143" t="inlineStr">
        <is>
          <t>非同期</t>
        </is>
      </c>
      <c r="H22" s="143" t="inlineStr">
        <is>
          <t>全量確認を「1 実行 = 1 アプリ」に分割し、Lambda の実行時間上限に構造的に当たらないようにする。</t>
        </is>
      </c>
      <c r="I22" s="144" t="inlineStr">
        <is>
          <t>全量-04_アプリ単位確認依頼</t>
        </is>
      </c>
      <c r="J22" s="145" t="inlineStr">
        <is>
          <t>記入待ち</t>
        </is>
      </c>
    </row>
    <row r="23">
      <c r="A23" s="143" t="inlineStr">
        <is>
          <t>認証実装チェック-01</t>
        </is>
      </c>
      <c r="B23" s="143" t="inlineStr">
        <is>
          <t>認証構成情報参照</t>
        </is>
      </c>
      <c r="C23" s="143" t="inlineStr">
        <is>
          <t>認証実装チェック（1 アプリの確認・共通）</t>
        </is>
      </c>
      <c r="D23" s="143" t="inlineStr">
        <is>
          <t>共通（対象検索・全量とも）</t>
        </is>
      </c>
      <c r="E23" s="143" t="inlineStr">
        <is>
          <t>認証実装チェック Lambda</t>
        </is>
      </c>
      <c r="F23" s="143" t="inlineStr">
        <is>
          <t>認証構成情報配置バケット（registry/）</t>
        </is>
      </c>
      <c r="G23" s="143" t="inlineStr">
        <is>
          <t>同期</t>
        </is>
      </c>
      <c r="H23" s="143" t="inlineStr">
        <is>
          <t>確認対象アプリの設定値（検査先 URL・認証方式・トークン設定）を台帳から取得する。</t>
        </is>
      </c>
      <c r="I23" s="144" t="inlineStr">
        <is>
          <t>認証実装チェック-01_認証構成情報参照</t>
        </is>
      </c>
      <c r="J23" s="145" t="inlineStr">
        <is>
          <t>記入待ち</t>
        </is>
      </c>
    </row>
    <row r="24">
      <c r="A24" s="143" t="inlineStr">
        <is>
          <t>認証実装チェック-02</t>
        </is>
      </c>
      <c r="B24" s="143" t="inlineStr">
        <is>
          <t>API 仕様取得</t>
        </is>
      </c>
      <c r="C24" s="143" t="inlineStr">
        <is>
          <t>認証実装チェック（1 アプリの確認・共通）</t>
        </is>
      </c>
      <c r="D24" s="143" t="inlineStr">
        <is>
          <t>共通（対象検索・全量とも）</t>
        </is>
      </c>
      <c r="E24" s="143" t="inlineStr">
        <is>
          <t>認証実装チェック Lambda</t>
        </is>
      </c>
      <c r="F24" s="143" t="inlineStr">
        <is>
          <t>認証構成情報配置バケット（openapi/）</t>
        </is>
      </c>
      <c r="G24" s="143" t="inlineStr">
        <is>
          <t>同期</t>
        </is>
      </c>
      <c r="H24" s="143" t="inlineStr">
        <is>
          <t>確認対象の endpoint 一覧と公開明示（MON-1）を取得する。</t>
        </is>
      </c>
      <c r="I24" s="144" t="inlineStr">
        <is>
          <t>認証実装チェック-02_API仕様取得</t>
        </is>
      </c>
      <c r="J24" s="145" t="inlineStr">
        <is>
          <t>記入待ち</t>
        </is>
      </c>
    </row>
    <row r="25">
      <c r="A25" s="143" t="inlineStr">
        <is>
          <t>認証実装チェック-03</t>
        </is>
      </c>
      <c r="B25" s="143" t="inlineStr">
        <is>
          <t>正常系確認用トークン取得</t>
        </is>
      </c>
      <c r="C25" s="143" t="inlineStr">
        <is>
          <t>認証実装チェック（1 アプリの確認・共通）</t>
        </is>
      </c>
      <c r="D25" s="143" t="inlineStr">
        <is>
          <t>共通（対象検索・全量とも）</t>
        </is>
      </c>
      <c r="E25" s="143" t="inlineStr">
        <is>
          <t>認証実装チェック Lambda</t>
        </is>
      </c>
      <c r="F25" s="143" t="inlineStr">
        <is>
          <t>Secrets Manager → 認証基盤 /token</t>
        </is>
      </c>
      <c r="G25" s="143" t="inlineStr">
        <is>
          <t>同期</t>
        </is>
      </c>
      <c r="H25" s="143" t="inlineStr">
        <is>
          <t>正常系アクセス確認で使う短命トークンを取得する。</t>
        </is>
      </c>
      <c r="I25" s="144" t="inlineStr">
        <is>
          <t>認証実装チェック-03_正常系確認用トークン取得</t>
        </is>
      </c>
      <c r="J25" s="145" t="inlineStr">
        <is>
          <t>記入待ち</t>
        </is>
      </c>
    </row>
    <row r="26">
      <c r="A26" s="143" t="inlineStr">
        <is>
          <t>認証実装チェック-04</t>
        </is>
      </c>
      <c r="B26" s="143" t="inlineStr">
        <is>
          <t>未認証アクセス確認</t>
        </is>
      </c>
      <c r="C26" s="143" t="inlineStr">
        <is>
          <t>認証実装チェック（1 アプリの確認・共通）</t>
        </is>
      </c>
      <c r="D26" s="143" t="inlineStr">
        <is>
          <t>共通（対象検索・全量とも）</t>
        </is>
      </c>
      <c r="E26" s="143" t="inlineStr">
        <is>
          <t>認証実装チェック Lambda</t>
        </is>
      </c>
      <c r="F26" s="143" t="inlineStr">
        <is>
          <t>CloudFront → WAF → API GW / ALB</t>
        </is>
      </c>
      <c r="G26" s="143" t="inlineStr">
        <is>
          <t>同期</t>
        </is>
      </c>
      <c r="H26" s="143" t="inlineStr">
        <is>
          <t>認証情報なしでリクエストし、正しく拒否されるか（401/403、Cookie 系は 302）を確認する。2xx なら認証実装漏れ。</t>
        </is>
      </c>
      <c r="I26" s="144" t="inlineStr">
        <is>
          <t>認証実装チェック-04_未認証アクセス確認</t>
        </is>
      </c>
      <c r="J26" s="143" t="inlineStr">
        <is>
          <t>✅ 記入済</t>
        </is>
      </c>
    </row>
    <row r="27">
      <c r="A27" s="143" t="inlineStr">
        <is>
          <t>認証実装チェック-05</t>
        </is>
      </c>
      <c r="B27" s="143" t="inlineStr">
        <is>
          <t>正常系アクセス確認</t>
        </is>
      </c>
      <c r="C27" s="143" t="inlineStr">
        <is>
          <t>認証実装チェック（1 アプリの確認・共通）</t>
        </is>
      </c>
      <c r="D27" s="143" t="inlineStr">
        <is>
          <t>共通（対象検索・全量とも）</t>
        </is>
      </c>
      <c r="E27" s="143" t="inlineStr">
        <is>
          <t>認証実装チェック Lambda</t>
        </is>
      </c>
      <c r="F27" s="143" t="inlineStr">
        <is>
          <t>CloudFront → WAF → API GW / ALB</t>
        </is>
      </c>
      <c r="G27" s="143" t="inlineStr">
        <is>
          <t>同期</t>
        </is>
      </c>
      <c r="H27" s="143" t="inlineStr">
        <is>
          <t>有効なトークン付きでリクエストし、200 が返ることで API 稼働と確認処理自体の健全性を確かめる。</t>
        </is>
      </c>
      <c r="I27" s="144" t="inlineStr">
        <is>
          <t>認証実装チェック-05_正常系アクセス確認</t>
        </is>
      </c>
      <c r="J27" s="145" t="inlineStr">
        <is>
          <t>記入待ち</t>
        </is>
      </c>
    </row>
    <row r="28">
      <c r="A28" s="143" t="inlineStr">
        <is>
          <t>認証実装チェック-06</t>
        </is>
      </c>
      <c r="B28" s="143" t="inlineStr">
        <is>
          <t>確認結果判定（4×4）</t>
        </is>
      </c>
      <c r="C28" s="143" t="inlineStr">
        <is>
          <t>認証実装チェック（1 アプリの確認・共通）</t>
        </is>
      </c>
      <c r="D28" s="143" t="inlineStr">
        <is>
          <t>共通（対象検索・全量とも）</t>
        </is>
      </c>
      <c r="E28" s="143" t="inlineStr">
        <is>
          <t>認証実装チェック Lambda（内部）</t>
        </is>
      </c>
      <c r="F28" s="143" t="inlineStr">
        <is>
          <t>—</t>
        </is>
      </c>
      <c r="G28" s="143" t="inlineStr">
        <is>
          <t>内部</t>
        </is>
      </c>
      <c r="H28" s="143" t="inlineStr">
        <is>
          <t>未認証アクセス確認と正常系アクセス確認の結果の組み合わせから、重要度（CRITICAL / WARN / INFO / OK）を判定する。</t>
        </is>
      </c>
      <c r="I28" s="144" t="inlineStr">
        <is>
          <t>認証実装チェック-06_確認結果判定</t>
        </is>
      </c>
      <c r="J28" s="145" t="inlineStr">
        <is>
          <t>記入待ち</t>
        </is>
      </c>
    </row>
    <row r="29">
      <c r="A29" s="143" t="inlineStr">
        <is>
          <t>認証実装チェック-07</t>
        </is>
      </c>
      <c r="B29" s="143" t="inlineStr">
        <is>
          <t>確認結果メトリクス送信</t>
        </is>
      </c>
      <c r="C29" s="143" t="inlineStr">
        <is>
          <t>認証実装チェック（1 アプリの確認・共通）</t>
        </is>
      </c>
      <c r="D29" s="143" t="inlineStr">
        <is>
          <t>共通（対象検索・全量とも）</t>
        </is>
      </c>
      <c r="E29" s="143" t="inlineStr">
        <is>
          <t>認証実装チェック Lambda</t>
        </is>
      </c>
      <c r="F29" s="143" t="inlineStr">
        <is>
          <t>CloudWatch</t>
        </is>
      </c>
      <c r="G29" s="143" t="inlineStr">
        <is>
          <t>同期</t>
        </is>
      </c>
      <c r="H29" s="143" t="inlineStr">
        <is>
          <t>確認結果をメトリクス化し、保険系アラーム（AuthCheckCritical &gt; 0）の入力とする。</t>
        </is>
      </c>
      <c r="I29" s="144" t="inlineStr">
        <is>
          <t>認証実装チェック-07_確認結果メトリクス送信</t>
        </is>
      </c>
      <c r="J29" s="145" t="inlineStr">
        <is>
          <t>記入待ち</t>
        </is>
      </c>
    </row>
    <row r="30">
      <c r="A30" s="143" t="inlineStr">
        <is>
          <t>認証実装チェック-08</t>
        </is>
      </c>
      <c r="B30" s="143" t="inlineStr">
        <is>
          <t>検知結果通知依頼</t>
        </is>
      </c>
      <c r="C30" s="143" t="inlineStr">
        <is>
          <t>認証実装チェック（1 アプリの確認・共通）</t>
        </is>
      </c>
      <c r="D30" s="143" t="inlineStr">
        <is>
          <t>共通（対象検索・全量とも）</t>
        </is>
      </c>
      <c r="E30" s="143" t="inlineStr">
        <is>
          <t>認証実装チェック Lambda</t>
        </is>
      </c>
      <c r="F30" s="143" t="inlineStr">
        <is>
          <t>アラート検知 Lambda</t>
        </is>
      </c>
      <c r="G30" s="143" t="inlineStr">
        <is>
          <t>非同期</t>
        </is>
      </c>
      <c r="H30" s="143" t="inlineStr">
        <is>
          <t>判定済みの検知結果を、通知の振り分けを行うアラート検知 Lambda へ引き渡す。</t>
        </is>
      </c>
      <c r="I30" s="144" t="inlineStr">
        <is>
          <t>認証実装チェック-08_検知結果通知依頼</t>
        </is>
      </c>
      <c r="J30" s="145" t="inlineStr">
        <is>
          <t>記入待ち</t>
        </is>
      </c>
    </row>
    <row r="31">
      <c r="A31" s="143" t="inlineStr">
        <is>
          <t>通知-01</t>
        </is>
      </c>
      <c r="B31" s="143" t="inlineStr">
        <is>
          <t>通知先解決</t>
        </is>
      </c>
      <c r="C31" s="143" t="inlineStr">
        <is>
          <t>通知（アラート通知）</t>
        </is>
      </c>
      <c r="D31" s="143" t="inlineStr">
        <is>
          <t>共通（検知時）</t>
        </is>
      </c>
      <c r="E31" s="143" t="inlineStr">
        <is>
          <t>アラート検知 Lambda</t>
        </is>
      </c>
      <c r="F31" s="143" t="inlineStr">
        <is>
          <t>認証構成情報配置バケット（registry/）</t>
        </is>
      </c>
      <c r="G31" s="143" t="inlineStr">
        <is>
          <t>同期</t>
        </is>
      </c>
      <c r="H31" s="143" t="inlineStr">
        <is>
          <t>台帳の通知先設定から送信先を解決する。未設定時は全社デフォルトを使う。</t>
        </is>
      </c>
      <c r="I31" s="144" t="inlineStr">
        <is>
          <t>通知-01_通知先解決</t>
        </is>
      </c>
      <c r="J31" s="145" t="inlineStr">
        <is>
          <t>記入待ち</t>
        </is>
      </c>
    </row>
    <row r="32">
      <c r="A32" s="143" t="inlineStr">
        <is>
          <t>通知-02</t>
        </is>
      </c>
      <c r="B32" s="143" t="inlineStr">
        <is>
          <t>重要度別通知送信</t>
        </is>
      </c>
      <c r="C32" s="143" t="inlineStr">
        <is>
          <t>通知（アラート通知）</t>
        </is>
      </c>
      <c r="D32" s="143" t="inlineStr">
        <is>
          <t>共通（検知時）</t>
        </is>
      </c>
      <c r="E32" s="143" t="inlineStr">
        <is>
          <t>アラート検知 Lambda</t>
        </is>
      </c>
      <c r="F32" s="143" t="inlineStr">
        <is>
          <t>SNS（P1 Security / P2 Platform / P3 App）</t>
        </is>
      </c>
      <c r="G32" s="143" t="inlineStr">
        <is>
          <t>同期</t>
        </is>
      </c>
      <c r="H32" s="143" t="inlineStr">
        <is>
          <t>重要度に応じた宛先へ通知を送信する。</t>
        </is>
      </c>
      <c r="I32" s="144" t="inlineStr">
        <is>
          <t>通知-02_重要度別通知送信</t>
        </is>
      </c>
      <c r="J32" s="145" t="inlineStr">
        <is>
          <t>記入待ち</t>
        </is>
      </c>
    </row>
    <row r="33">
      <c r="A33" s="143" t="inlineStr">
        <is>
          <t>通知-03</t>
        </is>
      </c>
      <c r="B33" s="143" t="inlineStr">
        <is>
          <t>メトリクス閾値通知（保険系）</t>
        </is>
      </c>
      <c r="C33" s="143" t="inlineStr">
        <is>
          <t>通知（アラート通知）</t>
        </is>
      </c>
      <c r="D33" s="143" t="inlineStr">
        <is>
          <t>共通（閾値超過時）</t>
        </is>
      </c>
      <c r="E33" s="143" t="inlineStr">
        <is>
          <t>CloudWatch Alarm</t>
        </is>
      </c>
      <c r="F33" s="143" t="inlineStr">
        <is>
          <t>SNS</t>
        </is>
      </c>
      <c r="G33" s="143" t="inlineStr">
        <is>
          <t>非同期</t>
        </is>
      </c>
      <c r="H33" s="143" t="inlineStr">
        <is>
          <t>アラート検知 Lambda の経路とは独立に、メトリクス閾値からも発報する（発報 2 系統の保険側）。</t>
        </is>
      </c>
      <c r="I33" s="144" t="inlineStr">
        <is>
          <t>通知-03_メトリクス閾値通知</t>
        </is>
      </c>
      <c r="J33" s="145" t="inlineStr">
        <is>
          <t>記入待ち</t>
        </is>
      </c>
    </row>
    <row r="34">
      <c r="A34" s="143" t="inlineStr">
        <is>
          <t>運用-01</t>
        </is>
      </c>
      <c r="B34" s="143" t="inlineStr">
        <is>
          <t>監視機構稼働監視通知（MM-1〜5）</t>
        </is>
      </c>
      <c r="C34" s="143" t="inlineStr">
        <is>
          <t>運用（運用・異常系）</t>
        </is>
      </c>
      <c r="D34" s="143" t="inlineStr">
        <is>
          <t>随時（異常時）</t>
        </is>
      </c>
      <c r="E34" s="143" t="inlineStr">
        <is>
          <t>CloudWatch Alarm</t>
        </is>
      </c>
      <c r="F34" s="143" t="inlineStr">
        <is>
          <t>SNS（P2 Platform）</t>
        </is>
      </c>
      <c r="G34" s="143" t="inlineStr">
        <is>
          <t>非同期</t>
        </is>
      </c>
      <c r="H34" s="143" t="inlineStr">
        <is>
          <t>監視機構そのものの停止・失敗を検知して発報する（監視の空白＝検知の空白を防ぐ）。</t>
        </is>
      </c>
      <c r="I34" s="144" t="inlineStr">
        <is>
          <t>運用-01_監視機構稼働監視通知</t>
        </is>
      </c>
      <c r="J34" s="145" t="inlineStr">
        <is>
          <t>記入待ち</t>
        </is>
      </c>
    </row>
    <row r="35">
      <c r="A35" s="143" t="inlineStr">
        <is>
          <t>運用-02</t>
        </is>
      </c>
      <c r="B35" s="143" t="inlineStr">
        <is>
          <t>処理失敗退避・再処理（DLQ）</t>
        </is>
      </c>
      <c r="C35" s="143" t="inlineStr">
        <is>
          <t>運用（運用・異常系）</t>
        </is>
      </c>
      <c r="D35" s="143" t="inlineStr">
        <is>
          <t>随時（異常時）</t>
        </is>
      </c>
      <c r="E35" s="143" t="inlineStr">
        <is>
          <t>各 Lambda（非同期実行の失敗）</t>
        </is>
      </c>
      <c r="F35" s="143" t="inlineStr">
        <is>
          <t>SQS DLQ → 運用者</t>
        </is>
      </c>
      <c r="G35" s="143" t="inlineStr">
        <is>
          <t>非同期</t>
        </is>
      </c>
      <c r="H35" s="143" t="inlineStr">
        <is>
          <t>非同期呼び出しがリトライ後も失敗した場合に退避し、後から再処理・原因調査できるようにする。</t>
        </is>
      </c>
      <c r="I35" s="144" t="inlineStr">
        <is>
          <t>運用-02_処理失敗退避・再処理</t>
        </is>
      </c>
      <c r="J35" s="145" t="inlineStr">
        <is>
          <t>記入待ち</t>
        </is>
      </c>
    </row>
    <row r="36">
      <c r="A36" s="143" t="inlineStr">
        <is>
          <t>運用-03</t>
        </is>
      </c>
      <c r="B36" s="143" t="inlineStr">
        <is>
          <t>監視設定手動更新</t>
        </is>
      </c>
      <c r="C36" s="143" t="inlineStr">
        <is>
          <t>運用（運用・異常系）</t>
        </is>
      </c>
      <c r="D36" s="143" t="inlineStr">
        <is>
          <t>随時（運用操作）</t>
        </is>
      </c>
      <c r="E36" s="143" t="inlineStr">
        <is>
          <t>運用者</t>
        </is>
      </c>
      <c r="F36" s="143" t="inlineStr">
        <is>
          <t>認証構成情報配置バケット（registry/）</t>
        </is>
      </c>
      <c r="G36" s="143" t="inlineStr">
        <is>
          <t>同期</t>
        </is>
      </c>
      <c r="H36" s="143" t="inlineStr">
        <is>
          <t>監視の有効・無効の切替や通知先の設定など、中央管理項目を運用者が更新する。</t>
        </is>
      </c>
      <c r="I36" s="144" t="inlineStr">
        <is>
          <t>運用-03_監視設定手動更新</t>
        </is>
      </c>
      <c r="J36" s="145" t="inlineStr">
        <is>
          <t>記入待ち</t>
        </is>
      </c>
    </row>
    <row r="37">
      <c r="A37" s="143" t="inlineStr">
        <is>
          <t>連携-01</t>
        </is>
      </c>
      <c r="B37" s="143" t="inlineStr">
        <is>
          <t>認証構成情報配置（アプリ側）</t>
        </is>
      </c>
      <c r="C37" s="143" t="inlineStr">
        <is>
          <t>連携（アプリ接点）</t>
        </is>
      </c>
      <c r="D37" s="143" t="inlineStr">
        <is>
          <t>随時（デプロイのたび）</t>
        </is>
      </c>
      <c r="E37" s="143" t="inlineStr">
        <is>
          <t>ベンダー CI（デプロイパイプライン最終段）</t>
        </is>
      </c>
      <c r="F37" s="143" t="inlineStr">
        <is>
          <t>認証構成情報連携バケット（App アカウント）</t>
        </is>
      </c>
      <c r="G37" s="143" t="inlineStr">
        <is>
          <t>同期</t>
        </is>
      </c>
      <c r="H37" s="143" t="inlineStr">
        <is>
          <t>デプロイ成功後に認証構成情報を配置する。本監視の入口であり、アプリ（ベンダー）側の責務。</t>
        </is>
      </c>
      <c r="I37" s="144" t="inlineStr">
        <is>
          <t>連携-01_認証構成情報配置</t>
        </is>
      </c>
      <c r="J37" s="145" t="inlineStr">
        <is>
          <t>記入待ち</t>
        </is>
      </c>
    </row>
  </sheetData>
  <autoFilter ref="A4:J37"/>
  <mergeCells count="2">
    <mergeCell ref="A1:J1"/>
    <mergeCell ref="A2:J2"/>
  </mergeCells>
  <hyperlinks>
    <hyperlink ref="I5" location="'対象検索-01_認証実装確認処理開始'!A1"/>
    <hyperlink ref="I6" location="'対象検索-02_対象アカウント一覧取得'!A1"/>
    <hyperlink ref="I7" location="'対象検索-03_対象アカウント接続権限取得'!A1"/>
    <hyperlink ref="I8" location="'対象検索-04_認証構成情報一覧取得'!A1"/>
    <hyperlink ref="I9" location="'対象検索-05_前回確認状態取得'!A1"/>
    <hyperlink ref="I10" location="'対象検索-06_認証構成情報比較'!A1"/>
    <hyperlink ref="I11" location="'対象検索-07_認証構成情報取得'!A1"/>
    <hyperlink ref="I12" location="'対象検索-08_認証構成情報検証'!A1"/>
    <hyperlink ref="I13" location="'対象検索-09_認証構成情報登録'!A1"/>
    <hyperlink ref="I14" location="'対象検索-10_API仕様登録'!A1"/>
    <hyperlink ref="I15" location="'対象検索-11_認証実装確認依頼'!A1"/>
    <hyperlink ref="I16" location="'対象検索-12_構成情報不備通知'!A1"/>
    <hyperlink ref="I17" location="'対象検索-13_監視対象消滅検知'!A1"/>
    <hyperlink ref="I18" location="'対象検索-14_巡回結果メトリクス送信'!A1"/>
    <hyperlink ref="I19" location="'全量-01_全量確認処理開始（定期）'!A1"/>
    <hyperlink ref="I20" location="'全量-02_全量確認処理開始（手動）'!A1"/>
    <hyperlink ref="I21" location="'全量-03_監視対象一覧取得'!A1"/>
    <hyperlink ref="I22" location="'全量-04_アプリ単位確認依頼'!A1"/>
    <hyperlink ref="I23" location="'認証実装チェック-01_認証構成情報参照'!A1"/>
    <hyperlink ref="I24" location="'認証実装チェック-02_API仕様取得'!A1"/>
    <hyperlink ref="I25" location="'認証実装チェック-03_正常系確認用トークン取得'!A1"/>
    <hyperlink ref="I26" location="'認証実装チェック-04_未認証アクセス確認'!A1"/>
    <hyperlink ref="I27" location="'認証実装チェック-05_正常系アクセス確認'!A1"/>
    <hyperlink ref="I28" location="'認証実装チェック-06_確認結果判定'!A1"/>
    <hyperlink ref="I29" location="'認証実装チェック-07_確認結果メトリクス送信'!A1"/>
    <hyperlink ref="I30" location="'認証実装チェック-08_検知結果通知依頼'!A1"/>
    <hyperlink ref="I31" location="'通知-01_通知先解決'!A1"/>
    <hyperlink ref="I32" location="'通知-02_重要度別通知送信'!A1"/>
    <hyperlink ref="I33" location="'通知-03_メトリクス閾値通知'!A1"/>
    <hyperlink ref="I34" location="'運用-01_監視機構稼働監視通知'!A1"/>
    <hyperlink ref="I35" location="'運用-02_処理失敗退避・再処理'!A1"/>
    <hyperlink ref="I36" location="'運用-03_監視設定手動更新'!A1"/>
    <hyperlink ref="I37" location="'連携-01_認証構成情報配置'!A1"/>
  </hyperlinks>
  <pageMargins left="0.75" right="0.75" top="1" bottom="1" header="0.5" footer="0.5"/>
</worksheet>
</file>

<file path=xl/worksheets/sheet19.xml><?xml version="1.0" encoding="utf-8"?>
<worksheet xmlns="http://schemas.openxmlformats.org/spreadsheetml/2006/main">
  <sheetPr>
    <tabColor rgb="002F5597"/>
    <outlinePr summaryBelow="1" summaryRight="1"/>
    <pageSetUpPr/>
  </sheetPr>
  <dimension ref="A1:E37"/>
  <sheetViews>
    <sheetView workbookViewId="0">
      <selection activeCell="A1" sqref="A1"/>
    </sheetView>
  </sheetViews>
  <sheetFormatPr baseColWidth="8" defaultRowHeight="15"/>
  <cols>
    <col width="24" customWidth="1" style="134" min="1" max="1"/>
    <col width="60" customWidth="1" style="134" min="2" max="2"/>
    <col width="30" customWidth="1" style="134" min="3" max="3"/>
    <col width="20" customWidth="1" style="134" min="4" max="4"/>
    <col width="20" customWidth="1" style="134" min="5" max="5"/>
  </cols>
  <sheetData>
    <row r="1" ht="26" customHeight="1" s="134">
      <c r="A1" s="140" t="inlineStr">
        <is>
          <t>処理共通仕様（全処理に適用）</t>
        </is>
      </c>
    </row>
    <row r="2">
      <c r="A2" s="146" t="inlineStr">
        <is>
          <t>1. 全処理共通の規約</t>
        </is>
      </c>
    </row>
    <row r="3">
      <c r="A3" s="142" t="inlineStr">
        <is>
          <t>項目</t>
        </is>
      </c>
      <c r="B3" s="142" t="inlineStr">
        <is>
          <t>規約</t>
        </is>
      </c>
      <c r="C3" s="142" t="inlineStr">
        <is>
          <t>参照</t>
        </is>
      </c>
      <c r="D3" s="142" t="inlineStr"/>
      <c r="E3" s="142" t="inlineStr"/>
    </row>
    <row r="4">
      <c r="A4" s="143" t="inlineStr">
        <is>
          <t>命名規約</t>
        </is>
      </c>
      <c r="B4" s="145" t="inlineStr"/>
      <c r="C4" s="143" t="inlineStr">
        <is>
          <t>04 章 / 組織標準</t>
        </is>
      </c>
      <c r="D4" s="143" t="inlineStr"/>
      <c r="E4" s="143" t="inlineStr"/>
    </row>
    <row r="5">
      <c r="A5" s="143" t="inlineStr">
        <is>
          <t>ログ出力</t>
        </is>
      </c>
      <c r="B5" s="143" t="inlineStr">
        <is>
          <t>相関 ID を必ず出力。トークン・資格情報はマスクする</t>
        </is>
      </c>
      <c r="C5" s="143" t="inlineStr">
        <is>
          <t>06 章 OBS-1〜4</t>
        </is>
      </c>
      <c r="D5" s="143" t="inlineStr"/>
      <c r="E5" s="143" t="inlineStr"/>
    </row>
    <row r="6">
      <c r="A6" s="143" t="inlineStr">
        <is>
          <t>ログ保持期間</t>
        </is>
      </c>
      <c r="B6" s="145" t="inlineStr"/>
      <c r="C6" s="143" t="inlineStr">
        <is>
          <t>WBS A14-i</t>
        </is>
      </c>
      <c r="D6" s="143" t="inlineStr"/>
      <c r="E6" s="143" t="inlineStr"/>
    </row>
    <row r="7">
      <c r="A7" s="143" t="inlineStr">
        <is>
          <t>エラー処理の原則</t>
        </is>
      </c>
      <c r="B7" s="143" t="inlineStr">
        <is>
          <t>アカウント単位・endpoint 単位で try-catch し、1 件の失敗で全体を止めない</t>
        </is>
      </c>
      <c r="C7" s="143" t="inlineStr">
        <is>
          <t>18 §18.5.2</t>
        </is>
      </c>
      <c r="D7" s="143" t="inlineStr"/>
      <c r="E7" s="143" t="inlineStr"/>
    </row>
    <row r="8">
      <c r="A8" s="143" t="inlineStr">
        <is>
          <t>リトライ</t>
        </is>
      </c>
      <c r="B8" s="143" t="inlineStr">
        <is>
          <t>非同期呼び出しは Lambda 標準リトライ（2 回）+ DLQ</t>
        </is>
      </c>
      <c r="C8" s="143" t="inlineStr">
        <is>
          <t>18 §18.5.2</t>
        </is>
      </c>
      <c r="D8" s="143" t="inlineStr"/>
      <c r="E8" s="143" t="inlineStr"/>
    </row>
    <row r="9">
      <c r="A9" s="143" t="inlineStr">
        <is>
          <t>冪等性</t>
        </is>
      </c>
      <c r="B9" s="143" t="inlineStr">
        <is>
          <t>at-least-once。状態（lastArtifactVersions）は後続処理の成功後にのみ更新</t>
        </is>
      </c>
      <c r="C9" s="143" t="inlineStr">
        <is>
          <t>18 §18.5.2</t>
        </is>
      </c>
      <c r="D9" s="143" t="inlineStr"/>
      <c r="E9" s="143" t="inlineStr"/>
    </row>
    <row r="10">
      <c r="A10" s="143" t="inlineStr">
        <is>
          <t>タイムアウト</t>
        </is>
      </c>
      <c r="B10" s="145" t="inlineStr"/>
      <c r="C10" s="143" t="inlineStr">
        <is>
          <t>設計時に確定</t>
        </is>
      </c>
      <c r="D10" s="143" t="inlineStr"/>
      <c r="E10" s="143" t="inlineStr"/>
    </row>
    <row r="11">
      <c r="A11" s="143" t="inlineStr">
        <is>
          <t>環境変数</t>
        </is>
      </c>
      <c r="B11" s="145" t="inlineStr"/>
      <c r="C11" s="143" t="inlineStr">
        <is>
          <t>設計時に確定</t>
        </is>
      </c>
      <c r="D11" s="143" t="inlineStr"/>
      <c r="E11" s="143" t="inlineStr"/>
    </row>
    <row r="12">
      <c r="A12" s="143" t="inlineStr">
        <is>
          <t>タグ</t>
        </is>
      </c>
      <c r="B12" s="143" t="inlineStr">
        <is>
          <t>app-id / env / cost-center / owner を必須付与</t>
        </is>
      </c>
      <c r="C12" s="143" t="inlineStr">
        <is>
          <t>03 章 BL-1</t>
        </is>
      </c>
      <c r="D12" s="143" t="inlineStr"/>
      <c r="E12" s="143" t="inlineStr"/>
    </row>
    <row r="13">
      <c r="A13" s="143" t="inlineStr">
        <is>
          <t>宛先 allowlist</t>
        </is>
      </c>
      <c r="B13" s="143" t="inlineStr">
        <is>
          <t>外向き通信の宛先は台帳の baseUrl と設定済み token URL のみ（コードで強制）</t>
        </is>
      </c>
      <c r="C13" s="143" t="inlineStr">
        <is>
          <t>10 §10.1.6 代償統制</t>
        </is>
      </c>
      <c r="D13" s="143" t="inlineStr"/>
      <c r="E13" s="143" t="inlineStr"/>
    </row>
    <row r="15">
      <c r="A15" s="146" t="inlineStr">
        <is>
          <t>2. 性能・上限</t>
        </is>
      </c>
    </row>
    <row r="16">
      <c r="A16" s="142" t="inlineStr">
        <is>
          <t>項目</t>
        </is>
      </c>
      <c r="B16" s="142" t="inlineStr">
        <is>
          <t>値・方針</t>
        </is>
      </c>
      <c r="C16" s="142" t="inlineStr">
        <is>
          <t>根拠</t>
        </is>
      </c>
      <c r="D16" s="142" t="inlineStr">
        <is>
          <t>備考</t>
        </is>
      </c>
      <c r="E16" s="142" t="inlineStr"/>
    </row>
    <row r="17">
      <c r="A17" s="147" t="n"/>
      <c r="B17" s="147" t="n"/>
      <c r="C17" s="147" t="n"/>
      <c r="D17" s="147" t="n"/>
      <c r="E17" s="147" t="n"/>
    </row>
    <row r="18">
      <c r="A18" s="147" t="n"/>
      <c r="B18" s="147" t="n"/>
      <c r="C18" s="147" t="n"/>
      <c r="D18" s="147" t="n"/>
      <c r="E18" s="147" t="n"/>
    </row>
    <row r="19">
      <c r="A19" s="147" t="n"/>
      <c r="B19" s="147" t="n"/>
      <c r="C19" s="147" t="n"/>
      <c r="D19" s="147" t="n"/>
      <c r="E19" s="147" t="n"/>
    </row>
    <row r="20">
      <c r="A20" s="147" t="n"/>
      <c r="B20" s="147" t="n"/>
      <c r="C20" s="147" t="n"/>
      <c r="D20" s="147" t="n"/>
      <c r="E20" s="147" t="n"/>
    </row>
    <row r="21">
      <c r="A21" s="147" t="n"/>
      <c r="B21" s="147" t="n"/>
      <c r="C21" s="147" t="n"/>
      <c r="D21" s="147" t="n"/>
      <c r="E21" s="147" t="n"/>
    </row>
    <row r="23">
      <c r="A23" s="146" t="inlineStr">
        <is>
          <t>3. 監視・アラーム（メタ監視 MM-1〜5 ほか）</t>
        </is>
      </c>
    </row>
    <row r="24">
      <c r="A24" s="142" t="inlineStr">
        <is>
          <t>ID</t>
        </is>
      </c>
      <c r="B24" s="142" t="inlineStr">
        <is>
          <t>検知対象</t>
        </is>
      </c>
      <c r="C24" s="142" t="inlineStr">
        <is>
          <t>手段</t>
        </is>
      </c>
      <c r="D24" s="142" t="inlineStr">
        <is>
          <t>閾値</t>
        </is>
      </c>
      <c r="E24" s="142" t="inlineStr">
        <is>
          <t>通知先</t>
        </is>
      </c>
    </row>
    <row r="25">
      <c r="A25" s="147" t="n"/>
      <c r="B25" s="147" t="n"/>
      <c r="C25" s="147" t="n"/>
      <c r="D25" s="147" t="n"/>
      <c r="E25" s="147" t="n"/>
    </row>
    <row r="26">
      <c r="A26" s="147" t="n"/>
      <c r="B26" s="147" t="n"/>
      <c r="C26" s="147" t="n"/>
      <c r="D26" s="147" t="n"/>
      <c r="E26" s="147" t="n"/>
    </row>
    <row r="27">
      <c r="A27" s="147" t="n"/>
      <c r="B27" s="147" t="n"/>
      <c r="C27" s="147" t="n"/>
      <c r="D27" s="147" t="n"/>
      <c r="E27" s="147" t="n"/>
    </row>
    <row r="28">
      <c r="A28" s="147" t="n"/>
      <c r="B28" s="147" t="n"/>
      <c r="C28" s="147" t="n"/>
      <c r="D28" s="147" t="n"/>
      <c r="E28" s="147" t="n"/>
    </row>
    <row r="29">
      <c r="A29" s="147" t="n"/>
      <c r="B29" s="147" t="n"/>
      <c r="C29" s="147" t="n"/>
      <c r="D29" s="147" t="n"/>
      <c r="E29" s="147" t="n"/>
    </row>
    <row r="30">
      <c r="A30" s="147" t="n"/>
      <c r="B30" s="147" t="n"/>
      <c r="C30" s="147" t="n"/>
      <c r="D30" s="147" t="n"/>
      <c r="E30" s="147" t="n"/>
    </row>
    <row r="32">
      <c r="A32" s="146" t="inlineStr">
        <is>
          <t>4. 参照（重複記載しないもの）</t>
        </is>
      </c>
    </row>
    <row r="33">
      <c r="A33" s="148" t="inlineStr">
        <is>
          <t>構成図 / リソース一覧</t>
        </is>
      </c>
      <c r="B33" s="143" t="inlineStr">
        <is>
          <t>シート 03・04</t>
        </is>
      </c>
      <c r="C33" s="149" t="n"/>
      <c r="D33" s="149" t="n"/>
      <c r="E33" s="149" t="n"/>
    </row>
    <row r="34">
      <c r="A34" s="148" t="inlineStr">
        <is>
          <t>データ定義（台帳・認証構成情報）</t>
        </is>
      </c>
      <c r="B34" s="143" t="inlineStr">
        <is>
          <t>シート 07</t>
        </is>
      </c>
      <c r="C34" s="149" t="n"/>
      <c r="D34" s="149" t="n"/>
      <c r="E34" s="149" t="n"/>
    </row>
    <row r="35">
      <c r="A35" s="148" t="inlineStr">
        <is>
          <t>IAM・権限</t>
        </is>
      </c>
      <c r="B35" s="143" t="inlineStr">
        <is>
          <t>シート 08</t>
        </is>
      </c>
      <c r="C35" s="149" t="n"/>
      <c r="D35" s="149" t="n"/>
      <c r="E35" s="149" t="n"/>
    </row>
    <row r="36">
      <c r="A36" s="148" t="inlineStr">
        <is>
          <t>コスト</t>
        </is>
      </c>
      <c r="B36" s="143" t="inlineStr">
        <is>
          <t>シート 16・17</t>
        </is>
      </c>
      <c r="C36" s="149" t="n"/>
      <c r="D36" s="149" t="n"/>
      <c r="E36" s="149" t="n"/>
    </row>
    <row r="37">
      <c r="A37" s="148" t="inlineStr">
        <is>
          <t>設計判断 / 未決事項</t>
        </is>
      </c>
      <c r="B37" s="143" t="inlineStr">
        <is>
          <t>シート 10・11</t>
        </is>
      </c>
      <c r="C37" s="149" t="n"/>
      <c r="D37" s="149" t="n"/>
      <c r="E37" s="149" t="n"/>
    </row>
  </sheetData>
  <mergeCells count="10">
    <mergeCell ref="B35:E35"/>
    <mergeCell ref="A2:E2"/>
    <mergeCell ref="A15:E15"/>
    <mergeCell ref="B37:E37"/>
    <mergeCell ref="B33:E33"/>
    <mergeCell ref="A1:E1"/>
    <mergeCell ref="A23:E23"/>
    <mergeCell ref="A32:E32"/>
    <mergeCell ref="B34:E34"/>
    <mergeCell ref="B36:E36"/>
  </mergeCells>
  <pageMargins left="0.75" right="0.75" top="1" bottom="1" header="0.5" footer="0.5"/>
</worksheet>
</file>

<file path=xl/worksheets/sheet20.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対象検索-01  認証実装確認処理開始</t>
        </is>
      </c>
    </row>
    <row r="2">
      <c r="A2" s="146" t="inlineStr">
        <is>
          <t>0. 概要</t>
        </is>
      </c>
    </row>
    <row r="3">
      <c r="A3" s="148" t="inlineStr">
        <is>
          <t>概要</t>
        </is>
      </c>
      <c r="B3" s="143" t="inlineStr">
        <is>
          <t>監視対象の変更有無を確認する巡回処理を定期起動する。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EventBridge Scheduler（rate(1 hour)）</t>
        </is>
      </c>
      <c r="C8" s="149" t="n"/>
      <c r="D8" s="149" t="n"/>
      <c r="E8" s="149" t="n"/>
    </row>
    <row r="9">
      <c r="A9" s="148" t="inlineStr">
        <is>
          <t>起動先</t>
        </is>
      </c>
      <c r="B9" s="143" t="inlineStr">
        <is>
          <t>対象検索 Lambda</t>
        </is>
      </c>
      <c r="C9" s="149" t="n"/>
      <c r="D9" s="149" t="n"/>
      <c r="E9" s="149" t="n"/>
    </row>
    <row r="10">
      <c r="A10" s="148" t="inlineStr">
        <is>
          <t>呼び出し方式</t>
        </is>
      </c>
      <c r="B10" s="143" t="inlineStr">
        <is>
          <t>非同期</t>
        </is>
      </c>
      <c r="C10" s="149" t="n"/>
      <c r="D10" s="149" t="n"/>
      <c r="E10" s="149" t="n"/>
    </row>
    <row r="11">
      <c r="A11" s="148" t="inlineStr">
        <is>
          <t>実行主体</t>
        </is>
      </c>
      <c r="B11" s="143" t="inlineStr">
        <is>
          <t>EventBridge Scheduler</t>
        </is>
      </c>
      <c r="C11" s="149" t="n"/>
      <c r="D11" s="149" t="n"/>
      <c r="E11" s="149" t="n"/>
    </row>
    <row r="12">
      <c r="A12" s="148" t="inlineStr">
        <is>
          <t>頻度・タイミング</t>
        </is>
      </c>
      <c r="B12" s="143" t="inlineStr">
        <is>
          <t>1 時間毎</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【設計時の要記載】リトライポリシー・Scheduler 側 DLQ の設定値を明記する（WBS A6-d）</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EventBridge Scheduler -&gt; 対象検索 Lambda : Invoke（payload なし）</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Scheduler 実行ロール / lambda:InvokeFunction / lambda.{region}.amazonaws.com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21.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対象検索-02  対象アカウント一覧取得</t>
        </is>
      </c>
    </row>
    <row r="2">
      <c r="A2" s="146" t="inlineStr">
        <is>
          <t>0. 概要</t>
        </is>
      </c>
    </row>
    <row r="3">
      <c r="A3" s="148" t="inlineStr">
        <is>
          <t>概要</t>
        </is>
      </c>
      <c r="B3" s="143" t="inlineStr">
        <is>
          <t>巡回対象となる App アカウントの一覧を取得する。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AWS Organizations</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巡回ごとに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【設計時の要記載】列挙方式（委任 / AssumeRole / 静的リスト）と対象範囲（全体 / OU）を確定する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Organizations : ListAccounts
Organizations --&gt; 対象検索 Lambda : アカウント一覧</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organizations:ListAccounts（委任ポリシー方式が推奨。M-Q-17-2）/ organizations.us-east-1.amazonaws.com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22.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対象検索-03  対象アカウント接続権限取得</t>
        </is>
      </c>
    </row>
    <row r="2">
      <c r="A2" s="146" t="inlineStr">
        <is>
          <t>0. 概要</t>
        </is>
      </c>
    </row>
    <row r="3">
      <c r="A3" s="148" t="inlineStr">
        <is>
          <t>概要</t>
        </is>
      </c>
      <c r="B3" s="143" t="inlineStr">
        <is>
          <t>App アカウントの認証構成情報を読むための一時クレデンシャルを取得する。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STS →（各 App の）DiscoveryReadRole</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アカウントごとに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【設計時の要記載】クレデンシャルの有効期限とキャッシュ方針を明記する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STS : AssumeRole(DiscoveryReadRole, ExternalId)
STS --&gt; 対象検索 Lambda : 一時クレデンシャル</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sts:AssumeRole + ExternalId / sts.{region}.amazonaws.com（リージョナル STS）</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23.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対象検索-04  認証構成情報一覧・版数取得</t>
        </is>
      </c>
    </row>
    <row r="2">
      <c r="A2" s="146" t="inlineStr">
        <is>
          <t>0. 概要</t>
        </is>
      </c>
    </row>
    <row r="3">
      <c r="A3" s="148" t="inlineStr">
        <is>
          <t>概要</t>
        </is>
      </c>
      <c r="B3" s="143" t="inlineStr">
        <is>
          <t>連携バケットの {appId}/ を列挙し、各ファイルの版数（VersionId）を取得する（本文は取得しない）。</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認証構成情報連携バケット（App アカウント）</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アカウントごとに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【設計時の要記載】ページング処理と、monitoring.yaml が無いプレフィックスの扱いを明記する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連携バケット : List（{appId}/ プレフィックス）
連携バケット --&gt; 対象検索 Lambda : キー一覧 + VersionId</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s3:ListBucket / s3:ListBucketVersions / s3.{region}.amazonaws.com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24.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対象検索-05  前回確認状態取得</t>
        </is>
      </c>
    </row>
    <row r="2">
      <c r="A2" s="146" t="inlineStr">
        <is>
          <t>0. 概要</t>
        </is>
      </c>
    </row>
    <row r="3">
      <c r="A3" s="148" t="inlineStr">
        <is>
          <t>概要</t>
        </is>
      </c>
      <c r="B3" s="143" t="inlineStr">
        <is>
          <t>前回巡回時に確認した版数（lastArtifactVersions）などの状態を台帳から読み取る。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認証構成情報配置バケット（registry/）</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アプリごとに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【設計時の要記載】台帳が存在しない場合（初回）の扱いを明記する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配置バケット : GetObject(registry/{appId}/{env}.json)
配置バケット --&gt; 対象検索 Lambda : 台帳 JSON（無ければ新規扱い）</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s3:GetObject（同一アカウント）/ s3.{region}.amazonaws.com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25.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対象検索-06  認証構成情報比較</t>
        </is>
      </c>
    </row>
    <row r="2">
      <c r="A2" s="146" t="inlineStr">
        <is>
          <t>0. 概要</t>
        </is>
      </c>
    </row>
    <row r="3">
      <c r="A3" s="148" t="inlineStr">
        <is>
          <t>概要</t>
        </is>
      </c>
      <c r="B3" s="143" t="inlineStr">
        <is>
          <t>連携バケットの版数と台帳の記録値を比較し、認証実装確認の要否を判定する。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Lambda（内部）</t>
        </is>
      </c>
      <c r="C8" s="149" t="n"/>
      <c r="D8" s="149" t="n"/>
      <c r="E8" s="149" t="n"/>
    </row>
    <row r="9">
      <c r="A9" s="148" t="inlineStr">
        <is>
          <t>起動先</t>
        </is>
      </c>
      <c r="B9" s="143" t="inlineStr">
        <is>
          <t>—</t>
        </is>
      </c>
      <c r="C9" s="149" t="n"/>
      <c r="D9" s="149" t="n"/>
      <c r="E9" s="149" t="n"/>
    </row>
    <row r="10">
      <c r="A10" s="148" t="inlineStr">
        <is>
          <t>呼び出し方式</t>
        </is>
      </c>
      <c r="B10" s="143" t="inlineStr">
        <is>
          <t>内部</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アプリごとに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【設計時の要記載】【重要】比較は版数（メタデータ）で行い、内容ハッシュ比較にしない（17 §17.2.1 差分判定の 3 原則）</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 VersionId ↔ lastArtifactVersions を比較
判定結果 = 変更あり / 変更なし / 新規</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—（AWS 呼び出しなし）</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26.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対象検索-07  認証構成情報取得</t>
        </is>
      </c>
    </row>
    <row r="2">
      <c r="A2" s="146" t="inlineStr">
        <is>
          <t>0. 概要</t>
        </is>
      </c>
    </row>
    <row r="3">
      <c r="A3" s="148" t="inlineStr">
        <is>
          <t>概要</t>
        </is>
      </c>
      <c r="B3" s="143" t="inlineStr">
        <is>
          <t>変更が検知されたアプリの認証構成情報（monitoring.yaml / openapi.yaml / deploy-info.json）を取得する。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認証構成情報連携バケット（App アカウント）</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変更のあったアプリのみ</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【設計時の要記載】サイズ上限・文字コード・取得失敗時の扱いを明記する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連携バケット : GetObject(monitoring.yaml, openapi.yaml)
連携バケット --&gt; 対象検索 Lambda : ファイル本体</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s3:GetObject / s3:GetObjectVersion / s3.{region}.amazonaws.com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27.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対象検索-08  認証構成情報検証</t>
        </is>
      </c>
    </row>
    <row r="2">
      <c r="A2" s="146" t="inlineStr">
        <is>
          <t>0. 概要</t>
        </is>
      </c>
    </row>
    <row r="3">
      <c r="A3" s="148" t="inlineStr">
        <is>
          <t>概要</t>
        </is>
      </c>
      <c r="B3" s="143" t="inlineStr">
        <is>
          <t>monitoring.yaml のスキーマ検証と、appId とプレフィックスの一致検証を行う。</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Lambda（内部）</t>
        </is>
      </c>
      <c r="C8" s="149" t="n"/>
      <c r="D8" s="149" t="n"/>
      <c r="E8" s="149" t="n"/>
    </row>
    <row r="9">
      <c r="A9" s="148" t="inlineStr">
        <is>
          <t>起動先</t>
        </is>
      </c>
      <c r="B9" s="143" t="inlineStr">
        <is>
          <t>—</t>
        </is>
      </c>
      <c r="C9" s="149" t="n"/>
      <c r="D9" s="149" t="n"/>
      <c r="E9" s="149" t="n"/>
    </row>
    <row r="10">
      <c r="A10" s="148" t="inlineStr">
        <is>
          <t>呼び出し方式</t>
        </is>
      </c>
      <c r="B10" s="143" t="inlineStr">
        <is>
          <t>内部</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取得ごとに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【設計時の要記載】不備の分類（取り込み拒否 / 既定値で継続）を項目ごとに定義する（17 §17.3 の表）</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 YAML パース -&gt; JSON Schema 検証 -&gt; appId 一致検証
NG の場合は 対象検索-12 構成情報不備通知へ</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—（AWS 呼び出しなし）</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28.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対象検索-09  認証構成情報登録</t>
        </is>
      </c>
    </row>
    <row r="2">
      <c r="A2" s="146" t="inlineStr">
        <is>
          <t>0. 概要</t>
        </is>
      </c>
    </row>
    <row r="3">
      <c r="A3" s="148" t="inlineStr">
        <is>
          <t>概要</t>
        </is>
      </c>
      <c r="B3" s="143" t="inlineStr">
        <is>
          <t>台帳へ設定値を同期し、確認状態を更新する。中央管理項目（通知先・監視有効フラグ）は上書きしない。</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認証構成情報配置バケット（registry/）</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変更のあったアプリのみ</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【設計時の要記載】alertRouting / enabled を上書きしないマージ規則と、412 競合時のリトライ回数を明記する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配置バケット : PutObject（If-Match: 読取時 ETag）
412 の場合は再読取してリトライ</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s3:PutObject（ETag 条件付き PUT, If-Match）/ s3.{region}.amazonaws.com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29.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対象検索-10  API 仕様登録</t>
        </is>
      </c>
    </row>
    <row r="2">
      <c r="A2" s="146" t="inlineStr">
        <is>
          <t>0. 概要</t>
        </is>
      </c>
    </row>
    <row r="3">
      <c r="A3" s="148" t="inlineStr">
        <is>
          <t>概要</t>
        </is>
      </c>
      <c r="B3" s="143" t="inlineStr">
        <is>
          <t>取得した API 仕様（openapi.yaml）を中央の仕様保管領域へ複写する。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認証構成情報配置バケット（openapi/）</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変更のあったアプリのみ</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【設計時の要記載】キー導出規則と上書き方針（Versioning による履歴保全）を明記する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配置バケット : PutObject(openapi/{accountId}/{appId}/openapi.yaml)</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s3:PutObject / s3.{region}.amazonaws.com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0.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対象検索-11  認証実装確認依頼</t>
        </is>
      </c>
    </row>
    <row r="2">
      <c r="A2" s="146" t="inlineStr">
        <is>
          <t>0. 概要</t>
        </is>
      </c>
    </row>
    <row r="3">
      <c r="A3" s="148" t="inlineStr">
        <is>
          <t>概要</t>
        </is>
      </c>
      <c r="B3" s="143" t="inlineStr">
        <is>
          <t>変更が確定したアプリを対象に認証実装の確認を依頼する（自動差分検査＝モード1）。</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認証実装チェック Lambda</t>
        </is>
      </c>
      <c r="C9" s="149" t="n"/>
      <c r="D9" s="149" t="n"/>
      <c r="E9" s="149" t="n"/>
    </row>
    <row r="10">
      <c r="A10" s="148" t="inlineStr">
        <is>
          <t>呼び出し方式</t>
        </is>
      </c>
      <c r="B10" s="143" t="inlineStr">
        <is>
          <t>非同期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変更のあったアプリごと</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【設計時の要記載】非同期リトライ（2 回）と DLQ の設定、依頼失敗時に台帳を更新しないこと（at-least-once）を明記する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認証実装チェック Lambda : Invoke(Event, {mode:'delta', appId, env})
※ 依頼成功後に 対象検索-09 の版数を確定更新</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lambda:InvokeFunction（InvocationType=Event）/ lambda.{region}.amazonaws.com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1.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対象検索-12  構成情報不備通知</t>
        </is>
      </c>
    </row>
    <row r="2">
      <c r="A2" s="146" t="inlineStr">
        <is>
          <t>0. 概要</t>
        </is>
      </c>
    </row>
    <row r="3">
      <c r="A3" s="148" t="inlineStr">
        <is>
          <t>概要</t>
        </is>
      </c>
      <c r="B3" s="143" t="inlineStr">
        <is>
          <t>認証構成情報の不備（appId 不一致・必須項目欠落・認証方式の値が不正など）を通知する。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SNS（P2 Platform）</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不備検出時</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【設計時の要記載】不備種別ごとの文面と、毎巡回で重複通知しない抑制方式を定義する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SNS(P2) : Publish（不備種別・appId・該当項目）</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sns:Publish / sns.{region}.amazonaws.com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2.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対象検索-13  監視対象消滅・鮮度低下検知</t>
        </is>
      </c>
    </row>
    <row r="2">
      <c r="A2" s="146" t="inlineStr">
        <is>
          <t>0. 概要</t>
        </is>
      </c>
    </row>
    <row r="3">
      <c r="A3" s="148" t="inlineStr">
        <is>
          <t>概要</t>
        </is>
      </c>
      <c r="B3" s="143" t="inlineStr">
        <is>
          <t>認証構成情報の消滅（アプリ廃止の可能性）と、長期間更新されていない状態（鮮度低下）を検知する。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配置バケット（registry/）+ SNS（P2）</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巡回ごとに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【設計時の要記載】鮮度低下の閾値（仮 90 日、M-Q-17-3）と、一時的な取得失敗との区別を定義する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 台帳あり かつ 構成情報なし -&gt; enabled=false + 棚卸しアラート
対象検索 Lambda : 最終更新が閾値超 -&gt; 鮮度低下アラート</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s3:PutObject（enabled=false）/ sns:Publish</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3.xml><?xml version="1.0" encoding="utf-8"?>
<worksheet xmlns="http://schemas.openxmlformats.org/spreadsheetml/2006/main">
  <sheetPr>
    <tabColor rgb="00FFD96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対象検索-14  巡回結果メトリクス送信</t>
        </is>
      </c>
    </row>
    <row r="2">
      <c r="A2" s="146" t="inlineStr">
        <is>
          <t>0. 概要</t>
        </is>
      </c>
    </row>
    <row r="3">
      <c r="A3" s="148" t="inlineStr">
        <is>
          <t>概要</t>
        </is>
      </c>
      <c r="B3" s="143" t="inlineStr">
        <is>
          <t>巡回の成功・失敗アカウント数などを、監視機構自身の稼働監視用メトリクスとして送信する。</t>
        </is>
      </c>
      <c r="C3" s="149" t="n"/>
      <c r="D3" s="149" t="n"/>
      <c r="E3" s="149" t="n"/>
    </row>
    <row r="4">
      <c r="A4" s="146" t="inlineStr">
        <is>
          <t>1. 基本情報</t>
        </is>
      </c>
    </row>
    <row r="5">
      <c r="A5" s="148" t="inlineStr">
        <is>
          <t>系統</t>
        </is>
      </c>
      <c r="B5" s="143" t="inlineStr">
        <is>
          <t>対象検索（1 時間毎の巡回）</t>
        </is>
      </c>
      <c r="C5" s="149" t="n"/>
      <c r="D5" s="149" t="n"/>
      <c r="E5" s="149" t="n"/>
    </row>
    <row r="6">
      <c r="A6" s="148" t="inlineStr">
        <is>
          <t>実行契機</t>
        </is>
      </c>
      <c r="B6" s="143" t="inlineStr">
        <is>
          <t>対象検索（1 時間毎）</t>
        </is>
      </c>
      <c r="C6" s="149" t="n"/>
      <c r="D6" s="149" t="n"/>
      <c r="E6" s="149" t="n"/>
    </row>
    <row r="7">
      <c r="A7" s="148" t="inlineStr">
        <is>
          <t>フロー内の位置</t>
        </is>
      </c>
      <c r="B7" s="145" t="inlineStr"/>
      <c r="C7" s="149" t="n"/>
      <c r="D7" s="149" t="n"/>
      <c r="E7" s="149" t="n"/>
    </row>
    <row r="8">
      <c r="A8" s="148" t="inlineStr">
        <is>
          <t>起動元</t>
        </is>
      </c>
      <c r="B8" s="143" t="inlineStr">
        <is>
          <t>対象検索 Lambda</t>
        </is>
      </c>
      <c r="C8" s="149" t="n"/>
      <c r="D8" s="149" t="n"/>
      <c r="E8" s="149" t="n"/>
    </row>
    <row r="9">
      <c r="A9" s="148" t="inlineStr">
        <is>
          <t>起動先</t>
        </is>
      </c>
      <c r="B9" s="143" t="inlineStr">
        <is>
          <t>CloudWatch</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対象検索 Lambda</t>
        </is>
      </c>
      <c r="C11" s="149" t="n"/>
      <c r="D11" s="149" t="n"/>
      <c r="E11" s="149" t="n"/>
    </row>
    <row r="12">
      <c r="A12" s="148" t="inlineStr">
        <is>
          <t>頻度・タイミング</t>
        </is>
      </c>
      <c r="B12" s="143" t="inlineStr">
        <is>
          <t>巡回ごとに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【設計時の要記載】メトリクス名・ディメンション・欠損時の扱い（MM-1 は 2h 欠損で発報）を明記する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対象検索 Lambda -&gt; CloudWatch : PutMetricData(DiscoveryLastSuccess, DiscoveryAccountErrors)</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cloudwatch:PutMetricData / monitoring.{region}.amazonaws.com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4.xml><?xml version="1.0" encoding="utf-8"?>
<worksheet xmlns="http://schemas.openxmlformats.org/spreadsheetml/2006/main">
  <sheetPr>
    <tabColor rgb="009DC3E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全量-01  全量確認処理開始（定期）</t>
        </is>
      </c>
    </row>
    <row r="2">
      <c r="A2" s="146" t="inlineStr">
        <is>
          <t>0. 概要</t>
        </is>
      </c>
    </row>
    <row r="3">
      <c r="A3" s="148" t="inlineStr">
        <is>
          <t>概要</t>
        </is>
      </c>
      <c r="B3" s="143" t="inlineStr">
        <is>
          <t>認証構成情報の変化に関係なく全アプリを確認するため、全量確認を定期起動する。</t>
        </is>
      </c>
      <c r="C3" s="149" t="n"/>
      <c r="D3" s="149" t="n"/>
      <c r="E3" s="149" t="n"/>
    </row>
    <row r="4">
      <c r="A4" s="146" t="inlineStr">
        <is>
          <t>1. 基本情報</t>
        </is>
      </c>
    </row>
    <row r="5">
      <c r="A5" s="148" t="inlineStr">
        <is>
          <t>系統</t>
        </is>
      </c>
      <c r="B5" s="143" t="inlineStr">
        <is>
          <t>全量（全量確認 固有）</t>
        </is>
      </c>
      <c r="C5" s="149" t="n"/>
      <c r="D5" s="149" t="n"/>
      <c r="E5" s="149" t="n"/>
    </row>
    <row r="6">
      <c r="A6" s="148" t="inlineStr">
        <is>
          <t>実行契機</t>
        </is>
      </c>
      <c r="B6" s="143" t="inlineStr">
        <is>
          <t>全量（日次）</t>
        </is>
      </c>
      <c r="C6" s="149" t="n"/>
      <c r="D6" s="149" t="n"/>
      <c r="E6" s="149" t="n"/>
    </row>
    <row r="7">
      <c r="A7" s="148" t="inlineStr">
        <is>
          <t>フロー内の位置</t>
        </is>
      </c>
      <c r="B7" s="145" t="inlineStr"/>
      <c r="C7" s="149" t="n"/>
      <c r="D7" s="149" t="n"/>
      <c r="E7" s="149" t="n"/>
    </row>
    <row r="8">
      <c r="A8" s="148" t="inlineStr">
        <is>
          <t>起動元</t>
        </is>
      </c>
      <c r="B8" s="143" t="inlineStr">
        <is>
          <t>EventBridge Scheduler（日次）</t>
        </is>
      </c>
      <c r="C8" s="149" t="n"/>
      <c r="D8" s="149" t="n"/>
      <c r="E8" s="149" t="n"/>
    </row>
    <row r="9">
      <c r="A9" s="148" t="inlineStr">
        <is>
          <t>起動先</t>
        </is>
      </c>
      <c r="B9" s="143" t="inlineStr">
        <is>
          <t>認証実装チェック Lambda</t>
        </is>
      </c>
      <c r="C9" s="149" t="n"/>
      <c r="D9" s="149" t="n"/>
      <c r="E9" s="149" t="n"/>
    </row>
    <row r="10">
      <c r="A10" s="148" t="inlineStr">
        <is>
          <t>呼び出し方式</t>
        </is>
      </c>
      <c r="B10" s="143" t="inlineStr">
        <is>
          <t>非同期</t>
        </is>
      </c>
      <c r="C10" s="149" t="n"/>
      <c r="D10" s="149" t="n"/>
      <c r="E10" s="149" t="n"/>
    </row>
    <row r="11">
      <c r="A11" s="148" t="inlineStr">
        <is>
          <t>実行主体</t>
        </is>
      </c>
      <c r="B11" s="143" t="inlineStr">
        <is>
          <t>EventBridge Scheduler</t>
        </is>
      </c>
      <c r="C11" s="149" t="n"/>
      <c r="D11" s="149" t="n"/>
      <c r="E11" s="149" t="n"/>
    </row>
    <row r="12">
      <c r="A12" s="148" t="inlineStr">
        <is>
          <t>頻度・タイミング</t>
        </is>
      </c>
      <c r="B12" s="143" t="inlineStr">
        <is>
          <t>日次</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【設計時の要記載】実行時刻帯（M-Q-18-3）と、巡回（対象検索-01）と時間帯が重ならない配慮を明記する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EventBridge Scheduler -&gt; 認証実装チェック Lambda : Invoke(Event, {mode:'full'})</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Scheduler 実行ロール / lambda:InvokeFunction</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5.xml><?xml version="1.0" encoding="utf-8"?>
<worksheet xmlns="http://schemas.openxmlformats.org/spreadsheetml/2006/main">
  <sheetPr>
    <tabColor rgb="009DC3E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全量-02  全量確認処理開始（手動）</t>
        </is>
      </c>
    </row>
    <row r="2">
      <c r="A2" s="146" t="inlineStr">
        <is>
          <t>0. 概要</t>
        </is>
      </c>
    </row>
    <row r="3">
      <c r="A3" s="148" t="inlineStr">
        <is>
          <t>概要</t>
        </is>
      </c>
      <c r="B3" s="143" t="inlineStr">
        <is>
          <t>運用者の判断で全量確認を実行する。実装は定期起動と同一で、起動元が人である点だけが異なる。</t>
        </is>
      </c>
      <c r="C3" s="149" t="n"/>
      <c r="D3" s="149" t="n"/>
      <c r="E3" s="149" t="n"/>
    </row>
    <row r="4">
      <c r="A4" s="146" t="inlineStr">
        <is>
          <t>1. 基本情報</t>
        </is>
      </c>
    </row>
    <row r="5">
      <c r="A5" s="148" t="inlineStr">
        <is>
          <t>系統</t>
        </is>
      </c>
      <c r="B5" s="143" t="inlineStr">
        <is>
          <t>全量（全量確認 固有）</t>
        </is>
      </c>
      <c r="C5" s="149" t="n"/>
      <c r="D5" s="149" t="n"/>
      <c r="E5" s="149" t="n"/>
    </row>
    <row r="6">
      <c r="A6" s="148" t="inlineStr">
        <is>
          <t>実行契機</t>
        </is>
      </c>
      <c r="B6" s="143" t="inlineStr">
        <is>
          <t>全量（手動・随時）</t>
        </is>
      </c>
      <c r="C6" s="149" t="n"/>
      <c r="D6" s="149" t="n"/>
      <c r="E6" s="149" t="n"/>
    </row>
    <row r="7">
      <c r="A7" s="148" t="inlineStr">
        <is>
          <t>フロー内の位置</t>
        </is>
      </c>
      <c r="B7" s="145" t="inlineStr"/>
      <c r="C7" s="149" t="n"/>
      <c r="D7" s="149" t="n"/>
      <c r="E7" s="149" t="n"/>
    </row>
    <row r="8">
      <c r="A8" s="148" t="inlineStr">
        <is>
          <t>起動元</t>
        </is>
      </c>
      <c r="B8" s="143" t="inlineStr">
        <is>
          <t>運用者（CLI / コンソール）</t>
        </is>
      </c>
      <c r="C8" s="149" t="n"/>
      <c r="D8" s="149" t="n"/>
      <c r="E8" s="149" t="n"/>
    </row>
    <row r="9">
      <c r="A9" s="148" t="inlineStr">
        <is>
          <t>起動先</t>
        </is>
      </c>
      <c r="B9" s="143" t="inlineStr">
        <is>
          <t>認証実装チェック Lambda</t>
        </is>
      </c>
      <c r="C9" s="149" t="n"/>
      <c r="D9" s="149" t="n"/>
      <c r="E9" s="149" t="n"/>
    </row>
    <row r="10">
      <c r="A10" s="148" t="inlineStr">
        <is>
          <t>呼び出し方式</t>
        </is>
      </c>
      <c r="B10" s="143" t="inlineStr">
        <is>
          <t>非同期</t>
        </is>
      </c>
      <c r="C10" s="149" t="n"/>
      <c r="D10" s="149" t="n"/>
      <c r="E10" s="149" t="n"/>
    </row>
    <row r="11">
      <c r="A11" s="148" t="inlineStr">
        <is>
          <t>実行主体</t>
        </is>
      </c>
      <c r="B11" s="143" t="inlineStr">
        <is>
          <t>運用者</t>
        </is>
      </c>
      <c r="C11" s="149" t="n"/>
      <c r="D11" s="149" t="n"/>
      <c r="E11" s="149" t="n"/>
    </row>
    <row r="12">
      <c r="A12" s="148" t="inlineStr">
        <is>
          <t>頻度・タイミング</t>
        </is>
      </c>
      <c r="B12" s="143" t="inlineStr">
        <is>
          <t>随時（監査前・障害後など）</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【設計時の要記載】実行権限を持つ者の範囲（共通基盤チームのみか、アプリチームも可か。M-Q-18-3）を確定する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運用者 -&gt; 認証実装チェック Lambda : Invoke(Event, {mode:'full'})
※ 特定アプリのみ: {mode:'full', appId, env}</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lambda:InvokeFunction（実行者の IAM）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6.xml><?xml version="1.0" encoding="utf-8"?>
<worksheet xmlns="http://schemas.openxmlformats.org/spreadsheetml/2006/main">
  <sheetPr>
    <tabColor rgb="009DC3E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全量-03  監視対象一覧取得</t>
        </is>
      </c>
    </row>
    <row r="2">
      <c r="A2" s="146" t="inlineStr">
        <is>
          <t>0. 概要</t>
        </is>
      </c>
    </row>
    <row r="3">
      <c r="A3" s="148" t="inlineStr">
        <is>
          <t>概要</t>
        </is>
      </c>
      <c r="B3" s="143" t="inlineStr">
        <is>
          <t>台帳を全件読み出し、監視有効な対象アプリの一覧を得る。</t>
        </is>
      </c>
      <c r="C3" s="149" t="n"/>
      <c r="D3" s="149" t="n"/>
      <c r="E3" s="149" t="n"/>
    </row>
    <row r="4">
      <c r="A4" s="146" t="inlineStr">
        <is>
          <t>1. 基本情報</t>
        </is>
      </c>
    </row>
    <row r="5">
      <c r="A5" s="148" t="inlineStr">
        <is>
          <t>系統</t>
        </is>
      </c>
      <c r="B5" s="143" t="inlineStr">
        <is>
          <t>全量（全量確認 固有）</t>
        </is>
      </c>
      <c r="C5" s="149" t="n"/>
      <c r="D5" s="149" t="n"/>
      <c r="E5" s="149" t="n"/>
    </row>
    <row r="6">
      <c r="A6" s="148" t="inlineStr">
        <is>
          <t>実行契機</t>
        </is>
      </c>
      <c r="B6" s="143" t="inlineStr">
        <is>
          <t>全量（日次・手動）</t>
        </is>
      </c>
      <c r="C6" s="149" t="n"/>
      <c r="D6" s="149" t="n"/>
      <c r="E6" s="149" t="n"/>
    </row>
    <row r="7">
      <c r="A7" s="148" t="inlineStr">
        <is>
          <t>フロー内の位置</t>
        </is>
      </c>
      <c r="B7" s="145" t="inlineStr"/>
      <c r="C7" s="149" t="n"/>
      <c r="D7" s="149" t="n"/>
      <c r="E7" s="149" t="n"/>
    </row>
    <row r="8">
      <c r="A8" s="148" t="inlineStr">
        <is>
          <t>起動元</t>
        </is>
      </c>
      <c r="B8" s="143" t="inlineStr">
        <is>
          <t>認証実装チェック Lambda</t>
        </is>
      </c>
      <c r="C8" s="149" t="n"/>
      <c r="D8" s="149" t="n"/>
      <c r="E8" s="149" t="n"/>
    </row>
    <row r="9">
      <c r="A9" s="148" t="inlineStr">
        <is>
          <t>起動先</t>
        </is>
      </c>
      <c r="B9" s="143" t="inlineStr">
        <is>
          <t>認証構成情報配置バケット（registry/）</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全量確認ごとに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【設計時の要記載】enabled=false のレコードを除外すること、List のページングを明記する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認証実装チェック Lambda -&gt; 配置バケット : List(registry/) -&gt; GetObject（各件）
配置バケット --&gt; 認証実装チェック Lambda : 台帳 JSON 群</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s3:ListBucket / s3:GetObject</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7.xml><?xml version="1.0" encoding="utf-8"?>
<worksheet xmlns="http://schemas.openxmlformats.org/spreadsheetml/2006/main">
  <sheetPr>
    <tabColor rgb="009DC3E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全量-04  アプリ単位確認依頼（fan-out）</t>
        </is>
      </c>
    </row>
    <row r="2">
      <c r="A2" s="146" t="inlineStr">
        <is>
          <t>0. 概要</t>
        </is>
      </c>
    </row>
    <row r="3">
      <c r="A3" s="148" t="inlineStr">
        <is>
          <t>概要</t>
        </is>
      </c>
      <c r="B3" s="143" t="inlineStr">
        <is>
          <t>全量確認を「1 実行 = 1 アプリ」に分割し、Lambda の実行時間上限に構造的に当たらないようにする。</t>
        </is>
      </c>
      <c r="C3" s="149" t="n"/>
      <c r="D3" s="149" t="n"/>
      <c r="E3" s="149" t="n"/>
    </row>
    <row r="4">
      <c r="A4" s="146" t="inlineStr">
        <is>
          <t>1. 基本情報</t>
        </is>
      </c>
    </row>
    <row r="5">
      <c r="A5" s="148" t="inlineStr">
        <is>
          <t>系統</t>
        </is>
      </c>
      <c r="B5" s="143" t="inlineStr">
        <is>
          <t>全量（全量確認 固有）</t>
        </is>
      </c>
      <c r="C5" s="149" t="n"/>
      <c r="D5" s="149" t="n"/>
      <c r="E5" s="149" t="n"/>
    </row>
    <row r="6">
      <c r="A6" s="148" t="inlineStr">
        <is>
          <t>実行契機</t>
        </is>
      </c>
      <c r="B6" s="143" t="inlineStr">
        <is>
          <t>全量（日次・手動）</t>
        </is>
      </c>
      <c r="C6" s="149" t="n"/>
      <c r="D6" s="149" t="n"/>
      <c r="E6" s="149" t="n"/>
    </row>
    <row r="7">
      <c r="A7" s="148" t="inlineStr">
        <is>
          <t>フロー内の位置</t>
        </is>
      </c>
      <c r="B7" s="145" t="inlineStr"/>
      <c r="C7" s="149" t="n"/>
      <c r="D7" s="149" t="n"/>
      <c r="E7" s="149" t="n"/>
    </row>
    <row r="8">
      <c r="A8" s="148" t="inlineStr">
        <is>
          <t>起動元</t>
        </is>
      </c>
      <c r="B8" s="143" t="inlineStr">
        <is>
          <t>認証実装チェック Lambda</t>
        </is>
      </c>
      <c r="C8" s="149" t="n"/>
      <c r="D8" s="149" t="n"/>
      <c r="E8" s="149" t="n"/>
    </row>
    <row r="9">
      <c r="A9" s="148" t="inlineStr">
        <is>
          <t>起動先</t>
        </is>
      </c>
      <c r="B9" s="143" t="inlineStr">
        <is>
          <t>認証実装チェック Lambda（自身）</t>
        </is>
      </c>
      <c r="C9" s="149" t="n"/>
      <c r="D9" s="149" t="n"/>
      <c r="E9" s="149" t="n"/>
    </row>
    <row r="10">
      <c r="A10" s="148" t="inlineStr">
        <is>
          <t>呼び出し方式</t>
        </is>
      </c>
      <c r="B10" s="143" t="inlineStr">
        <is>
          <t>非同期</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対象アプリ数分</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【設計時の要記載】同時実行数の上限・スロットリング時の扱いを明記する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認証実装チェック Lambda(mode=full) -&gt; 認証実装チェック Lambda(1 アプリ分) : アプリ数分 Invoke(Event)</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lambda:InvokeFunction（自身）/ lambda.{region}.amazonaws.com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8.xml><?xml version="1.0" encoding="utf-8"?>
<worksheet xmlns="http://schemas.openxmlformats.org/spreadsheetml/2006/main">
  <sheetPr>
    <tabColor rgb="00C6E0B4"/>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認証実装チェック-01  認証構成情報参照</t>
        </is>
      </c>
    </row>
    <row r="2">
      <c r="A2" s="146" t="inlineStr">
        <is>
          <t>0. 概要</t>
        </is>
      </c>
    </row>
    <row r="3">
      <c r="A3" s="148" t="inlineStr">
        <is>
          <t>概要</t>
        </is>
      </c>
      <c r="B3" s="143" t="inlineStr">
        <is>
          <t>確認対象アプリの設定値（検査先 URL・認証方式・トークン設定）を台帳から取得する。</t>
        </is>
      </c>
      <c r="C3" s="149" t="n"/>
      <c r="D3" s="149" t="n"/>
      <c r="E3" s="149" t="n"/>
    </row>
    <row r="4">
      <c r="A4" s="146" t="inlineStr">
        <is>
          <t>1. 基本情報</t>
        </is>
      </c>
    </row>
    <row r="5">
      <c r="A5" s="148" t="inlineStr">
        <is>
          <t>系統</t>
        </is>
      </c>
      <c r="B5" s="143" t="inlineStr">
        <is>
          <t>認証実装チェック（1 アプリの確認・共通）</t>
        </is>
      </c>
      <c r="C5" s="149" t="n"/>
      <c r="D5" s="149" t="n"/>
      <c r="E5" s="149" t="n"/>
    </row>
    <row r="6">
      <c r="A6" s="148" t="inlineStr">
        <is>
          <t>実行契機</t>
        </is>
      </c>
      <c r="B6" s="143" t="inlineStr">
        <is>
          <t>共通（対象検索・全量とも）</t>
        </is>
      </c>
      <c r="C6" s="149" t="n"/>
      <c r="D6" s="149" t="n"/>
      <c r="E6" s="149" t="n"/>
    </row>
    <row r="7">
      <c r="A7" s="148" t="inlineStr">
        <is>
          <t>フロー内の位置</t>
        </is>
      </c>
      <c r="B7" s="145" t="inlineStr"/>
      <c r="C7" s="149" t="n"/>
      <c r="D7" s="149" t="n"/>
      <c r="E7" s="149" t="n"/>
    </row>
    <row r="8">
      <c r="A8" s="148" t="inlineStr">
        <is>
          <t>起動元</t>
        </is>
      </c>
      <c r="B8" s="143" t="inlineStr">
        <is>
          <t>認証実装チェック Lambda</t>
        </is>
      </c>
      <c r="C8" s="149" t="n"/>
      <c r="D8" s="149" t="n"/>
      <c r="E8" s="149" t="n"/>
    </row>
    <row r="9">
      <c r="A9" s="148" t="inlineStr">
        <is>
          <t>起動先</t>
        </is>
      </c>
      <c r="B9" s="143" t="inlineStr">
        <is>
          <t>認証構成情報配置バケット（registry/）</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アプリごとに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【設計時の要記載】台帳が取得できない場合（削除・権限不足）の扱いを明記する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認証実装チェック Lambda -&gt; 配置バケット : GetObject(registry/{appId}/{env}.json)
配置バケット --&gt; 認証実装チェック Lambda : 台帳 JSON</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s3:GetObject</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39.xml><?xml version="1.0" encoding="utf-8"?>
<worksheet xmlns="http://schemas.openxmlformats.org/spreadsheetml/2006/main">
  <sheetPr>
    <tabColor rgb="00C6E0B4"/>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認証実装チェック-02  API 仕様取得</t>
        </is>
      </c>
    </row>
    <row r="2">
      <c r="A2" s="146" t="inlineStr">
        <is>
          <t>0. 概要</t>
        </is>
      </c>
    </row>
    <row r="3">
      <c r="A3" s="148" t="inlineStr">
        <is>
          <t>概要</t>
        </is>
      </c>
      <c r="B3" s="143" t="inlineStr">
        <is>
          <t>確認対象の endpoint 一覧と公開明示（MON-1）を取得する。</t>
        </is>
      </c>
      <c r="C3" s="149" t="n"/>
      <c r="D3" s="149" t="n"/>
      <c r="E3" s="149" t="n"/>
    </row>
    <row r="4">
      <c r="A4" s="146" t="inlineStr">
        <is>
          <t>1. 基本情報</t>
        </is>
      </c>
    </row>
    <row r="5">
      <c r="A5" s="148" t="inlineStr">
        <is>
          <t>系統</t>
        </is>
      </c>
      <c r="B5" s="143" t="inlineStr">
        <is>
          <t>認証実装チェック（1 アプリの確認・共通）</t>
        </is>
      </c>
      <c r="C5" s="149" t="n"/>
      <c r="D5" s="149" t="n"/>
      <c r="E5" s="149" t="n"/>
    </row>
    <row r="6">
      <c r="A6" s="148" t="inlineStr">
        <is>
          <t>実行契機</t>
        </is>
      </c>
      <c r="B6" s="143" t="inlineStr">
        <is>
          <t>共通（対象検索・全量とも）</t>
        </is>
      </c>
      <c r="C6" s="149" t="n"/>
      <c r="D6" s="149" t="n"/>
      <c r="E6" s="149" t="n"/>
    </row>
    <row r="7">
      <c r="A7" s="148" t="inlineStr">
        <is>
          <t>フロー内の位置</t>
        </is>
      </c>
      <c r="B7" s="145" t="inlineStr"/>
      <c r="C7" s="149" t="n"/>
      <c r="D7" s="149" t="n"/>
      <c r="E7" s="149" t="n"/>
    </row>
    <row r="8">
      <c r="A8" s="148" t="inlineStr">
        <is>
          <t>起動元</t>
        </is>
      </c>
      <c r="B8" s="143" t="inlineStr">
        <is>
          <t>認証実装チェック Lambda</t>
        </is>
      </c>
      <c r="C8" s="149" t="n"/>
      <c r="D8" s="149" t="n"/>
      <c r="E8" s="149" t="n"/>
    </row>
    <row r="9">
      <c r="A9" s="148" t="inlineStr">
        <is>
          <t>起動先</t>
        </is>
      </c>
      <c r="B9" s="143" t="inlineStr">
        <is>
          <t>認証構成情報配置バケット（openapi/）</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アプリごとに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【設計時の要記載】API 仕様が存在しない場合（モノリスの endpoint 列挙方式）の分岐を明記する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認証実装チェック Lambda -&gt; 配置バケット : GetObject(openApiS3Key)
配置バケット --&gt; 認証実装チェック Lambda : API 仕様</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s3:GetObject</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40.xml><?xml version="1.0" encoding="utf-8"?>
<worksheet xmlns="http://schemas.openxmlformats.org/spreadsheetml/2006/main">
  <sheetPr>
    <tabColor rgb="00C6E0B4"/>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認証実装チェック-03  正常系確認用トークン取得</t>
        </is>
      </c>
    </row>
    <row r="2">
      <c r="A2" s="146" t="inlineStr">
        <is>
          <t>0. 概要</t>
        </is>
      </c>
    </row>
    <row r="3">
      <c r="A3" s="148" t="inlineStr">
        <is>
          <t>概要</t>
        </is>
      </c>
      <c r="B3" s="143" t="inlineStr">
        <is>
          <t>正常系アクセス確認で使う短命トークンを取得する。</t>
        </is>
      </c>
      <c r="C3" s="149" t="n"/>
      <c r="D3" s="149" t="n"/>
      <c r="E3" s="149" t="n"/>
    </row>
    <row r="4">
      <c r="A4" s="146" t="inlineStr">
        <is>
          <t>1. 基本情報</t>
        </is>
      </c>
    </row>
    <row r="5">
      <c r="A5" s="148" t="inlineStr">
        <is>
          <t>系統</t>
        </is>
      </c>
      <c r="B5" s="143" t="inlineStr">
        <is>
          <t>認証実装チェック（1 アプリの確認・共通）</t>
        </is>
      </c>
      <c r="C5" s="149" t="n"/>
      <c r="D5" s="149" t="n"/>
      <c r="E5" s="149" t="n"/>
    </row>
    <row r="6">
      <c r="A6" s="148" t="inlineStr">
        <is>
          <t>実行契機</t>
        </is>
      </c>
      <c r="B6" s="143" t="inlineStr">
        <is>
          <t>共通（対象検索・全量とも）</t>
        </is>
      </c>
      <c r="C6" s="149" t="n"/>
      <c r="D6" s="149" t="n"/>
      <c r="E6" s="149" t="n"/>
    </row>
    <row r="7">
      <c r="A7" s="148" t="inlineStr">
        <is>
          <t>フロー内の位置</t>
        </is>
      </c>
      <c r="B7" s="145" t="inlineStr"/>
      <c r="C7" s="149" t="n"/>
      <c r="D7" s="149" t="n"/>
      <c r="E7" s="149" t="n"/>
    </row>
    <row r="8">
      <c r="A8" s="148" t="inlineStr">
        <is>
          <t>起動元</t>
        </is>
      </c>
      <c r="B8" s="143" t="inlineStr">
        <is>
          <t>認証実装チェック Lambda</t>
        </is>
      </c>
      <c r="C8" s="149" t="n"/>
      <c r="D8" s="149" t="n"/>
      <c r="E8" s="149" t="n"/>
    </row>
    <row r="9">
      <c r="A9" s="148" t="inlineStr">
        <is>
          <t>起動先</t>
        </is>
      </c>
      <c r="B9" s="143" t="inlineStr">
        <is>
          <t>Secrets Manager → 認証基盤 /token</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確認ごとに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【設計時の要記載】トークンのキャッシュ有無・失効時の再取得・ログへのマスク（トークンを出力しない）を明記する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認証実装チェック Lambda -&gt; Secrets Manager : GetSecretValue
認証実装チェック Lambda -&gt; 認証基盤 /token : client_credentials
認証基盤 --&gt; 認証実装チェック Lambda : access_token（短命）</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secretsmanager:GetSecretValue / 認証基盤の公開 /token（インターネット経由・OAuth client_credentials）</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41.xml><?xml version="1.0" encoding="utf-8"?>
<worksheet xmlns="http://schemas.openxmlformats.org/spreadsheetml/2006/main">
  <sheetPr>
    <tabColor rgb="00C6E0B4"/>
    <outlinePr summaryBelow="1" summaryRight="1"/>
    <pageSetUpPr/>
  </sheetPr>
  <dimension ref="A1:E8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認証実装チェック-04  未認証アクセス確認</t>
        </is>
      </c>
    </row>
    <row r="2">
      <c r="A2" s="146" t="inlineStr">
        <is>
          <t>0. 概要</t>
        </is>
      </c>
    </row>
    <row r="3">
      <c r="A3" s="148" t="inlineStr">
        <is>
          <t>概要</t>
        </is>
      </c>
      <c r="B3" s="143" t="inlineStr">
        <is>
          <t>認証情報なしでリクエストし、正しく拒否されるか（401/403、Cookie 系は 302）を確認する。2xx なら認証実装漏れ。</t>
        </is>
      </c>
      <c r="C3" s="149" t="n"/>
      <c r="D3" s="149" t="n"/>
      <c r="E3" s="149" t="n"/>
    </row>
    <row r="4">
      <c r="A4" s="146" t="inlineStr">
        <is>
          <t>1. 基本情報</t>
        </is>
      </c>
    </row>
    <row r="5">
      <c r="A5" s="148" t="inlineStr">
        <is>
          <t>系統</t>
        </is>
      </c>
      <c r="B5" s="143" t="inlineStr">
        <is>
          <t>認証実装チェック（1 アプリの確認・共通）</t>
        </is>
      </c>
      <c r="C5" s="149" t="n"/>
      <c r="D5" s="149" t="n"/>
      <c r="E5" s="149" t="n"/>
    </row>
    <row r="6">
      <c r="A6" s="148" t="inlineStr">
        <is>
          <t>実行契機</t>
        </is>
      </c>
      <c r="B6" s="143" t="inlineStr">
        <is>
          <t>共通（対象検索・全量とも）</t>
        </is>
      </c>
      <c r="C6" s="149" t="n"/>
      <c r="D6" s="149" t="n"/>
      <c r="E6" s="149" t="n"/>
    </row>
    <row r="7">
      <c r="A7" s="148" t="inlineStr">
        <is>
          <t>フロー内の位置</t>
        </is>
      </c>
      <c r="B7" s="143" t="inlineStr">
        <is>
          <t>認証実装チェック-02 で得た endpoint リストのループ内。本処理（未認証）→ 認証実装チェック-05（正常系）→ 認証実装チェック-06（判定）の順で 1 endpoint を処理する（11 §11.1 ④）。本処理は「認証が効いているか」を直接確かめる本機構の中核で、2xx が返れば認証実装漏れとして P1 になる。</t>
        </is>
      </c>
      <c r="C7" s="149" t="n"/>
      <c r="D7" s="149" t="n"/>
      <c r="E7" s="149" t="n"/>
    </row>
    <row r="8">
      <c r="A8" s="148" t="inlineStr">
        <is>
          <t>起動元</t>
        </is>
      </c>
      <c r="B8" s="143" t="inlineStr">
        <is>
          <t>認証実装チェック Lambda</t>
        </is>
      </c>
      <c r="C8" s="149" t="n"/>
      <c r="D8" s="149" t="n"/>
      <c r="E8" s="149" t="n"/>
    </row>
    <row r="9">
      <c r="A9" s="148" t="inlineStr">
        <is>
          <t>起動先</t>
        </is>
      </c>
      <c r="B9" s="143" t="inlineStr">
        <is>
          <t>CloudFront → WAF → API GW / ALB</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endpoint ごとに 1 回</t>
        </is>
      </c>
      <c r="C12" s="149" t="n"/>
      <c r="D12" s="149" t="n"/>
      <c r="E12" s="149" t="n"/>
    </row>
    <row r="13">
      <c r="A13" s="148" t="inlineStr">
        <is>
          <t>前提条件・事前状態</t>
        </is>
      </c>
      <c r="B13" s="143" t="inlineStr">
        <is>
          <t>認証実装チェック-01 で台帳から baseUrl / authPattern を取得済み
認証実装チェック-02 で endpoint 記述子（method / path / rawPath / skipAuthCheck）を取得済み。MON-1 の公開印は解釈済み
識別ヘッダ X-Auth-Probe の値を Secrets Manager から取得済み
対象アプリの WAF に識別ヘッダの許可ルールが入っていること（M-Q-11-5）。未設定だと WAF ブロックによる WARN が多発する（11 §11.2.4）</t>
        </is>
      </c>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3" t="inlineStr">
        <is>
          <t>baseUrl</t>
        </is>
      </c>
      <c r="B17" s="143" t="inlineStr">
        <is>
          <t>string</t>
        </is>
      </c>
      <c r="C17" s="143" t="inlineStr">
        <is>
          <t>✅</t>
        </is>
      </c>
      <c r="D17" s="143" t="inlineStr">
        <is>
          <t>台帳 registry/{appId}/{env}.json（認証実装チェック-01）</t>
        </is>
      </c>
      <c r="E17" s="143" t="inlineStr">
        <is>
          <t>検査先の CloudFront URL。例 https://expense.example.com（API GW の直 URL ではない。12 章）</t>
        </is>
      </c>
    </row>
    <row r="18">
      <c r="A18" s="143" t="inlineStr">
        <is>
          <t>authPattern</t>
        </is>
      </c>
      <c r="B18" s="143" t="inlineStr">
        <is>
          <t>enum（6 値）</t>
        </is>
      </c>
      <c r="C18" s="143" t="inlineStr">
        <is>
          <t>✅</t>
        </is>
      </c>
      <c r="D18" s="143" t="inlineStr">
        <is>
          <t>同上</t>
        </is>
      </c>
      <c r="E18" s="143" t="inlineStr">
        <is>
          <t>期待ステータスの分岐に使う。api-gw-jwt / alb-code-jwt / alb-cookie-monolith / bff-cookie-session / api-gw-iam / lambda-url-iam</t>
        </is>
      </c>
    </row>
    <row r="19">
      <c r="A19" s="143" t="inlineStr">
        <is>
          <t>ep.method</t>
        </is>
      </c>
      <c r="B19" s="143" t="inlineStr">
        <is>
          <t>string</t>
        </is>
      </c>
      <c r="C19" s="143" t="inlineStr">
        <is>
          <t>✅</t>
        </is>
      </c>
      <c r="D19" s="143" t="inlineStr">
        <is>
          <t>認証実装チェック-02（extractEndpoints）</t>
        </is>
      </c>
      <c r="E19" s="143" t="inlineStr">
        <is>
          <t>HTTP メソッド。例 GET</t>
        </is>
      </c>
    </row>
    <row r="20">
      <c r="A20" s="143" t="inlineStr">
        <is>
          <t>ep.path</t>
        </is>
      </c>
      <c r="B20" s="143" t="inlineStr">
        <is>
          <t>string</t>
        </is>
      </c>
      <c r="C20" s="143" t="inlineStr">
        <is>
          <t>✅</t>
        </is>
      </c>
      <c r="D20" s="143" t="inlineStr">
        <is>
          <t>認証実装チェック-02</t>
        </is>
      </c>
      <c r="E20" s="143" t="inlineStr">
        <is>
          <t>path parameter を dummy 値（x-canary-path-params）で解決済みのパス。例 /api/users/1</t>
        </is>
      </c>
    </row>
    <row r="21">
      <c r="A21" s="143" t="inlineStr">
        <is>
          <t>ep.rawPath</t>
        </is>
      </c>
      <c r="B21" s="143" t="inlineStr">
        <is>
          <t>string</t>
        </is>
      </c>
      <c r="C21" s="143" t="inlineStr">
        <is>
          <t>✅</t>
        </is>
      </c>
      <c r="D21" s="143" t="inlineStr">
        <is>
          <t>認証実装チェック-02</t>
        </is>
      </c>
      <c r="E21" s="143" t="inlineStr">
        <is>
          <t>テンプレートのままのパス。ログ・アラートの識別子に使う。例 /api/users/{id}</t>
        </is>
      </c>
    </row>
    <row r="22">
      <c r="A22" s="143" t="inlineStr">
        <is>
          <t>ep.skipAuthCheck</t>
        </is>
      </c>
      <c r="B22" s="143" t="inlineStr">
        <is>
          <t>boolean</t>
        </is>
      </c>
      <c r="C22" s="143" t="inlineStr">
        <is>
          <t>—</t>
        </is>
      </c>
      <c r="D22" s="143" t="inlineStr">
        <is>
          <t>認証実装チェック-02（x-synthetics-skip-auth-check）</t>
        </is>
      </c>
      <c r="E22" s="143" t="inlineStr">
        <is>
          <t>true = public と明示された endpoint。本処理をスキップする。未記載は false（= 認証必須、MON-1 の default-deny）</t>
        </is>
      </c>
    </row>
    <row r="23">
      <c r="A23" s="143" t="inlineStr">
        <is>
          <t>X-Auth-Probe 識別値</t>
        </is>
      </c>
      <c r="B23" s="143" t="inlineStr">
        <is>
          <t>string（secret）</t>
        </is>
      </c>
      <c r="C23" s="143" t="inlineStr">
        <is>
          <t>✅</t>
        </is>
      </c>
      <c r="D23" s="143" t="inlineStr">
        <is>
          <t>Secrets Manager（共通基盤アカウント）</t>
        </is>
      </c>
      <c r="E23" s="143" t="inlineStr">
        <is>
          <t>WAF 許可ルールの照合キー。ログ・アラート本文に出さない（OBS-3）</t>
        </is>
      </c>
    </row>
    <row r="24">
      <c r="A24" s="147" t="n"/>
      <c r="B24" s="147" t="n"/>
      <c r="C24" s="147" t="n"/>
      <c r="D24" s="147" t="n"/>
      <c r="E24" s="147" t="n"/>
    </row>
    <row r="26">
      <c r="A26" s="146" t="inlineStr">
        <is>
          <t>3. 出力（O）</t>
        </is>
      </c>
    </row>
    <row r="27">
      <c r="A27" s="142" t="inlineStr">
        <is>
          <t>項目</t>
        </is>
      </c>
      <c r="B27" s="142" t="inlineStr">
        <is>
          <t>型</t>
        </is>
      </c>
      <c r="C27" s="142" t="inlineStr">
        <is>
          <t>出力先</t>
        </is>
      </c>
      <c r="D27" s="142" t="inlineStr">
        <is>
          <t>説明・例</t>
        </is>
      </c>
    </row>
    <row r="28">
      <c r="A28" s="143" t="inlineStr">
        <is>
          <t>negStatus</t>
        </is>
      </c>
      <c r="B28" s="143" t="inlineStr">
        <is>
          <t>number / null</t>
        </is>
      </c>
      <c r="C28" s="143" t="inlineStr">
        <is>
          <t>認証実装チェック-06（メモリ内で受け渡し）</t>
        </is>
      </c>
      <c r="D28" s="143" t="inlineStr">
        <is>
          <t>観測した HTTP ステータス。公開印によるスキップ時は null（＝ 判定対象外で OK）</t>
        </is>
      </c>
    </row>
    <row r="29">
      <c r="A29" s="143" t="inlineStr">
        <is>
          <t>wafBlocked</t>
        </is>
      </c>
      <c r="B29" s="143" t="inlineStr">
        <is>
          <t>boolean</t>
        </is>
      </c>
      <c r="C29" s="143" t="inlineStr">
        <is>
          <t>認証実装チェック-06（同上）</t>
        </is>
      </c>
      <c r="D29" s="143" t="inlineStr">
        <is>
          <t>WAF による遮断と判別できた場合に true。403 を「認証が効いている」と誤認させないための区別（11 §11.2.4）</t>
        </is>
      </c>
    </row>
    <row r="30">
      <c r="A30" s="143" t="inlineStr">
        <is>
          <t>観測不能フラグ</t>
        </is>
      </c>
      <c r="B30" s="143" t="inlineStr">
        <is>
          <t>boolean</t>
        </is>
      </c>
      <c r="C30" s="143" t="inlineStr">
        <is>
          <t>認証実装チェック-06（同上）</t>
        </is>
      </c>
      <c r="D30" s="143" t="inlineStr">
        <is>
          <t>接続不能・タイムアウト等でステータスを得られなかった場合に true</t>
        </is>
      </c>
    </row>
    <row r="31">
      <c r="A31" s="143" t="inlineStr">
        <is>
          <t>probe 実行ログ</t>
        </is>
      </c>
      <c r="B31" s="143" t="inlineStr">
        <is>
          <t>JSON 1 行</t>
        </is>
      </c>
      <c r="C31" s="143" t="inlineStr">
        <is>
          <t>CloudWatch Logs</t>
        </is>
      </c>
      <c r="D31" s="143" t="inlineStr">
        <is>
          <t>appId / env / method / rawPath / negStatus / 所要 ms / 相関 ID。§9 参照</t>
        </is>
      </c>
    </row>
    <row r="32">
      <c r="A32" s="147" t="n"/>
      <c r="B32" s="147" t="n"/>
      <c r="C32" s="147" t="n"/>
      <c r="D32" s="147" t="n"/>
    </row>
    <row r="34">
      <c r="A34" s="146" t="inlineStr">
        <is>
          <t>4. 処理手順</t>
        </is>
      </c>
    </row>
    <row r="35">
      <c r="A35" s="142" t="inlineStr">
        <is>
          <t>#</t>
        </is>
      </c>
      <c r="B35" s="142" t="inlineStr">
        <is>
          <t>処理内容</t>
        </is>
      </c>
      <c r="C35" s="142" t="inlineStr">
        <is>
          <t>補足・参照</t>
        </is>
      </c>
    </row>
    <row r="36">
      <c r="A36" s="143" t="n">
        <v>1</v>
      </c>
      <c r="B36" s="143" t="inlineStr">
        <is>
          <t>ep.skipAuthCheck が true なら本処理をスキップし negStatus = null を返す</t>
        </is>
      </c>
      <c r="C36" s="143" t="inlineStr">
        <is>
          <t>MON-1（13 §13.3.0）。未記載は認証必須として probe する（default-deny）。公開印の妥当性レビューは中央の月次棚卸しの役割</t>
        </is>
      </c>
    </row>
    <row r="37">
      <c r="A37" s="143" t="n">
        <v>2</v>
      </c>
      <c r="B37" s="143" t="inlineStr">
        <is>
          <t>リクエストを組み立てる。Authorization・Cookie を一切付けず、X-Auth-Probe 識別ヘッダのみを付与する</t>
        </is>
      </c>
      <c r="C37" s="143" t="inlineStr">
        <is>
          <t>「認証情報を付けない」ことが検査の本体。識別ヘッダは WAF 誤爆回避のため（11 §11.2.4 主対策）</t>
        </is>
      </c>
    </row>
    <row r="38">
      <c r="A38" s="143" t="n">
        <v>3</v>
      </c>
      <c r="B38" s="143" t="inlineStr">
        <is>
          <t>宛先は baseUrl（CloudFront）。Origin Protection ヘッダは付けない</t>
        </is>
      </c>
      <c r="C38" s="143" t="inlineStr">
        <is>
          <t>実ユーザーと同じ経路（CloudFront → WAF → Origin Protection → API GW / ALB）を通すため。X-Origin-Verify は CloudFront が付与する（10 §10.1.6）</t>
        </is>
      </c>
    </row>
    <row r="39">
      <c r="A39" s="143" t="n">
        <v>4</v>
      </c>
      <c r="B39" s="143" t="inlineStr">
        <is>
          <t>リダイレクトを自動追従しない設定で送信する</t>
        </is>
      </c>
      <c r="C39" s="143" t="inlineStr">
        <is>
          <t>alb-cookie-monolith / bff-cookie-session は 302 そのものが期待値のため、追従すると観測できない（11 §11.3）</t>
        </is>
      </c>
    </row>
    <row r="40">
      <c r="A40" s="143" t="n">
        <v>5</v>
      </c>
      <c r="B40" s="143" t="inlineStr">
        <is>
          <t>応答ステータスを回収する。応答ボディは読み捨てる（drain）</t>
        </is>
      </c>
      <c r="C40" s="143" t="inlineStr">
        <is>
          <t>メモリ確保を避け、機微データを保持しないため。probe lib lib/probe.js の実装方針に準拠</t>
        </is>
      </c>
    </row>
    <row r="41">
      <c r="A41" s="143" t="n">
        <v>6</v>
      </c>
      <c r="B41" s="143" t="inlineStr">
        <is>
          <t>応答が WAF による遮断と判別できる場合（CloudFront / WAF 由来のエラー応答）は wafBlocked = true を付けて返す</t>
        </is>
      </c>
      <c r="C41" s="143" t="inlineStr">
        <is>
          <t>認証レイヤー由来の 403 と区別する。区別できないと偽陰性（認証漏れを OK と判定）が起きる（11 §11.2.4）</t>
        </is>
      </c>
    </row>
    <row r="42">
      <c r="A42" s="143" t="n">
        <v>7</v>
      </c>
      <c r="B42" s="143" t="inlineStr">
        <is>
          <t>接続不能・タイムアウト等の例外は throw せず、観測不能として記録し次の endpoint へ進む</t>
        </is>
      </c>
      <c r="C42" s="143" t="inlineStr">
        <is>
          <t>1 endpoint の失敗で残りの endpoint を打ち切らない（18 §18.5.2）</t>
        </is>
      </c>
    </row>
    <row r="43">
      <c r="A43" s="143" t="n">
        <v>8</v>
      </c>
      <c r="B43" s="143" t="inlineStr">
        <is>
          <t>negStatus / wafBlocked / 観測不能フラグを認証実装チェック-06 へ渡す</t>
        </is>
      </c>
      <c r="C43" s="143" t="inlineStr">
        <is>
          <t>期待値との突き合わせ（authPattern 別の 401/403 or 302）と 4×4 判定は認証実装チェック-06 の責務。本処理は観測に徹する</t>
        </is>
      </c>
    </row>
    <row r="44">
      <c r="A44" s="147" t="n"/>
      <c r="B44" s="147" t="n"/>
      <c r="C44" s="147" t="n"/>
    </row>
    <row r="46">
      <c r="A46" s="146" t="inlineStr">
        <is>
          <t>5. シーケンス（矢印記法。必要に応じて図を貼付）</t>
        </is>
      </c>
    </row>
    <row r="47">
      <c r="A47" s="143" t="inlineStr">
        <is>
          <t>認証実装チェック Lambda -&gt; CloudFront : リクエスト（認証ヘッダなし, X-Auth-Probe）
CloudFront -&gt; API GW / ALB : Origin Protection 付与
API GW / ALB --&gt; 認証実装チェック Lambda : ステータスコード（本文は読み捨て）</t>
        </is>
      </c>
    </row>
    <row r="48"/>
    <row r="49"/>
    <row r="50"/>
    <row r="51"/>
    <row r="53">
      <c r="A53" s="146" t="inlineStr">
        <is>
          <t>6. 例外・異常系</t>
        </is>
      </c>
    </row>
    <row r="54">
      <c r="A54" s="142" t="inlineStr">
        <is>
          <t>ケース</t>
        </is>
      </c>
      <c r="B54" s="142" t="inlineStr">
        <is>
          <t>検知方法</t>
        </is>
      </c>
      <c r="C54" s="142" t="inlineStr">
        <is>
          <t>動作</t>
        </is>
      </c>
      <c r="D54" s="142" t="inlineStr">
        <is>
          <t>通知</t>
        </is>
      </c>
      <c r="E54" s="142" t="inlineStr">
        <is>
          <t>参照</t>
        </is>
      </c>
    </row>
    <row r="55">
      <c r="A55" s="143" t="inlineStr">
        <is>
          <t>公開印（x-synthetics-skip-auth-check: true）付き endpoint</t>
        </is>
      </c>
      <c r="B55" s="143" t="inlineStr">
        <is>
          <t>認証実装チェック-02 の記述子</t>
        </is>
      </c>
      <c r="C55" s="143" t="inlineStr">
        <is>
          <t>probe せず negStatus = null</t>
        </is>
      </c>
      <c r="D55" s="143" t="inlineStr">
        <is>
          <t>通知なし（OK 判定）</t>
        </is>
      </c>
      <c r="E55" s="143" t="inlineStr">
        <is>
          <t>13 §13.3.0 / README §2.3</t>
        </is>
      </c>
    </row>
    <row r="56">
      <c r="A56" s="143" t="inlineStr">
        <is>
          <t>WAF が probe を遮断（403）</t>
        </is>
      </c>
      <c r="B56" s="143" t="inlineStr">
        <is>
          <t>応答の形が CloudFront / WAF 由来</t>
        </is>
      </c>
      <c r="C56" s="143" t="inlineStr">
        <is>
          <t>wafBlocked = true として返す</t>
        </is>
      </c>
      <c r="D56" s="143" t="inlineStr">
        <is>
          <t>認証実装チェック-06 で WARN「境界でブロック」→ P2 Platform</t>
        </is>
      </c>
      <c r="E56" s="143" t="inlineStr">
        <is>
          <t>11 §11.2.4</t>
        </is>
      </c>
    </row>
    <row r="57">
      <c r="A57" s="143" t="inlineStr">
        <is>
          <t>接続不能 / DNS 解決失敗 / TLS 証明書エラー</t>
        </is>
      </c>
      <c r="B57" s="143" t="inlineStr">
        <is>
          <t>例外捕捉</t>
        </is>
      </c>
      <c r="C57" s="143" t="inlineStr">
        <is>
          <t>観測不能として記録し次の endpoint へ継続</t>
        </is>
      </c>
      <c r="D57" s="143" t="inlineStr">
        <is>
          <t>認証実装チェック-06 で WARN（構成）→ P2 Platform</t>
        </is>
      </c>
      <c r="E57" s="143" t="inlineStr">
        <is>
          <t>18 §18.5.2</t>
        </is>
      </c>
    </row>
    <row r="58">
      <c r="A58" s="143" t="inlineStr">
        <is>
          <t>タイムアウト（接続 3 秒 / 応答 10 秒 超過）</t>
        </is>
      </c>
      <c r="B58" s="143" t="inlineStr">
        <is>
          <t>同上</t>
        </is>
      </c>
      <c r="C58" s="143" t="inlineStr">
        <is>
          <t>同上</t>
        </is>
      </c>
      <c r="D58" s="143" t="inlineStr">
        <is>
          <t>同上</t>
        </is>
      </c>
      <c r="E58" s="143" t="inlineStr">
        <is>
          <t>§10 上限・制約</t>
        </is>
      </c>
    </row>
    <row r="59">
      <c r="A59" s="143" t="inlineStr">
        <is>
          <t>5xx が返る</t>
        </is>
      </c>
      <c r="B59" s="143" t="inlineStr">
        <is>
          <t>ステータス</t>
        </is>
      </c>
      <c r="C59" s="143" t="inlineStr">
        <is>
          <t>そのまま観測値として返す（本処理では異常扱いしない）</t>
        </is>
      </c>
      <c r="D59" s="143" t="inlineStr">
        <is>
          <t>認証実装チェック-06 の判定に委ねる</t>
        </is>
      </c>
      <c r="E59" s="143" t="inlineStr">
        <is>
          <t>11 §11.2.2</t>
        </is>
      </c>
    </row>
    <row r="60">
      <c r="A60" s="143" t="inlineStr">
        <is>
          <t>2xx が返る</t>
        </is>
      </c>
      <c r="B60" s="143" t="inlineStr">
        <is>
          <t>ステータス</t>
        </is>
      </c>
      <c r="C60" s="143" t="inlineStr">
        <is>
          <t>そのまま観測値として返す</t>
        </is>
      </c>
      <c r="D60" s="143" t="inlineStr">
        <is>
          <t>認証実装チェック-06 で CRITICAL（認証実装漏れ）→ P1 Security 即時</t>
        </is>
      </c>
      <c r="E60" s="143" t="inlineStr">
        <is>
          <t>11 §11.2.2 / README §2.5</t>
        </is>
      </c>
    </row>
    <row r="61">
      <c r="A61" s="147" t="n"/>
      <c r="B61" s="147" t="n"/>
      <c r="C61" s="147" t="n"/>
      <c r="D61" s="147" t="n"/>
      <c r="E61" s="147" t="n"/>
    </row>
    <row r="63">
      <c r="A63" s="146" t="inlineStr">
        <is>
          <t>7. 冪等性・リトライ</t>
        </is>
      </c>
    </row>
    <row r="64">
      <c r="A64" s="148" t="inlineStr">
        <is>
          <t>再実行時の振る舞い</t>
        </is>
      </c>
      <c r="B64" s="143" t="inlineStr">
        <is>
          <t>参照系の読み取り検査であり状態を持たないため、何度実行しても結果は変わらず安全（冪等）。対象検索 → 検査の invoke は at-least-once（18 §18.5.2）で重複起動しうるが、重複しても無害。※ 更新系メソッドを probe する場合の副作用は M-Q-11-6（§11 未決）を参照</t>
        </is>
      </c>
      <c r="C64" s="149" t="n"/>
      <c r="D64" s="149" t="n"/>
      <c r="E64" s="149" t="n"/>
    </row>
    <row r="65">
      <c r="A65" s="148" t="inlineStr">
        <is>
          <t>状態更新のタイミング</t>
        </is>
      </c>
      <c r="B65" s="143" t="inlineStr">
        <is>
          <t>本処理は台帳・S3・メトリクスのいずれも更新しない。観測値はメモリ上で認証実装チェック-06 へ渡すのみで、メトリクス送信は認証実装チェック-07、通知は認証実装チェック-08 以降に集約する</t>
        </is>
      </c>
      <c r="C65" s="149" t="n"/>
      <c r="D65" s="149" t="n"/>
      <c r="E65" s="149" t="n"/>
    </row>
    <row r="67">
      <c r="A67" s="146" t="inlineStr">
        <is>
          <t>8. 権限・エンドポイント</t>
        </is>
      </c>
    </row>
    <row r="68">
      <c r="A68" s="148" t="inlineStr">
        <is>
          <t>権限 / エンドポイント</t>
        </is>
      </c>
      <c r="B68" s="143" t="inlineStr">
        <is>
          <t>認証不要（Public 経路）/ HTTPS 443 / X-Auth-Probe ヘッダ付与（WAF 誤検知回避）</t>
        </is>
      </c>
      <c r="C68" s="149" t="n"/>
      <c r="D68" s="149" t="n"/>
      <c r="E68" s="149" t="n"/>
    </row>
    <row r="69">
      <c r="A69" s="148" t="inlineStr">
        <is>
          <t>認証方式・補足</t>
        </is>
      </c>
      <c r="B69" s="143" t="inlineStr">
        <is>
          <t>認証情報は付与しない（付与しないことが検査の本体）。Authorization / Cookie とも送らない
X-Auth-Probe の識別値は Secrets Manager 管理。ログ・アラート本文・例外メッセージに出さない（OBS-3 機微情報のマスク）
Origin Protection（X-Origin-Verify）は CloudFront が付与するため probe 側では付与しない
AWS API の呼び出しは伴わない（Secrets の取得は認証実装チェック-03 / 起動時に済ませる）。本処理の通信はインターネット向け HTTPS 443 のみ</t>
        </is>
      </c>
      <c r="C69" s="149" t="n"/>
      <c r="D69" s="149" t="n"/>
      <c r="E69" s="149" t="n"/>
    </row>
    <row r="71">
      <c r="A71" s="146" t="inlineStr">
        <is>
          <t>9. ログ・メトリクス</t>
        </is>
      </c>
    </row>
    <row r="72">
      <c r="A72" s="142" t="inlineStr">
        <is>
          <t>種別</t>
        </is>
      </c>
      <c r="B72" s="142" t="inlineStr">
        <is>
          <t>名称・項目</t>
        </is>
      </c>
      <c r="C72" s="142" t="inlineStr">
        <is>
          <t>内容</t>
        </is>
      </c>
      <c r="D72" s="142" t="inlineStr">
        <is>
          <t>備考</t>
        </is>
      </c>
    </row>
    <row r="73">
      <c r="A73" s="143" t="inlineStr">
        <is>
          <t>ログ</t>
        </is>
      </c>
      <c r="B73" s="143" t="inlineStr">
        <is>
          <t>probe 実行ログ</t>
        </is>
      </c>
      <c r="C73" s="143" t="inlineStr">
        <is>
          <t>appId / env / authPattern / method / rawPath / negStatus / wafBlocked / 所要 ms / 相関 ID（実行 ID）</t>
        </is>
      </c>
      <c r="D73" s="143" t="inlineStr">
        <is>
          <t>1 endpoint 1 行。識別ヘッダ値・トークンはマスク（06 章 OBS-2 相関 ID / OBS-3 マスク）</t>
        </is>
      </c>
    </row>
    <row r="74">
      <c r="A74" s="143" t="inlineStr">
        <is>
          <t>ログ</t>
        </is>
      </c>
      <c r="B74" s="143" t="inlineStr">
        <is>
          <t>スキップログ</t>
        </is>
      </c>
      <c r="C74" s="143" t="inlineStr">
        <is>
          <t>公開印により probe しなかった endpoint（appId / rawPath）</t>
        </is>
      </c>
      <c r="D74" s="143" t="inlineStr">
        <is>
          <t>公開印の濫用レビュー（月次棚卸し）の入力になる</t>
        </is>
      </c>
    </row>
    <row r="75">
      <c r="A75" s="143" t="inlineStr">
        <is>
          <t>メトリクス</t>
        </is>
      </c>
      <c r="B75" s="143" t="inlineStr">
        <is>
          <t>（本処理では送信しない）</t>
        </is>
      </c>
      <c r="C75" s="143" t="inlineStr">
        <is>
          <t>EndpointsProbed ほかの集計送信は認証実装チェック-07 に集約</t>
        </is>
      </c>
      <c r="D75" s="143" t="inlineStr">
        <is>
          <t>endpoint ごとに PutMetricData すると呼び出し回数と費用が endpoint 数に比例するため</t>
        </is>
      </c>
    </row>
    <row r="76">
      <c r="A76" s="147" t="n"/>
      <c r="B76" s="147" t="n"/>
      <c r="C76" s="147" t="n"/>
      <c r="D76" s="147" t="n"/>
    </row>
    <row r="78">
      <c r="A78" s="146" t="inlineStr">
        <is>
          <t>10. 性能・上限</t>
        </is>
      </c>
    </row>
    <row r="79">
      <c r="A79" s="148" t="inlineStr">
        <is>
          <t>想定件数 / 所要時間</t>
        </is>
      </c>
      <c r="B79" s="143" t="inlineStr">
        <is>
          <t>1 アプリ 30 endpoint 想定（費用見積 P-3）で Negative 30 回。1 回あたり 0.1〜1 秒、1 アプリ分で 30 秒以内が目安。閾値の本決めは W3-5（性能実測）</t>
        </is>
      </c>
      <c r="C79" s="149" t="n"/>
      <c r="D79" s="149" t="n"/>
      <c r="E79" s="149" t="n"/>
    </row>
    <row r="80">
      <c r="A80" s="148" t="inlineStr">
        <is>
          <t>上限・制約</t>
        </is>
      </c>
      <c r="B80" s="143" t="inlineStr">
        <is>
          <t>Lambda 15 分（1 実行 = 1 アプリ、18 §18.5.3）/ タイムアウト 接続 3 秒・応答 10 秒（暫定、W3-5 で確定）/ endpoint は直列実行を前提（並列化は WAF レートルール誤爆と表裏。並列化する場合は M-Q-11-5 の許可ルールと併せて判断）</t>
        </is>
      </c>
      <c r="C80" s="149" t="n"/>
      <c r="D80" s="149" t="n"/>
      <c r="E80" s="149" t="n"/>
    </row>
    <row r="82">
      <c r="A82" s="146" t="inlineStr">
        <is>
          <t>11. 未決事項</t>
        </is>
      </c>
    </row>
    <row r="83">
      <c r="A83" s="142" t="inlineStr">
        <is>
          <t>ID</t>
        </is>
      </c>
      <c r="B83" s="142" t="inlineStr">
        <is>
          <t>内容</t>
        </is>
      </c>
      <c r="C83" s="142" t="inlineStr">
        <is>
          <t>確認先</t>
        </is>
      </c>
      <c r="D83" s="142" t="inlineStr">
        <is>
          <t>期限</t>
        </is>
      </c>
    </row>
    <row r="84">
      <c r="A84" s="143" t="inlineStr">
        <is>
          <t>M-Q-11-5</t>
        </is>
      </c>
      <c r="B84" s="143" t="inlineStr">
        <is>
          <t>probe 識別ヘッダ（X-Auth-Probe）の WAF 許可ルール。未設定だと WAF ブロックによる WARN が多発し、偽陰性のリスクも残る</t>
        </is>
      </c>
      <c r="C84" s="143" t="inlineStr">
        <is>
          <t>境界管理チーム（ネットワーク監査アカウント）</t>
        </is>
      </c>
      <c r="D84" s="143" t="inlineStr">
        <is>
          <t>調整中</t>
        </is>
      </c>
    </row>
    <row r="85">
      <c r="A85" s="143" t="inlineStr">
        <is>
          <t>M-Q-11-6</t>
        </is>
      </c>
      <c r="B85" s="143" t="inlineStr">
        <is>
          <t>【新規】更新系メソッド（POST / PUT / PATCH / DELETE）に対する未認証確認の可否。現行 11 §11.5 は Positive のみ本番 POST をスキップと定めており、Negative は全メソッドが対象。認証が正しく効いていれば 401/403 で副作用はないが、まさに検知したい『認証漏れ』のときだけ本番データを更新してしまう。案: ① 本番の Negative も GET 限定（更新系の認証漏れを検知できない穴が残る）② 更新系は空ボディ・不正 Content-Type で送り、401/403 以外はすべて認証漏れ疑いとする（副作用を最小化しつつ検知は維持。推奨）③ 更新系は stg のみで検査（本番との構成差の分だけ保証が落ちる）</t>
        </is>
      </c>
      <c r="C85" s="143" t="inlineStr">
        <is>
          <t>共通基盤チーム + アプリ（顧客合意）</t>
        </is>
      </c>
      <c r="D85" s="143" t="inlineStr">
        <is>
          <t>未定</t>
        </is>
      </c>
    </row>
    <row r="86">
      <c r="A86" s="143" t="inlineStr">
        <is>
          <t>—</t>
        </is>
      </c>
      <c r="B86" s="143" t="inlineStr">
        <is>
          <t>タイムアウト値（接続 3 秒 / 応答 10 秒）と直列 / 並列の本決め</t>
        </is>
      </c>
      <c r="C86" s="143" t="inlineStr">
        <is>
          <t>W3-5 性能実測で確定</t>
        </is>
      </c>
      <c r="D86" s="143" t="inlineStr">
        <is>
          <t>Phase 3</t>
        </is>
      </c>
    </row>
    <row r="87">
      <c r="A87" s="147" t="n"/>
      <c r="B87" s="147" t="n"/>
      <c r="C87" s="147" t="n"/>
      <c r="D87" s="147" t="n"/>
    </row>
  </sheetData>
  <mergeCells count="30">
    <mergeCell ref="A34:E34"/>
    <mergeCell ref="B9:E9"/>
    <mergeCell ref="B65:E65"/>
    <mergeCell ref="A15:E15"/>
    <mergeCell ref="A82:E82"/>
    <mergeCell ref="B6:E6"/>
    <mergeCell ref="B68:E68"/>
    <mergeCell ref="B64:E64"/>
    <mergeCell ref="A1:E1"/>
    <mergeCell ref="B5:E5"/>
    <mergeCell ref="B80:E80"/>
    <mergeCell ref="B79:E79"/>
    <mergeCell ref="A78:E78"/>
    <mergeCell ref="B7:E7"/>
    <mergeCell ref="A46:E46"/>
    <mergeCell ref="B3:E3"/>
    <mergeCell ref="A26:E26"/>
    <mergeCell ref="A2:E2"/>
    <mergeCell ref="B12:E12"/>
    <mergeCell ref="A71:E71"/>
    <mergeCell ref="B11:E11"/>
    <mergeCell ref="A53:E53"/>
    <mergeCell ref="A4:E4"/>
    <mergeCell ref="B8:E8"/>
    <mergeCell ref="B13:E13"/>
    <mergeCell ref="B69:E69"/>
    <mergeCell ref="A47:E51"/>
    <mergeCell ref="A63:E63"/>
    <mergeCell ref="B10:E10"/>
    <mergeCell ref="A67:E67"/>
  </mergeCells>
  <pageMargins left="0.75" right="0.75" top="1" bottom="1" header="0.5" footer="0.5"/>
</worksheet>
</file>

<file path=xl/worksheets/sheet42.xml><?xml version="1.0" encoding="utf-8"?>
<worksheet xmlns="http://schemas.openxmlformats.org/spreadsheetml/2006/main">
  <sheetPr>
    <tabColor rgb="00C6E0B4"/>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認証実装チェック-05  正常系アクセス確認</t>
        </is>
      </c>
    </row>
    <row r="2">
      <c r="A2" s="146" t="inlineStr">
        <is>
          <t>0. 概要</t>
        </is>
      </c>
    </row>
    <row r="3">
      <c r="A3" s="148" t="inlineStr">
        <is>
          <t>概要</t>
        </is>
      </c>
      <c r="B3" s="143" t="inlineStr">
        <is>
          <t>有効なトークン付きでリクエストし、200 が返ることで API 稼働と確認処理自体の健全性を確かめる。</t>
        </is>
      </c>
      <c r="C3" s="149" t="n"/>
      <c r="D3" s="149" t="n"/>
      <c r="E3" s="149" t="n"/>
    </row>
    <row r="4">
      <c r="A4" s="146" t="inlineStr">
        <is>
          <t>1. 基本情報</t>
        </is>
      </c>
    </row>
    <row r="5">
      <c r="A5" s="148" t="inlineStr">
        <is>
          <t>系統</t>
        </is>
      </c>
      <c r="B5" s="143" t="inlineStr">
        <is>
          <t>認証実装チェック（1 アプリの確認・共通）</t>
        </is>
      </c>
      <c r="C5" s="149" t="n"/>
      <c r="D5" s="149" t="n"/>
      <c r="E5" s="149" t="n"/>
    </row>
    <row r="6">
      <c r="A6" s="148" t="inlineStr">
        <is>
          <t>実行契機</t>
        </is>
      </c>
      <c r="B6" s="143" t="inlineStr">
        <is>
          <t>共通（対象検索・全量とも）</t>
        </is>
      </c>
      <c r="C6" s="149" t="n"/>
      <c r="D6" s="149" t="n"/>
      <c r="E6" s="149" t="n"/>
    </row>
    <row r="7">
      <c r="A7" s="148" t="inlineStr">
        <is>
          <t>フロー内の位置</t>
        </is>
      </c>
      <c r="B7" s="145" t="inlineStr"/>
      <c r="C7" s="149" t="n"/>
      <c r="D7" s="149" t="n"/>
      <c r="E7" s="149" t="n"/>
    </row>
    <row r="8">
      <c r="A8" s="148" t="inlineStr">
        <is>
          <t>起動元</t>
        </is>
      </c>
      <c r="B8" s="143" t="inlineStr">
        <is>
          <t>認証実装チェック Lambda</t>
        </is>
      </c>
      <c r="C8" s="149" t="n"/>
      <c r="D8" s="149" t="n"/>
      <c r="E8" s="149" t="n"/>
    </row>
    <row r="9">
      <c r="A9" s="148" t="inlineStr">
        <is>
          <t>起動先</t>
        </is>
      </c>
      <c r="B9" s="143" t="inlineStr">
        <is>
          <t>CloudFront → WAF → API GW / ALB</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endpoint 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【設計時の要記載】参照系のみ実行すること（更新系を叩かない）、対象 endpoint の選定規則を明記する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認証実装チェック Lambda -&gt; CloudFront : GET（Authorization: Bearer …, X-Auth-Probe）
API GW --&gt; 認証実装チェック Lambda : ステータスコード</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Bearer（認証実装チェック-03 のトークン）/ HTTPS 443 / X-Auth-Probe ヘッダ付与</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43.xml><?xml version="1.0" encoding="utf-8"?>
<worksheet xmlns="http://schemas.openxmlformats.org/spreadsheetml/2006/main">
  <sheetPr>
    <tabColor rgb="00C6E0B4"/>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認証実装チェック-06  確認結果判定（4×4）</t>
        </is>
      </c>
    </row>
    <row r="2">
      <c r="A2" s="146" t="inlineStr">
        <is>
          <t>0. 概要</t>
        </is>
      </c>
    </row>
    <row r="3">
      <c r="A3" s="148" t="inlineStr">
        <is>
          <t>概要</t>
        </is>
      </c>
      <c r="B3" s="143" t="inlineStr">
        <is>
          <t>未認証アクセス確認と正常系アクセス確認の結果の組み合わせから、重要度（CRITICAL / WARN / INFO / OK）を判定する。</t>
        </is>
      </c>
      <c r="C3" s="149" t="n"/>
      <c r="D3" s="149" t="n"/>
      <c r="E3" s="149" t="n"/>
    </row>
    <row r="4">
      <c r="A4" s="146" t="inlineStr">
        <is>
          <t>1. 基本情報</t>
        </is>
      </c>
    </row>
    <row r="5">
      <c r="A5" s="148" t="inlineStr">
        <is>
          <t>系統</t>
        </is>
      </c>
      <c r="B5" s="143" t="inlineStr">
        <is>
          <t>認証実装チェック（1 アプリの確認・共通）</t>
        </is>
      </c>
      <c r="C5" s="149" t="n"/>
      <c r="D5" s="149" t="n"/>
      <c r="E5" s="149" t="n"/>
    </row>
    <row r="6">
      <c r="A6" s="148" t="inlineStr">
        <is>
          <t>実行契機</t>
        </is>
      </c>
      <c r="B6" s="143" t="inlineStr">
        <is>
          <t>共通（対象検索・全量とも）</t>
        </is>
      </c>
      <c r="C6" s="149" t="n"/>
      <c r="D6" s="149" t="n"/>
      <c r="E6" s="149" t="n"/>
    </row>
    <row r="7">
      <c r="A7" s="148" t="inlineStr">
        <is>
          <t>フロー内の位置</t>
        </is>
      </c>
      <c r="B7" s="145" t="inlineStr"/>
      <c r="C7" s="149" t="n"/>
      <c r="D7" s="149" t="n"/>
      <c r="E7" s="149" t="n"/>
    </row>
    <row r="8">
      <c r="A8" s="148" t="inlineStr">
        <is>
          <t>起動元</t>
        </is>
      </c>
      <c r="B8" s="143" t="inlineStr">
        <is>
          <t>認証実装チェック Lambda（内部）</t>
        </is>
      </c>
      <c r="C8" s="149" t="n"/>
      <c r="D8" s="149" t="n"/>
      <c r="E8" s="149" t="n"/>
    </row>
    <row r="9">
      <c r="A9" s="148" t="inlineStr">
        <is>
          <t>起動先</t>
        </is>
      </c>
      <c r="B9" s="143" t="inlineStr">
        <is>
          <t>—</t>
        </is>
      </c>
      <c r="C9" s="149" t="n"/>
      <c r="D9" s="149" t="n"/>
      <c r="E9" s="149" t="n"/>
    </row>
    <row r="10">
      <c r="A10" s="148" t="inlineStr">
        <is>
          <t>呼び出し方式</t>
        </is>
      </c>
      <c r="B10" s="143" t="inlineStr">
        <is>
          <t>内部</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endpoint 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【設計時の要記載】4×4 の全組み合わせと重要度の対応表を貼る（code-samples/README §2 が正）</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認証実装チェック Lambda : (未認証結果, 正常系結果) -&gt; 4×4 真偽値表 -&gt; 重要度決定
WAF 起因の 403 は WARN（構成）に分類</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—（AWS 呼び出しなし）</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44.xml><?xml version="1.0" encoding="utf-8"?>
<worksheet xmlns="http://schemas.openxmlformats.org/spreadsheetml/2006/main">
  <sheetPr>
    <tabColor rgb="00C6E0B4"/>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認証実装チェック-07  確認結果メトリクス送信</t>
        </is>
      </c>
    </row>
    <row r="2">
      <c r="A2" s="146" t="inlineStr">
        <is>
          <t>0. 概要</t>
        </is>
      </c>
    </row>
    <row r="3">
      <c r="A3" s="148" t="inlineStr">
        <is>
          <t>概要</t>
        </is>
      </c>
      <c r="B3" s="143" t="inlineStr">
        <is>
          <t>確認結果をメトリクス化し、保険系アラーム（AuthCheckCritical &gt; 0）の入力とする。</t>
        </is>
      </c>
      <c r="C3" s="149" t="n"/>
      <c r="D3" s="149" t="n"/>
      <c r="E3" s="149" t="n"/>
    </row>
    <row r="4">
      <c r="A4" s="146" t="inlineStr">
        <is>
          <t>1. 基本情報</t>
        </is>
      </c>
    </row>
    <row r="5">
      <c r="A5" s="148" t="inlineStr">
        <is>
          <t>系統</t>
        </is>
      </c>
      <c r="B5" s="143" t="inlineStr">
        <is>
          <t>認証実装チェック（1 アプリの確認・共通）</t>
        </is>
      </c>
      <c r="C5" s="149" t="n"/>
      <c r="D5" s="149" t="n"/>
      <c r="E5" s="149" t="n"/>
    </row>
    <row r="6">
      <c r="A6" s="148" t="inlineStr">
        <is>
          <t>実行契機</t>
        </is>
      </c>
      <c r="B6" s="143" t="inlineStr">
        <is>
          <t>共通（対象検索・全量とも）</t>
        </is>
      </c>
      <c r="C6" s="149" t="n"/>
      <c r="D6" s="149" t="n"/>
      <c r="E6" s="149" t="n"/>
    </row>
    <row r="7">
      <c r="A7" s="148" t="inlineStr">
        <is>
          <t>フロー内の位置</t>
        </is>
      </c>
      <c r="B7" s="145" t="inlineStr"/>
      <c r="C7" s="149" t="n"/>
      <c r="D7" s="149" t="n"/>
      <c r="E7" s="149" t="n"/>
    </row>
    <row r="8">
      <c r="A8" s="148" t="inlineStr">
        <is>
          <t>起動元</t>
        </is>
      </c>
      <c r="B8" s="143" t="inlineStr">
        <is>
          <t>認証実装チェック Lambda</t>
        </is>
      </c>
      <c r="C8" s="149" t="n"/>
      <c r="D8" s="149" t="n"/>
      <c r="E8" s="149" t="n"/>
    </row>
    <row r="9">
      <c r="A9" s="148" t="inlineStr">
        <is>
          <t>起動先</t>
        </is>
      </c>
      <c r="B9" s="143" t="inlineStr">
        <is>
          <t>CloudWatch</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確認ごとに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【設計時の要記載】ディメンション設計（アプリ数比例でメトリクス課金が増える点に注意）を明記する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認証実装チェック Lambda -&gt; CloudWatch : PutMetricData(AuthCheckCritical ほか, ディメンション=appId/env)</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cloudwatch:PutMetricData / monitoring.{region}.amazonaws.com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45.xml><?xml version="1.0" encoding="utf-8"?>
<worksheet xmlns="http://schemas.openxmlformats.org/spreadsheetml/2006/main">
  <sheetPr>
    <tabColor rgb="00C6E0B4"/>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認証実装チェック-08  検知結果通知依頼</t>
        </is>
      </c>
    </row>
    <row r="2">
      <c r="A2" s="146" t="inlineStr">
        <is>
          <t>0. 概要</t>
        </is>
      </c>
    </row>
    <row r="3">
      <c r="A3" s="148" t="inlineStr">
        <is>
          <t>概要</t>
        </is>
      </c>
      <c r="B3" s="143" t="inlineStr">
        <is>
          <t>判定済みの検知結果を、通知の振り分けを行うアラート検知 Lambda へ引き渡す。</t>
        </is>
      </c>
      <c r="C3" s="149" t="n"/>
      <c r="D3" s="149" t="n"/>
      <c r="E3" s="149" t="n"/>
    </row>
    <row r="4">
      <c r="A4" s="146" t="inlineStr">
        <is>
          <t>1. 基本情報</t>
        </is>
      </c>
    </row>
    <row r="5">
      <c r="A5" s="148" t="inlineStr">
        <is>
          <t>系統</t>
        </is>
      </c>
      <c r="B5" s="143" t="inlineStr">
        <is>
          <t>認証実装チェック（1 アプリの確認・共通）</t>
        </is>
      </c>
      <c r="C5" s="149" t="n"/>
      <c r="D5" s="149" t="n"/>
      <c r="E5" s="149" t="n"/>
    </row>
    <row r="6">
      <c r="A6" s="148" t="inlineStr">
        <is>
          <t>実行契機</t>
        </is>
      </c>
      <c r="B6" s="143" t="inlineStr">
        <is>
          <t>共通（対象検索・全量とも）</t>
        </is>
      </c>
      <c r="C6" s="149" t="n"/>
      <c r="D6" s="149" t="n"/>
      <c r="E6" s="149" t="n"/>
    </row>
    <row r="7">
      <c r="A7" s="148" t="inlineStr">
        <is>
          <t>フロー内の位置</t>
        </is>
      </c>
      <c r="B7" s="145" t="inlineStr"/>
      <c r="C7" s="149" t="n"/>
      <c r="D7" s="149" t="n"/>
      <c r="E7" s="149" t="n"/>
    </row>
    <row r="8">
      <c r="A8" s="148" t="inlineStr">
        <is>
          <t>起動元</t>
        </is>
      </c>
      <c r="B8" s="143" t="inlineStr">
        <is>
          <t>認証実装チェック Lambda</t>
        </is>
      </c>
      <c r="C8" s="149" t="n"/>
      <c r="D8" s="149" t="n"/>
      <c r="E8" s="149" t="n"/>
    </row>
    <row r="9">
      <c r="A9" s="148" t="inlineStr">
        <is>
          <t>起動先</t>
        </is>
      </c>
      <c r="B9" s="143" t="inlineStr">
        <is>
          <t>アラート検知 Lambda</t>
        </is>
      </c>
      <c r="C9" s="149" t="n"/>
      <c r="D9" s="149" t="n"/>
      <c r="E9" s="149" t="n"/>
    </row>
    <row r="10">
      <c r="A10" s="148" t="inlineStr">
        <is>
          <t>呼び出し方式</t>
        </is>
      </c>
      <c r="B10" s="143" t="inlineStr">
        <is>
          <t>非同期</t>
        </is>
      </c>
      <c r="C10" s="149" t="n"/>
      <c r="D10" s="149" t="n"/>
      <c r="E10" s="149" t="n"/>
    </row>
    <row r="11">
      <c r="A11" s="148" t="inlineStr">
        <is>
          <t>実行主体</t>
        </is>
      </c>
      <c r="B11" s="143" t="inlineStr">
        <is>
          <t>認証実装チェック Lambda</t>
        </is>
      </c>
      <c r="C11" s="149" t="n"/>
      <c r="D11" s="149" t="n"/>
      <c r="E11" s="149" t="n"/>
    </row>
    <row r="12">
      <c r="A12" s="148" t="inlineStr">
        <is>
          <t>頻度・タイミング</t>
        </is>
      </c>
      <c r="B12" s="143" t="inlineStr">
        <is>
          <t>重要度≠OK 時</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【設計時の要記載】イベント形式（README §2.6）と、配列でのバッチ送付の可否を明記する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認証実装チェック Lambda -&gt; アラート検知 Lambda : Invoke(Event, 4×4 判定済みイベント)</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lambda:InvokeFunction（InvocationType=Event）</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46.xml><?xml version="1.0" encoding="utf-8"?>
<worksheet xmlns="http://schemas.openxmlformats.org/spreadsheetml/2006/main">
  <sheetPr>
    <tabColor rgb="00F4B183"/>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通知-01  通知先解決</t>
        </is>
      </c>
    </row>
    <row r="2">
      <c r="A2" s="146" t="inlineStr">
        <is>
          <t>0. 概要</t>
        </is>
      </c>
    </row>
    <row r="3">
      <c r="A3" s="148" t="inlineStr">
        <is>
          <t>概要</t>
        </is>
      </c>
      <c r="B3" s="143" t="inlineStr">
        <is>
          <t>台帳の通知先設定から送信先を解決する。未設定時は全社デフォルトを使う。</t>
        </is>
      </c>
      <c r="C3" s="149" t="n"/>
      <c r="D3" s="149" t="n"/>
      <c r="E3" s="149" t="n"/>
    </row>
    <row r="4">
      <c r="A4" s="146" t="inlineStr">
        <is>
          <t>1. 基本情報</t>
        </is>
      </c>
    </row>
    <row r="5">
      <c r="A5" s="148" t="inlineStr">
        <is>
          <t>系統</t>
        </is>
      </c>
      <c r="B5" s="143" t="inlineStr">
        <is>
          <t>通知（アラート通知）</t>
        </is>
      </c>
      <c r="C5" s="149" t="n"/>
      <c r="D5" s="149" t="n"/>
      <c r="E5" s="149" t="n"/>
    </row>
    <row r="6">
      <c r="A6" s="148" t="inlineStr">
        <is>
          <t>実行契機</t>
        </is>
      </c>
      <c r="B6" s="143" t="inlineStr">
        <is>
          <t>共通（検知時）</t>
        </is>
      </c>
      <c r="C6" s="149" t="n"/>
      <c r="D6" s="149" t="n"/>
      <c r="E6" s="149" t="n"/>
    </row>
    <row r="7">
      <c r="A7" s="148" t="inlineStr">
        <is>
          <t>フロー内の位置</t>
        </is>
      </c>
      <c r="B7" s="145" t="inlineStr"/>
      <c r="C7" s="149" t="n"/>
      <c r="D7" s="149" t="n"/>
      <c r="E7" s="149" t="n"/>
    </row>
    <row r="8">
      <c r="A8" s="148" t="inlineStr">
        <is>
          <t>起動元</t>
        </is>
      </c>
      <c r="B8" s="143" t="inlineStr">
        <is>
          <t>アラート検知 Lambda</t>
        </is>
      </c>
      <c r="C8" s="149" t="n"/>
      <c r="D8" s="149" t="n"/>
      <c r="E8" s="149" t="n"/>
    </row>
    <row r="9">
      <c r="A9" s="148" t="inlineStr">
        <is>
          <t>起動先</t>
        </is>
      </c>
      <c r="B9" s="143" t="inlineStr">
        <is>
          <t>認証構成情報配置バケット（registry/）</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アラート検知 Lambda</t>
        </is>
      </c>
      <c r="C11" s="149" t="n"/>
      <c r="D11" s="149" t="n"/>
      <c r="E11" s="149" t="n"/>
    </row>
    <row r="12">
      <c r="A12" s="148" t="inlineStr">
        <is>
          <t>頻度・タイミング</t>
        </is>
      </c>
      <c r="B12" s="143" t="inlineStr">
        <is>
          <t>イベントごとに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【設計時の要記載】2 段解決（アプリ個別 → 全社デフォルト）の順序と、未解決時に throw する仕様を明記する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アラート検知 Lambda -&gt; 配置バケット : GetObject（alertRouting 参照）
未設定 -&gt; 全社デフォルト ARN</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s3:GetObject</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47.xml><?xml version="1.0" encoding="utf-8"?>
<worksheet xmlns="http://schemas.openxmlformats.org/spreadsheetml/2006/main">
  <sheetPr>
    <tabColor rgb="00F4B183"/>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通知-02  重要度別通知送信</t>
        </is>
      </c>
    </row>
    <row r="2">
      <c r="A2" s="146" t="inlineStr">
        <is>
          <t>0. 概要</t>
        </is>
      </c>
    </row>
    <row r="3">
      <c r="A3" s="148" t="inlineStr">
        <is>
          <t>概要</t>
        </is>
      </c>
      <c r="B3" s="143" t="inlineStr">
        <is>
          <t>重要度に応じた宛先へ通知を送信する。</t>
        </is>
      </c>
      <c r="C3" s="149" t="n"/>
      <c r="D3" s="149" t="n"/>
      <c r="E3" s="149" t="n"/>
    </row>
    <row r="4">
      <c r="A4" s="146" t="inlineStr">
        <is>
          <t>1. 基本情報</t>
        </is>
      </c>
    </row>
    <row r="5">
      <c r="A5" s="148" t="inlineStr">
        <is>
          <t>系統</t>
        </is>
      </c>
      <c r="B5" s="143" t="inlineStr">
        <is>
          <t>通知（アラート通知）</t>
        </is>
      </c>
      <c r="C5" s="149" t="n"/>
      <c r="D5" s="149" t="n"/>
      <c r="E5" s="149" t="n"/>
    </row>
    <row r="6">
      <c r="A6" s="148" t="inlineStr">
        <is>
          <t>実行契機</t>
        </is>
      </c>
      <c r="B6" s="143" t="inlineStr">
        <is>
          <t>共通（検知時）</t>
        </is>
      </c>
      <c r="C6" s="149" t="n"/>
      <c r="D6" s="149" t="n"/>
      <c r="E6" s="149" t="n"/>
    </row>
    <row r="7">
      <c r="A7" s="148" t="inlineStr">
        <is>
          <t>フロー内の位置</t>
        </is>
      </c>
      <c r="B7" s="145" t="inlineStr"/>
      <c r="C7" s="149" t="n"/>
      <c r="D7" s="149" t="n"/>
      <c r="E7" s="149" t="n"/>
    </row>
    <row r="8">
      <c r="A8" s="148" t="inlineStr">
        <is>
          <t>起動元</t>
        </is>
      </c>
      <c r="B8" s="143" t="inlineStr">
        <is>
          <t>アラート検知 Lambda</t>
        </is>
      </c>
      <c r="C8" s="149" t="n"/>
      <c r="D8" s="149" t="n"/>
      <c r="E8" s="149" t="n"/>
    </row>
    <row r="9">
      <c r="A9" s="148" t="inlineStr">
        <is>
          <t>起動先</t>
        </is>
      </c>
      <c r="B9" s="143" t="inlineStr">
        <is>
          <t>SNS（P1 Security / P2 Platform / P3 App）</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アラート検知 Lambda</t>
        </is>
      </c>
      <c r="C11" s="149" t="n"/>
      <c r="D11" s="149" t="n"/>
      <c r="E11" s="149" t="n"/>
    </row>
    <row r="12">
      <c r="A12" s="148" t="inlineStr">
        <is>
          <t>頻度・タイミング</t>
        </is>
      </c>
      <c r="B12" s="143" t="inlineStr">
        <is>
          <t>イベントごとに 1 回</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【設計時の要記載】通知本文のテンプレートと、1 件でも失敗したら throw（DLQ 発火）する仕様を明記する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アラート検知 Lambda -&gt; SNS(P1|P2|P3) : Publish（件名・本文・appId・endpoint・判定根拠）</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sns:Publish / sns.{region}.amazonaws.com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48.xml><?xml version="1.0" encoding="utf-8"?>
<worksheet xmlns="http://schemas.openxmlformats.org/spreadsheetml/2006/main">
  <sheetPr>
    <tabColor rgb="00F4B183"/>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通知-03  メトリクス閾値通知（保険系）</t>
        </is>
      </c>
    </row>
    <row r="2">
      <c r="A2" s="146" t="inlineStr">
        <is>
          <t>0. 概要</t>
        </is>
      </c>
    </row>
    <row r="3">
      <c r="A3" s="148" t="inlineStr">
        <is>
          <t>概要</t>
        </is>
      </c>
      <c r="B3" s="143" t="inlineStr">
        <is>
          <t>アラート検知 Lambda の経路とは独立に、メトリクス閾値からも発報する（発報 2 系統の保険側）。</t>
        </is>
      </c>
      <c r="C3" s="149" t="n"/>
      <c r="D3" s="149" t="n"/>
      <c r="E3" s="149" t="n"/>
    </row>
    <row r="4">
      <c r="A4" s="146" t="inlineStr">
        <is>
          <t>1. 基本情報</t>
        </is>
      </c>
    </row>
    <row r="5">
      <c r="A5" s="148" t="inlineStr">
        <is>
          <t>系統</t>
        </is>
      </c>
      <c r="B5" s="143" t="inlineStr">
        <is>
          <t>通知（アラート通知）</t>
        </is>
      </c>
      <c r="C5" s="149" t="n"/>
      <c r="D5" s="149" t="n"/>
      <c r="E5" s="149" t="n"/>
    </row>
    <row r="6">
      <c r="A6" s="148" t="inlineStr">
        <is>
          <t>実行契機</t>
        </is>
      </c>
      <c r="B6" s="143" t="inlineStr">
        <is>
          <t>共通（閾値超過時）</t>
        </is>
      </c>
      <c r="C6" s="149" t="n"/>
      <c r="D6" s="149" t="n"/>
      <c r="E6" s="149" t="n"/>
    </row>
    <row r="7">
      <c r="A7" s="148" t="inlineStr">
        <is>
          <t>フロー内の位置</t>
        </is>
      </c>
      <c r="B7" s="145" t="inlineStr"/>
      <c r="C7" s="149" t="n"/>
      <c r="D7" s="149" t="n"/>
      <c r="E7" s="149" t="n"/>
    </row>
    <row r="8">
      <c r="A8" s="148" t="inlineStr">
        <is>
          <t>起動元</t>
        </is>
      </c>
      <c r="B8" s="143" t="inlineStr">
        <is>
          <t>CloudWatch Alarm</t>
        </is>
      </c>
      <c r="C8" s="149" t="n"/>
      <c r="D8" s="149" t="n"/>
      <c r="E8" s="149" t="n"/>
    </row>
    <row r="9">
      <c r="A9" s="148" t="inlineStr">
        <is>
          <t>起動先</t>
        </is>
      </c>
      <c r="B9" s="143" t="inlineStr">
        <is>
          <t>SNS</t>
        </is>
      </c>
      <c r="C9" s="149" t="n"/>
      <c r="D9" s="149" t="n"/>
      <c r="E9" s="149" t="n"/>
    </row>
    <row r="10">
      <c r="A10" s="148" t="inlineStr">
        <is>
          <t>呼び出し方式</t>
        </is>
      </c>
      <c r="B10" s="143" t="inlineStr">
        <is>
          <t>非同期</t>
        </is>
      </c>
      <c r="C10" s="149" t="n"/>
      <c r="D10" s="149" t="n"/>
      <c r="E10" s="149" t="n"/>
    </row>
    <row r="11">
      <c r="A11" s="148" t="inlineStr">
        <is>
          <t>実行主体</t>
        </is>
      </c>
      <c r="B11" s="143" t="inlineStr">
        <is>
          <t>CloudWatch</t>
        </is>
      </c>
      <c r="C11" s="149" t="n"/>
      <c r="D11" s="149" t="n"/>
      <c r="E11" s="149" t="n"/>
    </row>
    <row r="12">
      <c r="A12" s="148" t="inlineStr">
        <is>
          <t>頻度・タイミング</t>
        </is>
      </c>
      <c r="B12" s="143" t="inlineStr">
        <is>
          <t>閾値超過時</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【設計時の要記載】即時系（アラート検知 Lambda）と保険系の重複通知の扱いを明記する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CloudWatch Alarm(AuthCheckCritical &gt; 0) -&gt; SNS : 通知</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CloudWatch Alarm → SNS（アラームアクション）</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49.xml><?xml version="1.0" encoding="utf-8"?>
<worksheet xmlns="http://schemas.openxmlformats.org/spreadsheetml/2006/main">
  <sheetPr>
    <tabColor rgb="00C9C9C9"/>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運用-01  監視機構稼働監視通知（MM-1〜5）</t>
        </is>
      </c>
    </row>
    <row r="2">
      <c r="A2" s="146" t="inlineStr">
        <is>
          <t>0. 概要</t>
        </is>
      </c>
    </row>
    <row r="3">
      <c r="A3" s="148" t="inlineStr">
        <is>
          <t>概要</t>
        </is>
      </c>
      <c r="B3" s="143" t="inlineStr">
        <is>
          <t>監視機構そのものの停止・失敗を検知して発報する（監視の空白＝検知の空白を防ぐ）。</t>
        </is>
      </c>
      <c r="C3" s="149" t="n"/>
      <c r="D3" s="149" t="n"/>
      <c r="E3" s="149" t="n"/>
    </row>
    <row r="4">
      <c r="A4" s="146" t="inlineStr">
        <is>
          <t>1. 基本情報</t>
        </is>
      </c>
    </row>
    <row r="5">
      <c r="A5" s="148" t="inlineStr">
        <is>
          <t>系統</t>
        </is>
      </c>
      <c r="B5" s="143" t="inlineStr">
        <is>
          <t>運用（運用・異常系）</t>
        </is>
      </c>
      <c r="C5" s="149" t="n"/>
      <c r="D5" s="149" t="n"/>
      <c r="E5" s="149" t="n"/>
    </row>
    <row r="6">
      <c r="A6" s="148" t="inlineStr">
        <is>
          <t>実行契機</t>
        </is>
      </c>
      <c r="B6" s="143" t="inlineStr">
        <is>
          <t>随時（異常時）</t>
        </is>
      </c>
      <c r="C6" s="149" t="n"/>
      <c r="D6" s="149" t="n"/>
      <c r="E6" s="149" t="n"/>
    </row>
    <row r="7">
      <c r="A7" s="148" t="inlineStr">
        <is>
          <t>フロー内の位置</t>
        </is>
      </c>
      <c r="B7" s="145" t="inlineStr"/>
      <c r="C7" s="149" t="n"/>
      <c r="D7" s="149" t="n"/>
      <c r="E7" s="149" t="n"/>
    </row>
    <row r="8">
      <c r="A8" s="148" t="inlineStr">
        <is>
          <t>起動元</t>
        </is>
      </c>
      <c r="B8" s="143" t="inlineStr">
        <is>
          <t>CloudWatch Alarm</t>
        </is>
      </c>
      <c r="C8" s="149" t="n"/>
      <c r="D8" s="149" t="n"/>
      <c r="E8" s="149" t="n"/>
    </row>
    <row r="9">
      <c r="A9" s="148" t="inlineStr">
        <is>
          <t>起動先</t>
        </is>
      </c>
      <c r="B9" s="143" t="inlineStr">
        <is>
          <t>SNS（P2 Platform）</t>
        </is>
      </c>
      <c r="C9" s="149" t="n"/>
      <c r="D9" s="149" t="n"/>
      <c r="E9" s="149" t="n"/>
    </row>
    <row r="10">
      <c r="A10" s="148" t="inlineStr">
        <is>
          <t>呼び出し方式</t>
        </is>
      </c>
      <c r="B10" s="143" t="inlineStr">
        <is>
          <t>非同期</t>
        </is>
      </c>
      <c r="C10" s="149" t="n"/>
      <c r="D10" s="149" t="n"/>
      <c r="E10" s="149" t="n"/>
    </row>
    <row r="11">
      <c r="A11" s="148" t="inlineStr">
        <is>
          <t>実行主体</t>
        </is>
      </c>
      <c r="B11" s="143" t="inlineStr">
        <is>
          <t>CloudWatch</t>
        </is>
      </c>
      <c r="C11" s="149" t="n"/>
      <c r="D11" s="149" t="n"/>
      <c r="E11" s="149" t="n"/>
    </row>
    <row r="12">
      <c r="A12" s="148" t="inlineStr">
        <is>
          <t>頻度・タイミング</t>
        </is>
      </c>
      <c r="B12" s="143" t="inlineStr">
        <is>
          <t>閾値超過時</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【設計時の要記載】MM-1〜5 の各アラーム定義（対象メトリクス・閾値・評価期間）を一覧化する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Alarm(DiscoveryLastSuccess 2h 欠損 / Lambda Errors / DLQ 滞留) -&gt; SNS(P2)</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CloudWatch Alarm → SNS</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50.xml><?xml version="1.0" encoding="utf-8"?>
<worksheet xmlns="http://schemas.openxmlformats.org/spreadsheetml/2006/main">
  <sheetPr>
    <tabColor rgb="00C9C9C9"/>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運用-02  処理失敗退避・再処理（DLQ）</t>
        </is>
      </c>
    </row>
    <row r="2">
      <c r="A2" s="146" t="inlineStr">
        <is>
          <t>0. 概要</t>
        </is>
      </c>
    </row>
    <row r="3">
      <c r="A3" s="148" t="inlineStr">
        <is>
          <t>概要</t>
        </is>
      </c>
      <c r="B3" s="143" t="inlineStr">
        <is>
          <t>非同期呼び出しがリトライ後も失敗した場合に退避し、後から再処理・原因調査できるようにする。</t>
        </is>
      </c>
      <c r="C3" s="149" t="n"/>
      <c r="D3" s="149" t="n"/>
      <c r="E3" s="149" t="n"/>
    </row>
    <row r="4">
      <c r="A4" s="146" t="inlineStr">
        <is>
          <t>1. 基本情報</t>
        </is>
      </c>
    </row>
    <row r="5">
      <c r="A5" s="148" t="inlineStr">
        <is>
          <t>系統</t>
        </is>
      </c>
      <c r="B5" s="143" t="inlineStr">
        <is>
          <t>運用（運用・異常系）</t>
        </is>
      </c>
      <c r="C5" s="149" t="n"/>
      <c r="D5" s="149" t="n"/>
      <c r="E5" s="149" t="n"/>
    </row>
    <row r="6">
      <c r="A6" s="148" t="inlineStr">
        <is>
          <t>実行契機</t>
        </is>
      </c>
      <c r="B6" s="143" t="inlineStr">
        <is>
          <t>随時（異常時）</t>
        </is>
      </c>
      <c r="C6" s="149" t="n"/>
      <c r="D6" s="149" t="n"/>
      <c r="E6" s="149" t="n"/>
    </row>
    <row r="7">
      <c r="A7" s="148" t="inlineStr">
        <is>
          <t>フロー内の位置</t>
        </is>
      </c>
      <c r="B7" s="145" t="inlineStr"/>
      <c r="C7" s="149" t="n"/>
      <c r="D7" s="149" t="n"/>
      <c r="E7" s="149" t="n"/>
    </row>
    <row r="8">
      <c r="A8" s="148" t="inlineStr">
        <is>
          <t>起動元</t>
        </is>
      </c>
      <c r="B8" s="143" t="inlineStr">
        <is>
          <t>各 Lambda（非同期実行の失敗）</t>
        </is>
      </c>
      <c r="C8" s="149" t="n"/>
      <c r="D8" s="149" t="n"/>
      <c r="E8" s="149" t="n"/>
    </row>
    <row r="9">
      <c r="A9" s="148" t="inlineStr">
        <is>
          <t>起動先</t>
        </is>
      </c>
      <c r="B9" s="143" t="inlineStr">
        <is>
          <t>SQS DLQ → 運用者</t>
        </is>
      </c>
      <c r="C9" s="149" t="n"/>
      <c r="D9" s="149" t="n"/>
      <c r="E9" s="149" t="n"/>
    </row>
    <row r="10">
      <c r="A10" s="148" t="inlineStr">
        <is>
          <t>呼び出し方式</t>
        </is>
      </c>
      <c r="B10" s="143" t="inlineStr">
        <is>
          <t>非同期</t>
        </is>
      </c>
      <c r="C10" s="149" t="n"/>
      <c r="D10" s="149" t="n"/>
      <c r="E10" s="149" t="n"/>
    </row>
    <row r="11">
      <c r="A11" s="148" t="inlineStr">
        <is>
          <t>実行主体</t>
        </is>
      </c>
      <c r="B11" s="143" t="inlineStr">
        <is>
          <t>Lambda / 運用者</t>
        </is>
      </c>
      <c r="C11" s="149" t="n"/>
      <c r="D11" s="149" t="n"/>
      <c r="E11" s="149" t="n"/>
    </row>
    <row r="12">
      <c r="A12" s="148" t="inlineStr">
        <is>
          <t>頻度・タイミング</t>
        </is>
      </c>
      <c r="B12" s="143" t="inlineStr">
        <is>
          <t>失敗時</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【設計時の要記載】DLQ の保持期間・再処理手順（Runbook 化）・滞留アラーム（MM-4/5）を明記する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Lambda(失敗) -&gt; 自動リトライ(2 回) -&gt; SQS DLQ
運用者 -&gt; DLQ : 内容確認 -&gt; 再実行</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Lambda 非同期呼び出しの DLQ 設定 / sqs:ReceiveMessage・DeleteMessage（運用者）</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51.xml><?xml version="1.0" encoding="utf-8"?>
<worksheet xmlns="http://schemas.openxmlformats.org/spreadsheetml/2006/main">
  <sheetPr>
    <tabColor rgb="00C9C9C9"/>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運用-03  監視設定手動更新</t>
        </is>
      </c>
    </row>
    <row r="2">
      <c r="A2" s="146" t="inlineStr">
        <is>
          <t>0. 概要</t>
        </is>
      </c>
    </row>
    <row r="3">
      <c r="A3" s="148" t="inlineStr">
        <is>
          <t>概要</t>
        </is>
      </c>
      <c r="B3" s="143" t="inlineStr">
        <is>
          <t>監視の有効・無効の切替や通知先の設定など、中央管理項目を運用者が更新する。</t>
        </is>
      </c>
      <c r="C3" s="149" t="n"/>
      <c r="D3" s="149" t="n"/>
      <c r="E3" s="149" t="n"/>
    </row>
    <row r="4">
      <c r="A4" s="146" t="inlineStr">
        <is>
          <t>1. 基本情報</t>
        </is>
      </c>
    </row>
    <row r="5">
      <c r="A5" s="148" t="inlineStr">
        <is>
          <t>系統</t>
        </is>
      </c>
      <c r="B5" s="143" t="inlineStr">
        <is>
          <t>運用（運用・異常系）</t>
        </is>
      </c>
      <c r="C5" s="149" t="n"/>
      <c r="D5" s="149" t="n"/>
      <c r="E5" s="149" t="n"/>
    </row>
    <row r="6">
      <c r="A6" s="148" t="inlineStr">
        <is>
          <t>実行契機</t>
        </is>
      </c>
      <c r="B6" s="143" t="inlineStr">
        <is>
          <t>随時（運用操作）</t>
        </is>
      </c>
      <c r="C6" s="149" t="n"/>
      <c r="D6" s="149" t="n"/>
      <c r="E6" s="149" t="n"/>
    </row>
    <row r="7">
      <c r="A7" s="148" t="inlineStr">
        <is>
          <t>フロー内の位置</t>
        </is>
      </c>
      <c r="B7" s="145" t="inlineStr"/>
      <c r="C7" s="149" t="n"/>
      <c r="D7" s="149" t="n"/>
      <c r="E7" s="149" t="n"/>
    </row>
    <row r="8">
      <c r="A8" s="148" t="inlineStr">
        <is>
          <t>起動元</t>
        </is>
      </c>
      <c r="B8" s="143" t="inlineStr">
        <is>
          <t>運用者</t>
        </is>
      </c>
      <c r="C8" s="149" t="n"/>
      <c r="D8" s="149" t="n"/>
      <c r="E8" s="149" t="n"/>
    </row>
    <row r="9">
      <c r="A9" s="148" t="inlineStr">
        <is>
          <t>起動先</t>
        </is>
      </c>
      <c r="B9" s="143" t="inlineStr">
        <is>
          <t>認証構成情報配置バケット（registry/）</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運用者</t>
        </is>
      </c>
      <c r="C11" s="149" t="n"/>
      <c r="D11" s="149" t="n"/>
      <c r="E11" s="149" t="n"/>
    </row>
    <row r="12">
      <c r="A12" s="148" t="inlineStr">
        <is>
          <t>頻度・タイミング</t>
        </is>
      </c>
      <c r="B12" s="143" t="inlineStr">
        <is>
          <t>随時</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【設計時の要記載】巡回（対象検索-09）との競合手順、変更履歴の追跡（Versioning）、承認フローの要否を明記する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運用者 -&gt; 配置バケット : GetObject -&gt; 編集 -&gt; PutObject（If-Match）
巡回と競合した場合は 412 -&gt; 再取得</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s3:GetObject / s3:PutObject（ETag 条件付き）</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xl/worksheets/sheet52.xml><?xml version="1.0" encoding="utf-8"?>
<worksheet xmlns="http://schemas.openxmlformats.org/spreadsheetml/2006/main">
  <sheetPr>
    <tabColor rgb="00D9B3E6"/>
    <outlinePr summaryBelow="1" summaryRight="1"/>
    <pageSetUpPr/>
  </sheetPr>
  <dimension ref="A1:E67"/>
  <sheetViews>
    <sheetView workbookViewId="0">
      <selection activeCell="A1" sqref="A1"/>
    </sheetView>
  </sheetViews>
  <sheetFormatPr baseColWidth="8" defaultRowHeight="15"/>
  <cols>
    <col width="22" customWidth="1" style="134" min="1" max="1"/>
    <col width="26" customWidth="1" style="134" min="2" max="2"/>
    <col width="20" customWidth="1" style="134" min="3" max="3"/>
    <col width="30" customWidth="1" style="134" min="4" max="4"/>
    <col width="46" customWidth="1" style="134" min="5" max="5"/>
  </cols>
  <sheetData>
    <row r="1" ht="26" customHeight="1" s="134">
      <c r="A1" s="140" t="inlineStr">
        <is>
          <t>連携-01  認証構成情報配置（アプリ側）</t>
        </is>
      </c>
    </row>
    <row r="2">
      <c r="A2" s="146" t="inlineStr">
        <is>
          <t>0. 概要</t>
        </is>
      </c>
    </row>
    <row r="3">
      <c r="A3" s="148" t="inlineStr">
        <is>
          <t>概要</t>
        </is>
      </c>
      <c r="B3" s="143" t="inlineStr">
        <is>
          <t>デプロイ成功後に認証構成情報を配置する。本監視の入口であり、アプリ（ベンダー）側の責務。</t>
        </is>
      </c>
      <c r="C3" s="149" t="n"/>
      <c r="D3" s="149" t="n"/>
      <c r="E3" s="149" t="n"/>
    </row>
    <row r="4">
      <c r="A4" s="146" t="inlineStr">
        <is>
          <t>1. 基本情報</t>
        </is>
      </c>
    </row>
    <row r="5">
      <c r="A5" s="148" t="inlineStr">
        <is>
          <t>系統</t>
        </is>
      </c>
      <c r="B5" s="143" t="inlineStr">
        <is>
          <t>連携（アプリ接点）</t>
        </is>
      </c>
      <c r="C5" s="149" t="n"/>
      <c r="D5" s="149" t="n"/>
      <c r="E5" s="149" t="n"/>
    </row>
    <row r="6">
      <c r="A6" s="148" t="inlineStr">
        <is>
          <t>実行契機</t>
        </is>
      </c>
      <c r="B6" s="143" t="inlineStr">
        <is>
          <t>随時（デプロイのたび）</t>
        </is>
      </c>
      <c r="C6" s="149" t="n"/>
      <c r="D6" s="149" t="n"/>
      <c r="E6" s="149" t="n"/>
    </row>
    <row r="7">
      <c r="A7" s="148" t="inlineStr">
        <is>
          <t>フロー内の位置</t>
        </is>
      </c>
      <c r="B7" s="145" t="inlineStr"/>
      <c r="C7" s="149" t="n"/>
      <c r="D7" s="149" t="n"/>
      <c r="E7" s="149" t="n"/>
    </row>
    <row r="8">
      <c r="A8" s="148" t="inlineStr">
        <is>
          <t>起動元</t>
        </is>
      </c>
      <c r="B8" s="143" t="inlineStr">
        <is>
          <t>ベンダー CI（デプロイパイプライン最終段）</t>
        </is>
      </c>
      <c r="C8" s="149" t="n"/>
      <c r="D8" s="149" t="n"/>
      <c r="E8" s="149" t="n"/>
    </row>
    <row r="9">
      <c r="A9" s="148" t="inlineStr">
        <is>
          <t>起動先</t>
        </is>
      </c>
      <c r="B9" s="143" t="inlineStr">
        <is>
          <t>認証構成情報連携バケット（App アカウント）</t>
        </is>
      </c>
      <c r="C9" s="149" t="n"/>
      <c r="D9" s="149" t="n"/>
      <c r="E9" s="149" t="n"/>
    </row>
    <row r="10">
      <c r="A10" s="148" t="inlineStr">
        <is>
          <t>呼び出し方式</t>
        </is>
      </c>
      <c r="B10" s="143" t="inlineStr">
        <is>
          <t>同期</t>
        </is>
      </c>
      <c r="C10" s="149" t="n"/>
      <c r="D10" s="149" t="n"/>
      <c r="E10" s="149" t="n"/>
    </row>
    <row r="11">
      <c r="A11" s="148" t="inlineStr">
        <is>
          <t>実行主体</t>
        </is>
      </c>
      <c r="B11" s="143" t="inlineStr">
        <is>
          <t>ベンダー CI</t>
        </is>
      </c>
      <c r="C11" s="149" t="n"/>
      <c r="D11" s="149" t="n"/>
      <c r="E11" s="149" t="n"/>
    </row>
    <row r="12">
      <c r="A12" s="148" t="inlineStr">
        <is>
          <t>頻度・タイミング</t>
        </is>
      </c>
      <c r="B12" s="143" t="inlineStr">
        <is>
          <t>デプロイのたび</t>
        </is>
      </c>
      <c r="C12" s="149" t="n"/>
      <c r="D12" s="149" t="n"/>
      <c r="E12" s="149" t="n"/>
    </row>
    <row r="13">
      <c r="A13" s="148" t="inlineStr">
        <is>
          <t>前提条件・事前状態</t>
        </is>
      </c>
      <c r="B13" s="145" t="inlineStr"/>
      <c r="C13" s="149" t="n"/>
      <c r="D13" s="149" t="n"/>
      <c r="E13" s="149" t="n"/>
    </row>
    <row r="15">
      <c r="A15" s="146" t="inlineStr">
        <is>
          <t>2. 入力（I）</t>
        </is>
      </c>
    </row>
    <row r="16">
      <c r="A16" s="142" t="inlineStr">
        <is>
          <t>項目</t>
        </is>
      </c>
      <c r="B16" s="142" t="inlineStr">
        <is>
          <t>型</t>
        </is>
      </c>
      <c r="C16" s="142" t="inlineStr">
        <is>
          <t>必須</t>
        </is>
      </c>
      <c r="D16" s="142" t="inlineStr">
        <is>
          <t>取得元</t>
        </is>
      </c>
      <c r="E16" s="142" t="inlineStr">
        <is>
          <t>説明・例</t>
        </is>
      </c>
    </row>
    <row r="17">
      <c r="A17" s="147" t="n"/>
      <c r="B17" s="147" t="n"/>
      <c r="C17" s="147" t="n"/>
      <c r="D17" s="147" t="n"/>
      <c r="E17" s="147" t="n"/>
    </row>
    <row r="18">
      <c r="A18" s="147" t="n"/>
      <c r="B18" s="147" t="n"/>
      <c r="C18" s="147" t="n"/>
      <c r="D18" s="147" t="n"/>
      <c r="E18" s="147" t="n"/>
    </row>
    <row r="19">
      <c r="A19" s="147" t="n"/>
      <c r="B19" s="147" t="n"/>
      <c r="C19" s="147" t="n"/>
      <c r="D19" s="147" t="n"/>
      <c r="E19" s="147" t="n"/>
    </row>
    <row r="21">
      <c r="A21" s="146" t="inlineStr">
        <is>
          <t>3. 出力（O）</t>
        </is>
      </c>
    </row>
    <row r="22">
      <c r="A22" s="142" t="inlineStr">
        <is>
          <t>項目</t>
        </is>
      </c>
      <c r="B22" s="142" t="inlineStr">
        <is>
          <t>型</t>
        </is>
      </c>
      <c r="C22" s="142" t="inlineStr">
        <is>
          <t>出力先</t>
        </is>
      </c>
      <c r="D22" s="142" t="inlineStr">
        <is>
          <t>説明・例</t>
        </is>
      </c>
    </row>
    <row r="23">
      <c r="A23" s="147" t="n"/>
      <c r="B23" s="147" t="n"/>
      <c r="C23" s="147" t="n"/>
      <c r="D23" s="147" t="n"/>
    </row>
    <row r="24">
      <c r="A24" s="147" t="n"/>
      <c r="B24" s="147" t="n"/>
      <c r="C24" s="147" t="n"/>
      <c r="D24" s="147" t="n"/>
    </row>
    <row r="25">
      <c r="A25" s="147" t="n"/>
      <c r="B25" s="147" t="n"/>
      <c r="C25" s="147" t="n"/>
      <c r="D25" s="147" t="n"/>
    </row>
    <row r="27">
      <c r="A27" s="146" t="inlineStr">
        <is>
          <t>4. 処理手順</t>
        </is>
      </c>
    </row>
    <row r="28">
      <c r="A28" s="142" t="inlineStr">
        <is>
          <t>#</t>
        </is>
      </c>
      <c r="B28" s="142" t="inlineStr">
        <is>
          <t>処理内容</t>
        </is>
      </c>
      <c r="C28" s="142" t="inlineStr">
        <is>
          <t>補足・参照</t>
        </is>
      </c>
    </row>
    <row r="29">
      <c r="A29" s="147" t="n">
        <v>1</v>
      </c>
      <c r="B29" s="147" t="inlineStr"/>
      <c r="C29" s="147" t="inlineStr">
        <is>
          <t>【設計時の要記載】デプロイ成功後に実行すること（順序逆転の禁止）、配置漏れは原則アプリ責任（M-Q-17-7）である旨を明記する</t>
        </is>
      </c>
    </row>
    <row r="30">
      <c r="A30" s="147" t="n"/>
      <c r="B30" s="147" t="n"/>
      <c r="C30" s="147" t="n"/>
    </row>
    <row r="31">
      <c r="A31" s="147" t="n"/>
      <c r="B31" s="147" t="n"/>
      <c r="C31" s="147" t="n"/>
    </row>
    <row r="32">
      <c r="A32" s="147" t="n"/>
      <c r="B32" s="147" t="n"/>
      <c r="C32" s="147" t="n"/>
    </row>
    <row r="34">
      <c r="A34" s="146" t="inlineStr">
        <is>
          <t>5. シーケンス（矢印記法。必要に応じて図を貼付）</t>
        </is>
      </c>
    </row>
    <row r="35">
      <c r="A35" s="143" t="inlineStr">
        <is>
          <t>ベンダー CI -&gt; STS : AssumeRole(ArtifactUploadRole-{appId})
ベンダー CI -&gt; 連携バケット : PutObject(monitoring.yaml, openapi.yaml, deploy-info.json)</t>
        </is>
      </c>
    </row>
    <row r="36"/>
    <row r="37"/>
    <row r="38"/>
    <row r="39"/>
    <row r="41">
      <c r="A41" s="146" t="inlineStr">
        <is>
          <t>6. 例外・異常系</t>
        </is>
      </c>
    </row>
    <row r="42">
      <c r="A42" s="142" t="inlineStr">
        <is>
          <t>ケース</t>
        </is>
      </c>
      <c r="B42" s="142" t="inlineStr">
        <is>
          <t>検知方法</t>
        </is>
      </c>
      <c r="C42" s="142" t="inlineStr">
        <is>
          <t>動作</t>
        </is>
      </c>
      <c r="D42" s="142" t="inlineStr">
        <is>
          <t>通知</t>
        </is>
      </c>
      <c r="E42" s="142" t="inlineStr">
        <is>
          <t>参照</t>
        </is>
      </c>
    </row>
    <row r="43">
      <c r="A43" s="147" t="n"/>
      <c r="B43" s="147" t="n"/>
      <c r="C43" s="147" t="n"/>
      <c r="D43" s="147" t="n"/>
      <c r="E43" s="147" t="n"/>
    </row>
    <row r="44">
      <c r="A44" s="147" t="n"/>
      <c r="B44" s="147" t="n"/>
      <c r="C44" s="147" t="n"/>
      <c r="D44" s="147" t="n"/>
      <c r="E44" s="147" t="n"/>
    </row>
    <row r="45">
      <c r="A45" s="147" t="n"/>
      <c r="B45" s="147" t="n"/>
      <c r="C45" s="147" t="n"/>
      <c r="D45" s="147" t="n"/>
      <c r="E45" s="147" t="n"/>
    </row>
    <row r="47">
      <c r="A47" s="146" t="inlineStr">
        <is>
          <t>7. 冪等性・リトライ</t>
        </is>
      </c>
    </row>
    <row r="48">
      <c r="A48" s="148" t="inlineStr">
        <is>
          <t>再実行時の振る舞い</t>
        </is>
      </c>
      <c r="B48" s="145" t="inlineStr"/>
      <c r="C48" s="149" t="n"/>
      <c r="D48" s="149" t="n"/>
      <c r="E48" s="149" t="n"/>
    </row>
    <row r="49">
      <c r="A49" s="148" t="inlineStr">
        <is>
          <t>状態更新のタイミング</t>
        </is>
      </c>
      <c r="B49" s="145" t="inlineStr"/>
      <c r="C49" s="149" t="n"/>
      <c r="D49" s="149" t="n"/>
      <c r="E49" s="149" t="n"/>
    </row>
    <row r="51">
      <c r="A51" s="146" t="inlineStr">
        <is>
          <t>8. 権限・エンドポイント</t>
        </is>
      </c>
    </row>
    <row r="52">
      <c r="A52" s="148" t="inlineStr">
        <is>
          <t>権限 / エンドポイント</t>
        </is>
      </c>
      <c r="B52" s="143" t="inlineStr">
        <is>
          <t>ArtifactUploadRole-{appId} を Assume / s3:PutObject（{appId}/* 限定）/ s3.{region}.amazonaws.com</t>
        </is>
      </c>
      <c r="C52" s="149" t="n"/>
      <c r="D52" s="149" t="n"/>
      <c r="E52" s="149" t="n"/>
    </row>
    <row r="53">
      <c r="A53" s="148" t="inlineStr">
        <is>
          <t>認証方式・補足</t>
        </is>
      </c>
      <c r="B53" s="145" t="inlineStr"/>
      <c r="C53" s="149" t="n"/>
      <c r="D53" s="149" t="n"/>
      <c r="E53" s="149" t="n"/>
    </row>
    <row r="55">
      <c r="A55" s="146" t="inlineStr">
        <is>
          <t>9. ログ・メトリクス</t>
        </is>
      </c>
    </row>
    <row r="56">
      <c r="A56" s="142" t="inlineStr">
        <is>
          <t>種別</t>
        </is>
      </c>
      <c r="B56" s="142" t="inlineStr">
        <is>
          <t>名称・項目</t>
        </is>
      </c>
      <c r="C56" s="142" t="inlineStr">
        <is>
          <t>内容</t>
        </is>
      </c>
      <c r="D56" s="142" t="inlineStr">
        <is>
          <t>備考</t>
        </is>
      </c>
    </row>
    <row r="57">
      <c r="A57" s="147" t="n"/>
      <c r="B57" s="147" t="n"/>
      <c r="C57" s="147" t="n"/>
      <c r="D57" s="147" t="n"/>
    </row>
    <row r="58">
      <c r="A58" s="147" t="n"/>
      <c r="B58" s="147" t="n"/>
      <c r="C58" s="147" t="n"/>
      <c r="D58" s="147" t="n"/>
    </row>
    <row r="60">
      <c r="A60" s="146" t="inlineStr">
        <is>
          <t>10. 性能・上限</t>
        </is>
      </c>
    </row>
    <row r="61">
      <c r="A61" s="148" t="inlineStr">
        <is>
          <t>想定件数 / 所要時間</t>
        </is>
      </c>
      <c r="B61" s="145" t="inlineStr"/>
      <c r="C61" s="149" t="n"/>
      <c r="D61" s="149" t="n"/>
      <c r="E61" s="149" t="n"/>
    </row>
    <row r="62">
      <c r="A62" s="148" t="inlineStr">
        <is>
          <t>上限・制約</t>
        </is>
      </c>
      <c r="B62" s="145" t="inlineStr"/>
      <c r="C62" s="149" t="n"/>
      <c r="D62" s="149" t="n"/>
      <c r="E62" s="149" t="n"/>
    </row>
    <row r="64">
      <c r="A64" s="146" t="inlineStr">
        <is>
          <t>11. 未決事項</t>
        </is>
      </c>
    </row>
    <row r="65">
      <c r="A65" s="142" t="inlineStr">
        <is>
          <t>ID</t>
        </is>
      </c>
      <c r="B65" s="142" t="inlineStr">
        <is>
          <t>内容</t>
        </is>
      </c>
      <c r="C65" s="142" t="inlineStr">
        <is>
          <t>確認先</t>
        </is>
      </c>
      <c r="D65" s="142" t="inlineStr">
        <is>
          <t>期限</t>
        </is>
      </c>
    </row>
    <row r="66">
      <c r="A66" s="147" t="n"/>
      <c r="B66" s="147" t="n"/>
      <c r="C66" s="147" t="n"/>
      <c r="D66" s="147" t="n"/>
    </row>
    <row r="67">
      <c r="A67" s="147" t="n"/>
      <c r="B67" s="147" t="n"/>
      <c r="C67" s="147" t="n"/>
      <c r="D67" s="147" t="n"/>
    </row>
  </sheetData>
  <mergeCells count="30">
    <mergeCell ref="A34:E34"/>
    <mergeCell ref="B9:E9"/>
    <mergeCell ref="B49:E49"/>
    <mergeCell ref="A15:E15"/>
    <mergeCell ref="A64:E64"/>
    <mergeCell ref="B6:E6"/>
    <mergeCell ref="A60:E60"/>
    <mergeCell ref="A51:E51"/>
    <mergeCell ref="A1:E1"/>
    <mergeCell ref="B5:E5"/>
    <mergeCell ref="A41:E41"/>
    <mergeCell ref="B62:E62"/>
    <mergeCell ref="B7:E7"/>
    <mergeCell ref="B3:E3"/>
    <mergeCell ref="A27:E27"/>
    <mergeCell ref="A21:E21"/>
    <mergeCell ref="A55:E55"/>
    <mergeCell ref="A2:E2"/>
    <mergeCell ref="B12:E12"/>
    <mergeCell ref="B52:E52"/>
    <mergeCell ref="B48:E48"/>
    <mergeCell ref="A47:E47"/>
    <mergeCell ref="B11:E11"/>
    <mergeCell ref="B61:E61"/>
    <mergeCell ref="A4:E4"/>
    <mergeCell ref="B8:E8"/>
    <mergeCell ref="B53:E53"/>
    <mergeCell ref="B13:E13"/>
    <mergeCell ref="B10:E10"/>
    <mergeCell ref="A35:E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昌平 末永</dc:creator>
  <dcterms:created xmlns:dcterms="http://purl.org/dc/terms/" xmlns:xsi="http://www.w3.org/2001/XMLSchema-instance" xsi:type="dcterms:W3CDTF">2026-08-14T01:46:13Z</dcterms:created>
  <dcterms:modified xmlns:dcterms="http://purl.org/dc/terms/" xmlns:xsi="http://www.w3.org/2001/XMLSchema-instance" xsi:type="dcterms:W3CDTF">2026-09-14T07:15:13Z</dcterms:modified>
  <cp:lastModifiedBy>昌平 末永</cp:lastModifiedBy>
</cp:coreProperties>
</file>