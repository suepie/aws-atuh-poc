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865E01D4-FD56-6C41-B0B5-5F26994C9DDE}" xr6:coauthVersionLast="47" xr6:coauthVersionMax="47" xr10:uidLastSave="{00000000-0000-0000-0000-000000000000}"/>
  <bookViews>
    <workbookView xWindow="0" yWindow="780" windowWidth="34200" windowHeight="21460" firstSheet="1" activeTab="8"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トリガー"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 name="16_ランニング費用" sheetId="18" r:id="rId16"/>
    <sheet name="17_運用工数" sheetId="19" r:id="rId17"/>
  </sheets>
  <definedNames>
    <definedName name="_xlnm._FilterDatabase" localSheetId="13" hidden="1">'14_WBS'!$A$1:$M$136</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6" i="15" l="1"/>
  <c r="G136" i="15"/>
  <c r="H135" i="15"/>
  <c r="G135" i="15"/>
  <c r="H124" i="15"/>
  <c r="G124" i="15"/>
  <c r="H114" i="15"/>
  <c r="G114" i="15"/>
  <c r="H93" i="15"/>
  <c r="G93" i="15"/>
  <c r="H79" i="15"/>
  <c r="G79" i="15"/>
  <c r="H47" i="15"/>
  <c r="G47" i="15"/>
  <c r="H36" i="15"/>
  <c r="G36" i="15"/>
  <c r="H9" i="15"/>
  <c r="G9" i="15"/>
  <c r="H106" i="15"/>
  <c r="H105" i="15"/>
  <c r="H35" i="15"/>
  <c r="H8" i="15"/>
</calcChain>
</file>

<file path=xl/sharedStrings.xml><?xml version="1.0" encoding="utf-8"?>
<sst xmlns="http://schemas.openxmlformats.org/spreadsheetml/2006/main" count="3451" uniqueCount="2502">
  <si>
    <t>項目</t>
  </si>
  <si>
    <t>—</t>
  </si>
  <si>
    <t>意味</t>
  </si>
  <si>
    <t>monitoring.yaml + openapi.yaml</t>
  </si>
  <si>
    <t>#</t>
  </si>
  <si>
    <t>IAM ロール（StackSets 配布）</t>
  </si>
  <si>
    <t>aws lambda invoke --function-name central-auth-probe --payload '{"mode":"full"}' /dev/null ／ 特定アプリだけ全量: {"mode":"full","appId":"expense-api","env":"prod"}</t>
  </si>
  <si>
    <t>appId</t>
  </si>
  <si>
    <t>baseUrl</t>
  </si>
  <si>
    <t>authPattern</t>
  </si>
  <si>
    <t>{</t>
  </si>
  <si>
    <t>}</t>
  </si>
  <si>
    <t>environments:</t>
  </si>
  <si>
    <t xml:space="preserve">  prod:</t>
  </si>
  <si>
    <t xml:space="preserve">  stg:</t>
  </si>
  <si>
    <t xml:space="preserve">    baseUrl: https://stg.expense.example.com</t>
  </si>
  <si>
    <t xml:space="preserve">    authPattern: api-gw-jwt</t>
  </si>
  <si>
    <t>paths:</t>
  </si>
  <si>
    <t xml:space="preserve">    get:</t>
  </si>
  <si>
    <t xml:space="preserve">  /_/health:</t>
  </si>
  <si>
    <t>P3</t>
  </si>
  <si>
    <t xml:space="preserve">  "Version": "2012-10-17",</t>
  </si>
  <si>
    <t xml:space="preserve">  "Statement": [{</t>
  </si>
  <si>
    <t xml:space="preserve">    "Effect": "Allow",</t>
  </si>
  <si>
    <t xml:space="preserve">  }]</t>
  </si>
  <si>
    <t>各 App アカウント（StackSets 配布）</t>
  </si>
  <si>
    <t>配布物</t>
  </si>
  <si>
    <t>アプリチーム向け手順</t>
  </si>
  <si>
    <t>1. やること 3 点</t>
  </si>
  <si>
    <t>手順</t>
  </si>
  <si>
    <t>やること</t>
  </si>
  <si>
    <t>かんたんな説明</t>
  </si>
  <si>
    <t>Service Catalog で製品を launch する</t>
  </si>
  <si>
    <t>OpenAPI に公開印を付ける</t>
  </si>
  <si>
    <t xml:space="preserve">    authPattern: api-gw-jwt                # 検査方式（enum）</t>
  </si>
  <si>
    <t>testTokenSecret: canary-central-readonly   # 省略時は共通</t>
  </si>
  <si>
    <t>書き忘れ・間違いのとき</t>
  </si>
  <si>
    <t xml:space="preserve">      x-synthetics-skip-auth-check: true   # ← 公開（認証不要）の endpoint に必ず付ける</t>
  </si>
  <si>
    <t>起きること</t>
  </si>
  <si>
    <t>かかる時間</t>
  </si>
  <si>
    <t>最大 1 時間</t>
  </si>
  <si>
    <t>上記の直後</t>
  </si>
  <si>
    <t>・図は本書内に挿入位置（【図 N 挿入位置】の枠）を用意し、作図は別途行う。挿入すべき図の一覧は「02_全体概要」シート末尾を参照。</t>
    <phoneticPr fontId="2"/>
  </si>
  <si>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</si>
  <si>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</si>
  <si>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</si>
  <si>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</si>
  <si>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</si>
  <si>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</si>
  <si>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</si>
  <si>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</si>
  <si>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</si>
  <si>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</si>
  <si>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</si>
  <si>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</si>
  <si>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</si>
  <si>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</si>
  <si>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</si>
  <si>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</si>
  <si>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</si>
  <si>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</si>
  <si>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</si>
  <si>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</si>
  <si>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</si>
  <si>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</si>
  <si>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</si>
  <si>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</si>
  <si>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</si>
  <si>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</si>
  <si>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</si>
  <si>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</si>
  <si>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発見 Lambda</t>
    <phoneticPr fontId="2"/>
  </si>
  <si>
    <t>Lambda</t>
    <phoneticPr fontId="2"/>
  </si>
  <si>
    <t>Monitoring Registry</t>
    <phoneticPr fontId="2"/>
  </si>
  <si>
    <t>S3（Versioning）×1 バケット</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</si>
  <si>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</si>
  <si>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</si>
  <si>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</si>
  <si>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</si>
  <si>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</si>
  <si>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</si>
  <si>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</si>
  <si>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</si>
  <si>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</si>
  <si>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</si>
  <si>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</si>
  <si>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</si>
  <si>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</si>
  <si>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</si>
  <si>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t>
    <phoneticPr fontId="2"/>
  </si>
  <si>
    <t>DiscoveryReadRole</t>
    <phoneticPr fontId="2"/>
  </si>
  <si>
    <t>IAM ロール（StackSets 配布）</t>
    <phoneticPr fontId="2"/>
  </si>
  <si>
    <t>API GW / ALB</t>
    <phoneticPr fontId="2"/>
  </si>
  <si>
    <t>アプリごとの CloudFront + WAF</t>
    <phoneticPr fontId="2"/>
  </si>
  <si>
    <t>CloudFront / WAF</t>
    <phoneticPr fontId="2"/>
  </si>
  <si>
    <t>4. 1 行まとめ</t>
    <phoneticPr fontId="2"/>
  </si>
  <si>
    <t>構成要素 / 実装物</t>
    <phoneticPr fontId="2"/>
  </si>
  <si>
    <t>状態</t>
    <phoneticPr fontId="2"/>
  </si>
  <si>
    <t>central-probe-lib（probe lib）</t>
    <phoneticPr fontId="2"/>
  </si>
  <si>
    <t>実装済み</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</si>
  <si>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</si>
  <si>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</si>
  <si>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</si>
  <si>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</si>
  <si>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</si>
  <si>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</si>
  <si>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</si>
  <si>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</si>
  <si>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</si>
  <si>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</si>
  <si>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</si>
  <si>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</si>
  <si>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</si>
  <si>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</si>
  <si>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</si>
  <si>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</si>
  <si>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</si>
  <si>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</si>
  <si>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</si>
  <si>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</si>
  <si>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</si>
  <si>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</si>
  <si>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</si>
  <si>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</si>
  <si>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</si>
  <si>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</si>
  <si>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</si>
  <si>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expense-api</t>
    <phoneticPr fontId="2"/>
  </si>
  <si>
    <t>キーと同値</t>
    <phoneticPr fontId="2"/>
  </si>
  <si>
    <t>データ契約 §2.1, 12 §12.1</t>
    <phoneticPr fontId="2"/>
  </si>
  <si>
    <t>env</t>
    <phoneticPr fontId="2"/>
  </si>
  <si>
    <t>prod / stg / dev</t>
    <phoneticPr fontId="2"/>
  </si>
  <si>
    <t>baseUrl</t>
    <phoneticPr fontId="2"/>
  </si>
  <si>
    <t>https://expense.example.com</t>
    <phoneticPr fontId="2"/>
  </si>
  <si>
    <t>monitoring.yaml</t>
    <phoneticPr fontId="2"/>
  </si>
  <si>
    <t>authPattern</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</si>
  <si>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</si>
  <si>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</si>
  <si>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</si>
  <si>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</si>
  <si>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</si>
  <si>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</si>
  <si>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canary-central-readonly</t>
    <phoneticPr fontId="2"/>
  </si>
  <si>
    <t>alertRouting</t>
    <phoneticPr fontId="2"/>
  </si>
  <si>
    <t>M</t>
    <phoneticPr fontId="2"/>
  </si>
  <si>
    <t>台帳のみ・中央管理</t>
    <phoneticPr fontId="2"/>
  </si>
  <si>
    <t>enabled</t>
    <phoneticPr fontId="2"/>
  </si>
  <si>
    <t>BOOL</t>
    <phoneticPr fontId="2"/>
  </si>
  <si>
    <t>registeredAt</t>
    <phoneticPr fontId="2"/>
  </si>
  <si>
    <t>ISO8601 登録日時</t>
    <phoneticPr fontId="2"/>
  </si>
  <si>
    <t>2026-07-06T00:00:00Z</t>
    <phoneticPr fontId="2"/>
  </si>
  <si>
    <t>巡回</t>
    <phoneticPr fontId="2"/>
  </si>
  <si>
    <t>巡回状態</t>
    <phoneticPr fontId="2"/>
  </si>
  <si>
    <t>lastSeenAt</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</si>
  <si>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</si>
  <si>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</si>
  <si>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</si>
  <si>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</si>
  <si>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</si>
  <si>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</si>
  <si>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</si>
  <si>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</si>
  <si>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</si>
  <si>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</si>
  <si>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</si>
  <si>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</si>
  <si>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</si>
  <si>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</si>
  <si>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</si>
  <si>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</si>
  <si>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</si>
  <si>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</si>
  <si>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</si>
  <si>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</si>
  <si>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</si>
  <si>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</si>
  <si>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</si>
  <si>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</si>
  <si>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</si>
  <si>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</si>
  <si>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</si>
  <si>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</si>
  <si>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</si>
  <si>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</si>
  <si>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</si>
  <si>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</si>
  <si>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</si>
  <si>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</si>
  <si>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</si>
  <si>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</si>
  <si>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規約</t>
    <phoneticPr fontId="2"/>
  </si>
  <si>
    <t>不備時の挙動</t>
    <phoneticPr fontId="2"/>
  </si>
  <si>
    <t>必須（これが監視対象の宣言）</t>
    <phoneticPr fontId="2"/>
  </si>
  <si>
    <t>enum（データ契約 §2.1）</t>
    <phoneticPr fontId="2"/>
  </si>
  <si>
    <t>検査不能 → メタ不足アラート</t>
    <phoneticPr fontId="2"/>
  </si>
  <si>
    <t>通知先（alertRouting）</t>
    <phoneticPr fontId="2"/>
  </si>
  <si>
    <t>enabled（一時停止）</t>
    <phoneticPr fontId="2"/>
  </si>
  <si>
    <t>アノテーション</t>
    <phoneticPr fontId="2"/>
  </si>
  <si>
    <t>デフォルト</t>
    <phoneticPr fontId="2"/>
  </si>
  <si>
    <t>x-synthetics-skip-auth-check: true</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</si>
  <si>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</si>
  <si>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</si>
  <si>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</si>
  <si>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</si>
  <si>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</si>
  <si>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</si>
  <si>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</si>
  <si>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</si>
  <si>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</si>
  <si>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</si>
  <si>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</si>
  <si>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</si>
  <si>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</si>
  <si>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</si>
  <si>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</si>
  <si>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</si>
  <si>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</si>
  <si>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</si>
  <si>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</si>
  <si>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</si>
  <si>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</si>
  <si>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</si>
  <si>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</si>
  <si>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</si>
  <si>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</si>
  <si>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</si>
  <si>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</si>
  <si>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</si>
  <si>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</si>
  <si>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</si>
  <si>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</si>
  <si>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</si>
  <si>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</si>
  <si>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</si>
  <si>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</si>
  <si>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</si>
  <si>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</si>
  <si>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</si>
  <si>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</si>
  <si>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</si>
  <si>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</si>
  <si>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</si>
  <si>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</si>
  <si>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</si>
  <si>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</si>
  <si>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</si>
  <si>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</si>
  <si>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</si>
  <si>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</si>
  <si>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</si>
  <si>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</si>
  <si>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</si>
  <si>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</si>
  <si>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</si>
  <si>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</si>
  <si>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</si>
  <si>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</si>
  <si>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</si>
  <si>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</si>
  <si>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</si>
  <si>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</si>
  <si>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</si>
  <si>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</si>
  <si>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</si>
  <si>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</si>
  <si>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</si>
  <si>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</si>
  <si>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</si>
  <si>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</si>
  <si>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</si>
  <si>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</si>
  <si>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</si>
  <si>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</si>
  <si>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</si>
  <si>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</si>
  <si>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</si>
  <si>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</si>
  <si>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</si>
  <si>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</si>
  <si>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</si>
  <si>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</si>
  <si>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</si>
  <si>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</si>
  <si>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</si>
  <si>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</si>
  <si>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</si>
  <si>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</si>
  <si>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</si>
  <si>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</si>
  <si>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</si>
  <si>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</si>
  <si>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</si>
  <si>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</si>
  <si>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</si>
  <si>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</si>
  <si>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</si>
  <si>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</si>
  <si>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</si>
  <si>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</si>
  <si>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</si>
  <si>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</si>
  <si>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</si>
  <si>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</si>
  <si>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</si>
  <si>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</si>
  <si>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</si>
  <si>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</si>
  <si>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</si>
  <si>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</si>
  <si>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</si>
  <si>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</si>
  <si>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</si>
  <si>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</si>
  <si>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ADR-061 改訂</t>
    <phoneticPr fontId="2"/>
  </si>
  <si>
    <t>D-M-13-2</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</si>
  <si>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</si>
  <si>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</si>
  <si>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</si>
  <si>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</si>
  <si>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</si>
  <si>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監視維持の自動化</t>
    <phoneticPr fontId="2"/>
  </si>
  <si>
    <t>D-M-14-1</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</si>
  <si>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</si>
  <si>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</si>
  <si>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</si>
  <si>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</si>
  <si>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</si>
  <si>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</si>
  <si>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</si>
  <si>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</si>
  <si>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</si>
  <si>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</si>
  <si>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</si>
  <si>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</si>
  <si>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</si>
  <si>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</si>
  <si>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</si>
  <si>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</si>
  <si>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</si>
  <si>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</si>
  <si>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</si>
  <si>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</si>
  <si>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</si>
  <si>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</si>
  <si>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</si>
  <si>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</si>
  <si>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</si>
  <si>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</si>
  <si>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</si>
  <si>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</si>
  <si>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</si>
  <si>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</si>
  <si>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</si>
  <si>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</si>
  <si>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</si>
  <si>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</si>
  <si>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</si>
  <si>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</si>
  <si>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</si>
  <si>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</si>
  <si>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</si>
  <si>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</si>
  <si>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</si>
  <si>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</si>
  <si>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</si>
  <si>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</si>
  <si>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</si>
  <si>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</si>
  <si>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</si>
  <si>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</si>
  <si>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</si>
  <si>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</si>
  <si>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</si>
  <si>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常時監視とデプロイ検証を分離、常時負荷を桁で削減</t>
    <phoneticPr fontId="2"/>
  </si>
  <si>
    <t>D-M-18-2</t>
    <phoneticPr fontId="2"/>
  </si>
  <si>
    <t>OpenAPI 不変の認証コード変更（middleware 削除等）を見逃さない</t>
    <phoneticPr fontId="2"/>
  </si>
  <si>
    <t>D-M-18-3</t>
    <phoneticPr fontId="2"/>
  </si>
  <si>
    <t>重要 endpoint の定義に業務会話が要る、決め打ち全量は本末転倒</t>
    <phoneticPr fontId="2"/>
  </si>
  <si>
    <t>D-M-18-4</t>
    <phoneticPr fontId="2"/>
  </si>
  <si>
    <t>網羅確認は人の判断契機（初回／監査／大変更後）で十分、常時コストゼロ</t>
    <phoneticPr fontId="2"/>
  </si>
  <si>
    <t>D-M-18-5</t>
    <phoneticPr fontId="2"/>
  </si>
  <si>
    <t>実行基盤を Lambda に一本化、Synthetics は将来オプション</t>
    <phoneticPr fontId="2"/>
  </si>
  <si>
    <t>D-M-18-6</t>
    <phoneticPr fontId="2"/>
  </si>
  <si>
    <t>アラームは CloudWatch metric（AuthCheckCritical&gt;0）</t>
    <phoneticPr fontId="2"/>
  </si>
  <si>
    <t>canary FAIL 依存をやめ Lambda でも成立させる</t>
    <phoneticPr fontId="2"/>
  </si>
  <si>
    <t>D-M-18-7</t>
    <phoneticPr fontId="2"/>
  </si>
  <si>
    <t>登録漏れ構造ゼロ・トリガー中央統一</t>
    <phoneticPr fontId="2"/>
  </si>
  <si>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</si>
  <si>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</si>
  <si>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</si>
  <si>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</si>
  <si>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</si>
  <si>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</si>
  <si>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</si>
  <si>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</si>
  <si>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存在意義</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</si>
  <si>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</si>
  <si>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</si>
  <si>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</si>
  <si>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</si>
  <si>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</si>
  <si>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</si>
  <si>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</si>
  <si>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</si>
  <si>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</si>
  <si>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</si>
  <si>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</si>
  <si>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</si>
  <si>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</si>
  <si>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</si>
  <si>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</si>
  <si>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</si>
  <si>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</si>
  <si>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</si>
  <si>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</si>
  <si>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</si>
  <si>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</si>
  <si>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</si>
  <si>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</si>
  <si>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</si>
  <si>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</si>
  <si>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</si>
  <si>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</si>
  <si>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</si>
  <si>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</si>
  <si>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</si>
  <si>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</si>
  <si>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</si>
  <si>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</si>
  <si>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</si>
  <si>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</si>
  <si>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</si>
  <si>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</si>
  <si>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</si>
  <si>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</si>
  <si>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</si>
  <si>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</si>
  <si>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</si>
  <si>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</si>
  <si>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</si>
  <si>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原義は「探針」。本設計では「実際に HTTP リクエストを送り、応答で認証の効き具合を確かめる検査」を指す。設定を読むのではなく、実物に触って確かめるのが特徴。</t>
    <phoneticPr fontId="2"/>
  </si>
  <si>
    <t>認証情報なしでリクエスト → 401/403（Cookie 系は 302）が返れば正常。2xx が返れば認証漏れ。</t>
    <phoneticPr fontId="2"/>
  </si>
  <si>
    <t>有効なトークン付きでリクエスト → 200 が返れば API 稼働とテスト健全性を確認。Negative との組合せで誤検知を防ぐ。</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</si>
  <si>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</si>
  <si>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</si>
  <si>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</si>
  <si>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</si>
  <si>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</si>
  <si>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</si>
  <si>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</si>
  <si>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</si>
  <si>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</si>
  <si>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A</t>
    <phoneticPr fontId="2"/>
  </si>
  <si>
    <t>03_構成図</t>
    <phoneticPr fontId="2"/>
  </si>
  <si>
    <t>図2 統合構成図（登録・トリガー・検査・通知 ①〜⑥）</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</si>
  <si>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</si>
  <si>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</si>
  <si>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</si>
  <si>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05_処理フロー</t>
    <phoneticPr fontId="2"/>
  </si>
  <si>
    <t>図5 検査シーケンス（1 回の実行 ①〜⑨）</t>
    <phoneticPr fontId="2"/>
  </si>
  <si>
    <t>図6 エンドツーエンド フロー（①〜⑧）</t>
    <phoneticPr fontId="2"/>
  </si>
  <si>
    <t>B</t>
    <phoneticPr fontId="2"/>
  </si>
  <si>
    <t>図8 受容した穴 2 つと補完レイヤーの関係</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</si>
  <si>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</si>
  <si>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</si>
  <si>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</si>
  <si>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</si>
  <si>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</si>
  <si>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</si>
  <si>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</si>
  <si>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</si>
  <si>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</si>
  <si>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</si>
  <si>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構成図</t>
    <phoneticPr fontId="2"/>
  </si>
  <si>
    <t>図1. 全体骨格（Pattern β）</t>
    <phoneticPr fontId="2"/>
  </si>
  <si>
    <t>【図1 全体骨格（Pattern β） 挿入位置】</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</si>
  <si>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</si>
  <si>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</si>
  <si>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</si>
  <si>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</si>
  <si>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</si>
  <si>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</si>
  <si>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</si>
  <si>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</si>
  <si>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</si>
  <si>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</si>
  <si>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</si>
  <si>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</si>
  <si>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</si>
  <si>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</si>
  <si>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</si>
  <si>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</si>
  <si>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</si>
  <si>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</si>
  <si>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</si>
  <si>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</si>
  <si>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</si>
  <si>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</si>
  <si>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</si>
  <si>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巡回読み取り（境界非経由）</t>
    <phoneticPr fontId="2"/>
  </si>
  <si>
    <t>同</t>
    <phoneticPr fontId="2"/>
  </si>
  <si>
    <t>自動登録・スナップショット・spec Put</t>
    <phoneticPr fontId="2"/>
  </si>
  <si>
    <t>中央内部</t>
    <phoneticPr fontId="2"/>
  </si>
  <si>
    <t>API GW / ALB（App A）</t>
    <phoneticPr fontId="2"/>
  </si>
  <si>
    <t>API GW / ALB（App B）</t>
    <phoneticPr fontId="2"/>
  </si>
  <si>
    <t>CRITICAL / WARN / INFO</t>
    <phoneticPr fontId="2"/>
  </si>
  <si>
    <t>SNS（P1/P2/P3）</t>
    <phoneticPr fontId="2"/>
  </si>
  <si>
    <t>図2. 統合構成図（登録・トリガー・検査・通知）</t>
    <phoneticPr fontId="2"/>
  </si>
  <si>
    <t>【図2 統合構成図（登録・トリガー・検査・通知 ①〜⑥） 挿入位置】</t>
    <phoneticPr fontId="2"/>
  </si>
  <si>
    <t>（外部）</t>
    <phoneticPr fontId="2"/>
  </si>
  <si>
    <t>運用者</t>
    <phoneticPr fontId="2"/>
  </si>
  <si>
    <t>1 時間毎</t>
    <phoneticPr fontId="2"/>
  </si>
  <si>
    <t>発見・差分検知・OpenAPI 取得</t>
    <phoneticPr fontId="2"/>
  </si>
  <si>
    <t>registry/（台帳 + スナップショット）／openapi/（spec コピー）</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</si>
  <si>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</si>
  <si>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</si>
  <si>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</si>
  <si>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</si>
  <si>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</si>
  <si>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</si>
  <si>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1 時間毎の起動</t>
    <phoneticPr fontId="2"/>
  </si>
  <si>
    <t>①</t>
    <phoneticPr fontId="2"/>
  </si>
  <si>
    <t>AssumeRole（読み取り）</t>
    <phoneticPr fontId="2"/>
  </si>
  <si>
    <t>②</t>
    <phoneticPr fontId="2"/>
  </si>
  <si>
    <t>③</t>
    <phoneticPr fontId="2"/>
  </si>
  <si>
    <t>④</t>
    <phoneticPr fontId="2"/>
  </si>
  <si>
    <t>台帳 + spec 取得</t>
    <phoneticPr fontId="2"/>
  </si>
  <si>
    <t>⑤</t>
    <phoneticPr fontId="2"/>
  </si>
  <si>
    <t>⑥</t>
    <phoneticPr fontId="2"/>
  </si>
  <si>
    <t>結果</t>
    <phoneticPr fontId="2"/>
  </si>
  <si>
    <t>製品から API を払い出す</t>
    <phoneticPr fontId="2"/>
  </si>
  <si>
    <t>App アカウント内</t>
    <phoneticPr fontId="2"/>
  </si>
  <si>
    <t>図3. AWS リソース構成図（アカウント横断・イン／アウト境界含む）</t>
    <phoneticPr fontId="2"/>
  </si>
  <si>
    <t>【図3 AWS リソース構成図（アカウント横断・イン／アウト境界） 挿入位置】</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</si>
  <si>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</si>
  <si>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</si>
  <si>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</si>
  <si>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</si>
  <si>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</si>
  <si>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</si>
  <si>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</si>
  <si>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</si>
  <si>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</si>
  <si>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Keycloak /token
client_credentials</t>
    <phoneticPr fontId="2"/>
  </si>
  <si>
    <t>発見 Lambda（VPC 外）</t>
    <phoneticPr fontId="2"/>
  </si>
  <si>
    <t>Secrets Manager
canary-central-readonly</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</si>
  <si>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</si>
  <si>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</si>
  <si>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</si>
  <si>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</si>
  <si>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</si>
  <si>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</si>
  <si>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</si>
  <si>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通信経路一覧（何が・どこを通るか）</t>
    <phoneticPr fontId="2"/>
  </si>
  <si>
    <t>経路</t>
    <phoneticPr fontId="2"/>
  </si>
  <si>
    <t>中身</t>
    <phoneticPr fontId="2"/>
  </si>
  <si>
    <t>通る境界</t>
    <phoneticPr fontId="2"/>
  </si>
  <si>
    <t>必要な許可</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</si>
  <si>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</si>
  <si>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</si>
  <si>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</si>
  <si>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HTTPS 443</t>
    <phoneticPr fontId="2"/>
  </si>
  <si>
    <t>同上（Out 非経由）</t>
    <phoneticPr fontId="2"/>
  </si>
  <si>
    <t>同上（宛先は認証基盤ドメイン固定）</t>
    <phoneticPr fontId="2"/>
  </si>
  <si>
    <t>C</t>
    <phoneticPr fontId="2"/>
  </si>
  <si>
    <t>境界非経由（AWS 網）</t>
    <phoneticPr fontId="2"/>
  </si>
  <si>
    <t>D</t>
    <phoneticPr fontId="2"/>
  </si>
  <si>
    <t>中央内部（台帳／仕様／Secrets／Metrics／通知）</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</si>
  <si>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</si>
  <si>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</si>
  <si>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</si>
  <si>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</si>
  <si>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</si>
  <si>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</si>
  <si>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</si>
  <si>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</si>
  <si>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</si>
  <si>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処理フロー（巡回 ①〜⑦ / 検査シーケンス / エンドツーエンド）</t>
    <phoneticPr fontId="2"/>
  </si>
  <si>
    <t>【図4 巡回フロー（①〜⑦ + 新規発見・消滅検知） 挿入位置】</t>
    <phoneticPr fontId="2"/>
  </si>
  <si>
    <t>ステップ</t>
    <phoneticPr fontId="2"/>
  </si>
  <si>
    <t>主体</t>
    <phoneticPr fontId="2"/>
  </si>
  <si>
    <t>相手</t>
    <phoneticPr fontId="2"/>
  </si>
  <si>
    <t>① 列挙</t>
    <phoneticPr fontId="2"/>
  </si>
  <si>
    <t>AWS Organizations</t>
    <phoneticPr fontId="2"/>
  </si>
  <si>
    <t>② AssumeRole</t>
    <phoneticPr fontId="2"/>
  </si>
  <si>
    <t>⑤ 差分判定</t>
    <phoneticPr fontId="2"/>
  </si>
  <si>
    <t>⑥ 内容取得</t>
    <phoneticPr fontId="2"/>
  </si>
  <si>
    <t>新規発見</t>
    <phoneticPr fontId="2"/>
  </si>
  <si>
    <t>消滅検知</t>
    <phoneticPr fontId="2"/>
  </si>
  <si>
    <t>（分岐）</t>
    <phoneticPr fontId="2"/>
  </si>
  <si>
    <t>メタ不足アラート</t>
    <phoneticPr fontId="2"/>
  </si>
  <si>
    <t>図5. 検査シーケンス（1 回の実行）</t>
    <phoneticPr fontId="2"/>
  </si>
  <si>
    <t>【図5 検査シーケンス（1 回の実行 ①〜⑨） 挿入位置】</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</si>
  <si>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</si>
  <si>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</si>
  <si>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</si>
  <si>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</si>
  <si>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</si>
  <si>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</si>
  <si>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⑦</t>
    <phoneticPr fontId="2"/>
  </si>
  <si>
    <t>Alert Router</t>
    <phoneticPr fontId="2"/>
  </si>
  <si>
    <t>⑧</t>
    <phoneticPr fontId="2"/>
  </si>
  <si>
    <t>putMetrics（per-app 集計）</t>
    <phoneticPr fontId="2"/>
  </si>
  <si>
    <t>⑨</t>
    <phoneticPr fontId="2"/>
  </si>
  <si>
    <t>CRITICAL があれば AuthCheckCritical 発火</t>
    <phoneticPr fontId="2"/>
  </si>
  <si>
    <t>図6. エンドツーエンド フロー（deploy → 検知 → 通知 → 是正）</t>
    <phoneticPr fontId="2"/>
  </si>
  <si>
    <t>【図6 エンドツーエンド フロー（①〜⑧） 挿入位置】</t>
    <phoneticPr fontId="2"/>
  </si>
  <si>
    <t>段階</t>
    <phoneticPr fontId="2"/>
  </si>
  <si>
    <t>静的解析 pass</t>
    <phoneticPr fontId="2"/>
  </si>
  <si>
    <t>最大 1h 後に検知・登録・spec 取得</t>
    <phoneticPr fontId="2"/>
  </si>
  <si>
    <t>起動</t>
    <phoneticPr fontId="2"/>
  </si>
  <si>
    <t>Negative + Positive</t>
    <phoneticPr fontId="2"/>
  </si>
  <si>
    <t>4×4 真偽値表。OK → Metrics 記録のみ／CRITICAL・WARN・INFO → ⑥へ</t>
    <phoneticPr fontId="2"/>
  </si>
  <si>
    <t>是正</t>
    <phoneticPr fontId="2"/>
  </si>
  <si>
    <t>SLA 内</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</si>
  <si>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</si>
  <si>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</si>
  <si>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</si>
  <si>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</si>
  <si>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</si>
  <si>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</si>
  <si>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</si>
  <si>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</si>
  <si>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</si>
  <si>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</si>
  <si>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</si>
  <si>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</si>
  <si>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</si>
  <si>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モード</t>
    <phoneticPr fontId="2"/>
  </si>
  <si>
    <t>トリガ</t>
    <phoneticPr fontId="2"/>
  </si>
  <si>
    <t>範囲</t>
    <phoneticPr fontId="2"/>
  </si>
  <si>
    <t>頻度</t>
    <phoneticPr fontId="2"/>
  </si>
  <si>
    <t>変更のあったアプリの全 endpoint</t>
    <phoneticPr fontId="2"/>
  </si>
  <si>
    <t>1 時間毎（検知遅延 最大 1h）</t>
    <phoneticPr fontId="2"/>
  </si>
  <si>
    <t>Phase 1</t>
    <phoneticPr fontId="2"/>
  </si>
  <si>
    <t>全アプリ全 endpoint</t>
    <phoneticPr fontId="2"/>
  </si>
  <si>
    <t>・重要 endpoint の定義はアプリチームと会話しないと決められない（全 GET か / 認証必須のみか / 業務上の重要度か）。</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</si>
  <si>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</si>
  <si>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</si>
  <si>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</si>
  <si>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</si>
  <si>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</si>
  <si>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</si>
  <si>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</si>
  <si>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</si>
  <si>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EventBridge Scheduler（1h）起動。Organizations 列挙 + 読み取り AssumeRole + 差分判定</t>
    <phoneticPr fontId="2"/>
  </si>
  <si>
    <t>lib/probe.js / classify.js / emit.js を共通流用。synthetics 抽象を素の https 実装で注入</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</si>
  <si>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</si>
  <si>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</si>
  <si>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</si>
  <si>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</si>
  <si>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起動例</t>
    <phoneticPr fontId="2"/>
  </si>
  <si>
    <t>コスト</t>
    <phoneticPr fontId="2"/>
  </si>
  <si>
    <t>6. 受容した穴 2 つと補完レイヤー</t>
    <phoneticPr fontId="2"/>
  </si>
  <si>
    <t>【図8 受容した穴 2 つと補完レイヤーの関係 挿入位置】</t>
    <phoneticPr fontId="2"/>
  </si>
  <si>
    <t>穴</t>
    <phoneticPr fontId="2"/>
  </si>
  <si>
    <t>補完レイヤー</t>
    <phoneticPr fontId="2"/>
  </si>
  <si>
    <t>① コンソール直変更</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</si>
  <si>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</si>
  <si>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</si>
  <si>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</si>
  <si>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</si>
  <si>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</si>
  <si>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</si>
  <si>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probe lib</t>
    <phoneticPr fontId="2"/>
  </si>
  <si>
    <t>共通</t>
    <phoneticPr fontId="2"/>
  </si>
  <si>
    <t>共通（不変）</t>
    <phoneticPr fontId="2"/>
  </si>
  <si>
    <t>canary FAIL → SuccessPercent&lt;100</t>
    <phoneticPr fontId="2"/>
  </si>
  <si>
    <t>CloudWatch metric AuthCheckCritical &gt; 0</t>
    <phoneticPr fontId="2"/>
  </si>
  <si>
    <t>run ごと $0.0012 上乗せ + 定期実行分</t>
    <phoneticPr fontId="2"/>
  </si>
  <si>
    <t>1. App Registry（S3 台帳）スキーマ</t>
    <phoneticPr fontId="2"/>
  </si>
  <si>
    <t>"appId": "expense-api",</t>
  </si>
  <si>
    <t>"appId": "expense-api",</t>
    <phoneticPr fontId="2"/>
  </si>
  <si>
    <t>"env": "prod",</t>
  </si>
  <si>
    <t>"env": "prod",</t>
    <phoneticPr fontId="2"/>
  </si>
  <si>
    <t>"baseUrl": "https://expense.example.com",</t>
  </si>
  <si>
    <t>"authPattern": "api-gw-jwt",</t>
  </si>
  <si>
    <t>"authPattern": "api-gw-jwt",</t>
    <phoneticPr fontId="2"/>
  </si>
  <si>
    <t>"openApiS3Key": "openapi/111122223333/expense-api/openapi.yaml",</t>
  </si>
  <si>
    <t>"testTokenSecret": "canary-central-readonly",</t>
  </si>
  <si>
    <t>"alertRouting": { "p1": "arn:aws:sns:...:security" },</t>
  </si>
  <si>
    <t>"enabled": true,</t>
  </si>
  <si>
    <t>"registeredAt": "2026-07-06T00:00:00Z",</t>
  </si>
  <si>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</si>
  <si>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</si>
  <si>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</si>
  <si>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</si>
  <si>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</si>
  <si>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【図10 メタデータの供給関係（誰が何を決めるか） 挿入位置】</t>
    <phoneticPr fontId="2"/>
  </si>
  <si>
    <t>CloudFront URL</t>
    <phoneticPr fontId="2"/>
  </si>
  <si>
    <t>5. OpenAPI アノテーションと MON-1（公開明示は必須・default-deny）</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</si>
  <si>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</si>
  <si>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</si>
  <si>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</si>
  <si>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</si>
  <si>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</si>
  <si>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</si>
  <si>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</si>
  <si>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</si>
  <si>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</si>
  <si>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</si>
  <si>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</si>
  <si>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</si>
  <si>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</si>
  <si>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</si>
  <si>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</si>
  <si>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</si>
  <si>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</si>
  <si>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</si>
  <si>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【図11 4×4 真偽値表から通知先までの振り分け 挿入位置】</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</si>
  <si>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</si>
  <si>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</si>
  <si>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</si>
  <si>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</si>
  <si>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</si>
  <si>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</si>
  <si>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</si>
  <si>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</si>
  <si>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</si>
  <si>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</si>
  <si>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</si>
  <si>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</si>
  <si>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</si>
  <si>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</si>
  <si>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</si>
  <si>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</si>
  <si>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</si>
  <si>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</si>
  <si>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</si>
  <si>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</si>
  <si>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</si>
  <si>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</si>
  <si>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</si>
  <si>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</si>
  <si>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各アプリチーム</t>
    <phoneticPr fontId="2"/>
  </si>
  <si>
    <t>Keycloak /token（client_credentials）</t>
    <phoneticPr fontId="2"/>
  </si>
  <si>
    <t>認証基盤</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</si>
  <si>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</si>
  <si>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</si>
  <si>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</si>
  <si>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</si>
  <si>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</si>
  <si>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中央 → App アカウント（読み取り）</t>
    <phoneticPr fontId="2"/>
  </si>
  <si>
    <t>中央 → App アカウント</t>
    <phoneticPr fontId="2"/>
  </si>
  <si>
    <t>Public CloudFront URL</t>
    <phoneticPr fontId="2"/>
  </si>
  <si>
    <t>権限不要</t>
    <phoneticPr fontId="2"/>
  </si>
  <si>
    <t>中央 → 認証基盤</t>
    <phoneticPr fontId="2"/>
  </si>
  <si>
    <t>Public URL</t>
    <phoneticPr fontId="2"/>
  </si>
  <si>
    <t>3. DiscoveryReadRole の設計</t>
    <phoneticPr fontId="2"/>
  </si>
  <si>
    <t>【図12 クロスアカウント IAM の関係 挿入位置】</t>
    <phoneticPr fontId="2"/>
  </si>
  <si>
    <t>各 App アカウントに読み取り専用ロールを 1 つ配布し、中央の発見 Lambda だけが引き受けられるようにする</t>
    <phoneticPr fontId="2"/>
  </si>
  <si>
    <t>"Effect": "Allow",</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</si>
  <si>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</si>
  <si>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</si>
  <si>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</si>
  <si>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</si>
  <si>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・信頼先を発見 Lambda のロール 1 本に限定 + ExternalId（confused deputy 防止）</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</si>
  <si>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</si>
  <si>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</si>
  <si>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</si>
  <si>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</si>
  <si>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</si>
  <si>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</si>
  <si>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</si>
  <si>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</si>
  <si>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</si>
  <si>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</si>
  <si>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</si>
  <si>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</si>
  <si>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</si>
  <si>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</si>
  <si>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</si>
  <si>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</si>
  <si>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</si>
  <si>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</si>
  <si>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</si>
  <si>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</si>
  <si>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</si>
  <si>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</si>
  <si>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</si>
  <si>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</si>
  <si>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</si>
  <si>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</si>
  <si>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</si>
  <si>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</si>
  <si>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</si>
  <si>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</si>
  <si>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</si>
  <si>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</si>
  <si>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</si>
  <si>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</si>
  <si>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</si>
  <si>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</si>
  <si>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</si>
  <si>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</si>
  <si>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</si>
  <si>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</si>
  <si>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</si>
  <si>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</si>
  <si>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認証実装チェック Lambda → Keycloak /token（client_credentials grant）</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</si>
  <si>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</si>
  <si>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</si>
  <si>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</si>
  <si>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</si>
  <si>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</si>
  <si>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</si>
  <si>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</si>
  <si>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</si>
  <si>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</si>
  <si>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</si>
  <si>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</si>
  <si>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</si>
  <si>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</si>
  <si>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</si>
  <si>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</si>
  <si>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</si>
  <si>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</si>
  <si>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</si>
  <si>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</si>
  <si>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</si>
  <si>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</si>
  <si>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</si>
  <si>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</si>
  <si>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</si>
  <si>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</si>
  <si>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</si>
  <si>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</si>
  <si>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</si>
  <si>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</si>
  <si>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</si>
  <si>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</si>
  <si>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</si>
  <si>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</si>
  <si>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</si>
  <si>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</si>
  <si>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</si>
  <si>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</si>
  <si>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</si>
  <si>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</si>
  <si>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</si>
  <si>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</si>
  <si>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</si>
  <si>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</si>
  <si>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</si>
  <si>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</si>
  <si>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</si>
  <si>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</si>
  <si>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</si>
  <si>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</si>
  <si>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</si>
  <si>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</si>
  <si>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</si>
  <si>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</si>
  <si>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</si>
  <si>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</si>
  <si>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</si>
  <si>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</si>
  <si>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</si>
  <si>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</si>
  <si>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</si>
  <si>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</si>
  <si>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</si>
  <si>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</si>
  <si>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</si>
  <si>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</si>
  <si>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</si>
  <si>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</si>
  <si>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</si>
  <si>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</si>
  <si>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</si>
  <si>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</si>
  <si>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</si>
  <si>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</si>
  <si>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</si>
  <si>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M-Q-11-1</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</si>
  <si>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</si>
  <si>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</si>
  <si>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</si>
  <si>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</si>
  <si>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</si>
  <si>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</si>
  <si>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</si>
  <si>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</si>
  <si>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</si>
  <si>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</si>
  <si>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</si>
  <si>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</si>
  <si>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M-Q-13-1</t>
    <phoneticPr fontId="2"/>
  </si>
  <si>
    <t>OpenAPI を持たないレガシー API の扱い</t>
    <phoneticPr fontId="2"/>
  </si>
  <si>
    <t>M-Q-13-2</t>
    <phoneticPr fontId="2"/>
  </si>
  <si>
    <t>S3 Object Lock（改ざん防止）の要否</t>
    <phoneticPr fontId="2"/>
  </si>
  <si>
    <t>M-Q-13-3</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</si>
  <si>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</si>
  <si>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</si>
  <si>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</si>
  <si>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</si>
  <si>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</si>
  <si>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</si>
  <si>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</si>
  <si>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</si>
  <si>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</si>
  <si>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</si>
  <si>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</si>
  <si>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</si>
  <si>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</si>
  <si>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</si>
  <si>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</si>
  <si>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M-Q-17-1</t>
    <phoneticPr fontId="2"/>
  </si>
  <si>
    <t>M-Q-17-2</t>
    <phoneticPr fontId="2"/>
  </si>
  <si>
    <t>対象アカウントの範囲指定（Organizations 全体 / 特定 OU / 明示リスト）</t>
    <phoneticPr fontId="2"/>
  </si>
  <si>
    <t>M-Q-17-3</t>
    <phoneticPr fontId="2"/>
  </si>
  <si>
    <t>M-Q-17-4</t>
    <phoneticPr fontId="2"/>
  </si>
  <si>
    <t>M-Q-17-5</t>
    <phoneticPr fontId="2"/>
  </si>
  <si>
    <t>消滅検知（enabled=false 化）とアプリ廃止手続きの運用整合</t>
    <phoneticPr fontId="2"/>
  </si>
  <si>
    <t>M-Q-17-6</t>
    <phoneticPr fontId="2"/>
  </si>
  <si>
    <t>M-Q-18-1</t>
    <phoneticPr fontId="2"/>
  </si>
  <si>
    <t>M-Q-18-3</t>
    <phoneticPr fontId="2"/>
  </si>
  <si>
    <t>結論</t>
    <phoneticPr fontId="2"/>
  </si>
  <si>
    <t>M-Q-18-2</t>
    <phoneticPr fontId="2"/>
  </si>
  <si>
    <t>解決: 中央巡回（pull、1h）に統一（ADR-061）</t>
    <phoneticPr fontId="2"/>
  </si>
  <si>
    <t>M-Q-18-4</t>
    <phoneticPr fontId="2"/>
  </si>
  <si>
    <t>注記: 文書情報の作成者・承認者、改訂履歴の担当、および本シートの担当・期限は未定のため空欄とする（記入用）。</t>
    <phoneticPr fontId="2"/>
  </si>
  <si>
    <t>ADR</t>
    <phoneticPr fontId="2"/>
  </si>
  <si>
    <t>タイトル</t>
    <phoneticPr fontId="2"/>
  </si>
  <si>
    <t>本書での扱い</t>
    <phoneticPr fontId="2"/>
  </si>
  <si>
    <t>参照のみ（番号参照）</t>
    <phoneticPr fontId="2"/>
  </si>
  <si>
    <t>Central Auth Check Canary Architecture（Pattern β）</t>
    <phoneticPr fontId="2"/>
  </si>
  <si>
    <t>ADR-039</t>
    <phoneticPr fontId="2"/>
  </si>
  <si>
    <t>Centralized Network Account Edge Layer（インターネット境界 CloudFront + WAF）</t>
    <phoneticPr fontId="2"/>
  </si>
  <si>
    <t>本文中で境界層の根拠として言及</t>
    <phoneticPr fontId="2"/>
  </si>
  <si>
    <t>第 10 章 外形監視 概要</t>
    <phoneticPr fontId="2"/>
  </si>
  <si>
    <t>第 12 章 App Registry 設計</t>
    <phoneticPr fontId="2"/>
  </si>
  <si>
    <t>第 13 章 OpenAPI Registry 設計</t>
    <phoneticPr fontId="2"/>
  </si>
  <si>
    <t>第 15 章 Alert Routing 設計</t>
    <phoneticPr fontId="2"/>
  </si>
  <si>
    <t>第 16 章 クロスアカウント IAM 設計</t>
    <phoneticPr fontId="2"/>
  </si>
  <si>
    <t>第 17 章 デプロイ連携・登録</t>
    <phoneticPr fontId="2"/>
  </si>
  <si>
    <t>第 18 章 スキャンモードとスケジューリング</t>
    <phoneticPr fontId="2"/>
  </si>
  <si>
    <t>対象外</t>
    <phoneticPr fontId="2"/>
  </si>
  <si>
    <t>要件定義であり基本設計の写しの対象外</t>
    <phoneticPr fontId="2"/>
  </si>
  <si>
    <t>検証の経過記録であり現行仕様ではない</t>
    <phoneticPr fontId="2"/>
  </si>
  <si>
    <t>実装コード本体</t>
    <phoneticPr fontId="2"/>
  </si>
  <si>
    <t>実装物</t>
    <phoneticPr fontId="2"/>
  </si>
  <si>
    <t>central-probe-lib</t>
    <phoneticPr fontId="2"/>
  </si>
  <si>
    <t>巡回発見（発見 Lambda）</t>
    <phoneticPr fontId="2"/>
  </si>
  <si>
    <t>AppId / Env / CostCenter / Owner を入力して払い出す。この製品には「認証が必ず有効な API」「Origin Protection」「必須タグ」があらかじめ組み込まれている。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</si>
  <si>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</si>
  <si>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</si>
  <si>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</si>
  <si>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</si>
  <si>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s3.ap-northeast-1.amazonaws.com</t>
  </si>
  <si>
    <t/>
  </si>
  <si>
    <t>◎</t>
  </si>
  <si>
    <t>0.4</t>
    <phoneticPr fontId="2"/>
  </si>
  <si>
    <t>2026-08-19</t>
    <phoneticPr fontId="2"/>
  </si>
  <si>
    <t>外部調整</t>
  </si>
  <si>
    <t>基盤IaC</t>
  </si>
  <si>
    <t>0.5</t>
    <phoneticPr fontId="2"/>
  </si>
  <si>
    <t>基盤IaC</t>
    <phoneticPr fontId="2"/>
  </si>
  <si>
    <t>A5-i</t>
  </si>
  <si>
    <t>S0-d</t>
  </si>
  <si>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</si>
  <si>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</si>
  <si>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</si>
  <si>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</si>
  <si>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phoneticPr fontId="2"/>
  </si>
  <si>
    <t>「14_WBS」を v3 に全面改訂（明細 125 行: W1 6 / W2-A 25 / W2-B 10 / W2-C 65 / W3 9 / W4〜W7 10。設計・実装・単体テストを ID 規約 -d/-i/-t で分離）。「15_WBS集計」を追加</t>
    <phoneticPr fontId="2"/>
  </si>
  <si>
    <t>0.7</t>
    <phoneticPr fontId="2"/>
  </si>
  <si>
    <t xml:space="preserve"> </t>
    <phoneticPr fontId="2"/>
  </si>
  <si>
    <t>同 実装</t>
  </si>
  <si>
    <t>0.8</t>
    <phoneticPr fontId="2"/>
  </si>
  <si>
    <t>WBS v4 差分を反映: 手動変更検知（deploymentId 併読）の C12-d/i/t を新設（3 行・+9 人時）、W1-6 を「無ければ実装必須」に格上げ、S0-d を権限 6 アクション化、W5-1・W4-1 に「変更は必ず git 経由」原則を明記。明細 128 行・総合計 486.5 人時</t>
    <phoneticPr fontId="2"/>
  </si>
  <si>
    <t>現行仕様のみを断定形で記述する。設計に至った経緯は本文に書かず ADR-061 / ADR-059 を参照する。参照元資料のタイトル・所在は「13_出典一覧」シートにまとめる。</t>
    <phoneticPr fontId="2"/>
  </si>
  <si>
    <t>0.2</t>
    <phoneticPr fontId="2"/>
  </si>
  <si>
    <t>2026-08-18</t>
    <phoneticPr fontId="2"/>
  </si>
  <si>
    <t>レビュー指摘を反映（定めることの重複解消、D-M-14-4「検査 用 VPC」への修正、D-M-14-5 の判断追記、ListAccounts の未決制約注記、真偽値表記の統一、Runtime 表の 3 Lambda 化 ほか）。詳細通信フロー（W / P / N）、用語「STS / AssumeRole」、図14 発報フロー（2 系統）を追加</t>
    <phoneticPr fontId="2"/>
  </si>
  <si>
    <t>0.3</t>
    <phoneticPr fontId="2"/>
  </si>
  <si>
    <t>「14_WBS_Phase3-4」シートを追加（Phase 3 実装〜リリースの残作業 WBS・工数見積 32 タスク、集計・リスク・スコープ外）</t>
    <phoneticPr fontId="2"/>
  </si>
  <si>
    <t>「14_WBS」を追加（明細 75 行・オートフィルタ・区分の入力規則）。集計はピボットで行うため小計行と集計シートは持たない</t>
    <phoneticPr fontId="2"/>
  </si>
  <si>
    <t>WBS 内容列に用語補足を追記（15 行）・区分「改修」の定義を明記（15_WBS集計 前提 5）・W1 外部調整の記述を自立説明化（タスク名を平易化、内容を【これは何か】【なぜ調整が必要か】【やること】の 3 部構成に）</t>
    <phoneticPr fontId="2"/>
  </si>
  <si>
    <t>アプリチームが実装する認証の実装漏れを中央で継続検知する仕組み（＝認証実装確認処理）の基本設計。
ガイドラインが「アプリチームが守るルール」を定めるのに対し、本書は共通基盤チームが運用する中央機構の設計を定める。</t>
    <phoneticPr fontId="2"/>
  </si>
  <si>
    <t>静的解析や Config Rules は設定・コードの検査であり、実際に稼働中の API が未認証リクエストを弾いているかは保証できない。
実トラフィックで確認する外形監視が最後の砦になる。</t>
    <phoneticPr fontId="2"/>
  </si>
  <si>
    <t>静的解析をすり抜けた認証漏れを、稼働後に 検査 → 分類 → 通知 → 是正で捕捉する。</t>
    <phoneticPr fontId="2"/>
  </si>
  <si>
    <t>検査 範囲</t>
    <phoneticPr fontId="2"/>
  </si>
  <si>
    <t>検査 経路</t>
    <phoneticPr fontId="2"/>
  </si>
  <si>
    <t>STS / AssumeRole</t>
    <phoneticPr fontId="2"/>
  </si>
  <si>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phoneticPr fontId="2"/>
  </si>
  <si>
    <t>区分 A = 既存の設計図を描き直すもの。区分 B = 本書の表・記述を図化するもの（内容の追加はしない）。</t>
    <phoneticPr fontId="2"/>
  </si>
  <si>
    <t>認証実装確認処理を主体としたシーケンス図。①台帳 scan ②spec fetch ③extractEndpoints ④未認証検査 ⑤正規検査 ⑥分類 ⑦Alert Router 起動 ⑧putMetrics ⑨AuthCheckCritical。アプリループと endpoint ループの入れ子を明示</t>
    <phoneticPr fontId="2"/>
  </si>
  <si>
    <t>図7 実行モードの時間軸と 検査 範囲</t>
    <phoneticPr fontId="2"/>
  </si>
  <si>
    <t>認証基盤の canary 専用サービスアカウント（client_id / secret）→ Secrets Manager（共通基盤）→ 認証実装チェック Lambda ロールのみ取得可 → /token（client_credentials）→ 短命トークン（5〜15 分）→ 正規検査 → 破棄。スコープ A 採用・B 目標を注記</t>
    <phoneticPr fontId="2"/>
  </si>
  <si>
    <t>図14 発報フロー（2 系統）</t>
    <phoneticPr fontId="2"/>
  </si>
  <si>
    <t>即時系: 認証実装チェック Lambda → Alert Router（分類 済みイベント 起動）→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phoneticPr fontId="2"/>
  </si>
  <si>
    <t>検査（In 境界経由）</t>
    <phoneticPr fontId="2"/>
  </si>
  <si>
    <t>検査 / 分類 lib 共通</t>
    <phoneticPr fontId="2"/>
  </si>
  <si>
    <t>未認証/正規検査（実 UX と同じ境界経由）</t>
    <phoneticPr fontId="2"/>
  </si>
  <si>
    <t>インターネット経路には接続しない（非経由。NW-2 の明示的例外、M-Q-10-3）</t>
    <phoneticPr fontId="2"/>
  </si>
  <si>
    <t>検査 → アプリ（Negative / Positive）</t>
    <phoneticPr fontId="2"/>
  </si>
  <si>
    <t>検査 → 認証基盤 /token（Positive 用短命トークン）</t>
    <phoneticPr fontId="2"/>
  </si>
  <si>
    <t>S3（Monitoring Registry）/ Secrets / CloudWatch / SNS / Lambda 起動</t>
    <phoneticPr fontId="2"/>
  </si>
  <si>
    <t>5. 実装状態（「検証済み」と「未実装」を混同しないための一覧）。本設計は机上でなくローカル環境で実際に走らせて検証している。</t>
    <phoneticPr fontId="2"/>
  </si>
  <si>
    <t>認証実装確認処理 本体（OpenAPI 動的発見、Hybrid 検証、4×4 分類）。node --test で 27 PASS（分類 16 + 検査 統合 4 + extractEndpoints 7）</t>
    <phoneticPr fontId="2"/>
  </si>
  <si>
    <t>4×4 分類 → SNS routing。LocalStack 3.8.1 で台帳から alertRouting.p1 を解決し SNS Publish まで検証済み</t>
    <phoneticPr fontId="2"/>
  </si>
  <si>
    <t>full orchestration E2E（認証実装チェック Lambda E2E / 正規検査 / metrics 着地）</t>
    <phoneticPr fontId="2"/>
  </si>
  <si>
    <t>ロジックは検証済み。残るは AWS 環境依存の full-run。要 PoC 項目あり</t>
    <phoneticPr fontId="2"/>
  </si>
  <si>
    <t>静的解析ルール（cfn-guard 3 + Semgrep 3）</t>
    <phoneticPr fontId="2"/>
  </si>
  <si>
    <t>フィクスチャ検証済み</t>
    <phoneticPr fontId="2"/>
  </si>
  <si>
    <t>ローカル検証で実バグ 2 件を修正。静的解析自体は本機構のスコープ外（別領域）だが、本設計のローカル検証範囲に含む</t>
    <phoneticPr fontId="2"/>
  </si>
  <si>
    <t>4×4 分類に基づく SNS Publish</t>
    <phoneticPr fontId="2"/>
  </si>
  <si>
    <t>描くべき内容: ①台帳 scan ②spec fetch ③extractEndpoints ④未認証検査 ⑤正規検査 ⑥分類 ⑦Alert Router 起動 ⑧putMetrics ⑨AuthCheckCritical。アプリループと endpoint ループの入れ子を明示</t>
    <phoneticPr fontId="2"/>
  </si>
  <si>
    <t>（各 endpoint のループ）未認証検査（認証ヘッダなし）</t>
    <phoneticPr fontId="2"/>
  </si>
  <si>
    <t>正規検査（Bearer 等、対象時のみ）</t>
    <phoneticPr fontId="2"/>
  </si>
  <si>
    <t>分類（4×4 真偽値表）</t>
    <phoneticPr fontId="2"/>
  </si>
  <si>
    <t>severity != OK のとき 起動AlertRouter</t>
    <phoneticPr fontId="2"/>
  </si>
  <si>
    <t>実装対応: index.js（ハンドラ）+ lib/registry.js（①）+ lib/openapi.js（②③）+ lib/probe.js（④⑤）+ lib/classify.js（⑥）+ lib/emit.js（⑦⑧）</t>
    <phoneticPr fontId="2"/>
  </si>
  <si>
    <t>検査</t>
    <phoneticPr fontId="2"/>
  </si>
  <si>
    <t>注記: 静的解析をすり抜けた認証漏れを、稼働後に ④〜⑧ で捕捉するのが本機構の存在意義。①〜③はライフサイクル、④〜⑤の 1 実行内の詳細は図5 の検査シーケンスに示す。</t>
    <phoneticPr fontId="2"/>
  </si>
  <si>
    <t>具体的ユースケース（OpenAPI → 検査 → 分類 → alert）</t>
    <phoneticPr fontId="2"/>
  </si>
  <si>
    <t>詳細通信フロー（構成図作成用：アカウント × リソース × 経由エンドポイント）</t>
    <phoneticPr fontId="2"/>
  </si>
  <si>
    <t>通信経路 A〜D を、構成図に矢印を引ける粒度（ステップごとの発信元 / 宛先 / 経由エンドポイント / 認証）まで分解する。リージョンは例として ap-northeast-1。VPC 外 Lambda の通信は AWS API 宛 = AWS 網内、インターネット宛（検査 / token）= Lambda マネージド egress から直接（アウトバウンド境界は非経由）。</t>
    <phoneticPr fontId="2"/>
  </si>
  <si>
    <t>通信</t>
    <phoneticPr fontId="2"/>
  </si>
  <si>
    <t>発信元（アカウント / リソース）</t>
    <phoneticPr fontId="2"/>
  </si>
  <si>
    <t>宛先（アカウント / リソース）</t>
    <phoneticPr fontId="2"/>
  </si>
  <si>
    <t>経由・エンドポイント</t>
    <phoneticPr fontId="2"/>
  </si>
  <si>
    <t>プロトコル・認証</t>
    <phoneticPr fontId="2"/>
  </si>
  <si>
    <t>W1</t>
    <phoneticPr fontId="2"/>
  </si>
  <si>
    <t>W2</t>
    <phoneticPr fontId="2"/>
  </si>
  <si>
    <t>定期起動</t>
    <phoneticPr fontId="2"/>
  </si>
  <si>
    <t>共通基盤 / EventBridge Scheduler</t>
    <phoneticPr fontId="2"/>
  </si>
  <si>
    <t>共通基盤 / 発見 Lambda</t>
    <phoneticPr fontId="2"/>
  </si>
  <si>
    <t>AWS サービス間（Scheduler → lambda.ap-northeast-1.amazonaws.com）</t>
    <phoneticPr fontId="2"/>
  </si>
  <si>
    <t>Scheduler 実行ロールで 起動</t>
    <phoneticPr fontId="2"/>
  </si>
  <si>
    <t>W3</t>
    <phoneticPr fontId="2"/>
  </si>
  <si>
    <t>対象アカウント列挙</t>
    <phoneticPr fontId="2"/>
  </si>
  <si>
    <t>方式未確定（M-Q-17-2）</t>
    <phoneticPr fontId="2"/>
  </si>
  <si>
    <t>※ organizations:ListAccounts は管理アカウント（or delegated admin）でしか呼べない → 案 a: 管理アカウントの列挙用ロールへ AssumeRole（organizations.us-east-1.amazonaws.com、グローバル）/ 案 b: 静的リスト（SSM / 設定ファイル）</t>
    <phoneticPr fontId="2"/>
  </si>
  <si>
    <t>443、IAM</t>
    <phoneticPr fontId="2"/>
  </si>
  <si>
    <t>W4</t>
    <phoneticPr fontId="2"/>
  </si>
  <si>
    <t>AssumeRole</t>
    <phoneticPr fontId="2"/>
  </si>
  <si>
    <t>共通基盤 / 発見 Lambda（DiscoveryLambdaRole）</t>
    <phoneticPr fontId="2"/>
  </si>
  <si>
    <t>App / DiscoveryReadRole</t>
    <phoneticPr fontId="2"/>
  </si>
  <si>
    <t>sts.ap-northeast-1.amazonaws.com（リージョナル STS）</t>
    <phoneticPr fontId="2"/>
  </si>
  <si>
    <t>443、sts:AssumeRole + ExternalId</t>
    <phoneticPr fontId="2"/>
  </si>
  <si>
    <t>W5</t>
    <phoneticPr fontId="2"/>
  </si>
  <si>
    <t>共通基盤 / 発見 Lambda（DiscoveryReadRole の一時クレデンシャル）</t>
    <phoneticPr fontId="2"/>
  </si>
  <si>
    <t>W6</t>
    <phoneticPr fontId="2"/>
  </si>
  <si>
    <t>台帳読取</t>
    <phoneticPr fontId="2"/>
  </si>
  <si>
    <t>共通基盤 / Monitoring Registry S3 registry/</t>
    <phoneticPr fontId="2"/>
  </si>
  <si>
    <t>s3.ap-northeast-1.amazonaws.com</t>
    <phoneticPr fontId="2"/>
  </si>
  <si>
    <t>W7</t>
    <phoneticPr fontId="2"/>
  </si>
  <si>
    <t>W8</t>
    <phoneticPr fontId="2"/>
  </si>
  <si>
    <t>台帳更新 + spec 配置</t>
    <phoneticPr fontId="2"/>
  </si>
  <si>
    <t>共通基盤 / Monitoring Registry S3（registry/ + openapi/）</t>
    <phoneticPr fontId="2"/>
  </si>
  <si>
    <t>443、PutObject</t>
    <phoneticPr fontId="2"/>
  </si>
  <si>
    <t>W9</t>
    <phoneticPr fontId="2"/>
  </si>
  <si>
    <t>共通基盤 / 認証実装チェック Lambda</t>
    <phoneticPr fontId="2"/>
  </si>
  <si>
    <t>lambda.ap-northeast-1.amazonaws.com</t>
    <phoneticPr fontId="2"/>
  </si>
  <si>
    <t>443、lambda:InvokeFunction</t>
    <phoneticPr fontId="2"/>
  </si>
  <si>
    <t>台帳・spec 取得</t>
    <phoneticPr fontId="2"/>
  </si>
  <si>
    <t>共通基盤 / Monitoring Registry S3</t>
    <phoneticPr fontId="2"/>
  </si>
  <si>
    <t>クライアント資格情報取得</t>
    <phoneticPr fontId="2"/>
  </si>
  <si>
    <t>共通基盤 / Secrets Manager（canary-central-readonly）</t>
    <phoneticPr fontId="2"/>
  </si>
  <si>
    <t>secretsmanager.ap-northeast-1.amazonaws.com</t>
    <phoneticPr fontId="2"/>
  </si>
  <si>
    <t>443、IAM（+ KMS）</t>
    <phoneticPr fontId="2"/>
  </si>
  <si>
    <t>短命トークン取得（Positive 用）</t>
    <phoneticPr fontId="2"/>
  </si>
  <si>
    <t>Broker（認証基盤）/ Keycloak 公開 /token</t>
    <phoneticPr fontId="2"/>
  </si>
  <si>
    <t>Lambda マネージド egress → インターネット → 認証基盤の公開エンドポイント（認証基盤側の境界・経路はそちらの設計に従う）</t>
    <phoneticPr fontId="2"/>
  </si>
  <si>
    <t>443、OAuth client_credentials</t>
    <phoneticPr fontId="2"/>
  </si>
  <si>
    <t>P4</t>
    <phoneticPr fontId="2"/>
  </si>
  <si>
    <t>Negative / 正規検査</t>
    <phoneticPr fontId="2"/>
  </si>
  <si>
    <t>App / API GW・ALB（ただし直接ではない）</t>
    <phoneticPr fontId="2"/>
  </si>
  <si>
    <t>Lambda マネージド egress → インターネット → ネットワーク監査 / アプリごとの CloudFront + WAF → Origin Protection（X-Origin-Verify + prefix list）→ App / API GW（execute-api リージョナル）or ALB</t>
    <phoneticPr fontId="2"/>
  </si>
  <si>
    <t>443。Negative = 認証ヘッダなし / Positive = Bearer（P3 のトークン）</t>
    <phoneticPr fontId="2"/>
  </si>
  <si>
    <t>P5</t>
    <phoneticPr fontId="2"/>
  </si>
  <si>
    <t>メトリクス発行</t>
    <phoneticPr fontId="2"/>
  </si>
  <si>
    <t>共通基盤 / CloudWatch Metrics（APIPlatform/AuthCheck）</t>
    <phoneticPr fontId="2"/>
  </si>
  <si>
    <t>monitoring.ap-northeast-1.amazonaws.com</t>
    <phoneticPr fontId="2"/>
  </si>
  <si>
    <t>443、PutMetricData</t>
    <phoneticPr fontId="2"/>
  </si>
  <si>
    <t>P6</t>
    <phoneticPr fontId="2"/>
  </si>
  <si>
    <t>検知イベント送付（severity ≠ OK 時）</t>
    <phoneticPr fontId="2"/>
  </si>
  <si>
    <t>共通基盤 / Alert Router Lambda</t>
    <phoneticPr fontId="2"/>
  </si>
  <si>
    <t>構成図のポイント: 検査（P4）だけがインバウンド境界（ネットワーク監査アカウントの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phoneticPr fontId="2"/>
  </si>
  <si>
    <t>F3. 発報（アラート）フロー — 2 系統</t>
    <phoneticPr fontId="2"/>
  </si>
  <si>
    <t>【図14 発報フロー（2 系統） 挿入位置】</t>
    <phoneticPr fontId="2"/>
  </si>
  <si>
    <t>描くべき内容: 即時系（N1 分類 済みイベント 起動 → N2 alertRouting 解決（S3 registry/ Get）→ N3 SNS P1/P2/P3 Publish → N4 各チーム配信）と、保険系（N5 PutMetricData → CloudWatch AuthCheckCritical → N6 アラーム（&gt;0）→ SNS P1）の 2 系統を両方描く</t>
    <phoneticPr fontId="2"/>
  </si>
  <si>
    <t>（この枠に図を貼り込む。即時系が落ちても検知を失わない構図と、すべて共通基盤アカウント内で完結し境界・App アカウントが関与しないことを明示する）</t>
    <phoneticPr fontId="2"/>
  </si>
  <si>
    <t>発信元</t>
    <phoneticPr fontId="2"/>
  </si>
  <si>
    <t>宛先</t>
    <phoneticPr fontId="2"/>
  </si>
  <si>
    <t>N1</t>
    <phoneticPr fontId="2"/>
  </si>
  <si>
    <t>検知イベント（即時系）</t>
    <phoneticPr fontId="2"/>
  </si>
  <si>
    <t>共通基盤 / Alert Router</t>
    <phoneticPr fontId="2"/>
  </si>
  <si>
    <t>4×4 分類済み（Alert イベント形式）</t>
    <phoneticPr fontId="2"/>
  </si>
  <si>
    <t>N2</t>
    <phoneticPr fontId="2"/>
  </si>
  <si>
    <t>通知先解決</t>
    <phoneticPr fontId="2"/>
  </si>
  <si>
    <t>共通基盤 / S3 registry/{appId}/{env}.json</t>
    <phoneticPr fontId="2"/>
  </si>
  <si>
    <t>alertRouting → 無ければ環境変数デフォルト</t>
    <phoneticPr fontId="2"/>
  </si>
  <si>
    <t>N3</t>
    <phoneticPr fontId="2"/>
  </si>
  <si>
    <t>通知発行</t>
    <phoneticPr fontId="2"/>
  </si>
  <si>
    <t>共通基盤 / SNS トピック P1 / P2 / P3</t>
    <phoneticPr fontId="2"/>
  </si>
  <si>
    <t>sns.ap-northeast-1.amazonaws.com</t>
    <phoneticPr fontId="2"/>
  </si>
  <si>
    <t>severity で振り分け（P1 = Security 即時 / P2 = Platform 24h / P3 = App）</t>
    <phoneticPr fontId="2"/>
  </si>
  <si>
    <t>N4</t>
    <phoneticPr fontId="2"/>
  </si>
  <si>
    <t>配信</t>
    <phoneticPr fontId="2"/>
  </si>
  <si>
    <t>共通基盤 / SNS</t>
    <phoneticPr fontId="2"/>
  </si>
  <si>
    <t>各チーム（メール / AWS Chatbot → Slack 等）</t>
    <phoneticPr fontId="2"/>
  </si>
  <si>
    <t>SNS サブスクリプション</t>
    <phoneticPr fontId="2"/>
  </si>
  <si>
    <t>接続方式は M-Q-15-1</t>
    <phoneticPr fontId="2"/>
  </si>
  <si>
    <t>N5</t>
    <phoneticPr fontId="2"/>
  </si>
  <si>
    <t>メトリクス（保険系）</t>
    <phoneticPr fontId="2"/>
  </si>
  <si>
    <t>共通基盤 / CloudWatch</t>
    <phoneticPr fontId="2"/>
  </si>
  <si>
    <t>P5 と同一</t>
    <phoneticPr fontId="2"/>
  </si>
  <si>
    <t>N6</t>
    <phoneticPr fontId="2"/>
  </si>
  <si>
    <t>アラーム発報</t>
    <phoneticPr fontId="2"/>
  </si>
  <si>
    <t>共通基盤 / CloudWatch アラーム（AuthCheckCritical &gt; 0）</t>
    <phoneticPr fontId="2"/>
  </si>
  <si>
    <t>共通基盤 / SNS（P1）</t>
    <phoneticPr fontId="2"/>
  </si>
  <si>
    <t>CloudWatch → SNS（サービス間）</t>
    <phoneticPr fontId="2"/>
  </si>
  <si>
    <t>即時系（N1〜N4）が落ちても検知を失わない保険</t>
    <phoneticPr fontId="2"/>
  </si>
  <si>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phoneticPr fontId="2"/>
  </si>
  <si>
    <t>【図7 実行モードの時間軸と 検査 範囲 挿入位置】</t>
    <phoneticPr fontId="2"/>
  </si>
  <si>
    <t>認証漏れの典型（AuthorizationType=NONE / middleware 削除）は OpenAPI に現れないことが多い。だから「変更されたアプリは全 endpoint を 検査」する。全アプリ全量よりは軽く（変更アプリのみ）、endpoint 差分より安全</t>
    <phoneticPr fontId="2"/>
  </si>
  <si>
    <t>発見 Lambda から 起動（変化アプリのみ）。payload { mode:'delta', appId, env }</t>
    <phoneticPr fontId="2"/>
  </si>
  <si>
    <t>検査 ロジック</t>
    <phoneticPr fontId="2"/>
  </si>
  <si>
    <t>実行方式</t>
    <phoneticPr fontId="2"/>
  </si>
  <si>
    <t>全 endpoint へのスケジュール定期 検査</t>
    <phoneticPr fontId="2"/>
  </si>
  <si>
    <t>分類 / alert</t>
    <phoneticPr fontId="2"/>
  </si>
  <si>
    <t>8. 運用設計（メタ監視・エラー処理・スケール上限）</t>
    <phoneticPr fontId="2"/>
  </si>
  <si>
    <t>監視の空白 = 認証漏れの検知空白。監視系自身の停止・失敗を、被監視系（AuthCheck 系メトリクス）とは別系統で検知する。通知先はいずれも P2（Platform）とする（監視系の障害はアプリの障害ではないため）。</t>
    <phoneticPr fontId="2"/>
  </si>
  <si>
    <t>8.1 メタ監視 —「巡回が止まっていること」を検知する</t>
    <phoneticPr fontId="2"/>
  </si>
  <si>
    <t>検知対象</t>
    <phoneticPr fontId="2"/>
  </si>
  <si>
    <t>アラーム条件（初期値）</t>
    <phoneticPr fontId="2"/>
  </si>
  <si>
    <t>MM-1</t>
    <phoneticPr fontId="2"/>
  </si>
  <si>
    <t>巡回の停止（最重要）</t>
    <phoneticPr fontId="2"/>
  </si>
  <si>
    <t>発見 Lambda が巡回成功時に DiscoveryLastSuccess メトリクス（Count=1）を 発行</t>
    <phoneticPr fontId="2"/>
  </si>
  <si>
    <t>2 時間欠損（= 巡回 2 回分未実行）で発報</t>
    <phoneticPr fontId="2"/>
  </si>
  <si>
    <t>MM-2</t>
    <phoneticPr fontId="2"/>
  </si>
  <si>
    <t>発見 Lambda の失敗</t>
    <phoneticPr fontId="2"/>
  </si>
  <si>
    <t>Lambda 標準 Errors / Scheduler の起動失敗</t>
    <phoneticPr fontId="2"/>
  </si>
  <si>
    <t>Errors ≥ 1</t>
    <phoneticPr fontId="2"/>
  </si>
  <si>
    <t>MM-3</t>
    <phoneticPr fontId="2"/>
  </si>
  <si>
    <t>一部アカウントの巡回失敗</t>
    <phoneticPr fontId="2"/>
  </si>
  <si>
    <t>DiscoveryAccountErrors メトリクス（失敗アカウント数）</t>
    <phoneticPr fontId="2"/>
  </si>
  <si>
    <t>≥ 1（8.2 の部分失敗と連動）</t>
    <phoneticPr fontId="2"/>
  </si>
  <si>
    <t>MM-4</t>
    <phoneticPr fontId="2"/>
  </si>
  <si>
    <t>検査 Lambda の失敗</t>
    <phoneticPr fontId="2"/>
  </si>
  <si>
    <t>Errors ≥ 1 or DLQ 滞留 ≥ 1</t>
    <phoneticPr fontId="2"/>
  </si>
  <si>
    <t>MM-5</t>
    <phoneticPr fontId="2"/>
  </si>
  <si>
    <t>Alert Router の失敗</t>
    <phoneticPr fontId="2"/>
  </si>
  <si>
    <t>throw → リトライ / DLQ</t>
    <phoneticPr fontId="2"/>
  </si>
  <si>
    <t>DLQ 滞留 ≥ 1</t>
    <phoneticPr fontId="2"/>
  </si>
  <si>
    <t>保険系アラーム（AuthCheckCritical &gt; 0）は「検知した結果の発報」、本節は「検知できていない状態の発報」で役割が異なる。両方そろって初めて検知網が閉じる。</t>
    <phoneticPr fontId="2"/>
  </si>
  <si>
    <t>8.2 エラー処理・リトライ・冪等性</t>
    <phoneticPr fontId="2"/>
  </si>
  <si>
    <t>箇所</t>
    <phoneticPr fontId="2"/>
  </si>
  <si>
    <t>方針</t>
    <phoneticPr fontId="2"/>
  </si>
  <si>
    <t>発見 Lambda の巡回</t>
    <phoneticPr fontId="2"/>
  </si>
  <si>
    <t>アカウント単位で try-catch し、1 アカウントの失敗（AssumeRole 不可・スロットリング等）で全体を止めない。失敗数を DiscoveryAccountErrors で 発行（MM-3）し、次回巡回で自然リトライ</t>
    <phoneticPr fontId="2"/>
  </si>
  <si>
    <t>発見 → 検査の 起動</t>
    <phoneticPr fontId="2"/>
  </si>
  <si>
    <t>非同期（Event 起動）。Lambda 標準の自動リトライ（2 回）+ DLQ（SQS）を設定（MM-4）。同期にしないのは、1 アプリの検査失敗で巡回全体を巻き込まないため</t>
    <phoneticPr fontId="2"/>
  </si>
  <si>
    <t>検査 Lambda 内の endpoint 失敗</t>
    <phoneticPr fontId="2"/>
  </si>
  <si>
    <t>endpoint 単位で継続（1 endpoint のタイムアウトで残りを打ち切らない）。接続不能は 4×4 の WARN（構成）系に分類</t>
    <phoneticPr fontId="2"/>
  </si>
  <si>
    <t>1 件でも失敗したら throw → リトライ / DLQ</t>
    <phoneticPr fontId="2"/>
  </si>
  <si>
    <t>8.3 スケール上限（Lambda 15 分制限）と 分割起動 方針</t>
    <phoneticPr fontId="2"/>
  </si>
  <si>
    <t>Lambda の最大実行時間は 15 分。1 実行に詰め込まない構造にする。</t>
    <phoneticPr fontId="2"/>
  </si>
  <si>
    <t>実行</t>
    <phoneticPr fontId="2"/>
  </si>
  <si>
    <t>1 実行の範囲</t>
    <phoneticPr fontId="2"/>
  </si>
  <si>
    <t>15 分制限への設計</t>
    <phoneticPr fontId="2"/>
  </si>
  <si>
    <t>発見 Lambda（巡回）</t>
    <phoneticPr fontId="2"/>
  </si>
  <si>
    <t>全アカウント走査（現行）</t>
    <phoneticPr fontId="2"/>
  </si>
  <si>
    <t>1 アプリの全 endpoint</t>
    <phoneticPr fontId="2"/>
  </si>
  <si>
    <t>20 endpoint × 2 検査 × 数秒でも数分オーダー。1 アプリ = 1 実行なので endpoint 数が極端でない限り収まる</t>
    <phoneticPr fontId="2"/>
  </si>
  <si>
    <t>台帳 List → アプリ単位に 分割起動</t>
    <phoneticPr fontId="2"/>
  </si>
  <si>
    <t>全量を 1 実行で回さないため上限に当たらない</t>
    <phoneticPr fontId="2"/>
  </si>
  <si>
    <t>本シートは台帳スキーマ・monitoring.yaml 規約・OpenAPI アノテーション・CloudWatch Metrics・4×4 真偽値表・Alert イベント形式のデータ定義を示す。</t>
    <phoneticPr fontId="2"/>
  </si>
  <si>
    <t>prod</t>
    <phoneticPr fontId="2"/>
  </si>
  <si>
    <t>未認証検査 対象外（public endpoint）※ public は必須明示（MON-1）</t>
    <phoneticPr fontId="2"/>
  </si>
  <si>
    <t>false</t>
    <phoneticPr fontId="2"/>
  </si>
  <si>
    <t>検査 後の後処理（POST 等）</t>
    <phoneticPr fontId="2"/>
  </si>
  <si>
    <t>6. CloudWatch Metrics（認証実装確認処理が 発行）</t>
    <phoneticPr fontId="2"/>
  </si>
  <si>
    <t>「Negative = 401/403 かつ Positive = 200」のペアが揃って初めて OK。分類結果（severity / priority）は Alert Router と同一ロジックを共有する。</t>
    <phoneticPr fontId="2"/>
  </si>
  <si>
    <t>8. Alert イベント形式（検査 → alert-router）</t>
    <phoneticPr fontId="2"/>
  </si>
  <si>
    <t>10. WAF 干渉と誤判定の防止</t>
    <phoneticPr fontId="2"/>
  </si>
  <si>
    <t>4×4 での素朴な解釈</t>
    <phoneticPr fontId="2"/>
  </si>
  <si>
    <t>実際</t>
    <phoneticPr fontId="2"/>
  </si>
  <si>
    <t>「401/403 = 認証は正常」</t>
    <phoneticPr fontId="2"/>
  </si>
  <si>
    <t>認証まで到達していない</t>
    <phoneticPr fontId="2"/>
  </si>
  <si>
    <t>偽陰性（認証漏れがあっても OK 判定）</t>
    <phoneticPr fontId="2"/>
  </si>
  <si>
    <t>「Neg 2xx + Pos 403 = 認証逆転 CRITICAL」等</t>
    <phoneticPr fontId="2"/>
  </si>
  <si>
    <t>認証は正常、WAF が弾いただけ</t>
    <phoneticPr fontId="2"/>
  </si>
  <si>
    <t>誤 CRITICAL（誤報）</t>
    <phoneticPr fontId="2"/>
  </si>
  <si>
    <t>段</t>
    <phoneticPr fontId="2"/>
  </si>
  <si>
    <t>1（主対策）</t>
    <phoneticPr fontId="2"/>
  </si>
  <si>
    <t>2（副対策）</t>
    <phoneticPr fontId="2"/>
  </si>
  <si>
    <t>分類 側の防御</t>
    <phoneticPr fontId="2"/>
  </si>
  <si>
    <t>検査 → アプリ</t>
    <phoneticPr fontId="2"/>
  </si>
  <si>
    <t>検査 → OAuth /token</t>
    <phoneticPr fontId="2"/>
  </si>
  <si>
    <t>検査 自体はクロスアカウント権限を要さない（実ユーザーと同じ Public 経路）。権限が要るのは巡回の読み取りだけ。台帳への書き込みは中央アカウント内のみ</t>
    <phoneticPr fontId="2"/>
  </si>
  <si>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phoneticPr fontId="2"/>
  </si>
  <si>
    <t>セキュリティ方針 NW-2「Outbound は NWFW ドメインフィルタ経由」の例外となる（監視系の外向き HTTPS が組織の Egress 統制を通らない）</t>
    <phoneticPr fontId="2"/>
  </si>
  <si>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phoneticPr fontId="2"/>
  </si>
  <si>
    <t>描くべき内容: canary 専用サービスアカウント（client_id / secret）→ Secrets Manager（共通基盤）→ 認証実装チェック Lambda ロールのみ取得可 → /token（client_credentials）→ 短命トークン（5〜15 分）→ 正規検査 → 破棄。スコープ A 採用・B 目標を注記</t>
    <phoneticPr fontId="2"/>
  </si>
  <si>
    <t>正規検査（valid token → 200 期待）に使う認証情報は、静的な長寿命トークンを持たない。共通の OAuth クライアント資格情報を 1 つだけ持ち、実行ごとに短命トークンを発行する</t>
    <phoneticPr fontId="2"/>
  </si>
  <si>
    <t>【1 回の 検査 実行ごと】</t>
    <phoneticPr fontId="2"/>
  </si>
  <si>
    <t>データ定義はデータ契約を正とし、設計書は意図を説明する</t>
    <phoneticPr fontId="2"/>
  </si>
  <si>
    <t>検査 先は CloudFront URL（API GW 直でない）</t>
    <phoneticPr fontId="2"/>
  </si>
  <si>
    <t>検査 制御は OpenAPI アノテーションで表現</t>
    <phoneticPr fontId="2"/>
  </si>
  <si>
    <t>新規 endpoint は OpenAPI 更新で自動追随（検査 無改修）</t>
    <phoneticPr fontId="2"/>
  </si>
  <si>
    <t>probe lib を分割（registry / openapi / token / 検査 / 分類 / 発行）</t>
    <phoneticPr fontId="2"/>
  </si>
  <si>
    <t>Private は 検査 用 VPC + TGW（Phase 2）</t>
    <phoneticPr fontId="2"/>
  </si>
  <si>
    <t>要 PoC 項目をコード内 TODO + 設計書に明示する</t>
    <phoneticPr fontId="2"/>
  </si>
  <si>
    <t>検査 範囲はアプリ単位の全 endpoint（diff で endpoint 絞りしない）</t>
    <phoneticPr fontId="2"/>
  </si>
  <si>
    <t>D-M-18-8</t>
    <phoneticPr fontId="2"/>
  </si>
  <si>
    <t>メタ監視を被監視系と別系統で設計（巡回鮮度 DiscoveryLastSuccess の 2h 欠損アラーム + Lambda Errors + DLQ 滞留。通知は P2）</t>
    <phoneticPr fontId="2"/>
  </si>
  <si>
    <t>監視の空白 = 検知の空白。保険系（AuthCheckCritical）は「検知結果」、メタ監視は「検知不能状態」の発報で役割が異なる</t>
    <phoneticPr fontId="2"/>
  </si>
  <si>
    <t>D-M-18-9</t>
    <phoneticPr fontId="2"/>
  </si>
  <si>
    <t>解説・選択肢（回答記入用）</t>
    <phoneticPr fontId="2"/>
  </si>
  <si>
    <t>ROSA 側 P-18（監査アカウント他組織管理）確定時の責任分界 / 検査 先経路の改訂</t>
    <phoneticPr fontId="2"/>
  </si>
  <si>
    <t>【解説】ローカルで検証済みのロジックを、実 AWS（or SAM）で通しで動かす時期の話。決定事項ではなく実施タイミングのみ。【回答例】「発見 Lambda 実装（M-Q-17-4）完了後に実施」で足りる。【→ 回答: ＿＿】</t>
    <phoneticPr fontId="2"/>
  </si>
  <si>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phoneticPr fontId="2"/>
  </si>
  <si>
    <t>【解説】AWS IAM 認証（SigV4 署名）の API に対する「正しい署名を付けたら通る」側の検査は未実装（Phase 2 計画）。未認証を弾く検査（Negative）は今でも可能。【回答】決定不要（Phase 2 実装タスク）。</t>
    <phoneticPr fontId="2"/>
  </si>
  <si>
    <t>【解説】Cookie ログイン型アプリ（モノリス/BFF）の「正規ログインしたら見える」側の検査は、ブラウザ自動操作（Puppeteer）の実装が必要で未実装。未ログインを弾く検査（302 確認）は今でも可能。【回答】決定不要（Phase 2 実装タスク）。</t>
    <phoneticPr fontId="2"/>
  </si>
  <si>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phoneticPr fontId="2"/>
  </si>
  <si>
    <t>M-Q-11-5</t>
    <phoneticPr fontId="2"/>
  </si>
  <si>
    <t>検査 識別ヘッダの WAF 許可ルールを境界管理側（ネットワーク監査アカウント）へ依頼・合意。M-Q-10-3（NW-2 例外承認）と同じ相手のため同梱で調整可</t>
    <phoneticPr fontId="2"/>
  </si>
  <si>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phoneticPr fontId="2"/>
  </si>
  <si>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phoneticPr fontId="2"/>
  </si>
  <si>
    <t>【解説】実装済みコード registry.js が旧 DynamoDB 読み取りのままで、S3 台帳への切替改修が必要。【回答】決定不要（実装タスク。発見 Lambda 実装 M-Q-17-4 と同時に対応）。</t>
    <phoneticPr fontId="2"/>
  </si>
  <si>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phoneticPr fontId="2"/>
  </si>
  <si>
    <t>【解説】ローカルテスト環境（LocalStack）専用の接続オプションをコードに持たせるかという実装細目。本番動作には無関係。【回答】決定不要（実装時に判断）。</t>
    <phoneticPr fontId="2"/>
  </si>
  <si>
    <t>【解説】M-Q-11-2 / 11-3 と同じ Phase 2 実装群（SigV4 検査・Cookie ログイン検査・検査後のデータ後始末処理）。【回答】決定不要（Phase 2 実装タスク）。</t>
    <phoneticPr fontId="2"/>
  </si>
  <si>
    <t>【解説】M-Q-10-1 と同一論点（重複）。回答は M-Q-10-1 に合わせる。【→ 回答: M-Q-10-1 と同じ】</t>
    <phoneticPr fontId="2"/>
  </si>
  <si>
    <t>【解説】将来、新しい認証方式（authPattern）が増えたときに検査コードをどう拡張するかの方針メモ。【回答】決定不要（実装ガイドラインとして実装時に整備）。</t>
    <phoneticPr fontId="2"/>
  </si>
  <si>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phoneticPr fontId="2"/>
  </si>
  <si>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phoneticPr fontId="2"/>
  </si>
  <si>
    <t>誤検知抑制（同一 endpoint の連続アラート抑制 / 重複抑制）</t>
    <phoneticPr fontId="2"/>
  </si>
  <si>
    <t>【解説】同じ認証漏れが直らない間、1 時間ごとの巡回のたびに同じアラートが再送される。同一内容を一定時間抑制（重複抑制）するか。【選択肢】a) 同一 アプリ×endpoint×重大度 は 24h 抑制 / b) 抑制なし（毎回発報）/ 補足: 通知先チームの希望も影響するため要ヒアリング（暫定: ヒアリング後に決定 ★）【→ 回答: ＿＿】</t>
    <phoneticPr fontId="2"/>
  </si>
  <si>
    <t>【解説】読み取りロール（DiscoveryReadRole）を StackSets でどの範囲のアカウントに配るか。M-Q-17-2 の巡回対象範囲と同じ回答になる。【選択肢】a) アプリ系 OU のみ（★・暫定回答済み）/ b) Organizations 全体 / c) 明示リスト　【→ 回答: ＿＿】</t>
    <phoneticPr fontId="2"/>
  </si>
  <si>
    <t>【解説】アカウント数が増えたときの巡回 API 呼び出しの流量制御（並列数・リトライ）。【回答】決定不要（実装タスク）。</t>
    <phoneticPr fontId="2"/>
  </si>
  <si>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phoneticPr fontId="2"/>
  </si>
  <si>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phoneticPr fontId="2"/>
  </si>
  <si>
    <t>【解説】中核コンポーネント「発見 Lambda」の実装と PoC。設計は確定済みで残るは実装のみ。【回答】決定不要（Phase 3/4 実装タスク）。</t>
    <phoneticPr fontId="2"/>
  </si>
  <si>
    <t>【解説】アプリ廃止時の流れ。リポジトリ削除を巡回が検知→監視停止(enabled=false)+棚卸しアラート→人が確認して台帳から削除、という運用で良いか。【回答例】「検知→enabled=false→30 日棚卸し→手動削除」を標準運用とする。【→ 回答: ＿＿】</t>
    <phoneticPr fontId="2"/>
  </si>
  <si>
    <t>RC-Q-1</t>
    <phoneticPr fontId="2"/>
  </si>
  <si>
    <t>App アカウント側費用（RC-12/13）の按分整理 — 課金ガイドへの記載方法</t>
    <phoneticPr fontId="2"/>
  </si>
  <si>
    <t>【解説】App アカウント側費用（RC-12/13）の按分整理 — 課金ガイドへの記載方法。監視のために App アカウント側で発生する費用は Config Rules（RC-12）と CodeCommit アクティブユーザー（RC-13）の 2 件で、これを「監視のための共通負担」として課金按分の説明に明記する必要がある（出典: 16_ランニング費用 シート）。【→ 回答: ＿＿】</t>
    <phoneticPr fontId="2"/>
  </si>
  <si>
    <t>RC-Q-2</t>
    <phoneticPr fontId="2"/>
  </si>
  <si>
    <t>RC-Q-3</t>
    <phoneticPr fontId="2"/>
  </si>
  <si>
    <t>Monitoring Registry の暗号化方式（SSE-S3 / SSE-KMS）— RC-14 の要否</t>
    <phoneticPr fontId="2"/>
  </si>
  <si>
    <t>【解説】Monitoring Registry の暗号化方式（SSE-S3 / SSE-KMS）— RC-14 の要否。SSE-S3 なら KMS 費用は不要、CMK 1 本なら $1/月 + リクエスト料が発生する。決定は基盤 IaC の A 系タスクに従う（出典: 16_ランニング費用 シート）。【選択肢】a) SSE-S3（★・費用ゼロ）/ b) SSE-KMS（CMK 管理が必要な場合）【→ 回答: ＿＿】</t>
    <phoneticPr fontId="2"/>
  </si>
  <si>
    <t>RC-Q-4</t>
    <phoneticPr fontId="2"/>
  </si>
  <si>
    <t>ログ保持期間の本決め（A 系タスクで設定。RC-10 の保存費に影響）</t>
    <phoneticPr fontId="2"/>
  </si>
  <si>
    <t>【解説】ログ保持期間の本決め（A 系タスクで設定。RC-10 の保存費に影響）。3 Lambda のロググループの保持期間を明示設定する（未定なら 90 日仮置き）。組織標準値がある場合はそれに従う（出典: 16_ランニング費用 シート）。【→ 回答: ＿＿】</t>
    <phoneticPr fontId="2"/>
  </si>
  <si>
    <t>OP-Q-1</t>
    <phoneticPr fontId="2"/>
  </si>
  <si>
    <t>導入期 3 か月後の実績による頻度・工数の v2 改訂（レビュー日を運用カレンダーに登録）</t>
    <phoneticPr fontId="2"/>
  </si>
  <si>
    <t>【解説】導入期 3 か月後の実績による頻度・工数の v2 改訂（レビュー日を運用カレンダーに登録）。運用工数の半分は発生ベースで、想定件数は運用実績で必ずブレるため、実測して見積もりを改訂する（出典: 17_運用工数 シート）。【→ 回答: レビュー日＿＿】</t>
    <phoneticPr fontId="2"/>
  </si>
  <si>
    <t>OP-Q-2</t>
    <phoneticPr fontId="2"/>
  </si>
  <si>
    <t>P1 の対応 SLA（一次切り分け・アプリ通知・暫定遮断の各期限）— セキュリティチームと合意要</t>
    <phoneticPr fontId="2"/>
  </si>
  <si>
    <t>【解説】P1 の対応 SLA（一次切り分け・アプリ通知・暫定遮断の各期限）— セキュリティチームと合意要。P1 は件数こそ少ないが対応期限が最も厳しく、Runbook ① の一次切り分けは 30 分以内を目標としている（出典: 17_運用工数 シート）。【→ 回答: ＿＿】</t>
    <phoneticPr fontId="2"/>
  </si>
  <si>
    <t>OP-Q-3</t>
    <phoneticPr fontId="2"/>
  </si>
  <si>
    <t>月次サマリレポート（検知件数・対応状況）の要否と宛先 — 不要なら OP に追加なし、必要なら +1h/月</t>
    <phoneticPr fontId="2"/>
  </si>
  <si>
    <t>【解説】月次サマリレポート（検知件数・対応状況）の要否と宛先 — 不要なら OP に追加なし、必要なら +1h/月（出典: 17_運用工数 シート）。【選択肢】a) 不要（★・工数増なし）/ b) 必要（+1h/月。宛先を記入）【→ 回答: ＿＿】</t>
    <phoneticPr fontId="2"/>
  </si>
  <si>
    <t>OP-Q-4</t>
    <phoneticPr fontId="2"/>
  </si>
  <si>
    <t>拡大時（10 アプリ超）の体制見直しトリガー（件数 or 工数の閾値）</t>
    <phoneticPr fontId="2"/>
  </si>
  <si>
    <t>【解説】拡大時（10 アプリ超）の体制見直しトリガー（件数 or 工数の閾値）。30 アプリ時は月 55h（0.34 FTE）の想定で、どの水準で増員・専任化を検討するかを決めておく（出典: 17_運用工数 シート）。【→ 回答: ＿＿】</t>
    <phoneticPr fontId="2"/>
  </si>
  <si>
    <t>解決済み（参照用）</t>
    <phoneticPr fontId="2"/>
  </si>
  <si>
    <t>検査 頻度（5min / 15min）とコストのバランス</t>
    <phoneticPr fontId="2"/>
  </si>
  <si>
    <t>解消: monitoring.yaml に endpoint リストを直接列挙して代替可</t>
    <phoneticPr fontId="2"/>
  </si>
  <si>
    <t>M-Q-18-5</t>
    <phoneticPr fontId="2"/>
  </si>
  <si>
    <t>前提規模の確定（対象アカウント数等）</t>
    <phoneticPr fontId="2"/>
  </si>
  <si>
    <t>解決: Phase 1 の対象は約 3 アカウント。発見 Lambda は単一実行で Lambda 15 分制限に十分な余裕があり、分割起動 分割への移行は不要（規模拡大時に再評価）</t>
    <phoneticPr fontId="2"/>
  </si>
  <si>
    <t>関連文書</t>
    <phoneticPr fontId="2"/>
  </si>
  <si>
    <t>参照元資料のタイトル・所在・パスは「13_出典一覧」シートにまとめる。</t>
    <phoneticPr fontId="2"/>
  </si>
  <si>
    <t>1. ADR（設計判断の経緯。本文では番号参照のみとし、内容は転記しない）</t>
    <phoneticPr fontId="2"/>
  </si>
  <si>
    <t>デプロイ検知の pull 型統一</t>
    <phoneticPr fontId="2"/>
  </si>
  <si>
    <t>2. 設計要素と実装物の対応</t>
    <phoneticPr fontId="2"/>
  </si>
  <si>
    <t>設計要素</t>
    <phoneticPr fontId="2"/>
  </si>
  <si>
    <t>認証実装チェック（検査 / 分類 / 発行）</t>
    <phoneticPr fontId="2"/>
  </si>
  <si>
    <t>未実装（M-Q-17-4）</t>
    <phoneticPr fontId="2"/>
  </si>
  <si>
    <t>未実装</t>
    <phoneticPr fontId="2"/>
  </si>
  <si>
    <t>App Registry（台帳 CRUD）</t>
    <phoneticPr fontId="2"/>
  </si>
  <si>
    <t>app-registry-lambda（旧 push 型の参考実装。ロジックを発見 Lambda に流用予定）</t>
    <phoneticPr fontId="2"/>
  </si>
  <si>
    <t>現行構成要素ではない</t>
    <phoneticPr fontId="2"/>
  </si>
  <si>
    <t>OpenAPI Registry（spec 取得）</t>
    <phoneticPr fontId="2"/>
  </si>
  <si>
    <t>openapi-export-lambda（旧 push 型の参考実装。ロジックを発見 Lambda に流用予定）</t>
    <phoneticPr fontId="2"/>
  </si>
  <si>
    <t>実装済み（発見 Lambda 連携は未実装）</t>
    <phoneticPr fontId="2"/>
  </si>
  <si>
    <t>台帳アクセス（検査 側）</t>
    <phoneticPr fontId="2"/>
  </si>
  <si>
    <t>central-probe-lib の lib/registry.js</t>
    <phoneticPr fontId="2"/>
  </si>
  <si>
    <t>S3 改修待ち（M-Q-12-3）</t>
    <phoneticPr fontId="2"/>
  </si>
  <si>
    <t>出典一覧（本書の出典表記 ↔ 参照元ファイルの場所とパス）</t>
    <phoneticPr fontId="2"/>
  </si>
  <si>
    <t>本書（Excel）は認証実装確認処理の基本設計そのものであり、本文に出典表記は持たない。内容の元となった資料のタイトル・概要・所在は本シートにまとめ、必要時にたどれるようにする。</t>
    <phoneticPr fontId="2"/>
  </si>
  <si>
    <t>1. 参照元の所在</t>
    <phoneticPr fontId="2"/>
  </si>
  <si>
    <t>リポジトリ</t>
    <phoneticPr fontId="2"/>
  </si>
  <si>
    <t>github.com/suepie/aws-atuh-poc</t>
    <phoneticPr fontId="2"/>
  </si>
  <si>
    <t>最新確認コミット</t>
    <phoneticPr fontId="2"/>
  </si>
  <si>
    <t>cc5620fcbe4824870afe50a706fd3cf23b1ebf3f</t>
    <phoneticPr fontId="2"/>
  </si>
  <si>
    <t>確認日時</t>
    <phoneticPr fontId="2"/>
  </si>
  <si>
    <t>2026-08-19T10:04:08Z</t>
    <phoneticPr fontId="2"/>
  </si>
  <si>
    <t>基本設計書ディレクトリ</t>
    <phoneticPr fontId="2"/>
  </si>
  <si>
    <t>doc/api-platform/basic-design/</t>
    <phoneticPr fontId="2"/>
  </si>
  <si>
    <t>ADR ディレクトリ</t>
    <phoneticPr fontId="2"/>
  </si>
  <si>
    <t>doc/adr/</t>
    <phoneticPr fontId="2"/>
  </si>
  <si>
    <t>未反映の更新</t>
    <phoneticPr fontId="2"/>
  </si>
  <si>
    <t>第 10 / 12 / 13 / 17 章は、最新確認コミット時点で本書に反映済みの版（下表の blob SHA）より新しい。次版で取り込む。</t>
    <phoneticPr fontId="2"/>
  </si>
  <si>
    <t>2. 参照元資料（基本設計書）</t>
    <phoneticPr fontId="2"/>
  </si>
  <si>
    <t>目的・スコープ、全体骨格、統合構成、AWS リソース構成と通信経路 A〜D、詳細通信フロー（W1〜W9 / P1〜P6 / N1〜N6）、リソース一覧、用語表。→ 02 / 03 / 04 / 05 / 08 シート</t>
    <phoneticPr fontId="2"/>
  </si>
  <si>
    <t>ファイル名</t>
    <phoneticPr fontId="2"/>
  </si>
  <si>
    <t>パス</t>
    <phoneticPr fontId="2"/>
  </si>
  <si>
    <t>blob SHA（本書に反映済みの版）</t>
    <phoneticPr fontId="2"/>
  </si>
  <si>
    <t>目的・スコープ、全体骨格、統合構成、AWS リソース構成と通信経路 A〜D、リソース一覧、用語表。→ 02 / 03 / 04 / 05 / 08 シート</t>
    <phoneticPr fontId="2"/>
  </si>
  <si>
    <t>10-external-monitoring-overview.md</t>
    <phoneticPr fontId="2"/>
  </si>
  <si>
    <t>doc/api-platform/basic-design/10-external-monitoring-overview.md</t>
    <phoneticPr fontId="2"/>
  </si>
  <si>
    <t>3c70968e6148d4cab5376a8a53d7da1c2912d2e2</t>
    <phoneticPr fontId="2"/>
  </si>
  <si>
    <t>第 11 章 中央 検査 アーキテクチャ</t>
    <phoneticPr fontId="2"/>
  </si>
  <si>
    <t>検査シーケンス、Negative / Positive の Hybrid 検証と 4×4 分類、WAF 干渉と誤判定の防止、authPattern 別の検査方式、Positive トークン管理、環境別動作、ユースケース。→ 05 / 07 / 08 シート</t>
    <phoneticPr fontId="2"/>
  </si>
  <si>
    <t>11-central-検査-architecture.md</t>
    <phoneticPr fontId="2"/>
  </si>
  <si>
    <t>doc/api-platform/basic-design/11-central-検査-architecture.md</t>
    <phoneticPr fontId="2"/>
  </si>
  <si>
    <t>33606e278464829e43ac2a3fb21568e8f0fc176f</t>
    <phoneticPr fontId="2"/>
  </si>
  <si>
    <t>S3 台帳のキー体系・項目定義・JSON 例、検査 先を CloudFront とする理由、台帳への書き込み権限。→ 07 / 08 シート</t>
    <phoneticPr fontId="2"/>
  </si>
  <si>
    <t>12-app-registry-design.md</t>
    <phoneticPr fontId="2"/>
  </si>
  <si>
    <t>doc/api-platform/basic-design/12-app-registry-design.md</t>
    <phoneticPr fontId="2"/>
  </si>
  <si>
    <t>f3d78f85f1854328fcea7136df53cd5b55acb192</t>
    <phoneticPr fontId="2"/>
  </si>
  <si>
    <t>spec の正本と S3 コピー、公開明示 MON-1（default-deny）、検査 制御アノテーション一覧、新規 endpoint の自動追随。→ 07 / 09 シート</t>
    <phoneticPr fontId="2"/>
  </si>
  <si>
    <t>13-openapi-registry-design.md</t>
    <phoneticPr fontId="2"/>
  </si>
  <si>
    <t>doc/api-platform/basic-design/13-openapi-registry-design.md</t>
    <phoneticPr fontId="2"/>
  </si>
  <si>
    <t>cf9e9ee0c3c05eb079e9a4577ce09ccc0b99a353</t>
    <phoneticPr fontId="2"/>
  </si>
  <si>
    <t>第 14 章 検査 実装ガイド</t>
    <phoneticPr fontId="2"/>
  </si>
  <si>
    <t>probe lib のモジュール構成、モノリス / BFF / Private API 対応、要 PoC 項目、テスト状況。→ 04 シート</t>
    <phoneticPr fontId="2"/>
  </si>
  <si>
    <t>14-検査-implementation-guide.md</t>
    <phoneticPr fontId="2"/>
  </si>
  <si>
    <t>doc/api-platform/basic-design/14-検査-implementation-guide.md</t>
    <phoneticPr fontId="2"/>
  </si>
  <si>
    <t>075f8473efcdf80c6a6f90b1f69b0b475cd24a62</t>
    <phoneticPr fontId="2"/>
  </si>
  <si>
    <t>4×4 分類から P1 / P2 / P3 への振り分け、通知先 ARN の 2 段解決、通知メッセージ、エラー処理。→ 08 シート</t>
    <phoneticPr fontId="2"/>
  </si>
  <si>
    <t>15-alert-routing-design.md</t>
    <phoneticPr fontId="2"/>
  </si>
  <si>
    <t>doc/api-platform/basic-design/15-alert-routing-design.md</t>
    <phoneticPr fontId="2"/>
  </si>
  <si>
    <t>451acac4d07f7089b950217d5ff0804a2c9b6f78</t>
    <phoneticPr fontId="2"/>
  </si>
  <si>
    <t>アカウント分離、DiscoveryReadRole の権限・信頼ポリシー、中央側 3 ロール、StackSets 配布。→ 08 シート</t>
    <phoneticPr fontId="2"/>
  </si>
  <si>
    <t>16-cross-account-iam-design.md</t>
    <phoneticPr fontId="2"/>
  </si>
  <si>
    <t>doc/api-platform/basic-design/16-cross-account-iam-design.md</t>
    <phoneticPr fontId="2"/>
  </si>
  <si>
    <t>0405bbcffc0ad32061c43245950013d881c1fade</t>
    <phoneticPr fontId="2"/>
  </si>
  <si>
    <t>巡回フロー、受容した穴 2 つと補完レイヤー、monitoring.yaml 規約、モノリス対応、SCP。→ 05 / 06 / 07 / 09 シート</t>
    <phoneticPr fontId="2"/>
  </si>
  <si>
    <t>17-deployment-integration-and-registration.md</t>
    <phoneticPr fontId="2"/>
  </si>
  <si>
    <t>doc/api-platform/basic-design/17-deployment-integration-and-registration.md</t>
    <phoneticPr fontId="2"/>
  </si>
  <si>
    <t>5592544f07a867d3537409ad9f8a4035caa85fac</t>
    <phoneticPr fontId="2"/>
  </si>
  <si>
    <t>18-scan-modes-and-scheduling.md</t>
    <phoneticPr fontId="2"/>
  </si>
  <si>
    <t>doc/api-platform/basic-design/18-scan-modes-and-scheduling.md</t>
    <phoneticPr fontId="2"/>
  </si>
  <si>
    <t>ade0bc6518fab5a9245075c8633b68bb7c94e355</t>
    <phoneticPr fontId="2"/>
  </si>
  <si>
    <t>データ契約</t>
    <phoneticPr fontId="2"/>
  </si>
  <si>
    <t>台帳スキーマ、authPattern enum（6 値）、OpenAPI アノテーション、CloudWatch Metrics、4×4 真偽値表、Alert イベント形式。データ定義はこの資料を正とする。→ 04 / 07 シート</t>
    <phoneticPr fontId="2"/>
  </si>
  <si>
    <t>code-samples/README.md</t>
    <phoneticPr fontId="2"/>
  </si>
  <si>
    <t>doc/api-platform/basic-design/code-samples/README.md</t>
    <phoneticPr fontId="2"/>
  </si>
  <si>
    <t>d11ae6a4d1d6079aaf634250904d8915ac3b497a</t>
    <phoneticPr fontId="2"/>
  </si>
  <si>
    <t>2a42093a6b80efff545f40aaa88153b876d5bfae</t>
    <phoneticPr fontId="2"/>
  </si>
  <si>
    <t>静的解析ガイドライン（04-static-analysis-guidelines.md）・セキュリティ（05-security.md）・課金按分（03-billing-cost-allocation-rules.md）は本書から参照のみで、転記対象外。所在は同ディレクトリ。</t>
    <phoneticPr fontId="2"/>
  </si>
  <si>
    <t>3. ADR（経緯。本書本文では番号参照のみ）</t>
    <phoneticPr fontId="2"/>
  </si>
  <si>
    <t>061-deploy-detection-pull-model.md</t>
    <phoneticPr fontId="2"/>
  </si>
  <si>
    <t>doc/adr/061-deploy-detection-pull-model.md</t>
    <phoneticPr fontId="2"/>
  </si>
  <si>
    <t>059-central-auth-check-canary-architecture.md</t>
    <phoneticPr fontId="2"/>
  </si>
  <si>
    <t>doc/adr/059-central-auth-check-canary-architecture.md</t>
    <phoneticPr fontId="2"/>
  </si>
  <si>
    <t>Centralized Network Account Edge Layer（インターネット境界）</t>
    <phoneticPr fontId="2"/>
  </si>
  <si>
    <t>039-centralized-network-account-edge-layer.md</t>
    <phoneticPr fontId="2"/>
  </si>
  <si>
    <t>doc/adr/039-centralized-network-account-edge-layer.md</t>
    <phoneticPr fontId="2"/>
  </si>
  <si>
    <t>4. 目録（参照のみ）</t>
    <phoneticPr fontId="2"/>
  </si>
  <si>
    <t>基本設計書群の目録</t>
    <phoneticPr fontId="2"/>
  </si>
  <si>
    <t>00-index.md</t>
    <phoneticPr fontId="2"/>
  </si>
  <si>
    <t>doc/api-platform/basic-design/00-index.md</t>
    <phoneticPr fontId="2"/>
  </si>
  <si>
    <t>ADR の目録</t>
    <phoneticPr fontId="2"/>
  </si>
  <si>
    <t>doc/adr/00-index.md</t>
    <phoneticPr fontId="2"/>
  </si>
  <si>
    <t>5. 本書の対象外（所在のみ記録）</t>
    <phoneticPr fontId="2"/>
  </si>
  <si>
    <t>要件定義</t>
    <phoneticPr fontId="2"/>
  </si>
  <si>
    <t>doc/api-platform/proposal/</t>
    <phoneticPr fontId="2"/>
  </si>
  <si>
    <t>検証の歴史記録</t>
    <phoneticPr fontId="2"/>
  </si>
  <si>
    <t>doc/api-platform/basic-design/research/</t>
    <phoneticPr fontId="2"/>
  </si>
  <si>
    <t>doc/api-platform/basic-design/code-samples/（README.md を除く）</t>
    <phoneticPr fontId="2"/>
  </si>
  <si>
    <t>実装物。データ契約のみ転記対象</t>
    <phoneticPr fontId="2"/>
  </si>
  <si>
    <t>WBS番号</t>
    <phoneticPr fontId="2"/>
  </si>
  <si>
    <t>タスク</t>
    <phoneticPr fontId="2"/>
  </si>
  <si>
    <t>依存</t>
    <phoneticPr fontId="2"/>
  </si>
  <si>
    <t>外部待ち</t>
    <phoneticPr fontId="2"/>
  </si>
  <si>
    <t>人時</t>
    <phoneticPr fontId="2"/>
  </si>
  <si>
    <t>人日</t>
    <phoneticPr fontId="2"/>
  </si>
  <si>
    <t>開始予定</t>
    <phoneticPr fontId="2"/>
  </si>
  <si>
    <t>終了予定</t>
    <phoneticPr fontId="2"/>
  </si>
  <si>
    <t>W1-1</t>
    <phoneticPr fontId="2"/>
  </si>
  <si>
    <t>外部調整</t>
    <phoneticPr fontId="2"/>
  </si>
  <si>
    <t>監視通信のセキュリティ規則例外の承認取得</t>
    <phoneticPr fontId="2"/>
  </si>
  <si>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phoneticPr fontId="2"/>
  </si>
  <si>
    <t>◎</t>
    <phoneticPr fontId="2"/>
  </si>
  <si>
    <t>W1-2</t>
    <phoneticPr fontId="2"/>
  </si>
  <si>
    <t>検査リクエストを WAF にブロックさせないための許可設定依頼</t>
    <phoneticPr fontId="2"/>
  </si>
  <si>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phoneticPr fontId="2"/>
  </si>
  <si>
    <t>W1-3</t>
    <phoneticPr fontId="2"/>
  </si>
  <si>
    <t>巡回対象アカウント一覧の自動取得の許可設定依頼</t>
    <phoneticPr fontId="2"/>
  </si>
  <si>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phoneticPr fontId="2"/>
  </si>
  <si>
    <t>W1-4</t>
    <phoneticPr fontId="2"/>
  </si>
  <si>
    <t>検査用の認証クライアント発行依頼（認証基盤チーム）</t>
    <phoneticPr fontId="2"/>
  </si>
  <si>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phoneticPr fontId="2"/>
  </si>
  <si>
    <t>W1-5</t>
    <phoneticPr fontId="2"/>
  </si>
  <si>
    <t>アラートの届け先と再送ルールの決定（受信チームへのヒアリング）</t>
    <phoneticPr fontId="2"/>
  </si>
  <si>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重複抑制）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phoneticPr fontId="2"/>
  </si>
  <si>
    <t>W1-6</t>
    <phoneticPr fontId="2"/>
  </si>
  <si>
    <t>「コンソール直変更」を検知する別の仕組みの実在確認と整備</t>
    <phoneticPr fontId="2"/>
  </si>
  <si>
    <t>小計 W1</t>
    <phoneticPr fontId="2"/>
  </si>
  <si>
    <t>A1-d</t>
    <phoneticPr fontId="2"/>
  </si>
  <si>
    <t>S3 バケット 設計</t>
    <phoneticPr fontId="2"/>
  </si>
  <si>
    <t>Monitoring Registry のパラメータシート: バケット名 / Versioning / SSE 方式 / パブリックブロック / prefix 構成（registry/・openapi/）</t>
    <phoneticPr fontId="2"/>
  </si>
  <si>
    <t>A1-i</t>
    <phoneticPr fontId="2"/>
  </si>
  <si>
    <t>S3 バケット 実装</t>
    <phoneticPr fontId="2"/>
  </si>
  <si>
    <t>A1-d の IaC 化・適用・設定実査</t>
    <phoneticPr fontId="2"/>
  </si>
  <si>
    <t>A2-d</t>
    <phoneticPr fontId="2"/>
  </si>
  <si>
    <t>S3 バケットポリシー 設計</t>
    <phoneticPr fontId="2"/>
  </si>
  <si>
    <t>prefix 単位のアクセス制御表（誰が registry/*・openapi/* に何を許可されるか。3 ロール準拠）</t>
    <phoneticPr fontId="2"/>
  </si>
  <si>
    <t>A2-i</t>
    <phoneticPr fontId="2"/>
  </si>
  <si>
    <t>S3 バケットポリシー 実装</t>
    <phoneticPr fontId="2"/>
  </si>
  <si>
    <t>ポリシー IaC 化・適用・拒否確認（無関係ロールで AccessDenied）</t>
    <phoneticPr fontId="2"/>
  </si>
  <si>
    <t>A3-d</t>
    <phoneticPr fontId="2"/>
  </si>
  <si>
    <t>S3 Lifecycle 設計</t>
    <phoneticPr fontId="2"/>
  </si>
  <si>
    <t>noncurrent 版の失効日数（例 90 日）と対象 prefix の決定</t>
    <phoneticPr fontId="2"/>
  </si>
  <si>
    <t>A3-i</t>
    <phoneticPr fontId="2"/>
  </si>
  <si>
    <t>S3 Lifecycle 実装</t>
    <phoneticPr fontId="2"/>
  </si>
  <si>
    <t>Lifecycle ルール適用・確認</t>
    <phoneticPr fontId="2"/>
  </si>
  <si>
    <t>A4-d</t>
    <phoneticPr fontId="2"/>
  </si>
  <si>
    <t>SNS 設計</t>
    <phoneticPr fontId="2"/>
  </si>
  <si>
    <t>P1/P2/P3 のトピック名・サブスクリプション（W1-5 の DL）・アクセスポリシー</t>
    <phoneticPr fontId="2"/>
  </si>
  <si>
    <t>A4-i</t>
    <phoneticPr fontId="2"/>
  </si>
  <si>
    <t>SNS 実装</t>
    <phoneticPr fontId="2"/>
  </si>
  <si>
    <t>3 トピック + メールサブスクリプション作成・確認メール承認</t>
    <phoneticPr fontId="2"/>
  </si>
  <si>
    <t>A5-d</t>
    <phoneticPr fontId="2"/>
  </si>
  <si>
    <t>SQS DLQ 設計</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</si>
  <si>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phoneticPr fontId="2"/>
  </si>
  <si>
    <t>A5-i</t>
    <phoneticPr fontId="2"/>
  </si>
  <si>
    <t>SQS DLQ 実装</t>
    <phoneticPr fontId="2"/>
  </si>
  <si>
    <t>2 キュー作成・Lambda 非同期設定への紐付け</t>
    <phoneticPr fontId="2"/>
  </si>
  <si>
    <t>A6-d</t>
    <phoneticPr fontId="2"/>
  </si>
  <si>
    <t>Scheduler 設計</t>
    <phoneticPr fontId="2"/>
  </si>
  <si>
    <t>rate(1 hour)・リトライポリシー（回数 / 間隔）・Scheduler 側 DLQ・実行ロール</t>
    <phoneticPr fontId="2"/>
  </si>
  <si>
    <t>A6-i</t>
    <phoneticPr fontId="2"/>
  </si>
  <si>
    <t>Scheduler 実装</t>
    <phoneticPr fontId="2"/>
  </si>
  <si>
    <t>EventBridge Scheduler 作成・発見 Lambda への紐付け・空振り起動確認</t>
    <phoneticPr fontId="2"/>
  </si>
  <si>
    <t>A7-d</t>
    <phoneticPr fontId="2"/>
  </si>
  <si>
    <t>IAM: DiscoveryLambdaRole 設計</t>
    <phoneticPr fontId="2"/>
  </si>
  <si>
    <t>ポリシー明細（ListAccounts 委任呼出 / sts:AssumeRole / S3 registry・openapi / lambda:Invoke）と信頼ポリシー</t>
    <phoneticPr fontId="2"/>
  </si>
  <si>
    <t>A7-i</t>
    <phoneticPr fontId="2"/>
  </si>
  <si>
    <t>IAM: DiscoveryLambdaRole 実装</t>
    <phoneticPr fontId="2"/>
  </si>
  <si>
    <t>IaC 化・適用</t>
    <phoneticPr fontId="2"/>
  </si>
  <si>
    <t>A8-d</t>
    <phoneticPr fontId="2"/>
  </si>
  <si>
    <t>IAM: CentralProbeRole 設計</t>
    <phoneticPr fontId="2"/>
  </si>
  <si>
    <t>S3 Get/List・Secrets Get・CW Put・起動（Alert Router）の明細</t>
    <phoneticPr fontId="2"/>
  </si>
  <si>
    <t>A8-i</t>
    <phoneticPr fontId="2"/>
  </si>
  <si>
    <t>IAM: CentralProbeRole 実装</t>
    <phoneticPr fontId="2"/>
  </si>
  <si>
    <t>A9-d</t>
    <phoneticPr fontId="2"/>
  </si>
  <si>
    <t>IAM: alert-router-role 設計</t>
    <phoneticPr fontId="2"/>
  </si>
  <si>
    <t>S3 GetObject（registry/*）・SNS Publish の明細</t>
    <phoneticPr fontId="2"/>
  </si>
  <si>
    <t>A9-i</t>
    <phoneticPr fontId="2"/>
  </si>
  <si>
    <t>IAM: alert-router-role 実装</t>
    <phoneticPr fontId="2"/>
  </si>
  <si>
    <t>A10-i</t>
    <phoneticPr fontId="2"/>
  </si>
  <si>
    <t>Secrets: canary-central-readonly 登録</t>
    <phoneticPr fontId="2"/>
  </si>
  <si>
    <t>A11-d</t>
    <phoneticPr fontId="2"/>
  </si>
  <si>
    <t>Secrets: X-Auth-Probe 設計</t>
    <phoneticPr fontId="2"/>
  </si>
  <si>
    <t>ヘッダ secret の命名・値生成方法・ローテ方針（WAF 側と値を合わせる運用）</t>
    <phoneticPr fontId="2"/>
  </si>
  <si>
    <t>A11-i</t>
    <phoneticPr fontId="2"/>
  </si>
  <si>
    <t>Secrets: X-Auth-Probe 実装</t>
    <phoneticPr fontId="2"/>
  </si>
  <si>
    <t>エントリ作成・検査 Lambda からの参照確認</t>
    <phoneticPr fontId="2"/>
  </si>
  <si>
    <t>A12-i</t>
    <phoneticPr fontId="2"/>
  </si>
  <si>
    <t>暗号化方針の確認</t>
    <phoneticPr fontId="2"/>
  </si>
  <si>
    <t>Secrets / S3 の KMS（AWS マネージドで足りるか）の判断記録と設定</t>
    <phoneticPr fontId="2"/>
  </si>
  <si>
    <t>A13-d</t>
    <phoneticPr fontId="2"/>
  </si>
  <si>
    <t>タグ + Budgets 設計</t>
    <phoneticPr fontId="2"/>
  </si>
  <si>
    <t>監視系リソース自身への必須タグ値（app-id 等、BL-1）と月次 Budget 額・通知先（BL-2）</t>
    <phoneticPr fontId="2"/>
  </si>
  <si>
    <t>A13-i</t>
    <phoneticPr fontId="2"/>
  </si>
  <si>
    <t>タグ + Budgets 実装</t>
    <phoneticPr fontId="2"/>
  </si>
  <si>
    <t>全リソースへのタグ付与（IaC 共通タグ）+ Budgets 作成</t>
    <phoneticPr fontId="2"/>
  </si>
  <si>
    <t>A14-i</t>
    <phoneticPr fontId="2"/>
  </si>
  <si>
    <t>Lambda ログ保持設定</t>
    <phoneticPr fontId="2"/>
  </si>
  <si>
    <t>3 Lambda のロググループ保持期間の明示設定（OBS-4。組織標準値、未定なら 90 日仮置き）</t>
    <phoneticPr fontId="2"/>
  </si>
  <si>
    <t>小計 W2-A</t>
    <phoneticPr fontId="2"/>
  </si>
  <si>
    <t>B0-d</t>
    <phoneticPr fontId="2"/>
  </si>
  <si>
    <t>監視(定型)</t>
    <phoneticPr fontId="2"/>
  </si>
  <si>
    <t>監視設計書</t>
    <phoneticPr fontId="2"/>
  </si>
  <si>
    <t>アラーム一覧表（8 本: 名称 / メトリクス / 閾値 / 評価期間 / 通知先 / 対応 Runbook）+ メトリクス定義（DiscoveryLastSuccess / AccountErrors の単位・Dimensions）</t>
    <phoneticPr fontId="2"/>
  </si>
  <si>
    <t>B1-i</t>
    <phoneticPr fontId="2"/>
  </si>
  <si>
    <t>メトリクス 発行 実装</t>
    <phoneticPr fontId="2"/>
  </si>
  <si>
    <t>発見 Lambda に DiscoveryLastSuccess（巡回成功時）/ DiscoveryAccountErrors（失敗アカウント数）の PutMetricData を実装</t>
    <phoneticPr fontId="2"/>
  </si>
  <si>
    <t>C11-i</t>
    <phoneticPr fontId="2"/>
  </si>
  <si>
    <t>B2-i</t>
    <phoneticPr fontId="2"/>
  </si>
  <si>
    <t>アラーム: AuthCheckCritical &gt; 0</t>
    <phoneticPr fontId="2"/>
  </si>
  <si>
    <t>保険系。1 データポイントで発報 → SNS P1</t>
    <phoneticPr fontId="2"/>
  </si>
  <si>
    <t>B3-i</t>
    <phoneticPr fontId="2"/>
  </si>
  <si>
    <t>アラーム: MM-1 巡回鮮度</t>
    <phoneticPr fontId="2"/>
  </si>
  <si>
    <t>DiscoveryLastSuccess が 2 時間欠損（missing data 扱い = breaching）→ P2</t>
    <phoneticPr fontId="2"/>
  </si>
  <si>
    <t>B4-i</t>
    <phoneticPr fontId="2"/>
  </si>
  <si>
    <t>アラーム: MM-2 発見 Lambda Errors</t>
    <phoneticPr fontId="2"/>
  </si>
  <si>
    <t>Lambda Errors ≥ 1（Scheduler 起動失敗も Errors で捕捉）→ P2</t>
    <phoneticPr fontId="2"/>
  </si>
  <si>
    <t>B5-i</t>
    <phoneticPr fontId="2"/>
  </si>
  <si>
    <t>アラーム: MM-3 AccountErrors</t>
    <phoneticPr fontId="2"/>
  </si>
  <si>
    <t>DiscoveryAccountErrors ≥ 1 → P2</t>
    <phoneticPr fontId="2"/>
  </si>
  <si>
    <t>B6-i</t>
    <phoneticPr fontId="2"/>
  </si>
  <si>
    <t>アラーム: MM-4 検査 Lambda</t>
    <phoneticPr fontId="2"/>
  </si>
  <si>
    <t>Errors ≥ 1 + DLQ（検査用）滞留 ≥ 1 → P2</t>
    <phoneticPr fontId="2"/>
  </si>
  <si>
    <t>B7-i</t>
    <phoneticPr fontId="2"/>
  </si>
  <si>
    <t>アラーム: MM-5 Alert Router</t>
    <phoneticPr fontId="2"/>
  </si>
  <si>
    <t>DLQ（Router 用）滞留 ≥ 1 → P2</t>
    <phoneticPr fontId="2"/>
  </si>
  <si>
    <t>B8-i</t>
    <phoneticPr fontId="2"/>
  </si>
  <si>
    <t>アラーム: 発見 Lambda Duration</t>
    <phoneticPr fontId="2"/>
  </si>
  <si>
    <t>15 分制限の前倒し検知（初期閾値は仮置き → W3-5 で本決め）→ P2</t>
    <phoneticPr fontId="2"/>
  </si>
  <si>
    <t>B9-t</t>
    <phoneticPr fontId="2"/>
  </si>
  <si>
    <t>全アラームのテスト発報</t>
    <phoneticPr fontId="2"/>
  </si>
  <si>
    <t>8 本すべて閾値を跨がせ、SNS → メール到達まで実確認（訓練 W4-2 とは別の技術確認）</t>
    <phoneticPr fontId="2"/>
  </si>
  <si>
    <t>B2〜B8</t>
    <phoneticPr fontId="2"/>
  </si>
  <si>
    <t>小計 W2-B</t>
    <phoneticPr fontId="2"/>
  </si>
  <si>
    <t>C0-d</t>
    <phoneticPr fontId="2"/>
  </si>
  <si>
    <t>機能実装</t>
    <phoneticPr fontId="2"/>
  </si>
  <si>
    <t>発見 Lambda 全体設計</t>
    <phoneticPr fontId="2"/>
  </si>
  <si>
    <t>C1-d</t>
    <phoneticPr fontId="2"/>
  </si>
  <si>
    <t>アカウント列挙 設計</t>
    <phoneticPr fontId="2"/>
  </si>
  <si>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phoneticPr fontId="2"/>
  </si>
  <si>
    <t>C1-i</t>
    <phoneticPr fontId="2"/>
  </si>
  <si>
    <t>アカウント列挙 実装</t>
    <phoneticPr fontId="2"/>
  </si>
  <si>
    <t>上記の実装</t>
    <phoneticPr fontId="2"/>
  </si>
  <si>
    <t>C1-d, W1-3</t>
    <phoneticPr fontId="2"/>
  </si>
  <si>
    <t>C1-t</t>
    <phoneticPr fontId="2"/>
  </si>
  <si>
    <t>テスト</t>
    <phoneticPr fontId="2"/>
  </si>
  <si>
    <t>アカウント列挙 単体テスト</t>
    <phoneticPr fontId="2"/>
  </si>
  <si>
    <t>OU フィルタ・ページング・権限エラー時の挙動</t>
    <phoneticPr fontId="2"/>
  </si>
  <si>
    <t>C2-d</t>
    <phoneticPr fontId="2"/>
  </si>
  <si>
    <t>C2-i</t>
    <phoneticPr fontId="2"/>
  </si>
  <si>
    <t>C2-d, A7-i</t>
    <phoneticPr fontId="2"/>
  </si>
  <si>
    <t>C2-t</t>
    <phoneticPr fontId="2"/>
  </si>
  <si>
    <t>AssumeRole 失敗・スロットリング時のリトライ挙動</t>
    <phoneticPr fontId="2"/>
  </si>
  <si>
    <t>C3-d</t>
    <phoneticPr fontId="2"/>
  </si>
  <si>
    <t>C3-i</t>
    <phoneticPr fontId="2"/>
  </si>
  <si>
    <t>C3-d, C2-i</t>
    <phoneticPr fontId="2"/>
  </si>
  <si>
    <t>C3-t</t>
    <phoneticPr fontId="2"/>
  </si>
  <si>
    <t>C5-d</t>
    <phoneticPr fontId="2"/>
  </si>
  <si>
    <t>monitoring.yaml 取得・検証 設計</t>
    <phoneticPr fontId="2"/>
  </si>
  <si>
    <t>C5-i</t>
    <phoneticPr fontId="2"/>
  </si>
  <si>
    <t>monitoring.yaml 取得・検証 実装</t>
    <phoneticPr fontId="2"/>
  </si>
  <si>
    <t>C5-t</t>
    <phoneticPr fontId="2"/>
  </si>
  <si>
    <t>monitoring.yaml 取得・検証 単体テスト</t>
    <phoneticPr fontId="2"/>
  </si>
  <si>
    <t>正常 / authPattern 不正 / baseUrl 欠落 / yaml 破損 / 6MB 超</t>
    <phoneticPr fontId="2"/>
  </si>
  <si>
    <t>C6-d</t>
    <phoneticPr fontId="2"/>
  </si>
  <si>
    <t>台帳同期 設計</t>
    <phoneticPr fontId="2"/>
  </si>
  <si>
    <t>C6-i</t>
    <phoneticPr fontId="2"/>
  </si>
  <si>
    <t>台帳同期 実装</t>
    <phoneticPr fontId="2"/>
  </si>
  <si>
    <t>C6-d, A1-i</t>
    <phoneticPr fontId="2"/>
  </si>
  <si>
    <t>C6-t</t>
    <phoneticPr fontId="2"/>
  </si>
  <si>
    <t>台帳同期 単体テスト</t>
    <phoneticPr fontId="2"/>
  </si>
  <si>
    <t>新規作成 / 更新 / ETag 競合（412）/ 中央管理項目（alertRouting・enabled）を上書きしないこと</t>
    <phoneticPr fontId="2"/>
  </si>
  <si>
    <t>C7-d</t>
    <phoneticPr fontId="2"/>
  </si>
  <si>
    <t>spec 配置 設計</t>
    <phoneticPr fontId="2"/>
  </si>
  <si>
    <t>C7-i</t>
    <phoneticPr fontId="2"/>
  </si>
  <si>
    <t>spec 配置 実装</t>
    <phoneticPr fontId="2"/>
  </si>
  <si>
    <t>C7-t</t>
    <phoneticPr fontId="2"/>
  </si>
  <si>
    <t>spec 配置 単体テスト</t>
    <phoneticPr fontId="2"/>
  </si>
  <si>
    <t>配置キーの正当性・spec 未指定時の挙動</t>
    <phoneticPr fontId="2"/>
  </si>
  <si>
    <t>C8-d</t>
    <phoneticPr fontId="2"/>
  </si>
  <si>
    <t>C8-i</t>
    <phoneticPr fontId="2"/>
  </si>
  <si>
    <t>C8-t</t>
    <phoneticPr fontId="2"/>
  </si>
  <si>
    <t>起動 payload・複数アプリ変更時の多重起動</t>
    <phoneticPr fontId="2"/>
  </si>
  <si>
    <t>C9-d</t>
    <phoneticPr fontId="2"/>
  </si>
  <si>
    <t>C9-i</t>
    <phoneticPr fontId="2"/>
  </si>
  <si>
    <t>C9-t</t>
    <phoneticPr fontId="2"/>
  </si>
  <si>
    <t>C10-d</t>
    <phoneticPr fontId="2"/>
  </si>
  <si>
    <t>メタ不足アラート 設計</t>
    <phoneticPr fontId="2"/>
  </si>
  <si>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phoneticPr fontId="2"/>
  </si>
  <si>
    <t>C10-i</t>
    <phoneticPr fontId="2"/>
  </si>
  <si>
    <t>メタ不足アラート 実装</t>
    <phoneticPr fontId="2"/>
  </si>
  <si>
    <t>C10-t</t>
    <phoneticPr fontId="2"/>
  </si>
  <si>
    <t>メタ不足アラート 単体テスト</t>
    <phoneticPr fontId="2"/>
  </si>
  <si>
    <t>各不備種別の通知・同一不備の重複抑制</t>
    <phoneticPr fontId="2"/>
  </si>
  <si>
    <t>C11-d</t>
    <phoneticPr fontId="2"/>
  </si>
  <si>
    <t>部分失敗分離 設計</t>
    <phoneticPr fontId="2"/>
  </si>
  <si>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phoneticPr fontId="2"/>
  </si>
  <si>
    <t>部分失敗分離 実装</t>
    <phoneticPr fontId="2"/>
  </si>
  <si>
    <t>C11-t</t>
    <phoneticPr fontId="2"/>
  </si>
  <si>
    <t>部分失敗分離 単体テスト</t>
    <phoneticPr fontId="2"/>
  </si>
  <si>
    <t>1 アカウント失敗時に他アカウントが完走・メトリクス値</t>
    <phoneticPr fontId="2"/>
  </si>
  <si>
    <t>小計 W2-C（発見 Lambda）</t>
    <phoneticPr fontId="2"/>
  </si>
  <si>
    <t>K0-d</t>
    <phoneticPr fontId="2"/>
  </si>
  <si>
    <t>検査 Lambda 全体設計</t>
    <phoneticPr fontId="2"/>
  </si>
  <si>
    <t>K1-d</t>
    <phoneticPr fontId="2"/>
  </si>
  <si>
    <t>ハンドラ 転用 設計</t>
    <phoneticPr fontId="2"/>
  </si>
  <si>
    <t>index.js → Lambda ハンドラ 化・synthetics 抽象を https 実装で注入する構造</t>
    <phoneticPr fontId="2"/>
  </si>
  <si>
    <t>K1-i</t>
    <phoneticPr fontId="2"/>
  </si>
  <si>
    <t>ハンドラ 転用 実装</t>
    <phoneticPr fontId="2"/>
  </si>
  <si>
    <t>K1-t</t>
    <phoneticPr fontId="2"/>
  </si>
  <si>
    <t>ハンドラ 転用 単体テスト</t>
    <phoneticPr fontId="2"/>
  </si>
  <si>
    <t>ハンドラ 起動・https 注入の動作（既存 probe-integration の手法流用）</t>
    <phoneticPr fontId="2"/>
  </si>
  <si>
    <t>K2-d</t>
    <phoneticPr fontId="2"/>
  </si>
  <si>
    <t>mode 分岐・分割起動 設計</t>
    <phoneticPr fontId="2"/>
  </si>
  <si>
    <t>K2-i</t>
    <phoneticPr fontId="2"/>
  </si>
  <si>
    <t>mode 分岐・分割起動 実装</t>
    <phoneticPr fontId="2"/>
  </si>
  <si>
    <t>K2-t</t>
    <phoneticPr fontId="2"/>
  </si>
  <si>
    <t>mode 分岐・分割起動 単体テスト</t>
    <phoneticPr fontId="2"/>
  </si>
  <si>
    <t>delta 1 件 / full n 件 分割起動 / 空台帳</t>
    <phoneticPr fontId="2"/>
  </si>
  <si>
    <t>K3-d</t>
    <phoneticPr fontId="2"/>
  </si>
  <si>
    <t>検査 識別ヘッダ 設計</t>
    <phoneticPr fontId="2"/>
  </si>
  <si>
    <t>X-Auth-Probe 付与位置・secret 参照（A11）・ローテ時の追従</t>
    <phoneticPr fontId="2"/>
  </si>
  <si>
    <t>K3-i</t>
    <phoneticPr fontId="2"/>
  </si>
  <si>
    <t>検査 識別ヘッダ 実装</t>
    <phoneticPr fontId="2"/>
  </si>
  <si>
    <t>K3-d, A11-i</t>
    <phoneticPr fontId="2"/>
  </si>
  <si>
    <t>K3-t</t>
    <phoneticPr fontId="2"/>
  </si>
  <si>
    <t>検査 識別ヘッダ 単体テスト</t>
    <phoneticPr fontId="2"/>
  </si>
  <si>
    <t>ヘッダ付与・secret 未取得時のフェイル動作</t>
    <phoneticPr fontId="2"/>
  </si>
  <si>
    <t>K4-d</t>
    <phoneticPr fontId="2"/>
  </si>
  <si>
    <t>WAF ブロック判定 設計</t>
    <phoneticPr fontId="2"/>
  </si>
  <si>
    <t>WAF / CloudFront 由来 403 の識別条件（ヘッダ・本文）→ WARN「境界でブロック」分類 + Smoke の境界通過確認</t>
    <phoneticPr fontId="2"/>
  </si>
  <si>
    <t>K0-d, W1-2</t>
    <phoneticPr fontId="2"/>
  </si>
  <si>
    <t>K4-i</t>
    <phoneticPr fontId="2"/>
  </si>
  <si>
    <t>WAF ブロック判定 実装</t>
    <phoneticPr fontId="2"/>
  </si>
  <si>
    <t>分類 拡張 + Smoke 拡張</t>
    <phoneticPr fontId="2"/>
  </si>
  <si>
    <t>K4-t</t>
    <phoneticPr fontId="2"/>
  </si>
  <si>
    <t>WAF ブロック判定 単体テスト</t>
    <phoneticPr fontId="2"/>
  </si>
  <si>
    <t>WAF 403 → WARN（CRITICAL / OK にならない）/ アプリ 403 → 従来分類の分離確認</t>
    <phoneticPr fontId="2"/>
  </si>
  <si>
    <t>小計 W2-C（検査 Lambda）</t>
    <phoneticPr fontId="2"/>
  </si>
  <si>
    <t>R0-d</t>
    <phoneticPr fontId="2"/>
  </si>
  <si>
    <t>改修</t>
    <phoneticPr fontId="2"/>
  </si>
  <si>
    <t>S3 化改修 設計</t>
    <phoneticPr fontId="2"/>
  </si>
  <si>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台帳）に合わせて手直しして流用する。中核ロジック（検査・分類・通知振り分け）はそのまま活きる</t>
    <phoneticPr fontId="2"/>
  </si>
  <si>
    <t>R1-i</t>
    <phoneticPr fontId="2"/>
  </si>
  <si>
    <t>registry.js S3 化 実装+UT</t>
    <phoneticPr fontId="2"/>
  </si>
  <si>
    <t>DynamoDB Scan → S3 List/Get（M-Q-12-3）。単体テスト更新込み</t>
    <phoneticPr fontId="2"/>
  </si>
  <si>
    <t>R0-d, A1-i</t>
    <phoneticPr fontId="2"/>
  </si>
  <si>
    <t>R2-i</t>
    <phoneticPr fontId="2"/>
  </si>
  <si>
    <t>alert-router S3 化 実装+UT</t>
    <phoneticPr fontId="2"/>
  </si>
  <si>
    <t>通知先解決 GetItem → GetObject。既存 19 テストの更新込み</t>
    <phoneticPr fontId="2"/>
  </si>
  <si>
    <t>R3-i</t>
    <phoneticPr fontId="2"/>
  </si>
  <si>
    <t>emit.js / 環境変数整理</t>
    <phoneticPr fontId="2"/>
  </si>
  <si>
    <t>DEFAULT_P1/P2/P3_TOPIC_ARN 等の設定整合・確認</t>
    <phoneticPr fontId="2"/>
  </si>
  <si>
    <t>T0-d</t>
    <phoneticPr fontId="2"/>
  </si>
  <si>
    <t>token・ローテ 設計</t>
    <phoneticPr fontId="2"/>
  </si>
  <si>
    <t>短命トークン取得シーケンスの実装割付 + ローテ方式の選定（rotation Lambda か手動手順か）と設計</t>
    <phoneticPr fontId="2"/>
  </si>
  <si>
    <t>T1-i</t>
    <phoneticPr fontId="2"/>
  </si>
  <si>
    <t>token.js 疎通 実装+UT</t>
    <phoneticPr fontId="2"/>
  </si>
  <si>
    <t>実 IdP（W1-4 クライアント）で client_credentials 実挙動・TTL キャッシュ確認。UT 込み</t>
    <phoneticPr fontId="2"/>
  </si>
  <si>
    <t>T0-d, A10-i</t>
    <phoneticPr fontId="2"/>
  </si>
  <si>
    <t>T2-i</t>
    <phoneticPr fontId="2"/>
  </si>
  <si>
    <t>ローテ機構 実装+UT</t>
    <phoneticPr fontId="2"/>
  </si>
  <si>
    <t>選定方式の実装（rotation Lambda の場合。手動選定なら Runbook 化を W4-1 に振替）</t>
    <phoneticPr fontId="2"/>
  </si>
  <si>
    <t>D0-d</t>
    <phoneticPr fontId="2"/>
  </si>
  <si>
    <t>重複抑制 設計（W1-5 で採用時のみ）</t>
    <phoneticPr fontId="2"/>
  </si>
  <si>
    <t>抑制キー（app×endpoint×severity）・24h 窓・状態の S3 保持・解除条件</t>
    <phoneticPr fontId="2"/>
  </si>
  <si>
    <t>D1-i</t>
    <phoneticPr fontId="2"/>
  </si>
  <si>
    <t>重複抑制 実装</t>
    <phoneticPr fontId="2"/>
  </si>
  <si>
    <t>D2-t</t>
    <phoneticPr fontId="2"/>
  </si>
  <si>
    <t>重複抑制 単体テスト</t>
    <phoneticPr fontId="2"/>
  </si>
  <si>
    <t>抑制・窓超過後の再通知・severity 変化時は抑制しない</t>
    <phoneticPr fontId="2"/>
  </si>
  <si>
    <t>S0-d</t>
    <phoneticPr fontId="2"/>
  </si>
  <si>
    <t>DiscoveryReadRole 設計</t>
    <phoneticPr fontId="2"/>
  </si>
  <si>
    <t>S1-i</t>
    <phoneticPr fontId="2"/>
  </si>
  <si>
    <t>StackSets テンプレ 実装</t>
    <phoneticPr fontId="2"/>
  </si>
  <si>
    <t>ロールの CFN テンプレ化・StackSets（Organizations 自動デプロイ）定義</t>
    <phoneticPr fontId="2"/>
  </si>
  <si>
    <t>S2-t</t>
    <phoneticPr fontId="2"/>
  </si>
  <si>
    <t>StackSets 配布検証</t>
    <phoneticPr fontId="2"/>
  </si>
  <si>
    <t>3 アカウント配布・AssumeRole 実確認・新規アカウント自動配布の設定確認</t>
    <phoneticPr fontId="2"/>
  </si>
  <si>
    <t>P0-d</t>
    <phoneticPr fontId="2"/>
  </si>
  <si>
    <t>Service Catalog 製品 設計</t>
    <phoneticPr fontId="2"/>
  </si>
  <si>
    <t>製品設計書: パラメータ一覧（AppId / Env / CostCenter / Owner / AuthPattern）・生成リソース構成（API GW 認証必須固定 + Origin Protection + タグ）・起動フロー図</t>
    <phoneticPr fontId="2"/>
  </si>
  <si>
    <t>P1-i</t>
    <phoneticPr fontId="2"/>
  </si>
  <si>
    <t>製品テンプレ 実装</t>
    <phoneticPr fontId="2"/>
  </si>
  <si>
    <t>上記の CFN 化</t>
    <phoneticPr fontId="2"/>
  </si>
  <si>
    <t>P2-i</t>
    <phoneticPr fontId="2"/>
  </si>
  <si>
    <t>Portfolio・共有・Launch 制約</t>
    <phoneticPr fontId="2"/>
  </si>
  <si>
    <t>Portfolio 作成・Organizations 共有・起動ロール</t>
    <phoneticPr fontId="2"/>
  </si>
  <si>
    <t>P3-t</t>
    <phoneticPr fontId="2"/>
  </si>
  <si>
    <t>製品起動検証</t>
    <phoneticPr fontId="2"/>
  </si>
  <si>
    <t>起動 → パラメータのタグ反映・認証必須・Origin Protection の実査</t>
    <phoneticPr fontId="2"/>
  </si>
  <si>
    <t>REV</t>
    <phoneticPr fontId="2"/>
  </si>
  <si>
    <t>コードレビュー・CI 通し</t>
    <phoneticPr fontId="2"/>
  </si>
  <si>
    <t>全実装分のレビュー・静的解析（CI: cfn-guard / Semgrep）修正</t>
    <phoneticPr fontId="2"/>
  </si>
  <si>
    <t>各-i</t>
    <phoneticPr fontId="2"/>
  </si>
  <si>
    <t>小計 W2-C（改修・周辺）</t>
    <phoneticPr fontId="2"/>
  </si>
  <si>
    <t>W3-1</t>
    <phoneticPr fontId="2"/>
  </si>
  <si>
    <t>ローカル統合</t>
    <phoneticPr fontId="2"/>
  </si>
  <si>
    <t>W2 各</t>
    <phoneticPr fontId="2"/>
  </si>
  <si>
    <t>W3-2</t>
    <phoneticPr fontId="2"/>
  </si>
  <si>
    <t>実 AWS PoC 環境構築</t>
    <phoneticPr fontId="2"/>
  </si>
  <si>
    <t>W2, W1-3/4</t>
    <phoneticPr fontId="2"/>
  </si>
  <si>
    <t>クリティカルパス</t>
    <phoneticPr fontId="2"/>
  </si>
  <si>
    <t>T-A</t>
    <phoneticPr fontId="2"/>
  </si>
  <si>
    <t>結合テスト A: 発見・登録系（7 ケース）</t>
    <phoneticPr fontId="2"/>
  </si>
  <si>
    <t>T-B</t>
    <phoneticPr fontId="2"/>
  </si>
  <si>
    <t>結合テスト B: 検査・分類系（9 ケース）</t>
    <phoneticPr fontId="2"/>
  </si>
  <si>
    <t>B-1 正常 JWT（Neg401 + Pos200 → OK・通知なし）/ B-2 NONE endpoint（Neg200 → CRITICAL・P1 メール到達・AuthCheckCritical アラーム発火）/ B-3 公開印 skip → 検査 対象外 / B-4 公開印なし public → P1 / B-5 Cookie モノリス（302 → OK、200 → CRITICAL）/ B-6 token 失効（Neg401 + Pos401 → WARN P2）/ B-7 spec にあるが実体なし（Pos404 → WARN）/ B-8 WAF ブロック（→ WARN「境界でブロック」。誤 CRITICAL にならない）/ B-9 本番 POST skip</t>
    <phoneticPr fontId="2"/>
  </si>
  <si>
    <t>T-C</t>
    <phoneticPr fontId="2"/>
  </si>
  <si>
    <t>結合テスト C: 発報系（5 ケース）</t>
    <phoneticPr fontId="2"/>
  </si>
  <si>
    <t>C-1 alertRouting 個別設定 → その宛先へ / C-2 未設定 → デフォルト ARN へ / C-3 ARN 未解決 → throw → DLQ / C-4 保険系: アラーム → SNS P1（即時系を止めた状態で）/ C-5 重複抑制（採用時: 2 巡目は抑制・24h 後再通知）</t>
    <phoneticPr fontId="2"/>
  </si>
  <si>
    <t>T-D</t>
    <phoneticPr fontId="2"/>
  </si>
  <si>
    <t>結合テスト D: 障害・運用系（6 ケース）</t>
    <phoneticPr fontId="2"/>
  </si>
  <si>
    <t>W3-5</t>
    <phoneticPr fontId="2"/>
  </si>
  <si>
    <t>性能実測・閾値本決め</t>
    <phoneticPr fontId="2"/>
  </si>
  <si>
    <t>T-A〜D</t>
    <phoneticPr fontId="2"/>
  </si>
  <si>
    <t>W3-6</t>
    <phoneticPr fontId="2"/>
  </si>
  <si>
    <t>セキュリティ確認</t>
    <phoneticPr fontId="2"/>
  </si>
  <si>
    <t>IAM 最小権限の実査（Access Analyzer / 手動）・ExternalId なし AssumeRole の拒否確認・全 Lambda ログに secret / トークンが出ないこと（OBS-3）</t>
    <phoneticPr fontId="2"/>
  </si>
  <si>
    <t>W3-7</t>
    <phoneticPr fontId="2"/>
  </si>
  <si>
    <t>ドキュメント</t>
    <phoneticPr fontId="2"/>
  </si>
  <si>
    <t>テスト報告書</t>
    <phoneticPr fontId="2"/>
  </si>
  <si>
    <t>ケース別結果一覧・検出不具合と対処・設計書（md）への検証済み事実反映</t>
    <phoneticPr fontId="2"/>
  </si>
  <si>
    <t>小計 W3</t>
    <phoneticPr fontId="2"/>
  </si>
  <si>
    <t>W4-1</t>
    <phoneticPr fontId="2"/>
  </si>
  <si>
    <t>運用</t>
    <phoneticPr fontId="2"/>
  </si>
  <si>
    <t>Runbook 5 本</t>
    <phoneticPr fontId="2"/>
  </si>
  <si>
    <t>W4-2</t>
    <phoneticPr fontId="2"/>
  </si>
  <si>
    <t>引き継ぎ・訓練</t>
    <phoneticPr fontId="2"/>
  </si>
  <si>
    <t>運用チームへの説明会 + P1 模擬発報 1 回（B-2 ケースを本番相当で再現し Runbook ① を通しで実施）</t>
    <phoneticPr fontId="2"/>
  </si>
  <si>
    <t>W4-3</t>
    <phoneticPr fontId="2"/>
  </si>
  <si>
    <t>運用ダッシュボード</t>
    <phoneticPr fontId="2"/>
  </si>
  <si>
    <t>CloudWatch ダッシュボード 1 画面: AuthCheck 系 5 メトリクス（per-app）+ メタ監視（LastSuccess・AccountErrors・DLQ 深さ・Duration）</t>
    <phoneticPr fontId="2"/>
  </si>
  <si>
    <t>B 系</t>
    <phoneticPr fontId="2"/>
  </si>
  <si>
    <t>W5-1</t>
    <phoneticPr fontId="2"/>
  </si>
  <si>
    <t>ガイド</t>
    <phoneticPr fontId="2"/>
  </si>
  <si>
    <t>アプリチーム向け利用ガイド</t>
    <phoneticPr fontId="2"/>
  </si>
  <si>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phoneticPr fontId="2"/>
  </si>
  <si>
    <t>W5-2</t>
    <phoneticPr fontId="2"/>
  </si>
  <si>
    <t>monitoring.yaml JSON Schema + サンプル repo</t>
    <phoneticPr fontId="2"/>
  </si>
  <si>
    <t>Schema（C5-i の検証と同一物）+ 雛形 repo（yaml・openapi.yaml・公開印例）をテンプレとして公開</t>
    <phoneticPr fontId="2"/>
  </si>
  <si>
    <t>W5-3</t>
    <phoneticPr fontId="2"/>
  </si>
  <si>
    <t>説明会 + 初期問合せ対応</t>
    <phoneticPr fontId="2"/>
  </si>
  <si>
    <t>アプリチーム向け説明会 1 回（資料は W5-1 流用）+ 導入期の問合せ対応枠</t>
    <phoneticPr fontId="2"/>
  </si>
  <si>
    <t>W5-4</t>
    <phoneticPr fontId="2"/>
  </si>
  <si>
    <t>パイロット導入 → 展開</t>
    <phoneticPr fontId="2"/>
  </si>
  <si>
    <t>パイロット 1 アプリ: monitoring.yaml 設置支援 → 初回検知確認 → フィードバック反映。その後残りアプリ（3 アカウント）へ展開</t>
    <phoneticPr fontId="2"/>
  </si>
  <si>
    <t>T-A/B, W5-1</t>
    <phoneticPr fontId="2"/>
  </si>
  <si>
    <t>W6-1</t>
    <phoneticPr fontId="2"/>
  </si>
  <si>
    <t>設計書（md）実装反映</t>
    <phoneticPr fontId="2"/>
  </si>
  <si>
    <t>未決の消し込み（実装で確定した項目）・検証済み事実の追記・実装差分の反映</t>
    <phoneticPr fontId="2"/>
  </si>
  <si>
    <t>W6-2</t>
    <phoneticPr fontId="2"/>
  </si>
  <si>
    <t>Excel 同期</t>
    <phoneticPr fontId="2"/>
  </si>
  <si>
    <t>md 改訂の Excel 反映指示・検収（参照コミット更新含む）</t>
    <phoneticPr fontId="2"/>
  </si>
  <si>
    <t>W7-1</t>
    <phoneticPr fontId="2"/>
  </si>
  <si>
    <t>管理</t>
    <phoneticPr fontId="2"/>
  </si>
  <si>
    <t>進捗・課題・外部調整の追跡</t>
    <phoneticPr fontId="2"/>
  </si>
  <si>
    <t>週次の進捗整理・課題管理・W1 系リードタイムの督促（全体の約 10%）</t>
    <phoneticPr fontId="2"/>
  </si>
  <si>
    <t>小計 W4〜W7</t>
    <phoneticPr fontId="2"/>
  </si>
  <si>
    <t>総合計</t>
    <phoneticPr fontId="2"/>
  </si>
  <si>
    <t>残作業 WBS・工数見積 v3 — 前提・集計・別表・リスク</t>
    <phoneticPr fontId="2"/>
  </si>
  <si>
    <t>明細は「14_WBS」シート（125 行）。本シートの人時・人日は 14_WBS を参照する数式。</t>
    <phoneticPr fontId="2"/>
  </si>
  <si>
    <t>1. 前提条件</t>
    <phoneticPr fontId="2"/>
  </si>
  <si>
    <t>前提</t>
    <phoneticPr fontId="2"/>
  </si>
  <si>
    <t>1 人日 = 8 人時。人日は換算値</t>
    <phoneticPr fontId="2"/>
  </si>
  <si>
    <t>規模: 対象約 3 アカウント（M-Q-18-5）、パイロットアプリ 1 本から</t>
    <phoneticPr fontId="2"/>
  </si>
  <si>
    <t>要員: AWS + Node.js 経験者 1 名主担当。各行にレビュー時間込み</t>
    <phoneticPr fontId="2"/>
  </si>
  <si>
    <t>外部依頼の待ち時間（リードタイム）は工数外（◎印、カレンダー日で別管理）</t>
    <phoneticPr fontId="2"/>
  </si>
  <si>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phoneticPr fontId="2"/>
  </si>
  <si>
    <t>成果物の体系: AWS リソース毎に「インフラ設計書（パラメータシート）」、Lambda は「処理設計書（シーケンス・IF・エラー方針）」を実装前に作成し、処理毎に単体テストを残す</t>
    <phoneticPr fontId="2"/>
  </si>
  <si>
    <t>ID 規約: -d = 設計 / -i = 実装 / -t = 単体テスト。設計不要の作業系は -i のみ</t>
    <phoneticPr fontId="2"/>
  </si>
  <si>
    <t>区分（Excel フィルタ用・11 種）: 外部調整 / 基盤IaC / 監視(定型) / 機能実装 / 改修 / 配布物 / テスト / 運用 / ガイド / ドキュメント / 管理</t>
    <phoneticPr fontId="2"/>
  </si>
  <si>
    <t>-d 行の区分は対象と同じ区分（例: A1-d は 基盤IaC）。設計だけ抽出したい場合はタスク名の「設計」でフィルタする。</t>
    <phoneticPr fontId="2"/>
  </si>
  <si>
    <t>2. スコープ外</t>
    <phoneticPr fontId="2"/>
  </si>
  <si>
    <t>3. 集計（人時・人日は 14_WBS の該当範囲を参照）</t>
    <phoneticPr fontId="2"/>
  </si>
  <si>
    <t>人日（標準）</t>
    <phoneticPr fontId="2"/>
  </si>
  <si>
    <t>min–max（人日）</t>
    <phoneticPr fontId="2"/>
  </si>
  <si>
    <t>W1 外部調整・依頼（6 行）</t>
    <phoneticPr fontId="2"/>
  </si>
  <si>
    <t>3.5–9</t>
    <phoneticPr fontId="2"/>
  </si>
  <si>
    <t>W2-A 基盤 IaC（25 行）</t>
    <phoneticPr fontId="2"/>
  </si>
  <si>
    <t>3–5.5</t>
    <phoneticPr fontId="2"/>
  </si>
  <si>
    <t>W2-B 監視(定型)（10 行）</t>
    <phoneticPr fontId="2"/>
  </si>
  <si>
    <t>1.5–2.5</t>
    <phoneticPr fontId="2"/>
  </si>
  <si>
    <t>W2-C 機能実装・改修（68 行）</t>
    <phoneticPr fontId="2"/>
  </si>
  <si>
    <t>16–32</t>
    <phoneticPr fontId="2"/>
  </si>
  <si>
    <t>W3 テスト（9 行）</t>
    <phoneticPr fontId="2"/>
  </si>
  <si>
    <t>8–17.5</t>
    <phoneticPr fontId="2"/>
  </si>
  <si>
    <t>W4〜W6 運用・ガイド・ドキュメント（9 行）</t>
    <phoneticPr fontId="2"/>
  </si>
  <si>
    <t>9–18</t>
    <phoneticPr fontId="2"/>
  </si>
  <si>
    <t>W7 管理（1 行・約 10%）</t>
    <phoneticPr fontId="2"/>
  </si>
  <si>
    <t>4–8.5</t>
    <phoneticPr fontId="2"/>
  </si>
  <si>
    <t>合計（128 行）</t>
    <phoneticPr fontId="2"/>
  </si>
  <si>
    <t>45–93</t>
    <phoneticPr fontId="2"/>
  </si>
  <si>
    <t>注記: 集計は 14_WBS の明細行を SUM した値。元資料 v4 の小計は「発見 Lambda 60」「改修・周辺 85.5」「W2-C 170」「合計 486」と記載されているが、各行の合計はそれぞれ 61 / 85 で、W2-C は 170.5、総合計は 486.5 となる（元資料との差 +0.5）。行の工数は元資料どおりで、元資料側の小計の見直しが必要。</t>
    <phoneticPr fontId="2"/>
  </si>
  <si>
    <t>4. 別表: 定型監視の工数（区分 = 監視(定型) の横断集計）</t>
    <phoneticPr fontId="2"/>
  </si>
  <si>
    <t>監視設計書（アラーム一覧・閾値・通知先マトリクス）</t>
    <phoneticPr fontId="2"/>
  </si>
  <si>
    <t>B2-i〜B8-i</t>
    <phoneticPr fontId="2"/>
  </si>
  <si>
    <t>アラーム実装 7 本</t>
    <phoneticPr fontId="2"/>
  </si>
  <si>
    <t>定型監視 計</t>
    <phoneticPr fontId="2"/>
  </si>
  <si>
    <t>注記: 14_WBS で 区分=監視(定型) をフィルタしても同じ集合が得られる（人時計 25 = 3.1 人日）。</t>
    <phoneticPr fontId="2"/>
  </si>
  <si>
    <t>5. 漏れチェック結果</t>
    <phoneticPr fontId="2"/>
  </si>
  <si>
    <t>v2 で追加した 10 件（L2 Config Rules 確認 / S3 Lifecycle / Scheduler リトライ / Secrets 格納 / X-Auth-Probe secret / タグ + Budgets / ログ保持 / アラームテスト発報 / メタ不足・棚卸し通知経路 / JSON Schema 配布）は全行に反映済み。</t>
    <phoneticPr fontId="2"/>
  </si>
  <si>
    <t>v3 では成果物としての設計書群を明示化した: インフラ設計書（A 系 -d）/ 監視設計書（B0-d）/ Lambda 処理設計書（C0-d・K0-d）/ ロール・製品設計書（S0-d・P0-d）。</t>
    <phoneticPr fontId="2"/>
  </si>
  <si>
    <t>設計行の抽出はタスク名「設計」でフィルタ、または ID の -d で判別できる（-d 行は 34 行）。</t>
    <phoneticPr fontId="2"/>
  </si>
  <si>
    <t>v4（2026-08-19）: 手動変更検知の方針確定を反映 — C12-d/i/t 新設（deploymentId 併読 +9 人時）/ W1-6 を「無ければ実装必須」に格上げ / S0-d を権限 6 アクション化（apigateway:GET）/ W5-1・W4-1 に「変更は必ず git 経由」明記を追加。合計 477 → 486 人時（本書の明細合計は 486.5）。</t>
    <phoneticPr fontId="2"/>
  </si>
  <si>
    <t>6. リスク（見積が膨らむ主要因）</t>
    <phoneticPr fontId="2"/>
  </si>
  <si>
    <t>リスク</t>
    <phoneticPr fontId="2"/>
  </si>
  <si>
    <t>影響</t>
    <phoneticPr fontId="2"/>
  </si>
  <si>
    <t>NW-2 例外の否認 → VPC 戻し</t>
    <phoneticPr fontId="2"/>
  </si>
  <si>
    <t>+40〜64 人時</t>
    <phoneticPr fontId="2"/>
  </si>
  <si>
    <t>L2 Config Rules が組織に存在しない</t>
    <phoneticPr fontId="2"/>
  </si>
  <si>
    <t>+8 人時の実装が必須発生（v4 で「前提頼み」から「無ければ必ず作る」に格上げ、W1-6）。放置すると死角が塞がらない</t>
    <phoneticPr fontId="2"/>
  </si>
  <si>
    <t>WAF 許可ルール調整の難航</t>
    <phoneticPr fontId="2"/>
  </si>
  <si>
    <t>副対策（K4 系）のみで暫定リリース可</t>
    <phoneticPr fontId="2"/>
  </si>
  <si>
    <t>Service Catalog 製品の組織承認が重い</t>
    <phoneticPr fontId="2"/>
  </si>
  <si>
    <t>監視自体は先行リリース可</t>
    <phoneticPr fontId="2"/>
  </si>
  <si>
    <t>Keycloak クライアント発行の遅延</t>
    <phoneticPr fontId="2"/>
  </si>
  <si>
    <t>Negative のみで先行可（設計上許容）</t>
    <phoneticPr fontId="2"/>
  </si>
  <si>
    <t>7. メモ（クリティカルパス・体制）</t>
    <phoneticPr fontId="2"/>
  </si>
  <si>
    <t>クリティカルパス: W2-A → C0〜C12（発見）/ K 系・R 系（検査） → W3-2 → T-A / T-B →（W4-1 → W5-4）。</t>
    <phoneticPr fontId="2"/>
  </si>
  <si>
    <t>1 名専任で実働 約 3 か月（外部リードタイム除く）。W2 と W3-2 を 2 名並行なら 約 2 か月。</t>
    <phoneticPr fontId="2"/>
  </si>
  <si>
    <t>W1 は初日に発注（W1-1 / W1-2 は同梱。W1-3 / W1-4 / W1-6 は個別に並行）。</t>
    <phoneticPr fontId="2"/>
  </si>
  <si>
    <t>認証実装確認処理 ランニング費用（AWS 利用料）</t>
    <phoneticPr fontId="2"/>
  </si>
  <si>
    <t>対象範囲: 認証実装確認処理（外形監視）の機構のみ。アプリ本体・CloudFront / WAF（ネットワーク監査アカウント）・CodeCommit のアプリ利用分・ガイドライン章の費用は含まない。</t>
    <phoneticPr fontId="2"/>
  </si>
  <si>
    <t>1. 前提パラメータ</t>
    <phoneticPr fontId="2"/>
  </si>
  <si>
    <t>パラメータ</t>
    <phoneticPr fontId="2"/>
  </si>
  <si>
    <t>将来（拡大時）</t>
    <phoneticPr fontId="2"/>
  </si>
  <si>
    <t>P-1</t>
    <phoneticPr fontId="2"/>
  </si>
  <si>
    <t>App アカウント数 = アプリ数</t>
    <phoneticPr fontId="2"/>
  </si>
  <si>
    <t>WBS（Phase 1 ≈ 3 アカウント）</t>
    <phoneticPr fontId="2"/>
  </si>
  <si>
    <t>P-2</t>
    <phoneticPr fontId="2"/>
  </si>
  <si>
    <t>環境数 / アプリ</t>
    <phoneticPr fontId="2"/>
  </si>
  <si>
    <t>2（prod + stg）</t>
    <phoneticPr fontId="2"/>
  </si>
  <si>
    <t>monitoring.yaml 規約</t>
    <phoneticPr fontId="2"/>
  </si>
  <si>
    <t>P-3</t>
    <phoneticPr fontId="2"/>
  </si>
  <si>
    <t>endpoint 数 / アプリ</t>
    <phoneticPr fontId="2"/>
  </si>
  <si>
    <t>想定値（要ヒアリング）</t>
    <phoneticPr fontId="2"/>
  </si>
  <si>
    <t>P-4</t>
    <phoneticPr fontId="2"/>
  </si>
  <si>
    <t>1 時間毎 = 約 730 回/月</t>
    <phoneticPr fontId="2"/>
  </si>
  <si>
    <t>同左</t>
    <phoneticPr fontId="2"/>
  </si>
  <si>
    <t>P-5</t>
    <phoneticPr fontId="2"/>
  </si>
  <si>
    <t>1 回/営業日/アプリ ≈ 60 回/月</t>
    <phoneticPr fontId="2"/>
  </si>
  <si>
    <t>600 回/月</t>
    <phoneticPr fontId="2"/>
  </si>
  <si>
    <t>想定値</t>
    <phoneticPr fontId="2"/>
  </si>
  <si>
    <t>P-6</t>
    <phoneticPr fontId="2"/>
  </si>
  <si>
    <t>月 1 回</t>
    <phoneticPr fontId="2"/>
  </si>
  <si>
    <t>運用工数 OP-3（推奨頻度、未決 RC-Q-2）</t>
    <phoneticPr fontId="2"/>
  </si>
  <si>
    <t>P-7</t>
    <phoneticPr fontId="2"/>
  </si>
  <si>
    <t>Lambda メモリ / 実行時間</t>
    <phoneticPr fontId="2"/>
  </si>
  <si>
    <t>発見 512MB×60s、チェック 512MB×120s、Router 256MB×5s</t>
    <phoneticPr fontId="2"/>
  </si>
  <si>
    <t>発見は巡回対象比例で 300s</t>
    <phoneticPr fontId="2"/>
  </si>
  <si>
    <t>想定値（W3-5 実測で本決め）</t>
    <phoneticPr fontId="2"/>
  </si>
  <si>
    <t>P-8</t>
    <phoneticPr fontId="2"/>
  </si>
  <si>
    <t>為替目安</t>
    <phoneticPr fontId="2"/>
  </si>
  <si>
    <t>$1 = ¥150</t>
    <phoneticPr fontId="2"/>
  </si>
  <si>
    <t>概算表示用</t>
    <phoneticPr fontId="2"/>
  </si>
  <si>
    <t>単価は 2026-08-19 に AWS 公式（価格ページ + Price List API、ap-northeast-1）で検証済み。Scheduler 東京 $1.25/M・Logs 取り込み東京 $0.76/GB に補正</t>
    <phoneticPr fontId="2"/>
  </si>
  <si>
    <t>2. 費用内訳（月額 USD、東京）</t>
    <phoneticPr fontId="2"/>
  </si>
  <si>
    <t>算定（Phase 1）</t>
    <phoneticPr fontId="2"/>
  </si>
  <si>
    <t>月額 USD（Phase 1）</t>
    <phoneticPr fontId="2"/>
  </si>
  <si>
    <t>月額 USD（将来 30）</t>
    <phoneticPr fontId="2"/>
  </si>
  <si>
    <t>負担アカウント</t>
    <phoneticPr fontId="2"/>
  </si>
  <si>
    <t>RC-1</t>
    <phoneticPr fontId="2"/>
  </si>
  <si>
    <t>730 回 × 60s × 0.5GB = 21,900 GB-s × $0.0000166667</t>
    <phoneticPr fontId="2"/>
  </si>
  <si>
    <t>$0.4</t>
    <phoneticPr fontId="2"/>
  </si>
  <si>
    <t>$1.8</t>
    <phoneticPr fontId="2"/>
  </si>
  <si>
    <t>共通基盤</t>
    <phoneticPr fontId="2"/>
  </si>
  <si>
    <t>将来は巡回 300s/回で試算</t>
    <phoneticPr fontId="2"/>
  </si>
  <si>
    <t>RC-2</t>
    <phoneticPr fontId="2"/>
  </si>
  <si>
    <t>63 回 × 120s × 0.5GB ≈ 3,800 GB-s</t>
    <phoneticPr fontId="2"/>
  </si>
  <si>
    <t>$0.1</t>
    <phoneticPr fontId="2"/>
  </si>
  <si>
    <t>$0.6</t>
    <phoneticPr fontId="2"/>
  </si>
  <si>
    <t>RC-3</t>
    <phoneticPr fontId="2"/>
  </si>
  <si>
    <t>発報数十回 × 5s × 0.25GB</t>
    <phoneticPr fontId="2"/>
  </si>
  <si>
    <t>$0.0</t>
    <phoneticPr fontId="2"/>
  </si>
  <si>
    <t>無料枠内</t>
    <phoneticPr fontId="2"/>
  </si>
  <si>
    <t>RC-4</t>
    <phoneticPr fontId="2"/>
  </si>
  <si>
    <t>スケジューラ</t>
    <phoneticPr fontId="2"/>
  </si>
  <si>
    <t>730 起動 × $1.25/M</t>
    <phoneticPr fontId="2"/>
  </si>
  <si>
    <t>無料枠 1,400 万起動/月</t>
    <phoneticPr fontId="2"/>
  </si>
  <si>
    <t>RC-5</t>
    <phoneticPr fontId="2"/>
  </si>
  <si>
    <t>S3 Standard</t>
    <phoneticPr fontId="2"/>
  </si>
  <si>
    <t>&lt;1GB + GET 約 1 万/月 + PUT 少量</t>
    <phoneticPr fontId="2"/>
  </si>
  <si>
    <t>$0.5</t>
    <phoneticPr fontId="2"/>
  </si>
  <si>
    <t>Versioning 込みでも KB オーダー</t>
    <phoneticPr fontId="2"/>
  </si>
  <si>
    <t>RC-6</t>
    <phoneticPr fontId="2"/>
  </si>
  <si>
    <t>シークレット</t>
    <phoneticPr fontId="2"/>
  </si>
  <si>
    <t>3 個 × $0.40（検査 トークン共通 + X-Auth-Probe + 予備）</t>
    <phoneticPr fontId="2"/>
  </si>
  <si>
    <t>$1.2</t>
    <phoneticPr fontId="2"/>
  </si>
  <si>
    <t>$1.2〜12</t>
    <phoneticPr fontId="2"/>
  </si>
  <si>
    <t>将来 M-Q-11-4 スコープ B（アプリ別クライアント）採用なら 30 個 ≈ $12</t>
    <phoneticPr fontId="2"/>
  </si>
  <si>
    <t>RC-7</t>
    <phoneticPr fontId="2"/>
  </si>
  <si>
    <t>カスタムメトリクス</t>
    <phoneticPr fontId="2"/>
  </si>
  <si>
    <t>約 20 個（MM-1〜5 + AccountErrors + アプリ別次元 3×3 ほか）× $0.30</t>
    <phoneticPr fontId="2"/>
  </si>
  <si>
    <t>$6.0</t>
    <phoneticPr fontId="2"/>
  </si>
  <si>
    <t>$30.0</t>
    <phoneticPr fontId="2"/>
  </si>
  <si>
    <t>最大費目。メトリクスはディメンション組合せごとに 1 個課金 → アプリ数比例</t>
    <phoneticPr fontId="2"/>
  </si>
  <si>
    <t>RC-8</t>
    <phoneticPr fontId="2"/>
  </si>
  <si>
    <t>10 本（B2〜B8 + 保険系）× $0.10</t>
    <phoneticPr fontId="2"/>
  </si>
  <si>
    <t>$1.0</t>
    <phoneticPr fontId="2"/>
  </si>
  <si>
    <t>$1.5</t>
    <phoneticPr fontId="2"/>
  </si>
  <si>
    <t>RC-9</t>
    <phoneticPr fontId="2"/>
  </si>
  <si>
    <t>ダッシュボード</t>
    <phoneticPr fontId="2"/>
  </si>
  <si>
    <t>1 個（W4-3）</t>
    <phoneticPr fontId="2"/>
  </si>
  <si>
    <t>無料枠 3 個内</t>
    <phoneticPr fontId="2"/>
  </si>
  <si>
    <t>RC-10</t>
    <phoneticPr fontId="2"/>
  </si>
  <si>
    <t>ログ</t>
    <phoneticPr fontId="2"/>
  </si>
  <si>
    <t>CloudWatch Logs</t>
    <phoneticPr fontId="2"/>
  </si>
  <si>
    <t>取り込み 2GB × $0.76 + 保存</t>
    <phoneticPr fontId="2"/>
  </si>
  <si>
    <t>$2.0</t>
    <phoneticPr fontId="2"/>
  </si>
  <si>
    <t>$9.0</t>
    <phoneticPr fontId="2"/>
  </si>
  <si>
    <t>東京は $0.76/GB。保持期間の設定が保存費を左右（A 系で設定済み前提）</t>
    <phoneticPr fontId="2"/>
  </si>
  <si>
    <t>RC-11</t>
    <phoneticPr fontId="2"/>
  </si>
  <si>
    <t>通知メール</t>
    <phoneticPr fontId="2"/>
  </si>
  <si>
    <t>数百通/月</t>
    <phoneticPr fontId="2"/>
  </si>
  <si>
    <t>無料枠 1,000 通/月内。$2.00/10 万通</t>
    <phoneticPr fontId="2"/>
  </si>
  <si>
    <t>RC-12</t>
    <phoneticPr fontId="2"/>
  </si>
  <si>
    <t>Config Rules（②）</t>
    <phoneticPr fontId="2"/>
  </si>
  <si>
    <t>AWS Config</t>
    <phoneticPr fontId="2"/>
  </si>
  <si>
    <t>ルール評価 ~100 回 × $0.001 + 変更 CI ~100 × $0.003</t>
    <phoneticPr fontId="2"/>
  </si>
  <si>
    <t>$3.0</t>
    <phoneticPr fontId="2"/>
  </si>
  <si>
    <t>App 各アカウント</t>
    <phoneticPr fontId="2"/>
  </si>
  <si>
    <t>Config recorder は組織で有効済み前提（W1-6）。増分のみ計上</t>
    <phoneticPr fontId="2"/>
  </si>
  <si>
    <t>RC-13</t>
    <phoneticPr fontId="2"/>
  </si>
  <si>
    <t>CodeCommit アクティブユーザー</t>
    <phoneticPr fontId="2"/>
  </si>
  <si>
    <t>DiscoveryReadRole = 各 App アカウントで 1 アクティブユーザー（公式定義でクロスアカウントロールもカウント）</t>
    <phoneticPr fontId="2"/>
  </si>
  <si>
    <t>$0〜3</t>
    <phoneticPr fontId="2"/>
  </si>
  <si>
    <t>$0〜30</t>
    <phoneticPr fontId="2"/>
  </si>
  <si>
    <t>各アカウントの無料枠 5 ユーザー内なら $0。既に 5 人超のアカウントは +$1/月</t>
    <phoneticPr fontId="2"/>
  </si>
  <si>
    <t>RC-14</t>
    <phoneticPr fontId="2"/>
  </si>
  <si>
    <t>KMS</t>
    <phoneticPr fontId="2"/>
  </si>
  <si>
    <t>SSE-S3 なら不要。CMK 1 本なら $1 + リクエスト</t>
    <phoneticPr fontId="2"/>
  </si>
  <si>
    <t>$0〜1</t>
    <phoneticPr fontId="2"/>
  </si>
  <si>
    <t>暗号化方式は A 系 IaC の決定に従う（RC-Q-3）</t>
    <phoneticPr fontId="2"/>
  </si>
  <si>
    <t>合計</t>
    <phoneticPr fontId="2"/>
  </si>
  <si>
    <t>≈ $11〜15/月（≈ ¥1,700〜2,300）</t>
    <phoneticPr fontId="2"/>
  </si>
  <si>
    <t>≈ $48〜90/月（≈ ¥7,000〜14,000）</t>
    <phoneticPr fontId="2"/>
  </si>
  <si>
    <t>為替目安 $1 = ¥150</t>
    <phoneticPr fontId="2"/>
  </si>
  <si>
    <t>3. 読み方（要点）</t>
    <phoneticPr fontId="2"/>
  </si>
  <si>
    <t>機構のランニングは月 2,000 円前後で、支配項は CloudWatch（メトリクス + ログ = 費用の 2/3）。Lambda・S3・Scheduler は事実上ゼロ</t>
    <phoneticPr fontId="2"/>
  </si>
  <si>
    <t>アプリ数比例で増えるのは RC-7（メトリクス）・RC-10（ログ）・RC-12/13（App アカウント側）。30 アプリでも月 1 万円台</t>
    <phoneticPr fontId="2"/>
  </si>
  <si>
    <t>App アカウント側に発生する費用が 2 件ある（RC-12/13）。課金按分の説明にこの 2 件を「監視のための共通負担」として明記が必要 → RC-Q-1</t>
    <phoneticPr fontId="2"/>
  </si>
  <si>
    <t>4. 未決（費用）</t>
    <phoneticPr fontId="2"/>
  </si>
  <si>
    <t>認証実装確認処理 運用開始後の作業（運用工数）</t>
    <phoneticPr fontId="2"/>
  </si>
  <si>
    <t>体制想定 = 共通基盤チーム内の兼務 1 名。頻度は Phase 1（3 アプリ）想定で、導入期 3 か月の実績で v2 改訂（OP-Q-1）</t>
    <phoneticPr fontId="2"/>
  </si>
  <si>
    <t>時間は 1 件あたりの実働。「件数 × 時間」の変動項はアプリ数比例で、30 アプリ時は下部の集計表を参照。根拠: Runbook 5 本（W4-1 ①〜⑤）、メタ監視 MM-1〜5、4×4 分類。</t>
    <phoneticPr fontId="2"/>
  </si>
  <si>
    <t>1. 作業一覧（分類別）</t>
    <phoneticPr fontId="2"/>
  </si>
  <si>
    <t>作業</t>
    <phoneticPr fontId="2"/>
  </si>
  <si>
    <t>周期 or 件数/月</t>
    <phoneticPr fontId="2"/>
  </si>
  <si>
    <t>1 回 h</t>
    <phoneticPr fontId="2"/>
  </si>
  <si>
    <t>月換算 h</t>
    <phoneticPr fontId="2"/>
  </si>
  <si>
    <t>OP-1</t>
    <phoneticPr fontId="2"/>
  </si>
  <si>
    <t>定期</t>
    <phoneticPr fontId="2"/>
  </si>
  <si>
    <t>日次ヘルスチェック</t>
    <phoneticPr fontId="2"/>
  </si>
  <si>
    <t>ダッシュボード確認（巡回成功・未処理アラート・AccountErrors）</t>
    <phoneticPr fontId="2"/>
  </si>
  <si>
    <t>営業日</t>
    <phoneticPr fontId="2"/>
  </si>
  <si>
    <t>OP-2</t>
    <phoneticPr fontId="2"/>
  </si>
  <si>
    <t>月次棚卸し</t>
    <phoneticPr fontId="2"/>
  </si>
  <si>
    <t>消滅レコード削除・公開印 skip 濫用レビュー・enabled 一覧確認（Runbook ⑤）</t>
    <phoneticPr fontId="2"/>
  </si>
  <si>
    <t>月</t>
    <phoneticPr fontId="2"/>
  </si>
  <si>
    <t>OP-3</t>
    <phoneticPr fontId="2"/>
  </si>
  <si>
    <t>全アプリ全量検査 + 結果確認（Runbook ②）</t>
    <phoneticPr fontId="2"/>
  </si>
  <si>
    <t>月（RC-Q-2）</t>
    <phoneticPr fontId="2"/>
  </si>
  <si>
    <t>OP-4</t>
    <phoneticPr fontId="2"/>
  </si>
  <si>
    <t>アラームテスト発報</t>
    <phoneticPr fontId="2"/>
  </si>
  <si>
    <t>B-2 相当の擬似ケースで通知経路を通す訓練</t>
    <phoneticPr fontId="2"/>
  </si>
  <si>
    <t>四半期</t>
    <phoneticPr fontId="2"/>
  </si>
  <si>
    <t>OP-5</t>
    <phoneticPr fontId="2"/>
  </si>
  <si>
    <t>シークレットローテ確認</t>
    <phoneticPr fontId="2"/>
  </si>
  <si>
    <t>検査 トークンクライアント・X-Auth-Probe secret（T2 自動なら結果確認のみ）</t>
    <phoneticPr fontId="2"/>
  </si>
  <si>
    <t>OP-6</t>
    <phoneticPr fontId="2"/>
  </si>
  <si>
    <t>権限棚卸し</t>
    <phoneticPr fontId="2"/>
  </si>
  <si>
    <t>DiscoveryReadRole 信頼先・ExternalId・AssumeRole CloudTrail 監査</t>
    <phoneticPr fontId="2"/>
  </si>
  <si>
    <t>半期</t>
    <phoneticPr fontId="2"/>
  </si>
  <si>
    <t>OP-7</t>
    <phoneticPr fontId="2"/>
  </si>
  <si>
    <t>ランタイム・SDK 更新</t>
    <phoneticPr fontId="2"/>
  </si>
  <si>
    <t>Lambda ランタイム EOL 追随・依存更新 + 回帰（W3 の UT 資産流用）</t>
    <phoneticPr fontId="2"/>
  </si>
  <si>
    <t>年</t>
    <phoneticPr fontId="2"/>
  </si>
  <si>
    <t>OP-8</t>
    <phoneticPr fontId="2"/>
  </si>
  <si>
    <t>ガイド・Schema 年次見直し</t>
    <phoneticPr fontId="2"/>
  </si>
  <si>
    <t>利用ガイド / JSON Schema / FAQ の改訂</t>
    <phoneticPr fontId="2"/>
  </si>
  <si>
    <t>定期 小計</t>
    <phoneticPr fontId="2"/>
  </si>
  <si>
    <t>OP-9</t>
    <phoneticPr fontId="2"/>
  </si>
  <si>
    <t>発生ベース</t>
    <phoneticPr fontId="2"/>
  </si>
  <si>
    <t>P1 対応</t>
    <phoneticPr fontId="2"/>
  </si>
  <si>
    <t>認証漏れ疑いの一次切り分け（真の漏れ / 設定ずれ / 誤検知）→ アプリ連絡 → 暫定遮断判断（Runbook ①）</t>
    <phoneticPr fontId="2"/>
  </si>
  <si>
    <t>OP-10</t>
    <phoneticPr fontId="2"/>
  </si>
  <si>
    <t>P2 対応</t>
    <phoneticPr fontId="2"/>
  </si>
  <si>
    <t>OP-11</t>
    <phoneticPr fontId="2"/>
  </si>
  <si>
    <t>P3・問い合わせ対応</t>
    <phoneticPr fontId="2"/>
  </si>
  <si>
    <t>アプリ通知系のフォロー・FAQ 対応</t>
    <phoneticPr fontId="2"/>
  </si>
  <si>
    <t>OP-12</t>
    <phoneticPr fontId="2"/>
  </si>
  <si>
    <t>誤検知調査</t>
    <phoneticPr fontId="2"/>
  </si>
  <si>
    <t>WAF 干渉（X-Auth-Probe 不通など）・WARN 分類の原因調査</t>
    <phoneticPr fontId="2"/>
  </si>
  <si>
    <t>OP-13</t>
    <phoneticPr fontId="2"/>
  </si>
  <si>
    <t>メタ監視（MM）発報対応</t>
    <phoneticPr fontId="2"/>
  </si>
  <si>
    <t>DiscoveryLastSuccess 欠損等の初動（Runbook ③）</t>
    <phoneticPr fontId="2"/>
  </si>
  <si>
    <t>OP-14</t>
    <phoneticPr fontId="2"/>
  </si>
  <si>
    <t>新規アプリ導入支援</t>
    <phoneticPr fontId="2"/>
  </si>
  <si>
    <t>monitoring.yaml レビュー（apiGatewayId 宣言含む）・初回検知確認</t>
    <phoneticPr fontId="2"/>
  </si>
  <si>
    <t>OP-15</t>
    <phoneticPr fontId="2"/>
  </si>
  <si>
    <t>外部調整の維持</t>
    <phoneticPr fontId="2"/>
  </si>
  <si>
    <t>WAF ルール変更追随・Keycloak クライアント更新・NW-2 例外の年次更新</t>
    <phoneticPr fontId="2"/>
  </si>
  <si>
    <t>発生ベース 小計</t>
    <phoneticPr fontId="2"/>
  </si>
  <si>
    <t>OP-16</t>
    <phoneticPr fontId="2"/>
  </si>
  <si>
    <t>改善・維持</t>
    <phoneticPr fontId="2"/>
  </si>
  <si>
    <t>設計書・Excel・Runbook の同期</t>
    <phoneticPr fontId="2"/>
  </si>
  <si>
    <t>実装差分・未決消し込みの反映</t>
    <phoneticPr fontId="2"/>
  </si>
  <si>
    <t>OP-17</t>
    <phoneticPr fontId="2"/>
  </si>
  <si>
    <t>閾値チューニング</t>
    <phoneticPr fontId="2"/>
  </si>
  <si>
    <t>アラーム・WARN 分類の見直し（実績ベース）</t>
    <phoneticPr fontId="2"/>
  </si>
  <si>
    <t>改善・維持 小計</t>
    <phoneticPr fontId="2"/>
  </si>
  <si>
    <t>2. 集計</t>
    <phoneticPr fontId="2"/>
  </si>
  <si>
    <t>期間</t>
    <phoneticPr fontId="2"/>
  </si>
  <si>
    <t>月間工数</t>
    <phoneticPr fontId="2"/>
  </si>
  <si>
    <t>人日/月</t>
    <phoneticPr fontId="2"/>
  </si>
  <si>
    <t>FTE 換算</t>
    <phoneticPr fontId="2"/>
  </si>
  <si>
    <t>導入期（リリース後 3 か月）</t>
    <phoneticPr fontId="2"/>
  </si>
  <si>
    <t>約 39h（定常 26h × 1.5。チューニング・導入支援・誤検知が集中）</t>
    <phoneticPr fontId="2"/>
  </si>
  <si>
    <t>定常期（Phase 1、3 アプリ）</t>
    <phoneticPr fontId="2"/>
  </si>
  <si>
    <t>約 26h</t>
    <phoneticPr fontId="2"/>
  </si>
  <si>
    <t>拡大時（30 アプリ）</t>
    <phoneticPr fontId="2"/>
  </si>
  <si>
    <t>約 55h（OP-9〜14 がアプリ数比例で ×3〜4、定期作業は微増）</t>
    <phoneticPr fontId="2"/>
  </si>
  <si>
    <t>3. 読み方</t>
    <phoneticPr fontId="2"/>
  </si>
  <si>
    <t>専任は不要。定常期は兼務 1 名で 2 割弱の稼働。拡大時も 0.3〜0.4 FTE</t>
    <phoneticPr fontId="2"/>
  </si>
  <si>
    <t>工数の半分は発生ベース（OP-9〜15）であり、想定件数は運用実績で必ずブレる。導入期 3 か月の実績で頻度を実測し、本表を v2 改訂する（OP-Q-1）</t>
    <phoneticPr fontId="2"/>
  </si>
  <si>
    <t>P1（OP-9）は件数こそ少ないが対応期限が最も厳しい（認証漏れの可能性 = セキュリティインシデント扱い）。Runbook ① の一次切り分け 30 分以内を目標にする</t>
    <phoneticPr fontId="2"/>
  </si>
  <si>
    <t>4. 未決（運用）</t>
    <phoneticPr fontId="2"/>
  </si>
  <si>
    <t>検査を各アプリに配らず、共通基盤アカウントの認証実装確認処理（Lambda）が全アプリを横断監視する。</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</si>
  <si>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CodeCommit）は境界非経由、検査は境界経由で描き分ける</t>
    <phoneticPr fontId="2"/>
  </si>
  <si>
    <t>Negative status × Positive status の 8 組合せ → OK / CRITICAL / WARN / INFO → severity・priority → P1 Security 即時 / P2 Platform 24h / P3 App team / 通知なし。分類を 検査と Alert Router が共有すること、ARN は台帳 alertRouting → 環境変数の 2 段解決であることを併記</t>
    <phoneticPr fontId="2"/>
  </si>
  <si>
    <t>検査は実 UX と同じ境界経由</t>
    <phoneticPr fontId="2"/>
  </si>
  <si>
    <t>注記: 境界（CloudFront + WAF）はネットワーク監査アカウントにあり、検査はそこを実ユーザーと同じ経路で通る</t>
    <phoneticPr fontId="2"/>
  </si>
  <si>
    <t>注記: Lambda 3 本はすべて VPC 外（Lambda マネージド網）に配置する。VPC / VPC Endpoint 群 / TGW Attachment / NAT が一切不要になる。代償として 検査の外向き HTTPS がアウトバウンド境界（NWFW）を通らない ——これは NW-2 の明示的な例外として受容し、代償統制で補う（詳細は 08_セキュリティ・IAM シート）</t>
    <phoneticPr fontId="2"/>
  </si>
  <si>
    <t>検査の対象（アプリの認証実装そのもの）。検査が実際に叩く</t>
    <phoneticPr fontId="2"/>
  </si>
  <si>
    <t>インターネット境界（Origin Protection）。検査は実ユーザーと同じくここを経由して検査する（境界を破らない）</t>
    <phoneticPr fontId="2"/>
  </si>
  <si>
    <t>巡回 + 変化時 検査で概ね無料枠内</t>
    <phoneticPr fontId="2"/>
  </si>
  <si>
    <t>Lambda 標準 Errors + 非同期 起動の DLQ（SQS）</t>
    <phoneticPr fontId="2"/>
  </si>
  <si>
    <t>死守事項 MON-1（必須・default-deny）: すべての endpoint はデフォルトで「認証必須」とみなす。認証不要（public）な endpoint は x-synthetics-skip-auth-check: true を必ず明示する。明示のない endpoint は認証必須として 未認証検査で検査し、未認証で 2xx が返れば CRITICAL/P1（認証漏れ）とする</t>
    <phoneticPr fontId="2"/>
  </si>
  <si>
    <t>7. 4×4 真偽値表（分類ロジック。検査と alert-router で共有）</t>
    <phoneticPr fontId="2"/>
  </si>
  <si>
    <t>描くべき内容: Negative × Positive の 8 組合せ → OK / CRITICAL / WARN / INFO → severity・priority → P1 Security 即時 / P2 Platform 24h / P3 App team / 通知なし。分類を 検査と Alert Router が共有、ARN は台帳 alertRouting → 環境変数の 2 段解決</t>
    <phoneticPr fontId="2"/>
  </si>
  <si>
    <t>前提: 表の 401/403 は「アプリの認証レイヤーが返した」ものであること。WAF が 検査をブロックした 403 は別扱い（WARN「境界でブロック」。下記 10.）。</t>
    <phoneticPr fontId="2"/>
  </si>
  <si>
    <t>検査はインバウンド境界の WAF を通過する。WAF のルール（レートベース / Bot Control / ジオ制限等）が 検査 自体をブロックすると、応答コードが同じ 403 でも意味がまったく違うため、2 種類の誤判定が起きる。</t>
    <phoneticPr fontId="2"/>
  </si>
  <si>
    <t>WAF が 検査をブロックすると</t>
    <phoneticPr fontId="2"/>
  </si>
  <si>
    <t>未認証検査が WAF 403</t>
    <phoneticPr fontId="2"/>
  </si>
  <si>
    <t>正規検査が WAF 403</t>
    <phoneticPr fontId="2"/>
  </si>
  <si>
    <t>検査の識別と WAF 許可</t>
    <phoneticPr fontId="2"/>
  </si>
  <si>
    <t>検査は固定の識別ヘッダ（例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は境界管理側のため設定依頼が必要（M-Q-11-5）。検査は変更時のみ・低頻度なのでレートルールには通常かからないが、Bot Control / ジオ制限は明示許可がないと誤爆し得る</t>
    <phoneticPr fontId="2"/>
  </si>
  <si>
    <t>WAF ブロック応答は API GW / アプリの 401/403 と応答の形が異なる（CloudFront / WAF 由来のエラーボディ・ヘッダ）。分類は WAF ブロックと判定できた場合、OK / CRITICAL ではなく WARN「検査が境界でブロックされた（テスト構成問題）」に分類し、Smoke test にも境界通過確認を含める</t>
    <phoneticPr fontId="2"/>
  </si>
  <si>
    <t>原則: 「403 だから認証は効いている」とは限らない。検査が認証レイヤーに到達したことを確かめて初めて Negative の 401/403 を「正常」と判定できる。</t>
    <phoneticPr fontId="2"/>
  </si>
  <si>
    <t>検査は境界越しに実ユーザーと同じ経路で検査する。認証実装確認処理は共通基盤アカウント（自社管理）に置くため、境界が他組織管理になっても再設計は不要。影響は 検査 先経路の調整のみ（BD-Q-01）</t>
    <phoneticPr fontId="2"/>
  </si>
  <si>
    <t>宛先 allowlist をコードで強制（検査の接続先は App Registry の baseUrl と設定済み token URL のみ。任意 URL を受け取る口を作らない）+ IAM 最小権限 + CloudTrail / Lambda ログで監査</t>
    <phoneticPr fontId="2"/>
  </si>
  <si>
    <t>→ 短命アクセストークン（5〜15 分）取得 → 正規検査に使用 → 破棄</t>
    <phoneticPr fontId="2"/>
  </si>
  <si>
    <t>Lambda 3 本は VPC 外配置（VPC / EP / TGW / NAT 不要）。検査の外向き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</si>
  <si>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検査のみ VPC 化。In 境界（CloudFront + WAF）は従来どおり実 UX と同じ向きで通過</t>
    <phoneticPr fontId="2"/>
  </si>
  <si>
    <t>分類は 4×4 真偽値表、分類を 検査 / alert-router で共通化</t>
    <phoneticPr fontId="2"/>
  </si>
  <si>
    <t>検査は Lambda + 共通 probe lib（OpenAPI 動的発見）。Synthetics / Multi Checks は将来オプション</t>
    <phoneticPr fontId="2"/>
  </si>
  <si>
    <t>独立テスト + 分類の共通化</t>
    <phoneticPr fontId="2"/>
  </si>
  <si>
    <t>検査は Public URL 経由でクロスアカウント権限不要</t>
    <phoneticPr fontId="2"/>
  </si>
  <si>
    <t>Lambda 15 分制限に構造で当たらない。検査は読み取り検査で重複無害</t>
    <phoneticPr fontId="2"/>
  </si>
  <si>
    <t>【解説】インターネット境界（CloudFront+WAF）が他組織管理になるかの確定待ち。確定しても中央リソースは自社の共通基盤アカウントにあるため再設計は不要で、検査が境界を通る経路の運用調整のみ発生する。【回答】当方では決められない（ROSA 側 P-18 の確定待ち）。→ 確定日と結果を記入: ＿＿</t>
    <phoneticPr fontId="2"/>
  </si>
  <si>
    <t>【解説】検査はインバウンド境界の WAF を通過するため、WAF（Bot Control / ジオ制限等）が 検査 自体を 403 でブロックすると、認証レイヤーに到達していないのに「401/403 = 認証は正常」と誤判定する（偽陰性）、または「認証逆転 CRITICAL」と誤報する。対策として 検査に固定の識別ヘッダ（例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phoneticPr fontId="2"/>
  </si>
  <si>
    <t>検査の S3Client に forcePathStyle 相当のテスト用オプションを持たせるか（本番不要）</t>
    <phoneticPr fontId="2"/>
  </si>
  <si>
    <t>検査 Lambda（central-probe-lib を Lambda ハンドラに転用）</t>
    <phoneticPr fontId="2"/>
  </si>
  <si>
    <t>エントリ作成 + W1-4 で発行された client_id / secret の格納・検査からの取得確認</t>
    <phoneticPr fontId="2"/>
  </si>
  <si>
    <t>上記の実装（B1-i の 発行と連動）</t>
    <phoneticPr fontId="2"/>
  </si>
  <si>
    <t>巡回 1 実行・1 アプリ 検査の所要時間実測（3 アカウント）→ Duration ほか B 系アラーム閾値の確定値を監視設計書（B0-d）に反映</t>
    <phoneticPr fontId="2"/>
  </si>
  <si>
    <t>検査の通信は CloudFront 経由の HTTPS 数千リクエスト/月でデータ転送費は誤差（&lt;$0.1）。apigateway:GET などコントロールプレーン呼び出しは非課金（公式価格ページの課金対象一覧に含まれないことを確認済み）</t>
    <phoneticPr fontId="2"/>
  </si>
  <si>
    <t>メタ不足・消滅検知・Config 設定ずれの確認とアプリ督促</t>
    <phoneticPr fontId="2"/>
  </si>
  <si>
    <t>エラー処理: 検査 Lambda からの起動は単一イベント想定だが配列でも処理（バッチ耐性）。1 件でも失敗したら throw → Lambda 失敗（retry / DLQ 発火）。classify.js と format.js の SEVERITY_META が 4×4 の分類定義を共有する。</t>
  </si>
  <si>
    <t>11.</t>
    <phoneticPr fontId="2"/>
  </si>
  <si>
    <t>12.</t>
    <phoneticPr fontId="2"/>
  </si>
  <si>
    <t>4. 用語</t>
    <phoneticPr fontId="2"/>
  </si>
  <si>
    <t>検査（probe）</t>
    <phoneticPr fontId="2"/>
  </si>
  <si>
    <t>未認証検査（Negative probe）</t>
    <phoneticPr fontId="2"/>
  </si>
  <si>
    <t>正規検査（Positive probe）</t>
    <phoneticPr fontId="2"/>
  </si>
  <si>
    <t>検査ロジック（probe lib）</t>
    <phoneticPr fontId="2"/>
  </si>
  <si>
    <t>06_実行トリガー</t>
    <phoneticPr fontId="2"/>
  </si>
  <si>
    <t>検査の実行タイミング（トリガー）設計 — いつ・何をきっかけに検査が走るか</t>
    <phoneticPr fontId="2"/>
  </si>
  <si>
    <t>検査が「どう動くか」は 05_処理フロー、「いつ動くか」は本シート</t>
    <phoneticPr fontId="2"/>
  </si>
  <si>
    <t>自動差分検査（モード1）</t>
    <phoneticPr fontId="2"/>
  </si>
  <si>
    <t>検査 Lambda（自動差分検査（モード1））</t>
    <phoneticPr fontId="2"/>
  </si>
  <si>
    <t>0. このシートに載せるデータ定義の一覧</t>
    <phoneticPr fontId="2"/>
  </si>
  <si>
    <t>何のために使うか</t>
    <phoneticPr fontId="2"/>
  </si>
  <si>
    <t>本シートの節</t>
    <phoneticPr fontId="2"/>
  </si>
  <si>
    <t>App Registry（S3 台帳）スキーマ</t>
    <phoneticPr fontId="2"/>
  </si>
  <si>
    <t>中央が「どのアプリをどう検査するか」を読む唯一の管理簿</t>
    <phoneticPr fontId="2"/>
  </si>
  <si>
    <t>1.</t>
    <phoneticPr fontId="2"/>
  </si>
  <si>
    <t>Monitoring Registry S3 構造</t>
    <phoneticPr fontId="2"/>
  </si>
  <si>
    <t>バケットとキー体系（registry/{appId}/{env}.json、openapi/{accountId}/{appId}/openapi.yaml）・Versioning</t>
    <phoneticPr fontId="2"/>
  </si>
  <si>
    <t>台帳と API 仕様書コピーの置き場所の取り決め</t>
    <phoneticPr fontId="2"/>
  </si>
  <si>
    <t>2.</t>
    <phoneticPr fontId="2"/>
  </si>
  <si>
    <t>authPattern enum（6 値）</t>
    <phoneticPr fontId="2"/>
  </si>
  <si>
    <t>認証方式の識別子と、方式ごとの未認証時の期待応答・正規検査の手段</t>
    <phoneticPr fontId="2"/>
  </si>
  <si>
    <t>検査の期待値（401 / 403 / 302 など）を切り替える</t>
    <phoneticPr fontId="2"/>
  </si>
  <si>
    <t>3.</t>
    <phoneticPr fontId="2"/>
  </si>
  <si>
    <t>台帳への供給源。このファイルの有無が監視対象の宣言そのもの</t>
    <phoneticPr fontId="2"/>
  </si>
  <si>
    <t>4.</t>
    <phoneticPr fontId="2"/>
  </si>
  <si>
    <t>OpenAPI アノテーションと MON-1</t>
    <phoneticPr fontId="2"/>
  </si>
  <si>
    <t>検査制御の印 7 種（公開明示 x-synthetics-skip-auth-check ほか）と default-deny の原則</t>
    <phoneticPr fontId="2"/>
  </si>
  <si>
    <t>どの endpoint をどう検査するかの指定</t>
    <phoneticPr fontId="2"/>
  </si>
  <si>
    <t>5.</t>
    <phoneticPr fontId="2"/>
  </si>
  <si>
    <t>CloudWatch Metrics</t>
    <phoneticPr fontId="2"/>
  </si>
  <si>
    <t>namespace・Dimensions・メトリクス 5 種・アラーム条件</t>
    <phoneticPr fontId="2"/>
  </si>
  <si>
    <t>検査結果の記録と発報</t>
    <phoneticPr fontId="2"/>
  </si>
  <si>
    <t>6.</t>
    <phoneticPr fontId="2"/>
  </si>
  <si>
    <t>4×4 真偽値表</t>
    <phoneticPr fontId="2"/>
  </si>
  <si>
    <t>未認証検査 × 正規検査の応答組合せ 8 行 → 重大度・優先度・通知先</t>
    <phoneticPr fontId="2"/>
  </si>
  <si>
    <t>検知結果の判定ロジック（検査と Alert Router が共有）</t>
    <phoneticPr fontId="2"/>
  </si>
  <si>
    <t>7.</t>
    <phoneticPr fontId="2"/>
  </si>
  <si>
    <t>Alert イベント形式</t>
    <phoneticPr fontId="2"/>
  </si>
  <si>
    <t>検査 → Alert Router へ渡す JSON の 10 項目</t>
    <phoneticPr fontId="2"/>
  </si>
  <si>
    <t>通知の入力データ</t>
    <phoneticPr fontId="2"/>
  </si>
  <si>
    <t>8.</t>
    <phoneticPr fontId="2"/>
  </si>
  <si>
    <t>環境別の検査動作</t>
    <phoneticPr fontId="2"/>
  </si>
  <si>
    <t>本番 / 検証それぞれの未認証検査・正規検査・POST の実施範囲</t>
    <phoneticPr fontId="2"/>
  </si>
  <si>
    <t>本番での副作用回避の規則</t>
    <phoneticPr fontId="2"/>
  </si>
  <si>
    <t>9.</t>
    <phoneticPr fontId="2"/>
  </si>
  <si>
    <t>WAF 干渉と誤判定の防止</t>
    <phoneticPr fontId="2"/>
  </si>
  <si>
    <t>WAF 由来 403 の識別条件と対策 2 段（識別ヘッダ許可・分類側の防御）</t>
    <phoneticPr fontId="2"/>
  </si>
  <si>
    <t>4×4 判定の前提条件（403 の意味の切り分け）</t>
    <phoneticPr fontId="2"/>
  </si>
  <si>
    <t>10.</t>
    <phoneticPr fontId="2"/>
  </si>
  <si>
    <t>検査起動 payload</t>
    <phoneticPr fontId="2"/>
  </si>
  <si>
    <t>発見 Lambda → 検査 Lambda の受け渡し形式（mode / appId / env）と起動例</t>
    <phoneticPr fontId="2"/>
  </si>
  <si>
    <t>検査識別ヘッダ X-Auth-Probe</t>
    <phoneticPr fontId="2"/>
  </si>
  <si>
    <t>ヘッダ名・値の保管場所・付与元・WAF 許可ルールとの対応</t>
    <phoneticPr fontId="2"/>
  </si>
  <si>
    <t>検査が WAF にブロックされ誤判定になるのを防ぐ</t>
    <phoneticPr fontId="2"/>
  </si>
  <si>
    <t>11. 検査起動 payload（発見 Lambda → 検査 Lambda）</t>
    <phoneticPr fontId="2"/>
  </si>
  <si>
    <t>mode</t>
    <phoneticPr fontId="2"/>
  </si>
  <si>
    <t>delta（変化のあった 1 アプリの全 endpoint）/ full（全アプリ全量）</t>
    <phoneticPr fontId="2"/>
  </si>
  <si>
    <t>delta</t>
    <phoneticPr fontId="2"/>
  </si>
  <si>
    <t>対象アプリ ID。delta では必須。full で指定すると特定アプリだけを全量検査</t>
    <phoneticPr fontId="2"/>
  </si>
  <si>
    <t>対象環境</t>
    <phoneticPr fontId="2"/>
  </si>
  <si>
    <t>{"mode":"full"}                            # 全アプリ Scan → 全 endpoint 検査</t>
    <phoneticPr fontId="2"/>
  </si>
  <si>
    <t>{"mode":"full","appId":"expense-api","env":"prod"}   # 特定アプリだけ全量</t>
    <phoneticPr fontId="2"/>
  </si>
  <si>
    <t>注記: full は台帳を List した後、アプリ単位に自分自身を分割起動する（1 Lambda 実行 = 1 アプリ）。全量を 1 実行で回さないため Lambda 15 分制限に当たらない。</t>
    <phoneticPr fontId="2"/>
  </si>
  <si>
    <t>12. 検査識別ヘッダ X-Auth-Probe</t>
    <phoneticPr fontId="2"/>
  </si>
  <si>
    <t>検査リクエストを WAF にボットと誤認させないための合言葉ヘッダ。これがないと「認証の 403」と「WAF の 403」が区別できず、偽陰性（漏れの見逃し）や誤 CRITICAL を招く。</t>
    <phoneticPr fontId="2"/>
  </si>
  <si>
    <t>ヘッダ名</t>
    <phoneticPr fontId="2"/>
  </si>
  <si>
    <t>X-Auth-Probe</t>
    <phoneticPr fontId="2"/>
  </si>
  <si>
    <t>secret（Secrets Manager に保管）。命名・値生成方法・ローテ方針は基盤リソース側で設計する</t>
    <phoneticPr fontId="2"/>
  </si>
  <si>
    <t>付与元</t>
    <phoneticPr fontId="2"/>
  </si>
  <si>
    <t>検査 Lambda。全検査リクエストに付与し、値は Secrets から参照する</t>
    <phoneticPr fontId="2"/>
  </si>
  <si>
    <t>各アプリの WAF に「この識別を持つリクエストは Bot Control / レートルールの対象外」とする許可ルールを入れてもらうための合言葉</t>
    <phoneticPr fontId="2"/>
  </si>
  <si>
    <t>発想の元</t>
    <phoneticPr fontId="2"/>
  </si>
  <si>
    <t>Origin Protection の X-Origin-Verify と同じ</t>
    <phoneticPr fontId="2"/>
  </si>
  <si>
    <t>設定主体</t>
    <phoneticPr fontId="2"/>
  </si>
  <si>
    <t>WAF は境界管理側の所管のため設定依頼が必要（M-Q-11-5）</t>
    <phoneticPr fontId="2"/>
  </si>
  <si>
    <t>WAF 側と値を合わせる運用。ローテ時は検査側も追従する</t>
    <phoneticPr fontId="2"/>
  </si>
  <si>
    <t>注記: 検査は変更時のみ・低頻度なのでレートルールには通常かからないが、Bot Control / ジオ制限は明示許可がないと誤爆し得る。secret 未取得時のフェイル動作は検査 Lambda の単体テスト対象。</t>
    <phoneticPr fontId="2"/>
  </si>
  <si>
    <t>分類ロジックは検査側の classify.js と共通化</t>
    <phoneticPr fontId="2"/>
  </si>
  <si>
    <t>図4. 巡回フロー（自動差分検査（モード1、旧称 M1） トリガー）</t>
    <phoneticPr fontId="2"/>
  </si>
  <si>
    <t>自動差分検査（モード1、旧称 M1） トリガの確定</t>
    <phoneticPr fontId="2"/>
  </si>
  <si>
    <t>処理設計書: 全体シーケンス図（W1〜W9 展開）/ 入出力定義（Scheduler イベント・台帳 JSON・自動差分検査（モード1、旧称 M1） payload）/ 環境変数一覧 / エラー・リトライ方針の実装割付 / ログ設計（相関 ID・マスク）</t>
    <phoneticPr fontId="2"/>
  </si>
  <si>
    <t>実行モード 自動差分検査（モード1、旧称 M1）</t>
    <phoneticPr fontId="2"/>
  </si>
  <si>
    <t>EventBridge（1h）→ 発見 Lambda。①Organizations 列挙 ②AssumeRole ③ListRepositories ④GetBranch ⑤lastCheckedCommitId 比較 ⑥GetDifferences / GetFile → 台帳更新・spec Put ⑦自動差分検査（モード1）起動 → lastCheckedCommitId 更新。分岐として新規発見（自動登録）・消滅検知（enabled=false）・メタ不足アラート</t>
    <phoneticPr fontId="2"/>
  </si>
  <si>
    <t>変化あり → 自動差分検査（モード1）起動</t>
    <phoneticPr fontId="2"/>
  </si>
  <si>
    <t>自動差分検査（モード1）起動（変更アプリのみ）</t>
    <phoneticPr fontId="2"/>
  </si>
  <si>
    <t>⑦ 自動差分検査（モード1）起動</t>
    <phoneticPr fontId="2"/>
  </si>
  <si>
    <t>自動差分検査（モード1）起動</t>
    <phoneticPr fontId="2"/>
  </si>
  <si>
    <t>3. 自動差分検査（モード1）の差分粒度は「アプリ単位」</t>
    <phoneticPr fontId="2"/>
  </si>
  <si>
    <t>4. 自動差分検査（モード1）の実行基盤（発見 → 検査の 2 段）</t>
    <phoneticPr fontId="2"/>
  </si>
  <si>
    <t>自動差分検査（モード1）と同じ認証実装チェック Lambda（mode=full）。実装 1 つを payload で切替</t>
    <phoneticPr fontId="2"/>
  </si>
  <si>
    <t>自動差分検査（モード1）起動が成功した後にのみ更新する。途中失敗時は据え置かれ、次回巡回が同じ差分を再検知する（at-least-once）。検査は読み取り検査で冪等のため重複実行は無害</t>
    <phoneticPr fontId="2"/>
  </si>
  <si>
    <t>{ mode: 'delta', appId, env }              # 発見 Lambda からの 自動差分検査（モード1）起動</t>
    <phoneticPr fontId="2"/>
  </si>
  <si>
    <t>自動差分検査（モード1）の差分粒度はアプリ単位（変更アプリの全 endpoint）</t>
    <phoneticPr fontId="2"/>
  </si>
  <si>
    <t>自動差分検査（モード1）のトリガは中央巡回（pull、1 時間毎）。アプリ側イベントに依存しない</t>
    <phoneticPr fontId="2"/>
  </si>
  <si>
    <t>自動差分検査（モード1）起動 設計</t>
    <phoneticPr fontId="2"/>
  </si>
  <si>
    <t>自動差分検査（モード1）起動 実装</t>
    <phoneticPr fontId="2"/>
  </si>
  <si>
    <t>自動差分検査（モード1）起動 単体テスト</t>
    <phoneticPr fontId="2"/>
  </si>
  <si>
    <t>LocalStack（3.8.1 ピン）/ SAM で 巡回 → 台帳登録 → 自動差分検査（モード1）起動 → 分類 → SNS（モック）の通し。確認観点: 台帳 JSON の内容 / spec 配置キー / 起動 payload / 4×4 分類結果</t>
    <phoneticPr fontId="2"/>
  </si>
  <si>
    <t>デプロイ（自動差分検査（モード1）起動）</t>
    <phoneticPr fontId="2"/>
  </si>
  <si>
    <t>mode=full は台帳を List した後、アプリ単位に自分自身を mode=delta 相当で 分割起動する（1 Lambda 実行 = 1 アプリ）。全量を 1 実行で回さないため、アプリ数が増えても Lambda 15 分制限に当たらない</t>
    <phoneticPr fontId="2"/>
  </si>
  <si>
    <t>検査した endpoint 総数</t>
    <phoneticPr fontId="2"/>
  </si>
  <si>
    <t>未決に M-Q-11-5（検査 識別ヘッダの WAF 許可）を追加。M-Q-18-5 を解決済みへ。運用設計（メタ監視 MM-1〜5 / エラー処理・冪等性 / スケール上限と 分割起動）、全量検査（モード2、旧称 M3「全量検査」）の 分割起動 実行方式、WAF 干渉と誤判定の防止、D-M-18-8・D-M-18-9 を追加</t>
    <phoneticPr fontId="2"/>
  </si>
  <si>
    <t>自動差分検査（モード1、旧称 M1）（自動・変更のあったアプリの全 endpoint）+ 全量検査（モード2、旧称 M3「全量検査」）（手動・全アプリ全 endpoint）。heartbeat 型検査（旧 M2、廃止 2026-08-20。将来必要なら Synthetics で復活）は将来。</t>
    <phoneticPr fontId="2"/>
  </si>
  <si>
    <t>自動差分検査（モード1） / 全量検査（モード2）</t>
    <phoneticPr fontId="2"/>
  </si>
  <si>
    <t>実行モード。自動差分検査（モード1） = 巡回差分（自動・1 時間毎の巡回で変化アプリのみ検査）／全量検査（モード2） = フル監査（手動）。</t>
    <phoneticPr fontId="2"/>
  </si>
  <si>
    <t>運用者（全量検査（モード2））+ 13 ノード。番号付き矢印 ①AssumeRole ②CodeCommit 読み取り ③台帳・spec 登録 ④自動差分検査（モード1）起動 ⑤未認証/正規検査 ⑥Metrics・Alert、および無番号の EventBridge→発見 Lambda／全量検査（モード2）／台帳取得／CloudFront→API GW／Alert Router→SNS／Service Catalog→API GW</t>
    <phoneticPr fontId="2"/>
  </si>
  <si>
    <t>①コミット &amp; デプロイ（静的解析 pass）②巡回発見（最大 1h）③自動差分検査（モード1） 自動 / 全量検査（モード2） 手動 ④検査 ⑤分類（OK は Metrics のみ・それ以外は ⑥ へ）⑥Alert Router ⑦通知 P1 / P2 / P3 ⑧是正 SLA。担当章の帯を添える</t>
    <phoneticPr fontId="2"/>
  </si>
  <si>
    <t>横軸を時間として、自動差分検査（モード1） = 1 時間毎の巡回（読み取り）と変更検知時のみ 検査（変更アプリの全 endpoint）／全量検査（モード2） = 手動・全アプリ全 endpoint／heartbeat 型検査（旧 M2、廃止 2026-08-20。将来必要なら Synthetics で復活） = 将来（重要 endpoint を 5-15 分）を並べ、検知遅延 最大 1 時間を明示</t>
    <phoneticPr fontId="2"/>
  </si>
  <si>
    <t>穴① コンソール直変更 → L2 Config Rules + 全量検査（モード2） + SCP、穴② コミット ≠ デプロイ → 次回巡回（1h 後）+ 全量検査（モード2）で補完。L5 外形監視が単層で完結しないこと、一次防衛が deploy 前ガード（静的解析・製品テンプレ）であることを図示</t>
    <phoneticPr fontId="2"/>
  </si>
  <si>
    <t>probe lib 共通。自動差分検査（モード1、旧称 M1） / 全量検査（モード2、旧称 M3「全量検査」） フル</t>
    <phoneticPr fontId="2"/>
  </si>
  <si>
    <t>台帳 List/Get + spec Get（自動差分検査（モード1）対象 / 全量検査（モード2） 全量）</t>
    <phoneticPr fontId="2"/>
  </si>
  <si>
    <t>全量検査（モード2） 手動実行</t>
    <phoneticPr fontId="2"/>
  </si>
  <si>
    <t>全量検査（モード2）</t>
    <phoneticPr fontId="2"/>
  </si>
  <si>
    <t>自動差分検査（モード1）起動（自動）／ 全量検査（モード2） フル（手動）</t>
    <phoneticPr fontId="2"/>
  </si>
  <si>
    <t>F2. 検査（検査）フロー — 自動差分検査（モード1） / 全量検査（モード2）の 1 実行</t>
    <phoneticPr fontId="2"/>
  </si>
  <si>
    <t>s3.ap-northeast-1.amazonaws.com（自動差分検査（モード1） = 対象 1 件 Get / 全量検査（モード2） = registry/ List → Get）</t>
    <phoneticPr fontId="2"/>
  </si>
  <si>
    <t>描くべき内容: 自動差分検査（モード1） = 1 時間毎の巡回（読み取り）と変更検知時のみ 検査（変更アプリの全 endpoint）／全量検査（モード2） = 手動・全アプリ全 endpoint／heartbeat 型検査（旧 M2、廃止 2026-08-20。将来必要なら Synthetics で復活） = 将来（重要 endpoint を 5-15 分）。検知遅延 最大 1 時間を明示</t>
    <phoneticPr fontId="2"/>
  </si>
  <si>
    <t>2. 自動差分検査（モード1）の巡回と heartbeat 型検査（旧 M2、廃止 2026-08-20。将来必要なら Synthetics で復活） heartbeat の違い（heartbeat 型検査（旧 M2、廃止 2026-08-20。将来必要なら Synthetics で復活）を当面なしとする現行仕様）</t>
    <phoneticPr fontId="2"/>
  </si>
  <si>
    <t>・heartbeat 型検査（旧 M2、廃止 2026-08-20。将来必要なら Synthetics で復活）は将来、アプリと重要 endpoint を合意した上で追加する（M-Q-18-1）。</t>
    <phoneticPr fontId="2"/>
  </si>
  <si>
    <t>5. 全量検査（モード2）（手動）</t>
    <phoneticPr fontId="2"/>
  </si>
  <si>
    <t>巡回差分（自動差分検査（モード1））/ 手動（全量検査（モード2））時のみ 検査</t>
    <phoneticPr fontId="2"/>
  </si>
  <si>
    <t>将来オプション: heartbeat 型検査（旧 M2、廃止 2026-08-20。将来必要なら Synthetics で復活）（常時 heartbeat）を追加する / HAR・スクリーンショット・Multilocation・run 履歴 UI が要る場合は、Synthetics canary を heartbeat 型検査（旧 M2、廃止 2026-08-20。将来必要なら Synthetics で復活）の実行環境として復活させる。その時も probe lib は共通</t>
    <phoneticPr fontId="2"/>
  </si>
  <si>
    <t>処理はアカウント単位の読み取り（数 API 呼び出し / repo）で軽く、Phase 1 の前提規模（対象約 3 アカウント）では 1 実行に十分収まる。収まらない規模に達したら親（列挙のみ）/ 子（1 アカウント処理）の 分割起動に分割する（構造は 全量検査（モード2）と同型。閾値監視は Lambda Duration アラームで前倒し検知）</t>
    <phoneticPr fontId="2"/>
  </si>
  <si>
    <t>検査 Lambda（全量検査（モード2））</t>
    <phoneticPr fontId="2"/>
  </si>
  <si>
    <t>「対象 endpoint」= 自動差分検査（モード1） なら変更アプリの全 endpoint、全量検査（モード2） なら全 endpoint。制御は OpenAPI アノテーション x-canary-positive-test: pre-prod-only。POST の副作用回避は本番の鉄則</t>
    <phoneticPr fontId="2"/>
  </si>
  <si>
    <t>「5 分全量」を廃し、自動差分検査（モード1、旧称 M1）（自動・1h）+ 全量検査（モード2） フル（手動）の 2 モードに</t>
    <phoneticPr fontId="2"/>
  </si>
  <si>
    <t>heartbeat 型検査（旧 M2、廃止 2026-08-20。将来必要なら Synthetics で復活）は当面なし（将来、重要 endpoint をアプリと合意後）</t>
    <phoneticPr fontId="2"/>
  </si>
  <si>
    <t>全量検査（モード2） フルは手動（スケジュールなし）</t>
    <phoneticPr fontId="2"/>
  </si>
  <si>
    <t>heartbeat 型検査（旧 M2、廃止 2026-08-20。将来必要なら Synthetics で復活） 廃止で定期実行メリットが不要、probe lib は共通で資産流用</t>
    <phoneticPr fontId="2"/>
  </si>
  <si>
    <t>【解説】中央（共通基盤アカウント）が障害になると監視が全停止する。別リージョンに監視系の複製を併走させるか。障害中も「検査が止まるだけ」で本番アプリには影響しない。【選択肢】a) Phase 1 は無し。復旧後に 全量検査（モード2、旧称 M3「全量検査」）で追い付く（★）/ b) Phase 2 検討として残す / c) Phase 1 から複製を持つ　【→ 回答: ＿＿】</t>
    <phoneticPr fontId="2"/>
  </si>
  <si>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Rules+全量検査（モード2）で運用（★・暫定回答済み）/ c) 導入しない　【→ 回答: ＿＿】</t>
    <phoneticPr fontId="2"/>
  </si>
  <si>
    <t>【解説】リポジトリの API 仕様書と本番の実態のズレ（デプロイ忘れ等）を、能動的に突合して検出するか。現状でも検査時に 404/警告として自然に表面化する。【選択肢】a) 能動検出しない（実測での顕在化に任せる ★）/ b) 全量検査（モード2）実行時に本番 API 定義と突合する　【→ 回答: ＿＿】</t>
    <phoneticPr fontId="2"/>
  </si>
  <si>
    <t>heartbeat 型検査（旧 M2、廃止 2026-08-20。将来必要なら Synthetics で復活）の重要 endpoint 定義（アプリチームと会話）+ 追加時期。定義できたら x-canary-heartbeat: true アノテーション + Synthetics canary で実装</t>
    <phoneticPr fontId="2"/>
  </si>
  <si>
    <t>【解説】将来モード heartbeat 型検査（旧 M2、廃止 2026-08-20。将来必要なら Synthetics で復活）（重要 endpoint だけ常時ヘルスチェック）の話。どの endpoint が「重要」かはアプリチームと会話しないと決められないため保留中。【回答】決定不要（Phase 2。アプリヒアリング後）。</t>
    <phoneticPr fontId="2"/>
  </si>
  <si>
    <t>全量検査（モード2） 手動実行の権限・実行者（共通基盤チームのみか、アプリチームも自アプリを回せるか）</t>
    <phoneticPr fontId="2"/>
  </si>
  <si>
    <t>【解説】手動フル監査（全量検査（モード2））を実行できる人の範囲。【選択肢】a) 共通基盤チームのみ（★・暫定回答済み）/ b) アプリチームも自アプリ分のみ実行可　【→ 回答: ＿＿】</t>
    <phoneticPr fontId="2"/>
  </si>
  <si>
    <t>全量検査（モード2）の定期実行頻度（月次推奨 / 四半期 / 監査時のみ）— OP-3 と連動</t>
    <phoneticPr fontId="2"/>
  </si>
  <si>
    <t>【解説】全量検査（モード2）の定期実行頻度（月次推奨 / 四半期 / 監査時のみ）— OP-3 と連動。運用工数 OP-3（全量検査（モード2）実行 1.0h/回）の月換算に直結する（出典: 16_ランニング費用 / 17_運用工数 シート）。【選択肢】a) 月次（★・現行の見積もり前提）/ b) 四半期 / c) 監査時のみ 【→ 回答: ＿＿】</t>
    <phoneticPr fontId="2"/>
  </si>
  <si>
    <t>モノリスの変更を 全量検査（モード2）で補う</t>
    <phoneticPr fontId="2"/>
  </si>
  <si>
    <t>解消: git 巡回でモノリスも自動発見・自動検知。全量検査（モード2）の役割は「git に現れない変更（コンソール直変更等）の網羅確認」に純化</t>
    <phoneticPr fontId="2"/>
  </si>
  <si>
    <t>解決: 自動差分検査（モード1）=巡回差分（1h）/ 全量検査（モード2）=手動の 2 モードに再設計済みで、定期 検査 自体が存在しない（ADR-061）</t>
    <phoneticPr fontId="2"/>
  </si>
  <si>
    <t>実行モード 自動差分検査（モード1、旧称 M1） / 全量検査（モード2、旧称 M3「全量検査」）</t>
    <phoneticPr fontId="2"/>
  </si>
  <si>
    <t>自動差分検査（モード1、旧称 M1） / 全量検査（モード2、旧称 M3「全量検査」）（分割起動）/ heartbeat 型検査（旧 M2、廃止 2026-08-20。将来必要なら Synthetics で復活） 将来の定義、差分粒度、実行基盤、運用設計（メタ監視・エラー処理・スケール上限）、アラーム。実行モデルはこの章を正とする。→ 06 シート</t>
    <phoneticPr fontId="2"/>
  </si>
  <si>
    <t>SigV4 Positive / Cookie Positive・cleanup / heartbeat 型検査（旧 M2、廃止 2026-08-20。将来必要なら Synthetics で復活） heartbeat / Private API VPC 化 / スコープ B（依頼のみ）/ SCP 強制（Phase 2 判断）/ Multilocation / ガイドライン章（01〜06）側の残未決</t>
    <phoneticPr fontId="2"/>
  </si>
  <si>
    <t>全量検査（モード2、旧称 M3「全量検査」）</t>
    <phoneticPr fontId="2"/>
  </si>
  <si>
    <t>自動差分検査（モード1） 60 + 全量検査（モード2） 3</t>
    <phoneticPr fontId="2"/>
  </si>
  <si>
    <t>全量検査（モード2、旧称 M3「全量検査」）実行</t>
    <phoneticPr fontId="2"/>
  </si>
  <si>
    <t>全量検査（モード2、旧称 M3「手動全量検査」）= 全アプリ・全量を 日次の定期自動実行＋監査時などの随時手動実行 で検査</t>
    <phoneticPr fontId="2"/>
  </si>
  <si>
    <t>heartbeat 型検査（旧 M2、重要 endpoint への 5-15 分 probe）は廃止（2026-08-20）。シグナルなし変化は日次全量が受け、重要 endpoint の選定が不要になった</t>
    <phoneticPr fontId="2"/>
  </si>
  <si>
    <t>実行基盤は Lambda、モードは自動差分検査（モード1）+ 全量検査（モード2）の 2 つ。heartbeat 型検査（旧 M2）は廃止。</t>
    <phoneticPr fontId="2"/>
  </si>
  <si>
    <t>1. モード一覧</t>
    <phoneticPr fontId="2"/>
  </si>
  <si>
    <t>日次定期（EventBridge Scheduler）+ 運用者の手動（随時）</t>
    <phoneticPr fontId="2"/>
  </si>
  <si>
    <t>日次 + オンデマンド</t>
    <phoneticPr fontId="2"/>
  </si>
  <si>
    <t>日次定期実行分のコストのみ。随時の手動実行は必要な時だけ人が回す</t>
    <phoneticPr fontId="2"/>
  </si>
  <si>
    <t>日次定期（EventBridge Scheduler）+ 手動（運用者が CLI / コンソールから invoke）</t>
  </si>
  <si>
    <t>発見 Lambda が変化のあったアプリを対象に検査 Lambda を起動する際の受け渡し形式。非同期 Event invokeで、Lambda 標準の自動リトライ（2 回）+ DLQ を設定する。</t>
    <phoneticPr fontId="2"/>
  </si>
  <si>
    <t>非同期 Event invoke（payload 仕様・分割起動・DLQ は A5）。【補足】自動差分検査（モード1）＝1 時間毎の巡回で「変更のあったアプリだけ」を自動検査する実行モード（全量検査（モード2、旧称 M3「全量検査」）＝運用者が手動で全アプリ全量を検査するモードと対をなす）。自動差分検査（モード1）起動＝発見 Lambda が変更を見つけたアプリを対象に、検査 Lambda を呼び出すこと</t>
    <phoneticPr fontId="2"/>
  </si>
  <si>
    <t>処理設計書: mode 分岐（delta / full）シーケンス / 分割起動 自己 invokeの設計 / 検査 実行フロー（P1〜P6 展開）/ 環境変数一覧 / エラー方針</t>
    <phoneticPr fontId="2"/>
  </si>
  <si>
    <t>delta（1 アプリ）/ full（台帳 List → アプリ単位に自己 invoke）の仕様。【補足】分割起動＝1 つの処理が対象ごとに自分自身を並列で呼び出して分担する方式。全アプリを 1 回の実行で回すと Lambda の制限時間（15 分）を超え得るため、アプリ単位に分けて起動する</t>
    <phoneticPr fontId="2"/>
  </si>
  <si>
    <t>自動差分検査（モード1、旧称 M1）の自動起動・全量検査（モード2、旧称 M3「手動全量検査」）の全量指定</t>
  </si>
  <si>
    <t>通知種別</t>
  </si>
  <si>
    <t>アプリチームの動き</t>
  </si>
  <si>
    <t>自アプリの構成・メタ不足系の通知</t>
  </si>
  <si>
    <t>P1 関連の連絡</t>
  </si>
  <si>
    <t>セキュリティ・共通基盤チームから連絡が来た場合</t>
  </si>
  <si>
    <t>認証設定の即時確認と修正を最優先で対応</t>
  </si>
  <si>
    <t>不明時</t>
  </si>
  <si>
    <t>判断がつかない場合</t>
  </si>
  <si>
    <t>共通基盤チームへ問い合わせる</t>
  </si>
  <si>
    <t>対象 App アカウントを列挙（⚠ organizations:ListAccounts は管理アカウント限定のため列挙方式は M-Q-17-2 で確定）</t>
    <phoneticPr fontId="2"/>
  </si>
  <si>
    <t>各アカウントに StackSets 配布済みの読み取り専用ロール（資材バケットの s3 read のみ）で入る</t>
    <phoneticPr fontId="2"/>
  </si>
  <si>
    <t>③ 資材列挙</t>
    <phoneticPr fontId="2"/>
  </si>
  <si>
    <t>App アカウントの資材バケット</t>
    <phoneticPr fontId="2"/>
  </si>
  <si>
    <t>資材バケットの {appId}/ プレフィックスを List。{appId}/monitoring.yaml が置かれている = 監視対象</t>
    <phoneticPr fontId="2"/>
  </si>
  <si>
    <t>④ バージョン取得</t>
    <phoneticPr fontId="2"/>
  </si>
  <si>
    <t>monitoring.yaml / openapi.yaml の VersionId（と ETag）を取得</t>
    <phoneticPr fontId="2"/>
  </si>
  <si>
    <t>台帳の lastArtifactVersions と比較。違えば「前回確認から資材が更新された = 新しい版がデプロイされた」</t>
    <phoneticPr fontId="2"/>
  </si>
  <si>
    <t>App アカウントの資材バケット / Monitoring Registry S3</t>
    <phoneticPr fontId="2"/>
  </si>
  <si>
    <t>変化したアプリのみ GetObject で monitoring.yaml / openapi.yaml を取得し、台帳更新・OpenAPI Registry へ Put</t>
    <phoneticPr fontId="2"/>
  </si>
  <si>
    <t>変化のあったアプリを対象に認証実装チェック Lambda を invoke（{mode:'delta', appId, env}）。完了後 lastArtifactVersions を更新</t>
    <phoneticPr fontId="2"/>
  </si>
  <si>
    <t>台帳に無い {appId}/monitoring.yaml は自動登録。「登録漏れ」という概念自体が消える</t>
    <phoneticPr fontId="2"/>
  </si>
  <si>
    <t>資材（monitoring.yaml）の削除は台帳を enabled=false に（棚卸しアラート）</t>
    <phoneticPr fontId="2"/>
  </si>
  <si>
    <t>monitoring.yaml 不備 / 資材 staleness の場合</t>
    <phoneticPr fontId="2"/>
  </si>
  <si>
    <t>注記: 変更検知の単位は資材オブジェクト。マルチパートアップロードでは ETag が MD5 と一致しないため、VersionId 主・ETag 副で比較する（資材バケットは Versioning 必須）。</t>
  </si>
  <si>
    <t>資材とデプロイの関係</t>
  </si>
  <si>
    <t>資材</t>
    <phoneticPr fontId="2"/>
  </si>
  <si>
    <t>資材はデプロイされた版の写しであり、git のブランチ・コミットの概念は中央からは見えない（追跡が必要な場合は任意の deploy-info.json に commitId 等を書ける）</t>
    <phoneticPr fontId="2"/>
  </si>
  <si>
    <t>アプリ単位の全 endpoint（endpoint 単位に絞らない。認証 middleware 削除は差分からどの endpoint に効くか判定できないため）</t>
    <phoneticPr fontId="2"/>
  </si>
  <si>
    <t>自動差分検査（モード1、旧称 M1）= 1 時間毎の巡回で「変更があった」と検知されたアプリを自動検査（資材バケットの資材 VersionId 比較）</t>
  </si>
  <si>
    <t>中央巡回（発見 Lambda が 1 時間毎に各 App アカウントの資材バケットを読み取り、資材 VersionId の変化を確認）</t>
  </si>
  <si>
    <t>・自動差分検査（モード1）の巡回は「資材バケットの読み取り」（VersionId 比較）であり、検査（HTTP 検査）は変更のあったアプリだけに飛ぶ。heartbeat 型検査（旧 M2、廃止 2026-08-20。将来必要なら Synthetics で復活）は「endpoint への検査を常時定期実行」する別物で、重要 endpoint の定義がないと全量検査の重さに戻る。</t>
  </si>
  <si>
    <t>・自動差分検査（モード1）で「資材の更新 = 新しい版がデプロイされた事実」を最大 1 時間遅れで捕捉でき、全量検査（モード2、日次定期＋手動）で「網羅確認」ができるため、常時検査がなくても認証漏れの主要な入り口は塞げる。</t>
  </si>
  <si>
    <t>発見 Lambda の 1 時間毎巡回（資材バケットの資材 VersionId = lastArtifactVersions 比較）が変更を検知し、変更のあったアプリだけ自動差分検査（モード1）を起動する。アプリ側イベントには依存しない。</t>
  </si>
  <si>
    <t>描くべき内容: 穴① コンソール直変更 → L2 Config Rules の実体化 + ガイド・Runbook に「変更は必ず CI/CD 経由」+ 全量検査（モード2、日次）が挙動レベルで最大 24h で捕捉、穴② アップロード忘れ・資材の誤り → 原則アプリ責任（staleness 検知・月次棚卸し・日次全量が補助）、穴③ アップロード ≠ デプロイの逆転 → 規約・パイプライン例で「デプロイ成功後」を固定</t>
  </si>
  <si>
    <t>検知遅延: 資材アップロード後 最大 1 時間。一次防衛は deploy 前ガードであり、外形監視は検知網のため許容</t>
  </si>
  <si>
    <t>各 Lambda のログはログ・監視ガイドライン（OBS-1〜4）に準拠（実行 ID を相関 ID として出力、トークン・資材内容はマスク、保持期間明示）。</t>
  </si>
  <si>
    <t>lastArtifactVersions の更新タイミング</t>
  </si>
  <si>
    <t>S3 スロットリング</t>
  </si>
  <si>
    <t>S3 API はプレフィックス単位のレート制限あり。SDK 標準リトライ（指数バックオフ）+ 発見 Lambda の直列処理で吸収。並列化する場合の制御は M-Q-16-2</t>
  </si>
  <si>
    <t>コンソールで Authorizer を外す等、資材に現れない変更</t>
    <phoneticPr fontId="2"/>
  </si>
  <si>
    <t>② L2 Config Rules の実体化（AuthorizationType=NONE の drift 検知。実在確認の上、無ければ実装）① ガイド・Runbook に「変更は必ず CI/CD 経由」を明記 + 全量検査（モード2、日次定期）が挙動レベルで最大 24h で捕捉。SCP による防止は Phase 2 判断</t>
    <phoneticPr fontId="2"/>
  </si>
  <si>
    <t>② アップロード忘れ・資材の誤り</t>
    <phoneticPr fontId="2"/>
  </si>
  <si>
    <t>デプロイしたのに資材を上げていない / 内容が実態と違う → 古い spec のまま検査され、新設 endpoint が検査対象に入らない</t>
    <phoneticPr fontId="2"/>
  </si>
  <si>
    <t>原則アプリ責任（顧客合意 M-Q-17-7）。中央の補助検知: (a) staleness 検知 — 資材の最終更新が閾値（例 90 日）超のアプリを棚卸しアラート (b) 月次棚卸し — API 提供契約 / タグと台帳の突合（M-Q-17-3）(c) 日次全量検査は既知の endpoint については認証漏れを継続捕捉</t>
    <phoneticPr fontId="2"/>
  </si>
  <si>
    <t>③ アップロード ≠ デプロイの逆転</t>
  </si>
  <si>
    <t>手順違反でデプロイ前にアップロードした場合の偽安心</t>
  </si>
  <si>
    <t>アップロードは「デプロイ成功後」を規約・パイプライン例で固定。逆転しても次回巡回・日次全量が実態基準で再検査</t>
  </si>
  <si>
    <t>定期起動の起点（2 本）。① 1 時間毎に発見 Lambda を起動（巡回）② 日次に認証実装チェック Lambda を mode=full で起動（全量検査（モード2）の定期実行）</t>
  </si>
  <si>
    <t>変更検知と登録の実行体（pull）。各 App アカウントの資材バケットを読み取り巡回し、資材（{appId}/monitoring.yaml）の発見・資材 VersionId 比較（lastArtifactVersions）・台帳登録・spec 取得を行い、変更のあったアプリの検査を起動する</t>
  </si>
  <si>
    <t>台帳 + spec コピーの一体ストア（DynamoDB は不使用）。registry/{appId}/{env}.json = 監視対象の台帳＋巡回スナップショット（baseUrl / authPattern / 通知先 / 前回確認資材 VersionId（lastArtifactVersions）。設定値は monitoring.yaml 由来、書き手は発見 Lambda）。openapi/… = 資材バケットのデプロイ版 openapi.yaml（正本はベンダー git）のさらにコピーで、endpoint 一覧と公開印（MON-1）の情報源</t>
  </si>
  <si>
    <t>資材バケット</t>
  </si>
  <si>
    <t>資材バケット</t>
    <phoneticPr fontId="2"/>
  </si>
  <si>
    <t>S3（auth-monitoring-artifacts-{accountId}、StackSets 配布・Versioning）</t>
    <phoneticPr fontId="2"/>
  </si>
  <si>
    <t>変更検知とメタデータの源。デプロイパイプライン最終段で monitoring.yaml（監視宣言）+ openapi.yaml（デプロイ版 spec の写し）+ 任意 deploy-info.json をアップロード。資材の VersionId 変化が自動差分検査（モード1）のトリガー</t>
    <phoneticPr fontId="2"/>
  </si>
  <si>
    <t>中央からの読み取り窓口。発見 Lambda だけが AssumeRole でき、資材バケットの s3 read のみ</t>
    <phoneticPr fontId="2"/>
  </si>
  <si>
    <t>ArtifactUploadRole-{appId}</t>
  </si>
  <si>
    <t>ベンダー CI からの資材アップロード窓口。{appId}/* 限定の s3:PutObject のみ（デプロイロールと分離）</t>
  </si>
  <si>
    <t>アプリがデプロイ時に監視資材（monitoring.yaml + openapi.yaml）を資材バケットへアップロードすると、中央の発見 Lambda が 1 時間毎の巡回（資材 VersionId 比較）で見つけて台帳・仕様を自動登録し、変更のあったアプリ（自動差分検査（モード1））と日次・監査時の全量（全量検査（モード2））に認証実装チェック Lambda が実際にリクエストを投げて認証漏れを検査、問題があれば 4×4 分類で適切なチームに通知される。アプリ側に登録処理はない（モノリスも同じ）。</t>
  </si>
  <si>
    <t>描くべき内容: 4 アカウント区分と 11 ノード（発見 Lambda・Monitoring Registry S3・認証実装確認処理 Lambda・Alert Router・SNS／CloudFront+WAF ×2／資材バケット S3 ×2・API GW / ALB ×2）、矢印 11 本。巡回読み取り（発見 Lambda → 資材バケット）は境界非経由、検査は境界経由で描き分ける</t>
  </si>
  <si>
    <t>資材バケット S3</t>
  </si>
  <si>
    <t>資材バケット S3（App A）</t>
  </si>
  <si>
    <t>読み取り AssumeRole：資材 VersionId 比較・monitoring.yaml・spec 取得</t>
  </si>
  <si>
    <t>資材バケット S3（App B）</t>
  </si>
  <si>
    <t>注記: 巡回の読み取り（発見 Lambda → 資材バケット）は境界を通らない。AWS API（S3）を読み取りロールで直接呼ぶ。変更検知は資材の VersionId 比較で、資材に現れないコンソール直変更は L2 Config Rules + 全量検査（モード2、日次定期・最大 24h）が補完</t>
  </si>
  <si>
    <t>描くべき内容: 運用者（全量検査（モード2）を随時手動起動）＋ Scheduler（日次定期起動）+ 13 ノード。①AssumeRole ②資材 List・VersionId 比較 / GetObject ③台帳・spec 登録（lastArtifactVersions 更新）④自動差分検査（モード1）起動 ⑤Neg/Pos 検査 ⑥Metrics・Alert、および無番号の EventBridge→発見 Lambda／全量検査（モード2）／台帳取得／CloudFront→API GW／Alert Router→SNS／Service Catalog→API GW</t>
  </si>
  <si>
    <t>monitoring.yaml + openapi.yaml（+ 任意 deploy-info.json）</t>
  </si>
  <si>
    <t>資材 s3 読み取り専用（StackSets 配布）</t>
  </si>
  <si>
    <t>資材 List・VersionId 取得 / GetObject</t>
  </si>
  <si>
    <t>注記: 登録・OpenAPI 取得はすべて中央の pull（S3 監視資材の VersionId 比較）で、アプリ側に登録処理はない（資材アップロードはデプロイパイプラインの標準ステップ）</t>
  </si>
  <si>
    <t>注記: 2 本の経路は別物。巡回の読み取り（①②＝資材バケット）は AWS API を直接呼び境界を通らない。検査（⑤）は実ユーザーと同じく境界（ネットワーク監査アカウントの CloudFront）を通る</t>
  </si>
  <si>
    <t>描くべき内容: 共通基盤（VPC なし・Lambda 3 本すべて VPC 外／S3 1 バケット／Secrets／CloudWatch／SNS）／インバウンド境界アカウント（CloudFront+WAF）／各 App（DiscoveryReadRole・資材バケット S3・API GW / ALB）／認証基盤 Broker（Keycloak /token）／アウトバウンド境界アカウント（TGW+NWFW・非経由）。経路 A〜D を線種で区別し、A / B のみ In 境界を通り Out 境界を通らないことを明示</t>
  </si>
  <si>
    <t>DiscoveryReadRole
（資材 s3 read-only）</t>
  </si>
  <si>
    <t>資材バケット S3
monitoring.yaml + openapi.yaml</t>
  </si>
  <si>
    <t>巡回読み取り（発見 Lambda → App アカウントの資材バケット S3）</t>
  </si>
  <si>
    <t>AWS API（STS AssumeRole → s3 ListObjectsV2 / ListObjectVersions / GetObject）</t>
  </si>
  <si>
    <t>描くべき内容: EventBridge（1h）→ 発見 Lambda。①Organizations 列挙 ②AssumeRole（資材 s3 read-only）③資材 List（{appId}/ プレフィックス）④資材 VersionId 取得 ⑤lastArtifactVersions 比較 ⑥GetObject（monitoring.yaml / openapi.yaml）→ 台帳更新・spec Put ⑦自動差分検査（モード1）起動 → lastArtifactVersions 更新。新規発見・消滅検知・メタ不足／資材 staleness の分岐</t>
  </si>
  <si>
    <t>描くべき内容: ①デプロイ &amp; 資材アップロード（静的解析 pass）②巡回発見（資材 VersionId 比較・最大 1h）③自動差分検査（モード1）自動 / 全量検査（モード2、日次+手動）④検査 ⑤分類（OK は Metrics のみ・それ以外は ⑥ へ）⑥Alert Router ⑦通知 P1 / P2 / P3 ⑧是正 SLA。担当章の帯を添える</t>
  </si>
  <si>
    <t>デプロイ &amp; 資材アップロード</t>
  </si>
  <si>
    <t>巡回発見（資材 VersionId 比較）</t>
  </si>
  <si>
    <t>資材アップロード</t>
  </si>
  <si>
    <t>App / ベンダー CI（ArtifactUploadRole-{appId} を Assume、デプロイ成功後）</t>
  </si>
  <si>
    <t>App / 資材バケット S3（{appId}/ プレフィックス）</t>
  </si>
  <si>
    <t>443、s3:PutObject（{appId}/* 限定）</t>
  </si>
  <si>
    <t>資材列挙・VersionId 取得</t>
  </si>
  <si>
    <t>443、ListObjectsV2 / ListObjectVersions</t>
  </si>
  <si>
    <t>資材取得</t>
  </si>
  <si>
    <t>App / 資材バケット S3</t>
  </si>
  <si>
    <t>443、GetObject（monitoring.yaml・openapi.yaml）</t>
  </si>
  <si>
    <t>構成図のポイント: W1 は App アカウントの資材バケットへの書き込みで完結（ベンダー CI → 自アプリ prefix のみ）。W4 / W5 / W7 だけがアカウント跨ぎ（共通基盤 → App）で、すべて AWS API（インバウンド／アウトバウンド境界とも非経由）。W5 / W7 は App アカウントの DiscoveryReadRole の権限（資材 s3 read-only）で実行する。</t>
  </si>
  <si>
    <t>F1. 資材連携フロー（CI 資材アップロード → 巡回検知 → 自動差分検査（モード1）起動）</t>
  </si>
  <si>
    <t>443、GetObject（同一アカウント IAM。lastArtifactVersions 比較）</t>
  </si>
  <si>
    <t>自動登録・lastArtifactVersions 更新 + spec Put（資材の openapi.yaml）</t>
  </si>
  <si>
    <t>Organizations 列挙 + 読み取り AssumeRole + 資材 VersionId 比較</t>
  </si>
  <si>
    <t>台帳の識別子（キーと同値）</t>
    <phoneticPr fontId="2"/>
  </si>
  <si>
    <t>検査先 CloudFront URL（Origin Protection 経由）</t>
    <phoneticPr fontId="2"/>
  </si>
  <si>
    <t>認証方式 enum</t>
    <phoneticPr fontId="2"/>
  </si>
  <si>
    <t>Positive 用 token の Secret 名</t>
    <phoneticPr fontId="2"/>
  </si>
  <si>
    <t>通知先 {p1,p2,p3} の SNS ARN（未設定は全社デフォルト）</t>
    <phoneticPr fontId="2"/>
  </si>
  <si>
    <t>{ p1: 'arn:aws:sns:...:security' }</t>
    <phoneticPr fontId="2"/>
  </si>
  <si>
    <t>監視有効フラグ（monitoring.yaml には置かない）</t>
    <phoneticPr fontId="2"/>
  </si>
  <si>
    <t>artifactBucket</t>
    <phoneticPr fontId="2"/>
  </si>
  <si>
    <t>発見元の資材バケット</t>
    <phoneticPr fontId="2"/>
  </si>
  <si>
    <t>auth-monitoring-artifacts-111122223333</t>
    <phoneticPr fontId="2"/>
  </si>
  <si>
    <t>巡回が記録</t>
    <phoneticPr fontId="2"/>
  </si>
  <si>
    <t>artifactPrefix</t>
    <phoneticPr fontId="2"/>
  </si>
  <si>
    <t>発見元の {appId}/ プレフィックス</t>
    <phoneticPr fontId="2"/>
  </si>
  <si>
    <t>expense-api/</t>
    <phoneticPr fontId="2"/>
  </si>
  <si>
    <t>lastArtifactVersions</t>
    <phoneticPr fontId="2"/>
  </si>
  <si>
    <t>前回確認した資材（monitoring.yaml / openapi.yaml）の S3 VersionId。差分判定の基準</t>
    <phoneticPr fontId="2"/>
  </si>
  <si>
    <t>{ 'monitoring.yaml': '3z9K…', 'openapi.yaml': '8aQ2…' }</t>
    <phoneticPr fontId="2"/>
  </si>
  <si>
    <t>deployInfo</t>
    <phoneticPr fontId="2"/>
  </si>
  <si>
    <t>ベンダー CI が申告した commitId / deployedAt 等の追跡用参考値（検知には使わない。staleness 検知の補助）</t>
    <phoneticPr fontId="2"/>
  </si>
  <si>
    <t>{ commitId: 'a1b2c3d…', deployedAt: '2026-08-20T12:00:00Z' }</t>
    <phoneticPr fontId="2"/>
  </si>
  <si>
    <t>deploy-info.json（任意）</t>
    <phoneticPr fontId="2"/>
  </si>
  <si>
    <t>最後に観測した日時（消滅検知用）</t>
    <phoneticPr fontId="2"/>
  </si>
  <si>
    <t>2026-08-21T00:00:00Z</t>
    <phoneticPr fontId="2"/>
  </si>
  <si>
    <t>置き場: Monitoring Registry バケットの registry/{appId}/{env}.json（1 アプリ×環境 = 1 JSON オブジェクト。DynamoDB は不使用）。発見 Lambda が巡回（各 App アカウントの資材バケットの monitoring.yaml）から自動登録・同期し、認証実装確認処理が registry/ を List → Get する。</t>
  </si>
  <si>
    <t>baseUrl / authPattern / testTokenSecret は monitoring.yaml 由来（巡回同期）、artifactBucket / artifactPrefix / lastArtifactVersions / lastSeenAt は巡回状態、alertRouting / enabled は台帳のみで中央管理。認証実装確認処理は enabled=true のみ検査する。自動差分検査（モード1）は該当 1 オブジェクトのみ Get、全量検査（モード2）は全 List。旧スキーマ（repositoryName / branch / pathPrefix / lastCheckedCommitId / apiGatewayId / stage / deploymentId）は 2026-08-21 廃止。</t>
  </si>
  <si>
    <t>"artifactBucket": "auth-monitoring-artifacts-111122223333",</t>
  </si>
  <si>
    <t>"artifactPrefix": "expense-api/",</t>
  </si>
  <si>
    <t>"lastArtifactVersions": { "monitoring.yaml": "3z9K…", "openapi.yaml": "8aQ2…" },</t>
  </si>
  <si>
    <t>"deployInfo": { "commitId": "a1b2c3d…", "deployedAt": "2026-08-20T12:00:00Z" },</t>
  </si>
  <si>
    <t>"lastSeenAt": "2026-08-21T00:00:00Z"</t>
  </si>
  <si>
    <t>台帳 JSON 例（キー例: registry/expense-api/prod.json）</t>
  </si>
  <si>
    <t>4. 監視資材の規約（S3・config-as-code）</t>
  </si>
  <si>
    <t>描くべき内容: 資材バケット由来（baseUrl / authPattern / testTokenSecret）→ 台帳、台帳のみ中央管理（alertRouting / enabled）、資材の openapi.yaml（デプロイ版の写し）→ S3 コピー → extractEndpoints。アプリ側に登録処理がないこと（アップロードはデプロイパイプラインの標準ステップ）</t>
  </si>
  <si>
    <t>監視メタデータは各 App アカウントの資材バケットに規定キーで置く。{appId}/monitoring.yaml がある = 監視対象。</t>
  </si>
  <si>
    <t>s3://auth-monitoring-artifacts-{accountId}/     ← StackSets 配布（Versioning 有効）</t>
  </si>
  <si>
    <t xml:space="preserve">  {appId}/</t>
  </si>
  <si>
    <t xml:space="preserve">    monitoring.yaml      # 監視宣言（下記）</t>
  </si>
  <si>
    <t xml:space="preserve">    openapi.yaml         # デプロイした版の spec（正本はベンダー git、これはデプロイ版の写し）</t>
  </si>
  <si>
    <t xml:space="preserve">    deploy-info.json     # 任意: { "commitId": "…", "deployedAt": "…", "pipelineRunId": "…" }</t>
  </si>
  <si>
    <t># {appId}/monitoring.yaml</t>
  </si>
  <si>
    <t>appId: expense-api               # プレフィックスと一致必須</t>
  </si>
  <si>
    <t xml:space="preserve">    baseUrl: https://expense.example.com   # 検査先（CloudFront URL）</t>
  </si>
  <si>
    <t>{appId}/monitoring.yaml</t>
  </si>
  <si>
    <t>{appId}/monitoring.yaml</t>
    <phoneticPr fontId="2"/>
  </si>
  <si>
    <t>API 提供契約 / タグがあるのに資材が無い場合は棚卸しで検出（M-Q-17-3）</t>
    <phoneticPr fontId="2"/>
  </si>
  <si>
    <t>プレフィックスと一致必須</t>
    <phoneticPr fontId="2"/>
  </si>
  <si>
    <t>不一致は取り込み拒否 + メタ不足アラート</t>
    <phoneticPr fontId="2"/>
  </si>
  <si>
    <t>既定 api-gw-jwt で 未認証検査のみ実施 + メタ不足アラート</t>
    <phoneticPr fontId="2"/>
  </si>
  <si>
    <t>openapi.yaml</t>
  </si>
  <si>
    <t>openapi.yaml</t>
    <phoneticPr fontId="2"/>
  </si>
  <si>
    <t>同プレフィックスに併置</t>
    <phoneticPr fontId="2"/>
  </si>
  <si>
    <t>無い場合は endpoint リストを monitoring.yaml に列挙（モノリス等）</t>
    <phoneticPr fontId="2"/>
  </si>
  <si>
    <t>deploy-info.json</t>
  </si>
  <si>
    <t>deploy-info.json</t>
    <phoneticPr fontId="2"/>
  </si>
  <si>
    <t>任意（commitId 等の追跡用参考値。中央は検知に使わない）</t>
    <phoneticPr fontId="2"/>
  </si>
  <si>
    <t>資材に書かない（SNS ARN を外部ベンダーの手に置かない）。台帳側で共通基盤チームが管理、未設定は全社デフォルト</t>
    <phoneticPr fontId="2"/>
  </si>
  <si>
    <t>資材に書かない。台帳側で中央管理（アプリ側の勝手な監視停止を防ぐ）</t>
    <phoneticPr fontId="2"/>
  </si>
  <si>
    <t>アップロード権限（16 章が正）: 資材バケットにはアプリ単位の専用アップロードロール（{appId}/ プレフィックス限定の s3:PutObject のみ。デプロイロールとは分離）を StackSets で同梱配布する。ベンダー CI はこのロールを各自の接続方式で Assume する。1 ベンダー複数アプリの場合もロールはアプリ単位（他アプリの資材は書けない）。</t>
  </si>
  <si>
    <t>旧方式（リポジトリ直下の monitoring.yaml、pathPrefix / branch / openapi パス指定、apiGatewayId / stage）は CodeCommit 前提の規約で 2026-08-21 廃止。資材はアプリ単位でアップロードされるため、モノレポのパス突合・ブランチ指定は不要になった。リソースタグ（app-id / cost-center 等）は課金按分用として従来どおり必須。</t>
  </si>
  <si>
    <t>1 アプリ × 1 環境ぶんの管理項目 14 個（appId / env / baseUrl / authPattern / openApiS3Key / testTokenSecret / alertRouting / enabled / registeredAt / artifactBucket / artifactPrefix / lastArtifactVersions / deployInfo / lastSeenAt）+ JSON 例</t>
  </si>
  <si>
    <t>監視資材の規約</t>
  </si>
  <si>
    <t>各 App アカウントの資材バケットに置く監視資材（バケット・キー体系・monitoring.yaml / openapi.yaml / 任意 deploy-info.json）＋項目規約と不備時の挙動、アップロード権限</t>
  </si>
  <si>
    <t>発見 Lambda が資材バケットの openapi.yaml（デプロイ版の写し）を GetObject で取得して Put</t>
  </si>
  <si>
    <t>Service Catalog 製品 / 資材バケット S3 / API GW・ALB / DiscoveryReadRole / ArtifactUploadRole-{appId}</t>
  </si>
  <si>
    <t>巡回発見（監視資材の読み取り）</t>
  </si>
  <si>
    <t>発見 Lambda が DiscoveryReadRole に AssumeRole → 資材バケットを読む</t>
  </si>
  <si>
    <t>s3 read-only（下記 3.）</t>
  </si>
  <si>
    <t>描くべき内容: DiscoveryLambdaRole → 各 App の DiscoveryReadRole（資材バケットの s3 read-only・信頼先 1 本・ExternalId）への AssumeRole 1 種のみ。ベンダー CI → ArtifactUploadRole-{appId}（{appId}/* 限定 PutObject）の書き込み経路。StackSets の全アカウント同一名配布、CentralProbeRole / alert-router-lambda-role の権限範囲、台帳書き込みが中央アカウント内のみであること</t>
  </si>
  <si>
    <t>// 権限（App アカウント側、read-only 最小。資材バケット限定）</t>
  </si>
  <si>
    <t xml:space="preserve">  "Statement": [</t>
  </si>
  <si>
    <t xml:space="preserve">    {</t>
  </si>
  <si>
    <t xml:space="preserve">      "Effect": "Allow",</t>
  </si>
  <si>
    <t xml:space="preserve">      "Action": ["s3:ListBucket", "s3:ListBucketVersions"],</t>
  </si>
  <si>
    <t xml:space="preserve">      "Resource": "arn:aws:s3:::auth-monitoring-artifacts-&lt;accountId&gt;"</t>
  </si>
  <si>
    <t xml:space="preserve">    },</t>
  </si>
  <si>
    <t xml:space="preserve">      "Action": ["s3:GetObject", "s3:GetObjectVersion"],</t>
  </si>
  <si>
    <t xml:space="preserve">      "Resource": "arn:aws:s3:::auth-monitoring-artifacts-&lt;accountId&gt;/*"</t>
  </si>
  <si>
    <t xml:space="preserve">    }</t>
  </si>
  <si>
    <t xml:space="preserve">  ]</t>
  </si>
  <si>
    <t>・read-only（資材バケットの s3 読み取り）のみ。漏洩時の影響は監視資材（monitoring.yaml / openapi.yaml）の閲覧（変更・削除・実行は不可。ソースコード・AWS 構成は見えない — 旧 codecommit 権限より機微性が大幅に低下）。</t>
  </si>
  <si>
    <t>・全 App アカウントで同一ロール名（DiscoveryReadRole）・同一バケット命名規約（auth-monitoring-artifacts-{accountId}、M-Q-17-8）にし、発見 Lambda は ARN を機械的に組み立てて AssumeRole。</t>
  </si>
  <si>
    <t>・2026-08-21 更新: 旧権限（codecommit 5 アクション + apigateway:GET）は外部 git 化と資材オンリー原則により全廃。読み取り対象は資材バケットのみで、git・API GW 構成には触れない。</t>
  </si>
  <si>
    <t>3.2 アップロードロール（ArtifactUploadRole-{appId}）の設計</t>
  </si>
  <si>
    <t>外部ベンダーの CI が資材を Put するためのアプリ単位の専用ロール。デプロイロールとは分離する（D-M-17-7）。</t>
  </si>
  <si>
    <t>// 権限（App アカウント側、自アプリ prefix 限定の書き込みのみ）</t>
  </si>
  <si>
    <t xml:space="preserve">    "Action": "s3:PutObject",</t>
  </si>
  <si>
    <t xml:space="preserve">    "Resource": "arn:aws:s3:::auth-monitoring-artifacts-&lt;accountId&gt;/&lt;appId&gt;/*"</t>
  </si>
  <si>
    <t>・削除・読み取り権限なし（Put のみ。旧版は Versioning が保全し、取り消しは中央 / アカウント管理者の操作）。信頼ポリシーはベンダー CI の接続方式（IAM ロール / OIDC federation 等）に合わせてアプリごとに設定し、ExternalId または OIDC の sub/aud 条件で引受け元を限定する。</t>
  </si>
  <si>
    <t>・1 ベンダー複数アプリでもロールはアプリ単位（他アプリの prefix には書けない）。バケットポリシー側でも {appId}/ 外への Put を Deny し二重化する。</t>
  </si>
  <si>
    <t>資材バケットの s3:ListBucket / ListBucketVersions / GetObject / GetObjectVersion（read-only）</t>
    <phoneticPr fontId="2"/>
  </si>
  <si>
    <t>各アプリのベンダー CI（アプリごとの接続方式で Assume）</t>
  </si>
  <si>
    <t>資材バケットの {appId}/* への s3:PutObject のみ</t>
  </si>
  <si>
    <t>—（S3。Versioning 有効 + バケットポリシーで prefix 外 Put を Deny）</t>
  </si>
  <si>
    <t>App アカウント側に置くのは資材バケット + 読み取りロール 1 本 + アプリ単位のアップロードロール。旧 push 型で必要だった中央への Invoke / 書き込み AssumeRole / Custom Resource 実行権限は不要のまま（中央への書き込み開放はしない）。</t>
  </si>
  <si>
    <t>アプリチーム（ベンダー）の作業は 3 点のみ。監視への登録作業はない（中央の機構が資材から自動で発見する）。</t>
  </si>
  <si>
    <t>デプロイパイプラインの最終段で監視資材をアップロードする</t>
  </si>
  <si>
    <t>自アカウントの資材バケット（auth-monitoring-artifacts-{accountId}）の {appId}/ 配下に monitoring.yaml と openapi.yaml を置く。専用のアップロードロール（ArtifactUploadRole-{appId}）を Assume して Put する。CI から AWS へ接続する方式は、アプリごとの既存方式でよい。</t>
  </si>
  <si>
    <t>認証が不要（誰でも呼べる）な endpoint にのみ x-synthetics-skip-auth-check: true を記述する。詳細は下記 5.（MON-1）。</t>
  </si>
  <si>
    <t>原則: アップロードは必ずデプロイ成功後に行うこと。これにより「資材がある = その版がデプロイ済み」が成り立ち、中央の検査が実態と一致する。変更は必ず CI/CD 経由で行い、コンソールでの直接変更はしない（資材に現れず検知が遅れる）。</t>
  </si>
  <si>
    <t>責任分界（顧客・ベンダー合意事項）: 資材のアップロード漏れ・内容の誤りは、原則アプリ（ベンダー）側の責任とする。中央は検知網（資材の最終更新が古いアプリの棚卸しアラート・月次棚卸し・日次の全量検査）で補助するが、「資材が正しく上がっていること」の保証責任は負わない。この分界は顧客・ベンダーとの合意が必要（M-Q-17-7）。</t>
  </si>
  <si>
    <t>2. やらなくてよいこと</t>
  </si>
  <si>
    <t>3. 資材の置き方</t>
  </si>
  <si>
    <t>中央の発見 Lambda が 1 時間毎に資材バケットを巡回して自動で見つけ、台帳に登録する。</t>
    <phoneticPr fontId="2"/>
  </si>
  <si>
    <t>資材バケットに置いた openapi.yaml を中央が取得してコピーする。</t>
    <phoneticPr fontId="2"/>
  </si>
  <si>
    <t>資材には書かない。共通基盤チームが台帳側で管理する（未設定なら全社デフォルト）。</t>
    <phoneticPr fontId="2"/>
  </si>
  <si>
    <t>資材には書かない。台帳側の中央管理。</t>
    <phoneticPr fontId="2"/>
  </si>
  <si>
    <t>openapi.yaml を更新して資材をアップロードすれば、次回巡回（最大 1 時間）で新しい endpoint も自動で検査対象になる。検査側の改修は不要。</t>
    <phoneticPr fontId="2"/>
  </si>
  <si>
    <t>s3://auth-monitoring-artifacts-{accountId}/     ← 各アカウントに配布済み（Versioning 有効）</t>
  </si>
  <si>
    <t xml:space="preserve">    monitoring.yaml      # 監視宣言（下記 4.）</t>
  </si>
  <si>
    <t xml:space="preserve">    openapi.yaml         # デプロイした版の API 仕様</t>
  </si>
  <si>
    <r>
      <rPr>
        <sz val="12"/>
        <color theme="1"/>
        <rFont val="游ゴシック"/>
        <family val="2"/>
        <charset val="128"/>
      </rPr>
      <t>アップロードは</t>
    </r>
    <r>
      <rPr>
        <sz val="12"/>
        <color theme="1"/>
        <rFont val="Consolas"/>
        <family val="2"/>
      </rPr>
      <t xml:space="preserve"> ArtifactUploadRole-{appId} </t>
    </r>
    <r>
      <rPr>
        <sz val="12"/>
        <color theme="1"/>
        <rFont val="游ゴシック"/>
        <family val="2"/>
        <charset val="128"/>
      </rPr>
      <t>を</t>
    </r>
    <r>
      <rPr>
        <sz val="12"/>
        <color theme="1"/>
        <rFont val="Consolas"/>
        <family val="2"/>
      </rPr>
      <t xml:space="preserve"> Assume </t>
    </r>
    <r>
      <rPr>
        <sz val="12"/>
        <color theme="1"/>
        <rFont val="游ゴシック"/>
        <family val="2"/>
        <charset val="128"/>
      </rPr>
      <t>して行う。このロールは自アプリの</t>
    </r>
    <r>
      <rPr>
        <sz val="12"/>
        <color theme="1"/>
        <rFont val="Consolas"/>
        <family val="2"/>
      </rPr>
      <t xml:space="preserve"> {appId}/ </t>
    </r>
    <r>
      <rPr>
        <sz val="12"/>
        <color theme="1"/>
        <rFont val="游ゴシック"/>
        <family val="2"/>
        <charset val="128"/>
      </rPr>
      <t>配下への</t>
    </r>
    <r>
      <rPr>
        <sz val="12"/>
        <color theme="1"/>
        <rFont val="Consolas"/>
        <family val="2"/>
      </rPr>
      <t xml:space="preserve"> Put </t>
    </r>
    <r>
      <rPr>
        <sz val="12"/>
        <color theme="1"/>
        <rFont val="游ゴシック"/>
        <family val="2"/>
        <charset val="128"/>
      </rPr>
      <t>だけができ、削除・読み取りはできない（他アプリの資材にも触れない）。</t>
    </r>
  </si>
  <si>
    <t>4. monitoring.yaml の書き方</t>
  </si>
  <si>
    <t>書き方</t>
  </si>
  <si>
    <t>必須。これが監視対象の宣言になる。</t>
  </si>
  <si>
    <t>API 提供契約やタグがあるのに資材が無い場合は、中央の棚卸しで検出される。</t>
  </si>
  <si>
    <t>プレフィックス（フォルダ名）と一致させる。</t>
  </si>
  <si>
    <t>不一致は取り込み拒否 + メタ不足アラート。</t>
  </si>
  <si>
    <t>認証方式を enum（6 種）から選ぶ。</t>
  </si>
  <si>
    <t>既定値 api-gw-jwt が使われ、未認証検査のみ実施 + メタ不足アラート。</t>
  </si>
  <si>
    <t>CloudFront の URL を書く（API Gateway の直 URL ではない）。</t>
  </si>
  <si>
    <t>検査できないため、メタ不足アラート。</t>
  </si>
  <si>
    <t>同じ {appId}/ 配下に併置する。</t>
  </si>
  <si>
    <t>無い場合は endpoint リストを monitoring.yaml に列挙する（ALB 直モノリス等）。</t>
  </si>
  <si>
    <t>任意。commitId / deployedAt 等の追跡用。</t>
  </si>
  <si>
    <t>中央は検知に使わないため、無くても問題ない。</t>
  </si>
  <si>
    <t>5. OpenAPI の公開印（MON-1）</t>
  </si>
  <si>
    <r>
      <t xml:space="preserve">6. </t>
    </r>
    <r>
      <rPr>
        <sz val="12"/>
        <color theme="1"/>
        <rFont val="游ゴシック"/>
        <family val="2"/>
        <charset val="128"/>
        <scheme val="minor"/>
      </rPr>
      <t>資材を上げてから監視されるまで</t>
    </r>
  </si>
  <si>
    <t>デプロイする（静的解析を通す）</t>
  </si>
  <si>
    <t>デプロイ成功後、パイプラインが資材（monitoring.yaml / openapi.yaml）を資材バケットへアップロードする</t>
  </si>
  <si>
    <t>デプロイ直後</t>
  </si>
  <si>
    <t>中央の巡回が資材の VersionId の変化に気づき、台帳と OpenAPI を自動で取り込む</t>
  </si>
  <si>
    <t>そのアプリの全 endpoint に対して検査（未認証検査 + 正規検査）が走り、問題があれば担当チームへ通知される（P1 Security 即時 / P2 Platform 24h / P3 App team 通常）</t>
  </si>
  <si>
    <t>なお、コンソールで直接 API の設定を変更した場合は資材に現れないため、この巡回では検知できない。その分は Config Rules（L2）と全量検査（モード2、日次定期＋手動。最大 24 時間で挙動レベルで捕捉）が補完する。だからこそ変更は必ず CI/CD 経由とすること（SCP による強制は Phase 2 判断）。</t>
  </si>
  <si>
    <t>7. アラートが来たら</t>
  </si>
  <si>
    <t>monitoring.yaml / openapi.yaml を確認し、修正して資材を再アップロード（次回巡回で自動再検査）</t>
  </si>
  <si>
    <t>8. 知っておくこと</t>
  </si>
  <si>
    <t>監視は毎日 1 回、全 endpoint への検査リクエスト（X-Auth-Probe ヘッダ付き）を送る。アプリのアクセスログに定期的な 401/403 が記録されるのは正常（資材の更新がなくても飛ぶ）。</t>
  </si>
  <si>
    <t>資材の最終更新が長期間（例 90 日）ないアプリは、中央の棚卸しアラートの対象になる。デプロイのたびに資材が上がっていれば自然に更新される。</t>
  </si>
  <si>
    <t>台帳に巡回スナップショット（lastArtifactVersions / lastSeenAt / 資材系属性）を同居</t>
    <phoneticPr fontId="2"/>
  </si>
  <si>
    <t>正本はベンダー git、中央が読むのは資材バケットの openapi.yaml（デプロイ版の写し）</t>
    <phoneticPr fontId="2"/>
  </si>
  <si>
    <t>資材と同じ読み取り経路で完結。deploy との設定ずれは検査実測で顕在化</t>
    <phoneticPr fontId="2"/>
  </si>
  <si>
    <t>変更検知は S3 監視資材の VersionId 比較 単独（2026-08-21。外部 git 前提により CodeCommit 巡回を置換、同時に deploymentId 併読を廃止）</t>
    <phoneticPr fontId="2"/>
  </si>
  <si>
    <t>資材オンリー原則: 中央が App アカウントで読むのは資材だけ（権限説明が単純・通信の線が最少）。アップロードがデプロイ後のため「資材あり = デプロイ済み」が成立。コンソール直変更は Config Rules + ガイド + 日次全量（24h）で受容</t>
    <phoneticPr fontId="2"/>
  </si>
  <si>
    <t>ADR-061 追記 2026-08-21</t>
  </si>
  <si>
    <t>ADR-061 追記 2026-08-21</t>
    <phoneticPr fontId="2"/>
  </si>
  <si>
    <t>at-least-once + 冪等（lastArtifactVersions は自動差分検査（モード1）起動成功後のみ更新、発見 → 検査は非同期起動 + DLQ、アカウント単位の部分失敗分離）。全量検査（モード2）と大規模巡回はアプリ / アカウント単位の分割起動</t>
    <phoneticPr fontId="2"/>
  </si>
  <si>
    <t>D-M-17-7</t>
  </si>
  <si>
    <t>アップロードはアプリ単位の専用ロール（デプロイロールと分離、{appId}/ prefix 限定 PutObject のみ）</t>
  </si>
  <si>
    <t>最小権限・ベンダー複数アプリでも相互に書けない・デプロイ権限と監視資材権限の分離</t>
  </si>
  <si>
    <t>D-M-17-8</t>
  </si>
  <si>
    <t>資材のアップロード漏れ・誤りは原則アプリ責任（中央は staleness 検知・棚卸し・日次全量で補助）</t>
  </si>
  <si>
    <t>外部ベンダーの CI 内部は中央から統制できない。責任分界を契約で明確化（顧客合意 M-Q-17-7）</t>
  </si>
  <si>
    <t>D-M-16-6</t>
  </si>
  <si>
    <t>読み取り対象は資材バケットのみ（codecommit / apigateway 権限は 2026-08-21 全廃）</t>
  </si>
  <si>
    <t>資材オンリー原則。ベンダーへの権限説明が単純・漏洩時影響も資材閲覧のみに縮小</t>
  </si>
  <si>
    <t>D-M-16-7</t>
  </si>
  <si>
    <t>アップロードは ArtifactUploadRole-{appId}（Put のみ・prefix 限定・デプロイロール分離）+ バケットポリシーで二重 Deny</t>
  </si>
  <si>
    <t>最小権限・アプリ間分離・書込経路の監査容易性</t>
  </si>
  <si>
    <t>SCP 強制（製品外の API GW 作成・変更禁止）の採否 — コンソール直変更を入口で塞ぐ鍵（deploymentId 併読廃止により重要度上昇）</t>
  </si>
  <si>
    <t>「資材が上がってくるはずなのに無い」の突合方法（API 提供契約リスト / タグ / Service Catalog launch 実績のどれと突合するか）と staleness 閾値（仮 90 日）</t>
  </si>
  <si>
    <t>発見 Lambda の実装 + PoC（Phase 3/4。S3 List/GetObject のページング・VersionId 比較・アカウント横断のレート制御）</t>
  </si>
  <si>
    <t>資材 openapi.yaml と本番デプロイの設定ずれ検出（全量検査（モード2、日次）の実測 404 で顕在化はするが、能動検出の要否）</t>
  </si>
  <si>
    <t>M-Q-17-7</t>
  </si>
  <si>
    <t>責任分界の顧客・ベンダー合意: 資材アップロード漏れ・内容誤りは原則アプリ責任（中央は補助検知のみ）とする条項。告知資料・契約への反映</t>
  </si>
  <si>
    <t>【解説】外部ベンダーの CI 内部は中央から統制できないため、「資材が正しく上がっていること」の保証責任はアプリ（ベンダー）側に置く設計になっている。中央は staleness 検知（資材の最終更新が閾値超）・月次棚卸し・日次の全量検査で補助するのみ。この分界を顧客・ベンダーと合意し、告知資料と契約条項に落とす必要がある。【回答】合意取得タスク。合意日と反映先を記入: ＿＿</t>
  </si>
  <si>
    <t>M-Q-17-8</t>
  </si>
  <si>
    <t>資材バケットの命名規約・暗号化方式（SSE-S3/KMS）・旧版ライフサイクル（保持期間）</t>
  </si>
  <si>
    <t>【解説】資材バケットは StackSets で全 App アカウントに配布するため、命名規約（例 auth-monitoring-artifacts-{accountId}）を固定しないと発見 Lambda が ARN を機械的に組み立てられない。あわせて暗号化方式と、Versioning で増える旧版の保持期間を決める。【選択肢】命名: a) auth-monitoring-artifacts-{accountId}（★・機械組み立て可）/ 暗号化: a) SSE-S3（★・費用ゼロ）/ b) SSE-KMS / 旧版保持: 例 90 日 【→ 回答: ＿＿】</t>
  </si>
  <si>
    <t>W1-7</t>
  </si>
  <si>
    <t>ベンダーへの監視資材アップロードの告知・CI 改修依頼</t>
  </si>
  <si>
    <t>【これは何か】コードリポジトリが開発ベンダーごとに外部にあるため、監視は「デプロイパイプラインの最終段で監視資材（monitoring.yaml / openapi.yaml）を App アカウントの資材バケットへアップロードしてもらう」方式に確定した（ADR-061 追記 2026-08-21）。【なぜ調整が必要か】アップロードの組み込みは各ベンダーの CI 改修であり、当方では実施できない。またアップロード漏れ・資材誤りは原則アプリ責任とする責任分界（M-Q-17-7）は顧客との合意事項。【やること】告知資料（バケット・キー規約 / アップロードロールの Assume 手順 / パイプライン例 / 責任分界）を作成・配布し、各ベンダーの CI 改修とアップロード実績を受入確認する。責任分界は顧客と合意し記録する</t>
  </si>
  <si>
    <t>S2</t>
  </si>
  <si>
    <t>外部律速</t>
  </si>
  <si>
    <t>A15-i</t>
  </si>
  <si>
    <t>全量検査の日次 Scheduler 実装</t>
  </si>
  <si>
    <t>EventBridge Scheduler（日次、時刻帯は M-Q-18-3）→ 認証実装チェック Lambda mode=full 起動の IaC + 起動確認。【補足】heartbeat 型検査（旧 M2）廃止の代替として、シグナルなし変化（ALB 直の手動変更・設定駆動の認証切替等）を最大 24h で機械的に捕捉する（D-M-18-4、18 §18.1.1）</t>
  </si>
  <si>
    <t>S2-d</t>
  </si>
  <si>
    <t>資材バケット + アップロードロール 設計</t>
  </si>
  <si>
    <t>資材バケット（auth-monitoring-artifacts-{accountId}、Versioning・暗号化・ライフサイクル・prefix 外 Put を Deny するバケットポリシー）+ ArtifactUploadRole-{appId}（{appId}/* 限定 PutObject のみ・デプロイロール分離・信頼先はアプリごとの CI 接続方式）の設計書（16 §16.2.2）。【補足】資材バケット＝アプリのデプロイパイプラインが監視資材を置く App アカウント側の S3 バケット。アップロードロール＝ベンダー CI が自アプリの prefix にだけ Put できる最小権限ロール</t>
  </si>
  <si>
    <t>S2-i</t>
  </si>
  <si>
    <t>StackSets テンプレへの組み込み（バケット + ロール。appId・CI 信頼先はパラメータ化）+ 配布・Put/Get 動作確認</t>
  </si>
  <si>
    <t>S2-d, S1-i</t>
  </si>
  <si>
    <t>【これは何か】本監視は S3 に上がった監視資材だけを見る方式（資材オンリー原則、2026-08-21）のため、コンソールで直接 AWS の認証設定を外した変更は資材に現れず検知できない（挙動レベルでは日次の全量検査（モード2）が最大 24h で捕捉）。この死角を設定レベルで常時チェックするのが AWS Config Rules。旧方式の deploymentId 併読の廃止により、本監視側の即時検知手段が無くなったため Config Rules の重要度が上がった。【なぜ調整が必要か】その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人時）を必須タスクとして起票する（管理番号: 17 §17.2.2 ②）</t>
  </si>
  <si>
    <t>AssumeRole/S3 資材クライアント 設計</t>
  </si>
  <si>
    <t>ExternalId・一時クレデンシャルのライフサイクル・SDK リトライ（指数バックオフ）設定。【補足】AssumeRole＝他アカウントに置かれた読み取り専用ロールの権限を、期限付きで一時的に借る AWS の標準的な仕組み。これで恆久的な鍵を配らずに App アカウントの資材バケットを読める</t>
  </si>
  <si>
    <t>AssumeRole/S3 資材クライアント 実装</t>
  </si>
  <si>
    <t>AssumeRole/S3 資材クライアント 単体テスト</t>
  </si>
  <si>
    <t>資材列挙・差分判定 設計</t>
  </si>
  <si>
    <t>資材バケットの List（{appId}/ プレフィックス）→ monitoring.yaml / openapi.yaml の VersionId 取得 → lastArtifactVersions 比較のロジックと「変更あり」判定基準。【補足】資材列挙＝App アカウントの資材バケットを一覧し、monitoring.yaml が置かれたアプリ（＝監視対象）を見つけること。差分判定＝前回巡回で確認した資材の VersionId と現在を比べ「新しい版がデプロイされたか」を判定すること（マルチパートで ETag が MD5 と一致しないため VersionId 主）</t>
  </si>
  <si>
    <t>資材列挙・差分判定 実装</t>
  </si>
  <si>
    <t>資材列挙・差分判定 単体テスト</t>
  </si>
  <si>
    <t>初回（台帳なし）/ 変更なし / 変更あり / バケット不在・アクセス拒否 の 4 分岐</t>
  </si>
  <si>
    <t>GetObject・スキーマ検証（W5-2 の JSON Schema 共用）・appId とプレフィックスの一致検証・不備時の分類（メタ不足の種別）。【補足】monitoring.yaml＝アプリが「このアプリを監視して」と宣言する設定ファイル（検査先 URL・認証方式などを記載。デプロイ時に資材バケットの {appId}/ 配下へアップロードする）</t>
  </si>
  <si>
    <t>registry/{appId}/{env}.json の生成・更新仕様、ETag 条件付き PUT、lastArtifactVersions は 自動差分検査（モード1）の起動成功後にのみ更新（at-least-once）。【補足】台帳＝「どのアプリをどう監視するか」を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PUT＝「読み込んだ時から誰も更新していなければ書き込む」仕組みで、同時更新による上書き事故を防ぐ。at-least-once＝取りこㄢしゼロを優先し、同じ変更を 2 回検査することは許容する方式（検査は読み取りのみなので重複しても無害）</t>
  </si>
  <si>
    <t>openapi.yaml GetObject → openapi/ Put のキー導出・上書き仕様。【補足】spec＝API 仕様書（openapi.yaml。どんな endpoint があるかの一覧）。検査 Lambda が「どこを叩くか」を知るための情報源で、資材バケットから取得して中央の S3 にコピーしておく</t>
  </si>
  <si>
    <t>消滅検知・staleness 検知 設計</t>
  </si>
  <si>
    <t>資材（monitoring.yaml）消滅 → enabled=false + 棚卸しアラート（SNS P2）の判定・通知文面。staleness 検知（資材の最終更新が閾値超 → 棚卸しアラート。アップロード忘れの補助検知、17 §17.2.2）。【補足】消滅検知＝前回まで存在した資材が無くなった（＝アプリ廃止の可能性）ことを検出し、監視を自動停止したうえで「本当に廃止か」の確認を人に促す仕組み</t>
  </si>
  <si>
    <t>消滅検知・staleness 検知 実装</t>
  </si>
  <si>
    <t>消滅検知・staleness 検知 単体テスト</t>
  </si>
  <si>
    <t>資材一式の削除 / monitoring.yaml のみ削除 / 一時的な取得失敗と消滅の区別 / staleness 閾値超過</t>
  </si>
  <si>
    <t>ロール設計書: 権限 s3 read 4 アクション（資材バケット限定）・信頼ポリシー（信頼先 1 本 + ExternalId）・全アカウント同一名（16 §16.2 準拠のパラメータシート）。【補足】DiscoveryReadRole＝各 App アカウントに置く「中央からの読み取り窓口」となる IAM ロール（資材バケットの読み取りのみ可。git・AWS 構成は読めない）。StackSets＝CloudFormation を複数アカウントへ一括配布する仕組みで、新規アカウントにも自動で配られる</t>
  </si>
  <si>
    <t>共通基盤 IaC 一式適用 + App アカウント側: 資材バケット + seed 資材（{appId}/monitoring.yaml + openapi.yaml）×2 アプリ・アップロードロール経由の Put 動作・サンプル API（API GW + JWT Authorizer、故意の NONE endpoint 付き）・CloudFront + WAF 簡易構成（Origin Protection + 検査 許可ルール）・Keycloak 接続（W1-4）</t>
  </si>
  <si>
    <t>A-1 新規資材（monitoring.yaml あり）→ 台帳生成 + spec 配置 + 自動差分検査（モード1）起動 / A-2 資材無しアカウント → 対象外 / A-3 appId とプレフィックス不一致 → 取り込み拒否 + メタ不足アラート / A-4 authPattern 不正 → 既定 api-gw-jwt + メタ不足 / A-5 openapi.yaml のみ更新 → そのアプリだけ 自動差分検査（モード1）を起動 / A-6 資材の staleness（最終更新が閾値超）→ 棚卸しアラート / A-7 monitoring.yaml 削除 → enabled=false + 棚卸しアラート</t>
  </si>
  <si>
    <t>D-1 1 アカウントの AssumeRole 拒否 → 他アカウント完走 + AccountErrors → MM-3 / D-2 検査 起動 失敗 → リトライ → DLQ → MM-4 / D-3 Scheduler 停止 → 2h 後 MM-1 発火 / D-4 自動差分検査（モード1）途中失敗 → lastArtifactVersions 据㹮置き → 次巡回で再検知（at-least-once）/ D-5 全量検査（モード2）の手動起動と日次定期起動 → 分割起動で全アプリ検査 / D-6 台帳の手動更新と巡回の競合（ETag 412 → リトライ）</t>
  </si>
  <si>
    <t>① P1（認証漏れ）対応: 一次切り分け（真の漏れ / 設定ずれ / 誤検知）→ アプリチーム連絡 → 暂定遮断の判断基準 ② 全量検査（モード2）の手動実行手順（CLI・実行権限）+ 日次定期実行の管理（時刻変更・一時停止） ③ メタ監視発報対応（MM-1〜5 別の初動） ④ 台帳手動更新（enabled 切替・alertRouting 設定・ETag 手順） ⑤ 棚卸し（消滅レコード削除・公開印 skip 濫用の月次レビュー）。各 Runbook に「変更は必ず git 経由」原則（2026-08-19 方針①）を明記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</si>
</sst>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3">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sz val="12"/>
      <color theme="1"/>
      <name val="游ゴシック"/>
      <family val="2"/>
      <charset val="128"/>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s>
  <fills count="17">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
      <patternFill patternType="solid">
        <fgColor theme="0" tint="-4.9989318521683403E-2"/>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128">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0" fillId="0" borderId="0" xfId="0" applyBorder="1"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1" fillId="0" borderId="0" xfId="0" applyFont="1"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0" xfId="0" applyFill="1" applyAlignment="1">
      <alignment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8"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xf>
    <xf numFmtId="0" fontId="6" fillId="10" borderId="0" xfId="0" applyFont="1" applyFill="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9" fillId="14" borderId="11" xfId="0" applyFont="1" applyFill="1" applyBorder="1" applyAlignment="1">
      <alignment vertical="top" wrapText="1"/>
    </xf>
    <xf numFmtId="0" fontId="10" fillId="0" borderId="0" xfId="0" applyFont="1">
      <alignment vertical="center"/>
    </xf>
    <xf numFmtId="0" fontId="11" fillId="0" borderId="0" xfId="0" applyFont="1">
      <alignment vertical="center"/>
    </xf>
    <xf numFmtId="0" fontId="11" fillId="0" borderId="0" xfId="0" applyFont="1" applyAlignment="1">
      <alignment vertical="top"/>
    </xf>
    <xf numFmtId="0" fontId="12" fillId="2" borderId="2" xfId="0" applyFont="1" applyFill="1" applyBorder="1" applyAlignment="1">
      <alignment horizontal="center" vertical="center"/>
    </xf>
    <xf numFmtId="0" fontId="11" fillId="0" borderId="2" xfId="0" applyFont="1" applyBorder="1" applyAlignment="1">
      <alignment vertical="top" wrapText="1"/>
    </xf>
    <xf numFmtId="0" fontId="5" fillId="2" borderId="2" xfId="0" applyFont="1" applyFill="1" applyBorder="1" applyAlignment="1">
      <alignment horizontal="center" vertical="center" wrapText="1"/>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4" fillId="0" borderId="0" xfId="0" applyFont="1" applyFill="1" applyBorder="1" applyAlignment="1">
      <alignment vertical="top"/>
    </xf>
    <xf numFmtId="0" fontId="3" fillId="0" borderId="0" xfId="0" applyFont="1" applyAlignment="1">
      <alignment vertical="center"/>
    </xf>
    <xf numFmtId="0" fontId="0" fillId="0" borderId="0" xfId="0" applyAlignment="1">
      <alignment vertical="center"/>
    </xf>
    <xf numFmtId="0" fontId="0" fillId="0" borderId="2" xfId="0" applyBorder="1" applyAlignment="1">
      <alignment vertical="top"/>
    </xf>
    <xf numFmtId="0" fontId="4" fillId="0" borderId="0" xfId="0" applyFont="1" applyAlignment="1">
      <alignment vertical="center"/>
    </xf>
    <xf numFmtId="0" fontId="4" fillId="0" borderId="0" xfId="0" applyFont="1" applyAlignment="1">
      <alignment vertical="top"/>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0" xfId="0" applyFont="1" applyFill="1" applyBorder="1" applyAlignment="1">
      <alignment vertical="top" wrapText="1"/>
    </xf>
    <xf numFmtId="0" fontId="0" fillId="0" borderId="3" xfId="0" applyFont="1" applyFill="1" applyBorder="1" applyAlignment="1">
      <alignment vertical="top" wrapText="1"/>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xf numFmtId="0" fontId="5" fillId="2" borderId="2" xfId="0" applyFont="1" applyFill="1" applyBorder="1" applyAlignment="1">
      <alignment horizontal="center" vertical="top" wrapText="1"/>
    </xf>
    <xf numFmtId="0" fontId="0" fillId="14" borderId="0" xfId="0" applyFill="1" applyBorder="1" applyAlignment="1">
      <alignment vertical="top"/>
    </xf>
    <xf numFmtId="49" fontId="0" fillId="0" borderId="2" xfId="0" applyNumberFormat="1" applyBorder="1" applyAlignment="1">
      <alignment horizontal="right" vertical="top"/>
    </xf>
    <xf numFmtId="0" fontId="0" fillId="5" borderId="2" xfId="0" applyFill="1" applyBorder="1" applyAlignment="1">
      <alignment vertical="top"/>
    </xf>
    <xf numFmtId="49" fontId="0" fillId="5" borderId="2" xfId="0" applyNumberFormat="1" applyFill="1" applyBorder="1" applyAlignment="1">
      <alignment horizontal="right" vertical="top"/>
    </xf>
    <xf numFmtId="0" fontId="1" fillId="5" borderId="2" xfId="0" applyFont="1" applyFill="1" applyBorder="1" applyAlignment="1">
      <alignment vertical="top"/>
    </xf>
    <xf numFmtId="0" fontId="1" fillId="15" borderId="2" xfId="0" applyFont="1" applyFill="1" applyBorder="1" applyAlignment="1">
      <alignment vertical="top"/>
    </xf>
    <xf numFmtId="49" fontId="1" fillId="15" borderId="2" xfId="0" applyNumberFormat="1" applyFont="1" applyFill="1" applyBorder="1" applyAlignment="1">
      <alignment horizontal="right" vertical="top"/>
    </xf>
    <xf numFmtId="0" fontId="0" fillId="14" borderId="0" xfId="0" applyFill="1" applyAlignment="1">
      <alignment vertical="center"/>
    </xf>
    <xf numFmtId="0" fontId="0" fillId="0" borderId="2" xfId="0" applyBorder="1" applyAlignment="1">
      <alignment horizontal="right" vertical="top"/>
    </xf>
    <xf numFmtId="0" fontId="1" fillId="15" borderId="2" xfId="0" applyFont="1" applyFill="1" applyBorder="1" applyAlignment="1">
      <alignment horizontal="right" vertical="top"/>
    </xf>
    <xf numFmtId="0" fontId="1" fillId="0" borderId="2" xfId="0" applyFont="1" applyBorder="1" applyAlignment="1">
      <alignment vertical="top"/>
    </xf>
    <xf numFmtId="0" fontId="1" fillId="11" borderId="0" xfId="0" applyFont="1" applyFill="1" applyAlignment="1">
      <alignment vertical="center"/>
    </xf>
    <xf numFmtId="0" fontId="0" fillId="0" borderId="0" xfId="0" applyFill="1" applyBorder="1" applyAlignment="1">
      <alignment vertical="top"/>
    </xf>
    <xf numFmtId="0" fontId="9" fillId="14" borderId="11" xfId="0" applyFont="1" applyFill="1" applyBorder="1" applyAlignment="1">
      <alignment vertical="top"/>
    </xf>
    <xf numFmtId="0" fontId="0" fillId="14" borderId="12" xfId="0" applyFill="1" applyBorder="1" applyAlignment="1">
      <alignment vertical="top"/>
    </xf>
    <xf numFmtId="0" fontId="0" fillId="14" borderId="13" xfId="0" applyFill="1" applyBorder="1" applyAlignment="1">
      <alignment vertical="top"/>
    </xf>
    <xf numFmtId="49" fontId="0" fillId="0" borderId="2" xfId="0" applyNumberFormat="1" applyBorder="1" applyAlignment="1">
      <alignment horizontal="center" vertical="top" wrapText="1"/>
    </xf>
    <xf numFmtId="0" fontId="0" fillId="0" borderId="2" xfId="0" applyFont="1" applyFill="1" applyBorder="1" applyAlignment="1">
      <alignment horizontal="center" vertical="top" wrapText="1"/>
    </xf>
    <xf numFmtId="49" fontId="0" fillId="0" borderId="2" xfId="0" applyNumberFormat="1" applyFont="1" applyFill="1" applyBorder="1" applyAlignment="1">
      <alignment horizontal="center" vertical="top" wrapText="1"/>
    </xf>
    <xf numFmtId="0" fontId="0" fillId="14" borderId="9" xfId="0" applyFill="1" applyBorder="1" applyAlignment="1">
      <alignment vertical="top"/>
    </xf>
    <xf numFmtId="0" fontId="0" fillId="14" borderId="14" xfId="0" applyFill="1" applyBorder="1" applyAlignment="1">
      <alignment vertical="top"/>
    </xf>
    <xf numFmtId="0" fontId="0" fillId="14" borderId="15" xfId="0" applyFill="1" applyBorder="1" applyAlignment="1">
      <alignment vertical="top"/>
    </xf>
    <xf numFmtId="0" fontId="0" fillId="14" borderId="10" xfId="0" applyFill="1" applyBorder="1" applyAlignment="1">
      <alignment vertical="top"/>
    </xf>
    <xf numFmtId="0" fontId="0" fillId="14" borderId="16" xfId="0" applyFill="1" applyBorder="1" applyAlignment="1">
      <alignment vertical="top"/>
    </xf>
    <xf numFmtId="0" fontId="6" fillId="10" borderId="0" xfId="0" applyFont="1" applyFill="1" applyAlignment="1">
      <alignment vertical="center"/>
    </xf>
    <xf numFmtId="0" fontId="0" fillId="11" borderId="2" xfId="0" applyFill="1" applyBorder="1" applyAlignment="1">
      <alignment vertical="top"/>
    </xf>
    <xf numFmtId="0" fontId="6" fillId="16" borderId="0" xfId="0" applyFont="1" applyFill="1" applyAlignment="1">
      <alignment vertical="center"/>
    </xf>
    <xf numFmtId="0" fontId="0" fillId="16" borderId="0" xfId="0" applyFill="1" applyAlignment="1">
      <alignment vertical="center"/>
    </xf>
    <xf numFmtId="0" fontId="3" fillId="0" borderId="0" xfId="0" applyFont="1" applyAlignment="1">
      <alignment vertical="top"/>
    </xf>
    <xf numFmtId="0" fontId="3" fillId="14" borderId="0" xfId="0" applyFont="1" applyFill="1" applyAlignment="1">
      <alignment vertical="top"/>
    </xf>
    <xf numFmtId="0" fontId="3" fillId="9" borderId="0" xfId="0" applyFont="1" applyFill="1" applyAlignment="1">
      <alignment vertical="top"/>
    </xf>
    <xf numFmtId="0" fontId="0" fillId="0" borderId="0" xfId="0" applyBorder="1" applyAlignment="1">
      <alignment vertical="top"/>
    </xf>
    <xf numFmtId="0" fontId="0" fillId="0" borderId="3" xfId="0" applyBorder="1" applyAlignment="1">
      <alignment vertical="top"/>
    </xf>
    <xf numFmtId="0" fontId="1" fillId="11" borderId="0"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43</v>
      </c>
    </row>
    <row r="2" spans="1:3">
      <c r="A2" t="s">
        <v>44</v>
      </c>
    </row>
    <row r="4" spans="1:3">
      <c r="A4" s="2" t="s">
        <v>45</v>
      </c>
    </row>
    <row r="5" spans="1:3">
      <c r="A5" s="8" t="s">
        <v>46</v>
      </c>
      <c r="B5" s="8" t="s">
        <v>47</v>
      </c>
      <c r="C5" s="8"/>
    </row>
    <row r="6" spans="1:3" ht="21">
      <c r="A6" s="9" t="s">
        <v>48</v>
      </c>
      <c r="B6" s="9" t="s">
        <v>43</v>
      </c>
      <c r="C6" s="9" t="s">
        <v>49</v>
      </c>
    </row>
    <row r="7" spans="1:3" ht="21">
      <c r="A7" s="9" t="s">
        <v>50</v>
      </c>
      <c r="B7" s="9" t="s">
        <v>51</v>
      </c>
      <c r="C7" s="9"/>
    </row>
    <row r="8" spans="1:3" ht="42">
      <c r="A8" s="9" t="s">
        <v>52</v>
      </c>
      <c r="B8" s="9" t="s">
        <v>53</v>
      </c>
      <c r="C8" s="9"/>
    </row>
    <row r="9" spans="1:3" ht="21">
      <c r="A9" s="9" t="s">
        <v>54</v>
      </c>
      <c r="B9" s="9" t="s">
        <v>55</v>
      </c>
      <c r="C9" s="9"/>
    </row>
    <row r="10" spans="1:3" ht="21">
      <c r="A10" s="9" t="s">
        <v>56</v>
      </c>
      <c r="B10" s="44" t="s">
        <v>969</v>
      </c>
      <c r="C10" s="9" t="s">
        <v>49</v>
      </c>
    </row>
    <row r="11" spans="1:3" ht="21">
      <c r="A11" s="9" t="s">
        <v>57</v>
      </c>
      <c r="B11" s="44" t="s">
        <v>388</v>
      </c>
      <c r="C11" s="9" t="s">
        <v>49</v>
      </c>
    </row>
    <row r="12" spans="1:3" ht="21">
      <c r="A12" s="9" t="s">
        <v>58</v>
      </c>
      <c r="B12" s="9"/>
      <c r="C12" s="9" t="s">
        <v>49</v>
      </c>
    </row>
    <row r="13" spans="1:3" ht="21">
      <c r="A13" s="9" t="s">
        <v>59</v>
      </c>
      <c r="B13" s="9"/>
      <c r="C13" s="9" t="s">
        <v>49</v>
      </c>
    </row>
    <row r="14" spans="1:3">
      <c r="A14" s="9"/>
      <c r="B14" s="9"/>
      <c r="C14" s="9"/>
    </row>
    <row r="15" spans="1:3" ht="63">
      <c r="A15" s="9" t="s">
        <v>60</v>
      </c>
      <c r="B15" s="9" t="s">
        <v>971</v>
      </c>
      <c r="C15" s="9" t="s">
        <v>49</v>
      </c>
    </row>
    <row r="22" spans="4:4">
      <c r="D22" s="9"/>
    </row>
    <row r="23" spans="4:4">
      <c r="D23" s="9"/>
    </row>
    <row r="24" spans="4:4">
      <c r="D24" s="9"/>
    </row>
    <row r="25" spans="4:4">
      <c r="D25" s="9"/>
    </row>
    <row r="26" spans="4:4">
      <c r="D26" s="9"/>
    </row>
    <row r="27" spans="4:4">
      <c r="D27" s="9"/>
    </row>
    <row r="28" spans="4:4">
      <c r="D28" s="9"/>
    </row>
    <row r="29" spans="4:4">
      <c r="D29" s="9"/>
    </row>
    <row r="30" spans="4:4">
      <c r="D30" s="9"/>
    </row>
    <row r="31" spans="4:4">
      <c r="D31" s="9"/>
    </row>
    <row r="34" spans="1:4" ht="21">
      <c r="A34" s="12" t="s">
        <v>61</v>
      </c>
    </row>
    <row r="35" spans="1:4">
      <c r="A35" s="8" t="s">
        <v>56</v>
      </c>
      <c r="B35" s="8" t="s">
        <v>62</v>
      </c>
      <c r="C35" s="8" t="s">
        <v>63</v>
      </c>
      <c r="D35" s="8" t="s">
        <v>64</v>
      </c>
    </row>
    <row r="36" spans="1:4" ht="21">
      <c r="A36" s="44" t="s">
        <v>387</v>
      </c>
      <c r="B36" s="44" t="s">
        <v>388</v>
      </c>
      <c r="C36" s="9" t="s">
        <v>389</v>
      </c>
      <c r="D36" s="9"/>
    </row>
    <row r="37" spans="1:4" ht="189">
      <c r="A37" s="44" t="s">
        <v>972</v>
      </c>
      <c r="B37" s="44" t="s">
        <v>973</v>
      </c>
      <c r="C37" s="44" t="s">
        <v>974</v>
      </c>
      <c r="D37" s="44" t="s">
        <v>950</v>
      </c>
    </row>
    <row r="38" spans="1:4" ht="189">
      <c r="A38" s="44" t="s">
        <v>975</v>
      </c>
      <c r="B38" s="44" t="s">
        <v>973</v>
      </c>
      <c r="C38" s="44" t="s">
        <v>2145</v>
      </c>
      <c r="D38" s="44" t="s">
        <v>950</v>
      </c>
    </row>
    <row r="39" spans="1:4" ht="84">
      <c r="A39" s="68" t="s">
        <v>952</v>
      </c>
      <c r="B39" s="44" t="s">
        <v>953</v>
      </c>
      <c r="C39" s="44" t="s">
        <v>976</v>
      </c>
      <c r="D39" s="44" t="s">
        <v>950</v>
      </c>
    </row>
    <row r="40" spans="1:4" ht="84">
      <c r="A40" s="44" t="s">
        <v>956</v>
      </c>
      <c r="B40" s="44" t="s">
        <v>953</v>
      </c>
      <c r="C40" s="44" t="s">
        <v>977</v>
      </c>
      <c r="D40" s="44" t="s">
        <v>950</v>
      </c>
    </row>
    <row r="41" spans="1:4" ht="126">
      <c r="A41" s="44" t="s">
        <v>964</v>
      </c>
      <c r="B41" s="44" t="s">
        <v>953</v>
      </c>
      <c r="C41" s="44" t="s">
        <v>965</v>
      </c>
      <c r="D41" s="44" t="s">
        <v>950</v>
      </c>
    </row>
    <row r="42" spans="1:4" ht="147">
      <c r="A42" s="44" t="s">
        <v>966</v>
      </c>
      <c r="B42" s="44" t="s">
        <v>953</v>
      </c>
      <c r="C42" s="44" t="s">
        <v>978</v>
      </c>
      <c r="D42" s="44" t="s">
        <v>950</v>
      </c>
    </row>
    <row r="43" spans="1:4" ht="168">
      <c r="A43" s="44" t="s">
        <v>969</v>
      </c>
      <c r="B43" s="44" t="s">
        <v>953</v>
      </c>
      <c r="C43" s="44" t="s">
        <v>970</v>
      </c>
      <c r="D43" s="44" t="s">
        <v>950</v>
      </c>
    </row>
    <row r="44" spans="1:4">
      <c r="A44" t="s">
        <v>42</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topLeftCell="A19" zoomScale="103" workbookViewId="0">
      <selection activeCell="B26" sqref="B26"/>
    </sheetView>
  </sheetViews>
  <sheetFormatPr baseColWidth="10" defaultRowHeight="20"/>
  <cols>
    <col min="1" max="1" width="27.140625" customWidth="1"/>
    <col min="2" max="2" width="101" customWidth="1"/>
    <col min="3" max="3" width="8.5703125" customWidth="1"/>
    <col min="4" max="5" width="24.28515625" customWidth="1"/>
  </cols>
  <sheetData>
    <row r="1" spans="1:2" ht="27">
      <c r="A1" s="1" t="s">
        <v>390</v>
      </c>
    </row>
    <row r="3" spans="1:2">
      <c r="A3" s="2" t="s">
        <v>391</v>
      </c>
    </row>
    <row r="4" spans="1:2">
      <c r="A4" s="8" t="s">
        <v>392</v>
      </c>
      <c r="B4" s="8" t="s">
        <v>47</v>
      </c>
    </row>
    <row r="5" spans="1:2" ht="42">
      <c r="A5" s="9" t="s">
        <v>393</v>
      </c>
      <c r="B5" s="9" t="s">
        <v>979</v>
      </c>
    </row>
    <row r="6" spans="1:2" ht="42">
      <c r="A6" s="9" t="s">
        <v>394</v>
      </c>
      <c r="B6" s="9" t="s">
        <v>980</v>
      </c>
    </row>
    <row r="7" spans="1:2" ht="21">
      <c r="A7" s="9" t="s">
        <v>395</v>
      </c>
      <c r="B7" s="9" t="s">
        <v>981</v>
      </c>
    </row>
    <row r="10" spans="1:2" ht="21">
      <c r="A10" s="12" t="s">
        <v>396</v>
      </c>
    </row>
    <row r="11" spans="1:2">
      <c r="A11" s="8" t="s">
        <v>114</v>
      </c>
      <c r="B11" s="8" t="s">
        <v>397</v>
      </c>
    </row>
    <row r="12" spans="1:2" ht="42">
      <c r="A12" s="9" t="s">
        <v>398</v>
      </c>
      <c r="B12" s="9" t="s">
        <v>399</v>
      </c>
    </row>
    <row r="13" spans="1:2" ht="21">
      <c r="A13" s="9" t="s">
        <v>400</v>
      </c>
      <c r="B13" s="9" t="s">
        <v>399</v>
      </c>
    </row>
    <row r="14" spans="1:2" ht="42">
      <c r="A14" s="9" t="s">
        <v>401</v>
      </c>
      <c r="B14" s="9" t="s">
        <v>399</v>
      </c>
    </row>
    <row r="15" spans="1:2" ht="21">
      <c r="A15" s="9" t="s">
        <v>402</v>
      </c>
      <c r="B15" s="9" t="s">
        <v>399</v>
      </c>
    </row>
    <row r="16" spans="1:2" ht="21">
      <c r="A16" s="9" t="s">
        <v>403</v>
      </c>
      <c r="B16" s="9" t="s">
        <v>399</v>
      </c>
    </row>
    <row r="17" spans="1:2" ht="21">
      <c r="A17" s="9" t="s">
        <v>404</v>
      </c>
      <c r="B17" s="9" t="s">
        <v>405</v>
      </c>
    </row>
    <row r="20" spans="1:2" ht="21">
      <c r="A20" s="12" t="s">
        <v>406</v>
      </c>
    </row>
    <row r="21" spans="1:2">
      <c r="A21" s="8" t="s">
        <v>46</v>
      </c>
      <c r="B21" s="8" t="s">
        <v>407</v>
      </c>
    </row>
    <row r="22" spans="1:2" ht="21">
      <c r="A22" s="9" t="s">
        <v>408</v>
      </c>
      <c r="B22" s="9" t="s">
        <v>1999</v>
      </c>
    </row>
    <row r="23" spans="1:2" ht="42">
      <c r="A23" s="9" t="s">
        <v>409</v>
      </c>
      <c r="B23" s="9" t="s">
        <v>410</v>
      </c>
    </row>
    <row r="24" spans="1:2" ht="21">
      <c r="A24" s="9" t="s">
        <v>411</v>
      </c>
      <c r="B24" s="9" t="s">
        <v>412</v>
      </c>
    </row>
    <row r="25" spans="1:2" ht="42">
      <c r="A25" s="9" t="s">
        <v>413</v>
      </c>
      <c r="B25" s="9" t="s">
        <v>2146</v>
      </c>
    </row>
    <row r="26" spans="1:2" ht="21">
      <c r="A26" s="9" t="s">
        <v>414</v>
      </c>
      <c r="B26" s="9" t="s">
        <v>415</v>
      </c>
    </row>
    <row r="27" spans="1:2" ht="42">
      <c r="A27" s="9" t="s">
        <v>416</v>
      </c>
      <c r="B27" s="9" t="s">
        <v>417</v>
      </c>
    </row>
    <row r="28" spans="1:2" ht="21">
      <c r="A28" s="9" t="s">
        <v>418</v>
      </c>
      <c r="B28" s="9" t="s">
        <v>419</v>
      </c>
    </row>
    <row r="29" spans="1:2" ht="21">
      <c r="A29" s="9" t="s">
        <v>982</v>
      </c>
      <c r="B29" s="9" t="s">
        <v>421</v>
      </c>
    </row>
    <row r="30" spans="1:2" ht="21">
      <c r="A30" s="9" t="s">
        <v>983</v>
      </c>
      <c r="B30" s="9" t="s">
        <v>422</v>
      </c>
    </row>
    <row r="31" spans="1:2" ht="21">
      <c r="A31" s="9" t="s">
        <v>423</v>
      </c>
      <c r="B31" s="9" t="s">
        <v>424</v>
      </c>
    </row>
    <row r="32" spans="1:2" ht="21">
      <c r="A32" s="9" t="s">
        <v>425</v>
      </c>
      <c r="B32" s="9" t="s">
        <v>426</v>
      </c>
    </row>
    <row r="33" spans="1:2" ht="21">
      <c r="A33" s="9" t="s">
        <v>427</v>
      </c>
      <c r="B33" s="9" t="s">
        <v>428</v>
      </c>
    </row>
    <row r="34" spans="1:2" ht="21">
      <c r="A34" s="9" t="s">
        <v>429</v>
      </c>
      <c r="B34" s="9" t="s">
        <v>430</v>
      </c>
    </row>
    <row r="35" spans="1:2" ht="42">
      <c r="A35" s="9" t="s">
        <v>431</v>
      </c>
      <c r="B35" s="9" t="s">
        <v>432</v>
      </c>
    </row>
    <row r="38" spans="1:2" ht="42">
      <c r="A38" s="12" t="s">
        <v>433</v>
      </c>
    </row>
    <row r="39" spans="1:2">
      <c r="A39" s="8" t="s">
        <v>434</v>
      </c>
      <c r="B39" s="8" t="s">
        <v>166</v>
      </c>
    </row>
    <row r="40" spans="1:2" ht="21">
      <c r="A40" s="9" t="s">
        <v>435</v>
      </c>
      <c r="B40" s="9" t="s">
        <v>436</v>
      </c>
    </row>
    <row r="41" spans="1:2" ht="42">
      <c r="A41" s="9" t="s">
        <v>71</v>
      </c>
      <c r="B41" s="9" t="s">
        <v>437</v>
      </c>
    </row>
    <row r="42" spans="1:2" ht="21">
      <c r="A42" s="9" t="s">
        <v>2043</v>
      </c>
      <c r="B42" s="9" t="s">
        <v>439</v>
      </c>
    </row>
    <row r="43" spans="1:2" ht="42">
      <c r="A43" s="9" t="s">
        <v>2044</v>
      </c>
      <c r="B43" s="9" t="s">
        <v>440</v>
      </c>
    </row>
    <row r="44" spans="1:2" ht="21">
      <c r="A44" s="9" t="s">
        <v>2045</v>
      </c>
      <c r="B44" s="9" t="s">
        <v>441</v>
      </c>
    </row>
    <row r="45" spans="1:2" ht="21">
      <c r="A45" s="9" t="s">
        <v>2046</v>
      </c>
      <c r="B45" s="9" t="s">
        <v>442</v>
      </c>
    </row>
    <row r="46" spans="1:2" ht="21">
      <c r="A46" s="9" t="s">
        <v>2047</v>
      </c>
      <c r="B46" s="9" t="s">
        <v>443</v>
      </c>
    </row>
    <row r="47" spans="1:2" ht="21">
      <c r="A47" s="9" t="s">
        <v>444</v>
      </c>
      <c r="B47" s="9" t="s">
        <v>445</v>
      </c>
    </row>
    <row r="48" spans="1:2" ht="42">
      <c r="A48" s="9" t="s">
        <v>2147</v>
      </c>
      <c r="B48" s="9" t="s">
        <v>2148</v>
      </c>
    </row>
    <row r="49" spans="1:4" ht="63">
      <c r="A49" s="9" t="s">
        <v>984</v>
      </c>
      <c r="B49" s="9" t="s">
        <v>985</v>
      </c>
    </row>
    <row r="51" spans="1:4" ht="63">
      <c r="A51" s="12" t="s">
        <v>446</v>
      </c>
    </row>
    <row r="52" spans="1:4">
      <c r="A52" t="s">
        <v>986</v>
      </c>
    </row>
    <row r="53" spans="1:4">
      <c r="A53" s="8" t="s">
        <v>447</v>
      </c>
      <c r="B53" s="8" t="s">
        <v>448</v>
      </c>
      <c r="C53" s="8" t="s">
        <v>449</v>
      </c>
      <c r="D53" s="8" t="s">
        <v>450</v>
      </c>
    </row>
    <row r="54" spans="1:4" ht="63">
      <c r="A54" s="9" t="s">
        <v>451</v>
      </c>
      <c r="B54" s="9" t="s">
        <v>2000</v>
      </c>
      <c r="C54" s="9" t="s">
        <v>452</v>
      </c>
      <c r="D54" s="9" t="s">
        <v>453</v>
      </c>
    </row>
    <row r="55" spans="1:4" ht="63">
      <c r="A55" s="9" t="s">
        <v>454</v>
      </c>
      <c r="B55" s="9" t="s">
        <v>2149</v>
      </c>
      <c r="C55" s="9" t="s">
        <v>452</v>
      </c>
      <c r="D55" s="9" t="s">
        <v>453</v>
      </c>
    </row>
    <row r="56" spans="1:4" ht="84">
      <c r="A56" s="9" t="s">
        <v>455</v>
      </c>
      <c r="B56" s="9" t="s">
        <v>456</v>
      </c>
      <c r="C56" s="9" t="s">
        <v>452</v>
      </c>
      <c r="D56" s="9" t="s">
        <v>453</v>
      </c>
    </row>
    <row r="57" spans="1:4" ht="63">
      <c r="A57" s="9" t="s">
        <v>457</v>
      </c>
      <c r="B57" s="9" t="s">
        <v>2126</v>
      </c>
      <c r="C57" s="9" t="s">
        <v>452</v>
      </c>
      <c r="D57" s="9" t="s">
        <v>458</v>
      </c>
    </row>
    <row r="58" spans="1:4" ht="42">
      <c r="A58" s="9" t="s">
        <v>459</v>
      </c>
      <c r="B58" s="9" t="s">
        <v>987</v>
      </c>
      <c r="C58" s="9" t="s">
        <v>452</v>
      </c>
      <c r="D58" s="9" t="s">
        <v>458</v>
      </c>
    </row>
    <row r="59" spans="1:4" ht="42">
      <c r="A59" s="9" t="s">
        <v>460</v>
      </c>
      <c r="B59" s="9" t="s">
        <v>2150</v>
      </c>
      <c r="C59" s="9" t="s">
        <v>452</v>
      </c>
      <c r="D59" s="9" t="s">
        <v>458</v>
      </c>
    </row>
    <row r="60" spans="1:4" ht="63">
      <c r="A60" s="9" t="s">
        <v>988</v>
      </c>
      <c r="B60" s="9" t="s">
        <v>2151</v>
      </c>
      <c r="C60" s="9" t="s">
        <v>461</v>
      </c>
      <c r="D60" s="9" t="s">
        <v>2048</v>
      </c>
    </row>
    <row r="61" spans="1:4" ht="63">
      <c r="A61" s="9" t="s">
        <v>462</v>
      </c>
      <c r="B61" s="9" t="s">
        <v>2152</v>
      </c>
      <c r="C61" s="9" t="s">
        <v>461</v>
      </c>
      <c r="D61" s="9" t="s">
        <v>2048</v>
      </c>
    </row>
    <row r="62" spans="1:4" ht="63">
      <c r="A62" s="9" t="s">
        <v>463</v>
      </c>
      <c r="B62" s="9" t="s">
        <v>464</v>
      </c>
      <c r="C62" s="9" t="s">
        <v>461</v>
      </c>
      <c r="D62" s="9" t="s">
        <v>465</v>
      </c>
    </row>
    <row r="63" spans="1:4" ht="42">
      <c r="A63" s="9" t="s">
        <v>466</v>
      </c>
      <c r="B63" s="9" t="s">
        <v>467</v>
      </c>
      <c r="C63" s="9" t="s">
        <v>461</v>
      </c>
      <c r="D63" s="9" t="s">
        <v>465</v>
      </c>
    </row>
    <row r="64" spans="1:4" ht="63">
      <c r="A64" s="9" t="s">
        <v>468</v>
      </c>
      <c r="B64" s="9" t="s">
        <v>2001</v>
      </c>
      <c r="C64" s="9" t="s">
        <v>461</v>
      </c>
      <c r="D64" s="9" t="s">
        <v>465</v>
      </c>
    </row>
    <row r="65" spans="1:4" ht="63">
      <c r="A65" s="9" t="s">
        <v>469</v>
      </c>
      <c r="B65" s="9" t="s">
        <v>470</v>
      </c>
      <c r="C65" s="9" t="s">
        <v>461</v>
      </c>
      <c r="D65" s="9" t="s">
        <v>471</v>
      </c>
    </row>
    <row r="66" spans="1:4" ht="63">
      <c r="A66" s="9" t="s">
        <v>472</v>
      </c>
      <c r="B66" s="9" t="s">
        <v>989</v>
      </c>
      <c r="C66" s="9" t="s">
        <v>461</v>
      </c>
      <c r="D66" s="9" t="s">
        <v>471</v>
      </c>
    </row>
    <row r="67" spans="1:4" ht="84">
      <c r="A67" s="9" t="s">
        <v>990</v>
      </c>
      <c r="B67" s="9" t="s">
        <v>991</v>
      </c>
      <c r="C67" s="9" t="s">
        <v>461</v>
      </c>
      <c r="D67" s="9" t="s">
        <v>458</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zoomScale="136"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473</v>
      </c>
    </row>
    <row r="3" spans="1:4" ht="21" thickBot="1">
      <c r="A3" s="2" t="s">
        <v>474</v>
      </c>
    </row>
    <row r="4" spans="1:4" ht="22" customHeight="1">
      <c r="A4" s="53" t="s">
        <v>475</v>
      </c>
      <c r="B4" s="46"/>
      <c r="C4" s="50"/>
    </row>
    <row r="5" spans="1:4" ht="22" customHeight="1">
      <c r="A5" s="48" t="s">
        <v>2262</v>
      </c>
      <c r="B5" s="45"/>
      <c r="C5" s="51"/>
    </row>
    <row r="6" spans="1:4" ht="22" customHeight="1">
      <c r="A6" s="48"/>
      <c r="B6" s="45"/>
      <c r="C6" s="51"/>
    </row>
    <row r="7" spans="1:4" ht="22" customHeight="1" thickBot="1">
      <c r="A7" s="49" t="s">
        <v>476</v>
      </c>
      <c r="B7" s="47"/>
      <c r="C7" s="52"/>
    </row>
    <row r="9" spans="1:4">
      <c r="A9" s="8" t="s">
        <v>477</v>
      </c>
      <c r="B9" s="8" t="s">
        <v>478</v>
      </c>
      <c r="C9" s="8" t="s">
        <v>479</v>
      </c>
      <c r="D9" s="8"/>
    </row>
    <row r="10" spans="1:4" ht="21">
      <c r="A10" s="9" t="s">
        <v>480</v>
      </c>
      <c r="B10" s="9" t="s">
        <v>71</v>
      </c>
      <c r="C10" s="9" t="s">
        <v>481</v>
      </c>
      <c r="D10" s="9"/>
    </row>
    <row r="11" spans="1:4" ht="21">
      <c r="A11" s="9" t="s">
        <v>480</v>
      </c>
      <c r="B11" s="9" t="s">
        <v>482</v>
      </c>
      <c r="C11" s="9" t="s">
        <v>483</v>
      </c>
      <c r="D11" s="9"/>
    </row>
    <row r="12" spans="1:4" ht="63">
      <c r="A12" s="9" t="s">
        <v>480</v>
      </c>
      <c r="B12" s="9" t="s">
        <v>484</v>
      </c>
      <c r="C12" s="9" t="s">
        <v>2153</v>
      </c>
      <c r="D12" s="9"/>
    </row>
    <row r="13" spans="1:4" ht="21">
      <c r="A13" s="9" t="s">
        <v>480</v>
      </c>
      <c r="B13" s="9" t="s">
        <v>80</v>
      </c>
      <c r="C13" s="9" t="s">
        <v>485</v>
      </c>
      <c r="D13" s="9"/>
    </row>
    <row r="14" spans="1:4" ht="21">
      <c r="A14" s="9" t="s">
        <v>480</v>
      </c>
      <c r="B14" s="9" t="s">
        <v>83</v>
      </c>
      <c r="C14" s="9" t="s">
        <v>486</v>
      </c>
      <c r="D14" s="9"/>
    </row>
    <row r="15" spans="1:4" ht="42">
      <c r="A15" s="9" t="s">
        <v>487</v>
      </c>
      <c r="B15" s="9" t="s">
        <v>488</v>
      </c>
      <c r="C15" s="9" t="s">
        <v>489</v>
      </c>
      <c r="D15" s="9"/>
    </row>
    <row r="16" spans="1:4" ht="42">
      <c r="A16" s="9" t="s">
        <v>487</v>
      </c>
      <c r="B16" s="9" t="s">
        <v>490</v>
      </c>
      <c r="C16" s="9" t="s">
        <v>489</v>
      </c>
      <c r="D16" s="9"/>
    </row>
    <row r="17" spans="1:6" ht="21">
      <c r="A17" s="9" t="s">
        <v>491</v>
      </c>
      <c r="B17" s="9" t="s">
        <v>2263</v>
      </c>
      <c r="C17" s="9" t="s">
        <v>3</v>
      </c>
      <c r="D17" s="9"/>
    </row>
    <row r="18" spans="1:6" ht="21">
      <c r="A18" s="9" t="s">
        <v>491</v>
      </c>
      <c r="B18" s="9" t="s">
        <v>92</v>
      </c>
      <c r="C18" s="9" t="s">
        <v>492</v>
      </c>
      <c r="D18" s="9"/>
    </row>
    <row r="19" spans="1:6" ht="21">
      <c r="A19" s="9" t="s">
        <v>493</v>
      </c>
      <c r="B19" s="9" t="s">
        <v>2263</v>
      </c>
      <c r="C19" s="9" t="s">
        <v>49</v>
      </c>
      <c r="D19" s="9"/>
    </row>
    <row r="20" spans="1:6" ht="21">
      <c r="A20" s="9" t="s">
        <v>493</v>
      </c>
      <c r="B20" s="9" t="s">
        <v>92</v>
      </c>
      <c r="C20" s="9" t="s">
        <v>492</v>
      </c>
      <c r="D20" s="9"/>
    </row>
    <row r="23" spans="1:6">
      <c r="A23" s="8" t="s">
        <v>494</v>
      </c>
      <c r="B23" s="8" t="s">
        <v>495</v>
      </c>
      <c r="C23" s="8" t="s">
        <v>496</v>
      </c>
      <c r="D23" s="8" t="s">
        <v>497</v>
      </c>
      <c r="E23" s="8" t="s">
        <v>498</v>
      </c>
      <c r="F23" s="8"/>
    </row>
    <row r="24" spans="1:6" ht="42">
      <c r="A24" s="9">
        <v>1</v>
      </c>
      <c r="B24" s="9" t="s">
        <v>71</v>
      </c>
      <c r="C24" s="9" t="s">
        <v>2264</v>
      </c>
      <c r="D24" s="9" t="s">
        <v>2265</v>
      </c>
      <c r="E24" s="9" t="s">
        <v>499</v>
      </c>
      <c r="F24" s="9"/>
    </row>
    <row r="25" spans="1:6" ht="21">
      <c r="A25" s="9">
        <v>2</v>
      </c>
      <c r="B25" s="9" t="s">
        <v>71</v>
      </c>
      <c r="C25" s="9" t="s">
        <v>2266</v>
      </c>
      <c r="D25" s="9" t="s">
        <v>500</v>
      </c>
      <c r="E25" s="9" t="s">
        <v>499</v>
      </c>
      <c r="F25" s="9"/>
    </row>
    <row r="26" spans="1:6" ht="21">
      <c r="A26" s="9">
        <v>3</v>
      </c>
      <c r="B26" s="9" t="s">
        <v>71</v>
      </c>
      <c r="C26" s="9" t="s">
        <v>482</v>
      </c>
      <c r="D26" s="9" t="s">
        <v>501</v>
      </c>
      <c r="E26" s="9" t="s">
        <v>502</v>
      </c>
      <c r="F26" s="9"/>
    </row>
    <row r="27" spans="1:6" ht="21">
      <c r="A27" s="9">
        <v>4</v>
      </c>
      <c r="B27" s="9" t="s">
        <v>71</v>
      </c>
      <c r="C27" s="9" t="s">
        <v>484</v>
      </c>
      <c r="D27" s="9" t="s">
        <v>2127</v>
      </c>
      <c r="E27" s="9" t="s">
        <v>502</v>
      </c>
      <c r="F27" s="9"/>
    </row>
    <row r="28" spans="1:6" ht="42">
      <c r="A28" s="9">
        <v>5</v>
      </c>
      <c r="B28" s="9" t="s">
        <v>484</v>
      </c>
      <c r="C28" s="9" t="s">
        <v>482</v>
      </c>
      <c r="D28" s="9" t="s">
        <v>2154</v>
      </c>
      <c r="E28" s="9" t="s">
        <v>502</v>
      </c>
      <c r="F28" s="9"/>
    </row>
    <row r="29" spans="1:6" ht="21">
      <c r="A29" s="9">
        <v>6</v>
      </c>
      <c r="B29" s="9" t="s">
        <v>484</v>
      </c>
      <c r="C29" s="9" t="s">
        <v>488</v>
      </c>
      <c r="D29" s="9" t="s">
        <v>2002</v>
      </c>
      <c r="E29" s="9" t="s">
        <v>992</v>
      </c>
      <c r="F29" s="9"/>
    </row>
    <row r="30" spans="1:6" ht="21">
      <c r="A30" s="9">
        <v>7</v>
      </c>
      <c r="B30" s="9" t="s">
        <v>488</v>
      </c>
      <c r="C30" s="9" t="s">
        <v>503</v>
      </c>
      <c r="D30" s="9" t="s">
        <v>49</v>
      </c>
      <c r="E30" s="9" t="s">
        <v>992</v>
      </c>
      <c r="F30" s="9"/>
    </row>
    <row r="31" spans="1:6" ht="21">
      <c r="A31" s="9">
        <v>8</v>
      </c>
      <c r="B31" s="9" t="s">
        <v>484</v>
      </c>
      <c r="C31" s="9" t="s">
        <v>490</v>
      </c>
      <c r="D31" s="9" t="s">
        <v>49</v>
      </c>
      <c r="E31" s="9" t="s">
        <v>992</v>
      </c>
      <c r="F31" s="9"/>
    </row>
    <row r="32" spans="1:6" ht="21">
      <c r="A32" s="9">
        <v>9</v>
      </c>
      <c r="B32" s="9" t="s">
        <v>490</v>
      </c>
      <c r="C32" s="9" t="s">
        <v>504</v>
      </c>
      <c r="D32" s="9" t="s">
        <v>49</v>
      </c>
      <c r="E32" s="9" t="s">
        <v>992</v>
      </c>
      <c r="F32" s="9"/>
    </row>
    <row r="33" spans="1:6" ht="21">
      <c r="A33" s="9">
        <v>10</v>
      </c>
      <c r="B33" s="9" t="s">
        <v>484</v>
      </c>
      <c r="C33" s="9" t="s">
        <v>80</v>
      </c>
      <c r="D33" s="9" t="s">
        <v>505</v>
      </c>
      <c r="E33" s="9" t="s">
        <v>502</v>
      </c>
      <c r="F33" s="9"/>
    </row>
    <row r="34" spans="1:6" ht="21">
      <c r="A34" s="9">
        <v>11</v>
      </c>
      <c r="B34" s="9" t="s">
        <v>80</v>
      </c>
      <c r="C34" s="9" t="s">
        <v>506</v>
      </c>
      <c r="D34" s="9" t="s">
        <v>49</v>
      </c>
      <c r="E34" s="9" t="s">
        <v>502</v>
      </c>
      <c r="F34" s="9"/>
    </row>
    <row r="36" spans="1:6">
      <c r="A36" s="3" t="s">
        <v>2003</v>
      </c>
    </row>
    <row r="37" spans="1:6">
      <c r="A37" s="3" t="s">
        <v>2267</v>
      </c>
    </row>
    <row r="39" spans="1:6" ht="21" thickBot="1">
      <c r="A39" s="2" t="s">
        <v>507</v>
      </c>
    </row>
    <row r="40" spans="1:6" ht="22" customHeight="1">
      <c r="A40" s="53" t="s">
        <v>508</v>
      </c>
      <c r="B40" s="46"/>
      <c r="C40" s="50"/>
    </row>
    <row r="41" spans="1:6" ht="22" customHeight="1">
      <c r="A41" s="48" t="s">
        <v>2268</v>
      </c>
      <c r="B41" s="45"/>
      <c r="C41" s="51"/>
    </row>
    <row r="42" spans="1:6" ht="22" customHeight="1">
      <c r="A42" s="48"/>
      <c r="B42" s="45"/>
      <c r="C42" s="51"/>
    </row>
    <row r="43" spans="1:6" ht="22" customHeight="1" thickBot="1">
      <c r="A43" s="49" t="s">
        <v>476</v>
      </c>
      <c r="B43" s="47"/>
      <c r="C43" s="52"/>
    </row>
    <row r="45" spans="1:6">
      <c r="A45" s="8" t="s">
        <v>477</v>
      </c>
      <c r="B45" s="8" t="s">
        <v>478</v>
      </c>
      <c r="C45" s="8" t="s">
        <v>479</v>
      </c>
      <c r="D45" s="8"/>
    </row>
    <row r="46" spans="1:6" ht="21">
      <c r="A46" s="9" t="s">
        <v>509</v>
      </c>
      <c r="B46" s="9" t="s">
        <v>510</v>
      </c>
      <c r="C46" s="9" t="s">
        <v>2155</v>
      </c>
      <c r="D46" s="9"/>
    </row>
    <row r="47" spans="1:6" ht="21">
      <c r="A47" s="9" t="s">
        <v>480</v>
      </c>
      <c r="B47" s="9" t="s">
        <v>69</v>
      </c>
      <c r="C47" s="9" t="s">
        <v>511</v>
      </c>
      <c r="D47" s="9"/>
    </row>
    <row r="48" spans="1:6" ht="21">
      <c r="A48" s="9" t="s">
        <v>480</v>
      </c>
      <c r="B48" s="9" t="s">
        <v>71</v>
      </c>
      <c r="C48" s="9" t="s">
        <v>512</v>
      </c>
      <c r="D48" s="9"/>
    </row>
    <row r="49" spans="1:6" ht="42">
      <c r="A49" s="9" t="s">
        <v>480</v>
      </c>
      <c r="B49" s="9" t="s">
        <v>482</v>
      </c>
      <c r="C49" s="9" t="s">
        <v>513</v>
      </c>
      <c r="D49" s="9"/>
    </row>
    <row r="50" spans="1:6" ht="21">
      <c r="A50" s="9" t="s">
        <v>480</v>
      </c>
      <c r="B50" s="9" t="s">
        <v>438</v>
      </c>
      <c r="C50" s="9" t="s">
        <v>993</v>
      </c>
      <c r="D50" s="9"/>
    </row>
    <row r="51" spans="1:6" ht="21">
      <c r="A51" s="9" t="s">
        <v>480</v>
      </c>
      <c r="B51" s="9" t="s">
        <v>514</v>
      </c>
      <c r="C51" s="9" t="s">
        <v>515</v>
      </c>
      <c r="D51" s="9"/>
    </row>
    <row r="52" spans="1:6" ht="21">
      <c r="A52" s="9" t="s">
        <v>480</v>
      </c>
      <c r="B52" s="9" t="s">
        <v>80</v>
      </c>
      <c r="C52" s="9" t="s">
        <v>49</v>
      </c>
      <c r="D52" s="9"/>
    </row>
    <row r="53" spans="1:6" ht="21">
      <c r="A53" s="9" t="s">
        <v>480</v>
      </c>
      <c r="B53" s="9" t="s">
        <v>83</v>
      </c>
      <c r="C53" s="9" t="s">
        <v>486</v>
      </c>
      <c r="D53" s="9"/>
    </row>
    <row r="54" spans="1:6" ht="42">
      <c r="A54" s="9" t="s">
        <v>516</v>
      </c>
      <c r="B54" s="9" t="s">
        <v>93</v>
      </c>
      <c r="C54" s="9" t="s">
        <v>517</v>
      </c>
      <c r="D54" s="9"/>
    </row>
    <row r="55" spans="1:6" ht="21">
      <c r="A55" s="9" t="s">
        <v>518</v>
      </c>
      <c r="B55" s="9" t="s">
        <v>86</v>
      </c>
      <c r="C55" s="9" t="s">
        <v>519</v>
      </c>
      <c r="D55" s="9"/>
    </row>
    <row r="56" spans="1:6" ht="42">
      <c r="A56" s="9" t="s">
        <v>518</v>
      </c>
      <c r="B56" s="9" t="s">
        <v>2263</v>
      </c>
      <c r="C56" s="9" t="s">
        <v>2269</v>
      </c>
      <c r="D56" s="9"/>
    </row>
    <row r="57" spans="1:6" ht="21">
      <c r="A57" s="9" t="s">
        <v>518</v>
      </c>
      <c r="B57" s="9" t="s">
        <v>92</v>
      </c>
      <c r="C57" s="9" t="s">
        <v>492</v>
      </c>
      <c r="D57" s="9"/>
    </row>
    <row r="58" spans="1:6" ht="21">
      <c r="A58" s="9" t="s">
        <v>518</v>
      </c>
      <c r="B58" s="9" t="s">
        <v>90</v>
      </c>
      <c r="C58" s="9" t="s">
        <v>2270</v>
      </c>
      <c r="D58" s="9"/>
    </row>
    <row r="61" spans="1:6">
      <c r="A61" s="8" t="s">
        <v>494</v>
      </c>
      <c r="B61" s="8" t="s">
        <v>495</v>
      </c>
      <c r="C61" s="8" t="s">
        <v>496</v>
      </c>
      <c r="D61" s="8" t="s">
        <v>497</v>
      </c>
      <c r="E61" s="8" t="s">
        <v>498</v>
      </c>
      <c r="F61" s="8"/>
    </row>
    <row r="62" spans="1:6" ht="21">
      <c r="A62" s="9" t="s">
        <v>49</v>
      </c>
      <c r="B62" s="9" t="s">
        <v>69</v>
      </c>
      <c r="C62" s="9" t="s">
        <v>71</v>
      </c>
      <c r="D62" s="9" t="s">
        <v>520</v>
      </c>
      <c r="E62" s="9" t="s">
        <v>502</v>
      </c>
      <c r="F62" s="9"/>
    </row>
    <row r="63" spans="1:6" ht="21">
      <c r="A63" s="9" t="s">
        <v>521</v>
      </c>
      <c r="B63" s="9" t="s">
        <v>71</v>
      </c>
      <c r="C63" s="9" t="s">
        <v>90</v>
      </c>
      <c r="D63" s="9" t="s">
        <v>522</v>
      </c>
      <c r="E63" s="9" t="s">
        <v>499</v>
      </c>
      <c r="F63" s="9"/>
    </row>
    <row r="64" spans="1:6" ht="21">
      <c r="A64" s="9" t="s">
        <v>523</v>
      </c>
      <c r="B64" s="9" t="s">
        <v>90</v>
      </c>
      <c r="C64" s="9" t="s">
        <v>2263</v>
      </c>
      <c r="D64" s="9" t="s">
        <v>2271</v>
      </c>
      <c r="E64" s="9" t="s">
        <v>499</v>
      </c>
      <c r="F64" s="9"/>
    </row>
    <row r="65" spans="1:6" ht="42">
      <c r="A65" s="9" t="s">
        <v>524</v>
      </c>
      <c r="B65" s="9" t="s">
        <v>71</v>
      </c>
      <c r="C65" s="9" t="s">
        <v>482</v>
      </c>
      <c r="D65" s="9" t="s">
        <v>2295</v>
      </c>
      <c r="E65" s="9" t="s">
        <v>502</v>
      </c>
      <c r="F65" s="9"/>
    </row>
    <row r="66" spans="1:6" ht="21">
      <c r="A66" s="9" t="s">
        <v>525</v>
      </c>
      <c r="B66" s="9" t="s">
        <v>71</v>
      </c>
      <c r="C66" s="9" t="s">
        <v>438</v>
      </c>
      <c r="D66" s="9" t="s">
        <v>2128</v>
      </c>
      <c r="E66" s="9" t="s">
        <v>502</v>
      </c>
      <c r="F66" s="9"/>
    </row>
    <row r="67" spans="1:6" ht="21">
      <c r="A67" s="9" t="s">
        <v>49</v>
      </c>
      <c r="B67" s="9" t="s">
        <v>510</v>
      </c>
      <c r="C67" s="9" t="s">
        <v>438</v>
      </c>
      <c r="D67" s="9" t="s">
        <v>2156</v>
      </c>
      <c r="E67" s="9" t="s">
        <v>502</v>
      </c>
      <c r="F67" s="9"/>
    </row>
    <row r="68" spans="1:6" ht="21">
      <c r="A68" s="9" t="s">
        <v>49</v>
      </c>
      <c r="B68" s="9" t="s">
        <v>438</v>
      </c>
      <c r="C68" s="9" t="s">
        <v>482</v>
      </c>
      <c r="D68" s="9" t="s">
        <v>526</v>
      </c>
      <c r="E68" s="9" t="s">
        <v>502</v>
      </c>
      <c r="F68" s="9"/>
    </row>
    <row r="69" spans="1:6" ht="21">
      <c r="A69" s="9" t="s">
        <v>527</v>
      </c>
      <c r="B69" s="9" t="s">
        <v>438</v>
      </c>
      <c r="C69" s="9" t="s">
        <v>93</v>
      </c>
      <c r="D69" s="9" t="s">
        <v>994</v>
      </c>
      <c r="E69" s="9" t="s">
        <v>992</v>
      </c>
      <c r="F69" s="9"/>
    </row>
    <row r="70" spans="1:6" ht="21">
      <c r="A70" s="9" t="s">
        <v>49</v>
      </c>
      <c r="B70" s="9" t="s">
        <v>93</v>
      </c>
      <c r="C70" s="9" t="s">
        <v>92</v>
      </c>
      <c r="D70" s="9" t="s">
        <v>49</v>
      </c>
      <c r="E70" s="9" t="s">
        <v>992</v>
      </c>
      <c r="F70" s="9"/>
    </row>
    <row r="71" spans="1:6" ht="21">
      <c r="A71" s="9" t="s">
        <v>528</v>
      </c>
      <c r="B71" s="9" t="s">
        <v>438</v>
      </c>
      <c r="C71" s="9" t="s">
        <v>514</v>
      </c>
      <c r="D71" s="9" t="s">
        <v>529</v>
      </c>
      <c r="E71" s="9" t="s">
        <v>502</v>
      </c>
      <c r="F71" s="9"/>
    </row>
    <row r="72" spans="1:6" ht="21">
      <c r="A72" s="9" t="s">
        <v>528</v>
      </c>
      <c r="B72" s="9" t="s">
        <v>438</v>
      </c>
      <c r="C72" s="9" t="s">
        <v>80</v>
      </c>
      <c r="D72" s="9" t="s">
        <v>505</v>
      </c>
      <c r="E72" s="9" t="s">
        <v>502</v>
      </c>
      <c r="F72" s="9"/>
    </row>
    <row r="73" spans="1:6" ht="21">
      <c r="A73" s="9" t="s">
        <v>49</v>
      </c>
      <c r="B73" s="9" t="s">
        <v>80</v>
      </c>
      <c r="C73" s="9" t="s">
        <v>506</v>
      </c>
      <c r="D73" s="9" t="s">
        <v>49</v>
      </c>
      <c r="E73" s="9" t="s">
        <v>502</v>
      </c>
      <c r="F73" s="9"/>
    </row>
    <row r="74" spans="1:6" ht="21">
      <c r="A74" s="9" t="s">
        <v>49</v>
      </c>
      <c r="B74" s="9" t="s">
        <v>86</v>
      </c>
      <c r="C74" s="9" t="s">
        <v>92</v>
      </c>
      <c r="D74" s="9" t="s">
        <v>530</v>
      </c>
      <c r="E74" s="9" t="s">
        <v>531</v>
      </c>
      <c r="F74" s="9"/>
    </row>
    <row r="76" spans="1:6">
      <c r="A76" s="3" t="s">
        <v>2272</v>
      </c>
    </row>
    <row r="77" spans="1:6">
      <c r="A77" s="3" t="s">
        <v>2273</v>
      </c>
    </row>
    <row r="80" spans="1:6" ht="21" thickBot="1">
      <c r="A80" s="2" t="s">
        <v>532</v>
      </c>
    </row>
    <row r="81" spans="1:6" ht="22" customHeight="1">
      <c r="A81" s="53" t="s">
        <v>533</v>
      </c>
      <c r="B81" s="46"/>
      <c r="C81" s="50"/>
    </row>
    <row r="82" spans="1:6" ht="22" customHeight="1">
      <c r="A82" s="48" t="s">
        <v>2274</v>
      </c>
      <c r="B82" s="45"/>
      <c r="C82" s="51"/>
    </row>
    <row r="83" spans="1:6" ht="22" customHeight="1">
      <c r="A83" s="48"/>
      <c r="B83" s="45"/>
      <c r="C83" s="51"/>
    </row>
    <row r="84" spans="1:6" ht="22" customHeight="1" thickBot="1">
      <c r="A84" s="49" t="s">
        <v>476</v>
      </c>
      <c r="B84" s="47"/>
      <c r="C84" s="52"/>
    </row>
    <row r="86" spans="1:6" ht="21" thickBot="1"/>
    <row r="87" spans="1:6" ht="42">
      <c r="A87" s="13" t="s">
        <v>534</v>
      </c>
      <c r="B87" s="13" t="s">
        <v>535</v>
      </c>
      <c r="C87" s="14" t="s">
        <v>536</v>
      </c>
      <c r="D87" s="15" t="s">
        <v>537</v>
      </c>
      <c r="E87" s="16" t="s">
        <v>538</v>
      </c>
      <c r="F87" s="29" t="s">
        <v>539</v>
      </c>
    </row>
    <row r="88" spans="1:6" ht="44" customHeight="1">
      <c r="A88" s="21" t="s">
        <v>540</v>
      </c>
      <c r="B88" s="21" t="s">
        <v>541</v>
      </c>
      <c r="C88" s="23" t="s">
        <v>536</v>
      </c>
      <c r="D88" s="25" t="s">
        <v>542</v>
      </c>
      <c r="E88" s="26" t="s">
        <v>2275</v>
      </c>
      <c r="F88" s="30" t="s">
        <v>543</v>
      </c>
    </row>
    <row r="89" spans="1:6" ht="44" customHeight="1">
      <c r="A89" s="22" t="s">
        <v>544</v>
      </c>
      <c r="B89" s="20" t="s">
        <v>545</v>
      </c>
      <c r="E89" s="28" t="s">
        <v>2276</v>
      </c>
    </row>
    <row r="90" spans="1:6" ht="44" customHeight="1">
      <c r="A90" s="22" t="s">
        <v>546</v>
      </c>
      <c r="B90" s="20" t="s">
        <v>547</v>
      </c>
      <c r="E90" s="27" t="s">
        <v>548</v>
      </c>
    </row>
    <row r="91" spans="1:6" ht="44" customHeight="1">
      <c r="A91" s="18" t="s">
        <v>549</v>
      </c>
      <c r="B91" s="19" t="s">
        <v>550</v>
      </c>
    </row>
    <row r="92" spans="1:6" ht="21" thickBot="1"/>
    <row r="93" spans="1:6" ht="42">
      <c r="A93" s="31" t="s">
        <v>551</v>
      </c>
    </row>
    <row r="94" spans="1:6" ht="44" customHeight="1">
      <c r="A94" s="32" t="s">
        <v>552</v>
      </c>
      <c r="B94" s="33" t="s">
        <v>995</v>
      </c>
    </row>
    <row r="96" spans="1:6">
      <c r="A96" s="3" t="s">
        <v>2004</v>
      </c>
    </row>
    <row r="99" spans="1:6">
      <c r="A99" s="2" t="s">
        <v>553</v>
      </c>
    </row>
    <row r="100" spans="1:6">
      <c r="A100" s="8" t="s">
        <v>494</v>
      </c>
      <c r="B100" s="8" t="s">
        <v>554</v>
      </c>
      <c r="C100" s="8" t="s">
        <v>555</v>
      </c>
      <c r="D100" s="8" t="s">
        <v>556</v>
      </c>
      <c r="E100" s="8" t="s">
        <v>557</v>
      </c>
      <c r="F100" s="8"/>
    </row>
    <row r="101" spans="1:6" ht="63">
      <c r="A101" s="9" t="s">
        <v>452</v>
      </c>
      <c r="B101" s="9" t="s">
        <v>996</v>
      </c>
      <c r="C101" s="9" t="s">
        <v>558</v>
      </c>
      <c r="D101" s="9" t="s">
        <v>559</v>
      </c>
      <c r="E101" s="9" t="s">
        <v>560</v>
      </c>
      <c r="F101" s="9"/>
    </row>
    <row r="102" spans="1:6" ht="42">
      <c r="A102" s="9" t="s">
        <v>461</v>
      </c>
      <c r="B102" s="9" t="s">
        <v>997</v>
      </c>
      <c r="C102" s="9" t="s">
        <v>561</v>
      </c>
      <c r="D102" s="9" t="s">
        <v>562</v>
      </c>
      <c r="E102" s="9" t="s">
        <v>563</v>
      </c>
      <c r="F102" s="9"/>
    </row>
    <row r="103" spans="1:6" ht="63">
      <c r="A103" s="9" t="s">
        <v>564</v>
      </c>
      <c r="B103" s="9" t="s">
        <v>2277</v>
      </c>
      <c r="C103" s="9" t="s">
        <v>2278</v>
      </c>
      <c r="D103" s="9" t="s">
        <v>565</v>
      </c>
      <c r="E103" s="9" t="s">
        <v>90</v>
      </c>
      <c r="F103" s="9"/>
    </row>
    <row r="104" spans="1:6" ht="42">
      <c r="A104" s="9" t="s">
        <v>566</v>
      </c>
      <c r="B104" s="9" t="s">
        <v>567</v>
      </c>
      <c r="C104" s="9" t="s">
        <v>998</v>
      </c>
      <c r="D104" s="9" t="s">
        <v>568</v>
      </c>
      <c r="E104" s="9" t="s">
        <v>569</v>
      </c>
      <c r="F104" s="9"/>
    </row>
    <row r="107" spans="1:6">
      <c r="A107" s="3" t="s">
        <v>570</v>
      </c>
    </row>
    <row r="108" spans="1:6">
      <c r="A108" s="3" t="s">
        <v>571</v>
      </c>
    </row>
    <row r="109" spans="1:6">
      <c r="A109" s="3" t="s">
        <v>572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9"/>
  <sheetViews>
    <sheetView topLeftCell="A9" workbookViewId="0">
      <selection activeCell="C30" sqref="C30"/>
    </sheetView>
  </sheetViews>
  <sheetFormatPr baseColWidth="10" defaultRowHeight="20"/>
  <cols>
    <col min="1" max="1" width="42.85546875" customWidth="1"/>
    <col min="2" max="2" width="25.7109375" customWidth="1"/>
    <col min="3" max="3" width="88.5703125" customWidth="1"/>
  </cols>
  <sheetData>
    <row r="1" spans="1:3" ht="27">
      <c r="A1" s="1" t="s">
        <v>65</v>
      </c>
    </row>
    <row r="3" spans="1:3">
      <c r="A3" s="2" t="s">
        <v>573</v>
      </c>
    </row>
    <row r="4" spans="1:3">
      <c r="A4" s="8" t="s">
        <v>66</v>
      </c>
      <c r="B4" s="8" t="s">
        <v>67</v>
      </c>
      <c r="C4" s="8" t="s">
        <v>68</v>
      </c>
    </row>
    <row r="5" spans="1:3" ht="42">
      <c r="A5" s="9" t="s">
        <v>69</v>
      </c>
      <c r="B5" s="9" t="s">
        <v>70</v>
      </c>
      <c r="C5" s="9" t="s">
        <v>2251</v>
      </c>
    </row>
    <row r="6" spans="1:3" ht="63">
      <c r="A6" s="9" t="s">
        <v>71</v>
      </c>
      <c r="B6" s="9" t="s">
        <v>72</v>
      </c>
      <c r="C6" s="9" t="s">
        <v>2252</v>
      </c>
    </row>
    <row r="7" spans="1:3" ht="84">
      <c r="A7" s="9" t="s">
        <v>73</v>
      </c>
      <c r="B7" s="9" t="s">
        <v>74</v>
      </c>
      <c r="C7" s="9" t="s">
        <v>2253</v>
      </c>
    </row>
    <row r="8" spans="1:3" ht="42">
      <c r="A8" s="9" t="s">
        <v>75</v>
      </c>
      <c r="B8" s="9" t="s">
        <v>72</v>
      </c>
      <c r="C8" s="9" t="s">
        <v>76</v>
      </c>
    </row>
    <row r="9" spans="1:3" ht="21">
      <c r="A9" s="9" t="s">
        <v>77</v>
      </c>
      <c r="B9" s="9" t="s">
        <v>78</v>
      </c>
      <c r="C9" s="9" t="s">
        <v>79</v>
      </c>
    </row>
    <row r="10" spans="1:3" ht="21">
      <c r="A10" s="9" t="s">
        <v>80</v>
      </c>
      <c r="B10" s="9" t="s">
        <v>72</v>
      </c>
      <c r="C10" s="9" t="s">
        <v>81</v>
      </c>
    </row>
    <row r="11" spans="1:3" ht="21">
      <c r="A11" s="9" t="s">
        <v>82</v>
      </c>
      <c r="B11" s="9" t="s">
        <v>83</v>
      </c>
      <c r="C11" s="9" t="s">
        <v>84</v>
      </c>
    </row>
    <row r="12" spans="1:3" ht="21">
      <c r="A12" s="9" t="s">
        <v>85</v>
      </c>
      <c r="B12" s="9" t="s">
        <v>85</v>
      </c>
      <c r="C12" s="9" t="s">
        <v>574</v>
      </c>
    </row>
    <row r="15" spans="1:3" ht="21">
      <c r="A15" s="12" t="s">
        <v>575</v>
      </c>
    </row>
    <row r="16" spans="1:3">
      <c r="A16" s="8" t="s">
        <v>66</v>
      </c>
      <c r="B16" s="8" t="s">
        <v>67</v>
      </c>
      <c r="C16" s="8" t="s">
        <v>68</v>
      </c>
    </row>
    <row r="17" spans="1:3" ht="42">
      <c r="A17" s="9" t="s">
        <v>86</v>
      </c>
      <c r="B17" s="9" t="s">
        <v>87</v>
      </c>
      <c r="C17" s="9" t="s">
        <v>88</v>
      </c>
    </row>
    <row r="18" spans="1:3" ht="63">
      <c r="A18" s="9" t="s">
        <v>2255</v>
      </c>
      <c r="B18" s="9" t="s">
        <v>2256</v>
      </c>
      <c r="C18" s="9" t="s">
        <v>2257</v>
      </c>
    </row>
    <row r="19" spans="1:3" ht="21">
      <c r="A19" s="9" t="s">
        <v>90</v>
      </c>
      <c r="B19" s="9" t="s">
        <v>91</v>
      </c>
      <c r="C19" s="9" t="s">
        <v>2258</v>
      </c>
    </row>
    <row r="20" spans="1:3" ht="21">
      <c r="A20" s="9" t="s">
        <v>2259</v>
      </c>
      <c r="B20" s="9" t="s">
        <v>5</v>
      </c>
      <c r="C20" s="9" t="s">
        <v>2260</v>
      </c>
    </row>
    <row r="21" spans="1:3" ht="21">
      <c r="A21" s="9" t="s">
        <v>92</v>
      </c>
      <c r="B21" s="9" t="s">
        <v>49</v>
      </c>
      <c r="C21" s="9" t="s">
        <v>2005</v>
      </c>
    </row>
    <row r="24" spans="1:3" ht="42">
      <c r="A24" s="12" t="s">
        <v>576</v>
      </c>
    </row>
    <row r="25" spans="1:3">
      <c r="A25" s="8" t="s">
        <v>66</v>
      </c>
      <c r="B25" s="8" t="s">
        <v>67</v>
      </c>
      <c r="C25" s="8" t="s">
        <v>68</v>
      </c>
    </row>
    <row r="26" spans="1:3" ht="42">
      <c r="A26" s="9" t="s">
        <v>93</v>
      </c>
      <c r="B26" s="9" t="s">
        <v>94</v>
      </c>
      <c r="C26" s="9" t="s">
        <v>2006</v>
      </c>
    </row>
    <row r="29" spans="1:3">
      <c r="A29" s="2" t="s">
        <v>95</v>
      </c>
    </row>
    <row r="30" spans="1:3" ht="210">
      <c r="A30" s="4" t="s">
        <v>2261</v>
      </c>
    </row>
    <row r="33" spans="1:3">
      <c r="A33" s="2" t="s">
        <v>999</v>
      </c>
    </row>
    <row r="34" spans="1:3">
      <c r="A34" s="8" t="s">
        <v>96</v>
      </c>
      <c r="B34" s="8" t="s">
        <v>97</v>
      </c>
      <c r="C34" s="8" t="s">
        <v>47</v>
      </c>
    </row>
    <row r="35" spans="1:3" ht="42">
      <c r="A35" s="9" t="s">
        <v>98</v>
      </c>
      <c r="B35" s="9" t="s">
        <v>99</v>
      </c>
      <c r="C35" s="9" t="s">
        <v>1000</v>
      </c>
    </row>
    <row r="36" spans="1:3" ht="21">
      <c r="A36" s="9" t="s">
        <v>100</v>
      </c>
      <c r="B36" s="9" t="s">
        <v>99</v>
      </c>
      <c r="C36" s="9" t="s">
        <v>1001</v>
      </c>
    </row>
    <row r="37" spans="1:3" ht="42">
      <c r="A37" s="9" t="s">
        <v>101</v>
      </c>
      <c r="B37" s="9" t="s">
        <v>102</v>
      </c>
      <c r="C37" s="9" t="s">
        <v>103</v>
      </c>
    </row>
    <row r="38" spans="1:3" ht="21">
      <c r="A38" s="9" t="s">
        <v>104</v>
      </c>
      <c r="B38" s="9" t="s">
        <v>105</v>
      </c>
      <c r="C38" s="9" t="s">
        <v>106</v>
      </c>
    </row>
    <row r="39" spans="1:3" ht="21">
      <c r="A39" s="9" t="s">
        <v>107</v>
      </c>
      <c r="B39" s="9" t="s">
        <v>108</v>
      </c>
      <c r="C39" s="9" t="s">
        <v>109</v>
      </c>
    </row>
    <row r="40" spans="1:3" ht="21">
      <c r="A40" s="9" t="s">
        <v>110</v>
      </c>
      <c r="B40" s="9" t="s">
        <v>108</v>
      </c>
      <c r="C40" s="9" t="s">
        <v>111</v>
      </c>
    </row>
    <row r="41" spans="1:3" ht="42">
      <c r="A41" s="9" t="s">
        <v>1002</v>
      </c>
      <c r="B41" s="9" t="s">
        <v>112</v>
      </c>
      <c r="C41" s="9" t="s">
        <v>1003</v>
      </c>
    </row>
    <row r="42" spans="1:3" ht="42">
      <c r="A42" s="9" t="s">
        <v>1004</v>
      </c>
      <c r="B42" s="9" t="s">
        <v>1005</v>
      </c>
      <c r="C42" s="9" t="s">
        <v>1006</v>
      </c>
    </row>
    <row r="45" spans="1:3">
      <c r="A45" s="2" t="s">
        <v>113</v>
      </c>
    </row>
    <row r="46" spans="1:3">
      <c r="A46" s="8" t="s">
        <v>114</v>
      </c>
      <c r="B46" s="8" t="s">
        <v>115</v>
      </c>
      <c r="C46" s="8" t="s">
        <v>116</v>
      </c>
    </row>
    <row r="47" spans="1:3" ht="21">
      <c r="A47" s="9" t="s">
        <v>117</v>
      </c>
      <c r="B47" s="9" t="s">
        <v>118</v>
      </c>
      <c r="C47" s="9" t="s">
        <v>119</v>
      </c>
    </row>
    <row r="48" spans="1:3" ht="21">
      <c r="A48" s="9" t="s">
        <v>71</v>
      </c>
      <c r="B48" s="9" t="s">
        <v>118</v>
      </c>
      <c r="C48" s="9" t="s">
        <v>2296</v>
      </c>
    </row>
    <row r="49" spans="1:3" ht="21">
      <c r="A49" s="9" t="s">
        <v>80</v>
      </c>
      <c r="B49" s="9" t="s">
        <v>118</v>
      </c>
      <c r="C49" s="9" t="s">
        <v>1007</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1"/>
  <sheetViews>
    <sheetView topLeftCell="A50" workbookViewId="0">
      <selection activeCell="D77" sqref="D77"/>
    </sheetView>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577</v>
      </c>
    </row>
    <row r="3" spans="1:5" ht="21" thickBot="1">
      <c r="A3" s="2" t="s">
        <v>2122</v>
      </c>
    </row>
    <row r="4" spans="1:5" ht="22" customHeight="1">
      <c r="A4" s="53" t="s">
        <v>578</v>
      </c>
      <c r="B4" s="46"/>
      <c r="C4" s="50"/>
    </row>
    <row r="5" spans="1:5" ht="22" customHeight="1">
      <c r="A5" s="48" t="s">
        <v>2279</v>
      </c>
      <c r="B5" s="45"/>
      <c r="C5" s="51"/>
    </row>
    <row r="6" spans="1:5" ht="22" customHeight="1">
      <c r="A6" s="48"/>
      <c r="B6" s="45"/>
      <c r="C6" s="51"/>
    </row>
    <row r="7" spans="1:5" ht="22" customHeight="1" thickBot="1">
      <c r="A7" s="49" t="s">
        <v>476</v>
      </c>
      <c r="B7" s="47"/>
      <c r="C7" s="52"/>
    </row>
    <row r="9" spans="1:5">
      <c r="A9" s="8" t="s">
        <v>579</v>
      </c>
      <c r="B9" s="8" t="s">
        <v>580</v>
      </c>
      <c r="C9" s="8" t="s">
        <v>581</v>
      </c>
      <c r="D9" s="8" t="s">
        <v>47</v>
      </c>
      <c r="E9" s="8"/>
    </row>
    <row r="10" spans="1:5" ht="42">
      <c r="A10" s="9" t="s">
        <v>582</v>
      </c>
      <c r="B10" s="9" t="s">
        <v>71</v>
      </c>
      <c r="C10" s="9" t="s">
        <v>583</v>
      </c>
      <c r="D10" s="9" t="s">
        <v>2213</v>
      </c>
      <c r="E10" s="9"/>
    </row>
    <row r="11" spans="1:5" ht="42">
      <c r="A11" s="9" t="s">
        <v>584</v>
      </c>
      <c r="B11" s="9" t="s">
        <v>71</v>
      </c>
      <c r="C11" s="9" t="s">
        <v>538</v>
      </c>
      <c r="D11" s="9" t="s">
        <v>2214</v>
      </c>
      <c r="E11" s="9"/>
    </row>
    <row r="12" spans="1:5" ht="42">
      <c r="A12" s="9" t="s">
        <v>2215</v>
      </c>
      <c r="B12" s="9" t="s">
        <v>71</v>
      </c>
      <c r="C12" s="9" t="s">
        <v>2216</v>
      </c>
      <c r="D12" s="9" t="s">
        <v>2217</v>
      </c>
      <c r="E12" s="9"/>
    </row>
    <row r="13" spans="1:5" ht="21">
      <c r="A13" s="9" t="s">
        <v>2218</v>
      </c>
      <c r="B13" s="9" t="s">
        <v>71</v>
      </c>
      <c r="C13" s="9" t="s">
        <v>2216</v>
      </c>
      <c r="D13" s="9" t="s">
        <v>2219</v>
      </c>
      <c r="E13" s="9"/>
    </row>
    <row r="14" spans="1:5" ht="42">
      <c r="A14" s="9" t="s">
        <v>585</v>
      </c>
      <c r="B14" s="9" t="s">
        <v>71</v>
      </c>
      <c r="C14" s="9" t="s">
        <v>482</v>
      </c>
      <c r="D14" s="9" t="s">
        <v>2220</v>
      </c>
      <c r="E14" s="9"/>
    </row>
    <row r="15" spans="1:5" ht="42">
      <c r="A15" s="9" t="s">
        <v>586</v>
      </c>
      <c r="B15" s="9" t="s">
        <v>71</v>
      </c>
      <c r="C15" s="9" t="s">
        <v>2221</v>
      </c>
      <c r="D15" s="9" t="s">
        <v>2222</v>
      </c>
      <c r="E15" s="9"/>
    </row>
    <row r="16" spans="1:5" ht="42">
      <c r="A16" s="9" t="s">
        <v>2129</v>
      </c>
      <c r="B16" s="9" t="s">
        <v>71</v>
      </c>
      <c r="C16" s="9" t="s">
        <v>438</v>
      </c>
      <c r="D16" s="9" t="s">
        <v>2223</v>
      </c>
      <c r="E16" s="9"/>
    </row>
    <row r="17" spans="1:5" ht="21">
      <c r="A17" s="9" t="s">
        <v>587</v>
      </c>
      <c r="B17" s="9" t="s">
        <v>71</v>
      </c>
      <c r="C17" s="9" t="s">
        <v>482</v>
      </c>
      <c r="D17" s="9" t="s">
        <v>2224</v>
      </c>
      <c r="E17" s="9"/>
    </row>
    <row r="18" spans="1:5" ht="21">
      <c r="A18" s="9" t="s">
        <v>588</v>
      </c>
      <c r="B18" s="9" t="s">
        <v>71</v>
      </c>
      <c r="C18" s="9" t="s">
        <v>482</v>
      </c>
      <c r="D18" s="9" t="s">
        <v>2225</v>
      </c>
      <c r="E18" s="9"/>
    </row>
    <row r="19" spans="1:5" ht="21">
      <c r="A19" s="9" t="s">
        <v>589</v>
      </c>
      <c r="B19" s="9" t="s">
        <v>71</v>
      </c>
      <c r="C19" s="9" t="s">
        <v>590</v>
      </c>
      <c r="D19" s="9" t="s">
        <v>2226</v>
      </c>
      <c r="E19" s="9"/>
    </row>
    <row r="20" spans="1:5" ht="105">
      <c r="A20" s="9" t="s">
        <v>2227</v>
      </c>
      <c r="B20" s="9"/>
      <c r="C20" s="9"/>
      <c r="D20" s="9"/>
      <c r="E20" s="9"/>
    </row>
    <row r="21" spans="1:5">
      <c r="A21" s="60"/>
      <c r="B21" s="60"/>
      <c r="C21" s="60"/>
      <c r="D21" s="60"/>
      <c r="E21" s="60"/>
    </row>
    <row r="22" spans="1:5">
      <c r="A22" s="60"/>
      <c r="B22" s="60"/>
      <c r="C22" s="60"/>
      <c r="D22" s="60"/>
      <c r="E22" s="60"/>
    </row>
    <row r="23" spans="1:5" ht="21">
      <c r="A23" s="12" t="s">
        <v>2228</v>
      </c>
    </row>
    <row r="24" spans="1:5" ht="21">
      <c r="A24" s="93" t="s">
        <v>392</v>
      </c>
      <c r="B24" s="93" t="s">
        <v>407</v>
      </c>
      <c r="C24" s="93"/>
    </row>
    <row r="25" spans="1:5" ht="126">
      <c r="A25" s="9" t="s">
        <v>2229</v>
      </c>
      <c r="B25" s="9" t="s">
        <v>2230</v>
      </c>
      <c r="C25" s="9"/>
    </row>
    <row r="26" spans="1:5" ht="105">
      <c r="A26" s="9" t="s">
        <v>420</v>
      </c>
      <c r="B26" s="9" t="s">
        <v>2231</v>
      </c>
      <c r="C26" s="9"/>
    </row>
    <row r="27" spans="1:5">
      <c r="A27" s="9"/>
      <c r="B27" s="9"/>
      <c r="C27" s="9"/>
    </row>
    <row r="31" spans="1:5" ht="21" thickBot="1">
      <c r="A31" s="2" t="s">
        <v>591</v>
      </c>
    </row>
    <row r="32" spans="1:5" ht="22" customHeight="1">
      <c r="A32" s="53" t="s">
        <v>592</v>
      </c>
      <c r="B32" s="46"/>
      <c r="C32" s="50"/>
    </row>
    <row r="33" spans="1:5" ht="22" customHeight="1">
      <c r="A33" s="48" t="s">
        <v>1008</v>
      </c>
      <c r="B33" s="45"/>
      <c r="C33" s="51"/>
    </row>
    <row r="34" spans="1:5" ht="22" customHeight="1">
      <c r="A34" s="48"/>
      <c r="B34" s="45"/>
      <c r="C34" s="51"/>
    </row>
    <row r="35" spans="1:5" ht="22" customHeight="1" thickBot="1">
      <c r="A35" s="49" t="s">
        <v>476</v>
      </c>
      <c r="B35" s="47"/>
      <c r="C35" s="52"/>
    </row>
    <row r="37" spans="1:5">
      <c r="A37" s="8" t="s">
        <v>494</v>
      </c>
      <c r="B37" s="8" t="s">
        <v>580</v>
      </c>
      <c r="C37" s="8" t="s">
        <v>581</v>
      </c>
      <c r="D37" s="8" t="s">
        <v>593</v>
      </c>
      <c r="E37" s="8"/>
    </row>
    <row r="38" spans="1:5" ht="21">
      <c r="A38" s="9" t="s">
        <v>521</v>
      </c>
      <c r="B38" s="9" t="s">
        <v>435</v>
      </c>
      <c r="C38" s="9" t="s">
        <v>400</v>
      </c>
      <c r="D38" s="9" t="s">
        <v>594</v>
      </c>
      <c r="E38" s="9"/>
    </row>
    <row r="39" spans="1:5" ht="21">
      <c r="A39" s="9" t="s">
        <v>523</v>
      </c>
      <c r="B39" s="9" t="s">
        <v>435</v>
      </c>
      <c r="C39" s="9" t="s">
        <v>595</v>
      </c>
      <c r="D39" s="9" t="s">
        <v>596</v>
      </c>
      <c r="E39" s="9"/>
    </row>
    <row r="40" spans="1:5" ht="21">
      <c r="A40" s="9" t="s">
        <v>524</v>
      </c>
      <c r="B40" s="9" t="s">
        <v>435</v>
      </c>
      <c r="C40" s="9" t="s">
        <v>435</v>
      </c>
      <c r="D40" s="9" t="s">
        <v>597</v>
      </c>
      <c r="E40" s="9"/>
    </row>
    <row r="41" spans="1:5" ht="21">
      <c r="A41" s="9" t="s">
        <v>525</v>
      </c>
      <c r="B41" s="9" t="s">
        <v>435</v>
      </c>
      <c r="C41" s="9" t="s">
        <v>598</v>
      </c>
      <c r="D41" s="9" t="s">
        <v>1009</v>
      </c>
      <c r="E41" s="9"/>
    </row>
    <row r="42" spans="1:5" ht="21">
      <c r="A42" s="9" t="s">
        <v>527</v>
      </c>
      <c r="B42" s="9" t="s">
        <v>435</v>
      </c>
      <c r="C42" s="9" t="s">
        <v>598</v>
      </c>
      <c r="D42" s="9" t="s">
        <v>1010</v>
      </c>
      <c r="E42" s="9"/>
    </row>
    <row r="43" spans="1:5" ht="21">
      <c r="A43" s="9" t="s">
        <v>528</v>
      </c>
      <c r="B43" s="9" t="s">
        <v>435</v>
      </c>
      <c r="C43" s="9" t="s">
        <v>435</v>
      </c>
      <c r="D43" s="9" t="s">
        <v>1011</v>
      </c>
      <c r="E43" s="9"/>
    </row>
    <row r="44" spans="1:5" ht="21">
      <c r="A44" s="9" t="s">
        <v>599</v>
      </c>
      <c r="B44" s="9" t="s">
        <v>435</v>
      </c>
      <c r="C44" s="9" t="s">
        <v>600</v>
      </c>
      <c r="D44" s="9" t="s">
        <v>1012</v>
      </c>
      <c r="E44" s="9"/>
    </row>
    <row r="45" spans="1:5" ht="21">
      <c r="A45" s="9" t="s">
        <v>601</v>
      </c>
      <c r="B45" s="9" t="s">
        <v>435</v>
      </c>
      <c r="C45" s="9" t="s">
        <v>78</v>
      </c>
      <c r="D45" s="9" t="s">
        <v>602</v>
      </c>
      <c r="E45" s="9"/>
    </row>
    <row r="46" spans="1:5" ht="21">
      <c r="A46" s="9" t="s">
        <v>603</v>
      </c>
      <c r="B46" s="9" t="s">
        <v>435</v>
      </c>
      <c r="C46" s="9" t="s">
        <v>435</v>
      </c>
      <c r="D46" s="9" t="s">
        <v>604</v>
      </c>
      <c r="E46" s="9"/>
    </row>
    <row r="48" spans="1:5" ht="84">
      <c r="A48" s="10" t="s">
        <v>1013</v>
      </c>
    </row>
    <row r="50" spans="1:5" ht="43" thickBot="1">
      <c r="A50" s="12" t="s">
        <v>605</v>
      </c>
    </row>
    <row r="51" spans="1:5" ht="22" customHeight="1">
      <c r="A51" s="53" t="s">
        <v>606</v>
      </c>
      <c r="B51" s="46"/>
      <c r="C51" s="50"/>
    </row>
    <row r="52" spans="1:5" ht="22" customHeight="1">
      <c r="A52" s="48" t="s">
        <v>2280</v>
      </c>
      <c r="B52" s="45"/>
      <c r="C52" s="51"/>
    </row>
    <row r="53" spans="1:5" ht="22" customHeight="1">
      <c r="A53" s="48"/>
      <c r="B53" s="45"/>
      <c r="C53" s="51"/>
    </row>
    <row r="54" spans="1:5" ht="22" customHeight="1" thickBot="1">
      <c r="A54" s="49" t="s">
        <v>476</v>
      </c>
      <c r="B54" s="47"/>
      <c r="C54" s="52"/>
    </row>
    <row r="56" spans="1:5">
      <c r="A56" s="8" t="s">
        <v>494</v>
      </c>
      <c r="B56" s="8" t="s">
        <v>607</v>
      </c>
      <c r="C56" s="8" t="s">
        <v>47</v>
      </c>
      <c r="D56" s="8"/>
      <c r="E56" s="8"/>
    </row>
    <row r="57" spans="1:5" ht="21">
      <c r="A57" s="9" t="s">
        <v>521</v>
      </c>
      <c r="B57" s="9" t="s">
        <v>2281</v>
      </c>
      <c r="C57" s="9" t="s">
        <v>608</v>
      </c>
      <c r="D57" s="9"/>
      <c r="E57" s="9"/>
    </row>
    <row r="58" spans="1:5" ht="21">
      <c r="A58" s="9" t="s">
        <v>523</v>
      </c>
      <c r="B58" s="9" t="s">
        <v>2282</v>
      </c>
      <c r="C58" s="9" t="s">
        <v>609</v>
      </c>
      <c r="D58" s="9"/>
      <c r="E58" s="9"/>
    </row>
    <row r="59" spans="1:5" ht="42">
      <c r="A59" s="9" t="s">
        <v>524</v>
      </c>
      <c r="B59" s="9" t="s">
        <v>610</v>
      </c>
      <c r="C59" s="9" t="s">
        <v>2157</v>
      </c>
      <c r="D59" s="9"/>
      <c r="E59" s="9"/>
    </row>
    <row r="60" spans="1:5" ht="21">
      <c r="A60" s="9" t="s">
        <v>525</v>
      </c>
      <c r="B60" s="9" t="s">
        <v>1014</v>
      </c>
      <c r="C60" s="9" t="s">
        <v>611</v>
      </c>
      <c r="D60" s="9"/>
      <c r="E60" s="9"/>
    </row>
    <row r="61" spans="1:5" ht="42">
      <c r="A61" s="9" t="s">
        <v>527</v>
      </c>
      <c r="B61" s="9" t="s">
        <v>234</v>
      </c>
      <c r="C61" s="9" t="s">
        <v>612</v>
      </c>
      <c r="D61" s="9"/>
      <c r="E61" s="9"/>
    </row>
    <row r="62" spans="1:5" ht="21">
      <c r="A62" s="9" t="s">
        <v>528</v>
      </c>
      <c r="B62" s="9" t="s">
        <v>600</v>
      </c>
      <c r="C62" s="9" t="s">
        <v>485</v>
      </c>
      <c r="D62" s="9"/>
      <c r="E62" s="9"/>
    </row>
    <row r="63" spans="1:5" ht="21">
      <c r="A63" s="9" t="s">
        <v>599</v>
      </c>
      <c r="B63" s="9" t="s">
        <v>423</v>
      </c>
      <c r="C63" s="9" t="s">
        <v>486</v>
      </c>
      <c r="D63" s="9"/>
      <c r="E63" s="9"/>
    </row>
    <row r="64" spans="1:5" ht="21">
      <c r="A64" s="9" t="s">
        <v>601</v>
      </c>
      <c r="B64" s="9" t="s">
        <v>613</v>
      </c>
      <c r="C64" s="9" t="s">
        <v>614</v>
      </c>
      <c r="D64" s="9"/>
      <c r="E64" s="9"/>
    </row>
    <row r="66" spans="1:5" ht="105">
      <c r="A66" s="10" t="s">
        <v>1015</v>
      </c>
    </row>
    <row r="69" spans="1:5">
      <c r="A69" s="2" t="s">
        <v>1016</v>
      </c>
    </row>
    <row r="70" spans="1:5">
      <c r="A70" s="8" t="s">
        <v>615</v>
      </c>
      <c r="B70" s="8" t="s">
        <v>260</v>
      </c>
      <c r="C70" s="8" t="s">
        <v>168</v>
      </c>
      <c r="D70" s="8" t="s">
        <v>234</v>
      </c>
      <c r="E70" s="8" t="s">
        <v>616</v>
      </c>
    </row>
    <row r="71" spans="1:5" ht="21">
      <c r="A71" s="9" t="s">
        <v>617</v>
      </c>
      <c r="B71" s="9">
        <v>401</v>
      </c>
      <c r="C71" s="9">
        <v>200</v>
      </c>
      <c r="D71" s="9" t="s">
        <v>239</v>
      </c>
      <c r="E71" s="9" t="s">
        <v>618</v>
      </c>
    </row>
    <row r="72" spans="1:5" ht="42">
      <c r="A72" s="9" t="s">
        <v>619</v>
      </c>
      <c r="B72" s="9">
        <v>200</v>
      </c>
      <c r="C72" s="9" t="s">
        <v>49</v>
      </c>
      <c r="D72" s="9" t="s">
        <v>620</v>
      </c>
      <c r="E72" s="9" t="s">
        <v>621</v>
      </c>
    </row>
    <row r="73" spans="1:5" ht="21">
      <c r="A73" s="9" t="s">
        <v>622</v>
      </c>
      <c r="B73" s="9">
        <v>401</v>
      </c>
      <c r="C73" s="9">
        <v>401</v>
      </c>
      <c r="D73" s="9" t="s">
        <v>623</v>
      </c>
      <c r="E73" s="9" t="s">
        <v>249</v>
      </c>
    </row>
    <row r="74" spans="1:5" ht="21">
      <c r="A74" s="9" t="s">
        <v>624</v>
      </c>
      <c r="B74" s="9">
        <v>302</v>
      </c>
      <c r="C74" s="9" t="s">
        <v>49</v>
      </c>
      <c r="D74" s="9" t="s">
        <v>239</v>
      </c>
      <c r="E74" s="9" t="s">
        <v>618</v>
      </c>
    </row>
    <row r="75" spans="1:5" ht="21">
      <c r="A75" s="9" t="s">
        <v>625</v>
      </c>
      <c r="B75" s="9">
        <v>200</v>
      </c>
      <c r="C75" s="9" t="s">
        <v>49</v>
      </c>
      <c r="D75" s="9" t="s">
        <v>620</v>
      </c>
      <c r="E75" s="9" t="s">
        <v>626</v>
      </c>
    </row>
    <row r="77" spans="1:5" ht="63">
      <c r="A77" s="10" t="s">
        <v>627</v>
      </c>
    </row>
    <row r="79" spans="1:5">
      <c r="A79" s="69" t="s">
        <v>1017</v>
      </c>
    </row>
    <row r="80" spans="1:5" ht="168">
      <c r="A80" s="4" t="s">
        <v>1018</v>
      </c>
    </row>
    <row r="82" spans="1:6">
      <c r="A82" s="2" t="s">
        <v>2293</v>
      </c>
    </row>
    <row r="83" spans="1:6">
      <c r="A83" s="8" t="s">
        <v>494</v>
      </c>
      <c r="B83" s="8" t="s">
        <v>1019</v>
      </c>
      <c r="C83" s="8" t="s">
        <v>1020</v>
      </c>
      <c r="D83" s="8" t="s">
        <v>1021</v>
      </c>
      <c r="E83" s="8" t="s">
        <v>1022</v>
      </c>
      <c r="F83" s="8" t="s">
        <v>1023</v>
      </c>
    </row>
    <row r="84" spans="1:6" ht="42">
      <c r="A84" s="9" t="s">
        <v>1024</v>
      </c>
      <c r="B84" s="9" t="s">
        <v>2283</v>
      </c>
      <c r="C84" s="9" t="s">
        <v>2284</v>
      </c>
      <c r="D84" s="9" t="s">
        <v>2285</v>
      </c>
      <c r="E84" s="9" t="s">
        <v>949</v>
      </c>
      <c r="F84" s="9" t="s">
        <v>2286</v>
      </c>
    </row>
    <row r="85" spans="1:6" ht="42">
      <c r="A85" s="9" t="s">
        <v>1025</v>
      </c>
      <c r="B85" s="9" t="s">
        <v>1026</v>
      </c>
      <c r="C85" s="9" t="s">
        <v>1027</v>
      </c>
      <c r="D85" s="9" t="s">
        <v>1028</v>
      </c>
      <c r="E85" s="9" t="s">
        <v>1029</v>
      </c>
      <c r="F85" s="9" t="s">
        <v>1030</v>
      </c>
    </row>
    <row r="86" spans="1:6" ht="105">
      <c r="A86" s="9" t="s">
        <v>1031</v>
      </c>
      <c r="B86" s="9" t="s">
        <v>1032</v>
      </c>
      <c r="C86" s="9" t="s">
        <v>1028</v>
      </c>
      <c r="D86" s="9" t="s">
        <v>1033</v>
      </c>
      <c r="E86" s="9" t="s">
        <v>1034</v>
      </c>
      <c r="F86" s="9" t="s">
        <v>1035</v>
      </c>
    </row>
    <row r="87" spans="1:6" ht="42">
      <c r="A87" s="9" t="s">
        <v>1036</v>
      </c>
      <c r="B87" s="9" t="s">
        <v>1037</v>
      </c>
      <c r="C87" s="9" t="s">
        <v>1038</v>
      </c>
      <c r="D87" s="9" t="s">
        <v>1039</v>
      </c>
      <c r="E87" s="9" t="s">
        <v>1040</v>
      </c>
      <c r="F87" s="9" t="s">
        <v>1041</v>
      </c>
    </row>
    <row r="88" spans="1:6" ht="63">
      <c r="A88" s="9" t="s">
        <v>1042</v>
      </c>
      <c r="B88" s="9" t="s">
        <v>2287</v>
      </c>
      <c r="C88" s="9" t="s">
        <v>1043</v>
      </c>
      <c r="D88" s="9" t="s">
        <v>2285</v>
      </c>
      <c r="E88" s="9" t="s">
        <v>949</v>
      </c>
      <c r="F88" s="9" t="s">
        <v>2288</v>
      </c>
    </row>
    <row r="89" spans="1:6" ht="42">
      <c r="A89" s="9" t="s">
        <v>1044</v>
      </c>
      <c r="B89" s="9" t="s">
        <v>1045</v>
      </c>
      <c r="C89" s="9" t="s">
        <v>1028</v>
      </c>
      <c r="D89" s="9" t="s">
        <v>1046</v>
      </c>
      <c r="E89" s="9" t="s">
        <v>1047</v>
      </c>
      <c r="F89" s="9" t="s">
        <v>2294</v>
      </c>
    </row>
    <row r="90" spans="1:6" ht="42">
      <c r="A90" s="9" t="s">
        <v>1048</v>
      </c>
      <c r="B90" s="9" t="s">
        <v>2289</v>
      </c>
      <c r="C90" s="9" t="s">
        <v>1028</v>
      </c>
      <c r="D90" s="9" t="s">
        <v>2290</v>
      </c>
      <c r="E90" s="9" t="s">
        <v>949</v>
      </c>
      <c r="F90" s="9" t="s">
        <v>2291</v>
      </c>
    </row>
    <row r="91" spans="1:6" ht="21">
      <c r="A91" s="9" t="s">
        <v>1049</v>
      </c>
      <c r="B91" s="9" t="s">
        <v>1050</v>
      </c>
      <c r="C91" s="9" t="s">
        <v>1028</v>
      </c>
      <c r="D91" s="9" t="s">
        <v>1051</v>
      </c>
      <c r="E91" s="9" t="s">
        <v>1047</v>
      </c>
      <c r="F91" s="9" t="s">
        <v>1052</v>
      </c>
    </row>
    <row r="92" spans="1:6" ht="21">
      <c r="A92" s="9" t="s">
        <v>1053</v>
      </c>
      <c r="B92" s="9" t="s">
        <v>2130</v>
      </c>
      <c r="C92" s="9" t="s">
        <v>1028</v>
      </c>
      <c r="D92" s="9" t="s">
        <v>1054</v>
      </c>
      <c r="E92" s="9" t="s">
        <v>1055</v>
      </c>
      <c r="F92" s="9" t="s">
        <v>1056</v>
      </c>
    </row>
    <row r="94" spans="1:6">
      <c r="A94" s="106" t="s">
        <v>2292</v>
      </c>
    </row>
    <row r="96" spans="1:6" ht="42">
      <c r="A96" s="12" t="s">
        <v>2158</v>
      </c>
    </row>
    <row r="97" spans="1:6">
      <c r="A97" s="8" t="s">
        <v>494</v>
      </c>
      <c r="B97" s="8" t="s">
        <v>1019</v>
      </c>
      <c r="C97" s="8" t="s">
        <v>1020</v>
      </c>
      <c r="D97" s="8" t="s">
        <v>1021</v>
      </c>
      <c r="E97" s="8" t="s">
        <v>1022</v>
      </c>
      <c r="F97" s="8" t="s">
        <v>1023</v>
      </c>
    </row>
    <row r="98" spans="1:6" ht="63">
      <c r="A98" s="9" t="s">
        <v>243</v>
      </c>
      <c r="B98" s="9" t="s">
        <v>1057</v>
      </c>
      <c r="C98" s="9" t="s">
        <v>1054</v>
      </c>
      <c r="D98" s="9" t="s">
        <v>1058</v>
      </c>
      <c r="E98" s="9" t="s">
        <v>2159</v>
      </c>
      <c r="F98" s="9" t="s">
        <v>1035</v>
      </c>
    </row>
    <row r="99" spans="1:6" ht="21">
      <c r="A99" s="9" t="s">
        <v>248</v>
      </c>
      <c r="B99" s="9" t="s">
        <v>1059</v>
      </c>
      <c r="C99" s="9" t="s">
        <v>1054</v>
      </c>
      <c r="D99" s="9" t="s">
        <v>1060</v>
      </c>
      <c r="E99" s="9" t="s">
        <v>1061</v>
      </c>
      <c r="F99" s="9" t="s">
        <v>1062</v>
      </c>
    </row>
    <row r="100" spans="1:6" ht="63">
      <c r="A100" s="9" t="s">
        <v>253</v>
      </c>
      <c r="B100" s="9" t="s">
        <v>1063</v>
      </c>
      <c r="C100" s="9" t="s">
        <v>1054</v>
      </c>
      <c r="D100" s="9" t="s">
        <v>1064</v>
      </c>
      <c r="E100" s="9" t="s">
        <v>1065</v>
      </c>
      <c r="F100" s="9" t="s">
        <v>1066</v>
      </c>
    </row>
    <row r="101" spans="1:6" ht="84">
      <c r="A101" s="9" t="s">
        <v>1067</v>
      </c>
      <c r="B101" s="9" t="s">
        <v>1068</v>
      </c>
      <c r="C101" s="9" t="s">
        <v>1054</v>
      </c>
      <c r="D101" s="9" t="s">
        <v>1069</v>
      </c>
      <c r="E101" s="9" t="s">
        <v>1070</v>
      </c>
      <c r="F101" s="9" t="s">
        <v>1071</v>
      </c>
    </row>
    <row r="102" spans="1:6" ht="21">
      <c r="A102" s="9" t="s">
        <v>1072</v>
      </c>
      <c r="B102" s="9" t="s">
        <v>1073</v>
      </c>
      <c r="C102" s="9" t="s">
        <v>1054</v>
      </c>
      <c r="D102" s="9" t="s">
        <v>1074</v>
      </c>
      <c r="E102" s="9" t="s">
        <v>1075</v>
      </c>
      <c r="F102" s="9" t="s">
        <v>1076</v>
      </c>
    </row>
    <row r="103" spans="1:6" ht="42">
      <c r="A103" s="9" t="s">
        <v>1077</v>
      </c>
      <c r="B103" s="9" t="s">
        <v>1078</v>
      </c>
      <c r="C103" s="9" t="s">
        <v>1054</v>
      </c>
      <c r="D103" s="9" t="s">
        <v>1079</v>
      </c>
      <c r="E103" s="9" t="s">
        <v>1055</v>
      </c>
      <c r="F103" s="9" t="s">
        <v>1056</v>
      </c>
    </row>
    <row r="105" spans="1:6" ht="147">
      <c r="A105" s="10" t="s">
        <v>1080</v>
      </c>
    </row>
    <row r="107" spans="1:6" ht="22" thickBot="1">
      <c r="A107" s="12" t="s">
        <v>1081</v>
      </c>
    </row>
    <row r="108" spans="1:6" ht="21">
      <c r="A108" s="53" t="s">
        <v>1082</v>
      </c>
      <c r="B108" s="46"/>
      <c r="C108" s="50"/>
    </row>
    <row r="109" spans="1:6" ht="147">
      <c r="A109" s="48" t="s">
        <v>1083</v>
      </c>
      <c r="B109" s="45"/>
      <c r="C109" s="51"/>
    </row>
    <row r="110" spans="1:6" ht="85" thickBot="1">
      <c r="A110" s="49" t="s">
        <v>1084</v>
      </c>
      <c r="B110" s="47"/>
      <c r="C110" s="52"/>
    </row>
    <row r="113" spans="1:6">
      <c r="A113" s="8" t="s">
        <v>494</v>
      </c>
      <c r="B113" s="8" t="s">
        <v>1019</v>
      </c>
      <c r="C113" s="8" t="s">
        <v>1085</v>
      </c>
      <c r="D113" s="8" t="s">
        <v>1086</v>
      </c>
      <c r="E113" s="8" t="s">
        <v>1022</v>
      </c>
      <c r="F113" s="8" t="s">
        <v>116</v>
      </c>
    </row>
    <row r="114" spans="1:6" ht="21">
      <c r="A114" s="9" t="s">
        <v>1087</v>
      </c>
      <c r="B114" s="9" t="s">
        <v>1088</v>
      </c>
      <c r="C114" s="9" t="s">
        <v>1054</v>
      </c>
      <c r="D114" s="9" t="s">
        <v>1089</v>
      </c>
      <c r="E114" s="9" t="s">
        <v>1055</v>
      </c>
      <c r="F114" s="9" t="s">
        <v>1090</v>
      </c>
    </row>
    <row r="115" spans="1:6" ht="21">
      <c r="A115" s="9" t="s">
        <v>1091</v>
      </c>
      <c r="B115" s="9" t="s">
        <v>1092</v>
      </c>
      <c r="C115" s="9" t="s">
        <v>1089</v>
      </c>
      <c r="D115" s="9" t="s">
        <v>1093</v>
      </c>
      <c r="E115" s="9" t="s">
        <v>1047</v>
      </c>
      <c r="F115" s="9" t="s">
        <v>1094</v>
      </c>
    </row>
    <row r="116" spans="1:6" ht="42">
      <c r="A116" s="9" t="s">
        <v>1095</v>
      </c>
      <c r="B116" s="9" t="s">
        <v>1096</v>
      </c>
      <c r="C116" s="9" t="s">
        <v>1089</v>
      </c>
      <c r="D116" s="9" t="s">
        <v>1097</v>
      </c>
      <c r="E116" s="9" t="s">
        <v>1098</v>
      </c>
      <c r="F116" s="9" t="s">
        <v>1099</v>
      </c>
    </row>
    <row r="117" spans="1:6" ht="21">
      <c r="A117" s="9" t="s">
        <v>1100</v>
      </c>
      <c r="B117" s="9" t="s">
        <v>1101</v>
      </c>
      <c r="C117" s="9" t="s">
        <v>1102</v>
      </c>
      <c r="D117" s="9" t="s">
        <v>1103</v>
      </c>
      <c r="E117" s="9" t="s">
        <v>1104</v>
      </c>
      <c r="F117" s="9" t="s">
        <v>1105</v>
      </c>
    </row>
    <row r="118" spans="1:6" ht="21">
      <c r="A118" s="9" t="s">
        <v>1106</v>
      </c>
      <c r="B118" s="9" t="s">
        <v>1107</v>
      </c>
      <c r="C118" s="9" t="s">
        <v>1054</v>
      </c>
      <c r="D118" s="9" t="s">
        <v>1108</v>
      </c>
      <c r="E118" s="9" t="s">
        <v>1075</v>
      </c>
      <c r="F118" s="9" t="s">
        <v>1109</v>
      </c>
    </row>
    <row r="119" spans="1:6" ht="42">
      <c r="A119" s="9" t="s">
        <v>1110</v>
      </c>
      <c r="B119" s="9" t="s">
        <v>1111</v>
      </c>
      <c r="C119" s="9" t="s">
        <v>1112</v>
      </c>
      <c r="D119" s="9" t="s">
        <v>1113</v>
      </c>
      <c r="E119" s="9" t="s">
        <v>1114</v>
      </c>
      <c r="F119" s="9" t="s">
        <v>1115</v>
      </c>
    </row>
    <row r="121" spans="1:6" ht="126">
      <c r="A121" s="10" t="s">
        <v>1116</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9"/>
  <sheetViews>
    <sheetView topLeftCell="A69" workbookViewId="0">
      <selection activeCell="C27" sqref="C27"/>
    </sheetView>
  </sheetViews>
  <sheetFormatPr baseColWidth="10" defaultRowHeight="20"/>
  <cols>
    <col min="1" max="1" width="32.85546875" customWidth="1"/>
    <col min="2" max="2" width="60" customWidth="1"/>
    <col min="3" max="3" width="70.5703125" customWidth="1"/>
    <col min="4" max="4" width="28.5703125" customWidth="1"/>
    <col min="5" max="5" width="27.140625" customWidth="1"/>
  </cols>
  <sheetData>
    <row r="1" spans="1:5" ht="27">
      <c r="A1" s="1" t="s">
        <v>2049</v>
      </c>
    </row>
    <row r="2" spans="1:5" ht="27">
      <c r="A2" s="122" t="s">
        <v>2232</v>
      </c>
    </row>
    <row r="3" spans="1:5" ht="27">
      <c r="A3" s="122" t="s">
        <v>2191</v>
      </c>
    </row>
    <row r="4" spans="1:5" ht="27">
      <c r="A4" s="124" t="s">
        <v>2192</v>
      </c>
    </row>
    <row r="5" spans="1:5" ht="27">
      <c r="A5" s="123" t="s">
        <v>2050</v>
      </c>
    </row>
    <row r="6" spans="1:5" ht="27">
      <c r="A6" s="1"/>
    </row>
    <row r="7" spans="1:5">
      <c r="A7" s="3" t="s">
        <v>2193</v>
      </c>
    </row>
    <row r="9" spans="1:5" ht="21" thickBot="1">
      <c r="A9" s="2" t="s">
        <v>2194</v>
      </c>
    </row>
    <row r="10" spans="1:5" ht="22" customHeight="1">
      <c r="A10" s="107" t="s">
        <v>1117</v>
      </c>
      <c r="B10" s="46"/>
      <c r="C10" s="50"/>
    </row>
    <row r="11" spans="1:5" ht="22" customHeight="1">
      <c r="A11" s="108" t="s">
        <v>2160</v>
      </c>
      <c r="B11" s="45"/>
      <c r="C11" s="51"/>
    </row>
    <row r="12" spans="1:5" ht="22" customHeight="1">
      <c r="A12" s="108"/>
      <c r="B12" s="45"/>
      <c r="C12" s="51"/>
    </row>
    <row r="13" spans="1:5" ht="22" customHeight="1" thickBot="1">
      <c r="A13" s="109" t="s">
        <v>476</v>
      </c>
      <c r="B13" s="47"/>
      <c r="C13" s="52"/>
    </row>
    <row r="15" spans="1:5">
      <c r="A15" s="8" t="s">
        <v>628</v>
      </c>
      <c r="B15" s="8" t="s">
        <v>629</v>
      </c>
      <c r="C15" s="8" t="s">
        <v>630</v>
      </c>
      <c r="D15" s="8" t="s">
        <v>631</v>
      </c>
      <c r="E15" s="8" t="s">
        <v>97</v>
      </c>
    </row>
    <row r="16" spans="1:5" ht="42">
      <c r="A16" s="9" t="s">
        <v>2051</v>
      </c>
      <c r="B16" s="9" t="s">
        <v>2233</v>
      </c>
      <c r="C16" s="9" t="s">
        <v>632</v>
      </c>
      <c r="D16" s="9" t="s">
        <v>633</v>
      </c>
      <c r="E16" s="9" t="s">
        <v>634</v>
      </c>
    </row>
    <row r="17" spans="1:5" ht="21">
      <c r="A17" s="9" t="s">
        <v>2156</v>
      </c>
      <c r="B17" s="9" t="s">
        <v>2195</v>
      </c>
      <c r="C17" s="9" t="s">
        <v>635</v>
      </c>
      <c r="D17" s="9" t="s">
        <v>2196</v>
      </c>
      <c r="E17" s="9" t="s">
        <v>634</v>
      </c>
    </row>
    <row r="20" spans="1:5">
      <c r="A20" s="69" t="s">
        <v>2161</v>
      </c>
    </row>
    <row r="21" spans="1:5">
      <c r="A21" s="3" t="s">
        <v>2234</v>
      </c>
    </row>
    <row r="22" spans="1:5">
      <c r="A22" s="3" t="s">
        <v>636</v>
      </c>
    </row>
    <row r="23" spans="1:5">
      <c r="A23" s="3" t="s">
        <v>2235</v>
      </c>
    </row>
    <row r="24" spans="1:5">
      <c r="A24" s="3" t="s">
        <v>2162</v>
      </c>
    </row>
    <row r="27" spans="1:5" ht="42">
      <c r="A27" s="35" t="s">
        <v>2131</v>
      </c>
    </row>
    <row r="28" spans="1:5">
      <c r="A28" s="8" t="s">
        <v>637</v>
      </c>
      <c r="B28" s="8" t="s">
        <v>638</v>
      </c>
      <c r="C28" s="8" t="s">
        <v>639</v>
      </c>
      <c r="D28" s="8"/>
    </row>
    <row r="29" spans="1:5" ht="21">
      <c r="A29" s="9" t="s">
        <v>640</v>
      </c>
      <c r="B29" s="9" t="s">
        <v>641</v>
      </c>
      <c r="C29" s="9" t="s">
        <v>642</v>
      </c>
      <c r="D29" s="9"/>
    </row>
    <row r="30" spans="1:5" ht="21">
      <c r="A30" s="9" t="s">
        <v>643</v>
      </c>
      <c r="B30" s="9" t="s">
        <v>49</v>
      </c>
      <c r="C30" s="9" t="s">
        <v>644</v>
      </c>
      <c r="D30" s="9"/>
    </row>
    <row r="32" spans="1:5">
      <c r="A32" s="3" t="s">
        <v>1118</v>
      </c>
    </row>
    <row r="35" spans="1:3">
      <c r="A35" s="2" t="s">
        <v>2132</v>
      </c>
    </row>
    <row r="36" spans="1:3">
      <c r="A36" s="8" t="s">
        <v>46</v>
      </c>
      <c r="B36" s="8" t="s">
        <v>47</v>
      </c>
      <c r="C36" s="8"/>
    </row>
    <row r="37" spans="1:3" ht="63">
      <c r="A37" s="9" t="s">
        <v>629</v>
      </c>
      <c r="B37" s="9" t="s">
        <v>2236</v>
      </c>
      <c r="C37" s="9"/>
    </row>
    <row r="38" spans="1:3" ht="42">
      <c r="A38" s="9" t="s">
        <v>71</v>
      </c>
      <c r="B38" s="9" t="s">
        <v>645</v>
      </c>
      <c r="C38" s="9"/>
    </row>
    <row r="39" spans="1:3" ht="42">
      <c r="A39" s="9" t="s">
        <v>438</v>
      </c>
      <c r="B39" s="9" t="s">
        <v>1119</v>
      </c>
      <c r="C39" s="9"/>
    </row>
    <row r="40" spans="1:3" ht="42">
      <c r="A40" s="9" t="s">
        <v>1120</v>
      </c>
      <c r="B40" s="9" t="s">
        <v>646</v>
      </c>
      <c r="C40" s="9"/>
    </row>
    <row r="43" spans="1:3" ht="21">
      <c r="A43" s="12" t="s">
        <v>2163</v>
      </c>
    </row>
    <row r="44" spans="1:3">
      <c r="A44" s="8" t="s">
        <v>46</v>
      </c>
      <c r="B44" s="8" t="s">
        <v>47</v>
      </c>
      <c r="C44" s="6"/>
    </row>
    <row r="45" spans="1:3" ht="42">
      <c r="A45" s="9" t="s">
        <v>629</v>
      </c>
      <c r="B45" s="9" t="s">
        <v>2198</v>
      </c>
      <c r="C45" s="7"/>
    </row>
    <row r="46" spans="1:3" ht="21">
      <c r="A46" s="9" t="s">
        <v>630</v>
      </c>
      <c r="B46" s="9" t="s">
        <v>647</v>
      </c>
      <c r="C46" s="7"/>
    </row>
    <row r="47" spans="1:3" ht="21">
      <c r="A47" s="9" t="s">
        <v>648</v>
      </c>
      <c r="B47" s="9" t="s">
        <v>649</v>
      </c>
      <c r="C47" s="7"/>
    </row>
    <row r="48" spans="1:3" ht="42">
      <c r="A48" s="9" t="s">
        <v>650</v>
      </c>
      <c r="B48" s="9" t="s">
        <v>2133</v>
      </c>
      <c r="C48" s="7"/>
    </row>
    <row r="49" spans="1:4" ht="63">
      <c r="A49" s="9" t="s">
        <v>651</v>
      </c>
      <c r="B49" s="9" t="s">
        <v>6</v>
      </c>
      <c r="C49" s="7"/>
    </row>
    <row r="50" spans="1:4" ht="63">
      <c r="A50" s="9" t="s">
        <v>1121</v>
      </c>
      <c r="B50" s="9" t="s">
        <v>2143</v>
      </c>
      <c r="C50" s="7"/>
    </row>
    <row r="51" spans="1:4" ht="21">
      <c r="A51" s="9" t="s">
        <v>652</v>
      </c>
      <c r="B51" s="9" t="s">
        <v>2197</v>
      </c>
      <c r="C51" s="7"/>
    </row>
    <row r="54" spans="1:4" ht="22" thickBot="1">
      <c r="A54" s="12" t="s">
        <v>653</v>
      </c>
    </row>
    <row r="55" spans="1:4" ht="22" customHeight="1">
      <c r="A55" s="107" t="s">
        <v>654</v>
      </c>
      <c r="B55" s="46"/>
      <c r="C55" s="50"/>
    </row>
    <row r="56" spans="1:4" ht="22" customHeight="1">
      <c r="A56" s="108" t="s">
        <v>2237</v>
      </c>
      <c r="B56" s="45"/>
      <c r="C56" s="51"/>
    </row>
    <row r="57" spans="1:4" ht="22" customHeight="1">
      <c r="A57" s="108"/>
      <c r="B57" s="45"/>
      <c r="C57" s="51"/>
    </row>
    <row r="58" spans="1:4" ht="22" customHeight="1" thickBot="1">
      <c r="A58" s="109" t="s">
        <v>476</v>
      </c>
      <c r="B58" s="47"/>
      <c r="C58" s="52"/>
    </row>
    <row r="60" spans="1:4">
      <c r="A60" s="8" t="s">
        <v>655</v>
      </c>
      <c r="B60" s="8" t="s">
        <v>47</v>
      </c>
      <c r="C60" s="8" t="s">
        <v>656</v>
      </c>
      <c r="D60" s="6"/>
    </row>
    <row r="61" spans="1:4" ht="63">
      <c r="A61" s="9" t="s">
        <v>657</v>
      </c>
      <c r="B61" s="9" t="s">
        <v>2243</v>
      </c>
      <c r="C61" s="9" t="s">
        <v>2244</v>
      </c>
      <c r="D61" s="7"/>
    </row>
    <row r="62" spans="1:4" ht="84">
      <c r="A62" s="9" t="s">
        <v>2245</v>
      </c>
      <c r="B62" s="9" t="s">
        <v>2246</v>
      </c>
      <c r="C62" s="9" t="s">
        <v>2247</v>
      </c>
      <c r="D62" s="7"/>
    </row>
    <row r="63" spans="1:4" ht="42">
      <c r="A63" s="9" t="s">
        <v>2248</v>
      </c>
      <c r="B63" s="9" t="s">
        <v>2249</v>
      </c>
      <c r="C63" s="9" t="s">
        <v>2250</v>
      </c>
      <c r="D63" s="5"/>
    </row>
    <row r="65" spans="1:4" ht="63">
      <c r="A65" s="4" t="s">
        <v>2238</v>
      </c>
    </row>
    <row r="66" spans="1:4" ht="63">
      <c r="A66" s="4" t="s">
        <v>658</v>
      </c>
    </row>
    <row r="69" spans="1:4">
      <c r="A69" s="2" t="s">
        <v>659</v>
      </c>
    </row>
    <row r="70" spans="1:4">
      <c r="A70" s="8" t="s">
        <v>660</v>
      </c>
      <c r="B70" s="8" t="s">
        <v>661</v>
      </c>
      <c r="C70" s="8" t="s">
        <v>662</v>
      </c>
      <c r="D70" s="8"/>
    </row>
    <row r="71" spans="1:4" ht="21">
      <c r="A71" s="9" t="s">
        <v>663</v>
      </c>
      <c r="B71" s="9" t="s">
        <v>1122</v>
      </c>
      <c r="C71" s="9" t="s">
        <v>2164</v>
      </c>
      <c r="D71" s="9"/>
    </row>
    <row r="72" spans="1:4" ht="21">
      <c r="A72" s="9" t="s">
        <v>664</v>
      </c>
      <c r="B72" s="9" t="s">
        <v>665</v>
      </c>
      <c r="C72" s="9" t="s">
        <v>666</v>
      </c>
      <c r="D72" s="9"/>
    </row>
    <row r="73" spans="1:4" ht="21">
      <c r="A73" s="9" t="s">
        <v>1123</v>
      </c>
      <c r="B73" s="9" t="s">
        <v>665</v>
      </c>
      <c r="C73" s="9" t="s">
        <v>666</v>
      </c>
      <c r="D73" s="9"/>
    </row>
    <row r="74" spans="1:4" ht="21">
      <c r="A74" s="9" t="s">
        <v>425</v>
      </c>
      <c r="B74" s="9" t="s">
        <v>667</v>
      </c>
      <c r="C74" s="9" t="s">
        <v>668</v>
      </c>
      <c r="D74" s="9"/>
    </row>
    <row r="75" spans="1:4" ht="21">
      <c r="A75" s="9" t="s">
        <v>652</v>
      </c>
      <c r="B75" s="9" t="s">
        <v>669</v>
      </c>
      <c r="C75" s="9" t="s">
        <v>2007</v>
      </c>
      <c r="D75" s="9"/>
    </row>
    <row r="77" spans="1:4">
      <c r="A77" s="106" t="s">
        <v>2165</v>
      </c>
    </row>
    <row r="78" spans="1:4">
      <c r="A78" s="71"/>
    </row>
    <row r="79" spans="1:4">
      <c r="A79" s="71"/>
    </row>
    <row r="80" spans="1:4">
      <c r="A80" s="73" t="s">
        <v>1124</v>
      </c>
    </row>
    <row r="81" spans="1:4">
      <c r="A81" s="3" t="s">
        <v>1125</v>
      </c>
    </row>
    <row r="83" spans="1:4">
      <c r="A83" s="2" t="s">
        <v>1126</v>
      </c>
    </row>
    <row r="84" spans="1:4">
      <c r="A84" s="8" t="s">
        <v>494</v>
      </c>
      <c r="B84" s="8" t="s">
        <v>1127</v>
      </c>
      <c r="C84" s="8" t="s">
        <v>740</v>
      </c>
      <c r="D84" s="8" t="s">
        <v>1128</v>
      </c>
    </row>
    <row r="85" spans="1:4" ht="42">
      <c r="A85" s="9" t="s">
        <v>1129</v>
      </c>
      <c r="B85" s="9" t="s">
        <v>1130</v>
      </c>
      <c r="C85" s="9" t="s">
        <v>1131</v>
      </c>
      <c r="D85" s="9" t="s">
        <v>1132</v>
      </c>
    </row>
    <row r="86" spans="1:4" ht="21">
      <c r="A86" s="9" t="s">
        <v>1133</v>
      </c>
      <c r="B86" s="9" t="s">
        <v>1134</v>
      </c>
      <c r="C86" s="9" t="s">
        <v>1135</v>
      </c>
      <c r="D86" s="9" t="s">
        <v>1136</v>
      </c>
    </row>
    <row r="87" spans="1:4" ht="21">
      <c r="A87" s="9" t="s">
        <v>1137</v>
      </c>
      <c r="B87" s="9" t="s">
        <v>1138</v>
      </c>
      <c r="C87" s="9" t="s">
        <v>1139</v>
      </c>
      <c r="D87" s="9" t="s">
        <v>1140</v>
      </c>
    </row>
    <row r="88" spans="1:4" ht="21">
      <c r="A88" s="9" t="s">
        <v>1141</v>
      </c>
      <c r="B88" s="9" t="s">
        <v>1142</v>
      </c>
      <c r="C88" s="9" t="s">
        <v>2008</v>
      </c>
      <c r="D88" s="9" t="s">
        <v>1143</v>
      </c>
    </row>
    <row r="89" spans="1:4" ht="21">
      <c r="A89" s="9" t="s">
        <v>1144</v>
      </c>
      <c r="B89" s="9" t="s">
        <v>1145</v>
      </c>
      <c r="C89" s="9" t="s">
        <v>1146</v>
      </c>
      <c r="D89" s="9" t="s">
        <v>1147</v>
      </c>
    </row>
    <row r="91" spans="1:4" ht="105">
      <c r="A91" s="4" t="s">
        <v>1148</v>
      </c>
    </row>
    <row r="92" spans="1:4" ht="84">
      <c r="A92" s="4" t="s">
        <v>2239</v>
      </c>
    </row>
    <row r="94" spans="1:4" ht="21">
      <c r="A94" s="12" t="s">
        <v>1149</v>
      </c>
    </row>
    <row r="95" spans="1:4">
      <c r="A95" s="8" t="s">
        <v>1150</v>
      </c>
      <c r="B95" s="8" t="s">
        <v>1151</v>
      </c>
    </row>
    <row r="96" spans="1:4" ht="63">
      <c r="A96" s="9" t="s">
        <v>1152</v>
      </c>
      <c r="B96" s="9" t="s">
        <v>1153</v>
      </c>
    </row>
    <row r="97" spans="1:3" ht="63">
      <c r="A97" s="9" t="s">
        <v>2240</v>
      </c>
      <c r="B97" s="9" t="s">
        <v>2134</v>
      </c>
    </row>
    <row r="98" spans="1:3" ht="63">
      <c r="A98" s="9" t="s">
        <v>1154</v>
      </c>
      <c r="B98" s="9" t="s">
        <v>1155</v>
      </c>
    </row>
    <row r="99" spans="1:3" ht="42">
      <c r="A99" s="9" t="s">
        <v>1156</v>
      </c>
      <c r="B99" s="9" t="s">
        <v>1157</v>
      </c>
    </row>
    <row r="100" spans="1:3" ht="21">
      <c r="A100" s="9" t="s">
        <v>600</v>
      </c>
      <c r="B100" s="9" t="s">
        <v>1158</v>
      </c>
    </row>
    <row r="101" spans="1:3" ht="63">
      <c r="A101" s="9" t="s">
        <v>2241</v>
      </c>
      <c r="B101" s="9" t="s">
        <v>2242</v>
      </c>
    </row>
    <row r="103" spans="1:3">
      <c r="A103" s="71"/>
    </row>
    <row r="104" spans="1:3">
      <c r="A104" s="69" t="s">
        <v>1159</v>
      </c>
    </row>
    <row r="105" spans="1:3">
      <c r="A105" s="3" t="s">
        <v>1160</v>
      </c>
    </row>
    <row r="106" spans="1:3">
      <c r="A106" s="8" t="s">
        <v>1161</v>
      </c>
      <c r="B106" s="8" t="s">
        <v>1162</v>
      </c>
      <c r="C106" s="8" t="s">
        <v>1163</v>
      </c>
    </row>
    <row r="107" spans="1:3" ht="84">
      <c r="A107" s="9" t="s">
        <v>1164</v>
      </c>
      <c r="B107" s="9" t="s">
        <v>1165</v>
      </c>
      <c r="C107" s="9" t="s">
        <v>2166</v>
      </c>
    </row>
    <row r="108" spans="1:3" ht="42">
      <c r="A108" s="9" t="s">
        <v>2052</v>
      </c>
      <c r="B108" s="9" t="s">
        <v>1166</v>
      </c>
      <c r="C108" s="9" t="s">
        <v>1167</v>
      </c>
    </row>
    <row r="109" spans="1:3" ht="21">
      <c r="A109" s="9" t="s">
        <v>2167</v>
      </c>
      <c r="B109" s="9" t="s">
        <v>1168</v>
      </c>
      <c r="C109" s="9" t="s">
        <v>1169</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72"/>
  <sheetViews>
    <sheetView topLeftCell="A247" workbookViewId="0">
      <selection activeCell="D268" sqref="D268"/>
    </sheetView>
  </sheetViews>
  <sheetFormatPr baseColWidth="10" defaultRowHeight="20"/>
  <cols>
    <col min="1" max="1" width="27.140625" customWidth="1"/>
    <col min="2" max="2" width="35.7109375" customWidth="1"/>
    <col min="3" max="4" width="47.140625" customWidth="1"/>
    <col min="5" max="5" width="26.140625" bestFit="1" customWidth="1"/>
    <col min="6" max="6" width="21.42578125" customWidth="1"/>
  </cols>
  <sheetData>
    <row r="1" spans="1:5" ht="27">
      <c r="A1" s="1" t="s">
        <v>120</v>
      </c>
    </row>
    <row r="2" spans="1:5">
      <c r="A2" s="3" t="s">
        <v>1170</v>
      </c>
    </row>
    <row r="3" spans="1:5">
      <c r="A3" s="74" t="s">
        <v>2053</v>
      </c>
    </row>
    <row r="4" spans="1:5" ht="21">
      <c r="A4" s="93" t="s">
        <v>494</v>
      </c>
      <c r="B4" s="59" t="s">
        <v>120</v>
      </c>
      <c r="C4" s="59" t="s">
        <v>555</v>
      </c>
      <c r="D4" s="59" t="s">
        <v>2054</v>
      </c>
      <c r="E4" s="59" t="s">
        <v>2055</v>
      </c>
    </row>
    <row r="5" spans="1:5" ht="105">
      <c r="A5" s="64">
        <v>1</v>
      </c>
      <c r="B5" s="9" t="s">
        <v>2056</v>
      </c>
      <c r="C5" s="9" t="s">
        <v>2356</v>
      </c>
      <c r="D5" s="9" t="s">
        <v>2057</v>
      </c>
      <c r="E5" s="110" t="s">
        <v>2058</v>
      </c>
    </row>
    <row r="6" spans="1:5" ht="63">
      <c r="A6" s="64">
        <v>2</v>
      </c>
      <c r="B6" s="9" t="s">
        <v>2059</v>
      </c>
      <c r="C6" s="9" t="s">
        <v>2060</v>
      </c>
      <c r="D6" s="9" t="s">
        <v>2061</v>
      </c>
      <c r="E6" s="110" t="s">
        <v>2062</v>
      </c>
    </row>
    <row r="7" spans="1:5" ht="42">
      <c r="A7" s="64">
        <v>3</v>
      </c>
      <c r="B7" s="9" t="s">
        <v>2063</v>
      </c>
      <c r="C7" s="9" t="s">
        <v>2064</v>
      </c>
      <c r="D7" s="9" t="s">
        <v>2065</v>
      </c>
      <c r="E7" s="110" t="s">
        <v>2066</v>
      </c>
    </row>
    <row r="8" spans="1:5" ht="84">
      <c r="A8" s="64">
        <v>4</v>
      </c>
      <c r="B8" s="9" t="s">
        <v>2357</v>
      </c>
      <c r="C8" s="9" t="s">
        <v>2358</v>
      </c>
      <c r="D8" s="9" t="s">
        <v>2067</v>
      </c>
      <c r="E8" s="110" t="s">
        <v>2068</v>
      </c>
    </row>
    <row r="9" spans="1:5" ht="42">
      <c r="A9" s="64">
        <v>5</v>
      </c>
      <c r="B9" s="9" t="s">
        <v>2069</v>
      </c>
      <c r="C9" s="9" t="s">
        <v>2070</v>
      </c>
      <c r="D9" s="9" t="s">
        <v>2071</v>
      </c>
      <c r="E9" s="110" t="s">
        <v>2072</v>
      </c>
    </row>
    <row r="10" spans="1:5" ht="21">
      <c r="A10" s="64">
        <v>6</v>
      </c>
      <c r="B10" s="9" t="s">
        <v>2073</v>
      </c>
      <c r="C10" s="9" t="s">
        <v>2074</v>
      </c>
      <c r="D10" s="9" t="s">
        <v>2075</v>
      </c>
      <c r="E10" s="110" t="s">
        <v>2076</v>
      </c>
    </row>
    <row r="11" spans="1:5" ht="42">
      <c r="A11" s="64">
        <v>7</v>
      </c>
      <c r="B11" s="9" t="s">
        <v>2077</v>
      </c>
      <c r="C11" s="9" t="s">
        <v>2078</v>
      </c>
      <c r="D11" s="9" t="s">
        <v>2079</v>
      </c>
      <c r="E11" s="110" t="s">
        <v>2080</v>
      </c>
    </row>
    <row r="12" spans="1:5" ht="21">
      <c r="A12" s="64">
        <v>8</v>
      </c>
      <c r="B12" s="9" t="s">
        <v>2081</v>
      </c>
      <c r="C12" s="9" t="s">
        <v>2082</v>
      </c>
      <c r="D12" s="9" t="s">
        <v>2083</v>
      </c>
      <c r="E12" s="110" t="s">
        <v>2084</v>
      </c>
    </row>
    <row r="13" spans="1:5" ht="42">
      <c r="A13" s="64">
        <v>9</v>
      </c>
      <c r="B13" s="9" t="s">
        <v>2085</v>
      </c>
      <c r="C13" s="9" t="s">
        <v>2086</v>
      </c>
      <c r="D13" s="9" t="s">
        <v>2087</v>
      </c>
      <c r="E13" s="110" t="s">
        <v>2088</v>
      </c>
    </row>
    <row r="14" spans="1:5" ht="42">
      <c r="A14" s="64">
        <v>10</v>
      </c>
      <c r="B14" s="9" t="s">
        <v>2089</v>
      </c>
      <c r="C14" s="9" t="s">
        <v>2090</v>
      </c>
      <c r="D14" s="9" t="s">
        <v>2091</v>
      </c>
      <c r="E14" s="110" t="s">
        <v>2092</v>
      </c>
    </row>
    <row r="15" spans="1:5" ht="42">
      <c r="A15" s="111">
        <v>11</v>
      </c>
      <c r="B15" s="85" t="s">
        <v>2093</v>
      </c>
      <c r="C15" s="85" t="s">
        <v>2094</v>
      </c>
      <c r="D15" s="85" t="s">
        <v>2203</v>
      </c>
      <c r="E15" s="112" t="s">
        <v>2041</v>
      </c>
    </row>
    <row r="16" spans="1:5" ht="42">
      <c r="A16" s="111">
        <v>12</v>
      </c>
      <c r="B16" s="85" t="s">
        <v>2095</v>
      </c>
      <c r="C16" s="85" t="s">
        <v>2096</v>
      </c>
      <c r="D16" s="85" t="s">
        <v>2097</v>
      </c>
      <c r="E16" s="112" t="s">
        <v>2042</v>
      </c>
    </row>
    <row r="17" spans="1:6">
      <c r="A17" s="3"/>
    </row>
    <row r="18" spans="1:6">
      <c r="A18" s="3"/>
    </row>
    <row r="19" spans="1:6">
      <c r="A19" s="71"/>
    </row>
    <row r="20" spans="1:6">
      <c r="A20" s="73" t="s">
        <v>670</v>
      </c>
    </row>
    <row r="21" spans="1:6">
      <c r="A21" s="3" t="s">
        <v>2320</v>
      </c>
    </row>
    <row r="23" spans="1:6" ht="21">
      <c r="A23" s="93" t="s">
        <v>46</v>
      </c>
      <c r="B23" s="93" t="s">
        <v>121</v>
      </c>
      <c r="C23" s="93" t="s">
        <v>122</v>
      </c>
      <c r="D23" s="93" t="s">
        <v>123</v>
      </c>
      <c r="E23" s="93" t="s">
        <v>124</v>
      </c>
      <c r="F23" s="93"/>
    </row>
    <row r="24" spans="1:6" ht="42">
      <c r="A24" s="9" t="s">
        <v>125</v>
      </c>
      <c r="B24" s="9" t="s">
        <v>126</v>
      </c>
      <c r="C24" s="9" t="s">
        <v>2297</v>
      </c>
      <c r="D24" s="9" t="s">
        <v>127</v>
      </c>
      <c r="E24" s="9" t="s">
        <v>128</v>
      </c>
      <c r="F24" s="9" t="s">
        <v>129</v>
      </c>
    </row>
    <row r="25" spans="1:6" ht="42">
      <c r="A25" s="9" t="s">
        <v>130</v>
      </c>
      <c r="B25" s="9" t="s">
        <v>126</v>
      </c>
      <c r="C25" s="9" t="s">
        <v>2297</v>
      </c>
      <c r="D25" s="9" t="s">
        <v>131</v>
      </c>
      <c r="E25" s="9" t="s">
        <v>128</v>
      </c>
      <c r="F25" s="9" t="s">
        <v>129</v>
      </c>
    </row>
    <row r="26" spans="1:6" ht="42">
      <c r="A26" s="9" t="s">
        <v>132</v>
      </c>
      <c r="B26" s="9" t="s">
        <v>126</v>
      </c>
      <c r="C26" s="9" t="s">
        <v>2298</v>
      </c>
      <c r="D26" s="9" t="s">
        <v>133</v>
      </c>
      <c r="E26" s="9" t="s">
        <v>134</v>
      </c>
      <c r="F26" s="9" t="s">
        <v>129</v>
      </c>
    </row>
    <row r="27" spans="1:6" ht="42">
      <c r="A27" s="9" t="s">
        <v>135</v>
      </c>
      <c r="B27" s="9" t="s">
        <v>126</v>
      </c>
      <c r="C27" s="9" t="s">
        <v>2299</v>
      </c>
      <c r="D27" s="9" t="s">
        <v>136</v>
      </c>
      <c r="E27" s="9" t="s">
        <v>134</v>
      </c>
      <c r="F27" s="9" t="s">
        <v>129</v>
      </c>
    </row>
    <row r="28" spans="1:6" ht="42">
      <c r="A28" s="9" t="s">
        <v>137</v>
      </c>
      <c r="B28" s="9" t="s">
        <v>126</v>
      </c>
      <c r="C28" s="9" t="s">
        <v>138</v>
      </c>
      <c r="D28" s="9" t="s">
        <v>139</v>
      </c>
      <c r="E28" s="9" t="s">
        <v>140</v>
      </c>
      <c r="F28" s="9" t="s">
        <v>129</v>
      </c>
    </row>
    <row r="29" spans="1:6" ht="42">
      <c r="A29" s="9" t="s">
        <v>141</v>
      </c>
      <c r="B29" s="9" t="s">
        <v>126</v>
      </c>
      <c r="C29" s="9" t="s">
        <v>2300</v>
      </c>
      <c r="D29" s="9" t="s">
        <v>142</v>
      </c>
      <c r="E29" s="9" t="s">
        <v>134</v>
      </c>
      <c r="F29" s="9" t="s">
        <v>129</v>
      </c>
    </row>
    <row r="30" spans="1:6" ht="42">
      <c r="A30" s="9" t="s">
        <v>143</v>
      </c>
      <c r="B30" s="9" t="s">
        <v>144</v>
      </c>
      <c r="C30" s="9" t="s">
        <v>2301</v>
      </c>
      <c r="D30" s="9" t="s">
        <v>2302</v>
      </c>
      <c r="E30" s="9" t="s">
        <v>145</v>
      </c>
      <c r="F30" s="9" t="s">
        <v>129</v>
      </c>
    </row>
    <row r="31" spans="1:6" ht="42">
      <c r="A31" s="9" t="s">
        <v>146</v>
      </c>
      <c r="B31" s="9" t="s">
        <v>147</v>
      </c>
      <c r="C31" s="9" t="s">
        <v>2303</v>
      </c>
      <c r="D31" s="9" t="b">
        <v>1</v>
      </c>
      <c r="E31" s="9" t="s">
        <v>145</v>
      </c>
      <c r="F31" s="9" t="s">
        <v>129</v>
      </c>
    </row>
    <row r="32" spans="1:6" ht="42">
      <c r="A32" s="9" t="s">
        <v>148</v>
      </c>
      <c r="B32" s="9" t="s">
        <v>126</v>
      </c>
      <c r="C32" s="9" t="s">
        <v>149</v>
      </c>
      <c r="D32" s="9" t="s">
        <v>150</v>
      </c>
      <c r="E32" s="9" t="s">
        <v>151</v>
      </c>
      <c r="F32" s="9" t="s">
        <v>129</v>
      </c>
    </row>
    <row r="33" spans="1:6" ht="42">
      <c r="A33" s="9" t="s">
        <v>2304</v>
      </c>
      <c r="B33" s="9" t="s">
        <v>126</v>
      </c>
      <c r="C33" s="9" t="s">
        <v>2305</v>
      </c>
      <c r="D33" s="44" t="s">
        <v>2306</v>
      </c>
      <c r="E33" s="9" t="s">
        <v>2307</v>
      </c>
      <c r="F33" s="9" t="s">
        <v>129</v>
      </c>
    </row>
    <row r="34" spans="1:6" ht="42">
      <c r="A34" s="9" t="s">
        <v>2308</v>
      </c>
      <c r="B34" s="9" t="s">
        <v>126</v>
      </c>
      <c r="C34" s="9" t="s">
        <v>2309</v>
      </c>
      <c r="D34" s="9" t="s">
        <v>2310</v>
      </c>
      <c r="E34" s="9" t="s">
        <v>2307</v>
      </c>
      <c r="F34" s="9" t="s">
        <v>129</v>
      </c>
    </row>
    <row r="35" spans="1:6" ht="42">
      <c r="A35" s="9" t="s">
        <v>2311</v>
      </c>
      <c r="B35" s="9" t="s">
        <v>144</v>
      </c>
      <c r="C35" s="9" t="s">
        <v>2312</v>
      </c>
      <c r="D35" s="9" t="s">
        <v>2313</v>
      </c>
      <c r="E35" s="9" t="s">
        <v>152</v>
      </c>
      <c r="F35" s="9" t="s">
        <v>129</v>
      </c>
    </row>
    <row r="36" spans="1:6" ht="42">
      <c r="A36" s="9" t="s">
        <v>2314</v>
      </c>
      <c r="B36" s="9" t="s">
        <v>144</v>
      </c>
      <c r="C36" s="9" t="s">
        <v>2315</v>
      </c>
      <c r="D36" s="9" t="s">
        <v>2316</v>
      </c>
      <c r="E36" s="9" t="s">
        <v>2317</v>
      </c>
      <c r="F36" s="9" t="s">
        <v>129</v>
      </c>
    </row>
    <row r="37" spans="1:6" ht="42">
      <c r="A37" s="9" t="s">
        <v>153</v>
      </c>
      <c r="B37" s="9" t="s">
        <v>126</v>
      </c>
      <c r="C37" s="9" t="s">
        <v>2318</v>
      </c>
      <c r="D37" s="9" t="s">
        <v>2319</v>
      </c>
      <c r="E37" s="9" t="s">
        <v>152</v>
      </c>
      <c r="F37" s="9" t="s">
        <v>129</v>
      </c>
    </row>
    <row r="38" spans="1:6">
      <c r="A38" s="9"/>
      <c r="B38" s="9"/>
      <c r="C38" s="9"/>
      <c r="D38" s="9"/>
      <c r="E38" s="9"/>
      <c r="F38" s="9"/>
    </row>
    <row r="39" spans="1:6">
      <c r="A39" s="9"/>
      <c r="B39" s="9"/>
      <c r="C39" s="9"/>
      <c r="D39" s="9"/>
      <c r="E39" s="9"/>
      <c r="F39" s="9"/>
    </row>
    <row r="40" spans="1:6">
      <c r="A40" s="9"/>
      <c r="B40" s="9"/>
      <c r="C40" s="9"/>
      <c r="D40" s="9"/>
      <c r="E40" s="9"/>
      <c r="F40" s="9"/>
    </row>
    <row r="42" spans="1:6" ht="399">
      <c r="A42" s="10" t="s">
        <v>2321</v>
      </c>
    </row>
    <row r="45" spans="1:6">
      <c r="A45" s="2" t="s">
        <v>2327</v>
      </c>
    </row>
    <row r="46" spans="1:6">
      <c r="A46" s="36" t="s">
        <v>10</v>
      </c>
    </row>
    <row r="47" spans="1:6">
      <c r="A47" s="36" t="s">
        <v>671</v>
      </c>
    </row>
    <row r="48" spans="1:6">
      <c r="A48" s="36" t="s">
        <v>673</v>
      </c>
    </row>
    <row r="49" spans="1:1">
      <c r="A49" s="36" t="s">
        <v>675</v>
      </c>
    </row>
    <row r="50" spans="1:1">
      <c r="A50" s="36" t="s">
        <v>676</v>
      </c>
    </row>
    <row r="51" spans="1:1">
      <c r="A51" s="36" t="s">
        <v>678</v>
      </c>
    </row>
    <row r="52" spans="1:1">
      <c r="A52" s="36" t="s">
        <v>679</v>
      </c>
    </row>
    <row r="53" spans="1:1">
      <c r="A53" s="36" t="s">
        <v>680</v>
      </c>
    </row>
    <row r="54" spans="1:1">
      <c r="A54" s="36" t="s">
        <v>681</v>
      </c>
    </row>
    <row r="55" spans="1:1">
      <c r="A55" s="36" t="s">
        <v>682</v>
      </c>
    </row>
    <row r="56" spans="1:1">
      <c r="A56" s="36" t="s">
        <v>2322</v>
      </c>
    </row>
    <row r="57" spans="1:1">
      <c r="A57" s="36" t="s">
        <v>2323</v>
      </c>
    </row>
    <row r="58" spans="1:1">
      <c r="A58" s="36" t="s">
        <v>2324</v>
      </c>
    </row>
    <row r="59" spans="1:1">
      <c r="A59" s="36" t="s">
        <v>2325</v>
      </c>
    </row>
    <row r="60" spans="1:1">
      <c r="A60" s="36" t="s">
        <v>2326</v>
      </c>
    </row>
    <row r="61" spans="1:1">
      <c r="A61" s="36" t="s">
        <v>11</v>
      </c>
    </row>
    <row r="62" spans="1:1">
      <c r="A62" s="36"/>
    </row>
    <row r="63" spans="1:1">
      <c r="A63" s="36"/>
    </row>
    <row r="64" spans="1:1">
      <c r="A64" s="36"/>
    </row>
    <row r="67" spans="1:3" ht="21" thickBot="1">
      <c r="A67" s="37" t="s">
        <v>683</v>
      </c>
    </row>
    <row r="68" spans="1:3" ht="22" customHeight="1">
      <c r="A68" s="53" t="s">
        <v>684</v>
      </c>
      <c r="B68" s="46"/>
      <c r="C68" s="50"/>
    </row>
    <row r="69" spans="1:3" ht="22" customHeight="1">
      <c r="A69" s="48" t="s">
        <v>685</v>
      </c>
      <c r="B69" s="45"/>
      <c r="C69" s="51"/>
    </row>
    <row r="70" spans="1:3" ht="22" customHeight="1">
      <c r="A70" s="48"/>
      <c r="B70" s="45"/>
      <c r="C70" s="51"/>
    </row>
    <row r="71" spans="1:3" ht="22" customHeight="1" thickBot="1">
      <c r="A71" s="49" t="s">
        <v>476</v>
      </c>
      <c r="B71" s="47"/>
      <c r="C71" s="52"/>
    </row>
    <row r="73" spans="1:3">
      <c r="A73" s="8" t="s">
        <v>46</v>
      </c>
      <c r="B73" s="8" t="s">
        <v>156</v>
      </c>
      <c r="C73" s="8"/>
    </row>
    <row r="74" spans="1:3" ht="63">
      <c r="A74" s="9" t="s">
        <v>157</v>
      </c>
      <c r="B74" s="9" t="s">
        <v>158</v>
      </c>
      <c r="C74" s="9"/>
    </row>
    <row r="75" spans="1:3" ht="21">
      <c r="A75" s="9" t="s">
        <v>159</v>
      </c>
      <c r="B75" s="9" t="s">
        <v>160</v>
      </c>
      <c r="C75" s="9"/>
    </row>
    <row r="76" spans="1:3" ht="21">
      <c r="A76" s="9" t="s">
        <v>161</v>
      </c>
      <c r="B76" s="9" t="s">
        <v>162</v>
      </c>
      <c r="C76" s="9"/>
    </row>
    <row r="77" spans="1:3" ht="21">
      <c r="A77" s="9" t="s">
        <v>163</v>
      </c>
      <c r="B77" s="9" t="s">
        <v>164</v>
      </c>
      <c r="C77" s="9"/>
    </row>
    <row r="78" spans="1:3" ht="63">
      <c r="A78" s="9" t="s">
        <v>165</v>
      </c>
      <c r="B78" s="9" t="s">
        <v>2359</v>
      </c>
      <c r="C78" s="9"/>
    </row>
    <row r="81" spans="1:6" ht="63">
      <c r="A81" s="12" t="s">
        <v>686</v>
      </c>
    </row>
    <row r="82" spans="1:6">
      <c r="A82" s="8" t="s">
        <v>156</v>
      </c>
      <c r="B82" s="8" t="s">
        <v>166</v>
      </c>
      <c r="C82" s="8" t="s">
        <v>167</v>
      </c>
      <c r="D82" s="8" t="s">
        <v>168</v>
      </c>
      <c r="E82" s="8" t="s">
        <v>97</v>
      </c>
      <c r="F82" s="8"/>
    </row>
    <row r="83" spans="1:6" ht="21">
      <c r="A83" s="9" t="s">
        <v>136</v>
      </c>
      <c r="B83" s="9" t="s">
        <v>169</v>
      </c>
      <c r="C83" s="9" t="s">
        <v>170</v>
      </c>
      <c r="D83" s="9" t="s">
        <v>171</v>
      </c>
      <c r="E83" s="9" t="s">
        <v>172</v>
      </c>
      <c r="F83" s="9"/>
    </row>
    <row r="84" spans="1:6" ht="21">
      <c r="A84" s="9" t="s">
        <v>173</v>
      </c>
      <c r="B84" s="9" t="s">
        <v>174</v>
      </c>
      <c r="C84" s="9">
        <v>403</v>
      </c>
      <c r="D84" s="9" t="s">
        <v>175</v>
      </c>
      <c r="E84" s="9" t="s">
        <v>176</v>
      </c>
      <c r="F84" s="9"/>
    </row>
    <row r="85" spans="1:6" ht="21">
      <c r="A85" s="9" t="s">
        <v>177</v>
      </c>
      <c r="B85" s="9" t="s">
        <v>178</v>
      </c>
      <c r="C85" s="9" t="s">
        <v>170</v>
      </c>
      <c r="D85" s="9" t="s">
        <v>171</v>
      </c>
      <c r="E85" s="9" t="s">
        <v>172</v>
      </c>
      <c r="F85" s="9"/>
    </row>
    <row r="86" spans="1:6" ht="21">
      <c r="A86" s="9" t="s">
        <v>179</v>
      </c>
      <c r="B86" s="9" t="s">
        <v>180</v>
      </c>
      <c r="C86" s="9" t="s">
        <v>181</v>
      </c>
      <c r="D86" s="9" t="s">
        <v>182</v>
      </c>
      <c r="E86" s="9" t="s">
        <v>183</v>
      </c>
      <c r="F86" s="9"/>
    </row>
    <row r="87" spans="1:6" ht="21">
      <c r="A87" s="9" t="s">
        <v>184</v>
      </c>
      <c r="B87" s="9" t="s">
        <v>185</v>
      </c>
      <c r="C87" s="9" t="s">
        <v>186</v>
      </c>
      <c r="D87" s="9" t="s">
        <v>187</v>
      </c>
      <c r="E87" s="9" t="s">
        <v>183</v>
      </c>
      <c r="F87" s="9"/>
    </row>
    <row r="88" spans="1:6" ht="21">
      <c r="A88" s="9" t="s">
        <v>188</v>
      </c>
      <c r="B88" s="9" t="s">
        <v>189</v>
      </c>
      <c r="C88" s="9">
        <v>403</v>
      </c>
      <c r="D88" s="9" t="s">
        <v>175</v>
      </c>
      <c r="E88" s="9" t="s">
        <v>176</v>
      </c>
      <c r="F88" s="9"/>
    </row>
    <row r="90" spans="1:6" ht="147">
      <c r="A90" s="10" t="s">
        <v>687</v>
      </c>
    </row>
    <row r="93" spans="1:6" ht="21" thickBot="1">
      <c r="A93" s="2" t="s">
        <v>2328</v>
      </c>
    </row>
    <row r="94" spans="1:6" ht="22" customHeight="1">
      <c r="A94" s="53" t="s">
        <v>688</v>
      </c>
      <c r="B94" s="46"/>
      <c r="C94" s="50"/>
    </row>
    <row r="95" spans="1:6" ht="22" customHeight="1">
      <c r="A95" s="48" t="s">
        <v>2329</v>
      </c>
      <c r="B95" s="45"/>
      <c r="C95" s="51"/>
    </row>
    <row r="96" spans="1:6" ht="22" customHeight="1">
      <c r="A96" s="48"/>
      <c r="B96" s="45"/>
      <c r="C96" s="51"/>
    </row>
    <row r="97" spans="1:3" ht="22" customHeight="1" thickBot="1">
      <c r="A97" s="49" t="s">
        <v>476</v>
      </c>
      <c r="B97" s="47"/>
      <c r="C97" s="52"/>
    </row>
    <row r="99" spans="1:3" ht="84">
      <c r="A99" s="4" t="s">
        <v>2330</v>
      </c>
    </row>
    <row r="101" spans="1:3">
      <c r="A101" s="36" t="s">
        <v>2331</v>
      </c>
    </row>
    <row r="102" spans="1:3">
      <c r="A102" s="36" t="s">
        <v>2332</v>
      </c>
    </row>
    <row r="103" spans="1:3">
      <c r="A103" s="36" t="s">
        <v>2333</v>
      </c>
    </row>
    <row r="104" spans="1:3">
      <c r="A104" s="36" t="s">
        <v>2334</v>
      </c>
    </row>
    <row r="105" spans="1:3">
      <c r="A105" s="36" t="s">
        <v>2335</v>
      </c>
    </row>
    <row r="106" spans="1:3">
      <c r="A106" s="36"/>
    </row>
    <row r="107" spans="1:3">
      <c r="A107" s="36" t="s">
        <v>2336</v>
      </c>
    </row>
    <row r="108" spans="1:3">
      <c r="A108" s="36" t="s">
        <v>2337</v>
      </c>
    </row>
    <row r="109" spans="1:3">
      <c r="A109" s="36" t="s">
        <v>12</v>
      </c>
    </row>
    <row r="110" spans="1:3">
      <c r="A110" s="36" t="s">
        <v>13</v>
      </c>
    </row>
    <row r="111" spans="1:3">
      <c r="A111" s="36" t="s">
        <v>2338</v>
      </c>
    </row>
    <row r="112" spans="1:3">
      <c r="A112" s="36" t="s">
        <v>34</v>
      </c>
    </row>
    <row r="113" spans="1:4">
      <c r="A113" s="36" t="s">
        <v>14</v>
      </c>
    </row>
    <row r="114" spans="1:4">
      <c r="A114" s="36" t="s">
        <v>15</v>
      </c>
    </row>
    <row r="115" spans="1:4">
      <c r="A115" s="36" t="s">
        <v>16</v>
      </c>
    </row>
    <row r="116" spans="1:4">
      <c r="A116" s="36" t="s">
        <v>35</v>
      </c>
    </row>
    <row r="117" spans="1:4">
      <c r="A117" s="36"/>
    </row>
    <row r="119" spans="1:4">
      <c r="A119" s="8" t="s">
        <v>46</v>
      </c>
      <c r="B119" s="8" t="s">
        <v>190</v>
      </c>
      <c r="C119" s="8" t="s">
        <v>191</v>
      </c>
      <c r="D119" s="6"/>
    </row>
    <row r="120" spans="1:4" ht="42">
      <c r="A120" s="9" t="s">
        <v>2340</v>
      </c>
      <c r="B120" s="9" t="s">
        <v>192</v>
      </c>
      <c r="C120" s="9" t="s">
        <v>2341</v>
      </c>
      <c r="D120" s="7"/>
    </row>
    <row r="121" spans="1:4" ht="21">
      <c r="A121" s="9" t="s">
        <v>125</v>
      </c>
      <c r="B121" s="9" t="s">
        <v>2342</v>
      </c>
      <c r="C121" s="9" t="s">
        <v>2343</v>
      </c>
      <c r="D121" s="7"/>
    </row>
    <row r="122" spans="1:4" ht="21">
      <c r="A122" s="9" t="s">
        <v>135</v>
      </c>
      <c r="B122" s="9" t="s">
        <v>193</v>
      </c>
      <c r="C122" s="9" t="s">
        <v>2344</v>
      </c>
      <c r="D122" s="7"/>
    </row>
    <row r="123" spans="1:4" ht="21">
      <c r="A123" s="9" t="s">
        <v>132</v>
      </c>
      <c r="B123" s="9" t="s">
        <v>689</v>
      </c>
      <c r="C123" s="9" t="s">
        <v>194</v>
      </c>
      <c r="D123" s="7"/>
    </row>
    <row r="124" spans="1:4" ht="42">
      <c r="A124" s="9" t="s">
        <v>2346</v>
      </c>
      <c r="B124" s="9" t="s">
        <v>2347</v>
      </c>
      <c r="C124" s="9" t="s">
        <v>2348</v>
      </c>
      <c r="D124" s="7"/>
    </row>
    <row r="125" spans="1:4" ht="42">
      <c r="A125" s="85" t="s">
        <v>2350</v>
      </c>
      <c r="B125" s="85" t="s">
        <v>2351</v>
      </c>
      <c r="C125" s="85" t="s">
        <v>49</v>
      </c>
      <c r="D125" s="84"/>
    </row>
    <row r="126" spans="1:4" ht="63">
      <c r="A126" s="85" t="s">
        <v>195</v>
      </c>
      <c r="B126" s="85" t="s">
        <v>2352</v>
      </c>
      <c r="C126" s="85" t="s">
        <v>49</v>
      </c>
      <c r="D126" s="83"/>
    </row>
    <row r="127" spans="1:4" ht="42">
      <c r="A127" s="9" t="s">
        <v>196</v>
      </c>
      <c r="B127" s="9" t="s">
        <v>2353</v>
      </c>
      <c r="C127" s="9" t="s">
        <v>49</v>
      </c>
    </row>
    <row r="128" spans="1:4">
      <c r="A128" s="106"/>
    </row>
    <row r="129" spans="1:4" ht="231">
      <c r="A129" s="10" t="s">
        <v>2354</v>
      </c>
    </row>
    <row r="130" spans="1:4" ht="231">
      <c r="A130" s="10" t="s">
        <v>2355</v>
      </c>
    </row>
    <row r="131" spans="1:4">
      <c r="A131" s="2" t="s">
        <v>690</v>
      </c>
    </row>
    <row r="132" spans="1:4">
      <c r="A132" s="105" t="s">
        <v>2009</v>
      </c>
    </row>
    <row r="133" spans="1:4">
      <c r="A133" s="71"/>
    </row>
    <row r="134" spans="1:4">
      <c r="A134" s="3" t="s">
        <v>691</v>
      </c>
    </row>
    <row r="135" spans="1:4">
      <c r="A135" s="3" t="s">
        <v>692</v>
      </c>
    </row>
    <row r="136" spans="1:4">
      <c r="A136" s="3" t="s">
        <v>693</v>
      </c>
    </row>
    <row r="137" spans="1:4">
      <c r="A137" s="3" t="s">
        <v>694</v>
      </c>
    </row>
    <row r="139" spans="1:4">
      <c r="A139" s="8" t="s">
        <v>197</v>
      </c>
      <c r="B139" s="8" t="s">
        <v>166</v>
      </c>
      <c r="C139" s="8" t="s">
        <v>198</v>
      </c>
      <c r="D139" s="8"/>
    </row>
    <row r="140" spans="1:4" ht="42">
      <c r="A140" s="9" t="s">
        <v>199</v>
      </c>
      <c r="B140" s="9" t="s">
        <v>1172</v>
      </c>
      <c r="C140" s="9" t="s">
        <v>200</v>
      </c>
      <c r="D140" s="9"/>
    </row>
    <row r="141" spans="1:4" ht="42">
      <c r="A141" s="9" t="s">
        <v>201</v>
      </c>
      <c r="B141" s="9" t="s">
        <v>202</v>
      </c>
      <c r="C141" s="44" t="s">
        <v>1173</v>
      </c>
      <c r="D141" s="9"/>
    </row>
    <row r="142" spans="1:4" ht="42">
      <c r="A142" s="9" t="s">
        <v>203</v>
      </c>
      <c r="B142" s="9" t="s">
        <v>204</v>
      </c>
      <c r="C142" s="9" t="s">
        <v>205</v>
      </c>
      <c r="D142" s="9"/>
    </row>
    <row r="143" spans="1:4" ht="42">
      <c r="A143" s="9" t="s">
        <v>206</v>
      </c>
      <c r="B143" s="9" t="s">
        <v>207</v>
      </c>
      <c r="C143" s="9" t="s">
        <v>49</v>
      </c>
      <c r="D143" s="9"/>
    </row>
    <row r="144" spans="1:4" ht="42">
      <c r="A144" s="9" t="s">
        <v>208</v>
      </c>
      <c r="B144" s="9" t="s">
        <v>1174</v>
      </c>
      <c r="C144" s="9" t="s">
        <v>49</v>
      </c>
      <c r="D144" s="9"/>
    </row>
    <row r="145" spans="1:4" ht="42">
      <c r="A145" s="9" t="s">
        <v>209</v>
      </c>
      <c r="B145" s="9" t="s">
        <v>210</v>
      </c>
      <c r="C145" s="9" t="s">
        <v>49</v>
      </c>
      <c r="D145" s="9"/>
    </row>
    <row r="146" spans="1:4" ht="42">
      <c r="A146" s="9" t="s">
        <v>211</v>
      </c>
      <c r="B146" s="9" t="s">
        <v>212</v>
      </c>
      <c r="C146" s="9" t="s">
        <v>49</v>
      </c>
      <c r="D146" s="9"/>
    </row>
    <row r="148" spans="1:4" ht="42">
      <c r="A148" s="10" t="s">
        <v>695</v>
      </c>
    </row>
    <row r="150" spans="1:4" ht="21">
      <c r="A150" s="12" t="s">
        <v>696</v>
      </c>
    </row>
    <row r="151" spans="1:4">
      <c r="A151" s="36" t="s">
        <v>213</v>
      </c>
    </row>
    <row r="152" spans="1:4">
      <c r="A152" s="36" t="s">
        <v>697</v>
      </c>
    </row>
    <row r="153" spans="1:4">
      <c r="A153" s="36" t="s">
        <v>698</v>
      </c>
    </row>
    <row r="154" spans="1:4">
      <c r="A154" s="36" t="s">
        <v>699</v>
      </c>
    </row>
    <row r="155" spans="1:4">
      <c r="A155" s="36" t="s">
        <v>700</v>
      </c>
    </row>
    <row r="156" spans="1:4">
      <c r="A156" s="36" t="s">
        <v>701</v>
      </c>
    </row>
    <row r="157" spans="1:4">
      <c r="A157" s="36" t="s">
        <v>702</v>
      </c>
    </row>
    <row r="158" spans="1:4">
      <c r="A158" s="36" t="s">
        <v>703</v>
      </c>
    </row>
    <row r="159" spans="1:4">
      <c r="A159" s="36" t="s">
        <v>704</v>
      </c>
    </row>
    <row r="160" spans="1:4">
      <c r="A160" s="36" t="s">
        <v>705</v>
      </c>
    </row>
    <row r="161" spans="1:3">
      <c r="A161" s="36" t="s">
        <v>698</v>
      </c>
    </row>
    <row r="162" spans="1:3">
      <c r="A162" s="36" t="s">
        <v>706</v>
      </c>
    </row>
    <row r="163" spans="1:3">
      <c r="A163" s="36" t="s">
        <v>707</v>
      </c>
    </row>
    <row r="164" spans="1:3">
      <c r="A164" s="36" t="s">
        <v>698</v>
      </c>
    </row>
    <row r="165" spans="1:3">
      <c r="A165" s="36" t="s">
        <v>708</v>
      </c>
    </row>
    <row r="166" spans="1:3">
      <c r="A166" s="36" t="s">
        <v>211</v>
      </c>
    </row>
    <row r="170" spans="1:3">
      <c r="A170" s="2" t="s">
        <v>1175</v>
      </c>
    </row>
    <row r="171" spans="1:3">
      <c r="A171" s="8" t="s">
        <v>46</v>
      </c>
      <c r="B171" s="8" t="s">
        <v>156</v>
      </c>
      <c r="C171" s="8"/>
    </row>
    <row r="172" spans="1:3" ht="21">
      <c r="A172" s="9" t="s">
        <v>214</v>
      </c>
      <c r="B172" s="9" t="s">
        <v>215</v>
      </c>
      <c r="C172" s="9"/>
    </row>
    <row r="173" spans="1:3" ht="21">
      <c r="A173" s="9" t="s">
        <v>216</v>
      </c>
      <c r="B173" s="9" t="s">
        <v>217</v>
      </c>
      <c r="C173" s="9"/>
    </row>
    <row r="174" spans="1:3" ht="42">
      <c r="A174" s="9" t="s">
        <v>218</v>
      </c>
      <c r="B174" s="9" t="s">
        <v>219</v>
      </c>
      <c r="C174" s="9"/>
    </row>
    <row r="177" spans="1:6">
      <c r="A177" s="8" t="s">
        <v>220</v>
      </c>
      <c r="B177" s="8" t="s">
        <v>221</v>
      </c>
      <c r="C177" s="8" t="s">
        <v>166</v>
      </c>
      <c r="D177" s="8"/>
    </row>
    <row r="178" spans="1:6" ht="21">
      <c r="A178" s="9" t="s">
        <v>222</v>
      </c>
      <c r="B178" s="9" t="s">
        <v>223</v>
      </c>
      <c r="C178" s="9" t="s">
        <v>224</v>
      </c>
      <c r="D178" s="9"/>
    </row>
    <row r="179" spans="1:6" ht="21">
      <c r="A179" s="9" t="s">
        <v>225</v>
      </c>
      <c r="B179" s="9" t="s">
        <v>223</v>
      </c>
      <c r="C179" s="9" t="s">
        <v>226</v>
      </c>
      <c r="D179" s="9"/>
    </row>
    <row r="180" spans="1:6" ht="21">
      <c r="A180" s="9" t="s">
        <v>227</v>
      </c>
      <c r="B180" s="9" t="s">
        <v>223</v>
      </c>
      <c r="C180" s="9" t="s">
        <v>228</v>
      </c>
      <c r="D180" s="9"/>
    </row>
    <row r="181" spans="1:6" ht="21">
      <c r="A181" s="9" t="s">
        <v>229</v>
      </c>
      <c r="B181" s="9" t="s">
        <v>223</v>
      </c>
      <c r="C181" s="9" t="s">
        <v>230</v>
      </c>
      <c r="D181" s="9"/>
    </row>
    <row r="182" spans="1:6" ht="21">
      <c r="A182" s="9" t="s">
        <v>231</v>
      </c>
      <c r="B182" s="9" t="s">
        <v>223</v>
      </c>
      <c r="C182" s="9" t="s">
        <v>2144</v>
      </c>
      <c r="D182" s="9"/>
    </row>
    <row r="185" spans="1:6" ht="21" thickBot="1">
      <c r="A185" s="69" t="s">
        <v>2010</v>
      </c>
    </row>
    <row r="186" spans="1:6" ht="22" customHeight="1">
      <c r="A186" s="53" t="s">
        <v>709</v>
      </c>
      <c r="B186" s="46"/>
      <c r="C186" s="50"/>
    </row>
    <row r="187" spans="1:6" ht="22" customHeight="1">
      <c r="A187" s="48" t="s">
        <v>2011</v>
      </c>
      <c r="B187" s="45"/>
      <c r="C187" s="51"/>
    </row>
    <row r="188" spans="1:6" ht="22" customHeight="1">
      <c r="A188" s="48"/>
      <c r="B188" s="45"/>
      <c r="C188" s="51"/>
    </row>
    <row r="189" spans="1:6" ht="22" customHeight="1" thickBot="1">
      <c r="A189" s="49" t="s">
        <v>476</v>
      </c>
      <c r="B189" s="47"/>
      <c r="C189" s="52"/>
    </row>
    <row r="191" spans="1:6">
      <c r="A191" s="8" t="s">
        <v>232</v>
      </c>
      <c r="B191" s="8" t="s">
        <v>233</v>
      </c>
      <c r="C191" s="8" t="s">
        <v>234</v>
      </c>
      <c r="D191" s="8" t="s">
        <v>235</v>
      </c>
      <c r="E191" s="8" t="s">
        <v>236</v>
      </c>
      <c r="F191" s="8" t="s">
        <v>237</v>
      </c>
    </row>
    <row r="192" spans="1:6" ht="21">
      <c r="A192" s="9" t="s">
        <v>170</v>
      </c>
      <c r="B192" s="9" t="s">
        <v>238</v>
      </c>
      <c r="C192" s="9" t="s">
        <v>239</v>
      </c>
      <c r="D192" s="9" t="s">
        <v>49</v>
      </c>
      <c r="E192" s="9" t="s">
        <v>49</v>
      </c>
      <c r="F192" s="9" t="s">
        <v>240</v>
      </c>
    </row>
    <row r="193" spans="1:6" ht="21">
      <c r="A193" s="39">
        <v>200</v>
      </c>
      <c r="B193" s="39">
        <v>200</v>
      </c>
      <c r="C193" s="39" t="s">
        <v>241</v>
      </c>
      <c r="D193" s="39" t="s">
        <v>242</v>
      </c>
      <c r="E193" s="39" t="s">
        <v>243</v>
      </c>
      <c r="F193" s="39" t="s">
        <v>244</v>
      </c>
    </row>
    <row r="194" spans="1:6" ht="21">
      <c r="A194" s="39">
        <v>200</v>
      </c>
      <c r="B194" s="39" t="s">
        <v>170</v>
      </c>
      <c r="C194" s="39" t="s">
        <v>245</v>
      </c>
      <c r="D194" s="39" t="s">
        <v>242</v>
      </c>
      <c r="E194" s="39" t="s">
        <v>243</v>
      </c>
      <c r="F194" s="39" t="s">
        <v>244</v>
      </c>
    </row>
    <row r="195" spans="1:6" ht="21">
      <c r="A195" s="9" t="s">
        <v>170</v>
      </c>
      <c r="B195" s="9" t="s">
        <v>170</v>
      </c>
      <c r="C195" s="9" t="s">
        <v>246</v>
      </c>
      <c r="D195" s="9" t="s">
        <v>247</v>
      </c>
      <c r="E195" s="9" t="s">
        <v>248</v>
      </c>
      <c r="F195" s="9" t="s">
        <v>249</v>
      </c>
    </row>
    <row r="196" spans="1:6" ht="21">
      <c r="A196" s="9" t="s">
        <v>170</v>
      </c>
      <c r="B196" s="9">
        <v>404</v>
      </c>
      <c r="C196" s="9" t="s">
        <v>250</v>
      </c>
      <c r="D196" s="9" t="s">
        <v>247</v>
      </c>
      <c r="E196" s="9" t="s">
        <v>248</v>
      </c>
      <c r="F196" s="9" t="s">
        <v>249</v>
      </c>
    </row>
    <row r="197" spans="1:6" ht="21">
      <c r="A197" s="9" t="s">
        <v>170</v>
      </c>
      <c r="B197" s="9">
        <v>500</v>
      </c>
      <c r="C197" s="9" t="s">
        <v>251</v>
      </c>
      <c r="D197" s="9" t="s">
        <v>252</v>
      </c>
      <c r="E197" s="9" t="s">
        <v>253</v>
      </c>
      <c r="F197" s="9" t="s">
        <v>254</v>
      </c>
    </row>
    <row r="198" spans="1:6" ht="21">
      <c r="A198" s="9">
        <v>404</v>
      </c>
      <c r="B198" s="9" t="s">
        <v>255</v>
      </c>
      <c r="C198" s="9" t="s">
        <v>256</v>
      </c>
      <c r="D198" s="9" t="s">
        <v>247</v>
      </c>
      <c r="E198" s="9" t="s">
        <v>248</v>
      </c>
      <c r="F198" s="9" t="s">
        <v>249</v>
      </c>
    </row>
    <row r="199" spans="1:6" ht="21">
      <c r="A199" s="9" t="s">
        <v>257</v>
      </c>
      <c r="B199" s="9">
        <v>200</v>
      </c>
      <c r="C199" s="9" t="s">
        <v>258</v>
      </c>
      <c r="D199" s="9" t="s">
        <v>49</v>
      </c>
      <c r="E199" s="9" t="s">
        <v>49</v>
      </c>
      <c r="F199" s="9" t="s">
        <v>240</v>
      </c>
    </row>
    <row r="201" spans="1:6">
      <c r="A201" s="3" t="s">
        <v>1176</v>
      </c>
    </row>
    <row r="202" spans="1:6">
      <c r="A202" s="3" t="s">
        <v>710</v>
      </c>
    </row>
    <row r="203" spans="1:6">
      <c r="A203" s="3" t="s">
        <v>711</v>
      </c>
    </row>
    <row r="204" spans="1:6">
      <c r="A204" s="106" t="s">
        <v>2012</v>
      </c>
    </row>
    <row r="206" spans="1:6" ht="42">
      <c r="A206" s="35" t="s">
        <v>1177</v>
      </c>
    </row>
    <row r="207" spans="1:6">
      <c r="A207" s="36" t="s">
        <v>154</v>
      </c>
    </row>
    <row r="208" spans="1:6">
      <c r="A208" s="36" t="s">
        <v>672</v>
      </c>
    </row>
    <row r="209" spans="1:1">
      <c r="A209" s="36" t="s">
        <v>674</v>
      </c>
    </row>
    <row r="210" spans="1:1">
      <c r="A210" s="36" t="s">
        <v>677</v>
      </c>
    </row>
    <row r="211" spans="1:1">
      <c r="A211" s="36" t="s">
        <v>712</v>
      </c>
    </row>
    <row r="212" spans="1:1">
      <c r="A212" s="36" t="s">
        <v>713</v>
      </c>
    </row>
    <row r="213" spans="1:1">
      <c r="A213" s="36" t="s">
        <v>714</v>
      </c>
    </row>
    <row r="214" spans="1:1">
      <c r="A214" s="36" t="s">
        <v>715</v>
      </c>
    </row>
    <row r="215" spans="1:1">
      <c r="A215" s="36" t="s">
        <v>716</v>
      </c>
    </row>
    <row r="216" spans="1:1">
      <c r="A216" s="36" t="s">
        <v>717</v>
      </c>
    </row>
    <row r="217" spans="1:1">
      <c r="A217" s="36" t="s">
        <v>718</v>
      </c>
    </row>
    <row r="218" spans="1:1">
      <c r="A218" s="36" t="s">
        <v>155</v>
      </c>
    </row>
    <row r="221" spans="1:1">
      <c r="A221" s="40" t="s">
        <v>719</v>
      </c>
    </row>
    <row r="224" spans="1:1">
      <c r="A224" s="2" t="s">
        <v>720</v>
      </c>
    </row>
    <row r="225" spans="1:6">
      <c r="A225" s="8" t="s">
        <v>259</v>
      </c>
      <c r="B225" s="8" t="s">
        <v>260</v>
      </c>
      <c r="C225" s="8" t="s">
        <v>261</v>
      </c>
      <c r="D225" s="8" t="s">
        <v>262</v>
      </c>
      <c r="E225" s="8" t="s">
        <v>263</v>
      </c>
      <c r="F225" s="8"/>
    </row>
    <row r="226" spans="1:6" ht="21">
      <c r="A226" s="9" t="s">
        <v>264</v>
      </c>
      <c r="B226" s="9" t="s">
        <v>265</v>
      </c>
      <c r="C226" s="9" t="s">
        <v>266</v>
      </c>
      <c r="D226" s="9" t="s">
        <v>267</v>
      </c>
      <c r="E226" s="9" t="s">
        <v>268</v>
      </c>
      <c r="F226" s="9"/>
    </row>
    <row r="227" spans="1:6" ht="21">
      <c r="A227" s="9" t="s">
        <v>269</v>
      </c>
      <c r="B227" s="9" t="s">
        <v>265</v>
      </c>
      <c r="C227" s="9" t="s">
        <v>266</v>
      </c>
      <c r="D227" s="9" t="s">
        <v>270</v>
      </c>
      <c r="E227" s="9" t="s">
        <v>268</v>
      </c>
      <c r="F227" s="9"/>
    </row>
    <row r="229" spans="1:6">
      <c r="A229" s="3" t="s">
        <v>2168</v>
      </c>
    </row>
    <row r="230" spans="1:6">
      <c r="A230" s="71"/>
    </row>
    <row r="231" spans="1:6">
      <c r="A231" s="71"/>
    </row>
    <row r="232" spans="1:6">
      <c r="A232" s="73" t="s">
        <v>1178</v>
      </c>
    </row>
    <row r="233" spans="1:6">
      <c r="A233" s="3" t="s">
        <v>2013</v>
      </c>
    </row>
    <row r="235" spans="1:6">
      <c r="A235" s="8" t="s">
        <v>2014</v>
      </c>
      <c r="B235" s="8" t="s">
        <v>1179</v>
      </c>
      <c r="C235" s="8" t="s">
        <v>1180</v>
      </c>
      <c r="D235" s="8" t="s">
        <v>529</v>
      </c>
    </row>
    <row r="236" spans="1:6" ht="21">
      <c r="A236" s="9" t="s">
        <v>2015</v>
      </c>
      <c r="B236" s="9" t="s">
        <v>1181</v>
      </c>
      <c r="C236" s="9" t="s">
        <v>1182</v>
      </c>
      <c r="D236" s="9" t="s">
        <v>1183</v>
      </c>
    </row>
    <row r="237" spans="1:6" ht="42">
      <c r="A237" s="9" t="s">
        <v>2016</v>
      </c>
      <c r="B237" s="9" t="s">
        <v>1184</v>
      </c>
      <c r="C237" s="9" t="s">
        <v>1185</v>
      </c>
      <c r="D237" s="9" t="s">
        <v>1186</v>
      </c>
    </row>
    <row r="240" spans="1:6">
      <c r="A240" s="8" t="s">
        <v>1187</v>
      </c>
      <c r="B240" s="8" t="s">
        <v>801</v>
      </c>
      <c r="C240" s="8" t="s">
        <v>47</v>
      </c>
    </row>
    <row r="241" spans="1:4" ht="168">
      <c r="A241" s="9" t="s">
        <v>1188</v>
      </c>
      <c r="B241" s="9" t="s">
        <v>2017</v>
      </c>
      <c r="C241" s="9" t="s">
        <v>2018</v>
      </c>
    </row>
    <row r="242" spans="1:4" ht="126">
      <c r="A242" s="9" t="s">
        <v>1189</v>
      </c>
      <c r="B242" s="9" t="s">
        <v>1190</v>
      </c>
      <c r="C242" s="9" t="s">
        <v>2019</v>
      </c>
    </row>
    <row r="244" spans="1:4">
      <c r="A244" s="3" t="s">
        <v>2020</v>
      </c>
    </row>
    <row r="247" spans="1:4">
      <c r="A247" s="2" t="s">
        <v>2098</v>
      </c>
    </row>
    <row r="248" spans="1:4" ht="126">
      <c r="A248" s="4" t="s">
        <v>2199</v>
      </c>
    </row>
    <row r="249" spans="1:4">
      <c r="A249" s="8" t="s">
        <v>46</v>
      </c>
      <c r="B249" s="8" t="s">
        <v>121</v>
      </c>
      <c r="C249" s="8" t="s">
        <v>122</v>
      </c>
      <c r="D249" s="8" t="s">
        <v>123</v>
      </c>
    </row>
    <row r="250" spans="1:4" ht="42">
      <c r="A250" s="9" t="s">
        <v>2099</v>
      </c>
      <c r="B250" s="9" t="s">
        <v>126</v>
      </c>
      <c r="C250" s="9" t="s">
        <v>2100</v>
      </c>
      <c r="D250" s="9" t="s">
        <v>2101</v>
      </c>
    </row>
    <row r="251" spans="1:4" ht="42">
      <c r="A251" s="9" t="s">
        <v>125</v>
      </c>
      <c r="B251" s="9" t="s">
        <v>126</v>
      </c>
      <c r="C251" s="9" t="s">
        <v>2102</v>
      </c>
      <c r="D251" s="9" t="s">
        <v>127</v>
      </c>
    </row>
    <row r="252" spans="1:4" ht="21">
      <c r="A252" s="9" t="s">
        <v>130</v>
      </c>
      <c r="B252" s="9" t="s">
        <v>126</v>
      </c>
      <c r="C252" s="9" t="s">
        <v>2103</v>
      </c>
      <c r="D252" s="9" t="s">
        <v>1171</v>
      </c>
    </row>
    <row r="254" spans="1:4" ht="21">
      <c r="A254" s="11" t="s">
        <v>651</v>
      </c>
    </row>
    <row r="255" spans="1:4">
      <c r="A255" s="36" t="s">
        <v>2135</v>
      </c>
    </row>
    <row r="256" spans="1:4">
      <c r="A256" s="36" t="s">
        <v>2104</v>
      </c>
    </row>
    <row r="257" spans="1:2">
      <c r="A257" s="36" t="s">
        <v>2105</v>
      </c>
    </row>
    <row r="259" spans="1:2">
      <c r="A259" s="40" t="s">
        <v>2106</v>
      </c>
    </row>
    <row r="261" spans="1:2">
      <c r="A261" s="2" t="s">
        <v>2107</v>
      </c>
    </row>
    <row r="262" spans="1:2">
      <c r="A262" s="3" t="s">
        <v>2108</v>
      </c>
    </row>
    <row r="263" spans="1:2">
      <c r="A263" s="8" t="s">
        <v>46</v>
      </c>
      <c r="B263" s="8" t="s">
        <v>47</v>
      </c>
    </row>
    <row r="264" spans="1:2" ht="21">
      <c r="A264" s="9" t="s">
        <v>2109</v>
      </c>
      <c r="B264" s="9" t="s">
        <v>2110</v>
      </c>
    </row>
    <row r="265" spans="1:2" ht="63">
      <c r="A265" s="9" t="s">
        <v>156</v>
      </c>
      <c r="B265" s="9" t="s">
        <v>2111</v>
      </c>
    </row>
    <row r="266" spans="1:2" ht="42">
      <c r="A266" s="9" t="s">
        <v>2112</v>
      </c>
      <c r="B266" s="9" t="s">
        <v>2113</v>
      </c>
    </row>
    <row r="267" spans="1:2" ht="84">
      <c r="A267" s="9" t="s">
        <v>648</v>
      </c>
      <c r="B267" s="9" t="s">
        <v>2114</v>
      </c>
    </row>
    <row r="268" spans="1:2" ht="21">
      <c r="A268" s="9" t="s">
        <v>2115</v>
      </c>
      <c r="B268" s="9" t="s">
        <v>2116</v>
      </c>
    </row>
    <row r="269" spans="1:2" ht="42">
      <c r="A269" s="9" t="s">
        <v>2117</v>
      </c>
      <c r="B269" s="9" t="s">
        <v>2118</v>
      </c>
    </row>
    <row r="270" spans="1:2" ht="42">
      <c r="A270" s="9" t="s">
        <v>807</v>
      </c>
      <c r="B270" s="9" t="s">
        <v>2119</v>
      </c>
    </row>
    <row r="272" spans="1:2">
      <c r="A272" s="106" t="s">
        <v>2120</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64"/>
  <sheetViews>
    <sheetView workbookViewId="0">
      <selection activeCell="C32" sqref="C32"/>
    </sheetView>
  </sheetViews>
  <sheetFormatPr baseColWidth="10" defaultRowHeight="20"/>
  <cols>
    <col min="1" max="1" width="40" style="71" customWidth="1"/>
    <col min="2" max="2" width="35.7109375" style="71" customWidth="1"/>
    <col min="3" max="3" width="40" style="71" customWidth="1"/>
    <col min="4" max="4" width="74.28515625" style="71" customWidth="1"/>
    <col min="5" max="5" width="21.42578125" style="71" customWidth="1"/>
    <col min="6" max="6" width="17.140625" style="71" customWidth="1"/>
    <col min="7" max="16384" width="10.7109375" style="71"/>
  </cols>
  <sheetData>
    <row r="1" spans="1:6" ht="27">
      <c r="A1" s="70" t="s">
        <v>721</v>
      </c>
    </row>
    <row r="2" spans="1:6">
      <c r="C2" s="71" t="s">
        <v>967</v>
      </c>
    </row>
    <row r="3" spans="1:6">
      <c r="A3" s="73" t="s">
        <v>722</v>
      </c>
    </row>
    <row r="4" spans="1:6">
      <c r="A4" s="8" t="s">
        <v>477</v>
      </c>
      <c r="B4" s="8" t="s">
        <v>723</v>
      </c>
      <c r="C4" s="8" t="s">
        <v>724</v>
      </c>
      <c r="D4" s="8"/>
    </row>
    <row r="5" spans="1:6">
      <c r="A5" s="72" t="s">
        <v>725</v>
      </c>
      <c r="B5" s="72" t="s">
        <v>726</v>
      </c>
      <c r="C5" s="72" t="s">
        <v>727</v>
      </c>
      <c r="D5" s="72"/>
    </row>
    <row r="6" spans="1:6">
      <c r="A6" s="72" t="s">
        <v>728</v>
      </c>
      <c r="B6" s="72" t="s">
        <v>729</v>
      </c>
      <c r="C6" s="72" t="s">
        <v>730</v>
      </c>
      <c r="D6" s="72"/>
    </row>
    <row r="7" spans="1:6">
      <c r="A7" s="72" t="s">
        <v>731</v>
      </c>
      <c r="B7" s="72" t="s">
        <v>732</v>
      </c>
      <c r="C7" s="72" t="s">
        <v>733</v>
      </c>
      <c r="D7" s="72"/>
    </row>
    <row r="8" spans="1:6">
      <c r="A8" s="72" t="s">
        <v>538</v>
      </c>
      <c r="B8" s="72" t="s">
        <v>2360</v>
      </c>
      <c r="C8" s="72" t="s">
        <v>734</v>
      </c>
      <c r="D8" s="72"/>
    </row>
    <row r="9" spans="1:6">
      <c r="A9" s="72" t="s">
        <v>539</v>
      </c>
      <c r="B9" s="72" t="s">
        <v>735</v>
      </c>
      <c r="C9" s="72" t="s">
        <v>736</v>
      </c>
      <c r="D9" s="72"/>
    </row>
    <row r="11" spans="1:6">
      <c r="A11" s="3" t="s">
        <v>2021</v>
      </c>
    </row>
    <row r="12" spans="1:6">
      <c r="A12" s="3" t="s">
        <v>737</v>
      </c>
    </row>
    <row r="15" spans="1:6">
      <c r="A15" s="73" t="s">
        <v>738</v>
      </c>
    </row>
    <row r="16" spans="1:6">
      <c r="A16" s="8" t="s">
        <v>494</v>
      </c>
      <c r="B16" s="8" t="s">
        <v>554</v>
      </c>
      <c r="C16" s="8" t="s">
        <v>739</v>
      </c>
      <c r="D16" s="8" t="s">
        <v>740</v>
      </c>
      <c r="E16" s="8" t="s">
        <v>741</v>
      </c>
      <c r="F16" s="8"/>
    </row>
    <row r="17" spans="1:6">
      <c r="A17" s="72">
        <v>1</v>
      </c>
      <c r="B17" s="72" t="s">
        <v>2361</v>
      </c>
      <c r="C17" s="72" t="s">
        <v>742</v>
      </c>
      <c r="D17" s="72" t="s">
        <v>2362</v>
      </c>
      <c r="E17" s="72" t="s">
        <v>2363</v>
      </c>
      <c r="F17" s="72"/>
    </row>
    <row r="18" spans="1:6">
      <c r="A18" s="72" t="s">
        <v>49</v>
      </c>
      <c r="B18" s="72" t="s">
        <v>1191</v>
      </c>
      <c r="C18" s="72" t="s">
        <v>743</v>
      </c>
      <c r="D18" s="72" t="s">
        <v>744</v>
      </c>
      <c r="E18" s="72" t="s">
        <v>745</v>
      </c>
      <c r="F18" s="72"/>
    </row>
    <row r="19" spans="1:6">
      <c r="A19" s="72" t="s">
        <v>49</v>
      </c>
      <c r="B19" s="72" t="s">
        <v>1192</v>
      </c>
      <c r="C19" s="72" t="s">
        <v>746</v>
      </c>
      <c r="D19" s="72" t="s">
        <v>747</v>
      </c>
      <c r="E19" s="72" t="s">
        <v>745</v>
      </c>
      <c r="F19" s="72"/>
    </row>
    <row r="21" spans="1:6">
      <c r="A21" s="106" t="s">
        <v>1193</v>
      </c>
    </row>
    <row r="24" spans="1:6" ht="21" thickBot="1">
      <c r="A24" s="73" t="s">
        <v>748</v>
      </c>
    </row>
    <row r="25" spans="1:6" ht="22" customHeight="1">
      <c r="A25" s="107" t="s">
        <v>749</v>
      </c>
      <c r="B25" s="113"/>
      <c r="C25" s="114"/>
    </row>
    <row r="26" spans="1:6" ht="22" customHeight="1">
      <c r="A26" s="108" t="s">
        <v>2364</v>
      </c>
      <c r="B26" s="94"/>
      <c r="C26" s="115"/>
    </row>
    <row r="27" spans="1:6" ht="22" customHeight="1">
      <c r="A27" s="108"/>
      <c r="B27" s="94"/>
      <c r="C27" s="115"/>
    </row>
    <row r="28" spans="1:6" ht="22" customHeight="1" thickBot="1">
      <c r="A28" s="109" t="s">
        <v>476</v>
      </c>
      <c r="B28" s="116"/>
      <c r="C28" s="117"/>
    </row>
    <row r="30" spans="1:6">
      <c r="A30" s="3" t="s">
        <v>750</v>
      </c>
    </row>
    <row r="32" spans="1:6">
      <c r="A32" s="118" t="s">
        <v>2365</v>
      </c>
      <c r="B32" s="121"/>
    </row>
    <row r="33" spans="1:3">
      <c r="A33" s="118" t="s">
        <v>10</v>
      </c>
      <c r="B33" s="121"/>
    </row>
    <row r="34" spans="1:3">
      <c r="A34" s="118" t="s">
        <v>21</v>
      </c>
      <c r="B34" s="121"/>
    </row>
    <row r="35" spans="1:3">
      <c r="A35" s="118" t="s">
        <v>2366</v>
      </c>
      <c r="B35" s="121"/>
    </row>
    <row r="36" spans="1:3">
      <c r="A36" s="118" t="s">
        <v>2367</v>
      </c>
      <c r="B36" s="121"/>
    </row>
    <row r="37" spans="1:3">
      <c r="A37" s="118" t="s">
        <v>2368</v>
      </c>
      <c r="B37" s="121"/>
    </row>
    <row r="38" spans="1:3">
      <c r="A38" s="118" t="s">
        <v>2369</v>
      </c>
      <c r="B38" s="121"/>
    </row>
    <row r="39" spans="1:3">
      <c r="A39" s="118" t="s">
        <v>2370</v>
      </c>
      <c r="B39" s="121"/>
    </row>
    <row r="40" spans="1:3">
      <c r="A40" s="118" t="s">
        <v>2371</v>
      </c>
      <c r="B40" s="121"/>
    </row>
    <row r="41" spans="1:3">
      <c r="A41" s="118" t="s">
        <v>2367</v>
      </c>
      <c r="B41" s="121"/>
    </row>
    <row r="42" spans="1:3">
      <c r="A42" s="118" t="s">
        <v>2368</v>
      </c>
      <c r="B42" s="121"/>
    </row>
    <row r="43" spans="1:3">
      <c r="A43" s="118" t="s">
        <v>2372</v>
      </c>
      <c r="B43" s="121"/>
    </row>
    <row r="44" spans="1:3">
      <c r="A44" s="118" t="s">
        <v>2373</v>
      </c>
      <c r="B44" s="121"/>
    </row>
    <row r="45" spans="1:3">
      <c r="A45" s="118" t="s">
        <v>2374</v>
      </c>
      <c r="B45" s="121"/>
    </row>
    <row r="46" spans="1:3">
      <c r="A46" s="118" t="s">
        <v>2375</v>
      </c>
      <c r="B46" s="121"/>
    </row>
    <row r="47" spans="1:3">
      <c r="A47" s="118" t="s">
        <v>11</v>
      </c>
    </row>
    <row r="48" spans="1:3">
      <c r="A48" s="120" t="s">
        <v>752</v>
      </c>
      <c r="B48" s="121"/>
      <c r="C48" s="121"/>
    </row>
    <row r="49" spans="1:3">
      <c r="A49" s="120" t="s">
        <v>154</v>
      </c>
      <c r="B49" s="121"/>
      <c r="C49" s="121"/>
    </row>
    <row r="50" spans="1:3">
      <c r="A50" s="120" t="s">
        <v>751</v>
      </c>
      <c r="B50" s="121"/>
      <c r="C50" s="121"/>
    </row>
    <row r="51" spans="1:3">
      <c r="A51" s="120" t="s">
        <v>753</v>
      </c>
      <c r="B51" s="121"/>
      <c r="C51" s="121"/>
    </row>
    <row r="52" spans="1:3">
      <c r="A52" s="120" t="s">
        <v>754</v>
      </c>
      <c r="B52" s="121"/>
      <c r="C52" s="121"/>
    </row>
    <row r="53" spans="1:3">
      <c r="A53" s="120" t="s">
        <v>755</v>
      </c>
      <c r="B53" s="121"/>
      <c r="C53" s="121"/>
    </row>
    <row r="54" spans="1:3">
      <c r="A54" s="120" t="s">
        <v>155</v>
      </c>
      <c r="B54" s="121"/>
      <c r="C54" s="121"/>
    </row>
    <row r="56" spans="1:3">
      <c r="A56" s="3" t="s">
        <v>2376</v>
      </c>
    </row>
    <row r="57" spans="1:3">
      <c r="A57" s="3" t="s">
        <v>756</v>
      </c>
    </row>
    <row r="58" spans="1:3">
      <c r="A58" s="3" t="s">
        <v>2377</v>
      </c>
    </row>
    <row r="59" spans="1:3">
      <c r="A59" s="3" t="s">
        <v>2378</v>
      </c>
    </row>
    <row r="60" spans="1:3">
      <c r="A60" s="73" t="s">
        <v>2379</v>
      </c>
    </row>
    <row r="61" spans="1:3">
      <c r="A61" s="71" t="s">
        <v>2380</v>
      </c>
    </row>
    <row r="62" spans="1:3">
      <c r="A62" s="118" t="s">
        <v>2381</v>
      </c>
    </row>
    <row r="63" spans="1:3">
      <c r="A63" s="118" t="s">
        <v>10</v>
      </c>
    </row>
    <row r="64" spans="1:3">
      <c r="A64" s="118" t="s">
        <v>21</v>
      </c>
    </row>
    <row r="65" spans="1:5">
      <c r="A65" s="118" t="s">
        <v>22</v>
      </c>
    </row>
    <row r="66" spans="1:5">
      <c r="A66" s="118" t="s">
        <v>23</v>
      </c>
    </row>
    <row r="67" spans="1:5">
      <c r="A67" s="118" t="s">
        <v>2382</v>
      </c>
    </row>
    <row r="68" spans="1:5">
      <c r="A68" s="118" t="s">
        <v>2383</v>
      </c>
    </row>
    <row r="69" spans="1:5">
      <c r="A69" s="118" t="s">
        <v>24</v>
      </c>
    </row>
    <row r="70" spans="1:5">
      <c r="A70" s="118" t="s">
        <v>11</v>
      </c>
    </row>
    <row r="71" spans="1:5" ht="126">
      <c r="A71" s="17" t="s">
        <v>2384</v>
      </c>
    </row>
    <row r="72" spans="1:5" ht="84">
      <c r="A72" s="17" t="s">
        <v>2385</v>
      </c>
    </row>
    <row r="73" spans="1:5">
      <c r="A73" s="74" t="s">
        <v>757</v>
      </c>
    </row>
    <row r="74" spans="1:5">
      <c r="A74" s="8" t="s">
        <v>449</v>
      </c>
      <c r="B74" s="8" t="s">
        <v>758</v>
      </c>
      <c r="C74" s="8" t="s">
        <v>759</v>
      </c>
      <c r="D74" s="8" t="s">
        <v>741</v>
      </c>
      <c r="E74" s="6"/>
    </row>
    <row r="75" spans="1:5">
      <c r="A75" s="72" t="s">
        <v>725</v>
      </c>
      <c r="B75" s="72" t="s">
        <v>760</v>
      </c>
      <c r="C75" s="72" t="s">
        <v>71</v>
      </c>
      <c r="D75" s="72" t="s">
        <v>1194</v>
      </c>
      <c r="E75" s="126"/>
    </row>
    <row r="76" spans="1:5">
      <c r="A76" s="72" t="s">
        <v>725</v>
      </c>
      <c r="B76" s="72" t="s">
        <v>761</v>
      </c>
      <c r="C76" s="72" t="s">
        <v>438</v>
      </c>
      <c r="D76" s="72" t="s">
        <v>762</v>
      </c>
      <c r="E76" s="126"/>
    </row>
    <row r="77" spans="1:5">
      <c r="A77" s="72" t="s">
        <v>725</v>
      </c>
      <c r="B77" s="72" t="s">
        <v>763</v>
      </c>
      <c r="C77" s="72" t="s">
        <v>600</v>
      </c>
      <c r="D77" s="72" t="s">
        <v>764</v>
      </c>
      <c r="E77" s="126"/>
    </row>
    <row r="78" spans="1:5" ht="42">
      <c r="A78" s="9" t="s">
        <v>765</v>
      </c>
      <c r="B78" s="9" t="s">
        <v>90</v>
      </c>
      <c r="C78" s="9" t="s">
        <v>766</v>
      </c>
      <c r="D78" s="9" t="s">
        <v>2386</v>
      </c>
      <c r="E78" s="126"/>
    </row>
    <row r="79" spans="1:5" ht="42">
      <c r="A79" s="9" t="s">
        <v>25</v>
      </c>
      <c r="B79" s="9" t="s">
        <v>2259</v>
      </c>
      <c r="C79" s="9" t="s">
        <v>2387</v>
      </c>
      <c r="D79" s="9" t="s">
        <v>2388</v>
      </c>
      <c r="E79" s="125"/>
    </row>
    <row r="80" spans="1:5" ht="42">
      <c r="A80" s="9" t="s">
        <v>25</v>
      </c>
      <c r="B80" s="9" t="s">
        <v>2254</v>
      </c>
      <c r="C80" s="9" t="s">
        <v>2389</v>
      </c>
      <c r="D80" s="9" t="s">
        <v>1</v>
      </c>
      <c r="E80" s="125"/>
    </row>
    <row r="82" spans="1:4">
      <c r="A82" s="106" t="s">
        <v>2390</v>
      </c>
    </row>
    <row r="84" spans="1:4">
      <c r="A84" s="69" t="s">
        <v>767</v>
      </c>
    </row>
    <row r="85" spans="1:4">
      <c r="A85" s="8" t="s">
        <v>768</v>
      </c>
      <c r="B85" s="8" t="s">
        <v>740</v>
      </c>
      <c r="C85" s="8" t="s">
        <v>47</v>
      </c>
      <c r="D85" s="8"/>
    </row>
    <row r="86" spans="1:4">
      <c r="A86" s="72" t="s">
        <v>90</v>
      </c>
      <c r="B86" s="72" t="s">
        <v>769</v>
      </c>
      <c r="C86" s="72" t="s">
        <v>770</v>
      </c>
      <c r="D86" s="72"/>
    </row>
    <row r="87" spans="1:4">
      <c r="A87" s="72" t="s">
        <v>86</v>
      </c>
      <c r="B87" s="72" t="s">
        <v>771</v>
      </c>
      <c r="C87" s="72" t="s">
        <v>772</v>
      </c>
    </row>
    <row r="90" spans="1:4">
      <c r="A90" s="73" t="s">
        <v>773</v>
      </c>
    </row>
    <row r="91" spans="1:4">
      <c r="A91" s="8" t="s">
        <v>774</v>
      </c>
      <c r="B91" s="8" t="s">
        <v>554</v>
      </c>
      <c r="C91" s="8" t="s">
        <v>741</v>
      </c>
      <c r="D91" s="8"/>
    </row>
    <row r="92" spans="1:4">
      <c r="A92" s="72" t="s">
        <v>71</v>
      </c>
      <c r="B92" s="72" t="s">
        <v>775</v>
      </c>
      <c r="C92" s="72" t="s">
        <v>776</v>
      </c>
      <c r="D92" s="72"/>
    </row>
    <row r="93" spans="1:4">
      <c r="A93" s="72" t="s">
        <v>777</v>
      </c>
      <c r="B93" s="72" t="s">
        <v>778</v>
      </c>
      <c r="C93" s="72" t="s">
        <v>779</v>
      </c>
      <c r="D93" s="72"/>
    </row>
    <row r="95" spans="1:4">
      <c r="A95" s="3" t="s">
        <v>780</v>
      </c>
    </row>
    <row r="98" spans="1:3">
      <c r="A98" s="73" t="s">
        <v>781</v>
      </c>
    </row>
    <row r="99" spans="1:3">
      <c r="A99" s="8" t="s">
        <v>392</v>
      </c>
      <c r="B99" s="8" t="s">
        <v>47</v>
      </c>
      <c r="C99" s="8"/>
    </row>
    <row r="100" spans="1:3">
      <c r="A100" s="72" t="s">
        <v>782</v>
      </c>
      <c r="B100" s="72" t="s">
        <v>783</v>
      </c>
      <c r="C100" s="72"/>
    </row>
    <row r="101" spans="1:3">
      <c r="A101" s="72" t="s">
        <v>784</v>
      </c>
      <c r="B101" s="72" t="s">
        <v>785</v>
      </c>
      <c r="C101" s="72"/>
    </row>
    <row r="102" spans="1:3">
      <c r="A102" s="72" t="s">
        <v>786</v>
      </c>
      <c r="B102" s="72" t="s">
        <v>1195</v>
      </c>
      <c r="C102" s="72"/>
    </row>
    <row r="103" spans="1:3">
      <c r="A103" s="72" t="s">
        <v>787</v>
      </c>
      <c r="B103" s="72" t="s">
        <v>1196</v>
      </c>
      <c r="C103" s="72"/>
    </row>
    <row r="104" spans="1:3">
      <c r="A104" s="72" t="s">
        <v>788</v>
      </c>
      <c r="B104" s="72" t="s">
        <v>2022</v>
      </c>
      <c r="C104" s="72"/>
    </row>
    <row r="105" spans="1:3">
      <c r="A105" s="119" t="s">
        <v>789</v>
      </c>
      <c r="B105" s="119" t="s">
        <v>790</v>
      </c>
      <c r="C105" s="119"/>
    </row>
    <row r="107" spans="1:3">
      <c r="A107" s="3" t="s">
        <v>791</v>
      </c>
    </row>
    <row r="108" spans="1:3">
      <c r="A108" s="3" t="s">
        <v>792</v>
      </c>
    </row>
    <row r="109" spans="1:3">
      <c r="A109" s="3" t="s">
        <v>793</v>
      </c>
    </row>
    <row r="112" spans="1:3" ht="21" thickBot="1">
      <c r="A112" s="74" t="s">
        <v>794</v>
      </c>
    </row>
    <row r="113" spans="1:3" ht="22" customHeight="1">
      <c r="A113" s="107" t="s">
        <v>795</v>
      </c>
      <c r="B113" s="113"/>
      <c r="C113" s="114"/>
    </row>
    <row r="114" spans="1:3" ht="22" customHeight="1">
      <c r="A114" s="108" t="s">
        <v>1197</v>
      </c>
      <c r="B114" s="94"/>
      <c r="C114" s="115"/>
    </row>
    <row r="115" spans="1:3" ht="22" customHeight="1">
      <c r="A115" s="108"/>
      <c r="B115" s="94"/>
      <c r="C115" s="115"/>
    </row>
    <row r="116" spans="1:3" ht="22" customHeight="1" thickBot="1">
      <c r="A116" s="109" t="s">
        <v>476</v>
      </c>
      <c r="B116" s="116"/>
      <c r="C116" s="117"/>
    </row>
    <row r="118" spans="1:3">
      <c r="A118" s="3" t="s">
        <v>1198</v>
      </c>
    </row>
    <row r="120" spans="1:3">
      <c r="A120" s="118" t="s">
        <v>796</v>
      </c>
    </row>
    <row r="121" spans="1:3">
      <c r="A121" s="118" t="s">
        <v>797</v>
      </c>
    </row>
    <row r="122" spans="1:3">
      <c r="A122" s="118" t="s">
        <v>798</v>
      </c>
    </row>
    <row r="123" spans="1:3">
      <c r="A123" s="118"/>
    </row>
    <row r="124" spans="1:3">
      <c r="A124" s="118" t="s">
        <v>1199</v>
      </c>
    </row>
    <row r="125" spans="1:3">
      <c r="A125" s="118" t="s">
        <v>799</v>
      </c>
    </row>
    <row r="126" spans="1:3">
      <c r="A126" s="118" t="s">
        <v>2023</v>
      </c>
    </row>
    <row r="128" spans="1:3">
      <c r="A128" s="40" t="s">
        <v>800</v>
      </c>
    </row>
    <row r="130" spans="1:5">
      <c r="A130" s="8" t="s">
        <v>449</v>
      </c>
      <c r="B130" s="8" t="s">
        <v>801</v>
      </c>
      <c r="C130" s="8" t="s">
        <v>47</v>
      </c>
      <c r="D130" s="8"/>
    </row>
    <row r="131" spans="1:5">
      <c r="A131" s="72" t="s">
        <v>802</v>
      </c>
      <c r="B131" s="72" t="s">
        <v>803</v>
      </c>
      <c r="C131" s="72" t="s">
        <v>804</v>
      </c>
      <c r="D131" s="72"/>
    </row>
    <row r="132" spans="1:5">
      <c r="A132" s="72" t="s">
        <v>802</v>
      </c>
      <c r="B132" s="72" t="s">
        <v>805</v>
      </c>
      <c r="C132" s="72" t="s">
        <v>806</v>
      </c>
      <c r="D132" s="72"/>
    </row>
    <row r="133" spans="1:5">
      <c r="A133" s="72" t="s">
        <v>802</v>
      </c>
      <c r="B133" s="72" t="s">
        <v>807</v>
      </c>
      <c r="C133" s="72" t="s">
        <v>808</v>
      </c>
      <c r="D133" s="72"/>
    </row>
    <row r="134" spans="1:5">
      <c r="A134" s="72" t="s">
        <v>802</v>
      </c>
      <c r="B134" s="72" t="s">
        <v>554</v>
      </c>
      <c r="C134" s="72" t="s">
        <v>809</v>
      </c>
      <c r="D134" s="72"/>
    </row>
    <row r="135" spans="1:5">
      <c r="A135" s="72" t="s">
        <v>810</v>
      </c>
      <c r="B135" s="72" t="s">
        <v>811</v>
      </c>
      <c r="C135" s="72" t="s">
        <v>812</v>
      </c>
      <c r="D135" s="72"/>
    </row>
    <row r="136" spans="1:5">
      <c r="A136" s="72" t="s">
        <v>810</v>
      </c>
      <c r="B136" s="72" t="s">
        <v>813</v>
      </c>
      <c r="C136" s="72" t="s">
        <v>814</v>
      </c>
      <c r="D136" s="72"/>
    </row>
    <row r="137" spans="1:5">
      <c r="A137" s="72" t="s">
        <v>810</v>
      </c>
      <c r="B137" s="72" t="s">
        <v>815</v>
      </c>
      <c r="C137" s="72" t="s">
        <v>816</v>
      </c>
      <c r="D137" s="72"/>
    </row>
    <row r="138" spans="1:5">
      <c r="A138" s="72" t="s">
        <v>810</v>
      </c>
      <c r="B138" s="72" t="s">
        <v>817</v>
      </c>
      <c r="C138" s="72" t="s">
        <v>818</v>
      </c>
      <c r="D138" s="72"/>
    </row>
    <row r="141" spans="1:5">
      <c r="A141" s="8" t="s">
        <v>819</v>
      </c>
      <c r="B141" s="8" t="s">
        <v>820</v>
      </c>
      <c r="C141" s="8" t="s">
        <v>821</v>
      </c>
      <c r="D141" s="8" t="s">
        <v>639</v>
      </c>
      <c r="E141" s="8"/>
    </row>
    <row r="142" spans="1:5">
      <c r="A142" s="72" t="s">
        <v>452</v>
      </c>
      <c r="B142" s="72" t="s">
        <v>822</v>
      </c>
      <c r="C142" s="72" t="s">
        <v>823</v>
      </c>
      <c r="D142" s="72" t="s">
        <v>824</v>
      </c>
      <c r="E142" s="72"/>
    </row>
    <row r="143" spans="1:5">
      <c r="A143" s="72" t="s">
        <v>461</v>
      </c>
      <c r="B143" s="72" t="s">
        <v>825</v>
      </c>
      <c r="C143" s="72" t="s">
        <v>826</v>
      </c>
      <c r="D143" s="72" t="s">
        <v>827</v>
      </c>
      <c r="E143" s="72"/>
    </row>
    <row r="145" spans="1:6">
      <c r="A145" s="3" t="s">
        <v>828</v>
      </c>
    </row>
    <row r="148" spans="1:6">
      <c r="A148" s="73" t="s">
        <v>829</v>
      </c>
    </row>
    <row r="149" spans="1:6">
      <c r="A149" s="8" t="s">
        <v>830</v>
      </c>
      <c r="B149" s="8" t="s">
        <v>831</v>
      </c>
      <c r="C149" s="8" t="s">
        <v>47</v>
      </c>
      <c r="D149" s="8"/>
    </row>
    <row r="150" spans="1:6">
      <c r="A150" s="72">
        <v>1</v>
      </c>
      <c r="B150" s="72" t="s">
        <v>832</v>
      </c>
      <c r="C150" s="72" t="s">
        <v>833</v>
      </c>
      <c r="D150" s="72"/>
    </row>
    <row r="151" spans="1:6">
      <c r="A151" s="72">
        <v>2</v>
      </c>
      <c r="B151" s="72" t="s">
        <v>834</v>
      </c>
      <c r="C151" s="72" t="s">
        <v>835</v>
      </c>
      <c r="D151" s="72"/>
    </row>
    <row r="152" spans="1:6">
      <c r="A152" s="72">
        <v>3</v>
      </c>
      <c r="B152" s="72" t="s">
        <v>836</v>
      </c>
      <c r="C152" s="72" t="s">
        <v>837</v>
      </c>
      <c r="D152" s="72"/>
    </row>
    <row r="154" spans="1:6">
      <c r="A154" s="3" t="s">
        <v>838</v>
      </c>
    </row>
    <row r="155" spans="1:6">
      <c r="A155" s="3" t="s">
        <v>839</v>
      </c>
    </row>
    <row r="156" spans="1:6">
      <c r="A156" s="3" t="s">
        <v>2040</v>
      </c>
    </row>
    <row r="159" spans="1:6">
      <c r="A159" s="74" t="s">
        <v>840</v>
      </c>
    </row>
    <row r="160" spans="1:6">
      <c r="A160" s="8" t="s">
        <v>235</v>
      </c>
      <c r="B160" s="8" t="s">
        <v>236</v>
      </c>
      <c r="C160" s="8" t="s">
        <v>841</v>
      </c>
      <c r="D160" s="8" t="s">
        <v>237</v>
      </c>
      <c r="E160" s="8" t="s">
        <v>842</v>
      </c>
      <c r="F160" s="8" t="s">
        <v>843</v>
      </c>
    </row>
    <row r="161" spans="1:6">
      <c r="A161" s="72" t="s">
        <v>242</v>
      </c>
      <c r="B161" s="72" t="s">
        <v>243</v>
      </c>
      <c r="C161" s="72" t="s">
        <v>844</v>
      </c>
      <c r="D161" s="72" t="s">
        <v>244</v>
      </c>
      <c r="E161" s="72" t="s">
        <v>845</v>
      </c>
      <c r="F161" s="72" t="s">
        <v>846</v>
      </c>
    </row>
    <row r="162" spans="1:6">
      <c r="A162" s="72" t="s">
        <v>247</v>
      </c>
      <c r="B162" s="72" t="s">
        <v>248</v>
      </c>
      <c r="C162" s="72" t="s">
        <v>847</v>
      </c>
      <c r="D162" s="72" t="s">
        <v>848</v>
      </c>
      <c r="E162" s="72" t="s">
        <v>849</v>
      </c>
      <c r="F162" s="72" t="s">
        <v>850</v>
      </c>
    </row>
    <row r="163" spans="1:6">
      <c r="A163" s="72" t="s">
        <v>252</v>
      </c>
      <c r="B163" s="72" t="s">
        <v>253</v>
      </c>
      <c r="C163" s="72" t="s">
        <v>851</v>
      </c>
      <c r="D163" s="72" t="s">
        <v>254</v>
      </c>
      <c r="E163" s="72" t="s">
        <v>852</v>
      </c>
      <c r="F163" s="72" t="s">
        <v>853</v>
      </c>
    </row>
    <row r="164" spans="1:6">
      <c r="A164" s="72" t="s">
        <v>239</v>
      </c>
      <c r="B164" s="72" t="s">
        <v>49</v>
      </c>
      <c r="C164" s="72" t="s">
        <v>49</v>
      </c>
      <c r="D164" s="72" t="s">
        <v>240</v>
      </c>
      <c r="E164" s="72" t="s">
        <v>49</v>
      </c>
      <c r="F164" s="72" t="s">
        <v>854</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F90"/>
  <sheetViews>
    <sheetView tabSelected="1" workbookViewId="0">
      <selection activeCell="C13" sqref="C13"/>
    </sheetView>
  </sheetViews>
  <sheetFormatPr baseColWidth="10" defaultRowHeight="26" customHeight="1"/>
  <cols>
    <col min="1" max="1" width="41.42578125" style="55" customWidth="1"/>
    <col min="2" max="2" width="60" style="55" customWidth="1"/>
    <col min="3" max="3" width="67.140625" style="55" customWidth="1"/>
    <col min="4" max="16384" width="10.7109375" style="55"/>
  </cols>
  <sheetData>
    <row r="1" spans="1:6" ht="26" customHeight="1">
      <c r="A1" s="1" t="s">
        <v>27</v>
      </c>
      <c r="B1"/>
      <c r="C1"/>
      <c r="D1"/>
      <c r="E1"/>
      <c r="F1"/>
    </row>
    <row r="2" spans="1:6" ht="26" customHeight="1">
      <c r="A2" s="4" t="s">
        <v>2391</v>
      </c>
      <c r="B2"/>
      <c r="C2"/>
      <c r="D2"/>
      <c r="E2"/>
      <c r="F2"/>
    </row>
    <row r="3" spans="1:6" ht="26" customHeight="1">
      <c r="A3"/>
      <c r="B3"/>
      <c r="C3"/>
      <c r="D3"/>
      <c r="E3"/>
      <c r="F3"/>
    </row>
    <row r="4" spans="1:6" ht="26" customHeight="1">
      <c r="A4" s="2" t="s">
        <v>28</v>
      </c>
      <c r="B4"/>
      <c r="C4"/>
      <c r="D4"/>
      <c r="E4"/>
      <c r="F4"/>
    </row>
    <row r="5" spans="1:6" ht="26" customHeight="1">
      <c r="A5" s="59" t="s">
        <v>29</v>
      </c>
      <c r="B5" s="59" t="s">
        <v>30</v>
      </c>
      <c r="C5" s="59" t="s">
        <v>31</v>
      </c>
      <c r="D5"/>
      <c r="E5"/>
      <c r="F5"/>
    </row>
    <row r="6" spans="1:6" ht="26" customHeight="1">
      <c r="A6" s="9">
        <v>1</v>
      </c>
      <c r="B6" s="9" t="s">
        <v>32</v>
      </c>
      <c r="C6" s="9" t="s">
        <v>944</v>
      </c>
      <c r="D6"/>
      <c r="E6"/>
      <c r="F6"/>
    </row>
    <row r="7" spans="1:6" ht="26" customHeight="1">
      <c r="A7" s="9">
        <v>2</v>
      </c>
      <c r="B7" s="9" t="s">
        <v>2392</v>
      </c>
      <c r="C7" s="9" t="s">
        <v>2393</v>
      </c>
      <c r="D7"/>
      <c r="E7"/>
      <c r="F7"/>
    </row>
    <row r="8" spans="1:6" ht="26" customHeight="1">
      <c r="A8" s="9">
        <v>3</v>
      </c>
      <c r="B8" s="9" t="s">
        <v>33</v>
      </c>
      <c r="C8" s="9" t="s">
        <v>2394</v>
      </c>
      <c r="D8"/>
      <c r="E8"/>
      <c r="F8"/>
    </row>
    <row r="9" spans="1:6" ht="26" customHeight="1">
      <c r="A9"/>
      <c r="B9"/>
      <c r="C9"/>
      <c r="D9"/>
      <c r="E9"/>
      <c r="F9"/>
    </row>
    <row r="10" spans="1:6" ht="26" customHeight="1">
      <c r="A10" s="38" t="s">
        <v>2395</v>
      </c>
      <c r="B10"/>
      <c r="C10"/>
      <c r="D10"/>
      <c r="E10"/>
      <c r="F10"/>
    </row>
    <row r="11" spans="1:6" ht="26" customHeight="1">
      <c r="A11"/>
      <c r="B11"/>
      <c r="C11"/>
      <c r="D11"/>
      <c r="E11"/>
      <c r="F11"/>
    </row>
    <row r="12" spans="1:6" ht="26" customHeight="1">
      <c r="A12" s="24" t="s">
        <v>2396</v>
      </c>
      <c r="B12"/>
      <c r="C12"/>
      <c r="D12"/>
      <c r="E12"/>
      <c r="F12"/>
    </row>
    <row r="13" spans="1:6" ht="26" customHeight="1">
      <c r="A13"/>
      <c r="B13"/>
      <c r="C13"/>
      <c r="D13"/>
      <c r="E13"/>
      <c r="F13"/>
    </row>
    <row r="14" spans="1:6" ht="26" customHeight="1">
      <c r="A14" s="2" t="s">
        <v>2397</v>
      </c>
      <c r="B14"/>
      <c r="C14"/>
      <c r="D14"/>
      <c r="E14"/>
      <c r="F14"/>
    </row>
    <row r="15" spans="1:6" ht="26" customHeight="1">
      <c r="A15" s="59" t="s">
        <v>46</v>
      </c>
      <c r="B15" s="59" t="s">
        <v>855</v>
      </c>
      <c r="C15"/>
      <c r="D15"/>
      <c r="E15"/>
      <c r="F15"/>
    </row>
    <row r="16" spans="1:6" ht="26" customHeight="1">
      <c r="A16" s="9" t="s">
        <v>856</v>
      </c>
      <c r="B16" s="9" t="s">
        <v>2399</v>
      </c>
      <c r="C16"/>
      <c r="D16"/>
      <c r="E16"/>
      <c r="F16"/>
    </row>
    <row r="17" spans="1:6" ht="26" customHeight="1">
      <c r="A17" s="9" t="s">
        <v>857</v>
      </c>
      <c r="B17" s="9" t="s">
        <v>2400</v>
      </c>
      <c r="C17"/>
      <c r="D17"/>
      <c r="E17"/>
      <c r="F17"/>
    </row>
    <row r="18" spans="1:6" ht="26" customHeight="1">
      <c r="A18" s="9" t="s">
        <v>858</v>
      </c>
      <c r="B18" s="9" t="s">
        <v>2401</v>
      </c>
      <c r="C18"/>
      <c r="D18"/>
      <c r="E18"/>
      <c r="F18"/>
    </row>
    <row r="19" spans="1:6" ht="26" customHeight="1">
      <c r="A19" s="9" t="s">
        <v>859</v>
      </c>
      <c r="B19" s="9" t="s">
        <v>2402</v>
      </c>
      <c r="C19"/>
      <c r="D19"/>
      <c r="E19"/>
      <c r="F19"/>
    </row>
    <row r="20" spans="1:6" ht="26" customHeight="1">
      <c r="A20" s="9" t="s">
        <v>860</v>
      </c>
      <c r="B20" s="9" t="s">
        <v>2403</v>
      </c>
      <c r="C20"/>
      <c r="D20"/>
      <c r="E20"/>
      <c r="F20"/>
    </row>
    <row r="21" spans="1:6" ht="26" customHeight="1">
      <c r="A21"/>
      <c r="B21"/>
      <c r="C21"/>
      <c r="D21"/>
      <c r="E21"/>
      <c r="F21"/>
    </row>
    <row r="22" spans="1:6" ht="26" customHeight="1">
      <c r="A22" s="12" t="s">
        <v>2398</v>
      </c>
      <c r="B22"/>
      <c r="C22"/>
      <c r="D22"/>
      <c r="E22"/>
      <c r="F22"/>
    </row>
    <row r="23" spans="1:6" ht="26" customHeight="1">
      <c r="A23" s="36" t="s">
        <v>2404</v>
      </c>
      <c r="B23"/>
      <c r="C23"/>
      <c r="D23"/>
      <c r="E23"/>
      <c r="F23"/>
    </row>
    <row r="24" spans="1:6" ht="26" customHeight="1">
      <c r="A24" s="36" t="s">
        <v>2332</v>
      </c>
      <c r="B24"/>
      <c r="C24"/>
      <c r="D24"/>
      <c r="E24"/>
      <c r="F24"/>
    </row>
    <row r="25" spans="1:6" ht="26" customHeight="1">
      <c r="A25" s="36" t="s">
        <v>2405</v>
      </c>
      <c r="B25"/>
      <c r="C25"/>
      <c r="D25"/>
      <c r="E25"/>
      <c r="F25"/>
    </row>
    <row r="26" spans="1:6" ht="26" customHeight="1">
      <c r="A26" s="36" t="s">
        <v>2406</v>
      </c>
      <c r="B26"/>
      <c r="C26"/>
      <c r="D26"/>
      <c r="E26"/>
      <c r="F26"/>
    </row>
    <row r="27" spans="1:6" ht="26" customHeight="1">
      <c r="A27" s="36" t="s">
        <v>2335</v>
      </c>
      <c r="B27"/>
      <c r="C27"/>
      <c r="D27"/>
      <c r="E27"/>
      <c r="F27"/>
    </row>
    <row r="28" spans="1:6" ht="26" customHeight="1">
      <c r="A28"/>
      <c r="B28"/>
      <c r="C28"/>
      <c r="D28"/>
      <c r="E28"/>
      <c r="F28"/>
    </row>
    <row r="29" spans="1:6" ht="26" customHeight="1">
      <c r="A29" s="41" t="s">
        <v>2407</v>
      </c>
      <c r="B29"/>
      <c r="C29"/>
      <c r="D29"/>
      <c r="E29"/>
      <c r="F29"/>
    </row>
    <row r="30" spans="1:6" ht="26" customHeight="1">
      <c r="A30"/>
      <c r="B30"/>
      <c r="C30"/>
      <c r="D30"/>
      <c r="E30"/>
      <c r="F30"/>
    </row>
    <row r="31" spans="1:6" ht="26" customHeight="1">
      <c r="A31" s="2" t="s">
        <v>2408</v>
      </c>
      <c r="B31"/>
      <c r="C31"/>
      <c r="D31"/>
      <c r="E31"/>
      <c r="F31"/>
    </row>
    <row r="32" spans="1:6" ht="26" customHeight="1">
      <c r="A32" s="36" t="s">
        <v>2336</v>
      </c>
      <c r="B32"/>
      <c r="C32"/>
      <c r="D32"/>
      <c r="E32"/>
      <c r="F32"/>
    </row>
    <row r="33" spans="1:6" ht="26" customHeight="1">
      <c r="A33" s="36" t="s">
        <v>2337</v>
      </c>
      <c r="B33"/>
      <c r="C33"/>
      <c r="D33"/>
      <c r="E33"/>
      <c r="F33"/>
    </row>
    <row r="34" spans="1:6" ht="26" customHeight="1">
      <c r="A34" s="36" t="s">
        <v>12</v>
      </c>
      <c r="B34"/>
      <c r="C34"/>
      <c r="D34"/>
      <c r="E34"/>
      <c r="F34"/>
    </row>
    <row r="35" spans="1:6" ht="26" customHeight="1">
      <c r="A35" s="36" t="s">
        <v>13</v>
      </c>
      <c r="B35"/>
      <c r="C35"/>
      <c r="D35"/>
      <c r="E35"/>
      <c r="F35"/>
    </row>
    <row r="36" spans="1:6" ht="26" customHeight="1">
      <c r="A36" s="36" t="s">
        <v>2338</v>
      </c>
      <c r="B36"/>
      <c r="C36"/>
      <c r="D36"/>
      <c r="E36"/>
      <c r="F36"/>
    </row>
    <row r="37" spans="1:6" ht="26" customHeight="1">
      <c r="A37" s="36" t="s">
        <v>34</v>
      </c>
      <c r="B37"/>
      <c r="C37"/>
      <c r="D37"/>
      <c r="E37"/>
      <c r="F37"/>
    </row>
    <row r="38" spans="1:6" ht="26" customHeight="1">
      <c r="A38" s="36" t="s">
        <v>14</v>
      </c>
      <c r="B38"/>
      <c r="C38"/>
      <c r="D38"/>
      <c r="E38"/>
      <c r="F38"/>
    </row>
    <row r="39" spans="1:6" ht="26" customHeight="1">
      <c r="A39" s="36" t="s">
        <v>15</v>
      </c>
      <c r="B39"/>
      <c r="C39"/>
      <c r="D39"/>
      <c r="E39"/>
      <c r="F39"/>
    </row>
    <row r="40" spans="1:6" ht="26" customHeight="1">
      <c r="A40" s="36" t="s">
        <v>16</v>
      </c>
      <c r="B40"/>
      <c r="C40"/>
      <c r="D40"/>
      <c r="E40"/>
      <c r="F40"/>
    </row>
    <row r="41" spans="1:6" ht="20">
      <c r="A41" s="36" t="s">
        <v>35</v>
      </c>
      <c r="B41"/>
      <c r="C41"/>
      <c r="D41"/>
      <c r="E41"/>
      <c r="F41"/>
    </row>
    <row r="42" spans="1:6" ht="20">
      <c r="A42"/>
      <c r="B42"/>
      <c r="C42"/>
      <c r="D42"/>
      <c r="E42"/>
      <c r="F42"/>
    </row>
    <row r="43" spans="1:6" ht="21">
      <c r="A43" s="59" t="s">
        <v>0</v>
      </c>
      <c r="B43" s="59" t="s">
        <v>2409</v>
      </c>
      <c r="C43" s="59" t="s">
        <v>36</v>
      </c>
      <c r="D43"/>
      <c r="E43"/>
      <c r="F43"/>
    </row>
    <row r="44" spans="1:6" ht="21">
      <c r="A44" s="9" t="s">
        <v>2339</v>
      </c>
      <c r="B44" s="9" t="s">
        <v>2410</v>
      </c>
      <c r="C44" s="9" t="s">
        <v>2411</v>
      </c>
      <c r="D44"/>
      <c r="E44"/>
      <c r="F44"/>
    </row>
    <row r="45" spans="1:6" ht="21">
      <c r="A45" s="9" t="s">
        <v>7</v>
      </c>
      <c r="B45" s="9" t="s">
        <v>2412</v>
      </c>
      <c r="C45" s="9" t="s">
        <v>2413</v>
      </c>
      <c r="D45"/>
      <c r="E45"/>
      <c r="F45"/>
    </row>
    <row r="46" spans="1:6" ht="21">
      <c r="A46" s="9" t="s">
        <v>9</v>
      </c>
      <c r="B46" s="9" t="s">
        <v>2414</v>
      </c>
      <c r="C46" s="9" t="s">
        <v>2415</v>
      </c>
      <c r="D46"/>
      <c r="E46"/>
      <c r="F46"/>
    </row>
    <row r="47" spans="1:6" ht="26" customHeight="1">
      <c r="A47" s="9" t="s">
        <v>8</v>
      </c>
      <c r="B47" s="9" t="s">
        <v>2416</v>
      </c>
      <c r="C47" s="9" t="s">
        <v>2417</v>
      </c>
      <c r="D47"/>
      <c r="E47"/>
      <c r="F47"/>
    </row>
    <row r="48" spans="1:6" ht="26" customHeight="1">
      <c r="A48" s="9" t="s">
        <v>2345</v>
      </c>
      <c r="B48" s="9" t="s">
        <v>2418</v>
      </c>
      <c r="C48" s="9" t="s">
        <v>2419</v>
      </c>
      <c r="D48"/>
      <c r="E48"/>
      <c r="F48"/>
    </row>
    <row r="49" spans="1:6" ht="26" customHeight="1">
      <c r="A49" s="9" t="s">
        <v>2349</v>
      </c>
      <c r="B49" s="9" t="s">
        <v>2420</v>
      </c>
      <c r="C49" s="9" t="s">
        <v>2421</v>
      </c>
      <c r="D49"/>
      <c r="E49"/>
      <c r="F49"/>
    </row>
    <row r="50" spans="1:6" ht="26" customHeight="1">
      <c r="A50"/>
      <c r="B50"/>
      <c r="C50"/>
      <c r="D50"/>
      <c r="E50"/>
      <c r="F50"/>
    </row>
    <row r="51" spans="1:6" ht="26" customHeight="1">
      <c r="A51" s="12" t="s">
        <v>2422</v>
      </c>
      <c r="B51"/>
      <c r="C51"/>
      <c r="D51"/>
      <c r="E51"/>
      <c r="F51"/>
    </row>
    <row r="52" spans="1:6" ht="26" customHeight="1">
      <c r="A52" s="127" t="s">
        <v>945</v>
      </c>
      <c r="B52"/>
      <c r="C52"/>
      <c r="D52"/>
      <c r="E52"/>
      <c r="F52"/>
    </row>
    <row r="53" spans="1:6" ht="26" customHeight="1">
      <c r="A53"/>
      <c r="B53"/>
      <c r="C53"/>
      <c r="D53"/>
      <c r="E53"/>
      <c r="F53"/>
    </row>
    <row r="54" spans="1:6" ht="26" customHeight="1">
      <c r="A54" s="4" t="s">
        <v>946</v>
      </c>
      <c r="B54"/>
      <c r="C54"/>
      <c r="D54"/>
      <c r="E54"/>
      <c r="F54"/>
    </row>
    <row r="55" spans="1:6" ht="26" customHeight="1">
      <c r="A55" s="4" t="s">
        <v>947</v>
      </c>
      <c r="B55"/>
      <c r="C55"/>
      <c r="D55"/>
      <c r="E55"/>
      <c r="F55"/>
    </row>
    <row r="56" spans="1:6" ht="26" customHeight="1">
      <c r="A56" s="4" t="s">
        <v>948</v>
      </c>
      <c r="B56"/>
      <c r="C56"/>
      <c r="D56"/>
      <c r="E56"/>
      <c r="F56"/>
    </row>
    <row r="57" spans="1:6" ht="26" customHeight="1">
      <c r="A57"/>
      <c r="B57"/>
      <c r="C57"/>
      <c r="D57"/>
      <c r="E57"/>
      <c r="F57"/>
    </row>
    <row r="58" spans="1:6" ht="26" customHeight="1">
      <c r="A58" s="36" t="s">
        <v>17</v>
      </c>
      <c r="B58"/>
      <c r="C58"/>
      <c r="D58"/>
      <c r="E58"/>
      <c r="F58"/>
    </row>
    <row r="59" spans="1:6" ht="26" customHeight="1">
      <c r="A59" s="36" t="s">
        <v>19</v>
      </c>
      <c r="B59"/>
      <c r="C59"/>
      <c r="D59"/>
      <c r="E59"/>
      <c r="F59"/>
    </row>
    <row r="60" spans="1:6" ht="26" customHeight="1">
      <c r="A60" s="36" t="s">
        <v>18</v>
      </c>
      <c r="B60"/>
      <c r="C60"/>
      <c r="D60"/>
      <c r="E60"/>
      <c r="F60"/>
    </row>
    <row r="61" spans="1:6" ht="26" customHeight="1">
      <c r="A61" s="36" t="s">
        <v>37</v>
      </c>
      <c r="B61"/>
      <c r="C61"/>
      <c r="D61"/>
      <c r="E61"/>
      <c r="F61"/>
    </row>
    <row r="62" spans="1:6" ht="26" customHeight="1">
      <c r="A62"/>
      <c r="B62"/>
      <c r="C62"/>
      <c r="D62"/>
      <c r="E62"/>
      <c r="F62"/>
    </row>
    <row r="63" spans="1:6" ht="26" customHeight="1">
      <c r="A63" s="37" t="s">
        <v>2423</v>
      </c>
      <c r="B63"/>
      <c r="C63"/>
      <c r="D63"/>
      <c r="E63"/>
      <c r="F63"/>
    </row>
    <row r="64" spans="1:6" ht="26" customHeight="1">
      <c r="A64" s="59" t="s">
        <v>4</v>
      </c>
      <c r="B64" s="59" t="s">
        <v>38</v>
      </c>
      <c r="C64" s="59" t="s">
        <v>39</v>
      </c>
      <c r="D64"/>
      <c r="E64"/>
      <c r="F64"/>
    </row>
    <row r="65" spans="1:6" ht="26" customHeight="1">
      <c r="A65" s="9">
        <v>1</v>
      </c>
      <c r="B65" s="9" t="s">
        <v>2424</v>
      </c>
      <c r="C65" s="9" t="s">
        <v>1</v>
      </c>
      <c r="D65"/>
      <c r="E65"/>
      <c r="F65"/>
    </row>
    <row r="66" spans="1:6" ht="26" customHeight="1">
      <c r="A66" s="9">
        <v>2</v>
      </c>
      <c r="B66" s="9" t="s">
        <v>2425</v>
      </c>
      <c r="C66" s="9" t="s">
        <v>2426</v>
      </c>
      <c r="D66"/>
      <c r="E66"/>
      <c r="F66"/>
    </row>
    <row r="67" spans="1:6" ht="26" customHeight="1">
      <c r="A67" s="9">
        <v>3</v>
      </c>
      <c r="B67" s="9" t="s">
        <v>2427</v>
      </c>
      <c r="C67" s="9" t="s">
        <v>40</v>
      </c>
      <c r="D67"/>
      <c r="E67"/>
      <c r="F67"/>
    </row>
    <row r="68" spans="1:6" ht="26" customHeight="1">
      <c r="A68" s="9">
        <v>4</v>
      </c>
      <c r="B68" s="9" t="s">
        <v>2428</v>
      </c>
      <c r="C68" s="9" t="s">
        <v>41</v>
      </c>
      <c r="D68"/>
      <c r="E68"/>
      <c r="F68"/>
    </row>
    <row r="69" spans="1:6" ht="26" customHeight="1">
      <c r="A69"/>
      <c r="B69"/>
      <c r="C69"/>
      <c r="D69"/>
      <c r="E69"/>
      <c r="F69"/>
    </row>
    <row r="70" spans="1:6" ht="26" customHeight="1">
      <c r="A70" s="4" t="s">
        <v>2429</v>
      </c>
      <c r="B70"/>
      <c r="C70"/>
      <c r="D70"/>
      <c r="E70"/>
      <c r="F70"/>
    </row>
    <row r="71" spans="1:6" ht="26" customHeight="1">
      <c r="A71"/>
      <c r="B71"/>
      <c r="C71"/>
      <c r="D71"/>
      <c r="E71"/>
      <c r="F71"/>
    </row>
    <row r="72" spans="1:6" ht="26" customHeight="1">
      <c r="A72" s="2" t="s">
        <v>2430</v>
      </c>
      <c r="B72"/>
      <c r="C72"/>
      <c r="D72"/>
      <c r="E72"/>
      <c r="F72"/>
    </row>
    <row r="73" spans="1:6" ht="26" customHeight="1">
      <c r="A73" s="59" t="s">
        <v>2204</v>
      </c>
      <c r="B73" s="59" t="s">
        <v>2</v>
      </c>
      <c r="C73" s="59" t="s">
        <v>2205</v>
      </c>
      <c r="D73"/>
      <c r="E73"/>
      <c r="F73"/>
    </row>
    <row r="74" spans="1:6" ht="26" customHeight="1">
      <c r="A74" s="9" t="s">
        <v>20</v>
      </c>
      <c r="B74" s="9" t="s">
        <v>2206</v>
      </c>
      <c r="C74" s="9" t="s">
        <v>2431</v>
      </c>
      <c r="D74"/>
      <c r="E74"/>
      <c r="F74"/>
    </row>
    <row r="75" spans="1:6" ht="26" customHeight="1">
      <c r="A75" s="9" t="s">
        <v>2207</v>
      </c>
      <c r="B75" s="9" t="s">
        <v>2208</v>
      </c>
      <c r="C75" s="9" t="s">
        <v>2209</v>
      </c>
      <c r="D75"/>
      <c r="E75"/>
      <c r="F75"/>
    </row>
    <row r="76" spans="1:6" ht="26" customHeight="1">
      <c r="A76" s="9" t="s">
        <v>2210</v>
      </c>
      <c r="B76" s="9" t="s">
        <v>2211</v>
      </c>
      <c r="C76" s="9" t="s">
        <v>2212</v>
      </c>
      <c r="D76"/>
      <c r="E76"/>
      <c r="F76"/>
    </row>
    <row r="77" spans="1:6" ht="26" customHeight="1">
      <c r="A77"/>
      <c r="B77"/>
      <c r="C77"/>
      <c r="D77"/>
      <c r="E77"/>
      <c r="F77"/>
    </row>
    <row r="78" spans="1:6" ht="26" customHeight="1">
      <c r="A78" s="12" t="s">
        <v>2432</v>
      </c>
      <c r="B78"/>
      <c r="C78"/>
      <c r="D78"/>
      <c r="E78"/>
      <c r="F78"/>
    </row>
    <row r="79" spans="1:6" ht="26" customHeight="1">
      <c r="A79" s="4" t="s">
        <v>2433</v>
      </c>
      <c r="B79"/>
      <c r="C79"/>
      <c r="D79"/>
      <c r="E79"/>
      <c r="F79"/>
    </row>
    <row r="80" spans="1:6" ht="26" customHeight="1">
      <c r="A80" s="4" t="s">
        <v>2434</v>
      </c>
      <c r="B80"/>
      <c r="C80"/>
      <c r="D80"/>
      <c r="E80"/>
      <c r="F80"/>
    </row>
    <row r="81" spans="1:6" ht="26" customHeight="1">
      <c r="A81"/>
      <c r="B81"/>
      <c r="C81"/>
      <c r="D81"/>
      <c r="E81"/>
      <c r="F81"/>
    </row>
    <row r="82" spans="1:6" ht="26" customHeight="1">
      <c r="A82"/>
      <c r="B82"/>
      <c r="C82"/>
      <c r="D82"/>
      <c r="E82"/>
      <c r="F82"/>
    </row>
    <row r="83" spans="1:6" ht="26" customHeight="1">
      <c r="A83"/>
      <c r="B83"/>
      <c r="C83"/>
      <c r="D83"/>
      <c r="E83"/>
      <c r="F83"/>
    </row>
    <row r="84" spans="1:6" ht="26" customHeight="1">
      <c r="A84"/>
      <c r="B84"/>
      <c r="C84"/>
      <c r="D84"/>
      <c r="E84"/>
      <c r="F84"/>
    </row>
    <row r="85" spans="1:6" ht="26" customHeight="1">
      <c r="A85"/>
      <c r="B85"/>
      <c r="C85"/>
      <c r="D85"/>
      <c r="E85"/>
      <c r="F85"/>
    </row>
    <row r="86" spans="1:6" ht="26" customHeight="1">
      <c r="A86"/>
      <c r="B86"/>
      <c r="C86"/>
      <c r="D86"/>
      <c r="E86"/>
      <c r="F86"/>
    </row>
    <row r="87" spans="1:6" ht="26" customHeight="1">
      <c r="A87"/>
      <c r="B87"/>
      <c r="C87"/>
      <c r="D87"/>
      <c r="E87"/>
      <c r="F87"/>
    </row>
    <row r="88" spans="1:6" ht="26" customHeight="1">
      <c r="A88"/>
      <c r="B88"/>
      <c r="C88"/>
      <c r="D88"/>
      <c r="E88"/>
      <c r="F88"/>
    </row>
    <row r="89" spans="1:6" ht="26" customHeight="1">
      <c r="A89"/>
      <c r="B89"/>
      <c r="C89"/>
      <c r="D89"/>
      <c r="E89"/>
      <c r="F89"/>
    </row>
    <row r="90" spans="1:6" ht="26" customHeight="1">
      <c r="A90"/>
      <c r="B90"/>
      <c r="C90"/>
      <c r="D90"/>
      <c r="E90"/>
      <c r="F9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5"/>
  <sheetViews>
    <sheetView workbookViewId="0">
      <pane ySplit="4" topLeftCell="A5" activePane="bottomLeft" state="frozen"/>
      <selection pane="bottomLeft" activeCell="C32" sqref="C32"/>
    </sheetView>
  </sheetViews>
  <sheetFormatPr baseColWidth="10" defaultRowHeight="18"/>
  <cols>
    <col min="1" max="1" width="12.85546875" style="55" customWidth="1"/>
    <col min="2" max="3" width="74.28515625" style="55" customWidth="1"/>
    <col min="4" max="4" width="24.28515625" style="55" customWidth="1"/>
    <col min="5" max="16384" width="10.7109375" style="55"/>
  </cols>
  <sheetData>
    <row r="1" spans="1:4" ht="22">
      <c r="A1" s="54" t="s">
        <v>271</v>
      </c>
    </row>
    <row r="2" spans="1:4" ht="25" customHeight="1">
      <c r="A2" s="56" t="s">
        <v>272</v>
      </c>
    </row>
    <row r="4" spans="1:4">
      <c r="A4" s="57" t="s">
        <v>273</v>
      </c>
      <c r="B4" s="57" t="s">
        <v>274</v>
      </c>
      <c r="C4" s="57" t="s">
        <v>275</v>
      </c>
      <c r="D4" s="57" t="s">
        <v>276</v>
      </c>
    </row>
    <row r="5" spans="1:4" ht="19">
      <c r="A5" s="58" t="s">
        <v>277</v>
      </c>
      <c r="B5" s="58" t="s">
        <v>278</v>
      </c>
      <c r="C5" s="58" t="s">
        <v>279</v>
      </c>
      <c r="D5" s="58" t="s">
        <v>280</v>
      </c>
    </row>
    <row r="6" spans="1:4" ht="19">
      <c r="A6" s="58" t="s">
        <v>281</v>
      </c>
      <c r="B6" s="58" t="s">
        <v>1200</v>
      </c>
      <c r="C6" s="58" t="s">
        <v>282</v>
      </c>
      <c r="D6" s="58" t="s">
        <v>49</v>
      </c>
    </row>
    <row r="7" spans="1:4" ht="19">
      <c r="A7" s="58" t="s">
        <v>283</v>
      </c>
      <c r="B7" s="58" t="s">
        <v>284</v>
      </c>
      <c r="C7" s="58" t="s">
        <v>285</v>
      </c>
      <c r="D7" s="58" t="s">
        <v>49</v>
      </c>
    </row>
    <row r="8" spans="1:4" ht="57">
      <c r="A8" s="58" t="s">
        <v>286</v>
      </c>
      <c r="B8" s="58" t="s">
        <v>2024</v>
      </c>
      <c r="C8" s="58" t="s">
        <v>2025</v>
      </c>
      <c r="D8" s="58" t="s">
        <v>49</v>
      </c>
    </row>
    <row r="9" spans="1:4" ht="19">
      <c r="A9" s="58" t="s">
        <v>287</v>
      </c>
      <c r="B9" s="58" t="s">
        <v>288</v>
      </c>
      <c r="C9" s="58" t="s">
        <v>289</v>
      </c>
      <c r="D9" s="58" t="s">
        <v>49</v>
      </c>
    </row>
    <row r="10" spans="1:4" ht="19">
      <c r="A10" s="58" t="s">
        <v>290</v>
      </c>
      <c r="B10" s="58" t="s">
        <v>2026</v>
      </c>
      <c r="C10" s="58" t="s">
        <v>291</v>
      </c>
      <c r="D10" s="58" t="s">
        <v>49</v>
      </c>
    </row>
    <row r="11" spans="1:4" ht="38">
      <c r="A11" s="58" t="s">
        <v>292</v>
      </c>
      <c r="B11" s="58" t="s">
        <v>2027</v>
      </c>
      <c r="C11" s="58" t="s">
        <v>861</v>
      </c>
      <c r="D11" s="58" t="s">
        <v>49</v>
      </c>
    </row>
    <row r="12" spans="1:4" ht="19">
      <c r="A12" s="58" t="s">
        <v>293</v>
      </c>
      <c r="B12" s="58" t="s">
        <v>294</v>
      </c>
      <c r="C12" s="58" t="s">
        <v>295</v>
      </c>
      <c r="D12" s="58" t="s">
        <v>49</v>
      </c>
    </row>
    <row r="13" spans="1:4" ht="19">
      <c r="A13" s="58" t="s">
        <v>296</v>
      </c>
      <c r="B13" s="58" t="s">
        <v>297</v>
      </c>
      <c r="C13" s="58" t="s">
        <v>862</v>
      </c>
      <c r="D13" s="58" t="s">
        <v>49</v>
      </c>
    </row>
    <row r="14" spans="1:4" ht="19">
      <c r="A14" s="58" t="s">
        <v>298</v>
      </c>
      <c r="B14" s="58" t="s">
        <v>863</v>
      </c>
      <c r="C14" s="58" t="s">
        <v>299</v>
      </c>
      <c r="D14" s="58" t="s">
        <v>300</v>
      </c>
    </row>
    <row r="15" spans="1:4" ht="19">
      <c r="A15" s="58" t="s">
        <v>301</v>
      </c>
      <c r="B15" s="58" t="s">
        <v>1201</v>
      </c>
      <c r="C15" s="58" t="s">
        <v>302</v>
      </c>
      <c r="D15" s="58" t="s">
        <v>49</v>
      </c>
    </row>
    <row r="16" spans="1:4" ht="19">
      <c r="A16" s="58" t="s">
        <v>303</v>
      </c>
      <c r="B16" s="58" t="s">
        <v>304</v>
      </c>
      <c r="C16" s="58" t="s">
        <v>305</v>
      </c>
      <c r="D16" s="58" t="s">
        <v>306</v>
      </c>
    </row>
    <row r="17" spans="1:4" ht="19">
      <c r="A17" s="58" t="s">
        <v>307</v>
      </c>
      <c r="B17" s="58" t="s">
        <v>2435</v>
      </c>
      <c r="C17" s="58" t="s">
        <v>308</v>
      </c>
      <c r="D17" s="58" t="s">
        <v>49</v>
      </c>
    </row>
    <row r="18" spans="1:4" ht="19">
      <c r="A18" s="58" t="s">
        <v>309</v>
      </c>
      <c r="B18" s="58" t="s">
        <v>310</v>
      </c>
      <c r="C18" s="58" t="s">
        <v>311</v>
      </c>
      <c r="D18" s="58" t="s">
        <v>49</v>
      </c>
    </row>
    <row r="19" spans="1:4" ht="19">
      <c r="A19" s="58" t="s">
        <v>312</v>
      </c>
      <c r="B19" s="58" t="s">
        <v>2436</v>
      </c>
      <c r="C19" s="58" t="s">
        <v>2437</v>
      </c>
      <c r="D19" s="58" t="s">
        <v>313</v>
      </c>
    </row>
    <row r="20" spans="1:4" ht="19">
      <c r="A20" s="58" t="s">
        <v>314</v>
      </c>
      <c r="B20" s="58" t="s">
        <v>1202</v>
      </c>
      <c r="C20" s="58" t="s">
        <v>315</v>
      </c>
      <c r="D20" s="58" t="s">
        <v>49</v>
      </c>
    </row>
    <row r="21" spans="1:4" ht="19">
      <c r="A21" s="58" t="s">
        <v>316</v>
      </c>
      <c r="B21" s="58" t="s">
        <v>317</v>
      </c>
      <c r="C21" s="58" t="s">
        <v>318</v>
      </c>
      <c r="D21" s="58" t="s">
        <v>49</v>
      </c>
    </row>
    <row r="22" spans="1:4" ht="19">
      <c r="A22" s="58" t="s">
        <v>319</v>
      </c>
      <c r="B22" s="58" t="s">
        <v>1203</v>
      </c>
      <c r="C22" s="58" t="s">
        <v>320</v>
      </c>
      <c r="D22" s="58" t="s">
        <v>49</v>
      </c>
    </row>
    <row r="23" spans="1:4" ht="19">
      <c r="A23" s="58" t="s">
        <v>321</v>
      </c>
      <c r="B23" s="58" t="s">
        <v>1204</v>
      </c>
      <c r="C23" s="58" t="s">
        <v>2028</v>
      </c>
      <c r="D23" s="58" t="s">
        <v>49</v>
      </c>
    </row>
    <row r="24" spans="1:4" ht="19">
      <c r="A24" s="58" t="s">
        <v>322</v>
      </c>
      <c r="B24" s="58" t="s">
        <v>323</v>
      </c>
      <c r="C24" s="58" t="s">
        <v>324</v>
      </c>
      <c r="D24" s="58" t="s">
        <v>49</v>
      </c>
    </row>
    <row r="25" spans="1:4" ht="19">
      <c r="A25" s="58" t="s">
        <v>325</v>
      </c>
      <c r="B25" s="58" t="s">
        <v>326</v>
      </c>
      <c r="C25" s="58" t="s">
        <v>327</v>
      </c>
      <c r="D25" s="58" t="s">
        <v>280</v>
      </c>
    </row>
    <row r="26" spans="1:4" ht="19">
      <c r="A26" s="58" t="s">
        <v>328</v>
      </c>
      <c r="B26" s="58" t="s">
        <v>1205</v>
      </c>
      <c r="C26" s="58" t="s">
        <v>329</v>
      </c>
      <c r="D26" s="58" t="s">
        <v>280</v>
      </c>
    </row>
    <row r="27" spans="1:4" ht="19">
      <c r="A27" s="58" t="s">
        <v>330</v>
      </c>
      <c r="B27" s="58" t="s">
        <v>1206</v>
      </c>
      <c r="C27" s="58" t="s">
        <v>331</v>
      </c>
      <c r="D27" s="58" t="s">
        <v>49</v>
      </c>
    </row>
    <row r="28" spans="1:4" ht="19">
      <c r="A28" s="58" t="s">
        <v>332</v>
      </c>
      <c r="B28" s="58" t="s">
        <v>333</v>
      </c>
      <c r="C28" s="58" t="s">
        <v>334</v>
      </c>
      <c r="D28" s="58" t="s">
        <v>49</v>
      </c>
    </row>
    <row r="29" spans="1:4" ht="19">
      <c r="A29" s="58" t="s">
        <v>335</v>
      </c>
      <c r="B29" s="58" t="s">
        <v>336</v>
      </c>
      <c r="C29" s="58" t="s">
        <v>337</v>
      </c>
      <c r="D29" s="58" t="s">
        <v>49</v>
      </c>
    </row>
    <row r="30" spans="1:4" ht="19">
      <c r="A30" s="58" t="s">
        <v>338</v>
      </c>
      <c r="B30" s="58" t="s">
        <v>2121</v>
      </c>
      <c r="C30" s="58" t="s">
        <v>339</v>
      </c>
      <c r="D30" s="58" t="s">
        <v>49</v>
      </c>
    </row>
    <row r="31" spans="1:4" ht="19">
      <c r="A31" s="58" t="s">
        <v>340</v>
      </c>
      <c r="B31" s="58" t="s">
        <v>341</v>
      </c>
      <c r="C31" s="58" t="s">
        <v>342</v>
      </c>
      <c r="D31" s="58" t="s">
        <v>49</v>
      </c>
    </row>
    <row r="32" spans="1:4" ht="19">
      <c r="A32" s="58" t="s">
        <v>343</v>
      </c>
      <c r="B32" s="58" t="s">
        <v>344</v>
      </c>
      <c r="C32" s="58" t="s">
        <v>345</v>
      </c>
      <c r="D32" s="58" t="s">
        <v>306</v>
      </c>
    </row>
    <row r="33" spans="1:4" ht="19">
      <c r="A33" s="58" t="s">
        <v>346</v>
      </c>
      <c r="B33" s="58" t="s">
        <v>2029</v>
      </c>
      <c r="C33" s="58" t="s">
        <v>347</v>
      </c>
      <c r="D33" s="58" t="s">
        <v>49</v>
      </c>
    </row>
    <row r="34" spans="1:4" ht="19">
      <c r="A34" s="58" t="s">
        <v>348</v>
      </c>
      <c r="B34" s="58" t="s">
        <v>349</v>
      </c>
      <c r="C34" s="58" t="s">
        <v>350</v>
      </c>
      <c r="D34" s="58" t="s">
        <v>49</v>
      </c>
    </row>
    <row r="35" spans="1:4" ht="19">
      <c r="A35" s="58" t="s">
        <v>351</v>
      </c>
      <c r="B35" s="58" t="s">
        <v>352</v>
      </c>
      <c r="C35" s="58" t="s">
        <v>353</v>
      </c>
      <c r="D35" s="58" t="s">
        <v>49</v>
      </c>
    </row>
    <row r="36" spans="1:4" ht="19">
      <c r="A36" s="58" t="s">
        <v>354</v>
      </c>
      <c r="B36" s="58" t="s">
        <v>355</v>
      </c>
      <c r="C36" s="58" t="s">
        <v>356</v>
      </c>
      <c r="D36" s="58" t="s">
        <v>49</v>
      </c>
    </row>
    <row r="37" spans="1:4" ht="19">
      <c r="A37" s="58" t="s">
        <v>2449</v>
      </c>
      <c r="B37" s="58" t="s">
        <v>2450</v>
      </c>
      <c r="C37" s="58" t="s">
        <v>2451</v>
      </c>
      <c r="D37" s="58" t="s">
        <v>2440</v>
      </c>
    </row>
    <row r="38" spans="1:4" ht="38">
      <c r="A38" s="58" t="s">
        <v>2452</v>
      </c>
      <c r="B38" s="58" t="s">
        <v>2453</v>
      </c>
      <c r="C38" s="58" t="s">
        <v>2454</v>
      </c>
      <c r="D38" s="58" t="s">
        <v>1</v>
      </c>
    </row>
    <row r="39" spans="1:4" ht="19">
      <c r="A39" s="58" t="s">
        <v>357</v>
      </c>
      <c r="B39" s="58" t="s">
        <v>358</v>
      </c>
      <c r="C39" s="58" t="s">
        <v>359</v>
      </c>
      <c r="D39" s="58" t="s">
        <v>306</v>
      </c>
    </row>
    <row r="40" spans="1:4" ht="19">
      <c r="A40" s="58" t="s">
        <v>360</v>
      </c>
      <c r="B40" s="58" t="s">
        <v>361</v>
      </c>
      <c r="C40" s="58" t="s">
        <v>362</v>
      </c>
      <c r="D40" s="58" t="s">
        <v>49</v>
      </c>
    </row>
    <row r="41" spans="1:4" ht="57">
      <c r="A41" s="58" t="s">
        <v>363</v>
      </c>
      <c r="B41" s="58" t="s">
        <v>2438</v>
      </c>
      <c r="C41" s="58" t="s">
        <v>2439</v>
      </c>
      <c r="D41" s="58" t="s">
        <v>2441</v>
      </c>
    </row>
    <row r="42" spans="1:4" ht="19">
      <c r="A42" s="58" t="s">
        <v>364</v>
      </c>
      <c r="B42" s="58" t="s">
        <v>365</v>
      </c>
      <c r="C42" s="58" t="s">
        <v>366</v>
      </c>
      <c r="D42" s="58" t="s">
        <v>49</v>
      </c>
    </row>
    <row r="43" spans="1:4" ht="19">
      <c r="A43" s="58" t="s">
        <v>367</v>
      </c>
      <c r="B43" s="58" t="s">
        <v>1207</v>
      </c>
      <c r="C43" s="58" t="s">
        <v>368</v>
      </c>
      <c r="D43" s="58" t="s">
        <v>49</v>
      </c>
    </row>
    <row r="44" spans="1:4" ht="19">
      <c r="A44" s="58" t="s">
        <v>369</v>
      </c>
      <c r="B44" s="58" t="s">
        <v>370</v>
      </c>
      <c r="C44" s="58" t="s">
        <v>371</v>
      </c>
      <c r="D44" s="58" t="s">
        <v>49</v>
      </c>
    </row>
    <row r="45" spans="1:4" ht="19">
      <c r="A45" s="58" t="s">
        <v>2443</v>
      </c>
      <c r="B45" s="58" t="s">
        <v>2444</v>
      </c>
      <c r="C45" s="58" t="s">
        <v>2445</v>
      </c>
      <c r="D45" s="58" t="s">
        <v>1</v>
      </c>
    </row>
    <row r="46" spans="1:4" ht="19">
      <c r="A46" s="58" t="s">
        <v>2446</v>
      </c>
      <c r="B46" s="58" t="s">
        <v>2447</v>
      </c>
      <c r="C46" s="58" t="s">
        <v>2448</v>
      </c>
      <c r="D46" s="58" t="s">
        <v>1</v>
      </c>
    </row>
    <row r="47" spans="1:4" ht="38">
      <c r="A47" s="58" t="s">
        <v>372</v>
      </c>
      <c r="B47" s="58" t="s">
        <v>2169</v>
      </c>
      <c r="C47" s="58" t="s">
        <v>373</v>
      </c>
      <c r="D47" s="58" t="s">
        <v>49</v>
      </c>
    </row>
    <row r="48" spans="1:4" ht="19">
      <c r="A48" s="58" t="s">
        <v>374</v>
      </c>
      <c r="B48" s="58" t="s">
        <v>2136</v>
      </c>
      <c r="C48" s="58" t="s">
        <v>375</v>
      </c>
      <c r="D48" s="58" t="s">
        <v>49</v>
      </c>
    </row>
    <row r="49" spans="1:4" ht="38">
      <c r="A49" s="58" t="s">
        <v>376</v>
      </c>
      <c r="B49" s="58" t="s">
        <v>2170</v>
      </c>
      <c r="C49" s="58" t="s">
        <v>377</v>
      </c>
      <c r="D49" s="58" t="s">
        <v>49</v>
      </c>
    </row>
    <row r="50" spans="1:4" ht="19">
      <c r="A50" s="58" t="s">
        <v>378</v>
      </c>
      <c r="B50" s="58" t="s">
        <v>2171</v>
      </c>
      <c r="C50" s="58" t="s">
        <v>379</v>
      </c>
      <c r="D50" s="58" t="s">
        <v>49</v>
      </c>
    </row>
    <row r="51" spans="1:4" ht="38">
      <c r="A51" s="58" t="s">
        <v>380</v>
      </c>
      <c r="B51" s="58" t="s">
        <v>381</v>
      </c>
      <c r="C51" s="58" t="s">
        <v>2172</v>
      </c>
      <c r="D51" s="58" t="s">
        <v>49</v>
      </c>
    </row>
    <row r="52" spans="1:4" ht="19">
      <c r="A52" s="58" t="s">
        <v>382</v>
      </c>
      <c r="B52" s="58" t="s">
        <v>383</v>
      </c>
      <c r="C52" s="58" t="s">
        <v>384</v>
      </c>
      <c r="D52" s="58" t="s">
        <v>49</v>
      </c>
    </row>
    <row r="53" spans="1:4" ht="19">
      <c r="A53" s="58" t="s">
        <v>385</v>
      </c>
      <c r="B53" s="58" t="s">
        <v>2137</v>
      </c>
      <c r="C53" s="58" t="s">
        <v>386</v>
      </c>
      <c r="D53" s="58" t="s">
        <v>306</v>
      </c>
    </row>
    <row r="54" spans="1:4" ht="38">
      <c r="A54" s="58" t="s">
        <v>1208</v>
      </c>
      <c r="B54" s="58" t="s">
        <v>1209</v>
      </c>
      <c r="C54" s="58" t="s">
        <v>1210</v>
      </c>
      <c r="D54" s="58" t="s">
        <v>49</v>
      </c>
    </row>
    <row r="55" spans="1:4" ht="57">
      <c r="A55" s="58" t="s">
        <v>1211</v>
      </c>
      <c r="B55" s="58" t="s">
        <v>2442</v>
      </c>
      <c r="C55" s="58" t="s">
        <v>2030</v>
      </c>
      <c r="D55" s="58" t="s">
        <v>49</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54"/>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864</v>
      </c>
    </row>
    <row r="2" spans="1:5">
      <c r="A2" s="3" t="s">
        <v>865</v>
      </c>
    </row>
    <row r="4" spans="1:5" ht="21">
      <c r="A4" s="61" t="s">
        <v>273</v>
      </c>
      <c r="B4" s="61" t="s">
        <v>47</v>
      </c>
      <c r="C4" s="61" t="s">
        <v>1212</v>
      </c>
      <c r="D4" s="61" t="s">
        <v>64</v>
      </c>
      <c r="E4" s="61" t="s">
        <v>866</v>
      </c>
    </row>
    <row r="5" spans="1:5" ht="63">
      <c r="A5" s="9" t="s">
        <v>867</v>
      </c>
      <c r="B5" s="9" t="s">
        <v>1213</v>
      </c>
      <c r="C5" s="9" t="s">
        <v>2031</v>
      </c>
      <c r="D5" s="9"/>
      <c r="E5" s="9"/>
    </row>
    <row r="6" spans="1:5" ht="84">
      <c r="A6" s="9" t="s">
        <v>868</v>
      </c>
      <c r="B6" s="9" t="s">
        <v>869</v>
      </c>
      <c r="C6" s="34" t="s">
        <v>2173</v>
      </c>
      <c r="D6" s="9"/>
      <c r="E6" s="9"/>
    </row>
    <row r="7" spans="1:5" ht="42">
      <c r="A7" s="9" t="s">
        <v>870</v>
      </c>
      <c r="B7" s="9" t="s">
        <v>871</v>
      </c>
      <c r="C7" s="9" t="s">
        <v>1214</v>
      </c>
      <c r="D7" s="9"/>
      <c r="E7" s="9"/>
    </row>
    <row r="8" spans="1:5" ht="105">
      <c r="A8" s="9" t="s">
        <v>872</v>
      </c>
      <c r="B8" s="9" t="s">
        <v>873</v>
      </c>
      <c r="C8" s="34" t="s">
        <v>1215</v>
      </c>
      <c r="D8" s="9"/>
      <c r="E8" s="9"/>
    </row>
    <row r="9" spans="1:5" ht="42">
      <c r="A9" s="9" t="s">
        <v>875</v>
      </c>
      <c r="B9" s="9" t="s">
        <v>876</v>
      </c>
      <c r="C9" s="9" t="s">
        <v>1216</v>
      </c>
      <c r="D9" s="9"/>
      <c r="E9" s="9"/>
    </row>
    <row r="10" spans="1:5" ht="63">
      <c r="A10" s="9" t="s">
        <v>877</v>
      </c>
      <c r="B10" s="9" t="s">
        <v>878</v>
      </c>
      <c r="C10" s="9" t="s">
        <v>1217</v>
      </c>
      <c r="D10" s="9"/>
      <c r="E10" s="9"/>
    </row>
    <row r="11" spans="1:5" ht="63">
      <c r="A11" s="9" t="s">
        <v>879</v>
      </c>
      <c r="B11" s="9" t="s">
        <v>880</v>
      </c>
      <c r="C11" s="9" t="s">
        <v>1218</v>
      </c>
      <c r="D11" s="9"/>
      <c r="E11" s="9"/>
    </row>
    <row r="12" spans="1:5" ht="126">
      <c r="A12" s="9" t="s">
        <v>1219</v>
      </c>
      <c r="B12" s="9" t="s">
        <v>1220</v>
      </c>
      <c r="C12" s="9" t="s">
        <v>2032</v>
      </c>
      <c r="D12" s="9"/>
      <c r="E12" s="9"/>
    </row>
    <row r="13" spans="1:5" ht="84">
      <c r="A13" s="9" t="s">
        <v>881</v>
      </c>
      <c r="B13" s="9" t="s">
        <v>882</v>
      </c>
      <c r="C13" s="9" t="s">
        <v>1221</v>
      </c>
      <c r="D13" s="9"/>
      <c r="E13" s="9"/>
    </row>
    <row r="14" spans="1:5" ht="63">
      <c r="A14" s="9" t="s">
        <v>883</v>
      </c>
      <c r="B14" s="9" t="s">
        <v>884</v>
      </c>
      <c r="C14" s="9" t="s">
        <v>1222</v>
      </c>
      <c r="D14" s="9"/>
      <c r="E14" s="9"/>
    </row>
    <row r="15" spans="1:5" ht="42">
      <c r="A15" s="9" t="s">
        <v>885</v>
      </c>
      <c r="B15" s="9" t="s">
        <v>886</v>
      </c>
      <c r="C15" s="9" t="s">
        <v>1223</v>
      </c>
      <c r="D15" s="9"/>
      <c r="E15" s="9"/>
    </row>
    <row r="16" spans="1:5" ht="63">
      <c r="A16" s="9" t="s">
        <v>889</v>
      </c>
      <c r="B16" s="9" t="s">
        <v>890</v>
      </c>
      <c r="C16" s="9" t="s">
        <v>1224</v>
      </c>
      <c r="D16" s="9"/>
      <c r="E16" s="9"/>
    </row>
    <row r="17" spans="1:5" ht="42">
      <c r="A17" s="9" t="s">
        <v>891</v>
      </c>
      <c r="B17" s="9" t="s">
        <v>2033</v>
      </c>
      <c r="C17" s="9" t="s">
        <v>1225</v>
      </c>
      <c r="D17" s="9"/>
      <c r="E17" s="9"/>
    </row>
    <row r="18" spans="1:5" ht="42">
      <c r="A18" s="9" t="s">
        <v>892</v>
      </c>
      <c r="B18" s="9" t="s">
        <v>893</v>
      </c>
      <c r="C18" s="9" t="s">
        <v>1226</v>
      </c>
      <c r="D18" s="9"/>
      <c r="E18" s="9"/>
    </row>
    <row r="19" spans="1:5" ht="21">
      <c r="A19" s="9" t="s">
        <v>894</v>
      </c>
      <c r="B19" s="9" t="s">
        <v>895</v>
      </c>
      <c r="C19" s="9" t="s">
        <v>1227</v>
      </c>
      <c r="D19" s="9"/>
      <c r="E19" s="9"/>
    </row>
    <row r="20" spans="1:5" ht="42">
      <c r="A20" s="9" t="s">
        <v>896</v>
      </c>
      <c r="B20" s="9" t="s">
        <v>897</v>
      </c>
      <c r="C20" s="9" t="s">
        <v>1228</v>
      </c>
      <c r="D20" s="9"/>
      <c r="E20" s="9"/>
    </row>
    <row r="21" spans="1:5" ht="63">
      <c r="A21" s="9" t="s">
        <v>898</v>
      </c>
      <c r="B21" s="9" t="s">
        <v>899</v>
      </c>
      <c r="C21" s="9" t="s">
        <v>1229</v>
      </c>
      <c r="D21" s="9"/>
      <c r="E21" s="9"/>
    </row>
    <row r="22" spans="1:5" ht="63">
      <c r="A22" s="9" t="s">
        <v>900</v>
      </c>
      <c r="B22" s="9" t="s">
        <v>901</v>
      </c>
      <c r="C22" s="9" t="s">
        <v>1230</v>
      </c>
      <c r="D22" s="9"/>
      <c r="E22" s="9"/>
    </row>
    <row r="23" spans="1:5" ht="63">
      <c r="A23" s="9" t="s">
        <v>902</v>
      </c>
      <c r="B23" s="9" t="s">
        <v>1231</v>
      </c>
      <c r="C23" s="9" t="s">
        <v>1232</v>
      </c>
      <c r="D23" s="9"/>
      <c r="E23" s="9"/>
    </row>
    <row r="24" spans="1:5" ht="63">
      <c r="A24" s="9" t="s">
        <v>903</v>
      </c>
      <c r="B24" s="9" t="s">
        <v>904</v>
      </c>
      <c r="C24" s="9" t="s">
        <v>1233</v>
      </c>
      <c r="D24" s="9"/>
      <c r="E24" s="9"/>
    </row>
    <row r="25" spans="1:5" ht="42">
      <c r="A25" s="9" t="s">
        <v>905</v>
      </c>
      <c r="B25" s="9" t="s">
        <v>906</v>
      </c>
      <c r="C25" s="9" t="s">
        <v>1234</v>
      </c>
      <c r="D25" s="9"/>
      <c r="E25" s="9"/>
    </row>
    <row r="26" spans="1:5" ht="84">
      <c r="A26" s="9" t="s">
        <v>907</v>
      </c>
      <c r="B26" s="9" t="s">
        <v>2455</v>
      </c>
      <c r="C26" s="9" t="s">
        <v>2174</v>
      </c>
      <c r="D26" s="9"/>
      <c r="E26" s="9"/>
    </row>
    <row r="27" spans="1:5" ht="105">
      <c r="A27" s="9" t="s">
        <v>908</v>
      </c>
      <c r="B27" s="9" t="s">
        <v>909</v>
      </c>
      <c r="C27" s="9" t="s">
        <v>1235</v>
      </c>
      <c r="D27" s="9"/>
      <c r="E27" s="9"/>
    </row>
    <row r="28" spans="1:5" ht="84">
      <c r="A28" s="9" t="s">
        <v>910</v>
      </c>
      <c r="B28" s="9" t="s">
        <v>2456</v>
      </c>
      <c r="C28" s="9" t="s">
        <v>1236</v>
      </c>
      <c r="D28" s="9"/>
      <c r="E28" s="9"/>
    </row>
    <row r="29" spans="1:5" ht="42">
      <c r="A29" s="9" t="s">
        <v>911</v>
      </c>
      <c r="B29" s="9" t="s">
        <v>2457</v>
      </c>
      <c r="C29" s="9" t="s">
        <v>1237</v>
      </c>
      <c r="D29" s="9"/>
      <c r="E29" s="9"/>
    </row>
    <row r="30" spans="1:5" ht="63">
      <c r="A30" s="9" t="s">
        <v>912</v>
      </c>
      <c r="B30" s="9" t="s">
        <v>913</v>
      </c>
      <c r="C30" s="9" t="s">
        <v>1238</v>
      </c>
      <c r="D30" s="9"/>
      <c r="E30" s="9"/>
    </row>
    <row r="31" spans="1:5" ht="63">
      <c r="A31" s="9" t="s">
        <v>914</v>
      </c>
      <c r="B31" s="9" t="s">
        <v>2458</v>
      </c>
      <c r="C31" s="9" t="s">
        <v>2175</v>
      </c>
      <c r="D31" s="9"/>
      <c r="E31" s="9"/>
    </row>
    <row r="32" spans="1:5" ht="84">
      <c r="A32" s="9" t="s">
        <v>2459</v>
      </c>
      <c r="B32" s="9" t="s">
        <v>2460</v>
      </c>
      <c r="C32" s="9" t="s">
        <v>2461</v>
      </c>
      <c r="D32" s="9"/>
      <c r="E32" s="9"/>
    </row>
    <row r="33" spans="1:5" ht="105">
      <c r="A33" s="9" t="s">
        <v>2462</v>
      </c>
      <c r="B33" s="9" t="s">
        <v>2463</v>
      </c>
      <c r="C33" s="9" t="s">
        <v>2464</v>
      </c>
      <c r="D33" s="9"/>
      <c r="E33" s="9"/>
    </row>
    <row r="34" spans="1:5" ht="63">
      <c r="A34" s="9" t="s">
        <v>915</v>
      </c>
      <c r="B34" s="9" t="s">
        <v>2176</v>
      </c>
      <c r="C34" s="9" t="s">
        <v>2177</v>
      </c>
      <c r="D34" s="9"/>
      <c r="E34" s="9"/>
    </row>
    <row r="35" spans="1:5" ht="42">
      <c r="A35" s="9" t="s">
        <v>916</v>
      </c>
      <c r="B35" s="9" t="s">
        <v>2178</v>
      </c>
      <c r="C35" s="9" t="s">
        <v>2179</v>
      </c>
      <c r="D35" s="9"/>
      <c r="E35" s="9"/>
    </row>
    <row r="36" spans="1:5" ht="84">
      <c r="A36" s="9" t="s">
        <v>1239</v>
      </c>
      <c r="B36" s="9" t="s">
        <v>1240</v>
      </c>
      <c r="C36" s="9" t="s">
        <v>1241</v>
      </c>
      <c r="D36" s="9"/>
      <c r="E36" s="9"/>
    </row>
    <row r="37" spans="1:5" ht="63">
      <c r="A37" s="9" t="s">
        <v>1242</v>
      </c>
      <c r="B37" s="9" t="s">
        <v>2180</v>
      </c>
      <c r="C37" s="9" t="s">
        <v>2181</v>
      </c>
      <c r="D37" s="9"/>
      <c r="E37" s="9"/>
    </row>
    <row r="38" spans="1:5" ht="84">
      <c r="A38" s="9" t="s">
        <v>1243</v>
      </c>
      <c r="B38" s="9" t="s">
        <v>1244</v>
      </c>
      <c r="C38" s="9" t="s">
        <v>1245</v>
      </c>
      <c r="D38" s="9"/>
      <c r="E38" s="9"/>
    </row>
    <row r="39" spans="1:5" ht="63">
      <c r="A39" s="9" t="s">
        <v>1246</v>
      </c>
      <c r="B39" s="9" t="s">
        <v>1247</v>
      </c>
      <c r="C39" s="9" t="s">
        <v>1248</v>
      </c>
      <c r="D39" s="9"/>
      <c r="E39" s="9"/>
    </row>
    <row r="40" spans="1:5" ht="63">
      <c r="A40" s="9" t="s">
        <v>1249</v>
      </c>
      <c r="B40" s="9" t="s">
        <v>1250</v>
      </c>
      <c r="C40" s="9" t="s">
        <v>1251</v>
      </c>
      <c r="D40" s="9"/>
      <c r="E40" s="9"/>
    </row>
    <row r="41" spans="1:5" ht="63">
      <c r="A41" s="9" t="s">
        <v>1252</v>
      </c>
      <c r="B41" s="9" t="s">
        <v>1253</v>
      </c>
      <c r="C41" s="9" t="s">
        <v>1254</v>
      </c>
      <c r="D41" s="9"/>
      <c r="E41" s="9"/>
    </row>
    <row r="42" spans="1:5" ht="63">
      <c r="A42" s="9" t="s">
        <v>1255</v>
      </c>
      <c r="B42" s="9" t="s">
        <v>1256</v>
      </c>
      <c r="C42" s="9" t="s">
        <v>1257</v>
      </c>
      <c r="D42" s="9"/>
      <c r="E42" s="9"/>
    </row>
    <row r="43" spans="1:5" ht="63">
      <c r="A43" s="9" t="s">
        <v>1258</v>
      </c>
      <c r="B43" s="9" t="s">
        <v>1259</v>
      </c>
      <c r="C43" s="9" t="s">
        <v>1260</v>
      </c>
      <c r="D43" s="9"/>
      <c r="E43" s="9"/>
    </row>
    <row r="47" spans="1:5">
      <c r="A47" s="2" t="s">
        <v>1261</v>
      </c>
    </row>
    <row r="48" spans="1:5">
      <c r="A48" s="43" t="s">
        <v>273</v>
      </c>
      <c r="B48" s="43" t="s">
        <v>47</v>
      </c>
      <c r="C48" s="43" t="s">
        <v>917</v>
      </c>
      <c r="D48" s="42"/>
    </row>
    <row r="49" spans="1:4" ht="21">
      <c r="A49" s="9" t="s">
        <v>918</v>
      </c>
      <c r="B49" s="9" t="s">
        <v>2123</v>
      </c>
      <c r="C49" s="9" t="s">
        <v>919</v>
      </c>
      <c r="D49" s="7"/>
    </row>
    <row r="50" spans="1:4" ht="42">
      <c r="A50" s="9" t="s">
        <v>920</v>
      </c>
      <c r="B50" s="9" t="s">
        <v>2182</v>
      </c>
      <c r="C50" s="9" t="s">
        <v>2183</v>
      </c>
      <c r="D50" s="7"/>
    </row>
    <row r="51" spans="1:4" ht="42">
      <c r="A51" s="9" t="s">
        <v>874</v>
      </c>
      <c r="B51" s="9" t="s">
        <v>1262</v>
      </c>
      <c r="C51" s="9" t="s">
        <v>2184</v>
      </c>
    </row>
    <row r="52" spans="1:4" ht="21">
      <c r="A52" s="9" t="s">
        <v>887</v>
      </c>
      <c r="B52" s="9" t="s">
        <v>888</v>
      </c>
      <c r="C52" s="9" t="s">
        <v>1263</v>
      </c>
    </row>
    <row r="53" spans="1:4" ht="42">
      <c r="A53" s="9" t="s">
        <v>1264</v>
      </c>
      <c r="B53" s="9" t="s">
        <v>1265</v>
      </c>
      <c r="C53" s="9" t="s">
        <v>1266</v>
      </c>
    </row>
    <row r="54" spans="1:4" ht="168">
      <c r="A54" s="17" t="s">
        <v>921</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1267</v>
      </c>
    </row>
    <row r="2" spans="1:3" ht="42">
      <c r="A2" s="4" t="s">
        <v>1268</v>
      </c>
    </row>
    <row r="4" spans="1:3">
      <c r="A4" s="2" t="s">
        <v>1269</v>
      </c>
    </row>
    <row r="5" spans="1:3">
      <c r="A5" s="8" t="s">
        <v>922</v>
      </c>
      <c r="B5" s="8" t="s">
        <v>923</v>
      </c>
      <c r="C5" s="8" t="s">
        <v>924</v>
      </c>
    </row>
    <row r="6" spans="1:3" ht="21">
      <c r="A6" s="9" t="s">
        <v>306</v>
      </c>
      <c r="B6" s="9" t="s">
        <v>1270</v>
      </c>
      <c r="C6" s="9" t="s">
        <v>925</v>
      </c>
    </row>
    <row r="7" spans="1:3" ht="21">
      <c r="A7" s="9" t="s">
        <v>280</v>
      </c>
      <c r="B7" s="9" t="s">
        <v>926</v>
      </c>
      <c r="C7" s="9" t="s">
        <v>925</v>
      </c>
    </row>
    <row r="8" spans="1:3" ht="21">
      <c r="A8" s="9" t="s">
        <v>927</v>
      </c>
      <c r="B8" s="9" t="s">
        <v>928</v>
      </c>
      <c r="C8" s="9" t="s">
        <v>929</v>
      </c>
    </row>
    <row r="11" spans="1:3" ht="21">
      <c r="A11" s="12" t="s">
        <v>1271</v>
      </c>
    </row>
    <row r="12" spans="1:3">
      <c r="A12" s="8" t="s">
        <v>1272</v>
      </c>
      <c r="B12" s="8" t="s">
        <v>941</v>
      </c>
      <c r="C12" s="8" t="s">
        <v>97</v>
      </c>
    </row>
    <row r="13" spans="1:3" ht="21">
      <c r="A13" s="9" t="s">
        <v>1273</v>
      </c>
      <c r="B13" s="9" t="s">
        <v>942</v>
      </c>
      <c r="C13" s="9" t="s">
        <v>99</v>
      </c>
    </row>
    <row r="14" spans="1:3" ht="21">
      <c r="A14" s="9" t="s">
        <v>600</v>
      </c>
      <c r="B14" s="9" t="s">
        <v>100</v>
      </c>
      <c r="C14" s="9" t="s">
        <v>99</v>
      </c>
    </row>
    <row r="15" spans="1:3" ht="21">
      <c r="A15" s="9" t="s">
        <v>943</v>
      </c>
      <c r="B15" s="9" t="s">
        <v>1274</v>
      </c>
      <c r="C15" s="9" t="s">
        <v>1275</v>
      </c>
    </row>
    <row r="16" spans="1:3" ht="21">
      <c r="A16" s="9" t="s">
        <v>1276</v>
      </c>
      <c r="B16" s="9" t="s">
        <v>1277</v>
      </c>
      <c r="C16" s="9" t="s">
        <v>1278</v>
      </c>
    </row>
    <row r="17" spans="1:3" ht="21">
      <c r="A17" s="9" t="s">
        <v>1279</v>
      </c>
      <c r="B17" s="9" t="s">
        <v>1280</v>
      </c>
      <c r="C17" s="9" t="s">
        <v>1278</v>
      </c>
    </row>
    <row r="18" spans="1:3" ht="42">
      <c r="A18" s="9" t="s">
        <v>2185</v>
      </c>
      <c r="B18" s="9" t="s">
        <v>2034</v>
      </c>
      <c r="C18" s="9" t="s">
        <v>1281</v>
      </c>
    </row>
    <row r="19" spans="1:3" ht="21">
      <c r="A19" s="9" t="s">
        <v>1282</v>
      </c>
      <c r="B19" s="9" t="s">
        <v>1283</v>
      </c>
      <c r="C19" s="9" t="s">
        <v>1284</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1285</v>
      </c>
    </row>
    <row r="2" spans="1:5" ht="168">
      <c r="A2" s="4" t="s">
        <v>1286</v>
      </c>
    </row>
    <row r="4" spans="1:5">
      <c r="A4" s="2" t="s">
        <v>1287</v>
      </c>
    </row>
    <row r="5" spans="1:5">
      <c r="A5" s="8" t="s">
        <v>46</v>
      </c>
      <c r="B5" s="8" t="s">
        <v>156</v>
      </c>
    </row>
    <row r="6" spans="1:5" ht="21">
      <c r="A6" s="9" t="s">
        <v>1288</v>
      </c>
      <c r="B6" s="9" t="s">
        <v>1289</v>
      </c>
    </row>
    <row r="7" spans="1:5" ht="21">
      <c r="A7" s="9" t="s">
        <v>1290</v>
      </c>
      <c r="B7" s="9" t="s">
        <v>1291</v>
      </c>
    </row>
    <row r="8" spans="1:5" ht="21">
      <c r="A8" s="9" t="s">
        <v>1292</v>
      </c>
      <c r="B8" s="9" t="s">
        <v>1293</v>
      </c>
    </row>
    <row r="9" spans="1:5" ht="21">
      <c r="A9" s="9" t="s">
        <v>1294</v>
      </c>
      <c r="B9" s="9" t="s">
        <v>1295</v>
      </c>
    </row>
    <row r="10" spans="1:5" ht="21">
      <c r="A10" s="9" t="s">
        <v>1296</v>
      </c>
      <c r="B10" s="9" t="s">
        <v>1297</v>
      </c>
    </row>
    <row r="11" spans="1:5" ht="42">
      <c r="A11" s="9" t="s">
        <v>1298</v>
      </c>
      <c r="B11" s="9" t="s">
        <v>1299</v>
      </c>
    </row>
    <row r="13" spans="1:5" ht="42">
      <c r="A13" s="12" t="s">
        <v>1300</v>
      </c>
    </row>
    <row r="14" spans="1:5">
      <c r="A14" s="8" t="s">
        <v>923</v>
      </c>
      <c r="B14" s="8" t="s">
        <v>1301</v>
      </c>
      <c r="C14" s="8" t="s">
        <v>1302</v>
      </c>
      <c r="D14" s="8" t="s">
        <v>1303</v>
      </c>
      <c r="E14" s="8" t="s">
        <v>1304</v>
      </c>
    </row>
    <row r="15" spans="1:5" ht="42">
      <c r="A15" s="9" t="s">
        <v>930</v>
      </c>
      <c r="B15" s="9" t="s">
        <v>1305</v>
      </c>
      <c r="C15" s="9" t="s">
        <v>1306</v>
      </c>
      <c r="D15" s="9" t="s">
        <v>1307</v>
      </c>
      <c r="E15" s="9" t="s">
        <v>1308</v>
      </c>
    </row>
    <row r="16" spans="1:5" ht="63">
      <c r="A16" s="9" t="s">
        <v>1309</v>
      </c>
      <c r="B16" s="9" t="s">
        <v>1310</v>
      </c>
      <c r="C16" s="9" t="s">
        <v>1311</v>
      </c>
      <c r="D16" s="9" t="s">
        <v>1312</v>
      </c>
      <c r="E16" s="9" t="s">
        <v>1313</v>
      </c>
    </row>
    <row r="17" spans="1:5" ht="42">
      <c r="A17" s="9" t="s">
        <v>931</v>
      </c>
      <c r="B17" s="9" t="s">
        <v>1314</v>
      </c>
      <c r="C17" s="9" t="s">
        <v>1315</v>
      </c>
      <c r="D17" s="9" t="s">
        <v>1316</v>
      </c>
      <c r="E17" s="9" t="s">
        <v>1317</v>
      </c>
    </row>
    <row r="18" spans="1:5" ht="42">
      <c r="A18" s="9" t="s">
        <v>932</v>
      </c>
      <c r="B18" s="9" t="s">
        <v>1318</v>
      </c>
      <c r="C18" s="9" t="s">
        <v>1319</v>
      </c>
      <c r="D18" s="9" t="s">
        <v>1320</v>
      </c>
      <c r="E18" s="9" t="s">
        <v>1321</v>
      </c>
    </row>
    <row r="19" spans="1:5" ht="42">
      <c r="A19" s="9" t="s">
        <v>1322</v>
      </c>
      <c r="B19" s="9" t="s">
        <v>1323</v>
      </c>
      <c r="C19" s="9" t="s">
        <v>1324</v>
      </c>
      <c r="D19" s="9" t="s">
        <v>1325</v>
      </c>
      <c r="E19" s="9" t="s">
        <v>1326</v>
      </c>
    </row>
    <row r="20" spans="1:5" ht="42">
      <c r="A20" s="9" t="s">
        <v>933</v>
      </c>
      <c r="B20" s="9" t="s">
        <v>1327</v>
      </c>
      <c r="C20" s="9" t="s">
        <v>1328</v>
      </c>
      <c r="D20" s="9" t="s">
        <v>1329</v>
      </c>
      <c r="E20" s="9" t="s">
        <v>1330</v>
      </c>
    </row>
    <row r="21" spans="1:5" ht="42">
      <c r="A21" s="9" t="s">
        <v>934</v>
      </c>
      <c r="B21" s="9" t="s">
        <v>1331</v>
      </c>
      <c r="C21" s="9" t="s">
        <v>1332</v>
      </c>
      <c r="D21" s="9" t="s">
        <v>1333</v>
      </c>
      <c r="E21" s="9" t="s">
        <v>1334</v>
      </c>
    </row>
    <row r="22" spans="1:5" ht="42">
      <c r="A22" s="9" t="s">
        <v>935</v>
      </c>
      <c r="B22" s="9" t="s">
        <v>1335</v>
      </c>
      <c r="C22" s="9" t="s">
        <v>1336</v>
      </c>
      <c r="D22" s="9" t="s">
        <v>1337</v>
      </c>
      <c r="E22" s="9" t="s">
        <v>1338</v>
      </c>
    </row>
    <row r="23" spans="1:5" ht="84">
      <c r="A23" s="9" t="s">
        <v>936</v>
      </c>
      <c r="B23" s="9" t="s">
        <v>2186</v>
      </c>
      <c r="C23" s="9" t="s">
        <v>1339</v>
      </c>
      <c r="D23" s="9" t="s">
        <v>1340</v>
      </c>
      <c r="E23" s="9" t="s">
        <v>1341</v>
      </c>
    </row>
    <row r="24" spans="1:5" ht="42">
      <c r="A24" s="9" t="s">
        <v>1342</v>
      </c>
      <c r="B24" s="9" t="s">
        <v>1343</v>
      </c>
      <c r="C24" s="9" t="s">
        <v>1344</v>
      </c>
      <c r="D24" s="9" t="s">
        <v>1345</v>
      </c>
      <c r="E24" s="9" t="s">
        <v>1346</v>
      </c>
    </row>
    <row r="25" spans="1:5" ht="63">
      <c r="A25" s="85" t="s">
        <v>960</v>
      </c>
      <c r="B25" s="85" t="s">
        <v>961</v>
      </c>
      <c r="C25" s="85" t="s">
        <v>962</v>
      </c>
      <c r="D25" s="85" t="s">
        <v>963</v>
      </c>
      <c r="E25" s="85" t="s">
        <v>1347</v>
      </c>
    </row>
    <row r="27" spans="1:5" ht="210">
      <c r="A27" s="10" t="s">
        <v>1348</v>
      </c>
    </row>
    <row r="30" spans="1:5">
      <c r="A30" s="2" t="s">
        <v>1349</v>
      </c>
    </row>
    <row r="31" spans="1:5">
      <c r="A31" s="8" t="s">
        <v>922</v>
      </c>
      <c r="B31" s="8" t="s">
        <v>923</v>
      </c>
      <c r="C31" s="8" t="s">
        <v>1302</v>
      </c>
      <c r="D31" s="8" t="s">
        <v>1303</v>
      </c>
    </row>
    <row r="32" spans="1:5" ht="21">
      <c r="A32" s="9" t="s">
        <v>306</v>
      </c>
      <c r="B32" s="9" t="s">
        <v>1270</v>
      </c>
      <c r="C32" s="9" t="s">
        <v>1350</v>
      </c>
      <c r="D32" s="9" t="s">
        <v>1351</v>
      </c>
    </row>
    <row r="33" spans="1:4" ht="21">
      <c r="A33" s="9" t="s">
        <v>280</v>
      </c>
      <c r="B33" s="9" t="s">
        <v>926</v>
      </c>
      <c r="C33" s="9" t="s">
        <v>1352</v>
      </c>
      <c r="D33" s="9" t="s">
        <v>1353</v>
      </c>
    </row>
    <row r="34" spans="1:4" ht="21">
      <c r="A34" s="9" t="s">
        <v>927</v>
      </c>
      <c r="B34" s="9" t="s">
        <v>1354</v>
      </c>
      <c r="C34" s="9" t="s">
        <v>1355</v>
      </c>
      <c r="D34" s="9" t="s">
        <v>1356</v>
      </c>
    </row>
    <row r="37" spans="1:4" ht="21">
      <c r="A37" s="12" t="s">
        <v>1357</v>
      </c>
    </row>
    <row r="38" spans="1:4">
      <c r="A38" s="8" t="s">
        <v>47</v>
      </c>
      <c r="B38" s="8" t="s">
        <v>1302</v>
      </c>
      <c r="C38" s="8" t="s">
        <v>1303</v>
      </c>
    </row>
    <row r="39" spans="1:4" ht="21">
      <c r="A39" s="9" t="s">
        <v>1358</v>
      </c>
      <c r="B39" s="9" t="s">
        <v>1359</v>
      </c>
      <c r="C39" s="9" t="s">
        <v>1360</v>
      </c>
    </row>
    <row r="40" spans="1:4" ht="21">
      <c r="A40" s="9" t="s">
        <v>1361</v>
      </c>
      <c r="B40" s="9" t="s">
        <v>1359</v>
      </c>
      <c r="C40" s="9" t="s">
        <v>1362</v>
      </c>
    </row>
    <row r="43" spans="1:4">
      <c r="A43" s="2" t="s">
        <v>1363</v>
      </c>
    </row>
    <row r="44" spans="1:4">
      <c r="A44" s="8" t="s">
        <v>937</v>
      </c>
      <c r="B44" s="8" t="s">
        <v>1303</v>
      </c>
      <c r="C44" s="8" t="s">
        <v>855</v>
      </c>
    </row>
    <row r="45" spans="1:4" ht="21">
      <c r="A45" s="9" t="s">
        <v>1364</v>
      </c>
      <c r="B45" s="9" t="s">
        <v>1365</v>
      </c>
      <c r="C45" s="9" t="s">
        <v>938</v>
      </c>
    </row>
    <row r="46" spans="1:4" ht="21">
      <c r="A46" s="9" t="s">
        <v>1366</v>
      </c>
      <c r="B46" s="9" t="s">
        <v>1367</v>
      </c>
      <c r="C46" s="9" t="s">
        <v>939</v>
      </c>
    </row>
    <row r="47" spans="1:4" ht="21">
      <c r="A47" s="9" t="s">
        <v>940</v>
      </c>
      <c r="B47" s="9" t="s">
        <v>1368</v>
      </c>
      <c r="C47" s="9" t="s">
        <v>1369</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6"/>
  <sheetViews>
    <sheetView workbookViewId="0">
      <pane ySplit="1" topLeftCell="A2" activePane="bottomLeft" state="frozen"/>
      <selection pane="bottomLeft" activeCell="J3" sqref="J3"/>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9" t="s">
        <v>1370</v>
      </c>
      <c r="B1" s="59" t="s">
        <v>449</v>
      </c>
      <c r="C1" s="59" t="s">
        <v>1371</v>
      </c>
      <c r="D1" s="59" t="s">
        <v>47</v>
      </c>
      <c r="E1" s="59" t="s">
        <v>1372</v>
      </c>
      <c r="F1" s="59" t="s">
        <v>1373</v>
      </c>
      <c r="G1" s="59" t="s">
        <v>1374</v>
      </c>
      <c r="H1" s="59" t="s">
        <v>1375</v>
      </c>
      <c r="I1" s="59" t="s">
        <v>64</v>
      </c>
      <c r="J1" s="59" t="s">
        <v>1376</v>
      </c>
      <c r="K1" s="59" t="s">
        <v>1377</v>
      </c>
      <c r="L1" s="59" t="s">
        <v>97</v>
      </c>
      <c r="M1" s="59" t="s">
        <v>116</v>
      </c>
    </row>
    <row r="2" spans="1:13" ht="168">
      <c r="A2" s="64" t="s">
        <v>1378</v>
      </c>
      <c r="B2" s="9" t="s">
        <v>1379</v>
      </c>
      <c r="C2" s="9" t="s">
        <v>1380</v>
      </c>
      <c r="D2" s="9" t="s">
        <v>1381</v>
      </c>
      <c r="E2" s="9" t="s">
        <v>49</v>
      </c>
      <c r="F2" s="64" t="s">
        <v>1382</v>
      </c>
      <c r="G2" s="62">
        <v>12</v>
      </c>
      <c r="H2" s="89">
        <v>1.5</v>
      </c>
      <c r="I2" s="60"/>
      <c r="J2" s="60"/>
      <c r="K2" s="60"/>
      <c r="L2" s="60"/>
      <c r="M2" s="60"/>
    </row>
    <row r="3" spans="1:13" ht="147">
      <c r="A3" s="64" t="s">
        <v>1383</v>
      </c>
      <c r="B3" s="9" t="s">
        <v>1379</v>
      </c>
      <c r="C3" s="9" t="s">
        <v>1384</v>
      </c>
      <c r="D3" s="9" t="s">
        <v>1385</v>
      </c>
      <c r="E3" s="9" t="s">
        <v>49</v>
      </c>
      <c r="F3" s="64" t="s">
        <v>1382</v>
      </c>
      <c r="G3" s="62">
        <v>8</v>
      </c>
      <c r="H3" s="89">
        <v>1</v>
      </c>
      <c r="I3" s="60"/>
      <c r="J3" s="60"/>
      <c r="K3" s="60"/>
      <c r="L3" s="60"/>
      <c r="M3" s="60"/>
    </row>
    <row r="4" spans="1:13" ht="147">
      <c r="A4" s="64" t="s">
        <v>1386</v>
      </c>
      <c r="B4" s="9" t="s">
        <v>1379</v>
      </c>
      <c r="C4" s="9" t="s">
        <v>1387</v>
      </c>
      <c r="D4" s="9" t="s">
        <v>1388</v>
      </c>
      <c r="E4" s="9" t="s">
        <v>49</v>
      </c>
      <c r="F4" s="64" t="s">
        <v>1382</v>
      </c>
      <c r="G4" s="62">
        <v>4</v>
      </c>
      <c r="H4" s="89">
        <v>0.5</v>
      </c>
      <c r="I4" s="60"/>
      <c r="J4" s="60"/>
      <c r="K4" s="60"/>
      <c r="L4" s="60"/>
      <c r="M4" s="60"/>
    </row>
    <row r="5" spans="1:13" ht="126">
      <c r="A5" s="64" t="s">
        <v>1389</v>
      </c>
      <c r="B5" s="9" t="s">
        <v>1379</v>
      </c>
      <c r="C5" s="9" t="s">
        <v>1390</v>
      </c>
      <c r="D5" s="9" t="s">
        <v>1391</v>
      </c>
      <c r="E5" s="9" t="s">
        <v>49</v>
      </c>
      <c r="F5" s="64" t="s">
        <v>1382</v>
      </c>
      <c r="G5" s="62">
        <v>8</v>
      </c>
      <c r="H5" s="89">
        <v>1</v>
      </c>
      <c r="I5" s="60"/>
      <c r="J5" s="60"/>
      <c r="K5" s="60"/>
      <c r="L5" s="60"/>
      <c r="M5" s="60"/>
    </row>
    <row r="6" spans="1:13" ht="126">
      <c r="A6" s="64" t="s">
        <v>1392</v>
      </c>
      <c r="B6" s="9" t="s">
        <v>1379</v>
      </c>
      <c r="C6" s="9" t="s">
        <v>1393</v>
      </c>
      <c r="D6" s="9" t="s">
        <v>1394</v>
      </c>
      <c r="E6" s="9" t="s">
        <v>49</v>
      </c>
      <c r="F6" s="64"/>
      <c r="G6" s="62">
        <v>4</v>
      </c>
      <c r="H6" s="89">
        <v>0.5</v>
      </c>
      <c r="I6" s="60"/>
      <c r="J6" s="60"/>
      <c r="K6" s="60"/>
      <c r="L6" s="60"/>
      <c r="M6" s="60"/>
    </row>
    <row r="7" spans="1:13" ht="189">
      <c r="A7" s="64" t="s">
        <v>1395</v>
      </c>
      <c r="B7" s="9" t="s">
        <v>1379</v>
      </c>
      <c r="C7" s="9" t="s">
        <v>1396</v>
      </c>
      <c r="D7" s="9" t="s">
        <v>2479</v>
      </c>
      <c r="E7" s="9" t="s">
        <v>49</v>
      </c>
      <c r="F7" s="64"/>
      <c r="G7" s="62">
        <v>4</v>
      </c>
      <c r="H7" s="89">
        <v>0.5</v>
      </c>
      <c r="I7" s="60"/>
      <c r="J7" s="60"/>
      <c r="K7" s="60"/>
      <c r="L7" s="60"/>
      <c r="M7" s="60"/>
    </row>
    <row r="8" spans="1:13" ht="168">
      <c r="A8" s="64" t="s">
        <v>2465</v>
      </c>
      <c r="B8" s="9" t="s">
        <v>954</v>
      </c>
      <c r="C8" s="9" t="s">
        <v>2466</v>
      </c>
      <c r="D8" s="9" t="s">
        <v>2467</v>
      </c>
      <c r="E8" s="9" t="s">
        <v>2468</v>
      </c>
      <c r="F8" s="64" t="s">
        <v>951</v>
      </c>
      <c r="G8" s="62">
        <v>8</v>
      </c>
      <c r="H8" s="89">
        <f>G8/8</f>
        <v>1</v>
      </c>
      <c r="I8" s="60"/>
      <c r="J8" s="60"/>
      <c r="K8" s="60"/>
      <c r="L8" s="60"/>
      <c r="M8" s="60" t="s">
        <v>2469</v>
      </c>
    </row>
    <row r="9" spans="1:13" ht="21">
      <c r="A9" s="79" t="s">
        <v>1397</v>
      </c>
      <c r="B9" s="75"/>
      <c r="C9" s="75"/>
      <c r="D9" s="75"/>
      <c r="E9" s="75"/>
      <c r="F9" s="80"/>
      <c r="G9" s="87">
        <f>SUM(G2:G8)</f>
        <v>48</v>
      </c>
      <c r="H9" s="78">
        <f>SUM(H2:H8)</f>
        <v>6</v>
      </c>
      <c r="I9" s="75"/>
      <c r="J9" s="75"/>
      <c r="K9" s="75"/>
      <c r="L9" s="75"/>
      <c r="M9" s="75"/>
    </row>
    <row r="10" spans="1:13" ht="42">
      <c r="A10" s="64" t="s">
        <v>1398</v>
      </c>
      <c r="B10" s="9" t="s">
        <v>957</v>
      </c>
      <c r="C10" s="9" t="s">
        <v>1399</v>
      </c>
      <c r="D10" s="9" t="s">
        <v>1400</v>
      </c>
      <c r="E10" s="9" t="s">
        <v>49</v>
      </c>
      <c r="F10" s="64"/>
      <c r="G10" s="62">
        <v>1</v>
      </c>
      <c r="H10" s="89">
        <v>0.125</v>
      </c>
      <c r="I10" s="60"/>
      <c r="J10" s="60"/>
      <c r="K10" s="60"/>
      <c r="L10" s="60"/>
      <c r="M10" s="60"/>
    </row>
    <row r="11" spans="1:13" ht="21">
      <c r="A11" s="64" t="s">
        <v>1401</v>
      </c>
      <c r="B11" s="9" t="s">
        <v>957</v>
      </c>
      <c r="C11" s="9" t="s">
        <v>1402</v>
      </c>
      <c r="D11" s="9" t="s">
        <v>1403</v>
      </c>
      <c r="E11" s="9" t="s">
        <v>1398</v>
      </c>
      <c r="F11" s="64"/>
      <c r="G11" s="62">
        <v>2</v>
      </c>
      <c r="H11" s="89">
        <v>0.25</v>
      </c>
      <c r="I11" s="60"/>
      <c r="J11" s="60"/>
      <c r="K11" s="60"/>
      <c r="L11" s="60"/>
      <c r="M11" s="60"/>
    </row>
    <row r="12" spans="1:13" ht="42">
      <c r="A12" s="64" t="s">
        <v>1404</v>
      </c>
      <c r="B12" s="9" t="s">
        <v>957</v>
      </c>
      <c r="C12" s="9" t="s">
        <v>1405</v>
      </c>
      <c r="D12" s="9" t="s">
        <v>1406</v>
      </c>
      <c r="E12" s="9" t="s">
        <v>1398</v>
      </c>
      <c r="F12" s="64"/>
      <c r="G12" s="62">
        <v>1</v>
      </c>
      <c r="H12" s="89">
        <v>0.125</v>
      </c>
      <c r="I12" s="60"/>
      <c r="J12" s="60"/>
      <c r="K12" s="60"/>
      <c r="L12" s="60"/>
      <c r="M12" s="60"/>
    </row>
    <row r="13" spans="1:13" ht="21">
      <c r="A13" s="64" t="s">
        <v>1407</v>
      </c>
      <c r="B13" s="9" t="s">
        <v>957</v>
      </c>
      <c r="C13" s="9" t="s">
        <v>1408</v>
      </c>
      <c r="D13" s="9" t="s">
        <v>1409</v>
      </c>
      <c r="E13" s="9" t="s">
        <v>1404</v>
      </c>
      <c r="F13" s="64"/>
      <c r="G13" s="62">
        <v>2</v>
      </c>
      <c r="H13" s="89">
        <v>0.25</v>
      </c>
      <c r="I13" s="60"/>
      <c r="J13" s="60"/>
      <c r="K13" s="60"/>
      <c r="L13" s="60"/>
      <c r="M13" s="60"/>
    </row>
    <row r="14" spans="1:13" ht="21">
      <c r="A14" s="64" t="s">
        <v>1410</v>
      </c>
      <c r="B14" s="9" t="s">
        <v>957</v>
      </c>
      <c r="C14" s="9" t="s">
        <v>1411</v>
      </c>
      <c r="D14" s="9" t="s">
        <v>1412</v>
      </c>
      <c r="E14" s="9" t="s">
        <v>1398</v>
      </c>
      <c r="F14" s="64"/>
      <c r="G14" s="62">
        <v>0.5</v>
      </c>
      <c r="H14" s="89">
        <v>6.25E-2</v>
      </c>
      <c r="I14" s="60"/>
      <c r="J14" s="60"/>
      <c r="K14" s="60"/>
      <c r="L14" s="60"/>
      <c r="M14" s="60"/>
    </row>
    <row r="15" spans="1:13" ht="21">
      <c r="A15" s="64" t="s">
        <v>1413</v>
      </c>
      <c r="B15" s="9" t="s">
        <v>957</v>
      </c>
      <c r="C15" s="9" t="s">
        <v>1414</v>
      </c>
      <c r="D15" s="9" t="s">
        <v>1415</v>
      </c>
      <c r="E15" s="9" t="s">
        <v>1410</v>
      </c>
      <c r="F15" s="64"/>
      <c r="G15" s="62">
        <v>1</v>
      </c>
      <c r="H15" s="89">
        <v>0.125</v>
      </c>
      <c r="I15" s="60"/>
      <c r="J15" s="60"/>
      <c r="K15" s="60"/>
      <c r="L15" s="60"/>
      <c r="M15" s="60"/>
    </row>
    <row r="16" spans="1:13" ht="21">
      <c r="A16" s="64" t="s">
        <v>1416</v>
      </c>
      <c r="B16" s="9" t="s">
        <v>957</v>
      </c>
      <c r="C16" s="9" t="s">
        <v>1417</v>
      </c>
      <c r="D16" s="9" t="s">
        <v>1418</v>
      </c>
      <c r="E16" s="9" t="s">
        <v>1392</v>
      </c>
      <c r="F16" s="64"/>
      <c r="G16" s="62">
        <v>0.5</v>
      </c>
      <c r="H16" s="89">
        <v>6.25E-2</v>
      </c>
      <c r="I16" s="60"/>
      <c r="J16" s="60"/>
      <c r="K16" s="60"/>
      <c r="L16" s="60"/>
      <c r="M16" s="60"/>
    </row>
    <row r="17" spans="1:13" ht="21">
      <c r="A17" s="64" t="s">
        <v>1419</v>
      </c>
      <c r="B17" s="9" t="s">
        <v>957</v>
      </c>
      <c r="C17" s="9" t="s">
        <v>1420</v>
      </c>
      <c r="D17" s="9" t="s">
        <v>1421</v>
      </c>
      <c r="E17" s="9" t="s">
        <v>1416</v>
      </c>
      <c r="F17" s="64"/>
      <c r="G17" s="62">
        <v>2</v>
      </c>
      <c r="H17" s="89">
        <v>0.25</v>
      </c>
      <c r="I17" s="60"/>
      <c r="J17" s="60"/>
      <c r="K17" s="60"/>
      <c r="L17" s="60"/>
      <c r="M17" s="60"/>
    </row>
    <row r="18" spans="1:13" ht="63">
      <c r="A18" s="64" t="s">
        <v>1422</v>
      </c>
      <c r="B18" s="9" t="s">
        <v>957</v>
      </c>
      <c r="C18" s="9" t="s">
        <v>1423</v>
      </c>
      <c r="D18" s="9" t="s">
        <v>1424</v>
      </c>
      <c r="E18" s="9" t="s">
        <v>49</v>
      </c>
      <c r="F18" s="64"/>
      <c r="G18" s="62">
        <v>0.5</v>
      </c>
      <c r="H18" s="89">
        <v>6.25E-2</v>
      </c>
      <c r="I18" s="60"/>
      <c r="J18" s="60"/>
      <c r="K18" s="60"/>
      <c r="L18" s="60"/>
      <c r="M18" s="60"/>
    </row>
    <row r="19" spans="1:13" ht="21">
      <c r="A19" s="64" t="s">
        <v>1425</v>
      </c>
      <c r="B19" s="9" t="s">
        <v>957</v>
      </c>
      <c r="C19" s="9" t="s">
        <v>1426</v>
      </c>
      <c r="D19" s="9" t="s">
        <v>1427</v>
      </c>
      <c r="E19" s="9" t="s">
        <v>1422</v>
      </c>
      <c r="F19" s="64"/>
      <c r="G19" s="62">
        <v>2</v>
      </c>
      <c r="H19" s="89">
        <v>0.25</v>
      </c>
      <c r="I19" s="60"/>
      <c r="J19" s="60"/>
      <c r="K19" s="60"/>
      <c r="L19" s="60"/>
      <c r="M19" s="60"/>
    </row>
    <row r="20" spans="1:13" ht="21">
      <c r="A20" s="64" t="s">
        <v>1428</v>
      </c>
      <c r="B20" s="9" t="s">
        <v>957</v>
      </c>
      <c r="C20" s="9" t="s">
        <v>1429</v>
      </c>
      <c r="D20" s="9" t="s">
        <v>1430</v>
      </c>
      <c r="E20" s="9" t="s">
        <v>49</v>
      </c>
      <c r="F20" s="64"/>
      <c r="G20" s="62">
        <v>1</v>
      </c>
      <c r="H20" s="89">
        <v>0.125</v>
      </c>
      <c r="I20" s="60"/>
      <c r="J20" s="60"/>
      <c r="K20" s="60"/>
      <c r="L20" s="60"/>
      <c r="M20" s="60"/>
    </row>
    <row r="21" spans="1:13" ht="21">
      <c r="A21" s="64" t="s">
        <v>1431</v>
      </c>
      <c r="B21" s="9" t="s">
        <v>957</v>
      </c>
      <c r="C21" s="9" t="s">
        <v>1432</v>
      </c>
      <c r="D21" s="9" t="s">
        <v>1433</v>
      </c>
      <c r="E21" s="9" t="s">
        <v>1428</v>
      </c>
      <c r="F21" s="64"/>
      <c r="G21" s="62">
        <v>2</v>
      </c>
      <c r="H21" s="89">
        <v>0.25</v>
      </c>
      <c r="I21" s="60"/>
      <c r="J21" s="60"/>
      <c r="K21" s="60"/>
      <c r="L21" s="60"/>
      <c r="M21" s="60"/>
    </row>
    <row r="22" spans="1:13" ht="42">
      <c r="A22" s="64" t="s">
        <v>1434</v>
      </c>
      <c r="B22" s="9" t="s">
        <v>957</v>
      </c>
      <c r="C22" s="9" t="s">
        <v>1435</v>
      </c>
      <c r="D22" s="9" t="s">
        <v>1436</v>
      </c>
      <c r="E22" s="9" t="s">
        <v>49</v>
      </c>
      <c r="F22" s="64"/>
      <c r="G22" s="62">
        <v>1</v>
      </c>
      <c r="H22" s="89">
        <v>0.125</v>
      </c>
      <c r="I22" s="60"/>
      <c r="J22" s="60"/>
      <c r="K22" s="60"/>
      <c r="L22" s="60"/>
      <c r="M22" s="60"/>
    </row>
    <row r="23" spans="1:13" ht="21">
      <c r="A23" s="64" t="s">
        <v>1437</v>
      </c>
      <c r="B23" s="9" t="s">
        <v>957</v>
      </c>
      <c r="C23" s="9" t="s">
        <v>1438</v>
      </c>
      <c r="D23" s="9" t="s">
        <v>1439</v>
      </c>
      <c r="E23" s="9" t="s">
        <v>1434</v>
      </c>
      <c r="F23" s="64"/>
      <c r="G23" s="62">
        <v>2</v>
      </c>
      <c r="H23" s="89">
        <v>0.25</v>
      </c>
      <c r="I23" s="60"/>
      <c r="J23" s="60"/>
      <c r="K23" s="60"/>
      <c r="L23" s="60"/>
      <c r="M23" s="60"/>
    </row>
    <row r="24" spans="1:13" ht="21">
      <c r="A24" s="64" t="s">
        <v>1440</v>
      </c>
      <c r="B24" s="9" t="s">
        <v>957</v>
      </c>
      <c r="C24" s="9" t="s">
        <v>1441</v>
      </c>
      <c r="D24" s="9" t="s">
        <v>1442</v>
      </c>
      <c r="E24" s="9" t="s">
        <v>49</v>
      </c>
      <c r="F24" s="64"/>
      <c r="G24" s="62">
        <v>0.5</v>
      </c>
      <c r="H24" s="89">
        <v>6.25E-2</v>
      </c>
      <c r="I24" s="60"/>
      <c r="J24" s="60"/>
      <c r="K24" s="60"/>
      <c r="L24" s="60"/>
      <c r="M24" s="60"/>
    </row>
    <row r="25" spans="1:13" ht="21">
      <c r="A25" s="64" t="s">
        <v>1443</v>
      </c>
      <c r="B25" s="9" t="s">
        <v>957</v>
      </c>
      <c r="C25" s="9" t="s">
        <v>1444</v>
      </c>
      <c r="D25" s="9" t="s">
        <v>1439</v>
      </c>
      <c r="E25" s="9" t="s">
        <v>1440</v>
      </c>
      <c r="F25" s="64"/>
      <c r="G25" s="62">
        <v>1</v>
      </c>
      <c r="H25" s="89">
        <v>0.125</v>
      </c>
      <c r="I25" s="60"/>
      <c r="J25" s="60"/>
      <c r="K25" s="60"/>
      <c r="L25" s="60"/>
      <c r="M25" s="60"/>
    </row>
    <row r="26" spans="1:13" ht="21">
      <c r="A26" s="64" t="s">
        <v>1445</v>
      </c>
      <c r="B26" s="9" t="s">
        <v>957</v>
      </c>
      <c r="C26" s="9" t="s">
        <v>1446</v>
      </c>
      <c r="D26" s="9" t="s">
        <v>1447</v>
      </c>
      <c r="E26" s="9" t="s">
        <v>49</v>
      </c>
      <c r="F26" s="64"/>
      <c r="G26" s="62">
        <v>0.5</v>
      </c>
      <c r="H26" s="89">
        <v>6.25E-2</v>
      </c>
      <c r="I26" s="60"/>
      <c r="J26" s="60"/>
      <c r="K26" s="60"/>
      <c r="L26" s="60"/>
      <c r="M26" s="60"/>
    </row>
    <row r="27" spans="1:13" ht="21">
      <c r="A27" s="64" t="s">
        <v>1448</v>
      </c>
      <c r="B27" s="9" t="s">
        <v>957</v>
      </c>
      <c r="C27" s="9" t="s">
        <v>1449</v>
      </c>
      <c r="D27" s="9" t="s">
        <v>1439</v>
      </c>
      <c r="E27" s="9" t="s">
        <v>1445</v>
      </c>
      <c r="F27" s="64"/>
      <c r="G27" s="62">
        <v>1</v>
      </c>
      <c r="H27" s="89">
        <v>0.125</v>
      </c>
      <c r="I27" s="60"/>
      <c r="J27" s="60"/>
      <c r="K27" s="60"/>
      <c r="L27" s="60"/>
      <c r="M27" s="60"/>
    </row>
    <row r="28" spans="1:13" ht="21">
      <c r="A28" s="64" t="s">
        <v>1450</v>
      </c>
      <c r="B28" s="9" t="s">
        <v>957</v>
      </c>
      <c r="C28" s="9" t="s">
        <v>1451</v>
      </c>
      <c r="D28" s="9" t="s">
        <v>2035</v>
      </c>
      <c r="E28" s="9" t="s">
        <v>1389</v>
      </c>
      <c r="F28" s="64"/>
      <c r="G28" s="62">
        <v>1</v>
      </c>
      <c r="H28" s="89">
        <v>0.125</v>
      </c>
      <c r="I28" s="60"/>
      <c r="J28" s="60"/>
      <c r="K28" s="60"/>
      <c r="L28" s="60"/>
      <c r="M28" s="60"/>
    </row>
    <row r="29" spans="1:13" ht="21">
      <c r="A29" s="64" t="s">
        <v>1452</v>
      </c>
      <c r="B29" s="9" t="s">
        <v>957</v>
      </c>
      <c r="C29" s="9" t="s">
        <v>1453</v>
      </c>
      <c r="D29" s="9" t="s">
        <v>1454</v>
      </c>
      <c r="E29" s="9" t="s">
        <v>1383</v>
      </c>
      <c r="F29" s="64"/>
      <c r="G29" s="62">
        <v>0.5</v>
      </c>
      <c r="H29" s="89">
        <v>6.25E-2</v>
      </c>
      <c r="I29" s="60"/>
      <c r="J29" s="60"/>
      <c r="K29" s="60"/>
      <c r="L29" s="60"/>
      <c r="M29" s="60"/>
    </row>
    <row r="30" spans="1:13" ht="21">
      <c r="A30" s="64" t="s">
        <v>1455</v>
      </c>
      <c r="B30" s="9" t="s">
        <v>957</v>
      </c>
      <c r="C30" s="9" t="s">
        <v>1456</v>
      </c>
      <c r="D30" s="9" t="s">
        <v>1457</v>
      </c>
      <c r="E30" s="9" t="s">
        <v>1452</v>
      </c>
      <c r="F30" s="64"/>
      <c r="G30" s="62">
        <v>1</v>
      </c>
      <c r="H30" s="89">
        <v>0.125</v>
      </c>
      <c r="I30" s="60"/>
      <c r="J30" s="60"/>
      <c r="K30" s="60"/>
      <c r="L30" s="60"/>
      <c r="M30" s="60"/>
    </row>
    <row r="31" spans="1:13" ht="21">
      <c r="A31" s="64" t="s">
        <v>1458</v>
      </c>
      <c r="B31" s="9" t="s">
        <v>957</v>
      </c>
      <c r="C31" s="9" t="s">
        <v>1459</v>
      </c>
      <c r="D31" s="9" t="s">
        <v>1460</v>
      </c>
      <c r="E31" s="9" t="s">
        <v>49</v>
      </c>
      <c r="F31" s="64"/>
      <c r="G31" s="62">
        <v>1</v>
      </c>
      <c r="H31" s="89">
        <v>0.125</v>
      </c>
      <c r="I31" s="60"/>
      <c r="J31" s="60"/>
      <c r="K31" s="60"/>
      <c r="L31" s="60"/>
      <c r="M31" s="60"/>
    </row>
    <row r="32" spans="1:13" ht="21">
      <c r="A32" s="64" t="s">
        <v>1461</v>
      </c>
      <c r="B32" s="9" t="s">
        <v>957</v>
      </c>
      <c r="C32" s="9" t="s">
        <v>1462</v>
      </c>
      <c r="D32" s="9" t="s">
        <v>1463</v>
      </c>
      <c r="E32" s="9" t="s">
        <v>49</v>
      </c>
      <c r="F32" s="64"/>
      <c r="G32" s="62">
        <v>1</v>
      </c>
      <c r="H32" s="89">
        <v>0.125</v>
      </c>
      <c r="I32" s="60"/>
      <c r="J32" s="60"/>
      <c r="K32" s="60"/>
      <c r="L32" s="60"/>
      <c r="M32" s="60"/>
    </row>
    <row r="33" spans="1:13" ht="21">
      <c r="A33" s="64" t="s">
        <v>1464</v>
      </c>
      <c r="B33" s="9" t="s">
        <v>957</v>
      </c>
      <c r="C33" s="9" t="s">
        <v>1465</v>
      </c>
      <c r="D33" s="9" t="s">
        <v>1466</v>
      </c>
      <c r="E33" s="9" t="s">
        <v>1461</v>
      </c>
      <c r="F33" s="64"/>
      <c r="G33" s="62">
        <v>2</v>
      </c>
      <c r="H33" s="89">
        <v>0.25</v>
      </c>
      <c r="I33" s="60"/>
      <c r="J33" s="60"/>
      <c r="K33" s="60"/>
      <c r="L33" s="60"/>
      <c r="M33" s="60"/>
    </row>
    <row r="34" spans="1:13" ht="21">
      <c r="A34" s="64" t="s">
        <v>1467</v>
      </c>
      <c r="B34" s="9" t="s">
        <v>957</v>
      </c>
      <c r="C34" s="9" t="s">
        <v>1468</v>
      </c>
      <c r="D34" s="9" t="s">
        <v>1469</v>
      </c>
      <c r="E34" s="9" t="s">
        <v>49</v>
      </c>
      <c r="F34" s="64"/>
      <c r="G34" s="62">
        <v>1</v>
      </c>
      <c r="H34" s="89">
        <v>0.125</v>
      </c>
      <c r="I34" s="60"/>
      <c r="J34" s="60"/>
      <c r="K34" s="60"/>
      <c r="L34" s="60"/>
      <c r="M34" s="60"/>
    </row>
    <row r="35" spans="1:13" ht="84">
      <c r="A35" s="64" t="s">
        <v>2470</v>
      </c>
      <c r="B35" s="9" t="s">
        <v>955</v>
      </c>
      <c r="C35" s="9" t="s">
        <v>2471</v>
      </c>
      <c r="D35" s="9" t="s">
        <v>2472</v>
      </c>
      <c r="E35" s="9" t="s">
        <v>958</v>
      </c>
      <c r="F35" s="64"/>
      <c r="G35" s="62">
        <v>2</v>
      </c>
      <c r="H35" s="89">
        <f>G35/8</f>
        <v>0.25</v>
      </c>
      <c r="I35" s="60"/>
      <c r="J35" s="60"/>
      <c r="K35" s="60"/>
      <c r="L35" s="60"/>
      <c r="M35" s="60"/>
    </row>
    <row r="36" spans="1:13" ht="21">
      <c r="A36" s="79" t="s">
        <v>1470</v>
      </c>
      <c r="B36" s="75"/>
      <c r="C36" s="75"/>
      <c r="D36" s="75"/>
      <c r="E36" s="75"/>
      <c r="F36" s="80"/>
      <c r="G36" s="87">
        <f>SUM(G10:G35)</f>
        <v>31</v>
      </c>
      <c r="H36" s="78">
        <f>SUM(H10:H35)</f>
        <v>3.875</v>
      </c>
      <c r="I36" s="75"/>
      <c r="J36" s="75"/>
      <c r="K36" s="75"/>
      <c r="L36" s="75"/>
      <c r="M36" s="75"/>
    </row>
    <row r="37" spans="1:13" ht="42">
      <c r="A37" s="64" t="s">
        <v>1471</v>
      </c>
      <c r="B37" s="9" t="s">
        <v>1472</v>
      </c>
      <c r="C37" s="9" t="s">
        <v>1473</v>
      </c>
      <c r="D37" s="9" t="s">
        <v>1474</v>
      </c>
      <c r="E37" s="9" t="s">
        <v>49</v>
      </c>
      <c r="F37" s="64"/>
      <c r="G37" s="62">
        <v>2</v>
      </c>
      <c r="H37" s="89">
        <v>0.25</v>
      </c>
      <c r="I37" s="60"/>
      <c r="J37" s="60"/>
      <c r="K37" s="60"/>
      <c r="L37" s="60"/>
      <c r="M37" s="60"/>
    </row>
    <row r="38" spans="1:13" ht="42">
      <c r="A38" s="64" t="s">
        <v>1475</v>
      </c>
      <c r="B38" s="9" t="s">
        <v>1472</v>
      </c>
      <c r="C38" s="9" t="s">
        <v>1476</v>
      </c>
      <c r="D38" s="9" t="s">
        <v>1477</v>
      </c>
      <c r="E38" s="9" t="s">
        <v>1478</v>
      </c>
      <c r="F38" s="64"/>
      <c r="G38" s="62">
        <v>2</v>
      </c>
      <c r="H38" s="89">
        <v>0.25</v>
      </c>
      <c r="I38" s="60"/>
      <c r="J38" s="60"/>
      <c r="K38" s="60"/>
      <c r="L38" s="60"/>
      <c r="M38" s="60"/>
    </row>
    <row r="39" spans="1:13" ht="21">
      <c r="A39" s="64" t="s">
        <v>1479</v>
      </c>
      <c r="B39" s="9" t="s">
        <v>1472</v>
      </c>
      <c r="C39" s="9" t="s">
        <v>1480</v>
      </c>
      <c r="D39" s="9" t="s">
        <v>1481</v>
      </c>
      <c r="E39" s="9" t="s">
        <v>1471</v>
      </c>
      <c r="F39" s="64"/>
      <c r="G39" s="62">
        <v>1</v>
      </c>
      <c r="H39" s="89">
        <v>0.125</v>
      </c>
      <c r="I39" s="60"/>
      <c r="J39" s="60"/>
      <c r="K39" s="60"/>
      <c r="L39" s="60"/>
      <c r="M39" s="60"/>
    </row>
    <row r="40" spans="1:13" ht="21">
      <c r="A40" s="64" t="s">
        <v>1482</v>
      </c>
      <c r="B40" s="9" t="s">
        <v>1472</v>
      </c>
      <c r="C40" s="9" t="s">
        <v>1483</v>
      </c>
      <c r="D40" s="9" t="s">
        <v>1484</v>
      </c>
      <c r="E40" s="9" t="s">
        <v>1471</v>
      </c>
      <c r="F40" s="64"/>
      <c r="G40" s="62">
        <v>1</v>
      </c>
      <c r="H40" s="89">
        <v>0.125</v>
      </c>
      <c r="I40" s="60"/>
      <c r="J40" s="60"/>
      <c r="K40" s="60"/>
      <c r="L40" s="60"/>
      <c r="M40" s="60"/>
    </row>
    <row r="41" spans="1:13" ht="21">
      <c r="A41" s="64" t="s">
        <v>1485</v>
      </c>
      <c r="B41" s="9" t="s">
        <v>1472</v>
      </c>
      <c r="C41" s="9" t="s">
        <v>1486</v>
      </c>
      <c r="D41" s="9" t="s">
        <v>1487</v>
      </c>
      <c r="E41" s="9" t="s">
        <v>1471</v>
      </c>
      <c r="F41" s="64"/>
      <c r="G41" s="62">
        <v>1</v>
      </c>
      <c r="H41" s="89">
        <v>0.125</v>
      </c>
      <c r="I41" s="60"/>
      <c r="J41" s="60"/>
      <c r="K41" s="60"/>
      <c r="L41" s="60"/>
      <c r="M41" s="60"/>
    </row>
    <row r="42" spans="1:13" ht="21">
      <c r="A42" s="64" t="s">
        <v>1488</v>
      </c>
      <c r="B42" s="9" t="s">
        <v>1472</v>
      </c>
      <c r="C42" s="9" t="s">
        <v>1489</v>
      </c>
      <c r="D42" s="9" t="s">
        <v>1490</v>
      </c>
      <c r="E42" s="9" t="s">
        <v>1471</v>
      </c>
      <c r="F42" s="64"/>
      <c r="G42" s="62">
        <v>1</v>
      </c>
      <c r="H42" s="89">
        <v>0.125</v>
      </c>
      <c r="I42" s="60"/>
      <c r="J42" s="60"/>
      <c r="K42" s="60"/>
      <c r="L42" s="60"/>
      <c r="M42" s="60"/>
    </row>
    <row r="43" spans="1:13" ht="21">
      <c r="A43" s="64" t="s">
        <v>1491</v>
      </c>
      <c r="B43" s="9" t="s">
        <v>1472</v>
      </c>
      <c r="C43" s="9" t="s">
        <v>1492</v>
      </c>
      <c r="D43" s="9" t="s">
        <v>1493</v>
      </c>
      <c r="E43" s="9" t="s">
        <v>1471</v>
      </c>
      <c r="F43" s="64"/>
      <c r="G43" s="62">
        <v>1</v>
      </c>
      <c r="H43" s="89">
        <v>0.125</v>
      </c>
      <c r="I43" s="60"/>
      <c r="J43" s="60"/>
      <c r="K43" s="60"/>
      <c r="L43" s="60"/>
      <c r="M43" s="60"/>
    </row>
    <row r="44" spans="1:13" ht="21">
      <c r="A44" s="64" t="s">
        <v>1494</v>
      </c>
      <c r="B44" s="9" t="s">
        <v>1472</v>
      </c>
      <c r="C44" s="9" t="s">
        <v>1495</v>
      </c>
      <c r="D44" s="9" t="s">
        <v>1496</v>
      </c>
      <c r="E44" s="9" t="s">
        <v>1471</v>
      </c>
      <c r="F44" s="64"/>
      <c r="G44" s="62">
        <v>1</v>
      </c>
      <c r="H44" s="89">
        <v>0.125</v>
      </c>
      <c r="I44" s="60"/>
      <c r="J44" s="60"/>
      <c r="K44" s="60"/>
      <c r="L44" s="60"/>
      <c r="M44" s="60"/>
    </row>
    <row r="45" spans="1:13" ht="21">
      <c r="A45" s="64" t="s">
        <v>1497</v>
      </c>
      <c r="B45" s="9" t="s">
        <v>1472</v>
      </c>
      <c r="C45" s="9" t="s">
        <v>1498</v>
      </c>
      <c r="D45" s="9" t="s">
        <v>1499</v>
      </c>
      <c r="E45" s="9" t="s">
        <v>1471</v>
      </c>
      <c r="F45" s="64"/>
      <c r="G45" s="62">
        <v>1</v>
      </c>
      <c r="H45" s="89">
        <v>0.125</v>
      </c>
      <c r="I45" s="60"/>
      <c r="J45" s="60"/>
      <c r="K45" s="60"/>
      <c r="L45" s="60"/>
      <c r="M45" s="60"/>
    </row>
    <row r="46" spans="1:13" ht="21">
      <c r="A46" s="64" t="s">
        <v>1500</v>
      </c>
      <c r="B46" s="9" t="s">
        <v>1472</v>
      </c>
      <c r="C46" s="9" t="s">
        <v>1501</v>
      </c>
      <c r="D46" s="9" t="s">
        <v>1502</v>
      </c>
      <c r="E46" s="9" t="s">
        <v>1503</v>
      </c>
      <c r="F46" s="64"/>
      <c r="G46" s="62">
        <v>2</v>
      </c>
      <c r="H46" s="89">
        <v>0.25</v>
      </c>
      <c r="I46" s="60"/>
      <c r="J46" s="60"/>
      <c r="K46" s="60"/>
      <c r="L46" s="60"/>
      <c r="M46" s="60"/>
    </row>
    <row r="47" spans="1:13" ht="21">
      <c r="A47" s="79" t="s">
        <v>1504</v>
      </c>
      <c r="B47" s="75"/>
      <c r="C47" s="75"/>
      <c r="D47" s="75"/>
      <c r="E47" s="75"/>
      <c r="F47" s="80"/>
      <c r="G47" s="87">
        <f>SUM(G37:G46)</f>
        <v>13</v>
      </c>
      <c r="H47" s="78">
        <f>SUM(H37:H46)</f>
        <v>1.625</v>
      </c>
      <c r="I47" s="75"/>
      <c r="J47" s="75"/>
      <c r="K47" s="75"/>
      <c r="L47" s="75"/>
      <c r="M47" s="75"/>
    </row>
    <row r="48" spans="1:13" ht="63">
      <c r="A48" s="64" t="s">
        <v>1505</v>
      </c>
      <c r="B48" s="9" t="s">
        <v>1506</v>
      </c>
      <c r="C48" s="9" t="s">
        <v>1507</v>
      </c>
      <c r="D48" s="9" t="s">
        <v>2124</v>
      </c>
      <c r="E48" s="9" t="s">
        <v>49</v>
      </c>
      <c r="F48" s="64"/>
      <c r="G48" s="62">
        <v>6</v>
      </c>
      <c r="H48" s="89">
        <v>0.75</v>
      </c>
      <c r="I48" s="60"/>
      <c r="J48" s="60"/>
      <c r="K48" s="60"/>
      <c r="L48" s="60"/>
      <c r="M48" s="60"/>
    </row>
    <row r="49" spans="1:13" ht="63">
      <c r="A49" s="64" t="s">
        <v>1508</v>
      </c>
      <c r="B49" s="9" t="s">
        <v>1506</v>
      </c>
      <c r="C49" s="9" t="s">
        <v>1509</v>
      </c>
      <c r="D49" s="9" t="s">
        <v>1510</v>
      </c>
      <c r="E49" s="9" t="s">
        <v>1505</v>
      </c>
      <c r="F49" s="64"/>
      <c r="G49" s="62">
        <v>1</v>
      </c>
      <c r="H49" s="89">
        <v>0.125</v>
      </c>
      <c r="I49" s="60"/>
      <c r="J49" s="60"/>
      <c r="K49" s="60"/>
      <c r="L49" s="60"/>
      <c r="M49" s="60"/>
    </row>
    <row r="50" spans="1:13" ht="21">
      <c r="A50" s="64" t="s">
        <v>1511</v>
      </c>
      <c r="B50" s="9" t="s">
        <v>1506</v>
      </c>
      <c r="C50" s="9" t="s">
        <v>1512</v>
      </c>
      <c r="D50" s="9" t="s">
        <v>1513</v>
      </c>
      <c r="E50" s="9" t="s">
        <v>1514</v>
      </c>
      <c r="F50" s="64"/>
      <c r="G50" s="62">
        <v>2</v>
      </c>
      <c r="H50" s="89">
        <v>0.25</v>
      </c>
      <c r="I50" s="60"/>
      <c r="J50" s="60"/>
      <c r="K50" s="60"/>
      <c r="L50" s="60"/>
      <c r="M50" s="60"/>
    </row>
    <row r="51" spans="1:13" ht="21">
      <c r="A51" s="64" t="s">
        <v>1515</v>
      </c>
      <c r="B51" s="9" t="s">
        <v>1516</v>
      </c>
      <c r="C51" s="9" t="s">
        <v>1517</v>
      </c>
      <c r="D51" s="9" t="s">
        <v>1518</v>
      </c>
      <c r="E51" s="9" t="s">
        <v>1511</v>
      </c>
      <c r="F51" s="64"/>
      <c r="G51" s="62">
        <v>1</v>
      </c>
      <c r="H51" s="89">
        <v>0.125</v>
      </c>
      <c r="I51" s="60"/>
      <c r="J51" s="60"/>
      <c r="K51" s="60"/>
      <c r="L51" s="60"/>
      <c r="M51" s="60"/>
    </row>
    <row r="52" spans="1:13" ht="84">
      <c r="A52" s="64" t="s">
        <v>1519</v>
      </c>
      <c r="B52" s="9" t="s">
        <v>1506</v>
      </c>
      <c r="C52" s="9" t="s">
        <v>2480</v>
      </c>
      <c r="D52" s="9" t="s">
        <v>2481</v>
      </c>
      <c r="E52" s="9" t="s">
        <v>1505</v>
      </c>
      <c r="F52" s="64"/>
      <c r="G52" s="62">
        <v>1</v>
      </c>
      <c r="H52" s="89">
        <v>0.125</v>
      </c>
      <c r="I52" s="60"/>
      <c r="J52" s="60"/>
      <c r="K52" s="60"/>
      <c r="L52" s="60"/>
      <c r="M52" s="60"/>
    </row>
    <row r="53" spans="1:13" ht="21">
      <c r="A53" s="64" t="s">
        <v>1520</v>
      </c>
      <c r="B53" s="9" t="s">
        <v>1506</v>
      </c>
      <c r="C53" s="9" t="s">
        <v>2482</v>
      </c>
      <c r="D53" s="9" t="s">
        <v>1513</v>
      </c>
      <c r="E53" s="9" t="s">
        <v>1521</v>
      </c>
      <c r="F53" s="64"/>
      <c r="G53" s="62">
        <v>3</v>
      </c>
      <c r="H53" s="89">
        <v>0.375</v>
      </c>
      <c r="I53" s="60"/>
      <c r="J53" s="60"/>
      <c r="K53" s="60"/>
      <c r="L53" s="60"/>
      <c r="M53" s="60"/>
    </row>
    <row r="54" spans="1:13" ht="42">
      <c r="A54" s="64" t="s">
        <v>1522</v>
      </c>
      <c r="B54" s="9" t="s">
        <v>1516</v>
      </c>
      <c r="C54" s="9" t="s">
        <v>2483</v>
      </c>
      <c r="D54" s="9" t="s">
        <v>1523</v>
      </c>
      <c r="E54" s="9" t="s">
        <v>1520</v>
      </c>
      <c r="F54" s="64"/>
      <c r="G54" s="62">
        <v>1</v>
      </c>
      <c r="H54" s="89">
        <v>0.125</v>
      </c>
      <c r="I54" s="60"/>
      <c r="J54" s="60"/>
      <c r="K54" s="60"/>
      <c r="L54" s="60"/>
      <c r="M54" s="60"/>
    </row>
    <row r="55" spans="1:13" ht="126">
      <c r="A55" s="64" t="s">
        <v>1524</v>
      </c>
      <c r="B55" s="9" t="s">
        <v>1506</v>
      </c>
      <c r="C55" s="9" t="s">
        <v>2484</v>
      </c>
      <c r="D55" s="9" t="s">
        <v>2485</v>
      </c>
      <c r="E55" s="9" t="s">
        <v>1505</v>
      </c>
      <c r="F55" s="64"/>
      <c r="G55" s="62">
        <v>1</v>
      </c>
      <c r="H55" s="89">
        <v>0.125</v>
      </c>
      <c r="I55" s="60"/>
      <c r="J55" s="60"/>
      <c r="K55" s="60"/>
      <c r="L55" s="60"/>
      <c r="M55" s="60"/>
    </row>
    <row r="56" spans="1:13" ht="21">
      <c r="A56" s="64" t="s">
        <v>1525</v>
      </c>
      <c r="B56" s="9" t="s">
        <v>1506</v>
      </c>
      <c r="C56" s="9" t="s">
        <v>2486</v>
      </c>
      <c r="D56" s="9" t="s">
        <v>1513</v>
      </c>
      <c r="E56" s="9" t="s">
        <v>1526</v>
      </c>
      <c r="F56" s="64"/>
      <c r="G56" s="62">
        <v>3</v>
      </c>
      <c r="H56" s="89">
        <v>0.375</v>
      </c>
      <c r="I56" s="60"/>
      <c r="J56" s="60"/>
      <c r="K56" s="60"/>
      <c r="L56" s="60"/>
      <c r="M56" s="60"/>
    </row>
    <row r="57" spans="1:13" ht="21">
      <c r="A57" s="64" t="s">
        <v>1527</v>
      </c>
      <c r="B57" s="9" t="s">
        <v>1516</v>
      </c>
      <c r="C57" s="9" t="s">
        <v>2487</v>
      </c>
      <c r="D57" s="9" t="s">
        <v>2488</v>
      </c>
      <c r="E57" s="9" t="s">
        <v>1525</v>
      </c>
      <c r="F57" s="64"/>
      <c r="G57" s="62">
        <v>1</v>
      </c>
      <c r="H57" s="89">
        <v>0.125</v>
      </c>
      <c r="I57" s="60"/>
      <c r="J57" s="60"/>
      <c r="K57" s="60"/>
      <c r="L57" s="60"/>
      <c r="M57" s="60"/>
    </row>
    <row r="58" spans="1:13" ht="84">
      <c r="A58" s="64" t="s">
        <v>1528</v>
      </c>
      <c r="B58" s="9" t="s">
        <v>1506</v>
      </c>
      <c r="C58" s="9" t="s">
        <v>1529</v>
      </c>
      <c r="D58" s="9" t="s">
        <v>2489</v>
      </c>
      <c r="E58" s="9" t="s">
        <v>1505</v>
      </c>
      <c r="F58" s="64"/>
      <c r="G58" s="62">
        <v>1</v>
      </c>
      <c r="H58" s="89">
        <v>0.125</v>
      </c>
      <c r="I58" s="60"/>
      <c r="J58" s="60"/>
      <c r="K58" s="60"/>
      <c r="L58" s="60"/>
      <c r="M58" s="60"/>
    </row>
    <row r="59" spans="1:13" ht="21">
      <c r="A59" s="64" t="s">
        <v>1530</v>
      </c>
      <c r="B59" s="9" t="s">
        <v>1506</v>
      </c>
      <c r="C59" s="9" t="s">
        <v>1531</v>
      </c>
      <c r="D59" s="9" t="s">
        <v>1513</v>
      </c>
      <c r="E59" s="9" t="s">
        <v>1528</v>
      </c>
      <c r="F59" s="64"/>
      <c r="G59" s="62">
        <v>4</v>
      </c>
      <c r="H59" s="89">
        <v>0.5</v>
      </c>
      <c r="I59" s="60"/>
      <c r="J59" s="60"/>
      <c r="K59" s="60"/>
      <c r="L59" s="60"/>
      <c r="M59" s="60"/>
    </row>
    <row r="60" spans="1:13" ht="21">
      <c r="A60" s="64" t="s">
        <v>1532</v>
      </c>
      <c r="B60" s="9" t="s">
        <v>1516</v>
      </c>
      <c r="C60" s="9" t="s">
        <v>1533</v>
      </c>
      <c r="D60" s="9" t="s">
        <v>1534</v>
      </c>
      <c r="E60" s="9" t="s">
        <v>1530</v>
      </c>
      <c r="F60" s="64"/>
      <c r="G60" s="62">
        <v>1</v>
      </c>
      <c r="H60" s="89">
        <v>0.125</v>
      </c>
      <c r="I60" s="60"/>
      <c r="J60" s="60"/>
      <c r="K60" s="60"/>
      <c r="L60" s="60"/>
      <c r="M60" s="60"/>
    </row>
    <row r="61" spans="1:13" ht="126">
      <c r="A61" s="64" t="s">
        <v>1535</v>
      </c>
      <c r="B61" s="9" t="s">
        <v>1506</v>
      </c>
      <c r="C61" s="9" t="s">
        <v>1536</v>
      </c>
      <c r="D61" s="9" t="s">
        <v>2490</v>
      </c>
      <c r="E61" s="9" t="s">
        <v>1505</v>
      </c>
      <c r="F61" s="64"/>
      <c r="G61" s="62">
        <v>1</v>
      </c>
      <c r="H61" s="89">
        <v>0.125</v>
      </c>
      <c r="I61" s="60"/>
      <c r="J61" s="60"/>
      <c r="K61" s="60"/>
      <c r="L61" s="60"/>
      <c r="M61" s="60"/>
    </row>
    <row r="62" spans="1:13" ht="21">
      <c r="A62" s="64" t="s">
        <v>1537</v>
      </c>
      <c r="B62" s="9" t="s">
        <v>1506</v>
      </c>
      <c r="C62" s="9" t="s">
        <v>1538</v>
      </c>
      <c r="D62" s="9" t="s">
        <v>1513</v>
      </c>
      <c r="E62" s="9" t="s">
        <v>1539</v>
      </c>
      <c r="F62" s="64"/>
      <c r="G62" s="62">
        <v>3</v>
      </c>
      <c r="H62" s="89">
        <v>0.375</v>
      </c>
      <c r="I62" s="60"/>
      <c r="J62" s="60"/>
      <c r="K62" s="60"/>
      <c r="L62" s="60"/>
      <c r="M62" s="60"/>
    </row>
    <row r="63" spans="1:13" ht="42">
      <c r="A63" s="64" t="s">
        <v>1540</v>
      </c>
      <c r="B63" s="9" t="s">
        <v>1516</v>
      </c>
      <c r="C63" s="9" t="s">
        <v>1541</v>
      </c>
      <c r="D63" s="9" t="s">
        <v>1542</v>
      </c>
      <c r="E63" s="9" t="s">
        <v>1537</v>
      </c>
      <c r="F63" s="64"/>
      <c r="G63" s="62">
        <v>1</v>
      </c>
      <c r="H63" s="89">
        <v>0.125</v>
      </c>
      <c r="I63" s="60"/>
      <c r="J63" s="60"/>
      <c r="K63" s="60"/>
      <c r="L63" s="60"/>
      <c r="M63" s="60"/>
    </row>
    <row r="64" spans="1:13" ht="63">
      <c r="A64" s="64" t="s">
        <v>1543</v>
      </c>
      <c r="B64" s="9" t="s">
        <v>1506</v>
      </c>
      <c r="C64" s="9" t="s">
        <v>1544</v>
      </c>
      <c r="D64" s="9" t="s">
        <v>2491</v>
      </c>
      <c r="E64" s="9" t="s">
        <v>1528</v>
      </c>
      <c r="F64" s="64"/>
      <c r="G64" s="62">
        <v>0.5</v>
      </c>
      <c r="H64" s="89">
        <v>6.25E-2</v>
      </c>
      <c r="I64" s="60"/>
      <c r="J64" s="60"/>
      <c r="K64" s="60"/>
      <c r="L64" s="60"/>
      <c r="M64" s="60"/>
    </row>
    <row r="65" spans="1:13" ht="21">
      <c r="A65" s="64" t="s">
        <v>1545</v>
      </c>
      <c r="B65" s="9" t="s">
        <v>1506</v>
      </c>
      <c r="C65" s="9" t="s">
        <v>1546</v>
      </c>
      <c r="D65" s="9" t="s">
        <v>1513</v>
      </c>
      <c r="E65" s="9" t="s">
        <v>1543</v>
      </c>
      <c r="F65" s="64"/>
      <c r="G65" s="62">
        <v>2</v>
      </c>
      <c r="H65" s="89">
        <v>0.25</v>
      </c>
      <c r="I65" s="60"/>
      <c r="J65" s="60"/>
      <c r="K65" s="60"/>
      <c r="L65" s="60"/>
      <c r="M65" s="60"/>
    </row>
    <row r="66" spans="1:13" ht="21">
      <c r="A66" s="64" t="s">
        <v>1547</v>
      </c>
      <c r="B66" s="9" t="s">
        <v>1516</v>
      </c>
      <c r="C66" s="9" t="s">
        <v>1548</v>
      </c>
      <c r="D66" s="9" t="s">
        <v>1549</v>
      </c>
      <c r="E66" s="9" t="s">
        <v>1545</v>
      </c>
      <c r="F66" s="64"/>
      <c r="G66" s="62">
        <v>0.5</v>
      </c>
      <c r="H66" s="89">
        <v>6.25E-2</v>
      </c>
      <c r="I66" s="60"/>
      <c r="J66" s="60"/>
      <c r="K66" s="60"/>
      <c r="L66" s="60"/>
      <c r="M66" s="60"/>
    </row>
    <row r="67" spans="1:13" ht="105">
      <c r="A67" s="64" t="s">
        <v>1550</v>
      </c>
      <c r="B67" s="9" t="s">
        <v>1506</v>
      </c>
      <c r="C67" s="9" t="s">
        <v>2138</v>
      </c>
      <c r="D67" s="9" t="s">
        <v>2200</v>
      </c>
      <c r="E67" s="9" t="s">
        <v>1505</v>
      </c>
      <c r="F67" s="64"/>
      <c r="G67" s="62">
        <v>0.5</v>
      </c>
      <c r="H67" s="89">
        <v>6.25E-2</v>
      </c>
      <c r="I67" s="60"/>
      <c r="J67" s="60"/>
      <c r="K67" s="60"/>
      <c r="L67" s="60"/>
      <c r="M67" s="60"/>
    </row>
    <row r="68" spans="1:13" ht="21">
      <c r="A68" s="64" t="s">
        <v>1551</v>
      </c>
      <c r="B68" s="9" t="s">
        <v>1506</v>
      </c>
      <c r="C68" s="9" t="s">
        <v>2139</v>
      </c>
      <c r="D68" s="9" t="s">
        <v>1513</v>
      </c>
      <c r="E68" s="9" t="s">
        <v>1550</v>
      </c>
      <c r="F68" s="64"/>
      <c r="G68" s="62">
        <v>2</v>
      </c>
      <c r="H68" s="89">
        <v>0.25</v>
      </c>
      <c r="I68" s="60"/>
      <c r="J68" s="60"/>
      <c r="K68" s="60"/>
      <c r="L68" s="60"/>
      <c r="M68" s="60"/>
    </row>
    <row r="69" spans="1:13" ht="42">
      <c r="A69" s="64" t="s">
        <v>1552</v>
      </c>
      <c r="B69" s="9" t="s">
        <v>1516</v>
      </c>
      <c r="C69" s="9" t="s">
        <v>2140</v>
      </c>
      <c r="D69" s="9" t="s">
        <v>1553</v>
      </c>
      <c r="E69" s="9" t="s">
        <v>1551</v>
      </c>
      <c r="F69" s="64"/>
      <c r="G69" s="62">
        <v>0.5</v>
      </c>
      <c r="H69" s="89">
        <v>6.25E-2</v>
      </c>
      <c r="I69" s="60"/>
      <c r="J69" s="60"/>
      <c r="K69" s="60"/>
      <c r="L69" s="60"/>
      <c r="M69" s="60"/>
    </row>
    <row r="70" spans="1:13" ht="84">
      <c r="A70" s="64" t="s">
        <v>1554</v>
      </c>
      <c r="B70" s="9" t="s">
        <v>1506</v>
      </c>
      <c r="C70" s="9" t="s">
        <v>2492</v>
      </c>
      <c r="D70" s="9" t="s">
        <v>2493</v>
      </c>
      <c r="E70" s="9" t="s">
        <v>1524</v>
      </c>
      <c r="F70" s="64"/>
      <c r="G70" s="62">
        <v>0.5</v>
      </c>
      <c r="H70" s="89">
        <v>6.25E-2</v>
      </c>
      <c r="I70" s="60"/>
      <c r="J70" s="60"/>
      <c r="K70" s="60"/>
      <c r="L70" s="60"/>
      <c r="M70" s="60"/>
    </row>
    <row r="71" spans="1:13" ht="21">
      <c r="A71" s="64" t="s">
        <v>1555</v>
      </c>
      <c r="B71" s="9" t="s">
        <v>1506</v>
      </c>
      <c r="C71" s="9" t="s">
        <v>2494</v>
      </c>
      <c r="D71" s="9" t="s">
        <v>1513</v>
      </c>
      <c r="E71" s="9" t="s">
        <v>1554</v>
      </c>
      <c r="F71" s="64"/>
      <c r="G71" s="62">
        <v>2</v>
      </c>
      <c r="H71" s="89">
        <v>0.25</v>
      </c>
      <c r="I71" s="60"/>
      <c r="J71" s="60"/>
      <c r="K71" s="60"/>
      <c r="L71" s="60"/>
      <c r="M71" s="60"/>
    </row>
    <row r="72" spans="1:13" ht="42">
      <c r="A72" s="64" t="s">
        <v>1556</v>
      </c>
      <c r="B72" s="9" t="s">
        <v>1516</v>
      </c>
      <c r="C72" s="9" t="s">
        <v>2495</v>
      </c>
      <c r="D72" s="9" t="s">
        <v>2496</v>
      </c>
      <c r="E72" s="9" t="s">
        <v>1555</v>
      </c>
      <c r="F72" s="64"/>
      <c r="G72" s="62">
        <v>1</v>
      </c>
      <c r="H72" s="89">
        <v>0.125</v>
      </c>
      <c r="I72" s="60"/>
      <c r="J72" s="60"/>
      <c r="K72" s="60"/>
      <c r="L72" s="60"/>
      <c r="M72" s="60"/>
    </row>
    <row r="73" spans="1:13" ht="84">
      <c r="A73" s="64" t="s">
        <v>1557</v>
      </c>
      <c r="B73" s="9" t="s">
        <v>1506</v>
      </c>
      <c r="C73" s="9" t="s">
        <v>1558</v>
      </c>
      <c r="D73" s="9" t="s">
        <v>1559</v>
      </c>
      <c r="E73" s="9" t="s">
        <v>1528</v>
      </c>
      <c r="F73" s="64"/>
      <c r="G73" s="62">
        <v>0.5</v>
      </c>
      <c r="H73" s="89">
        <v>6.25E-2</v>
      </c>
      <c r="I73" s="60"/>
      <c r="J73" s="60"/>
      <c r="K73" s="60"/>
      <c r="L73" s="60"/>
      <c r="M73" s="60"/>
    </row>
    <row r="74" spans="1:13" ht="21">
      <c r="A74" s="64" t="s">
        <v>1560</v>
      </c>
      <c r="B74" s="9" t="s">
        <v>1506</v>
      </c>
      <c r="C74" s="9" t="s">
        <v>1561</v>
      </c>
      <c r="D74" s="9" t="s">
        <v>1513</v>
      </c>
      <c r="E74" s="9" t="s">
        <v>1557</v>
      </c>
      <c r="F74" s="64"/>
      <c r="G74" s="62">
        <v>2</v>
      </c>
      <c r="H74" s="89">
        <v>0.25</v>
      </c>
      <c r="I74" s="60"/>
      <c r="J74" s="60"/>
      <c r="K74" s="60"/>
      <c r="L74" s="60"/>
      <c r="M74" s="60"/>
    </row>
    <row r="75" spans="1:13" ht="21">
      <c r="A75" s="64" t="s">
        <v>1562</v>
      </c>
      <c r="B75" s="9" t="s">
        <v>1516</v>
      </c>
      <c r="C75" s="9" t="s">
        <v>1563</v>
      </c>
      <c r="D75" s="9" t="s">
        <v>1564</v>
      </c>
      <c r="E75" s="9" t="s">
        <v>1560</v>
      </c>
      <c r="F75" s="64"/>
      <c r="G75" s="62">
        <v>0.5</v>
      </c>
      <c r="H75" s="89">
        <v>6.25E-2</v>
      </c>
      <c r="I75" s="60"/>
      <c r="J75" s="60"/>
      <c r="K75" s="60"/>
      <c r="L75" s="60"/>
      <c r="M75" s="60"/>
    </row>
    <row r="76" spans="1:13" ht="63">
      <c r="A76" s="64" t="s">
        <v>1565</v>
      </c>
      <c r="B76" s="9" t="s">
        <v>1506</v>
      </c>
      <c r="C76" s="9" t="s">
        <v>1566</v>
      </c>
      <c r="D76" s="9" t="s">
        <v>1567</v>
      </c>
      <c r="E76" s="9" t="s">
        <v>1505</v>
      </c>
      <c r="F76" s="64"/>
      <c r="G76" s="62">
        <v>0.5</v>
      </c>
      <c r="H76" s="89">
        <v>6.25E-2</v>
      </c>
      <c r="I76" s="60"/>
      <c r="J76" s="60"/>
      <c r="K76" s="60"/>
      <c r="L76" s="60"/>
      <c r="M76" s="60"/>
    </row>
    <row r="77" spans="1:13" ht="21">
      <c r="A77" s="64" t="s">
        <v>1478</v>
      </c>
      <c r="B77" s="9" t="s">
        <v>1506</v>
      </c>
      <c r="C77" s="9" t="s">
        <v>1568</v>
      </c>
      <c r="D77" s="9" t="s">
        <v>2036</v>
      </c>
      <c r="E77" s="9" t="s">
        <v>1565</v>
      </c>
      <c r="F77" s="64"/>
      <c r="G77" s="62">
        <v>2</v>
      </c>
      <c r="H77" s="89">
        <v>0.25</v>
      </c>
      <c r="I77" s="60"/>
      <c r="J77" s="60"/>
      <c r="K77" s="60"/>
      <c r="L77" s="60"/>
      <c r="M77" s="60"/>
    </row>
    <row r="78" spans="1:13" ht="21">
      <c r="A78" s="64" t="s">
        <v>1569</v>
      </c>
      <c r="B78" s="9" t="s">
        <v>1516</v>
      </c>
      <c r="C78" s="9" t="s">
        <v>1570</v>
      </c>
      <c r="D78" s="9" t="s">
        <v>1571</v>
      </c>
      <c r="E78" s="9" t="s">
        <v>1478</v>
      </c>
      <c r="F78" s="64"/>
      <c r="G78" s="62">
        <v>1</v>
      </c>
      <c r="H78" s="89">
        <v>0.125</v>
      </c>
      <c r="I78" s="60"/>
      <c r="J78" s="60"/>
      <c r="K78" s="60"/>
      <c r="L78" s="60"/>
      <c r="M78" s="60"/>
    </row>
    <row r="79" spans="1:13" ht="63">
      <c r="A79" s="79" t="s">
        <v>1572</v>
      </c>
      <c r="B79" s="75"/>
      <c r="C79" s="75"/>
      <c r="D79" s="75"/>
      <c r="E79" s="75"/>
      <c r="F79" s="80"/>
      <c r="G79" s="87">
        <f>SUM(G48:G78)</f>
        <v>47</v>
      </c>
      <c r="H79" s="78">
        <f>SUM(H48:H78)</f>
        <v>5.875</v>
      </c>
      <c r="I79" s="75"/>
      <c r="J79" s="75"/>
      <c r="K79" s="75"/>
      <c r="L79" s="75"/>
      <c r="M79" s="75"/>
    </row>
    <row r="80" spans="1:13" ht="42">
      <c r="A80" s="64" t="s">
        <v>1573</v>
      </c>
      <c r="B80" s="9" t="s">
        <v>1506</v>
      </c>
      <c r="C80" s="9" t="s">
        <v>1574</v>
      </c>
      <c r="D80" s="9" t="s">
        <v>2201</v>
      </c>
      <c r="E80" s="9" t="s">
        <v>49</v>
      </c>
      <c r="F80" s="64"/>
      <c r="G80" s="62">
        <v>4</v>
      </c>
      <c r="H80" s="89">
        <v>0.5</v>
      </c>
      <c r="I80" s="60"/>
      <c r="J80" s="60"/>
      <c r="K80" s="60"/>
      <c r="L80" s="60"/>
      <c r="M80" s="60"/>
    </row>
    <row r="81" spans="1:13" ht="21">
      <c r="A81" s="64" t="s">
        <v>1575</v>
      </c>
      <c r="B81" s="9" t="s">
        <v>1506</v>
      </c>
      <c r="C81" s="9" t="s">
        <v>1576</v>
      </c>
      <c r="D81" s="9" t="s">
        <v>1577</v>
      </c>
      <c r="E81" s="9" t="s">
        <v>1573</v>
      </c>
      <c r="F81" s="64"/>
      <c r="G81" s="62">
        <v>1</v>
      </c>
      <c r="H81" s="89">
        <v>0.125</v>
      </c>
      <c r="I81" s="60"/>
      <c r="J81" s="60"/>
      <c r="K81" s="60"/>
      <c r="L81" s="60"/>
      <c r="M81" s="60"/>
    </row>
    <row r="82" spans="1:13" ht="21">
      <c r="A82" s="64" t="s">
        <v>1578</v>
      </c>
      <c r="B82" s="9" t="s">
        <v>1506</v>
      </c>
      <c r="C82" s="9" t="s">
        <v>1579</v>
      </c>
      <c r="D82" s="9" t="s">
        <v>1513</v>
      </c>
      <c r="E82" s="9" t="s">
        <v>1575</v>
      </c>
      <c r="F82" s="64"/>
      <c r="G82" s="62">
        <v>4</v>
      </c>
      <c r="H82" s="89">
        <v>0.5</v>
      </c>
      <c r="I82" s="60"/>
      <c r="J82" s="60"/>
      <c r="K82" s="60"/>
      <c r="L82" s="60"/>
      <c r="M82" s="60"/>
    </row>
    <row r="83" spans="1:13" ht="21">
      <c r="A83" s="64" t="s">
        <v>1580</v>
      </c>
      <c r="B83" s="9" t="s">
        <v>1516</v>
      </c>
      <c r="C83" s="9" t="s">
        <v>1581</v>
      </c>
      <c r="D83" s="9" t="s">
        <v>1582</v>
      </c>
      <c r="E83" s="9" t="s">
        <v>1578</v>
      </c>
      <c r="F83" s="64"/>
      <c r="G83" s="62">
        <v>1</v>
      </c>
      <c r="H83" s="89">
        <v>0.125</v>
      </c>
      <c r="I83" s="60"/>
      <c r="J83" s="60"/>
      <c r="K83" s="60"/>
      <c r="L83" s="60"/>
      <c r="M83" s="60"/>
    </row>
    <row r="84" spans="1:13" ht="63">
      <c r="A84" s="64" t="s">
        <v>1583</v>
      </c>
      <c r="B84" s="9" t="s">
        <v>1506</v>
      </c>
      <c r="C84" s="9" t="s">
        <v>1584</v>
      </c>
      <c r="D84" s="9" t="s">
        <v>2202</v>
      </c>
      <c r="E84" s="9" t="s">
        <v>1573</v>
      </c>
      <c r="F84" s="64"/>
      <c r="G84" s="62">
        <v>1</v>
      </c>
      <c r="H84" s="89">
        <v>0.125</v>
      </c>
      <c r="I84" s="60"/>
      <c r="J84" s="60"/>
      <c r="K84" s="60"/>
      <c r="L84" s="60"/>
      <c r="M84" s="60"/>
    </row>
    <row r="85" spans="1:13" ht="21">
      <c r="A85" s="64" t="s">
        <v>1585</v>
      </c>
      <c r="B85" s="9" t="s">
        <v>1506</v>
      </c>
      <c r="C85" s="9" t="s">
        <v>1586</v>
      </c>
      <c r="D85" s="9" t="s">
        <v>1513</v>
      </c>
      <c r="E85" s="9" t="s">
        <v>1583</v>
      </c>
      <c r="F85" s="64"/>
      <c r="G85" s="62">
        <v>4</v>
      </c>
      <c r="H85" s="89">
        <v>0.5</v>
      </c>
      <c r="I85" s="60"/>
      <c r="J85" s="60"/>
      <c r="K85" s="60"/>
      <c r="L85" s="60"/>
      <c r="M85" s="60"/>
    </row>
    <row r="86" spans="1:13" ht="21">
      <c r="A86" s="64" t="s">
        <v>1587</v>
      </c>
      <c r="B86" s="9" t="s">
        <v>1516</v>
      </c>
      <c r="C86" s="9" t="s">
        <v>1588</v>
      </c>
      <c r="D86" s="9" t="s">
        <v>1589</v>
      </c>
      <c r="E86" s="9" t="s">
        <v>1585</v>
      </c>
      <c r="F86" s="64"/>
      <c r="G86" s="62">
        <v>1</v>
      </c>
      <c r="H86" s="89">
        <v>0.125</v>
      </c>
      <c r="I86" s="60"/>
      <c r="J86" s="60"/>
      <c r="K86" s="60"/>
      <c r="L86" s="60"/>
      <c r="M86" s="60"/>
    </row>
    <row r="87" spans="1:13" ht="21">
      <c r="A87" s="64" t="s">
        <v>1590</v>
      </c>
      <c r="B87" s="9" t="s">
        <v>1506</v>
      </c>
      <c r="C87" s="9" t="s">
        <v>1591</v>
      </c>
      <c r="D87" s="9" t="s">
        <v>1592</v>
      </c>
      <c r="E87" s="9" t="s">
        <v>1573</v>
      </c>
      <c r="F87" s="64"/>
      <c r="G87" s="62">
        <v>0.5</v>
      </c>
      <c r="H87" s="89">
        <v>6.25E-2</v>
      </c>
      <c r="I87" s="60"/>
      <c r="J87" s="60"/>
      <c r="K87" s="60"/>
      <c r="L87" s="60"/>
      <c r="M87" s="60"/>
    </row>
    <row r="88" spans="1:13" ht="21">
      <c r="A88" s="64" t="s">
        <v>1593</v>
      </c>
      <c r="B88" s="9" t="s">
        <v>1506</v>
      </c>
      <c r="C88" s="9" t="s">
        <v>1594</v>
      </c>
      <c r="D88" s="9" t="s">
        <v>1513</v>
      </c>
      <c r="E88" s="9" t="s">
        <v>1595</v>
      </c>
      <c r="F88" s="64"/>
      <c r="G88" s="62">
        <v>1</v>
      </c>
      <c r="H88" s="89">
        <v>0.125</v>
      </c>
      <c r="I88" s="60"/>
      <c r="J88" s="60"/>
      <c r="K88" s="60"/>
      <c r="L88" s="60"/>
      <c r="M88" s="60"/>
    </row>
    <row r="89" spans="1:13" ht="21">
      <c r="A89" s="64" t="s">
        <v>1596</v>
      </c>
      <c r="B89" s="9" t="s">
        <v>1516</v>
      </c>
      <c r="C89" s="9" t="s">
        <v>1597</v>
      </c>
      <c r="D89" s="9" t="s">
        <v>1598</v>
      </c>
      <c r="E89" s="9" t="s">
        <v>1593</v>
      </c>
      <c r="F89" s="64"/>
      <c r="G89" s="62">
        <v>0.5</v>
      </c>
      <c r="H89" s="89">
        <v>6.25E-2</v>
      </c>
      <c r="I89" s="60"/>
      <c r="J89" s="60"/>
      <c r="K89" s="60"/>
      <c r="L89" s="60"/>
      <c r="M89" s="60"/>
    </row>
    <row r="90" spans="1:13" ht="42">
      <c r="A90" s="64" t="s">
        <v>1599</v>
      </c>
      <c r="B90" s="9" t="s">
        <v>1506</v>
      </c>
      <c r="C90" s="9" t="s">
        <v>1600</v>
      </c>
      <c r="D90" s="9" t="s">
        <v>1601</v>
      </c>
      <c r="E90" s="9" t="s">
        <v>1602</v>
      </c>
      <c r="F90" s="64"/>
      <c r="G90" s="62">
        <v>1</v>
      </c>
      <c r="H90" s="89">
        <v>0.125</v>
      </c>
      <c r="I90" s="60"/>
      <c r="J90" s="60"/>
      <c r="K90" s="60"/>
      <c r="L90" s="60"/>
      <c r="M90" s="60"/>
    </row>
    <row r="91" spans="1:13" ht="21">
      <c r="A91" s="64" t="s">
        <v>1603</v>
      </c>
      <c r="B91" s="9" t="s">
        <v>1506</v>
      </c>
      <c r="C91" s="9" t="s">
        <v>1604</v>
      </c>
      <c r="D91" s="9" t="s">
        <v>1605</v>
      </c>
      <c r="E91" s="9" t="s">
        <v>1599</v>
      </c>
      <c r="F91" s="64"/>
      <c r="G91" s="62">
        <v>4</v>
      </c>
      <c r="H91" s="89">
        <v>0.5</v>
      </c>
      <c r="I91" s="60"/>
      <c r="J91" s="60"/>
      <c r="K91" s="60"/>
      <c r="L91" s="60"/>
      <c r="M91" s="60"/>
    </row>
    <row r="92" spans="1:13" ht="21">
      <c r="A92" s="64" t="s">
        <v>1606</v>
      </c>
      <c r="B92" s="9" t="s">
        <v>1516</v>
      </c>
      <c r="C92" s="9" t="s">
        <v>1607</v>
      </c>
      <c r="D92" s="9" t="s">
        <v>1608</v>
      </c>
      <c r="E92" s="9" t="s">
        <v>1603</v>
      </c>
      <c r="F92" s="64"/>
      <c r="G92" s="62">
        <v>1.5</v>
      </c>
      <c r="H92" s="89">
        <v>0.1875</v>
      </c>
      <c r="I92" s="60"/>
      <c r="J92" s="60"/>
      <c r="K92" s="60"/>
      <c r="L92" s="60"/>
      <c r="M92" s="60"/>
    </row>
    <row r="93" spans="1:13" ht="63">
      <c r="A93" s="79" t="s">
        <v>1609</v>
      </c>
      <c r="B93" s="75"/>
      <c r="C93" s="75"/>
      <c r="D93" s="75"/>
      <c r="E93" s="75"/>
      <c r="F93" s="80"/>
      <c r="G93" s="87">
        <f>SUM(G80:G92)</f>
        <v>24.5</v>
      </c>
      <c r="H93" s="78">
        <f>SUM(H80:H92)</f>
        <v>3.0625</v>
      </c>
      <c r="I93" s="75"/>
      <c r="J93" s="75"/>
      <c r="K93" s="75"/>
      <c r="L93" s="75"/>
      <c r="M93" s="75"/>
    </row>
    <row r="94" spans="1:13" ht="105">
      <c r="A94" s="64" t="s">
        <v>1610</v>
      </c>
      <c r="B94" s="9" t="s">
        <v>1611</v>
      </c>
      <c r="C94" s="9" t="s">
        <v>1612</v>
      </c>
      <c r="D94" s="9" t="s">
        <v>1613</v>
      </c>
      <c r="E94" s="9" t="s">
        <v>49</v>
      </c>
      <c r="F94" s="64"/>
      <c r="G94" s="62">
        <v>2</v>
      </c>
      <c r="H94" s="89">
        <v>0.25</v>
      </c>
      <c r="I94" s="60"/>
      <c r="J94" s="60"/>
      <c r="K94" s="60"/>
      <c r="L94" s="60"/>
      <c r="M94" s="60"/>
    </row>
    <row r="95" spans="1:13" ht="21">
      <c r="A95" s="64" t="s">
        <v>1614</v>
      </c>
      <c r="B95" s="9" t="s">
        <v>1611</v>
      </c>
      <c r="C95" s="9" t="s">
        <v>1615</v>
      </c>
      <c r="D95" s="9" t="s">
        <v>1616</v>
      </c>
      <c r="E95" s="9" t="s">
        <v>1617</v>
      </c>
      <c r="F95" s="64"/>
      <c r="G95" s="62">
        <v>5</v>
      </c>
      <c r="H95" s="89">
        <v>0.625</v>
      </c>
      <c r="I95" s="60"/>
      <c r="J95" s="60"/>
      <c r="K95" s="60"/>
      <c r="L95" s="60"/>
      <c r="M95" s="60"/>
    </row>
    <row r="96" spans="1:13" ht="21">
      <c r="A96" s="64" t="s">
        <v>1618</v>
      </c>
      <c r="B96" s="9" t="s">
        <v>1611</v>
      </c>
      <c r="C96" s="9" t="s">
        <v>1619</v>
      </c>
      <c r="D96" s="9" t="s">
        <v>1620</v>
      </c>
      <c r="E96" s="9" t="s">
        <v>1617</v>
      </c>
      <c r="F96" s="64"/>
      <c r="G96" s="62">
        <v>6</v>
      </c>
      <c r="H96" s="89">
        <v>0.75</v>
      </c>
      <c r="I96" s="60"/>
      <c r="J96" s="60"/>
      <c r="K96" s="60"/>
      <c r="L96" s="60"/>
      <c r="M96" s="60"/>
    </row>
    <row r="97" spans="1:13" ht="21">
      <c r="A97" s="64" t="s">
        <v>1621</v>
      </c>
      <c r="B97" s="9" t="s">
        <v>1611</v>
      </c>
      <c r="C97" s="9" t="s">
        <v>1622</v>
      </c>
      <c r="D97" s="9" t="s">
        <v>1623</v>
      </c>
      <c r="E97" s="9" t="s">
        <v>1419</v>
      </c>
      <c r="F97" s="64"/>
      <c r="G97" s="62">
        <v>1</v>
      </c>
      <c r="H97" s="89">
        <v>0.125</v>
      </c>
      <c r="I97" s="60"/>
      <c r="J97" s="60"/>
      <c r="K97" s="60"/>
      <c r="L97" s="60"/>
      <c r="M97" s="60"/>
    </row>
    <row r="98" spans="1:13" ht="42">
      <c r="A98" s="64" t="s">
        <v>1624</v>
      </c>
      <c r="B98" s="9" t="s">
        <v>1506</v>
      </c>
      <c r="C98" s="9" t="s">
        <v>1625</v>
      </c>
      <c r="D98" s="9" t="s">
        <v>1626</v>
      </c>
      <c r="E98" s="9" t="s">
        <v>1389</v>
      </c>
      <c r="F98" s="64"/>
      <c r="G98" s="62">
        <v>2</v>
      </c>
      <c r="H98" s="89">
        <v>0.25</v>
      </c>
      <c r="I98" s="60"/>
      <c r="J98" s="60"/>
      <c r="K98" s="60"/>
      <c r="L98" s="60"/>
      <c r="M98" s="60"/>
    </row>
    <row r="99" spans="1:13" ht="21">
      <c r="A99" s="64" t="s">
        <v>1627</v>
      </c>
      <c r="B99" s="9" t="s">
        <v>1506</v>
      </c>
      <c r="C99" s="9" t="s">
        <v>1628</v>
      </c>
      <c r="D99" s="9" t="s">
        <v>1629</v>
      </c>
      <c r="E99" s="9" t="s">
        <v>1630</v>
      </c>
      <c r="F99" s="64"/>
      <c r="G99" s="62">
        <v>4</v>
      </c>
      <c r="H99" s="89">
        <v>0.5</v>
      </c>
      <c r="I99" s="60"/>
      <c r="J99" s="60"/>
      <c r="K99" s="60"/>
      <c r="L99" s="60"/>
      <c r="M99" s="60"/>
    </row>
    <row r="100" spans="1:13" ht="21">
      <c r="A100" s="64" t="s">
        <v>1631</v>
      </c>
      <c r="B100" s="9" t="s">
        <v>1506</v>
      </c>
      <c r="C100" s="9" t="s">
        <v>1632</v>
      </c>
      <c r="D100" s="9" t="s">
        <v>1633</v>
      </c>
      <c r="E100" s="9" t="s">
        <v>1624</v>
      </c>
      <c r="F100" s="64"/>
      <c r="G100" s="62">
        <v>7</v>
      </c>
      <c r="H100" s="89">
        <v>0.875</v>
      </c>
      <c r="I100" s="60"/>
      <c r="J100" s="60"/>
      <c r="K100" s="60"/>
      <c r="L100" s="60"/>
      <c r="M100" s="60"/>
    </row>
    <row r="101" spans="1:13" ht="21">
      <c r="A101" s="64" t="s">
        <v>1634</v>
      </c>
      <c r="B101" s="9" t="s">
        <v>1506</v>
      </c>
      <c r="C101" s="9" t="s">
        <v>1635</v>
      </c>
      <c r="D101" s="9" t="s">
        <v>1636</v>
      </c>
      <c r="E101" s="9" t="s">
        <v>1392</v>
      </c>
      <c r="F101" s="64"/>
      <c r="G101" s="62">
        <v>2</v>
      </c>
      <c r="H101" s="89">
        <v>0.25</v>
      </c>
      <c r="I101" s="60"/>
      <c r="J101" s="60"/>
      <c r="K101" s="60"/>
      <c r="L101" s="60"/>
      <c r="M101" s="60"/>
    </row>
    <row r="102" spans="1:13" ht="21">
      <c r="A102" s="64" t="s">
        <v>1637</v>
      </c>
      <c r="B102" s="9" t="s">
        <v>1506</v>
      </c>
      <c r="C102" s="9" t="s">
        <v>1638</v>
      </c>
      <c r="D102" s="9" t="s">
        <v>1513</v>
      </c>
      <c r="E102" s="9" t="s">
        <v>1634</v>
      </c>
      <c r="F102" s="64"/>
      <c r="G102" s="62">
        <v>8</v>
      </c>
      <c r="H102" s="89">
        <v>1</v>
      </c>
      <c r="I102" s="60"/>
      <c r="J102" s="60"/>
      <c r="K102" s="60"/>
      <c r="L102" s="60"/>
      <c r="M102" s="60"/>
    </row>
    <row r="103" spans="1:13" ht="21">
      <c r="A103" s="64" t="s">
        <v>1639</v>
      </c>
      <c r="B103" s="9" t="s">
        <v>1516</v>
      </c>
      <c r="C103" s="9" t="s">
        <v>1640</v>
      </c>
      <c r="D103" s="9" t="s">
        <v>1641</v>
      </c>
      <c r="E103" s="9" t="s">
        <v>1637</v>
      </c>
      <c r="F103" s="64"/>
      <c r="G103" s="62">
        <v>2</v>
      </c>
      <c r="H103" s="89">
        <v>0.25</v>
      </c>
      <c r="I103" s="60"/>
      <c r="J103" s="60"/>
      <c r="K103" s="60"/>
      <c r="L103" s="60"/>
      <c r="M103" s="60"/>
    </row>
    <row r="104" spans="1:13" ht="105">
      <c r="A104" s="64" t="s">
        <v>1642</v>
      </c>
      <c r="B104" s="9" t="s">
        <v>768</v>
      </c>
      <c r="C104" s="9" t="s">
        <v>1643</v>
      </c>
      <c r="D104" s="9" t="s">
        <v>2497</v>
      </c>
      <c r="E104" s="9" t="s">
        <v>49</v>
      </c>
      <c r="F104" s="64"/>
      <c r="G104" s="62">
        <v>2</v>
      </c>
      <c r="H104" s="89">
        <v>0.25</v>
      </c>
      <c r="I104" s="60"/>
      <c r="J104" s="60"/>
      <c r="K104" s="60"/>
      <c r="L104" s="60"/>
      <c r="M104" s="60"/>
    </row>
    <row r="105" spans="1:13" ht="126">
      <c r="A105" s="64" t="s">
        <v>2473</v>
      </c>
      <c r="B105" s="9" t="s">
        <v>26</v>
      </c>
      <c r="C105" s="9" t="s">
        <v>2474</v>
      </c>
      <c r="D105" s="9" t="s">
        <v>2475</v>
      </c>
      <c r="E105" s="9" t="s">
        <v>959</v>
      </c>
      <c r="F105" s="64"/>
      <c r="G105" s="62">
        <v>2</v>
      </c>
      <c r="H105" s="89">
        <f>G105/8</f>
        <v>0.25</v>
      </c>
      <c r="I105" s="60"/>
      <c r="J105" s="60"/>
      <c r="K105" s="60"/>
      <c r="L105" s="60"/>
      <c r="M105" s="60"/>
    </row>
    <row r="106" spans="1:13" ht="42">
      <c r="A106" s="64" t="s">
        <v>2476</v>
      </c>
      <c r="B106" s="9" t="s">
        <v>26</v>
      </c>
      <c r="C106" s="9" t="s">
        <v>968</v>
      </c>
      <c r="D106" s="9" t="s">
        <v>2477</v>
      </c>
      <c r="E106" s="9" t="s">
        <v>2478</v>
      </c>
      <c r="F106" s="64"/>
      <c r="G106" s="62">
        <v>3</v>
      </c>
      <c r="H106" s="89">
        <f>G106/8</f>
        <v>0.375</v>
      </c>
      <c r="I106" s="60"/>
      <c r="J106" s="60"/>
      <c r="K106" s="60"/>
      <c r="L106" s="60"/>
      <c r="M106" s="60"/>
    </row>
    <row r="107" spans="1:13" ht="21">
      <c r="A107" s="64" t="s">
        <v>1644</v>
      </c>
      <c r="B107" s="9" t="s">
        <v>768</v>
      </c>
      <c r="C107" s="9" t="s">
        <v>1645</v>
      </c>
      <c r="D107" s="9" t="s">
        <v>1646</v>
      </c>
      <c r="E107" s="9" t="s">
        <v>1642</v>
      </c>
      <c r="F107" s="64"/>
      <c r="G107" s="62">
        <v>4</v>
      </c>
      <c r="H107" s="89">
        <v>0.5</v>
      </c>
      <c r="I107" s="60"/>
      <c r="J107" s="60"/>
      <c r="K107" s="60"/>
      <c r="L107" s="60"/>
      <c r="M107" s="60"/>
    </row>
    <row r="108" spans="1:13" ht="21">
      <c r="A108" s="64" t="s">
        <v>1647</v>
      </c>
      <c r="B108" s="9" t="s">
        <v>1516</v>
      </c>
      <c r="C108" s="9" t="s">
        <v>1648</v>
      </c>
      <c r="D108" s="9" t="s">
        <v>1649</v>
      </c>
      <c r="E108" s="9" t="s">
        <v>1644</v>
      </c>
      <c r="F108" s="64"/>
      <c r="G108" s="62">
        <v>2</v>
      </c>
      <c r="H108" s="89">
        <v>0.25</v>
      </c>
      <c r="I108" s="60"/>
      <c r="J108" s="60"/>
      <c r="K108" s="60"/>
      <c r="L108" s="60"/>
      <c r="M108" s="60"/>
    </row>
    <row r="109" spans="1:13" ht="42">
      <c r="A109" s="64" t="s">
        <v>1650</v>
      </c>
      <c r="B109" s="9" t="s">
        <v>768</v>
      </c>
      <c r="C109" s="9" t="s">
        <v>1651</v>
      </c>
      <c r="D109" s="9" t="s">
        <v>1652</v>
      </c>
      <c r="E109" s="9" t="s">
        <v>49</v>
      </c>
      <c r="F109" s="64"/>
      <c r="G109" s="62">
        <v>4</v>
      </c>
      <c r="H109" s="89">
        <v>0.5</v>
      </c>
      <c r="I109" s="60"/>
      <c r="J109" s="60"/>
      <c r="K109" s="60"/>
      <c r="L109" s="60"/>
      <c r="M109" s="60"/>
    </row>
    <row r="110" spans="1:13" ht="21">
      <c r="A110" s="64" t="s">
        <v>1653</v>
      </c>
      <c r="B110" s="9" t="s">
        <v>768</v>
      </c>
      <c r="C110" s="9" t="s">
        <v>1654</v>
      </c>
      <c r="D110" s="9" t="s">
        <v>1655</v>
      </c>
      <c r="E110" s="9" t="s">
        <v>1650</v>
      </c>
      <c r="F110" s="64"/>
      <c r="G110" s="62">
        <v>12</v>
      </c>
      <c r="H110" s="89">
        <v>1.5</v>
      </c>
      <c r="I110" s="60"/>
      <c r="J110" s="60"/>
      <c r="K110" s="60"/>
      <c r="L110" s="60"/>
      <c r="M110" s="60"/>
    </row>
    <row r="111" spans="1:13" ht="21">
      <c r="A111" s="64" t="s">
        <v>1656</v>
      </c>
      <c r="B111" s="9" t="s">
        <v>768</v>
      </c>
      <c r="C111" s="9" t="s">
        <v>1657</v>
      </c>
      <c r="D111" s="9" t="s">
        <v>1658</v>
      </c>
      <c r="E111" s="9" t="s">
        <v>1653</v>
      </c>
      <c r="F111" s="64"/>
      <c r="G111" s="62">
        <v>6</v>
      </c>
      <c r="H111" s="89">
        <v>0.75</v>
      </c>
      <c r="I111" s="60"/>
      <c r="J111" s="60"/>
      <c r="K111" s="60"/>
      <c r="L111" s="60"/>
      <c r="M111" s="60"/>
    </row>
    <row r="112" spans="1:13" ht="21">
      <c r="A112" s="64" t="s">
        <v>1659</v>
      </c>
      <c r="B112" s="9" t="s">
        <v>1516</v>
      </c>
      <c r="C112" s="9" t="s">
        <v>1660</v>
      </c>
      <c r="D112" s="9" t="s">
        <v>1661</v>
      </c>
      <c r="E112" s="9" t="s">
        <v>1656</v>
      </c>
      <c r="F112" s="64"/>
      <c r="G112" s="62">
        <v>4</v>
      </c>
      <c r="H112" s="89">
        <v>0.5</v>
      </c>
      <c r="I112" s="60"/>
      <c r="J112" s="60"/>
      <c r="K112" s="60"/>
      <c r="L112" s="60"/>
      <c r="M112" s="60"/>
    </row>
    <row r="113" spans="1:13" ht="21">
      <c r="A113" s="64" t="s">
        <v>1662</v>
      </c>
      <c r="B113" s="9" t="s">
        <v>1506</v>
      </c>
      <c r="C113" s="9" t="s">
        <v>1663</v>
      </c>
      <c r="D113" s="9" t="s">
        <v>1664</v>
      </c>
      <c r="E113" s="9" t="s">
        <v>1665</v>
      </c>
      <c r="F113" s="64"/>
      <c r="G113" s="62">
        <v>12</v>
      </c>
      <c r="H113" s="89">
        <v>1.5</v>
      </c>
      <c r="I113" s="60"/>
      <c r="J113" s="60"/>
      <c r="K113" s="60"/>
      <c r="L113" s="60"/>
      <c r="M113" s="60"/>
    </row>
    <row r="114" spans="1:13" ht="63">
      <c r="A114" s="79" t="s">
        <v>1666</v>
      </c>
      <c r="B114" s="75"/>
      <c r="C114" s="75"/>
      <c r="D114" s="75"/>
      <c r="E114" s="75"/>
      <c r="F114" s="80"/>
      <c r="G114" s="87">
        <f>SUM(G94:G113)</f>
        <v>90</v>
      </c>
      <c r="H114" s="78">
        <f>SUM(H94:H113)</f>
        <v>11.25</v>
      </c>
      <c r="I114" s="75"/>
      <c r="J114" s="75"/>
      <c r="K114" s="75"/>
      <c r="L114" s="75"/>
      <c r="M114" s="75"/>
    </row>
    <row r="115" spans="1:13" ht="63">
      <c r="A115" s="64" t="s">
        <v>1667</v>
      </c>
      <c r="B115" s="9" t="s">
        <v>1516</v>
      </c>
      <c r="C115" s="9" t="s">
        <v>1668</v>
      </c>
      <c r="D115" s="9" t="s">
        <v>2141</v>
      </c>
      <c r="E115" s="9" t="s">
        <v>1669</v>
      </c>
      <c r="F115" s="64"/>
      <c r="G115" s="62">
        <v>16</v>
      </c>
      <c r="H115" s="77">
        <v>2</v>
      </c>
      <c r="I115" s="9"/>
      <c r="J115" s="9"/>
      <c r="K115" s="9"/>
      <c r="L115" s="9"/>
      <c r="M115" s="60"/>
    </row>
    <row r="116" spans="1:13" ht="84">
      <c r="A116" s="64" t="s">
        <v>1670</v>
      </c>
      <c r="B116" s="9" t="s">
        <v>1516</v>
      </c>
      <c r="C116" s="9" t="s">
        <v>1671</v>
      </c>
      <c r="D116" s="9" t="s">
        <v>2498</v>
      </c>
      <c r="E116" s="9" t="s">
        <v>1672</v>
      </c>
      <c r="F116" s="64"/>
      <c r="G116" s="62">
        <v>24</v>
      </c>
      <c r="H116" s="77">
        <v>3</v>
      </c>
      <c r="I116" s="9"/>
      <c r="J116" s="9"/>
      <c r="K116" s="9"/>
      <c r="L116" s="9"/>
      <c r="M116" s="60" t="s">
        <v>1673</v>
      </c>
    </row>
    <row r="117" spans="1:13" ht="105">
      <c r="A117" s="64" t="s">
        <v>1674</v>
      </c>
      <c r="B117" s="9" t="s">
        <v>1516</v>
      </c>
      <c r="C117" s="9" t="s">
        <v>1675</v>
      </c>
      <c r="D117" s="9" t="s">
        <v>2499</v>
      </c>
      <c r="E117" s="9" t="s">
        <v>1670</v>
      </c>
      <c r="F117" s="64"/>
      <c r="G117" s="62">
        <v>8</v>
      </c>
      <c r="H117" s="77">
        <v>1</v>
      </c>
      <c r="I117" s="9"/>
      <c r="J117" s="9"/>
      <c r="K117" s="9"/>
      <c r="L117" s="9"/>
      <c r="M117" s="60" t="s">
        <v>1673</v>
      </c>
    </row>
    <row r="118" spans="1:13" ht="126">
      <c r="A118" s="64" t="s">
        <v>1676</v>
      </c>
      <c r="B118" s="9" t="s">
        <v>1516</v>
      </c>
      <c r="C118" s="9" t="s">
        <v>1677</v>
      </c>
      <c r="D118" s="9" t="s">
        <v>1678</v>
      </c>
      <c r="E118" s="9" t="s">
        <v>1670</v>
      </c>
      <c r="F118" s="64"/>
      <c r="G118" s="62">
        <v>10</v>
      </c>
      <c r="H118" s="77">
        <v>1.25</v>
      </c>
      <c r="I118" s="9"/>
      <c r="J118" s="9"/>
      <c r="K118" s="9"/>
      <c r="L118" s="9"/>
      <c r="M118" s="60" t="s">
        <v>1673</v>
      </c>
    </row>
    <row r="119" spans="1:13" ht="63">
      <c r="A119" s="64" t="s">
        <v>1679</v>
      </c>
      <c r="B119" s="9" t="s">
        <v>1516</v>
      </c>
      <c r="C119" s="9" t="s">
        <v>1680</v>
      </c>
      <c r="D119" s="9" t="s">
        <v>1681</v>
      </c>
      <c r="E119" s="9" t="s">
        <v>1670</v>
      </c>
      <c r="F119" s="64"/>
      <c r="G119" s="62">
        <v>4</v>
      </c>
      <c r="H119" s="77">
        <v>0.5</v>
      </c>
      <c r="I119" s="9"/>
      <c r="J119" s="9"/>
      <c r="K119" s="9"/>
      <c r="L119" s="9"/>
      <c r="M119" s="60"/>
    </row>
    <row r="120" spans="1:13" ht="105">
      <c r="A120" s="64" t="s">
        <v>1682</v>
      </c>
      <c r="B120" s="9" t="s">
        <v>1516</v>
      </c>
      <c r="C120" s="9" t="s">
        <v>1683</v>
      </c>
      <c r="D120" s="9" t="s">
        <v>2500</v>
      </c>
      <c r="E120" s="9" t="s">
        <v>1670</v>
      </c>
      <c r="F120" s="64"/>
      <c r="G120" s="62">
        <v>8</v>
      </c>
      <c r="H120" s="77">
        <v>1</v>
      </c>
      <c r="I120" s="9"/>
      <c r="J120" s="9"/>
      <c r="K120" s="9"/>
      <c r="L120" s="9"/>
      <c r="M120" s="60"/>
    </row>
    <row r="121" spans="1:13" ht="42">
      <c r="A121" s="64" t="s">
        <v>1684</v>
      </c>
      <c r="B121" s="9" t="s">
        <v>1472</v>
      </c>
      <c r="C121" s="9" t="s">
        <v>1685</v>
      </c>
      <c r="D121" s="9" t="s">
        <v>2037</v>
      </c>
      <c r="E121" s="9" t="s">
        <v>1686</v>
      </c>
      <c r="F121" s="64"/>
      <c r="G121" s="62">
        <v>4</v>
      </c>
      <c r="H121" s="77">
        <v>0.5</v>
      </c>
      <c r="I121" s="9"/>
      <c r="J121" s="9"/>
      <c r="K121" s="9"/>
      <c r="L121" s="9"/>
      <c r="M121" s="60"/>
    </row>
    <row r="122" spans="1:13" ht="42">
      <c r="A122" s="64" t="s">
        <v>1687</v>
      </c>
      <c r="B122" s="9" t="s">
        <v>1516</v>
      </c>
      <c r="C122" s="9" t="s">
        <v>1688</v>
      </c>
      <c r="D122" s="9" t="s">
        <v>1689</v>
      </c>
      <c r="E122" s="9" t="s">
        <v>1670</v>
      </c>
      <c r="F122" s="64"/>
      <c r="G122" s="62">
        <v>8</v>
      </c>
      <c r="H122" s="77">
        <v>1</v>
      </c>
      <c r="I122" s="9"/>
      <c r="J122" s="9"/>
      <c r="K122" s="9"/>
      <c r="L122" s="9"/>
      <c r="M122" s="60"/>
    </row>
    <row r="123" spans="1:13" ht="21">
      <c r="A123" s="64" t="s">
        <v>1690</v>
      </c>
      <c r="B123" s="9" t="s">
        <v>1691</v>
      </c>
      <c r="C123" s="9" t="s">
        <v>1692</v>
      </c>
      <c r="D123" s="9" t="s">
        <v>1693</v>
      </c>
      <c r="E123" s="9" t="s">
        <v>1686</v>
      </c>
      <c r="F123" s="64"/>
      <c r="G123" s="62">
        <v>8</v>
      </c>
      <c r="H123" s="77">
        <v>1</v>
      </c>
      <c r="I123" s="9"/>
      <c r="J123" s="9"/>
      <c r="K123" s="9"/>
      <c r="L123" s="9"/>
      <c r="M123" s="60"/>
    </row>
    <row r="124" spans="1:13" ht="21">
      <c r="A124" s="79" t="s">
        <v>1694</v>
      </c>
      <c r="B124" s="75"/>
      <c r="C124" s="75"/>
      <c r="D124" s="75"/>
      <c r="E124" s="75"/>
      <c r="F124" s="80"/>
      <c r="G124" s="87">
        <f>SUM(G115:G123)</f>
        <v>90</v>
      </c>
      <c r="H124" s="78">
        <f>SUM(H115:H123)</f>
        <v>11.25</v>
      </c>
      <c r="I124" s="75"/>
      <c r="J124" s="75"/>
      <c r="K124" s="75"/>
      <c r="L124" s="75"/>
      <c r="M124" s="75"/>
    </row>
    <row r="125" spans="1:13" ht="126">
      <c r="A125" s="64" t="s">
        <v>1695</v>
      </c>
      <c r="B125" s="9" t="s">
        <v>1696</v>
      </c>
      <c r="C125" s="9" t="s">
        <v>1697</v>
      </c>
      <c r="D125" s="9" t="s">
        <v>2501</v>
      </c>
      <c r="E125" s="9" t="s">
        <v>1031</v>
      </c>
      <c r="F125" s="64"/>
      <c r="G125" s="62">
        <v>24</v>
      </c>
      <c r="H125" s="89">
        <v>3</v>
      </c>
      <c r="I125" s="60"/>
      <c r="J125" s="60"/>
      <c r="K125" s="60"/>
      <c r="L125" s="60"/>
      <c r="M125" s="60"/>
    </row>
    <row r="126" spans="1:13" ht="42">
      <c r="A126" s="64" t="s">
        <v>1698</v>
      </c>
      <c r="B126" s="9" t="s">
        <v>1696</v>
      </c>
      <c r="C126" s="9" t="s">
        <v>1699</v>
      </c>
      <c r="D126" s="9" t="s">
        <v>1700</v>
      </c>
      <c r="E126" s="9" t="s">
        <v>1695</v>
      </c>
      <c r="F126" s="64"/>
      <c r="G126" s="62">
        <v>8</v>
      </c>
      <c r="H126" s="89">
        <v>1</v>
      </c>
      <c r="I126" s="60"/>
      <c r="J126" s="60"/>
      <c r="K126" s="60"/>
      <c r="L126" s="60"/>
      <c r="M126" s="60"/>
    </row>
    <row r="127" spans="1:13" ht="42">
      <c r="A127" s="64" t="s">
        <v>1701</v>
      </c>
      <c r="B127" s="9" t="s">
        <v>1472</v>
      </c>
      <c r="C127" s="9" t="s">
        <v>1702</v>
      </c>
      <c r="D127" s="9" t="s">
        <v>1703</v>
      </c>
      <c r="E127" s="9" t="s">
        <v>1704</v>
      </c>
      <c r="F127" s="64"/>
      <c r="G127" s="62">
        <v>8</v>
      </c>
      <c r="H127" s="89">
        <v>1</v>
      </c>
      <c r="I127" s="60"/>
      <c r="J127" s="60"/>
      <c r="K127" s="60"/>
      <c r="L127" s="60"/>
      <c r="M127" s="60"/>
    </row>
    <row r="128" spans="1:13" ht="63">
      <c r="A128" s="64" t="s">
        <v>1705</v>
      </c>
      <c r="B128" s="9" t="s">
        <v>1706</v>
      </c>
      <c r="C128" s="9" t="s">
        <v>1707</v>
      </c>
      <c r="D128" s="9" t="s">
        <v>1708</v>
      </c>
      <c r="E128" s="9" t="s">
        <v>49</v>
      </c>
      <c r="F128" s="64"/>
      <c r="G128" s="62">
        <v>16</v>
      </c>
      <c r="H128" s="89">
        <v>2</v>
      </c>
      <c r="I128" s="60"/>
      <c r="J128" s="60"/>
      <c r="K128" s="60"/>
      <c r="L128" s="60"/>
      <c r="M128" s="60"/>
    </row>
    <row r="129" spans="1:13" ht="42">
      <c r="A129" s="64" t="s">
        <v>1709</v>
      </c>
      <c r="B129" s="9" t="s">
        <v>768</v>
      </c>
      <c r="C129" s="9" t="s">
        <v>1710</v>
      </c>
      <c r="D129" s="9" t="s">
        <v>1711</v>
      </c>
      <c r="E129" s="9" t="s">
        <v>1530</v>
      </c>
      <c r="F129" s="64"/>
      <c r="G129" s="62">
        <v>4</v>
      </c>
      <c r="H129" s="89">
        <v>0.5</v>
      </c>
      <c r="I129" s="60"/>
      <c r="J129" s="60"/>
      <c r="K129" s="60"/>
      <c r="L129" s="60"/>
      <c r="M129" s="60"/>
    </row>
    <row r="130" spans="1:13" ht="21">
      <c r="A130" s="64" t="s">
        <v>1712</v>
      </c>
      <c r="B130" s="9" t="s">
        <v>1706</v>
      </c>
      <c r="C130" s="9" t="s">
        <v>1713</v>
      </c>
      <c r="D130" s="9" t="s">
        <v>1714</v>
      </c>
      <c r="E130" s="9" t="s">
        <v>1705</v>
      </c>
      <c r="F130" s="64"/>
      <c r="G130" s="62">
        <v>8</v>
      </c>
      <c r="H130" s="89">
        <v>1</v>
      </c>
      <c r="I130" s="60"/>
      <c r="J130" s="60"/>
      <c r="K130" s="60"/>
      <c r="L130" s="60"/>
      <c r="M130" s="60"/>
    </row>
    <row r="131" spans="1:13" ht="42">
      <c r="A131" s="64" t="s">
        <v>1715</v>
      </c>
      <c r="B131" s="9" t="s">
        <v>1706</v>
      </c>
      <c r="C131" s="9" t="s">
        <v>1716</v>
      </c>
      <c r="D131" s="9" t="s">
        <v>1717</v>
      </c>
      <c r="E131" s="9" t="s">
        <v>1718</v>
      </c>
      <c r="F131" s="64"/>
      <c r="G131" s="62">
        <v>16</v>
      </c>
      <c r="H131" s="89">
        <v>2</v>
      </c>
      <c r="I131" s="60"/>
      <c r="J131" s="60"/>
      <c r="K131" s="60"/>
      <c r="L131" s="60"/>
      <c r="M131" s="60"/>
    </row>
    <row r="132" spans="1:13" ht="21">
      <c r="A132" s="64" t="s">
        <v>1719</v>
      </c>
      <c r="B132" s="9" t="s">
        <v>1691</v>
      </c>
      <c r="C132" s="9" t="s">
        <v>1720</v>
      </c>
      <c r="D132" s="9" t="s">
        <v>1721</v>
      </c>
      <c r="E132" s="9" t="s">
        <v>1690</v>
      </c>
      <c r="F132" s="64"/>
      <c r="G132" s="62">
        <v>12</v>
      </c>
      <c r="H132" s="89">
        <v>1.5</v>
      </c>
      <c r="I132" s="60"/>
      <c r="J132" s="60"/>
      <c r="K132" s="60"/>
      <c r="L132" s="60"/>
      <c r="M132" s="60"/>
    </row>
    <row r="133" spans="1:13" ht="21">
      <c r="A133" s="64" t="s">
        <v>1722</v>
      </c>
      <c r="B133" s="9" t="s">
        <v>1691</v>
      </c>
      <c r="C133" s="9" t="s">
        <v>1723</v>
      </c>
      <c r="D133" s="9" t="s">
        <v>1724</v>
      </c>
      <c r="E133" s="9" t="s">
        <v>1719</v>
      </c>
      <c r="F133" s="64"/>
      <c r="G133" s="62">
        <v>4</v>
      </c>
      <c r="H133" s="89">
        <v>0.5</v>
      </c>
      <c r="I133" s="60"/>
      <c r="J133" s="60"/>
      <c r="K133" s="60"/>
      <c r="L133" s="60"/>
      <c r="M133" s="60"/>
    </row>
    <row r="134" spans="1:13" ht="21">
      <c r="A134" s="64" t="s">
        <v>1725</v>
      </c>
      <c r="B134" s="9" t="s">
        <v>1726</v>
      </c>
      <c r="C134" s="9" t="s">
        <v>1727</v>
      </c>
      <c r="D134" s="9" t="s">
        <v>1728</v>
      </c>
      <c r="E134" s="9" t="s">
        <v>49</v>
      </c>
      <c r="F134" s="64"/>
      <c r="G134" s="62">
        <v>44</v>
      </c>
      <c r="H134" s="89">
        <v>5.5</v>
      </c>
      <c r="I134" s="60"/>
      <c r="J134" s="60"/>
      <c r="K134" s="60"/>
      <c r="L134" s="60"/>
      <c r="M134" s="60"/>
    </row>
    <row r="135" spans="1:13" ht="42">
      <c r="A135" s="79" t="s">
        <v>1729</v>
      </c>
      <c r="B135" s="75"/>
      <c r="C135" s="75"/>
      <c r="D135" s="75"/>
      <c r="E135" s="75"/>
      <c r="F135" s="80"/>
      <c r="G135" s="87">
        <f>SUM(G125:G134)</f>
        <v>144</v>
      </c>
      <c r="H135" s="78">
        <f>SUM(H125:H134)</f>
        <v>18</v>
      </c>
      <c r="I135" s="75"/>
      <c r="J135" s="75"/>
      <c r="K135" s="75"/>
      <c r="L135" s="75"/>
      <c r="M135" s="75"/>
    </row>
    <row r="136" spans="1:13" ht="21">
      <c r="A136" s="91" t="s">
        <v>1730</v>
      </c>
      <c r="B136" s="86"/>
      <c r="C136" s="86"/>
      <c r="D136" s="86"/>
      <c r="E136" s="86"/>
      <c r="F136" s="92"/>
      <c r="G136" s="88">
        <f>G9+G36+G47+G79+G93+G114+G124+G135</f>
        <v>487.5</v>
      </c>
      <c r="H136" s="90">
        <f>H9+H36+H47+H79+H93+H114+H124+H135</f>
        <v>60.9375</v>
      </c>
      <c r="I136" s="86"/>
      <c r="J136" s="86"/>
      <c r="K136" s="86"/>
      <c r="L136" s="86"/>
      <c r="M136" s="86"/>
    </row>
  </sheetData>
  <autoFilter ref="A1:M136" xr:uid="{715DF64A-6159-354B-ABF7-65BBF66877B8}"/>
  <phoneticPr fontId="2"/>
  <dataValidations count="1">
    <dataValidation type="list" allowBlank="1" showInputMessage="1" showErrorMessage="1" sqref="B2:B135"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1731</v>
      </c>
    </row>
    <row r="2" spans="1:2" ht="63">
      <c r="A2" s="4" t="s">
        <v>1732</v>
      </c>
    </row>
    <row r="4" spans="1:2">
      <c r="A4" s="2" t="s">
        <v>1733</v>
      </c>
    </row>
    <row r="5" spans="1:2">
      <c r="A5" s="8" t="s">
        <v>494</v>
      </c>
      <c r="B5" s="8" t="s">
        <v>1734</v>
      </c>
    </row>
    <row r="6" spans="1:2" ht="21">
      <c r="A6" s="9">
        <v>1</v>
      </c>
      <c r="B6" s="9" t="s">
        <v>1735</v>
      </c>
    </row>
    <row r="7" spans="1:2" ht="21">
      <c r="A7" s="9">
        <v>2</v>
      </c>
      <c r="B7" s="9" t="s">
        <v>1736</v>
      </c>
    </row>
    <row r="8" spans="1:2" ht="21">
      <c r="A8" s="9">
        <v>3</v>
      </c>
      <c r="B8" s="9" t="s">
        <v>1737</v>
      </c>
    </row>
    <row r="9" spans="1:2" ht="21">
      <c r="A9" s="9">
        <v>4</v>
      </c>
      <c r="B9" s="9" t="s">
        <v>1738</v>
      </c>
    </row>
    <row r="10" spans="1:2" ht="105">
      <c r="A10" s="9">
        <v>5</v>
      </c>
      <c r="B10" s="9" t="s">
        <v>1739</v>
      </c>
    </row>
    <row r="11" spans="1:2" ht="42">
      <c r="A11" s="9">
        <v>6</v>
      </c>
      <c r="B11" s="9" t="s">
        <v>1740</v>
      </c>
    </row>
    <row r="12" spans="1:2" ht="21">
      <c r="A12" s="9">
        <v>7</v>
      </c>
      <c r="B12" s="9" t="s">
        <v>1741</v>
      </c>
    </row>
    <row r="14" spans="1:2" ht="84">
      <c r="A14" s="4" t="s">
        <v>1742</v>
      </c>
    </row>
    <row r="15" spans="1:2" ht="63">
      <c r="A15" s="4" t="s">
        <v>1743</v>
      </c>
    </row>
    <row r="17" spans="1:4">
      <c r="A17" s="2" t="s">
        <v>1744</v>
      </c>
    </row>
    <row r="18" spans="1:4" ht="147">
      <c r="A18" s="4" t="s">
        <v>2187</v>
      </c>
    </row>
    <row r="20" spans="1:4">
      <c r="A20" s="2" t="s">
        <v>1745</v>
      </c>
    </row>
    <row r="21" spans="1:4">
      <c r="A21" s="8" t="s">
        <v>234</v>
      </c>
      <c r="B21" s="8" t="s">
        <v>1374</v>
      </c>
      <c r="C21" s="8" t="s">
        <v>1746</v>
      </c>
      <c r="D21" s="8" t="s">
        <v>1747</v>
      </c>
    </row>
    <row r="22" spans="1:4">
      <c r="A22" s="60" t="s">
        <v>1748</v>
      </c>
      <c r="B22" s="63">
        <v>40</v>
      </c>
      <c r="C22" s="63">
        <v>5</v>
      </c>
      <c r="D22" s="60" t="s">
        <v>1749</v>
      </c>
    </row>
    <row r="23" spans="1:4">
      <c r="A23" s="60" t="s">
        <v>1750</v>
      </c>
      <c r="B23" s="63">
        <v>29</v>
      </c>
      <c r="C23" s="63">
        <v>3.625</v>
      </c>
      <c r="D23" s="60" t="s">
        <v>1751</v>
      </c>
    </row>
    <row r="24" spans="1:4">
      <c r="A24" s="60" t="s">
        <v>1752</v>
      </c>
      <c r="B24" s="63">
        <v>13</v>
      </c>
      <c r="C24" s="63">
        <v>1.625</v>
      </c>
      <c r="D24" s="60" t="s">
        <v>1753</v>
      </c>
    </row>
    <row r="25" spans="1:4">
      <c r="A25" s="60" t="s">
        <v>1754</v>
      </c>
      <c r="B25" s="63">
        <v>170.5</v>
      </c>
      <c r="C25" s="63">
        <v>21.3125</v>
      </c>
      <c r="D25" s="60" t="s">
        <v>1755</v>
      </c>
    </row>
    <row r="26" spans="1:4">
      <c r="A26" s="60" t="s">
        <v>1756</v>
      </c>
      <c r="B26" s="63">
        <v>90</v>
      </c>
      <c r="C26" s="63">
        <v>11.25</v>
      </c>
      <c r="D26" s="60" t="s">
        <v>1757</v>
      </c>
    </row>
    <row r="27" spans="1:4">
      <c r="A27" s="60" t="s">
        <v>1758</v>
      </c>
      <c r="B27" s="63">
        <v>100</v>
      </c>
      <c r="C27" s="63">
        <v>12.5</v>
      </c>
      <c r="D27" s="60" t="s">
        <v>1759</v>
      </c>
    </row>
    <row r="28" spans="1:4">
      <c r="A28" s="60" t="s">
        <v>1760</v>
      </c>
      <c r="B28" s="63">
        <v>44</v>
      </c>
      <c r="C28" s="63">
        <v>5.5</v>
      </c>
      <c r="D28" s="60" t="s">
        <v>1761</v>
      </c>
    </row>
    <row r="29" spans="1:4">
      <c r="A29" s="65" t="s">
        <v>1762</v>
      </c>
      <c r="B29" s="66">
        <v>486.5</v>
      </c>
      <c r="C29" s="66">
        <v>60.8125</v>
      </c>
      <c r="D29" s="65" t="s">
        <v>1763</v>
      </c>
    </row>
    <row r="30" spans="1:4">
      <c r="A30" s="60"/>
      <c r="B30" s="60"/>
      <c r="C30" s="60"/>
      <c r="D30" s="60"/>
    </row>
    <row r="31" spans="1:4" ht="168">
      <c r="A31" s="67" t="s">
        <v>1764</v>
      </c>
    </row>
    <row r="33" spans="1:3">
      <c r="A33" s="2" t="s">
        <v>1765</v>
      </c>
    </row>
    <row r="34" spans="1:3">
      <c r="A34" s="8" t="s">
        <v>273</v>
      </c>
      <c r="B34" s="8" t="s">
        <v>47</v>
      </c>
      <c r="C34" s="8" t="s">
        <v>1374</v>
      </c>
    </row>
    <row r="35" spans="1:3" ht="21">
      <c r="A35" s="9" t="s">
        <v>1471</v>
      </c>
      <c r="B35" s="9" t="s">
        <v>1766</v>
      </c>
      <c r="C35" s="76">
        <v>2</v>
      </c>
    </row>
    <row r="36" spans="1:3" ht="21">
      <c r="A36" s="9" t="s">
        <v>1475</v>
      </c>
      <c r="B36" s="9" t="s">
        <v>1476</v>
      </c>
      <c r="C36" s="76">
        <v>2</v>
      </c>
    </row>
    <row r="37" spans="1:3" ht="21">
      <c r="A37" s="9" t="s">
        <v>1767</v>
      </c>
      <c r="B37" s="9" t="s">
        <v>1768</v>
      </c>
      <c r="C37" s="76">
        <v>7</v>
      </c>
    </row>
    <row r="38" spans="1:3" ht="21">
      <c r="A38" s="9" t="s">
        <v>1500</v>
      </c>
      <c r="B38" s="9" t="s">
        <v>1501</v>
      </c>
      <c r="C38" s="76">
        <v>2</v>
      </c>
    </row>
    <row r="39" spans="1:3" ht="21">
      <c r="A39" s="9" t="s">
        <v>1684</v>
      </c>
      <c r="B39" s="9" t="s">
        <v>1685</v>
      </c>
      <c r="C39" s="76">
        <v>4</v>
      </c>
    </row>
    <row r="40" spans="1:3" ht="21">
      <c r="A40" s="9" t="s">
        <v>1701</v>
      </c>
      <c r="B40" s="9" t="s">
        <v>1702</v>
      </c>
      <c r="C40" s="76">
        <v>8</v>
      </c>
    </row>
    <row r="41" spans="1:3" ht="21">
      <c r="A41" s="81" t="s">
        <v>1769</v>
      </c>
      <c r="B41" s="65"/>
      <c r="C41" s="82">
        <v>25</v>
      </c>
    </row>
    <row r="43" spans="1:3" ht="63">
      <c r="A43" s="10" t="s">
        <v>1770</v>
      </c>
    </row>
    <row r="45" spans="1:3">
      <c r="A45" s="2" t="s">
        <v>1771</v>
      </c>
    </row>
    <row r="46" spans="1:3" ht="126">
      <c r="A46" s="4" t="s">
        <v>1772</v>
      </c>
    </row>
    <row r="47" spans="1:3" ht="84">
      <c r="A47" s="4" t="s">
        <v>1773</v>
      </c>
    </row>
    <row r="48" spans="1:3" ht="63">
      <c r="A48" s="4" t="s">
        <v>1774</v>
      </c>
    </row>
    <row r="49" spans="1:2" ht="147">
      <c r="A49" s="4" t="s">
        <v>1775</v>
      </c>
    </row>
    <row r="50" spans="1:2" ht="21">
      <c r="A50" s="35" t="s">
        <v>1776</v>
      </c>
    </row>
    <row r="51" spans="1:2">
      <c r="A51" s="8" t="s">
        <v>1777</v>
      </c>
      <c r="B51" s="8" t="s">
        <v>1778</v>
      </c>
    </row>
    <row r="52" spans="1:2" ht="21">
      <c r="A52" s="9" t="s">
        <v>1779</v>
      </c>
      <c r="B52" s="9" t="s">
        <v>1780</v>
      </c>
    </row>
    <row r="53" spans="1:2" ht="42">
      <c r="A53" s="9" t="s">
        <v>1781</v>
      </c>
      <c r="B53" s="9" t="s">
        <v>1782</v>
      </c>
    </row>
    <row r="54" spans="1:2" ht="21">
      <c r="A54" s="9" t="s">
        <v>1783</v>
      </c>
      <c r="B54" s="9" t="s">
        <v>1784</v>
      </c>
    </row>
    <row r="55" spans="1:2" ht="21">
      <c r="A55" s="9" t="s">
        <v>1785</v>
      </c>
      <c r="B55" s="9" t="s">
        <v>1786</v>
      </c>
    </row>
    <row r="56" spans="1:2" ht="21">
      <c r="A56" s="9" t="s">
        <v>1787</v>
      </c>
      <c r="B56" s="9" t="s">
        <v>1788</v>
      </c>
    </row>
    <row r="58" spans="1:2" ht="21">
      <c r="A58" s="12" t="s">
        <v>1789</v>
      </c>
    </row>
    <row r="59" spans="1:2" ht="63">
      <c r="A59" s="4" t="s">
        <v>1790</v>
      </c>
    </row>
    <row r="60" spans="1:2" ht="63">
      <c r="A60" s="4" t="s">
        <v>1791</v>
      </c>
    </row>
    <row r="61" spans="1:2" ht="42">
      <c r="A61" s="4" t="s">
        <v>1792</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C3A4-87AC-9E4E-89CA-F862606B80B5}">
  <dimension ref="A1:H46"/>
  <sheetViews>
    <sheetView topLeftCell="A12" workbookViewId="0">
      <selection activeCell="F33" sqref="F33"/>
    </sheetView>
  </sheetViews>
  <sheetFormatPr baseColWidth="10" defaultRowHeight="20"/>
  <cols>
    <col min="1" max="1" width="10" style="71" customWidth="1"/>
    <col min="2" max="2" width="27.140625" style="71" customWidth="1"/>
    <col min="3" max="3" width="21.42578125" style="71" customWidth="1"/>
    <col min="4" max="4" width="47.140625" style="71" customWidth="1"/>
    <col min="5" max="6" width="21.42578125" style="71" customWidth="1"/>
    <col min="7" max="7" width="17.140625" style="71" customWidth="1"/>
    <col min="8" max="8" width="47.140625" style="71" customWidth="1"/>
    <col min="9" max="16384" width="10.7109375" style="71"/>
  </cols>
  <sheetData>
    <row r="1" spans="1:5" ht="27">
      <c r="A1" s="70" t="s">
        <v>1793</v>
      </c>
    </row>
    <row r="2" spans="1:5">
      <c r="A2" s="3" t="s">
        <v>1794</v>
      </c>
    </row>
    <row r="4" spans="1:5">
      <c r="A4" s="73" t="s">
        <v>1795</v>
      </c>
    </row>
    <row r="5" spans="1:5">
      <c r="A5" s="8" t="s">
        <v>494</v>
      </c>
      <c r="B5" s="8" t="s">
        <v>1796</v>
      </c>
      <c r="C5" s="8" t="s">
        <v>634</v>
      </c>
      <c r="D5" s="8" t="s">
        <v>1797</v>
      </c>
      <c r="E5" s="8" t="s">
        <v>275</v>
      </c>
    </row>
    <row r="6" spans="1:5">
      <c r="A6" s="72" t="s">
        <v>1798</v>
      </c>
      <c r="B6" s="72" t="s">
        <v>1799</v>
      </c>
      <c r="C6" s="72">
        <v>3</v>
      </c>
      <c r="D6" s="72">
        <v>30</v>
      </c>
      <c r="E6" s="72" t="s">
        <v>1800</v>
      </c>
    </row>
    <row r="7" spans="1:5">
      <c r="A7" s="72" t="s">
        <v>1801</v>
      </c>
      <c r="B7" s="72" t="s">
        <v>1802</v>
      </c>
      <c r="C7" s="72" t="s">
        <v>1803</v>
      </c>
      <c r="D7" s="72">
        <v>2</v>
      </c>
      <c r="E7" s="72" t="s">
        <v>1804</v>
      </c>
    </row>
    <row r="8" spans="1:5">
      <c r="A8" s="72" t="s">
        <v>1805</v>
      </c>
      <c r="B8" s="72" t="s">
        <v>1806</v>
      </c>
      <c r="C8" s="72">
        <v>30</v>
      </c>
      <c r="D8" s="72">
        <v>30</v>
      </c>
      <c r="E8" s="72" t="s">
        <v>1807</v>
      </c>
    </row>
    <row r="9" spans="1:5">
      <c r="A9" s="72" t="s">
        <v>1808</v>
      </c>
      <c r="B9" s="72" t="s">
        <v>411</v>
      </c>
      <c r="C9" s="72" t="s">
        <v>1809</v>
      </c>
      <c r="D9" s="72" t="s">
        <v>1810</v>
      </c>
      <c r="E9" s="72" t="s">
        <v>2125</v>
      </c>
    </row>
    <row r="10" spans="1:5">
      <c r="A10" s="72" t="s">
        <v>1811</v>
      </c>
      <c r="B10" s="72" t="s">
        <v>2142</v>
      </c>
      <c r="C10" s="72" t="s">
        <v>1812</v>
      </c>
      <c r="D10" s="72" t="s">
        <v>1813</v>
      </c>
      <c r="E10" s="72" t="s">
        <v>1814</v>
      </c>
    </row>
    <row r="11" spans="1:5">
      <c r="A11" s="72" t="s">
        <v>1815</v>
      </c>
      <c r="B11" s="72" t="s">
        <v>2188</v>
      </c>
      <c r="C11" s="72" t="s">
        <v>1816</v>
      </c>
      <c r="D11" s="72" t="s">
        <v>1816</v>
      </c>
      <c r="E11" s="72" t="s">
        <v>1817</v>
      </c>
    </row>
    <row r="12" spans="1:5">
      <c r="A12" s="72" t="s">
        <v>1818</v>
      </c>
      <c r="B12" s="72" t="s">
        <v>1819</v>
      </c>
      <c r="C12" s="72" t="s">
        <v>1820</v>
      </c>
      <c r="D12" s="72" t="s">
        <v>1821</v>
      </c>
      <c r="E12" s="72" t="s">
        <v>1822</v>
      </c>
    </row>
    <row r="13" spans="1:5">
      <c r="A13" s="72" t="s">
        <v>1823</v>
      </c>
      <c r="B13" s="72" t="s">
        <v>1824</v>
      </c>
      <c r="C13" s="72" t="s">
        <v>1825</v>
      </c>
      <c r="D13" s="72" t="s">
        <v>1810</v>
      </c>
      <c r="E13" s="72" t="s">
        <v>1826</v>
      </c>
    </row>
    <row r="15" spans="1:5">
      <c r="A15" s="94" t="s">
        <v>1827</v>
      </c>
    </row>
    <row r="17" spans="1:8">
      <c r="A17" s="73" t="s">
        <v>1828</v>
      </c>
    </row>
    <row r="18" spans="1:8">
      <c r="A18" s="8" t="s">
        <v>273</v>
      </c>
      <c r="B18" s="8" t="s">
        <v>46</v>
      </c>
      <c r="C18" s="8" t="s">
        <v>66</v>
      </c>
      <c r="D18" s="8" t="s">
        <v>1829</v>
      </c>
      <c r="E18" s="8" t="s">
        <v>1830</v>
      </c>
      <c r="F18" s="8" t="s">
        <v>1831</v>
      </c>
      <c r="G18" s="8" t="s">
        <v>1832</v>
      </c>
      <c r="H18" s="8" t="s">
        <v>116</v>
      </c>
    </row>
    <row r="19" spans="1:8">
      <c r="A19" s="72" t="s">
        <v>1833</v>
      </c>
      <c r="B19" s="72" t="s">
        <v>71</v>
      </c>
      <c r="C19" s="72" t="s">
        <v>72</v>
      </c>
      <c r="D19" s="72" t="s">
        <v>1834</v>
      </c>
      <c r="E19" s="95" t="s">
        <v>1835</v>
      </c>
      <c r="F19" s="95" t="s">
        <v>1836</v>
      </c>
      <c r="G19" s="72" t="s">
        <v>1837</v>
      </c>
      <c r="H19" s="72" t="s">
        <v>1838</v>
      </c>
    </row>
    <row r="20" spans="1:8">
      <c r="A20" s="72" t="s">
        <v>1839</v>
      </c>
      <c r="B20" s="72" t="s">
        <v>438</v>
      </c>
      <c r="C20" s="72" t="s">
        <v>72</v>
      </c>
      <c r="D20" s="72" t="s">
        <v>1840</v>
      </c>
      <c r="E20" s="95" t="s">
        <v>1841</v>
      </c>
      <c r="F20" s="95" t="s">
        <v>1842</v>
      </c>
      <c r="G20" s="72" t="s">
        <v>1837</v>
      </c>
      <c r="H20" s="72" t="s">
        <v>2189</v>
      </c>
    </row>
    <row r="21" spans="1:8">
      <c r="A21" s="72" t="s">
        <v>1843</v>
      </c>
      <c r="B21" s="72" t="s">
        <v>600</v>
      </c>
      <c r="C21" s="72" t="s">
        <v>72</v>
      </c>
      <c r="D21" s="72" t="s">
        <v>1844</v>
      </c>
      <c r="E21" s="95" t="s">
        <v>1845</v>
      </c>
      <c r="F21" s="95" t="s">
        <v>1845</v>
      </c>
      <c r="G21" s="72" t="s">
        <v>1837</v>
      </c>
      <c r="H21" s="72" t="s">
        <v>1846</v>
      </c>
    </row>
    <row r="22" spans="1:8">
      <c r="A22" s="72" t="s">
        <v>1847</v>
      </c>
      <c r="B22" s="72" t="s">
        <v>1848</v>
      </c>
      <c r="C22" s="72" t="s">
        <v>69</v>
      </c>
      <c r="D22" s="72" t="s">
        <v>1849</v>
      </c>
      <c r="E22" s="95" t="s">
        <v>1845</v>
      </c>
      <c r="F22" s="95" t="s">
        <v>1845</v>
      </c>
      <c r="G22" s="72" t="s">
        <v>1837</v>
      </c>
      <c r="H22" s="72" t="s">
        <v>1850</v>
      </c>
    </row>
    <row r="23" spans="1:8">
      <c r="A23" s="72" t="s">
        <v>1851</v>
      </c>
      <c r="B23" s="72" t="s">
        <v>73</v>
      </c>
      <c r="C23" s="72" t="s">
        <v>1852</v>
      </c>
      <c r="D23" s="72" t="s">
        <v>1853</v>
      </c>
      <c r="E23" s="95" t="s">
        <v>1841</v>
      </c>
      <c r="F23" s="95" t="s">
        <v>1854</v>
      </c>
      <c r="G23" s="72" t="s">
        <v>1837</v>
      </c>
      <c r="H23" s="72" t="s">
        <v>1855</v>
      </c>
    </row>
    <row r="24" spans="1:8">
      <c r="A24" s="72" t="s">
        <v>1856</v>
      </c>
      <c r="B24" s="72" t="s">
        <v>1857</v>
      </c>
      <c r="C24" s="72" t="s">
        <v>85</v>
      </c>
      <c r="D24" s="72" t="s">
        <v>1858</v>
      </c>
      <c r="E24" s="95" t="s">
        <v>1859</v>
      </c>
      <c r="F24" s="95" t="s">
        <v>1860</v>
      </c>
      <c r="G24" s="72" t="s">
        <v>1837</v>
      </c>
      <c r="H24" s="72" t="s">
        <v>1861</v>
      </c>
    </row>
    <row r="25" spans="1:8">
      <c r="A25" s="72" t="s">
        <v>1862</v>
      </c>
      <c r="B25" s="72" t="s">
        <v>1863</v>
      </c>
      <c r="C25" s="72" t="s">
        <v>78</v>
      </c>
      <c r="D25" s="72" t="s">
        <v>1864</v>
      </c>
      <c r="E25" s="95" t="s">
        <v>1865</v>
      </c>
      <c r="F25" s="95" t="s">
        <v>1866</v>
      </c>
      <c r="G25" s="72" t="s">
        <v>1837</v>
      </c>
      <c r="H25" s="72" t="s">
        <v>1867</v>
      </c>
    </row>
    <row r="26" spans="1:8">
      <c r="A26" s="72" t="s">
        <v>1868</v>
      </c>
      <c r="B26" s="72" t="s">
        <v>425</v>
      </c>
      <c r="C26" s="72" t="s">
        <v>78</v>
      </c>
      <c r="D26" s="72" t="s">
        <v>1869</v>
      </c>
      <c r="E26" s="95" t="s">
        <v>1870</v>
      </c>
      <c r="F26" s="95" t="s">
        <v>1871</v>
      </c>
      <c r="G26" s="72" t="s">
        <v>1837</v>
      </c>
      <c r="H26" s="72"/>
    </row>
    <row r="27" spans="1:8">
      <c r="A27" s="72" t="s">
        <v>1872</v>
      </c>
      <c r="B27" s="72" t="s">
        <v>1873</v>
      </c>
      <c r="C27" s="72" t="s">
        <v>78</v>
      </c>
      <c r="D27" s="72" t="s">
        <v>1874</v>
      </c>
      <c r="E27" s="95" t="s">
        <v>1845</v>
      </c>
      <c r="F27" s="95" t="s">
        <v>1845</v>
      </c>
      <c r="G27" s="72" t="s">
        <v>1837</v>
      </c>
      <c r="H27" s="72" t="s">
        <v>1875</v>
      </c>
    </row>
    <row r="28" spans="1:8">
      <c r="A28" s="72" t="s">
        <v>1876</v>
      </c>
      <c r="B28" s="72" t="s">
        <v>1877</v>
      </c>
      <c r="C28" s="72" t="s">
        <v>1878</v>
      </c>
      <c r="D28" s="72" t="s">
        <v>1879</v>
      </c>
      <c r="E28" s="95" t="s">
        <v>1880</v>
      </c>
      <c r="F28" s="95" t="s">
        <v>1881</v>
      </c>
      <c r="G28" s="72" t="s">
        <v>1837</v>
      </c>
      <c r="H28" s="72" t="s">
        <v>1882</v>
      </c>
    </row>
    <row r="29" spans="1:8">
      <c r="A29" s="72" t="s">
        <v>1883</v>
      </c>
      <c r="B29" s="72" t="s">
        <v>1884</v>
      </c>
      <c r="C29" s="72" t="s">
        <v>83</v>
      </c>
      <c r="D29" s="72" t="s">
        <v>1885</v>
      </c>
      <c r="E29" s="95" t="s">
        <v>1845</v>
      </c>
      <c r="F29" s="95" t="s">
        <v>1845</v>
      </c>
      <c r="G29" s="72" t="s">
        <v>1837</v>
      </c>
      <c r="H29" s="72" t="s">
        <v>1886</v>
      </c>
    </row>
    <row r="30" spans="1:8">
      <c r="A30" s="96" t="s">
        <v>1887</v>
      </c>
      <c r="B30" s="96" t="s">
        <v>1888</v>
      </c>
      <c r="C30" s="96" t="s">
        <v>1889</v>
      </c>
      <c r="D30" s="96" t="s">
        <v>1890</v>
      </c>
      <c r="E30" s="97" t="s">
        <v>1854</v>
      </c>
      <c r="F30" s="97" t="s">
        <v>1891</v>
      </c>
      <c r="G30" s="98" t="s">
        <v>1892</v>
      </c>
      <c r="H30" s="96" t="s">
        <v>1893</v>
      </c>
    </row>
    <row r="31" spans="1:8">
      <c r="A31" s="96" t="s">
        <v>1894</v>
      </c>
      <c r="B31" s="96" t="s">
        <v>1895</v>
      </c>
      <c r="C31" s="96" t="s">
        <v>89</v>
      </c>
      <c r="D31" s="96" t="s">
        <v>1896</v>
      </c>
      <c r="E31" s="97" t="s">
        <v>1897</v>
      </c>
      <c r="F31" s="97" t="s">
        <v>1898</v>
      </c>
      <c r="G31" s="98" t="s">
        <v>1892</v>
      </c>
      <c r="H31" s="96" t="s">
        <v>1899</v>
      </c>
    </row>
    <row r="32" spans="1:8">
      <c r="A32" s="72" t="s">
        <v>1900</v>
      </c>
      <c r="B32" s="72" t="s">
        <v>1901</v>
      </c>
      <c r="C32" s="72" t="s">
        <v>1901</v>
      </c>
      <c r="D32" s="72" t="s">
        <v>1902</v>
      </c>
      <c r="E32" s="95" t="s">
        <v>1903</v>
      </c>
      <c r="F32" s="95" t="s">
        <v>1903</v>
      </c>
      <c r="G32" s="72" t="s">
        <v>1837</v>
      </c>
      <c r="H32" s="72" t="s">
        <v>1904</v>
      </c>
    </row>
    <row r="33" spans="1:8">
      <c r="A33" s="99"/>
      <c r="B33" s="99" t="s">
        <v>1905</v>
      </c>
      <c r="C33" s="99"/>
      <c r="D33" s="99"/>
      <c r="E33" s="100" t="s">
        <v>1906</v>
      </c>
      <c r="F33" s="100" t="s">
        <v>1907</v>
      </c>
      <c r="G33" s="99"/>
      <c r="H33" s="99" t="s">
        <v>1908</v>
      </c>
    </row>
    <row r="35" spans="1:8">
      <c r="A35" s="73" t="s">
        <v>1909</v>
      </c>
    </row>
    <row r="36" spans="1:8">
      <c r="A36" s="3" t="s">
        <v>1910</v>
      </c>
    </row>
    <row r="37" spans="1:8">
      <c r="A37" s="3" t="s">
        <v>1911</v>
      </c>
    </row>
    <row r="38" spans="1:8">
      <c r="A38" s="3" t="s">
        <v>1912</v>
      </c>
    </row>
    <row r="39" spans="1:8">
      <c r="A39" s="3" t="s">
        <v>2038</v>
      </c>
    </row>
    <row r="41" spans="1:8">
      <c r="A41" s="74" t="s">
        <v>1913</v>
      </c>
    </row>
    <row r="42" spans="1:8">
      <c r="A42" s="8" t="s">
        <v>273</v>
      </c>
      <c r="B42" s="8" t="s">
        <v>47</v>
      </c>
    </row>
    <row r="43" spans="1:8">
      <c r="A43" s="72" t="s">
        <v>1239</v>
      </c>
      <c r="B43" s="72" t="s">
        <v>1240</v>
      </c>
    </row>
    <row r="44" spans="1:8">
      <c r="A44" s="72" t="s">
        <v>1242</v>
      </c>
      <c r="B44" s="72" t="s">
        <v>2180</v>
      </c>
    </row>
    <row r="45" spans="1:8">
      <c r="A45" s="72" t="s">
        <v>1243</v>
      </c>
      <c r="B45" s="72" t="s">
        <v>1244</v>
      </c>
    </row>
    <row r="46" spans="1:8">
      <c r="A46" s="72" t="s">
        <v>1246</v>
      </c>
      <c r="B46" s="72" t="s">
        <v>1247</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7C677-0766-0848-BFDC-344E2CC70E69}">
  <dimension ref="A1:H44"/>
  <sheetViews>
    <sheetView workbookViewId="0">
      <selection activeCell="C18" sqref="C18"/>
    </sheetView>
  </sheetViews>
  <sheetFormatPr baseColWidth="10" defaultRowHeight="20"/>
  <cols>
    <col min="1" max="1" width="10" style="71" customWidth="1"/>
    <col min="2" max="2" width="62.85546875" style="71" customWidth="1"/>
    <col min="3" max="3" width="28.5703125" style="71" customWidth="1"/>
    <col min="4" max="4" width="61.42578125" style="71" customWidth="1"/>
    <col min="5" max="5" width="15.7109375" style="71" customWidth="1"/>
    <col min="6" max="7" width="8.85546875" style="71" customWidth="1"/>
    <col min="8" max="8" width="17.140625" style="71" customWidth="1"/>
    <col min="9" max="16384" width="10.7109375" style="71"/>
  </cols>
  <sheetData>
    <row r="1" spans="1:8" ht="27">
      <c r="A1" s="70" t="s">
        <v>1914</v>
      </c>
    </row>
    <row r="2" spans="1:8">
      <c r="A2" s="101" t="s">
        <v>1915</v>
      </c>
    </row>
    <row r="3" spans="1:8">
      <c r="A3" s="3" t="s">
        <v>1916</v>
      </c>
    </row>
    <row r="5" spans="1:8">
      <c r="A5" s="73" t="s">
        <v>1917</v>
      </c>
    </row>
    <row r="6" spans="1:8">
      <c r="A6" s="8" t="s">
        <v>273</v>
      </c>
      <c r="B6" s="8" t="s">
        <v>234</v>
      </c>
      <c r="C6" s="8" t="s">
        <v>1918</v>
      </c>
      <c r="D6" s="8" t="s">
        <v>47</v>
      </c>
      <c r="E6" s="8" t="s">
        <v>1919</v>
      </c>
      <c r="F6" s="8" t="s">
        <v>1920</v>
      </c>
      <c r="G6" s="8" t="s">
        <v>1921</v>
      </c>
      <c r="H6" s="8" t="s">
        <v>116</v>
      </c>
    </row>
    <row r="7" spans="1:8">
      <c r="A7" s="72" t="s">
        <v>1922</v>
      </c>
      <c r="B7" s="72" t="s">
        <v>1923</v>
      </c>
      <c r="C7" s="72" t="s">
        <v>1924</v>
      </c>
      <c r="D7" s="72" t="s">
        <v>1925</v>
      </c>
      <c r="E7" s="102" t="s">
        <v>1926</v>
      </c>
      <c r="F7" s="102">
        <v>0.2</v>
      </c>
      <c r="G7" s="102">
        <v>4</v>
      </c>
      <c r="H7" s="72"/>
    </row>
    <row r="8" spans="1:8">
      <c r="A8" s="72" t="s">
        <v>1927</v>
      </c>
      <c r="B8" s="72" t="s">
        <v>1923</v>
      </c>
      <c r="C8" s="72" t="s">
        <v>1928</v>
      </c>
      <c r="D8" s="72" t="s">
        <v>1929</v>
      </c>
      <c r="E8" s="102" t="s">
        <v>1930</v>
      </c>
      <c r="F8" s="102">
        <v>2</v>
      </c>
      <c r="G8" s="102">
        <v>2</v>
      </c>
      <c r="H8" s="72"/>
    </row>
    <row r="9" spans="1:8">
      <c r="A9" s="72" t="s">
        <v>1931</v>
      </c>
      <c r="B9" s="72" t="s">
        <v>1923</v>
      </c>
      <c r="C9" s="72" t="s">
        <v>2190</v>
      </c>
      <c r="D9" s="72" t="s">
        <v>1932</v>
      </c>
      <c r="E9" s="102" t="s">
        <v>1933</v>
      </c>
      <c r="F9" s="102">
        <v>1</v>
      </c>
      <c r="G9" s="102">
        <v>1</v>
      </c>
      <c r="H9" s="72"/>
    </row>
    <row r="10" spans="1:8">
      <c r="A10" s="72" t="s">
        <v>1934</v>
      </c>
      <c r="B10" s="72" t="s">
        <v>1923</v>
      </c>
      <c r="C10" s="72" t="s">
        <v>1935</v>
      </c>
      <c r="D10" s="72" t="s">
        <v>1936</v>
      </c>
      <c r="E10" s="102" t="s">
        <v>1937</v>
      </c>
      <c r="F10" s="102">
        <v>2</v>
      </c>
      <c r="G10" s="102">
        <v>0.7</v>
      </c>
      <c r="H10" s="72"/>
    </row>
    <row r="11" spans="1:8">
      <c r="A11" s="72" t="s">
        <v>1938</v>
      </c>
      <c r="B11" s="72" t="s">
        <v>1923</v>
      </c>
      <c r="C11" s="72" t="s">
        <v>1939</v>
      </c>
      <c r="D11" s="72" t="s">
        <v>1940</v>
      </c>
      <c r="E11" s="102" t="s">
        <v>1937</v>
      </c>
      <c r="F11" s="102">
        <v>2</v>
      </c>
      <c r="G11" s="102">
        <v>0.7</v>
      </c>
      <c r="H11" s="72"/>
    </row>
    <row r="12" spans="1:8">
      <c r="A12" s="72" t="s">
        <v>1941</v>
      </c>
      <c r="B12" s="72" t="s">
        <v>1923</v>
      </c>
      <c r="C12" s="72" t="s">
        <v>1942</v>
      </c>
      <c r="D12" s="72" t="s">
        <v>1943</v>
      </c>
      <c r="E12" s="102" t="s">
        <v>1944</v>
      </c>
      <c r="F12" s="102">
        <v>3</v>
      </c>
      <c r="G12" s="102">
        <v>0.5</v>
      </c>
      <c r="H12" s="72"/>
    </row>
    <row r="13" spans="1:8">
      <c r="A13" s="72" t="s">
        <v>1945</v>
      </c>
      <c r="B13" s="72" t="s">
        <v>1923</v>
      </c>
      <c r="C13" s="72" t="s">
        <v>1946</v>
      </c>
      <c r="D13" s="72" t="s">
        <v>1947</v>
      </c>
      <c r="E13" s="102" t="s">
        <v>1948</v>
      </c>
      <c r="F13" s="102">
        <v>16</v>
      </c>
      <c r="G13" s="102">
        <v>1.3</v>
      </c>
      <c r="H13" s="72"/>
    </row>
    <row r="14" spans="1:8">
      <c r="A14" s="72" t="s">
        <v>1949</v>
      </c>
      <c r="B14" s="72" t="s">
        <v>1923</v>
      </c>
      <c r="C14" s="72" t="s">
        <v>1950</v>
      </c>
      <c r="D14" s="72" t="s">
        <v>1951</v>
      </c>
      <c r="E14" s="102" t="s">
        <v>1948</v>
      </c>
      <c r="F14" s="102">
        <v>8</v>
      </c>
      <c r="G14" s="102">
        <v>0.7</v>
      </c>
      <c r="H14" s="72"/>
    </row>
    <row r="15" spans="1:8">
      <c r="A15" s="99"/>
      <c r="B15" s="99" t="s">
        <v>1952</v>
      </c>
      <c r="C15" s="99"/>
      <c r="D15" s="99"/>
      <c r="E15" s="103"/>
      <c r="F15" s="103"/>
      <c r="G15" s="103">
        <v>10.9</v>
      </c>
      <c r="H15" s="99"/>
    </row>
    <row r="16" spans="1:8">
      <c r="A16" s="72" t="s">
        <v>1953</v>
      </c>
      <c r="B16" s="72" t="s">
        <v>1954</v>
      </c>
      <c r="C16" s="72" t="s">
        <v>1955</v>
      </c>
      <c r="D16" s="72" t="s">
        <v>1956</v>
      </c>
      <c r="E16" s="102">
        <v>0.5</v>
      </c>
      <c r="F16" s="102">
        <v>4</v>
      </c>
      <c r="G16" s="102">
        <v>2</v>
      </c>
      <c r="H16" s="72"/>
    </row>
    <row r="17" spans="1:8">
      <c r="A17" s="72" t="s">
        <v>1957</v>
      </c>
      <c r="B17" s="72" t="s">
        <v>1954</v>
      </c>
      <c r="C17" s="72" t="s">
        <v>1958</v>
      </c>
      <c r="D17" s="72" t="s">
        <v>2039</v>
      </c>
      <c r="E17" s="102">
        <v>3</v>
      </c>
      <c r="F17" s="102">
        <v>1</v>
      </c>
      <c r="G17" s="102">
        <v>3</v>
      </c>
      <c r="H17" s="72"/>
    </row>
    <row r="18" spans="1:8">
      <c r="A18" s="72" t="s">
        <v>1959</v>
      </c>
      <c r="B18" s="72" t="s">
        <v>1954</v>
      </c>
      <c r="C18" s="72" t="s">
        <v>1960</v>
      </c>
      <c r="D18" s="72" t="s">
        <v>1961</v>
      </c>
      <c r="E18" s="102">
        <v>4</v>
      </c>
      <c r="F18" s="102">
        <v>0.5</v>
      </c>
      <c r="G18" s="102">
        <v>2</v>
      </c>
      <c r="H18" s="72"/>
    </row>
    <row r="19" spans="1:8">
      <c r="A19" s="72" t="s">
        <v>1962</v>
      </c>
      <c r="B19" s="72" t="s">
        <v>1954</v>
      </c>
      <c r="C19" s="72" t="s">
        <v>1963</v>
      </c>
      <c r="D19" s="72" t="s">
        <v>1964</v>
      </c>
      <c r="E19" s="102">
        <v>1</v>
      </c>
      <c r="F19" s="102">
        <v>2</v>
      </c>
      <c r="G19" s="102">
        <v>2</v>
      </c>
      <c r="H19" s="72"/>
    </row>
    <row r="20" spans="1:8">
      <c r="A20" s="72" t="s">
        <v>1965</v>
      </c>
      <c r="B20" s="72" t="s">
        <v>1954</v>
      </c>
      <c r="C20" s="72" t="s">
        <v>1966</v>
      </c>
      <c r="D20" s="72" t="s">
        <v>1967</v>
      </c>
      <c r="E20" s="102">
        <v>1</v>
      </c>
      <c r="F20" s="102">
        <v>1</v>
      </c>
      <c r="G20" s="102">
        <v>1</v>
      </c>
      <c r="H20" s="72"/>
    </row>
    <row r="21" spans="1:8">
      <c r="A21" s="72" t="s">
        <v>1968</v>
      </c>
      <c r="B21" s="72" t="s">
        <v>1954</v>
      </c>
      <c r="C21" s="72" t="s">
        <v>1969</v>
      </c>
      <c r="D21" s="72" t="s">
        <v>1970</v>
      </c>
      <c r="E21" s="102">
        <v>1</v>
      </c>
      <c r="F21" s="102">
        <v>3</v>
      </c>
      <c r="G21" s="102">
        <v>3</v>
      </c>
      <c r="H21" s="72"/>
    </row>
    <row r="22" spans="1:8">
      <c r="A22" s="72" t="s">
        <v>1971</v>
      </c>
      <c r="B22" s="72" t="s">
        <v>1954</v>
      </c>
      <c r="C22" s="72" t="s">
        <v>1972</v>
      </c>
      <c r="D22" s="72" t="s">
        <v>1973</v>
      </c>
      <c r="E22" s="102">
        <v>0.5</v>
      </c>
      <c r="F22" s="102">
        <v>1</v>
      </c>
      <c r="G22" s="102">
        <v>0.5</v>
      </c>
      <c r="H22" s="72"/>
    </row>
    <row r="23" spans="1:8">
      <c r="A23" s="99"/>
      <c r="B23" s="99" t="s">
        <v>1974</v>
      </c>
      <c r="C23" s="99"/>
      <c r="D23" s="99"/>
      <c r="E23" s="103"/>
      <c r="F23" s="103"/>
      <c r="G23" s="103">
        <v>13.5</v>
      </c>
      <c r="H23" s="99"/>
    </row>
    <row r="24" spans="1:8">
      <c r="A24" s="72" t="s">
        <v>1975</v>
      </c>
      <c r="B24" s="72" t="s">
        <v>1976</v>
      </c>
      <c r="C24" s="72" t="s">
        <v>1977</v>
      </c>
      <c r="D24" s="72" t="s">
        <v>1978</v>
      </c>
      <c r="E24" s="102"/>
      <c r="F24" s="102"/>
      <c r="G24" s="102">
        <v>1</v>
      </c>
      <c r="H24" s="72"/>
    </row>
    <row r="25" spans="1:8">
      <c r="A25" s="72" t="s">
        <v>1979</v>
      </c>
      <c r="B25" s="72" t="s">
        <v>1976</v>
      </c>
      <c r="C25" s="72" t="s">
        <v>1980</v>
      </c>
      <c r="D25" s="72" t="s">
        <v>1981</v>
      </c>
      <c r="E25" s="102"/>
      <c r="F25" s="102"/>
      <c r="G25" s="102">
        <v>0.5</v>
      </c>
      <c r="H25" s="72"/>
    </row>
    <row r="26" spans="1:8">
      <c r="A26" s="99"/>
      <c r="B26" s="99" t="s">
        <v>1982</v>
      </c>
      <c r="C26" s="99"/>
      <c r="D26" s="99"/>
      <c r="E26" s="103"/>
      <c r="F26" s="103"/>
      <c r="G26" s="103">
        <v>1.5</v>
      </c>
      <c r="H26" s="99"/>
    </row>
    <row r="28" spans="1:8">
      <c r="A28" s="73" t="s">
        <v>1983</v>
      </c>
    </row>
    <row r="29" spans="1:8">
      <c r="A29" s="8" t="s">
        <v>1984</v>
      </c>
      <c r="B29" s="8" t="s">
        <v>1985</v>
      </c>
      <c r="C29" s="8" t="s">
        <v>1986</v>
      </c>
      <c r="D29" s="8" t="s">
        <v>1987</v>
      </c>
    </row>
    <row r="30" spans="1:8">
      <c r="A30" s="72" t="s">
        <v>1988</v>
      </c>
      <c r="B30" s="72" t="s">
        <v>1989</v>
      </c>
      <c r="C30" s="72">
        <v>4.9000000000000004</v>
      </c>
      <c r="D30" s="72">
        <v>0.24</v>
      </c>
    </row>
    <row r="31" spans="1:8">
      <c r="A31" s="104" t="s">
        <v>1990</v>
      </c>
      <c r="B31" s="104" t="s">
        <v>1991</v>
      </c>
      <c r="C31" s="104">
        <v>3.3</v>
      </c>
      <c r="D31" s="104">
        <v>0.16</v>
      </c>
    </row>
    <row r="32" spans="1:8">
      <c r="A32" s="72" t="s">
        <v>1992</v>
      </c>
      <c r="B32" s="72" t="s">
        <v>1993</v>
      </c>
      <c r="C32" s="72">
        <v>6.9</v>
      </c>
      <c r="D32" s="72">
        <v>0.34</v>
      </c>
    </row>
    <row r="34" spans="1:2">
      <c r="A34" s="73" t="s">
        <v>1994</v>
      </c>
    </row>
    <row r="35" spans="1:2">
      <c r="A35" s="3" t="s">
        <v>1995</v>
      </c>
    </row>
    <row r="36" spans="1:2">
      <c r="A36" s="3" t="s">
        <v>1996</v>
      </c>
    </row>
    <row r="37" spans="1:2">
      <c r="A37" s="3" t="s">
        <v>1997</v>
      </c>
    </row>
    <row r="39" spans="1:2">
      <c r="A39" s="74" t="s">
        <v>1998</v>
      </c>
    </row>
    <row r="40" spans="1:2">
      <c r="A40" s="8" t="s">
        <v>273</v>
      </c>
      <c r="B40" s="8" t="s">
        <v>47</v>
      </c>
    </row>
    <row r="41" spans="1:2">
      <c r="A41" s="72" t="s">
        <v>1249</v>
      </c>
      <c r="B41" s="72" t="s">
        <v>1250</v>
      </c>
    </row>
    <row r="42" spans="1:2">
      <c r="A42" s="72" t="s">
        <v>1252</v>
      </c>
      <c r="B42" s="72" t="s">
        <v>1253</v>
      </c>
    </row>
    <row r="43" spans="1:2">
      <c r="A43" s="72" t="s">
        <v>1255</v>
      </c>
      <c r="B43" s="72" t="s">
        <v>1256</v>
      </c>
    </row>
    <row r="44" spans="1:2">
      <c r="A44" s="72" t="s">
        <v>1258</v>
      </c>
      <c r="B44" s="72" t="s">
        <v>1259</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17</vt:i4>
      </vt:variant>
    </vt:vector>
  </HeadingPairs>
  <TitlesOfParts>
    <vt:vector size="17" baseType="lpstr">
      <vt:lpstr>01_表紙・改訂履歴</vt:lpstr>
      <vt:lpstr>02_全体概要</vt:lpstr>
      <vt:lpstr>03_構成図</vt:lpstr>
      <vt:lpstr>04_リソース一覧</vt:lpstr>
      <vt:lpstr>05_処理フロー</vt:lpstr>
      <vt:lpstr>06_実行トリガー</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lpstr>16_ランニング費用</vt:lpstr>
      <vt:lpstr>17_運用工数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2026-09-05T05:56:24Z</dcterms:modified>
</cp:coreProperties>
</file>