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582C47CA-38F5-B946-948D-50D475574B80}" xr6:coauthVersionLast="47" xr6:coauthVersionMax="47" xr10:uidLastSave="{00000000-0000-0000-0000-000000000000}"/>
  <bookViews>
    <workbookView xWindow="0" yWindow="780" windowWidth="34200" windowHeight="21460" firstSheet="7" activeTab="13" xr2:uid="{3DFCE3C5-E09C-1942-8E2D-30A61B5A45AE}"/>
  </bookViews>
  <sheets>
    <sheet name="01_表紙・改訂履歴" sheetId="1" r:id="rId1"/>
    <sheet name="02_全体概要" sheetId="2" r:id="rId2"/>
    <sheet name="03_構成図" sheetId="3" r:id="rId3"/>
    <sheet name="04_リソース一覧" sheetId="4" r:id="rId4"/>
    <sheet name="05_処理フロー" sheetId="5" r:id="rId5"/>
    <sheet name="06_実行モード" sheetId="6" r:id="rId6"/>
    <sheet name="07_データ定義" sheetId="7" r:id="rId7"/>
    <sheet name="08_セキュリティ・IAM" sheetId="8" r:id="rId8"/>
    <sheet name="09_アプリチーム向け手順" sheetId="9" r:id="rId9"/>
    <sheet name="10_設計判断一覧" sheetId="10" r:id="rId10"/>
    <sheet name="11_未決事項" sheetId="11" r:id="rId11"/>
    <sheet name="12_関連文書" sheetId="12" r:id="rId12"/>
    <sheet name="13_出典一覧" sheetId="13" r:id="rId13"/>
    <sheet name="14_WBS" sheetId="15" r:id="rId14"/>
    <sheet name="15_WBS集計" sheetId="17" r:id="rId15"/>
  </sheets>
  <definedNames>
    <definedName name="_xlnm._FilterDatabase" localSheetId="13" hidden="1">'14_WBS'!$A$1:$M$135</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1" i="17" l="1"/>
  <c r="C29" i="17"/>
  <c r="B29" i="17"/>
  <c r="C28" i="17"/>
  <c r="B28" i="17"/>
  <c r="C27" i="17"/>
  <c r="B27" i="17"/>
  <c r="C26" i="17"/>
  <c r="B26" i="17"/>
  <c r="C25" i="17"/>
  <c r="B25" i="17"/>
  <c r="C24" i="17"/>
  <c r="B24" i="17"/>
  <c r="C23" i="17"/>
  <c r="B23" i="17"/>
  <c r="C22" i="17"/>
  <c r="B22" i="17"/>
  <c r="H2" i="15"/>
  <c r="H3" i="15"/>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G135" i="15"/>
  <c r="G134" i="15"/>
  <c r="G123" i="15"/>
  <c r="G113" i="15"/>
  <c r="G94" i="15"/>
  <c r="G80" i="15"/>
  <c r="G45" i="15"/>
  <c r="G34" i="15"/>
  <c r="G8" i="15"/>
</calcChain>
</file>

<file path=xl/sharedStrings.xml><?xml version="1.0" encoding="utf-8"?>
<sst xmlns="http://schemas.openxmlformats.org/spreadsheetml/2006/main" count="2918" uniqueCount="2108">
  <si>
    <t>項目</t>
  </si>
  <si>
    <t>内容</t>
  </si>
  <si>
    <t>—</t>
  </si>
  <si>
    <t>github.com/suepie/aws-atuh-poc</t>
  </si>
  <si>
    <t>10-external-monitoring-overview.md</t>
  </si>
  <si>
    <t>18-scan-modes-and-scheduling.md</t>
  </si>
  <si>
    <t>17-deployment-integration-and-registration.md</t>
  </si>
  <si>
    <t>11-central-probe-architecture.md</t>
  </si>
  <si>
    <t>12-app-registry-design.md</t>
  </si>
  <si>
    <t>f3d78f85f1854328fcea7136df53cd5b55acb192</t>
  </si>
  <si>
    <t>13-openapi-registry-design.md</t>
  </si>
  <si>
    <t>14-probe-implementation-guide.md</t>
  </si>
  <si>
    <t>15-alert-routing-design.md</t>
  </si>
  <si>
    <t>451acac4d07f7089b950217d5ff0804a2c9b6f78</t>
  </si>
  <si>
    <t>16-cross-account-iam-design.md</t>
  </si>
  <si>
    <t>code-samples/README.md</t>
  </si>
  <si>
    <t>d11ae6a4d1d6079aaf634250904d8915ac3b497a</t>
  </si>
  <si>
    <t>担当</t>
  </si>
  <si>
    <t>発見 Lambda</t>
  </si>
  <si>
    <t>Alert Router Lambda</t>
  </si>
  <si>
    <t>#</t>
  </si>
  <si>
    <t>結果</t>
  </si>
  <si>
    <t>B</t>
  </si>
  <si>
    <t>状態</t>
  </si>
  <si>
    <t>実装済み</t>
  </si>
  <si>
    <t>alert-router-lambda</t>
  </si>
  <si>
    <t>備考</t>
  </si>
  <si>
    <t>Node.js 22 / AWS SDK v3</t>
  </si>
  <si>
    <t>Alert Router</t>
  </si>
  <si>
    <t>値</t>
  </si>
  <si>
    <t>分類</t>
  </si>
  <si>
    <t>P1</t>
  </si>
  <si>
    <t>P2</t>
  </si>
  <si>
    <t>P3</t>
  </si>
  <si>
    <t>手段</t>
  </si>
  <si>
    <t>区分</t>
  </si>
  <si>
    <t>配布物</t>
  </si>
  <si>
    <t>対策</t>
  </si>
  <si>
    <t>理由</t>
  </si>
  <si>
    <t>ID</t>
  </si>
  <si>
    <t>ADR-059</t>
  </si>
  <si>
    <t>ADR-061</t>
  </si>
  <si>
    <t>M-Q-11-1</t>
  </si>
  <si>
    <t>probe 頻度（5min / 15min）とコストのバランス</t>
  </si>
  <si>
    <t>M-Q-13-1</t>
  </si>
  <si>
    <t>ADR</t>
  </si>
  <si>
    <t>タイトル</t>
  </si>
  <si>
    <t>パス</t>
  </si>
  <si>
    <t>本書での扱い</t>
  </si>
  <si>
    <t>doc/adr/061-deploy-detection-pull-model.md</t>
  </si>
  <si>
    <t>参照のみ（番号参照）</t>
  </si>
  <si>
    <t>Central Auth Check Canary Architecture（Pattern β）</t>
  </si>
  <si>
    <t>doc/adr/059-central-auth-check-canary-architecture.md</t>
  </si>
  <si>
    <t>ADR-039</t>
  </si>
  <si>
    <t>Centralized Network Account Edge Layer（インターネット境界 CloudFront + WAF）</t>
  </si>
  <si>
    <t>doc/adr/039-centralized-network-account-edge-layer.md</t>
  </si>
  <si>
    <t>本文中で境界層の根拠として言及</t>
  </si>
  <si>
    <t>doc/api-platform/basic-design/00-index.md</t>
  </si>
  <si>
    <t>基本設計書群の目録</t>
  </si>
  <si>
    <t>対象外</t>
  </si>
  <si>
    <t>要件定義であり基本設計の写しの対象外</t>
  </si>
  <si>
    <t>巡回発見（発見 Lambda）</t>
  </si>
  <si>
    <t>probe Lambda（central-probe-lib を Lambda handler に転用）</t>
  </si>
  <si>
    <t>・決定事項（D-M-*）は「10_設計判断一覧」、未決事項（M-Q-* / BD-Q-*）は「11_未決事項」に分離して記載する。未決は未決のまま記載し、確定した設計として書かない。</t>
    <phoneticPr fontId="2"/>
  </si>
  <si>
    <t>・作成者・承認者・担当の空欄は未定を意味する（記入用）。</t>
    <phoneticPr fontId="2"/>
  </si>
  <si>
    <t>・図は本書内に挿入位置（【図 N 挿入位置】の枠）を用意し、作図は別途行う。挿入すべき図の一覧は「02_全体概要」シート末尾を参照。</t>
    <phoneticPr fontId="2"/>
  </si>
  <si>
    <t>第 10 章 外形監視 概要</t>
  </si>
  <si>
    <t>第 11 章 中央 probe アーキテクチャ</t>
  </si>
  <si>
    <t>第 12 章 App Registry 設計</t>
  </si>
  <si>
    <t>第 13 章 OpenAPI Registry 設計</t>
  </si>
  <si>
    <t>第 14 章 probe 実装ガイド</t>
  </si>
  <si>
    <t>第 15 章 Alert Routing 設計</t>
  </si>
  <si>
    <t>第 16 章 クロスアカウント IAM 設計</t>
  </si>
  <si>
    <t>第 17 章 デプロイ連携・登録</t>
  </si>
  <si>
    <t>第 18 章 スキャンモードとスケジューリング</t>
  </si>
  <si>
    <t>検証の経過記録であり現行仕様ではない</t>
  </si>
  <si>
    <t>実装コード本体</t>
  </si>
  <si>
    <t>実装物</t>
  </si>
  <si>
    <t>central-probe-lib</t>
  </si>
  <si>
    <t>認証実装確認処理 基本設計</t>
    <phoneticPr fontId="2"/>
  </si>
  <si>
    <t>API プラットフォーム／認証外形監視（Pattern β 中央集約）</t>
    <phoneticPr fontId="2"/>
  </si>
  <si>
    <t>1. 文書情報</t>
    <phoneticPr fontId="2"/>
  </si>
  <si>
    <t>項目</t>
    <phoneticPr fontId="2"/>
  </si>
  <si>
    <t>内容</t>
    <phoneticPr fontId="2"/>
  </si>
  <si>
    <t>文書名</t>
    <phoneticPr fontId="2"/>
  </si>
  <si>
    <t>—</t>
    <phoneticPr fontId="2"/>
  </si>
  <si>
    <t>機構名</t>
    <phoneticPr fontId="2"/>
  </si>
  <si>
    <t>認証実装確認処理（ADR-059 での名称は Central Auth Check Canary）</t>
    <phoneticPr fontId="2"/>
  </si>
  <si>
    <t>定めること</t>
    <phoneticPr fontId="2"/>
  </si>
  <si>
    <t>アプリチームに認証を実装させたうえで、その実装漏れを中央で継続検知する仕組みの基本設計</t>
    <phoneticPr fontId="2"/>
  </si>
  <si>
    <t>採用方式</t>
    <phoneticPr fontId="2"/>
  </si>
  <si>
    <t>Pattern β（中央集約）／pull 型中央巡回 × CodeCommit コミット差分単独</t>
    <phoneticPr fontId="2"/>
  </si>
  <si>
    <t>版</t>
    <phoneticPr fontId="2"/>
  </si>
  <si>
    <t>作成日</t>
    <phoneticPr fontId="2"/>
  </si>
  <si>
    <t>作成者</t>
    <phoneticPr fontId="2"/>
  </si>
  <si>
    <t>承認者</t>
    <phoneticPr fontId="2"/>
  </si>
  <si>
    <t>記載方針</t>
    <phoneticPr fontId="2"/>
  </si>
  <si>
    <t>3. 改訂履歴</t>
    <phoneticPr fontId="2"/>
  </si>
  <si>
    <t>日付</t>
    <phoneticPr fontId="2"/>
  </si>
  <si>
    <t>変更内容</t>
    <phoneticPr fontId="2"/>
  </si>
  <si>
    <t>担当</t>
    <phoneticPr fontId="2"/>
  </si>
  <si>
    <t>構成リソース一覧（中央 / App / 境界）</t>
    <phoneticPr fontId="2"/>
  </si>
  <si>
    <t>リソース</t>
    <phoneticPr fontId="2"/>
  </si>
  <si>
    <t>AWS サービス</t>
    <phoneticPr fontId="2"/>
  </si>
  <si>
    <t>役割</t>
    <phoneticPr fontId="2"/>
  </si>
  <si>
    <t>EventBridge Scheduler</t>
    <phoneticPr fontId="2"/>
  </si>
  <si>
    <t>EventBridge</t>
    <phoneticPr fontId="2"/>
  </si>
  <si>
    <t>巡回の起点。1 時間毎に発見 Lambda を起動</t>
    <phoneticPr fontId="2"/>
  </si>
  <si>
    <t>発見 Lambda</t>
    <phoneticPr fontId="2"/>
  </si>
  <si>
    <t>Lambda</t>
    <phoneticPr fontId="2"/>
  </si>
  <si>
    <t>変更検知と登録の実行体（pull）。各 App アカウントの CodeCommit を読み取り巡回し、リポジトリ発見・コミット差分（lastCheckedCommitId 比較）・台帳登録・spec 取得を行い、変更のあったアプリの検査を起動する</t>
    <phoneticPr fontId="2"/>
  </si>
  <si>
    <t>Monitoring Registry</t>
    <phoneticPr fontId="2"/>
  </si>
  <si>
    <t>S3（Versioning）×1 バケット</t>
    <phoneticPr fontId="2"/>
  </si>
  <si>
    <t>台帳 + spec コピーの一体ストア（DynamoDB は不使用）。registry/{appId}/{env}.json = 監視対象の台帳＋巡回スナップショット（baseUrl / authPattern / 通知先 / 前回確認コミット ID。設定値は monitoring.yaml 由来、書き手は発見 Lambda）。openapi/… = リポジトリ内 openapi.yaml（正本）のコピーで、endpoint 一覧と公開印（MON-1）の情報源</t>
    <phoneticPr fontId="2"/>
  </si>
  <si>
    <t>認証実装チェック Lambda（認証実装確認処理）</t>
    <phoneticPr fontId="2"/>
  </si>
  <si>
    <t>検査の実行体。台帳と仕様を読み、各 endpoint に未認証／正規の 2 種リクエストを送って認証の効き具合を確かめる</t>
    <phoneticPr fontId="2"/>
  </si>
  <si>
    <t>CloudWatch Metrics / アラーム</t>
    <phoneticPr fontId="2"/>
  </si>
  <si>
    <t>CloudWatch</t>
    <phoneticPr fontId="2"/>
  </si>
  <si>
    <t>検査結果の記録と発報。AuthCheckCritical &gt; 0 で認証漏れアラーム</t>
    <phoneticPr fontId="2"/>
  </si>
  <si>
    <t>Alert Router Lambda</t>
    <phoneticPr fontId="2"/>
  </si>
  <si>
    <t>通知の振り分け役。検知結果を 4×4 分類に従い P1/P2/P3 の宛先へ振り分ける（「全部 Security 行き」を防ぐ）</t>
    <phoneticPr fontId="2"/>
  </si>
  <si>
    <t>SNS（P1 / P2 / P3）</t>
    <phoneticPr fontId="2"/>
  </si>
  <si>
    <t>SNS</t>
    <phoneticPr fontId="2"/>
  </si>
  <si>
    <t>通知の出口。P1 = Security 即時 / P2 = Platform 24h / P3 = アプリチーム</t>
    <phoneticPr fontId="2"/>
  </si>
  <si>
    <t>Secrets Manager</t>
    <phoneticPr fontId="2"/>
  </si>
  <si>
    <t>Service Catalog 製品</t>
    <phoneticPr fontId="2"/>
  </si>
  <si>
    <t>Service Catalog</t>
    <phoneticPr fontId="2"/>
  </si>
  <si>
    <t>正規デプロイの型。認証必須・Origin Protection・タグ付与を全部込みで提供（アプリはパラメータを選ぶだけ。登録処理は含まない＝中央が発見する）</t>
    <phoneticPr fontId="2"/>
  </si>
  <si>
    <t>CodeCommit リポジトリ</t>
    <phoneticPr fontId="2"/>
  </si>
  <si>
    <t>CodeCommit</t>
    <phoneticPr fontId="2"/>
  </si>
  <si>
    <t>変更検知とメタデータの源。monitoring.yaml（監視宣言）+ openapi.yaml（spec 正本）を置く。コミット差分が M1 のトリガ</t>
    <phoneticPr fontId="2"/>
  </si>
  <si>
    <t>DiscoveryReadRole</t>
    <phoneticPr fontId="2"/>
  </si>
  <si>
    <t>IAM ロール（StackSets 配布）</t>
    <phoneticPr fontId="2"/>
  </si>
  <si>
    <t>中央からの読み取り窓口。発見 Lambda だけが AssumeRole でき、codecommit read のみ</t>
    <phoneticPr fontId="2"/>
  </si>
  <si>
    <t>API GW / ALB</t>
    <phoneticPr fontId="2"/>
  </si>
  <si>
    <t>検査の対象（アプリの認証実装そのもの）。probe が実際に叩く</t>
    <phoneticPr fontId="2"/>
  </si>
  <si>
    <t>アプリごとの CloudFront + WAF</t>
    <phoneticPr fontId="2"/>
  </si>
  <si>
    <t>CloudFront / WAF</t>
    <phoneticPr fontId="2"/>
  </si>
  <si>
    <t>インターネット境界（Origin Protection）。probe は実ユーザーと同じくここを経由して検査する（境界を破らない）</t>
    <phoneticPr fontId="2"/>
  </si>
  <si>
    <t>4. 1 行まとめ</t>
    <phoneticPr fontId="2"/>
  </si>
  <si>
    <t>構成要素 / 実装物</t>
    <phoneticPr fontId="2"/>
  </si>
  <si>
    <t>状態</t>
    <phoneticPr fontId="2"/>
  </si>
  <si>
    <t>central-probe-lib（probe lib）</t>
    <phoneticPr fontId="2"/>
  </si>
  <si>
    <t>実装済み</t>
    <phoneticPr fontId="2"/>
  </si>
  <si>
    <t>認証実装確認処理 本体（OpenAPI 動的発見、Hybrid 検証、4×4 分類）。node --test で 27 PASS（classify 16 + probe 統合 4 + extractEndpoints 7）</t>
    <phoneticPr fontId="2"/>
  </si>
  <si>
    <t>alert-router-lambda</t>
    <phoneticPr fontId="2"/>
  </si>
  <si>
    <t>発見 Lambda（discovery）</t>
    <phoneticPr fontId="2"/>
  </si>
  <si>
    <t>未実装（M-Q-17-4、Phase 3/4）</t>
    <phoneticPr fontId="2"/>
  </si>
  <si>
    <t>巡回・差分検知・自動登録・OpenAPI pull 取得</t>
    <phoneticPr fontId="2"/>
  </si>
  <si>
    <t>probe lib の lib/registry.js</t>
    <phoneticPr fontId="2"/>
  </si>
  <si>
    <t>改修待ち（M-Q-12-3）</t>
    <phoneticPr fontId="2"/>
  </si>
  <si>
    <t>現実装は旧 DynamoDB Scan のまま。S3 台帳化に伴い S3 List/Get へ改修が必要</t>
    <phoneticPr fontId="2"/>
  </si>
  <si>
    <t>app-registry-lambda</t>
    <phoneticPr fontId="2"/>
  </si>
  <si>
    <t>旧 push 型の参考実装</t>
    <phoneticPr fontId="2"/>
  </si>
  <si>
    <t>App Registry CRUD。PutItem / 正規化ロジックは発見 Lambda に流用予定。現行構成要素ではない</t>
    <phoneticPr fontId="2"/>
  </si>
  <si>
    <t>openapi-export-lambda</t>
    <phoneticPr fontId="2"/>
  </si>
  <si>
    <t>get-export → S3 Put。ロジックは発見 Lambda に流用予定。現行構成要素ではない</t>
    <phoneticPr fontId="2"/>
  </si>
  <si>
    <t>full orchestration E2E（認証実装チェック Lambda E2E / Positive probe / metrics 着地）</t>
    <phoneticPr fontId="2"/>
  </si>
  <si>
    <t>未実施（SAM local or 実 AWS 要）</t>
    <phoneticPr fontId="2"/>
  </si>
  <si>
    <t>6. Runtime / SDK</t>
    <phoneticPr fontId="2"/>
  </si>
  <si>
    <t>対象</t>
    <phoneticPr fontId="2"/>
  </si>
  <si>
    <t>バージョン</t>
    <phoneticPr fontId="2"/>
  </si>
  <si>
    <t>備考</t>
    <phoneticPr fontId="2"/>
  </si>
  <si>
    <t>認証実装チェック Lambda（現行）</t>
    <phoneticPr fontId="2"/>
  </si>
  <si>
    <t>Node.js 22 / AWS SDK v3</t>
    <phoneticPr fontId="2"/>
  </si>
  <si>
    <t>probe lib を実行、synthetics 抽象は https 実装で注入</t>
    <phoneticPr fontId="2"/>
  </si>
  <si>
    <t>データ定義</t>
    <phoneticPr fontId="2"/>
  </si>
  <si>
    <t>型</t>
    <phoneticPr fontId="2"/>
  </si>
  <si>
    <t>説明</t>
    <phoneticPr fontId="2"/>
  </si>
  <si>
    <t>例</t>
    <phoneticPr fontId="2"/>
  </si>
  <si>
    <t>由来 / 管理</t>
    <phoneticPr fontId="2"/>
  </si>
  <si>
    <t>appId</t>
    <phoneticPr fontId="2"/>
  </si>
  <si>
    <t>S</t>
    <phoneticPr fontId="2"/>
  </si>
  <si>
    <t>アプリ一意識別子（キーと同値）</t>
    <phoneticPr fontId="2"/>
  </si>
  <si>
    <t>expense-api</t>
    <phoneticPr fontId="2"/>
  </si>
  <si>
    <t>キーと同値</t>
    <phoneticPr fontId="2"/>
  </si>
  <si>
    <t>env</t>
    <phoneticPr fontId="2"/>
  </si>
  <si>
    <t>環境（キーと同値）</t>
    <phoneticPr fontId="2"/>
  </si>
  <si>
    <t>prod / stg / dev</t>
    <phoneticPr fontId="2"/>
  </si>
  <si>
    <t>baseUrl</t>
    <phoneticPr fontId="2"/>
  </si>
  <si>
    <t>probe 先の CloudFront URL（Origin Protection 経由）</t>
    <phoneticPr fontId="2"/>
  </si>
  <si>
    <t>https://expense.example.com</t>
    <phoneticPr fontId="2"/>
  </si>
  <si>
    <t>monitoring.yaml</t>
    <phoneticPr fontId="2"/>
  </si>
  <si>
    <t>authPattern</t>
    <phoneticPr fontId="2"/>
  </si>
  <si>
    <t>認証パターン（下記 enum）</t>
    <phoneticPr fontId="2"/>
  </si>
  <si>
    <t>api-gw-jwt</t>
    <phoneticPr fontId="2"/>
  </si>
  <si>
    <t>openApiS3Key</t>
    <phoneticPr fontId="2"/>
  </si>
  <si>
    <t>spec コピーのキー</t>
    <phoneticPr fontId="2"/>
  </si>
  <si>
    <t>openapi/111122223333/expense-api/openapi.yaml</t>
    <phoneticPr fontId="2"/>
  </si>
  <si>
    <t>巡回が導出</t>
    <phoneticPr fontId="2"/>
  </si>
  <si>
    <t>testTokenSecret</t>
    <phoneticPr fontId="2"/>
  </si>
  <si>
    <t>Positive test 用 token の Secret 名（共通基盤アカウント内）</t>
    <phoneticPr fontId="2"/>
  </si>
  <si>
    <t>canary-central-readonly</t>
    <phoneticPr fontId="2"/>
  </si>
  <si>
    <t>alertRouting</t>
    <phoneticPr fontId="2"/>
  </si>
  <si>
    <t>M</t>
    <phoneticPr fontId="2"/>
  </si>
  <si>
    <t>通知先設定</t>
    <phoneticPr fontId="2"/>
  </si>
  <si>
    <t>{ p1: 'arn:...:security', p2: 'arn:...:platform', p3: 'arn:...:app-team-x' }</t>
    <phoneticPr fontId="2"/>
  </si>
  <si>
    <t>台帳のみ・中央管理</t>
    <phoneticPr fontId="2"/>
  </si>
  <si>
    <t>enabled</t>
    <phoneticPr fontId="2"/>
  </si>
  <si>
    <t>BOOL</t>
    <phoneticPr fontId="2"/>
  </si>
  <si>
    <t>監視有効フラグ（中央管理）</t>
    <phoneticPr fontId="2"/>
  </si>
  <si>
    <t>registeredAt</t>
    <phoneticPr fontId="2"/>
  </si>
  <si>
    <t>ISO8601 登録日時</t>
    <phoneticPr fontId="2"/>
  </si>
  <si>
    <t>2026-07-06T00:00:00Z</t>
    <phoneticPr fontId="2"/>
  </si>
  <si>
    <t>巡回</t>
    <phoneticPr fontId="2"/>
  </si>
  <si>
    <t>repositoryName</t>
    <phoneticPr fontId="2"/>
  </si>
  <si>
    <t>CodeCommit リポジトリ名（発見元）</t>
    <phoneticPr fontId="2"/>
  </si>
  <si>
    <t>巡回 / monitoring.yaml</t>
    <phoneticPr fontId="2"/>
  </si>
  <si>
    <t>branch</t>
    <phoneticPr fontId="2"/>
  </si>
  <si>
    <t>監視対象ブランチ</t>
    <phoneticPr fontId="2"/>
  </si>
  <si>
    <t>main</t>
    <phoneticPr fontId="2"/>
  </si>
  <si>
    <t>pathPrefix</t>
    <phoneticPr fontId="2"/>
  </si>
  <si>
    <t>モノレポ時のアプリパス</t>
    <phoneticPr fontId="2"/>
  </si>
  <si>
    <t>apps/expense-api/</t>
    <phoneticPr fontId="2"/>
  </si>
  <si>
    <t>lastCheckedCommitId</t>
    <phoneticPr fontId="2"/>
  </si>
  <si>
    <t>前回確認した先端コミット ID（M1 差分の基準）</t>
    <phoneticPr fontId="2"/>
  </si>
  <si>
    <t>a1b2c3d…</t>
    <phoneticPr fontId="2"/>
  </si>
  <si>
    <t>巡回状態</t>
    <phoneticPr fontId="2"/>
  </si>
  <si>
    <t>lastSeenAt</t>
    <phoneticPr fontId="2"/>
  </si>
  <si>
    <t>巡回で最後に観測した日時</t>
    <phoneticPr fontId="2"/>
  </si>
  <si>
    <t>2026-08-07T00:00:00Z</t>
    <phoneticPr fontId="2"/>
  </si>
  <si>
    <t>{</t>
    <phoneticPr fontId="2"/>
  </si>
  <si>
    <t>}</t>
    <phoneticPr fontId="2"/>
  </si>
  <si>
    <t>値</t>
    <phoneticPr fontId="2"/>
  </si>
  <si>
    <t>バケット</t>
    <phoneticPr fontId="2"/>
  </si>
  <si>
    <t>&lt;common-platform-acct&gt;-monitoring-registry（Versioning 有効。台帳と spec コピーが同居）</t>
    <phoneticPr fontId="2"/>
  </si>
  <si>
    <t>台帳</t>
    <phoneticPr fontId="2"/>
  </si>
  <si>
    <t>registry/{appId}/{env}.json</t>
    <phoneticPr fontId="2"/>
  </si>
  <si>
    <t>spec コピー</t>
    <phoneticPr fontId="2"/>
  </si>
  <si>
    <t>openapi/{accountId}/{appId}/openapi.yaml</t>
    <phoneticPr fontId="2"/>
  </si>
  <si>
    <t>Versioning</t>
    <phoneticPr fontId="2"/>
  </si>
  <si>
    <t>有効（履歴を保持）</t>
    <phoneticPr fontId="2"/>
  </si>
  <si>
    <t>取得元</t>
    <phoneticPr fontId="2"/>
  </si>
  <si>
    <t>発見 Lambda がリポジトリ内 openapi.yaml（正本）を GetFile で取得して Put</t>
    <phoneticPr fontId="2"/>
  </si>
  <si>
    <t>意味</t>
    <phoneticPr fontId="2"/>
  </si>
  <si>
    <t>Negative 期待</t>
    <phoneticPr fontId="2"/>
  </si>
  <si>
    <t>Positive</t>
    <phoneticPr fontId="2"/>
  </si>
  <si>
    <t>API GW + JWT Authorizer</t>
    <phoneticPr fontId="2"/>
  </si>
  <si>
    <t>401/403</t>
    <phoneticPr fontId="2"/>
  </si>
  <si>
    <t>Bearer で 200</t>
    <phoneticPr fontId="2"/>
  </si>
  <si>
    <t>検証済</t>
    <phoneticPr fontId="2"/>
  </si>
  <si>
    <t>api-gw-iam</t>
    <phoneticPr fontId="2"/>
  </si>
  <si>
    <t>API GW + AWS_IAM</t>
    <phoneticPr fontId="2"/>
  </si>
  <si>
    <t>（SigV4、Phase 2）</t>
    <phoneticPr fontId="2"/>
  </si>
  <si>
    <t>Phase 2</t>
    <phoneticPr fontId="2"/>
  </si>
  <si>
    <t>alb-code-jwt</t>
    <phoneticPr fontId="2"/>
  </si>
  <si>
    <t>ALB + アプリコード JWT</t>
    <phoneticPr fontId="2"/>
  </si>
  <si>
    <t>alb-cookie-monolith</t>
    <phoneticPr fontId="2"/>
  </si>
  <si>
    <t>ALB + Cookie SSR モノリス</t>
    <phoneticPr fontId="2"/>
  </si>
  <si>
    <t>302 Redirect to /login</t>
    <phoneticPr fontId="2"/>
  </si>
  <si>
    <t>Puppeteer ログイン</t>
    <phoneticPr fontId="2"/>
  </si>
  <si>
    <t>Negative 済 / Positive 要 PoC</t>
    <phoneticPr fontId="2"/>
  </si>
  <si>
    <t>bff-cookie-session</t>
    <phoneticPr fontId="2"/>
  </si>
  <si>
    <t>BFF（ブラウザ↔BFF = Cookie セッション）</t>
    <phoneticPr fontId="2"/>
  </si>
  <si>
    <t>401 or 302（BFF 実装依存）</t>
    <phoneticPr fontId="2"/>
  </si>
  <si>
    <t>Puppeteer ログイン → Cookie</t>
    <phoneticPr fontId="2"/>
  </si>
  <si>
    <t>lambda-url-iam</t>
    <phoneticPr fontId="2"/>
  </si>
  <si>
    <t>Lambda Function URL + IAM</t>
    <phoneticPr fontId="2"/>
  </si>
  <si>
    <t># monitoring.yaml（リポジトリ直下）</t>
    <phoneticPr fontId="2"/>
  </si>
  <si>
    <t>appId: expense-api</t>
    <phoneticPr fontId="2"/>
  </si>
  <si>
    <t>pathPrefix: apps/expense-api/    # モノレポ時のみ（単一アプリ repo は省略可）</t>
    <phoneticPr fontId="2"/>
  </si>
  <si>
    <t>branch: main                     # 省略時 main</t>
    <phoneticPr fontId="2"/>
  </si>
  <si>
    <t>openapi: openapi.yaml            # リポジトリ内の spec パス</t>
    <phoneticPr fontId="2"/>
  </si>
  <si>
    <t>environments:</t>
    <phoneticPr fontId="2"/>
  </si>
  <si>
    <t>規約</t>
    <phoneticPr fontId="2"/>
  </si>
  <si>
    <t>不備時の挙動</t>
    <phoneticPr fontId="2"/>
  </si>
  <si>
    <t>ファイル自体</t>
    <phoneticPr fontId="2"/>
  </si>
  <si>
    <t>必須（これが監視対象の宣言）</t>
    <phoneticPr fontId="2"/>
  </si>
  <si>
    <t>API リポジトリ命名規約（例 *-api）に該当するのに無い場合はメタ不足アラート（M-Q-17-3）</t>
    <phoneticPr fontId="2"/>
  </si>
  <si>
    <t>既定 api-gw-jwt で Negative のみ検査 + メタ不足アラート</t>
    <phoneticPr fontId="2"/>
  </si>
  <si>
    <t>検査不能 → メタ不足アラート</t>
    <phoneticPr fontId="2"/>
  </si>
  <si>
    <t>通知先（alertRouting）</t>
    <phoneticPr fontId="2"/>
  </si>
  <si>
    <t>enabled（一時停止）</t>
    <phoneticPr fontId="2"/>
  </si>
  <si>
    <t>yaml に書かない。台帳側で中央管理（アプリ側の勝手な監視停止を防ぐ）</t>
    <phoneticPr fontId="2"/>
  </si>
  <si>
    <t>アノテーション</t>
    <phoneticPr fontId="2"/>
  </si>
  <si>
    <t>デフォルト</t>
    <phoneticPr fontId="2"/>
  </si>
  <si>
    <t>x-synthetics-skip-auth-check: true</t>
    <phoneticPr fontId="2"/>
  </si>
  <si>
    <t>Negative probe 対象外（public endpoint）※ public は必須明示（MON-1）</t>
    <phoneticPr fontId="2"/>
  </si>
  <si>
    <t>false（= 認証必須）</t>
    <phoneticPr fontId="2"/>
  </si>
  <si>
    <t>x-canary-positive-test: true | false | pre-prod-only</t>
    <phoneticPr fontId="2"/>
  </si>
  <si>
    <t>Positive test 実施</t>
    <phoneticPr fontId="2"/>
  </si>
  <si>
    <t>x-canary-test-token-secret: &lt;name&gt;</t>
    <phoneticPr fontId="2"/>
  </si>
  <si>
    <t>使用 token の Secret 名</t>
    <phoneticPr fontId="2"/>
  </si>
  <si>
    <t>app の testTokenSecret</t>
    <phoneticPr fontId="2"/>
  </si>
  <si>
    <t>x-canary-path-params: { key: value }</t>
    <phoneticPr fontId="2"/>
  </si>
  <si>
    <t>path parameter の dummy 値</t>
    <phoneticPr fontId="2"/>
  </si>
  <si>
    <t>x-canary-cleanup: { action, path, idFrom }</t>
    <phoneticPr fontId="2"/>
  </si>
  <si>
    <t>probe 後の後処理（POST 等）</t>
    <phoneticPr fontId="2"/>
  </si>
  <si>
    <t>x-canary-auth-mode: cookie-redirect</t>
    <phoneticPr fontId="2"/>
  </si>
  <si>
    <t>モノリス Cookie フロー</t>
    <phoneticPr fontId="2"/>
  </si>
  <si>
    <t>x-canary-expected-redirect: /login</t>
    <phoneticPr fontId="2"/>
  </si>
  <si>
    <t>Cookie モノリスの期待リダイレクト先</t>
    <phoneticPr fontId="2"/>
  </si>
  <si>
    <t>paths:</t>
    <phoneticPr fontId="2"/>
  </si>
  <si>
    <t>Namespace</t>
    <phoneticPr fontId="2"/>
  </si>
  <si>
    <t>APIPlatform/AuthCheck</t>
    <phoneticPr fontId="2"/>
  </si>
  <si>
    <t>Dimensions</t>
    <phoneticPr fontId="2"/>
  </si>
  <si>
    <t>AppId, Env, AuthPattern</t>
    <phoneticPr fontId="2"/>
  </si>
  <si>
    <t>アラーム条件</t>
    <phoneticPr fontId="2"/>
  </si>
  <si>
    <t>AuthCheckCritical &gt; 0（Lambda 実行のため canary FAIL 依存でなく metric ベース）</t>
    <phoneticPr fontId="2"/>
  </si>
  <si>
    <t>メトリクス名</t>
    <phoneticPr fontId="2"/>
  </si>
  <si>
    <t>単位</t>
    <phoneticPr fontId="2"/>
  </si>
  <si>
    <t>AuthCheckPassed</t>
    <phoneticPr fontId="2"/>
  </si>
  <si>
    <t>Count</t>
    <phoneticPr fontId="2"/>
  </si>
  <si>
    <t>正常（Neg=401/403 + Pos=200）</t>
    <phoneticPr fontId="2"/>
  </si>
  <si>
    <t>AuthCheckCritical</t>
    <phoneticPr fontId="2"/>
  </si>
  <si>
    <t>認証漏れ（Neg=200）</t>
    <phoneticPr fontId="2"/>
  </si>
  <si>
    <t>AuthCheckWarn</t>
    <phoneticPr fontId="2"/>
  </si>
  <si>
    <t>テスト構成 / token 失効</t>
    <phoneticPr fontId="2"/>
  </si>
  <si>
    <t>AuthCheckInfo</t>
    <phoneticPr fontId="2"/>
  </si>
  <si>
    <t>Backend バグ（Pos=500）</t>
    <phoneticPr fontId="2"/>
  </si>
  <si>
    <t>EndpointsProbed</t>
    <phoneticPr fontId="2"/>
  </si>
  <si>
    <t>probe した endpoint 総数</t>
    <phoneticPr fontId="2"/>
  </si>
  <si>
    <t>Negative status</t>
    <phoneticPr fontId="2"/>
  </si>
  <si>
    <t>Positive status</t>
    <phoneticPr fontId="2"/>
  </si>
  <si>
    <t>分類</t>
    <phoneticPr fontId="2"/>
  </si>
  <si>
    <t>severity</t>
    <phoneticPr fontId="2"/>
  </si>
  <si>
    <t>priority</t>
    <phoneticPr fontId="2"/>
  </si>
  <si>
    <t>通知先</t>
    <phoneticPr fontId="2"/>
  </si>
  <si>
    <t>200/201/204</t>
    <phoneticPr fontId="2"/>
  </si>
  <si>
    <t>OK</t>
    <phoneticPr fontId="2"/>
  </si>
  <si>
    <t>通知なし</t>
    <phoneticPr fontId="2"/>
  </si>
  <si>
    <t>CRITICAL（認証 missing）</t>
    <phoneticPr fontId="2"/>
  </si>
  <si>
    <t>CRITICAL</t>
    <phoneticPr fontId="2"/>
  </si>
  <si>
    <t>P1</t>
    <phoneticPr fontId="2"/>
  </si>
  <si>
    <t>Security オンコール</t>
    <phoneticPr fontId="2"/>
  </si>
  <si>
    <t>CRITICAL（認証逆転）</t>
    <phoneticPr fontId="2"/>
  </si>
  <si>
    <t>WARN（token 失効）</t>
    <phoneticPr fontId="2"/>
  </si>
  <si>
    <t>WARN</t>
    <phoneticPr fontId="2"/>
  </si>
  <si>
    <t>P2</t>
    <phoneticPr fontId="2"/>
  </si>
  <si>
    <t>Platform</t>
    <phoneticPr fontId="2"/>
  </si>
  <si>
    <t>WARN（endpoint 不在 / 構成）</t>
    <phoneticPr fontId="2"/>
  </si>
  <si>
    <t>INFO（Backend バグ）</t>
    <phoneticPr fontId="2"/>
  </si>
  <si>
    <t>INFO</t>
    <phoneticPr fontId="2"/>
  </si>
  <si>
    <t>P3</t>
    <phoneticPr fontId="2"/>
  </si>
  <si>
    <t>App team</t>
    <phoneticPr fontId="2"/>
  </si>
  <si>
    <t>any</t>
    <phoneticPr fontId="2"/>
  </si>
  <si>
    <t>WARN（構成ミス）</t>
    <phoneticPr fontId="2"/>
  </si>
  <si>
    <t>null(skip)</t>
    <phoneticPr fontId="2"/>
  </si>
  <si>
    <t>OK（public + health）</t>
    <phoneticPr fontId="2"/>
  </si>
  <si>
    <t>環境</t>
    <phoneticPr fontId="2"/>
  </si>
  <si>
    <t>Negative</t>
    <phoneticPr fontId="2"/>
  </si>
  <si>
    <t>Positive (GET)</t>
    <phoneticPr fontId="2"/>
  </si>
  <si>
    <t>Positive (POST 等)</t>
    <phoneticPr fontId="2"/>
  </si>
  <si>
    <t>Smoke</t>
    <phoneticPr fontId="2"/>
  </si>
  <si>
    <t>Production</t>
    <phoneticPr fontId="2"/>
  </si>
  <si>
    <t>対象 endpoint</t>
    <phoneticPr fontId="2"/>
  </si>
  <si>
    <t>対象 GET</t>
    <phoneticPr fontId="2"/>
  </si>
  <si>
    <t>skip（副作用回避）</t>
    <phoneticPr fontId="2"/>
  </si>
  <si>
    <t>実施</t>
    <phoneticPr fontId="2"/>
  </si>
  <si>
    <t>Staging / Dev</t>
    <phoneticPr fontId="2"/>
  </si>
  <si>
    <t>実施（cleanup 付き）</t>
    <phoneticPr fontId="2"/>
  </si>
  <si>
    <t>設計判断一覧（決定事項）</t>
    <phoneticPr fontId="2"/>
  </si>
  <si>
    <t>本シートは決定事項（D-M-*）のみを収める。未決事項（M-Q-* / BD-Q-*）は「11_未決事項」シートに分離。判断に至った経緯は ADR 参照列の ADR を参照する。なお参照した md 内に D-G-* の ID は存在しない。</t>
    <phoneticPr fontId="2"/>
  </si>
  <si>
    <t>ID</t>
    <phoneticPr fontId="2"/>
  </si>
  <si>
    <t>判断</t>
    <phoneticPr fontId="2"/>
  </si>
  <si>
    <t>根拠</t>
    <phoneticPr fontId="2"/>
  </si>
  <si>
    <t>ADR 参照</t>
    <phoneticPr fontId="2"/>
  </si>
  <si>
    <t>D-M-10-1</t>
    <phoneticPr fontId="2"/>
  </si>
  <si>
    <t>Pattern β（中央集約）を採用</t>
    <phoneticPr fontId="2"/>
  </si>
  <si>
    <t>Deploy 漏れが構造的にゼロ、「中央でチェック」要件と一致</t>
    <phoneticPr fontId="2"/>
  </si>
  <si>
    <t>ADR-059</t>
    <phoneticPr fontId="2"/>
  </si>
  <si>
    <t>D-M-10-2</t>
    <phoneticPr fontId="2"/>
  </si>
  <si>
    <t>実装と設計の二重管理を避ける</t>
    <phoneticPr fontId="2"/>
  </si>
  <si>
    <t>D-M-10-3</t>
    <phoneticPr fontId="2"/>
  </si>
  <si>
    <t>設計は Phase 4 で実行検証してから確定</t>
    <phoneticPr fontId="2"/>
  </si>
  <si>
    <t>「検証済み事実」を積み上げる方針（BD 品質方針）</t>
    <phoneticPr fontId="2"/>
  </si>
  <si>
    <t>D-M-10-4</t>
    <phoneticPr fontId="2"/>
  </si>
  <si>
    <t>Lambda 3 本は VPC 外配置（VPC / EP / TGW / NAT 不要）。probe の外向き HTTPS は NW-2（NWFW 経由）の明示的例外として受容し、宛先 allowlist のコード強制 + 中央管理コード + 監査で代償</t>
    <phoneticPr fontId="2"/>
  </si>
  <si>
    <t>宛先が固定 3 種のみで任意外部 SaaS を呼ばない監視系に NWFW 経路を組むのは複雑さに見合わない。例外承認は M-Q-10-3、Phase 2 Private 対応時に probe のみ VPC 化。In 境界（CloudFront + WAF）は従来どおり実 UX と同じ向きで通過</t>
    <phoneticPr fontId="2"/>
  </si>
  <si>
    <t>D-M-11-1</t>
    <phoneticPr fontId="2"/>
  </si>
  <si>
    <t>Negative + Positive の Hybrid 検証を必須化</t>
    <phoneticPr fontId="2"/>
  </si>
  <si>
    <t>Negative 単独では構成ミスと認証漏れを区別不能</t>
    <phoneticPr fontId="2"/>
  </si>
  <si>
    <t>D-M-11-2</t>
    <phoneticPr fontId="2"/>
  </si>
  <si>
    <t>二重実装の分類ずれを防ぐ</t>
    <phoneticPr fontId="2"/>
  </si>
  <si>
    <t>D-M-11-3</t>
    <phoneticPr fontId="2"/>
  </si>
  <si>
    <t>probe は Lambda + 共通 probe lib（OpenAPI 動的発見）。Synthetics / Multi Checks は将来オプション</t>
    <phoneticPr fontId="2"/>
  </si>
  <si>
    <t>D-M-11-4</t>
    <phoneticPr fontId="2"/>
  </si>
  <si>
    <t>Cookie モノリスは 302 を認証拒否とみなし監視対象化</t>
    <phoneticPr fontId="2"/>
  </si>
  <si>
    <t>API GW 非依存アプリも担保</t>
    <phoneticPr fontId="2"/>
  </si>
  <si>
    <t>D-M-11-5</t>
    <phoneticPr fontId="2"/>
  </si>
  <si>
    <t>CRITICAL で AuthCheckCritical メトリクス → アラーム発火</t>
    <phoneticPr fontId="2"/>
  </si>
  <si>
    <t>D-M-12-1</t>
    <phoneticPr fontId="2"/>
  </si>
  <si>
    <t>消せない情報は 3 つ・書き手 1 本・MB 未満で DB が過剰。ストアを S3 1 つに集約</t>
    <phoneticPr fontId="2"/>
  </si>
  <si>
    <t>ADR-061 追記 2026-08-13</t>
    <phoneticPr fontId="2"/>
  </si>
  <si>
    <t>D-M-12-2</t>
    <phoneticPr fontId="2"/>
  </si>
  <si>
    <t>probe 先は CloudFront URL（API GW 直でない）</t>
    <phoneticPr fontId="2"/>
  </si>
  <si>
    <t>Origin Protection を破らず実 UX 同一条件で検証</t>
    <phoneticPr fontId="2"/>
  </si>
  <si>
    <t>D-M-12-3</t>
    <phoneticPr fontId="2"/>
  </si>
  <si>
    <t>登録は中央巡回の自動発見（書き手は発見 Lambda のみ、旧 Custom Resource 廃止）</t>
    <phoneticPr fontId="2"/>
  </si>
  <si>
    <t>登録漏れ構造ゼロ + 書き込みクロスアカウント権限の排除</t>
    <phoneticPr fontId="2"/>
  </si>
  <si>
    <t>ADR-061</t>
    <phoneticPr fontId="2"/>
  </si>
  <si>
    <t>D-M-12-4</t>
    <phoneticPr fontId="2"/>
  </si>
  <si>
    <t>台帳に巡回スナップショット（lastCheckedCommitId / lastSeenAt / repo 系属性）を同居</t>
    <phoneticPr fontId="2"/>
  </si>
  <si>
    <t>差分判定・消滅検知・発見元の監査を 1 箇所で完結</t>
    <phoneticPr fontId="2"/>
  </si>
  <si>
    <t>D-M-12-5</t>
    <phoneticPr fontId="2"/>
  </si>
  <si>
    <t>enabled で監視の有効／無効を切替（中央管理）</t>
    <phoneticPr fontId="2"/>
  </si>
  <si>
    <t>メンテ時などに削除せず一時停止できる。アプリが自分で監視を止められない</t>
    <phoneticPr fontId="2"/>
  </si>
  <si>
    <t>D-M-13-1</t>
    <phoneticPr fontId="2"/>
  </si>
  <si>
    <t>正本はリポジトリ内の openapi.yaml</t>
    <phoneticPr fontId="2"/>
  </si>
  <si>
    <t>コミット差分と同じ読み取り経路で完結。deploy との drift は probe 実測で顕在化</t>
    <phoneticPr fontId="2"/>
  </si>
  <si>
    <t>ADR-061 改訂</t>
    <phoneticPr fontId="2"/>
  </si>
  <si>
    <t>D-M-13-2</t>
    <phoneticPr fontId="2"/>
  </si>
  <si>
    <t>probe 制御は OpenAPI アノテーションで表現</t>
    <phoneticPr fontId="2"/>
  </si>
  <si>
    <t>アプリチームの追加作業を最小化、endpoint と同じ場所で管理</t>
    <phoneticPr fontId="2"/>
  </si>
  <si>
    <t>D-M-13-3</t>
    <phoneticPr fontId="2"/>
  </si>
  <si>
    <t>Versioning 有効</t>
    <phoneticPr fontId="2"/>
  </si>
  <si>
    <t>正本の時点管理（監査・巻き戻し）</t>
    <phoneticPr fontId="2"/>
  </si>
  <si>
    <t>D-M-13-4</t>
    <phoneticPr fontId="2"/>
  </si>
  <si>
    <t>新規 endpoint は OpenAPI 更新で自動追随（probe 無改修）</t>
    <phoneticPr fontId="2"/>
  </si>
  <si>
    <t>監視維持の自動化</t>
    <phoneticPr fontId="2"/>
  </si>
  <si>
    <t>D-M-14-1</t>
    <phoneticPr fontId="2"/>
  </si>
  <si>
    <t>probe lib を分割（registry / openapi / token / probe / classify / emit）</t>
    <phoneticPr fontId="2"/>
  </si>
  <si>
    <t>D-M-14-2</t>
    <phoneticPr fontId="2"/>
  </si>
  <si>
    <t>Multi Checks は将来オプション（≤10 固定 endpoint、Synthetics）</t>
    <phoneticPr fontId="2"/>
  </si>
  <si>
    <t>OAuth ネイティブで手軽だが動的発見不可・定期実行前提</t>
    <phoneticPr fontId="2"/>
  </si>
  <si>
    <t>D-M-14-3</t>
    <phoneticPr fontId="2"/>
  </si>
  <si>
    <t>モノリスは authPattern=alb-cookie-monolith で 302 検証</t>
    <phoneticPr fontId="2"/>
  </si>
  <si>
    <t>API GW 非依存アプリを担保</t>
    <phoneticPr fontId="2"/>
  </si>
  <si>
    <t>D-M-14-4</t>
    <phoneticPr fontId="2"/>
  </si>
  <si>
    <t>既存 TGW を再利用し全 App アカウント到達</t>
    <phoneticPr fontId="2"/>
  </si>
  <si>
    <t>D-M-14-5</t>
    <phoneticPr fontId="2"/>
  </si>
  <si>
    <t>「検証済み」と「未検証」を誤認させない</t>
    <phoneticPr fontId="2"/>
  </si>
  <si>
    <t>D-M-15-1</t>
    <phoneticPr fontId="2"/>
  </si>
  <si>
    <t>4×4 分類で P1 / P2 / P3 に振り分け（全部 Security でない）</t>
    <phoneticPr fontId="2"/>
  </si>
  <si>
    <t>誤検知で Security を疲弊させない</t>
    <phoneticPr fontId="2"/>
  </si>
  <si>
    <t>D-M-15-2</t>
    <phoneticPr fontId="2"/>
  </si>
  <si>
    <t>ARN は App Registry alertRouting → 環境変数デフォルトの 2 段解決</t>
    <phoneticPr fontId="2"/>
  </si>
  <si>
    <t>アプリ個別 + 全社既定の両立</t>
    <phoneticPr fontId="2"/>
  </si>
  <si>
    <t>D-M-15-3</t>
    <phoneticPr fontId="2"/>
  </si>
  <si>
    <t>二重実装のずれ防止</t>
    <phoneticPr fontId="2"/>
  </si>
  <si>
    <t>D-M-15-4</t>
    <phoneticPr fontId="2"/>
  </si>
  <si>
    <t>ARN 未解決は throw（DLQ）</t>
    <phoneticPr fontId="2"/>
  </si>
  <si>
    <t>設定不備を握り潰さず可視化</t>
    <phoneticPr fontId="2"/>
  </si>
  <si>
    <t>D-M-16-1</t>
    <phoneticPr fontId="2"/>
  </si>
  <si>
    <t>クロスアカウントは中央 → App の読み取り AssumeRole 1 種のみ（書き込み経路は廃止）</t>
    <phoneticPr fontId="2"/>
  </si>
  <si>
    <t>pull 型統一。攻撃面・設定ミス面の最小化</t>
    <phoneticPr fontId="2"/>
  </si>
  <si>
    <t>D-M-16-2</t>
    <phoneticPr fontId="2"/>
  </si>
  <si>
    <t>probe は Public URL 経由でクロスアカウント権限不要</t>
    <phoneticPr fontId="2"/>
  </si>
  <si>
    <t>実 UX 同一 + 権限を巡回読み取りだけに限定</t>
    <phoneticPr fontId="2"/>
  </si>
  <si>
    <t>D-M-16-3</t>
    <phoneticPr fontId="2"/>
  </si>
  <si>
    <t>DiscoveryReadRole は read-only + 信頼先 1 本 + ExternalId + 全アカウント同一名</t>
    <phoneticPr fontId="2"/>
  </si>
  <si>
    <t>漏洩時影響の最小化・confused deputy 防止・機械的な AssumeRole</t>
    <phoneticPr fontId="2"/>
  </si>
  <si>
    <t>D-M-16-4</t>
    <phoneticPr fontId="2"/>
  </si>
  <si>
    <t>配布は StackSets（Organizations 自動デプロイ）</t>
    <phoneticPr fontId="2"/>
  </si>
  <si>
    <t>新規アカウントにも自動追随 → 巡回の空白を作らない</t>
    <phoneticPr fontId="2"/>
  </si>
  <si>
    <t>D-M-16-5</t>
    <phoneticPr fontId="2"/>
  </si>
  <si>
    <t>ROSA 側 P-18 確定まで自管理前提で記述、差分改訂</t>
    <phoneticPr fontId="2"/>
  </si>
  <si>
    <t>前提変更に追随（BD-Q-01）</t>
    <phoneticPr fontId="2"/>
  </si>
  <si>
    <t>D-M-17-1</t>
    <phoneticPr fontId="2"/>
  </si>
  <si>
    <t>デプロイ検知は pull 型中央巡回に統一</t>
    <phoneticPr fontId="2"/>
  </si>
  <si>
    <t>登録漏れが構造的にゼロ、アプリ側フットプリント実質ゼロ、トリガーが中央に統一</t>
    <phoneticPr fontId="2"/>
  </si>
  <si>
    <t>D-M-17-2</t>
    <phoneticPr fontId="2"/>
  </si>
  <si>
    <t>巡回間隔は 1 時間</t>
    <phoneticPr fontId="2"/>
  </si>
  <si>
    <t>一次防衛は deploy 前ガード。外形監視は検知網であり 1 時間で許容</t>
    <phoneticPr fontId="2"/>
  </si>
  <si>
    <t>D-M-17-3</t>
    <phoneticPr fontId="2"/>
  </si>
  <si>
    <t>変更検知は CodeCommit コミット差分（lastCheckedCommitId 比較）単独</t>
    <phoneticPr fontId="2"/>
  </si>
  <si>
    <t>「以前確認した範囲からの変更」を Git ネイティブに表現。モノリスも自動対象化。穴（コンソール直変更／未デプロイ）は L2 Config Rules + M3 + SCP で補完</t>
    <phoneticPr fontId="2"/>
  </si>
  <si>
    <t>D-M-17-4</t>
    <phoneticPr fontId="2"/>
  </si>
  <si>
    <t>メタデータは monitoring.yaml（config-as-code）で宣言、通知先と enabled は台帳側</t>
    <phoneticPr fontId="2"/>
  </si>
  <si>
    <t>PR レビューで変更管理可。ARN・監視停止権限は repo に持たせない</t>
    <phoneticPr fontId="2"/>
  </si>
  <si>
    <t>D-M-17-5</t>
    <phoneticPr fontId="2"/>
  </si>
  <si>
    <t>probe 範囲はアプリ単位の全 endpoint（diff で endpoint 絞りしない）</t>
    <phoneticPr fontId="2"/>
  </si>
  <si>
    <t>認証 middleware 削除は diff から endpoint に紐づかない</t>
    <phoneticPr fontId="2"/>
  </si>
  <si>
    <t>D-M-17-6</t>
    <phoneticPr fontId="2"/>
  </si>
  <si>
    <t>Service Catalog 製品は「守られた API を作る」に専念（登録処理を持たない）</t>
    <phoneticPr fontId="2"/>
  </si>
  <si>
    <t>「見つける」は中央（関心の分離）</t>
    <phoneticPr fontId="2"/>
  </si>
  <si>
    <t>D-M-18-1</t>
    <phoneticPr fontId="2"/>
  </si>
  <si>
    <t>「5 分全量」を廃し、M1 巡回差分（自動・1h）+ M3 フル（手動）の 2 モードに</t>
    <phoneticPr fontId="2"/>
  </si>
  <si>
    <t>常時監視とデプロイ検証を分離、常時負荷を桁で削減</t>
    <phoneticPr fontId="2"/>
  </si>
  <si>
    <t>D-M-18-2</t>
    <phoneticPr fontId="2"/>
  </si>
  <si>
    <t>M1 の差分粒度はアプリ単位（変更アプリの全 endpoint）</t>
    <phoneticPr fontId="2"/>
  </si>
  <si>
    <t>OpenAPI 不変の認証コード変更（middleware 削除等）を見逃さない</t>
    <phoneticPr fontId="2"/>
  </si>
  <si>
    <t>D-M-18-3</t>
    <phoneticPr fontId="2"/>
  </si>
  <si>
    <t>M2 常時 heartbeat は当面なし（将来、重要 endpoint をアプリと合意後）</t>
    <phoneticPr fontId="2"/>
  </si>
  <si>
    <t>重要 endpoint の定義に業務会話が要る、決め打ち全量は本末転倒</t>
    <phoneticPr fontId="2"/>
  </si>
  <si>
    <t>D-M-18-4</t>
    <phoneticPr fontId="2"/>
  </si>
  <si>
    <t>M3 フルは手動（スケジュールなし）</t>
    <phoneticPr fontId="2"/>
  </si>
  <si>
    <t>網羅確認は人の判断契機（初回／監査／大変更後）で十分、常時コストゼロ</t>
    <phoneticPr fontId="2"/>
  </si>
  <si>
    <t>D-M-18-5</t>
    <phoneticPr fontId="2"/>
  </si>
  <si>
    <t>実行基盤を Lambda に一本化、Synthetics は将来オプション</t>
    <phoneticPr fontId="2"/>
  </si>
  <si>
    <t>M2 廃止で定期実行メリットが不要、probe lib は共通で資産流用</t>
    <phoneticPr fontId="2"/>
  </si>
  <si>
    <t>D-M-18-6</t>
    <phoneticPr fontId="2"/>
  </si>
  <si>
    <t>アラームは CloudWatch metric（AuthCheckCritical&gt;0）</t>
    <phoneticPr fontId="2"/>
  </si>
  <si>
    <t>canary FAIL 依存をやめ Lambda でも成立させる</t>
    <phoneticPr fontId="2"/>
  </si>
  <si>
    <t>D-M-18-7</t>
    <phoneticPr fontId="2"/>
  </si>
  <si>
    <t>M1 のトリガは中央巡回（pull、1 時間毎）。アプリ側イベントに依存しない</t>
    <phoneticPr fontId="2"/>
  </si>
  <si>
    <t>登録漏れ構造ゼロ・トリガー中央統一</t>
    <phoneticPr fontId="2"/>
  </si>
  <si>
    <t>05_処理フロー</t>
  </si>
  <si>
    <t>出典一覧（本書の出典表記 ↔ 参照元ファイルの場所とパス）</t>
  </si>
  <si>
    <t>1. 参照元の所在</t>
  </si>
  <si>
    <t>リポジトリ</t>
  </si>
  <si>
    <t>基本設計書ディレクトリ</t>
  </si>
  <si>
    <t>doc/api-platform/basic-design/</t>
  </si>
  <si>
    <t>ADR ディレクトリ</t>
  </si>
  <si>
    <t>doc/adr/</t>
  </si>
  <si>
    <t>ファイル名</t>
  </si>
  <si>
    <t>doc/api-platform/basic-design/10-external-monitoring-overview.md</t>
  </si>
  <si>
    <t>doc/api-platform/basic-design/11-central-probe-architecture.md</t>
  </si>
  <si>
    <t>doc/api-platform/basic-design/12-app-registry-design.md</t>
  </si>
  <si>
    <t>doc/api-platform/basic-design/13-openapi-registry-design.md</t>
  </si>
  <si>
    <t>doc/api-platform/basic-design/14-probe-implementation-guide.md</t>
  </si>
  <si>
    <t>doc/api-platform/basic-design/15-alert-routing-design.md</t>
  </si>
  <si>
    <t>doc/api-platform/basic-design/16-cross-account-iam-design.md</t>
  </si>
  <si>
    <t>doc/api-platform/basic-design/17-deployment-integration-and-registration.md</t>
  </si>
  <si>
    <t>doc/api-platform/basic-design/18-scan-modes-and-scheduling.md</t>
  </si>
  <si>
    <t>doc/api-platform/basic-design/code-samples/README.md</t>
  </si>
  <si>
    <t>3. ADR（経緯。本書本文では番号参照のみ）</t>
  </si>
  <si>
    <t>デプロイ検知の pull 型統一</t>
  </si>
  <si>
    <t>061-deploy-detection-pull-model.md</t>
  </si>
  <si>
    <t>059-central-auth-check-canary-architecture.md</t>
  </si>
  <si>
    <t>Centralized Network Account Edge Layer（インターネット境界）</t>
  </si>
  <si>
    <t>039-centralized-network-account-edge-layer.md</t>
  </si>
  <si>
    <t>4. 目録（参照のみ）</t>
  </si>
  <si>
    <t>00-index.md</t>
  </si>
  <si>
    <t>ADR の目録</t>
  </si>
  <si>
    <t>doc/adr/00-index.md</t>
  </si>
  <si>
    <t>5. 本書の対象外（所在のみ記録）</t>
  </si>
  <si>
    <t>要件定義</t>
  </si>
  <si>
    <t>doc/api-platform/proposal/</t>
  </si>
  <si>
    <t>検証の歴史記録</t>
  </si>
  <si>
    <t>doc/api-platform/basic-design/research/</t>
  </si>
  <si>
    <t>doc/api-platform/basic-design/code-samples/（README.md を除く）</t>
  </si>
  <si>
    <t>実装物。データ契約のみ転記対象</t>
  </si>
  <si>
    <t>0.1</t>
    <phoneticPr fontId="2"/>
  </si>
  <si>
    <t>2026-08-14</t>
    <phoneticPr fontId="2"/>
  </si>
  <si>
    <t>初版</t>
    <phoneticPr fontId="2"/>
  </si>
  <si>
    <t>全体概要（目的 / 方式サマリ / 用語）</t>
    <phoneticPr fontId="2"/>
  </si>
  <si>
    <t>1. 目的</t>
    <phoneticPr fontId="2"/>
  </si>
  <si>
    <t>観点</t>
    <phoneticPr fontId="2"/>
  </si>
  <si>
    <t>この設計書群で定めること</t>
    <phoneticPr fontId="2"/>
  </si>
  <si>
    <t>なぜ外形監視が要るか</t>
    <phoneticPr fontId="2"/>
  </si>
  <si>
    <t>静的解析や Config Rules は設定・コードの検査であり、実際に稼働中の API が未認証リクエストを弾いているかは保証できない。実トラフィックで probe する外形監視（検知 5 レイヤーの L5）が最後の砦になる。L5 は実装方式を問わず 95-99% 担保できる唯一の層。</t>
    <phoneticPr fontId="2"/>
  </si>
  <si>
    <t>存在意義</t>
    <phoneticPr fontId="2"/>
  </si>
  <si>
    <t>静的解析をすり抜けた認証漏れを、稼働後に probe → classify → 通知 → 是正で捕捉する。</t>
    <phoneticPr fontId="2"/>
  </si>
  <si>
    <t>2. スコープ</t>
    <phoneticPr fontId="2"/>
  </si>
  <si>
    <t>本設計書で扱う</t>
    <phoneticPr fontId="2"/>
  </si>
  <si>
    <t>認証実装チェック（Lambda / 検査ロジック probe lib）</t>
    <phoneticPr fontId="2"/>
  </si>
  <si>
    <t>扱う</t>
    <phoneticPr fontId="2"/>
  </si>
  <si>
    <t>App Registry（S3 台帳）</t>
    <phoneticPr fontId="2"/>
  </si>
  <si>
    <t>OpenAPI Registry（S3・台帳と同一バケット）</t>
    <phoneticPr fontId="2"/>
  </si>
  <si>
    <t>Alert Router（4×4 → SNS）</t>
    <phoneticPr fontId="2"/>
  </si>
  <si>
    <t>クロスアカウント IAM / 配布</t>
    <phoneticPr fontId="2"/>
  </si>
  <si>
    <t>静的解析 / Config Rules</t>
    <phoneticPr fontId="2"/>
  </si>
  <si>
    <t>扱わない</t>
    <phoneticPr fontId="2"/>
  </si>
  <si>
    <t>3. 方式サマリ（現行仕様）</t>
    <phoneticPr fontId="2"/>
  </si>
  <si>
    <t>現行仕様</t>
    <phoneticPr fontId="2"/>
  </si>
  <si>
    <t>監視方式</t>
    <phoneticPr fontId="2"/>
  </si>
  <si>
    <t>Pattern β（中央集約）。probe を各アプリに配らず、共通基盤アカウントの認証実装確認処理（Lambda）が全アプリを横断監視する。</t>
    <phoneticPr fontId="2"/>
  </si>
  <si>
    <t>変更検知</t>
    <phoneticPr fontId="2"/>
  </si>
  <si>
    <t>pull 型中央巡回 × CodeCommit コミット差分単独（台帳の lastCheckedCommitId と先端コミット ID の比較）。アプリ側に登録処理・登録イベントはない。</t>
    <phoneticPr fontId="2"/>
  </si>
  <si>
    <t>巡回頻度</t>
    <phoneticPr fontId="2"/>
  </si>
  <si>
    <t>1 時間毎（EventBridge Scheduler が発見 Lambda を起動）。検知遅延は最大 1 時間。</t>
    <phoneticPr fontId="2"/>
  </si>
  <si>
    <t>実行モード</t>
    <phoneticPr fontId="2"/>
  </si>
  <si>
    <t>M1 巡回差分（自動・変更のあったアプリの全 endpoint）+ M3 フル監査（手動・全アプリ全 endpoint）。M2 常時 heartbeat は将来。</t>
    <phoneticPr fontId="2"/>
  </si>
  <si>
    <t>Lambda 構成</t>
    <phoneticPr fontId="2"/>
  </si>
  <si>
    <t>3 本（発見 Lambda / 認証実装チェック Lambda / Alert Router Lambda）。すべて VPC 外に配置。</t>
    <phoneticPr fontId="2"/>
  </si>
  <si>
    <t>ストア</t>
    <phoneticPr fontId="2"/>
  </si>
  <si>
    <t>S3 ×1 バケット（Monitoring Registry）。registry/ = 台帳＋巡回スナップショット、openapi/ = spec コピー。DynamoDB は不使用。</t>
    <phoneticPr fontId="2"/>
  </si>
  <si>
    <t>検査方式</t>
    <phoneticPr fontId="2"/>
  </si>
  <si>
    <t>Negative（未認証検査）+ Positive（正規検査）の Hybrid 検証。結果を 4×4 真偽値表で分類する。</t>
    <phoneticPr fontId="2"/>
  </si>
  <si>
    <t>probe 範囲</t>
    <phoneticPr fontId="2"/>
  </si>
  <si>
    <t>アプリ単位の全 endpoint（endpoint 単位に絞らない）。</t>
    <phoneticPr fontId="2"/>
  </si>
  <si>
    <t>probe 経路</t>
    <phoneticPr fontId="2"/>
  </si>
  <si>
    <t>実ユーザーと同じ経路（インバウンド境界の CloudFront + WAF → Origin Protection → API GW / ALB）。</t>
    <phoneticPr fontId="2"/>
  </si>
  <si>
    <t>通知</t>
    <phoneticPr fontId="2"/>
  </si>
  <si>
    <t>4×4 分類の severity / priority に従い P1 Security 即時 / P2 Platform 24h / P3 App team の SNS へ振り分ける。</t>
    <phoneticPr fontId="2"/>
  </si>
  <si>
    <t>アラーム</t>
    <phoneticPr fontId="2"/>
  </si>
  <si>
    <t>CloudWatch metric AuthCheckCritical &gt; 0。</t>
    <phoneticPr fontId="2"/>
  </si>
  <si>
    <t>モノリス</t>
    <phoneticPr fontId="2"/>
  </si>
  <si>
    <t>リポジトリは必ず存在するため git 巡回で自動発見される。Cookie セッションは 302 を認証拒否とみなして監視対象化する。</t>
    <phoneticPr fontId="2"/>
  </si>
  <si>
    <t>アプリチームの作業</t>
    <phoneticPr fontId="2"/>
  </si>
  <si>
    <t>3 点のみ（Service Catalog 製品の launch / monitoring.yaml をリポジトリに置く / OpenAPI に公開印 MON-1 を付ける）。</t>
    <phoneticPr fontId="2"/>
  </si>
  <si>
    <t>アカウント構成</t>
    <phoneticPr fontId="2"/>
  </si>
  <si>
    <t>共通基盤アカウント（中央・自社管理）／インバウンド境界＝ネットワーク監査アカウント（他組織管理の可能性）／各 App アカウント／認証基盤（Broker アカウント）／アウトバウンド境界アカウント（他組織管理）。</t>
    <phoneticPr fontId="2"/>
  </si>
  <si>
    <t>4. 用語（英語のまま使う語の意味）</t>
    <phoneticPr fontId="2"/>
  </si>
  <si>
    <t>用語</t>
    <phoneticPr fontId="2"/>
  </si>
  <si>
    <t>認証実装確認処理</t>
    <phoneticPr fontId="2"/>
  </si>
  <si>
    <t>本機構の名称。アプリの認証実装漏れを中央で継続検知する仕組み。ADR-059 での名称は Central Auth Check Canary。</t>
    <phoneticPr fontId="2"/>
  </si>
  <si>
    <t>変更検知と登録の実行体（pull）。各 App アカウントの CodeCommit を読み取り巡回し、リポジトリ発見・コミット差分・台帳登録・spec 取得を行い、変更のあったアプリの検査を起動する。</t>
    <phoneticPr fontId="2"/>
  </si>
  <si>
    <t>認証実装チェック Lambda</t>
    <phoneticPr fontId="2"/>
  </si>
  <si>
    <t>検査の実行体。台帳と仕様を読み、各 endpoint に未認証／正規の 2 種リクエストを送って認証の効き具合を確かめる。</t>
    <phoneticPr fontId="2"/>
  </si>
  <si>
    <t>probe（プローブ）</t>
    <phoneticPr fontId="2"/>
  </si>
  <si>
    <t>原義は「探針」。本設計では「実際に HTTP リクエストを送り、応答で認証の効き具合を確かめる検査」を指す。設定を読むのではなく、実物に触って確かめるのが特徴。</t>
    <phoneticPr fontId="2"/>
  </si>
  <si>
    <t>Negative probe（未認証検査）</t>
    <phoneticPr fontId="2"/>
  </si>
  <si>
    <t>認証情報なしでリクエスト → 401/403（Cookie 系は 302）が返れば正常。2xx が返れば認証漏れ。</t>
    <phoneticPr fontId="2"/>
  </si>
  <si>
    <t>Positive probe（正規検査）</t>
    <phoneticPr fontId="2"/>
  </si>
  <si>
    <t>有効なトークン付きでリクエスト → 200 が返れば API 稼働とテスト健全性を確認。Negative との組合せで誤検知を防ぐ。</t>
    <phoneticPr fontId="2"/>
  </si>
  <si>
    <t>probe lib（検査ロジック）</t>
    <phoneticPr fontId="2"/>
  </si>
  <si>
    <t>上記の検査を実装した共通ライブラリ。認証実装チェック Lambda が実行する。</t>
    <phoneticPr fontId="2"/>
  </si>
  <si>
    <t>Pattern β</t>
    <phoneticPr fontId="2"/>
  </si>
  <si>
    <t>検査を各アプリに配らず中央 1 箇所から横断実行する方式。</t>
    <phoneticPr fontId="2"/>
  </si>
  <si>
    <t>M1 / M3</t>
    <phoneticPr fontId="2"/>
  </si>
  <si>
    <t>実行モード。M1 = 巡回差分（自動・1 時間毎の巡回で変化アプリのみ検査）／M3 = フル監査（手動）。</t>
    <phoneticPr fontId="2"/>
  </si>
  <si>
    <t>5. 図一覧（本書に挿入する図。各シートの【図 N 挿入位置】枠に貼り込む）</t>
    <phoneticPr fontId="2"/>
  </si>
  <si>
    <t>図番号・図名</t>
    <phoneticPr fontId="2"/>
  </si>
  <si>
    <t>描くべき内容（この要素・関係を漏らさない）</t>
    <phoneticPr fontId="2"/>
  </si>
  <si>
    <t>区分</t>
    <phoneticPr fontId="2"/>
  </si>
  <si>
    <t>挿入シート</t>
    <phoneticPr fontId="2"/>
  </si>
  <si>
    <t>図1 全体骨格（Pattern β）</t>
    <phoneticPr fontId="2"/>
  </si>
  <si>
    <t>4 アカウント区分（共通基盤／ネットワーク監査＝境界／App A／App B）と 11 ノード（発見 Lambda・Monitoring Registry S3・認証実装確認処理 Lambda・Alert Router・SNS／CloudFront+WAF ×2／CodeCommit ×2・API GW / ALB ×2）、矢印 11 本。巡回読み取り（発見 Lambda → CodeCommit）は境界非経由、probe は境界経由で描き分ける</t>
    <phoneticPr fontId="2"/>
  </si>
  <si>
    <t>A</t>
    <phoneticPr fontId="2"/>
  </si>
  <si>
    <t>03_構成図</t>
    <phoneticPr fontId="2"/>
  </si>
  <si>
    <t>図2 統合構成図（登録・トリガー・検査・通知 ①〜⑥）</t>
    <phoneticPr fontId="2"/>
  </si>
  <si>
    <t>運用者（M3）+ 13 ノード。番号付き矢印 ①AssumeRole ②CodeCommit 読み取り ③台帳・spec 登録 ④M1 起動 ⑤Neg/Pos probe ⑥Metrics・Alert、および無番号の EventBridge→発見 Lambda／M3／台帳取得／CloudFront→API GW／Alert Router→SNS／Service Catalog→API GW</t>
    <phoneticPr fontId="2"/>
  </si>
  <si>
    <t>図3 AWS リソース構成図（アカウント横断・イン／アウト境界）</t>
    <phoneticPr fontId="2"/>
  </si>
  <si>
    <t>共通基盤（VPC なし・Lambda 3 本すべて VPC 外／S3 1 バケット／Secrets／CloudWatch／SNS）／インバウンド境界アカウント（CloudFront+WAF・Origin Protection）／各 App（DiscoveryReadRole・CodeCommit・API GW / ALB）／認証基盤 Broker（Keycloak /token）／アウトバウンド境界アカウント（TGW+NWFW・非経由）。通信経路 A〜D を線種で区別し、A / B のみインターネットと In 境界を通り Out 境界を通らないことを明示</t>
    <phoneticPr fontId="2"/>
  </si>
  <si>
    <t>図4 巡回フロー（①〜⑦ + 新規発見・消滅検知）</t>
    <phoneticPr fontId="2"/>
  </si>
  <si>
    <t>EventBridge（1h）→ 発見 Lambda。①Organizations 列挙 ②AssumeRole ③ListRepositories ④GetBranch ⑤lastCheckedCommitId 比較 ⑥GetDifferences / GetFile → 台帳更新・spec Put ⑦M1 invoke → lastCheckedCommitId 更新。分岐として新規発見（自動登録）・消滅検知（enabled=false）・メタ不足アラート</t>
    <phoneticPr fontId="2"/>
  </si>
  <si>
    <t>05_処理フロー</t>
    <phoneticPr fontId="2"/>
  </si>
  <si>
    <t>図5 検査シーケンス（1 回の実行 ①〜⑨）</t>
    <phoneticPr fontId="2"/>
  </si>
  <si>
    <t>認証実装確認処理を主体としたシーケンス図。①台帳 scan ②spec fetch ③extractEndpoints ④Negative probe ⑤Positive probe ⑥classify ⑦Alert Router invoke ⑧putMetrics ⑨AuthCheckCritical。アプリループと endpoint ループの入れ子を明示</t>
    <phoneticPr fontId="2"/>
  </si>
  <si>
    <t>図6 エンドツーエンド フロー（①〜⑧）</t>
    <phoneticPr fontId="2"/>
  </si>
  <si>
    <t>①コミット &amp; デプロイ（静的解析 pass）②巡回発見（最大 1h）③M1 自動 / M3 手動 ④probe ⑤classify（OK は Metrics のみ・それ以外は ⑥ へ）⑥Alert Router ⑦通知 P1 / P2 / P3 ⑧是正 SLA。担当章の帯を添える</t>
    <phoneticPr fontId="2"/>
  </si>
  <si>
    <t>図7 実行モードの時間軸と probe 範囲</t>
    <phoneticPr fontId="2"/>
  </si>
  <si>
    <t>横軸を時間として、M1 = 1 時間毎の巡回（読み取り）と変更検知時のみ probe（変更アプリの全 endpoint）／M3 = 手動・全アプリ全 endpoint／M2 = 将来（重要 endpoint を 5-15 分）を並べ、検知遅延 最大 1 時間を明示</t>
    <phoneticPr fontId="2"/>
  </si>
  <si>
    <t>B</t>
    <phoneticPr fontId="2"/>
  </si>
  <si>
    <t>06_実行モード</t>
    <phoneticPr fontId="2"/>
  </si>
  <si>
    <t>図8 受容した穴 2 つと補完レイヤーの関係</t>
    <phoneticPr fontId="2"/>
  </si>
  <si>
    <t>穴① コンソール直変更 → L2 Config Rules + M3 + SCP、穴② コミット ≠ デプロイ → 次回巡回（1h 後）+ M3 で補完。L5 外形監視が単層で完結しないこと、一次防衛が deploy 前ガード（静的解析・製品テンプレ）であることを図示</t>
    <phoneticPr fontId="2"/>
  </si>
  <si>
    <t>図9 Monitoring Registry S3 のキー体系</t>
    <phoneticPr fontId="2"/>
  </si>
  <si>
    <t>1 バケット内に registry/{appId}/{env}.json（台帳＋巡回スナップショット）と openapi/{accountId}/{appId}/openapi.yaml（spec コピー）が同居し Versioning 有効。読み手（認証実装チェック Lambda・Alert Router）と書き手（発見 Lambda・共通基盤チーム手動）を矢印で区別</t>
    <phoneticPr fontId="2"/>
  </si>
  <si>
    <t>07_データ定義</t>
    <phoneticPr fontId="2"/>
  </si>
  <si>
    <t>図10 メタデータの供給関係（誰が何を決めるか）</t>
    <phoneticPr fontId="2"/>
  </si>
  <si>
    <t>monitoring.yaml 由来（baseUrl / authPattern / testTokenSecret / repo 系）→ 台帳、台帳のみ中央管理（alertRouting / enabled）、リポジトリ内 openapi.yaml（正本）→ S3 コピー → extractEndpoints。アプリ側に登録処理がないことを明示</t>
    <phoneticPr fontId="2"/>
  </si>
  <si>
    <t>図11 4×4 真偽値表から通知先までの振り分け</t>
    <phoneticPr fontId="2"/>
  </si>
  <si>
    <t>Negative status × Positive status の 8 組合せ → OK / CRITICAL / WARN / INFO → severity・priority → P1 Security 即時 / P2 Platform 24h / P3 App team / 通知なし。classify を probe と Alert Router が共有すること、ARN は台帳 alertRouting → 環境変数の 2 段解決であることを併記</t>
    <phoneticPr fontId="2"/>
  </si>
  <si>
    <t>図12 クロスアカウント IAM の関係</t>
    <phoneticPr fontId="2"/>
  </si>
  <si>
    <t>共通基盤の DiscoveryLambdaRole → 各 App の DiscoveryReadRole（codecommit read-only・信頼先 1 本・ExternalId）への AssumeRole 1 種のみ。StackSets による全アカウント同一名配布、CentralProbeRole / alert-router-lambda-role の権限範囲、台帳への書き込みが中央アカウント内のみであることを図示</t>
    <phoneticPr fontId="2"/>
  </si>
  <si>
    <t>08_セキュリティ・IAM</t>
    <phoneticPr fontId="2"/>
  </si>
  <si>
    <t>図13 Positive トークンの発行フロー</t>
    <phoneticPr fontId="2"/>
  </si>
  <si>
    <t>認証基盤の canary 専用サービスアカウント（client_id / secret）→ Secrets Manager（共通基盤）→ 認証実装チェック Lambda ロールのみ取得可 → /token（client_credentials）→ 短命トークン（5〜15 分）→ Positive probe → 破棄。スコープ A 採用・B 目標を注記</t>
    <phoneticPr fontId="2"/>
  </si>
  <si>
    <t>構成図</t>
    <phoneticPr fontId="2"/>
  </si>
  <si>
    <t>図1. 全体骨格（Pattern β）</t>
    <phoneticPr fontId="2"/>
  </si>
  <si>
    <t>【図1 全体骨格（Pattern β） 挿入位置】</t>
    <phoneticPr fontId="2"/>
  </si>
  <si>
    <t>描くべき内容: 4 アカウント区分と 11 ノード（発見 Lambda・Monitoring Registry S3・認証実装確認処理 Lambda・Alert Router・SNS／CloudFront+WAF ×2／CodeCommit ×2・API GW / ALB ×2）、矢印 11 本。巡回読み取りは境界非経由、probe は境界経由で描き分ける</t>
    <phoneticPr fontId="2"/>
  </si>
  <si>
    <t>（この枠に図を貼り込む。要素・矢印の追加および省略はしない）</t>
    <phoneticPr fontId="2"/>
  </si>
  <si>
    <t>アカウント</t>
    <phoneticPr fontId="2"/>
  </si>
  <si>
    <t>ノード</t>
    <phoneticPr fontId="2"/>
  </si>
  <si>
    <t>役割・注記</t>
    <phoneticPr fontId="2"/>
  </si>
  <si>
    <t>共通基盤アカウント（中央運用・自社管理）</t>
    <phoneticPr fontId="2"/>
  </si>
  <si>
    <t>1 時間毎巡回</t>
    <phoneticPr fontId="2"/>
  </si>
  <si>
    <t>Monitoring Registry S3</t>
    <phoneticPr fontId="2"/>
  </si>
  <si>
    <t>台帳 registry/ + spec openapi/</t>
    <phoneticPr fontId="2"/>
  </si>
  <si>
    <t>認証実装確認処理 Lambda</t>
    <phoneticPr fontId="2"/>
  </si>
  <si>
    <t>probe lib 共通。M1 巡回差分 / M3 フル</t>
    <phoneticPr fontId="2"/>
  </si>
  <si>
    <t>分類結果の振り分け</t>
    <phoneticPr fontId="2"/>
  </si>
  <si>
    <t>P1 Security / P2 Platform / P3 App</t>
    <phoneticPr fontId="2"/>
  </si>
  <si>
    <t>ネットワーク監査アカウント（境界層 ADR-039・他組織管理の可能性）</t>
    <phoneticPr fontId="2"/>
  </si>
  <si>
    <t>CloudFront + WAF（アプリ A 用）</t>
    <phoneticPr fontId="2"/>
  </si>
  <si>
    <t>インターネット境界</t>
    <phoneticPr fontId="2"/>
  </si>
  <si>
    <t>CloudFront + WAF（アプリ B 用）</t>
    <phoneticPr fontId="2"/>
  </si>
  <si>
    <t>App アカウント A</t>
    <phoneticPr fontId="2"/>
  </si>
  <si>
    <t>monitoring.yaml + openapi.yaml</t>
    <phoneticPr fontId="2"/>
  </si>
  <si>
    <t>認証実装</t>
    <phoneticPr fontId="2"/>
  </si>
  <si>
    <t>App アカウント B</t>
    <phoneticPr fontId="2"/>
  </si>
  <si>
    <t>#</t>
    <phoneticPr fontId="2"/>
  </si>
  <si>
    <t>From</t>
    <phoneticPr fontId="2"/>
  </si>
  <si>
    <t>To</t>
    <phoneticPr fontId="2"/>
  </si>
  <si>
    <t>ラベル</t>
    <phoneticPr fontId="2"/>
  </si>
  <si>
    <t>経路区分</t>
    <phoneticPr fontId="2"/>
  </si>
  <si>
    <t>CodeCommit（App A）</t>
    <phoneticPr fontId="2"/>
  </si>
  <si>
    <t>読み取り AssumeRole：コミット差分・monitoring.yaml・spec 取得</t>
    <phoneticPr fontId="2"/>
  </si>
  <si>
    <t>巡回読み取り（境界非経由）</t>
    <phoneticPr fontId="2"/>
  </si>
  <si>
    <t>CodeCommit（App B）</t>
    <phoneticPr fontId="2"/>
  </si>
  <si>
    <t>同</t>
    <phoneticPr fontId="2"/>
  </si>
  <si>
    <t>自動登録・スナップショット・spec Put</t>
    <phoneticPr fontId="2"/>
  </si>
  <si>
    <t>中央内部</t>
    <phoneticPr fontId="2"/>
  </si>
  <si>
    <t>変化あり → M1 起動</t>
    <phoneticPr fontId="2"/>
  </si>
  <si>
    <t>台帳 List/Get + spec Get（M1 対象 / M3 全量）</t>
    <phoneticPr fontId="2"/>
  </si>
  <si>
    <t>probe は実 UX と同じ境界経由</t>
    <phoneticPr fontId="2"/>
  </si>
  <si>
    <t>probe（In 境界経由）</t>
    <phoneticPr fontId="2"/>
  </si>
  <si>
    <t>API GW / ALB（App A）</t>
    <phoneticPr fontId="2"/>
  </si>
  <si>
    <t>API GW / ALB（App B）</t>
    <phoneticPr fontId="2"/>
  </si>
  <si>
    <t>CRITICAL / WARN / INFO</t>
    <phoneticPr fontId="2"/>
  </si>
  <si>
    <t>SNS（P1/P2/P3）</t>
    <phoneticPr fontId="2"/>
  </si>
  <si>
    <t>注記: 境界（CloudFront + WAF）はネットワーク監査アカウントにあり、probe はそこを実ユーザーと同じ経路で通る</t>
    <phoneticPr fontId="2"/>
  </si>
  <si>
    <t>注記: 巡回の読み取り（発見 Lambda → CodeCommit）は境界を通らない。AWS API を読み取りロールで直接呼ぶ。変更検知はコミット差分で、コンソール直変更等 git に現れない変更は L2 Config Rules + M3 が補完</t>
    <phoneticPr fontId="2"/>
  </si>
  <si>
    <t>図2. 統合構成図（登録・トリガー・検査・通知）</t>
    <phoneticPr fontId="2"/>
  </si>
  <si>
    <t>【図2 統合構成図（登録・トリガー・検査・通知 ①〜⑥） 挿入位置】</t>
    <phoneticPr fontId="2"/>
  </si>
  <si>
    <t>描くべき内容: 運用者（M3）+ 13 ノード。①AssumeRole ②CodeCommit 読み取り ③台帳・spec 登録 ④M1 起動 ⑤Neg / Pos probe ⑥Metrics・Alert、および無番号の EventBridge→発見 Lambda／M3／台帳取得／CloudFront→API GW／Alert Router→SNS／Service Catalog→API GW</t>
    <phoneticPr fontId="2"/>
  </si>
  <si>
    <t>（外部）</t>
    <phoneticPr fontId="2"/>
  </si>
  <si>
    <t>運用者</t>
    <phoneticPr fontId="2"/>
  </si>
  <si>
    <t>M3 手動実行</t>
    <phoneticPr fontId="2"/>
  </si>
  <si>
    <t>1 時間毎</t>
    <phoneticPr fontId="2"/>
  </si>
  <si>
    <t>発見・差分検知・OpenAPI 取得</t>
    <phoneticPr fontId="2"/>
  </si>
  <si>
    <t>registry/（台帳 + スナップショット）／openapi/（spec コピー）</t>
    <phoneticPr fontId="2"/>
  </si>
  <si>
    <t>probe / classify lib 共通</t>
    <phoneticPr fontId="2"/>
  </si>
  <si>
    <t>CloudWatch Metrics / Alarm</t>
    <phoneticPr fontId="2"/>
  </si>
  <si>
    <t>AuthCheckCritical &gt; 0</t>
    <phoneticPr fontId="2"/>
  </si>
  <si>
    <t>ネットワーク監査アカウント（境界層 ADR-039）</t>
    <phoneticPr fontId="2"/>
  </si>
  <si>
    <t>Origin Protection</t>
    <phoneticPr fontId="2"/>
  </si>
  <si>
    <t>各 App アカウント（監視対象）</t>
    <phoneticPr fontId="2"/>
  </si>
  <si>
    <t>認証必須・Origin Protection・タグ</t>
    <phoneticPr fontId="2"/>
  </si>
  <si>
    <t>codecommit 読み取り専用（StackSets 配布）</t>
    <phoneticPr fontId="2"/>
  </si>
  <si>
    <t>1 時間毎の起動</t>
    <phoneticPr fontId="2"/>
  </si>
  <si>
    <t>①</t>
    <phoneticPr fontId="2"/>
  </si>
  <si>
    <t>AssumeRole（読み取り）</t>
    <phoneticPr fontId="2"/>
  </si>
  <si>
    <t>②</t>
    <phoneticPr fontId="2"/>
  </si>
  <si>
    <t>ListRepositories / GetBranch / コミット ID 比較 / GetFile</t>
    <phoneticPr fontId="2"/>
  </si>
  <si>
    <t>③</t>
    <phoneticPr fontId="2"/>
  </si>
  <si>
    <t>自動登録・lastCheckedCommitId 更新 + spec Put（repo の openapi.yaml）</t>
    <phoneticPr fontId="2"/>
  </si>
  <si>
    <t>④</t>
    <phoneticPr fontId="2"/>
  </si>
  <si>
    <t>M1 起動（変更アプリのみ）</t>
    <phoneticPr fontId="2"/>
  </si>
  <si>
    <t>M3 フル監査</t>
    <phoneticPr fontId="2"/>
  </si>
  <si>
    <t>台帳 + spec 取得</t>
    <phoneticPr fontId="2"/>
  </si>
  <si>
    <t>⑤</t>
    <phoneticPr fontId="2"/>
  </si>
  <si>
    <t>Neg/Pos probe（実 UX と同じ境界経由）</t>
    <phoneticPr fontId="2"/>
  </si>
  <si>
    <t>⑥</t>
    <phoneticPr fontId="2"/>
  </si>
  <si>
    <t>結果</t>
    <phoneticPr fontId="2"/>
  </si>
  <si>
    <t>製品から API を払い出す</t>
    <phoneticPr fontId="2"/>
  </si>
  <si>
    <t>App アカウント内</t>
    <phoneticPr fontId="2"/>
  </si>
  <si>
    <t>注記: 登録・OpenAPI 取得はすべて中央の pull（CodeCommit のコミット差分）で、アプリ側に登録処理はない</t>
    <phoneticPr fontId="2"/>
  </si>
  <si>
    <t>注記: 2 本の経路は別物。巡回の読み取り（①②＝CodeCommit）は AWS API を直接呼び境界を通らない。probe（⑤）は実ユーザーと同じく境界（ネットワーク監査アカウントの CloudFront）を通る</t>
    <phoneticPr fontId="2"/>
  </si>
  <si>
    <t>図3. AWS リソース構成図（アカウント横断・イン／アウト境界含む）</t>
    <phoneticPr fontId="2"/>
  </si>
  <si>
    <t>【図3 AWS リソース構成図（アカウント横断・イン／アウト境界） 挿入位置】</t>
    <phoneticPr fontId="2"/>
  </si>
  <si>
    <t>描くべき内容: 共通基盤（VPC なし・Lambda 3 本すべて VPC 外／S3 1 バケット／Secrets／CloudWatch／SNS）／インバウンド境界アカウント（CloudFront+WAF）／各 App（DiscoveryReadRole・CodeCommit・API GW / ALB）／認証基盤 Broker（Keycloak /token）／アウトバウンド境界アカウント（TGW+NWFW・非経由）。経路 A〜D を線種で区別し、A / B のみ In 境界を通り Out 境界を通らないことを明示</t>
    <phoneticPr fontId="2"/>
  </si>
  <si>
    <t>共通基盤アカウント（自社管理）— VPC なし</t>
    <phoneticPr fontId="2"/>
  </si>
  <si>
    <t>共通基盤アカウント（つづき）</t>
    <phoneticPr fontId="2"/>
  </si>
  <si>
    <t>インターネット</t>
    <phoneticPr fontId="2"/>
  </si>
  <si>
    <t>インバウンド境界アカウント（他組織管理・ADR-039）</t>
    <phoneticPr fontId="2"/>
  </si>
  <si>
    <t>各 App アカウント</t>
    <phoneticPr fontId="2"/>
  </si>
  <si>
    <t>認証基盤（Broker アカウント）</t>
    <phoneticPr fontId="2"/>
  </si>
  <si>
    <t>EventBridge Scheduler
rate(1 hour)</t>
    <phoneticPr fontId="2"/>
  </si>
  <si>
    <t>Monitoring Registry S3
registry/ 台帳 + openapi/ spec</t>
    <phoneticPr fontId="2"/>
  </si>
  <si>
    <t>アプリごとの CloudFront + WAF
Origin Protection</t>
    <phoneticPr fontId="2"/>
  </si>
  <si>
    <t>DiscoveryReadRole
（codecommit read-only）</t>
    <phoneticPr fontId="2"/>
  </si>
  <si>
    <t>Keycloak /token
client_credentials</t>
    <phoneticPr fontId="2"/>
  </si>
  <si>
    <t>発見 Lambda（VPC 外）</t>
    <phoneticPr fontId="2"/>
  </si>
  <si>
    <t>Secrets Manager
canary-central-readonly</t>
    <phoneticPr fontId="2"/>
  </si>
  <si>
    <t>CodeCommit
monitoring.yaml + openapi.yaml</t>
    <phoneticPr fontId="2"/>
  </si>
  <si>
    <t>認証実装チェック Lambda（VPC 外）</t>
    <phoneticPr fontId="2"/>
  </si>
  <si>
    <t>CloudWatch
Metrics / Alarm</t>
    <phoneticPr fontId="2"/>
  </si>
  <si>
    <t>API GW / ALB
認証実装</t>
    <phoneticPr fontId="2"/>
  </si>
  <si>
    <t>Alert Router Lambda（VPC 外）</t>
    <phoneticPr fontId="2"/>
  </si>
  <si>
    <t>SNS P1 / P2 / P3</t>
    <phoneticPr fontId="2"/>
  </si>
  <si>
    <t>アウトバウンド境界アカウント（他組織管理）</t>
    <phoneticPr fontId="2"/>
  </si>
  <si>
    <t>Transit Gateway + Network Firewall
ドメインフィルタ</t>
    <phoneticPr fontId="2"/>
  </si>
  <si>
    <t>注記: Lambda 3 本はすべて VPC 外（Lambda マネージド網）に配置する。VPC / VPC Endpoint 群 / TGW Attachment / NAT が一切不要になる。代償として probe の外向き HTTPS がアウトバウンド境界（NWFW）を通らない ——これは NW-2 の明示的な例外として受容し、代償統制で補う（詳細は 08_セキュリティ・IAM シート）</t>
    <phoneticPr fontId="2"/>
  </si>
  <si>
    <t>通信経路一覧（何が・どこを通るか）</t>
    <phoneticPr fontId="2"/>
  </si>
  <si>
    <t>経路</t>
    <phoneticPr fontId="2"/>
  </si>
  <si>
    <t>中身</t>
    <phoneticPr fontId="2"/>
  </si>
  <si>
    <t>通る境界</t>
    <phoneticPr fontId="2"/>
  </si>
  <si>
    <t>必要な許可</t>
    <phoneticPr fontId="2"/>
  </si>
  <si>
    <t>probe → アプリ（Negative / Positive）</t>
    <phoneticPr fontId="2"/>
  </si>
  <si>
    <t>HTTPS 443（実 UX と同一）</t>
    <phoneticPr fontId="2"/>
  </si>
  <si>
    <t>Lambda マネージド egress → インターネット → CloudFront + WAF（In）→ API GW。Out（NWFW）は非経由（例外）</t>
    <phoneticPr fontId="2"/>
  </si>
  <si>
    <t>なし（宛先は台帳の baseUrl のみ。代償統制あり）</t>
    <phoneticPr fontId="2"/>
  </si>
  <si>
    <t>probe → 認証基盤 /token（Positive 用短命トークン）</t>
    <phoneticPr fontId="2"/>
  </si>
  <si>
    <t>HTTPS 443</t>
    <phoneticPr fontId="2"/>
  </si>
  <si>
    <t>同上（Out 非経由）</t>
    <phoneticPr fontId="2"/>
  </si>
  <si>
    <t>同上（宛先は認証基盤ドメイン固定）</t>
    <phoneticPr fontId="2"/>
  </si>
  <si>
    <t>C</t>
    <phoneticPr fontId="2"/>
  </si>
  <si>
    <t>巡回読み取り（発見 Lambda → App アカウントの CodeCommit）</t>
    <phoneticPr fontId="2"/>
  </si>
  <si>
    <t>AWS API（STS AssumeRole → codecommit GetBranch / GetDifferences / GetFile）</t>
    <phoneticPr fontId="2"/>
  </si>
  <si>
    <t>境界非経由（AWS 網）</t>
    <phoneticPr fontId="2"/>
  </si>
  <si>
    <t>D</t>
    <phoneticPr fontId="2"/>
  </si>
  <si>
    <t>中央内部（台帳／仕様／Secrets／Metrics／通知）</t>
    <phoneticPr fontId="2"/>
  </si>
  <si>
    <t>S3（Monitoring Registry）/ Secrets / CloudWatch / SNS / Lambda Invoke</t>
    <phoneticPr fontId="2"/>
  </si>
  <si>
    <t>境界非経由（AWS 網。VPC Endpoint 不要）</t>
    <phoneticPr fontId="2"/>
  </si>
  <si>
    <t>IAM のみ</t>
    <phoneticPr fontId="2"/>
  </si>
  <si>
    <t>注記: 経路 A はインバウンド境界（CloudFront + WAF）を実ユーザーと同じ向きで通過する（Origin Protection を破らない検査）。In 側はバイパスしない</t>
    <phoneticPr fontId="2"/>
  </si>
  <si>
    <t>注記: 経路 C / D は AWS API・AWS 網内であり、インターネット境界（In / Out とも）は無関係</t>
    <phoneticPr fontId="2"/>
  </si>
  <si>
    <t>注記: Phase 2では認証実装チェック Lambda のみ VPC 化が必要になる（VPC + TGW で Internal ALB へ到達）。その時点で経路 A の Out 統制接続も再検討する。発見 Lambda と Alert Router は Phase 2 でも VPC 外のまま</t>
    <phoneticPr fontId="2"/>
  </si>
  <si>
    <t>1. 共通基盤アカウント（中央）側</t>
    <phoneticPr fontId="2"/>
  </si>
  <si>
    <t>正規検査用の資格情報（canary-central-readonly）。実行ごとに短命トークンを発行</t>
    <phoneticPr fontId="2"/>
  </si>
  <si>
    <t>2. 各 App アカウント側</t>
    <phoneticPr fontId="2"/>
  </si>
  <si>
    <t>3. ネットワーク監査アカウント側（境界、他組織管理の可能性）</t>
    <phoneticPr fontId="2"/>
  </si>
  <si>
    <t>アプリがリポジトリに monitoring.yaml を置いてコミットすると、中央の発見 Lambda が 1 時間毎の巡回（コミット差分）で見つけて台帳・仕様を自動登録し、変更のあったアプリ（M1）と手動監査時（M3）に認証実装チェック Lambda が実際にリクエストを投げて認証漏れを検査、問題があれば 4×4 分類で適切なチームに通知される。アプリ側に登録処理はない（モノリスも同じ）</t>
    <phoneticPr fontId="2"/>
  </si>
  <si>
    <t>処理フロー（巡回 ①〜⑦ / 検査シーケンス / エンドツーエンド）</t>
    <phoneticPr fontId="2"/>
  </si>
  <si>
    <t>図4. 巡回フロー（M1 トリガー）</t>
    <phoneticPr fontId="2"/>
  </si>
  <si>
    <t>【図4 巡回フロー（①〜⑦ + 新規発見・消滅検知） 挿入位置】</t>
    <phoneticPr fontId="2"/>
  </si>
  <si>
    <t>描くべき内容: EventBridge（1h）→ 発見 Lambda。①Organizations 列挙 ②AssumeRole ③ListRepositories ④GetBranch ⑤lastCheckedCommitId 比較 ⑥GetDifferences / GetFile → 台帳更新・spec Put ⑦M1 invoke → lastCheckedCommitId 更新。新規発見・消滅検知・メタ不足アラートの分岐</t>
    <phoneticPr fontId="2"/>
  </si>
  <si>
    <t>ステップ</t>
    <phoneticPr fontId="2"/>
  </si>
  <si>
    <t>主体</t>
    <phoneticPr fontId="2"/>
  </si>
  <si>
    <t>相手</t>
    <phoneticPr fontId="2"/>
  </si>
  <si>
    <t>① 列挙</t>
    <phoneticPr fontId="2"/>
  </si>
  <si>
    <t>AWS Organizations</t>
    <phoneticPr fontId="2"/>
  </si>
  <si>
    <t>② AssumeRole</t>
    <phoneticPr fontId="2"/>
  </si>
  <si>
    <t>StackSets 配布済みの読み取り専用ロールで入る</t>
    <phoneticPr fontId="2"/>
  </si>
  <si>
    <t>③ リポジトリ列挙</t>
    <phoneticPr fontId="2"/>
  </si>
  <si>
    <t>ListRepositories。monitoring.yaml を持つリポジトリ = 監視対象</t>
    <phoneticPr fontId="2"/>
  </si>
  <si>
    <t>④ 先端取得</t>
    <phoneticPr fontId="2"/>
  </si>
  <si>
    <t>GetBranch で対象ブランチ（既定 main）の先端コミット ID を取得</t>
    <phoneticPr fontId="2"/>
  </si>
  <si>
    <t>⑤ 差分判定</t>
    <phoneticPr fontId="2"/>
  </si>
  <si>
    <t>台帳の lastCheckedCommitId と比較。違えば「前回確認から変更があった」</t>
    <phoneticPr fontId="2"/>
  </si>
  <si>
    <t>⑥ 内容取得</t>
    <phoneticPr fontId="2"/>
  </si>
  <si>
    <t>CodeCommit / Monitoring Registry S3</t>
    <phoneticPr fontId="2"/>
  </si>
  <si>
    <t>変化したリポジトリは GetDifferences（変更パス → モノレポ時のアプリ特定）+ GetFile で monitoring.yaml / openapi.yaml を取得し、台帳更新・OpenAPI Registry へ Put</t>
    <phoneticPr fontId="2"/>
  </si>
  <si>
    <t>⑦ M1 起動</t>
    <phoneticPr fontId="2"/>
  </si>
  <si>
    <t>変化のあったアプリを対象に invoke。完了後 lastCheckedCommitId を更新</t>
    <phoneticPr fontId="2"/>
  </si>
  <si>
    <t>新規発見</t>
    <phoneticPr fontId="2"/>
  </si>
  <si>
    <t>台帳に無い monitoring.yaml 付きリポジトリは自動登録。「登録漏れ」という概念自体が消える</t>
    <phoneticPr fontId="2"/>
  </si>
  <si>
    <t>消滅検知</t>
    <phoneticPr fontId="2"/>
  </si>
  <si>
    <t>リポジトリ削除 / monitoring.yaml 削除は台帳を enabled=false に（棚卸しアラート）</t>
    <phoneticPr fontId="2"/>
  </si>
  <si>
    <t>（分岐）</t>
    <phoneticPr fontId="2"/>
  </si>
  <si>
    <t>メタ不足アラート</t>
    <phoneticPr fontId="2"/>
  </si>
  <si>
    <t>monitoring.yaml 不備の場合</t>
    <phoneticPr fontId="2"/>
  </si>
  <si>
    <t>モノレポ / ブランチの扱い</t>
    <phoneticPr fontId="2"/>
  </si>
  <si>
    <t>モノレポ</t>
    <phoneticPr fontId="2"/>
  </si>
  <si>
    <t>GetDifferences の変更パスを monitoring.yaml の pathPrefix と突合し、変更のあったアプリだけを M1 対象にする（リポジトリ = アプリ 1:1 なら比較不要）</t>
    <phoneticPr fontId="2"/>
  </si>
  <si>
    <t>ブランチ</t>
    <phoneticPr fontId="2"/>
  </si>
  <si>
    <t>監視対象はデプロイブランチ（既定 main、monitoring.yaml で変更可）のみ。feature ブランチのコミットは対象外</t>
    <phoneticPr fontId="2"/>
  </si>
  <si>
    <t>アプリ単位の全 endpoint（endpoint 単位に絞らない。認証 middleware 削除は diff からどの endpoint に効くか判定できないため）</t>
    <phoneticPr fontId="2"/>
  </si>
  <si>
    <t>図5. 検査シーケンス（1 回の実行）</t>
    <phoneticPr fontId="2"/>
  </si>
  <si>
    <t>【図5 検査シーケンス（1 回の実行 ①〜⑨） 挿入位置】</t>
    <phoneticPr fontId="2"/>
  </si>
  <si>
    <t>描くべき内容: ①台帳 scan ②spec fetch ③extractEndpoints ④Negative probe ⑤Positive probe ⑥classify ⑦Alert Router invoke ⑧putMetrics ⑨AuthCheckCritical。アプリループと endpoint ループの入れ子を明示</t>
    <phoneticPr fontId="2"/>
  </si>
  <si>
    <t>処理</t>
    <phoneticPr fontId="2"/>
  </si>
  <si>
    <t>scanEnabledApps（enabled=true）</t>
    <phoneticPr fontId="2"/>
  </si>
  <si>
    <t>OpenAPI Registry S3</t>
    <phoneticPr fontId="2"/>
  </si>
  <si>
    <t>（各アプリのループ）fetchSpec（openApiS3Key）</t>
    <phoneticPr fontId="2"/>
  </si>
  <si>
    <t>extractEndpoints（アノテーション解釈）</t>
    <phoneticPr fontId="2"/>
  </si>
  <si>
    <t>アプリ CloudFront</t>
    <phoneticPr fontId="2"/>
  </si>
  <si>
    <t>（各 endpoint のループ）Negative probe（認証ヘッダなし）</t>
    <phoneticPr fontId="2"/>
  </si>
  <si>
    <t>Positive probe（Bearer 等、対象時のみ）</t>
    <phoneticPr fontId="2"/>
  </si>
  <si>
    <t>classify（4×4 真偽値表）</t>
    <phoneticPr fontId="2"/>
  </si>
  <si>
    <t>⑦</t>
    <phoneticPr fontId="2"/>
  </si>
  <si>
    <t>Alert Router</t>
    <phoneticPr fontId="2"/>
  </si>
  <si>
    <t>severity != OK のとき invokeAlertRouter</t>
    <phoneticPr fontId="2"/>
  </si>
  <si>
    <t>⑧</t>
    <phoneticPr fontId="2"/>
  </si>
  <si>
    <t>putMetrics（per-app 集計）</t>
    <phoneticPr fontId="2"/>
  </si>
  <si>
    <t>⑨</t>
    <phoneticPr fontId="2"/>
  </si>
  <si>
    <t>CRITICAL があれば AuthCheckCritical 発火</t>
    <phoneticPr fontId="2"/>
  </si>
  <si>
    <t>実装対応: index.js（handler）+ lib/registry.js（①）+ lib/openapi.js（②③）+ lib/probe.js（④⑤）+ lib/classify.js（⑥）+ lib/emit.js（⑦⑧）</t>
    <phoneticPr fontId="2"/>
  </si>
  <si>
    <t>図6. エンドツーエンド フロー（deploy → 検知 → 通知 → 是正）</t>
    <phoneticPr fontId="2"/>
  </si>
  <si>
    <t>【図6 エンドツーエンド フロー（①〜⑧） 挿入位置】</t>
    <phoneticPr fontId="2"/>
  </si>
  <si>
    <t>描くべき内容: ①コミット &amp; デプロイ（静的解析 pass）②巡回発見（最大 1h）③M1 自動 / M3 手動 ④probe ⑤classify（OK は Metrics のみ）⑥Alert Router ⑦通知 P1 / P2 / P3 ⑧是正 SLA。担当章の帯を添える</t>
    <phoneticPr fontId="2"/>
  </si>
  <si>
    <t>段階</t>
    <phoneticPr fontId="2"/>
  </si>
  <si>
    <t>コミット &amp; デプロイ</t>
    <phoneticPr fontId="2"/>
  </si>
  <si>
    <t>静的解析 pass</t>
    <phoneticPr fontId="2"/>
  </si>
  <si>
    <t>巡回発見（コミット差分）</t>
    <phoneticPr fontId="2"/>
  </si>
  <si>
    <t>最大 1h 後に検知・登録・spec 取得</t>
    <phoneticPr fontId="2"/>
  </si>
  <si>
    <t>起動</t>
    <phoneticPr fontId="2"/>
  </si>
  <si>
    <t>M1 起動（自動）／ M3 フル（手動）</t>
    <phoneticPr fontId="2"/>
  </si>
  <si>
    <t>probe</t>
    <phoneticPr fontId="2"/>
  </si>
  <si>
    <t>Negative + Positive</t>
    <phoneticPr fontId="2"/>
  </si>
  <si>
    <t>classify</t>
    <phoneticPr fontId="2"/>
  </si>
  <si>
    <t>4×4 真偽値表。OK → Metrics 記録のみ／CRITICAL・WARN・INFO → ⑥へ</t>
    <phoneticPr fontId="2"/>
  </si>
  <si>
    <t>是正</t>
    <phoneticPr fontId="2"/>
  </si>
  <si>
    <t>SLA 内</t>
    <phoneticPr fontId="2"/>
  </si>
  <si>
    <t>具体的ユースケース（OpenAPI → probe → classify → alert）</t>
    <phoneticPr fontId="2"/>
  </si>
  <si>
    <t>ケース</t>
    <phoneticPr fontId="2"/>
  </si>
  <si>
    <t>アラート</t>
    <phoneticPr fontId="2"/>
  </si>
  <si>
    <t>1 標準的な JWT API（正常）</t>
    <phoneticPr fontId="2"/>
  </si>
  <si>
    <t>なし</t>
    <phoneticPr fontId="2"/>
  </si>
  <si>
    <t>2 認証漏れ（AuthorizationType=NONE でデプロイ）</t>
    <phoneticPr fontId="2"/>
  </si>
  <si>
    <t>CRITICAL / P1</t>
    <phoneticPr fontId="2"/>
  </si>
  <si>
    <t>Security 即時</t>
    <phoneticPr fontId="2"/>
  </si>
  <si>
    <t>3 test token 失効</t>
    <phoneticPr fontId="2"/>
  </si>
  <si>
    <t>WARN / P2</t>
    <phoneticPr fontId="2"/>
  </si>
  <si>
    <t>4 Cookie モノリス（正常）</t>
    <phoneticPr fontId="2"/>
  </si>
  <si>
    <t>4' Cookie モノリス（漏れ）</t>
    <phoneticPr fontId="2"/>
  </si>
  <si>
    <t>Security</t>
    <phoneticPr fontId="2"/>
  </si>
  <si>
    <t>注記: ケース 3 は Negative だけなら「401 で OK」と誤判定していた。Positive 併用で「認証 OK だがテストが壊れている」を分離する</t>
    <phoneticPr fontId="2"/>
  </si>
  <si>
    <t>実行モード（M1 / M3 / M2）と差分粒度・受容した穴</t>
    <phoneticPr fontId="2"/>
  </si>
  <si>
    <t>1. 実行モード一覧</t>
    <phoneticPr fontId="2"/>
  </si>
  <si>
    <t>【図7 実行モードの時間軸と probe 範囲 挿入位置】</t>
    <phoneticPr fontId="2"/>
  </si>
  <si>
    <t>描くべき内容: M1 = 1 時間毎の巡回（読み取り）と変更検知時のみ probe（変更アプリの全 endpoint）／M3 = 手動・全アプリ全 endpoint／M2 = 将来（重要 endpoint を 5-15 分）。検知遅延 最大 1 時間を明示</t>
    <phoneticPr fontId="2"/>
  </si>
  <si>
    <t>モード</t>
    <phoneticPr fontId="2"/>
  </si>
  <si>
    <t>トリガ</t>
    <phoneticPr fontId="2"/>
  </si>
  <si>
    <t>範囲</t>
    <phoneticPr fontId="2"/>
  </si>
  <si>
    <t>頻度</t>
    <phoneticPr fontId="2"/>
  </si>
  <si>
    <t>M1 巡回差分</t>
    <phoneticPr fontId="2"/>
  </si>
  <si>
    <t>中央巡回（発見 Lambda が 1 時間毎に CodeCommit のコミット差分を確認）</t>
    <phoneticPr fontId="2"/>
  </si>
  <si>
    <t>変更のあったアプリの全 endpoint</t>
    <phoneticPr fontId="2"/>
  </si>
  <si>
    <t>1 時間毎（検知遅延 最大 1h）</t>
    <phoneticPr fontId="2"/>
  </si>
  <si>
    <t>Phase 1</t>
    <phoneticPr fontId="2"/>
  </si>
  <si>
    <t>手動</t>
    <phoneticPr fontId="2"/>
  </si>
  <si>
    <t>全アプリ全 endpoint</t>
    <phoneticPr fontId="2"/>
  </si>
  <si>
    <t>オンデマンド</t>
    <phoneticPr fontId="2"/>
  </si>
  <si>
    <t>M2 常時 heartbeat</t>
    <phoneticPr fontId="2"/>
  </si>
  <si>
    <t>スケジュール</t>
    <phoneticPr fontId="2"/>
  </si>
  <si>
    <t>重要 endpoint のサブセット</t>
    <phoneticPr fontId="2"/>
  </si>
  <si>
    <t>5-15 分</t>
    <phoneticPr fontId="2"/>
  </si>
  <si>
    <t>将来（重要 endpoint の定義はアプリと会話後）</t>
    <phoneticPr fontId="2"/>
  </si>
  <si>
    <t>2. M1 の巡回と M2 heartbeat の違い（M2 を当面なしとする現行仕様）</t>
    <phoneticPr fontId="2"/>
  </si>
  <si>
    <t>・M1 の巡回は「リポジトリの読み取り」（コミット ID 比較）であり、probe（HTTP 検査）は変更のあったアプリだけに飛ぶ。M2 heartbeat は「endpoint への probe を常時定期実行」する別物で、重要 endpoint の定義がないと全量 probe の重さに戻る。</t>
    <phoneticPr fontId="2"/>
  </si>
  <si>
    <t>・重要 endpoint の定義はアプリチームと会話しないと決められない（全 GET か / 認証必須のみか / 業務上の重要度か）。</t>
    <phoneticPr fontId="2"/>
  </si>
  <si>
    <t>・M1（巡回差分）で「コミット = 変更の事実」を最大 1 時間遅れで捕捉でき、M3（手動フル）で「網羅確認」ができるため、常時 probe がなくても認証漏れの主要な入り口（コード変更）は塞げる。</t>
    <phoneticPr fontId="2"/>
  </si>
  <si>
    <t>・M2 は将来、アプリと重要 endpoint を合意した上で追加する（M-Q-18-1）。</t>
    <phoneticPr fontId="2"/>
  </si>
  <si>
    <t>3. M1 の差分粒度は「アプリ単位」</t>
    <phoneticPr fontId="2"/>
  </si>
  <si>
    <t>粒度</t>
    <phoneticPr fontId="2"/>
  </si>
  <si>
    <t>見逃すケース</t>
    <phoneticPr fontId="2"/>
  </si>
  <si>
    <t>採否</t>
    <phoneticPr fontId="2"/>
  </si>
  <si>
    <t>endpoint 単位（OpenAPI diff）</t>
    <phoneticPr fontId="2"/>
  </si>
  <si>
    <t>コードで認証 middleware を外したが OpenAPI は不変 → 差分に出ず見逃す</t>
    <phoneticPr fontId="2"/>
  </si>
  <si>
    <t>不採用</t>
    <phoneticPr fontId="2"/>
  </si>
  <si>
    <t>アプリ単位（変更アプリの全 endpoint）</t>
    <phoneticPr fontId="2"/>
  </si>
  <si>
    <t>採用</t>
    <phoneticPr fontId="2"/>
  </si>
  <si>
    <t>認証漏れの典型（AuthorizationType=NONE / middleware 削除）は OpenAPI に現れないことが多い。だから「変更されたアプリは全 endpoint を probe」する。全アプリ全量よりは軽く（変更アプリのみ）、endpoint 差分より安全</t>
    <phoneticPr fontId="2"/>
  </si>
  <si>
    <t>4. M1 の実行基盤（発見 → probe の 2 段）</t>
    <phoneticPr fontId="2"/>
  </si>
  <si>
    <t>発見 Lambda の 1 時間毎巡回（CodeCommit のコミット差分 = lastCheckedCommitId 比較）が変更を検知し、変更のあったアプリだけ M1 を起動する。アプリ側イベントには依存しない。</t>
    <phoneticPr fontId="2"/>
  </si>
  <si>
    <t>EventBridge Scheduler（1h）起動。Organizations 列挙 + 読み取り AssumeRole + 差分判定</t>
    <phoneticPr fontId="2"/>
  </si>
  <si>
    <t>発見 Lambda から invoke（変化アプリのみ）。payload { mode:'delta', appId, env }</t>
    <phoneticPr fontId="2"/>
  </si>
  <si>
    <t>probe ロジック</t>
    <phoneticPr fontId="2"/>
  </si>
  <si>
    <t>lib/probe.js / classify.js / emit.js を共通流用。synthetics 抽象を素の https 実装で注入</t>
    <phoneticPr fontId="2"/>
  </si>
  <si>
    <t>5. M3 フル監査（手動）</t>
    <phoneticPr fontId="2"/>
  </si>
  <si>
    <t>手動（運用者が CLI / コンソールから invoke）</t>
    <phoneticPr fontId="2"/>
  </si>
  <si>
    <t>全アプリ全 endpoint（台帳 registry/ を List）</t>
    <phoneticPr fontId="2"/>
  </si>
  <si>
    <t>用途</t>
    <phoneticPr fontId="2"/>
  </si>
  <si>
    <t>初回の全量確認 / 大きな変更後 / 監査前 / 定期棚卸し（人が判断）</t>
    <phoneticPr fontId="2"/>
  </si>
  <si>
    <t>実行基盤</t>
    <phoneticPr fontId="2"/>
  </si>
  <si>
    <t>M1 と同じ認証実装チェック Lambda（mode=full）。実装 1 つを payload で切替</t>
    <phoneticPr fontId="2"/>
  </si>
  <si>
    <t>起動例</t>
    <phoneticPr fontId="2"/>
  </si>
  <si>
    <t>aws lambda invoke --function-name central-auth-probe --payload '{"mode":"full"}' /dev/null ／ 特定アプリだけ全量: {"mode":"full","appId":"expense-api","env":"prod"}</t>
    <phoneticPr fontId="2"/>
  </si>
  <si>
    <t>コスト</t>
    <phoneticPr fontId="2"/>
  </si>
  <si>
    <t>スケジュール実行しないため、常時コストはゼロ。必要な時だけ人が回す</t>
    <phoneticPr fontId="2"/>
  </si>
  <si>
    <t>6. 受容した穴 2 つと補完レイヤー</t>
    <phoneticPr fontId="2"/>
  </si>
  <si>
    <t>【図8 受容した穴 2 つと補完レイヤーの関係 挿入位置】</t>
    <phoneticPr fontId="2"/>
  </si>
  <si>
    <t>描くべき内容: 穴① コンソール直変更 → L2 Config Rules + M3 + SCP、穴② コミット ≠ デプロイ → 次回巡回（1h 後）+ M3。L5 外形監視が単層で完結しないこと、一次防衛が deploy 前ガードであること</t>
    <phoneticPr fontId="2"/>
  </si>
  <si>
    <t>穴</t>
    <phoneticPr fontId="2"/>
  </si>
  <si>
    <t>補完レイヤー</t>
    <phoneticPr fontId="2"/>
  </si>
  <si>
    <t>① コンソール直変更</t>
    <phoneticPr fontId="2"/>
  </si>
  <si>
    <t>コンソールで Authorizer を外す等、git に現れない変更は検知できない</t>
    <phoneticPr fontId="2"/>
  </si>
  <si>
    <t>L2 Config Rules（AuthorizationType=NONE の drift 検知）+ M3 手動フル+ SCP で製品外の直接変更を抑止</t>
    <phoneticPr fontId="2"/>
  </si>
  <si>
    <t>② コミット ≠ デプロイ</t>
    <phoneticPr fontId="2"/>
  </si>
  <si>
    <t>コミット直後の検査は本番がまだ旧コードの可能性（偽安心）</t>
    <phoneticPr fontId="2"/>
  </si>
  <si>
    <t>次回巡回（1h 後）の再検査が事実上のリトライになる + M3。恒常的に未デプロイのままなら probe が 404 / WARN で顕在化</t>
    <phoneticPr fontId="2"/>
  </si>
  <si>
    <t>検知遅延: コミット後最大 1 時間。一次防衛は deploy 前ガードであり、外形監視は検知網のため許容</t>
    <phoneticPr fontId="2"/>
  </si>
  <si>
    <t>外形監視は検知 5 レイヤーの L5 であり、単層で完結させず L2（Config）と組み合わせて穴を塞ぐのが前提</t>
    <phoneticPr fontId="2"/>
  </si>
  <si>
    <t>7. 実行基盤は Lambda に一本化（CloudWatch Synthetics は不採用・将来オプション）</t>
    <phoneticPr fontId="2"/>
  </si>
  <si>
    <t>要素</t>
    <phoneticPr fontId="2"/>
  </si>
  <si>
    <t>Synthetics canary（不採用）</t>
    <phoneticPr fontId="2"/>
  </si>
  <si>
    <t>Lambda（採用）</t>
    <phoneticPr fontId="2"/>
  </si>
  <si>
    <t>実行モデル</t>
    <phoneticPr fontId="2"/>
  </si>
  <si>
    <t>全 endpoint へのスケジュール定期 probe</t>
    <phoneticPr fontId="2"/>
  </si>
  <si>
    <t>巡回差分（M1）/ 手動（M3）時のみ probe</t>
    <phoneticPr fontId="2"/>
  </si>
  <si>
    <t>probe lib</t>
    <phoneticPr fontId="2"/>
  </si>
  <si>
    <t>共通</t>
    <phoneticPr fontId="2"/>
  </si>
  <si>
    <t>共通（不変）</t>
    <phoneticPr fontId="2"/>
  </si>
  <si>
    <t>classify / alert</t>
    <phoneticPr fontId="2"/>
  </si>
  <si>
    <t>canary FAIL → SuccessPercent&lt;100</t>
    <phoneticPr fontId="2"/>
  </si>
  <si>
    <t>CloudWatch metric AuthCheckCritical &gt; 0</t>
    <phoneticPr fontId="2"/>
  </si>
  <si>
    <t>run ごと $0.0012 上乗せ + 定期実行分</t>
    <phoneticPr fontId="2"/>
  </si>
  <si>
    <t>巡回 + 変化時 probe で概ね無料枠内</t>
    <phoneticPr fontId="2"/>
  </si>
  <si>
    <t>将来オプション: M2（常時 heartbeat）を追加する / HAR・スクリーンショット・Multilocation・run 履歴 UI が要る場合は、Synthetics canary を M2 の実行環境として復活させる。その時も probe lib は共通</t>
    <phoneticPr fontId="2"/>
  </si>
  <si>
    <t>1. App Registry（S3 台帳）スキーマ</t>
    <phoneticPr fontId="2"/>
  </si>
  <si>
    <t>置き場: Monitoring Registry バケットの registry/{appId}/{env}.json（1 アプリ×環境 = 1 JSON オブジェクト。DynamoDB は不使用）。発見 Lambda が巡回（CodeCommit の monitoring.yaml）から自動登録・同期し、認証実装確認処理が registry/ を List → Get する</t>
    <phoneticPr fontId="2"/>
  </si>
  <si>
    <t>baseUrl / authPattern / testTokenSecret / repo 系は monitoring.yaml 由来（巡回同期）、alertRouting / enabled は台帳のみで中央管理。認証実装確認処理は enabled=true のみ検査する。M1 は該当 1 オブジェクトのみ Get、M3 は全 List</t>
    <phoneticPr fontId="2"/>
  </si>
  <si>
    <t>台帳 JSON 例</t>
    <phoneticPr fontId="2"/>
  </si>
  <si>
    <t>"appId": "expense-api",</t>
    <phoneticPr fontId="2"/>
  </si>
  <si>
    <t>"env": "prod",</t>
    <phoneticPr fontId="2"/>
  </si>
  <si>
    <t>"baseUrl": "https://expense.example.com",</t>
    <phoneticPr fontId="2"/>
  </si>
  <si>
    <t>"authPattern": "api-gw-jwt",</t>
    <phoneticPr fontId="2"/>
  </si>
  <si>
    <t>"openApiS3Key": "openapi/111122223333/expense-api/openapi.yaml",</t>
    <phoneticPr fontId="2"/>
  </si>
  <si>
    <t>"testTokenSecret": "canary-central-readonly",</t>
    <phoneticPr fontId="2"/>
  </si>
  <si>
    <t>"alertRouting": { "p1": "arn:aws:sns:...:security" },</t>
    <phoneticPr fontId="2"/>
  </si>
  <si>
    <t>"enabled": true,</t>
    <phoneticPr fontId="2"/>
  </si>
  <si>
    <t>"registeredAt": "2026-07-06T00:00:00Z",</t>
    <phoneticPr fontId="2"/>
  </si>
  <si>
    <t>"repositoryName": "expense-api",</t>
    <phoneticPr fontId="2"/>
  </si>
  <si>
    <t>"branch": "main",</t>
    <phoneticPr fontId="2"/>
  </si>
  <si>
    <t>"pathPrefix": "",</t>
    <phoneticPr fontId="2"/>
  </si>
  <si>
    <t>"lastCheckedCommitId": "a1b2c3d…",</t>
    <phoneticPr fontId="2"/>
  </si>
  <si>
    <t>"lastSeenAt": "2026-08-13T00:00:00Z"</t>
    <phoneticPr fontId="2"/>
  </si>
  <si>
    <t>2. Monitoring Registry S3 構造</t>
    <phoneticPr fontId="2"/>
  </si>
  <si>
    <t>【図9 Monitoring Registry S3 のキー体系 挿入位置】</t>
    <phoneticPr fontId="2"/>
  </si>
  <si>
    <t>描くべき内容: 1 バケット内に registry/{appId}/{env}.json（台帳＋巡回スナップショット）と openapi/{accountId}/{appId}/openapi.yaml（spec コピー）が同居し Versioning 有効。読み手（認証実装チェック Lambda・Alert Router）と書き手（発見 Lambda・共通基盤チーム手動）を区別</t>
    <phoneticPr fontId="2"/>
  </si>
  <si>
    <t>3. authPattern enum（6 値。認証実装確認処理が assertion 方式を切替）</t>
    <phoneticPr fontId="2"/>
  </si>
  <si>
    <t>bff-cookie-session は BFF アーキパターンのブラウザ↔BFF 入口を監視する。BFF↔API 間（Bearer）は内部通信のため、BFF 入口の監視で実質カバー。API を独立監視する場合は別レコードで api-gw-jwt として登録</t>
    <phoneticPr fontId="2"/>
  </si>
  <si>
    <t>4. monitoring.yaml 規約（リポジトリ直下・config-as-code）</t>
    <phoneticPr fontId="2"/>
  </si>
  <si>
    <t>【図10 メタデータの供給関係（誰が何を決めるか） 挿入位置】</t>
    <phoneticPr fontId="2"/>
  </si>
  <si>
    <t>描くべき内容: monitoring.yaml 由来（baseUrl / authPattern / testTokenSecret / repo 系）→ 台帳、台帳のみ中央管理（alertRouting / enabled）、リポジトリ内 openapi.yaml（正本）→ S3 コピー → extractEndpoints。アプリ側に登録処理がないこと</t>
    <phoneticPr fontId="2"/>
  </si>
  <si>
    <t>監視メタデータはリポジトリ直下の monitoring.yaml で宣言する。このファイルがあるリポジトリ = 監視対象</t>
    <phoneticPr fontId="2"/>
  </si>
  <si>
    <t>prod:</t>
    <phoneticPr fontId="2"/>
  </si>
  <si>
    <t>baseUrl: https://expense.example.com   # probe 先（CloudFront URL）</t>
    <phoneticPr fontId="2"/>
  </si>
  <si>
    <t>authPattern: api-gw-jwt                # 検査方式</t>
    <phoneticPr fontId="2"/>
  </si>
  <si>
    <t>stg:</t>
    <phoneticPr fontId="2"/>
  </si>
  <si>
    <t>baseUrl: https://stg.expense.example.com</t>
    <phoneticPr fontId="2"/>
  </si>
  <si>
    <t>authPattern: api-gw-jwt</t>
    <phoneticPr fontId="2"/>
  </si>
  <si>
    <t>testTokenSecret: canary-central-readonly   # 省略時は共通</t>
    <phoneticPr fontId="2"/>
  </si>
  <si>
    <t>enum</t>
    <phoneticPr fontId="2"/>
  </si>
  <si>
    <t>CloudFront URL</t>
    <phoneticPr fontId="2"/>
  </si>
  <si>
    <t>yaml に書かない（SNS ARN を repo に置かない）。台帳側で共通基盤チームが管理、未設定は全社デフォルト</t>
    <phoneticPr fontId="2"/>
  </si>
  <si>
    <t>リソースタグ（app-id / cost-center 等）は課金按分用として従来どおり必須。監視メタの供給源はタグでなく monitoring.yaml に一本化した</t>
    <phoneticPr fontId="2"/>
  </si>
  <si>
    <t>5. OpenAPI アノテーションと MON-1（公開明示は必須・default-deny）</t>
    <phoneticPr fontId="2"/>
  </si>
  <si>
    <t>死守事項 MON-1（必須・default-deny）: すべての endpoint はデフォルトで「認証必須」とみなす。認証不要（public）な endpoint は x-synthetics-skip-auth-check: true を必ず明示する。明示のない endpoint は認証必須として Negative probe で検査し、未認証で 2xx が返れば CRITICAL/P1（認証漏れ）とする</t>
    <phoneticPr fontId="2"/>
  </si>
  <si>
    <t>・アノテーション未記載 = 認証必須。「うっかり公開」を検知する側に倒すための default-deny 設計</t>
    <phoneticPr fontId="2"/>
  </si>
  <si>
    <t>・public を意図する endpoint に明示を付け忘れると、正しく公開していても「認証漏れ」として P1 アラートが出る → アプリチームは明示せざるを得ない（＝必須が自然に強制される）</t>
    <phoneticPr fontId="2"/>
  </si>
  <si>
    <t>・公開明示は唯一アプリが必ず書くべき監視用アノテーション（他は任意）。これが「アプリは OpenAPI に公開印を付けるだけ」という責任境界の中核</t>
    <phoneticPr fontId="2"/>
  </si>
  <si>
    <t>・公開明示された endpoint も、それが本当に公開してよいかは別途セキュリティレビュー対象（無制限に skip を濫用させない。棚卸しは中央）</t>
    <phoneticPr fontId="2"/>
  </si>
  <si>
    <t>解釈は lib/openapi.js の extractEndpoints</t>
    <phoneticPr fontId="2"/>
  </si>
  <si>
    <t>記述例</t>
    <phoneticPr fontId="2"/>
  </si>
  <si>
    <t>/api/users:</t>
    <phoneticPr fontId="2"/>
  </si>
  <si>
    <t>get:</t>
    <phoneticPr fontId="2"/>
  </si>
  <si>
    <t>x-canary-positive-test: true</t>
    <phoneticPr fontId="2"/>
  </si>
  <si>
    <t>x-canary-test-token-secret: canary-central-readonly</t>
    <phoneticPr fontId="2"/>
  </si>
  <si>
    <t>/api/orders:</t>
    <phoneticPr fontId="2"/>
  </si>
  <si>
    <t>post:</t>
    <phoneticPr fontId="2"/>
  </si>
  <si>
    <t>x-canary-positive-test: pre-prod-only     # 本番は Negative のみ（副作用回避）</t>
    <phoneticPr fontId="2"/>
  </si>
  <si>
    <t>x-canary-cleanup: { action: DELETE, path: /api/orders/{orderId}, idFrom: response.body.orderId }</t>
    <phoneticPr fontId="2"/>
  </si>
  <si>
    <t>/_/health:</t>
    <phoneticPr fontId="2"/>
  </si>
  <si>
    <t>x-synthetics-skip-auth-check: true        # public</t>
    <phoneticPr fontId="2"/>
  </si>
  <si>
    <t>/dashboard:</t>
    <phoneticPr fontId="2"/>
  </si>
  <si>
    <t>x-canary-auth-mode: cookie-redirect        # SSR モノリス</t>
    <phoneticPr fontId="2"/>
  </si>
  <si>
    <t>6. CloudWatch Metrics（認証実装確認処理が emit）</t>
    <phoneticPr fontId="2"/>
  </si>
  <si>
    <t>7. 4×4 真偽値表（分類ロジック。probe と alert-router で共有）</t>
    <phoneticPr fontId="2"/>
  </si>
  <si>
    <t>【図11 4×4 真偽値表から通知先までの振り分け 挿入位置】</t>
    <phoneticPr fontId="2"/>
  </si>
  <si>
    <t>描くべき内容: Negative × Positive の 8 組合せ → OK / CRITICAL / WARN / INFO → severity・priority → P1 Security 即時 / P2 Platform 24h / P3 App team / 通知なし。classify を probe と Alert Router が共有、ARN は台帳 alertRouting → 環境変数の 2 段解決</t>
    <phoneticPr fontId="2"/>
  </si>
  <si>
    <t>Negative / Positive の役割: Negative（認証ヘッダなし → 401/403、Cookie モノリスは 302）で認証実装漏れを検知、Positive（valid Bearer 等 → 200/201/204）で API 稼働 + テスト健全性を確認</t>
    <phoneticPr fontId="2"/>
  </si>
  <si>
    <t>Smoke test: 冒頭で既知の挙動を確認し、テスト基盤自体の健全性を担保する。Smoke 失敗時は「認証漏れ」ではなく「テスト基盤問題」として分離アラート</t>
    <phoneticPr fontId="2"/>
  </si>
  <si>
    <t>8. Alert イベント形式（probe → alert-router）</t>
    <phoneticPr fontId="2"/>
  </si>
  <si>
    <t>"path": "/api/users",</t>
    <phoneticPr fontId="2"/>
  </si>
  <si>
    <t>"method": "GET",</t>
    <phoneticPr fontId="2"/>
  </si>
  <si>
    <t>"negStatus": 200,</t>
    <phoneticPr fontId="2"/>
  </si>
  <si>
    <t>"posStatus": 200,</t>
    <phoneticPr fontId="2"/>
  </si>
  <si>
    <t>"severity": "CRITICAL",</t>
    <phoneticPr fontId="2"/>
  </si>
  <si>
    <t>"reason": "Auth missing or bypassed",</t>
    <phoneticPr fontId="2"/>
  </si>
  <si>
    <t>"timestamp": "2026-07-06T00:05:00Z"</t>
    <phoneticPr fontId="2"/>
  </si>
  <si>
    <t>Alert イベント自体には SNS ARN が含まれない。Alert Router が台帳の alertRouting → 環境変数 DEFAULT_PX_TOPIC_ARN の 2 段で解決する（08 シート参照）</t>
    <phoneticPr fontId="2"/>
  </si>
  <si>
    <t>9. 環境別の検査動作</t>
    <phoneticPr fontId="2"/>
  </si>
  <si>
    <t>「対象 endpoint」= M1 なら変更アプリの全 endpoint、M3 なら全 endpoint。制御は OpenAPI アノテーション x-canary-positive-test: pre-prod-only。POST の副作用回避は本番の鉄則</t>
    <phoneticPr fontId="2"/>
  </si>
  <si>
    <t>セキュリティ・IAM</t>
    <phoneticPr fontId="2"/>
  </si>
  <si>
    <t>1. アカウント分離</t>
    <phoneticPr fontId="2"/>
  </si>
  <si>
    <t>置くもの</t>
    <phoneticPr fontId="2"/>
  </si>
  <si>
    <t>管理主体</t>
    <phoneticPr fontId="2"/>
  </si>
  <si>
    <t>共通基盤アカウント</t>
    <phoneticPr fontId="2"/>
  </si>
  <si>
    <t>認証実装確認処理のリソース群（App Registry / OpenAPI Registry / 認証実装チェック Lambda / Alert Router / Secrets）+ 発見 Lambda + SNS + CloudWatch</t>
    <phoneticPr fontId="2"/>
  </si>
  <si>
    <t>自社管理</t>
    <phoneticPr fontId="2"/>
  </si>
  <si>
    <t>ネットワーク監査アカウント（インバウンド境界）</t>
    <phoneticPr fontId="2"/>
  </si>
  <si>
    <t>インターネット境界（アプリごとの CloudFront + WAF、Origin Protection、ADR-039）</t>
    <phoneticPr fontId="2"/>
  </si>
  <si>
    <t>他組織管理の可能性あり（ROSA 側 P-18）</t>
    <phoneticPr fontId="2"/>
  </si>
  <si>
    <t>アウトバウンド境界アカウント</t>
    <phoneticPr fontId="2"/>
  </si>
  <si>
    <t>Transit Gateway + Network Firewall（ドメインフィルタ）</t>
    <phoneticPr fontId="2"/>
  </si>
  <si>
    <t>他組織管理</t>
    <phoneticPr fontId="2"/>
  </si>
  <si>
    <t>Service Catalog 製品 / CodeCommit / API GW・ALB / DiscoveryReadRole</t>
    <phoneticPr fontId="2"/>
  </si>
  <si>
    <t>各アプリチーム</t>
    <phoneticPr fontId="2"/>
  </si>
  <si>
    <t>Keycloak /token（client_credentials）</t>
    <phoneticPr fontId="2"/>
  </si>
  <si>
    <t>認証基盤</t>
    <phoneticPr fontId="2"/>
  </si>
  <si>
    <t>probe は境界越しに実ユーザーと同じ経路で検査する。認証実装確認処理は共通基盤アカウント（自社管理）に置くため、境界が他組織管理になっても再設計は不要。影響は probe 先経路の調整のみ（BD-Q-01）</t>
    <phoneticPr fontId="2"/>
  </si>
  <si>
    <t>巡回の読み取り経路（中央 → App）も境界を通らないため、境界の管理主体変更の影響を受けない</t>
    <phoneticPr fontId="2"/>
  </si>
  <si>
    <t>2. クロスアカウント要件の全体像</t>
    <phoneticPr fontId="2"/>
  </si>
  <si>
    <t>方向</t>
    <phoneticPr fontId="2"/>
  </si>
  <si>
    <t>手段</t>
    <phoneticPr fontId="2"/>
  </si>
  <si>
    <t>権限</t>
    <phoneticPr fontId="2"/>
  </si>
  <si>
    <t>巡回発見（リポジトリ読み取り）</t>
    <phoneticPr fontId="2"/>
  </si>
  <si>
    <t>中央 → App アカウント（読み取り）</t>
    <phoneticPr fontId="2"/>
  </si>
  <si>
    <t>発見 Lambda が DiscoveryReadRole に AssumeRole → CodeCommit を読む</t>
    <phoneticPr fontId="2"/>
  </si>
  <si>
    <t>codecommit read-only（下記 3.）</t>
    <phoneticPr fontId="2"/>
  </si>
  <si>
    <t>probe → アプリ</t>
    <phoneticPr fontId="2"/>
  </si>
  <si>
    <t>中央 → App アカウント</t>
    <phoneticPr fontId="2"/>
  </si>
  <si>
    <t>Public CloudFront URL</t>
    <phoneticPr fontId="2"/>
  </si>
  <si>
    <t>権限不要</t>
    <phoneticPr fontId="2"/>
  </si>
  <si>
    <t>probe → OAuth /token</t>
    <phoneticPr fontId="2"/>
  </si>
  <si>
    <t>中央 → 認証基盤</t>
    <phoneticPr fontId="2"/>
  </si>
  <si>
    <t>Public URL</t>
    <phoneticPr fontId="2"/>
  </si>
  <si>
    <t>probe 自体はクロスアカウント権限を要さない（実ユーザーと同じ Public 経路）。権限が要るのは巡回の読み取りだけ。台帳への書き込みは中央アカウント内のみ</t>
    <phoneticPr fontId="2"/>
  </si>
  <si>
    <t>3. DiscoveryReadRole の設計</t>
    <phoneticPr fontId="2"/>
  </si>
  <si>
    <t>【図12 クロスアカウント IAM の関係 挿入位置】</t>
    <phoneticPr fontId="2"/>
  </si>
  <si>
    <t>描くべき内容: DiscoveryLambdaRole → 各 App の DiscoveryReadRole（codecommit read-only・信頼先 1 本・ExternalId）への AssumeRole 1 種のみ。StackSets の全アカウント同一名配布、CentralProbeRole / alert-router-lambda-role の権限範囲、台帳書き込みが中央アカウント内のみであること</t>
    <phoneticPr fontId="2"/>
  </si>
  <si>
    <t>各 App アカウントに読み取り専用ロールを 1 つ配布し、中央の発見 Lambda だけが引き受けられるようにする</t>
    <phoneticPr fontId="2"/>
  </si>
  <si>
    <t>// 権限（App アカウント側、read-only 最小）</t>
    <phoneticPr fontId="2"/>
  </si>
  <si>
    <t>"Version": "2012-10-17",</t>
    <phoneticPr fontId="2"/>
  </si>
  <si>
    <t>"Statement": [{</t>
    <phoneticPr fontId="2"/>
  </si>
  <si>
    <t>"Effect": "Allow",</t>
    <phoneticPr fontId="2"/>
  </si>
  <si>
    <t>"Action": [</t>
    <phoneticPr fontId="2"/>
  </si>
  <si>
    <t>"codecommit:ListRepositories",</t>
    <phoneticPr fontId="2"/>
  </si>
  <si>
    <t>"codecommit:GetBranch",        // 先端コミット ID</t>
    <phoneticPr fontId="2"/>
  </si>
  <si>
    <t>"codecommit:GetCommit",</t>
    <phoneticPr fontId="2"/>
  </si>
  <si>
    <t>"codecommit:GetDifferences",   // 変更パス（モノレポのアプリ特定）</t>
    <phoneticPr fontId="2"/>
  </si>
  <si>
    <t>"codecommit:GetFile"           // monitoring.yaml / openapi.yaml 取得</t>
    <phoneticPr fontId="2"/>
  </si>
  <si>
    <t>],</t>
    <phoneticPr fontId="2"/>
  </si>
  <si>
    <t>"Resource": "*"</t>
    <phoneticPr fontId="2"/>
  </si>
  <si>
    <t>}]</t>
    <phoneticPr fontId="2"/>
  </si>
  <si>
    <t>// 信頼ポリシー（引受け元を発見 Lambda ロールに限定 + ExternalId）</t>
    <phoneticPr fontId="2"/>
  </si>
  <si>
    <t>"Principal": { "AWS": "arn:aws:iam::&lt;common-platform-acct&gt;:role/DiscoveryLambdaRole" },</t>
    <phoneticPr fontId="2"/>
  </si>
  <si>
    <t>"Action": "sts:AssumeRole",</t>
    <phoneticPr fontId="2"/>
  </si>
  <si>
    <t>"Condition": { "StringEquals": { "sts:ExternalId": "auth-impl-discovery" } }</t>
    <phoneticPr fontId="2"/>
  </si>
  <si>
    <t>・read-only（codecommit 読み取り）のみ。漏洩時の影響はソースコードの閲覧（変更・削除・実行は不可）。ソース閲覧自体が機微なため、信頼先限定・ExternalId・CloudTrail での AssumeRole 監査を必須とする</t>
    <phoneticPr fontId="2"/>
  </si>
  <si>
    <t>・信頼先を発見 Lambda のロール 1 本に限定 + ExternalId（confused deputy 防止）</t>
    <phoneticPr fontId="2"/>
  </si>
  <si>
    <t>・全 App アカウントで同一ロール名（DiscoveryReadRole）にし、発見 Lambda は arn:aws:iam::{accountId}:role/DiscoveryReadRole を機械的に組み立てて AssumeRole</t>
    <phoneticPr fontId="2"/>
  </si>
  <si>
    <t>・対象リポジトリを絞りたい場合は Resource を命名規約（例 arn:aws:codecommit:*:*:*-api）で限定可能（M-Q-16-3）</t>
    <phoneticPr fontId="2"/>
  </si>
  <si>
    <t>4. 必要な IAM 一覧</t>
    <phoneticPr fontId="2"/>
  </si>
  <si>
    <t>ロール</t>
    <phoneticPr fontId="2"/>
  </si>
  <si>
    <t>使い手</t>
    <phoneticPr fontId="2"/>
  </si>
  <si>
    <t>DiscoveryLambdaRole</t>
    <phoneticPr fontId="2"/>
  </si>
  <si>
    <t>CentralProbeRole</t>
    <phoneticPr fontId="2"/>
  </si>
  <si>
    <t>s3:GetObject・ListBucket（Monitoring Registry：台帳 + spec）/ secretsmanager:GetSecretValue / cloudwatch:PutMetricData / lambda:InvokeFunction（Alert Router）</t>
    <phoneticPr fontId="2"/>
  </si>
  <si>
    <t>alert-router-lambda-role</t>
    <phoneticPr fontId="2"/>
  </si>
  <si>
    <t>s3:GetObject（registry/*、alertRouting 解決）/ sns:Publish</t>
    <phoneticPr fontId="2"/>
  </si>
  <si>
    <t>各 App アカウント（StackSets 配布）</t>
    <phoneticPr fontId="2"/>
  </si>
  <si>
    <t>中央の発見 Lambda（AssumeRole）</t>
    <phoneticPr fontId="2"/>
  </si>
  <si>
    <t>codecommit:ListRepositories / GetBranch / GetCommit / GetDifferences / GetFile（read-only）</t>
    <phoneticPr fontId="2"/>
  </si>
  <si>
    <t>App アカウント側に置くのは読み取りロール 1 つだけ</t>
    <phoneticPr fontId="2"/>
  </si>
  <si>
    <t>5. 配布（StackSets）</t>
    <phoneticPr fontId="2"/>
  </si>
  <si>
    <t>配布物</t>
    <phoneticPr fontId="2"/>
  </si>
  <si>
    <t>CloudFormation StackSets（Organizations 連携・自動デプロイ）</t>
    <phoneticPr fontId="2"/>
  </si>
  <si>
    <t>新規アカウント作成時も自動で配布 → 巡回が即座に読める</t>
    <phoneticPr fontId="2"/>
  </si>
  <si>
    <t>Portfolio 共有（Organizations / RAM）</t>
    <phoneticPr fontId="2"/>
  </si>
  <si>
    <t>認証必須 / Origin Protection / タグの「守られた API の型」</t>
    <phoneticPr fontId="2"/>
  </si>
  <si>
    <t>6. 台帳の書き込み権限（中央のみ）</t>
    <phoneticPr fontId="2"/>
  </si>
  <si>
    <t>書き手</t>
    <phoneticPr fontId="2"/>
  </si>
  <si>
    <t>同一アカウント内 PutObject</t>
    <phoneticPr fontId="2"/>
  </si>
  <si>
    <t>s3:PutObject（registry/* / openapi/* プレフィックス限定）</t>
    <phoneticPr fontId="2"/>
  </si>
  <si>
    <t>共通基盤チーム（手動）</t>
    <phoneticPr fontId="2"/>
  </si>
  <si>
    <t>コンソール / CLI で JSON 更新</t>
    <phoneticPr fontId="2"/>
  </si>
  <si>
    <t>同上（alertRouting 設定・enabled 切替）</t>
    <phoneticPr fontId="2"/>
  </si>
  <si>
    <t>App アカウント側からの書き込み経路は存在しない。バケットは Versioning 有効なので誤更新は履歴から戻せる</t>
    <phoneticPr fontId="2"/>
  </si>
  <si>
    <t>7. VPC 外配置の判断（NW-2 例外の明示受容と代償統制）</t>
    <phoneticPr fontId="2"/>
  </si>
  <si>
    <t>構成</t>
    <phoneticPr fontId="2"/>
  </si>
  <si>
    <t>Lambda 3 本はすべて VPC 外（Lambda マネージド網）に配置する</t>
    <phoneticPr fontId="2"/>
  </si>
  <si>
    <t>得られる簡素化</t>
    <phoneticPr fontId="2"/>
  </si>
  <si>
    <t>VPC / サブネット / ENI 管理・Interface VPC Endpoint 群・TGW Attachment・NAT 依存・NWFW への許可ドメイン申請（アプリ追加のたび）がすべて不要</t>
    <phoneticPr fontId="2"/>
  </si>
  <si>
    <t>例外の内容</t>
    <phoneticPr fontId="2"/>
  </si>
  <si>
    <t>例外が許容できる理由</t>
    <phoneticPr fontId="2"/>
  </si>
  <si>
    <t>代償統制</t>
    <phoneticPr fontId="2"/>
  </si>
  <si>
    <t>宛先 allowlist をコードで強制（probe の接続先は App Registry の baseUrl と設定済み token URL のみ。任意 URL を受け取る口を作らない）+ IAM 最小権限 + CloudTrail / Lambda ログで監査</t>
    <phoneticPr fontId="2"/>
  </si>
  <si>
    <t>承認</t>
    <phoneticPr fontId="2"/>
  </si>
  <si>
    <t>NW-2 の例外としてセキュリティ / 他組織（境界管理側）への明示的な承認を得る（M-Q-10-3。未決）</t>
    <phoneticPr fontId="2"/>
  </si>
  <si>
    <t>・経路 A はインバウンド境界（CloudFront + WAF）を実ユーザーと同じ向きで通過する（Origin Protection を破らない検査）。In 側はバイパスしない</t>
    <phoneticPr fontId="2"/>
  </si>
  <si>
    <t>・経路 C / D は AWS API・AWS 網内であり、インターネット境界（In / Out とも）は無関係</t>
    <phoneticPr fontId="2"/>
  </si>
  <si>
    <t>・Phase 2では認証実装チェック Lambda のみ VPC 化が必要になる。発見 Lambda と Alert Router は Phase 2 でも VPC 外のまま</t>
    <phoneticPr fontId="2"/>
  </si>
  <si>
    <t>8. Positive トークンの管理（共通クライアント資格情報 + 短命トークン）</t>
    <phoneticPr fontId="2"/>
  </si>
  <si>
    <t>【図13 Positive トークンの発行フロー 挿入位置】</t>
    <phoneticPr fontId="2"/>
  </si>
  <si>
    <t>描くべき内容: canary 専用サービスアカウント（client_id / secret）→ Secrets Manager（共通基盤）→ 認証実装チェック Lambda ロールのみ取得可 → /token（client_credentials）→ 短命トークン（5〜15 分）→ Positive probe → 破棄。スコープ A 採用・B 目標を注記</t>
    <phoneticPr fontId="2"/>
  </si>
  <si>
    <t>Positive probe（valid token → 200 期待）に使う認証情報は、静的な長寿命トークンを持たない。共通の OAuth クライアント資格情報を 1 つだけ持ち、実行ごとに短命トークンを発行する</t>
    <phoneticPr fontId="2"/>
  </si>
  <si>
    <t>認証基盤(Keycloak) に canary 専用サービスアカウント "api-canary-probe" を 1 つ</t>
    <phoneticPr fontId="2"/>
  </si>
  <si>
    <t>└ client_id/secret → Secrets Manager（共通基盤アカウント）に保管</t>
    <phoneticPr fontId="2"/>
  </si>
  <si>
    <t>└ GetSecretValue できるのは 認証実装チェック Lambda の IAM ロールのみ</t>
    <phoneticPr fontId="2"/>
  </si>
  <si>
    <t>【1 回の probe 実行ごと】</t>
    <phoneticPr fontId="2"/>
  </si>
  <si>
    <t>認証実装チェック Lambda → Keycloak /token（client_credentials grant）</t>
    <phoneticPr fontId="2"/>
  </si>
  <si>
    <t>→ 短命アクセストークン（5〜15 分）取得 → Positive probe に使用 → 破棄</t>
    <phoneticPr fontId="2"/>
  </si>
  <si>
    <t>「ずっと使える 1 つ」の実体はクライアント資格情報（全 API 共通・定期ローテ）で、実際のトークンは毎回使い捨て。lib/token.js が取得・キャッシュ（TTL 内）する。x-canary-test-token-secret は既定で共通 Secret（canary-central-readonly 相当のクライアント資格情報）を指す</t>
    <phoneticPr fontId="2"/>
  </si>
  <si>
    <t>対策</t>
    <phoneticPr fontId="2"/>
  </si>
  <si>
    <t>漏洩しにくく</t>
    <phoneticPr fontId="2"/>
  </si>
  <si>
    <t>保管</t>
    <phoneticPr fontId="2"/>
  </si>
  <si>
    <t>client_secret は Secrets Manager のみ（環境変数・コード埋込・ログ出力禁止＝05 OBS-3）</t>
    <phoneticPr fontId="2"/>
  </si>
  <si>
    <t>アクセス</t>
    <phoneticPr fontId="2"/>
  </si>
  <si>
    <t>認証実装チェック Lambda ロールだけが secretsmanager:GetSecretValue（最小 IAM）</t>
    <phoneticPr fontId="2"/>
  </si>
  <si>
    <t>ローテ</t>
    <phoneticPr fontId="2"/>
  </si>
  <si>
    <t>自動ローテーション（30/90 日、Secrets Manager rotation）</t>
    <phoneticPr fontId="2"/>
  </si>
  <si>
    <t>中央アカウントからの egress のみ・TLS</t>
    <phoneticPr fontId="2"/>
  </si>
  <si>
    <t>影響を小さく</t>
    <phoneticPr fontId="2"/>
  </si>
  <si>
    <t>最小権限</t>
    <phoneticPr fontId="2"/>
  </si>
  <si>
    <t>canary クライアントは読み取り専用・最小スコープ（管理者でも書込でもない）</t>
    <phoneticPr fontId="2"/>
  </si>
  <si>
    <t>短 TTL</t>
    <phoneticPr fontId="2"/>
  </si>
  <si>
    <t>トークンは数分で失効 → 捕捉されてもすぐ死ぬ</t>
    <phoneticPr fontId="2"/>
  </si>
  <si>
    <t>GET 限定</t>
    <phoneticPr fontId="2"/>
  </si>
  <si>
    <t>Positive は GET のみ</t>
    <phoneticPr fontId="2"/>
  </si>
  <si>
    <t>即失効</t>
    <phoneticPr fontId="2"/>
  </si>
  <si>
    <t>発火元は中央アカウントの既知プリンシパル → 異常利用検知でクライアント無効化</t>
    <phoneticPr fontId="2"/>
  </si>
  <si>
    <t>レベル</t>
    <phoneticPr fontId="2"/>
  </si>
  <si>
    <t>canary スコープ</t>
    <phoneticPr fontId="2"/>
  </si>
  <si>
    <t>漏洩時の影響</t>
    <phoneticPr fontId="2"/>
  </si>
  <si>
    <t>全 API 横断の読み取り専用</t>
    <phoneticPr fontId="2"/>
  </si>
  <si>
    <t>canary として read-only GET が可能（中程度）</t>
    <phoneticPr fontId="2"/>
  </si>
  <si>
    <t>Phase 1 採用</t>
    <phoneticPr fontId="2"/>
  </si>
  <si>
    <t>canary 専用テナント / 合成データのみ読める</t>
    <phoneticPr fontId="2"/>
  </si>
  <si>
    <t>実データに一切届かない（最小）</t>
    <phoneticPr fontId="2"/>
  </si>
  <si>
    <t>目標（認証基盤 Keycloak のロール設計へ引き渡し、M-Q-11-4）</t>
    <phoneticPr fontId="2"/>
  </si>
  <si>
    <t>方針: Phase 1 は A（共通 1 クライアント + 短 TTL + 自動ローテ）で開始し、B（canary 専用スコープ = 漏洩しても実データに届かない）を目標とする。B は認証基盤側で canary 専用テナント / スコープを用意する必要がある。機微データを扱う API から順に B へ移行する</t>
    <phoneticPr fontId="2"/>
  </si>
  <si>
    <t>9. 通知先 ARN の解決（2 段）</t>
    <phoneticPr fontId="2"/>
  </si>
  <si>
    <t>順</t>
    <phoneticPr fontId="2"/>
  </si>
  <si>
    <t>解決元</t>
    <phoneticPr fontId="2"/>
  </si>
  <si>
    <t>App Registry（S3 台帳）の alertRouting {p1,p2,p3}</t>
    <phoneticPr fontId="2"/>
  </si>
  <si>
    <t>registry/{appId}/{env}.json の GetObject で引く</t>
    <phoneticPr fontId="2"/>
  </si>
  <si>
    <t>環境変数 DEFAULT_P1/P2/P3_TOPIC_ARN</t>
    <phoneticPr fontId="2"/>
  </si>
  <si>
    <t>台帳に無ければ fallback</t>
    <phoneticPr fontId="2"/>
  </si>
  <si>
    <t>（未解決）</t>
    <phoneticPr fontId="2"/>
  </si>
  <si>
    <t>どちらも無ければ ARN 未解決エラー → throw（DLQ / retry で可視化）</t>
    <phoneticPr fontId="2"/>
  </si>
  <si>
    <t>Alert イベント自体には SNS ARN が含まれない。アプリ個別の通知先（alertRouting）と全社デフォルト（環境変数）の 2 段構え</t>
    <phoneticPr fontId="2"/>
  </si>
  <si>
    <t>通知メッセージ: Subject = どのアプリ・どの endpoint で何が起きたか / Body = negStatus・posStatus、reason、対応 SLA（P1 即時・P2 24h・P3 通常）/ MessageAttributes = severity・priority・appId・env（SNS フィルタ用）</t>
    <phoneticPr fontId="2"/>
  </si>
  <si>
    <t>10. 分類 → 通知先・SLA</t>
    <phoneticPr fontId="2"/>
  </si>
  <si>
    <t>routingKey</t>
    <phoneticPr fontId="2"/>
  </si>
  <si>
    <t>SLA</t>
    <phoneticPr fontId="2"/>
  </si>
  <si>
    <t>典型</t>
    <phoneticPr fontId="2"/>
  </si>
  <si>
    <t>p1</t>
    <phoneticPr fontId="2"/>
  </si>
  <si>
    <t>即時</t>
    <phoneticPr fontId="2"/>
  </si>
  <si>
    <t>認証 missing（Neg=2xx）</t>
    <phoneticPr fontId="2"/>
  </si>
  <si>
    <t>p2</t>
    <phoneticPr fontId="2"/>
  </si>
  <si>
    <t>Platform チーム</t>
    <phoneticPr fontId="2"/>
  </si>
  <si>
    <t>24h</t>
    <phoneticPr fontId="2"/>
  </si>
  <si>
    <t>token 失効 / endpoint 不在</t>
    <phoneticPr fontId="2"/>
  </si>
  <si>
    <t>p3</t>
    <phoneticPr fontId="2"/>
  </si>
  <si>
    <t>通常</t>
    <phoneticPr fontId="2"/>
  </si>
  <si>
    <t>Backend バグ（Pos=5xx）</t>
    <phoneticPr fontId="2"/>
  </si>
  <si>
    <t>正常</t>
    <phoneticPr fontId="2"/>
  </si>
  <si>
    <t>アプリチーム向け手順</t>
    <phoneticPr fontId="2"/>
  </si>
  <si>
    <t>1. やること 3 点</t>
    <phoneticPr fontId="2"/>
  </si>
  <si>
    <t>手順</t>
    <phoneticPr fontId="2"/>
  </si>
  <si>
    <t>やること</t>
    <phoneticPr fontId="2"/>
  </si>
  <si>
    <t>かんたんな説明</t>
    <phoneticPr fontId="2"/>
  </si>
  <si>
    <t>Service Catalog で製品を launch する</t>
    <phoneticPr fontId="2"/>
  </si>
  <si>
    <t>リポジトリの直下に monitoring.yaml を置く</t>
    <phoneticPr fontId="2"/>
  </si>
  <si>
    <t>OpenAPI に公開印を付ける</t>
    <phoneticPr fontId="2"/>
  </si>
  <si>
    <t>2. アプリチームがやらなくてよいこと</t>
    <phoneticPr fontId="2"/>
  </si>
  <si>
    <t>理由</t>
    <phoneticPr fontId="2"/>
  </si>
  <si>
    <t>監視対象への登録作業・登録用のコード</t>
    <phoneticPr fontId="2"/>
  </si>
  <si>
    <t>OpenAPI の中央へのアップロード</t>
    <phoneticPr fontId="2"/>
  </si>
  <si>
    <t>通知先（SNS ARN）の設定</t>
    <phoneticPr fontId="2"/>
  </si>
  <si>
    <t>監視の一時停止（enabled）</t>
    <phoneticPr fontId="2"/>
  </si>
  <si>
    <t>endpoint を追加したときの監視設定</t>
    <phoneticPr fontId="2"/>
  </si>
  <si>
    <t>3. monitoring.yaml テンプレート</t>
    <phoneticPr fontId="2"/>
  </si>
  <si>
    <t>authPattern: api-gw-jwt                # 検査方式（enum）</t>
    <phoneticPr fontId="2"/>
  </si>
  <si>
    <t>書き方の注意</t>
    <phoneticPr fontId="2"/>
  </si>
  <si>
    <t>書き忘れ・間違いのとき</t>
    <phoneticPr fontId="2"/>
  </si>
  <si>
    <t>ファイルそのもの</t>
    <phoneticPr fontId="2"/>
  </si>
  <si>
    <t>4. OpenAPI の公開印（MON-1）</t>
    <phoneticPr fontId="2"/>
  </si>
  <si>
    <t>x-synthetics-skip-auth-check: true   # ← 公開（認証不要）の endpoint に必ず付ける</t>
    <phoneticPr fontId="2"/>
  </si>
  <si>
    <t>5. コミットしてから監視されるまで</t>
    <phoneticPr fontId="2"/>
  </si>
  <si>
    <t>起きること</t>
    <phoneticPr fontId="2"/>
  </si>
  <si>
    <t>かかる時間</t>
    <phoneticPr fontId="2"/>
  </si>
  <si>
    <t>コミットする（静的解析を通す）</t>
    <phoneticPr fontId="2"/>
  </si>
  <si>
    <t>中央の巡回がコミットの変化に気づき、台帳と OpenAPI を自動で取り込む</t>
    <phoneticPr fontId="2"/>
  </si>
  <si>
    <t>最大 1 時間</t>
    <phoneticPr fontId="2"/>
  </si>
  <si>
    <t>そのアプリの全 endpoint に対して検査（未認証検査 + 正規検査）が走る</t>
    <phoneticPr fontId="2"/>
  </si>
  <si>
    <t>上記の直後</t>
    <phoneticPr fontId="2"/>
  </si>
  <si>
    <t>問題があれば分類され、担当チームへ通知される（P1 Security 即時 / P2 Platform 24h / P3 App team 通常）</t>
    <phoneticPr fontId="2"/>
  </si>
  <si>
    <t>動的発見が Pattern β に必須、定期実行は不要</t>
    <phoneticPr fontId="2"/>
  </si>
  <si>
    <t>「認証漏れ」を運用に即時可視化</t>
    <phoneticPr fontId="2"/>
  </si>
  <si>
    <t>台帳ストアは S3。DynamoDB は不使用</t>
    <phoneticPr fontId="2"/>
  </si>
  <si>
    <t>未決事項（M-Q-* / BD-Q-*）</t>
    <phoneticPr fontId="2"/>
  </si>
  <si>
    <t>本シートは未決事項のみを収める。決定事項（D-M-*）は「10_設計判断一覧」シート。未決は未決のまま記載し、確定した設計としては書かない。担当・期限は未定のため空欄（記入用）。</t>
    <phoneticPr fontId="2"/>
  </si>
  <si>
    <t>期限</t>
    <phoneticPr fontId="2"/>
  </si>
  <si>
    <t>BD-Q-01</t>
    <phoneticPr fontId="2"/>
  </si>
  <si>
    <t>ROSA 側 P-18（監査アカウント他組織管理）確定時の責任分界 / probe 先経路の改訂</t>
    <phoneticPr fontId="2"/>
  </si>
  <si>
    <t>M-Q-10-1</t>
    <phoneticPr fontId="2"/>
  </si>
  <si>
    <t>Central 障害時の Multilocation（DR region replica）採否</t>
    <phoneticPr fontId="2"/>
  </si>
  <si>
    <t>M-Q-10-2</t>
    <phoneticPr fontId="2"/>
  </si>
  <si>
    <t>full-run（SAM local / 実 AWS）の実施タイミング</t>
    <phoneticPr fontId="2"/>
  </si>
  <si>
    <t>M-Q-10-3</t>
    <phoneticPr fontId="2"/>
  </si>
  <si>
    <t>NW-2 例外（VPC 外 Lambda の Egress が NWFW 非経由）の明示的承認をセキュリティ / 境界管理の他組織から取得</t>
    <phoneticPr fontId="2"/>
  </si>
  <si>
    <t>M-Q-11-2</t>
    <phoneticPr fontId="2"/>
  </si>
  <si>
    <t>SigV4 Positive（api-gw-iam）の実装（@aws-sdk/signature-v4 手動署名、Phase 2）</t>
    <phoneticPr fontId="2"/>
  </si>
  <si>
    <t>M-Q-11-3</t>
    <phoneticPr fontId="2"/>
  </si>
  <si>
    <t>Cookie モノリス Positive（Puppeteer ログイン）の実装</t>
    <phoneticPr fontId="2"/>
  </si>
  <si>
    <t>M-Q-11-4</t>
    <phoneticPr fontId="2"/>
  </si>
  <si>
    <t>Positive トークン スコープ B（canary 専用テナント / 合成データ）の設計（認証基盤 Keycloak へ引き渡し）。Phase 1 は A、機微データ API から B へ移行</t>
    <phoneticPr fontId="2"/>
  </si>
  <si>
    <t>M-Q-12-1</t>
    <phoneticPr fontId="2"/>
  </si>
  <si>
    <t>alertRouting を全アプリ個別指定か、env 既定 + 上書きか</t>
    <phoneticPr fontId="2"/>
  </si>
  <si>
    <t>M-Q-12-2</t>
    <phoneticPr fontId="2"/>
  </si>
  <si>
    <t>バケットのバックアップ方針（Versioning は有効。加えてレプリケーション要否）</t>
    <phoneticPr fontId="2"/>
  </si>
  <si>
    <t>M-Q-12-3</t>
    <phoneticPr fontId="2"/>
  </si>
  <si>
    <t>probe lib lib/registry.js の S3 対応改修（DynamoDB Scan → S3 List/Get。M-Q-17-4 発見 Lambda 実装と同時に）+ 手動更新との競合対策（ETag 条件付き PUT）</t>
    <phoneticPr fontId="2"/>
  </si>
  <si>
    <t>OpenAPI を持たないレガシー API の扱い</t>
  </si>
  <si>
    <t>M-Q-13-2</t>
    <phoneticPr fontId="2"/>
  </si>
  <si>
    <t>S3 Object Lock（改ざん防止）の要否</t>
    <phoneticPr fontId="2"/>
  </si>
  <si>
    <t>M-Q-13-3</t>
    <phoneticPr fontId="2"/>
  </si>
  <si>
    <t>probe の S3Client に forcePathStyle 相当のテスト用オプションを持たせるか（本番不要）</t>
    <phoneticPr fontId="2"/>
  </si>
  <si>
    <t>M-Q-14-1</t>
    <phoneticPr fontId="2"/>
  </si>
  <si>
    <t>SigV4 Positive / Cookie Positive / cleanup 実行の実装（Phase 2）</t>
    <phoneticPr fontId="2"/>
  </si>
  <si>
    <t>M-Q-14-2</t>
    <phoneticPr fontId="2"/>
  </si>
  <si>
    <t>Multilocation（DR region replica）採否（Central 障害耐性）</t>
    <phoneticPr fontId="2"/>
  </si>
  <si>
    <t>M-Q-14-3</t>
    <phoneticPr fontId="2"/>
  </si>
  <si>
    <t>authPattern 追加時の probe.js 拡張方針</t>
    <phoneticPr fontId="2"/>
  </si>
  <si>
    <t>M-Q-15-1</t>
    <phoneticPr fontId="2"/>
  </si>
  <si>
    <t>SNS の先（PagerDuty / Slack / メール）の接続方式</t>
    <phoneticPr fontId="2"/>
  </si>
  <si>
    <t>M-Q-15-2</t>
    <phoneticPr fontId="2"/>
  </si>
  <si>
    <t>P1 の自動 deny / rollback 連動の要否</t>
    <phoneticPr fontId="2"/>
  </si>
  <si>
    <t>M-Q-15-3</t>
    <phoneticPr fontId="2"/>
  </si>
  <si>
    <t>誤検知抑制（同一 endpoint の連続アラート抑制 / dedup）</t>
    <phoneticPr fontId="2"/>
  </si>
  <si>
    <t>M-Q-16-1</t>
    <phoneticPr fontId="2"/>
  </si>
  <si>
    <t>DiscoveryReadRole の配布対象範囲</t>
    <phoneticPr fontId="2"/>
  </si>
  <si>
    <t>M-Q-16-2</t>
    <phoneticPr fontId="2"/>
  </si>
  <si>
    <t>発見 Lambda の並列度・スロットリング（アカウント数増加時の API コール制御）</t>
    <phoneticPr fontId="2"/>
  </si>
  <si>
    <t>M-Q-16-3</t>
    <phoneticPr fontId="2"/>
  </si>
  <si>
    <t>DiscoveryReadRole の Resource をリポジトリ命名規約（例 arn:aws:codecommit:*:*:*-api）で限定するか</t>
    <phoneticPr fontId="2"/>
  </si>
  <si>
    <t>M-Q-17-1</t>
    <phoneticPr fontId="2"/>
  </si>
  <si>
    <t>SCP 強制（製品外の API GW 作成・変更禁止）の採否 — git 単独検知の穴を入口で塞ぐ鍵</t>
    <phoneticPr fontId="2"/>
  </si>
  <si>
    <t>M-Q-17-2</t>
    <phoneticPr fontId="2"/>
  </si>
  <si>
    <t>対象アカウントの範囲指定（Organizations 全体 / 特定 OU / 明示リスト）</t>
    <phoneticPr fontId="2"/>
  </si>
  <si>
    <t>M-Q-17-3</t>
    <phoneticPr fontId="2"/>
  </si>
  <si>
    <t>API リポジトリの判定規約（命名規約 *-api 等）と monitoring.yaml 置き忘れ検出の運用</t>
    <phoneticPr fontId="2"/>
  </si>
  <si>
    <t>M-Q-17-4</t>
    <phoneticPr fontId="2"/>
  </si>
  <si>
    <t>発見 Lambda の実装 + PoC（Phase 3/4。CodeCommit GetDifferences / GetFile のページング・レート制御含む）</t>
    <phoneticPr fontId="2"/>
  </si>
  <si>
    <t>M-Q-17-5</t>
    <phoneticPr fontId="2"/>
  </si>
  <si>
    <t>消滅検知（enabled=false 化）とアプリ廃止手続きの運用整合</t>
    <phoneticPr fontId="2"/>
  </si>
  <si>
    <t>M-Q-17-6</t>
    <phoneticPr fontId="2"/>
  </si>
  <si>
    <t>リポジトリ内 openapi.yaml と本番デプロイの drift 検出（M3 実測 404 で顕在化はするが、能動検出の要否）</t>
    <phoneticPr fontId="2"/>
  </si>
  <si>
    <t>M-Q-18-1</t>
    <phoneticPr fontId="2"/>
  </si>
  <si>
    <t>M2 の重要 endpoint 定義（アプリチームと会話）+ 追加時期。定義できたら x-canary-heartbeat: true アノテーション + Synthetics canary で実装</t>
    <phoneticPr fontId="2"/>
  </si>
  <si>
    <t>M-Q-18-3</t>
    <phoneticPr fontId="2"/>
  </si>
  <si>
    <t>M3 手動実行の権限・実行者（共通基盤チームのみか、アプリチームも自アプリを回せるか）</t>
    <phoneticPr fontId="2"/>
  </si>
  <si>
    <t>結論</t>
    <phoneticPr fontId="2"/>
  </si>
  <si>
    <t>M-Q-18-2</t>
    <phoneticPr fontId="2"/>
  </si>
  <si>
    <t>M1 トリガの確定</t>
    <phoneticPr fontId="2"/>
  </si>
  <si>
    <t>解決: 中央巡回（pull、1h）に統一（ADR-061）</t>
    <phoneticPr fontId="2"/>
  </si>
  <si>
    <t>M-Q-18-4</t>
    <phoneticPr fontId="2"/>
  </si>
  <si>
    <t>モノリスの変更を M3 で補う</t>
    <phoneticPr fontId="2"/>
  </si>
  <si>
    <t>解消: git 巡回でモノリスも自動発見・自動検知。M3 の役割は「git に現れない変更（コンソール直変更等）の網羅確認」に純化</t>
    <phoneticPr fontId="2"/>
  </si>
  <si>
    <t>注記: 文書情報の作成者・承認者、改訂履歴の担当、および本シートの担当・期限は未定のため空欄とする（記入用）。</t>
    <phoneticPr fontId="2"/>
  </si>
  <si>
    <t>ロジックは検証済み。残るは AWS 環境依存の full-run。要 PoC 項目あり</t>
  </si>
  <si>
    <t>注記: 静的解析をすり抜けた認証漏れを、稼働後に ④〜⑧ で捕捉するのが本機構の存在意義。①〜③はライフサイクル、④〜⑤の 1 実行内の詳細は図5 の検査シーケンスに示す。</t>
  </si>
  <si>
    <t>実行基盤は Lambda、実行モードは M1 巡回差分（自動）+ M3 フル監査（手動）。M2 常時 heartbeat は将来とする。</t>
  </si>
  <si>
    <t>本シートは台帳スキーマ・monitoring.yaml 規約・OpenAPI アノテーション・CloudWatch Metrics・4×4 真偽値表・Alert イベント形式のデータ定義を示す。</t>
  </si>
  <si>
    <t>「Negative = 401/403 かつ Positive = 200」のペアが揃って初めて OK。分類結果（severity / priority）は Alert Router と同一ロジックを共有する。</t>
  </si>
  <si>
    <t>エラー処理: probe からの Invoke は単一イベント想定だが配列でも処理（バッチ耐性）。1 件でも失敗したら throw → Lambda 失敗（retry / DLQ 発火）。classify.js と format.js の SEVERITY_META が 4×4 の分類定義を共有する。</t>
  </si>
  <si>
    <t>データ定義はデータ契約を正とし、設計書は意図を説明する</t>
  </si>
  <si>
    <t>分類は 4×4 真偽値表、classify を probe / alert-router で共通化</t>
  </si>
  <si>
    <t>独立テスト + classify の共通化</t>
  </si>
  <si>
    <t>分類ロジックは probe の classify.js と共通化</t>
  </si>
  <si>
    <t>解決済み（参照用）</t>
  </si>
  <si>
    <t>セキュリティ方針 NW-2「Outbound は NWFW ドメインフィルタ経由」の例外となる（監視系の外向き HTTPS が組織の Egress 統制を通らない）</t>
  </si>
  <si>
    <t>① 宛先が固定 3 種のみ（台帳の baseUrl = 自組織の CloudFront／認証基盤 /token／AWS API）で、任意の外部 SaaS を呼ぶコードパスが存在しない ② コードは共通基盤チーム管理・CI 静的解析対象で、アプリ任意コードが乗らない ③ 漏洩リスク側は Positive トークン管理（短命トークン）で別途統制済み</t>
  </si>
  <si>
    <t>関連文書</t>
  </si>
  <si>
    <t>参照元資料のタイトル・所在・パスは「13_出典一覧」シートにまとめる。</t>
  </si>
  <si>
    <t>1. ADR（設計判断の経緯。本文では番号参照のみとし、内容は転記しない）</t>
  </si>
  <si>
    <t>2. 設計要素と実装物の対応</t>
  </si>
  <si>
    <t>設計要素</t>
  </si>
  <si>
    <t>認証実装チェック（probe / classify / emit）</t>
  </si>
  <si>
    <t>未実装（M-Q-17-4）</t>
  </si>
  <si>
    <t>未実装</t>
  </si>
  <si>
    <t>App Registry（台帳 CRUD）</t>
  </si>
  <si>
    <t>app-registry-lambda（旧 push 型の参考実装。ロジックを発見 Lambda に流用予定）</t>
  </si>
  <si>
    <t>現行構成要素ではない</t>
  </si>
  <si>
    <t>OpenAPI Registry（spec 取得）</t>
  </si>
  <si>
    <t>openapi-export-lambda（旧 push 型の参考実装。ロジックを発見 Lambda に流用予定）</t>
  </si>
  <si>
    <t>実行モード M1 / M3</t>
  </si>
  <si>
    <t>実装済み（発見 Lambda 連携は未実装）</t>
  </si>
  <si>
    <t>台帳アクセス（probe 側）</t>
  </si>
  <si>
    <t>central-probe-lib の lib/registry.js</t>
  </si>
  <si>
    <t>S3 改修待ち（M-Q-12-3）</t>
  </si>
  <si>
    <t>本書（Excel）は認証実装確認処理の基本設計そのものであり、本文に出典表記は持たない。内容の元となった資料のタイトル・概要・所在は本シートにまとめ、必要時にたどれるようにする。</t>
  </si>
  <si>
    <t>2. 参照元資料（基本設計書）</t>
  </si>
  <si>
    <t>目的・スコープ、全体骨格、統合構成、AWS リソース構成と通信経路 A〜D、リソース一覧、用語表。→ 02 / 03 / 04 / 05 / 08 シート</t>
  </si>
  <si>
    <t>S3 台帳のキー体系・項目定義・JSON 例、probe 先を CloudFront とする理由、台帳への書き込み権限。→ 07 / 08 シート</t>
  </si>
  <si>
    <t>spec の正本と S3 コピー、公開明示 MON-1（default-deny）、probe 制御アノテーション一覧、新規 endpoint の自動追随。→ 07 / 09 シート</t>
  </si>
  <si>
    <t>probe lib のモジュール構成、モノリス / BFF / Private API 対応、要 PoC 項目、テスト状況。→ 04 シート</t>
  </si>
  <si>
    <t>4×4 分類から P1 / P2 / P3 への振り分け、通知先 ARN の 2 段解決、通知メッセージ、エラー処理。→ 08 シート</t>
  </si>
  <si>
    <t>アカウント分離、DiscoveryReadRole の権限・信頼ポリシー、中央側 3 ロール、StackSets 配布。→ 08 シート</t>
  </si>
  <si>
    <t>巡回フロー、受容した穴 2 つと補完レイヤー、monitoring.yaml 規約、モノリス対応、SCP。→ 05 / 06 / 07 / 09 シート</t>
  </si>
  <si>
    <t>データ契約</t>
  </si>
  <si>
    <t>台帳スキーマ、authPattern enum（6 値）、OpenAPI アノテーション、CloudWatch Metrics、4×4 真偽値表、Alert イベント形式。データ定義はこの資料を正とする。→ 04 / 07 シート</t>
  </si>
  <si>
    <t>静的解析ガイドライン（04-static-analysis-guidelines.md）・セキュリティ（05-security.md）・課金按分（03-billing-cost-allocation-rules.md）は本書から参照のみで、転記対象外。所在は同ディレクトリ。</t>
  </si>
  <si>
    <t>区分 A = 既存の設計図を描き直すもの。区分 B = 本書の表・記述を図化するもの（内容の追加はしない）。</t>
  </si>
  <si>
    <t>アプリチームの作業は 3 点のみ。監視への登録作業はない（中央の機構が自動で発見する）。</t>
  </si>
  <si>
    <t>AppId / Env / CostCenter / Owner を入力して払い出す。この製品には「認証が必ず有効な API」「Origin Protection」「必須タグ」があらかじめ組み込まれている。</t>
  </si>
  <si>
    <t>「このアプリを監視する」という宣言ファイル。リポジトリ直下に置いてコミットすれば監視対象となる。内容は下記 3. のテンプレートのとおり。</t>
  </si>
  <si>
    <t>認証が不要（誰でも呼べる）な endpoint にのみ x-synthetics-skip-auth-check: true を記述する。詳細は下記 4.（MON-1）。</t>
  </si>
  <si>
    <t>中央の発見 Lambda が 1 時間毎にリポジトリを巡回して自動で発見し、台帳に登録する。</t>
  </si>
  <si>
    <t>中央がリポジトリの openapi.yaml を読み取ってコピーする。</t>
  </si>
  <si>
    <t>monitoring.yaml には記述しない。共通基盤チームが台帳側で管理する（未設定の場合は全社デフォルト）。</t>
  </si>
  <si>
    <t>monitoring.yaml には記述しない。台帳側の中央管理とする。</t>
  </si>
  <si>
    <t>OpenAPI を更新してコミットすれば、次回巡回（最大 1 時間）で新しい endpoint も自動で検査対象になる。probe 側の改修は不要。</t>
  </si>
  <si>
    <t>必須。これが監視対象の宣言となる。</t>
  </si>
  <si>
    <t>API リポジトリの命名規約（例: *-api）に該当するのに存在しない場合、メタ不足アラートが発報される。</t>
  </si>
  <si>
    <t>認証方式を enum（6 種）から選択する。</t>
  </si>
  <si>
    <t>既定値 api-gw-jwt が使われ、Negative（未認証検査）のみ実施 + メタ不足アラートが発報される。</t>
  </si>
  <si>
    <t>CloudFront の URL を記述する（API Gateway の直 URL ではない）。</t>
  </si>
  <si>
    <t>検査不能のため、メタ不足アラートが発報される。</t>
  </si>
  <si>
    <t>監視対象はデプロイブランチ（既定 main）のみ。feature ブランチのコミットは対象外。</t>
  </si>
  <si>
    <t>monitoring.yaml はリポジトリ内にあるため、PR レビューで変更管理できる。</t>
  </si>
  <si>
    <t>ルール: 本機構は「記述のない endpoint はすべて認証必須」と判定する（default-deny）。したがって、認証なしで公開する endpoint には x-synthetics-skip-auth-check: true を必ず記述する。記述漏れの場合、正しく公開している endpoint でも「認証漏れ」として P1（Security 即時）のアラートが発報される。</t>
  </si>
  <si>
    <t>・「記述がない = 認証必須」とする理由: 「うっかり公開した endpoint」を必ず検知できる側に倒しているため。</t>
  </si>
  <si>
    <t>・公開印は、アプリチームが必ず記述する必要がある唯一の監視用アノテーション（他は任意）。</t>
  </si>
  <si>
    <t>・公開印を付した endpoint も、公開の妥当性は別途セキュリティレビューの対象とする（棚卸しは中央が実施）。</t>
  </si>
  <si>
    <t>4×4 分類 → SNS routing。LocalStack 3.8.1 で台帳から alertRouting.p1 を解決し SNS Publish まで検証済み</t>
  </si>
  <si>
    <t>静的解析ルール（cfn-guard 3 + Semgrep 3）</t>
  </si>
  <si>
    <t>フィクスチャ検証済み</t>
  </si>
  <si>
    <t>ローカル検証で実バグ 2 件を修正。静的解析自体は本機構のスコープ外（別領域）だが、本設計のローカル検証範囲に含む</t>
  </si>
  <si>
    <t>5. 実装状態（「検証済み」と「未実装」を混同しないための一覧）。本設計は机上でなくローカル環境で実際に走らせて検証している。</t>
  </si>
  <si>
    <t>解説・選択肢（回答記入用）</t>
  </si>
  <si>
    <t>【解説】インターネット境界（CloudFront+WAF）が他組織管理になるかの確定待ち。確定しても中央リソースは自社の共通基盤アカウントにあるため再設計は不要で、probe が境界を通る経路の運用調整のみ発生する。【回答】当方では決められない（ROSA 側 P-18 の確定待ち）。→ 確定日と結果を記入: ＿＿</t>
  </si>
  <si>
    <t>【解説】中央（共通基盤アカウント）が障害になると監視が全停止する。別リージョンに監視系の複製を併走させるか。障害中も「検査が止まるだけ」で本番アプリには影響しない。【選択肢】a) Phase 1 は無し。復旧後に M3 フル監査で追い付く（★）/ b) Phase 2 検討として残す / c) Phase 1 から複製を持つ　【→ 回答: ＿＿】</t>
  </si>
  <si>
    <t>【解説】ローカルで検証済みのロジックを、実 AWS（or SAM）で通しで動かす時期の話。決定事項ではなく実施タイミングのみ。【回答例】「発見 Lambda 実装（M-Q-17-4）完了後に実施」で足りる。【→ 回答: ＿＿】</t>
  </si>
  <si>
    <t>【解説】監視 Lambda を VPC 外に置いたため、外向き通信が組織のアウトバウンド統制（Network Firewall のドメインフィルタ）を通らない。これは社内ルール NW-2 の例外にあたるため、セキュリティ部門と境界管理の他組織から明示的な承認を得る必要がある。宛先が固定 3 種のみ・コードは中央管理という例外理由と代償統制の説明資料は「08_セキュリティ・IAM」シートの「VPC 外配置の判断」表がそのまま使える。【回答】承認取得タスク。承認者と取得日を記入: ＿＿</t>
  </si>
  <si>
    <t>【解説】AWS IAM 認証（SigV4 署名）の API に対する「正しい署名を付けたら通る」側の検査は未実装（Phase 2 計画）。未認証を弾く検査（Negative）は今でも可能。【回答】決定不要（Phase 2 実装タスク）。</t>
  </si>
  <si>
    <t>【解説】Cookie ログイン型アプリ（モノリス/BFF）の「正規ログインしたら見える」側の検査は、ブラウザ自動操作（Puppeteer）の実装が必要で未実装。未ログインを弾く検査（302 確認）は今でも可能。【回答】決定不要（Phase 2 実装タスク）。</t>
  </si>
  <si>
    <t>【解説】検査用の正規トークンが漏れても実データに一切届かないようにする強化策。認証基盤（Keycloak）側に「検査専用テナント/合成データしか読めないスコープ」を作ってもらう必要がある（現在はスコープ A=全 API 読み取り専用で開始）。【回答】認証基盤チームへの引き渡し事項。依頼日と回答を記入: ＿＿</t>
  </si>
  <si>
    <t>【解説】台帳と spec を置く S3 バケットの保全レベル。Versioning（誤更新を履歴から戻せる）は有効済み。加えて別リージョンへの複製（レプリケーション）まで要るか。データは巡回で再生成可能なため失っても再構築できる。【選択肢】a) Versioning のみ（★）/ b) クロスリージョンレプリケーションも追加　【→ 回答: ＿＿】</t>
  </si>
  <si>
    <t>【解説】実装済みコード registry.js が旧 DynamoDB 読み取りのままで、S3 台帳への切替改修が必要。【回答】決定不要（実装タスク。発見 Lambda 実装 M-Q-17-4 と同時に対応）。</t>
  </si>
  <si>
    <t>【解説】alertRouting とは「このアプリのアラートをどのチーム（SNS トピック）に届けるか」の宛先設定（台帳の 1 項目）。設定が無いアプリは全社デフォルトのトピックに届く 2 段構え。全アプリに個別設定を必須にするか、デフォルト運用で始めるかの選択。【選択肢】a) 全社デフォルトで開始し、必要なアプリだけ個別設定（★・運用が軽い）/ b) 全アプリ個別設定を必須にする（宛先は正確だが登録運用が重い）【→ 回答: ＿＿】</t>
  </si>
  <si>
    <t>【解説】S3 Object Lock = 一定期間削除・上書きを不可能にする改ざん防止機能。監査証跡レベルの保全が必要かどうか。台帳・spec は運用データであり Versioning で通常は十分。【選択肢】a) 不要（Versioning で足りる ★）/ b) 必要（監査要件がある場合）【→ 回答: ＿＿】</t>
  </si>
  <si>
    <t>【解説】ローカルテスト環境（LocalStack）専用の接続オプションをコードに持たせるかという実装細目。本番動作には無関係。【回答】決定不要（実装時に判断）。</t>
  </si>
  <si>
    <t>【解説】M-Q-11-2 / 11-3 と同じ Phase 2 実装群（SigV4 検査・Cookie ログイン検査・検査後のデータ後始末処理）。【回答】決定不要（Phase 2 実装タスク）。</t>
  </si>
  <si>
    <t>【解説】M-Q-10-1 と同一論点（重複）。回答は M-Q-10-1 に合わせる。【→ 回答: M-Q-10-1 と同じ】</t>
  </si>
  <si>
    <t>【解説】将来、新しい認証方式（authPattern）が増えたときに検査コードをどう拡張するかの方針メモ。【回答】決定不要（実装ガイドラインとして実装時に整備）。</t>
  </si>
  <si>
    <t>【解説】アラートの最終到達先。SNS トピックまでは設計済みで、その先を何に繋ぐか。P1=重大（認証漏れ・即時対応）、P2=構成系（24h）、P3=アプリ通知。【選択肢】a) P1=Slack+メール、P2/P3=Slack（Chatbot 連携）/ b) 全部メール（暫定回答済み ★）/ c) P1 のみ PagerDuty 等のオンコールツール　【→ 回答: ＿＿】</t>
  </si>
  <si>
    <t>【解説】P1（認証漏れ）検知時に、通知だけでなく自動で API を遮断・ロールバックまでするか。誤検知時に正常なサービスを止めるリスクとのトレードオフ。【選択肢】a) Phase 1 は通知まで。遮断は手動 Runbook（★）/ b) 自動遮断を検討する　【→ 回答: ＿＿】</t>
  </si>
  <si>
    <t>【解説】同じ認証漏れが直らない間、1 時間ごとの巡回のたびに同じアラートが再送される。同一内容を一定時間抑制（dedup）するか。【選択肢】a) 同一 アプリ×endpoint×重大度 は 24h 抑制 / b) 抑制なし（毎回発報）/ 補足: 通知先チームの希望も影響するため要ヒアリング（暫定: ヒアリング後に決定 ★）【→ 回答: ＿＿】</t>
  </si>
  <si>
    <t>【解説】読み取りロール（DiscoveryReadRole）を StackSets でどの範囲のアカウントに配るか。M-Q-17-2 の巡回対象範囲と同じ回答になる。【選択肢】a) アプリ系 OU のみ（★・暫定回答済み）/ b) Organizations 全体 / c) 明示リスト　【→ 回答: ＿＿】</t>
  </si>
  <si>
    <t>【解説】アカウント数が増えたときの巡回 API 呼び出しの流量制御（並列数・リトライ）。【回答】決定不要（実装タスク）。</t>
  </si>
  <si>
    <t>【解説】読み取りロールが読めるリポジトリを命名規約（例 *-api）で絞るか、アカウント内全リポジトリ可にするか。絞ると安全だが、規約外リポジトリは巡回に映らなくなる。M-Q-17-3 の命名規約の決定に依存。【選択肢】a) 全リポジトリ読み取り可（発見漏れ優先 ★）/ b) 命名規約で Resource を限定（最小権限優先）【→ 回答: ＿＿】</t>
  </si>
  <si>
    <t>【解説】Service Catalog 製品を通さない API GW の直接作成・変更を SCP（組織ポリシー）で禁止するか。禁止すれば「変更は必ず git 経由」になり、git 監視の唯一の穴（コンソール直変更）を入口で塞げる。ただし全社 SCP は調整コストが大きい。【選択肢】a) Phase 1 から導入 / b) Phase 2 で導入。まず Config Rules+M3 で運用（★・暫定回答済み）/ c) 導入しない　【→ 回答: ＿＿】</t>
  </si>
  <si>
    <t>【解説】巡回がどうやって対象アカウント一覧を得るか。技術制約: アカウント一覧 API（ListAccounts）は Organizations 管理アカウントでしか呼べないため、方式は 2 択。【選択肢】a) 管理アカウントに一覧取得用の読み取りロールを置き AssumeRole（新規アカウント自動追随 ★・暫定回答済み）/ b) 静的リスト（SSM に手動管理。管理アカウントに触らない代わり追加時に手作業）。あわせて範囲: アプリ系 OU のみ（暫定回答済み）/ 全体 / 明示リスト　【→ 回答: 方式＿＿・範囲＿＿】</t>
  </si>
  <si>
    <t>【解説】「監視対象アプリのリポジトリ」を名前で見分ける規約（例: *-api で終わる）を決めるか。規約があると「API リポジトリなのに monitoring.yaml を置き忘れている」を検出してアラートできる。規約が無いと置き忘れ＝監視されないまま気付けない。【選択肢】a) 命名規約を採用（例 *-api。★・暫定回答済み。具体的な命名パターンを記入）/ b) 規約なし　【→ 回答: ＿＿ / 命名パターン: ＿＿】</t>
  </si>
  <si>
    <t>【解説】中核コンポーネント「発見 Lambda」の実装と PoC。設計は確定済みで残るは実装のみ。【回答】決定不要（Phase 3/4 実装タスク）。</t>
  </si>
  <si>
    <t>【解説】アプリ廃止時の流れ。リポジトリ削除を巡回が検知→監視停止(enabled=false)+棚卸しアラート→人が確認して台帳から削除、という運用で良いか。【回答例】「検知→enabled=false→30 日棚卸し→手動削除」を標準運用とする。【→ 回答: ＿＿】</t>
  </si>
  <si>
    <t>【解説】リポジトリの API 仕様書と本番の実態のズレ（デプロイ忘れ等）を、能動的に突合して検出するか。現状でも検査時に 404/警告として自然に表面化する。【選択肢】a) 能動検出しない（実測での顕在化に任せる ★）/ b) M3 実行時に本番 API 定義と突合する　【→ 回答: ＿＿】</t>
  </si>
  <si>
    <t>【解説】将来モード M2（重要 endpoint だけ常時ヘルスチェック）の話。どの endpoint が「重要」かはアプリチームと会話しないと決められないため保留中。【回答】決定不要（Phase 2。アプリヒアリング後）。</t>
  </si>
  <si>
    <t>【解説】手動フル監査（M3）を実行できる人の範囲。【選択肢】a) 共通基盤チームのみ（★・暫定回答済み）/ b) アプリチームも自アプリ分のみ実行可　【→ 回答: ＿＿】</t>
  </si>
  <si>
    <t>解決: M1=巡回差分（1h）/ M3=手動の 2 モードに再設計済みで、定期 probe 自体が存在しない（ADR-061）</t>
  </si>
  <si>
    <t>解消: monitoring.yaml に endpoint リストを直接列挙して代替可</t>
  </si>
  <si>
    <t>アプリチームに認証を実装させたうえで、その実装漏れを中央で継続検知する仕組み（＝認証実装確認処理）の詳細設計。ガイドライン章が「アプリチームが守るルール」を定めるのに対し、本書は共通基盤チームが運用する中央機構を定める。</t>
  </si>
  <si>
    <t>Private は probe 用 VPC + TGW（Phase 2）</t>
  </si>
  <si>
    <t>要 PoC 項目をコード内 TODO + 設計書に明示する</t>
  </si>
  <si>
    <t>ListAccounts で対象 App アカウントを列挙（対象 OU で絞込可）。※ 列挙方式は未決 M-Q-17-2（organizations:ListAccounts は Organizations 管理アカウント（または delegated admin）限定のため、共通基盤アカウントの Lambda からの直接呼び出しは不可。案 a なら管理アカウントの列挙用ロールへの sts:AssumeRole、案 b なら ssm:GetParameter の静的リストに置換）</t>
  </si>
  <si>
    <t>organizations:ListAccounts / sts:AssumeRole（各 App の DiscoveryReadRole）/ s3:PutObject・GetObject・ListBucket（Monitoring Registry の registry/* + openapi/*）/ lambda:InvokeFunction（認証実装チェック Lambda）。※ 列挙方式は未決 M-Q-17-2（organizations:ListAccounts は Organizations 管理アカウント（または delegated admin）限定で、共通基盤アカウントからの直接呼び出しは不可。案 a なら管理アカウントの列挙用ロールへの sts:AssumeRole、案 b なら ssm:GetParameter に置換する）</t>
  </si>
  <si>
    <t>true</t>
  </si>
  <si>
    <t>false</t>
  </si>
  <si>
    <t>インターネット経路には接続しない（非経由。NW-2 の明示的例外、M-Q-10-3）</t>
  </si>
  <si>
    <t>なお、コンソールで直接 API の設定を変更した場合は git に現れないため、本巡回では検知できない。その分は Config Rules（L2）と手動フル監査（M3）、および SCP で補完する（SCP の導入は判断中）。</t>
  </si>
  <si>
    <t>Organizations 列挙 + 読み取り AssumeRole + コミット差分判定</t>
  </si>
  <si>
    <t>4×4 分類に基づく SNS Publish</t>
  </si>
  <si>
    <t>STS / AssumeRole</t>
  </si>
  <si>
    <t>AWS Security Token Service =「一時的な認証情報の発行所」。AssumeRole で他アカウントのロール（例: DiscoveryReadRole）を引き受け、期限付き・最小権限の一時キーを得る。恒久キーを配らずにクロスアカウント読み取りを実現する標準手段。</t>
  </si>
  <si>
    <t>図14 発報フロー（2 系統）</t>
  </si>
  <si>
    <t>即時系: 認証実装チェック Lambda → Alert Router（classify 済みイベント Invoke）→ S3 registry/ で alertRouting 解決 → SNS P1/P2/P3 → 各チーム配信。保険系: 認証実装チェック Lambda → CloudWatch PutMetricData → AuthCheckCritical &gt; 0 アラーム → SNS（P1・宛先固定）。即時系が落ちても検知を失わない構図と、すべて共通基盤アカウント内で完結し境界・App アカウントが関与しないことを明示</t>
  </si>
  <si>
    <t>詳細通信フロー（構成図作成用：アカウント × リソース × 経由エンドポイント）</t>
  </si>
  <si>
    <t>通信経路 A〜D を、構成図に矢印を引ける粒度（ステップごとの発信元 / 宛先 / 経由エンドポイント / 認証）まで分解する。リージョンは例として ap-northeast-1。VPC 外 Lambda の通信は AWS API 宛 = AWS 網内、インターネット宛（probe / token）= Lambda マネージド egress から直接（アウトバウンド境界は非経由）。</t>
  </si>
  <si>
    <t>F1. git 連携フロー（開発者 push → 巡回検知 → M1 起動）</t>
  </si>
  <si>
    <t>通信</t>
  </si>
  <si>
    <t>発信元（アカウント / リソース）</t>
  </si>
  <si>
    <t>宛先（アカウント / リソース）</t>
  </si>
  <si>
    <t>経由・エンドポイント</t>
  </si>
  <si>
    <t>プロトコル・認証</t>
  </si>
  <si>
    <t>W1</t>
  </si>
  <si>
    <t>git push</t>
  </si>
  <si>
    <t>App / 開発者端末・CI（CodeBuild 等）</t>
  </si>
  <si>
    <t>App / CodeCommit リポジトリ</t>
  </si>
  <si>
    <t>git-codecommit.ap-northeast-1.amazonaws.com（git HTTPS）</t>
  </si>
  <si>
    <t>443、IAM 認証（git-remote-codecommit / HTTPS Git 認証情報）</t>
  </si>
  <si>
    <t>W2</t>
  </si>
  <si>
    <t>定期起動</t>
  </si>
  <si>
    <t>共通基盤 / EventBridge Scheduler</t>
  </si>
  <si>
    <t>共通基盤 / 発見 Lambda</t>
  </si>
  <si>
    <t>AWS サービス間（Scheduler → lambda.ap-northeast-1.amazonaws.com）</t>
  </si>
  <si>
    <t>Scheduler 実行ロールで Invoke</t>
  </si>
  <si>
    <t>W3</t>
  </si>
  <si>
    <t>対象アカウント列挙</t>
  </si>
  <si>
    <t>方式未確定（M-Q-17-2）</t>
  </si>
  <si>
    <t>※ organizations:ListAccounts は管理アカウント（or delegated admin）でしか呼べない → 案 a: 管理アカウントの列挙用ロールへ AssumeRole（organizations.us-east-1.amazonaws.com、グローバル）/ 案 b: 静的リスト（SSM / 設定ファイル）</t>
  </si>
  <si>
    <t>443、IAM</t>
  </si>
  <si>
    <t>W4</t>
  </si>
  <si>
    <t>AssumeRole</t>
  </si>
  <si>
    <t>共通基盤 / 発見 Lambda（DiscoveryLambdaRole）</t>
  </si>
  <si>
    <t>App / DiscoveryReadRole</t>
  </si>
  <si>
    <t>sts.ap-northeast-1.amazonaws.com（リージョナル STS）</t>
  </si>
  <si>
    <t>443、sts:AssumeRole + ExternalId</t>
  </si>
  <si>
    <t>W5</t>
  </si>
  <si>
    <t>リポジトリ列挙・先端取得</t>
  </si>
  <si>
    <t>共通基盤 / 発見 Lambda（DiscoveryReadRole の一時クレデンシャル）</t>
  </si>
  <si>
    <t>App / CodeCommit（コントロールプレーン）</t>
  </si>
  <si>
    <t>codecommit.ap-northeast-1.amazonaws.com</t>
  </si>
  <si>
    <t>443、ListRepositories / GetBranch</t>
  </si>
  <si>
    <t>W6</t>
  </si>
  <si>
    <t>台帳読取</t>
  </si>
  <si>
    <t>共通基盤 / Monitoring Registry S3 registry/</t>
  </si>
  <si>
    <t>s3.ap-northeast-1.amazonaws.com</t>
  </si>
  <si>
    <t>443、GetObject（同一アカウント IAM）</t>
  </si>
  <si>
    <t>W7</t>
  </si>
  <si>
    <t>差分・ファイル取得</t>
  </si>
  <si>
    <t>App / CodeCommit</t>
  </si>
  <si>
    <t>443、GetDifferences / GetFile</t>
  </si>
  <si>
    <t>W8</t>
  </si>
  <si>
    <t>台帳更新 + spec 配置</t>
  </si>
  <si>
    <t>共通基盤 / Monitoring Registry S3（registry/ + openapi/）</t>
  </si>
  <si>
    <t>443、PutObject</t>
  </si>
  <si>
    <t>W9</t>
  </si>
  <si>
    <t>M1 起動</t>
  </si>
  <si>
    <t>共通基盤 / 認証実装チェック Lambda</t>
  </si>
  <si>
    <t>lambda.ap-northeast-1.amazonaws.com</t>
  </si>
  <si>
    <t>443、lambda:InvokeFunction</t>
  </si>
  <si>
    <t>構成図のポイント: W1 は App アカウント内で完結（開発者 → repo）。W4 / W5 / W7 だけがアカウント跨ぎ（共通基盤 → App）で、すべて AWS API（インバウンド／アウトバウンド境界とも非経由）。W5 / W7 は App アカウントの DiscoveryReadRole の権限（codecommit read-only）で実行する。</t>
  </si>
  <si>
    <t>F2. 検査（probe）フロー — M1 / M3 の 1 実行</t>
  </si>
  <si>
    <t>台帳・spec 取得</t>
  </si>
  <si>
    <t>共通基盤 / Monitoring Registry S3</t>
  </si>
  <si>
    <t>s3.ap-northeast-1.amazonaws.com（M1 = 対象 1 件 Get / M3 = registry/ List → Get）</t>
  </si>
  <si>
    <t>クライアント資格情報取得</t>
  </si>
  <si>
    <t>共通基盤 / Secrets Manager（canary-central-readonly）</t>
  </si>
  <si>
    <t>secretsmanager.ap-northeast-1.amazonaws.com</t>
  </si>
  <si>
    <t>443、IAM（+ KMS）</t>
  </si>
  <si>
    <t>短命トークン取得（Positive 用）</t>
  </si>
  <si>
    <t>Broker（認証基盤）/ Keycloak 公開 /token</t>
  </si>
  <si>
    <t>Lambda マネージド egress → インターネット → 認証基盤の公開エンドポイント（認証基盤側の境界・経路はそちらの設計に従う）</t>
  </si>
  <si>
    <t>443、OAuth client_credentials</t>
  </si>
  <si>
    <t>P4</t>
  </si>
  <si>
    <t>Negative / Positive probe</t>
  </si>
  <si>
    <t>App / API GW・ALB（ただし直接ではない）</t>
  </si>
  <si>
    <t>Lambda マネージド egress → インターネット → ネットワーク監査 / アプリごとの CloudFront + WAF → Origin Protection（X-Origin-Verify + prefix list）→ App / API GW（execute-api リージョナル）or ALB</t>
  </si>
  <si>
    <t>443。Negative = 認証ヘッダなし / Positive = Bearer（P3 のトークン）</t>
  </si>
  <si>
    <t>P5</t>
  </si>
  <si>
    <t>メトリクス発行</t>
  </si>
  <si>
    <t>共通基盤 / CloudWatch Metrics（APIPlatform/AuthCheck）</t>
  </si>
  <si>
    <t>monitoring.ap-northeast-1.amazonaws.com</t>
  </si>
  <si>
    <t>443、PutMetricData</t>
  </si>
  <si>
    <t>P6</t>
  </si>
  <si>
    <t>検知イベント送付（severity ≠ OK 時）</t>
  </si>
  <si>
    <t>共通基盤 / Alert Router Lambda</t>
  </si>
  <si>
    <t>構成図のポイント: probe（P4）だけがインバウンド境界（ネットワーク監査アカウントの CloudFront + WAF）を通る。P4 の最終宛先は App アカウントだが、矢印は必ず CloudFront を経由させて描く（直接 App へ引かない）。P3 / P4 はアウトバウンド境界（NWFW）を通らない（明示的例外）。</t>
  </si>
  <si>
    <t>F3. 発報（アラート）フロー — 2 系統</t>
  </si>
  <si>
    <t>【図14 発報フロー（2 系統） 挿入位置】</t>
  </si>
  <si>
    <t>描くべき内容: 即時系（N1 classify 済みイベント Invoke → N2 alertRouting 解決（S3 registry/ Get）→ N3 SNS P1/P2/P3 Publish → N4 各チーム配信）と、保険系（N5 PutMetricData → CloudWatch AuthCheckCritical → N6 アラーム（&gt;0）→ SNS P1）の 2 系統を両方描く</t>
  </si>
  <si>
    <t>（この枠に図を貼り込む。即時系が落ちても検知を失わない構図と、すべて共通基盤アカウント内で完結し境界・App アカウントが関与しないことを明示する）</t>
  </si>
  <si>
    <t>発信元</t>
  </si>
  <si>
    <t>宛先</t>
  </si>
  <si>
    <t>N1</t>
  </si>
  <si>
    <t>検知イベント（即時系）</t>
  </si>
  <si>
    <t>共通基盤 / Alert Router</t>
  </si>
  <si>
    <t>4×4 分類済み（Alert イベント形式）</t>
  </si>
  <si>
    <t>N2</t>
  </si>
  <si>
    <t>通知先解決</t>
  </si>
  <si>
    <t>共通基盤 / S3 registry/{appId}/{env}.json</t>
  </si>
  <si>
    <t>alertRouting → 無ければ環境変数デフォルト</t>
  </si>
  <si>
    <t>N3</t>
  </si>
  <si>
    <t>通知発行</t>
  </si>
  <si>
    <t>共通基盤 / SNS トピック P1 / P2 / P3</t>
  </si>
  <si>
    <t>sns.ap-northeast-1.amazonaws.com</t>
  </si>
  <si>
    <t>severity で振り分け（P1 = Security 即時 / P2 = Platform 24h / P3 = App）</t>
  </si>
  <si>
    <t>N4</t>
  </si>
  <si>
    <t>配信</t>
  </si>
  <si>
    <t>共通基盤 / SNS</t>
  </si>
  <si>
    <t>各チーム（メール / AWS Chatbot → Slack 等）</t>
  </si>
  <si>
    <t>SNS サブスクリプション</t>
  </si>
  <si>
    <t>接続方式は M-Q-15-1</t>
  </si>
  <si>
    <t>N5</t>
  </si>
  <si>
    <t>メトリクス（保険系）</t>
  </si>
  <si>
    <t>共通基盤 / CloudWatch</t>
  </si>
  <si>
    <t>P5 と同一</t>
  </si>
  <si>
    <t>N6</t>
  </si>
  <si>
    <t>アラーム発報</t>
  </si>
  <si>
    <t>共通基盤 / CloudWatch アラーム（AuthCheckCritical &gt; 0）</t>
  </si>
  <si>
    <t>共通基盤 / SNS（P1）</t>
  </si>
  <si>
    <t>CloudWatch → SNS（サービス間）</t>
  </si>
  <si>
    <t>即時系（N1〜N4）が落ちても検知を失わない保険</t>
  </si>
  <si>
    <t>構成図のポイント: 発報は即時系（N1〜N4: Alert Router 経由・アプリ別の宛先解決あり）と保険系（N5〜N6: メトリクス → アラーム・宛先固定）の 2 系統を両方描く。すべて共通基盤アカウント内で完結し、境界・App アカウントは関与しない。</t>
  </si>
  <si>
    <t>3c70968e6148d4cab5376a8a53d7da1c2912d2e2</t>
  </si>
  <si>
    <t>cf9e9ee0c3c05eb079e9a4577ce09ccc0b99a353</t>
  </si>
  <si>
    <t>075f8473efcdf80c6a6f90b1f69b0b475cd24a62</t>
  </si>
  <si>
    <t>0405bbcffc0ad32061c43245950013d881c1fade</t>
  </si>
  <si>
    <t>5592544f07a867d3537409ad9f8a4035caa85fac</t>
  </si>
  <si>
    <t>目的・スコープ、全体骨格、統合構成、AWS リソース構成と通信経路 A〜D、詳細通信フロー（W1〜W9 / P1〜P6 / N1〜N6）、リソース一覧、用語表。→ 02 / 03 / 04 / 05 / 08 シート</t>
  </si>
  <si>
    <t>0.2</t>
  </si>
  <si>
    <t>現行仕様のみを断定形で記述する。設計に至った経緯は本文に書かず ADR-061 / ADR-059 を参照する。参照元資料のタイトル・所在は「13_出典一覧」シートにまとめる。</t>
  </si>
  <si>
    <t>2026-08-18</t>
  </si>
  <si>
    <t>レビュー指摘を反映（定めることの重複解消、D-M-14-4「probe 用 VPC」への修正、D-M-14-5 の判断追記、ListAccounts の未決制約注記、真偽値表記の統一、Runtime 表の 3 Lambda 化 ほか）。詳細通信フロー（W / P / N）、用語「STS / AssumeRole」、図14 発報フロー（2 系統）を追加</t>
  </si>
  <si>
    <t/>
  </si>
  <si>
    <t>M-Q-11-5</t>
  </si>
  <si>
    <t>probe 識別ヘッダの WAF 許可ルールを境界管理側（ネットワーク監査アカウント）へ依頼・合意。M-Q-10-3（NW-2 例外承認）と同じ相手のため同梱で調整可</t>
  </si>
  <si>
    <t>【解説】probe はインバウンド境界の WAF を通過するため、WAF（Bot Control / ジオ制限等）が probe 自体を 403 でブロックすると、認証レイヤーに到達していないのに「401/403 = 認証は正常」と誤判定する（偽陰性）、または「認証逆転 CRITICAL」と誤報する。対策として probe に固定の識別ヘッダ（例 X-Auth-Probe）を付け、各アプリの WAF でレート／Bot Control ルールの対象外とする許可ルールを境界管理側に入れてもらう必要がある。M-Q-10-3（NW-2 例外承認）と依頼先が同じため同梱で調整できる。【回答】依頼・合意タスク。依頼日と合意内容を記入: ＿＿</t>
  </si>
  <si>
    <t>M-Q-18-5</t>
  </si>
  <si>
    <t>前提規模の確定（対象アカウント数等）</t>
  </si>
  <si>
    <t>解決: Phase 1 の対象は約 3 アカウント。発見 Lambda は単一実行で Lambda 15 分制限に十分な余裕があり、fan-out 分割への移行は不要（規模拡大時に再評価）</t>
  </si>
  <si>
    <t>実行方式</t>
  </si>
  <si>
    <t>mode=full は台帳を List した後、アプリ単位に自分自身を mode=delta 相当で fan-out invoke する（1 Lambda 実行 = 1 アプリ）。全量を 1 実行で回さないため、アプリ数が増えても Lambda 15 分制限に当たらない</t>
  </si>
  <si>
    <t>8. 運用設計（メタ監視・エラー処理・スケール上限）</t>
  </si>
  <si>
    <t>監視の空白 = 認証漏れの検知空白。監視系自身の停止・失敗を、被監視系（AuthCheck 系メトリクス）とは別系統で検知する。通知先はいずれも P2（Platform）とする（監視系の障害はアプリの障害ではないため）。</t>
  </si>
  <si>
    <t>8.1 メタ監視 —「巡回が止まっていること」を検知する</t>
  </si>
  <si>
    <t>検知対象</t>
  </si>
  <si>
    <t>アラーム条件（初期値）</t>
  </si>
  <si>
    <t>MM-1</t>
  </si>
  <si>
    <t>巡回の停止（最重要）</t>
  </si>
  <si>
    <t>発見 Lambda が巡回成功時に DiscoveryLastSuccess メトリクス（Count=1）を emit</t>
  </si>
  <si>
    <t>2 時間欠損（= 巡回 2 回分未実行）で発報</t>
  </si>
  <si>
    <t>MM-2</t>
  </si>
  <si>
    <t>発見 Lambda の失敗</t>
  </si>
  <si>
    <t>Lambda 標準 Errors / Scheduler の起動失敗</t>
  </si>
  <si>
    <t>Errors ≥ 1</t>
  </si>
  <si>
    <t>MM-3</t>
  </si>
  <si>
    <t>一部アカウントの巡回失敗</t>
  </si>
  <si>
    <t>DiscoveryAccountErrors メトリクス（失敗アカウント数）</t>
  </si>
  <si>
    <t>≥ 1（8.2 の部分失敗と連動）</t>
  </si>
  <si>
    <t>MM-4</t>
  </si>
  <si>
    <t>検査 Lambda の失敗</t>
  </si>
  <si>
    <t>Lambda 標準 Errors + 非同期 invoke の DLQ（SQS）</t>
  </si>
  <si>
    <t>Errors ≥ 1 or DLQ 滞留 ≥ 1</t>
  </si>
  <si>
    <t>MM-5</t>
  </si>
  <si>
    <t>Alert Router の失敗</t>
  </si>
  <si>
    <t>throw → リトライ / DLQ</t>
  </si>
  <si>
    <t>DLQ 滞留 ≥ 1</t>
  </si>
  <si>
    <t>保険系アラーム（AuthCheckCritical &gt; 0）は「検知した結果の発報」、本節は「検知できていない状態の発報」で役割が異なる。両方そろって初めて検知網が閉じる。</t>
  </si>
  <si>
    <t>各 Lambda のログはログ・監視ガイドライン（OBS-1〜4）に準拠（実行 ID を相関 ID として出力、トークン・コミット内容はマスク、保持期間明示）。</t>
  </si>
  <si>
    <t>8.2 エラー処理・リトライ・冪等性</t>
  </si>
  <si>
    <t>箇所</t>
  </si>
  <si>
    <t>方針</t>
  </si>
  <si>
    <t>発見 Lambda の巡回</t>
  </si>
  <si>
    <t>アカウント単位で try-catch し、1 アカウントの失敗（AssumeRole 不可・スロットリング等）で全体を止めない。失敗数を DiscoveryAccountErrors で emit（MM-3）し、次回巡回で自然リトライ</t>
  </si>
  <si>
    <t>lastCheckedCommitId の更新タイミング</t>
  </si>
  <si>
    <t>M1 起動が成功した後にのみ更新する。途中失敗時は据え置かれ、次回巡回が同じ差分を再検知する（at-least-once）。probe は読み取り検査で冪等のため重複実行は無害</t>
  </si>
  <si>
    <t>発見 → 検査の invoke</t>
  </si>
  <si>
    <t>非同期（Event invoke）。Lambda 標準の自動リトライ（2 回）+ DLQ（SQS）を設定（MM-4）。同期にしないのは、1 アプリの検査失敗で巡回全体を巻き込まないため</t>
  </si>
  <si>
    <t>検査 Lambda 内の endpoint 失敗</t>
  </si>
  <si>
    <t>endpoint 単位で継続（1 endpoint のタイムアウトで残りを打ち切らない）。接続不能は 4×4 の WARN（構成）系に分類</t>
  </si>
  <si>
    <t>1 件でも失敗したら throw → リトライ / DLQ</t>
  </si>
  <si>
    <t>CodeCommit スロットリング</t>
  </si>
  <si>
    <t>CodeCommit API はアカウント単位のレート制限あり。SDK 標準リトライ（指数バックオフ）+ 発見 Lambda の直列処理で吸収。並列化する場合の制御は M-Q-16-2</t>
  </si>
  <si>
    <t>8.3 スケール上限（Lambda 15 分制限）と fan-out 方針</t>
  </si>
  <si>
    <t>Lambda の最大実行時間は 15 分。1 実行に詰め込まない構造にする。</t>
  </si>
  <si>
    <t>実行</t>
  </si>
  <si>
    <t>1 実行の範囲</t>
  </si>
  <si>
    <t>15 分制限への設計</t>
  </si>
  <si>
    <t>発見 Lambda（巡回）</t>
  </si>
  <si>
    <t>全アカウント走査（現行）</t>
  </si>
  <si>
    <t>処理はアカウント単位の読み取り（数 API 呼び出し / repo）で軽く、Phase 1 の前提規模（対象約 3 アカウント）では 1 実行に十分収まる。収まらない規模に達したら親（列挙のみ）/ 子（1 アカウント処理）の fan-out に分割する（構造は M3 と同型。閾値監視は Lambda Duration アラームで前倒し検知）</t>
  </si>
  <si>
    <t>検査 Lambda（M1）</t>
  </si>
  <si>
    <t>1 アプリの全 endpoint</t>
  </si>
  <si>
    <t>20 endpoint × 2 probe × 数秒でも数分オーダー。1 アプリ = 1 実行なので endpoint 数が極端でない限り収まる</t>
  </si>
  <si>
    <t>検査 Lambda（M3）</t>
  </si>
  <si>
    <t>台帳 List → アプリ単位に fan-out</t>
  </si>
  <si>
    <t>全量を 1 実行で回さないため上限に当たらない</t>
  </si>
  <si>
    <t>前提: 表の 401/403 は「アプリの認証レイヤーが返した」ものであること。WAF が probe をブロックした 403 は別扱い（WARN「境界でブロック」。下記 10.）。</t>
  </si>
  <si>
    <t>10. WAF 干渉と誤判定の防止</t>
  </si>
  <si>
    <t>probe はインバウンド境界の WAF を通過する。WAF のルール（レートベース / Bot Control / ジオ制限等）が probe 自体をブロックすると、応答コードが同じ 403 でも意味がまったく違うため、2 種類の誤判定が起きる。</t>
  </si>
  <si>
    <t>WAF が probe をブロックすると</t>
  </si>
  <si>
    <t>4×4 での素朴な解釈</t>
  </si>
  <si>
    <t>実際</t>
  </si>
  <si>
    <t>Negative probe が WAF 403</t>
  </si>
  <si>
    <t>「401/403 = 認証は正常」</t>
  </si>
  <si>
    <t>認証まで到達していない</t>
  </si>
  <si>
    <t>偽陰性（認証漏れがあっても OK 判定）</t>
  </si>
  <si>
    <t>Positive probe が WAF 403</t>
  </si>
  <si>
    <t>「Neg 2xx + Pos 403 = 認証逆転 CRITICAL」等</t>
  </si>
  <si>
    <t>認証は正常、WAF が弾いただけ</t>
  </si>
  <si>
    <t>誤 CRITICAL（誤報）</t>
  </si>
  <si>
    <t>段</t>
  </si>
  <si>
    <t>1（主対策）</t>
  </si>
  <si>
    <t>probe の識別と WAF 許可</t>
  </si>
  <si>
    <t>probe は固定の識別ヘッダ（例 X-Auth-Probe: &lt;secret&gt;）を付与し、各アプリの WAF に「この識別を持つリクエストは Bot Control / レートルールの対象外」とする許可ルールを入れる（Origin Protection の X-Origin-Verify と同じ発想）。WAF は境界管理側のため設定依頼が必要（M-Q-11-5）。probe は変更時のみ・低頻度なのでレートルールには通常かからないが、Bot Control / ジオ制限は明示許可がないと誤爆し得る</t>
  </si>
  <si>
    <t>2（副対策）</t>
  </si>
  <si>
    <t>classify 側の防御</t>
  </si>
  <si>
    <t>WAF ブロック応答は API GW / アプリの 401/403 と応答の形が異なる（CloudFront / WAF 由来のエラーボディ・ヘッダ）。classify は WAF ブロックと判定できた場合、OK / CRITICAL ではなく WARN「probe が境界でブロックされた（テスト構成問題）」に分類し、Smoke test にも境界通過確認を含める</t>
  </si>
  <si>
    <t>原則: 「403 だから認証は効いている」とは限らない。probe が認証レイヤーに到達したことを確かめて初めて Negative の 401/403 を「正常」と判定できる。</t>
  </si>
  <si>
    <t>D-M-18-8</t>
  </si>
  <si>
    <t>メタ監視を被監視系と別系統で設計（巡回鮮度 DiscoveryLastSuccess の 2h 欠損アラーム + Lambda Errors + DLQ 滞留。通知は P2）</t>
  </si>
  <si>
    <t>監視の空白 = 検知の空白。保険系（AuthCheckCritical）は「検知結果」、メタ監視は「検知不能状態」の発報で役割が異なる</t>
  </si>
  <si>
    <t>D-M-18-9</t>
  </si>
  <si>
    <t>at-least-once + 冪等（lastCheckedCommitId は M1 起動成功後のみ更新、発見 → 検査は非同期 invoke + DLQ、アカウント単位の部分失敗分離）。M3 と大規模巡回はアプリ / アカウント単位の fan-out</t>
  </si>
  <si>
    <t>Lambda 15 分制限に構造で当たらない。probe は読み取り検査で重複無害</t>
  </si>
  <si>
    <t>最新確認コミット</t>
  </si>
  <si>
    <t>確認日時</t>
  </si>
  <si>
    <t>未反映の更新</t>
  </si>
  <si>
    <t>第 10 / 12 / 13 / 17 章は、最新確認コミット時点で本書に反映済みの版（下表の blob SHA）より新しい。次版で取り込む。</t>
  </si>
  <si>
    <t>33606e278464829e43ac2a3fb21568e8f0fc176f</t>
  </si>
  <si>
    <t>ade0bc6518fab5a9245075c8633b68bb7c94e355</t>
  </si>
  <si>
    <t>blob SHA（本書に反映済みの版）</t>
  </si>
  <si>
    <t>検査シーケンス、Negative / Positive の Hybrid 検証と 4×4 分類、WAF 干渉と誤判定の防止、authPattern 別の検査方式、Positive トークン管理、環境別動作、ユースケース。→ 05 / 07 / 08 シート</t>
  </si>
  <si>
    <t>M1 巡回差分 / M3 手動フル（fan-out）/ M2 将来の定義、差分粒度、実行基盤、運用設計（メタ監視・エラー処理・スケール上限）、アラーム。実行モデルはこの章を正とする。→ 06 シート</t>
  </si>
  <si>
    <t>0.3</t>
  </si>
  <si>
    <t>未決に M-Q-11-5（probe 識別ヘッダの WAF 許可）を追加。M-Q-18-5 を解決済みへ。運用設計（メタ監視 MM-1〜5 / エラー処理・冪等性 / スケール上限と fan-out）、M3 の fan-out 実行方式、WAF 干渉と誤判定の防止、D-M-18-8・D-M-18-9 を追加</t>
  </si>
  <si>
    <t>タスク</t>
  </si>
  <si>
    <t>外部待ち</t>
  </si>
  <si>
    <t>開始予定</t>
  </si>
  <si>
    <t>終了予定</t>
  </si>
  <si>
    <t>W1-1</t>
  </si>
  <si>
    <t>◎</t>
  </si>
  <si>
    <t>W1-2</t>
  </si>
  <si>
    <t>W1-3</t>
  </si>
  <si>
    <t>W1-4</t>
  </si>
  <si>
    <t>W1-5</t>
  </si>
  <si>
    <t>W3-1</t>
  </si>
  <si>
    <t>W2 各</t>
  </si>
  <si>
    <t>W3-2</t>
  </si>
  <si>
    <t>W3-5</t>
  </si>
  <si>
    <t>W3-6</t>
  </si>
  <si>
    <t>W3-7</t>
  </si>
  <si>
    <t>W4-1</t>
  </si>
  <si>
    <t>Runbook 5 本</t>
  </si>
  <si>
    <t>W4-2</t>
  </si>
  <si>
    <t>W4-3</t>
  </si>
  <si>
    <t>W5-1</t>
  </si>
  <si>
    <t>W5-2</t>
  </si>
  <si>
    <t>W5-3</t>
  </si>
  <si>
    <t>W6-1</t>
  </si>
  <si>
    <t>W6-2</t>
  </si>
  <si>
    <t>W7-1</t>
  </si>
  <si>
    <t>リスク</t>
  </si>
  <si>
    <t>0.4</t>
    <phoneticPr fontId="2"/>
  </si>
  <si>
    <t>2026-08-19</t>
    <phoneticPr fontId="2"/>
  </si>
  <si>
    <t>「14_WBS_Phase3-4」シートを追加（Phase 3 実装〜リリースの残作業 WBS・工数見積 32 タスク、集計・リスク・スコープ外）</t>
  </si>
  <si>
    <t>WBS番号</t>
  </si>
  <si>
    <t>依存</t>
  </si>
  <si>
    <t>人時</t>
  </si>
  <si>
    <t>人日</t>
  </si>
  <si>
    <t>外部調整</t>
  </si>
  <si>
    <t>W1-6</t>
  </si>
  <si>
    <t>小計 W1</t>
  </si>
  <si>
    <t>基盤IaC</t>
  </si>
  <si>
    <t>暗号化方針の確認</t>
  </si>
  <si>
    <t>小計 W2-A</t>
  </si>
  <si>
    <t>監視(定型)</t>
  </si>
  <si>
    <t>アラーム: AuthCheckCritical &gt; 0</t>
  </si>
  <si>
    <t>アラーム: MM-1 巡回鮮度</t>
  </si>
  <si>
    <t>アラーム: 発見 Lambda Duration</t>
  </si>
  <si>
    <t>全アラームのテスト発報</t>
  </si>
  <si>
    <t>小計 W2-B</t>
  </si>
  <si>
    <t>機能実装</t>
  </si>
  <si>
    <t>テスト</t>
  </si>
  <si>
    <t>改修</t>
  </si>
  <si>
    <t>emit.js / 環境変数整理</t>
  </si>
  <si>
    <t>Portfolio・共有・Launch 制約</t>
  </si>
  <si>
    <t>製品起動検証</t>
  </si>
  <si>
    <t>クリティカルパス</t>
  </si>
  <si>
    <t>ドキュメント</t>
  </si>
  <si>
    <t>小計 W3</t>
  </si>
  <si>
    <t>運用</t>
  </si>
  <si>
    <t>ガイド</t>
  </si>
  <si>
    <t>W5-4</t>
  </si>
  <si>
    <t>管理</t>
  </si>
  <si>
    <t>小計 W4〜W7</t>
  </si>
  <si>
    <t>1. 前提条件</t>
  </si>
  <si>
    <t>前提</t>
  </si>
  <si>
    <t>規模: 対象約 3 アカウント（M-Q-18-5）、パイロットアプリ 1 本から</t>
  </si>
  <si>
    <t>流用資産: probe lib（27 PASS）/ alert-router（19 PASS）/ 旧 push 型 2 Lambda のロジック</t>
  </si>
  <si>
    <t>2. スコープ外</t>
  </si>
  <si>
    <t>3. 集計（人時・人日は 14_WBS の該当範囲を参照）</t>
  </si>
  <si>
    <t>人日（標準）</t>
  </si>
  <si>
    <t>min–max（人日）</t>
  </si>
  <si>
    <t>3.5–9</t>
  </si>
  <si>
    <t>4–8.5</t>
  </si>
  <si>
    <t>4. 別表: 定型監視の工数（区分 = 監視(定型) の横断集計）</t>
  </si>
  <si>
    <t>B2〜B8</t>
  </si>
  <si>
    <t>定型監視 計</t>
  </si>
  <si>
    <t>6. リスク（見積が膨らむ主要因）</t>
  </si>
  <si>
    <t>影響</t>
  </si>
  <si>
    <t>WAF 許可ルール調整の難航</t>
  </si>
  <si>
    <t>0.5</t>
    <phoneticPr fontId="2"/>
  </si>
  <si>
    <t>「14_WBS」を追加（明細 75 行・オートフィルタ・区分の入力規則）。集計はピボットで行うため小計行と集計シートは持たない</t>
  </si>
  <si>
    <t>NW-2 例外承認（M-Q-10-3）</t>
  </si>
  <si>
    <t>説明資料を VPC 外配置の判断の表（例外理由・代償統制）から作成し、セキュリティ部門と境界管理他組織へ説明・質疑・承認記録の取得まで</t>
  </si>
  <si>
    <t>probe 識別ヘッダの WAF 許可依頼（M-Q-11-5）</t>
  </si>
  <si>
    <t>ヘッダ名・secret 受け渡し方法・許可ルール仕様（Bot Control / レートルールの除外条件）を確定し、W1-1 と同じ相手に同梱で依頼・合意</t>
  </si>
  <si>
    <t>Organizations 委任ポリシー設定依頼（M-Q-17-2 案 c）</t>
  </si>
  <si>
    <t>organizations:ListAccounts を共通基盤アカウントへ委任する resource-based delegation policy の文面作成 → 管理アカウント側での適用依頼 → 共通基盤から ListAccounts が通ることの確認</t>
  </si>
  <si>
    <t>Keycloak canary クライアント発行依頼</t>
  </si>
  <si>
    <t>api-canary-probe（client_credentials・読み取り専用スコープ A）の作成依頼 → 発行後に /token で短命トークンが取得できることの受入確認</t>
  </si>
  <si>
    <t>通知運用ヒアリング</t>
  </si>
  <si>
    <t>P1/P2/P3 のメール宛先 DL の確定（M-Q-15-1=b）+ dedup（同一アラートの 24h 抑制）採否のヒアリングと決定記録（M-Q-15-3）</t>
  </si>
  <si>
    <t>補完レイヤーの前提確認</t>
  </si>
  <si>
    <t>L2 Config Rules（API GW AuthorizationType=NONE の drift 検知）が組織に実在するかを確認。無ければ穴①（コンソール直変更）の補完が不成立 → 追加実装 +8h を別途起票</t>
  </si>
  <si>
    <t>A1-d</t>
  </si>
  <si>
    <t>S3 バケット 設計</t>
  </si>
  <si>
    <t>Monitoring Registry のパラメータシート: バケット名 / Versioning / SSE 方式 / パブリックブロック / prefix 構成（registry/・openapi/）</t>
  </si>
  <si>
    <t>A1-i</t>
  </si>
  <si>
    <t>S3 バケット 実装</t>
  </si>
  <si>
    <t>A1-d の IaC 化・適用・設定実査</t>
  </si>
  <si>
    <t>A2-d</t>
  </si>
  <si>
    <t>S3 バケットポリシー 設計</t>
  </si>
  <si>
    <t>prefix 単位のアクセス制御表（誰が registry/*・openapi/* に何を許可されるか。3 ロール準拠）</t>
  </si>
  <si>
    <t>A2-i</t>
  </si>
  <si>
    <t>S3 バケットポリシー 実装</t>
  </si>
  <si>
    <t>ポリシー IaC 化・適用・拒否確認（無関係ロールで AccessDenied）</t>
  </si>
  <si>
    <t>A3-d</t>
  </si>
  <si>
    <t>S3 Lifecycle 設計</t>
  </si>
  <si>
    <t>noncurrent 版の失効日数（例 90 日）と対象 prefix の決定</t>
  </si>
  <si>
    <t>A3-i</t>
  </si>
  <si>
    <t>S3 Lifecycle 実装</t>
  </si>
  <si>
    <t>Lifecycle ルール適用・確認</t>
  </si>
  <si>
    <t>A4-d</t>
  </si>
  <si>
    <t>SNS 設計</t>
  </si>
  <si>
    <t>P1/P2/P3 のトピック名・サブスクリプション（W1-5 の DL）・アクセスポリシー</t>
  </si>
  <si>
    <t>A4-i</t>
  </si>
  <si>
    <t>SNS 実装</t>
  </si>
  <si>
    <t>3 トピック + メールサブスクリプション作成・確認メール承認</t>
  </si>
  <si>
    <t>A5-d</t>
  </si>
  <si>
    <t>SQS DLQ 設計</t>
  </si>
  <si>
    <t>A5-i</t>
  </si>
  <si>
    <t>SQS DLQ 実装</t>
  </si>
  <si>
    <t>2 キュー作成・Lambda 非同期設定への紐付け</t>
  </si>
  <si>
    <t>A6-d</t>
  </si>
  <si>
    <t>Scheduler 設計</t>
  </si>
  <si>
    <t>rate(1 hour)・リトライポリシー（回数 / 間隔）・Scheduler 側 DLQ・実行ロール</t>
  </si>
  <si>
    <t>A6-i</t>
  </si>
  <si>
    <t>Scheduler 実装</t>
  </si>
  <si>
    <t>EventBridge Scheduler 作成・発見 Lambda への紐付け・空振り起動確認</t>
  </si>
  <si>
    <t>A7-d</t>
  </si>
  <si>
    <t>IAM: DiscoveryLambdaRole 設計</t>
  </si>
  <si>
    <t>ポリシー明細（ListAccounts 委任呼出 / sts:AssumeRole / S3 registry・openapi / lambda:Invoke）と信頼ポリシー</t>
  </si>
  <si>
    <t>A7-i</t>
  </si>
  <si>
    <t>IAM: DiscoveryLambdaRole 実装</t>
  </si>
  <si>
    <t>IaC 化・適用</t>
  </si>
  <si>
    <t>A8-d</t>
  </si>
  <si>
    <t>IAM: CentralProbeRole 設計</t>
  </si>
  <si>
    <t>S3 Get/List・Secrets Get・CW Put・Invoke（Alert Router）の明細</t>
  </si>
  <si>
    <t>A8-i</t>
  </si>
  <si>
    <t>IAM: CentralProbeRole 実装</t>
  </si>
  <si>
    <t>A9-d</t>
  </si>
  <si>
    <t>IAM: alert-router-role 設計</t>
  </si>
  <si>
    <t>S3 GetObject（registry/*）・SNS Publish の明細</t>
  </si>
  <si>
    <t>A9-i</t>
  </si>
  <si>
    <t>IAM: alert-router-role 実装</t>
  </si>
  <si>
    <t>A10-i</t>
  </si>
  <si>
    <t>Secrets: canary-central-readonly 登録</t>
  </si>
  <si>
    <t>エントリ作成 + W1-4 で発行された client_id / secret の格納・probe からの取得確認</t>
  </si>
  <si>
    <t>A11-d</t>
  </si>
  <si>
    <t>Secrets: X-Auth-Probe 設計</t>
  </si>
  <si>
    <t>ヘッダ secret の命名・値生成方法・ローテ方針（WAF 側と値を合わせる運用）</t>
  </si>
  <si>
    <t>A11-i</t>
  </si>
  <si>
    <t>Secrets: X-Auth-Probe 実装</t>
  </si>
  <si>
    <t>エントリ作成・probe Lambda からの参照確認</t>
  </si>
  <si>
    <t>A12-i</t>
  </si>
  <si>
    <t>Secrets / S3 の KMS（AWS マネージドで足りるか）の判断記録と設定</t>
  </si>
  <si>
    <t>A13-d</t>
  </si>
  <si>
    <t>タグ + Budgets 設計</t>
  </si>
  <si>
    <t>監視系リソース自身への必須タグ値（app-id 等、BL-1）と月次 Budget 額・通知先（BL-2）</t>
  </si>
  <si>
    <t>A13-i</t>
  </si>
  <si>
    <t>タグ + Budgets 実装</t>
  </si>
  <si>
    <t>全リソースへのタグ付与（IaC 共通タグ）+ Budgets 作成</t>
  </si>
  <si>
    <t>A14-i</t>
  </si>
  <si>
    <t>Lambda ログ保持設定</t>
  </si>
  <si>
    <t>3 Lambda のロググループ保持期間の明示設定（OBS-4。組織標準値、未定なら 90 日仮置き）</t>
  </si>
  <si>
    <t>B0-d</t>
  </si>
  <si>
    <t>監視設計書</t>
  </si>
  <si>
    <t>アラーム一覧表（8 本: 名称 / メトリクス / 閾値 / 評価期間 / 通知先 / 対応 Runbook）+ メトリクス定義（DiscoveryLastSuccess / AccountErrors の単位・Dimensions）</t>
  </si>
  <si>
    <t>B1-i</t>
  </si>
  <si>
    <t>メトリクス emit 実装</t>
  </si>
  <si>
    <t>発見 Lambda に DiscoveryLastSuccess（巡回成功時）/ DiscoveryAccountErrors（失敗アカウント数）の PutMetricData を実装</t>
  </si>
  <si>
    <t>C11-i</t>
  </si>
  <si>
    <t>B2-i</t>
  </si>
  <si>
    <t>保険系。1 データポイントで発報 → SNS P1</t>
  </si>
  <si>
    <t>B3-i</t>
  </si>
  <si>
    <t>DiscoveryLastSuccess が 2 時間欠損（missing data 扱い = breaching）→ P2</t>
  </si>
  <si>
    <t>B4-i</t>
  </si>
  <si>
    <t>アラーム: MM-2 発見 Lambda Errors</t>
  </si>
  <si>
    <t>Lambda Errors ≥ 1（Scheduler 起動失敗も Errors で捕捉）→ P2</t>
  </si>
  <si>
    <t>B5-i</t>
  </si>
  <si>
    <t>アラーム: MM-3 AccountErrors</t>
  </si>
  <si>
    <t>DiscoveryAccountErrors ≥ 1 → P2</t>
  </si>
  <si>
    <t>B6-i</t>
  </si>
  <si>
    <t>アラーム: MM-4 検査 Lambda</t>
  </si>
  <si>
    <t>Errors ≥ 1 + DLQ（検査用）滞留 ≥ 1 → P2</t>
  </si>
  <si>
    <t>B7-i</t>
  </si>
  <si>
    <t>アラーム: MM-5 Alert Router</t>
  </si>
  <si>
    <t>DLQ（Router 用）滞留 ≥ 1 → P2</t>
  </si>
  <si>
    <t>B8-i</t>
  </si>
  <si>
    <t>15 分制限の前倒し検知（初期閾値は仮置き → W3-5 で本決め）→ P2</t>
  </si>
  <si>
    <t>B9-t</t>
  </si>
  <si>
    <t>8 本すべて閾値を跨がせ、SNS → メール到達まで実確認（訓練 W4-2 とは別の技術確認）</t>
  </si>
  <si>
    <t>C0-d</t>
  </si>
  <si>
    <t>発見 Lambda 全体設計</t>
  </si>
  <si>
    <t>処理設計書: 全体シーケンス図（W1〜W9 展開）/ 入出力定義（Scheduler イベント・台帳 JSON・M1 payload）/ 環境変数一覧 / エラー・リトライ方針の実装割付 / ログ設計（相関 ID・マスク）</t>
  </si>
  <si>
    <t>C1-d</t>
  </si>
  <si>
    <t>アカウント列挙 設計</t>
  </si>
  <si>
    <t>C1-i</t>
  </si>
  <si>
    <t>アカウント列挙 実装</t>
  </si>
  <si>
    <t>上記の実装</t>
  </si>
  <si>
    <t>C1-d, W1-3</t>
  </si>
  <si>
    <t>C1-t</t>
  </si>
  <si>
    <t>アカウント列挙 単体テスト</t>
  </si>
  <si>
    <t>OU フィルタ・ページング・権限エラー時の挙動</t>
  </si>
  <si>
    <t>C2-d</t>
  </si>
  <si>
    <t>AssumeRole/CodeCommit クライアント 設計</t>
  </si>
  <si>
    <t>C2-i</t>
  </si>
  <si>
    <t>AssumeRole/CodeCommit クライアント 実装</t>
  </si>
  <si>
    <t>C2-d, A7-i</t>
  </si>
  <si>
    <t>C2-t</t>
  </si>
  <si>
    <t>AssumeRole/CodeCommit クライアント 単体テスト</t>
  </si>
  <si>
    <t>AssumeRole 失敗・スロットリング時のリトライ挙動</t>
  </si>
  <si>
    <t>C3-d</t>
  </si>
  <si>
    <t>リポジトリ列挙・差分判定 設計</t>
  </si>
  <si>
    <t>C3-i</t>
  </si>
  <si>
    <t>リポジトリ列挙・差分判定 実装</t>
  </si>
  <si>
    <t>C3-d, C2-i</t>
  </si>
  <si>
    <t>C3-t</t>
  </si>
  <si>
    <t>リポジトリ列挙・差分判定 単体テスト</t>
  </si>
  <si>
    <t>初回（台帳なし）/ 変更なし / 変更あり / ブランチ不在の 4 分岐</t>
  </si>
  <si>
    <t>C4-d</t>
  </si>
  <si>
    <t>モノレポ対応 設計</t>
  </si>
  <si>
    <t>C4-i</t>
  </si>
  <si>
    <t>モノレポ対応 実装</t>
  </si>
  <si>
    <t>C4-t</t>
  </si>
  <si>
    <t>モノレポ対応 単体テスト</t>
  </si>
  <si>
    <t>単一 repo / モノレポ 2 アプリ同時変更 / 対象外パスのみ変更</t>
  </si>
  <si>
    <t>C5-d</t>
  </si>
  <si>
    <t>monitoring.yaml 取得・検証 設計</t>
  </si>
  <si>
    <t>C5-i</t>
  </si>
  <si>
    <t>monitoring.yaml 取得・検証 実装</t>
  </si>
  <si>
    <t>C5-t</t>
  </si>
  <si>
    <t>monitoring.yaml 取得・検証 単体テスト</t>
  </si>
  <si>
    <t>正常 / authPattern 不正 / baseUrl 欠落 / yaml 破損 / 6MB 超</t>
  </si>
  <si>
    <t>C6-d</t>
  </si>
  <si>
    <t>台帳同期 設計</t>
  </si>
  <si>
    <t>C6-i</t>
  </si>
  <si>
    <t>台帳同期 実装</t>
  </si>
  <si>
    <t>C6-d, A1-i</t>
  </si>
  <si>
    <t>C6-t</t>
  </si>
  <si>
    <t>台帳同期 単体テスト</t>
  </si>
  <si>
    <t>新規作成 / 更新 / ETag 競合（412）/ 中央管理項目（alertRouting・enabled）を上書きしないこと</t>
  </si>
  <si>
    <t>C7-d</t>
  </si>
  <si>
    <t>spec 配置 設計</t>
  </si>
  <si>
    <t>C7-i</t>
  </si>
  <si>
    <t>spec 配置 実装</t>
  </si>
  <si>
    <t>C7-t</t>
  </si>
  <si>
    <t>spec 配置 単体テスト</t>
  </si>
  <si>
    <t>配置キーの正当性・spec 未指定時の挙動</t>
  </si>
  <si>
    <t>C8-d</t>
  </si>
  <si>
    <t>M1 起動 設計</t>
  </si>
  <si>
    <t>C8-i</t>
  </si>
  <si>
    <t>M1 起動 実装</t>
  </si>
  <si>
    <t>C8-t</t>
  </si>
  <si>
    <t>M1 起動 単体テスト</t>
  </si>
  <si>
    <t>invoke payload・複数アプリ変更時の多重起動</t>
  </si>
  <si>
    <t>C9-d</t>
  </si>
  <si>
    <t>消滅検知 設計</t>
  </si>
  <si>
    <t>C9-i</t>
  </si>
  <si>
    <t>消滅検知 実装</t>
  </si>
  <si>
    <t>C9-t</t>
  </si>
  <si>
    <t>消滅検知 単体テスト</t>
  </si>
  <si>
    <t>repo 削除 / yaml のみ削除 / 一時的な取得失敗と消滅の区別</t>
  </si>
  <si>
    <t>C10-d</t>
  </si>
  <si>
    <t>メタ不足アラート 設計</t>
  </si>
  <si>
    <t>C10-i</t>
  </si>
  <si>
    <t>メタ不足アラート 実装</t>
  </si>
  <si>
    <t>C10-t</t>
  </si>
  <si>
    <t>メタ不足アラート 単体テスト</t>
  </si>
  <si>
    <t>各不備種別の通知・同一不備の重複抑制</t>
  </si>
  <si>
    <t>C11-d</t>
  </si>
  <si>
    <t>部分失敗分離 設計</t>
  </si>
  <si>
    <t>部分失敗分離 実装</t>
  </si>
  <si>
    <t>上記の実装（B1-i の emit と連動）</t>
  </si>
  <si>
    <t>C11-t</t>
  </si>
  <si>
    <t>部分失敗分離 単体テスト</t>
  </si>
  <si>
    <t>1 アカウント失敗時に他アカウントが完走・メトリクス値</t>
  </si>
  <si>
    <t>小計 W2-C（発見 Lambda）</t>
  </si>
  <si>
    <t>K0-d</t>
  </si>
  <si>
    <t>検査 Lambda 全体設計</t>
  </si>
  <si>
    <t>処理設計書: mode 分岐（delta / full）シーケンス / fan-out 自己 invoke の設計 / probe 実行フロー（P1〜P6 展開）/ 環境変数一覧 / エラー方針</t>
  </si>
  <si>
    <t>K1-d</t>
  </si>
  <si>
    <t>handler 転用 設計</t>
  </si>
  <si>
    <t>index.js → Lambda handler 化・synthetics 抽象を https 実装で注入する構造</t>
  </si>
  <si>
    <t>K1-i</t>
  </si>
  <si>
    <t>handler 転用 実装</t>
  </si>
  <si>
    <t>K1-t</t>
  </si>
  <si>
    <t>handler 転用 単体テスト</t>
  </si>
  <si>
    <t>handler 起動・https 注入の動作（既存 probe-integration の手法流用）</t>
  </si>
  <si>
    <t>K2-d</t>
  </si>
  <si>
    <t>mode 分岐・fan-out 設計</t>
  </si>
  <si>
    <t>K2-i</t>
  </si>
  <si>
    <t>mode 分岐・fan-out 実装</t>
  </si>
  <si>
    <t>K2-t</t>
  </si>
  <si>
    <t>mode 分岐・fan-out 単体テスト</t>
  </si>
  <si>
    <t>delta 1 件 / full n 件 fan-out / 空台帳</t>
  </si>
  <si>
    <t>K3-d</t>
  </si>
  <si>
    <t>probe 識別ヘッダ 設計</t>
  </si>
  <si>
    <t>X-Auth-Probe 付与位置・secret 参照（A11）・ローテ時の追従</t>
  </si>
  <si>
    <t>K3-i</t>
  </si>
  <si>
    <t>probe 識別ヘッダ 実装</t>
  </si>
  <si>
    <t>K3-d, A11-i</t>
  </si>
  <si>
    <t>K3-t</t>
  </si>
  <si>
    <t>probe 識別ヘッダ 単体テスト</t>
  </si>
  <si>
    <t>ヘッダ付与・secret 未取得時のフェイル動作</t>
  </si>
  <si>
    <t>K4-d</t>
  </si>
  <si>
    <t>WAF ブロック判定 設計</t>
  </si>
  <si>
    <t>WAF / CloudFront 由来 403 の識別条件（ヘッダ・本文）→ WARN「境界でブロック」分類 + Smoke の境界通過確認</t>
  </si>
  <si>
    <t>K0-d, W1-2</t>
  </si>
  <si>
    <t>K4-i</t>
  </si>
  <si>
    <t>WAF ブロック判定 実装</t>
  </si>
  <si>
    <t>classify 拡張 + Smoke 拡張</t>
  </si>
  <si>
    <t>K4-t</t>
  </si>
  <si>
    <t>WAF ブロック判定 単体テスト</t>
  </si>
  <si>
    <t>WAF 403 → WARN（CRITICAL / OK にならない）/ アプリ 403 → 従来分類の分離確認</t>
  </si>
  <si>
    <t>小計 W2-C（検査 Lambda）</t>
  </si>
  <si>
    <t>R0-d</t>
  </si>
  <si>
    <t>S3 化改修 設計</t>
  </si>
  <si>
    <t>registry.js / alert-router / emit.js の影響調査と改修方針メモ（呼出箇所・テスト影響一覧）</t>
  </si>
  <si>
    <t>R1-i</t>
  </si>
  <si>
    <t>registry.js S3 化 実装+UT</t>
  </si>
  <si>
    <t>DynamoDB Scan → S3 List/Get（M-Q-12-3）。単体テスト更新込み</t>
  </si>
  <si>
    <t>R0-d, A1-i</t>
  </si>
  <si>
    <t>R2-i</t>
  </si>
  <si>
    <t>alert-router S3 化 実装+UT</t>
  </si>
  <si>
    <t>通知先解決 GetItem → GetObject。既存 19 テストの更新込み</t>
  </si>
  <si>
    <t>R3-i</t>
  </si>
  <si>
    <t>DEFAULT_P1/P2/P3_TOPIC_ARN 等の設定整合・確認</t>
  </si>
  <si>
    <t>T0-d</t>
  </si>
  <si>
    <t>token・ローテ 設計</t>
  </si>
  <si>
    <t>短命トークン取得シーケンスの実装割付 + ローテ方式の選定（rotation Lambda か手動手順か）と設計</t>
  </si>
  <si>
    <t>T1-i</t>
  </si>
  <si>
    <t>token.js 疎通 実装+UT</t>
  </si>
  <si>
    <t>実 IdP（W1-4 クライアント）で client_credentials 実挙動・TTL キャッシュ確認。UT 込み</t>
  </si>
  <si>
    <t>T0-d, A10-i</t>
  </si>
  <si>
    <t>T2-i</t>
  </si>
  <si>
    <t>ローテ機構 実装+UT</t>
  </si>
  <si>
    <t>選定方式の実装（rotation Lambda の場合。手動選定なら Runbook 化を W4-1 に振替）</t>
  </si>
  <si>
    <t>D0-d</t>
  </si>
  <si>
    <t>dedup 設計（W1-5 で採用時のみ）</t>
  </si>
  <si>
    <t>抑制キー（app×endpoint×severity）・24h 窓・状態の S3 保持・解除条件</t>
  </si>
  <si>
    <t>D1-i</t>
  </si>
  <si>
    <t>dedup 実装</t>
  </si>
  <si>
    <t>D2-t</t>
  </si>
  <si>
    <t>dedup 単体テスト</t>
  </si>
  <si>
    <t>抑制・窓超過後の再通知・severity 変化時は抑制しない</t>
  </si>
  <si>
    <t>S0-d</t>
  </si>
  <si>
    <t>DiscoveryReadRole 設計</t>
  </si>
  <si>
    <t>S1-i</t>
  </si>
  <si>
    <t>StackSets テンプレ 実装</t>
  </si>
  <si>
    <t>ロールの CFN テンプレ化・StackSets（Organizations 自動デプロイ）定義</t>
  </si>
  <si>
    <t>S2-t</t>
  </si>
  <si>
    <t>StackSets 配布検証</t>
  </si>
  <si>
    <t>3 アカウント配布・AssumeRole 実確認・新規アカウント自動配布の設定確認</t>
  </si>
  <si>
    <t>P0-d</t>
  </si>
  <si>
    <t>Service Catalog 製品 設計</t>
  </si>
  <si>
    <t>製品設計書: パラメータ一覧（AppId / Env / CostCenter / Owner / AuthPattern）・生成リソース構成（API GW 認証必須固定 + Origin Protection + タグ）・起動フロー図</t>
  </si>
  <si>
    <t>P1-i</t>
  </si>
  <si>
    <t>製品テンプレ 実装</t>
  </si>
  <si>
    <t>上記の CFN 化</t>
  </si>
  <si>
    <t>P2-i</t>
  </si>
  <si>
    <t>Portfolio 作成・Organizations 共有・起動ロール</t>
  </si>
  <si>
    <t>P3-t</t>
  </si>
  <si>
    <t>起動 → パラメータのタグ反映・認証必須・Origin Protection の実査</t>
  </si>
  <si>
    <t>REV</t>
  </si>
  <si>
    <t>コードレビュー・CI 通し</t>
  </si>
  <si>
    <t>全実装分のレビュー・静的解析（CI: cfn-guard / Semgrep）修正</t>
  </si>
  <si>
    <t>各-i</t>
  </si>
  <si>
    <t>小計 W2-C（改修・周辺）</t>
  </si>
  <si>
    <t>ローカル統合</t>
  </si>
  <si>
    <t>LocalStack（3.8.1 ピン）/ SAM で 巡回 → 台帳登録 → M1 invoke → 分類 → SNS（モック）の通し。確認観点: 台帳 JSON の内容 / spec 配置キー / invoke payload / 4×4 分類結果</t>
  </si>
  <si>
    <t>実 AWS PoC 環境構築</t>
  </si>
  <si>
    <t>共通基盤 IaC 一式適用 + App アカウント側: CodeCommit seed repo（monitoring.yaml + openapi.yaml）×2 種（単一 repo / モノレポ）・サンプル API（API GW + JWT Authorizer、故意の NONE endpoint 付き）・CloudFront + WAF 簡易構成（Origin Protection + probe 許可ルール）・Keycloak 接続（W1-4）</t>
  </si>
  <si>
    <t>W2, W1-3/4</t>
  </si>
  <si>
    <t>T-A</t>
  </si>
  <si>
    <t>結合テスト A: 発見・登録系（7 ケース）</t>
  </si>
  <si>
    <t>A-1 新規 repo（yaml あり）→ 台帳生成 + spec 配置 + M1 起動 / A-2 yaml 無し repo → 対象外 / A-3 命名規約該当 + yaml 無し → メタ不足アラート / A-4 authPattern 不正 → 既定 api-gw-jwt + メタ不足 / A-5 モノレポ: 片方のアプリのみ変更 → そのアプリだけ M1 / A-6 feature ブランチ commit → 検知しない / A-7 repo 削除 → enabled=false + 棚卸しアラート</t>
  </si>
  <si>
    <t>T-B</t>
  </si>
  <si>
    <t>結合テスト B: 検査・分類系（9 ケース）</t>
  </si>
  <si>
    <t>B-1 正常 JWT（Neg401 + Pos200 → OK・通知なし）/ B-2 NONE endpoint（Neg200 → CRITICAL・P1 メール到達・AuthCheckCritical アラーム発火）/ B-3 公開印 skip → probe 対象外 / B-4 公開印なし public → P1 / B-5 Cookie モノリス（302 → OK、200 → CRITICAL）/ B-6 token 失効（Neg401 + Pos401 → WARN P2）/ B-7 spec にあるが実体なし（Pos404 → WARN）/ B-8 WAF ブロック（→ WARN「境界でブロック」。誤 CRITICAL にならない）/ B-9 本番 POST skip</t>
  </si>
  <si>
    <t>T-C</t>
  </si>
  <si>
    <t>結合テスト C: 発報系（5 ケース）</t>
  </si>
  <si>
    <t>C-1 alertRouting 個別設定 → その宛先へ / C-2 未設定 → デフォルト ARN へ / C-3 ARN 未解決 → throw → DLQ / C-4 保険系: アラーム → SNS P1（即時系を止めた状態で）/ C-5 dedup（採用時: 2 巡目は抑制・24h 後再通知）</t>
  </si>
  <si>
    <t>T-D</t>
  </si>
  <si>
    <t>結合テスト D: 障害・運用系（6 ケース）</t>
  </si>
  <si>
    <t>D-1 1 アカウントの AssumeRole 拒否 → 他アカウント完走 + AccountErrors → MM-3 / D-2 検査 invoke 失敗 → リトライ → DLQ → MM-4 / D-3 Scheduler 停止 → 2h 後 MM-1 発火 / D-4 M1 途中失敗 → lastCheckedCommitId 据え置き → 次巡回で再検知（at-least-once）/ D-5 M3 full → fan-out で全アプリ検査 / D-6 台帳の手動更新と巡回の競合（ETag 412 → リトライ）</t>
  </si>
  <si>
    <t>性能実測・閾値本決め</t>
  </si>
  <si>
    <t>巡回 1 実行・1 アプリ probe の所要時間実測（3 アカウント）→ Duration ほか B 系アラーム閾値の確定値を監視設計書（B0-d）に反映</t>
  </si>
  <si>
    <t>T-A〜D</t>
  </si>
  <si>
    <t>セキュリティ確認</t>
  </si>
  <si>
    <t>IAM 最小権限の実査（Access Analyzer / 手動）・ExternalId なし AssumeRole の拒否確認・全 Lambda ログに secret / トークンが出ないこと（OBS-3）</t>
  </si>
  <si>
    <t>テスト報告書</t>
  </si>
  <si>
    <t>ケース別結果一覧・検出不具合と対処・設計書（md）への検証済み事実反映</t>
  </si>
  <si>
    <t>① P1（認証漏れ）対応: 一次切り分け（真の漏れ / drift / 誤検知）→ アプリチーム連絡 → 暫定遮断の判断基準 ② M3 実行手順（CLI・実行権限） ③ メタ監視発報対応（MM-1〜5 別の初動） ④ 台帳手動更新（enabled 切替・alertRouting 設定・ETag 手順） ⑤ 棚卸し（消滅レコード削除・公開印 skip 濫用の月次レビュー）</t>
  </si>
  <si>
    <t>引き継ぎ・訓練</t>
  </si>
  <si>
    <t>運用チームへの説明会 + P1 模擬発報 1 回（B-2 ケースを本番相当で再現し Runbook ① を通しで実施）</t>
  </si>
  <si>
    <t>運用ダッシュボード</t>
  </si>
  <si>
    <t>CloudWatch ダッシュボード 1 画面: AuthCheck 系 5 メトリクス（per-app）+ メタ監視（LastSuccess・AccountErrors・DLQ 深さ・Duration）</t>
  </si>
  <si>
    <t>B 系</t>
  </si>
  <si>
    <t>アプリチーム向け利用ガイド</t>
  </si>
  <si>
    <t>章立て: 概要 / やること 3 点 / monitoring.yaml の書き方（全項目解説）/ MON-1 公開印 / アラートが来たら（P3 の見方）/ FAQ（アプリチーム向け手順シートを配布形に再構成）</t>
  </si>
  <si>
    <t>monitoring.yaml JSON Schema + サンプル repo</t>
  </si>
  <si>
    <t>Schema（C5-i の検証と同一物）+ 雛形 repo（yaml・openapi.yaml・公開印例）をテンプレとして公開</t>
  </si>
  <si>
    <t>説明会 + 初期問合せ対応</t>
  </si>
  <si>
    <t>アプリチーム向け説明会 1 回（資料は W5-1 流用）+ 導入期の問合せ対応枠</t>
  </si>
  <si>
    <t>パイロット導入 → 展開</t>
  </si>
  <si>
    <t>パイロット 1 アプリ: monitoring.yaml 設置支援 → 初回検知確認 → フィードバック反映。その後残りアプリ（3 アカウント）へ展開</t>
  </si>
  <si>
    <t>T-A/B, W5-1</t>
  </si>
  <si>
    <t>設計書（md）実装反映</t>
  </si>
  <si>
    <t>未決の消し込み（実装で確定した項目）・検証済み事実の追記・実装差分の反映</t>
  </si>
  <si>
    <t>Excel 同期</t>
  </si>
  <si>
    <t>md 改訂の Excel 反映指示・検収（参照コミット更新含む）</t>
  </si>
  <si>
    <t>進捗・課題・外部調整の追跡</t>
  </si>
  <si>
    <t>週次の進捗整理・課題管理・W1 系リードタイムの督促（全体の約 10%）</t>
  </si>
  <si>
    <t>総合計</t>
  </si>
  <si>
    <t>残作業 WBS・工数見積 v3 — 前提・集計・別表・リスク</t>
  </si>
  <si>
    <t>明細は「14_WBS」シート（125 行）。本シートの人時・人日は 14_WBS を参照する数式。</t>
  </si>
  <si>
    <t>1 人日 = 8 人時。人日は換算値</t>
  </si>
  <si>
    <t>要員: AWS + Node.js 経験者 1 名主担当。各行にレビュー時間込み</t>
  </si>
  <si>
    <t>外部依頼の待ち時間（リードタイム）は工数外（◎印、カレンダー日で別管理）</t>
  </si>
  <si>
    <t>成果物の体系: AWS リソース毎に「インフラ設計書（パラメータシート）」、Lambda は「処理設計書（シーケンス・IF・エラー方針）」を実装前に作成し、処理毎に単体テストを残す</t>
  </si>
  <si>
    <t>ID 規約: -d = 設計 / -i = 実装 / -t = 単体テスト。設計不要の作業系は -i のみ</t>
  </si>
  <si>
    <t>区分（Excel フィルタ用・11 種）: 外部調整 / 基盤IaC / 監視(定型) / 機能実装 / 改修 / 配布物 / テスト / 運用 / ガイド / ドキュメント / 管理</t>
  </si>
  <si>
    <t>-d 行の区分は対象と同じ区分（例: A1-d は 基盤IaC）。設計だけ抽出したい場合はタスク名の「設計」でフィルタする。</t>
  </si>
  <si>
    <t>SigV4 Positive / Cookie Positive・cleanup / M2 heartbeat / Private API VPC 化 / スコープ B（依頼のみ）/ SCP 強制（Phase 2 判断）/ Multilocation / ガイドライン章（01〜06）側の残未決</t>
  </si>
  <si>
    <t>W1 外部調整・依頼（6 行）</t>
  </si>
  <si>
    <t>W2-A 基盤 IaC（25 行）</t>
  </si>
  <si>
    <t>3–5.5</t>
  </si>
  <si>
    <t>W2-B 監視(定型)（10 行）</t>
  </si>
  <si>
    <t>1.5–2.5</t>
  </si>
  <si>
    <t>W2-C 機能実装・改修（65 行）</t>
  </si>
  <si>
    <t>15–31</t>
  </si>
  <si>
    <t>W3 テスト（9 行）</t>
  </si>
  <si>
    <t>8–17.5</t>
  </si>
  <si>
    <t>W4〜W6 運用・ガイド・ドキュメント（9 行）</t>
  </si>
  <si>
    <t>9–18</t>
  </si>
  <si>
    <t>W7 管理（1 行・約 10%）</t>
  </si>
  <si>
    <t>合計（125 行）</t>
  </si>
  <si>
    <t>44–92</t>
  </si>
  <si>
    <t>注記: 集計は 14_WBS の明細行を SUM した値。元資料の小計は「発見 Lambda 51」「改修・周辺 85.5」と記載されているが、各行の合計はそれぞれ 52 / 85 で、W2-C は 161.5、総合計は 477.5 となる（元資料の合計 477 との差 +0.5）。行の工数は元資料どおりで、元資料側の小計の見直しが必要。</t>
  </si>
  <si>
    <t>監視設計書（アラーム一覧・閾値・通知先マトリクス）</t>
  </si>
  <si>
    <t>B2-i〜B8-i</t>
  </si>
  <si>
    <t>アラーム実装 7 本</t>
  </si>
  <si>
    <t>注記: 14_WBS で 区分=監視(定型) をフィルタしても同じ集合が得られる（人時計 25 = 3.1 人日）。</t>
  </si>
  <si>
    <t>5. 漏れチェック結果</t>
  </si>
  <si>
    <t>v2 で追加した 10 件（L2 Config Rules 確認 / S3 Lifecycle / Scheduler リトライ / Secrets 格納 / X-Auth-Probe secret / タグ + Budgets / ログ保持 / アラームテスト発報 / メタ不足・棚卸し通知経路 / JSON Schema 配布）は全行に反映済み。</t>
  </si>
  <si>
    <t>v3 では成果物としての設計書群を明示化した: インフラ設計書（A 系 -d）/ 監視設計書（B0-d）/ Lambda 処理設計書（C0-d・K0-d）/ ロール・製品設計書（S0-d・P0-d）。</t>
  </si>
  <si>
    <t>設計行の抽出はタスク名「設計」でフィルタ、または ID の -d で判別できる（-d 行は 34 行）。</t>
  </si>
  <si>
    <t>NW-2 例外の否認 → VPC 戻し</t>
  </si>
  <si>
    <t>+40〜64 人時</t>
  </si>
  <si>
    <t>L2 Config Rules が組織に存在しない</t>
  </si>
  <si>
    <t>+8 人時〜。放置すると穴①が塞がらない</t>
  </si>
  <si>
    <t>副対策（K4 系）のみで暫定リリース可</t>
  </si>
  <si>
    <t>Service Catalog 製品の組織承認が重い</t>
  </si>
  <si>
    <t>監視自体は先行リリース可</t>
  </si>
  <si>
    <t>Keycloak クライアント発行の遅延</t>
  </si>
  <si>
    <t>Negative のみで先行可（設計上許容）</t>
  </si>
  <si>
    <t>7. メモ（クリティカルパス・体制）</t>
  </si>
  <si>
    <t>クリティカルパス: W2-A → C0〜C11（発見）/ K 系・R 系（検査） → W3-2 → T-A / T-B →（W4-1 → W5-4）。</t>
  </si>
  <si>
    <t>1 名専任で実働 約 3 か月（外部リードタイム除く）。W2 と W3-2 を 2 名並行なら 約 2 か月。</t>
  </si>
  <si>
    <t>W1 は初日に発注（W1-1 / W1-2 は同梱。W1-3 / W1-4 / W1-6 は個別に並行）。</t>
  </si>
  <si>
    <t>2026-08-19T07:17:06Z</t>
  </si>
  <si>
    <t>残作業 WBS・工数見積 v3</t>
    <phoneticPr fontId="2"/>
  </si>
  <si>
    <t>Phase 3 実装〜リリースの残作業。AWS リソース毎に設計書行、Lambda は処理毎に設計・実装・単体テストの 3 行、結合テストはケース単位。全 125 行に区分・内容・人時・人日を持つ。→ 14_WBS / 15_WBS集計 シート</t>
    <phoneticPr fontId="2"/>
  </si>
  <si>
    <t>wbs-phase3-4-estimate.md</t>
    <phoneticPr fontId="2"/>
  </si>
  <si>
    <t>doc/api-platform/basic-design/research/wbs-phase3-4-estimate.md</t>
    <phoneticPr fontId="2"/>
  </si>
  <si>
    <t>0.6</t>
  </si>
  <si>
    <t>0.6</t>
    <phoneticPr fontId="2"/>
  </si>
  <si>
    <t>「14_WBS」を v3 に全面改訂（明細 125 行: W1 6 / W2-A 25 / W2-B 10 / W2-C 65 / W3 9 / W4〜W7 10。設計・実装・単体テストを ID 規約 -d/-i/-t で分離）。「15_WBS集計」を追加</t>
    <phoneticPr fontId="2"/>
  </si>
  <si>
    <t>検査 Lambda 用 / Alert Router 用の 2 本。保持期間・再処理手順の方針。【補足】DLQ（デッドレターキュー）＝処理に失敗したメッセージの退避先。失敗を握り潰さず、後から中身を見て再処理・原因調査するための受け皿</t>
  </si>
  <si>
    <t>委任ポリシー経由 ListAccounts の呼出仕様・対象 OU フィルタ・ページング。【補足】アカウント列挙＝巡回の対象となる App アカウントの一覧を AWS Organizations から毎回取得する処理。手作業のリスト管理をなくし、アカウント追加に自動追随する</t>
  </si>
  <si>
    <t>ExternalId・一時クレデンシャルのライフサイクル・SDK リトライ（指数バックオフ）設定。【補足】AssumeRole＝他アカウントに置かれた読み取り専用ロールの権限を、期限付きで一時的に借りる AWS の標準的な仕組み。これで恒久的な鍵を配らずに App アカウントのリポジトリを読める</t>
  </si>
  <si>
    <t>ListRepositories → GetBranch → lastCheckedCommitId 比較のロジックと「変更あり」判定基準。【補足】リポジトリ列挙＝App アカウント内の CodeCommit リポジトリを一覧し、monitoring.yaml を持つもの（＝監視対象）を見つけること。差分判定＝前回巡回で確認したコミット ID と現在の先端コミット ID を比べ「前回から変更があったか」を判定すること</t>
  </si>
  <si>
    <t>GetDifferences の変更パス × pathPrefix 突合仕様（複数アプリ該当時の扱い含む）。【補足】モノレポ＝1 つのリポジトリに複数アプリのコードを同居させる構成。リポジトリ単位の差分だけでは「どのアプリが変わったか」が分からないため、変更されたファイルのパス（例 apps/expense-api/…）を各アプリの pathPrefix と突き合わせて該当アプリを特定する</t>
  </si>
  <si>
    <t>GetFile（6MB 上限の扱い）・スキーマ検証（W5-2 の JSON Schema 共用）・不備時の分類（メタ不足の種別）。【補足】monitoring.yaml＝アプリが「このリポジトリを監視して」と宣言する設定ファイル（検査先 URL・認証方式などを記載。リポジトリ直下に置く）</t>
  </si>
  <si>
    <t>registry/{appId}/{env}.json の生成・更新仕様、ETag 条件付き PUT、lastCheckedCommitId は M1 起動成功後にのみ更新（at-least-once）。【補足】台帳＝「どのアプリをどう監視するか」を 1 か所に集めた S3 上の管理簿。ETag 条件付き PUT＝「読み込んだ時から誰も更新していなければ書き込む」仕組みで、同時更新による上書き事故を防ぐ。at-least-once＝取りこぼしゼロを優先し、同じ変更を 2 回検査することは許容する方式（検査は読み取りのみなので重複しても無害）</t>
  </si>
  <si>
    <t>openapi.yaml GetFile → openapi/ Put のキー導出・上書き仕様。【補足】spec＝API 仕様書（openapi.yaml。どんな endpoint があるかの一覧）。検査 Lambda が「どこを叩くか」を知るための情報源で、リポジトリから取得して中央の S3 にコピーしておく</t>
  </si>
  <si>
    <t>非同期 Event invoke（payload 仕様・fan-out・DLQ は A5）。【補足】M1＝1 時間毎の巡回で「変更のあったアプリだけ」を自動検査する実行モード（M3＝運用者が手動で全アプリ全量を検査するモードと対をなす）。M1 起動＝発見 Lambda が変更を見つけたアプリを対象に、検査 Lambda を呼び出すこと</t>
  </si>
  <si>
    <t>repo / monitoring.yaml 消滅 → enabled=false + 棚卸しアラート（SNS P2）の判定・通知文面。【補足】消滅検知＝前回まで存在したリポジトリや monitoring.yaml が無くなった（＝アプリ廃止の可能性）ことを検出し、監視を自動停止したうえで「本当に廃止か」の確認を人に促す仕組み</t>
  </si>
  <si>
    <t>不備種別ごとの通知文面・SNS P2 Publish・再通知抑制（毎巡回で重複させない）。【補足】メタ不足＝監視に必要な設定情報（monitoring.yaml そのもの、あるいは検査先 URL・認証方式などの項目）が欠けていて、正しく検査できない状態。放置すると「監視されないアプリ」が生まれるため、アラートで気づかせて設定を直させる</t>
  </si>
  <si>
    <t>アカウント単位 try-catch 継続・AccountErrors 集計・ログ出力。【補足】部分失敗分離＝一部のアカウントで読み取りに失敗しても巡回全体を止めず、残りのアカウントは処理を続けること（失敗はメトリクスで通知し、次の巡回で自然に再試行される）</t>
  </si>
  <si>
    <t>delta（1 アプリ）/ full（台帳 List → アプリ単位に自己 invoke）の仕様。【補足】fan-out＝1 つの処理が対象ごとに自分自身を並列で呼び出して分担する方式。全アプリを 1 回の実行で回すと Lambda の制限時間（15 分）を超え得るため、アプリ単位に分けて起動する</t>
  </si>
  <si>
    <t>ロール設計書: 権限 5 アクション・信頼ポリシー（信頼先 1 本 + ExternalId）・全アカウント同一名のパラメータシート。【補足】DiscoveryReadRole＝各 App アカウントに置く「中央からの読み取り窓口」となる IAM ロール（リポジトリの読み取りのみ可）。StackSets＝CloudFormation を複数アカウントへ一括配布する仕組みで、新規アカウントにも自動で配られる</t>
  </si>
  <si>
    <t>887a5b293f275d1030c6679a6c10a609c36b3d0a</t>
  </si>
  <si>
    <t>9977332ab1ec0512ffa6eb7f9c0cd519760f9477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</si>
</sst>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9" formatCode="0.0"/>
  </numFmts>
  <fonts count="14">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b/>
      <sz val="16"/>
      <color theme="1"/>
      <name val="游ゴシック"/>
      <family val="2"/>
      <charset val="128"/>
      <scheme val="minor"/>
    </font>
    <font>
      <b/>
      <sz val="12"/>
      <color rgb="FF1F4E79"/>
      <name val="游ゴシック"/>
      <family val="2"/>
      <charset val="128"/>
      <scheme val="minor"/>
    </font>
    <font>
      <b/>
      <sz val="12"/>
      <color rgb="FFFFFFFF"/>
      <name val="游ゴシック"/>
      <family val="2"/>
      <charset val="128"/>
      <scheme val="minor"/>
    </font>
    <font>
      <sz val="12"/>
      <color theme="1"/>
      <name val="Consolas"/>
      <family val="2"/>
    </font>
    <font>
      <b/>
      <sz val="12"/>
      <color rgb="FF1F4E79"/>
      <name val="Consolas"/>
      <family val="2"/>
    </font>
    <font>
      <b/>
      <sz val="12"/>
      <color rgb="FF7F6000"/>
      <name val="游ゴシック"/>
      <family val="2"/>
      <charset val="128"/>
      <scheme val="minor"/>
    </font>
    <font>
      <b/>
      <sz val="16"/>
      <color theme="1"/>
      <name val="Meiryo UI"/>
      <family val="2"/>
      <charset val="128"/>
    </font>
    <font>
      <sz val="12"/>
      <color theme="1"/>
      <name val="Meiryo UI"/>
      <family val="2"/>
      <charset val="128"/>
    </font>
    <font>
      <b/>
      <sz val="12"/>
      <color rgb="FFFFFFFF"/>
      <name val="Meiryo UI"/>
      <family val="2"/>
      <charset val="128"/>
    </font>
    <font>
      <b/>
      <sz val="12"/>
      <color rgb="FF1F4E79"/>
      <name val="Meiryo UI"/>
      <family val="2"/>
      <charset val="128"/>
    </font>
    <font>
      <b/>
      <sz val="12"/>
      <color theme="1"/>
      <name val="Meiryo UI"/>
      <family val="2"/>
      <charset val="128"/>
    </font>
  </fonts>
  <fills count="16">
    <fill>
      <patternFill patternType="none"/>
    </fill>
    <fill>
      <patternFill patternType="gray125"/>
    </fill>
    <fill>
      <patternFill patternType="solid">
        <fgColor rgb="FF1F4E79"/>
        <bgColor indexed="64"/>
      </patternFill>
    </fill>
    <fill>
      <patternFill patternType="solid">
        <fgColor rgb="FFFFF3E0"/>
        <bgColor indexed="64"/>
      </patternFill>
    </fill>
    <fill>
      <patternFill patternType="solid">
        <fgColor rgb="FFFFFFFF"/>
        <bgColor indexed="64"/>
      </patternFill>
    </fill>
    <fill>
      <patternFill patternType="solid">
        <fgColor rgb="FFFCE4EC"/>
        <bgColor indexed="64"/>
      </patternFill>
    </fill>
    <fill>
      <patternFill patternType="solid">
        <fgColor rgb="FFE8F5E9"/>
        <bgColor indexed="64"/>
      </patternFill>
    </fill>
    <fill>
      <patternFill patternType="solid">
        <fgColor rgb="FFEDE7F6"/>
        <bgColor indexed="64"/>
      </patternFill>
    </fill>
    <fill>
      <patternFill patternType="solid">
        <fgColor rgb="FFFFF9C4"/>
        <bgColor indexed="64"/>
      </patternFill>
    </fill>
    <fill>
      <patternFill patternType="solid">
        <fgColor rgb="FFEEEEEE"/>
        <bgColor indexed="64"/>
      </patternFill>
    </fill>
    <fill>
      <patternFill patternType="solid">
        <fgColor rgb="FFF2F2F2"/>
        <bgColor indexed="64"/>
      </patternFill>
    </fill>
    <fill>
      <patternFill patternType="solid">
        <fgColor rgb="FFFFFF00"/>
        <bgColor indexed="64"/>
      </patternFill>
    </fill>
    <fill>
      <patternFill patternType="solid">
        <fgColor rgb="FFFFCDD2"/>
        <bgColor indexed="64"/>
      </patternFill>
    </fill>
    <fill>
      <patternFill patternType="solid">
        <fgColor rgb="FFC00000"/>
        <bgColor indexed="64"/>
      </patternFill>
    </fill>
    <fill>
      <patternFill patternType="solid">
        <fgColor rgb="FFFFF2CC"/>
        <bgColor indexed="64"/>
      </patternFill>
    </fill>
    <fill>
      <patternFill patternType="solid">
        <fgColor rgb="FFDDEBF7"/>
        <bgColor indexed="64"/>
      </patternFill>
    </fill>
  </fills>
  <borders count="18">
    <border>
      <left/>
      <right/>
      <top/>
      <bottom/>
      <diagonal/>
    </border>
    <border>
      <left style="thin">
        <color rgb="FF7F7F7F"/>
      </left>
      <right style="thin">
        <color rgb="FF7F7F7F"/>
      </right>
      <top style="thin">
        <color rgb="FF7F7F7F"/>
      </top>
      <bottom style="thin">
        <color rgb="FF7F7F7F"/>
      </bottom>
      <diagonal/>
    </border>
    <border>
      <left style="thin">
        <color rgb="FF8EA9DB"/>
      </left>
      <right style="thin">
        <color rgb="FF8EA9DB"/>
      </right>
      <top style="thin">
        <color rgb="FF8EA9DB"/>
      </top>
      <bottom style="thin">
        <color rgb="FF8EA9DB"/>
      </bottom>
      <diagonal/>
    </border>
    <border>
      <left/>
      <right style="thin">
        <color rgb="FF8EA9DB"/>
      </right>
      <top style="thin">
        <color rgb="FF8EA9DB"/>
      </top>
      <bottom style="thin">
        <color rgb="FF8EA9DB"/>
      </bottom>
      <diagonal/>
    </border>
    <border>
      <left style="medium">
        <color rgb="FF404040"/>
      </left>
      <right/>
      <top style="medium">
        <color rgb="FF404040"/>
      </top>
      <bottom/>
      <diagonal/>
    </border>
    <border>
      <left style="thin">
        <color rgb="FF7F7F7F"/>
      </left>
      <right/>
      <top style="thin">
        <color rgb="FF7F7F7F"/>
      </top>
      <bottom style="thin">
        <color rgb="FF7F7F7F"/>
      </bottom>
      <diagonal/>
    </border>
    <border>
      <left style="thin">
        <color rgb="FF7F7F7F"/>
      </left>
      <right style="thin">
        <color rgb="FF7F7F7F"/>
      </right>
      <top style="thin">
        <color rgb="FF7F7F7F"/>
      </top>
      <bottom/>
      <diagonal/>
    </border>
    <border>
      <left style="thin">
        <color rgb="FF7F7F7F"/>
      </left>
      <right/>
      <top style="thin">
        <color rgb="FF7F7F7F"/>
      </top>
      <bottom/>
      <diagonal/>
    </border>
    <border>
      <left style="medium">
        <color rgb="FF404040"/>
      </left>
      <right style="medium">
        <color rgb="FF404040"/>
      </right>
      <top style="medium">
        <color rgb="FF404040"/>
      </top>
      <bottom/>
      <diagonal/>
    </border>
    <border>
      <left/>
      <right/>
      <top style="mediumDashed">
        <color rgb="FFBF8F00"/>
      </top>
      <bottom/>
      <diagonal/>
    </border>
    <border>
      <left/>
      <right/>
      <top/>
      <bottom style="mediumDashed">
        <color rgb="FFBF8F00"/>
      </bottom>
      <diagonal/>
    </border>
    <border>
      <left style="mediumDashed">
        <color rgb="FFBF8F00"/>
      </left>
      <right/>
      <top style="mediumDashed">
        <color rgb="FFBF8F00"/>
      </top>
      <bottom/>
      <diagonal/>
    </border>
    <border>
      <left style="mediumDashed">
        <color rgb="FFBF8F00"/>
      </left>
      <right/>
      <top/>
      <bottom/>
      <diagonal/>
    </border>
    <border>
      <left style="mediumDashed">
        <color rgb="FFBF8F00"/>
      </left>
      <right/>
      <top/>
      <bottom style="mediumDashed">
        <color rgb="FFBF8F00"/>
      </bottom>
      <diagonal/>
    </border>
    <border>
      <left/>
      <right style="mediumDashed">
        <color rgb="FFBF8F00"/>
      </right>
      <top style="mediumDashed">
        <color rgb="FFBF8F00"/>
      </top>
      <bottom/>
      <diagonal/>
    </border>
    <border>
      <left/>
      <right style="mediumDashed">
        <color rgb="FFBF8F00"/>
      </right>
      <top/>
      <bottom/>
      <diagonal/>
    </border>
    <border>
      <left/>
      <right style="mediumDashed">
        <color rgb="FFBF8F00"/>
      </right>
      <top/>
      <bottom style="mediumDashed">
        <color rgb="FFBF8F00"/>
      </bottom>
      <diagonal/>
    </border>
    <border>
      <left style="thin">
        <color rgb="FF8EA9DB"/>
      </left>
      <right style="thin">
        <color rgb="FF8EA9DB"/>
      </right>
      <top/>
      <bottom/>
      <diagonal/>
    </border>
  </borders>
  <cellStyleXfs count="1">
    <xf numFmtId="0" fontId="0" fillId="0" borderId="0">
      <alignment vertical="center"/>
    </xf>
  </cellStyleXfs>
  <cellXfs count="88">
    <xf numFmtId="0" fontId="0" fillId="0" borderId="0" xfId="0">
      <alignment vertical="center"/>
    </xf>
    <xf numFmtId="0" fontId="3" fillId="0" borderId="0" xfId="0" applyFont="1">
      <alignment vertical="center"/>
    </xf>
    <xf numFmtId="0" fontId="4" fillId="0" borderId="0" xfId="0" applyFont="1">
      <alignment vertical="center"/>
    </xf>
    <xf numFmtId="0" fontId="0" fillId="0" borderId="0" xfId="0" applyAlignment="1">
      <alignment vertical="top"/>
    </xf>
    <xf numFmtId="0" fontId="0" fillId="0" borderId="0" xfId="0" applyAlignment="1">
      <alignment vertical="top" wrapText="1"/>
    </xf>
    <xf numFmtId="0" fontId="5" fillId="2" borderId="3" xfId="0" applyFont="1" applyFill="1" applyBorder="1" applyAlignment="1">
      <alignment horizontal="center" vertical="center"/>
    </xf>
    <xf numFmtId="0" fontId="0" fillId="0" borderId="3" xfId="0" applyBorder="1" applyAlignment="1">
      <alignment vertical="top" wrapText="1"/>
    </xf>
    <xf numFmtId="0" fontId="5" fillId="2" borderId="2" xfId="0" applyFont="1" applyFill="1" applyBorder="1" applyAlignment="1">
      <alignment horizontal="center" vertical="center"/>
    </xf>
    <xf numFmtId="0" fontId="0" fillId="0" borderId="2" xfId="0" applyBorder="1" applyAlignment="1">
      <alignment vertical="top" wrapText="1"/>
    </xf>
    <xf numFmtId="0" fontId="0" fillId="0" borderId="0" xfId="0" applyFill="1" applyBorder="1" applyAlignment="1">
      <alignment vertical="top" wrapText="1"/>
    </xf>
    <xf numFmtId="0" fontId="4" fillId="0" borderId="0" xfId="0" applyFont="1" applyFill="1" applyBorder="1" applyAlignment="1">
      <alignment vertical="top" wrapText="1"/>
    </xf>
    <xf numFmtId="0" fontId="1" fillId="3" borderId="4" xfId="0" applyFont="1" applyFill="1" applyBorder="1" applyAlignment="1">
      <alignment vertical="center" wrapText="1"/>
    </xf>
    <xf numFmtId="0" fontId="1" fillId="4" borderId="4" xfId="0" applyFont="1" applyFill="1" applyBorder="1" applyAlignment="1">
      <alignment vertical="center" wrapText="1"/>
    </xf>
    <xf numFmtId="0" fontId="1" fillId="5" borderId="4" xfId="0" applyFont="1" applyFill="1" applyBorder="1" applyAlignment="1">
      <alignment vertical="center" wrapText="1"/>
    </xf>
    <xf numFmtId="0" fontId="1" fillId="6" borderId="4" xfId="0" applyFont="1" applyFill="1" applyBorder="1" applyAlignment="1">
      <alignment vertical="center" wrapText="1"/>
    </xf>
    <xf numFmtId="0" fontId="0" fillId="0" borderId="0" xfId="0" applyAlignment="1">
      <alignment vertical="center" wrapText="1"/>
    </xf>
    <xf numFmtId="0" fontId="0" fillId="3" borderId="5" xfId="0" applyFill="1" applyBorder="1" applyAlignment="1">
      <alignment horizontal="center" vertical="center" wrapText="1"/>
    </xf>
    <xf numFmtId="0" fontId="0" fillId="3" borderId="1" xfId="0" applyFill="1" applyBorder="1" applyAlignment="1">
      <alignment horizontal="center" vertical="center" wrapText="1"/>
    </xf>
    <xf numFmtId="0" fontId="0" fillId="3" borderId="6" xfId="0" applyFill="1" applyBorder="1" applyAlignment="1">
      <alignment horizontal="center" vertical="center" wrapText="1"/>
    </xf>
    <xf numFmtId="0" fontId="0" fillId="3" borderId="7" xfId="0" applyFill="1" applyBorder="1" applyAlignment="1">
      <alignment horizontal="center" vertical="center" wrapText="1"/>
    </xf>
    <xf numFmtId="0" fontId="0" fillId="8" borderId="7" xfId="0" applyFill="1" applyBorder="1" applyAlignment="1">
      <alignment horizontal="center" vertical="center" wrapText="1"/>
    </xf>
    <xf numFmtId="0" fontId="0" fillId="4" borderId="5" xfId="0" applyFill="1" applyBorder="1" applyAlignment="1">
      <alignment horizontal="center" vertical="center" wrapText="1"/>
    </xf>
    <xf numFmtId="0" fontId="0" fillId="5" borderId="5" xfId="0" applyFill="1" applyBorder="1" applyAlignment="1">
      <alignment horizontal="center" vertical="center" wrapText="1"/>
    </xf>
    <xf numFmtId="0" fontId="0" fillId="6" borderId="7" xfId="0" applyFill="1" applyBorder="1" applyAlignment="1">
      <alignment horizontal="center" vertical="center" wrapText="1"/>
    </xf>
    <xf numFmtId="0" fontId="0" fillId="6" borderId="1" xfId="0" applyFill="1" applyBorder="1" applyAlignment="1">
      <alignment horizontal="center" vertical="center" wrapText="1"/>
    </xf>
    <xf numFmtId="0" fontId="0" fillId="6" borderId="6" xfId="0" applyFill="1" applyBorder="1" applyAlignment="1">
      <alignment horizontal="center" vertical="center" wrapText="1"/>
    </xf>
    <xf numFmtId="0" fontId="1" fillId="7" borderId="8" xfId="0" applyFont="1" applyFill="1" applyBorder="1" applyAlignment="1">
      <alignment vertical="center" wrapText="1"/>
    </xf>
    <xf numFmtId="0" fontId="0" fillId="7" borderId="1" xfId="0" applyFill="1" applyBorder="1" applyAlignment="1">
      <alignment horizontal="center" vertical="center" wrapText="1"/>
    </xf>
    <xf numFmtId="0" fontId="1" fillId="9" borderId="8" xfId="0" applyFont="1" applyFill="1" applyBorder="1" applyAlignment="1">
      <alignment vertical="center" wrapText="1"/>
    </xf>
    <xf numFmtId="0" fontId="0" fillId="9" borderId="5" xfId="0" applyFill="1" applyBorder="1" applyAlignment="1">
      <alignment horizontal="center" vertical="center" wrapText="1"/>
    </xf>
    <xf numFmtId="0" fontId="0" fillId="9" borderId="1" xfId="0" applyFill="1" applyBorder="1" applyAlignment="1">
      <alignment horizontal="center" vertical="center" wrapText="1"/>
    </xf>
    <xf numFmtId="56" fontId="0" fillId="0" borderId="2" xfId="0" applyNumberFormat="1" applyBorder="1" applyAlignment="1">
      <alignment vertical="top" wrapText="1"/>
    </xf>
    <xf numFmtId="0" fontId="4" fillId="0" borderId="0" xfId="0" applyFont="1" applyAlignment="1">
      <alignment vertical="top" wrapText="1"/>
    </xf>
    <xf numFmtId="0" fontId="6" fillId="10" borderId="0" xfId="0" applyFont="1" applyFill="1">
      <alignment vertical="center"/>
    </xf>
    <xf numFmtId="0" fontId="7" fillId="10" borderId="0" xfId="0" applyFont="1" applyFill="1">
      <alignment vertical="center"/>
    </xf>
    <xf numFmtId="0" fontId="1" fillId="11" borderId="0" xfId="0" applyFont="1" applyFill="1" applyAlignment="1">
      <alignment vertical="center" wrapText="1"/>
    </xf>
    <xf numFmtId="0" fontId="0" fillId="12" borderId="2" xfId="0" applyFill="1" applyBorder="1" applyAlignment="1">
      <alignment vertical="top" wrapText="1"/>
    </xf>
    <xf numFmtId="0" fontId="6" fillId="10" borderId="0" xfId="0" applyFont="1" applyFill="1" applyAlignment="1">
      <alignment vertical="top" wrapText="1"/>
    </xf>
    <xf numFmtId="0" fontId="0" fillId="11" borderId="2" xfId="0" applyFill="1" applyBorder="1" applyAlignment="1">
      <alignment vertical="top" wrapText="1"/>
    </xf>
    <xf numFmtId="0" fontId="5" fillId="13" borderId="3" xfId="0" applyFont="1" applyFill="1" applyBorder="1" applyAlignment="1">
      <alignment horizontal="center" vertical="center"/>
    </xf>
    <xf numFmtId="0" fontId="5" fillId="13" borderId="2" xfId="0" applyFont="1" applyFill="1" applyBorder="1" applyAlignment="1">
      <alignment horizontal="center" vertical="center"/>
    </xf>
    <xf numFmtId="49" fontId="0" fillId="0" borderId="2" xfId="0" applyNumberFormat="1" applyBorder="1" applyAlignment="1">
      <alignment vertical="top" wrapText="1"/>
    </xf>
    <xf numFmtId="0" fontId="0" fillId="14" borderId="0" xfId="0" applyFill="1" applyBorder="1" applyAlignment="1">
      <alignment vertical="top" wrapText="1"/>
    </xf>
    <xf numFmtId="0" fontId="0" fillId="14" borderId="9" xfId="0" applyFill="1" applyBorder="1" applyAlignment="1">
      <alignment vertical="top" wrapText="1"/>
    </xf>
    <xf numFmtId="0" fontId="0" fillId="14" borderId="10" xfId="0" applyFill="1" applyBorder="1" applyAlignment="1">
      <alignment vertical="top" wrapText="1"/>
    </xf>
    <xf numFmtId="0" fontId="0" fillId="14" borderId="12" xfId="0" applyFill="1" applyBorder="1" applyAlignment="1">
      <alignment vertical="top" wrapText="1"/>
    </xf>
    <xf numFmtId="0" fontId="0" fillId="14" borderId="13" xfId="0" applyFill="1" applyBorder="1" applyAlignment="1">
      <alignment vertical="top" wrapText="1"/>
    </xf>
    <xf numFmtId="0" fontId="0" fillId="14" borderId="14" xfId="0" applyFill="1" applyBorder="1" applyAlignment="1">
      <alignment vertical="top" wrapText="1"/>
    </xf>
    <xf numFmtId="0" fontId="0" fillId="14" borderId="15" xfId="0" applyFill="1" applyBorder="1" applyAlignment="1">
      <alignment vertical="top" wrapText="1"/>
    </xf>
    <xf numFmtId="0" fontId="0" fillId="14" borderId="16" xfId="0" applyFill="1" applyBorder="1" applyAlignment="1">
      <alignment vertical="top" wrapText="1"/>
    </xf>
    <xf numFmtId="0" fontId="8" fillId="14" borderId="11" xfId="0" applyFont="1" applyFill="1" applyBorder="1" applyAlignment="1">
      <alignment vertical="top" wrapText="1"/>
    </xf>
    <xf numFmtId="0" fontId="9" fillId="0" borderId="0" xfId="0" applyFont="1">
      <alignment vertical="center"/>
    </xf>
    <xf numFmtId="0" fontId="10" fillId="0" borderId="0" xfId="0" applyFont="1">
      <alignment vertical="center"/>
    </xf>
    <xf numFmtId="0" fontId="10" fillId="0" borderId="0" xfId="0" applyFont="1" applyAlignment="1">
      <alignment vertical="top"/>
    </xf>
    <xf numFmtId="0" fontId="11" fillId="2" borderId="2" xfId="0" applyFont="1" applyFill="1" applyBorder="1" applyAlignment="1">
      <alignment horizontal="center" vertical="center"/>
    </xf>
    <xf numFmtId="0" fontId="10" fillId="0" borderId="2" xfId="0" applyFont="1" applyBorder="1" applyAlignment="1">
      <alignment vertical="top" wrapText="1"/>
    </xf>
    <xf numFmtId="0" fontId="5" fillId="2" borderId="2" xfId="0" applyFont="1" applyFill="1" applyBorder="1" applyAlignment="1">
      <alignment horizontal="center" vertical="center" wrapText="1"/>
    </xf>
    <xf numFmtId="0" fontId="12" fillId="0" borderId="0" xfId="0" applyFont="1">
      <alignment vertical="center"/>
    </xf>
    <xf numFmtId="0" fontId="12" fillId="0" borderId="0" xfId="0" applyFont="1" applyFill="1" applyBorder="1" applyAlignment="1">
      <alignment vertical="top" wrapText="1"/>
    </xf>
    <xf numFmtId="0" fontId="10" fillId="10" borderId="0" xfId="0" applyFont="1" applyFill="1">
      <alignment vertical="center"/>
    </xf>
    <xf numFmtId="0" fontId="12" fillId="10" borderId="0" xfId="0" applyFont="1" applyFill="1">
      <alignment vertical="center"/>
    </xf>
    <xf numFmtId="0" fontId="10" fillId="0" borderId="0" xfId="0" applyFont="1" applyFill="1" applyBorder="1" applyAlignment="1">
      <alignment vertical="top"/>
    </xf>
    <xf numFmtId="0" fontId="13" fillId="11" borderId="0" xfId="0" applyFont="1" applyFill="1" applyAlignment="1">
      <alignment vertical="center"/>
    </xf>
    <xf numFmtId="0" fontId="0" fillId="0" borderId="2" xfId="0" applyBorder="1">
      <alignment vertical="center"/>
    </xf>
    <xf numFmtId="0" fontId="5" fillId="13" borderId="2" xfId="0" applyFont="1" applyFill="1" applyBorder="1" applyAlignment="1">
      <alignment horizontal="center" vertical="center" wrapText="1"/>
    </xf>
    <xf numFmtId="179" fontId="0" fillId="0" borderId="2" xfId="0" applyNumberFormat="1" applyBorder="1" applyAlignment="1">
      <alignment vertical="top" wrapText="1"/>
    </xf>
    <xf numFmtId="179" fontId="0" fillId="0" borderId="2" xfId="0" applyNumberFormat="1" applyBorder="1">
      <alignment vertical="center"/>
    </xf>
    <xf numFmtId="0" fontId="0" fillId="0" borderId="2" xfId="0" applyBorder="1" applyAlignment="1">
      <alignment horizontal="center" vertical="top" wrapText="1"/>
    </xf>
    <xf numFmtId="0" fontId="1" fillId="0" borderId="2" xfId="0" applyFont="1" applyBorder="1">
      <alignment vertical="center"/>
    </xf>
    <xf numFmtId="179" fontId="1" fillId="0" borderId="2" xfId="0" applyNumberFormat="1" applyFont="1" applyBorder="1">
      <alignment vertical="center"/>
    </xf>
    <xf numFmtId="0" fontId="0" fillId="11" borderId="17" xfId="0" applyFill="1" applyBorder="1" applyAlignment="1">
      <alignment vertical="center" wrapText="1"/>
    </xf>
    <xf numFmtId="49" fontId="4" fillId="0" borderId="2" xfId="0" applyNumberFormat="1" applyFont="1" applyBorder="1" applyAlignment="1">
      <alignment vertical="top" wrapText="1"/>
    </xf>
    <xf numFmtId="0" fontId="1" fillId="15" borderId="2" xfId="0" applyFont="1" applyFill="1" applyBorder="1">
      <alignment vertical="center"/>
    </xf>
    <xf numFmtId="1" fontId="0" fillId="0" borderId="2" xfId="0" applyNumberFormat="1" applyBorder="1" applyAlignment="1">
      <alignment vertical="top" wrapText="1"/>
    </xf>
    <xf numFmtId="2" fontId="0" fillId="0" borderId="2" xfId="0" applyNumberFormat="1" applyBorder="1" applyAlignment="1">
      <alignment vertical="top" wrapText="1"/>
    </xf>
    <xf numFmtId="2" fontId="1" fillId="15" borderId="2" xfId="0" applyNumberFormat="1" applyFont="1" applyFill="1" applyBorder="1">
      <alignment vertical="center"/>
    </xf>
    <xf numFmtId="0" fontId="1" fillId="15" borderId="2" xfId="0" applyFont="1" applyFill="1" applyBorder="1" applyAlignment="1">
      <alignment horizontal="center" vertical="top" wrapText="1"/>
    </xf>
    <xf numFmtId="0" fontId="1" fillId="15" borderId="2" xfId="0" applyFont="1" applyFill="1" applyBorder="1" applyAlignment="1">
      <alignment horizontal="center" vertical="center"/>
    </xf>
    <xf numFmtId="0" fontId="1" fillId="0" borderId="2" xfId="0" applyFont="1" applyBorder="1" applyAlignment="1">
      <alignment vertical="top" wrapText="1"/>
    </xf>
    <xf numFmtId="1" fontId="1" fillId="0" borderId="2" xfId="0" applyNumberFormat="1" applyFont="1" applyBorder="1">
      <alignment vertical="center"/>
    </xf>
    <xf numFmtId="0" fontId="0" fillId="0" borderId="2" xfId="0" applyFont="1" applyFill="1" applyBorder="1" applyAlignment="1">
      <alignment vertical="top" wrapText="1"/>
    </xf>
    <xf numFmtId="0" fontId="1" fillId="14" borderId="2" xfId="0" applyFont="1" applyFill="1" applyBorder="1">
      <alignment vertical="center"/>
    </xf>
    <xf numFmtId="179" fontId="1" fillId="15" borderId="2" xfId="0" applyNumberFormat="1" applyFont="1" applyFill="1" applyBorder="1">
      <alignment vertical="center"/>
    </xf>
    <xf numFmtId="179" fontId="1" fillId="14" borderId="2" xfId="0" applyNumberFormat="1" applyFont="1" applyFill="1" applyBorder="1">
      <alignment vertical="center"/>
    </xf>
    <xf numFmtId="2" fontId="0" fillId="0" borderId="2" xfId="0" applyNumberFormat="1" applyBorder="1">
      <alignment vertical="center"/>
    </xf>
    <xf numFmtId="2" fontId="1" fillId="14" borderId="2" xfId="0" applyNumberFormat="1" applyFont="1" applyFill="1" applyBorder="1">
      <alignment vertical="center"/>
    </xf>
    <xf numFmtId="0" fontId="1" fillId="14" borderId="2" xfId="0" applyFont="1" applyFill="1" applyBorder="1" applyAlignment="1">
      <alignment horizontal="center" vertical="top" wrapText="1"/>
    </xf>
    <xf numFmtId="0" fontId="1" fillId="14" borderId="2" xfId="0" applyFont="1" applyFill="1" applyBorder="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4160BE1-063F-A349-854D-20148F405AAA}">
  <we:reference id="wa200010725" version="1.0.0.1" store="en-US" storeType="OMEX"/>
  <we:alternateReferences>
    <we:reference id="wa200010725" version="1.0.0.1" store="" storeType="OMEX"/>
  </we:alternateReferences>
  <we:properties>
    <we:property name="claude.fileId" value="&quot;b9cb7434-595b-466c-bb7e-75abe0fbc067&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68219-F8FF-964D-9E27-EF797A07CBDF}">
  <dimension ref="A1:D44"/>
  <sheetViews>
    <sheetView workbookViewId="0">
      <selection activeCell="F23" sqref="F23"/>
    </sheetView>
  </sheetViews>
  <sheetFormatPr baseColWidth="10" defaultRowHeight="20"/>
  <cols>
    <col min="1" max="1" width="30" customWidth="1"/>
    <col min="2" max="2" width="61.42578125" customWidth="1"/>
    <col min="3" max="3" width="30" customWidth="1"/>
    <col min="4" max="4" width="15.7109375" customWidth="1"/>
  </cols>
  <sheetData>
    <row r="1" spans="1:3" ht="27">
      <c r="A1" s="1" t="s">
        <v>79</v>
      </c>
    </row>
    <row r="2" spans="1:3">
      <c r="A2" t="s">
        <v>80</v>
      </c>
    </row>
    <row r="4" spans="1:3">
      <c r="A4" s="2" t="s">
        <v>81</v>
      </c>
    </row>
    <row r="5" spans="1:3">
      <c r="A5" s="7" t="s">
        <v>82</v>
      </c>
      <c r="B5" s="7" t="s">
        <v>83</v>
      </c>
      <c r="C5" s="7"/>
    </row>
    <row r="6" spans="1:3" ht="21">
      <c r="A6" s="8" t="s">
        <v>84</v>
      </c>
      <c r="B6" s="8" t="s">
        <v>79</v>
      </c>
      <c r="C6" s="8" t="s">
        <v>85</v>
      </c>
    </row>
    <row r="7" spans="1:3" ht="21">
      <c r="A7" s="8" t="s">
        <v>86</v>
      </c>
      <c r="B7" s="8" t="s">
        <v>87</v>
      </c>
      <c r="C7" s="8"/>
    </row>
    <row r="8" spans="1:3" ht="42">
      <c r="A8" s="8" t="s">
        <v>88</v>
      </c>
      <c r="B8" s="8" t="s">
        <v>89</v>
      </c>
      <c r="C8" s="8"/>
    </row>
    <row r="9" spans="1:3" ht="21">
      <c r="A9" s="8" t="s">
        <v>90</v>
      </c>
      <c r="B9" s="8" t="s">
        <v>91</v>
      </c>
      <c r="C9" s="8"/>
    </row>
    <row r="10" spans="1:3" ht="21">
      <c r="A10" s="8" t="s">
        <v>92</v>
      </c>
      <c r="B10" s="41" t="s">
        <v>2089</v>
      </c>
      <c r="C10" s="8" t="s">
        <v>85</v>
      </c>
    </row>
    <row r="11" spans="1:3" ht="21">
      <c r="A11" s="8" t="s">
        <v>93</v>
      </c>
      <c r="B11" s="41" t="s">
        <v>524</v>
      </c>
      <c r="C11" s="8" t="s">
        <v>85</v>
      </c>
    </row>
    <row r="12" spans="1:3" ht="21">
      <c r="A12" s="8" t="s">
        <v>94</v>
      </c>
      <c r="B12" s="8"/>
      <c r="C12" s="8" t="s">
        <v>85</v>
      </c>
    </row>
    <row r="13" spans="1:3" ht="21">
      <c r="A13" s="8" t="s">
        <v>95</v>
      </c>
      <c r="B13" s="8"/>
      <c r="C13" s="8" t="s">
        <v>85</v>
      </c>
    </row>
    <row r="14" spans="1:3">
      <c r="A14" s="8"/>
      <c r="B14" s="8"/>
      <c r="C14" s="8"/>
    </row>
    <row r="15" spans="1:3" ht="63">
      <c r="A15" s="8" t="s">
        <v>96</v>
      </c>
      <c r="B15" s="8" t="s">
        <v>1521</v>
      </c>
      <c r="C15" s="8" t="s">
        <v>85</v>
      </c>
    </row>
    <row r="22" spans="4:4">
      <c r="D22" s="8"/>
    </row>
    <row r="23" spans="4:4">
      <c r="D23" s="8"/>
    </row>
    <row r="24" spans="4:4">
      <c r="D24" s="8"/>
    </row>
    <row r="25" spans="4:4">
      <c r="D25" s="8"/>
    </row>
    <row r="26" spans="4:4">
      <c r="D26" s="8"/>
    </row>
    <row r="27" spans="4:4">
      <c r="D27" s="8"/>
    </row>
    <row r="28" spans="4:4">
      <c r="D28" s="8"/>
    </row>
    <row r="29" spans="4:4">
      <c r="D29" s="8"/>
    </row>
    <row r="30" spans="4:4">
      <c r="D30" s="8"/>
    </row>
    <row r="31" spans="4:4">
      <c r="D31" s="8"/>
    </row>
    <row r="34" spans="1:4" ht="21">
      <c r="A34" s="10" t="s">
        <v>97</v>
      </c>
    </row>
    <row r="35" spans="1:4">
      <c r="A35" s="7" t="s">
        <v>92</v>
      </c>
      <c r="B35" s="7" t="s">
        <v>98</v>
      </c>
      <c r="C35" s="7" t="s">
        <v>99</v>
      </c>
      <c r="D35" s="7" t="s">
        <v>100</v>
      </c>
    </row>
    <row r="36" spans="1:4" ht="21">
      <c r="A36" s="41" t="s">
        <v>523</v>
      </c>
      <c r="B36" s="41" t="s">
        <v>524</v>
      </c>
      <c r="C36" s="8" t="s">
        <v>525</v>
      </c>
      <c r="D36" s="8"/>
    </row>
    <row r="37" spans="1:4" ht="189">
      <c r="A37" s="41" t="s">
        <v>1520</v>
      </c>
      <c r="B37" s="41" t="s">
        <v>1522</v>
      </c>
      <c r="C37" s="41" t="s">
        <v>1523</v>
      </c>
      <c r="D37" s="41" t="s">
        <v>1524</v>
      </c>
    </row>
    <row r="38" spans="1:4" ht="147">
      <c r="A38" s="41" t="s">
        <v>1625</v>
      </c>
      <c r="B38" s="41" t="s">
        <v>1522</v>
      </c>
      <c r="C38" s="41" t="s">
        <v>1626</v>
      </c>
      <c r="D38" s="41" t="s">
        <v>1524</v>
      </c>
    </row>
    <row r="39" spans="1:4" ht="84">
      <c r="A39" s="71" t="s">
        <v>1654</v>
      </c>
      <c r="B39" s="41" t="s">
        <v>1655</v>
      </c>
      <c r="C39" s="41" t="s">
        <v>1656</v>
      </c>
      <c r="D39" s="41" t="s">
        <v>1524</v>
      </c>
    </row>
    <row r="40" spans="1:4" ht="84">
      <c r="A40" s="41" t="s">
        <v>1703</v>
      </c>
      <c r="B40" s="41" t="s">
        <v>1655</v>
      </c>
      <c r="C40" s="41" t="s">
        <v>1704</v>
      </c>
      <c r="D40" s="41" t="s">
        <v>1524</v>
      </c>
    </row>
    <row r="41" spans="1:4" ht="126">
      <c r="A41" s="41" t="s">
        <v>2090</v>
      </c>
      <c r="B41" s="41" t="s">
        <v>1655</v>
      </c>
      <c r="C41" s="41" t="s">
        <v>2091</v>
      </c>
      <c r="D41" s="41" t="s">
        <v>1524</v>
      </c>
    </row>
    <row r="42" spans="1:4" ht="105">
      <c r="A42" s="4" t="s">
        <v>63</v>
      </c>
    </row>
    <row r="43" spans="1:4" ht="42">
      <c r="A43" s="4" t="s">
        <v>64</v>
      </c>
    </row>
    <row r="44" spans="1:4">
      <c r="A44" t="s">
        <v>65</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8D42C-589D-FD40-8240-035A97FA79D2}">
  <dimension ref="A1:D67"/>
  <sheetViews>
    <sheetView workbookViewId="0">
      <selection activeCell="B78" sqref="B78"/>
    </sheetView>
  </sheetViews>
  <sheetFormatPr baseColWidth="10" defaultRowHeight="20"/>
  <cols>
    <col min="1" max="1" width="27.140625" customWidth="1"/>
    <col min="2" max="2" width="91.42578125" customWidth="1"/>
    <col min="3" max="3" width="8.5703125" customWidth="1"/>
    <col min="4" max="5" width="24.28515625" customWidth="1"/>
  </cols>
  <sheetData>
    <row r="1" spans="1:2" ht="27">
      <c r="A1" s="1" t="s">
        <v>526</v>
      </c>
    </row>
    <row r="3" spans="1:2">
      <c r="A3" s="2" t="s">
        <v>527</v>
      </c>
    </row>
    <row r="4" spans="1:2">
      <c r="A4" s="7" t="s">
        <v>528</v>
      </c>
      <c r="B4" s="7" t="s">
        <v>83</v>
      </c>
    </row>
    <row r="5" spans="1:2" ht="63">
      <c r="A5" s="8" t="s">
        <v>529</v>
      </c>
      <c r="B5" s="8" t="s">
        <v>1381</v>
      </c>
    </row>
    <row r="6" spans="1:2" ht="63">
      <c r="A6" s="8" t="s">
        <v>530</v>
      </c>
      <c r="B6" s="8" t="s">
        <v>531</v>
      </c>
    </row>
    <row r="7" spans="1:2" ht="21">
      <c r="A7" s="8" t="s">
        <v>532</v>
      </c>
      <c r="B7" s="8" t="s">
        <v>533</v>
      </c>
    </row>
    <row r="10" spans="1:2" ht="21">
      <c r="A10" s="10" t="s">
        <v>534</v>
      </c>
    </row>
    <row r="11" spans="1:2">
      <c r="A11" s="7" t="s">
        <v>160</v>
      </c>
      <c r="B11" s="7" t="s">
        <v>535</v>
      </c>
    </row>
    <row r="12" spans="1:2" ht="42">
      <c r="A12" s="8" t="s">
        <v>536</v>
      </c>
      <c r="B12" s="8" t="s">
        <v>537</v>
      </c>
    </row>
    <row r="13" spans="1:2" ht="21">
      <c r="A13" s="8" t="s">
        <v>538</v>
      </c>
      <c r="B13" s="8" t="s">
        <v>537</v>
      </c>
    </row>
    <row r="14" spans="1:2" ht="42">
      <c r="A14" s="8" t="s">
        <v>539</v>
      </c>
      <c r="B14" s="8" t="s">
        <v>537</v>
      </c>
    </row>
    <row r="15" spans="1:2" ht="21">
      <c r="A15" s="8" t="s">
        <v>540</v>
      </c>
      <c r="B15" s="8" t="s">
        <v>537</v>
      </c>
    </row>
    <row r="16" spans="1:2" ht="21">
      <c r="A16" s="8" t="s">
        <v>541</v>
      </c>
      <c r="B16" s="8" t="s">
        <v>537</v>
      </c>
    </row>
    <row r="17" spans="1:2" ht="21">
      <c r="A17" s="8" t="s">
        <v>542</v>
      </c>
      <c r="B17" s="8" t="s">
        <v>543</v>
      </c>
    </row>
    <row r="20" spans="1:2" ht="21">
      <c r="A20" s="10" t="s">
        <v>544</v>
      </c>
    </row>
    <row r="21" spans="1:2">
      <c r="A21" s="7" t="s">
        <v>82</v>
      </c>
      <c r="B21" s="7" t="s">
        <v>545</v>
      </c>
    </row>
    <row r="22" spans="1:2" ht="42">
      <c r="A22" s="8" t="s">
        <v>546</v>
      </c>
      <c r="B22" s="8" t="s">
        <v>547</v>
      </c>
    </row>
    <row r="23" spans="1:2" ht="42">
      <c r="A23" s="8" t="s">
        <v>548</v>
      </c>
      <c r="B23" s="8" t="s">
        <v>549</v>
      </c>
    </row>
    <row r="24" spans="1:2" ht="21">
      <c r="A24" s="8" t="s">
        <v>550</v>
      </c>
      <c r="B24" s="8" t="s">
        <v>551</v>
      </c>
    </row>
    <row r="25" spans="1:2" ht="42">
      <c r="A25" s="8" t="s">
        <v>552</v>
      </c>
      <c r="B25" s="8" t="s">
        <v>553</v>
      </c>
    </row>
    <row r="26" spans="1:2" ht="21">
      <c r="A26" s="8" t="s">
        <v>554</v>
      </c>
      <c r="B26" s="8" t="s">
        <v>555</v>
      </c>
    </row>
    <row r="27" spans="1:2" ht="42">
      <c r="A27" s="8" t="s">
        <v>556</v>
      </c>
      <c r="B27" s="8" t="s">
        <v>557</v>
      </c>
    </row>
    <row r="28" spans="1:2" ht="21">
      <c r="A28" s="8" t="s">
        <v>558</v>
      </c>
      <c r="B28" s="8" t="s">
        <v>559</v>
      </c>
    </row>
    <row r="29" spans="1:2" ht="21">
      <c r="A29" s="8" t="s">
        <v>560</v>
      </c>
      <c r="B29" s="8" t="s">
        <v>561</v>
      </c>
    </row>
    <row r="30" spans="1:2" ht="21">
      <c r="A30" s="8" t="s">
        <v>562</v>
      </c>
      <c r="B30" s="8" t="s">
        <v>563</v>
      </c>
    </row>
    <row r="31" spans="1:2" ht="21">
      <c r="A31" s="8" t="s">
        <v>564</v>
      </c>
      <c r="B31" s="8" t="s">
        <v>565</v>
      </c>
    </row>
    <row r="32" spans="1:2" ht="21">
      <c r="A32" s="8" t="s">
        <v>566</v>
      </c>
      <c r="B32" s="8" t="s">
        <v>567</v>
      </c>
    </row>
    <row r="33" spans="1:2" ht="42">
      <c r="A33" s="8" t="s">
        <v>568</v>
      </c>
      <c r="B33" s="8" t="s">
        <v>569</v>
      </c>
    </row>
    <row r="34" spans="1:2" ht="42">
      <c r="A34" s="8" t="s">
        <v>570</v>
      </c>
      <c r="B34" s="8" t="s">
        <v>571</v>
      </c>
    </row>
    <row r="35" spans="1:2" ht="42">
      <c r="A35" s="8" t="s">
        <v>572</v>
      </c>
      <c r="B35" s="8" t="s">
        <v>573</v>
      </c>
    </row>
    <row r="38" spans="1:2" ht="42">
      <c r="A38" s="10" t="s">
        <v>574</v>
      </c>
    </row>
    <row r="39" spans="1:2">
      <c r="A39" s="7" t="s">
        <v>575</v>
      </c>
      <c r="B39" s="7" t="s">
        <v>234</v>
      </c>
    </row>
    <row r="40" spans="1:2" ht="42">
      <c r="A40" s="8" t="s">
        <v>576</v>
      </c>
      <c r="B40" s="8" t="s">
        <v>577</v>
      </c>
    </row>
    <row r="41" spans="1:2" ht="42">
      <c r="A41" s="8" t="s">
        <v>108</v>
      </c>
      <c r="B41" s="8" t="s">
        <v>578</v>
      </c>
    </row>
    <row r="42" spans="1:2" ht="42">
      <c r="A42" s="8" t="s">
        <v>579</v>
      </c>
      <c r="B42" s="8" t="s">
        <v>580</v>
      </c>
    </row>
    <row r="43" spans="1:2" ht="42">
      <c r="A43" s="8" t="s">
        <v>581</v>
      </c>
      <c r="B43" s="8" t="s">
        <v>582</v>
      </c>
    </row>
    <row r="44" spans="1:2" ht="21">
      <c r="A44" s="8" t="s">
        <v>583</v>
      </c>
      <c r="B44" s="8" t="s">
        <v>584</v>
      </c>
    </row>
    <row r="45" spans="1:2" ht="42">
      <c r="A45" s="8" t="s">
        <v>585</v>
      </c>
      <c r="B45" s="8" t="s">
        <v>586</v>
      </c>
    </row>
    <row r="46" spans="1:2" ht="21">
      <c r="A46" s="8" t="s">
        <v>587</v>
      </c>
      <c r="B46" s="8" t="s">
        <v>588</v>
      </c>
    </row>
    <row r="47" spans="1:2" ht="21">
      <c r="A47" s="8" t="s">
        <v>589</v>
      </c>
      <c r="B47" s="8" t="s">
        <v>590</v>
      </c>
    </row>
    <row r="48" spans="1:2" ht="21">
      <c r="A48" s="8" t="s">
        <v>591</v>
      </c>
      <c r="B48" s="8" t="s">
        <v>592</v>
      </c>
    </row>
    <row r="49" spans="1:4" ht="63">
      <c r="A49" s="8" t="s">
        <v>1392</v>
      </c>
      <c r="B49" s="8" t="s">
        <v>1393</v>
      </c>
    </row>
    <row r="51" spans="1:4" ht="63">
      <c r="A51" s="10" t="s">
        <v>593</v>
      </c>
    </row>
    <row r="52" spans="1:4">
      <c r="A52" t="s">
        <v>1322</v>
      </c>
    </row>
    <row r="53" spans="1:4">
      <c r="A53" s="7" t="s">
        <v>594</v>
      </c>
      <c r="B53" s="7" t="s">
        <v>595</v>
      </c>
      <c r="C53" s="7" t="s">
        <v>596</v>
      </c>
      <c r="D53" s="7" t="s">
        <v>597</v>
      </c>
    </row>
    <row r="54" spans="1:4" ht="84">
      <c r="A54" s="8" t="s">
        <v>598</v>
      </c>
      <c r="B54" s="8" t="s">
        <v>599</v>
      </c>
      <c r="C54" s="8" t="s">
        <v>600</v>
      </c>
      <c r="D54" s="8" t="s">
        <v>601</v>
      </c>
    </row>
    <row r="55" spans="1:4" ht="63">
      <c r="A55" s="8" t="s">
        <v>602</v>
      </c>
      <c r="B55" s="8" t="s">
        <v>603</v>
      </c>
      <c r="C55" s="8" t="s">
        <v>600</v>
      </c>
      <c r="D55" s="8" t="s">
        <v>601</v>
      </c>
    </row>
    <row r="56" spans="1:4" ht="84">
      <c r="A56" s="8" t="s">
        <v>604</v>
      </c>
      <c r="B56" s="8" t="s">
        <v>605</v>
      </c>
      <c r="C56" s="8" t="s">
        <v>600</v>
      </c>
      <c r="D56" s="8" t="s">
        <v>601</v>
      </c>
    </row>
    <row r="57" spans="1:4" ht="63">
      <c r="A57" s="8" t="s">
        <v>606</v>
      </c>
      <c r="B57" s="8" t="s">
        <v>607</v>
      </c>
      <c r="C57" s="8" t="s">
        <v>600</v>
      </c>
      <c r="D57" s="8" t="s">
        <v>608</v>
      </c>
    </row>
    <row r="58" spans="1:4" ht="63">
      <c r="A58" s="8" t="s">
        <v>609</v>
      </c>
      <c r="B58" s="8" t="s">
        <v>610</v>
      </c>
      <c r="C58" s="8" t="s">
        <v>600</v>
      </c>
      <c r="D58" s="8" t="s">
        <v>608</v>
      </c>
    </row>
    <row r="59" spans="1:4" ht="42">
      <c r="A59" s="8" t="s">
        <v>611</v>
      </c>
      <c r="B59" s="8" t="s">
        <v>612</v>
      </c>
      <c r="C59" s="8" t="s">
        <v>600</v>
      </c>
      <c r="D59" s="8" t="s">
        <v>608</v>
      </c>
    </row>
    <row r="60" spans="1:4" ht="42">
      <c r="A60" s="8" t="s">
        <v>613</v>
      </c>
      <c r="B60" s="8" t="s">
        <v>614</v>
      </c>
      <c r="C60" s="8" t="s">
        <v>615</v>
      </c>
      <c r="D60" s="8" t="s">
        <v>616</v>
      </c>
    </row>
    <row r="61" spans="1:4" ht="63">
      <c r="A61" s="8" t="s">
        <v>617</v>
      </c>
      <c r="B61" s="8" t="s">
        <v>618</v>
      </c>
      <c r="C61" s="8" t="s">
        <v>615</v>
      </c>
      <c r="D61" s="8" t="s">
        <v>616</v>
      </c>
    </row>
    <row r="62" spans="1:4" ht="63">
      <c r="A62" s="8" t="s">
        <v>619</v>
      </c>
      <c r="B62" s="8" t="s">
        <v>620</v>
      </c>
      <c r="C62" s="8" t="s">
        <v>615</v>
      </c>
      <c r="D62" s="8" t="s">
        <v>621</v>
      </c>
    </row>
    <row r="63" spans="1:4" ht="63">
      <c r="A63" s="8" t="s">
        <v>622</v>
      </c>
      <c r="B63" s="8" t="s">
        <v>623</v>
      </c>
      <c r="C63" s="8" t="s">
        <v>615</v>
      </c>
      <c r="D63" s="8" t="s">
        <v>621</v>
      </c>
    </row>
    <row r="64" spans="1:4" ht="63">
      <c r="A64" s="8" t="s">
        <v>624</v>
      </c>
      <c r="B64" s="8" t="s">
        <v>625</v>
      </c>
      <c r="C64" s="8" t="s">
        <v>615</v>
      </c>
      <c r="D64" s="8" t="s">
        <v>621</v>
      </c>
    </row>
    <row r="65" spans="1:4" ht="63">
      <c r="A65" s="8" t="s">
        <v>626</v>
      </c>
      <c r="B65" s="8" t="s">
        <v>627</v>
      </c>
      <c r="C65" s="8" t="s">
        <v>615</v>
      </c>
      <c r="D65" s="8" t="s">
        <v>628</v>
      </c>
    </row>
    <row r="66" spans="1:4" ht="63">
      <c r="A66" s="8" t="s">
        <v>629</v>
      </c>
      <c r="B66" s="8" t="s">
        <v>630</v>
      </c>
      <c r="C66" s="8" t="s">
        <v>615</v>
      </c>
      <c r="D66" s="8" t="s">
        <v>628</v>
      </c>
    </row>
    <row r="67" spans="1:4" ht="84">
      <c r="A67" s="8" t="s">
        <v>1394</v>
      </c>
      <c r="B67" s="8" t="s">
        <v>1395</v>
      </c>
      <c r="C67" s="8" t="s">
        <v>22</v>
      </c>
      <c r="D67" s="8" t="s">
        <v>487</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CE13B-69B0-1847-B6E5-D76B875054E9}">
  <dimension ref="A1:F109"/>
  <sheetViews>
    <sheetView topLeftCell="A94" zoomScale="92" workbookViewId="0">
      <selection activeCell="E109" sqref="E109"/>
    </sheetView>
  </sheetViews>
  <sheetFormatPr baseColWidth="10" defaultRowHeight="20"/>
  <cols>
    <col min="1" max="1" width="35.7109375" customWidth="1"/>
    <col min="2" max="2" width="30" customWidth="1"/>
    <col min="3" max="3" width="32.85546875" customWidth="1"/>
    <col min="4" max="4" width="47.140625" customWidth="1"/>
    <col min="5" max="5" width="24.28515625" customWidth="1"/>
    <col min="6" max="6" width="15.7109375" customWidth="1"/>
  </cols>
  <sheetData>
    <row r="1" spans="1:4" ht="27">
      <c r="A1" s="1" t="s">
        <v>631</v>
      </c>
    </row>
    <row r="3" spans="1:4" ht="21" thickBot="1">
      <c r="A3" s="2" t="s">
        <v>632</v>
      </c>
    </row>
    <row r="4" spans="1:4" ht="22" customHeight="1">
      <c r="A4" s="50" t="s">
        <v>633</v>
      </c>
      <c r="B4" s="43"/>
      <c r="C4" s="47"/>
    </row>
    <row r="5" spans="1:4" ht="22" customHeight="1">
      <c r="A5" s="45" t="s">
        <v>634</v>
      </c>
      <c r="B5" s="42"/>
      <c r="C5" s="48"/>
    </row>
    <row r="6" spans="1:4" ht="22" customHeight="1">
      <c r="A6" s="45"/>
      <c r="B6" s="42"/>
      <c r="C6" s="48"/>
    </row>
    <row r="7" spans="1:4" ht="22" customHeight="1" thickBot="1">
      <c r="A7" s="46" t="s">
        <v>635</v>
      </c>
      <c r="B7" s="44"/>
      <c r="C7" s="49"/>
    </row>
    <row r="9" spans="1:4">
      <c r="A9" s="7" t="s">
        <v>636</v>
      </c>
      <c r="B9" s="7" t="s">
        <v>637</v>
      </c>
      <c r="C9" s="7" t="s">
        <v>638</v>
      </c>
      <c r="D9" s="7"/>
    </row>
    <row r="10" spans="1:4" ht="21">
      <c r="A10" s="8" t="s">
        <v>639</v>
      </c>
      <c r="B10" s="8" t="s">
        <v>108</v>
      </c>
      <c r="C10" s="8" t="s">
        <v>640</v>
      </c>
      <c r="D10" s="8"/>
    </row>
    <row r="11" spans="1:4" ht="21">
      <c r="A11" s="8" t="s">
        <v>639</v>
      </c>
      <c r="B11" s="8" t="s">
        <v>641</v>
      </c>
      <c r="C11" s="8" t="s">
        <v>642</v>
      </c>
      <c r="D11" s="8"/>
    </row>
    <row r="12" spans="1:4" ht="21">
      <c r="A12" s="8" t="s">
        <v>639</v>
      </c>
      <c r="B12" s="8" t="s">
        <v>643</v>
      </c>
      <c r="C12" s="8" t="s">
        <v>644</v>
      </c>
      <c r="D12" s="8"/>
    </row>
    <row r="13" spans="1:4" ht="21">
      <c r="A13" s="8" t="s">
        <v>639</v>
      </c>
      <c r="B13" s="8" t="s">
        <v>119</v>
      </c>
      <c r="C13" s="8" t="s">
        <v>645</v>
      </c>
      <c r="D13" s="8"/>
    </row>
    <row r="14" spans="1:4" ht="21">
      <c r="A14" s="8" t="s">
        <v>639</v>
      </c>
      <c r="B14" s="8" t="s">
        <v>122</v>
      </c>
      <c r="C14" s="8" t="s">
        <v>646</v>
      </c>
      <c r="D14" s="8"/>
    </row>
    <row r="15" spans="1:4" ht="42">
      <c r="A15" s="8" t="s">
        <v>647</v>
      </c>
      <c r="B15" s="8" t="s">
        <v>648</v>
      </c>
      <c r="C15" s="8" t="s">
        <v>649</v>
      </c>
      <c r="D15" s="8"/>
    </row>
    <row r="16" spans="1:4" ht="42">
      <c r="A16" s="8" t="s">
        <v>647</v>
      </c>
      <c r="B16" s="8" t="s">
        <v>650</v>
      </c>
      <c r="C16" s="8" t="s">
        <v>649</v>
      </c>
      <c r="D16" s="8"/>
    </row>
    <row r="17" spans="1:6" ht="21">
      <c r="A17" s="8" t="s">
        <v>651</v>
      </c>
      <c r="B17" s="8" t="s">
        <v>129</v>
      </c>
      <c r="C17" s="8" t="s">
        <v>652</v>
      </c>
      <c r="D17" s="8"/>
    </row>
    <row r="18" spans="1:6" ht="21">
      <c r="A18" s="8" t="s">
        <v>651</v>
      </c>
      <c r="B18" s="8" t="s">
        <v>134</v>
      </c>
      <c r="C18" s="8" t="s">
        <v>653</v>
      </c>
      <c r="D18" s="8"/>
    </row>
    <row r="19" spans="1:6" ht="21">
      <c r="A19" s="8" t="s">
        <v>654</v>
      </c>
      <c r="B19" s="8" t="s">
        <v>129</v>
      </c>
      <c r="C19" s="8" t="s">
        <v>85</v>
      </c>
      <c r="D19" s="8"/>
    </row>
    <row r="20" spans="1:6" ht="21">
      <c r="A20" s="8" t="s">
        <v>654</v>
      </c>
      <c r="B20" s="8" t="s">
        <v>134</v>
      </c>
      <c r="C20" s="8" t="s">
        <v>653</v>
      </c>
      <c r="D20" s="8"/>
    </row>
    <row r="23" spans="1:6">
      <c r="A23" s="7" t="s">
        <v>655</v>
      </c>
      <c r="B23" s="7" t="s">
        <v>656</v>
      </c>
      <c r="C23" s="7" t="s">
        <v>657</v>
      </c>
      <c r="D23" s="7" t="s">
        <v>658</v>
      </c>
      <c r="E23" s="7" t="s">
        <v>659</v>
      </c>
      <c r="F23" s="7"/>
    </row>
    <row r="24" spans="1:6" ht="42">
      <c r="A24" s="8">
        <v>1</v>
      </c>
      <c r="B24" s="8" t="s">
        <v>108</v>
      </c>
      <c r="C24" s="8" t="s">
        <v>660</v>
      </c>
      <c r="D24" s="8" t="s">
        <v>661</v>
      </c>
      <c r="E24" s="8" t="s">
        <v>662</v>
      </c>
      <c r="F24" s="8"/>
    </row>
    <row r="25" spans="1:6" ht="21">
      <c r="A25" s="8">
        <v>2</v>
      </c>
      <c r="B25" s="8" t="s">
        <v>108</v>
      </c>
      <c r="C25" s="8" t="s">
        <v>663</v>
      </c>
      <c r="D25" s="8" t="s">
        <v>664</v>
      </c>
      <c r="E25" s="8" t="s">
        <v>662</v>
      </c>
      <c r="F25" s="8"/>
    </row>
    <row r="26" spans="1:6" ht="21">
      <c r="A26" s="8">
        <v>3</v>
      </c>
      <c r="B26" s="8" t="s">
        <v>108</v>
      </c>
      <c r="C26" s="8" t="s">
        <v>641</v>
      </c>
      <c r="D26" s="8" t="s">
        <v>665</v>
      </c>
      <c r="E26" s="8" t="s">
        <v>666</v>
      </c>
      <c r="F26" s="8"/>
    </row>
    <row r="27" spans="1:6" ht="21">
      <c r="A27" s="8">
        <v>4</v>
      </c>
      <c r="B27" s="8" t="s">
        <v>108</v>
      </c>
      <c r="C27" s="8" t="s">
        <v>643</v>
      </c>
      <c r="D27" s="8" t="s">
        <v>667</v>
      </c>
      <c r="E27" s="8" t="s">
        <v>666</v>
      </c>
      <c r="F27" s="8"/>
    </row>
    <row r="28" spans="1:6" ht="21">
      <c r="A28" s="8">
        <v>5</v>
      </c>
      <c r="B28" s="8" t="s">
        <v>643</v>
      </c>
      <c r="C28" s="8" t="s">
        <v>641</v>
      </c>
      <c r="D28" s="8" t="s">
        <v>668</v>
      </c>
      <c r="E28" s="8" t="s">
        <v>666</v>
      </c>
      <c r="F28" s="8"/>
    </row>
    <row r="29" spans="1:6" ht="21">
      <c r="A29" s="8">
        <v>6</v>
      </c>
      <c r="B29" s="8" t="s">
        <v>643</v>
      </c>
      <c r="C29" s="8" t="s">
        <v>648</v>
      </c>
      <c r="D29" s="8" t="s">
        <v>669</v>
      </c>
      <c r="E29" s="8" t="s">
        <v>670</v>
      </c>
      <c r="F29" s="8"/>
    </row>
    <row r="30" spans="1:6" ht="21">
      <c r="A30" s="8">
        <v>7</v>
      </c>
      <c r="B30" s="8" t="s">
        <v>648</v>
      </c>
      <c r="C30" s="8" t="s">
        <v>671</v>
      </c>
      <c r="D30" s="8" t="s">
        <v>85</v>
      </c>
      <c r="E30" s="8" t="s">
        <v>670</v>
      </c>
      <c r="F30" s="8"/>
    </row>
    <row r="31" spans="1:6" ht="21">
      <c r="A31" s="8">
        <v>8</v>
      </c>
      <c r="B31" s="8" t="s">
        <v>643</v>
      </c>
      <c r="C31" s="8" t="s">
        <v>650</v>
      </c>
      <c r="D31" s="8" t="s">
        <v>85</v>
      </c>
      <c r="E31" s="8" t="s">
        <v>670</v>
      </c>
      <c r="F31" s="8"/>
    </row>
    <row r="32" spans="1:6" ht="21">
      <c r="A32" s="8">
        <v>9</v>
      </c>
      <c r="B32" s="8" t="s">
        <v>650</v>
      </c>
      <c r="C32" s="8" t="s">
        <v>672</v>
      </c>
      <c r="D32" s="8" t="s">
        <v>85</v>
      </c>
      <c r="E32" s="8" t="s">
        <v>670</v>
      </c>
      <c r="F32" s="8"/>
    </row>
    <row r="33" spans="1:6" ht="21">
      <c r="A33" s="8">
        <v>10</v>
      </c>
      <c r="B33" s="8" t="s">
        <v>643</v>
      </c>
      <c r="C33" s="8" t="s">
        <v>119</v>
      </c>
      <c r="D33" s="8" t="s">
        <v>673</v>
      </c>
      <c r="E33" s="8" t="s">
        <v>666</v>
      </c>
      <c r="F33" s="8"/>
    </row>
    <row r="34" spans="1:6" ht="21">
      <c r="A34" s="8">
        <v>11</v>
      </c>
      <c r="B34" s="8" t="s">
        <v>119</v>
      </c>
      <c r="C34" s="8" t="s">
        <v>674</v>
      </c>
      <c r="D34" s="8" t="s">
        <v>85</v>
      </c>
      <c r="E34" s="8" t="s">
        <v>666</v>
      </c>
      <c r="F34" s="8"/>
    </row>
    <row r="36" spans="1:6">
      <c r="A36" s="3" t="s">
        <v>675</v>
      </c>
    </row>
    <row r="37" spans="1:6">
      <c r="A37" s="3" t="s">
        <v>676</v>
      </c>
    </row>
    <row r="39" spans="1:6" ht="21" thickBot="1">
      <c r="A39" s="2" t="s">
        <v>677</v>
      </c>
    </row>
    <row r="40" spans="1:6" ht="22" customHeight="1">
      <c r="A40" s="50" t="s">
        <v>678</v>
      </c>
      <c r="B40" s="43"/>
      <c r="C40" s="47"/>
    </row>
    <row r="41" spans="1:6" ht="22" customHeight="1">
      <c r="A41" s="45" t="s">
        <v>679</v>
      </c>
      <c r="B41" s="42"/>
      <c r="C41" s="48"/>
    </row>
    <row r="42" spans="1:6" ht="22" customHeight="1">
      <c r="A42" s="45"/>
      <c r="B42" s="42"/>
      <c r="C42" s="48"/>
    </row>
    <row r="43" spans="1:6" ht="22" customHeight="1" thickBot="1">
      <c r="A43" s="46" t="s">
        <v>635</v>
      </c>
      <c r="B43" s="44"/>
      <c r="C43" s="49"/>
    </row>
    <row r="45" spans="1:6">
      <c r="A45" s="7" t="s">
        <v>636</v>
      </c>
      <c r="B45" s="7" t="s">
        <v>637</v>
      </c>
      <c r="C45" s="7" t="s">
        <v>638</v>
      </c>
      <c r="D45" s="7"/>
    </row>
    <row r="46" spans="1:6" ht="21">
      <c r="A46" s="8" t="s">
        <v>680</v>
      </c>
      <c r="B46" s="8" t="s">
        <v>681</v>
      </c>
      <c r="C46" s="8" t="s">
        <v>682</v>
      </c>
      <c r="D46" s="8"/>
    </row>
    <row r="47" spans="1:6" ht="21">
      <c r="A47" s="8" t="s">
        <v>639</v>
      </c>
      <c r="B47" s="8" t="s">
        <v>105</v>
      </c>
      <c r="C47" s="8" t="s">
        <v>683</v>
      </c>
      <c r="D47" s="8"/>
    </row>
    <row r="48" spans="1:6" ht="21">
      <c r="A48" s="8" t="s">
        <v>639</v>
      </c>
      <c r="B48" s="8" t="s">
        <v>108</v>
      </c>
      <c r="C48" s="8" t="s">
        <v>684</v>
      </c>
      <c r="D48" s="8"/>
    </row>
    <row r="49" spans="1:6" ht="42">
      <c r="A49" s="8" t="s">
        <v>639</v>
      </c>
      <c r="B49" s="8" t="s">
        <v>641</v>
      </c>
      <c r="C49" s="8" t="s">
        <v>685</v>
      </c>
      <c r="D49" s="8"/>
    </row>
    <row r="50" spans="1:6" ht="21">
      <c r="A50" s="8" t="s">
        <v>639</v>
      </c>
      <c r="B50" s="8" t="s">
        <v>579</v>
      </c>
      <c r="C50" s="8" t="s">
        <v>686</v>
      </c>
      <c r="D50" s="8"/>
    </row>
    <row r="51" spans="1:6" ht="21">
      <c r="A51" s="8" t="s">
        <v>639</v>
      </c>
      <c r="B51" s="8" t="s">
        <v>687</v>
      </c>
      <c r="C51" s="8" t="s">
        <v>688</v>
      </c>
      <c r="D51" s="8"/>
    </row>
    <row r="52" spans="1:6" ht="21">
      <c r="A52" s="8" t="s">
        <v>639</v>
      </c>
      <c r="B52" s="8" t="s">
        <v>119</v>
      </c>
      <c r="C52" s="8" t="s">
        <v>85</v>
      </c>
      <c r="D52" s="8"/>
    </row>
    <row r="53" spans="1:6" ht="21">
      <c r="A53" s="8" t="s">
        <v>639</v>
      </c>
      <c r="B53" s="8" t="s">
        <v>122</v>
      </c>
      <c r="C53" s="8" t="s">
        <v>646</v>
      </c>
      <c r="D53" s="8"/>
    </row>
    <row r="54" spans="1:6" ht="42">
      <c r="A54" s="8" t="s">
        <v>689</v>
      </c>
      <c r="B54" s="8" t="s">
        <v>136</v>
      </c>
      <c r="C54" s="8" t="s">
        <v>690</v>
      </c>
      <c r="D54" s="8"/>
    </row>
    <row r="55" spans="1:6" ht="21">
      <c r="A55" s="8" t="s">
        <v>691</v>
      </c>
      <c r="B55" s="8" t="s">
        <v>125</v>
      </c>
      <c r="C55" s="8" t="s">
        <v>692</v>
      </c>
      <c r="D55" s="8"/>
    </row>
    <row r="56" spans="1:6" ht="21">
      <c r="A56" s="8" t="s">
        <v>691</v>
      </c>
      <c r="B56" s="8" t="s">
        <v>128</v>
      </c>
      <c r="C56" s="8" t="s">
        <v>652</v>
      </c>
      <c r="D56" s="8"/>
    </row>
    <row r="57" spans="1:6" ht="21">
      <c r="A57" s="8" t="s">
        <v>691</v>
      </c>
      <c r="B57" s="8" t="s">
        <v>134</v>
      </c>
      <c r="C57" s="8" t="s">
        <v>653</v>
      </c>
      <c r="D57" s="8"/>
    </row>
    <row r="58" spans="1:6" ht="42">
      <c r="A58" s="8" t="s">
        <v>691</v>
      </c>
      <c r="B58" s="8" t="s">
        <v>131</v>
      </c>
      <c r="C58" s="8" t="s">
        <v>693</v>
      </c>
      <c r="D58" s="8"/>
    </row>
    <row r="61" spans="1:6">
      <c r="A61" s="7" t="s">
        <v>655</v>
      </c>
      <c r="B61" s="7" t="s">
        <v>656</v>
      </c>
      <c r="C61" s="7" t="s">
        <v>657</v>
      </c>
      <c r="D61" s="7" t="s">
        <v>658</v>
      </c>
      <c r="E61" s="7" t="s">
        <v>659</v>
      </c>
      <c r="F61" s="7"/>
    </row>
    <row r="62" spans="1:6" ht="21">
      <c r="A62" s="8" t="s">
        <v>85</v>
      </c>
      <c r="B62" s="8" t="s">
        <v>105</v>
      </c>
      <c r="C62" s="8" t="s">
        <v>108</v>
      </c>
      <c r="D62" s="8" t="s">
        <v>694</v>
      </c>
      <c r="E62" s="8" t="s">
        <v>666</v>
      </c>
      <c r="F62" s="8"/>
    </row>
    <row r="63" spans="1:6" ht="21">
      <c r="A63" s="8" t="s">
        <v>695</v>
      </c>
      <c r="B63" s="8" t="s">
        <v>108</v>
      </c>
      <c r="C63" s="8" t="s">
        <v>131</v>
      </c>
      <c r="D63" s="8" t="s">
        <v>696</v>
      </c>
      <c r="E63" s="8" t="s">
        <v>662</v>
      </c>
      <c r="F63" s="8"/>
    </row>
    <row r="64" spans="1:6" ht="21">
      <c r="A64" s="8" t="s">
        <v>697</v>
      </c>
      <c r="B64" s="8" t="s">
        <v>131</v>
      </c>
      <c r="C64" s="8" t="s">
        <v>128</v>
      </c>
      <c r="D64" s="8" t="s">
        <v>698</v>
      </c>
      <c r="E64" s="8" t="s">
        <v>662</v>
      </c>
      <c r="F64" s="8"/>
    </row>
    <row r="65" spans="1:6" ht="42">
      <c r="A65" s="8" t="s">
        <v>699</v>
      </c>
      <c r="B65" s="8" t="s">
        <v>108</v>
      </c>
      <c r="C65" s="8" t="s">
        <v>641</v>
      </c>
      <c r="D65" s="8" t="s">
        <v>700</v>
      </c>
      <c r="E65" s="8" t="s">
        <v>666</v>
      </c>
      <c r="F65" s="8"/>
    </row>
    <row r="66" spans="1:6" ht="21">
      <c r="A66" s="8" t="s">
        <v>701</v>
      </c>
      <c r="B66" s="8" t="s">
        <v>108</v>
      </c>
      <c r="C66" s="8" t="s">
        <v>579</v>
      </c>
      <c r="D66" s="8" t="s">
        <v>702</v>
      </c>
      <c r="E66" s="8" t="s">
        <v>666</v>
      </c>
      <c r="F66" s="8"/>
    </row>
    <row r="67" spans="1:6" ht="21">
      <c r="A67" s="8" t="s">
        <v>85</v>
      </c>
      <c r="B67" s="8" t="s">
        <v>681</v>
      </c>
      <c r="C67" s="8" t="s">
        <v>579</v>
      </c>
      <c r="D67" s="8" t="s">
        <v>703</v>
      </c>
      <c r="E67" s="8" t="s">
        <v>666</v>
      </c>
      <c r="F67" s="8"/>
    </row>
    <row r="68" spans="1:6" ht="21">
      <c r="A68" s="8" t="s">
        <v>85</v>
      </c>
      <c r="B68" s="8" t="s">
        <v>579</v>
      </c>
      <c r="C68" s="8" t="s">
        <v>641</v>
      </c>
      <c r="D68" s="8" t="s">
        <v>704</v>
      </c>
      <c r="E68" s="8" t="s">
        <v>666</v>
      </c>
      <c r="F68" s="8"/>
    </row>
    <row r="69" spans="1:6" ht="21">
      <c r="A69" s="8" t="s">
        <v>705</v>
      </c>
      <c r="B69" s="8" t="s">
        <v>579</v>
      </c>
      <c r="C69" s="8" t="s">
        <v>136</v>
      </c>
      <c r="D69" s="8" t="s">
        <v>706</v>
      </c>
      <c r="E69" s="8" t="s">
        <v>670</v>
      </c>
      <c r="F69" s="8"/>
    </row>
    <row r="70" spans="1:6" ht="21">
      <c r="A70" s="8" t="s">
        <v>85</v>
      </c>
      <c r="B70" s="8" t="s">
        <v>136</v>
      </c>
      <c r="C70" s="8" t="s">
        <v>134</v>
      </c>
      <c r="D70" s="8" t="s">
        <v>85</v>
      </c>
      <c r="E70" s="8" t="s">
        <v>670</v>
      </c>
      <c r="F70" s="8"/>
    </row>
    <row r="71" spans="1:6" ht="21">
      <c r="A71" s="8" t="s">
        <v>707</v>
      </c>
      <c r="B71" s="8" t="s">
        <v>579</v>
      </c>
      <c r="C71" s="8" t="s">
        <v>687</v>
      </c>
      <c r="D71" s="8" t="s">
        <v>708</v>
      </c>
      <c r="E71" s="8" t="s">
        <v>666</v>
      </c>
      <c r="F71" s="8"/>
    </row>
    <row r="72" spans="1:6" ht="21">
      <c r="A72" s="8" t="s">
        <v>707</v>
      </c>
      <c r="B72" s="8" t="s">
        <v>579</v>
      </c>
      <c r="C72" s="8" t="s">
        <v>119</v>
      </c>
      <c r="D72" s="8" t="s">
        <v>673</v>
      </c>
      <c r="E72" s="8" t="s">
        <v>666</v>
      </c>
      <c r="F72" s="8"/>
    </row>
    <row r="73" spans="1:6" ht="21">
      <c r="A73" s="8" t="s">
        <v>85</v>
      </c>
      <c r="B73" s="8" t="s">
        <v>119</v>
      </c>
      <c r="C73" s="8" t="s">
        <v>674</v>
      </c>
      <c r="D73" s="8" t="s">
        <v>85</v>
      </c>
      <c r="E73" s="8" t="s">
        <v>666</v>
      </c>
      <c r="F73" s="8"/>
    </row>
    <row r="74" spans="1:6" ht="21">
      <c r="A74" s="8" t="s">
        <v>85</v>
      </c>
      <c r="B74" s="8" t="s">
        <v>125</v>
      </c>
      <c r="C74" s="8" t="s">
        <v>134</v>
      </c>
      <c r="D74" s="8" t="s">
        <v>709</v>
      </c>
      <c r="E74" s="8" t="s">
        <v>710</v>
      </c>
      <c r="F74" s="8"/>
    </row>
    <row r="76" spans="1:6">
      <c r="A76" s="3" t="s">
        <v>711</v>
      </c>
    </row>
    <row r="77" spans="1:6">
      <c r="A77" s="3" t="s">
        <v>712</v>
      </c>
    </row>
    <row r="80" spans="1:6" ht="21" thickBot="1">
      <c r="A80" s="2" t="s">
        <v>713</v>
      </c>
    </row>
    <row r="81" spans="1:6" ht="22" customHeight="1">
      <c r="A81" s="50" t="s">
        <v>714</v>
      </c>
      <c r="B81" s="43"/>
      <c r="C81" s="47"/>
    </row>
    <row r="82" spans="1:6" ht="22" customHeight="1">
      <c r="A82" s="45" t="s">
        <v>715</v>
      </c>
      <c r="B82" s="42"/>
      <c r="C82" s="48"/>
    </row>
    <row r="83" spans="1:6" ht="22" customHeight="1">
      <c r="A83" s="45"/>
      <c r="B83" s="42"/>
      <c r="C83" s="48"/>
    </row>
    <row r="84" spans="1:6" ht="22" customHeight="1" thickBot="1">
      <c r="A84" s="46" t="s">
        <v>635</v>
      </c>
      <c r="B84" s="44"/>
      <c r="C84" s="49"/>
    </row>
    <row r="86" spans="1:6" ht="21" thickBot="1"/>
    <row r="87" spans="1:6" ht="42">
      <c r="A87" s="11" t="s">
        <v>716</v>
      </c>
      <c r="B87" s="11" t="s">
        <v>717</v>
      </c>
      <c r="C87" s="12" t="s">
        <v>718</v>
      </c>
      <c r="D87" s="13" t="s">
        <v>719</v>
      </c>
      <c r="E87" s="14" t="s">
        <v>720</v>
      </c>
      <c r="F87" s="26" t="s">
        <v>721</v>
      </c>
    </row>
    <row r="88" spans="1:6" ht="44" customHeight="1">
      <c r="A88" s="19" t="s">
        <v>722</v>
      </c>
      <c r="B88" s="19" t="s">
        <v>723</v>
      </c>
      <c r="C88" s="21" t="s">
        <v>718</v>
      </c>
      <c r="D88" s="22" t="s">
        <v>724</v>
      </c>
      <c r="E88" s="23" t="s">
        <v>725</v>
      </c>
      <c r="F88" s="27" t="s">
        <v>726</v>
      </c>
    </row>
    <row r="89" spans="1:6" ht="44" customHeight="1">
      <c r="A89" s="20" t="s">
        <v>727</v>
      </c>
      <c r="B89" s="18" t="s">
        <v>728</v>
      </c>
      <c r="E89" s="25" t="s">
        <v>729</v>
      </c>
    </row>
    <row r="90" spans="1:6" ht="44" customHeight="1">
      <c r="A90" s="20" t="s">
        <v>730</v>
      </c>
      <c r="B90" s="18" t="s">
        <v>731</v>
      </c>
      <c r="E90" s="24" t="s">
        <v>732</v>
      </c>
    </row>
    <row r="91" spans="1:6" ht="44" customHeight="1">
      <c r="A91" s="16" t="s">
        <v>733</v>
      </c>
      <c r="B91" s="17" t="s">
        <v>734</v>
      </c>
    </row>
    <row r="92" spans="1:6" ht="21" thickBot="1"/>
    <row r="93" spans="1:6" ht="42">
      <c r="A93" s="28" t="s">
        <v>735</v>
      </c>
    </row>
    <row r="94" spans="1:6" ht="44" customHeight="1">
      <c r="A94" s="29" t="s">
        <v>736</v>
      </c>
      <c r="B94" s="30" t="s">
        <v>1388</v>
      </c>
    </row>
    <row r="96" spans="1:6">
      <c r="A96" s="3" t="s">
        <v>737</v>
      </c>
    </row>
    <row r="99" spans="1:6">
      <c r="A99" s="2" t="s">
        <v>738</v>
      </c>
    </row>
    <row r="100" spans="1:6">
      <c r="A100" s="7" t="s">
        <v>655</v>
      </c>
      <c r="B100" s="7" t="s">
        <v>739</v>
      </c>
      <c r="C100" s="7" t="s">
        <v>740</v>
      </c>
      <c r="D100" s="7" t="s">
        <v>741</v>
      </c>
      <c r="E100" s="7" t="s">
        <v>742</v>
      </c>
      <c r="F100" s="7"/>
    </row>
    <row r="101" spans="1:6" ht="63">
      <c r="A101" s="8" t="s">
        <v>600</v>
      </c>
      <c r="B101" s="8" t="s">
        <v>743</v>
      </c>
      <c r="C101" s="8" t="s">
        <v>744</v>
      </c>
      <c r="D101" s="8" t="s">
        <v>745</v>
      </c>
      <c r="E101" s="8" t="s">
        <v>746</v>
      </c>
      <c r="F101" s="8"/>
    </row>
    <row r="102" spans="1:6" ht="42">
      <c r="A102" s="8" t="s">
        <v>615</v>
      </c>
      <c r="B102" s="8" t="s">
        <v>747</v>
      </c>
      <c r="C102" s="8" t="s">
        <v>748</v>
      </c>
      <c r="D102" s="8" t="s">
        <v>749</v>
      </c>
      <c r="E102" s="8" t="s">
        <v>750</v>
      </c>
      <c r="F102" s="8"/>
    </row>
    <row r="103" spans="1:6" ht="63">
      <c r="A103" s="8" t="s">
        <v>751</v>
      </c>
      <c r="B103" s="8" t="s">
        <v>752</v>
      </c>
      <c r="C103" s="8" t="s">
        <v>753</v>
      </c>
      <c r="D103" s="8" t="s">
        <v>754</v>
      </c>
      <c r="E103" s="8" t="s">
        <v>131</v>
      </c>
      <c r="F103" s="8"/>
    </row>
    <row r="104" spans="1:6" ht="42">
      <c r="A104" s="8" t="s">
        <v>755</v>
      </c>
      <c r="B104" s="8" t="s">
        <v>756</v>
      </c>
      <c r="C104" s="8" t="s">
        <v>757</v>
      </c>
      <c r="D104" s="8" t="s">
        <v>758</v>
      </c>
      <c r="E104" s="8" t="s">
        <v>759</v>
      </c>
      <c r="F104" s="8"/>
    </row>
    <row r="107" spans="1:6">
      <c r="A107" s="3" t="s">
        <v>760</v>
      </c>
    </row>
    <row r="108" spans="1:6">
      <c r="A108" s="3" t="s">
        <v>761</v>
      </c>
    </row>
    <row r="109" spans="1:6">
      <c r="A109" s="3" t="s">
        <v>762</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04D32-4D78-B94D-9362-B7B8C8DE5C12}">
  <dimension ref="A1:C48"/>
  <sheetViews>
    <sheetView workbookViewId="0">
      <selection activeCell="C69" sqref="C69"/>
    </sheetView>
  </sheetViews>
  <sheetFormatPr baseColWidth="10" defaultRowHeight="20"/>
  <cols>
    <col min="1" max="1" width="42.85546875" customWidth="1"/>
    <col min="2" max="2" width="25.7109375" customWidth="1"/>
    <col min="3" max="3" width="88.5703125" customWidth="1"/>
  </cols>
  <sheetData>
    <row r="1" spans="1:3" ht="27">
      <c r="A1" s="1" t="s">
        <v>101</v>
      </c>
    </row>
    <row r="3" spans="1:3">
      <c r="A3" s="2" t="s">
        <v>763</v>
      </c>
    </row>
    <row r="4" spans="1:3">
      <c r="A4" s="7" t="s">
        <v>102</v>
      </c>
      <c r="B4" s="7" t="s">
        <v>103</v>
      </c>
      <c r="C4" s="7" t="s">
        <v>104</v>
      </c>
    </row>
    <row r="5" spans="1:3" ht="21">
      <c r="A5" s="8" t="s">
        <v>105</v>
      </c>
      <c r="B5" s="8" t="s">
        <v>106</v>
      </c>
      <c r="C5" s="8" t="s">
        <v>107</v>
      </c>
    </row>
    <row r="6" spans="1:3" ht="42">
      <c r="A6" s="8" t="s">
        <v>108</v>
      </c>
      <c r="B6" s="8" t="s">
        <v>109</v>
      </c>
      <c r="C6" s="8" t="s">
        <v>110</v>
      </c>
    </row>
    <row r="7" spans="1:3" ht="84">
      <c r="A7" s="8" t="s">
        <v>111</v>
      </c>
      <c r="B7" s="8" t="s">
        <v>112</v>
      </c>
      <c r="C7" s="8" t="s">
        <v>113</v>
      </c>
    </row>
    <row r="8" spans="1:3" ht="42">
      <c r="A8" s="8" t="s">
        <v>114</v>
      </c>
      <c r="B8" s="8" t="s">
        <v>109</v>
      </c>
      <c r="C8" s="8" t="s">
        <v>115</v>
      </c>
    </row>
    <row r="9" spans="1:3" ht="21">
      <c r="A9" s="8" t="s">
        <v>116</v>
      </c>
      <c r="B9" s="8" t="s">
        <v>117</v>
      </c>
      <c r="C9" s="8" t="s">
        <v>118</v>
      </c>
    </row>
    <row r="10" spans="1:3" ht="21">
      <c r="A10" s="8" t="s">
        <v>119</v>
      </c>
      <c r="B10" s="8" t="s">
        <v>109</v>
      </c>
      <c r="C10" s="8" t="s">
        <v>120</v>
      </c>
    </row>
    <row r="11" spans="1:3" ht="21">
      <c r="A11" s="8" t="s">
        <v>121</v>
      </c>
      <c r="B11" s="8" t="s">
        <v>122</v>
      </c>
      <c r="C11" s="8" t="s">
        <v>123</v>
      </c>
    </row>
    <row r="12" spans="1:3" ht="21">
      <c r="A12" s="8" t="s">
        <v>124</v>
      </c>
      <c r="B12" s="8" t="s">
        <v>124</v>
      </c>
      <c r="C12" s="8" t="s">
        <v>764</v>
      </c>
    </row>
    <row r="15" spans="1:3" ht="21">
      <c r="A15" s="10" t="s">
        <v>765</v>
      </c>
    </row>
    <row r="16" spans="1:3">
      <c r="A16" s="7" t="s">
        <v>102</v>
      </c>
      <c r="B16" s="7" t="s">
        <v>103</v>
      </c>
      <c r="C16" s="7" t="s">
        <v>104</v>
      </c>
    </row>
    <row r="17" spans="1:3" ht="42">
      <c r="A17" s="8" t="s">
        <v>125</v>
      </c>
      <c r="B17" s="8" t="s">
        <v>126</v>
      </c>
      <c r="C17" s="8" t="s">
        <v>127</v>
      </c>
    </row>
    <row r="18" spans="1:3" ht="42">
      <c r="A18" s="8" t="s">
        <v>128</v>
      </c>
      <c r="B18" s="8" t="s">
        <v>129</v>
      </c>
      <c r="C18" s="8" t="s">
        <v>130</v>
      </c>
    </row>
    <row r="19" spans="1:3" ht="21">
      <c r="A19" s="8" t="s">
        <v>131</v>
      </c>
      <c r="B19" s="8" t="s">
        <v>132</v>
      </c>
      <c r="C19" s="8" t="s">
        <v>133</v>
      </c>
    </row>
    <row r="20" spans="1:3" ht="21">
      <c r="A20" s="8" t="s">
        <v>134</v>
      </c>
      <c r="B20" s="8" t="s">
        <v>85</v>
      </c>
      <c r="C20" s="8" t="s">
        <v>135</v>
      </c>
    </row>
    <row r="23" spans="1:3" ht="42">
      <c r="A23" s="10" t="s">
        <v>766</v>
      </c>
    </row>
    <row r="24" spans="1:3">
      <c r="A24" s="7" t="s">
        <v>102</v>
      </c>
      <c r="B24" s="7" t="s">
        <v>103</v>
      </c>
      <c r="C24" s="7" t="s">
        <v>104</v>
      </c>
    </row>
    <row r="25" spans="1:3" ht="42">
      <c r="A25" s="8" t="s">
        <v>136</v>
      </c>
      <c r="B25" s="8" t="s">
        <v>137</v>
      </c>
      <c r="C25" s="8" t="s">
        <v>138</v>
      </c>
    </row>
    <row r="28" spans="1:3">
      <c r="A28" s="2" t="s">
        <v>139</v>
      </c>
    </row>
    <row r="29" spans="1:3" ht="168">
      <c r="A29" s="4" t="s">
        <v>767</v>
      </c>
    </row>
    <row r="32" spans="1:3">
      <c r="A32" s="2" t="s">
        <v>1348</v>
      </c>
    </row>
    <row r="33" spans="1:3">
      <c r="A33" s="7" t="s">
        <v>140</v>
      </c>
      <c r="B33" s="7" t="s">
        <v>141</v>
      </c>
      <c r="C33" s="7" t="s">
        <v>83</v>
      </c>
    </row>
    <row r="34" spans="1:3" ht="42">
      <c r="A34" s="8" t="s">
        <v>142</v>
      </c>
      <c r="B34" s="8" t="s">
        <v>143</v>
      </c>
      <c r="C34" s="8" t="s">
        <v>144</v>
      </c>
    </row>
    <row r="35" spans="1:3" ht="21">
      <c r="A35" s="8" t="s">
        <v>145</v>
      </c>
      <c r="B35" s="8" t="s">
        <v>24</v>
      </c>
      <c r="C35" s="8" t="s">
        <v>1344</v>
      </c>
    </row>
    <row r="36" spans="1:3" ht="42">
      <c r="A36" s="8" t="s">
        <v>146</v>
      </c>
      <c r="B36" s="8" t="s">
        <v>147</v>
      </c>
      <c r="C36" s="8" t="s">
        <v>148</v>
      </c>
    </row>
    <row r="37" spans="1:3" ht="21">
      <c r="A37" s="8" t="s">
        <v>149</v>
      </c>
      <c r="B37" s="8" t="s">
        <v>150</v>
      </c>
      <c r="C37" s="8" t="s">
        <v>151</v>
      </c>
    </row>
    <row r="38" spans="1:3" ht="21">
      <c r="A38" s="8" t="s">
        <v>152</v>
      </c>
      <c r="B38" s="8" t="s">
        <v>153</v>
      </c>
      <c r="C38" s="8" t="s">
        <v>154</v>
      </c>
    </row>
    <row r="39" spans="1:3" ht="21">
      <c r="A39" s="8" t="s">
        <v>155</v>
      </c>
      <c r="B39" s="8" t="s">
        <v>153</v>
      </c>
      <c r="C39" s="8" t="s">
        <v>156</v>
      </c>
    </row>
    <row r="40" spans="1:3" ht="42">
      <c r="A40" s="8" t="s">
        <v>157</v>
      </c>
      <c r="B40" s="8" t="s">
        <v>158</v>
      </c>
      <c r="C40" s="8" t="s">
        <v>1279</v>
      </c>
    </row>
    <row r="41" spans="1:3" ht="42">
      <c r="A41" s="8" t="s">
        <v>1345</v>
      </c>
      <c r="B41" s="8" t="s">
        <v>1346</v>
      </c>
      <c r="C41" s="8" t="s">
        <v>1347</v>
      </c>
    </row>
    <row r="44" spans="1:3">
      <c r="A44" s="2" t="s">
        <v>159</v>
      </c>
    </row>
    <row r="45" spans="1:3">
      <c r="A45" s="7" t="s">
        <v>160</v>
      </c>
      <c r="B45" s="7" t="s">
        <v>161</v>
      </c>
      <c r="C45" s="7" t="s">
        <v>162</v>
      </c>
    </row>
    <row r="46" spans="1:3" ht="21">
      <c r="A46" s="8" t="s">
        <v>163</v>
      </c>
      <c r="B46" s="8" t="s">
        <v>164</v>
      </c>
      <c r="C46" s="8" t="s">
        <v>165</v>
      </c>
    </row>
    <row r="47" spans="1:3" ht="21">
      <c r="A47" s="8" t="s">
        <v>18</v>
      </c>
      <c r="B47" s="8" t="s">
        <v>27</v>
      </c>
      <c r="C47" s="8" t="s">
        <v>1390</v>
      </c>
    </row>
    <row r="48" spans="1:3" ht="21">
      <c r="A48" s="8" t="s">
        <v>19</v>
      </c>
      <c r="B48" s="8" t="s">
        <v>27</v>
      </c>
      <c r="C48" s="8" t="s">
        <v>1391</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A9CE4-FC1C-434B-A788-0635C1D26046}">
  <dimension ref="A1:F120"/>
  <sheetViews>
    <sheetView topLeftCell="A10" workbookViewId="0"/>
  </sheetViews>
  <sheetFormatPr baseColWidth="10" defaultRowHeight="20"/>
  <cols>
    <col min="1" max="1" width="35.7109375" customWidth="1"/>
    <col min="2" max="2" width="27.140625" customWidth="1"/>
    <col min="3" max="3" width="34.28515625" customWidth="1"/>
    <col min="4" max="4" width="74.28515625" customWidth="1"/>
    <col min="5" max="5" width="48.5703125" customWidth="1"/>
    <col min="6" max="6" width="35.7109375" customWidth="1"/>
  </cols>
  <sheetData>
    <row r="1" spans="1:5" ht="27">
      <c r="A1" s="1" t="s">
        <v>768</v>
      </c>
    </row>
    <row r="3" spans="1:5" ht="21" thickBot="1">
      <c r="A3" s="2" t="s">
        <v>769</v>
      </c>
    </row>
    <row r="4" spans="1:5" ht="22" customHeight="1">
      <c r="A4" s="50" t="s">
        <v>770</v>
      </c>
      <c r="B4" s="43"/>
      <c r="C4" s="47"/>
    </row>
    <row r="5" spans="1:5" ht="22" customHeight="1">
      <c r="A5" s="45" t="s">
        <v>771</v>
      </c>
      <c r="B5" s="42"/>
      <c r="C5" s="48"/>
    </row>
    <row r="6" spans="1:5" ht="22" customHeight="1">
      <c r="A6" s="45"/>
      <c r="B6" s="42"/>
      <c r="C6" s="48"/>
    </row>
    <row r="7" spans="1:5" ht="22" customHeight="1" thickBot="1">
      <c r="A7" s="46" t="s">
        <v>635</v>
      </c>
      <c r="B7" s="44"/>
      <c r="C7" s="49"/>
    </row>
    <row r="9" spans="1:5">
      <c r="A9" s="7" t="s">
        <v>772</v>
      </c>
      <c r="B9" s="7" t="s">
        <v>773</v>
      </c>
      <c r="C9" s="7" t="s">
        <v>774</v>
      </c>
      <c r="D9" s="7" t="s">
        <v>83</v>
      </c>
      <c r="E9" s="7"/>
    </row>
    <row r="10" spans="1:5" ht="105">
      <c r="A10" s="8" t="s">
        <v>775</v>
      </c>
      <c r="B10" s="8" t="s">
        <v>108</v>
      </c>
      <c r="C10" s="8" t="s">
        <v>776</v>
      </c>
      <c r="D10" s="8" t="s">
        <v>1384</v>
      </c>
      <c r="E10" s="8"/>
    </row>
    <row r="11" spans="1:5" ht="21">
      <c r="A11" s="8" t="s">
        <v>777</v>
      </c>
      <c r="B11" s="8" t="s">
        <v>108</v>
      </c>
      <c r="C11" s="8" t="s">
        <v>720</v>
      </c>
      <c r="D11" s="8" t="s">
        <v>778</v>
      </c>
      <c r="E11" s="8"/>
    </row>
    <row r="12" spans="1:5" ht="21">
      <c r="A12" s="8" t="s">
        <v>779</v>
      </c>
      <c r="B12" s="8" t="s">
        <v>108</v>
      </c>
      <c r="C12" s="8" t="s">
        <v>129</v>
      </c>
      <c r="D12" s="8" t="s">
        <v>780</v>
      </c>
      <c r="E12" s="8"/>
    </row>
    <row r="13" spans="1:5" ht="21">
      <c r="A13" s="8" t="s">
        <v>781</v>
      </c>
      <c r="B13" s="8" t="s">
        <v>108</v>
      </c>
      <c r="C13" s="8" t="s">
        <v>129</v>
      </c>
      <c r="D13" s="8" t="s">
        <v>782</v>
      </c>
      <c r="E13" s="8"/>
    </row>
    <row r="14" spans="1:5" ht="21">
      <c r="A14" s="8" t="s">
        <v>783</v>
      </c>
      <c r="B14" s="8" t="s">
        <v>108</v>
      </c>
      <c r="C14" s="8" t="s">
        <v>641</v>
      </c>
      <c r="D14" s="8" t="s">
        <v>784</v>
      </c>
      <c r="E14" s="8"/>
    </row>
    <row r="15" spans="1:5" ht="42">
      <c r="A15" s="8" t="s">
        <v>785</v>
      </c>
      <c r="B15" s="8" t="s">
        <v>108</v>
      </c>
      <c r="C15" s="8" t="s">
        <v>786</v>
      </c>
      <c r="D15" s="8" t="s">
        <v>787</v>
      </c>
      <c r="E15" s="8"/>
    </row>
    <row r="16" spans="1:5" ht="21">
      <c r="A16" s="8" t="s">
        <v>788</v>
      </c>
      <c r="B16" s="8" t="s">
        <v>108</v>
      </c>
      <c r="C16" s="8" t="s">
        <v>579</v>
      </c>
      <c r="D16" s="8" t="s">
        <v>789</v>
      </c>
      <c r="E16" s="8"/>
    </row>
    <row r="17" spans="1:5" ht="21">
      <c r="A17" s="8" t="s">
        <v>790</v>
      </c>
      <c r="B17" s="8" t="s">
        <v>108</v>
      </c>
      <c r="C17" s="8" t="s">
        <v>641</v>
      </c>
      <c r="D17" s="8" t="s">
        <v>791</v>
      </c>
      <c r="E17" s="8"/>
    </row>
    <row r="18" spans="1:5" ht="21">
      <c r="A18" s="8" t="s">
        <v>792</v>
      </c>
      <c r="B18" s="8" t="s">
        <v>108</v>
      </c>
      <c r="C18" s="8" t="s">
        <v>641</v>
      </c>
      <c r="D18" s="8" t="s">
        <v>793</v>
      </c>
      <c r="E18" s="8"/>
    </row>
    <row r="19" spans="1:5" ht="21">
      <c r="A19" s="8" t="s">
        <v>794</v>
      </c>
      <c r="B19" s="8" t="s">
        <v>108</v>
      </c>
      <c r="C19" s="8" t="s">
        <v>795</v>
      </c>
      <c r="D19" s="8" t="s">
        <v>796</v>
      </c>
      <c r="E19" s="8"/>
    </row>
    <row r="22" spans="1:5" ht="21">
      <c r="A22" s="10" t="s">
        <v>797</v>
      </c>
    </row>
    <row r="23" spans="1:5">
      <c r="A23" s="7" t="s">
        <v>528</v>
      </c>
      <c r="B23" s="7" t="s">
        <v>545</v>
      </c>
      <c r="C23" s="7"/>
    </row>
    <row r="24" spans="1:5" ht="105">
      <c r="A24" s="8" t="s">
        <v>798</v>
      </c>
      <c r="B24" s="8" t="s">
        <v>799</v>
      </c>
      <c r="C24" s="8"/>
    </row>
    <row r="25" spans="1:5" ht="84">
      <c r="A25" s="8" t="s">
        <v>800</v>
      </c>
      <c r="B25" s="8" t="s">
        <v>801</v>
      </c>
      <c r="C25" s="8"/>
    </row>
    <row r="26" spans="1:5" ht="105">
      <c r="A26" s="8" t="s">
        <v>560</v>
      </c>
      <c r="B26" s="8" t="s">
        <v>802</v>
      </c>
      <c r="C26" s="8"/>
    </row>
    <row r="30" spans="1:5" ht="21" thickBot="1">
      <c r="A30" s="2" t="s">
        <v>803</v>
      </c>
    </row>
    <row r="31" spans="1:5" ht="22" customHeight="1">
      <c r="A31" s="50" t="s">
        <v>804</v>
      </c>
      <c r="B31" s="43"/>
      <c r="C31" s="47"/>
    </row>
    <row r="32" spans="1:5" ht="22" customHeight="1">
      <c r="A32" s="45" t="s">
        <v>805</v>
      </c>
      <c r="B32" s="42"/>
      <c r="C32" s="48"/>
    </row>
    <row r="33" spans="1:5" ht="22" customHeight="1">
      <c r="A33" s="45"/>
      <c r="B33" s="42"/>
      <c r="C33" s="48"/>
    </row>
    <row r="34" spans="1:5" ht="22" customHeight="1" thickBot="1">
      <c r="A34" s="46" t="s">
        <v>635</v>
      </c>
      <c r="B34" s="44"/>
      <c r="C34" s="49"/>
    </row>
    <row r="36" spans="1:5">
      <c r="A36" s="7" t="s">
        <v>655</v>
      </c>
      <c r="B36" s="7" t="s">
        <v>773</v>
      </c>
      <c r="C36" s="7" t="s">
        <v>774</v>
      </c>
      <c r="D36" s="7" t="s">
        <v>806</v>
      </c>
      <c r="E36" s="7"/>
    </row>
    <row r="37" spans="1:5" ht="21">
      <c r="A37" s="8" t="s">
        <v>695</v>
      </c>
      <c r="B37" s="8" t="s">
        <v>576</v>
      </c>
      <c r="C37" s="8" t="s">
        <v>538</v>
      </c>
      <c r="D37" s="8" t="s">
        <v>807</v>
      </c>
      <c r="E37" s="8"/>
    </row>
    <row r="38" spans="1:5" ht="21">
      <c r="A38" s="8" t="s">
        <v>697</v>
      </c>
      <c r="B38" s="8" t="s">
        <v>576</v>
      </c>
      <c r="C38" s="8" t="s">
        <v>808</v>
      </c>
      <c r="D38" s="8" t="s">
        <v>809</v>
      </c>
      <c r="E38" s="8"/>
    </row>
    <row r="39" spans="1:5" ht="21">
      <c r="A39" s="8" t="s">
        <v>699</v>
      </c>
      <c r="B39" s="8" t="s">
        <v>576</v>
      </c>
      <c r="C39" s="8" t="s">
        <v>576</v>
      </c>
      <c r="D39" s="8" t="s">
        <v>810</v>
      </c>
      <c r="E39" s="8"/>
    </row>
    <row r="40" spans="1:5" ht="21">
      <c r="A40" s="8" t="s">
        <v>701</v>
      </c>
      <c r="B40" s="8" t="s">
        <v>576</v>
      </c>
      <c r="C40" s="8" t="s">
        <v>811</v>
      </c>
      <c r="D40" s="8" t="s">
        <v>812</v>
      </c>
      <c r="E40" s="8"/>
    </row>
    <row r="41" spans="1:5" ht="21">
      <c r="A41" s="8" t="s">
        <v>705</v>
      </c>
      <c r="B41" s="8" t="s">
        <v>576</v>
      </c>
      <c r="C41" s="8" t="s">
        <v>811</v>
      </c>
      <c r="D41" s="8" t="s">
        <v>813</v>
      </c>
      <c r="E41" s="8"/>
    </row>
    <row r="42" spans="1:5" ht="21">
      <c r="A42" s="8" t="s">
        <v>707</v>
      </c>
      <c r="B42" s="8" t="s">
        <v>576</v>
      </c>
      <c r="C42" s="8" t="s">
        <v>576</v>
      </c>
      <c r="D42" s="8" t="s">
        <v>814</v>
      </c>
      <c r="E42" s="8"/>
    </row>
    <row r="43" spans="1:5" ht="21">
      <c r="A43" s="8" t="s">
        <v>815</v>
      </c>
      <c r="B43" s="8" t="s">
        <v>576</v>
      </c>
      <c r="C43" s="8" t="s">
        <v>816</v>
      </c>
      <c r="D43" s="8" t="s">
        <v>817</v>
      </c>
      <c r="E43" s="8"/>
    </row>
    <row r="44" spans="1:5" ht="21">
      <c r="A44" s="8" t="s">
        <v>818</v>
      </c>
      <c r="B44" s="8" t="s">
        <v>576</v>
      </c>
      <c r="C44" s="8" t="s">
        <v>117</v>
      </c>
      <c r="D44" s="8" t="s">
        <v>819</v>
      </c>
      <c r="E44" s="8"/>
    </row>
    <row r="45" spans="1:5" ht="21">
      <c r="A45" s="8" t="s">
        <v>820</v>
      </c>
      <c r="B45" s="8" t="s">
        <v>576</v>
      </c>
      <c r="C45" s="8" t="s">
        <v>576</v>
      </c>
      <c r="D45" s="8" t="s">
        <v>821</v>
      </c>
      <c r="E45" s="8"/>
    </row>
    <row r="47" spans="1:5" ht="84">
      <c r="A47" s="9" t="s">
        <v>822</v>
      </c>
    </row>
    <row r="49" spans="1:5" ht="43" thickBot="1">
      <c r="A49" s="10" t="s">
        <v>823</v>
      </c>
    </row>
    <row r="50" spans="1:5" ht="22" customHeight="1">
      <c r="A50" s="50" t="s">
        <v>824</v>
      </c>
      <c r="B50" s="43"/>
      <c r="C50" s="47"/>
    </row>
    <row r="51" spans="1:5" ht="22" customHeight="1">
      <c r="A51" s="45" t="s">
        <v>825</v>
      </c>
      <c r="B51" s="42"/>
      <c r="C51" s="48"/>
    </row>
    <row r="52" spans="1:5" ht="22" customHeight="1">
      <c r="A52" s="45"/>
      <c r="B52" s="42"/>
      <c r="C52" s="48"/>
    </row>
    <row r="53" spans="1:5" ht="22" customHeight="1" thickBot="1">
      <c r="A53" s="46" t="s">
        <v>635</v>
      </c>
      <c r="B53" s="44"/>
      <c r="C53" s="49"/>
    </row>
    <row r="55" spans="1:5">
      <c r="A55" s="7" t="s">
        <v>655</v>
      </c>
      <c r="B55" s="7" t="s">
        <v>826</v>
      </c>
      <c r="C55" s="7" t="s">
        <v>83</v>
      </c>
      <c r="D55" s="7"/>
      <c r="E55" s="7"/>
    </row>
    <row r="56" spans="1:5" ht="21">
      <c r="A56" s="8" t="s">
        <v>695</v>
      </c>
      <c r="B56" s="8" t="s">
        <v>827</v>
      </c>
      <c r="C56" s="8" t="s">
        <v>828</v>
      </c>
      <c r="D56" s="8"/>
      <c r="E56" s="8"/>
    </row>
    <row r="57" spans="1:5" ht="21">
      <c r="A57" s="8" t="s">
        <v>697</v>
      </c>
      <c r="B57" s="8" t="s">
        <v>829</v>
      </c>
      <c r="C57" s="8" t="s">
        <v>830</v>
      </c>
      <c r="D57" s="8"/>
      <c r="E57" s="8"/>
    </row>
    <row r="58" spans="1:5" ht="21">
      <c r="A58" s="8" t="s">
        <v>699</v>
      </c>
      <c r="B58" s="8" t="s">
        <v>831</v>
      </c>
      <c r="C58" s="8" t="s">
        <v>832</v>
      </c>
      <c r="D58" s="8"/>
      <c r="E58" s="8"/>
    </row>
    <row r="59" spans="1:5" ht="21">
      <c r="A59" s="8" t="s">
        <v>701</v>
      </c>
      <c r="B59" s="8" t="s">
        <v>833</v>
      </c>
      <c r="C59" s="8" t="s">
        <v>834</v>
      </c>
      <c r="D59" s="8"/>
      <c r="E59" s="8"/>
    </row>
    <row r="60" spans="1:5" ht="42">
      <c r="A60" s="8" t="s">
        <v>705</v>
      </c>
      <c r="B60" s="8" t="s">
        <v>835</v>
      </c>
      <c r="C60" s="8" t="s">
        <v>836</v>
      </c>
      <c r="D60" s="8"/>
      <c r="E60" s="8"/>
    </row>
    <row r="61" spans="1:5" ht="21">
      <c r="A61" s="8" t="s">
        <v>707</v>
      </c>
      <c r="B61" s="8" t="s">
        <v>816</v>
      </c>
      <c r="C61" s="8" t="s">
        <v>645</v>
      </c>
      <c r="D61" s="8"/>
      <c r="E61" s="8"/>
    </row>
    <row r="62" spans="1:5" ht="21">
      <c r="A62" s="8" t="s">
        <v>815</v>
      </c>
      <c r="B62" s="8" t="s">
        <v>564</v>
      </c>
      <c r="C62" s="8" t="s">
        <v>646</v>
      </c>
      <c r="D62" s="8"/>
      <c r="E62" s="8"/>
    </row>
    <row r="63" spans="1:5" ht="21">
      <c r="A63" s="8" t="s">
        <v>818</v>
      </c>
      <c r="B63" s="8" t="s">
        <v>837</v>
      </c>
      <c r="C63" s="8" t="s">
        <v>838</v>
      </c>
      <c r="D63" s="8"/>
      <c r="E63" s="8"/>
    </row>
    <row r="65" spans="1:5" ht="105">
      <c r="A65" s="9" t="s">
        <v>1280</v>
      </c>
    </row>
    <row r="68" spans="1:5">
      <c r="A68" s="2" t="s">
        <v>839</v>
      </c>
    </row>
    <row r="69" spans="1:5">
      <c r="A69" s="7" t="s">
        <v>840</v>
      </c>
      <c r="B69" s="7" t="s">
        <v>340</v>
      </c>
      <c r="C69" s="7" t="s">
        <v>236</v>
      </c>
      <c r="D69" s="7" t="s">
        <v>835</v>
      </c>
      <c r="E69" s="7" t="s">
        <v>841</v>
      </c>
    </row>
    <row r="70" spans="1:5" ht="21">
      <c r="A70" s="8" t="s">
        <v>842</v>
      </c>
      <c r="B70" s="8">
        <v>401</v>
      </c>
      <c r="C70" s="8">
        <v>200</v>
      </c>
      <c r="D70" s="8" t="s">
        <v>319</v>
      </c>
      <c r="E70" s="8" t="s">
        <v>843</v>
      </c>
    </row>
    <row r="71" spans="1:5" ht="42">
      <c r="A71" s="8" t="s">
        <v>844</v>
      </c>
      <c r="B71" s="8">
        <v>200</v>
      </c>
      <c r="C71" s="8" t="s">
        <v>85</v>
      </c>
      <c r="D71" s="8" t="s">
        <v>845</v>
      </c>
      <c r="E71" s="8" t="s">
        <v>846</v>
      </c>
    </row>
    <row r="72" spans="1:5" ht="21">
      <c r="A72" s="8" t="s">
        <v>847</v>
      </c>
      <c r="B72" s="8">
        <v>401</v>
      </c>
      <c r="C72" s="8">
        <v>401</v>
      </c>
      <c r="D72" s="8" t="s">
        <v>848</v>
      </c>
      <c r="E72" s="8" t="s">
        <v>329</v>
      </c>
    </row>
    <row r="73" spans="1:5" ht="21">
      <c r="A73" s="8" t="s">
        <v>849</v>
      </c>
      <c r="B73" s="8">
        <v>302</v>
      </c>
      <c r="C73" s="8" t="s">
        <v>85</v>
      </c>
      <c r="D73" s="8" t="s">
        <v>319</v>
      </c>
      <c r="E73" s="8" t="s">
        <v>843</v>
      </c>
    </row>
    <row r="74" spans="1:5" ht="21">
      <c r="A74" s="8" t="s">
        <v>850</v>
      </c>
      <c r="B74" s="8">
        <v>200</v>
      </c>
      <c r="C74" s="8" t="s">
        <v>85</v>
      </c>
      <c r="D74" s="8" t="s">
        <v>845</v>
      </c>
      <c r="E74" s="8" t="s">
        <v>851</v>
      </c>
    </row>
    <row r="76" spans="1:5" ht="63">
      <c r="A76" s="9" t="s">
        <v>852</v>
      </c>
    </row>
    <row r="78" spans="1:5" ht="42">
      <c r="A78" s="10" t="s">
        <v>1396</v>
      </c>
    </row>
    <row r="79" spans="1:5" ht="168">
      <c r="A79" s="4" t="s">
        <v>1397</v>
      </c>
    </row>
    <row r="81" spans="1:6">
      <c r="A81" s="2" t="s">
        <v>1398</v>
      </c>
    </row>
    <row r="82" spans="1:6">
      <c r="A82" s="7" t="s">
        <v>20</v>
      </c>
      <c r="B82" s="7" t="s">
        <v>1399</v>
      </c>
      <c r="C82" s="7" t="s">
        <v>1400</v>
      </c>
      <c r="D82" s="7" t="s">
        <v>1401</v>
      </c>
      <c r="E82" s="7" t="s">
        <v>1402</v>
      </c>
      <c r="F82" s="7" t="s">
        <v>1403</v>
      </c>
    </row>
    <row r="83" spans="1:6" ht="126">
      <c r="A83" s="8" t="s">
        <v>1404</v>
      </c>
      <c r="B83" s="8" t="s">
        <v>1405</v>
      </c>
      <c r="C83" s="8" t="s">
        <v>1406</v>
      </c>
      <c r="D83" s="8" t="s">
        <v>1407</v>
      </c>
      <c r="E83" s="8" t="s">
        <v>1408</v>
      </c>
      <c r="F83" s="8" t="s">
        <v>1409</v>
      </c>
    </row>
    <row r="84" spans="1:6" ht="105">
      <c r="A84" s="8" t="s">
        <v>1410</v>
      </c>
      <c r="B84" s="8" t="s">
        <v>1411</v>
      </c>
      <c r="C84" s="8" t="s">
        <v>1412</v>
      </c>
      <c r="D84" s="8" t="s">
        <v>1413</v>
      </c>
      <c r="E84" s="8" t="s">
        <v>1414</v>
      </c>
      <c r="F84" s="8" t="s">
        <v>1415</v>
      </c>
    </row>
    <row r="85" spans="1:6" ht="315">
      <c r="A85" s="8" t="s">
        <v>1416</v>
      </c>
      <c r="B85" s="8" t="s">
        <v>1417</v>
      </c>
      <c r="C85" s="8" t="s">
        <v>1413</v>
      </c>
      <c r="D85" s="8" t="s">
        <v>1418</v>
      </c>
      <c r="E85" s="8" t="s">
        <v>1419</v>
      </c>
      <c r="F85" s="8" t="s">
        <v>1420</v>
      </c>
    </row>
    <row r="86" spans="1:6" ht="84">
      <c r="A86" s="8" t="s">
        <v>1421</v>
      </c>
      <c r="B86" s="8" t="s">
        <v>1422</v>
      </c>
      <c r="C86" s="8" t="s">
        <v>1423</v>
      </c>
      <c r="D86" s="8" t="s">
        <v>1424</v>
      </c>
      <c r="E86" s="8" t="s">
        <v>1425</v>
      </c>
      <c r="F86" s="8" t="s">
        <v>1426</v>
      </c>
    </row>
    <row r="87" spans="1:6" ht="84">
      <c r="A87" s="8" t="s">
        <v>1427</v>
      </c>
      <c r="B87" s="8" t="s">
        <v>1428</v>
      </c>
      <c r="C87" s="8" t="s">
        <v>1429</v>
      </c>
      <c r="D87" s="8" t="s">
        <v>1430</v>
      </c>
      <c r="E87" s="8" t="s">
        <v>1431</v>
      </c>
      <c r="F87" s="8" t="s">
        <v>1432</v>
      </c>
    </row>
    <row r="88" spans="1:6" ht="105">
      <c r="A88" s="8" t="s">
        <v>1433</v>
      </c>
      <c r="B88" s="8" t="s">
        <v>1434</v>
      </c>
      <c r="C88" s="8" t="s">
        <v>1413</v>
      </c>
      <c r="D88" s="8" t="s">
        <v>1435</v>
      </c>
      <c r="E88" s="8" t="s">
        <v>1436</v>
      </c>
      <c r="F88" s="8" t="s">
        <v>1437</v>
      </c>
    </row>
    <row r="89" spans="1:6" ht="84">
      <c r="A89" s="8" t="s">
        <v>1438</v>
      </c>
      <c r="B89" s="8" t="s">
        <v>1439</v>
      </c>
      <c r="C89" s="8" t="s">
        <v>1413</v>
      </c>
      <c r="D89" s="8" t="s">
        <v>1440</v>
      </c>
      <c r="E89" s="8" t="s">
        <v>1431</v>
      </c>
      <c r="F89" s="8" t="s">
        <v>1441</v>
      </c>
    </row>
    <row r="90" spans="1:6" ht="42">
      <c r="A90" s="8" t="s">
        <v>1442</v>
      </c>
      <c r="B90" s="8" t="s">
        <v>1443</v>
      </c>
      <c r="C90" s="8" t="s">
        <v>1413</v>
      </c>
      <c r="D90" s="8" t="s">
        <v>1444</v>
      </c>
      <c r="E90" s="8" t="s">
        <v>1436</v>
      </c>
      <c r="F90" s="8" t="s">
        <v>1445</v>
      </c>
    </row>
    <row r="91" spans="1:6" ht="63">
      <c r="A91" s="8" t="s">
        <v>1446</v>
      </c>
      <c r="B91" s="8" t="s">
        <v>1447</v>
      </c>
      <c r="C91" s="8" t="s">
        <v>1413</v>
      </c>
      <c r="D91" s="8" t="s">
        <v>1448</v>
      </c>
      <c r="E91" s="8" t="s">
        <v>1449</v>
      </c>
      <c r="F91" s="8" t="s">
        <v>1450</v>
      </c>
    </row>
    <row r="93" spans="1:6" ht="147">
      <c r="A93" s="9" t="s">
        <v>1451</v>
      </c>
    </row>
    <row r="95" spans="1:6" ht="42">
      <c r="A95" s="10" t="s">
        <v>1452</v>
      </c>
    </row>
    <row r="96" spans="1:6">
      <c r="A96" s="7" t="s">
        <v>20</v>
      </c>
      <c r="B96" s="7" t="s">
        <v>1399</v>
      </c>
      <c r="C96" s="7" t="s">
        <v>1400</v>
      </c>
      <c r="D96" s="7" t="s">
        <v>1401</v>
      </c>
      <c r="E96" s="7" t="s">
        <v>1402</v>
      </c>
      <c r="F96" s="7" t="s">
        <v>1403</v>
      </c>
    </row>
    <row r="97" spans="1:6" ht="105">
      <c r="A97" s="8" t="s">
        <v>31</v>
      </c>
      <c r="B97" s="8" t="s">
        <v>1453</v>
      </c>
      <c r="C97" s="8" t="s">
        <v>1448</v>
      </c>
      <c r="D97" s="8" t="s">
        <v>1454</v>
      </c>
      <c r="E97" s="8" t="s">
        <v>1455</v>
      </c>
      <c r="F97" s="8" t="s">
        <v>1420</v>
      </c>
    </row>
    <row r="98" spans="1:6" ht="63">
      <c r="A98" s="8" t="s">
        <v>32</v>
      </c>
      <c r="B98" s="8" t="s">
        <v>1456</v>
      </c>
      <c r="C98" s="8" t="s">
        <v>1448</v>
      </c>
      <c r="D98" s="8" t="s">
        <v>1457</v>
      </c>
      <c r="E98" s="8" t="s">
        <v>1458</v>
      </c>
      <c r="F98" s="8" t="s">
        <v>1459</v>
      </c>
    </row>
    <row r="99" spans="1:6" ht="147">
      <c r="A99" s="8" t="s">
        <v>33</v>
      </c>
      <c r="B99" s="8" t="s">
        <v>1460</v>
      </c>
      <c r="C99" s="8" t="s">
        <v>1448</v>
      </c>
      <c r="D99" s="8" t="s">
        <v>1461</v>
      </c>
      <c r="E99" s="8" t="s">
        <v>1462</v>
      </c>
      <c r="F99" s="8" t="s">
        <v>1463</v>
      </c>
    </row>
    <row r="100" spans="1:6" ht="252">
      <c r="A100" s="8" t="s">
        <v>1464</v>
      </c>
      <c r="B100" s="8" t="s">
        <v>1465</v>
      </c>
      <c r="C100" s="8" t="s">
        <v>1448</v>
      </c>
      <c r="D100" s="8" t="s">
        <v>1466</v>
      </c>
      <c r="E100" s="8" t="s">
        <v>1467</v>
      </c>
      <c r="F100" s="8" t="s">
        <v>1468</v>
      </c>
    </row>
    <row r="101" spans="1:6" ht="63">
      <c r="A101" s="8" t="s">
        <v>1469</v>
      </c>
      <c r="B101" s="8" t="s">
        <v>1470</v>
      </c>
      <c r="C101" s="8" t="s">
        <v>1448</v>
      </c>
      <c r="D101" s="8" t="s">
        <v>1471</v>
      </c>
      <c r="E101" s="8" t="s">
        <v>1472</v>
      </c>
      <c r="F101" s="8" t="s">
        <v>1473</v>
      </c>
    </row>
    <row r="102" spans="1:6" ht="63">
      <c r="A102" s="8" t="s">
        <v>1474</v>
      </c>
      <c r="B102" s="8" t="s">
        <v>1475</v>
      </c>
      <c r="C102" s="8" t="s">
        <v>1448</v>
      </c>
      <c r="D102" s="8" t="s">
        <v>1476</v>
      </c>
      <c r="E102" s="8" t="s">
        <v>1449</v>
      </c>
      <c r="F102" s="8" t="s">
        <v>1450</v>
      </c>
    </row>
    <row r="104" spans="1:6" ht="147">
      <c r="A104" s="9" t="s">
        <v>1477</v>
      </c>
    </row>
    <row r="106" spans="1:6" ht="22" thickBot="1">
      <c r="A106" s="10" t="s">
        <v>1478</v>
      </c>
    </row>
    <row r="107" spans="1:6" ht="21">
      <c r="A107" s="50" t="s">
        <v>1479</v>
      </c>
      <c r="B107" s="43"/>
      <c r="C107" s="47"/>
    </row>
    <row r="108" spans="1:6" ht="147">
      <c r="A108" s="45" t="s">
        <v>1480</v>
      </c>
      <c r="B108" s="42"/>
      <c r="C108" s="48"/>
    </row>
    <row r="109" spans="1:6" ht="85" thickBot="1">
      <c r="A109" s="46" t="s">
        <v>1481</v>
      </c>
      <c r="B109" s="44"/>
      <c r="C109" s="49"/>
    </row>
    <row r="112" spans="1:6">
      <c r="A112" s="7" t="s">
        <v>20</v>
      </c>
      <c r="B112" s="7" t="s">
        <v>1399</v>
      </c>
      <c r="C112" s="7" t="s">
        <v>1482</v>
      </c>
      <c r="D112" s="7" t="s">
        <v>1483</v>
      </c>
      <c r="E112" s="7" t="s">
        <v>1402</v>
      </c>
      <c r="F112" s="7" t="s">
        <v>26</v>
      </c>
    </row>
    <row r="113" spans="1:6" ht="21">
      <c r="A113" s="8" t="s">
        <v>1484</v>
      </c>
      <c r="B113" s="8" t="s">
        <v>1485</v>
      </c>
      <c r="C113" s="8" t="s">
        <v>1448</v>
      </c>
      <c r="D113" s="8" t="s">
        <v>1486</v>
      </c>
      <c r="E113" s="8" t="s">
        <v>1449</v>
      </c>
      <c r="F113" s="8" t="s">
        <v>1487</v>
      </c>
    </row>
    <row r="114" spans="1:6" ht="21">
      <c r="A114" s="8" t="s">
        <v>1488</v>
      </c>
      <c r="B114" s="8" t="s">
        <v>1489</v>
      </c>
      <c r="C114" s="8" t="s">
        <v>1486</v>
      </c>
      <c r="D114" s="8" t="s">
        <v>1490</v>
      </c>
      <c r="E114" s="8" t="s">
        <v>1436</v>
      </c>
      <c r="F114" s="8" t="s">
        <v>1491</v>
      </c>
    </row>
    <row r="115" spans="1:6" ht="42">
      <c r="A115" s="8" t="s">
        <v>1492</v>
      </c>
      <c r="B115" s="8" t="s">
        <v>1493</v>
      </c>
      <c r="C115" s="8" t="s">
        <v>1486</v>
      </c>
      <c r="D115" s="8" t="s">
        <v>1494</v>
      </c>
      <c r="E115" s="8" t="s">
        <v>1495</v>
      </c>
      <c r="F115" s="8" t="s">
        <v>1496</v>
      </c>
    </row>
    <row r="116" spans="1:6" ht="21">
      <c r="A116" s="8" t="s">
        <v>1497</v>
      </c>
      <c r="B116" s="8" t="s">
        <v>1498</v>
      </c>
      <c r="C116" s="8" t="s">
        <v>1499</v>
      </c>
      <c r="D116" s="8" t="s">
        <v>1500</v>
      </c>
      <c r="E116" s="8" t="s">
        <v>1501</v>
      </c>
      <c r="F116" s="8" t="s">
        <v>1502</v>
      </c>
    </row>
    <row r="117" spans="1:6" ht="21">
      <c r="A117" s="8" t="s">
        <v>1503</v>
      </c>
      <c r="B117" s="8" t="s">
        <v>1504</v>
      </c>
      <c r="C117" s="8" t="s">
        <v>1448</v>
      </c>
      <c r="D117" s="8" t="s">
        <v>1505</v>
      </c>
      <c r="E117" s="8" t="s">
        <v>1472</v>
      </c>
      <c r="F117" s="8" t="s">
        <v>1506</v>
      </c>
    </row>
    <row r="118" spans="1:6" ht="42">
      <c r="A118" s="8" t="s">
        <v>1507</v>
      </c>
      <c r="B118" s="8" t="s">
        <v>1508</v>
      </c>
      <c r="C118" s="8" t="s">
        <v>1509</v>
      </c>
      <c r="D118" s="8" t="s">
        <v>1510</v>
      </c>
      <c r="E118" s="8" t="s">
        <v>1511</v>
      </c>
      <c r="F118" s="8" t="s">
        <v>1512</v>
      </c>
    </row>
    <row r="120" spans="1:6" ht="126">
      <c r="A120" s="9" t="s">
        <v>1513</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5BEFB-1968-9340-B22A-C748422A09D9}">
  <dimension ref="A1:E104"/>
  <sheetViews>
    <sheetView topLeftCell="A15" workbookViewId="0"/>
  </sheetViews>
  <sheetFormatPr baseColWidth="10" defaultRowHeight="20"/>
  <cols>
    <col min="1" max="1" width="32.85546875" customWidth="1"/>
    <col min="2" max="3" width="60" customWidth="1"/>
    <col min="4" max="4" width="28.5703125" customWidth="1"/>
    <col min="5" max="5" width="27.140625" customWidth="1"/>
  </cols>
  <sheetData>
    <row r="1" spans="1:5" ht="27">
      <c r="A1" s="1" t="s">
        <v>853</v>
      </c>
    </row>
    <row r="2" spans="1:5" ht="63">
      <c r="A2" s="4" t="s">
        <v>1281</v>
      </c>
    </row>
    <row r="4" spans="1:5" ht="21" thickBot="1">
      <c r="A4" s="2" t="s">
        <v>854</v>
      </c>
    </row>
    <row r="5" spans="1:5" ht="22" customHeight="1">
      <c r="A5" s="50" t="s">
        <v>855</v>
      </c>
      <c r="B5" s="43"/>
      <c r="C5" s="47"/>
    </row>
    <row r="6" spans="1:5" ht="22" customHeight="1">
      <c r="A6" s="45" t="s">
        <v>856</v>
      </c>
      <c r="B6" s="42"/>
      <c r="C6" s="48"/>
    </row>
    <row r="7" spans="1:5" ht="22" customHeight="1">
      <c r="A7" s="45"/>
      <c r="B7" s="42"/>
      <c r="C7" s="48"/>
    </row>
    <row r="8" spans="1:5" ht="22" customHeight="1" thickBot="1">
      <c r="A8" s="46" t="s">
        <v>635</v>
      </c>
      <c r="B8" s="44"/>
      <c r="C8" s="49"/>
    </row>
    <row r="10" spans="1:5">
      <c r="A10" s="7" t="s">
        <v>857</v>
      </c>
      <c r="B10" s="7" t="s">
        <v>858</v>
      </c>
      <c r="C10" s="7" t="s">
        <v>859</v>
      </c>
      <c r="D10" s="7" t="s">
        <v>860</v>
      </c>
      <c r="E10" s="7" t="s">
        <v>141</v>
      </c>
    </row>
    <row r="11" spans="1:5" ht="42">
      <c r="A11" s="8" t="s">
        <v>861</v>
      </c>
      <c r="B11" s="8" t="s">
        <v>862</v>
      </c>
      <c r="C11" s="8" t="s">
        <v>863</v>
      </c>
      <c r="D11" s="8" t="s">
        <v>864</v>
      </c>
      <c r="E11" s="8" t="s">
        <v>865</v>
      </c>
    </row>
    <row r="12" spans="1:5" ht="21">
      <c r="A12" s="8" t="s">
        <v>703</v>
      </c>
      <c r="B12" s="8" t="s">
        <v>866</v>
      </c>
      <c r="C12" s="8" t="s">
        <v>867</v>
      </c>
      <c r="D12" s="8" t="s">
        <v>868</v>
      </c>
      <c r="E12" s="8" t="s">
        <v>865</v>
      </c>
    </row>
    <row r="13" spans="1:5" ht="42">
      <c r="A13" s="8" t="s">
        <v>869</v>
      </c>
      <c r="B13" s="8" t="s">
        <v>870</v>
      </c>
      <c r="C13" s="8" t="s">
        <v>871</v>
      </c>
      <c r="D13" s="8" t="s">
        <v>872</v>
      </c>
      <c r="E13" s="8" t="s">
        <v>873</v>
      </c>
    </row>
    <row r="16" spans="1:5" ht="42">
      <c r="A16" s="10" t="s">
        <v>874</v>
      </c>
    </row>
    <row r="17" spans="1:4" ht="147">
      <c r="A17" s="4" t="s">
        <v>875</v>
      </c>
    </row>
    <row r="18" spans="1:4" ht="63">
      <c r="A18" s="4" t="s">
        <v>876</v>
      </c>
    </row>
    <row r="19" spans="1:4" ht="105">
      <c r="A19" s="4" t="s">
        <v>877</v>
      </c>
    </row>
    <row r="20" spans="1:4" ht="42">
      <c r="A20" s="4" t="s">
        <v>878</v>
      </c>
    </row>
    <row r="23" spans="1:4" ht="21">
      <c r="A23" s="32" t="s">
        <v>879</v>
      </c>
    </row>
    <row r="24" spans="1:4">
      <c r="A24" s="7" t="s">
        <v>880</v>
      </c>
      <c r="B24" s="7" t="s">
        <v>881</v>
      </c>
      <c r="C24" s="7" t="s">
        <v>882</v>
      </c>
      <c r="D24" s="7"/>
    </row>
    <row r="25" spans="1:4" ht="21">
      <c r="A25" s="8" t="s">
        <v>883</v>
      </c>
      <c r="B25" s="8" t="s">
        <v>884</v>
      </c>
      <c r="C25" s="8" t="s">
        <v>885</v>
      </c>
      <c r="D25" s="8"/>
    </row>
    <row r="26" spans="1:4" ht="21">
      <c r="A26" s="8" t="s">
        <v>886</v>
      </c>
      <c r="B26" s="8" t="s">
        <v>85</v>
      </c>
      <c r="C26" s="8" t="s">
        <v>887</v>
      </c>
      <c r="D26" s="8"/>
    </row>
    <row r="28" spans="1:4" ht="147">
      <c r="A28" s="4" t="s">
        <v>888</v>
      </c>
    </row>
    <row r="31" spans="1:4">
      <c r="A31" s="2" t="s">
        <v>889</v>
      </c>
    </row>
    <row r="32" spans="1:4">
      <c r="A32" s="7" t="s">
        <v>82</v>
      </c>
      <c r="B32" s="7" t="s">
        <v>83</v>
      </c>
      <c r="C32" s="7"/>
    </row>
    <row r="33" spans="1:3" ht="63">
      <c r="A33" s="8" t="s">
        <v>858</v>
      </c>
      <c r="B33" s="8" t="s">
        <v>890</v>
      </c>
      <c r="C33" s="8"/>
    </row>
    <row r="34" spans="1:3" ht="42">
      <c r="A34" s="8" t="s">
        <v>108</v>
      </c>
      <c r="B34" s="8" t="s">
        <v>891</v>
      </c>
      <c r="C34" s="8"/>
    </row>
    <row r="35" spans="1:3" ht="42">
      <c r="A35" s="8" t="s">
        <v>579</v>
      </c>
      <c r="B35" s="8" t="s">
        <v>892</v>
      </c>
      <c r="C35" s="8"/>
    </row>
    <row r="36" spans="1:3" ht="42">
      <c r="A36" s="8" t="s">
        <v>893</v>
      </c>
      <c r="B36" s="8" t="s">
        <v>894</v>
      </c>
      <c r="C36" s="8"/>
    </row>
    <row r="39" spans="1:3" ht="21">
      <c r="A39" s="10" t="s">
        <v>895</v>
      </c>
    </row>
    <row r="40" spans="1:3">
      <c r="A40" s="7" t="s">
        <v>82</v>
      </c>
      <c r="B40" s="7" t="s">
        <v>83</v>
      </c>
      <c r="C40" s="5"/>
    </row>
    <row r="41" spans="1:3" ht="21">
      <c r="A41" s="8" t="s">
        <v>858</v>
      </c>
      <c r="B41" s="8" t="s">
        <v>896</v>
      </c>
      <c r="C41" s="6"/>
    </row>
    <row r="42" spans="1:3" ht="21">
      <c r="A42" s="8" t="s">
        <v>859</v>
      </c>
      <c r="B42" s="8" t="s">
        <v>897</v>
      </c>
      <c r="C42" s="6"/>
    </row>
    <row r="43" spans="1:3" ht="21">
      <c r="A43" s="8" t="s">
        <v>898</v>
      </c>
      <c r="B43" s="8" t="s">
        <v>899</v>
      </c>
      <c r="C43" s="6"/>
    </row>
    <row r="44" spans="1:3" ht="42">
      <c r="A44" s="8" t="s">
        <v>900</v>
      </c>
      <c r="B44" s="8" t="s">
        <v>901</v>
      </c>
      <c r="C44" s="6"/>
    </row>
    <row r="45" spans="1:3" ht="63">
      <c r="A45" s="8" t="s">
        <v>902</v>
      </c>
      <c r="B45" s="8" t="s">
        <v>903</v>
      </c>
      <c r="C45" s="6"/>
    </row>
    <row r="46" spans="1:3" ht="63">
      <c r="A46" s="8" t="s">
        <v>1531</v>
      </c>
      <c r="B46" s="8" t="s">
        <v>1532</v>
      </c>
      <c r="C46" s="6"/>
    </row>
    <row r="47" spans="1:3" ht="21">
      <c r="A47" s="8" t="s">
        <v>904</v>
      </c>
      <c r="B47" s="8" t="s">
        <v>905</v>
      </c>
      <c r="C47" s="6"/>
    </row>
    <row r="50" spans="1:4" ht="22" thickBot="1">
      <c r="A50" s="10" t="s">
        <v>906</v>
      </c>
    </row>
    <row r="51" spans="1:4" ht="22" customHeight="1">
      <c r="A51" s="50" t="s">
        <v>907</v>
      </c>
      <c r="B51" s="43"/>
      <c r="C51" s="47"/>
    </row>
    <row r="52" spans="1:4" ht="22" customHeight="1">
      <c r="A52" s="45" t="s">
        <v>908</v>
      </c>
      <c r="B52" s="42"/>
      <c r="C52" s="48"/>
    </row>
    <row r="53" spans="1:4" ht="22" customHeight="1">
      <c r="A53" s="45"/>
      <c r="B53" s="42"/>
      <c r="C53" s="48"/>
    </row>
    <row r="54" spans="1:4" ht="22" customHeight="1" thickBot="1">
      <c r="A54" s="46" t="s">
        <v>635</v>
      </c>
      <c r="B54" s="44"/>
      <c r="C54" s="49"/>
    </row>
    <row r="56" spans="1:4">
      <c r="A56" s="7" t="s">
        <v>909</v>
      </c>
      <c r="B56" s="7" t="s">
        <v>83</v>
      </c>
      <c r="C56" s="7" t="s">
        <v>910</v>
      </c>
      <c r="D56" s="7"/>
    </row>
    <row r="57" spans="1:4" ht="42">
      <c r="A57" s="8" t="s">
        <v>911</v>
      </c>
      <c r="B57" s="8" t="s">
        <v>912</v>
      </c>
      <c r="C57" s="8" t="s">
        <v>913</v>
      </c>
      <c r="D57" s="8"/>
    </row>
    <row r="58" spans="1:4" ht="42">
      <c r="A58" s="8" t="s">
        <v>914</v>
      </c>
      <c r="B58" s="8" t="s">
        <v>915</v>
      </c>
      <c r="C58" s="8" t="s">
        <v>916</v>
      </c>
      <c r="D58" s="8"/>
    </row>
    <row r="60" spans="1:4" ht="63">
      <c r="A60" s="4" t="s">
        <v>917</v>
      </c>
    </row>
    <row r="61" spans="1:4" ht="63">
      <c r="A61" s="4" t="s">
        <v>918</v>
      </c>
    </row>
    <row r="64" spans="1:4">
      <c r="A64" s="2" t="s">
        <v>919</v>
      </c>
    </row>
    <row r="65" spans="1:4">
      <c r="A65" s="7" t="s">
        <v>920</v>
      </c>
      <c r="B65" s="7" t="s">
        <v>921</v>
      </c>
      <c r="C65" s="7" t="s">
        <v>922</v>
      </c>
      <c r="D65" s="7"/>
    </row>
    <row r="66" spans="1:4" ht="21">
      <c r="A66" s="8" t="s">
        <v>923</v>
      </c>
      <c r="B66" s="8" t="s">
        <v>924</v>
      </c>
      <c r="C66" s="8" t="s">
        <v>925</v>
      </c>
      <c r="D66" s="8"/>
    </row>
    <row r="67" spans="1:4" ht="21">
      <c r="A67" s="8" t="s">
        <v>926</v>
      </c>
      <c r="B67" s="8" t="s">
        <v>927</v>
      </c>
      <c r="C67" s="8" t="s">
        <v>928</v>
      </c>
      <c r="D67" s="8"/>
    </row>
    <row r="68" spans="1:4" ht="21">
      <c r="A68" s="8" t="s">
        <v>929</v>
      </c>
      <c r="B68" s="8" t="s">
        <v>927</v>
      </c>
      <c r="C68" s="8" t="s">
        <v>928</v>
      </c>
      <c r="D68" s="8"/>
    </row>
    <row r="69" spans="1:4" ht="21">
      <c r="A69" s="8" t="s">
        <v>566</v>
      </c>
      <c r="B69" s="8" t="s">
        <v>930</v>
      </c>
      <c r="C69" s="8" t="s">
        <v>931</v>
      </c>
      <c r="D69" s="8"/>
    </row>
    <row r="70" spans="1:4" ht="21">
      <c r="A70" s="8" t="s">
        <v>904</v>
      </c>
      <c r="B70" s="8" t="s">
        <v>932</v>
      </c>
      <c r="C70" s="8" t="s">
        <v>933</v>
      </c>
      <c r="D70" s="8"/>
    </row>
    <row r="72" spans="1:4" ht="126">
      <c r="A72" s="9" t="s">
        <v>934</v>
      </c>
    </row>
    <row r="75" spans="1:4">
      <c r="A75" s="2" t="s">
        <v>1533</v>
      </c>
    </row>
    <row r="76" spans="1:4" ht="126">
      <c r="A76" s="4" t="s">
        <v>1534</v>
      </c>
    </row>
    <row r="78" spans="1:4">
      <c r="A78" s="2" t="s">
        <v>1535</v>
      </c>
    </row>
    <row r="79" spans="1:4">
      <c r="A79" s="7" t="s">
        <v>20</v>
      </c>
      <c r="B79" s="7" t="s">
        <v>1536</v>
      </c>
      <c r="C79" s="7" t="s">
        <v>34</v>
      </c>
      <c r="D79" s="7" t="s">
        <v>1537</v>
      </c>
    </row>
    <row r="80" spans="1:4" ht="42">
      <c r="A80" s="8" t="s">
        <v>1538</v>
      </c>
      <c r="B80" s="8" t="s">
        <v>1539</v>
      </c>
      <c r="C80" s="8" t="s">
        <v>1540</v>
      </c>
      <c r="D80" s="8" t="s">
        <v>1541</v>
      </c>
    </row>
    <row r="81" spans="1:4" ht="21">
      <c r="A81" s="8" t="s">
        <v>1542</v>
      </c>
      <c r="B81" s="8" t="s">
        <v>1543</v>
      </c>
      <c r="C81" s="8" t="s">
        <v>1544</v>
      </c>
      <c r="D81" s="8" t="s">
        <v>1545</v>
      </c>
    </row>
    <row r="82" spans="1:4" ht="21">
      <c r="A82" s="8" t="s">
        <v>1546</v>
      </c>
      <c r="B82" s="8" t="s">
        <v>1547</v>
      </c>
      <c r="C82" s="8" t="s">
        <v>1548</v>
      </c>
      <c r="D82" s="8" t="s">
        <v>1549</v>
      </c>
    </row>
    <row r="83" spans="1:4" ht="21">
      <c r="A83" s="8" t="s">
        <v>1550</v>
      </c>
      <c r="B83" s="8" t="s">
        <v>1551</v>
      </c>
      <c r="C83" s="8" t="s">
        <v>1552</v>
      </c>
      <c r="D83" s="8" t="s">
        <v>1553</v>
      </c>
    </row>
    <row r="84" spans="1:4" ht="21">
      <c r="A84" s="8" t="s">
        <v>1554</v>
      </c>
      <c r="B84" s="8" t="s">
        <v>1555</v>
      </c>
      <c r="C84" s="8" t="s">
        <v>1556</v>
      </c>
      <c r="D84" s="8" t="s">
        <v>1557</v>
      </c>
    </row>
    <row r="86" spans="1:4" ht="105">
      <c r="A86" s="4" t="s">
        <v>1558</v>
      </c>
    </row>
    <row r="87" spans="1:4" ht="84">
      <c r="A87" s="4" t="s">
        <v>1559</v>
      </c>
    </row>
    <row r="89" spans="1:4" ht="21">
      <c r="A89" s="10" t="s">
        <v>1560</v>
      </c>
    </row>
    <row r="90" spans="1:4">
      <c r="A90" s="7" t="s">
        <v>1561</v>
      </c>
      <c r="B90" s="7" t="s">
        <v>1562</v>
      </c>
    </row>
    <row r="91" spans="1:4" ht="63">
      <c r="A91" s="8" t="s">
        <v>1563</v>
      </c>
      <c r="B91" s="8" t="s">
        <v>1564</v>
      </c>
    </row>
    <row r="92" spans="1:4" ht="63">
      <c r="A92" s="8" t="s">
        <v>1565</v>
      </c>
      <c r="B92" s="8" t="s">
        <v>1566</v>
      </c>
    </row>
    <row r="93" spans="1:4" ht="63">
      <c r="A93" s="8" t="s">
        <v>1567</v>
      </c>
      <c r="B93" s="8" t="s">
        <v>1568</v>
      </c>
    </row>
    <row r="94" spans="1:4" ht="42">
      <c r="A94" s="8" t="s">
        <v>1569</v>
      </c>
      <c r="B94" s="8" t="s">
        <v>1570</v>
      </c>
    </row>
    <row r="95" spans="1:4" ht="21">
      <c r="A95" s="8" t="s">
        <v>28</v>
      </c>
      <c r="B95" s="8" t="s">
        <v>1571</v>
      </c>
    </row>
    <row r="96" spans="1:4" ht="63">
      <c r="A96" s="8" t="s">
        <v>1572</v>
      </c>
      <c r="B96" s="8" t="s">
        <v>1573</v>
      </c>
    </row>
    <row r="99" spans="1:3" ht="42">
      <c r="A99" s="10" t="s">
        <v>1574</v>
      </c>
    </row>
    <row r="100" spans="1:3" ht="42">
      <c r="A100" s="4" t="s">
        <v>1575</v>
      </c>
    </row>
    <row r="101" spans="1:3">
      <c r="A101" s="7" t="s">
        <v>1576</v>
      </c>
      <c r="B101" s="7" t="s">
        <v>1577</v>
      </c>
      <c r="C101" s="7" t="s">
        <v>1578</v>
      </c>
    </row>
    <row r="102" spans="1:3" ht="105">
      <c r="A102" s="8" t="s">
        <v>1579</v>
      </c>
      <c r="B102" s="8" t="s">
        <v>1580</v>
      </c>
      <c r="C102" s="8" t="s">
        <v>1581</v>
      </c>
    </row>
    <row r="103" spans="1:3" ht="42">
      <c r="A103" s="8" t="s">
        <v>1582</v>
      </c>
      <c r="B103" s="8" t="s">
        <v>1583</v>
      </c>
      <c r="C103" s="8" t="s">
        <v>1584</v>
      </c>
    </row>
    <row r="104" spans="1:3" ht="21">
      <c r="A104" s="8" t="s">
        <v>1585</v>
      </c>
      <c r="B104" s="8" t="s">
        <v>1586</v>
      </c>
      <c r="C104" s="8" t="s">
        <v>1587</v>
      </c>
    </row>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129B5-6F54-194F-B116-79744427E101}">
  <dimension ref="A1:F216"/>
  <sheetViews>
    <sheetView topLeftCell="A146" workbookViewId="0">
      <selection activeCell="B173" sqref="B173"/>
    </sheetView>
  </sheetViews>
  <sheetFormatPr baseColWidth="10" defaultRowHeight="20"/>
  <cols>
    <col min="1" max="1" width="27.140625" customWidth="1"/>
    <col min="2" max="2" width="35.7109375" customWidth="1"/>
    <col min="3" max="4" width="47.140625" customWidth="1"/>
    <col min="5" max="5" width="27.140625" customWidth="1"/>
    <col min="6" max="6" width="21.42578125" customWidth="1"/>
  </cols>
  <sheetData>
    <row r="1" spans="1:6" ht="27">
      <c r="A1" s="1" t="s">
        <v>166</v>
      </c>
    </row>
    <row r="2" spans="1:6" ht="105">
      <c r="A2" s="4" t="s">
        <v>1282</v>
      </c>
    </row>
    <row r="4" spans="1:6">
      <c r="A4" s="2" t="s">
        <v>935</v>
      </c>
    </row>
    <row r="5" spans="1:6" ht="210">
      <c r="A5" s="4" t="s">
        <v>936</v>
      </c>
    </row>
    <row r="7" spans="1:6">
      <c r="A7" s="7" t="s">
        <v>82</v>
      </c>
      <c r="B7" s="7" t="s">
        <v>167</v>
      </c>
      <c r="C7" s="7" t="s">
        <v>168</v>
      </c>
      <c r="D7" s="7" t="s">
        <v>169</v>
      </c>
      <c r="E7" s="7" t="s">
        <v>170</v>
      </c>
      <c r="F7" s="7"/>
    </row>
    <row r="8" spans="1:6" ht="21">
      <c r="A8" s="8" t="s">
        <v>171</v>
      </c>
      <c r="B8" s="8" t="s">
        <v>172</v>
      </c>
      <c r="C8" s="8" t="s">
        <v>173</v>
      </c>
      <c r="D8" s="8" t="s">
        <v>174</v>
      </c>
      <c r="E8" s="8" t="s">
        <v>175</v>
      </c>
      <c r="F8" s="8"/>
    </row>
    <row r="9" spans="1:6" ht="21">
      <c r="A9" s="8" t="s">
        <v>176</v>
      </c>
      <c r="B9" s="8" t="s">
        <v>172</v>
      </c>
      <c r="C9" s="8" t="s">
        <v>177</v>
      </c>
      <c r="D9" s="8" t="s">
        <v>178</v>
      </c>
      <c r="E9" s="8" t="s">
        <v>175</v>
      </c>
      <c r="F9" s="8"/>
    </row>
    <row r="10" spans="1:6" ht="21">
      <c r="A10" s="8" t="s">
        <v>179</v>
      </c>
      <c r="B10" s="8" t="s">
        <v>172</v>
      </c>
      <c r="C10" s="8" t="s">
        <v>180</v>
      </c>
      <c r="D10" s="8" t="s">
        <v>181</v>
      </c>
      <c r="E10" s="8" t="s">
        <v>182</v>
      </c>
      <c r="F10" s="8"/>
    </row>
    <row r="11" spans="1:6" ht="21">
      <c r="A11" s="8" t="s">
        <v>183</v>
      </c>
      <c r="B11" s="8" t="s">
        <v>172</v>
      </c>
      <c r="C11" s="8" t="s">
        <v>184</v>
      </c>
      <c r="D11" s="8" t="s">
        <v>185</v>
      </c>
      <c r="E11" s="8" t="s">
        <v>182</v>
      </c>
      <c r="F11" s="8"/>
    </row>
    <row r="12" spans="1:6" ht="21">
      <c r="A12" s="8" t="s">
        <v>186</v>
      </c>
      <c r="B12" s="8" t="s">
        <v>172</v>
      </c>
      <c r="C12" s="8" t="s">
        <v>187</v>
      </c>
      <c r="D12" s="8" t="s">
        <v>188</v>
      </c>
      <c r="E12" s="8" t="s">
        <v>189</v>
      </c>
      <c r="F12" s="8"/>
    </row>
    <row r="13" spans="1:6" ht="42">
      <c r="A13" s="8" t="s">
        <v>190</v>
      </c>
      <c r="B13" s="8" t="s">
        <v>172</v>
      </c>
      <c r="C13" s="8" t="s">
        <v>191</v>
      </c>
      <c r="D13" s="8" t="s">
        <v>192</v>
      </c>
      <c r="E13" s="8" t="s">
        <v>182</v>
      </c>
      <c r="F13" s="8"/>
    </row>
    <row r="14" spans="1:6" ht="42">
      <c r="A14" s="8" t="s">
        <v>193</v>
      </c>
      <c r="B14" s="8" t="s">
        <v>194</v>
      </c>
      <c r="C14" s="8" t="s">
        <v>195</v>
      </c>
      <c r="D14" s="8" t="s">
        <v>196</v>
      </c>
      <c r="E14" s="8" t="s">
        <v>197</v>
      </c>
      <c r="F14" s="8"/>
    </row>
    <row r="15" spans="1:6" ht="21">
      <c r="A15" s="8" t="s">
        <v>198</v>
      </c>
      <c r="B15" s="8" t="s">
        <v>199</v>
      </c>
      <c r="C15" s="8" t="s">
        <v>200</v>
      </c>
      <c r="D15" s="41" t="s">
        <v>1386</v>
      </c>
      <c r="E15" s="8" t="s">
        <v>197</v>
      </c>
      <c r="F15" s="8"/>
    </row>
    <row r="16" spans="1:6" ht="21">
      <c r="A16" s="8" t="s">
        <v>201</v>
      </c>
      <c r="B16" s="8" t="s">
        <v>172</v>
      </c>
      <c r="C16" s="8" t="s">
        <v>202</v>
      </c>
      <c r="D16" s="8" t="s">
        <v>203</v>
      </c>
      <c r="E16" s="8" t="s">
        <v>204</v>
      </c>
      <c r="F16" s="8"/>
    </row>
    <row r="17" spans="1:6" ht="21">
      <c r="A17" s="8" t="s">
        <v>205</v>
      </c>
      <c r="B17" s="8" t="s">
        <v>172</v>
      </c>
      <c r="C17" s="8" t="s">
        <v>206</v>
      </c>
      <c r="D17" s="8" t="s">
        <v>174</v>
      </c>
      <c r="E17" s="8" t="s">
        <v>207</v>
      </c>
      <c r="F17" s="8"/>
    </row>
    <row r="18" spans="1:6" ht="21">
      <c r="A18" s="8" t="s">
        <v>208</v>
      </c>
      <c r="B18" s="8" t="s">
        <v>172</v>
      </c>
      <c r="C18" s="8" t="s">
        <v>209</v>
      </c>
      <c r="D18" s="8" t="s">
        <v>210</v>
      </c>
      <c r="E18" s="8" t="s">
        <v>207</v>
      </c>
      <c r="F18" s="8"/>
    </row>
    <row r="19" spans="1:6" ht="21">
      <c r="A19" s="8" t="s">
        <v>211</v>
      </c>
      <c r="B19" s="8" t="s">
        <v>172</v>
      </c>
      <c r="C19" s="8" t="s">
        <v>212</v>
      </c>
      <c r="D19" s="8" t="s">
        <v>213</v>
      </c>
      <c r="E19" s="8" t="s">
        <v>207</v>
      </c>
      <c r="F19" s="8"/>
    </row>
    <row r="20" spans="1:6" ht="21">
      <c r="A20" s="8" t="s">
        <v>214</v>
      </c>
      <c r="B20" s="8" t="s">
        <v>172</v>
      </c>
      <c r="C20" s="8" t="s">
        <v>215</v>
      </c>
      <c r="D20" s="8" t="s">
        <v>216</v>
      </c>
      <c r="E20" s="8" t="s">
        <v>217</v>
      </c>
      <c r="F20" s="8"/>
    </row>
    <row r="21" spans="1:6" ht="21">
      <c r="A21" s="8" t="s">
        <v>218</v>
      </c>
      <c r="B21" s="8" t="s">
        <v>172</v>
      </c>
      <c r="C21" s="8" t="s">
        <v>219</v>
      </c>
      <c r="D21" s="8" t="s">
        <v>220</v>
      </c>
      <c r="E21" s="8" t="s">
        <v>217</v>
      </c>
      <c r="F21" s="8"/>
    </row>
    <row r="23" spans="1:6" ht="168">
      <c r="A23" s="9" t="s">
        <v>937</v>
      </c>
    </row>
    <row r="26" spans="1:6">
      <c r="A26" s="2" t="s">
        <v>938</v>
      </c>
    </row>
    <row r="27" spans="1:6">
      <c r="A27" s="33" t="s">
        <v>221</v>
      </c>
    </row>
    <row r="28" spans="1:6">
      <c r="A28" s="33" t="s">
        <v>939</v>
      </c>
    </row>
    <row r="29" spans="1:6">
      <c r="A29" s="33" t="s">
        <v>940</v>
      </c>
    </row>
    <row r="30" spans="1:6">
      <c r="A30" s="33" t="s">
        <v>941</v>
      </c>
    </row>
    <row r="31" spans="1:6">
      <c r="A31" s="33" t="s">
        <v>942</v>
      </c>
    </row>
    <row r="32" spans="1:6">
      <c r="A32" s="33" t="s">
        <v>943</v>
      </c>
    </row>
    <row r="33" spans="1:3">
      <c r="A33" s="33" t="s">
        <v>944</v>
      </c>
    </row>
    <row r="34" spans="1:3">
      <c r="A34" s="33" t="s">
        <v>945</v>
      </c>
    </row>
    <row r="35" spans="1:3">
      <c r="A35" s="33" t="s">
        <v>946</v>
      </c>
    </row>
    <row r="36" spans="1:3">
      <c r="A36" s="33" t="s">
        <v>947</v>
      </c>
    </row>
    <row r="37" spans="1:3">
      <c r="A37" s="33" t="s">
        <v>948</v>
      </c>
    </row>
    <row r="38" spans="1:3">
      <c r="A38" s="33" t="s">
        <v>949</v>
      </c>
    </row>
    <row r="39" spans="1:3">
      <c r="A39" s="33" t="s">
        <v>950</v>
      </c>
    </row>
    <row r="40" spans="1:3">
      <c r="A40" s="33" t="s">
        <v>951</v>
      </c>
    </row>
    <row r="41" spans="1:3">
      <c r="A41" s="33" t="s">
        <v>952</v>
      </c>
    </row>
    <row r="42" spans="1:3">
      <c r="A42" s="33" t="s">
        <v>222</v>
      </c>
    </row>
    <row r="45" spans="1:3" ht="21" thickBot="1">
      <c r="A45" s="34" t="s">
        <v>953</v>
      </c>
    </row>
    <row r="46" spans="1:3" ht="22" customHeight="1">
      <c r="A46" s="50" t="s">
        <v>954</v>
      </c>
      <c r="B46" s="43"/>
      <c r="C46" s="47"/>
    </row>
    <row r="47" spans="1:3" ht="22" customHeight="1">
      <c r="A47" s="45" t="s">
        <v>955</v>
      </c>
      <c r="B47" s="42"/>
      <c r="C47" s="48"/>
    </row>
    <row r="48" spans="1:3" ht="22" customHeight="1">
      <c r="A48" s="45"/>
      <c r="B48" s="42"/>
      <c r="C48" s="48"/>
    </row>
    <row r="49" spans="1:6" ht="22" customHeight="1" thickBot="1">
      <c r="A49" s="46" t="s">
        <v>635</v>
      </c>
      <c r="B49" s="44"/>
      <c r="C49" s="49"/>
    </row>
    <row r="51" spans="1:6">
      <c r="A51" s="7" t="s">
        <v>82</v>
      </c>
      <c r="B51" s="7" t="s">
        <v>223</v>
      </c>
      <c r="C51" s="7"/>
    </row>
    <row r="52" spans="1:6" ht="63">
      <c r="A52" s="8" t="s">
        <v>224</v>
      </c>
      <c r="B52" s="8" t="s">
        <v>225</v>
      </c>
      <c r="C52" s="8"/>
    </row>
    <row r="53" spans="1:6" ht="21">
      <c r="A53" s="8" t="s">
        <v>226</v>
      </c>
      <c r="B53" s="8" t="s">
        <v>227</v>
      </c>
      <c r="C53" s="8"/>
    </row>
    <row r="54" spans="1:6" ht="21">
      <c r="A54" s="8" t="s">
        <v>228</v>
      </c>
      <c r="B54" s="8" t="s">
        <v>229</v>
      </c>
      <c r="C54" s="8"/>
    </row>
    <row r="55" spans="1:6" ht="21">
      <c r="A55" s="8" t="s">
        <v>230</v>
      </c>
      <c r="B55" s="8" t="s">
        <v>231</v>
      </c>
      <c r="C55" s="8"/>
    </row>
    <row r="56" spans="1:6" ht="42">
      <c r="A56" s="8" t="s">
        <v>232</v>
      </c>
      <c r="B56" s="8" t="s">
        <v>233</v>
      </c>
      <c r="C56" s="8"/>
    </row>
    <row r="59" spans="1:6" ht="63">
      <c r="A59" s="10" t="s">
        <v>956</v>
      </c>
    </row>
    <row r="60" spans="1:6">
      <c r="A60" s="7" t="s">
        <v>223</v>
      </c>
      <c r="B60" s="7" t="s">
        <v>234</v>
      </c>
      <c r="C60" s="7" t="s">
        <v>235</v>
      </c>
      <c r="D60" s="7" t="s">
        <v>236</v>
      </c>
      <c r="E60" s="7" t="s">
        <v>141</v>
      </c>
      <c r="F60" s="7"/>
    </row>
    <row r="61" spans="1:6" ht="21">
      <c r="A61" s="8" t="s">
        <v>185</v>
      </c>
      <c r="B61" s="8" t="s">
        <v>237</v>
      </c>
      <c r="C61" s="8" t="s">
        <v>238</v>
      </c>
      <c r="D61" s="8" t="s">
        <v>239</v>
      </c>
      <c r="E61" s="8" t="s">
        <v>240</v>
      </c>
      <c r="F61" s="8"/>
    </row>
    <row r="62" spans="1:6" ht="21">
      <c r="A62" s="8" t="s">
        <v>241</v>
      </c>
      <c r="B62" s="8" t="s">
        <v>242</v>
      </c>
      <c r="C62" s="8">
        <v>403</v>
      </c>
      <c r="D62" s="8" t="s">
        <v>243</v>
      </c>
      <c r="E62" s="8" t="s">
        <v>244</v>
      </c>
      <c r="F62" s="8"/>
    </row>
    <row r="63" spans="1:6" ht="21">
      <c r="A63" s="8" t="s">
        <v>245</v>
      </c>
      <c r="B63" s="8" t="s">
        <v>246</v>
      </c>
      <c r="C63" s="8" t="s">
        <v>238</v>
      </c>
      <c r="D63" s="8" t="s">
        <v>239</v>
      </c>
      <c r="E63" s="8" t="s">
        <v>240</v>
      </c>
      <c r="F63" s="8"/>
    </row>
    <row r="64" spans="1:6" ht="21">
      <c r="A64" s="8" t="s">
        <v>247</v>
      </c>
      <c r="B64" s="8" t="s">
        <v>248</v>
      </c>
      <c r="C64" s="8" t="s">
        <v>249</v>
      </c>
      <c r="D64" s="8" t="s">
        <v>250</v>
      </c>
      <c r="E64" s="8" t="s">
        <v>251</v>
      </c>
      <c r="F64" s="8"/>
    </row>
    <row r="65" spans="1:6" ht="21">
      <c r="A65" s="8" t="s">
        <v>252</v>
      </c>
      <c r="B65" s="8" t="s">
        <v>253</v>
      </c>
      <c r="C65" s="8" t="s">
        <v>254</v>
      </c>
      <c r="D65" s="8" t="s">
        <v>255</v>
      </c>
      <c r="E65" s="8" t="s">
        <v>251</v>
      </c>
      <c r="F65" s="8"/>
    </row>
    <row r="66" spans="1:6" ht="21">
      <c r="A66" s="8" t="s">
        <v>256</v>
      </c>
      <c r="B66" s="8" t="s">
        <v>257</v>
      </c>
      <c r="C66" s="8">
        <v>403</v>
      </c>
      <c r="D66" s="8" t="s">
        <v>243</v>
      </c>
      <c r="E66" s="8" t="s">
        <v>244</v>
      </c>
      <c r="F66" s="8"/>
    </row>
    <row r="68" spans="1:6" ht="147">
      <c r="A68" s="9" t="s">
        <v>957</v>
      </c>
    </row>
    <row r="71" spans="1:6" ht="21" thickBot="1">
      <c r="A71" s="2" t="s">
        <v>958</v>
      </c>
    </row>
    <row r="72" spans="1:6" ht="22" customHeight="1">
      <c r="A72" s="50" t="s">
        <v>959</v>
      </c>
      <c r="B72" s="43"/>
      <c r="C72" s="47"/>
    </row>
    <row r="73" spans="1:6" ht="22" customHeight="1">
      <c r="A73" s="45" t="s">
        <v>960</v>
      </c>
      <c r="B73" s="42"/>
      <c r="C73" s="48"/>
    </row>
    <row r="74" spans="1:6" ht="22" customHeight="1">
      <c r="A74" s="45"/>
      <c r="B74" s="42"/>
      <c r="C74" s="48"/>
    </row>
    <row r="75" spans="1:6" ht="22" customHeight="1" thickBot="1">
      <c r="A75" s="46" t="s">
        <v>635</v>
      </c>
      <c r="B75" s="44"/>
      <c r="C75" s="49"/>
    </row>
    <row r="77" spans="1:6" ht="84">
      <c r="A77" s="4" t="s">
        <v>961</v>
      </c>
    </row>
    <row r="79" spans="1:6">
      <c r="A79" s="33" t="s">
        <v>258</v>
      </c>
    </row>
    <row r="80" spans="1:6">
      <c r="A80" s="33" t="s">
        <v>259</v>
      </c>
    </row>
    <row r="81" spans="1:4">
      <c r="A81" s="33" t="s">
        <v>260</v>
      </c>
    </row>
    <row r="82" spans="1:4">
      <c r="A82" s="33" t="s">
        <v>261</v>
      </c>
    </row>
    <row r="83" spans="1:4">
      <c r="A83" s="33" t="s">
        <v>262</v>
      </c>
    </row>
    <row r="84" spans="1:4">
      <c r="A84" s="33" t="s">
        <v>263</v>
      </c>
    </row>
    <row r="85" spans="1:4">
      <c r="A85" s="33" t="s">
        <v>962</v>
      </c>
    </row>
    <row r="86" spans="1:4">
      <c r="A86" s="33" t="s">
        <v>963</v>
      </c>
    </row>
    <row r="87" spans="1:4">
      <c r="A87" s="33" t="s">
        <v>964</v>
      </c>
    </row>
    <row r="88" spans="1:4">
      <c r="A88" s="33" t="s">
        <v>965</v>
      </c>
    </row>
    <row r="89" spans="1:4">
      <c r="A89" s="33" t="s">
        <v>966</v>
      </c>
    </row>
    <row r="90" spans="1:4">
      <c r="A90" s="33" t="s">
        <v>967</v>
      </c>
    </row>
    <row r="91" spans="1:4">
      <c r="A91" s="33" t="s">
        <v>968</v>
      </c>
    </row>
    <row r="93" spans="1:4">
      <c r="A93" s="7" t="s">
        <v>82</v>
      </c>
      <c r="B93" s="7" t="s">
        <v>264</v>
      </c>
      <c r="C93" s="7" t="s">
        <v>265</v>
      </c>
      <c r="D93" s="7"/>
    </row>
    <row r="94" spans="1:4" ht="42">
      <c r="A94" s="8" t="s">
        <v>266</v>
      </c>
      <c r="B94" s="8" t="s">
        <v>267</v>
      </c>
      <c r="C94" s="8" t="s">
        <v>268</v>
      </c>
      <c r="D94" s="8"/>
    </row>
    <row r="95" spans="1:4" ht="21">
      <c r="A95" s="8" t="s">
        <v>183</v>
      </c>
      <c r="B95" s="8" t="s">
        <v>969</v>
      </c>
      <c r="C95" s="8" t="s">
        <v>269</v>
      </c>
      <c r="D95" s="8"/>
    </row>
    <row r="96" spans="1:4" ht="21">
      <c r="A96" s="8" t="s">
        <v>179</v>
      </c>
      <c r="B96" s="8" t="s">
        <v>970</v>
      </c>
      <c r="C96" s="8" t="s">
        <v>270</v>
      </c>
      <c r="D96" s="8"/>
    </row>
    <row r="97" spans="1:4" ht="63">
      <c r="A97" s="8" t="s">
        <v>271</v>
      </c>
      <c r="B97" s="8" t="s">
        <v>971</v>
      </c>
      <c r="C97" s="8" t="s">
        <v>85</v>
      </c>
      <c r="D97" s="8"/>
    </row>
    <row r="98" spans="1:4" ht="42">
      <c r="A98" s="8" t="s">
        <v>272</v>
      </c>
      <c r="B98" s="8" t="s">
        <v>273</v>
      </c>
      <c r="C98" s="8" t="s">
        <v>85</v>
      </c>
      <c r="D98" s="8"/>
    </row>
    <row r="100" spans="1:4" ht="105">
      <c r="A100" s="9" t="s">
        <v>972</v>
      </c>
    </row>
    <row r="103" spans="1:4">
      <c r="A103" s="2" t="s">
        <v>973</v>
      </c>
    </row>
    <row r="104" spans="1:4" ht="231">
      <c r="A104" s="35" t="s">
        <v>974</v>
      </c>
    </row>
    <row r="106" spans="1:4" ht="63">
      <c r="A106" s="4" t="s">
        <v>975</v>
      </c>
    </row>
    <row r="107" spans="1:4" ht="126">
      <c r="A107" s="4" t="s">
        <v>976</v>
      </c>
    </row>
    <row r="108" spans="1:4" ht="105">
      <c r="A108" s="4" t="s">
        <v>977</v>
      </c>
    </row>
    <row r="109" spans="1:4" ht="105">
      <c r="A109" s="4" t="s">
        <v>978</v>
      </c>
    </row>
    <row r="111" spans="1:4">
      <c r="A111" s="7" t="s">
        <v>274</v>
      </c>
      <c r="B111" s="7" t="s">
        <v>234</v>
      </c>
      <c r="C111" s="7" t="s">
        <v>275</v>
      </c>
      <c r="D111" s="7"/>
    </row>
    <row r="112" spans="1:4" ht="42">
      <c r="A112" s="8" t="s">
        <v>276</v>
      </c>
      <c r="B112" s="8" t="s">
        <v>277</v>
      </c>
      <c r="C112" s="8" t="s">
        <v>278</v>
      </c>
      <c r="D112" s="8"/>
    </row>
    <row r="113" spans="1:4" ht="42">
      <c r="A113" s="8" t="s">
        <v>279</v>
      </c>
      <c r="B113" s="8" t="s">
        <v>280</v>
      </c>
      <c r="C113" s="41" t="s">
        <v>1387</v>
      </c>
      <c r="D113" s="8"/>
    </row>
    <row r="114" spans="1:4" ht="42">
      <c r="A114" s="8" t="s">
        <v>281</v>
      </c>
      <c r="B114" s="8" t="s">
        <v>282</v>
      </c>
      <c r="C114" s="8" t="s">
        <v>283</v>
      </c>
      <c r="D114" s="8"/>
    </row>
    <row r="115" spans="1:4" ht="42">
      <c r="A115" s="8" t="s">
        <v>284</v>
      </c>
      <c r="B115" s="8" t="s">
        <v>285</v>
      </c>
      <c r="C115" s="8" t="s">
        <v>85</v>
      </c>
      <c r="D115" s="8"/>
    </row>
    <row r="116" spans="1:4" ht="42">
      <c r="A116" s="8" t="s">
        <v>286</v>
      </c>
      <c r="B116" s="8" t="s">
        <v>287</v>
      </c>
      <c r="C116" s="8" t="s">
        <v>85</v>
      </c>
      <c r="D116" s="8"/>
    </row>
    <row r="117" spans="1:4" ht="42">
      <c r="A117" s="8" t="s">
        <v>288</v>
      </c>
      <c r="B117" s="8" t="s">
        <v>289</v>
      </c>
      <c r="C117" s="8" t="s">
        <v>85</v>
      </c>
      <c r="D117" s="8"/>
    </row>
    <row r="118" spans="1:4" ht="42">
      <c r="A118" s="8" t="s">
        <v>290</v>
      </c>
      <c r="B118" s="8" t="s">
        <v>291</v>
      </c>
      <c r="C118" s="8" t="s">
        <v>85</v>
      </c>
      <c r="D118" s="8"/>
    </row>
    <row r="120" spans="1:4" ht="42">
      <c r="A120" s="9" t="s">
        <v>979</v>
      </c>
    </row>
    <row r="122" spans="1:4" ht="21">
      <c r="A122" s="10" t="s">
        <v>980</v>
      </c>
    </row>
    <row r="123" spans="1:4">
      <c r="A123" s="33" t="s">
        <v>292</v>
      </c>
    </row>
    <row r="124" spans="1:4">
      <c r="A124" s="33" t="s">
        <v>981</v>
      </c>
    </row>
    <row r="125" spans="1:4">
      <c r="A125" s="33" t="s">
        <v>982</v>
      </c>
    </row>
    <row r="126" spans="1:4">
      <c r="A126" s="33" t="s">
        <v>983</v>
      </c>
    </row>
    <row r="127" spans="1:4">
      <c r="A127" s="33" t="s">
        <v>984</v>
      </c>
    </row>
    <row r="128" spans="1:4">
      <c r="A128" s="33" t="s">
        <v>985</v>
      </c>
    </row>
    <row r="129" spans="1:3">
      <c r="A129" s="33" t="s">
        <v>986</v>
      </c>
    </row>
    <row r="130" spans="1:3">
      <c r="A130" s="33" t="s">
        <v>987</v>
      </c>
    </row>
    <row r="131" spans="1:3">
      <c r="A131" s="33" t="s">
        <v>988</v>
      </c>
    </row>
    <row r="132" spans="1:3">
      <c r="A132" s="33" t="s">
        <v>989</v>
      </c>
    </row>
    <row r="133" spans="1:3">
      <c r="A133" s="33" t="s">
        <v>982</v>
      </c>
    </row>
    <row r="134" spans="1:3">
      <c r="A134" s="33" t="s">
        <v>990</v>
      </c>
    </row>
    <row r="135" spans="1:3">
      <c r="A135" s="33" t="s">
        <v>991</v>
      </c>
    </row>
    <row r="136" spans="1:3">
      <c r="A136" s="33" t="s">
        <v>982</v>
      </c>
    </row>
    <row r="137" spans="1:3">
      <c r="A137" s="33" t="s">
        <v>992</v>
      </c>
    </row>
    <row r="138" spans="1:3">
      <c r="A138" s="33" t="s">
        <v>290</v>
      </c>
    </row>
    <row r="142" spans="1:3">
      <c r="A142" s="2" t="s">
        <v>993</v>
      </c>
    </row>
    <row r="143" spans="1:3">
      <c r="A143" s="7" t="s">
        <v>82</v>
      </c>
      <c r="B143" s="7" t="s">
        <v>223</v>
      </c>
      <c r="C143" s="7"/>
    </row>
    <row r="144" spans="1:3" ht="21">
      <c r="A144" s="8" t="s">
        <v>293</v>
      </c>
      <c r="B144" s="8" t="s">
        <v>294</v>
      </c>
      <c r="C144" s="8"/>
    </row>
    <row r="145" spans="1:4" ht="21">
      <c r="A145" s="8" t="s">
        <v>295</v>
      </c>
      <c r="B145" s="8" t="s">
        <v>296</v>
      </c>
      <c r="C145" s="8"/>
    </row>
    <row r="146" spans="1:4" ht="42">
      <c r="A146" s="8" t="s">
        <v>297</v>
      </c>
      <c r="B146" s="8" t="s">
        <v>298</v>
      </c>
      <c r="C146" s="8"/>
    </row>
    <row r="149" spans="1:4">
      <c r="A149" s="7" t="s">
        <v>299</v>
      </c>
      <c r="B149" s="7" t="s">
        <v>300</v>
      </c>
      <c r="C149" s="7" t="s">
        <v>234</v>
      </c>
      <c r="D149" s="7"/>
    </row>
    <row r="150" spans="1:4" ht="21">
      <c r="A150" s="8" t="s">
        <v>301</v>
      </c>
      <c r="B150" s="8" t="s">
        <v>302</v>
      </c>
      <c r="C150" s="8" t="s">
        <v>303</v>
      </c>
      <c r="D150" s="8"/>
    </row>
    <row r="151" spans="1:4" ht="21">
      <c r="A151" s="8" t="s">
        <v>304</v>
      </c>
      <c r="B151" s="8" t="s">
        <v>302</v>
      </c>
      <c r="C151" s="8" t="s">
        <v>305</v>
      </c>
      <c r="D151" s="8"/>
    </row>
    <row r="152" spans="1:4" ht="21">
      <c r="A152" s="8" t="s">
        <v>306</v>
      </c>
      <c r="B152" s="8" t="s">
        <v>302</v>
      </c>
      <c r="C152" s="8" t="s">
        <v>307</v>
      </c>
      <c r="D152" s="8"/>
    </row>
    <row r="153" spans="1:4" ht="21">
      <c r="A153" s="8" t="s">
        <v>308</v>
      </c>
      <c r="B153" s="8" t="s">
        <v>302</v>
      </c>
      <c r="C153" s="8" t="s">
        <v>309</v>
      </c>
      <c r="D153" s="8"/>
    </row>
    <row r="154" spans="1:4" ht="21">
      <c r="A154" s="8" t="s">
        <v>310</v>
      </c>
      <c r="B154" s="8" t="s">
        <v>302</v>
      </c>
      <c r="C154" s="8" t="s">
        <v>311</v>
      </c>
      <c r="D154" s="8"/>
    </row>
    <row r="157" spans="1:4" ht="64" thickBot="1">
      <c r="A157" s="10" t="s">
        <v>994</v>
      </c>
    </row>
    <row r="158" spans="1:4" ht="22" customHeight="1">
      <c r="A158" s="50" t="s">
        <v>995</v>
      </c>
      <c r="B158" s="43"/>
      <c r="C158" s="47"/>
    </row>
    <row r="159" spans="1:4" ht="22" customHeight="1">
      <c r="A159" s="45" t="s">
        <v>996</v>
      </c>
      <c r="B159" s="42"/>
      <c r="C159" s="48"/>
    </row>
    <row r="160" spans="1:4" ht="22" customHeight="1">
      <c r="A160" s="45"/>
      <c r="B160" s="42"/>
      <c r="C160" s="48"/>
    </row>
    <row r="161" spans="1:6" ht="22" customHeight="1" thickBot="1">
      <c r="A161" s="46" t="s">
        <v>635</v>
      </c>
      <c r="B161" s="44"/>
      <c r="C161" s="49"/>
    </row>
    <row r="163" spans="1:6">
      <c r="A163" s="7" t="s">
        <v>312</v>
      </c>
      <c r="B163" s="7" t="s">
        <v>313</v>
      </c>
      <c r="C163" s="7" t="s">
        <v>314</v>
      </c>
      <c r="D163" s="7" t="s">
        <v>315</v>
      </c>
      <c r="E163" s="7" t="s">
        <v>316</v>
      </c>
      <c r="F163" s="7" t="s">
        <v>317</v>
      </c>
    </row>
    <row r="164" spans="1:6" ht="21">
      <c r="A164" s="8" t="s">
        <v>238</v>
      </c>
      <c r="B164" s="8" t="s">
        <v>318</v>
      </c>
      <c r="C164" s="8" t="s">
        <v>319</v>
      </c>
      <c r="D164" s="8" t="s">
        <v>85</v>
      </c>
      <c r="E164" s="8" t="s">
        <v>85</v>
      </c>
      <c r="F164" s="8" t="s">
        <v>320</v>
      </c>
    </row>
    <row r="165" spans="1:6" ht="21">
      <c r="A165" s="36">
        <v>200</v>
      </c>
      <c r="B165" s="36">
        <v>200</v>
      </c>
      <c r="C165" s="36" t="s">
        <v>321</v>
      </c>
      <c r="D165" s="36" t="s">
        <v>322</v>
      </c>
      <c r="E165" s="36" t="s">
        <v>323</v>
      </c>
      <c r="F165" s="36" t="s">
        <v>324</v>
      </c>
    </row>
    <row r="166" spans="1:6" ht="21">
      <c r="A166" s="36">
        <v>200</v>
      </c>
      <c r="B166" s="36" t="s">
        <v>238</v>
      </c>
      <c r="C166" s="36" t="s">
        <v>325</v>
      </c>
      <c r="D166" s="36" t="s">
        <v>322</v>
      </c>
      <c r="E166" s="36" t="s">
        <v>323</v>
      </c>
      <c r="F166" s="36" t="s">
        <v>324</v>
      </c>
    </row>
    <row r="167" spans="1:6" ht="21">
      <c r="A167" s="8" t="s">
        <v>238</v>
      </c>
      <c r="B167" s="8" t="s">
        <v>238</v>
      </c>
      <c r="C167" s="8" t="s">
        <v>326</v>
      </c>
      <c r="D167" s="8" t="s">
        <v>327</v>
      </c>
      <c r="E167" s="8" t="s">
        <v>328</v>
      </c>
      <c r="F167" s="8" t="s">
        <v>329</v>
      </c>
    </row>
    <row r="168" spans="1:6" ht="21">
      <c r="A168" s="8" t="s">
        <v>238</v>
      </c>
      <c r="B168" s="8">
        <v>404</v>
      </c>
      <c r="C168" s="8" t="s">
        <v>330</v>
      </c>
      <c r="D168" s="8" t="s">
        <v>327</v>
      </c>
      <c r="E168" s="8" t="s">
        <v>328</v>
      </c>
      <c r="F168" s="8" t="s">
        <v>329</v>
      </c>
    </row>
    <row r="169" spans="1:6" ht="21">
      <c r="A169" s="8" t="s">
        <v>238</v>
      </c>
      <c r="B169" s="8">
        <v>500</v>
      </c>
      <c r="C169" s="8" t="s">
        <v>331</v>
      </c>
      <c r="D169" s="8" t="s">
        <v>332</v>
      </c>
      <c r="E169" s="8" t="s">
        <v>333</v>
      </c>
      <c r="F169" s="8" t="s">
        <v>334</v>
      </c>
    </row>
    <row r="170" spans="1:6" ht="21">
      <c r="A170" s="8">
        <v>404</v>
      </c>
      <c r="B170" s="8" t="s">
        <v>335</v>
      </c>
      <c r="C170" s="8" t="s">
        <v>336</v>
      </c>
      <c r="D170" s="8" t="s">
        <v>327</v>
      </c>
      <c r="E170" s="8" t="s">
        <v>328</v>
      </c>
      <c r="F170" s="8" t="s">
        <v>329</v>
      </c>
    </row>
    <row r="171" spans="1:6" ht="21">
      <c r="A171" s="8" t="s">
        <v>337</v>
      </c>
      <c r="B171" s="8">
        <v>200</v>
      </c>
      <c r="C171" s="8" t="s">
        <v>338</v>
      </c>
      <c r="D171" s="8" t="s">
        <v>85</v>
      </c>
      <c r="E171" s="8" t="s">
        <v>85</v>
      </c>
      <c r="F171" s="8" t="s">
        <v>320</v>
      </c>
    </row>
    <row r="173" spans="1:6" ht="105">
      <c r="A173" s="4" t="s">
        <v>1283</v>
      </c>
    </row>
    <row r="174" spans="1:6" ht="147">
      <c r="A174" s="4" t="s">
        <v>997</v>
      </c>
    </row>
    <row r="175" spans="1:6" ht="105">
      <c r="A175" s="4" t="s">
        <v>998</v>
      </c>
    </row>
    <row r="176" spans="1:6" ht="105">
      <c r="A176" s="9" t="s">
        <v>1588</v>
      </c>
    </row>
    <row r="178" spans="1:1" ht="42">
      <c r="A178" s="32" t="s">
        <v>999</v>
      </c>
    </row>
    <row r="179" spans="1:1">
      <c r="A179" s="33" t="s">
        <v>221</v>
      </c>
    </row>
    <row r="180" spans="1:1">
      <c r="A180" s="33" t="s">
        <v>939</v>
      </c>
    </row>
    <row r="181" spans="1:1">
      <c r="A181" s="33" t="s">
        <v>940</v>
      </c>
    </row>
    <row r="182" spans="1:1">
      <c r="A182" s="33" t="s">
        <v>942</v>
      </c>
    </row>
    <row r="183" spans="1:1">
      <c r="A183" s="33" t="s">
        <v>1000</v>
      </c>
    </row>
    <row r="184" spans="1:1">
      <c r="A184" s="33" t="s">
        <v>1001</v>
      </c>
    </row>
    <row r="185" spans="1:1">
      <c r="A185" s="33" t="s">
        <v>1002</v>
      </c>
    </row>
    <row r="186" spans="1:1">
      <c r="A186" s="33" t="s">
        <v>1003</v>
      </c>
    </row>
    <row r="187" spans="1:1">
      <c r="A187" s="33" t="s">
        <v>1004</v>
      </c>
    </row>
    <row r="188" spans="1:1">
      <c r="A188" s="33" t="s">
        <v>1005</v>
      </c>
    </row>
    <row r="189" spans="1:1">
      <c r="A189" s="33" t="s">
        <v>1006</v>
      </c>
    </row>
    <row r="190" spans="1:1">
      <c r="A190" s="33" t="s">
        <v>222</v>
      </c>
    </row>
    <row r="193" spans="1:6" ht="102">
      <c r="A193" s="37" t="s">
        <v>1007</v>
      </c>
    </row>
    <row r="196" spans="1:6">
      <c r="A196" s="2" t="s">
        <v>1008</v>
      </c>
    </row>
    <row r="197" spans="1:6">
      <c r="A197" s="7" t="s">
        <v>339</v>
      </c>
      <c r="B197" s="7" t="s">
        <v>340</v>
      </c>
      <c r="C197" s="7" t="s">
        <v>341</v>
      </c>
      <c r="D197" s="7" t="s">
        <v>342</v>
      </c>
      <c r="E197" s="7" t="s">
        <v>343</v>
      </c>
      <c r="F197" s="7"/>
    </row>
    <row r="198" spans="1:6" ht="21">
      <c r="A198" s="8" t="s">
        <v>344</v>
      </c>
      <c r="B198" s="8" t="s">
        <v>345</v>
      </c>
      <c r="C198" s="8" t="s">
        <v>346</v>
      </c>
      <c r="D198" s="8" t="s">
        <v>347</v>
      </c>
      <c r="E198" s="8" t="s">
        <v>348</v>
      </c>
      <c r="F198" s="8"/>
    </row>
    <row r="199" spans="1:6" ht="21">
      <c r="A199" s="8" t="s">
        <v>349</v>
      </c>
      <c r="B199" s="8" t="s">
        <v>345</v>
      </c>
      <c r="C199" s="8" t="s">
        <v>346</v>
      </c>
      <c r="D199" s="8" t="s">
        <v>350</v>
      </c>
      <c r="E199" s="8" t="s">
        <v>348</v>
      </c>
      <c r="F199" s="8"/>
    </row>
    <row r="201" spans="1:6" ht="126">
      <c r="A201" s="4" t="s">
        <v>1009</v>
      </c>
    </row>
    <row r="204" spans="1:6">
      <c r="A204" s="2" t="s">
        <v>1589</v>
      </c>
    </row>
    <row r="205" spans="1:6" ht="147">
      <c r="A205" s="4" t="s">
        <v>1590</v>
      </c>
    </row>
    <row r="207" spans="1:6">
      <c r="A207" s="7" t="s">
        <v>1591</v>
      </c>
      <c r="B207" s="7" t="s">
        <v>1592</v>
      </c>
      <c r="C207" s="7" t="s">
        <v>1593</v>
      </c>
      <c r="D207" s="7" t="s">
        <v>21</v>
      </c>
    </row>
    <row r="208" spans="1:6" ht="21">
      <c r="A208" s="8" t="s">
        <v>1594</v>
      </c>
      <c r="B208" s="8" t="s">
        <v>1595</v>
      </c>
      <c r="C208" s="8" t="s">
        <v>1596</v>
      </c>
      <c r="D208" s="8" t="s">
        <v>1597</v>
      </c>
    </row>
    <row r="209" spans="1:4" ht="42">
      <c r="A209" s="8" t="s">
        <v>1598</v>
      </c>
      <c r="B209" s="8" t="s">
        <v>1599</v>
      </c>
      <c r="C209" s="8" t="s">
        <v>1600</v>
      </c>
      <c r="D209" s="8" t="s">
        <v>1601</v>
      </c>
    </row>
    <row r="212" spans="1:4">
      <c r="A212" s="7" t="s">
        <v>1602</v>
      </c>
      <c r="B212" s="7" t="s">
        <v>37</v>
      </c>
      <c r="C212" s="7" t="s">
        <v>1</v>
      </c>
    </row>
    <row r="213" spans="1:4" ht="168">
      <c r="A213" s="8" t="s">
        <v>1603</v>
      </c>
      <c r="B213" s="8" t="s">
        <v>1604</v>
      </c>
      <c r="C213" s="8" t="s">
        <v>1605</v>
      </c>
    </row>
    <row r="214" spans="1:4" ht="126">
      <c r="A214" s="8" t="s">
        <v>1606</v>
      </c>
      <c r="B214" s="8" t="s">
        <v>1607</v>
      </c>
      <c r="C214" s="8" t="s">
        <v>1608</v>
      </c>
    </row>
    <row r="216" spans="1:4" ht="105">
      <c r="A216" s="4" t="s">
        <v>1609</v>
      </c>
    </row>
  </sheetData>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F13BF-CB40-7D4A-AE7A-56E1F2C561B0}">
  <dimension ref="A1:F151"/>
  <sheetViews>
    <sheetView topLeftCell="A95" workbookViewId="0">
      <selection activeCell="A96" sqref="A96"/>
    </sheetView>
  </sheetViews>
  <sheetFormatPr baseColWidth="10" defaultRowHeight="20"/>
  <cols>
    <col min="1" max="1" width="40" customWidth="1"/>
    <col min="2" max="2" width="35.7109375" customWidth="1"/>
    <col min="3" max="3" width="40" customWidth="1"/>
    <col min="4" max="4" width="74.28515625" customWidth="1"/>
    <col min="5" max="5" width="21.42578125" customWidth="1"/>
    <col min="6" max="6" width="17.140625" customWidth="1"/>
  </cols>
  <sheetData>
    <row r="1" spans="1:6" ht="27">
      <c r="A1" s="1" t="s">
        <v>1010</v>
      </c>
    </row>
    <row r="3" spans="1:6">
      <c r="A3" s="2" t="s">
        <v>1011</v>
      </c>
    </row>
    <row r="4" spans="1:6">
      <c r="A4" s="7" t="s">
        <v>636</v>
      </c>
      <c r="B4" s="7" t="s">
        <v>1012</v>
      </c>
      <c r="C4" s="7" t="s">
        <v>1013</v>
      </c>
      <c r="D4" s="7"/>
    </row>
    <row r="5" spans="1:6" ht="84">
      <c r="A5" s="8" t="s">
        <v>1014</v>
      </c>
      <c r="B5" s="8" t="s">
        <v>1015</v>
      </c>
      <c r="C5" s="8" t="s">
        <v>1016</v>
      </c>
      <c r="D5" s="8"/>
    </row>
    <row r="6" spans="1:6" ht="63">
      <c r="A6" s="8" t="s">
        <v>1017</v>
      </c>
      <c r="B6" s="8" t="s">
        <v>1018</v>
      </c>
      <c r="C6" s="8" t="s">
        <v>1019</v>
      </c>
      <c r="D6" s="8"/>
    </row>
    <row r="7" spans="1:6" ht="42">
      <c r="A7" s="8" t="s">
        <v>1020</v>
      </c>
      <c r="B7" s="8" t="s">
        <v>1021</v>
      </c>
      <c r="C7" s="8" t="s">
        <v>1022</v>
      </c>
      <c r="D7" s="8"/>
    </row>
    <row r="8" spans="1:6" ht="42">
      <c r="A8" s="8" t="s">
        <v>720</v>
      </c>
      <c r="B8" s="8" t="s">
        <v>1023</v>
      </c>
      <c r="C8" s="8" t="s">
        <v>1024</v>
      </c>
      <c r="D8" s="8"/>
    </row>
    <row r="9" spans="1:6" ht="21">
      <c r="A9" s="8" t="s">
        <v>721</v>
      </c>
      <c r="B9" s="8" t="s">
        <v>1025</v>
      </c>
      <c r="C9" s="8" t="s">
        <v>1026</v>
      </c>
      <c r="D9" s="8"/>
    </row>
    <row r="11" spans="1:6" ht="105">
      <c r="A11" s="4" t="s">
        <v>1027</v>
      </c>
    </row>
    <row r="12" spans="1:6" ht="42">
      <c r="A12" s="4" t="s">
        <v>1028</v>
      </c>
    </row>
    <row r="15" spans="1:6">
      <c r="A15" s="2" t="s">
        <v>1029</v>
      </c>
    </row>
    <row r="16" spans="1:6">
      <c r="A16" s="7" t="s">
        <v>655</v>
      </c>
      <c r="B16" s="7" t="s">
        <v>739</v>
      </c>
      <c r="C16" s="7" t="s">
        <v>1030</v>
      </c>
      <c r="D16" s="7" t="s">
        <v>1031</v>
      </c>
      <c r="E16" s="7" t="s">
        <v>1032</v>
      </c>
      <c r="F16" s="7"/>
    </row>
    <row r="17" spans="1:6" ht="42">
      <c r="A17" s="8">
        <v>1</v>
      </c>
      <c r="B17" s="8" t="s">
        <v>1033</v>
      </c>
      <c r="C17" s="8" t="s">
        <v>1034</v>
      </c>
      <c r="D17" s="8" t="s">
        <v>1035</v>
      </c>
      <c r="E17" s="8" t="s">
        <v>1036</v>
      </c>
      <c r="F17" s="8"/>
    </row>
    <row r="18" spans="1:6" ht="21">
      <c r="A18" s="8" t="s">
        <v>85</v>
      </c>
      <c r="B18" s="8" t="s">
        <v>1037</v>
      </c>
      <c r="C18" s="8" t="s">
        <v>1038</v>
      </c>
      <c r="D18" s="8" t="s">
        <v>1039</v>
      </c>
      <c r="E18" s="8" t="s">
        <v>1040</v>
      </c>
      <c r="F18" s="8"/>
    </row>
    <row r="19" spans="1:6" ht="21">
      <c r="A19" s="8" t="s">
        <v>85</v>
      </c>
      <c r="B19" s="8" t="s">
        <v>1041</v>
      </c>
      <c r="C19" s="8" t="s">
        <v>1042</v>
      </c>
      <c r="D19" s="8" t="s">
        <v>1043</v>
      </c>
      <c r="E19" s="8" t="s">
        <v>1040</v>
      </c>
      <c r="F19" s="8"/>
    </row>
    <row r="21" spans="1:6" ht="84">
      <c r="A21" s="9" t="s">
        <v>1044</v>
      </c>
    </row>
    <row r="24" spans="1:6" ht="21" thickBot="1">
      <c r="A24" s="2" t="s">
        <v>1045</v>
      </c>
    </row>
    <row r="25" spans="1:6" ht="22" customHeight="1">
      <c r="A25" s="50" t="s">
        <v>1046</v>
      </c>
      <c r="B25" s="43"/>
      <c r="C25" s="47"/>
    </row>
    <row r="26" spans="1:6" ht="22" customHeight="1">
      <c r="A26" s="45" t="s">
        <v>1047</v>
      </c>
      <c r="B26" s="42"/>
      <c r="C26" s="48"/>
    </row>
    <row r="27" spans="1:6" ht="22" customHeight="1">
      <c r="A27" s="45"/>
      <c r="B27" s="42"/>
      <c r="C27" s="48"/>
    </row>
    <row r="28" spans="1:6" ht="22" customHeight="1" thickBot="1">
      <c r="A28" s="46" t="s">
        <v>635</v>
      </c>
      <c r="B28" s="44"/>
      <c r="C28" s="49"/>
    </row>
    <row r="30" spans="1:6" ht="63">
      <c r="A30" s="4" t="s">
        <v>1048</v>
      </c>
    </row>
    <row r="32" spans="1:6">
      <c r="A32" s="33" t="s">
        <v>1049</v>
      </c>
    </row>
    <row r="33" spans="1:1">
      <c r="A33" s="33" t="s">
        <v>221</v>
      </c>
    </row>
    <row r="34" spans="1:1">
      <c r="A34" s="33" t="s">
        <v>1050</v>
      </c>
    </row>
    <row r="35" spans="1:1">
      <c r="A35" s="33" t="s">
        <v>1051</v>
      </c>
    </row>
    <row r="36" spans="1:1">
      <c r="A36" s="33" t="s">
        <v>1052</v>
      </c>
    </row>
    <row r="37" spans="1:1">
      <c r="A37" s="33" t="s">
        <v>1053</v>
      </c>
    </row>
    <row r="38" spans="1:1">
      <c r="A38" s="33" t="s">
        <v>1054</v>
      </c>
    </row>
    <row r="39" spans="1:1">
      <c r="A39" s="33" t="s">
        <v>1055</v>
      </c>
    </row>
    <row r="40" spans="1:1">
      <c r="A40" s="33" t="s">
        <v>1056</v>
      </c>
    </row>
    <row r="41" spans="1:1">
      <c r="A41" s="33" t="s">
        <v>1057</v>
      </c>
    </row>
    <row r="42" spans="1:1">
      <c r="A42" s="33" t="s">
        <v>1058</v>
      </c>
    </row>
    <row r="43" spans="1:1">
      <c r="A43" s="33" t="s">
        <v>1059</v>
      </c>
    </row>
    <row r="44" spans="1:1">
      <c r="A44" s="33" t="s">
        <v>1060</v>
      </c>
    </row>
    <row r="45" spans="1:1">
      <c r="A45" s="33" t="s">
        <v>1061</v>
      </c>
    </row>
    <row r="46" spans="1:1">
      <c r="A46" s="33" t="s">
        <v>222</v>
      </c>
    </row>
    <row r="48" spans="1:1">
      <c r="A48" s="33" t="s">
        <v>1062</v>
      </c>
    </row>
    <row r="49" spans="1:5">
      <c r="A49" s="33" t="s">
        <v>221</v>
      </c>
    </row>
    <row r="50" spans="1:5">
      <c r="A50" s="33" t="s">
        <v>1052</v>
      </c>
    </row>
    <row r="51" spans="1:5">
      <c r="A51" s="33" t="s">
        <v>1063</v>
      </c>
    </row>
    <row r="52" spans="1:5">
      <c r="A52" s="33" t="s">
        <v>1064</v>
      </c>
    </row>
    <row r="53" spans="1:5">
      <c r="A53" s="33" t="s">
        <v>1065</v>
      </c>
    </row>
    <row r="54" spans="1:5">
      <c r="A54" s="33" t="s">
        <v>222</v>
      </c>
    </row>
    <row r="56" spans="1:5" ht="105">
      <c r="A56" s="4" t="s">
        <v>1066</v>
      </c>
    </row>
    <row r="57" spans="1:5" ht="42">
      <c r="A57" s="4" t="s">
        <v>1067</v>
      </c>
    </row>
    <row r="58" spans="1:5" ht="84">
      <c r="A58" s="4" t="s">
        <v>1068</v>
      </c>
    </row>
    <row r="59" spans="1:5" ht="63">
      <c r="A59" s="4" t="s">
        <v>1069</v>
      </c>
    </row>
    <row r="62" spans="1:5" ht="21">
      <c r="A62" s="32" t="s">
        <v>1070</v>
      </c>
    </row>
    <row r="63" spans="1:5">
      <c r="A63" s="7" t="s">
        <v>596</v>
      </c>
      <c r="B63" s="7" t="s">
        <v>1071</v>
      </c>
      <c r="C63" s="7" t="s">
        <v>1072</v>
      </c>
      <c r="D63" s="7" t="s">
        <v>1032</v>
      </c>
      <c r="E63" s="7"/>
    </row>
    <row r="64" spans="1:5" ht="126">
      <c r="A64" s="8" t="s">
        <v>1014</v>
      </c>
      <c r="B64" s="8" t="s">
        <v>1073</v>
      </c>
      <c r="C64" s="8" t="s">
        <v>108</v>
      </c>
      <c r="D64" s="8" t="s">
        <v>1385</v>
      </c>
      <c r="E64" s="8"/>
    </row>
    <row r="65" spans="1:5" ht="63">
      <c r="A65" s="8" t="s">
        <v>1014</v>
      </c>
      <c r="B65" s="8" t="s">
        <v>1074</v>
      </c>
      <c r="C65" s="8" t="s">
        <v>579</v>
      </c>
      <c r="D65" s="8" t="s">
        <v>1075</v>
      </c>
      <c r="E65" s="8"/>
    </row>
    <row r="66" spans="1:5" ht="21">
      <c r="A66" s="8" t="s">
        <v>1014</v>
      </c>
      <c r="B66" s="8" t="s">
        <v>1076</v>
      </c>
      <c r="C66" s="8" t="s">
        <v>816</v>
      </c>
      <c r="D66" s="8" t="s">
        <v>1077</v>
      </c>
      <c r="E66" s="8"/>
    </row>
    <row r="67" spans="1:5" ht="42">
      <c r="A67" s="8" t="s">
        <v>1078</v>
      </c>
      <c r="B67" s="8" t="s">
        <v>131</v>
      </c>
      <c r="C67" s="8" t="s">
        <v>1079</v>
      </c>
      <c r="D67" s="8" t="s">
        <v>1080</v>
      </c>
      <c r="E67" s="8"/>
    </row>
    <row r="69" spans="1:5" ht="42">
      <c r="A69" s="9" t="s">
        <v>1081</v>
      </c>
    </row>
    <row r="71" spans="1:5" ht="21">
      <c r="A71" s="10" t="s">
        <v>1082</v>
      </c>
    </row>
    <row r="72" spans="1:5">
      <c r="A72" s="7" t="s">
        <v>1083</v>
      </c>
      <c r="B72" s="7" t="s">
        <v>1031</v>
      </c>
      <c r="C72" s="7" t="s">
        <v>83</v>
      </c>
      <c r="D72" s="7"/>
    </row>
    <row r="73" spans="1:5" ht="42">
      <c r="A73" s="8" t="s">
        <v>131</v>
      </c>
      <c r="B73" s="8" t="s">
        <v>1084</v>
      </c>
      <c r="C73" s="8" t="s">
        <v>1085</v>
      </c>
      <c r="D73" s="8"/>
    </row>
    <row r="74" spans="1:5" ht="42">
      <c r="A74" s="8" t="s">
        <v>125</v>
      </c>
      <c r="B74" s="8" t="s">
        <v>1086</v>
      </c>
      <c r="C74" s="8" t="s">
        <v>1087</v>
      </c>
      <c r="D74" s="8"/>
    </row>
    <row r="77" spans="1:5">
      <c r="A77" s="2" t="s">
        <v>1088</v>
      </c>
    </row>
    <row r="78" spans="1:5">
      <c r="A78" s="7" t="s">
        <v>1089</v>
      </c>
      <c r="B78" s="7" t="s">
        <v>739</v>
      </c>
      <c r="C78" s="7" t="s">
        <v>1032</v>
      </c>
      <c r="D78" s="7"/>
    </row>
    <row r="79" spans="1:5" ht="42">
      <c r="A79" s="8" t="s">
        <v>108</v>
      </c>
      <c r="B79" s="8" t="s">
        <v>1090</v>
      </c>
      <c r="C79" s="8" t="s">
        <v>1091</v>
      </c>
      <c r="D79" s="8"/>
    </row>
    <row r="80" spans="1:5" ht="21">
      <c r="A80" s="8" t="s">
        <v>1092</v>
      </c>
      <c r="B80" s="8" t="s">
        <v>1093</v>
      </c>
      <c r="C80" s="8" t="s">
        <v>1094</v>
      </c>
      <c r="D80" s="8"/>
    </row>
    <row r="82" spans="1:3" ht="63">
      <c r="A82" s="4" t="s">
        <v>1095</v>
      </c>
    </row>
    <row r="85" spans="1:3">
      <c r="A85" s="2" t="s">
        <v>1096</v>
      </c>
    </row>
    <row r="86" spans="1:3">
      <c r="A86" s="7" t="s">
        <v>528</v>
      </c>
      <c r="B86" s="7" t="s">
        <v>83</v>
      </c>
      <c r="C86" s="7"/>
    </row>
    <row r="87" spans="1:3" ht="42">
      <c r="A87" s="8" t="s">
        <v>1097</v>
      </c>
      <c r="B87" s="8" t="s">
        <v>1098</v>
      </c>
      <c r="C87" s="8"/>
    </row>
    <row r="88" spans="1:3" ht="84">
      <c r="A88" s="8" t="s">
        <v>1099</v>
      </c>
      <c r="B88" s="8" t="s">
        <v>1100</v>
      </c>
      <c r="C88" s="8"/>
    </row>
    <row r="89" spans="1:3" ht="84">
      <c r="A89" s="8" t="s">
        <v>1101</v>
      </c>
      <c r="B89" s="8" t="s">
        <v>1290</v>
      </c>
      <c r="C89" s="8"/>
    </row>
    <row r="90" spans="1:3" ht="147">
      <c r="A90" s="8" t="s">
        <v>1102</v>
      </c>
      <c r="B90" s="8" t="s">
        <v>1291</v>
      </c>
      <c r="C90" s="8"/>
    </row>
    <row r="91" spans="1:3" ht="105">
      <c r="A91" s="8" t="s">
        <v>1103</v>
      </c>
      <c r="B91" s="8" t="s">
        <v>1104</v>
      </c>
      <c r="C91" s="8"/>
    </row>
    <row r="92" spans="1:3" ht="63">
      <c r="A92" s="38" t="s">
        <v>1105</v>
      </c>
      <c r="B92" s="38" t="s">
        <v>1106</v>
      </c>
      <c r="C92" s="38"/>
    </row>
    <row r="94" spans="1:3" ht="84">
      <c r="A94" s="4" t="s">
        <v>1107</v>
      </c>
    </row>
    <row r="95" spans="1:3" ht="42">
      <c r="A95" s="4" t="s">
        <v>1108</v>
      </c>
    </row>
    <row r="96" spans="1:3" ht="63">
      <c r="A96" s="4" t="s">
        <v>1109</v>
      </c>
    </row>
    <row r="99" spans="1:3" ht="43" thickBot="1">
      <c r="A99" s="32" t="s">
        <v>1110</v>
      </c>
    </row>
    <row r="100" spans="1:3" ht="22" customHeight="1">
      <c r="A100" s="50" t="s">
        <v>1111</v>
      </c>
      <c r="B100" s="43"/>
      <c r="C100" s="47"/>
    </row>
    <row r="101" spans="1:3" ht="22" customHeight="1">
      <c r="A101" s="45" t="s">
        <v>1112</v>
      </c>
      <c r="B101" s="42"/>
      <c r="C101" s="48"/>
    </row>
    <row r="102" spans="1:3" ht="22" customHeight="1">
      <c r="A102" s="45"/>
      <c r="B102" s="42"/>
      <c r="C102" s="48"/>
    </row>
    <row r="103" spans="1:3" ht="22" customHeight="1" thickBot="1">
      <c r="A103" s="46" t="s">
        <v>635</v>
      </c>
      <c r="B103" s="44"/>
      <c r="C103" s="49"/>
    </row>
    <row r="105" spans="1:3" ht="84">
      <c r="A105" s="4" t="s">
        <v>1113</v>
      </c>
    </row>
    <row r="107" spans="1:3">
      <c r="A107" s="33" t="s">
        <v>1114</v>
      </c>
    </row>
    <row r="108" spans="1:3">
      <c r="A108" s="33" t="s">
        <v>1115</v>
      </c>
    </row>
    <row r="109" spans="1:3">
      <c r="A109" s="33" t="s">
        <v>1116</v>
      </c>
    </row>
    <row r="110" spans="1:3">
      <c r="A110" s="33"/>
    </row>
    <row r="111" spans="1:3">
      <c r="A111" s="33" t="s">
        <v>1117</v>
      </c>
    </row>
    <row r="112" spans="1:3">
      <c r="A112" s="33" t="s">
        <v>1118</v>
      </c>
    </row>
    <row r="113" spans="1:5">
      <c r="A113" s="33" t="s">
        <v>1119</v>
      </c>
    </row>
    <row r="115" spans="1:5" ht="119">
      <c r="A115" s="37" t="s">
        <v>1120</v>
      </c>
    </row>
    <row r="117" spans="1:5">
      <c r="A117" s="7" t="s">
        <v>596</v>
      </c>
      <c r="B117" s="7" t="s">
        <v>1121</v>
      </c>
      <c r="C117" s="7" t="s">
        <v>83</v>
      </c>
      <c r="D117" s="7"/>
    </row>
    <row r="118" spans="1:5" ht="42">
      <c r="A118" s="8" t="s">
        <v>1122</v>
      </c>
      <c r="B118" s="8" t="s">
        <v>1123</v>
      </c>
      <c r="C118" s="8" t="s">
        <v>1124</v>
      </c>
      <c r="D118" s="8"/>
    </row>
    <row r="119" spans="1:5" ht="42">
      <c r="A119" s="8" t="s">
        <v>1122</v>
      </c>
      <c r="B119" s="8" t="s">
        <v>1125</v>
      </c>
      <c r="C119" s="8" t="s">
        <v>1126</v>
      </c>
      <c r="D119" s="8"/>
    </row>
    <row r="120" spans="1:5" ht="42">
      <c r="A120" s="8" t="s">
        <v>1122</v>
      </c>
      <c r="B120" s="8" t="s">
        <v>1127</v>
      </c>
      <c r="C120" s="8" t="s">
        <v>1128</v>
      </c>
      <c r="D120" s="8"/>
    </row>
    <row r="121" spans="1:5" ht="21">
      <c r="A121" s="8" t="s">
        <v>1122</v>
      </c>
      <c r="B121" s="8" t="s">
        <v>739</v>
      </c>
      <c r="C121" s="8" t="s">
        <v>1129</v>
      </c>
      <c r="D121" s="8"/>
    </row>
    <row r="122" spans="1:5" ht="42">
      <c r="A122" s="8" t="s">
        <v>1130</v>
      </c>
      <c r="B122" s="8" t="s">
        <v>1131</v>
      </c>
      <c r="C122" s="8" t="s">
        <v>1132</v>
      </c>
      <c r="D122" s="8"/>
    </row>
    <row r="123" spans="1:5" ht="21">
      <c r="A123" s="8" t="s">
        <v>1130</v>
      </c>
      <c r="B123" s="8" t="s">
        <v>1133</v>
      </c>
      <c r="C123" s="8" t="s">
        <v>1134</v>
      </c>
      <c r="D123" s="8"/>
    </row>
    <row r="124" spans="1:5" ht="21">
      <c r="A124" s="8" t="s">
        <v>1130</v>
      </c>
      <c r="B124" s="8" t="s">
        <v>1135</v>
      </c>
      <c r="C124" s="8" t="s">
        <v>1136</v>
      </c>
      <c r="D124" s="8"/>
    </row>
    <row r="125" spans="1:5" ht="42">
      <c r="A125" s="8" t="s">
        <v>1130</v>
      </c>
      <c r="B125" s="8" t="s">
        <v>1137</v>
      </c>
      <c r="C125" s="8" t="s">
        <v>1138</v>
      </c>
      <c r="D125" s="8"/>
    </row>
    <row r="128" spans="1:5">
      <c r="A128" s="7" t="s">
        <v>1139</v>
      </c>
      <c r="B128" s="7" t="s">
        <v>1140</v>
      </c>
      <c r="C128" s="7" t="s">
        <v>1141</v>
      </c>
      <c r="D128" s="7" t="s">
        <v>882</v>
      </c>
      <c r="E128" s="7"/>
    </row>
    <row r="129" spans="1:5" ht="21">
      <c r="A129" s="8" t="s">
        <v>600</v>
      </c>
      <c r="B129" s="8" t="s">
        <v>1142</v>
      </c>
      <c r="C129" s="8" t="s">
        <v>1143</v>
      </c>
      <c r="D129" s="8" t="s">
        <v>1144</v>
      </c>
      <c r="E129" s="8"/>
    </row>
    <row r="130" spans="1:5" ht="21">
      <c r="A130" s="8" t="s">
        <v>615</v>
      </c>
      <c r="B130" s="8" t="s">
        <v>1145</v>
      </c>
      <c r="C130" s="8" t="s">
        <v>1146</v>
      </c>
      <c r="D130" s="8" t="s">
        <v>1147</v>
      </c>
      <c r="E130" s="8"/>
    </row>
    <row r="132" spans="1:5" ht="126">
      <c r="A132" s="4" t="s">
        <v>1148</v>
      </c>
    </row>
    <row r="135" spans="1:5">
      <c r="A135" s="2" t="s">
        <v>1149</v>
      </c>
    </row>
    <row r="136" spans="1:5">
      <c r="A136" s="7" t="s">
        <v>1150</v>
      </c>
      <c r="B136" s="7" t="s">
        <v>1151</v>
      </c>
      <c r="C136" s="7" t="s">
        <v>83</v>
      </c>
      <c r="D136" s="7"/>
    </row>
    <row r="137" spans="1:5" ht="42">
      <c r="A137" s="8">
        <v>1</v>
      </c>
      <c r="B137" s="8" t="s">
        <v>1152</v>
      </c>
      <c r="C137" s="8" t="s">
        <v>1153</v>
      </c>
      <c r="D137" s="8"/>
    </row>
    <row r="138" spans="1:5" ht="21">
      <c r="A138" s="8">
        <v>2</v>
      </c>
      <c r="B138" s="8" t="s">
        <v>1154</v>
      </c>
      <c r="C138" s="8" t="s">
        <v>1155</v>
      </c>
      <c r="D138" s="8"/>
    </row>
    <row r="139" spans="1:5" ht="42">
      <c r="A139" s="8">
        <v>3</v>
      </c>
      <c r="B139" s="8" t="s">
        <v>1156</v>
      </c>
      <c r="C139" s="8" t="s">
        <v>1157</v>
      </c>
      <c r="D139" s="8"/>
    </row>
    <row r="141" spans="1:5" ht="63">
      <c r="A141" s="4" t="s">
        <v>1158</v>
      </c>
    </row>
    <row r="142" spans="1:5" ht="105">
      <c r="A142" s="4" t="s">
        <v>1159</v>
      </c>
    </row>
    <row r="143" spans="1:5" ht="105">
      <c r="A143" s="4" t="s">
        <v>1284</v>
      </c>
    </row>
    <row r="146" spans="1:6" ht="21">
      <c r="A146" s="32" t="s">
        <v>1160</v>
      </c>
    </row>
    <row r="147" spans="1:6">
      <c r="A147" s="7" t="s">
        <v>315</v>
      </c>
      <c r="B147" s="7" t="s">
        <v>316</v>
      </c>
      <c r="C147" s="7" t="s">
        <v>1161</v>
      </c>
      <c r="D147" s="7" t="s">
        <v>317</v>
      </c>
      <c r="E147" s="7" t="s">
        <v>1162</v>
      </c>
      <c r="F147" s="7" t="s">
        <v>1163</v>
      </c>
    </row>
    <row r="148" spans="1:6" ht="42">
      <c r="A148" s="8" t="s">
        <v>322</v>
      </c>
      <c r="B148" s="8" t="s">
        <v>323</v>
      </c>
      <c r="C148" s="8" t="s">
        <v>1164</v>
      </c>
      <c r="D148" s="8" t="s">
        <v>324</v>
      </c>
      <c r="E148" s="8" t="s">
        <v>1165</v>
      </c>
      <c r="F148" s="8" t="s">
        <v>1166</v>
      </c>
    </row>
    <row r="149" spans="1:6" ht="42">
      <c r="A149" s="8" t="s">
        <v>327</v>
      </c>
      <c r="B149" s="8" t="s">
        <v>328</v>
      </c>
      <c r="C149" s="8" t="s">
        <v>1167</v>
      </c>
      <c r="D149" s="8" t="s">
        <v>1168</v>
      </c>
      <c r="E149" s="8" t="s">
        <v>1169</v>
      </c>
      <c r="F149" s="8" t="s">
        <v>1170</v>
      </c>
    </row>
    <row r="150" spans="1:6" ht="42">
      <c r="A150" s="8" t="s">
        <v>332</v>
      </c>
      <c r="B150" s="8" t="s">
        <v>333</v>
      </c>
      <c r="C150" s="8" t="s">
        <v>1171</v>
      </c>
      <c r="D150" s="8" t="s">
        <v>334</v>
      </c>
      <c r="E150" s="8" t="s">
        <v>1172</v>
      </c>
      <c r="F150" s="8" t="s">
        <v>1173</v>
      </c>
    </row>
    <row r="151" spans="1:6" ht="21">
      <c r="A151" s="8" t="s">
        <v>319</v>
      </c>
      <c r="B151" s="8" t="s">
        <v>85</v>
      </c>
      <c r="C151" s="8" t="s">
        <v>85</v>
      </c>
      <c r="D151" s="8" t="s">
        <v>320</v>
      </c>
      <c r="E151" s="8" t="s">
        <v>85</v>
      </c>
      <c r="F151" s="8" t="s">
        <v>1174</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5C37E-C305-3940-BA40-24062CD80BFB}">
  <dimension ref="A1:C63"/>
  <sheetViews>
    <sheetView workbookViewId="0">
      <selection activeCell="C26" sqref="C26"/>
    </sheetView>
  </sheetViews>
  <sheetFormatPr baseColWidth="10" defaultRowHeight="26" customHeight="1"/>
  <cols>
    <col min="1" max="1" width="41.42578125" style="52" customWidth="1"/>
    <col min="2" max="2" width="60" style="52" customWidth="1"/>
    <col min="3" max="3" width="67.140625" style="52" customWidth="1"/>
    <col min="4" max="16384" width="10.7109375" style="52"/>
  </cols>
  <sheetData>
    <row r="1" spans="1:3" ht="26" customHeight="1">
      <c r="A1" s="51" t="s">
        <v>1175</v>
      </c>
    </row>
    <row r="2" spans="1:3" ht="26" customHeight="1">
      <c r="A2" s="53" t="s">
        <v>1323</v>
      </c>
    </row>
    <row r="4" spans="1:3" ht="26" customHeight="1">
      <c r="A4" s="57" t="s">
        <v>1176</v>
      </c>
    </row>
    <row r="5" spans="1:3" ht="26" customHeight="1">
      <c r="A5" s="54" t="s">
        <v>1177</v>
      </c>
      <c r="B5" s="54" t="s">
        <v>1178</v>
      </c>
      <c r="C5" s="54" t="s">
        <v>1179</v>
      </c>
    </row>
    <row r="6" spans="1:3" ht="26" customHeight="1">
      <c r="A6" s="55">
        <v>1</v>
      </c>
      <c r="B6" s="55" t="s">
        <v>1180</v>
      </c>
      <c r="C6" s="55" t="s">
        <v>1324</v>
      </c>
    </row>
    <row r="7" spans="1:3" ht="26" customHeight="1">
      <c r="A7" s="55">
        <v>2</v>
      </c>
      <c r="B7" s="55" t="s">
        <v>1181</v>
      </c>
      <c r="C7" s="55" t="s">
        <v>1325</v>
      </c>
    </row>
    <row r="8" spans="1:3" ht="26" customHeight="1">
      <c r="A8" s="55">
        <v>3</v>
      </c>
      <c r="B8" s="55" t="s">
        <v>1182</v>
      </c>
      <c r="C8" s="55" t="s">
        <v>1326</v>
      </c>
    </row>
    <row r="11" spans="1:3" ht="26" customHeight="1">
      <c r="A11" s="57" t="s">
        <v>1183</v>
      </c>
    </row>
    <row r="12" spans="1:3" ht="26" customHeight="1">
      <c r="A12" s="54" t="s">
        <v>82</v>
      </c>
      <c r="B12" s="54" t="s">
        <v>1184</v>
      </c>
      <c r="C12" s="54"/>
    </row>
    <row r="13" spans="1:3" ht="26" customHeight="1">
      <c r="A13" s="55" t="s">
        <v>1185</v>
      </c>
      <c r="B13" s="55" t="s">
        <v>1327</v>
      </c>
      <c r="C13" s="55"/>
    </row>
    <row r="14" spans="1:3" ht="26" customHeight="1">
      <c r="A14" s="55" t="s">
        <v>1186</v>
      </c>
      <c r="B14" s="55" t="s">
        <v>1328</v>
      </c>
      <c r="C14" s="55"/>
    </row>
    <row r="15" spans="1:3" ht="26" customHeight="1">
      <c r="A15" s="55" t="s">
        <v>1187</v>
      </c>
      <c r="B15" s="55" t="s">
        <v>1329</v>
      </c>
      <c r="C15" s="55"/>
    </row>
    <row r="16" spans="1:3" ht="26" customHeight="1">
      <c r="A16" s="55" t="s">
        <v>1188</v>
      </c>
      <c r="B16" s="55" t="s">
        <v>1330</v>
      </c>
      <c r="C16" s="55"/>
    </row>
    <row r="17" spans="1:3" ht="26" customHeight="1">
      <c r="A17" s="55" t="s">
        <v>1189</v>
      </c>
      <c r="B17" s="55" t="s">
        <v>1331</v>
      </c>
      <c r="C17" s="55"/>
    </row>
    <row r="20" spans="1:3" ht="26" customHeight="1">
      <c r="A20" s="58" t="s">
        <v>1190</v>
      </c>
    </row>
    <row r="21" spans="1:3" ht="26" customHeight="1">
      <c r="A21" s="59" t="s">
        <v>258</v>
      </c>
    </row>
    <row r="22" spans="1:3" ht="26" customHeight="1">
      <c r="A22" s="59" t="s">
        <v>259</v>
      </c>
    </row>
    <row r="23" spans="1:3" ht="26" customHeight="1">
      <c r="A23" s="59" t="s">
        <v>260</v>
      </c>
    </row>
    <row r="24" spans="1:3" ht="26" customHeight="1">
      <c r="A24" s="59" t="s">
        <v>261</v>
      </c>
    </row>
    <row r="25" spans="1:3" ht="26" customHeight="1">
      <c r="A25" s="59" t="s">
        <v>262</v>
      </c>
    </row>
    <row r="26" spans="1:3" ht="26" customHeight="1">
      <c r="A26" s="59" t="s">
        <v>263</v>
      </c>
    </row>
    <row r="27" spans="1:3" ht="26" customHeight="1">
      <c r="A27" s="59" t="s">
        <v>962</v>
      </c>
    </row>
    <row r="28" spans="1:3" ht="26" customHeight="1">
      <c r="A28" s="59" t="s">
        <v>963</v>
      </c>
    </row>
    <row r="29" spans="1:3" ht="26" customHeight="1">
      <c r="A29" s="59" t="s">
        <v>1191</v>
      </c>
    </row>
    <row r="30" spans="1:3" ht="26" customHeight="1">
      <c r="A30" s="59" t="s">
        <v>965</v>
      </c>
    </row>
    <row r="31" spans="1:3" ht="26" customHeight="1">
      <c r="A31" s="59" t="s">
        <v>966</v>
      </c>
    </row>
    <row r="32" spans="1:3" ht="26" customHeight="1">
      <c r="A32" s="59" t="s">
        <v>967</v>
      </c>
    </row>
    <row r="33" spans="1:3" ht="26" customHeight="1">
      <c r="A33" s="59" t="s">
        <v>968</v>
      </c>
    </row>
    <row r="35" spans="1:3" ht="26" customHeight="1">
      <c r="A35" s="54" t="s">
        <v>1192</v>
      </c>
      <c r="B35" s="54" t="s">
        <v>83</v>
      </c>
      <c r="C35" s="54" t="s">
        <v>1193</v>
      </c>
    </row>
    <row r="36" spans="1:3" ht="38">
      <c r="A36" s="55" t="s">
        <v>1194</v>
      </c>
      <c r="B36" s="55" t="s">
        <v>1332</v>
      </c>
      <c r="C36" s="55" t="s">
        <v>1333</v>
      </c>
    </row>
    <row r="37" spans="1:3" ht="38">
      <c r="A37" s="55" t="s">
        <v>183</v>
      </c>
      <c r="B37" s="55" t="s">
        <v>1334</v>
      </c>
      <c r="C37" s="55" t="s">
        <v>1335</v>
      </c>
    </row>
    <row r="38" spans="1:3" ht="19">
      <c r="A38" s="55" t="s">
        <v>179</v>
      </c>
      <c r="B38" s="55" t="s">
        <v>1336</v>
      </c>
      <c r="C38" s="55" t="s">
        <v>1337</v>
      </c>
    </row>
    <row r="39" spans="1:3" ht="19">
      <c r="A39" s="55" t="s">
        <v>208</v>
      </c>
      <c r="B39" s="55" t="s">
        <v>1338</v>
      </c>
      <c r="C39" s="55" t="s">
        <v>85</v>
      </c>
    </row>
    <row r="41" spans="1:3" ht="26" customHeight="1">
      <c r="A41" s="61" t="s">
        <v>1339</v>
      </c>
    </row>
    <row r="43" spans="1:3" ht="26" customHeight="1">
      <c r="A43" s="58" t="s">
        <v>1195</v>
      </c>
    </row>
    <row r="44" spans="1:3" ht="26" customHeight="1">
      <c r="A44" s="62" t="s">
        <v>1340</v>
      </c>
    </row>
    <row r="46" spans="1:3" ht="26" customHeight="1">
      <c r="A46" s="53" t="s">
        <v>1341</v>
      </c>
    </row>
    <row r="47" spans="1:3" ht="26" customHeight="1">
      <c r="A47" s="53" t="s">
        <v>1342</v>
      </c>
    </row>
    <row r="48" spans="1:3" ht="26" customHeight="1">
      <c r="A48" s="53" t="s">
        <v>1343</v>
      </c>
    </row>
    <row r="50" spans="1:3" ht="26" customHeight="1">
      <c r="A50" s="59" t="s">
        <v>292</v>
      </c>
    </row>
    <row r="51" spans="1:3" ht="26" customHeight="1">
      <c r="A51" s="59" t="s">
        <v>989</v>
      </c>
    </row>
    <row r="52" spans="1:3" ht="26" customHeight="1">
      <c r="A52" s="59" t="s">
        <v>982</v>
      </c>
    </row>
    <row r="53" spans="1:3" ht="26" customHeight="1">
      <c r="A53" s="59" t="s">
        <v>1196</v>
      </c>
    </row>
    <row r="56" spans="1:3" ht="26" customHeight="1">
      <c r="A56" s="60" t="s">
        <v>1197</v>
      </c>
    </row>
    <row r="57" spans="1:3" ht="26" customHeight="1">
      <c r="A57" s="54" t="s">
        <v>655</v>
      </c>
      <c r="B57" s="54" t="s">
        <v>1198</v>
      </c>
      <c r="C57" s="54" t="s">
        <v>1199</v>
      </c>
    </row>
    <row r="58" spans="1:3" ht="26" customHeight="1">
      <c r="A58" s="55">
        <v>1</v>
      </c>
      <c r="B58" s="55" t="s">
        <v>1200</v>
      </c>
      <c r="C58" s="55" t="s">
        <v>85</v>
      </c>
    </row>
    <row r="59" spans="1:3" ht="26" customHeight="1">
      <c r="A59" s="55">
        <v>2</v>
      </c>
      <c r="B59" s="55" t="s">
        <v>1201</v>
      </c>
      <c r="C59" s="55" t="s">
        <v>1202</v>
      </c>
    </row>
    <row r="60" spans="1:3" ht="26" customHeight="1">
      <c r="A60" s="55">
        <v>3</v>
      </c>
      <c r="B60" s="55" t="s">
        <v>1203</v>
      </c>
      <c r="C60" s="55" t="s">
        <v>1204</v>
      </c>
    </row>
    <row r="61" spans="1:3" ht="26" customHeight="1">
      <c r="A61" s="55">
        <v>4</v>
      </c>
      <c r="B61" s="55" t="s">
        <v>1205</v>
      </c>
      <c r="C61" s="55" t="s">
        <v>85</v>
      </c>
    </row>
    <row r="63" spans="1:3" ht="26" customHeight="1">
      <c r="A63" s="53" t="s">
        <v>1389</v>
      </c>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E3BA3-C03B-BA4B-B611-FC633187F1C2}">
  <dimension ref="A1:D51"/>
  <sheetViews>
    <sheetView workbookViewId="0">
      <pane ySplit="4" topLeftCell="A5" activePane="bottomLeft" state="frozen"/>
      <selection pane="bottomLeft" activeCell="C32" sqref="C32"/>
    </sheetView>
  </sheetViews>
  <sheetFormatPr baseColWidth="10" defaultRowHeight="18"/>
  <cols>
    <col min="1" max="1" width="12.85546875" style="52" customWidth="1"/>
    <col min="2" max="3" width="74.28515625" style="52" customWidth="1"/>
    <col min="4" max="4" width="24.28515625" style="52" customWidth="1"/>
    <col min="5" max="16384" width="10.7109375" style="52"/>
  </cols>
  <sheetData>
    <row r="1" spans="1:4" ht="22">
      <c r="A1" s="51" t="s">
        <v>351</v>
      </c>
    </row>
    <row r="2" spans="1:4" ht="25" customHeight="1">
      <c r="A2" s="53" t="s">
        <v>352</v>
      </c>
    </row>
    <row r="4" spans="1:4">
      <c r="A4" s="54" t="s">
        <v>353</v>
      </c>
      <c r="B4" s="54" t="s">
        <v>354</v>
      </c>
      <c r="C4" s="54" t="s">
        <v>355</v>
      </c>
      <c r="D4" s="54" t="s">
        <v>356</v>
      </c>
    </row>
    <row r="5" spans="1:4" ht="19">
      <c r="A5" s="55" t="s">
        <v>357</v>
      </c>
      <c r="B5" s="55" t="s">
        <v>358</v>
      </c>
      <c r="C5" s="55" t="s">
        <v>359</v>
      </c>
      <c r="D5" s="55" t="s">
        <v>360</v>
      </c>
    </row>
    <row r="6" spans="1:4" ht="19">
      <c r="A6" s="55" t="s">
        <v>361</v>
      </c>
      <c r="B6" s="55" t="s">
        <v>1285</v>
      </c>
      <c r="C6" s="55" t="s">
        <v>362</v>
      </c>
      <c r="D6" s="55" t="s">
        <v>85</v>
      </c>
    </row>
    <row r="7" spans="1:4" ht="19">
      <c r="A7" s="55" t="s">
        <v>363</v>
      </c>
      <c r="B7" s="55" t="s">
        <v>364</v>
      </c>
      <c r="C7" s="55" t="s">
        <v>365</v>
      </c>
      <c r="D7" s="55" t="s">
        <v>85</v>
      </c>
    </row>
    <row r="8" spans="1:4" ht="57">
      <c r="A8" s="55" t="s">
        <v>366</v>
      </c>
      <c r="B8" s="55" t="s">
        <v>367</v>
      </c>
      <c r="C8" s="55" t="s">
        <v>368</v>
      </c>
      <c r="D8" s="55" t="s">
        <v>85</v>
      </c>
    </row>
    <row r="9" spans="1:4" ht="19">
      <c r="A9" s="55" t="s">
        <v>369</v>
      </c>
      <c r="B9" s="55" t="s">
        <v>370</v>
      </c>
      <c r="C9" s="55" t="s">
        <v>371</v>
      </c>
      <c r="D9" s="55" t="s">
        <v>85</v>
      </c>
    </row>
    <row r="10" spans="1:4" ht="19">
      <c r="A10" s="55" t="s">
        <v>372</v>
      </c>
      <c r="B10" s="55" t="s">
        <v>1286</v>
      </c>
      <c r="C10" s="55" t="s">
        <v>373</v>
      </c>
      <c r="D10" s="55" t="s">
        <v>85</v>
      </c>
    </row>
    <row r="11" spans="1:4" ht="38">
      <c r="A11" s="55" t="s">
        <v>374</v>
      </c>
      <c r="B11" s="55" t="s">
        <v>375</v>
      </c>
      <c r="C11" s="55" t="s">
        <v>1206</v>
      </c>
      <c r="D11" s="55" t="s">
        <v>85</v>
      </c>
    </row>
    <row r="12" spans="1:4" ht="19">
      <c r="A12" s="55" t="s">
        <v>376</v>
      </c>
      <c r="B12" s="55" t="s">
        <v>377</v>
      </c>
      <c r="C12" s="55" t="s">
        <v>378</v>
      </c>
      <c r="D12" s="55" t="s">
        <v>85</v>
      </c>
    </row>
    <row r="13" spans="1:4" ht="19">
      <c r="A13" s="55" t="s">
        <v>379</v>
      </c>
      <c r="B13" s="55" t="s">
        <v>380</v>
      </c>
      <c r="C13" s="55" t="s">
        <v>1207</v>
      </c>
      <c r="D13" s="55" t="s">
        <v>85</v>
      </c>
    </row>
    <row r="14" spans="1:4" ht="19">
      <c r="A14" s="55" t="s">
        <v>381</v>
      </c>
      <c r="B14" s="55" t="s">
        <v>1208</v>
      </c>
      <c r="C14" s="55" t="s">
        <v>382</v>
      </c>
      <c r="D14" s="55" t="s">
        <v>383</v>
      </c>
    </row>
    <row r="15" spans="1:4" ht="19">
      <c r="A15" s="55" t="s">
        <v>384</v>
      </c>
      <c r="B15" s="55" t="s">
        <v>385</v>
      </c>
      <c r="C15" s="55" t="s">
        <v>386</v>
      </c>
      <c r="D15" s="55" t="s">
        <v>85</v>
      </c>
    </row>
    <row r="16" spans="1:4" ht="19">
      <c r="A16" s="55" t="s">
        <v>387</v>
      </c>
      <c r="B16" s="55" t="s">
        <v>388</v>
      </c>
      <c r="C16" s="55" t="s">
        <v>389</v>
      </c>
      <c r="D16" s="55" t="s">
        <v>390</v>
      </c>
    </row>
    <row r="17" spans="1:4" ht="19">
      <c r="A17" s="55" t="s">
        <v>391</v>
      </c>
      <c r="B17" s="55" t="s">
        <v>392</v>
      </c>
      <c r="C17" s="55" t="s">
        <v>393</v>
      </c>
      <c r="D17" s="55" t="s">
        <v>85</v>
      </c>
    </row>
    <row r="18" spans="1:4" ht="19">
      <c r="A18" s="55" t="s">
        <v>394</v>
      </c>
      <c r="B18" s="55" t="s">
        <v>395</v>
      </c>
      <c r="C18" s="55" t="s">
        <v>396</v>
      </c>
      <c r="D18" s="55" t="s">
        <v>85</v>
      </c>
    </row>
    <row r="19" spans="1:4" ht="19">
      <c r="A19" s="55" t="s">
        <v>397</v>
      </c>
      <c r="B19" s="55" t="s">
        <v>398</v>
      </c>
      <c r="C19" s="55" t="s">
        <v>399</v>
      </c>
      <c r="D19" s="55" t="s">
        <v>400</v>
      </c>
    </row>
    <row r="20" spans="1:4" ht="19">
      <c r="A20" s="55" t="s">
        <v>401</v>
      </c>
      <c r="B20" s="55" t="s">
        <v>402</v>
      </c>
      <c r="C20" s="55" t="s">
        <v>403</v>
      </c>
      <c r="D20" s="55" t="s">
        <v>85</v>
      </c>
    </row>
    <row r="21" spans="1:4" ht="19">
      <c r="A21" s="55" t="s">
        <v>404</v>
      </c>
      <c r="B21" s="55" t="s">
        <v>405</v>
      </c>
      <c r="C21" s="55" t="s">
        <v>406</v>
      </c>
      <c r="D21" s="55" t="s">
        <v>85</v>
      </c>
    </row>
    <row r="22" spans="1:4" ht="19">
      <c r="A22" s="55" t="s">
        <v>407</v>
      </c>
      <c r="B22" s="55" t="s">
        <v>408</v>
      </c>
      <c r="C22" s="55" t="s">
        <v>409</v>
      </c>
      <c r="D22" s="55" t="s">
        <v>85</v>
      </c>
    </row>
    <row r="23" spans="1:4" ht="19">
      <c r="A23" s="55" t="s">
        <v>410</v>
      </c>
      <c r="B23" s="55" t="s">
        <v>411</v>
      </c>
      <c r="C23" s="55" t="s">
        <v>1287</v>
      </c>
      <c r="D23" s="55" t="s">
        <v>85</v>
      </c>
    </row>
    <row r="24" spans="1:4" ht="19">
      <c r="A24" s="55" t="s">
        <v>412</v>
      </c>
      <c r="B24" s="55" t="s">
        <v>413</v>
      </c>
      <c r="C24" s="55" t="s">
        <v>414</v>
      </c>
      <c r="D24" s="55" t="s">
        <v>85</v>
      </c>
    </row>
    <row r="25" spans="1:4" ht="19">
      <c r="A25" s="55" t="s">
        <v>415</v>
      </c>
      <c r="B25" s="55" t="s">
        <v>416</v>
      </c>
      <c r="C25" s="55" t="s">
        <v>417</v>
      </c>
      <c r="D25" s="55" t="s">
        <v>360</v>
      </c>
    </row>
    <row r="26" spans="1:4" ht="19">
      <c r="A26" s="55" t="s">
        <v>418</v>
      </c>
      <c r="B26" s="55" t="s">
        <v>1382</v>
      </c>
      <c r="C26" s="55" t="s">
        <v>419</v>
      </c>
      <c r="D26" s="55" t="s">
        <v>360</v>
      </c>
    </row>
    <row r="27" spans="1:4" ht="19">
      <c r="A27" s="55" t="s">
        <v>420</v>
      </c>
      <c r="B27" s="55" t="s">
        <v>1383</v>
      </c>
      <c r="C27" s="55" t="s">
        <v>421</v>
      </c>
      <c r="D27" s="55" t="s">
        <v>85</v>
      </c>
    </row>
    <row r="28" spans="1:4" ht="19">
      <c r="A28" s="55" t="s">
        <v>422</v>
      </c>
      <c r="B28" s="55" t="s">
        <v>423</v>
      </c>
      <c r="C28" s="55" t="s">
        <v>424</v>
      </c>
      <c r="D28" s="55" t="s">
        <v>85</v>
      </c>
    </row>
    <row r="29" spans="1:4" ht="19">
      <c r="A29" s="55" t="s">
        <v>425</v>
      </c>
      <c r="B29" s="55" t="s">
        <v>426</v>
      </c>
      <c r="C29" s="55" t="s">
        <v>427</v>
      </c>
      <c r="D29" s="55" t="s">
        <v>85</v>
      </c>
    </row>
    <row r="30" spans="1:4" ht="19">
      <c r="A30" s="55" t="s">
        <v>428</v>
      </c>
      <c r="B30" s="55" t="s">
        <v>1288</v>
      </c>
      <c r="C30" s="55" t="s">
        <v>429</v>
      </c>
      <c r="D30" s="55" t="s">
        <v>85</v>
      </c>
    </row>
    <row r="31" spans="1:4" ht="19">
      <c r="A31" s="55" t="s">
        <v>430</v>
      </c>
      <c r="B31" s="55" t="s">
        <v>431</v>
      </c>
      <c r="C31" s="55" t="s">
        <v>432</v>
      </c>
      <c r="D31" s="55" t="s">
        <v>85</v>
      </c>
    </row>
    <row r="32" spans="1:4" ht="19">
      <c r="A32" s="55" t="s">
        <v>433</v>
      </c>
      <c r="B32" s="55" t="s">
        <v>434</v>
      </c>
      <c r="C32" s="55" t="s">
        <v>435</v>
      </c>
      <c r="D32" s="55" t="s">
        <v>390</v>
      </c>
    </row>
    <row r="33" spans="1:4" ht="19">
      <c r="A33" s="55" t="s">
        <v>436</v>
      </c>
      <c r="B33" s="55" t="s">
        <v>437</v>
      </c>
      <c r="C33" s="55" t="s">
        <v>438</v>
      </c>
      <c r="D33" s="55" t="s">
        <v>85</v>
      </c>
    </row>
    <row r="34" spans="1:4" ht="19">
      <c r="A34" s="55" t="s">
        <v>439</v>
      </c>
      <c r="B34" s="55" t="s">
        <v>440</v>
      </c>
      <c r="C34" s="55" t="s">
        <v>441</v>
      </c>
      <c r="D34" s="55" t="s">
        <v>85</v>
      </c>
    </row>
    <row r="35" spans="1:4" ht="19">
      <c r="A35" s="55" t="s">
        <v>442</v>
      </c>
      <c r="B35" s="55" t="s">
        <v>443</v>
      </c>
      <c r="C35" s="55" t="s">
        <v>444</v>
      </c>
      <c r="D35" s="55" t="s">
        <v>85</v>
      </c>
    </row>
    <row r="36" spans="1:4" ht="19">
      <c r="A36" s="55" t="s">
        <v>445</v>
      </c>
      <c r="B36" s="55" t="s">
        <v>446</v>
      </c>
      <c r="C36" s="55" t="s">
        <v>447</v>
      </c>
      <c r="D36" s="55" t="s">
        <v>85</v>
      </c>
    </row>
    <row r="37" spans="1:4" ht="19">
      <c r="A37" s="55" t="s">
        <v>448</v>
      </c>
      <c r="B37" s="55" t="s">
        <v>449</v>
      </c>
      <c r="C37" s="55" t="s">
        <v>450</v>
      </c>
      <c r="D37" s="55" t="s">
        <v>390</v>
      </c>
    </row>
    <row r="38" spans="1:4" ht="19">
      <c r="A38" s="55" t="s">
        <v>451</v>
      </c>
      <c r="B38" s="55" t="s">
        <v>452</v>
      </c>
      <c r="C38" s="55" t="s">
        <v>453</v>
      </c>
      <c r="D38" s="55" t="s">
        <v>85</v>
      </c>
    </row>
    <row r="39" spans="1:4" ht="38">
      <c r="A39" s="55" t="s">
        <v>454</v>
      </c>
      <c r="B39" s="55" t="s">
        <v>455</v>
      </c>
      <c r="C39" s="55" t="s">
        <v>456</v>
      </c>
      <c r="D39" s="55" t="s">
        <v>400</v>
      </c>
    </row>
    <row r="40" spans="1:4" ht="19">
      <c r="A40" s="55" t="s">
        <v>457</v>
      </c>
      <c r="B40" s="55" t="s">
        <v>458</v>
      </c>
      <c r="C40" s="55" t="s">
        <v>459</v>
      </c>
      <c r="D40" s="55" t="s">
        <v>85</v>
      </c>
    </row>
    <row r="41" spans="1:4" ht="19">
      <c r="A41" s="55" t="s">
        <v>460</v>
      </c>
      <c r="B41" s="55" t="s">
        <v>461</v>
      </c>
      <c r="C41" s="55" t="s">
        <v>462</v>
      </c>
      <c r="D41" s="55" t="s">
        <v>85</v>
      </c>
    </row>
    <row r="42" spans="1:4" ht="19">
      <c r="A42" s="55" t="s">
        <v>463</v>
      </c>
      <c r="B42" s="55" t="s">
        <v>464</v>
      </c>
      <c r="C42" s="55" t="s">
        <v>465</v>
      </c>
      <c r="D42" s="55" t="s">
        <v>85</v>
      </c>
    </row>
    <row r="43" spans="1:4" ht="19">
      <c r="A43" s="55" t="s">
        <v>466</v>
      </c>
      <c r="B43" s="55" t="s">
        <v>467</v>
      </c>
      <c r="C43" s="55" t="s">
        <v>468</v>
      </c>
      <c r="D43" s="55" t="s">
        <v>85</v>
      </c>
    </row>
    <row r="44" spans="1:4" ht="19">
      <c r="A44" s="55" t="s">
        <v>469</v>
      </c>
      <c r="B44" s="55" t="s">
        <v>470</v>
      </c>
      <c r="C44" s="55" t="s">
        <v>471</v>
      </c>
      <c r="D44" s="55" t="s">
        <v>85</v>
      </c>
    </row>
    <row r="45" spans="1:4" ht="19">
      <c r="A45" s="55" t="s">
        <v>472</v>
      </c>
      <c r="B45" s="55" t="s">
        <v>473</v>
      </c>
      <c r="C45" s="55" t="s">
        <v>474</v>
      </c>
      <c r="D45" s="55" t="s">
        <v>85</v>
      </c>
    </row>
    <row r="46" spans="1:4" ht="19">
      <c r="A46" s="55" t="s">
        <v>475</v>
      </c>
      <c r="B46" s="55" t="s">
        <v>476</v>
      </c>
      <c r="C46" s="55" t="s">
        <v>477</v>
      </c>
      <c r="D46" s="55" t="s">
        <v>85</v>
      </c>
    </row>
    <row r="47" spans="1:4" ht="19">
      <c r="A47" s="55" t="s">
        <v>478</v>
      </c>
      <c r="B47" s="55" t="s">
        <v>479</v>
      </c>
      <c r="C47" s="55" t="s">
        <v>480</v>
      </c>
      <c r="D47" s="55" t="s">
        <v>85</v>
      </c>
    </row>
    <row r="48" spans="1:4" ht="19">
      <c r="A48" s="55" t="s">
        <v>481</v>
      </c>
      <c r="B48" s="55" t="s">
        <v>482</v>
      </c>
      <c r="C48" s="55" t="s">
        <v>483</v>
      </c>
      <c r="D48" s="55" t="s">
        <v>85</v>
      </c>
    </row>
    <row r="49" spans="1:4" ht="19">
      <c r="A49" s="55" t="s">
        <v>484</v>
      </c>
      <c r="B49" s="55" t="s">
        <v>485</v>
      </c>
      <c r="C49" s="55" t="s">
        <v>486</v>
      </c>
      <c r="D49" s="55" t="s">
        <v>390</v>
      </c>
    </row>
    <row r="50" spans="1:4" ht="38">
      <c r="A50" s="55" t="s">
        <v>1610</v>
      </c>
      <c r="B50" s="55" t="s">
        <v>1611</v>
      </c>
      <c r="C50" s="55" t="s">
        <v>1612</v>
      </c>
      <c r="D50" s="55" t="s">
        <v>2</v>
      </c>
    </row>
    <row r="51" spans="1:4" ht="57">
      <c r="A51" s="55" t="s">
        <v>1613</v>
      </c>
      <c r="B51" s="55" t="s">
        <v>1614</v>
      </c>
      <c r="C51" s="55" t="s">
        <v>1615</v>
      </c>
      <c r="D51" s="55" t="s">
        <v>2</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C5CB3-3B2C-E045-B349-EAA791B398A9}">
  <dimension ref="A1:E45"/>
  <sheetViews>
    <sheetView topLeftCell="B1" workbookViewId="0">
      <pane ySplit="4" topLeftCell="A17" activePane="bottomLeft" state="frozen"/>
      <selection pane="bottomLeft" activeCell="C8" sqref="C8"/>
    </sheetView>
  </sheetViews>
  <sheetFormatPr baseColWidth="10" defaultRowHeight="20"/>
  <cols>
    <col min="1" max="1" width="14.28515625" customWidth="1"/>
    <col min="2" max="2" width="100" customWidth="1"/>
    <col min="3" max="3" width="88.5703125" customWidth="1"/>
    <col min="4" max="4" width="28.5703125" customWidth="1"/>
    <col min="5" max="5" width="15.7109375" customWidth="1"/>
  </cols>
  <sheetData>
    <row r="1" spans="1:5" ht="27">
      <c r="A1" s="1" t="s">
        <v>1209</v>
      </c>
    </row>
    <row r="2" spans="1:5">
      <c r="A2" s="3" t="s">
        <v>1210</v>
      </c>
    </row>
    <row r="4" spans="1:5" ht="21">
      <c r="A4" s="64" t="s">
        <v>353</v>
      </c>
      <c r="B4" s="64" t="s">
        <v>83</v>
      </c>
      <c r="C4" s="64" t="s">
        <v>1349</v>
      </c>
      <c r="D4" s="64" t="s">
        <v>100</v>
      </c>
      <c r="E4" s="64" t="s">
        <v>1211</v>
      </c>
    </row>
    <row r="5" spans="1:5" ht="63">
      <c r="A5" s="8" t="s">
        <v>1212</v>
      </c>
      <c r="B5" s="8" t="s">
        <v>1213</v>
      </c>
      <c r="C5" s="8" t="s">
        <v>1350</v>
      </c>
      <c r="D5" s="8"/>
      <c r="E5" s="8"/>
    </row>
    <row r="6" spans="1:5" ht="63">
      <c r="A6" s="8" t="s">
        <v>1214</v>
      </c>
      <c r="B6" s="8" t="s">
        <v>1215</v>
      </c>
      <c r="C6" s="31" t="s">
        <v>1351</v>
      </c>
      <c r="D6" s="8"/>
      <c r="E6" s="8"/>
    </row>
    <row r="7" spans="1:5" ht="42">
      <c r="A7" s="8" t="s">
        <v>1216</v>
      </c>
      <c r="B7" s="8" t="s">
        <v>1217</v>
      </c>
      <c r="C7" s="8" t="s">
        <v>1352</v>
      </c>
      <c r="D7" s="8"/>
      <c r="E7" s="8"/>
    </row>
    <row r="8" spans="1:5" ht="105">
      <c r="A8" s="8" t="s">
        <v>1218</v>
      </c>
      <c r="B8" s="8" t="s">
        <v>1219</v>
      </c>
      <c r="C8" s="31" t="s">
        <v>1353</v>
      </c>
      <c r="D8" s="8"/>
      <c r="E8" s="8"/>
    </row>
    <row r="9" spans="1:5" ht="42">
      <c r="A9" s="8" t="s">
        <v>1220</v>
      </c>
      <c r="B9" s="8" t="s">
        <v>1221</v>
      </c>
      <c r="C9" s="8" t="s">
        <v>1354</v>
      </c>
      <c r="D9" s="8"/>
      <c r="E9" s="8"/>
    </row>
    <row r="10" spans="1:5" ht="63">
      <c r="A10" s="8" t="s">
        <v>1222</v>
      </c>
      <c r="B10" s="8" t="s">
        <v>1223</v>
      </c>
      <c r="C10" s="8" t="s">
        <v>1355</v>
      </c>
      <c r="D10" s="8"/>
      <c r="E10" s="8"/>
    </row>
    <row r="11" spans="1:5" ht="63">
      <c r="A11" s="8" t="s">
        <v>1224</v>
      </c>
      <c r="B11" s="8" t="s">
        <v>1225</v>
      </c>
      <c r="C11" s="8" t="s">
        <v>1356</v>
      </c>
      <c r="D11" s="8"/>
      <c r="E11" s="8"/>
    </row>
    <row r="12" spans="1:5" ht="126">
      <c r="A12" s="8" t="s">
        <v>1525</v>
      </c>
      <c r="B12" s="8" t="s">
        <v>1526</v>
      </c>
      <c r="C12" s="8" t="s">
        <v>1527</v>
      </c>
      <c r="D12" s="8"/>
      <c r="E12" s="8"/>
    </row>
    <row r="13" spans="1:5" ht="84">
      <c r="A13" s="8" t="s">
        <v>1226</v>
      </c>
      <c r="B13" s="8" t="s">
        <v>1227</v>
      </c>
      <c r="C13" s="8" t="s">
        <v>1359</v>
      </c>
      <c r="D13" s="8"/>
      <c r="E13" s="8"/>
    </row>
    <row r="14" spans="1:5" ht="63">
      <c r="A14" s="8" t="s">
        <v>1228</v>
      </c>
      <c r="B14" s="8" t="s">
        <v>1229</v>
      </c>
      <c r="C14" s="8" t="s">
        <v>1357</v>
      </c>
      <c r="D14" s="8"/>
      <c r="E14" s="8"/>
    </row>
    <row r="15" spans="1:5" ht="42">
      <c r="A15" s="8" t="s">
        <v>1230</v>
      </c>
      <c r="B15" s="8" t="s">
        <v>1231</v>
      </c>
      <c r="C15" s="8" t="s">
        <v>1358</v>
      </c>
      <c r="D15" s="8"/>
      <c r="E15" s="8"/>
    </row>
    <row r="16" spans="1:5" ht="63">
      <c r="A16" s="8" t="s">
        <v>1233</v>
      </c>
      <c r="B16" s="8" t="s">
        <v>1234</v>
      </c>
      <c r="C16" s="8" t="s">
        <v>1360</v>
      </c>
      <c r="D16" s="8"/>
      <c r="E16" s="8"/>
    </row>
    <row r="17" spans="1:5" ht="42">
      <c r="A17" s="8" t="s">
        <v>1235</v>
      </c>
      <c r="B17" s="8" t="s">
        <v>1236</v>
      </c>
      <c r="C17" s="8" t="s">
        <v>1361</v>
      </c>
      <c r="D17" s="8"/>
      <c r="E17" s="8"/>
    </row>
    <row r="18" spans="1:5" ht="42">
      <c r="A18" s="8" t="s">
        <v>1237</v>
      </c>
      <c r="B18" s="8" t="s">
        <v>1238</v>
      </c>
      <c r="C18" s="8" t="s">
        <v>1362</v>
      </c>
      <c r="D18" s="8"/>
      <c r="E18" s="8"/>
    </row>
    <row r="19" spans="1:5" ht="21">
      <c r="A19" s="8" t="s">
        <v>1239</v>
      </c>
      <c r="B19" s="8" t="s">
        <v>1240</v>
      </c>
      <c r="C19" s="8" t="s">
        <v>1363</v>
      </c>
      <c r="D19" s="8"/>
      <c r="E19" s="8"/>
    </row>
    <row r="20" spans="1:5" ht="42">
      <c r="A20" s="8" t="s">
        <v>1241</v>
      </c>
      <c r="B20" s="8" t="s">
        <v>1242</v>
      </c>
      <c r="C20" s="8" t="s">
        <v>1364</v>
      </c>
      <c r="D20" s="8"/>
      <c r="E20" s="8"/>
    </row>
    <row r="21" spans="1:5" ht="63">
      <c r="A21" s="8" t="s">
        <v>1243</v>
      </c>
      <c r="B21" s="8" t="s">
        <v>1244</v>
      </c>
      <c r="C21" s="8" t="s">
        <v>1365</v>
      </c>
      <c r="D21" s="8"/>
      <c r="E21" s="8"/>
    </row>
    <row r="22" spans="1:5" ht="63">
      <c r="A22" s="8" t="s">
        <v>1245</v>
      </c>
      <c r="B22" s="8" t="s">
        <v>1246</v>
      </c>
      <c r="C22" s="8" t="s">
        <v>1366</v>
      </c>
      <c r="D22" s="8"/>
      <c r="E22" s="8"/>
    </row>
    <row r="23" spans="1:5" ht="63">
      <c r="A23" s="8" t="s">
        <v>1247</v>
      </c>
      <c r="B23" s="8" t="s">
        <v>1248</v>
      </c>
      <c r="C23" s="8" t="s">
        <v>1367</v>
      </c>
      <c r="D23" s="8"/>
      <c r="E23" s="8"/>
    </row>
    <row r="24" spans="1:5" ht="63">
      <c r="A24" s="8" t="s">
        <v>1249</v>
      </c>
      <c r="B24" s="8" t="s">
        <v>1250</v>
      </c>
      <c r="C24" s="8" t="s">
        <v>1368</v>
      </c>
      <c r="D24" s="8"/>
      <c r="E24" s="8"/>
    </row>
    <row r="25" spans="1:5" ht="42">
      <c r="A25" s="8" t="s">
        <v>1251</v>
      </c>
      <c r="B25" s="8" t="s">
        <v>1252</v>
      </c>
      <c r="C25" s="8" t="s">
        <v>1369</v>
      </c>
      <c r="D25" s="8"/>
      <c r="E25" s="8"/>
    </row>
    <row r="26" spans="1:5" ht="84">
      <c r="A26" s="8" t="s">
        <v>1253</v>
      </c>
      <c r="B26" s="8" t="s">
        <v>1254</v>
      </c>
      <c r="C26" s="8" t="s">
        <v>1370</v>
      </c>
      <c r="D26" s="8"/>
      <c r="E26" s="8"/>
    </row>
    <row r="27" spans="1:5" ht="84">
      <c r="A27" s="8" t="s">
        <v>1255</v>
      </c>
      <c r="B27" s="8" t="s">
        <v>1256</v>
      </c>
      <c r="C27" s="8" t="s">
        <v>1371</v>
      </c>
      <c r="D27" s="8"/>
      <c r="E27" s="8"/>
    </row>
    <row r="28" spans="1:5" ht="105">
      <c r="A28" s="8" t="s">
        <v>1257</v>
      </c>
      <c r="B28" s="8" t="s">
        <v>1258</v>
      </c>
      <c r="C28" s="8" t="s">
        <v>1372</v>
      </c>
      <c r="D28" s="8"/>
      <c r="E28" s="8"/>
    </row>
    <row r="29" spans="1:5" ht="84">
      <c r="A29" s="8" t="s">
        <v>1259</v>
      </c>
      <c r="B29" s="8" t="s">
        <v>1260</v>
      </c>
      <c r="C29" s="8" t="s">
        <v>1373</v>
      </c>
      <c r="D29" s="8"/>
      <c r="E29" s="8"/>
    </row>
    <row r="30" spans="1:5" ht="42">
      <c r="A30" s="8" t="s">
        <v>1261</v>
      </c>
      <c r="B30" s="8" t="s">
        <v>1262</v>
      </c>
      <c r="C30" s="8" t="s">
        <v>1374</v>
      </c>
      <c r="D30" s="8"/>
      <c r="E30" s="8"/>
    </row>
    <row r="31" spans="1:5" ht="63">
      <c r="A31" s="8" t="s">
        <v>1263</v>
      </c>
      <c r="B31" s="8" t="s">
        <v>1264</v>
      </c>
      <c r="C31" s="8" t="s">
        <v>1375</v>
      </c>
      <c r="D31" s="8"/>
      <c r="E31" s="8"/>
    </row>
    <row r="32" spans="1:5" ht="63">
      <c r="A32" s="8" t="s">
        <v>1265</v>
      </c>
      <c r="B32" s="8" t="s">
        <v>1266</v>
      </c>
      <c r="C32" s="8" t="s">
        <v>1376</v>
      </c>
      <c r="D32" s="8"/>
      <c r="E32" s="8"/>
    </row>
    <row r="33" spans="1:5" ht="42">
      <c r="A33" s="8" t="s">
        <v>1267</v>
      </c>
      <c r="B33" s="8" t="s">
        <v>1268</v>
      </c>
      <c r="C33" s="8" t="s">
        <v>1377</v>
      </c>
      <c r="D33" s="8"/>
      <c r="E33" s="8"/>
    </row>
    <row r="34" spans="1:5" ht="42">
      <c r="A34" s="8" t="s">
        <v>1269</v>
      </c>
      <c r="B34" s="8" t="s">
        <v>1270</v>
      </c>
      <c r="C34" s="8" t="s">
        <v>1378</v>
      </c>
      <c r="D34" s="8"/>
      <c r="E34" s="8"/>
    </row>
    <row r="38" spans="1:5">
      <c r="A38" s="2" t="s">
        <v>1289</v>
      </c>
    </row>
    <row r="39" spans="1:5">
      <c r="A39" s="40" t="s">
        <v>353</v>
      </c>
      <c r="B39" s="40" t="s">
        <v>83</v>
      </c>
      <c r="C39" s="40" t="s">
        <v>1271</v>
      </c>
      <c r="D39" s="39"/>
    </row>
    <row r="40" spans="1:5" ht="42">
      <c r="A40" s="8" t="s">
        <v>1272</v>
      </c>
      <c r="B40" s="8" t="s">
        <v>1273</v>
      </c>
      <c r="C40" s="8" t="s">
        <v>1274</v>
      </c>
      <c r="D40" s="6"/>
    </row>
    <row r="41" spans="1:5" ht="105">
      <c r="A41" s="8" t="s">
        <v>1275</v>
      </c>
      <c r="B41" s="8" t="s">
        <v>1276</v>
      </c>
      <c r="C41" s="8" t="s">
        <v>1277</v>
      </c>
      <c r="D41" s="6"/>
    </row>
    <row r="42" spans="1:5" ht="84">
      <c r="A42" s="8" t="s">
        <v>42</v>
      </c>
      <c r="B42" s="8" t="s">
        <v>43</v>
      </c>
      <c r="C42" s="8" t="s">
        <v>1379</v>
      </c>
    </row>
    <row r="43" spans="1:5" ht="63">
      <c r="A43" s="8" t="s">
        <v>44</v>
      </c>
      <c r="B43" s="8" t="s">
        <v>1232</v>
      </c>
      <c r="C43" s="8" t="s">
        <v>1380</v>
      </c>
    </row>
    <row r="44" spans="1:5" ht="42">
      <c r="A44" s="8" t="s">
        <v>1528</v>
      </c>
      <c r="B44" s="8" t="s">
        <v>1529</v>
      </c>
      <c r="C44" s="8" t="s">
        <v>1530</v>
      </c>
    </row>
    <row r="45" spans="1:5" ht="168">
      <c r="A45" s="15" t="s">
        <v>1278</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3C945-1046-C947-8E59-E47C9A796148}">
  <dimension ref="A1:C19"/>
  <sheetViews>
    <sheetView workbookViewId="0">
      <selection activeCell="C36" sqref="C36"/>
    </sheetView>
  </sheetViews>
  <sheetFormatPr baseColWidth="10" defaultRowHeight="20"/>
  <cols>
    <col min="1" max="1" width="42.85546875" customWidth="1"/>
    <col min="2" max="2" width="74.28515625" customWidth="1"/>
    <col min="3" max="3" width="37.140625" customWidth="1"/>
    <col min="4" max="4" width="14.28515625" customWidth="1"/>
    <col min="5" max="5" width="42.85546875" customWidth="1"/>
  </cols>
  <sheetData>
    <row r="1" spans="1:3" ht="27">
      <c r="A1" s="1" t="s">
        <v>1292</v>
      </c>
    </row>
    <row r="2" spans="1:3" ht="42">
      <c r="A2" s="4" t="s">
        <v>1293</v>
      </c>
    </row>
    <row r="4" spans="1:3">
      <c r="A4" s="2" t="s">
        <v>1294</v>
      </c>
    </row>
    <row r="5" spans="1:3">
      <c r="A5" s="7" t="s">
        <v>45</v>
      </c>
      <c r="B5" s="7" t="s">
        <v>46</v>
      </c>
      <c r="C5" s="7" t="s">
        <v>48</v>
      </c>
    </row>
    <row r="6" spans="1:3" ht="21">
      <c r="A6" s="8" t="s">
        <v>41</v>
      </c>
      <c r="B6" s="8" t="s">
        <v>507</v>
      </c>
      <c r="C6" s="8" t="s">
        <v>50</v>
      </c>
    </row>
    <row r="7" spans="1:3" ht="21">
      <c r="A7" s="8" t="s">
        <v>40</v>
      </c>
      <c r="B7" s="8" t="s">
        <v>51</v>
      </c>
      <c r="C7" s="8" t="s">
        <v>50</v>
      </c>
    </row>
    <row r="8" spans="1:3" ht="21">
      <c r="A8" s="8" t="s">
        <v>53</v>
      </c>
      <c r="B8" s="8" t="s">
        <v>54</v>
      </c>
      <c r="C8" s="8" t="s">
        <v>56</v>
      </c>
    </row>
    <row r="11" spans="1:3" ht="21">
      <c r="A11" s="10" t="s">
        <v>1295</v>
      </c>
    </row>
    <row r="12" spans="1:3">
      <c r="A12" s="7" t="s">
        <v>1296</v>
      </c>
      <c r="B12" s="7" t="s">
        <v>77</v>
      </c>
      <c r="C12" s="7" t="s">
        <v>23</v>
      </c>
    </row>
    <row r="13" spans="1:3" ht="21">
      <c r="A13" s="8" t="s">
        <v>1297</v>
      </c>
      <c r="B13" s="8" t="s">
        <v>78</v>
      </c>
      <c r="C13" s="8" t="s">
        <v>24</v>
      </c>
    </row>
    <row r="14" spans="1:3" ht="21">
      <c r="A14" s="8" t="s">
        <v>28</v>
      </c>
      <c r="B14" s="8" t="s">
        <v>25</v>
      </c>
      <c r="C14" s="8" t="s">
        <v>24</v>
      </c>
    </row>
    <row r="15" spans="1:3" ht="21">
      <c r="A15" s="8" t="s">
        <v>61</v>
      </c>
      <c r="B15" s="8" t="s">
        <v>1298</v>
      </c>
      <c r="C15" s="8" t="s">
        <v>1299</v>
      </c>
    </row>
    <row r="16" spans="1:3" ht="21">
      <c r="A16" s="8" t="s">
        <v>1300</v>
      </c>
      <c r="B16" s="8" t="s">
        <v>1301</v>
      </c>
      <c r="C16" s="8" t="s">
        <v>1302</v>
      </c>
    </row>
    <row r="17" spans="1:3" ht="21">
      <c r="A17" s="8" t="s">
        <v>1303</v>
      </c>
      <c r="B17" s="8" t="s">
        <v>1304</v>
      </c>
      <c r="C17" s="8" t="s">
        <v>1302</v>
      </c>
    </row>
    <row r="18" spans="1:3" ht="21">
      <c r="A18" s="8" t="s">
        <v>1305</v>
      </c>
      <c r="B18" s="8" t="s">
        <v>62</v>
      </c>
      <c r="C18" s="8" t="s">
        <v>1306</v>
      </c>
    </row>
    <row r="19" spans="1:3" ht="21">
      <c r="A19" s="8" t="s">
        <v>1307</v>
      </c>
      <c r="B19" s="8" t="s">
        <v>1308</v>
      </c>
      <c r="C19" s="8" t="s">
        <v>1309</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8D921-C17E-DC4C-BFBC-7E1D3ED34A1B}">
  <dimension ref="A1:E47"/>
  <sheetViews>
    <sheetView topLeftCell="A2" workbookViewId="0">
      <selection activeCell="D15" sqref="D15"/>
    </sheetView>
  </sheetViews>
  <sheetFormatPr baseColWidth="10" defaultRowHeight="20"/>
  <cols>
    <col min="1" max="1" width="20" customWidth="1"/>
    <col min="2" max="2" width="80" customWidth="1"/>
    <col min="3" max="3" width="47.140625" customWidth="1"/>
    <col min="4" max="4" width="67.140625" customWidth="1"/>
    <col min="5" max="5" width="42.85546875" customWidth="1"/>
  </cols>
  <sheetData>
    <row r="1" spans="1:5" ht="27">
      <c r="A1" s="1" t="s">
        <v>488</v>
      </c>
    </row>
    <row r="2" spans="1:5" ht="168">
      <c r="A2" s="4" t="s">
        <v>1310</v>
      </c>
    </row>
    <row r="4" spans="1:5">
      <c r="A4" s="2" t="s">
        <v>489</v>
      </c>
    </row>
    <row r="5" spans="1:5">
      <c r="A5" s="7" t="s">
        <v>0</v>
      </c>
      <c r="B5" s="7" t="s">
        <v>29</v>
      </c>
    </row>
    <row r="6" spans="1:5" ht="63">
      <c r="A6" s="8" t="s">
        <v>490</v>
      </c>
      <c r="B6" s="8" t="s">
        <v>3</v>
      </c>
    </row>
    <row r="7" spans="1:5" ht="21">
      <c r="A7" s="8" t="s">
        <v>1616</v>
      </c>
      <c r="B7" s="8" t="s">
        <v>2106</v>
      </c>
    </row>
    <row r="8" spans="1:5" ht="21">
      <c r="A8" s="8" t="s">
        <v>1617</v>
      </c>
      <c r="B8" s="8" t="s">
        <v>2084</v>
      </c>
    </row>
    <row r="9" spans="1:5" ht="63">
      <c r="A9" s="8" t="s">
        <v>491</v>
      </c>
      <c r="B9" s="8" t="s">
        <v>492</v>
      </c>
    </row>
    <row r="10" spans="1:5" ht="42">
      <c r="A10" s="8" t="s">
        <v>493</v>
      </c>
      <c r="B10" s="8" t="s">
        <v>494</v>
      </c>
    </row>
    <row r="11" spans="1:5" ht="42">
      <c r="A11" s="8" t="s">
        <v>1618</v>
      </c>
      <c r="B11" s="8" t="s">
        <v>1619</v>
      </c>
    </row>
    <row r="13" spans="1:5" ht="42">
      <c r="A13" s="10" t="s">
        <v>1311</v>
      </c>
    </row>
    <row r="14" spans="1:5">
      <c r="A14" s="7" t="s">
        <v>46</v>
      </c>
      <c r="B14" s="7" t="s">
        <v>1519</v>
      </c>
      <c r="C14" s="7" t="s">
        <v>495</v>
      </c>
      <c r="D14" s="7" t="s">
        <v>47</v>
      </c>
      <c r="E14" s="7" t="s">
        <v>1622</v>
      </c>
    </row>
    <row r="15" spans="1:5" ht="42">
      <c r="A15" s="8" t="s">
        <v>66</v>
      </c>
      <c r="B15" s="8" t="s">
        <v>1312</v>
      </c>
      <c r="C15" s="8" t="s">
        <v>4</v>
      </c>
      <c r="D15" s="8" t="s">
        <v>496</v>
      </c>
      <c r="E15" s="8" t="s">
        <v>1514</v>
      </c>
    </row>
    <row r="16" spans="1:5" ht="63">
      <c r="A16" s="8" t="s">
        <v>67</v>
      </c>
      <c r="B16" s="8" t="s">
        <v>1623</v>
      </c>
      <c r="C16" s="8" t="s">
        <v>7</v>
      </c>
      <c r="D16" s="8" t="s">
        <v>497</v>
      </c>
      <c r="E16" s="8" t="s">
        <v>1620</v>
      </c>
    </row>
    <row r="17" spans="1:5" ht="42">
      <c r="A17" s="8" t="s">
        <v>68</v>
      </c>
      <c r="B17" s="8" t="s">
        <v>1313</v>
      </c>
      <c r="C17" s="8" t="s">
        <v>8</v>
      </c>
      <c r="D17" s="8" t="s">
        <v>498</v>
      </c>
      <c r="E17" s="8" t="s">
        <v>9</v>
      </c>
    </row>
    <row r="18" spans="1:5" ht="42">
      <c r="A18" s="8" t="s">
        <v>69</v>
      </c>
      <c r="B18" s="8" t="s">
        <v>1314</v>
      </c>
      <c r="C18" s="8" t="s">
        <v>10</v>
      </c>
      <c r="D18" s="8" t="s">
        <v>499</v>
      </c>
      <c r="E18" s="8" t="s">
        <v>1515</v>
      </c>
    </row>
    <row r="19" spans="1:5" ht="42">
      <c r="A19" s="8" t="s">
        <v>70</v>
      </c>
      <c r="B19" s="8" t="s">
        <v>1315</v>
      </c>
      <c r="C19" s="8" t="s">
        <v>11</v>
      </c>
      <c r="D19" s="8" t="s">
        <v>500</v>
      </c>
      <c r="E19" s="8" t="s">
        <v>1516</v>
      </c>
    </row>
    <row r="20" spans="1:5" ht="42">
      <c r="A20" s="8" t="s">
        <v>71</v>
      </c>
      <c r="B20" s="8" t="s">
        <v>1316</v>
      </c>
      <c r="C20" s="8" t="s">
        <v>12</v>
      </c>
      <c r="D20" s="8" t="s">
        <v>501</v>
      </c>
      <c r="E20" s="8" t="s">
        <v>13</v>
      </c>
    </row>
    <row r="21" spans="1:5" ht="42">
      <c r="A21" s="8" t="s">
        <v>72</v>
      </c>
      <c r="B21" s="8" t="s">
        <v>1317</v>
      </c>
      <c r="C21" s="8" t="s">
        <v>14</v>
      </c>
      <c r="D21" s="8" t="s">
        <v>502</v>
      </c>
      <c r="E21" s="8" t="s">
        <v>1517</v>
      </c>
    </row>
    <row r="22" spans="1:5" ht="42">
      <c r="A22" s="8" t="s">
        <v>73</v>
      </c>
      <c r="B22" s="8" t="s">
        <v>1318</v>
      </c>
      <c r="C22" s="8" t="s">
        <v>6</v>
      </c>
      <c r="D22" s="8" t="s">
        <v>503</v>
      </c>
      <c r="E22" s="8" t="s">
        <v>1518</v>
      </c>
    </row>
    <row r="23" spans="1:5" ht="42">
      <c r="A23" s="8" t="s">
        <v>74</v>
      </c>
      <c r="B23" s="8" t="s">
        <v>1624</v>
      </c>
      <c r="C23" s="8" t="s">
        <v>5</v>
      </c>
      <c r="D23" s="8" t="s">
        <v>504</v>
      </c>
      <c r="E23" s="8" t="s">
        <v>1621</v>
      </c>
    </row>
    <row r="24" spans="1:5" ht="42">
      <c r="A24" s="8" t="s">
        <v>1319</v>
      </c>
      <c r="B24" s="8" t="s">
        <v>1320</v>
      </c>
      <c r="C24" s="8" t="s">
        <v>15</v>
      </c>
      <c r="D24" s="8" t="s">
        <v>505</v>
      </c>
      <c r="E24" s="8" t="s">
        <v>16</v>
      </c>
    </row>
    <row r="25" spans="1:5" ht="63">
      <c r="A25" s="80" t="s">
        <v>2085</v>
      </c>
      <c r="B25" s="80" t="s">
        <v>2086</v>
      </c>
      <c r="C25" s="80" t="s">
        <v>2087</v>
      </c>
      <c r="D25" s="80" t="s">
        <v>2088</v>
      </c>
      <c r="E25" s="80" t="s">
        <v>2107</v>
      </c>
    </row>
    <row r="27" spans="1:5" ht="210">
      <c r="A27" s="9" t="s">
        <v>1321</v>
      </c>
    </row>
    <row r="30" spans="1:5">
      <c r="A30" s="2" t="s">
        <v>506</v>
      </c>
    </row>
    <row r="31" spans="1:5">
      <c r="A31" s="7" t="s">
        <v>45</v>
      </c>
      <c r="B31" s="7" t="s">
        <v>46</v>
      </c>
      <c r="C31" s="7" t="s">
        <v>495</v>
      </c>
      <c r="D31" s="7" t="s">
        <v>47</v>
      </c>
    </row>
    <row r="32" spans="1:5" ht="105">
      <c r="A32" s="8" t="s">
        <v>41</v>
      </c>
      <c r="B32" s="8" t="s">
        <v>507</v>
      </c>
      <c r="C32" s="8" t="s">
        <v>508</v>
      </c>
      <c r="D32" s="8" t="s">
        <v>49</v>
      </c>
    </row>
    <row r="33" spans="1:4" ht="126">
      <c r="A33" s="8" t="s">
        <v>40</v>
      </c>
      <c r="B33" s="8" t="s">
        <v>51</v>
      </c>
      <c r="C33" s="8" t="s">
        <v>509</v>
      </c>
      <c r="D33" s="8" t="s">
        <v>52</v>
      </c>
    </row>
    <row r="34" spans="1:4" ht="147">
      <c r="A34" s="8" t="s">
        <v>53</v>
      </c>
      <c r="B34" s="8" t="s">
        <v>510</v>
      </c>
      <c r="C34" s="8" t="s">
        <v>511</v>
      </c>
      <c r="D34" s="8" t="s">
        <v>55</v>
      </c>
    </row>
    <row r="37" spans="1:4" ht="42">
      <c r="A37" s="10" t="s">
        <v>512</v>
      </c>
    </row>
    <row r="38" spans="1:4">
      <c r="A38" s="7" t="s">
        <v>1</v>
      </c>
      <c r="B38" s="7" t="s">
        <v>495</v>
      </c>
      <c r="C38" s="7" t="s">
        <v>47</v>
      </c>
    </row>
    <row r="39" spans="1:4" ht="105">
      <c r="A39" s="8" t="s">
        <v>58</v>
      </c>
      <c r="B39" s="8" t="s">
        <v>513</v>
      </c>
      <c r="C39" s="8" t="s">
        <v>57</v>
      </c>
    </row>
    <row r="40" spans="1:4" ht="42">
      <c r="A40" s="8" t="s">
        <v>514</v>
      </c>
      <c r="B40" s="8" t="s">
        <v>513</v>
      </c>
      <c r="C40" s="8" t="s">
        <v>515</v>
      </c>
    </row>
    <row r="43" spans="1:4">
      <c r="A43" s="2" t="s">
        <v>516</v>
      </c>
    </row>
    <row r="44" spans="1:4">
      <c r="A44" s="7" t="s">
        <v>59</v>
      </c>
      <c r="B44" s="7" t="s">
        <v>47</v>
      </c>
      <c r="C44" s="7" t="s">
        <v>38</v>
      </c>
    </row>
    <row r="45" spans="1:4" ht="84">
      <c r="A45" s="8" t="s">
        <v>517</v>
      </c>
      <c r="B45" s="8" t="s">
        <v>518</v>
      </c>
      <c r="C45" s="8" t="s">
        <v>60</v>
      </c>
    </row>
    <row r="46" spans="1:4" ht="105">
      <c r="A46" s="8" t="s">
        <v>519</v>
      </c>
      <c r="B46" s="8" t="s">
        <v>520</v>
      </c>
      <c r="C46" s="8" t="s">
        <v>75</v>
      </c>
    </row>
    <row r="47" spans="1:4" ht="147">
      <c r="A47" s="8" t="s">
        <v>76</v>
      </c>
      <c r="B47" s="8" t="s">
        <v>521</v>
      </c>
      <c r="C47" s="8" t="s">
        <v>522</v>
      </c>
    </row>
  </sheetData>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F64A-6159-354B-ABF7-65BBF66877B8}">
  <dimension ref="A1:M135"/>
  <sheetViews>
    <sheetView tabSelected="1" workbookViewId="0">
      <pane ySplit="1" topLeftCell="A7" activePane="bottomLeft" state="frozen"/>
      <selection pane="bottomLeft" activeCell="D21" sqref="D21"/>
    </sheetView>
  </sheetViews>
  <sheetFormatPr baseColWidth="10" defaultRowHeight="20"/>
  <cols>
    <col min="1" max="1" width="9.140625" customWidth="1"/>
    <col min="2" max="2" width="11.140625" customWidth="1"/>
    <col min="3" max="3" width="32.85546875" customWidth="1"/>
    <col min="4" max="4" width="74.28515625" customWidth="1"/>
    <col min="5" max="5" width="13.5703125" customWidth="1"/>
    <col min="6" max="6" width="12.85546875" bestFit="1" customWidth="1"/>
    <col min="7" max="8" width="7.140625" customWidth="1"/>
    <col min="9" max="9" width="9.7109375" customWidth="1"/>
    <col min="10" max="11" width="11.140625" customWidth="1"/>
    <col min="12" max="12" width="8.85546875" customWidth="1"/>
    <col min="13" max="13" width="18.5703125" customWidth="1"/>
    <col min="14" max="14" width="27.140625" customWidth="1"/>
  </cols>
  <sheetData>
    <row r="1" spans="1:13" ht="21">
      <c r="A1" s="56" t="s">
        <v>1657</v>
      </c>
      <c r="B1" s="56" t="s">
        <v>35</v>
      </c>
      <c r="C1" s="56" t="s">
        <v>1627</v>
      </c>
      <c r="D1" s="56" t="s">
        <v>1</v>
      </c>
      <c r="E1" s="56" t="s">
        <v>1658</v>
      </c>
      <c r="F1" s="56" t="s">
        <v>1628</v>
      </c>
      <c r="G1" s="56" t="s">
        <v>1659</v>
      </c>
      <c r="H1" s="56" t="s">
        <v>1660</v>
      </c>
      <c r="I1" s="56" t="s">
        <v>17</v>
      </c>
      <c r="J1" s="56" t="s">
        <v>1629</v>
      </c>
      <c r="K1" s="56" t="s">
        <v>1630</v>
      </c>
      <c r="L1" s="56" t="s">
        <v>23</v>
      </c>
      <c r="M1" s="56" t="s">
        <v>26</v>
      </c>
    </row>
    <row r="2" spans="1:13" ht="63">
      <c r="A2" s="67" t="s">
        <v>1631</v>
      </c>
      <c r="B2" s="8" t="s">
        <v>1661</v>
      </c>
      <c r="C2" s="8" t="s">
        <v>1705</v>
      </c>
      <c r="D2" s="8" t="s">
        <v>1706</v>
      </c>
      <c r="E2" s="8" t="s">
        <v>2</v>
      </c>
      <c r="F2" s="67" t="s">
        <v>1632</v>
      </c>
      <c r="G2" s="65">
        <v>12</v>
      </c>
      <c r="H2" s="84">
        <f>G2/8</f>
        <v>1.5</v>
      </c>
      <c r="I2" s="63"/>
      <c r="J2" s="63"/>
      <c r="K2" s="63"/>
      <c r="L2" s="63"/>
      <c r="M2" s="63"/>
    </row>
    <row r="3" spans="1:13" ht="63">
      <c r="A3" s="67" t="s">
        <v>1633</v>
      </c>
      <c r="B3" s="8" t="s">
        <v>1661</v>
      </c>
      <c r="C3" s="8" t="s">
        <v>1707</v>
      </c>
      <c r="D3" s="8" t="s">
        <v>1708</v>
      </c>
      <c r="E3" s="8" t="s">
        <v>2</v>
      </c>
      <c r="F3" s="67" t="s">
        <v>1632</v>
      </c>
      <c r="G3" s="65">
        <v>8</v>
      </c>
      <c r="H3" s="84">
        <f>G3/8</f>
        <v>1</v>
      </c>
      <c r="I3" s="63"/>
      <c r="J3" s="63"/>
      <c r="K3" s="63"/>
      <c r="L3" s="63"/>
      <c r="M3" s="63"/>
    </row>
    <row r="4" spans="1:13" ht="84">
      <c r="A4" s="67" t="s">
        <v>1634</v>
      </c>
      <c r="B4" s="8" t="s">
        <v>1661</v>
      </c>
      <c r="C4" s="8" t="s">
        <v>1709</v>
      </c>
      <c r="D4" s="8" t="s">
        <v>1710</v>
      </c>
      <c r="E4" s="8" t="s">
        <v>2</v>
      </c>
      <c r="F4" s="67" t="s">
        <v>1632</v>
      </c>
      <c r="G4" s="65">
        <v>4</v>
      </c>
      <c r="H4" s="84">
        <f>G4/8</f>
        <v>0.5</v>
      </c>
      <c r="I4" s="63"/>
      <c r="J4" s="63"/>
      <c r="K4" s="63"/>
      <c r="L4" s="63"/>
      <c r="M4" s="63"/>
    </row>
    <row r="5" spans="1:13" ht="63">
      <c r="A5" s="67" t="s">
        <v>1635</v>
      </c>
      <c r="B5" s="8" t="s">
        <v>1661</v>
      </c>
      <c r="C5" s="8" t="s">
        <v>1711</v>
      </c>
      <c r="D5" s="8" t="s">
        <v>1712</v>
      </c>
      <c r="E5" s="8" t="s">
        <v>2</v>
      </c>
      <c r="F5" s="67" t="s">
        <v>1632</v>
      </c>
      <c r="G5" s="65">
        <v>8</v>
      </c>
      <c r="H5" s="84">
        <f>G5/8</f>
        <v>1</v>
      </c>
      <c r="I5" s="63"/>
      <c r="J5" s="63"/>
      <c r="K5" s="63"/>
      <c r="L5" s="63"/>
      <c r="M5" s="63"/>
    </row>
    <row r="6" spans="1:13" ht="63">
      <c r="A6" s="67" t="s">
        <v>1636</v>
      </c>
      <c r="B6" s="8" t="s">
        <v>1661</v>
      </c>
      <c r="C6" s="8" t="s">
        <v>1713</v>
      </c>
      <c r="D6" s="8" t="s">
        <v>1714</v>
      </c>
      <c r="E6" s="8" t="s">
        <v>2</v>
      </c>
      <c r="F6" s="67"/>
      <c r="G6" s="65">
        <v>4</v>
      </c>
      <c r="H6" s="84">
        <f>G6/8</f>
        <v>0.5</v>
      </c>
      <c r="I6" s="63"/>
      <c r="J6" s="63"/>
      <c r="K6" s="63"/>
      <c r="L6" s="63"/>
      <c r="M6" s="63"/>
    </row>
    <row r="7" spans="1:13" ht="63">
      <c r="A7" s="67" t="s">
        <v>1662</v>
      </c>
      <c r="B7" s="8" t="s">
        <v>1661</v>
      </c>
      <c r="C7" s="8" t="s">
        <v>1715</v>
      </c>
      <c r="D7" s="8" t="s">
        <v>1716</v>
      </c>
      <c r="E7" s="8" t="s">
        <v>2</v>
      </c>
      <c r="F7" s="67"/>
      <c r="G7" s="65">
        <v>4</v>
      </c>
      <c r="H7" s="84">
        <f>G7/8</f>
        <v>0.5</v>
      </c>
      <c r="I7" s="63"/>
      <c r="J7" s="63"/>
      <c r="K7" s="63"/>
      <c r="L7" s="63"/>
      <c r="M7" s="63"/>
    </row>
    <row r="8" spans="1:13" ht="21">
      <c r="A8" s="76" t="s">
        <v>1663</v>
      </c>
      <c r="B8" s="72"/>
      <c r="C8" s="72"/>
      <c r="D8" s="72"/>
      <c r="E8" s="72"/>
      <c r="F8" s="77"/>
      <c r="G8" s="82">
        <f>SUM(G2:G7)</f>
        <v>40</v>
      </c>
      <c r="H8" s="75">
        <f>G8/8</f>
        <v>5</v>
      </c>
      <c r="I8" s="72"/>
      <c r="J8" s="72"/>
      <c r="K8" s="72"/>
      <c r="L8" s="72"/>
      <c r="M8" s="72"/>
    </row>
    <row r="9" spans="1:13" ht="63">
      <c r="A9" s="67" t="s">
        <v>1717</v>
      </c>
      <c r="B9" s="8" t="s">
        <v>1664</v>
      </c>
      <c r="C9" s="8" t="s">
        <v>1718</v>
      </c>
      <c r="D9" s="8" t="s">
        <v>1719</v>
      </c>
      <c r="E9" s="8" t="s">
        <v>2</v>
      </c>
      <c r="F9" s="67"/>
      <c r="G9" s="65">
        <v>1</v>
      </c>
      <c r="H9" s="84">
        <f>G9/8</f>
        <v>0.125</v>
      </c>
      <c r="I9" s="63"/>
      <c r="J9" s="63"/>
      <c r="K9" s="63"/>
      <c r="L9" s="63"/>
      <c r="M9" s="63"/>
    </row>
    <row r="10" spans="1:13" ht="21">
      <c r="A10" s="67" t="s">
        <v>1720</v>
      </c>
      <c r="B10" s="8" t="s">
        <v>1664</v>
      </c>
      <c r="C10" s="8" t="s">
        <v>1721</v>
      </c>
      <c r="D10" s="8" t="s">
        <v>1722</v>
      </c>
      <c r="E10" s="8" t="s">
        <v>1717</v>
      </c>
      <c r="F10" s="67"/>
      <c r="G10" s="65">
        <v>2</v>
      </c>
      <c r="H10" s="84">
        <f>G10/8</f>
        <v>0.25</v>
      </c>
      <c r="I10" s="63"/>
      <c r="J10" s="63"/>
      <c r="K10" s="63"/>
      <c r="L10" s="63"/>
      <c r="M10" s="63"/>
    </row>
    <row r="11" spans="1:13" ht="42">
      <c r="A11" s="67" t="s">
        <v>1723</v>
      </c>
      <c r="B11" s="8" t="s">
        <v>1664</v>
      </c>
      <c r="C11" s="8" t="s">
        <v>1724</v>
      </c>
      <c r="D11" s="8" t="s">
        <v>1725</v>
      </c>
      <c r="E11" s="8" t="s">
        <v>1717</v>
      </c>
      <c r="F11" s="67"/>
      <c r="G11" s="65">
        <v>1</v>
      </c>
      <c r="H11" s="84">
        <f>G11/8</f>
        <v>0.125</v>
      </c>
      <c r="I11" s="63"/>
      <c r="J11" s="63"/>
      <c r="K11" s="63"/>
      <c r="L11" s="63"/>
      <c r="M11" s="63"/>
    </row>
    <row r="12" spans="1:13" ht="42">
      <c r="A12" s="67" t="s">
        <v>1726</v>
      </c>
      <c r="B12" s="8" t="s">
        <v>1664</v>
      </c>
      <c r="C12" s="8" t="s">
        <v>1727</v>
      </c>
      <c r="D12" s="8" t="s">
        <v>1728</v>
      </c>
      <c r="E12" s="8" t="s">
        <v>1723</v>
      </c>
      <c r="F12" s="67"/>
      <c r="G12" s="65">
        <v>2</v>
      </c>
      <c r="H12" s="84">
        <f>G12/8</f>
        <v>0.25</v>
      </c>
      <c r="I12" s="63"/>
      <c r="J12" s="63"/>
      <c r="K12" s="63"/>
      <c r="L12" s="63"/>
      <c r="M12" s="63"/>
    </row>
    <row r="13" spans="1:13" ht="21">
      <c r="A13" s="67" t="s">
        <v>1729</v>
      </c>
      <c r="B13" s="8" t="s">
        <v>1664</v>
      </c>
      <c r="C13" s="8" t="s">
        <v>1730</v>
      </c>
      <c r="D13" s="8" t="s">
        <v>1731</v>
      </c>
      <c r="E13" s="8" t="s">
        <v>1717</v>
      </c>
      <c r="F13" s="67"/>
      <c r="G13" s="65">
        <v>0.5</v>
      </c>
      <c r="H13" s="84">
        <f>G13/8</f>
        <v>6.25E-2</v>
      </c>
      <c r="I13" s="63"/>
      <c r="J13" s="63"/>
      <c r="K13" s="63"/>
      <c r="L13" s="63"/>
      <c r="M13" s="63"/>
    </row>
    <row r="14" spans="1:13" ht="21">
      <c r="A14" s="67" t="s">
        <v>1732</v>
      </c>
      <c r="B14" s="8" t="s">
        <v>1664</v>
      </c>
      <c r="C14" s="8" t="s">
        <v>1733</v>
      </c>
      <c r="D14" s="8" t="s">
        <v>1734</v>
      </c>
      <c r="E14" s="8" t="s">
        <v>1729</v>
      </c>
      <c r="F14" s="67"/>
      <c r="G14" s="65">
        <v>1</v>
      </c>
      <c r="H14" s="84">
        <f>G14/8</f>
        <v>0.125</v>
      </c>
      <c r="I14" s="63"/>
      <c r="J14" s="63"/>
      <c r="K14" s="63"/>
      <c r="L14" s="63"/>
      <c r="M14" s="63"/>
    </row>
    <row r="15" spans="1:13" ht="42">
      <c r="A15" s="67" t="s">
        <v>1735</v>
      </c>
      <c r="B15" s="8" t="s">
        <v>1664</v>
      </c>
      <c r="C15" s="8" t="s">
        <v>1736</v>
      </c>
      <c r="D15" s="8" t="s">
        <v>1737</v>
      </c>
      <c r="E15" s="8" t="s">
        <v>1636</v>
      </c>
      <c r="F15" s="67"/>
      <c r="G15" s="65">
        <v>0.5</v>
      </c>
      <c r="H15" s="84">
        <f>G15/8</f>
        <v>6.25E-2</v>
      </c>
      <c r="I15" s="63"/>
      <c r="J15" s="63"/>
      <c r="K15" s="63"/>
      <c r="L15" s="63"/>
      <c r="M15" s="63"/>
    </row>
    <row r="16" spans="1:13" ht="42">
      <c r="A16" s="67" t="s">
        <v>1738</v>
      </c>
      <c r="B16" s="8" t="s">
        <v>1664</v>
      </c>
      <c r="C16" s="8" t="s">
        <v>1739</v>
      </c>
      <c r="D16" s="8" t="s">
        <v>1740</v>
      </c>
      <c r="E16" s="8" t="s">
        <v>1735</v>
      </c>
      <c r="F16" s="67"/>
      <c r="G16" s="65">
        <v>2</v>
      </c>
      <c r="H16" s="84">
        <f>G16/8</f>
        <v>0.25</v>
      </c>
      <c r="I16" s="63"/>
      <c r="J16" s="63"/>
      <c r="K16" s="63"/>
      <c r="L16" s="63"/>
      <c r="M16" s="63"/>
    </row>
    <row r="17" spans="1:13" ht="63">
      <c r="A17" s="67" t="s">
        <v>1741</v>
      </c>
      <c r="B17" s="8" t="s">
        <v>1664</v>
      </c>
      <c r="C17" s="8" t="s">
        <v>1742</v>
      </c>
      <c r="D17" s="8" t="s">
        <v>2092</v>
      </c>
      <c r="E17" s="8" t="s">
        <v>2</v>
      </c>
      <c r="F17" s="67"/>
      <c r="G17" s="65">
        <v>0.5</v>
      </c>
      <c r="H17" s="84">
        <f>G17/8</f>
        <v>6.25E-2</v>
      </c>
      <c r="I17" s="63"/>
      <c r="J17" s="63"/>
      <c r="K17" s="63"/>
      <c r="L17" s="63"/>
      <c r="M17" s="63"/>
    </row>
    <row r="18" spans="1:13" ht="21">
      <c r="A18" s="67" t="s">
        <v>1743</v>
      </c>
      <c r="B18" s="8" t="s">
        <v>1664</v>
      </c>
      <c r="C18" s="8" t="s">
        <v>1744</v>
      </c>
      <c r="D18" s="8" t="s">
        <v>1745</v>
      </c>
      <c r="E18" s="8" t="s">
        <v>1741</v>
      </c>
      <c r="F18" s="67"/>
      <c r="G18" s="65">
        <v>2</v>
      </c>
      <c r="H18" s="84">
        <f>G18/8</f>
        <v>0.25</v>
      </c>
      <c r="I18" s="63"/>
      <c r="J18" s="63"/>
      <c r="K18" s="63"/>
      <c r="L18" s="63"/>
      <c r="M18" s="63"/>
    </row>
    <row r="19" spans="1:13" ht="42">
      <c r="A19" s="67" t="s">
        <v>1746</v>
      </c>
      <c r="B19" s="8" t="s">
        <v>1664</v>
      </c>
      <c r="C19" s="8" t="s">
        <v>1747</v>
      </c>
      <c r="D19" s="8" t="s">
        <v>1748</v>
      </c>
      <c r="E19" s="8" t="s">
        <v>2</v>
      </c>
      <c r="F19" s="67"/>
      <c r="G19" s="65">
        <v>1</v>
      </c>
      <c r="H19" s="84">
        <f>G19/8</f>
        <v>0.125</v>
      </c>
      <c r="I19" s="63"/>
      <c r="J19" s="63"/>
      <c r="K19" s="63"/>
      <c r="L19" s="63"/>
      <c r="M19" s="63"/>
    </row>
    <row r="20" spans="1:13" ht="42">
      <c r="A20" s="67" t="s">
        <v>1749</v>
      </c>
      <c r="B20" s="8" t="s">
        <v>1664</v>
      </c>
      <c r="C20" s="8" t="s">
        <v>1750</v>
      </c>
      <c r="D20" s="8" t="s">
        <v>1751</v>
      </c>
      <c r="E20" s="8" t="s">
        <v>1746</v>
      </c>
      <c r="F20" s="67"/>
      <c r="G20" s="65">
        <v>2</v>
      </c>
      <c r="H20" s="84">
        <f>G20/8</f>
        <v>0.25</v>
      </c>
      <c r="I20" s="63"/>
      <c r="J20" s="63"/>
      <c r="K20" s="63"/>
      <c r="L20" s="63"/>
      <c r="M20" s="63"/>
    </row>
    <row r="21" spans="1:13" ht="42">
      <c r="A21" s="67" t="s">
        <v>1752</v>
      </c>
      <c r="B21" s="8" t="s">
        <v>1664</v>
      </c>
      <c r="C21" s="8" t="s">
        <v>1753</v>
      </c>
      <c r="D21" s="8" t="s">
        <v>1754</v>
      </c>
      <c r="E21" s="8" t="s">
        <v>2</v>
      </c>
      <c r="F21" s="67"/>
      <c r="G21" s="65">
        <v>1</v>
      </c>
      <c r="H21" s="84">
        <f>G21/8</f>
        <v>0.125</v>
      </c>
      <c r="I21" s="63"/>
      <c r="J21" s="63"/>
      <c r="K21" s="63"/>
      <c r="L21" s="63"/>
      <c r="M21" s="63"/>
    </row>
    <row r="22" spans="1:13" ht="21">
      <c r="A22" s="67" t="s">
        <v>1755</v>
      </c>
      <c r="B22" s="8" t="s">
        <v>1664</v>
      </c>
      <c r="C22" s="8" t="s">
        <v>1756</v>
      </c>
      <c r="D22" s="8" t="s">
        <v>1757</v>
      </c>
      <c r="E22" s="8" t="s">
        <v>1752</v>
      </c>
      <c r="F22" s="67"/>
      <c r="G22" s="65">
        <v>2</v>
      </c>
      <c r="H22" s="84">
        <f>G22/8</f>
        <v>0.25</v>
      </c>
      <c r="I22" s="63"/>
      <c r="J22" s="63"/>
      <c r="K22" s="63"/>
      <c r="L22" s="63"/>
      <c r="M22" s="63"/>
    </row>
    <row r="23" spans="1:13" ht="42">
      <c r="A23" s="67" t="s">
        <v>1758</v>
      </c>
      <c r="B23" s="8" t="s">
        <v>1664</v>
      </c>
      <c r="C23" s="8" t="s">
        <v>1759</v>
      </c>
      <c r="D23" s="8" t="s">
        <v>1760</v>
      </c>
      <c r="E23" s="8" t="s">
        <v>2</v>
      </c>
      <c r="F23" s="67"/>
      <c r="G23" s="65">
        <v>0.5</v>
      </c>
      <c r="H23" s="84">
        <f>G23/8</f>
        <v>6.25E-2</v>
      </c>
      <c r="I23" s="63"/>
      <c r="J23" s="63"/>
      <c r="K23" s="63"/>
      <c r="L23" s="63"/>
      <c r="M23" s="63"/>
    </row>
    <row r="24" spans="1:13" ht="21">
      <c r="A24" s="67" t="s">
        <v>1761</v>
      </c>
      <c r="B24" s="8" t="s">
        <v>1664</v>
      </c>
      <c r="C24" s="8" t="s">
        <v>1762</v>
      </c>
      <c r="D24" s="8" t="s">
        <v>1757</v>
      </c>
      <c r="E24" s="8" t="s">
        <v>1758</v>
      </c>
      <c r="F24" s="67"/>
      <c r="G24" s="65">
        <v>1</v>
      </c>
      <c r="H24" s="84">
        <f>G24/8</f>
        <v>0.125</v>
      </c>
      <c r="I24" s="63"/>
      <c r="J24" s="63"/>
      <c r="K24" s="63"/>
      <c r="L24" s="63"/>
      <c r="M24" s="63"/>
    </row>
    <row r="25" spans="1:13" ht="21">
      <c r="A25" s="67" t="s">
        <v>1763</v>
      </c>
      <c r="B25" s="8" t="s">
        <v>1664</v>
      </c>
      <c r="C25" s="8" t="s">
        <v>1764</v>
      </c>
      <c r="D25" s="8" t="s">
        <v>1765</v>
      </c>
      <c r="E25" s="8" t="s">
        <v>2</v>
      </c>
      <c r="F25" s="67"/>
      <c r="G25" s="65">
        <v>0.5</v>
      </c>
      <c r="H25" s="84">
        <f>G25/8</f>
        <v>6.25E-2</v>
      </c>
      <c r="I25" s="63"/>
      <c r="J25" s="63"/>
      <c r="K25" s="63"/>
      <c r="L25" s="63"/>
      <c r="M25" s="63"/>
    </row>
    <row r="26" spans="1:13" ht="21">
      <c r="A26" s="67" t="s">
        <v>1766</v>
      </c>
      <c r="B26" s="8" t="s">
        <v>1664</v>
      </c>
      <c r="C26" s="8" t="s">
        <v>1767</v>
      </c>
      <c r="D26" s="8" t="s">
        <v>1757</v>
      </c>
      <c r="E26" s="8" t="s">
        <v>1763</v>
      </c>
      <c r="F26" s="67"/>
      <c r="G26" s="65">
        <v>1</v>
      </c>
      <c r="H26" s="84">
        <f>G26/8</f>
        <v>0.125</v>
      </c>
      <c r="I26" s="63"/>
      <c r="J26" s="63"/>
      <c r="K26" s="63"/>
      <c r="L26" s="63"/>
      <c r="M26" s="63"/>
    </row>
    <row r="27" spans="1:13" ht="42">
      <c r="A27" s="67" t="s">
        <v>1768</v>
      </c>
      <c r="B27" s="8" t="s">
        <v>1664</v>
      </c>
      <c r="C27" s="8" t="s">
        <v>1769</v>
      </c>
      <c r="D27" s="8" t="s">
        <v>1770</v>
      </c>
      <c r="E27" s="8" t="s">
        <v>1635</v>
      </c>
      <c r="F27" s="67"/>
      <c r="G27" s="65">
        <v>1</v>
      </c>
      <c r="H27" s="84">
        <f>G27/8</f>
        <v>0.125</v>
      </c>
      <c r="I27" s="63"/>
      <c r="J27" s="63"/>
      <c r="K27" s="63"/>
      <c r="L27" s="63"/>
      <c r="M27" s="63"/>
    </row>
    <row r="28" spans="1:13" ht="42">
      <c r="A28" s="67" t="s">
        <v>1771</v>
      </c>
      <c r="B28" s="8" t="s">
        <v>1664</v>
      </c>
      <c r="C28" s="8" t="s">
        <v>1772</v>
      </c>
      <c r="D28" s="8" t="s">
        <v>1773</v>
      </c>
      <c r="E28" s="8" t="s">
        <v>1633</v>
      </c>
      <c r="F28" s="67"/>
      <c r="G28" s="65">
        <v>0.5</v>
      </c>
      <c r="H28" s="84">
        <f>G28/8</f>
        <v>6.25E-2</v>
      </c>
      <c r="I28" s="63"/>
      <c r="J28" s="63"/>
      <c r="K28" s="63"/>
      <c r="L28" s="63"/>
      <c r="M28" s="63"/>
    </row>
    <row r="29" spans="1:13" ht="21">
      <c r="A29" s="67" t="s">
        <v>1774</v>
      </c>
      <c r="B29" s="8" t="s">
        <v>1664</v>
      </c>
      <c r="C29" s="8" t="s">
        <v>1775</v>
      </c>
      <c r="D29" s="8" t="s">
        <v>1776</v>
      </c>
      <c r="E29" s="8" t="s">
        <v>1771</v>
      </c>
      <c r="F29" s="67"/>
      <c r="G29" s="65">
        <v>1</v>
      </c>
      <c r="H29" s="84">
        <f>G29/8</f>
        <v>0.125</v>
      </c>
      <c r="I29" s="63"/>
      <c r="J29" s="63"/>
      <c r="K29" s="63"/>
      <c r="L29" s="63"/>
      <c r="M29" s="63"/>
    </row>
    <row r="30" spans="1:13" ht="42">
      <c r="A30" s="67" t="s">
        <v>1777</v>
      </c>
      <c r="B30" s="8" t="s">
        <v>1664</v>
      </c>
      <c r="C30" s="8" t="s">
        <v>1665</v>
      </c>
      <c r="D30" s="8" t="s">
        <v>1778</v>
      </c>
      <c r="E30" s="8" t="s">
        <v>2</v>
      </c>
      <c r="F30" s="67"/>
      <c r="G30" s="65">
        <v>1</v>
      </c>
      <c r="H30" s="84">
        <f>G30/8</f>
        <v>0.125</v>
      </c>
      <c r="I30" s="63"/>
      <c r="J30" s="63"/>
      <c r="K30" s="63"/>
      <c r="L30" s="63"/>
      <c r="M30" s="63"/>
    </row>
    <row r="31" spans="1:13" ht="42">
      <c r="A31" s="67" t="s">
        <v>1779</v>
      </c>
      <c r="B31" s="8" t="s">
        <v>1664</v>
      </c>
      <c r="C31" s="8" t="s">
        <v>1780</v>
      </c>
      <c r="D31" s="8" t="s">
        <v>1781</v>
      </c>
      <c r="E31" s="8" t="s">
        <v>2</v>
      </c>
      <c r="F31" s="67"/>
      <c r="G31" s="65">
        <v>1</v>
      </c>
      <c r="H31" s="84">
        <f>G31/8</f>
        <v>0.125</v>
      </c>
      <c r="I31" s="63"/>
      <c r="J31" s="63"/>
      <c r="K31" s="63"/>
      <c r="L31" s="63"/>
      <c r="M31" s="63"/>
    </row>
    <row r="32" spans="1:13" ht="21">
      <c r="A32" s="67" t="s">
        <v>1782</v>
      </c>
      <c r="B32" s="8" t="s">
        <v>1664</v>
      </c>
      <c r="C32" s="8" t="s">
        <v>1783</v>
      </c>
      <c r="D32" s="8" t="s">
        <v>1784</v>
      </c>
      <c r="E32" s="8" t="s">
        <v>1779</v>
      </c>
      <c r="F32" s="67"/>
      <c r="G32" s="65">
        <v>2</v>
      </c>
      <c r="H32" s="84">
        <f>G32/8</f>
        <v>0.25</v>
      </c>
      <c r="I32" s="63"/>
      <c r="J32" s="63"/>
      <c r="K32" s="63"/>
      <c r="L32" s="63"/>
      <c r="M32" s="63"/>
    </row>
    <row r="33" spans="1:13" ht="42">
      <c r="A33" s="67" t="s">
        <v>1785</v>
      </c>
      <c r="B33" s="8" t="s">
        <v>1664</v>
      </c>
      <c r="C33" s="8" t="s">
        <v>1786</v>
      </c>
      <c r="D33" s="8" t="s">
        <v>1787</v>
      </c>
      <c r="E33" s="8" t="s">
        <v>2</v>
      </c>
      <c r="F33" s="67"/>
      <c r="G33" s="65">
        <v>1</v>
      </c>
      <c r="H33" s="84">
        <f>G33/8</f>
        <v>0.125</v>
      </c>
      <c r="I33" s="63"/>
      <c r="J33" s="63"/>
      <c r="K33" s="63"/>
      <c r="L33" s="63"/>
      <c r="M33" s="63"/>
    </row>
    <row r="34" spans="1:13" ht="42">
      <c r="A34" s="76" t="s">
        <v>1666</v>
      </c>
      <c r="B34" s="72"/>
      <c r="C34" s="72"/>
      <c r="D34" s="72"/>
      <c r="E34" s="72"/>
      <c r="F34" s="77"/>
      <c r="G34" s="82">
        <f>SUM(G9:G33)</f>
        <v>29</v>
      </c>
      <c r="H34" s="75">
        <f>G34/8</f>
        <v>3.625</v>
      </c>
      <c r="I34" s="72"/>
      <c r="J34" s="72"/>
      <c r="K34" s="72"/>
      <c r="L34" s="72"/>
      <c r="M34" s="72"/>
    </row>
    <row r="35" spans="1:13" ht="84">
      <c r="A35" s="67" t="s">
        <v>1788</v>
      </c>
      <c r="B35" s="8" t="s">
        <v>1667</v>
      </c>
      <c r="C35" s="8" t="s">
        <v>1789</v>
      </c>
      <c r="D35" s="8" t="s">
        <v>1790</v>
      </c>
      <c r="E35" s="8" t="s">
        <v>2</v>
      </c>
      <c r="F35" s="67"/>
      <c r="G35" s="65">
        <v>2</v>
      </c>
      <c r="H35" s="84">
        <f>G35/8</f>
        <v>0.25</v>
      </c>
      <c r="I35" s="63"/>
      <c r="J35" s="63"/>
      <c r="K35" s="63"/>
      <c r="L35" s="63"/>
      <c r="M35" s="63"/>
    </row>
    <row r="36" spans="1:13" ht="63">
      <c r="A36" s="67" t="s">
        <v>1791</v>
      </c>
      <c r="B36" s="8" t="s">
        <v>1667</v>
      </c>
      <c r="C36" s="8" t="s">
        <v>1792</v>
      </c>
      <c r="D36" s="8" t="s">
        <v>1793</v>
      </c>
      <c r="E36" s="8" t="s">
        <v>1794</v>
      </c>
      <c r="F36" s="67"/>
      <c r="G36" s="65">
        <v>2</v>
      </c>
      <c r="H36" s="84">
        <f>G36/8</f>
        <v>0.25</v>
      </c>
      <c r="I36" s="63"/>
      <c r="J36" s="63"/>
      <c r="K36" s="63"/>
      <c r="L36" s="63"/>
      <c r="M36" s="63"/>
    </row>
    <row r="37" spans="1:13" ht="21">
      <c r="A37" s="67" t="s">
        <v>1795</v>
      </c>
      <c r="B37" s="8" t="s">
        <v>1667</v>
      </c>
      <c r="C37" s="8" t="s">
        <v>1668</v>
      </c>
      <c r="D37" s="8" t="s">
        <v>1796</v>
      </c>
      <c r="E37" s="8" t="s">
        <v>1788</v>
      </c>
      <c r="F37" s="67"/>
      <c r="G37" s="65">
        <v>1</v>
      </c>
      <c r="H37" s="84">
        <f>G37/8</f>
        <v>0.125</v>
      </c>
      <c r="I37" s="63"/>
      <c r="J37" s="63"/>
      <c r="K37" s="63"/>
      <c r="L37" s="63"/>
      <c r="M37" s="63"/>
    </row>
    <row r="38" spans="1:13" ht="42">
      <c r="A38" s="67" t="s">
        <v>1797</v>
      </c>
      <c r="B38" s="8" t="s">
        <v>1667</v>
      </c>
      <c r="C38" s="8" t="s">
        <v>1669</v>
      </c>
      <c r="D38" s="8" t="s">
        <v>1798</v>
      </c>
      <c r="E38" s="8" t="s">
        <v>1788</v>
      </c>
      <c r="F38" s="67"/>
      <c r="G38" s="65">
        <v>1</v>
      </c>
      <c r="H38" s="84">
        <f>G38/8</f>
        <v>0.125</v>
      </c>
      <c r="I38" s="63"/>
      <c r="J38" s="63"/>
      <c r="K38" s="63"/>
      <c r="L38" s="63"/>
      <c r="M38" s="63"/>
    </row>
    <row r="39" spans="1:13" ht="42">
      <c r="A39" s="67" t="s">
        <v>1799</v>
      </c>
      <c r="B39" s="8" t="s">
        <v>1667</v>
      </c>
      <c r="C39" s="8" t="s">
        <v>1800</v>
      </c>
      <c r="D39" s="8" t="s">
        <v>1801</v>
      </c>
      <c r="E39" s="8" t="s">
        <v>1788</v>
      </c>
      <c r="F39" s="67"/>
      <c r="G39" s="65">
        <v>1</v>
      </c>
      <c r="H39" s="84">
        <f>G39/8</f>
        <v>0.125</v>
      </c>
      <c r="I39" s="63"/>
      <c r="J39" s="63"/>
      <c r="K39" s="63"/>
      <c r="L39" s="63"/>
      <c r="M39" s="63"/>
    </row>
    <row r="40" spans="1:13" ht="21">
      <c r="A40" s="67" t="s">
        <v>1802</v>
      </c>
      <c r="B40" s="8" t="s">
        <v>1667</v>
      </c>
      <c r="C40" s="8" t="s">
        <v>1803</v>
      </c>
      <c r="D40" s="8" t="s">
        <v>1804</v>
      </c>
      <c r="E40" s="8" t="s">
        <v>1788</v>
      </c>
      <c r="F40" s="67"/>
      <c r="G40" s="65">
        <v>1</v>
      </c>
      <c r="H40" s="84">
        <f>G40/8</f>
        <v>0.125</v>
      </c>
      <c r="I40" s="63"/>
      <c r="J40" s="63"/>
      <c r="K40" s="63"/>
      <c r="L40" s="63"/>
      <c r="M40" s="63"/>
    </row>
    <row r="41" spans="1:13" ht="21">
      <c r="A41" s="67" t="s">
        <v>1805</v>
      </c>
      <c r="B41" s="8" t="s">
        <v>1667</v>
      </c>
      <c r="C41" s="8" t="s">
        <v>1806</v>
      </c>
      <c r="D41" s="8" t="s">
        <v>1807</v>
      </c>
      <c r="E41" s="8" t="s">
        <v>1788</v>
      </c>
      <c r="F41" s="67"/>
      <c r="G41" s="65">
        <v>1</v>
      </c>
      <c r="H41" s="84">
        <f>G41/8</f>
        <v>0.125</v>
      </c>
      <c r="I41" s="63"/>
      <c r="J41" s="63"/>
      <c r="K41" s="63"/>
      <c r="L41" s="63"/>
      <c r="M41" s="63"/>
    </row>
    <row r="42" spans="1:13" ht="21">
      <c r="A42" s="67" t="s">
        <v>1808</v>
      </c>
      <c r="B42" s="8" t="s">
        <v>1667</v>
      </c>
      <c r="C42" s="8" t="s">
        <v>1809</v>
      </c>
      <c r="D42" s="8" t="s">
        <v>1810</v>
      </c>
      <c r="E42" s="8" t="s">
        <v>1788</v>
      </c>
      <c r="F42" s="67"/>
      <c r="G42" s="65">
        <v>1</v>
      </c>
      <c r="H42" s="84">
        <f>G42/8</f>
        <v>0.125</v>
      </c>
      <c r="I42" s="63"/>
      <c r="J42" s="63"/>
      <c r="K42" s="63"/>
      <c r="L42" s="63"/>
      <c r="M42" s="63"/>
    </row>
    <row r="43" spans="1:13" ht="42">
      <c r="A43" s="67" t="s">
        <v>1811</v>
      </c>
      <c r="B43" s="8" t="s">
        <v>1667</v>
      </c>
      <c r="C43" s="8" t="s">
        <v>1670</v>
      </c>
      <c r="D43" s="8" t="s">
        <v>1812</v>
      </c>
      <c r="E43" s="8" t="s">
        <v>1788</v>
      </c>
      <c r="F43" s="67"/>
      <c r="G43" s="65">
        <v>1</v>
      </c>
      <c r="H43" s="84">
        <f>G43/8</f>
        <v>0.125</v>
      </c>
      <c r="I43" s="63"/>
      <c r="J43" s="63"/>
      <c r="K43" s="63"/>
      <c r="L43" s="63"/>
      <c r="M43" s="63"/>
    </row>
    <row r="44" spans="1:13" ht="42">
      <c r="A44" s="67" t="s">
        <v>1813</v>
      </c>
      <c r="B44" s="8" t="s">
        <v>1667</v>
      </c>
      <c r="C44" s="8" t="s">
        <v>1671</v>
      </c>
      <c r="D44" s="8" t="s">
        <v>1814</v>
      </c>
      <c r="E44" s="8" t="s">
        <v>1698</v>
      </c>
      <c r="F44" s="67"/>
      <c r="G44" s="65">
        <v>2</v>
      </c>
      <c r="H44" s="84">
        <f>G44/8</f>
        <v>0.25</v>
      </c>
      <c r="I44" s="63"/>
      <c r="J44" s="63"/>
      <c r="K44" s="63"/>
      <c r="L44" s="63"/>
      <c r="M44" s="63"/>
    </row>
    <row r="45" spans="1:13" ht="42">
      <c r="A45" s="76" t="s">
        <v>1672</v>
      </c>
      <c r="B45" s="72"/>
      <c r="C45" s="72"/>
      <c r="D45" s="72"/>
      <c r="E45" s="72"/>
      <c r="F45" s="77"/>
      <c r="G45" s="82">
        <f>SUM(G35:G44)</f>
        <v>13</v>
      </c>
      <c r="H45" s="75">
        <f>G45/8</f>
        <v>1.625</v>
      </c>
      <c r="I45" s="72"/>
      <c r="J45" s="72"/>
      <c r="K45" s="72"/>
      <c r="L45" s="72"/>
      <c r="M45" s="72"/>
    </row>
    <row r="46" spans="1:13" ht="84">
      <c r="A46" s="67" t="s">
        <v>1815</v>
      </c>
      <c r="B46" s="8" t="s">
        <v>1673</v>
      </c>
      <c r="C46" s="8" t="s">
        <v>1816</v>
      </c>
      <c r="D46" s="8" t="s">
        <v>1817</v>
      </c>
      <c r="E46" s="8" t="s">
        <v>2</v>
      </c>
      <c r="F46" s="67"/>
      <c r="G46" s="65">
        <v>6</v>
      </c>
      <c r="H46" s="84">
        <f>G46/8</f>
        <v>0.75</v>
      </c>
      <c r="I46" s="63"/>
      <c r="J46" s="63"/>
      <c r="K46" s="63"/>
      <c r="L46" s="63"/>
      <c r="M46" s="63"/>
    </row>
    <row r="47" spans="1:13" ht="63">
      <c r="A47" s="67" t="s">
        <v>1818</v>
      </c>
      <c r="B47" s="8" t="s">
        <v>1673</v>
      </c>
      <c r="C47" s="8" t="s">
        <v>1819</v>
      </c>
      <c r="D47" s="8" t="s">
        <v>2093</v>
      </c>
      <c r="E47" s="8" t="s">
        <v>1815</v>
      </c>
      <c r="F47" s="67"/>
      <c r="G47" s="65">
        <v>1</v>
      </c>
      <c r="H47" s="84">
        <f>G47/8</f>
        <v>0.125</v>
      </c>
      <c r="I47" s="63"/>
      <c r="J47" s="63"/>
      <c r="K47" s="63"/>
      <c r="L47" s="63"/>
      <c r="M47" s="63"/>
    </row>
    <row r="48" spans="1:13" ht="21">
      <c r="A48" s="67" t="s">
        <v>1820</v>
      </c>
      <c r="B48" s="8" t="s">
        <v>1673</v>
      </c>
      <c r="C48" s="8" t="s">
        <v>1821</v>
      </c>
      <c r="D48" s="8" t="s">
        <v>1822</v>
      </c>
      <c r="E48" s="8" t="s">
        <v>1823</v>
      </c>
      <c r="F48" s="67"/>
      <c r="G48" s="65">
        <v>2</v>
      </c>
      <c r="H48" s="84">
        <f>G48/8</f>
        <v>0.25</v>
      </c>
      <c r="I48" s="63"/>
      <c r="J48" s="63"/>
      <c r="K48" s="63"/>
      <c r="L48" s="63"/>
      <c r="M48" s="63"/>
    </row>
    <row r="49" spans="1:13" ht="21">
      <c r="A49" s="67" t="s">
        <v>1824</v>
      </c>
      <c r="B49" s="8" t="s">
        <v>1674</v>
      </c>
      <c r="C49" s="8" t="s">
        <v>1825</v>
      </c>
      <c r="D49" s="8" t="s">
        <v>1826</v>
      </c>
      <c r="E49" s="8" t="s">
        <v>1820</v>
      </c>
      <c r="F49" s="67"/>
      <c r="G49" s="65">
        <v>1</v>
      </c>
      <c r="H49" s="84">
        <f>G49/8</f>
        <v>0.125</v>
      </c>
      <c r="I49" s="63"/>
      <c r="J49" s="63"/>
      <c r="K49" s="63"/>
      <c r="L49" s="63"/>
      <c r="M49" s="63"/>
    </row>
    <row r="50" spans="1:13" ht="84">
      <c r="A50" s="67" t="s">
        <v>1827</v>
      </c>
      <c r="B50" s="8" t="s">
        <v>1673</v>
      </c>
      <c r="C50" s="8" t="s">
        <v>1828</v>
      </c>
      <c r="D50" s="8" t="s">
        <v>2094</v>
      </c>
      <c r="E50" s="8" t="s">
        <v>1815</v>
      </c>
      <c r="F50" s="67"/>
      <c r="G50" s="65">
        <v>1</v>
      </c>
      <c r="H50" s="84">
        <f>G50/8</f>
        <v>0.125</v>
      </c>
      <c r="I50" s="63"/>
      <c r="J50" s="63"/>
      <c r="K50" s="63"/>
      <c r="L50" s="63"/>
      <c r="M50" s="63"/>
    </row>
    <row r="51" spans="1:13" ht="21">
      <c r="A51" s="67" t="s">
        <v>1829</v>
      </c>
      <c r="B51" s="8" t="s">
        <v>1673</v>
      </c>
      <c r="C51" s="8" t="s">
        <v>1830</v>
      </c>
      <c r="D51" s="8" t="s">
        <v>1822</v>
      </c>
      <c r="E51" s="8" t="s">
        <v>1831</v>
      </c>
      <c r="F51" s="67"/>
      <c r="G51" s="65">
        <v>3</v>
      </c>
      <c r="H51" s="84">
        <f>G51/8</f>
        <v>0.375</v>
      </c>
      <c r="I51" s="63"/>
      <c r="J51" s="63"/>
      <c r="K51" s="63"/>
      <c r="L51" s="63"/>
      <c r="M51" s="63"/>
    </row>
    <row r="52" spans="1:13" ht="21">
      <c r="A52" s="67" t="s">
        <v>1832</v>
      </c>
      <c r="B52" s="8" t="s">
        <v>1674</v>
      </c>
      <c r="C52" s="8" t="s">
        <v>1833</v>
      </c>
      <c r="D52" s="8" t="s">
        <v>1834</v>
      </c>
      <c r="E52" s="8" t="s">
        <v>1829</v>
      </c>
      <c r="F52" s="67"/>
      <c r="G52" s="65">
        <v>1</v>
      </c>
      <c r="H52" s="84">
        <f>G52/8</f>
        <v>0.125</v>
      </c>
      <c r="I52" s="63"/>
      <c r="J52" s="63"/>
      <c r="K52" s="63"/>
      <c r="L52" s="63"/>
      <c r="M52" s="63"/>
    </row>
    <row r="53" spans="1:13" ht="84">
      <c r="A53" s="67" t="s">
        <v>1835</v>
      </c>
      <c r="B53" s="8" t="s">
        <v>1673</v>
      </c>
      <c r="C53" s="8" t="s">
        <v>1836</v>
      </c>
      <c r="D53" s="8" t="s">
        <v>2095</v>
      </c>
      <c r="E53" s="8" t="s">
        <v>1815</v>
      </c>
      <c r="F53" s="67"/>
      <c r="G53" s="65">
        <v>1</v>
      </c>
      <c r="H53" s="84">
        <f>G53/8</f>
        <v>0.125</v>
      </c>
      <c r="I53" s="63"/>
      <c r="J53" s="63"/>
      <c r="K53" s="63"/>
      <c r="L53" s="63"/>
      <c r="M53" s="63"/>
    </row>
    <row r="54" spans="1:13" ht="21">
      <c r="A54" s="67" t="s">
        <v>1837</v>
      </c>
      <c r="B54" s="8" t="s">
        <v>1673</v>
      </c>
      <c r="C54" s="8" t="s">
        <v>1838</v>
      </c>
      <c r="D54" s="8" t="s">
        <v>1822</v>
      </c>
      <c r="E54" s="8" t="s">
        <v>1839</v>
      </c>
      <c r="F54" s="67"/>
      <c r="G54" s="65">
        <v>3</v>
      </c>
      <c r="H54" s="84">
        <f>G54/8</f>
        <v>0.375</v>
      </c>
      <c r="I54" s="63"/>
      <c r="J54" s="63"/>
      <c r="K54" s="63"/>
      <c r="L54" s="63"/>
      <c r="M54" s="63"/>
    </row>
    <row r="55" spans="1:13" ht="42">
      <c r="A55" s="67" t="s">
        <v>1840</v>
      </c>
      <c r="B55" s="8" t="s">
        <v>1674</v>
      </c>
      <c r="C55" s="8" t="s">
        <v>1841</v>
      </c>
      <c r="D55" s="8" t="s">
        <v>1842</v>
      </c>
      <c r="E55" s="8" t="s">
        <v>1837</v>
      </c>
      <c r="F55" s="67"/>
      <c r="G55" s="65">
        <v>1</v>
      </c>
      <c r="H55" s="84">
        <f>G55/8</f>
        <v>0.125</v>
      </c>
      <c r="I55" s="63"/>
      <c r="J55" s="63"/>
      <c r="K55" s="63"/>
      <c r="L55" s="63"/>
      <c r="M55" s="63"/>
    </row>
    <row r="56" spans="1:13" ht="84">
      <c r="A56" s="67" t="s">
        <v>1843</v>
      </c>
      <c r="B56" s="8" t="s">
        <v>1673</v>
      </c>
      <c r="C56" s="8" t="s">
        <v>1844</v>
      </c>
      <c r="D56" s="8" t="s">
        <v>2096</v>
      </c>
      <c r="E56" s="8" t="s">
        <v>1835</v>
      </c>
      <c r="F56" s="67"/>
      <c r="G56" s="65">
        <v>1</v>
      </c>
      <c r="H56" s="84">
        <f>G56/8</f>
        <v>0.125</v>
      </c>
      <c r="I56" s="63"/>
      <c r="J56" s="63"/>
      <c r="K56" s="63"/>
      <c r="L56" s="63"/>
      <c r="M56" s="63"/>
    </row>
    <row r="57" spans="1:13" ht="21">
      <c r="A57" s="67" t="s">
        <v>1845</v>
      </c>
      <c r="B57" s="8" t="s">
        <v>1673</v>
      </c>
      <c r="C57" s="8" t="s">
        <v>1846</v>
      </c>
      <c r="D57" s="8" t="s">
        <v>1822</v>
      </c>
      <c r="E57" s="8" t="s">
        <v>1843</v>
      </c>
      <c r="F57" s="67"/>
      <c r="G57" s="65">
        <v>3</v>
      </c>
      <c r="H57" s="84">
        <f>G57/8</f>
        <v>0.375</v>
      </c>
      <c r="I57" s="63"/>
      <c r="J57" s="63"/>
      <c r="K57" s="63"/>
      <c r="L57" s="63"/>
      <c r="M57" s="63"/>
    </row>
    <row r="58" spans="1:13" ht="42">
      <c r="A58" s="67" t="s">
        <v>1847</v>
      </c>
      <c r="B58" s="8" t="s">
        <v>1674</v>
      </c>
      <c r="C58" s="8" t="s">
        <v>1848</v>
      </c>
      <c r="D58" s="8" t="s">
        <v>1849</v>
      </c>
      <c r="E58" s="8" t="s">
        <v>1845</v>
      </c>
      <c r="F58" s="67"/>
      <c r="G58" s="65">
        <v>1</v>
      </c>
      <c r="H58" s="84">
        <f>G58/8</f>
        <v>0.125</v>
      </c>
      <c r="I58" s="63"/>
      <c r="J58" s="63"/>
      <c r="K58" s="63"/>
      <c r="L58" s="63"/>
      <c r="M58" s="63"/>
    </row>
    <row r="59" spans="1:13" ht="63">
      <c r="A59" s="67" t="s">
        <v>1850</v>
      </c>
      <c r="B59" s="8" t="s">
        <v>1673</v>
      </c>
      <c r="C59" s="8" t="s">
        <v>1851</v>
      </c>
      <c r="D59" s="8" t="s">
        <v>2097</v>
      </c>
      <c r="E59" s="8" t="s">
        <v>1815</v>
      </c>
      <c r="F59" s="67"/>
      <c r="G59" s="65">
        <v>1</v>
      </c>
      <c r="H59" s="84">
        <f>G59/8</f>
        <v>0.125</v>
      </c>
      <c r="I59" s="63"/>
      <c r="J59" s="63"/>
      <c r="K59" s="63"/>
      <c r="L59" s="63"/>
      <c r="M59" s="63"/>
    </row>
    <row r="60" spans="1:13" ht="21">
      <c r="A60" s="67" t="s">
        <v>1852</v>
      </c>
      <c r="B60" s="8" t="s">
        <v>1673</v>
      </c>
      <c r="C60" s="8" t="s">
        <v>1853</v>
      </c>
      <c r="D60" s="8" t="s">
        <v>1822</v>
      </c>
      <c r="E60" s="8" t="s">
        <v>1850</v>
      </c>
      <c r="F60" s="67"/>
      <c r="G60" s="65">
        <v>4</v>
      </c>
      <c r="H60" s="84">
        <f>G60/8</f>
        <v>0.5</v>
      </c>
      <c r="I60" s="63"/>
      <c r="J60" s="63"/>
      <c r="K60" s="63"/>
      <c r="L60" s="63"/>
      <c r="M60" s="63"/>
    </row>
    <row r="61" spans="1:13" ht="42">
      <c r="A61" s="67" t="s">
        <v>1854</v>
      </c>
      <c r="B61" s="8" t="s">
        <v>1674</v>
      </c>
      <c r="C61" s="8" t="s">
        <v>1855</v>
      </c>
      <c r="D61" s="8" t="s">
        <v>1856</v>
      </c>
      <c r="E61" s="8" t="s">
        <v>1852</v>
      </c>
      <c r="F61" s="67"/>
      <c r="G61" s="65">
        <v>1</v>
      </c>
      <c r="H61" s="84">
        <f>G61/8</f>
        <v>0.125</v>
      </c>
      <c r="I61" s="63"/>
      <c r="J61" s="63"/>
      <c r="K61" s="63"/>
      <c r="L61" s="63"/>
      <c r="M61" s="63"/>
    </row>
    <row r="62" spans="1:13" ht="126">
      <c r="A62" s="67" t="s">
        <v>1857</v>
      </c>
      <c r="B62" s="8" t="s">
        <v>1673</v>
      </c>
      <c r="C62" s="8" t="s">
        <v>1858</v>
      </c>
      <c r="D62" s="8" t="s">
        <v>2098</v>
      </c>
      <c r="E62" s="8" t="s">
        <v>1815</v>
      </c>
      <c r="F62" s="67"/>
      <c r="G62" s="65">
        <v>1</v>
      </c>
      <c r="H62" s="84">
        <f>G62/8</f>
        <v>0.125</v>
      </c>
      <c r="I62" s="63"/>
      <c r="J62" s="63"/>
      <c r="K62" s="63"/>
      <c r="L62" s="63"/>
      <c r="M62" s="63"/>
    </row>
    <row r="63" spans="1:13" ht="21">
      <c r="A63" s="67" t="s">
        <v>1859</v>
      </c>
      <c r="B63" s="8" t="s">
        <v>1673</v>
      </c>
      <c r="C63" s="8" t="s">
        <v>1860</v>
      </c>
      <c r="D63" s="8" t="s">
        <v>1822</v>
      </c>
      <c r="E63" s="8" t="s">
        <v>1861</v>
      </c>
      <c r="F63" s="67"/>
      <c r="G63" s="65">
        <v>3</v>
      </c>
      <c r="H63" s="84">
        <f>G63/8</f>
        <v>0.375</v>
      </c>
      <c r="I63" s="63"/>
      <c r="J63" s="63"/>
      <c r="K63" s="63"/>
      <c r="L63" s="63"/>
      <c r="M63" s="63"/>
    </row>
    <row r="64" spans="1:13" ht="42">
      <c r="A64" s="67" t="s">
        <v>1862</v>
      </c>
      <c r="B64" s="8" t="s">
        <v>1674</v>
      </c>
      <c r="C64" s="8" t="s">
        <v>1863</v>
      </c>
      <c r="D64" s="8" t="s">
        <v>1864</v>
      </c>
      <c r="E64" s="8" t="s">
        <v>1859</v>
      </c>
      <c r="F64" s="67"/>
      <c r="G64" s="65">
        <v>1</v>
      </c>
      <c r="H64" s="84">
        <f>G64/8</f>
        <v>0.125</v>
      </c>
      <c r="I64" s="63"/>
      <c r="J64" s="63"/>
      <c r="K64" s="63"/>
      <c r="L64" s="63"/>
      <c r="M64" s="63"/>
    </row>
    <row r="65" spans="1:13" ht="63">
      <c r="A65" s="67" t="s">
        <v>1865</v>
      </c>
      <c r="B65" s="8" t="s">
        <v>1673</v>
      </c>
      <c r="C65" s="8" t="s">
        <v>1866</v>
      </c>
      <c r="D65" s="8" t="s">
        <v>2099</v>
      </c>
      <c r="E65" s="8" t="s">
        <v>1850</v>
      </c>
      <c r="F65" s="67"/>
      <c r="G65" s="65">
        <v>0.5</v>
      </c>
      <c r="H65" s="84">
        <f>G65/8</f>
        <v>6.25E-2</v>
      </c>
      <c r="I65" s="63"/>
      <c r="J65" s="63"/>
      <c r="K65" s="63"/>
      <c r="L65" s="63"/>
      <c r="M65" s="63"/>
    </row>
    <row r="66" spans="1:13" ht="21">
      <c r="A66" s="67" t="s">
        <v>1867</v>
      </c>
      <c r="B66" s="8" t="s">
        <v>1673</v>
      </c>
      <c r="C66" s="8" t="s">
        <v>1868</v>
      </c>
      <c r="D66" s="8" t="s">
        <v>1822</v>
      </c>
      <c r="E66" s="8" t="s">
        <v>1865</v>
      </c>
      <c r="F66" s="67"/>
      <c r="G66" s="65">
        <v>2</v>
      </c>
      <c r="H66" s="84">
        <f>G66/8</f>
        <v>0.25</v>
      </c>
      <c r="I66" s="63"/>
      <c r="J66" s="63"/>
      <c r="K66" s="63"/>
      <c r="L66" s="63"/>
      <c r="M66" s="63"/>
    </row>
    <row r="67" spans="1:13" ht="21">
      <c r="A67" s="67" t="s">
        <v>1869</v>
      </c>
      <c r="B67" s="8" t="s">
        <v>1674</v>
      </c>
      <c r="C67" s="8" t="s">
        <v>1870</v>
      </c>
      <c r="D67" s="8" t="s">
        <v>1871</v>
      </c>
      <c r="E67" s="8" t="s">
        <v>1867</v>
      </c>
      <c r="F67" s="67"/>
      <c r="G67" s="65">
        <v>0.5</v>
      </c>
      <c r="H67" s="84">
        <f>G67/8</f>
        <v>6.25E-2</v>
      </c>
      <c r="I67" s="63"/>
      <c r="J67" s="63"/>
      <c r="K67" s="63"/>
      <c r="L67" s="63"/>
      <c r="M67" s="63"/>
    </row>
    <row r="68" spans="1:13" ht="84">
      <c r="A68" s="67" t="s">
        <v>1872</v>
      </c>
      <c r="B68" s="8" t="s">
        <v>1673</v>
      </c>
      <c r="C68" s="8" t="s">
        <v>1873</v>
      </c>
      <c r="D68" s="8" t="s">
        <v>2100</v>
      </c>
      <c r="E68" s="8" t="s">
        <v>1815</v>
      </c>
      <c r="F68" s="67"/>
      <c r="G68" s="65">
        <v>0.5</v>
      </c>
      <c r="H68" s="84">
        <f>G68/8</f>
        <v>6.25E-2</v>
      </c>
      <c r="I68" s="63"/>
      <c r="J68" s="63"/>
      <c r="K68" s="63"/>
      <c r="L68" s="63"/>
      <c r="M68" s="63"/>
    </row>
    <row r="69" spans="1:13" ht="21">
      <c r="A69" s="67" t="s">
        <v>1874</v>
      </c>
      <c r="B69" s="8" t="s">
        <v>1673</v>
      </c>
      <c r="C69" s="8" t="s">
        <v>1875</v>
      </c>
      <c r="D69" s="8" t="s">
        <v>1822</v>
      </c>
      <c r="E69" s="8" t="s">
        <v>1872</v>
      </c>
      <c r="F69" s="67"/>
      <c r="G69" s="65">
        <v>2</v>
      </c>
      <c r="H69" s="84">
        <f>G69/8</f>
        <v>0.25</v>
      </c>
      <c r="I69" s="63"/>
      <c r="J69" s="63"/>
      <c r="K69" s="63"/>
      <c r="L69" s="63"/>
      <c r="M69" s="63"/>
    </row>
    <row r="70" spans="1:13" ht="21">
      <c r="A70" s="67" t="s">
        <v>1876</v>
      </c>
      <c r="B70" s="8" t="s">
        <v>1674</v>
      </c>
      <c r="C70" s="8" t="s">
        <v>1877</v>
      </c>
      <c r="D70" s="8" t="s">
        <v>1878</v>
      </c>
      <c r="E70" s="8" t="s">
        <v>1874</v>
      </c>
      <c r="F70" s="67"/>
      <c r="G70" s="65">
        <v>0.5</v>
      </c>
      <c r="H70" s="84">
        <f>G70/8</f>
        <v>6.25E-2</v>
      </c>
      <c r="I70" s="63"/>
      <c r="J70" s="63"/>
      <c r="K70" s="63"/>
      <c r="L70" s="63"/>
      <c r="M70" s="63"/>
    </row>
    <row r="71" spans="1:13" ht="84">
      <c r="A71" s="67" t="s">
        <v>1879</v>
      </c>
      <c r="B71" s="8" t="s">
        <v>1673</v>
      </c>
      <c r="C71" s="8" t="s">
        <v>1880</v>
      </c>
      <c r="D71" s="8" t="s">
        <v>2101</v>
      </c>
      <c r="E71" s="8" t="s">
        <v>1835</v>
      </c>
      <c r="F71" s="67"/>
      <c r="G71" s="65">
        <v>0.5</v>
      </c>
      <c r="H71" s="84">
        <f>G71/8</f>
        <v>6.25E-2</v>
      </c>
      <c r="I71" s="63"/>
      <c r="J71" s="63"/>
      <c r="K71" s="63"/>
      <c r="L71" s="63"/>
      <c r="M71" s="63"/>
    </row>
    <row r="72" spans="1:13" ht="21">
      <c r="A72" s="67" t="s">
        <v>1881</v>
      </c>
      <c r="B72" s="8" t="s">
        <v>1673</v>
      </c>
      <c r="C72" s="8" t="s">
        <v>1882</v>
      </c>
      <c r="D72" s="8" t="s">
        <v>1822</v>
      </c>
      <c r="E72" s="8" t="s">
        <v>1879</v>
      </c>
      <c r="F72" s="67"/>
      <c r="G72" s="65">
        <v>2</v>
      </c>
      <c r="H72" s="84">
        <f>G72/8</f>
        <v>0.25</v>
      </c>
      <c r="I72" s="63"/>
      <c r="J72" s="63"/>
      <c r="K72" s="63"/>
      <c r="L72" s="63"/>
      <c r="M72" s="63"/>
    </row>
    <row r="73" spans="1:13" ht="21">
      <c r="A73" s="67" t="s">
        <v>1883</v>
      </c>
      <c r="B73" s="8" t="s">
        <v>1674</v>
      </c>
      <c r="C73" s="8" t="s">
        <v>1884</v>
      </c>
      <c r="D73" s="8" t="s">
        <v>1885</v>
      </c>
      <c r="E73" s="8" t="s">
        <v>1881</v>
      </c>
      <c r="F73" s="67"/>
      <c r="G73" s="65">
        <v>1</v>
      </c>
      <c r="H73" s="84">
        <f>G73/8</f>
        <v>0.125</v>
      </c>
      <c r="I73" s="63"/>
      <c r="J73" s="63"/>
      <c r="K73" s="63"/>
      <c r="L73" s="63"/>
      <c r="M73" s="63"/>
    </row>
    <row r="74" spans="1:13" ht="84">
      <c r="A74" s="67" t="s">
        <v>1886</v>
      </c>
      <c r="B74" s="8" t="s">
        <v>1673</v>
      </c>
      <c r="C74" s="8" t="s">
        <v>1887</v>
      </c>
      <c r="D74" s="8" t="s">
        <v>2102</v>
      </c>
      <c r="E74" s="8" t="s">
        <v>1850</v>
      </c>
      <c r="F74" s="67"/>
      <c r="G74" s="65">
        <v>0.5</v>
      </c>
      <c r="H74" s="84">
        <f>G74/8</f>
        <v>6.25E-2</v>
      </c>
      <c r="I74" s="63"/>
      <c r="J74" s="63"/>
      <c r="K74" s="63"/>
      <c r="L74" s="63"/>
      <c r="M74" s="63"/>
    </row>
    <row r="75" spans="1:13" ht="21">
      <c r="A75" s="67" t="s">
        <v>1888</v>
      </c>
      <c r="B75" s="8" t="s">
        <v>1673</v>
      </c>
      <c r="C75" s="8" t="s">
        <v>1889</v>
      </c>
      <c r="D75" s="8" t="s">
        <v>1822</v>
      </c>
      <c r="E75" s="8" t="s">
        <v>1886</v>
      </c>
      <c r="F75" s="67"/>
      <c r="G75" s="65">
        <v>2</v>
      </c>
      <c r="H75" s="84">
        <f>G75/8</f>
        <v>0.25</v>
      </c>
      <c r="I75" s="63"/>
      <c r="J75" s="63"/>
      <c r="K75" s="63"/>
      <c r="L75" s="63"/>
      <c r="M75" s="63"/>
    </row>
    <row r="76" spans="1:13" ht="21">
      <c r="A76" s="67" t="s">
        <v>1890</v>
      </c>
      <c r="B76" s="8" t="s">
        <v>1674</v>
      </c>
      <c r="C76" s="8" t="s">
        <v>1891</v>
      </c>
      <c r="D76" s="8" t="s">
        <v>1892</v>
      </c>
      <c r="E76" s="8" t="s">
        <v>1888</v>
      </c>
      <c r="F76" s="67"/>
      <c r="G76" s="65">
        <v>0.5</v>
      </c>
      <c r="H76" s="84">
        <f>G76/8</f>
        <v>6.25E-2</v>
      </c>
      <c r="I76" s="63"/>
      <c r="J76" s="63"/>
      <c r="K76" s="63"/>
      <c r="L76" s="63"/>
      <c r="M76" s="63"/>
    </row>
    <row r="77" spans="1:13" ht="63">
      <c r="A77" s="67" t="s">
        <v>1893</v>
      </c>
      <c r="B77" s="8" t="s">
        <v>1673</v>
      </c>
      <c r="C77" s="8" t="s">
        <v>1894</v>
      </c>
      <c r="D77" s="8" t="s">
        <v>2103</v>
      </c>
      <c r="E77" s="8" t="s">
        <v>1815</v>
      </c>
      <c r="F77" s="67"/>
      <c r="G77" s="65">
        <v>0.5</v>
      </c>
      <c r="H77" s="84">
        <f>G77/8</f>
        <v>6.25E-2</v>
      </c>
      <c r="I77" s="63"/>
      <c r="J77" s="63"/>
      <c r="K77" s="63"/>
      <c r="L77" s="63"/>
      <c r="M77" s="63"/>
    </row>
    <row r="78" spans="1:13" ht="21">
      <c r="A78" s="67" t="s">
        <v>1794</v>
      </c>
      <c r="B78" s="8" t="s">
        <v>1673</v>
      </c>
      <c r="C78" s="8" t="s">
        <v>1895</v>
      </c>
      <c r="D78" s="8" t="s">
        <v>1896</v>
      </c>
      <c r="E78" s="8" t="s">
        <v>1893</v>
      </c>
      <c r="F78" s="67"/>
      <c r="G78" s="65">
        <v>2</v>
      </c>
      <c r="H78" s="84">
        <f>G78/8</f>
        <v>0.25</v>
      </c>
      <c r="I78" s="63"/>
      <c r="J78" s="63"/>
      <c r="K78" s="63"/>
      <c r="L78" s="63"/>
      <c r="M78" s="63"/>
    </row>
    <row r="79" spans="1:13" ht="21">
      <c r="A79" s="67" t="s">
        <v>1897</v>
      </c>
      <c r="B79" s="8" t="s">
        <v>1674</v>
      </c>
      <c r="C79" s="8" t="s">
        <v>1898</v>
      </c>
      <c r="D79" s="8" t="s">
        <v>1899</v>
      </c>
      <c r="E79" s="8" t="s">
        <v>1794</v>
      </c>
      <c r="F79" s="67"/>
      <c r="G79" s="65">
        <v>1</v>
      </c>
      <c r="H79" s="84">
        <f>G79/8</f>
        <v>0.125</v>
      </c>
      <c r="I79" s="63"/>
      <c r="J79" s="63"/>
      <c r="K79" s="63"/>
      <c r="L79" s="63"/>
      <c r="M79" s="63"/>
    </row>
    <row r="80" spans="1:13" ht="84">
      <c r="A80" s="76" t="s">
        <v>1900</v>
      </c>
      <c r="B80" s="72"/>
      <c r="C80" s="72"/>
      <c r="D80" s="72"/>
      <c r="E80" s="72"/>
      <c r="F80" s="77"/>
      <c r="G80" s="82">
        <f>SUM(G46:G79)</f>
        <v>52</v>
      </c>
      <c r="H80" s="75">
        <f>G80/8</f>
        <v>6.5</v>
      </c>
      <c r="I80" s="72"/>
      <c r="J80" s="72"/>
      <c r="K80" s="72"/>
      <c r="L80" s="72"/>
      <c r="M80" s="72"/>
    </row>
    <row r="81" spans="1:13" ht="63">
      <c r="A81" s="67" t="s">
        <v>1901</v>
      </c>
      <c r="B81" s="8" t="s">
        <v>1673</v>
      </c>
      <c r="C81" s="8" t="s">
        <v>1902</v>
      </c>
      <c r="D81" s="8" t="s">
        <v>1903</v>
      </c>
      <c r="E81" s="8" t="s">
        <v>2</v>
      </c>
      <c r="F81" s="67"/>
      <c r="G81" s="65">
        <v>4</v>
      </c>
      <c r="H81" s="84">
        <f>G81/8</f>
        <v>0.5</v>
      </c>
      <c r="I81" s="63"/>
      <c r="J81" s="63"/>
      <c r="K81" s="63"/>
      <c r="L81" s="63"/>
      <c r="M81" s="63"/>
    </row>
    <row r="82" spans="1:13" ht="42">
      <c r="A82" s="67" t="s">
        <v>1904</v>
      </c>
      <c r="B82" s="8" t="s">
        <v>1673</v>
      </c>
      <c r="C82" s="8" t="s">
        <v>1905</v>
      </c>
      <c r="D82" s="8" t="s">
        <v>1906</v>
      </c>
      <c r="E82" s="8" t="s">
        <v>1901</v>
      </c>
      <c r="F82" s="67"/>
      <c r="G82" s="65">
        <v>1</v>
      </c>
      <c r="H82" s="84">
        <f>G82/8</f>
        <v>0.125</v>
      </c>
      <c r="I82" s="63"/>
      <c r="J82" s="63"/>
      <c r="K82" s="63"/>
      <c r="L82" s="63"/>
      <c r="M82" s="63"/>
    </row>
    <row r="83" spans="1:13" ht="21">
      <c r="A83" s="67" t="s">
        <v>1907</v>
      </c>
      <c r="B83" s="8" t="s">
        <v>1673</v>
      </c>
      <c r="C83" s="8" t="s">
        <v>1908</v>
      </c>
      <c r="D83" s="8" t="s">
        <v>1822</v>
      </c>
      <c r="E83" s="8" t="s">
        <v>1904</v>
      </c>
      <c r="F83" s="67"/>
      <c r="G83" s="65">
        <v>4</v>
      </c>
      <c r="H83" s="84">
        <f>G83/8</f>
        <v>0.5</v>
      </c>
      <c r="I83" s="63"/>
      <c r="J83" s="63"/>
      <c r="K83" s="63"/>
      <c r="L83" s="63"/>
      <c r="M83" s="63"/>
    </row>
    <row r="84" spans="1:13" ht="42">
      <c r="A84" s="67" t="s">
        <v>1909</v>
      </c>
      <c r="B84" s="8" t="s">
        <v>1674</v>
      </c>
      <c r="C84" s="8" t="s">
        <v>1910</v>
      </c>
      <c r="D84" s="8" t="s">
        <v>1911</v>
      </c>
      <c r="E84" s="8" t="s">
        <v>1907</v>
      </c>
      <c r="F84" s="67"/>
      <c r="G84" s="65">
        <v>1</v>
      </c>
      <c r="H84" s="84">
        <f>G84/8</f>
        <v>0.125</v>
      </c>
      <c r="I84" s="63"/>
      <c r="J84" s="63"/>
      <c r="K84" s="63"/>
      <c r="L84" s="63"/>
      <c r="M84" s="63"/>
    </row>
    <row r="85" spans="1:13" ht="63">
      <c r="A85" s="67" t="s">
        <v>1912</v>
      </c>
      <c r="B85" s="8" t="s">
        <v>1673</v>
      </c>
      <c r="C85" s="8" t="s">
        <v>1913</v>
      </c>
      <c r="D85" s="8" t="s">
        <v>2104</v>
      </c>
      <c r="E85" s="8" t="s">
        <v>1901</v>
      </c>
      <c r="F85" s="67"/>
      <c r="G85" s="65">
        <v>1</v>
      </c>
      <c r="H85" s="84">
        <f>G85/8</f>
        <v>0.125</v>
      </c>
      <c r="I85" s="63"/>
      <c r="J85" s="63"/>
      <c r="K85" s="63"/>
      <c r="L85" s="63"/>
      <c r="M85" s="63"/>
    </row>
    <row r="86" spans="1:13" ht="21">
      <c r="A86" s="67" t="s">
        <v>1914</v>
      </c>
      <c r="B86" s="8" t="s">
        <v>1673</v>
      </c>
      <c r="C86" s="8" t="s">
        <v>1915</v>
      </c>
      <c r="D86" s="8" t="s">
        <v>1822</v>
      </c>
      <c r="E86" s="8" t="s">
        <v>1912</v>
      </c>
      <c r="F86" s="67"/>
      <c r="G86" s="65">
        <v>4</v>
      </c>
      <c r="H86" s="84">
        <f>G86/8</f>
        <v>0.5</v>
      </c>
      <c r="I86" s="63"/>
      <c r="J86" s="63"/>
      <c r="K86" s="63"/>
      <c r="L86" s="63"/>
      <c r="M86" s="63"/>
    </row>
    <row r="87" spans="1:13" ht="21">
      <c r="A87" s="67" t="s">
        <v>1916</v>
      </c>
      <c r="B87" s="8" t="s">
        <v>1674</v>
      </c>
      <c r="C87" s="8" t="s">
        <v>1917</v>
      </c>
      <c r="D87" s="8" t="s">
        <v>1918</v>
      </c>
      <c r="E87" s="8" t="s">
        <v>1914</v>
      </c>
      <c r="F87" s="67"/>
      <c r="G87" s="65">
        <v>1</v>
      </c>
      <c r="H87" s="84">
        <f>G87/8</f>
        <v>0.125</v>
      </c>
      <c r="I87" s="63"/>
      <c r="J87" s="63"/>
      <c r="K87" s="63"/>
      <c r="L87" s="63"/>
      <c r="M87" s="63"/>
    </row>
    <row r="88" spans="1:13" ht="42">
      <c r="A88" s="67" t="s">
        <v>1919</v>
      </c>
      <c r="B88" s="8" t="s">
        <v>1673</v>
      </c>
      <c r="C88" s="8" t="s">
        <v>1920</v>
      </c>
      <c r="D88" s="8" t="s">
        <v>1921</v>
      </c>
      <c r="E88" s="8" t="s">
        <v>1901</v>
      </c>
      <c r="F88" s="67"/>
      <c r="G88" s="65">
        <v>0.5</v>
      </c>
      <c r="H88" s="84">
        <f>G88/8</f>
        <v>6.25E-2</v>
      </c>
      <c r="I88" s="63"/>
      <c r="J88" s="63"/>
      <c r="K88" s="63"/>
      <c r="L88" s="63"/>
      <c r="M88" s="63"/>
    </row>
    <row r="89" spans="1:13" ht="21">
      <c r="A89" s="67" t="s">
        <v>1922</v>
      </c>
      <c r="B89" s="8" t="s">
        <v>1673</v>
      </c>
      <c r="C89" s="8" t="s">
        <v>1923</v>
      </c>
      <c r="D89" s="8" t="s">
        <v>1822</v>
      </c>
      <c r="E89" s="8" t="s">
        <v>1924</v>
      </c>
      <c r="F89" s="67"/>
      <c r="G89" s="65">
        <v>1</v>
      </c>
      <c r="H89" s="84">
        <f>G89/8</f>
        <v>0.125</v>
      </c>
      <c r="I89" s="63"/>
      <c r="J89" s="63"/>
      <c r="K89" s="63"/>
      <c r="L89" s="63"/>
      <c r="M89" s="63"/>
    </row>
    <row r="90" spans="1:13" ht="21">
      <c r="A90" s="67" t="s">
        <v>1925</v>
      </c>
      <c r="B90" s="8" t="s">
        <v>1674</v>
      </c>
      <c r="C90" s="8" t="s">
        <v>1926</v>
      </c>
      <c r="D90" s="8" t="s">
        <v>1927</v>
      </c>
      <c r="E90" s="8" t="s">
        <v>1922</v>
      </c>
      <c r="F90" s="67"/>
      <c r="G90" s="65">
        <v>0.5</v>
      </c>
      <c r="H90" s="84">
        <f>G90/8</f>
        <v>6.25E-2</v>
      </c>
      <c r="I90" s="63"/>
      <c r="J90" s="63"/>
      <c r="K90" s="63"/>
      <c r="L90" s="63"/>
      <c r="M90" s="63"/>
    </row>
    <row r="91" spans="1:13" ht="42">
      <c r="A91" s="67" t="s">
        <v>1928</v>
      </c>
      <c r="B91" s="8" t="s">
        <v>1673</v>
      </c>
      <c r="C91" s="8" t="s">
        <v>1929</v>
      </c>
      <c r="D91" s="8" t="s">
        <v>1930</v>
      </c>
      <c r="E91" s="8" t="s">
        <v>1931</v>
      </c>
      <c r="F91" s="67"/>
      <c r="G91" s="65">
        <v>1</v>
      </c>
      <c r="H91" s="84">
        <f>G91/8</f>
        <v>0.125</v>
      </c>
      <c r="I91" s="63"/>
      <c r="J91" s="63"/>
      <c r="K91" s="63"/>
      <c r="L91" s="63"/>
      <c r="M91" s="63"/>
    </row>
    <row r="92" spans="1:13" ht="21">
      <c r="A92" s="67" t="s">
        <v>1932</v>
      </c>
      <c r="B92" s="8" t="s">
        <v>1673</v>
      </c>
      <c r="C92" s="8" t="s">
        <v>1933</v>
      </c>
      <c r="D92" s="8" t="s">
        <v>1934</v>
      </c>
      <c r="E92" s="8" t="s">
        <v>1928</v>
      </c>
      <c r="F92" s="67"/>
      <c r="G92" s="65">
        <v>4</v>
      </c>
      <c r="H92" s="84">
        <f>G92/8</f>
        <v>0.5</v>
      </c>
      <c r="I92" s="63"/>
      <c r="J92" s="63"/>
      <c r="K92" s="63"/>
      <c r="L92" s="63"/>
      <c r="M92" s="63"/>
    </row>
    <row r="93" spans="1:13" ht="42">
      <c r="A93" s="67" t="s">
        <v>1935</v>
      </c>
      <c r="B93" s="8" t="s">
        <v>1674</v>
      </c>
      <c r="C93" s="8" t="s">
        <v>1936</v>
      </c>
      <c r="D93" s="8" t="s">
        <v>1937</v>
      </c>
      <c r="E93" s="8" t="s">
        <v>1932</v>
      </c>
      <c r="F93" s="67"/>
      <c r="G93" s="65">
        <v>1.5</v>
      </c>
      <c r="H93" s="84">
        <f>G93/8</f>
        <v>0.1875</v>
      </c>
      <c r="I93" s="63"/>
      <c r="J93" s="63"/>
      <c r="K93" s="63"/>
      <c r="L93" s="63"/>
      <c r="M93" s="63"/>
    </row>
    <row r="94" spans="1:13" ht="84">
      <c r="A94" s="76" t="s">
        <v>1938</v>
      </c>
      <c r="B94" s="72"/>
      <c r="C94" s="72"/>
      <c r="D94" s="72"/>
      <c r="E94" s="72"/>
      <c r="F94" s="77"/>
      <c r="G94" s="82">
        <f>SUM(G81:G93)</f>
        <v>24.5</v>
      </c>
      <c r="H94" s="75">
        <f>G94/8</f>
        <v>3.0625</v>
      </c>
      <c r="I94" s="72"/>
      <c r="J94" s="72"/>
      <c r="K94" s="72"/>
      <c r="L94" s="72"/>
      <c r="M94" s="72"/>
    </row>
    <row r="95" spans="1:13" ht="42">
      <c r="A95" s="67" t="s">
        <v>1939</v>
      </c>
      <c r="B95" s="8" t="s">
        <v>1675</v>
      </c>
      <c r="C95" s="8" t="s">
        <v>1940</v>
      </c>
      <c r="D95" s="8" t="s">
        <v>1941</v>
      </c>
      <c r="E95" s="8" t="s">
        <v>2</v>
      </c>
      <c r="F95" s="67"/>
      <c r="G95" s="65">
        <v>2</v>
      </c>
      <c r="H95" s="84">
        <f>G95/8</f>
        <v>0.25</v>
      </c>
      <c r="I95" s="63"/>
      <c r="J95" s="63"/>
      <c r="K95" s="63"/>
      <c r="L95" s="63"/>
      <c r="M95" s="63"/>
    </row>
    <row r="96" spans="1:13" ht="42">
      <c r="A96" s="67" t="s">
        <v>1942</v>
      </c>
      <c r="B96" s="8" t="s">
        <v>1675</v>
      </c>
      <c r="C96" s="8" t="s">
        <v>1943</v>
      </c>
      <c r="D96" s="8" t="s">
        <v>1944</v>
      </c>
      <c r="E96" s="8" t="s">
        <v>1945</v>
      </c>
      <c r="F96" s="67"/>
      <c r="G96" s="65">
        <v>5</v>
      </c>
      <c r="H96" s="84">
        <f>G96/8</f>
        <v>0.625</v>
      </c>
      <c r="I96" s="63"/>
      <c r="J96" s="63"/>
      <c r="K96" s="63"/>
      <c r="L96" s="63"/>
      <c r="M96" s="63"/>
    </row>
    <row r="97" spans="1:13" ht="42">
      <c r="A97" s="67" t="s">
        <v>1946</v>
      </c>
      <c r="B97" s="8" t="s">
        <v>1675</v>
      </c>
      <c r="C97" s="8" t="s">
        <v>1947</v>
      </c>
      <c r="D97" s="8" t="s">
        <v>1948</v>
      </c>
      <c r="E97" s="8" t="s">
        <v>1945</v>
      </c>
      <c r="F97" s="67"/>
      <c r="G97" s="65">
        <v>6</v>
      </c>
      <c r="H97" s="84">
        <f>G97/8</f>
        <v>0.75</v>
      </c>
      <c r="I97" s="63"/>
      <c r="J97" s="63"/>
      <c r="K97" s="63"/>
      <c r="L97" s="63"/>
      <c r="M97" s="63"/>
    </row>
    <row r="98" spans="1:13" ht="21">
      <c r="A98" s="67" t="s">
        <v>1949</v>
      </c>
      <c r="B98" s="8" t="s">
        <v>1675</v>
      </c>
      <c r="C98" s="8" t="s">
        <v>1676</v>
      </c>
      <c r="D98" s="8" t="s">
        <v>1950</v>
      </c>
      <c r="E98" s="8" t="s">
        <v>1738</v>
      </c>
      <c r="F98" s="67"/>
      <c r="G98" s="65">
        <v>1</v>
      </c>
      <c r="H98" s="84">
        <f>G98/8</f>
        <v>0.125</v>
      </c>
      <c r="I98" s="63"/>
      <c r="J98" s="63"/>
      <c r="K98" s="63"/>
      <c r="L98" s="63"/>
      <c r="M98" s="63"/>
    </row>
    <row r="99" spans="1:13" ht="42">
      <c r="A99" s="67" t="s">
        <v>1951</v>
      </c>
      <c r="B99" s="8" t="s">
        <v>1673</v>
      </c>
      <c r="C99" s="8" t="s">
        <v>1952</v>
      </c>
      <c r="D99" s="8" t="s">
        <v>1953</v>
      </c>
      <c r="E99" s="8" t="s">
        <v>1635</v>
      </c>
      <c r="F99" s="67"/>
      <c r="G99" s="65">
        <v>2</v>
      </c>
      <c r="H99" s="84">
        <f>G99/8</f>
        <v>0.25</v>
      </c>
      <c r="I99" s="63"/>
      <c r="J99" s="63"/>
      <c r="K99" s="63"/>
      <c r="L99" s="63"/>
      <c r="M99" s="63"/>
    </row>
    <row r="100" spans="1:13" ht="42">
      <c r="A100" s="67" t="s">
        <v>1954</v>
      </c>
      <c r="B100" s="8" t="s">
        <v>1673</v>
      </c>
      <c r="C100" s="8" t="s">
        <v>1955</v>
      </c>
      <c r="D100" s="8" t="s">
        <v>1956</v>
      </c>
      <c r="E100" s="8" t="s">
        <v>1957</v>
      </c>
      <c r="F100" s="67"/>
      <c r="G100" s="65">
        <v>4</v>
      </c>
      <c r="H100" s="84">
        <f>G100/8</f>
        <v>0.5</v>
      </c>
      <c r="I100" s="63"/>
      <c r="J100" s="63"/>
      <c r="K100" s="63"/>
      <c r="L100" s="63"/>
      <c r="M100" s="63"/>
    </row>
    <row r="101" spans="1:13" ht="42">
      <c r="A101" s="67" t="s">
        <v>1958</v>
      </c>
      <c r="B101" s="8" t="s">
        <v>1673</v>
      </c>
      <c r="C101" s="8" t="s">
        <v>1959</v>
      </c>
      <c r="D101" s="8" t="s">
        <v>1960</v>
      </c>
      <c r="E101" s="8" t="s">
        <v>1951</v>
      </c>
      <c r="F101" s="67"/>
      <c r="G101" s="65">
        <v>7</v>
      </c>
      <c r="H101" s="84">
        <f>G101/8</f>
        <v>0.875</v>
      </c>
      <c r="I101" s="63"/>
      <c r="J101" s="63"/>
      <c r="K101" s="63"/>
      <c r="L101" s="63"/>
      <c r="M101" s="63"/>
    </row>
    <row r="102" spans="1:13" ht="42">
      <c r="A102" s="67" t="s">
        <v>1961</v>
      </c>
      <c r="B102" s="8" t="s">
        <v>1673</v>
      </c>
      <c r="C102" s="8" t="s">
        <v>1962</v>
      </c>
      <c r="D102" s="8" t="s">
        <v>1963</v>
      </c>
      <c r="E102" s="8" t="s">
        <v>1636</v>
      </c>
      <c r="F102" s="67"/>
      <c r="G102" s="65">
        <v>2</v>
      </c>
      <c r="H102" s="84">
        <f>G102/8</f>
        <v>0.25</v>
      </c>
      <c r="I102" s="63"/>
      <c r="J102" s="63"/>
      <c r="K102" s="63"/>
      <c r="L102" s="63"/>
      <c r="M102" s="63"/>
    </row>
    <row r="103" spans="1:13" ht="21">
      <c r="A103" s="67" t="s">
        <v>1964</v>
      </c>
      <c r="B103" s="8" t="s">
        <v>1673</v>
      </c>
      <c r="C103" s="8" t="s">
        <v>1965</v>
      </c>
      <c r="D103" s="8" t="s">
        <v>1822</v>
      </c>
      <c r="E103" s="8" t="s">
        <v>1961</v>
      </c>
      <c r="F103" s="67"/>
      <c r="G103" s="65">
        <v>8</v>
      </c>
      <c r="H103" s="84">
        <f>G103/8</f>
        <v>1</v>
      </c>
      <c r="I103" s="63"/>
      <c r="J103" s="63"/>
      <c r="K103" s="63"/>
      <c r="L103" s="63"/>
      <c r="M103" s="63"/>
    </row>
    <row r="104" spans="1:13" ht="21">
      <c r="A104" s="67" t="s">
        <v>1966</v>
      </c>
      <c r="B104" s="8" t="s">
        <v>1674</v>
      </c>
      <c r="C104" s="8" t="s">
        <v>1967</v>
      </c>
      <c r="D104" s="8" t="s">
        <v>1968</v>
      </c>
      <c r="E104" s="8" t="s">
        <v>1964</v>
      </c>
      <c r="F104" s="67"/>
      <c r="G104" s="65">
        <v>2</v>
      </c>
      <c r="H104" s="84">
        <f>G104/8</f>
        <v>0.25</v>
      </c>
      <c r="I104" s="63"/>
      <c r="J104" s="63"/>
      <c r="K104" s="63"/>
      <c r="L104" s="63"/>
      <c r="M104" s="63"/>
    </row>
    <row r="105" spans="1:13" ht="105">
      <c r="A105" s="67" t="s">
        <v>1969</v>
      </c>
      <c r="B105" s="8" t="s">
        <v>36</v>
      </c>
      <c r="C105" s="8" t="s">
        <v>1970</v>
      </c>
      <c r="D105" s="8" t="s">
        <v>2105</v>
      </c>
      <c r="E105" s="8" t="s">
        <v>2</v>
      </c>
      <c r="F105" s="67"/>
      <c r="G105" s="65">
        <v>2</v>
      </c>
      <c r="H105" s="84">
        <f>G105/8</f>
        <v>0.25</v>
      </c>
      <c r="I105" s="63"/>
      <c r="J105" s="63"/>
      <c r="K105" s="63"/>
      <c r="L105" s="63"/>
      <c r="M105" s="63"/>
    </row>
    <row r="106" spans="1:13" ht="42">
      <c r="A106" s="67" t="s">
        <v>1971</v>
      </c>
      <c r="B106" s="8" t="s">
        <v>36</v>
      </c>
      <c r="C106" s="8" t="s">
        <v>1972</v>
      </c>
      <c r="D106" s="8" t="s">
        <v>1973</v>
      </c>
      <c r="E106" s="8" t="s">
        <v>1969</v>
      </c>
      <c r="F106" s="67"/>
      <c r="G106" s="65">
        <v>4</v>
      </c>
      <c r="H106" s="84">
        <f>G106/8</f>
        <v>0.5</v>
      </c>
      <c r="I106" s="63"/>
      <c r="J106" s="63"/>
      <c r="K106" s="63"/>
      <c r="L106" s="63"/>
      <c r="M106" s="63"/>
    </row>
    <row r="107" spans="1:13" ht="42">
      <c r="A107" s="67" t="s">
        <v>1974</v>
      </c>
      <c r="B107" s="8" t="s">
        <v>1674</v>
      </c>
      <c r="C107" s="8" t="s">
        <v>1975</v>
      </c>
      <c r="D107" s="8" t="s">
        <v>1976</v>
      </c>
      <c r="E107" s="8" t="s">
        <v>1971</v>
      </c>
      <c r="F107" s="67"/>
      <c r="G107" s="65">
        <v>2</v>
      </c>
      <c r="H107" s="84">
        <f>G107/8</f>
        <v>0.25</v>
      </c>
      <c r="I107" s="63"/>
      <c r="J107" s="63"/>
      <c r="K107" s="63"/>
      <c r="L107" s="63"/>
      <c r="M107" s="63"/>
    </row>
    <row r="108" spans="1:13" ht="63">
      <c r="A108" s="67" t="s">
        <v>1977</v>
      </c>
      <c r="B108" s="8" t="s">
        <v>36</v>
      </c>
      <c r="C108" s="8" t="s">
        <v>1978</v>
      </c>
      <c r="D108" s="8" t="s">
        <v>1979</v>
      </c>
      <c r="E108" s="8" t="s">
        <v>2</v>
      </c>
      <c r="F108" s="67"/>
      <c r="G108" s="65">
        <v>4</v>
      </c>
      <c r="H108" s="84">
        <f>G108/8</f>
        <v>0.5</v>
      </c>
      <c r="I108" s="63"/>
      <c r="J108" s="63"/>
      <c r="K108" s="63"/>
      <c r="L108" s="63"/>
      <c r="M108" s="63"/>
    </row>
    <row r="109" spans="1:13" ht="21">
      <c r="A109" s="67" t="s">
        <v>1980</v>
      </c>
      <c r="B109" s="8" t="s">
        <v>36</v>
      </c>
      <c r="C109" s="8" t="s">
        <v>1981</v>
      </c>
      <c r="D109" s="8" t="s">
        <v>1982</v>
      </c>
      <c r="E109" s="8" t="s">
        <v>1977</v>
      </c>
      <c r="F109" s="67"/>
      <c r="G109" s="65">
        <v>12</v>
      </c>
      <c r="H109" s="84">
        <f>G109/8</f>
        <v>1.5</v>
      </c>
      <c r="I109" s="63"/>
      <c r="J109" s="63"/>
      <c r="K109" s="63"/>
      <c r="L109" s="63"/>
      <c r="M109" s="63"/>
    </row>
    <row r="110" spans="1:13" ht="21">
      <c r="A110" s="67" t="s">
        <v>1983</v>
      </c>
      <c r="B110" s="8" t="s">
        <v>36</v>
      </c>
      <c r="C110" s="8" t="s">
        <v>1677</v>
      </c>
      <c r="D110" s="8" t="s">
        <v>1984</v>
      </c>
      <c r="E110" s="8" t="s">
        <v>1980</v>
      </c>
      <c r="F110" s="67"/>
      <c r="G110" s="65">
        <v>6</v>
      </c>
      <c r="H110" s="84">
        <f>G110/8</f>
        <v>0.75</v>
      </c>
      <c r="I110" s="63"/>
      <c r="J110" s="63"/>
      <c r="K110" s="63"/>
      <c r="L110" s="63"/>
      <c r="M110" s="63"/>
    </row>
    <row r="111" spans="1:13" ht="42">
      <c r="A111" s="67" t="s">
        <v>1985</v>
      </c>
      <c r="B111" s="8" t="s">
        <v>1674</v>
      </c>
      <c r="C111" s="8" t="s">
        <v>1678</v>
      </c>
      <c r="D111" s="8" t="s">
        <v>1986</v>
      </c>
      <c r="E111" s="8" t="s">
        <v>1983</v>
      </c>
      <c r="F111" s="67"/>
      <c r="G111" s="65">
        <v>4</v>
      </c>
      <c r="H111" s="84">
        <f>G111/8</f>
        <v>0.5</v>
      </c>
      <c r="I111" s="63"/>
      <c r="J111" s="63"/>
      <c r="K111" s="63"/>
      <c r="L111" s="63"/>
      <c r="M111" s="63"/>
    </row>
    <row r="112" spans="1:13" ht="42">
      <c r="A112" s="67" t="s">
        <v>1987</v>
      </c>
      <c r="B112" s="8" t="s">
        <v>1673</v>
      </c>
      <c r="C112" s="8" t="s">
        <v>1988</v>
      </c>
      <c r="D112" s="8" t="s">
        <v>1989</v>
      </c>
      <c r="E112" s="8" t="s">
        <v>1990</v>
      </c>
      <c r="F112" s="67"/>
      <c r="G112" s="65">
        <v>12</v>
      </c>
      <c r="H112" s="84">
        <f>G112/8</f>
        <v>1.5</v>
      </c>
      <c r="I112" s="63"/>
      <c r="J112" s="63"/>
      <c r="K112" s="63"/>
      <c r="L112" s="63"/>
      <c r="M112" s="63"/>
    </row>
    <row r="113" spans="1:13" ht="63">
      <c r="A113" s="76" t="s">
        <v>1991</v>
      </c>
      <c r="B113" s="72"/>
      <c r="C113" s="72"/>
      <c r="D113" s="72"/>
      <c r="E113" s="72"/>
      <c r="F113" s="77"/>
      <c r="G113" s="82">
        <f>SUM(G95:G112)</f>
        <v>85</v>
      </c>
      <c r="H113" s="75">
        <f>G113/8</f>
        <v>10.625</v>
      </c>
      <c r="I113" s="72"/>
      <c r="J113" s="72"/>
      <c r="K113" s="72"/>
      <c r="L113" s="72"/>
      <c r="M113" s="72"/>
    </row>
    <row r="114" spans="1:13" ht="84">
      <c r="A114" s="67" t="s">
        <v>1637</v>
      </c>
      <c r="B114" s="8" t="s">
        <v>1674</v>
      </c>
      <c r="C114" s="8" t="s">
        <v>1992</v>
      </c>
      <c r="D114" s="8" t="s">
        <v>1993</v>
      </c>
      <c r="E114" s="8" t="s">
        <v>1638</v>
      </c>
      <c r="F114" s="67"/>
      <c r="G114" s="65">
        <v>16</v>
      </c>
      <c r="H114" s="74">
        <f>G114/8</f>
        <v>2</v>
      </c>
      <c r="I114" s="8"/>
      <c r="J114" s="8"/>
      <c r="K114" s="8"/>
      <c r="L114" s="8"/>
      <c r="M114" s="63"/>
    </row>
    <row r="115" spans="1:13" ht="84">
      <c r="A115" s="67" t="s">
        <v>1639</v>
      </c>
      <c r="B115" s="8" t="s">
        <v>1674</v>
      </c>
      <c r="C115" s="8" t="s">
        <v>1994</v>
      </c>
      <c r="D115" s="8" t="s">
        <v>1995</v>
      </c>
      <c r="E115" s="8" t="s">
        <v>1996</v>
      </c>
      <c r="F115" s="67"/>
      <c r="G115" s="65">
        <v>24</v>
      </c>
      <c r="H115" s="74">
        <f>G115/8</f>
        <v>3</v>
      </c>
      <c r="I115" s="8"/>
      <c r="J115" s="8"/>
      <c r="K115" s="8"/>
      <c r="L115" s="8"/>
      <c r="M115" s="63" t="s">
        <v>1679</v>
      </c>
    </row>
    <row r="116" spans="1:13" ht="84">
      <c r="A116" s="67" t="s">
        <v>1997</v>
      </c>
      <c r="B116" s="8" t="s">
        <v>1674</v>
      </c>
      <c r="C116" s="8" t="s">
        <v>1998</v>
      </c>
      <c r="D116" s="8" t="s">
        <v>1999</v>
      </c>
      <c r="E116" s="8" t="s">
        <v>1639</v>
      </c>
      <c r="F116" s="67"/>
      <c r="G116" s="65">
        <v>8</v>
      </c>
      <c r="H116" s="74">
        <f>G116/8</f>
        <v>1</v>
      </c>
      <c r="I116" s="8"/>
      <c r="J116" s="8"/>
      <c r="K116" s="8"/>
      <c r="L116" s="8"/>
      <c r="M116" s="63" t="s">
        <v>1679</v>
      </c>
    </row>
    <row r="117" spans="1:13" ht="126">
      <c r="A117" s="67" t="s">
        <v>2000</v>
      </c>
      <c r="B117" s="8" t="s">
        <v>1674</v>
      </c>
      <c r="C117" s="8" t="s">
        <v>2001</v>
      </c>
      <c r="D117" s="8" t="s">
        <v>2002</v>
      </c>
      <c r="E117" s="8" t="s">
        <v>1639</v>
      </c>
      <c r="F117" s="67"/>
      <c r="G117" s="65">
        <v>10</v>
      </c>
      <c r="H117" s="74">
        <f>G117/8</f>
        <v>1.25</v>
      </c>
      <c r="I117" s="8"/>
      <c r="J117" s="8"/>
      <c r="K117" s="8"/>
      <c r="L117" s="8"/>
      <c r="M117" s="63" t="s">
        <v>1679</v>
      </c>
    </row>
    <row r="118" spans="1:13" ht="84">
      <c r="A118" s="67" t="s">
        <v>2003</v>
      </c>
      <c r="B118" s="8" t="s">
        <v>1674</v>
      </c>
      <c r="C118" s="8" t="s">
        <v>2004</v>
      </c>
      <c r="D118" s="8" t="s">
        <v>2005</v>
      </c>
      <c r="E118" s="8" t="s">
        <v>1639</v>
      </c>
      <c r="F118" s="67"/>
      <c r="G118" s="65">
        <v>4</v>
      </c>
      <c r="H118" s="74">
        <f>G118/8</f>
        <v>0.5</v>
      </c>
      <c r="I118" s="8"/>
      <c r="J118" s="8"/>
      <c r="K118" s="8"/>
      <c r="L118" s="8"/>
      <c r="M118" s="63"/>
    </row>
    <row r="119" spans="1:13" ht="147">
      <c r="A119" s="67" t="s">
        <v>2006</v>
      </c>
      <c r="B119" s="8" t="s">
        <v>1674</v>
      </c>
      <c r="C119" s="8" t="s">
        <v>2007</v>
      </c>
      <c r="D119" s="8" t="s">
        <v>2008</v>
      </c>
      <c r="E119" s="8" t="s">
        <v>1639</v>
      </c>
      <c r="F119" s="67"/>
      <c r="G119" s="65">
        <v>8</v>
      </c>
      <c r="H119" s="74">
        <f>G119/8</f>
        <v>1</v>
      </c>
      <c r="I119" s="8"/>
      <c r="J119" s="8"/>
      <c r="K119" s="8"/>
      <c r="L119" s="8"/>
      <c r="M119" s="63"/>
    </row>
    <row r="120" spans="1:13" ht="63">
      <c r="A120" s="67" t="s">
        <v>1640</v>
      </c>
      <c r="B120" s="8" t="s">
        <v>1667</v>
      </c>
      <c r="C120" s="8" t="s">
        <v>2009</v>
      </c>
      <c r="D120" s="8" t="s">
        <v>2010</v>
      </c>
      <c r="E120" s="8" t="s">
        <v>2011</v>
      </c>
      <c r="F120" s="67"/>
      <c r="G120" s="65">
        <v>4</v>
      </c>
      <c r="H120" s="74">
        <f>G120/8</f>
        <v>0.5</v>
      </c>
      <c r="I120" s="8"/>
      <c r="J120" s="8"/>
      <c r="K120" s="8"/>
      <c r="L120" s="8"/>
      <c r="M120" s="63"/>
    </row>
    <row r="121" spans="1:13" ht="63">
      <c r="A121" s="67" t="s">
        <v>1641</v>
      </c>
      <c r="B121" s="8" t="s">
        <v>1674</v>
      </c>
      <c r="C121" s="8" t="s">
        <v>2012</v>
      </c>
      <c r="D121" s="8" t="s">
        <v>2013</v>
      </c>
      <c r="E121" s="8" t="s">
        <v>1639</v>
      </c>
      <c r="F121" s="67"/>
      <c r="G121" s="65">
        <v>8</v>
      </c>
      <c r="H121" s="74">
        <f>G121/8</f>
        <v>1</v>
      </c>
      <c r="I121" s="8"/>
      <c r="J121" s="8"/>
      <c r="K121" s="8"/>
      <c r="L121" s="8"/>
      <c r="M121" s="63"/>
    </row>
    <row r="122" spans="1:13" ht="42">
      <c r="A122" s="67" t="s">
        <v>1642</v>
      </c>
      <c r="B122" s="8" t="s">
        <v>1680</v>
      </c>
      <c r="C122" s="8" t="s">
        <v>2014</v>
      </c>
      <c r="D122" s="8" t="s">
        <v>2015</v>
      </c>
      <c r="E122" s="8" t="s">
        <v>2011</v>
      </c>
      <c r="F122" s="67"/>
      <c r="G122" s="65">
        <v>8</v>
      </c>
      <c r="H122" s="74">
        <f>G122/8</f>
        <v>1</v>
      </c>
      <c r="I122" s="8"/>
      <c r="J122" s="8"/>
      <c r="K122" s="8"/>
      <c r="L122" s="8"/>
      <c r="M122" s="63"/>
    </row>
    <row r="123" spans="1:13" ht="21">
      <c r="A123" s="76" t="s">
        <v>1681</v>
      </c>
      <c r="B123" s="72"/>
      <c r="C123" s="72"/>
      <c r="D123" s="72"/>
      <c r="E123" s="72"/>
      <c r="F123" s="77"/>
      <c r="G123" s="82">
        <f>SUM(G114:G122)</f>
        <v>90</v>
      </c>
      <c r="H123" s="75">
        <f>G123/8</f>
        <v>11.25</v>
      </c>
      <c r="I123" s="72"/>
      <c r="J123" s="72"/>
      <c r="K123" s="72"/>
      <c r="L123" s="72"/>
      <c r="M123" s="72"/>
    </row>
    <row r="124" spans="1:13" ht="126">
      <c r="A124" s="67" t="s">
        <v>1643</v>
      </c>
      <c r="B124" s="8" t="s">
        <v>1682</v>
      </c>
      <c r="C124" s="8" t="s">
        <v>1644</v>
      </c>
      <c r="D124" s="8" t="s">
        <v>2016</v>
      </c>
      <c r="E124" s="8" t="s">
        <v>1416</v>
      </c>
      <c r="F124" s="67"/>
      <c r="G124" s="65">
        <v>24</v>
      </c>
      <c r="H124" s="84">
        <f>G124/8</f>
        <v>3</v>
      </c>
      <c r="I124" s="63"/>
      <c r="J124" s="63"/>
      <c r="K124" s="63"/>
      <c r="L124" s="63"/>
      <c r="M124" s="63"/>
    </row>
    <row r="125" spans="1:13" ht="42">
      <c r="A125" s="67" t="s">
        <v>1645</v>
      </c>
      <c r="B125" s="8" t="s">
        <v>1682</v>
      </c>
      <c r="C125" s="8" t="s">
        <v>2017</v>
      </c>
      <c r="D125" s="8" t="s">
        <v>2018</v>
      </c>
      <c r="E125" s="8" t="s">
        <v>1643</v>
      </c>
      <c r="F125" s="67"/>
      <c r="G125" s="65">
        <v>8</v>
      </c>
      <c r="H125" s="84">
        <f>G125/8</f>
        <v>1</v>
      </c>
      <c r="I125" s="63"/>
      <c r="J125" s="63"/>
      <c r="K125" s="63"/>
      <c r="L125" s="63"/>
      <c r="M125" s="63"/>
    </row>
    <row r="126" spans="1:13" ht="63">
      <c r="A126" s="67" t="s">
        <v>1646</v>
      </c>
      <c r="B126" s="8" t="s">
        <v>1667</v>
      </c>
      <c r="C126" s="8" t="s">
        <v>2019</v>
      </c>
      <c r="D126" s="8" t="s">
        <v>2020</v>
      </c>
      <c r="E126" s="8" t="s">
        <v>2021</v>
      </c>
      <c r="F126" s="67"/>
      <c r="G126" s="65">
        <v>8</v>
      </c>
      <c r="H126" s="84">
        <f>G126/8</f>
        <v>1</v>
      </c>
      <c r="I126" s="63"/>
      <c r="J126" s="63"/>
      <c r="K126" s="63"/>
      <c r="L126" s="63"/>
      <c r="M126" s="63"/>
    </row>
    <row r="127" spans="1:13" ht="84">
      <c r="A127" s="67" t="s">
        <v>1647</v>
      </c>
      <c r="B127" s="8" t="s">
        <v>1683</v>
      </c>
      <c r="C127" s="8" t="s">
        <v>2022</v>
      </c>
      <c r="D127" s="8" t="s">
        <v>2023</v>
      </c>
      <c r="E127" s="8" t="s">
        <v>2</v>
      </c>
      <c r="F127" s="67"/>
      <c r="G127" s="65">
        <v>16</v>
      </c>
      <c r="H127" s="84">
        <f>G127/8</f>
        <v>2</v>
      </c>
      <c r="I127" s="63"/>
      <c r="J127" s="63"/>
      <c r="K127" s="63"/>
      <c r="L127" s="63"/>
      <c r="M127" s="63"/>
    </row>
    <row r="128" spans="1:13" ht="42">
      <c r="A128" s="67" t="s">
        <v>1648</v>
      </c>
      <c r="B128" s="8" t="s">
        <v>36</v>
      </c>
      <c r="C128" s="8" t="s">
        <v>2024</v>
      </c>
      <c r="D128" s="8" t="s">
        <v>2025</v>
      </c>
      <c r="E128" s="8" t="s">
        <v>1852</v>
      </c>
      <c r="F128" s="67"/>
      <c r="G128" s="65">
        <v>4</v>
      </c>
      <c r="H128" s="84">
        <f>G128/8</f>
        <v>0.5</v>
      </c>
      <c r="I128" s="63"/>
      <c r="J128" s="63"/>
      <c r="K128" s="63"/>
      <c r="L128" s="63"/>
      <c r="M128" s="63"/>
    </row>
    <row r="129" spans="1:13" ht="42">
      <c r="A129" s="67" t="s">
        <v>1649</v>
      </c>
      <c r="B129" s="8" t="s">
        <v>1683</v>
      </c>
      <c r="C129" s="8" t="s">
        <v>2026</v>
      </c>
      <c r="D129" s="8" t="s">
        <v>2027</v>
      </c>
      <c r="E129" s="8" t="s">
        <v>1647</v>
      </c>
      <c r="F129" s="67"/>
      <c r="G129" s="65">
        <v>8</v>
      </c>
      <c r="H129" s="84">
        <f>G129/8</f>
        <v>1</v>
      </c>
      <c r="I129" s="63"/>
      <c r="J129" s="63"/>
      <c r="K129" s="63"/>
      <c r="L129" s="63"/>
      <c r="M129" s="63"/>
    </row>
    <row r="130" spans="1:13" ht="63">
      <c r="A130" s="67" t="s">
        <v>1684</v>
      </c>
      <c r="B130" s="8" t="s">
        <v>1683</v>
      </c>
      <c r="C130" s="8" t="s">
        <v>2028</v>
      </c>
      <c r="D130" s="8" t="s">
        <v>2029</v>
      </c>
      <c r="E130" s="8" t="s">
        <v>2030</v>
      </c>
      <c r="F130" s="67"/>
      <c r="G130" s="65">
        <v>16</v>
      </c>
      <c r="H130" s="84">
        <f>G130/8</f>
        <v>2</v>
      </c>
      <c r="I130" s="63"/>
      <c r="J130" s="63"/>
      <c r="K130" s="63"/>
      <c r="L130" s="63"/>
      <c r="M130" s="63"/>
    </row>
    <row r="131" spans="1:13" ht="42">
      <c r="A131" s="67" t="s">
        <v>1650</v>
      </c>
      <c r="B131" s="8" t="s">
        <v>1680</v>
      </c>
      <c r="C131" s="8" t="s">
        <v>2031</v>
      </c>
      <c r="D131" s="8" t="s">
        <v>2032</v>
      </c>
      <c r="E131" s="8" t="s">
        <v>1642</v>
      </c>
      <c r="F131" s="67"/>
      <c r="G131" s="65">
        <v>12</v>
      </c>
      <c r="H131" s="84">
        <f>G131/8</f>
        <v>1.5</v>
      </c>
      <c r="I131" s="63"/>
      <c r="J131" s="63"/>
      <c r="K131" s="63"/>
      <c r="L131" s="63"/>
      <c r="M131" s="63"/>
    </row>
    <row r="132" spans="1:13" ht="21">
      <c r="A132" s="67" t="s">
        <v>1651</v>
      </c>
      <c r="B132" s="8" t="s">
        <v>1680</v>
      </c>
      <c r="C132" s="8" t="s">
        <v>2033</v>
      </c>
      <c r="D132" s="8" t="s">
        <v>2034</v>
      </c>
      <c r="E132" s="8" t="s">
        <v>1650</v>
      </c>
      <c r="F132" s="67"/>
      <c r="G132" s="65">
        <v>4</v>
      </c>
      <c r="H132" s="84">
        <f>G132/8</f>
        <v>0.5</v>
      </c>
      <c r="I132" s="63"/>
      <c r="J132" s="63"/>
      <c r="K132" s="63"/>
      <c r="L132" s="63"/>
      <c r="M132" s="63"/>
    </row>
    <row r="133" spans="1:13" ht="42">
      <c r="A133" s="67" t="s">
        <v>1652</v>
      </c>
      <c r="B133" s="8" t="s">
        <v>1685</v>
      </c>
      <c r="C133" s="8" t="s">
        <v>2035</v>
      </c>
      <c r="D133" s="8" t="s">
        <v>2036</v>
      </c>
      <c r="E133" s="8" t="s">
        <v>2</v>
      </c>
      <c r="F133" s="67"/>
      <c r="G133" s="65">
        <v>44</v>
      </c>
      <c r="H133" s="84">
        <f>G133/8</f>
        <v>5.5</v>
      </c>
      <c r="I133" s="63"/>
      <c r="J133" s="63"/>
      <c r="K133" s="63"/>
      <c r="L133" s="63"/>
      <c r="M133" s="63"/>
    </row>
    <row r="134" spans="1:13" ht="42">
      <c r="A134" s="76" t="s">
        <v>1686</v>
      </c>
      <c r="B134" s="72"/>
      <c r="C134" s="72"/>
      <c r="D134" s="72"/>
      <c r="E134" s="72"/>
      <c r="F134" s="77"/>
      <c r="G134" s="82">
        <f>SUM(G124:G133)</f>
        <v>144</v>
      </c>
      <c r="H134" s="75">
        <f>G134/8</f>
        <v>18</v>
      </c>
      <c r="I134" s="72"/>
      <c r="J134" s="72"/>
      <c r="K134" s="72"/>
      <c r="L134" s="72"/>
      <c r="M134" s="72"/>
    </row>
    <row r="135" spans="1:13" ht="21">
      <c r="A135" s="86" t="s">
        <v>2037</v>
      </c>
      <c r="B135" s="81"/>
      <c r="C135" s="81"/>
      <c r="D135" s="81"/>
      <c r="E135" s="81"/>
      <c r="F135" s="87"/>
      <c r="G135" s="83">
        <f>G8+G34+G45+G80+G94+G113+G123+G134</f>
        <v>477.5</v>
      </c>
      <c r="H135" s="85">
        <f>G135/8</f>
        <v>59.6875</v>
      </c>
      <c r="I135" s="81"/>
      <c r="J135" s="81"/>
      <c r="K135" s="81"/>
      <c r="L135" s="81"/>
      <c r="M135" s="81"/>
    </row>
  </sheetData>
  <autoFilter ref="A1:M135" xr:uid="{715DF64A-6159-354B-ABF7-65BBF66877B8}"/>
  <phoneticPr fontId="2"/>
  <dataValidations count="1">
    <dataValidation type="list" allowBlank="1" showInputMessage="1" showErrorMessage="1" sqref="B2:B133" xr:uid="{B7F0058C-7946-264B-9A6D-BA63516C1A25}">
      <formula1>"外部調整,基盤IaC,監視(定型),機能実装,改修,配布物,テスト,運用,ガイド,ドキュメント,管理"</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75903-347B-8B4A-9232-F071B506365A}">
  <dimension ref="A1:D61"/>
  <sheetViews>
    <sheetView workbookViewId="0"/>
  </sheetViews>
  <sheetFormatPr baseColWidth="10" defaultRowHeight="20"/>
  <cols>
    <col min="1" max="1" width="35.7109375" customWidth="1"/>
    <col min="2" max="2" width="80" customWidth="1"/>
    <col min="3" max="3" width="17.140625" customWidth="1"/>
    <col min="4" max="4" width="18.5703125" customWidth="1"/>
  </cols>
  <sheetData>
    <row r="1" spans="1:2" ht="27">
      <c r="A1" s="1" t="s">
        <v>2038</v>
      </c>
    </row>
    <row r="2" spans="1:2" ht="210">
      <c r="A2" s="4" t="s">
        <v>2039</v>
      </c>
    </row>
    <row r="4" spans="1:2">
      <c r="A4" s="2" t="s">
        <v>1687</v>
      </c>
    </row>
    <row r="5" spans="1:2">
      <c r="A5" s="7" t="s">
        <v>20</v>
      </c>
      <c r="B5" s="7" t="s">
        <v>1688</v>
      </c>
    </row>
    <row r="6" spans="1:2" ht="63">
      <c r="A6" s="8">
        <v>1</v>
      </c>
      <c r="B6" s="8" t="s">
        <v>2040</v>
      </c>
    </row>
    <row r="7" spans="1:2" ht="126">
      <c r="A7" s="8">
        <v>2</v>
      </c>
      <c r="B7" s="8" t="s">
        <v>1689</v>
      </c>
    </row>
    <row r="8" spans="1:2" ht="126">
      <c r="A8" s="8">
        <v>3</v>
      </c>
      <c r="B8" s="8" t="s">
        <v>2041</v>
      </c>
    </row>
    <row r="9" spans="1:2" ht="168">
      <c r="A9" s="8">
        <v>4</v>
      </c>
      <c r="B9" s="8" t="s">
        <v>2042</v>
      </c>
    </row>
    <row r="10" spans="1:2" ht="210">
      <c r="A10" s="8">
        <v>5</v>
      </c>
      <c r="B10" s="8" t="s">
        <v>1690</v>
      </c>
    </row>
    <row r="11" spans="1:2" ht="378">
      <c r="A11" s="8">
        <v>6</v>
      </c>
      <c r="B11" s="8" t="s">
        <v>2043</v>
      </c>
    </row>
    <row r="12" spans="1:2" ht="147">
      <c r="A12" s="8">
        <v>7</v>
      </c>
      <c r="B12" s="8" t="s">
        <v>2044</v>
      </c>
    </row>
    <row r="14" spans="1:2" ht="252">
      <c r="A14" s="4" t="s">
        <v>2045</v>
      </c>
    </row>
    <row r="15" spans="1:2" ht="231">
      <c r="A15" s="4" t="s">
        <v>2046</v>
      </c>
    </row>
    <row r="17" spans="1:4">
      <c r="A17" s="2" t="s">
        <v>1691</v>
      </c>
    </row>
    <row r="18" spans="1:4" ht="409.6">
      <c r="A18" s="4" t="s">
        <v>2047</v>
      </c>
    </row>
    <row r="20" spans="1:4">
      <c r="A20" s="2" t="s">
        <v>1692</v>
      </c>
    </row>
    <row r="21" spans="1:4">
      <c r="A21" s="7" t="s">
        <v>30</v>
      </c>
      <c r="B21" s="7" t="s">
        <v>1659</v>
      </c>
      <c r="C21" s="7" t="s">
        <v>1693</v>
      </c>
      <c r="D21" s="7" t="s">
        <v>1694</v>
      </c>
    </row>
    <row r="22" spans="1:4">
      <c r="A22" s="63" t="s">
        <v>2048</v>
      </c>
      <c r="B22" s="66">
        <f>SUM('14_WBS'!G2:G7)</f>
        <v>40</v>
      </c>
      <c r="C22" s="66">
        <f>B22/8</f>
        <v>5</v>
      </c>
      <c r="D22" s="63" t="s">
        <v>1695</v>
      </c>
    </row>
    <row r="23" spans="1:4">
      <c r="A23" s="63" t="s">
        <v>2049</v>
      </c>
      <c r="B23" s="66">
        <f>SUM('14_WBS'!G9:G33)</f>
        <v>29</v>
      </c>
      <c r="C23" s="66">
        <f>B23/8</f>
        <v>3.625</v>
      </c>
      <c r="D23" s="63" t="s">
        <v>2050</v>
      </c>
    </row>
    <row r="24" spans="1:4">
      <c r="A24" s="63" t="s">
        <v>2051</v>
      </c>
      <c r="B24" s="66">
        <f>SUM('14_WBS'!G35:G44)</f>
        <v>13</v>
      </c>
      <c r="C24" s="66">
        <f>B24/8</f>
        <v>1.625</v>
      </c>
      <c r="D24" s="63" t="s">
        <v>2052</v>
      </c>
    </row>
    <row r="25" spans="1:4">
      <c r="A25" s="63" t="s">
        <v>2053</v>
      </c>
      <c r="B25" s="66">
        <f>SUM('14_WBS'!G46:G79)+SUM('14_WBS'!G81:G93)+SUM('14_WBS'!G95:G112)</f>
        <v>161.5</v>
      </c>
      <c r="C25" s="66">
        <f>B25/8</f>
        <v>20.1875</v>
      </c>
      <c r="D25" s="63" t="s">
        <v>2054</v>
      </c>
    </row>
    <row r="26" spans="1:4">
      <c r="A26" s="63" t="s">
        <v>2055</v>
      </c>
      <c r="B26" s="66">
        <f>SUM('14_WBS'!G114:G122)</f>
        <v>90</v>
      </c>
      <c r="C26" s="66">
        <f>B26/8</f>
        <v>11.25</v>
      </c>
      <c r="D26" s="63" t="s">
        <v>2056</v>
      </c>
    </row>
    <row r="27" spans="1:4">
      <c r="A27" s="63" t="s">
        <v>2057</v>
      </c>
      <c r="B27" s="66">
        <f>SUM('14_WBS'!G124:G132)</f>
        <v>100</v>
      </c>
      <c r="C27" s="66">
        <f>B27/8</f>
        <v>12.5</v>
      </c>
      <c r="D27" s="63" t="s">
        <v>2058</v>
      </c>
    </row>
    <row r="28" spans="1:4">
      <c r="A28" s="63" t="s">
        <v>2059</v>
      </c>
      <c r="B28" s="66">
        <f>SUM('14_WBS'!G133)</f>
        <v>44</v>
      </c>
      <c r="C28" s="66">
        <f>B28/8</f>
        <v>5.5</v>
      </c>
      <c r="D28" s="63" t="s">
        <v>1696</v>
      </c>
    </row>
    <row r="29" spans="1:4">
      <c r="A29" s="68" t="s">
        <v>2060</v>
      </c>
      <c r="B29" s="69">
        <f>SUM(B22:B28)</f>
        <v>477.5</v>
      </c>
      <c r="C29" s="69">
        <f>B29/8</f>
        <v>59.6875</v>
      </c>
      <c r="D29" s="68" t="s">
        <v>2061</v>
      </c>
    </row>
    <row r="30" spans="1:4">
      <c r="A30" s="63"/>
      <c r="B30" s="63"/>
      <c r="C30" s="63"/>
      <c r="D30" s="63"/>
    </row>
    <row r="31" spans="1:4" ht="147">
      <c r="A31" s="70" t="s">
        <v>2062</v>
      </c>
    </row>
    <row r="33" spans="1:3">
      <c r="A33" s="2" t="s">
        <v>1697</v>
      </c>
    </row>
    <row r="34" spans="1:3">
      <c r="A34" s="7" t="s">
        <v>39</v>
      </c>
      <c r="B34" s="7" t="s">
        <v>1</v>
      </c>
      <c r="C34" s="7" t="s">
        <v>1659</v>
      </c>
    </row>
    <row r="35" spans="1:3" ht="21">
      <c r="A35" s="8" t="s">
        <v>1788</v>
      </c>
      <c r="B35" s="8" t="s">
        <v>2063</v>
      </c>
      <c r="C35" s="73">
        <v>2</v>
      </c>
    </row>
    <row r="36" spans="1:3" ht="21">
      <c r="A36" s="8" t="s">
        <v>1791</v>
      </c>
      <c r="B36" s="8" t="s">
        <v>1792</v>
      </c>
      <c r="C36" s="73">
        <v>2</v>
      </c>
    </row>
    <row r="37" spans="1:3" ht="21">
      <c r="A37" s="8" t="s">
        <v>2064</v>
      </c>
      <c r="B37" s="8" t="s">
        <v>2065</v>
      </c>
      <c r="C37" s="73">
        <v>7</v>
      </c>
    </row>
    <row r="38" spans="1:3" ht="21">
      <c r="A38" s="8" t="s">
        <v>1813</v>
      </c>
      <c r="B38" s="8" t="s">
        <v>1671</v>
      </c>
      <c r="C38" s="73">
        <v>2</v>
      </c>
    </row>
    <row r="39" spans="1:3" ht="21">
      <c r="A39" s="8" t="s">
        <v>1640</v>
      </c>
      <c r="B39" s="8" t="s">
        <v>2009</v>
      </c>
      <c r="C39" s="73">
        <v>4</v>
      </c>
    </row>
    <row r="40" spans="1:3" ht="21">
      <c r="A40" s="8" t="s">
        <v>1646</v>
      </c>
      <c r="B40" s="8" t="s">
        <v>2019</v>
      </c>
      <c r="C40" s="73">
        <v>8</v>
      </c>
    </row>
    <row r="41" spans="1:3" ht="21">
      <c r="A41" s="78" t="s">
        <v>1699</v>
      </c>
      <c r="B41" s="68"/>
      <c r="C41" s="79">
        <f>SUM(C35:C40)</f>
        <v>25</v>
      </c>
    </row>
    <row r="43" spans="1:3" ht="63">
      <c r="A43" s="9" t="s">
        <v>2066</v>
      </c>
    </row>
    <row r="45" spans="1:3">
      <c r="A45" s="2" t="s">
        <v>2067</v>
      </c>
    </row>
    <row r="46" spans="1:3" ht="126">
      <c r="A46" s="4" t="s">
        <v>2068</v>
      </c>
    </row>
    <row r="47" spans="1:3" ht="84">
      <c r="A47" s="4" t="s">
        <v>2069</v>
      </c>
    </row>
    <row r="48" spans="1:3" ht="63">
      <c r="A48" s="4" t="s">
        <v>2070</v>
      </c>
    </row>
    <row r="50" spans="1:2" ht="21">
      <c r="A50" s="32" t="s">
        <v>1700</v>
      </c>
    </row>
    <row r="51" spans="1:2">
      <c r="A51" s="7" t="s">
        <v>1653</v>
      </c>
      <c r="B51" s="7" t="s">
        <v>1701</v>
      </c>
    </row>
    <row r="52" spans="1:2" ht="21">
      <c r="A52" s="8" t="s">
        <v>2071</v>
      </c>
      <c r="B52" s="8" t="s">
        <v>2072</v>
      </c>
    </row>
    <row r="53" spans="1:2" ht="21">
      <c r="A53" s="8" t="s">
        <v>2073</v>
      </c>
      <c r="B53" s="8" t="s">
        <v>2074</v>
      </c>
    </row>
    <row r="54" spans="1:2" ht="21">
      <c r="A54" s="8" t="s">
        <v>1702</v>
      </c>
      <c r="B54" s="8" t="s">
        <v>2075</v>
      </c>
    </row>
    <row r="55" spans="1:2" ht="21">
      <c r="A55" s="8" t="s">
        <v>2076</v>
      </c>
      <c r="B55" s="8" t="s">
        <v>2077</v>
      </c>
    </row>
    <row r="56" spans="1:2" ht="21">
      <c r="A56" s="8" t="s">
        <v>2078</v>
      </c>
      <c r="B56" s="8" t="s">
        <v>2079</v>
      </c>
    </row>
    <row r="58" spans="1:2" ht="21">
      <c r="A58" s="10" t="s">
        <v>2080</v>
      </c>
    </row>
    <row r="59" spans="1:2" ht="63">
      <c r="A59" s="4" t="s">
        <v>2081</v>
      </c>
    </row>
    <row r="60" spans="1:2" ht="63">
      <c r="A60" s="4" t="s">
        <v>2082</v>
      </c>
    </row>
    <row r="61" spans="1:2" ht="42">
      <c r="A61" s="4" t="s">
        <v>2083</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15</vt:i4>
      </vt:variant>
    </vt:vector>
  </HeadingPairs>
  <TitlesOfParts>
    <vt:vector size="15" baseType="lpstr">
      <vt:lpstr>01_表紙・改訂履歴</vt:lpstr>
      <vt:lpstr>02_全体概要</vt:lpstr>
      <vt:lpstr>03_構成図</vt:lpstr>
      <vt:lpstr>04_リソース一覧</vt:lpstr>
      <vt:lpstr>05_処理フロー</vt:lpstr>
      <vt:lpstr>06_実行モード</vt:lpstr>
      <vt:lpstr>07_データ定義</vt:lpstr>
      <vt:lpstr>08_セキュリティ・IAM</vt:lpstr>
      <vt:lpstr>09_アプリチーム向け手順</vt:lpstr>
      <vt:lpstr>10_設計判断一覧</vt:lpstr>
      <vt:lpstr>11_未決事項</vt:lpstr>
      <vt:lpstr>12_関連文書</vt:lpstr>
      <vt:lpstr>13_出典一覧</vt:lpstr>
      <vt:lpstr>14_WBS</vt:lpstr>
      <vt:lpstr>15_WBS集計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2026-08-14T01:46:13Z</dcterms:created>
  <dcterms:modified xsi:type="dcterms:W3CDTF">2026-08-19T08:32:32Z</dcterms:modified>
</cp:coreProperties>
</file>